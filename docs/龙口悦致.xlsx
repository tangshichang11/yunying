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280" tabRatio="683" firstSheet="30" activeTab="13"/>
  </bookViews>
  <sheets>
    <sheet name="前台好评提成录入" sheetId="10" r:id="rId1"/>
    <sheet name="前台二维码提成录入" sheetId="9" r:id="rId2"/>
    <sheet name="前台工资录入" sheetId="8" r:id="rId3"/>
    <sheet name="前台增值物品出入库录入" sheetId="16" r:id="rId4"/>
    <sheet name="会员卡提成录入" sheetId="11" r:id="rId5"/>
    <sheet name="商品录入" sheetId="12" r:id="rId6"/>
    <sheet name="客房耗材出入库录入" sheetId="15" r:id="rId7"/>
    <sheet name="客房提成录入" sheetId="14" r:id="rId8"/>
    <sheet name="洗涤费录入" sheetId="13" r:id="rId9"/>
    <sheet name="客房工资录入" sheetId="17" r:id="rId10"/>
    <sheet name="餐厅成本录入" sheetId="2" r:id="rId11"/>
    <sheet name="用餐人数录入" sheetId="5" r:id="rId12"/>
    <sheet name="餐厅工资录入 " sheetId="1" r:id="rId13"/>
    <sheet name="平台推广费录入" sheetId="4" r:id="rId14"/>
    <sheet name="能耗录入" sheetId="6" r:id="rId15"/>
    <sheet name="固定费用录入" sheetId="7" r:id="rId16"/>
    <sheet name="管理层工资录入" sheetId="18" r:id="rId17"/>
    <sheet name="前台二维码提成呈现" sheetId="25" r:id="rId18"/>
    <sheet name="前台好评提成呈现" sheetId="26" r:id="rId19"/>
    <sheet name="会员卡提成呈现" sheetId="27" r:id="rId20"/>
    <sheet name="前台增值物品成本呈现" sheetId="30" r:id="rId21"/>
    <sheet name="商品成本呈现" sheetId="28" r:id="rId22"/>
    <sheet name="前台工资呈现" sheetId="22" r:id="rId23"/>
    <sheet name="客房耗材成本呈现" sheetId="31" r:id="rId24"/>
    <sheet name="洗涤费呈现" sheetId="29" r:id="rId25"/>
    <sheet name="客房提成呈现" sheetId="21" r:id="rId26"/>
    <sheet name="客房工资呈现" sheetId="32" r:id="rId27"/>
    <sheet name="餐厅成本呈现" sheetId="20" r:id="rId28"/>
    <sheet name="用餐金额呈现" sheetId="19" r:id="rId29"/>
    <sheet name="餐厅工资呈现" sheetId="24" r:id="rId30"/>
    <sheet name="耗能呈现" sheetId="23" r:id="rId31"/>
    <sheet name="管理层工资呈现" sheetId="33" r:id="rId32"/>
    <sheet name="收入及其他项目" sheetId="34" r:id="rId33"/>
    <sheet name="汇总表" sheetId="35" r:id="rId34"/>
    <sheet name="阿米巴核算表（月）" sheetId="36" r:id="rId35"/>
    <sheet name="阿米巴核算表（日）" sheetId="37" r:id="rId36"/>
    <sheet name="时长汇总" sheetId="38" r:id="rId37"/>
    <sheet name="用餐人数汇总" sheetId="39" r:id="rId38"/>
    <sheet name="单间成本表" sheetId="40" r:id="rId39"/>
  </sheets>
  <externalReferences>
    <externalReference r:id="rId40"/>
  </externalReferences>
  <definedNames>
    <definedName name="_xlnm._FilterDatabase" localSheetId="3" hidden="1">前台增值物品出入库录入!$B$1:$B$170</definedName>
    <definedName name="_xlnm._FilterDatabase" localSheetId="7" hidden="1">客房提成录入!$A$3:$Z$783</definedName>
    <definedName name="_xlnm._FilterDatabase" localSheetId="12" hidden="1">'餐厅工资录入 '!$A$1:$J$13</definedName>
    <definedName name="_xlnm._FilterDatabase" localSheetId="27" hidden="1">餐厅成本呈现!$A$4:$BW$224</definedName>
    <definedName name="_xlnm._FilterDatabase" localSheetId="29" hidden="1">餐厅工资呈现!$A$1:$J$13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nanna</author>
  </authors>
  <commentList>
    <comment ref="W28" authorId="0">
      <text>
        <r>
          <rPr>
            <b/>
            <sz val="9"/>
            <rFont val="宋体"/>
            <charset val="134"/>
          </rPr>
          <t>nanna:</t>
        </r>
        <r>
          <rPr>
            <sz val="9"/>
            <rFont val="宋体"/>
            <charset val="134"/>
          </rPr>
          <t xml:space="preserve">
根据绿云系统开房数量填写</t>
        </r>
      </text>
    </comment>
  </commentList>
</comments>
</file>

<file path=xl/sharedStrings.xml><?xml version="1.0" encoding="utf-8"?>
<sst xmlns="http://schemas.openxmlformats.org/spreadsheetml/2006/main" count="5176" uniqueCount="852">
  <si>
    <t xml:space="preserve"> </t>
  </si>
  <si>
    <t>前台好评提成明细</t>
  </si>
  <si>
    <t>酒店名称：</t>
  </si>
  <si>
    <t>序号</t>
  </si>
  <si>
    <t>人员姓名</t>
  </si>
  <si>
    <t>平台</t>
  </si>
  <si>
    <t>单位</t>
  </si>
  <si>
    <t>单价（根据实际情况填写）</t>
  </si>
  <si>
    <t>金额</t>
  </si>
  <si>
    <t>1号</t>
  </si>
  <si>
    <t>2号</t>
  </si>
  <si>
    <t>3号</t>
  </si>
  <si>
    <t>4号</t>
  </si>
  <si>
    <t>5号</t>
  </si>
  <si>
    <t>6号</t>
  </si>
  <si>
    <t>7号</t>
  </si>
  <si>
    <t>8号</t>
  </si>
  <si>
    <t>9号</t>
  </si>
  <si>
    <t>10号</t>
  </si>
  <si>
    <t>11号</t>
  </si>
  <si>
    <t>12号</t>
  </si>
  <si>
    <t>13号</t>
  </si>
  <si>
    <t>14号</t>
  </si>
  <si>
    <t>15号</t>
  </si>
  <si>
    <t>16号</t>
  </si>
  <si>
    <t>17号</t>
  </si>
  <si>
    <t>18号</t>
  </si>
  <si>
    <t>19号</t>
  </si>
  <si>
    <t>20号</t>
  </si>
  <si>
    <t>21号</t>
  </si>
  <si>
    <t>22号</t>
  </si>
  <si>
    <t>23号</t>
  </si>
  <si>
    <t>24号</t>
  </si>
  <si>
    <t>25号</t>
  </si>
  <si>
    <t>26号</t>
  </si>
  <si>
    <t>27号</t>
  </si>
  <si>
    <t>28号</t>
  </si>
  <si>
    <t>29号</t>
  </si>
  <si>
    <t>30号</t>
  </si>
  <si>
    <t>31号</t>
  </si>
  <si>
    <t>好评数</t>
  </si>
  <si>
    <t>张馨月</t>
  </si>
  <si>
    <t>携程</t>
  </si>
  <si>
    <t>条</t>
  </si>
  <si>
    <t>携程优质</t>
  </si>
  <si>
    <t>黑/金优质</t>
  </si>
  <si>
    <t>去哪儿</t>
  </si>
  <si>
    <t>同程</t>
  </si>
  <si>
    <t>智行</t>
  </si>
  <si>
    <t>抖音</t>
  </si>
  <si>
    <t>美团</t>
  </si>
  <si>
    <t>飞猪</t>
  </si>
  <si>
    <t>官网</t>
  </si>
  <si>
    <t>徐嘉瑜</t>
  </si>
  <si>
    <t>王增</t>
  </si>
  <si>
    <t>翟芮瑶</t>
  </si>
  <si>
    <t>孙源</t>
  </si>
  <si>
    <t>宋雨霏</t>
  </si>
  <si>
    <t xml:space="preserve"> -   </t>
  </si>
  <si>
    <t>李龙梅</t>
  </si>
  <si>
    <t>吴怡</t>
  </si>
  <si>
    <t>邹璇</t>
  </si>
  <si>
    <t>前台好评提成</t>
  </si>
  <si>
    <t>前台二维码提成明细</t>
  </si>
  <si>
    <t>单价</t>
  </si>
  <si>
    <t>出库金额</t>
  </si>
  <si>
    <t>服务次数</t>
  </si>
  <si>
    <t>洗衣</t>
  </si>
  <si>
    <t>次</t>
  </si>
  <si>
    <t>送物品</t>
  </si>
  <si>
    <t>点名表扬</t>
  </si>
  <si>
    <t>违规</t>
  </si>
  <si>
    <t>其他</t>
  </si>
  <si>
    <t>于子杭</t>
  </si>
  <si>
    <t>刘昕</t>
  </si>
  <si>
    <t>前台二维码提成</t>
  </si>
  <si>
    <t>姓名</t>
  </si>
  <si>
    <t>部门</t>
  </si>
  <si>
    <t>岗位</t>
  </si>
  <si>
    <t>是否转正</t>
  </si>
  <si>
    <t>薪等</t>
  </si>
  <si>
    <t>薪级</t>
  </si>
  <si>
    <t>总工资</t>
  </si>
  <si>
    <t>基本工资</t>
  </si>
  <si>
    <t>岗位工资</t>
  </si>
  <si>
    <t>绩效工资</t>
  </si>
  <si>
    <t>出勤天数</t>
  </si>
  <si>
    <t>1号工作时长</t>
  </si>
  <si>
    <t>2号工作时长</t>
  </si>
  <si>
    <t>3号工作时长</t>
  </si>
  <si>
    <t>4号工作时长</t>
  </si>
  <si>
    <t>5号工作时长</t>
  </si>
  <si>
    <t>6号工作时长</t>
  </si>
  <si>
    <t>7号工作时长</t>
  </si>
  <si>
    <t>8号工作时长</t>
  </si>
  <si>
    <t>9号工作时长</t>
  </si>
  <si>
    <t>10号工作时长</t>
  </si>
  <si>
    <t>11号工作时长</t>
  </si>
  <si>
    <t>12号工作时长</t>
  </si>
  <si>
    <t>13号工作时长</t>
  </si>
  <si>
    <t>14号工作时长</t>
  </si>
  <si>
    <t>15号工作时长</t>
  </si>
  <si>
    <t>16号工作时长</t>
  </si>
  <si>
    <t>17号工作时长</t>
  </si>
  <si>
    <t>18号工作时长</t>
  </si>
  <si>
    <t>19号工作时长</t>
  </si>
  <si>
    <t>20号工作时长</t>
  </si>
  <si>
    <t>21号工作时长</t>
  </si>
  <si>
    <t>22号工作时长</t>
  </si>
  <si>
    <t>23号工作时长</t>
  </si>
  <si>
    <t>24号工作时长</t>
  </si>
  <si>
    <t>25号工作时长</t>
  </si>
  <si>
    <t>26号工作时长</t>
  </si>
  <si>
    <t>27号工作时长</t>
  </si>
  <si>
    <t>28号工作时长</t>
  </si>
  <si>
    <t>29号工作时长</t>
  </si>
  <si>
    <t>30号工作时长</t>
  </si>
  <si>
    <t>31号工作时长</t>
  </si>
  <si>
    <t>前厅</t>
  </si>
  <si>
    <t>前台</t>
  </si>
  <si>
    <t>是</t>
  </si>
  <si>
    <t>前厅领班</t>
  </si>
  <si>
    <t>服务经理</t>
  </si>
  <si>
    <t>前台工时</t>
  </si>
  <si>
    <t>前台增值物品出入库表</t>
  </si>
  <si>
    <t>周期：</t>
  </si>
  <si>
    <t>货品名称</t>
  </si>
  <si>
    <t>规格型号</t>
  </si>
  <si>
    <t>上月
结存</t>
  </si>
  <si>
    <t>结存金额</t>
  </si>
  <si>
    <t>入库合计</t>
  </si>
  <si>
    <t>入库金额</t>
  </si>
  <si>
    <t>出库合计</t>
  </si>
  <si>
    <t>结存合计</t>
  </si>
  <si>
    <t>入库</t>
  </si>
  <si>
    <t>出库</t>
  </si>
  <si>
    <t>剃须刀</t>
  </si>
  <si>
    <t>个</t>
  </si>
  <si>
    <t>费用报销单</t>
  </si>
  <si>
    <t>记号笔</t>
  </si>
  <si>
    <t>前台交接本</t>
  </si>
  <si>
    <t>遗留物品登记表</t>
  </si>
  <si>
    <t>前台预抵本</t>
  </si>
  <si>
    <t>会议记录表</t>
  </si>
  <si>
    <t>A4纸2</t>
  </si>
  <si>
    <t>张</t>
  </si>
  <si>
    <t>纸碟子</t>
  </si>
  <si>
    <t>口罩</t>
  </si>
  <si>
    <t>文件盒</t>
  </si>
  <si>
    <t>壁纸刀</t>
  </si>
  <si>
    <t>铅笔</t>
  </si>
  <si>
    <t>拖把</t>
  </si>
  <si>
    <t>削笔刀</t>
  </si>
  <si>
    <t>橡皮筋</t>
  </si>
  <si>
    <t>茉莉花</t>
  </si>
  <si>
    <t>中性笔</t>
  </si>
  <si>
    <t>标签纸</t>
  </si>
  <si>
    <t>订书机</t>
  </si>
  <si>
    <t>订书钉</t>
  </si>
  <si>
    <t>固体胶</t>
  </si>
  <si>
    <t>棉签</t>
  </si>
  <si>
    <t>胶带+切割器</t>
  </si>
  <si>
    <t>回形针</t>
  </si>
  <si>
    <t>卷尺子</t>
  </si>
  <si>
    <t>便利贴</t>
  </si>
  <si>
    <t>A4透明袋</t>
  </si>
  <si>
    <t>文件夹</t>
  </si>
  <si>
    <t>发绳2</t>
  </si>
  <si>
    <t>文件袋</t>
  </si>
  <si>
    <t>燕尾夹</t>
  </si>
  <si>
    <t>笔筒</t>
  </si>
  <si>
    <t>酒精棉签</t>
  </si>
  <si>
    <t>柠檬汁</t>
  </si>
  <si>
    <t>瓶</t>
  </si>
  <si>
    <t>火柴4</t>
  </si>
  <si>
    <t>雨伞</t>
  </si>
  <si>
    <t>档案袋（底2.8）</t>
  </si>
  <si>
    <t>夹板</t>
  </si>
  <si>
    <t>磨砂身份证套宽口</t>
  </si>
  <si>
    <t>指甲刀</t>
  </si>
  <si>
    <t>量杯</t>
  </si>
  <si>
    <t>黑色发卡一字夹</t>
  </si>
  <si>
    <t>创可贴</t>
  </si>
  <si>
    <t>吸水纸</t>
  </si>
  <si>
    <t>片</t>
  </si>
  <si>
    <t>文件盒宽</t>
  </si>
  <si>
    <t>垃圾桶</t>
  </si>
  <si>
    <t>黑色头绳</t>
  </si>
  <si>
    <t>白砂糖</t>
  </si>
  <si>
    <t>杀虫剂</t>
  </si>
  <si>
    <t>果酱</t>
  </si>
  <si>
    <t>果酱2</t>
  </si>
  <si>
    <t>剪指刀</t>
  </si>
  <si>
    <t>挖耳勺</t>
  </si>
  <si>
    <t>笔壳</t>
  </si>
  <si>
    <t>金超霸5号电池</t>
  </si>
  <si>
    <t>沥水垫</t>
  </si>
  <si>
    <t>果盘</t>
  </si>
  <si>
    <t>花露水湿巾</t>
  </si>
  <si>
    <t>椰子糖</t>
  </si>
  <si>
    <t>圣诞节包装纸</t>
  </si>
  <si>
    <t>礼袋</t>
  </si>
  <si>
    <t>泡澡袋</t>
  </si>
  <si>
    <t>话梅糖</t>
  </si>
  <si>
    <t>袋</t>
  </si>
  <si>
    <t>果汁硬糖</t>
  </si>
  <si>
    <t>洗衣牌</t>
  </si>
  <si>
    <t>卸妆湿巾</t>
  </si>
  <si>
    <t>茶包全季小种红</t>
  </si>
  <si>
    <t>包</t>
  </si>
  <si>
    <t>数据线</t>
  </si>
  <si>
    <t>根</t>
  </si>
  <si>
    <t>咖啡糖</t>
  </si>
  <si>
    <t>把</t>
  </si>
  <si>
    <t>洗脸巾</t>
  </si>
  <si>
    <t>咖啡伴侣</t>
  </si>
  <si>
    <t>咖啡豆</t>
  </si>
  <si>
    <t>火柴3</t>
  </si>
  <si>
    <t>盒</t>
  </si>
  <si>
    <t>针线包</t>
  </si>
  <si>
    <t>晨光K35黑色中性笔</t>
  </si>
  <si>
    <t>支</t>
  </si>
  <si>
    <t>印泥</t>
  </si>
  <si>
    <t>剃须刀（酒店）</t>
  </si>
  <si>
    <t>青柠</t>
  </si>
  <si>
    <t>未成年登记本</t>
  </si>
  <si>
    <t>本</t>
  </si>
  <si>
    <t>抽纸盒</t>
  </si>
  <si>
    <t>旺旺果汁</t>
  </si>
  <si>
    <t>一次性纸盘</t>
  </si>
  <si>
    <t>胶带</t>
  </si>
  <si>
    <t>电梯固体香薰</t>
  </si>
  <si>
    <t>转换器</t>
  </si>
  <si>
    <t>束口袋</t>
  </si>
  <si>
    <t>水果软糖</t>
  </si>
  <si>
    <t>酸梅粉</t>
  </si>
  <si>
    <t>气球</t>
  </si>
  <si>
    <t>清风手帕纸</t>
  </si>
  <si>
    <t>香薰石膏</t>
  </si>
  <si>
    <t>锁匙牌</t>
  </si>
  <si>
    <t>桃木梳子</t>
  </si>
  <si>
    <t>去油湿巾</t>
  </si>
  <si>
    <t>海绵拖把</t>
  </si>
  <si>
    <t>多功能工具箱</t>
  </si>
  <si>
    <t>国旗</t>
  </si>
  <si>
    <t>贴画</t>
  </si>
  <si>
    <t>温度计1</t>
  </si>
  <si>
    <t>打气泵</t>
  </si>
  <si>
    <t>丝瓜水</t>
  </si>
  <si>
    <t>果叉</t>
  </si>
  <si>
    <t>护理包</t>
  </si>
  <si>
    <t>小收纳盒</t>
  </si>
  <si>
    <t>大号标签纸</t>
  </si>
  <si>
    <t>超大号收纳箱</t>
  </si>
  <si>
    <t>客遗标签</t>
  </si>
  <si>
    <t>水果叉</t>
  </si>
  <si>
    <t>牙刷</t>
  </si>
  <si>
    <t>眼镜清洁湿巾</t>
  </si>
  <si>
    <t>红色笔</t>
  </si>
  <si>
    <t>电梯按钮保护盖</t>
  </si>
  <si>
    <t>行李牌</t>
  </si>
  <si>
    <t>漱口水</t>
  </si>
  <si>
    <t>胶带切割器</t>
  </si>
  <si>
    <t>蒸汽眼罩</t>
  </si>
  <si>
    <t>纸杯</t>
  </si>
  <si>
    <t>儿童拖鞋</t>
  </si>
  <si>
    <t>浴帽</t>
  </si>
  <si>
    <t>牛皮纸档案袋</t>
  </si>
  <si>
    <t>浴缸套</t>
  </si>
  <si>
    <t>身体乳2</t>
  </si>
  <si>
    <t>耳机</t>
  </si>
  <si>
    <t>墨粉</t>
  </si>
  <si>
    <t>国标转换器</t>
  </si>
  <si>
    <t>耳塞</t>
  </si>
  <si>
    <t>叉子</t>
  </si>
  <si>
    <t>奶球1</t>
  </si>
  <si>
    <t>奶球2</t>
  </si>
  <si>
    <t>茉莉雪球</t>
  </si>
  <si>
    <t>抽屉挡板</t>
  </si>
  <si>
    <t>泡澡球4</t>
  </si>
  <si>
    <t>驱蚊凝胶</t>
  </si>
  <si>
    <t>消毒湿巾</t>
  </si>
  <si>
    <t>碳粉</t>
  </si>
  <si>
    <t>a4塑封膜</t>
  </si>
  <si>
    <t>冷饮桶</t>
  </si>
  <si>
    <t>白板</t>
  </si>
  <si>
    <t>明信片</t>
  </si>
  <si>
    <t>垃圾袋</t>
  </si>
  <si>
    <t>冷饮桶+水龙头</t>
  </si>
  <si>
    <t>鞋架</t>
  </si>
  <si>
    <t>便签纸</t>
  </si>
  <si>
    <t>挂钩</t>
  </si>
  <si>
    <t>梳子</t>
  </si>
  <si>
    <t>拖鞋</t>
  </si>
  <si>
    <t>双</t>
  </si>
  <si>
    <t>工业吹风机</t>
  </si>
  <si>
    <t>茶壶底座</t>
  </si>
  <si>
    <t>小商品成本</t>
  </si>
  <si>
    <t>前台会员卡提成明细</t>
  </si>
  <si>
    <t>张数</t>
  </si>
  <si>
    <t>金卡</t>
  </si>
  <si>
    <t>银卡</t>
  </si>
  <si>
    <t>白金卡</t>
  </si>
  <si>
    <t>会员卡提成</t>
  </si>
  <si>
    <t>前台小商品出入库表</t>
  </si>
  <si>
    <t>结存</t>
  </si>
  <si>
    <t>洗手液</t>
  </si>
  <si>
    <t>洗发水</t>
  </si>
  <si>
    <t>护发素</t>
  </si>
  <si>
    <t>沐浴露</t>
  </si>
  <si>
    <t>乳胶枕</t>
  </si>
  <si>
    <t>羽绒枕</t>
  </si>
  <si>
    <t>香薰液</t>
  </si>
  <si>
    <t>客房耗材物品出入库表</t>
  </si>
  <si>
    <t>牙膏</t>
  </si>
  <si>
    <t>儿童牙刷</t>
  </si>
  <si>
    <t>洗衣液</t>
  </si>
  <si>
    <t>洗衣液补充液</t>
  </si>
  <si>
    <t>桶</t>
  </si>
  <si>
    <t>环保袋</t>
  </si>
  <si>
    <t>红茶</t>
  </si>
  <si>
    <t>绿茶</t>
  </si>
  <si>
    <t>洗发液</t>
  </si>
  <si>
    <t>沐浴液</t>
  </si>
  <si>
    <t>厕纸</t>
  </si>
  <si>
    <t>卷</t>
  </si>
  <si>
    <t>抽纸</t>
  </si>
  <si>
    <t>矿泉水</t>
  </si>
  <si>
    <t>大黑垃圾袋</t>
  </si>
  <si>
    <t>小白垃圾袋</t>
  </si>
  <si>
    <t>茶颜悦色绿茶</t>
  </si>
  <si>
    <t>茶颜悦色红茶</t>
  </si>
  <si>
    <t>饮料可乐雪碧</t>
  </si>
  <si>
    <t>咖啡</t>
  </si>
  <si>
    <t xml:space="preserve">饮料维他水溶     </t>
  </si>
  <si>
    <t>合计</t>
  </si>
  <si>
    <t>填写说明：</t>
  </si>
  <si>
    <t>倍数</t>
  </si>
  <si>
    <t>1、倍数为做房1间房核算提成时算多少间房，比如做普通房1间算1间，亲子房一间算1.5间；</t>
  </si>
  <si>
    <t>日期</t>
  </si>
  <si>
    <t>提成标准（根据实际情况填写）</t>
  </si>
  <si>
    <t>班次</t>
  </si>
  <si>
    <t>标准房型</t>
  </si>
  <si>
    <t>双床</t>
  </si>
  <si>
    <t>浴缸房</t>
  </si>
  <si>
    <t>亲子房</t>
  </si>
  <si>
    <t>大清</t>
  </si>
  <si>
    <t>套房</t>
  </si>
  <si>
    <t>跨楼</t>
  </si>
  <si>
    <t>做房数量合计</t>
  </si>
  <si>
    <t>做房基数（根据实际情况填写）</t>
  </si>
  <si>
    <t>全天房提成金额</t>
  </si>
  <si>
    <t>钟点房数量</t>
  </si>
  <si>
    <t>钟点房提成金额</t>
  </si>
  <si>
    <t>提成总金额</t>
  </si>
  <si>
    <t>备注</t>
  </si>
  <si>
    <t>2、班次必须根据实际排班情况填写上班班次，如中班、晚班；</t>
  </si>
  <si>
    <t>韩愈</t>
  </si>
  <si>
    <t>客房经理</t>
  </si>
  <si>
    <t>A</t>
  </si>
  <si>
    <t>3、做房基数根据制度基数填写，如跨楼层基数与不跨楼层基数不一致。</t>
  </si>
  <si>
    <t>4、提成金额已固定公式，无需填写，但须首查核对；</t>
  </si>
  <si>
    <t>客房人员提成金额汇总</t>
  </si>
  <si>
    <t>客房人员姓名</t>
  </si>
  <si>
    <t>提成金额</t>
  </si>
  <si>
    <t>张凯娜</t>
  </si>
  <si>
    <t>初立玲</t>
  </si>
  <si>
    <t>姜敏</t>
  </si>
  <si>
    <t>张淑萍</t>
  </si>
  <si>
    <t>姜洪英</t>
  </si>
  <si>
    <t>石见见</t>
  </si>
  <si>
    <t>王小宁</t>
  </si>
  <si>
    <t>丁春艳</t>
  </si>
  <si>
    <t>沈庆玲</t>
  </si>
  <si>
    <t>曹薇</t>
  </si>
  <si>
    <t>做房数合计</t>
  </si>
  <si>
    <t>实际开房数</t>
  </si>
  <si>
    <t>差异</t>
  </si>
  <si>
    <t>客房主管</t>
  </si>
  <si>
    <t>客房服务员</t>
  </si>
  <si>
    <t>布草洗涤表</t>
  </si>
  <si>
    <t>洗涤合计</t>
  </si>
  <si>
    <t>（大、小）床单</t>
  </si>
  <si>
    <t>（大、小被罩）</t>
  </si>
  <si>
    <t>枕套</t>
  </si>
  <si>
    <t>浴巾</t>
  </si>
  <si>
    <t>毛巾</t>
  </si>
  <si>
    <t>方巾</t>
  </si>
  <si>
    <t>地巾</t>
  </si>
  <si>
    <t>浴袍</t>
  </si>
  <si>
    <t>保护垫</t>
  </si>
  <si>
    <t>被芯</t>
  </si>
  <si>
    <t>枕芯</t>
  </si>
  <si>
    <t>重污处理</t>
  </si>
  <si>
    <t>洗涤费</t>
  </si>
  <si>
    <t>客房</t>
  </si>
  <si>
    <t>经理</t>
  </si>
  <si>
    <t>领班</t>
  </si>
  <si>
    <t>于凤春</t>
  </si>
  <si>
    <t>PA</t>
  </si>
  <si>
    <t>餐厅物品出入库明细</t>
  </si>
  <si>
    <t>刺黄瓜</t>
  </si>
  <si>
    <t>斤</t>
  </si>
  <si>
    <t>西红柿</t>
  </si>
  <si>
    <t>大头菜</t>
  </si>
  <si>
    <t>有机花菜</t>
  </si>
  <si>
    <t>西兰花</t>
  </si>
  <si>
    <t>大土豆</t>
  </si>
  <si>
    <t>地瓜</t>
  </si>
  <si>
    <t>山药肉</t>
  </si>
  <si>
    <t>莴笋肉</t>
  </si>
  <si>
    <t>贝贝南瓜</t>
  </si>
  <si>
    <t>油麦菜</t>
  </si>
  <si>
    <t>油菜</t>
  </si>
  <si>
    <t>白菜</t>
  </si>
  <si>
    <t>小白菜</t>
  </si>
  <si>
    <t>娃娃菜</t>
  </si>
  <si>
    <t>菜心</t>
  </si>
  <si>
    <t>紫生菜</t>
  </si>
  <si>
    <t>苦菊</t>
  </si>
  <si>
    <t>香菜</t>
  </si>
  <si>
    <t>香葱</t>
  </si>
  <si>
    <t>大葱</t>
  </si>
  <si>
    <t>胡萝卜</t>
  </si>
  <si>
    <t>菜豆</t>
  </si>
  <si>
    <t>芸豆</t>
  </si>
  <si>
    <t>大蒜肉</t>
  </si>
  <si>
    <t>苦瓜</t>
  </si>
  <si>
    <t>茄子</t>
  </si>
  <si>
    <t>香菇</t>
  </si>
  <si>
    <t>尖椒</t>
  </si>
  <si>
    <t>韭菜</t>
  </si>
  <si>
    <t>蒜苔</t>
  </si>
  <si>
    <t>韭菜苔</t>
  </si>
  <si>
    <t>田七</t>
  </si>
  <si>
    <t>白萝卜</t>
  </si>
  <si>
    <t>青萝卜</t>
  </si>
  <si>
    <t>樱桃萝卜</t>
  </si>
  <si>
    <t>青杭椒</t>
  </si>
  <si>
    <t>紫甘蓝</t>
  </si>
  <si>
    <t>马家沟芹菜</t>
  </si>
  <si>
    <t>洋葱</t>
  </si>
  <si>
    <t>芹菜</t>
  </si>
  <si>
    <t>西芹</t>
  </si>
  <si>
    <t>角瓜</t>
  </si>
  <si>
    <t>蟹味菇</t>
  </si>
  <si>
    <t>球生菜</t>
  </si>
  <si>
    <t>姜</t>
  </si>
  <si>
    <t>秋葵</t>
  </si>
  <si>
    <t>香椿</t>
  </si>
  <si>
    <t>蒜苗</t>
  </si>
  <si>
    <t>冬瓜</t>
  </si>
  <si>
    <t>60玉米段</t>
  </si>
  <si>
    <t>件</t>
  </si>
  <si>
    <t>排骨段</t>
  </si>
  <si>
    <t>牛肉丸</t>
  </si>
  <si>
    <t>小五郎</t>
  </si>
  <si>
    <t>白腰花肠</t>
  </si>
  <si>
    <t>龙虾排</t>
  </si>
  <si>
    <t>鱼豆腐</t>
  </si>
  <si>
    <t>黄焖鸡块</t>
  </si>
  <si>
    <t>小酥肉</t>
  </si>
  <si>
    <t>盐酥鸡</t>
  </si>
  <si>
    <t>亲亲肠</t>
  </si>
  <si>
    <t>豆沙包</t>
  </si>
  <si>
    <t>小笼包</t>
  </si>
  <si>
    <t>油条</t>
  </si>
  <si>
    <t>地瓜丸</t>
  </si>
  <si>
    <t>花卷</t>
  </si>
  <si>
    <t>小馄饨</t>
  </si>
  <si>
    <t>炸带鱼</t>
  </si>
  <si>
    <t>扣肉</t>
  </si>
  <si>
    <t>慕斯蛋糕</t>
  </si>
  <si>
    <t>瑞士卷</t>
  </si>
  <si>
    <t>蒙古肉</t>
  </si>
  <si>
    <t>粽子</t>
  </si>
  <si>
    <t>芝麻球</t>
  </si>
  <si>
    <t>蛋挞</t>
  </si>
  <si>
    <t>蒸花生</t>
  </si>
  <si>
    <t>虾仁</t>
  </si>
  <si>
    <t>带皮五花肉</t>
  </si>
  <si>
    <t>翅根</t>
  </si>
  <si>
    <t>鸡脖子</t>
  </si>
  <si>
    <t>黑椒鸡块</t>
  </si>
  <si>
    <t>卡通包</t>
  </si>
  <si>
    <t>薯条</t>
  </si>
  <si>
    <t>花生</t>
  </si>
  <si>
    <t>洋葱圈</t>
  </si>
  <si>
    <t>鲜牛奶</t>
  </si>
  <si>
    <t>酸奶</t>
  </si>
  <si>
    <t>果味酸奶</t>
  </si>
  <si>
    <t>汇源果汁100%</t>
  </si>
  <si>
    <t>汇源2.5</t>
  </si>
  <si>
    <t>吐司面包</t>
  </si>
  <si>
    <t>餐包</t>
  </si>
  <si>
    <t>蔓越莓饼干</t>
  </si>
  <si>
    <t>巧克力饼干</t>
  </si>
  <si>
    <t>夹心饼干</t>
  </si>
  <si>
    <t>曲奇</t>
  </si>
  <si>
    <t>甜品纸杯</t>
  </si>
  <si>
    <t>西瓜</t>
  </si>
  <si>
    <t>香蕉</t>
  </si>
  <si>
    <t>哈密瓜</t>
  </si>
  <si>
    <t>苹果</t>
  </si>
  <si>
    <t>黄圣女果</t>
  </si>
  <si>
    <t>柠檬</t>
  </si>
  <si>
    <t>蓝莓</t>
  </si>
  <si>
    <t>人参果</t>
  </si>
  <si>
    <t>沃柑</t>
  </si>
  <si>
    <t>油桃</t>
  </si>
  <si>
    <t>火龙果</t>
  </si>
  <si>
    <t>绿圣女果</t>
  </si>
  <si>
    <t>红圣女果</t>
  </si>
  <si>
    <t>凤梨</t>
  </si>
  <si>
    <t>荔枝</t>
  </si>
  <si>
    <t>盐</t>
  </si>
  <si>
    <t>料酒</t>
  </si>
  <si>
    <t>鸡蛋</t>
  </si>
  <si>
    <t>30斤</t>
  </si>
  <si>
    <t>筐</t>
  </si>
  <si>
    <t>咸鸭蛋</t>
  </si>
  <si>
    <t>鹌鹑蛋</t>
  </si>
  <si>
    <t>皮蛋肠</t>
  </si>
  <si>
    <t>蒜肠</t>
  </si>
  <si>
    <t>色拉油</t>
  </si>
  <si>
    <t>40斤</t>
  </si>
  <si>
    <t>蛤</t>
  </si>
  <si>
    <t>猪肝</t>
  </si>
  <si>
    <t>扇贝</t>
  </si>
  <si>
    <t>山楂罐头</t>
  </si>
  <si>
    <t>广式腊肠</t>
  </si>
  <si>
    <t>四川腊肉</t>
  </si>
  <si>
    <t>熟猪耳</t>
  </si>
  <si>
    <t>猪头肉</t>
  </si>
  <si>
    <t>豆腐乳</t>
  </si>
  <si>
    <t>甜鸡酱</t>
  </si>
  <si>
    <t>肉沫</t>
  </si>
  <si>
    <t>香油</t>
  </si>
  <si>
    <t>胡椒粉</t>
  </si>
  <si>
    <t>沙拉汁</t>
  </si>
  <si>
    <t>木耳</t>
  </si>
  <si>
    <t>芽菜</t>
  </si>
  <si>
    <t>方便面</t>
  </si>
  <si>
    <t>酱八宝</t>
  </si>
  <si>
    <t>榨菜丝</t>
  </si>
  <si>
    <t>玉米粒</t>
  </si>
  <si>
    <t>白醋</t>
  </si>
  <si>
    <t>核桃仁</t>
  </si>
  <si>
    <t>葡萄干</t>
  </si>
  <si>
    <t>小米</t>
  </si>
  <si>
    <t>大保鲜膜</t>
  </si>
  <si>
    <t>小保鲜膜</t>
  </si>
  <si>
    <t>洗洁精</t>
  </si>
  <si>
    <t>火碱</t>
  </si>
  <si>
    <t>大枣</t>
  </si>
  <si>
    <t>老干妈</t>
  </si>
  <si>
    <t>番茄沙司</t>
  </si>
  <si>
    <t>黄豆酱</t>
  </si>
  <si>
    <t>花生米</t>
  </si>
  <si>
    <t>小鱼花生</t>
  </si>
  <si>
    <t>泡椒海带</t>
  </si>
  <si>
    <t>虾皮</t>
  </si>
  <si>
    <t>酸菜鱼菜</t>
  </si>
  <si>
    <t>馒头</t>
  </si>
  <si>
    <t>油火烧</t>
  </si>
  <si>
    <t>花椒油</t>
  </si>
  <si>
    <t>茶叶蛋料包</t>
  </si>
  <si>
    <t>紫菜</t>
  </si>
  <si>
    <t>米线</t>
  </si>
  <si>
    <t>味精</t>
  </si>
  <si>
    <t>粉蒸粉</t>
  </si>
  <si>
    <t>陈醋</t>
  </si>
  <si>
    <t>干辣椒段</t>
  </si>
  <si>
    <t>玉米面</t>
  </si>
  <si>
    <t>海鲜酱油</t>
  </si>
  <si>
    <t>醋精</t>
  </si>
  <si>
    <t>大喜牛肉粉</t>
  </si>
  <si>
    <t>小苏打</t>
  </si>
  <si>
    <t>冷面</t>
  </si>
  <si>
    <t>大米</t>
  </si>
  <si>
    <t>香蕉干</t>
  </si>
  <si>
    <t>火锅底料</t>
  </si>
  <si>
    <t>鲤鱼</t>
  </si>
  <si>
    <t>8条</t>
  </si>
  <si>
    <t>一次性手套</t>
  </si>
  <si>
    <t>郫县豆瓣</t>
  </si>
  <si>
    <t>孜然粒</t>
  </si>
  <si>
    <t>芝麻</t>
  </si>
  <si>
    <t>一品香酱油</t>
  </si>
  <si>
    <t>鸡精</t>
  </si>
  <si>
    <t>红腰豆</t>
  </si>
  <si>
    <t>生粉</t>
  </si>
  <si>
    <t>豌豆粒</t>
  </si>
  <si>
    <t>红咸菜</t>
  </si>
  <si>
    <t>方火腿</t>
  </si>
  <si>
    <t>粉丝</t>
  </si>
  <si>
    <t>桔梗</t>
  </si>
  <si>
    <t>剁椒酱</t>
  </si>
  <si>
    <t>海米</t>
  </si>
  <si>
    <t>面条</t>
  </si>
  <si>
    <t>猪棒骨</t>
  </si>
  <si>
    <t>猪肉</t>
  </si>
  <si>
    <t>豆腐</t>
  </si>
  <si>
    <t>豆皮</t>
  </si>
  <si>
    <t>用餐人数明细</t>
  </si>
  <si>
    <t>单价（根据时间情况填写）</t>
  </si>
  <si>
    <t>人数</t>
  </si>
  <si>
    <t>客餐</t>
  </si>
  <si>
    <t>份</t>
  </si>
  <si>
    <t>员工餐</t>
  </si>
  <si>
    <t>下午茶</t>
  </si>
  <si>
    <t>天</t>
  </si>
  <si>
    <t>用餐人数</t>
  </si>
  <si>
    <t>孟庆龙</t>
  </si>
  <si>
    <t>餐厅</t>
  </si>
  <si>
    <t>厨师</t>
  </si>
  <si>
    <t>梁晨</t>
  </si>
  <si>
    <t>栾玉艳</t>
  </si>
  <si>
    <t>明档</t>
  </si>
  <si>
    <t>唐艳</t>
  </si>
  <si>
    <t>固定成本表</t>
  </si>
  <si>
    <t>项目</t>
  </si>
  <si>
    <t>总额</t>
  </si>
  <si>
    <t>天数</t>
  </si>
  <si>
    <t>用量</t>
  </si>
  <si>
    <t>剩余金额</t>
  </si>
  <si>
    <t>1号金额</t>
  </si>
  <si>
    <t>2号金额</t>
  </si>
  <si>
    <t>3号金额</t>
  </si>
  <si>
    <t>4号金额</t>
  </si>
  <si>
    <t>5号金额</t>
  </si>
  <si>
    <t>6号金额</t>
  </si>
  <si>
    <t>7号金额</t>
  </si>
  <si>
    <t>8号金额</t>
  </si>
  <si>
    <t>9号金额</t>
  </si>
  <si>
    <t>10号金额</t>
  </si>
  <si>
    <t>11号金额</t>
  </si>
  <si>
    <t>12号金额</t>
  </si>
  <si>
    <t>13号金额</t>
  </si>
  <si>
    <t>14号金额</t>
  </si>
  <si>
    <t>15号金额</t>
  </si>
  <si>
    <t>16号金额</t>
  </si>
  <si>
    <t>17号金额</t>
  </si>
  <si>
    <t>18号金额</t>
  </si>
  <si>
    <t>19号金额</t>
  </si>
  <si>
    <t>20号金额</t>
  </si>
  <si>
    <t>21号金额</t>
  </si>
  <si>
    <t>22号金额</t>
  </si>
  <si>
    <t>23号金额</t>
  </si>
  <si>
    <t>24号金额</t>
  </si>
  <si>
    <t>25号金额</t>
  </si>
  <si>
    <t>26号金额</t>
  </si>
  <si>
    <t>27号金额</t>
  </si>
  <si>
    <t>28号金额</t>
  </si>
  <si>
    <t>29号金额</t>
  </si>
  <si>
    <t>30号金额</t>
  </si>
  <si>
    <t>31号金额</t>
  </si>
  <si>
    <t>美团推广费</t>
  </si>
  <si>
    <t>携程推广费</t>
  </si>
  <si>
    <t>抖音推广费</t>
  </si>
  <si>
    <t>去哪推广费</t>
  </si>
  <si>
    <t>同城推广费</t>
  </si>
  <si>
    <t>飞猪推广费</t>
  </si>
  <si>
    <t>耗能表</t>
  </si>
  <si>
    <t>月底表数/停车费余额</t>
  </si>
  <si>
    <t>电表</t>
  </si>
  <si>
    <t>电表数</t>
  </si>
  <si>
    <t>电费</t>
  </si>
  <si>
    <t>度</t>
  </si>
  <si>
    <t>水费</t>
  </si>
  <si>
    <t>吨</t>
  </si>
  <si>
    <t>总面积</t>
  </si>
  <si>
    <t>月总额(根据实际情况填写）</t>
  </si>
  <si>
    <t>租金</t>
  </si>
  <si>
    <t>平方</t>
  </si>
  <si>
    <t>物业费</t>
  </si>
  <si>
    <t>保险</t>
  </si>
  <si>
    <t>月</t>
  </si>
  <si>
    <t>网费</t>
  </si>
  <si>
    <t>通讯费</t>
  </si>
  <si>
    <t>社保公积金</t>
  </si>
  <si>
    <t>李祯</t>
  </si>
  <si>
    <t>运营</t>
  </si>
  <si>
    <t>店总</t>
  </si>
  <si>
    <t>苏梦洁</t>
  </si>
  <si>
    <t>店助</t>
  </si>
  <si>
    <t>1号出库</t>
  </si>
  <si>
    <t>月底表数</t>
  </si>
  <si>
    <t>水费合计</t>
  </si>
  <si>
    <r>
      <rPr>
        <b/>
        <sz val="11"/>
        <color indexed="8"/>
        <rFont val="微软雅黑"/>
        <charset val="134"/>
      </rPr>
      <t>实绩</t>
    </r>
  </si>
  <si>
    <r>
      <rPr>
        <b/>
        <sz val="11"/>
        <color indexed="8"/>
        <rFont val="微软雅黑"/>
        <charset val="134"/>
      </rPr>
      <t>预定</t>
    </r>
  </si>
  <si>
    <r>
      <rPr>
        <b/>
        <sz val="11"/>
        <color indexed="8"/>
        <rFont val="微软雅黑"/>
        <charset val="134"/>
      </rPr>
      <t>达成率</t>
    </r>
  </si>
  <si>
    <t>入住间数</t>
  </si>
  <si>
    <t>平均房价</t>
  </si>
  <si>
    <t>RevPar</t>
  </si>
  <si>
    <t>房费收入</t>
  </si>
  <si>
    <t>迷你吧收入</t>
  </si>
  <si>
    <t>餐费收入</t>
  </si>
  <si>
    <t>其他业务收入</t>
  </si>
  <si>
    <t>专项大修</t>
  </si>
  <si>
    <t>日常维修</t>
  </si>
  <si>
    <t>办公用品</t>
  </si>
  <si>
    <t>银行手续费</t>
  </si>
  <si>
    <t>业务招待费</t>
  </si>
  <si>
    <t>车辆费用</t>
  </si>
  <si>
    <t>差旅费</t>
  </si>
  <si>
    <t>福利费</t>
  </si>
  <si>
    <t>POS，微信及其他手续费</t>
  </si>
  <si>
    <t>实际间数</t>
  </si>
  <si>
    <t>收入合计</t>
  </si>
  <si>
    <t>客房耗材</t>
  </si>
  <si>
    <t>前台增值物品</t>
  </si>
  <si>
    <t>天然气费</t>
  </si>
  <si>
    <t>停车费</t>
  </si>
  <si>
    <t>车贷</t>
  </si>
  <si>
    <t>利息</t>
  </si>
  <si>
    <t>商业保险费</t>
  </si>
  <si>
    <t>有线网络费</t>
  </si>
  <si>
    <t>品牌服务费</t>
  </si>
  <si>
    <t>增值税费</t>
  </si>
  <si>
    <t>成本合计</t>
  </si>
  <si>
    <t>推广费</t>
  </si>
  <si>
    <t>费用合计</t>
  </si>
  <si>
    <t>客房提成</t>
  </si>
  <si>
    <t>客房工资</t>
  </si>
  <si>
    <t>前台工资</t>
  </si>
  <si>
    <t>餐厅工资</t>
  </si>
  <si>
    <t>管理层工资</t>
  </si>
  <si>
    <t>社保及公积金</t>
  </si>
  <si>
    <t>人工成本合计</t>
  </si>
  <si>
    <t>毛利</t>
  </si>
  <si>
    <t>用工时间</t>
  </si>
  <si>
    <t>单位时间附加值</t>
  </si>
  <si>
    <t>用工人数</t>
  </si>
  <si>
    <t>人员时间附加值</t>
  </si>
  <si>
    <t>单位时间核算表</t>
  </si>
  <si>
    <t>制表：</t>
  </si>
  <si>
    <t>单位：元</t>
  </si>
  <si>
    <t>计算公式</t>
  </si>
  <si>
    <t>类别</t>
  </si>
  <si>
    <t>（1）预定业绩</t>
  </si>
  <si>
    <t>占收入比</t>
  </si>
  <si>
    <t>（2）实绩业绩</t>
  </si>
  <si>
    <t>2024.5月预算</t>
  </si>
  <si>
    <t>收入</t>
  </si>
  <si>
    <t>A1</t>
  </si>
  <si>
    <t>A2</t>
  </si>
  <si>
    <t>A3</t>
  </si>
  <si>
    <t>A4</t>
  </si>
  <si>
    <t>其他收入</t>
  </si>
  <si>
    <t>A5</t>
  </si>
  <si>
    <t>A=A1+A2+……</t>
  </si>
  <si>
    <t>变动费用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</si>
  <si>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</si>
  <si>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</si>
  <si>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</si>
  <si>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</si>
  <si>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</si>
  <si>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</si>
  <si>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</si>
  <si>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</si>
  <si>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</si>
  <si>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</si>
  <si>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</si>
  <si>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</si>
  <si>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</si>
  <si>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</si>
  <si>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</si>
  <si>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</si>
  <si>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</si>
  <si>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B=B1+B2+……</t>
  </si>
  <si>
    <t>固定费用</t>
  </si>
  <si>
    <t>C1</t>
  </si>
  <si>
    <t>员工宿舍房租</t>
  </si>
  <si>
    <t>C2</t>
  </si>
  <si>
    <t>C3</t>
  </si>
  <si>
    <t>C4</t>
  </si>
  <si>
    <t>C5</t>
  </si>
  <si>
    <t>C=C1+C2+…...</t>
  </si>
  <si>
    <t>其他费用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</si>
  <si>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</si>
  <si>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</si>
  <si>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</si>
  <si>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</si>
  <si>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</si>
  <si>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</si>
  <si>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</si>
  <si>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</si>
  <si>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</si>
  <si>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</si>
  <si>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D=D1+D2+......</t>
  </si>
  <si>
    <t>附加价值（利润）</t>
  </si>
  <si>
    <t>D=A-B-C</t>
  </si>
  <si>
    <t>平均总投入人员（个）</t>
  </si>
  <si>
    <t>正常人员</t>
  </si>
  <si>
    <t>E1</t>
  </si>
  <si>
    <t>增援人员</t>
  </si>
  <si>
    <t>E2</t>
  </si>
  <si>
    <t>总人员合计</t>
  </si>
  <si>
    <t>E=E1+E2</t>
  </si>
  <si>
    <t>总时间（小时）</t>
  </si>
  <si>
    <t>正常时间</t>
  </si>
  <si>
    <t>F1</t>
  </si>
  <si>
    <t>加班时间</t>
  </si>
  <si>
    <t>F2</t>
  </si>
  <si>
    <t>移动时间</t>
  </si>
  <si>
    <t>F3</t>
  </si>
  <si>
    <t>分摊时间</t>
  </si>
  <si>
    <t>F4</t>
  </si>
  <si>
    <t>总时间合计</t>
  </si>
  <si>
    <t>F=F1+F2+F3+F4</t>
  </si>
  <si>
    <t>单位时间附加价值（元/小时）</t>
  </si>
  <si>
    <t>G=D/F</t>
  </si>
  <si>
    <t>销售额/员工人数</t>
  </si>
  <si>
    <t>公式</t>
  </si>
  <si>
    <t>月预算</t>
  </si>
  <si>
    <t>预定业绩</t>
  </si>
  <si>
    <t>实绩业绩</t>
  </si>
  <si>
    <t>差异金额</t>
  </si>
  <si>
    <t>差异占比</t>
  </si>
  <si>
    <t>其他关键项</t>
  </si>
  <si>
    <t>出租间数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</si>
  <si>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</si>
  <si>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</si>
  <si>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</si>
  <si>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</si>
  <si>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</si>
  <si>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</si>
  <si>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</si>
  <si>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</si>
  <si>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</si>
  <si>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</si>
  <si>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</si>
  <si>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B=B1+B2+...</t>
  </si>
  <si>
    <t>D=A-B</t>
  </si>
  <si>
    <t>F5</t>
  </si>
  <si>
    <t>F=F1+F2+F3+F5</t>
  </si>
  <si>
    <t>总人力成本</t>
  </si>
  <si>
    <t>工资+福利+社保</t>
  </si>
  <si>
    <t>税金</t>
  </si>
  <si>
    <t>利润</t>
  </si>
  <si>
    <t>利润率</t>
  </si>
  <si>
    <t>客房工时</t>
  </si>
  <si>
    <t>餐厅工时</t>
  </si>
  <si>
    <t>管理层工时</t>
  </si>
  <si>
    <t>工时合计</t>
  </si>
  <si>
    <t>1.1-3</t>
  </si>
  <si>
    <t>1.4-10</t>
  </si>
  <si>
    <t>1.11-17</t>
  </si>
  <si>
    <t>1.18-24</t>
  </si>
  <si>
    <t>1.25-31</t>
  </si>
  <si>
    <t>不含房租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</si>
</sst>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.00_);[Red]\(0.00\)"/>
    <numFmt numFmtId="179" formatCode="#,##0.00_ "/>
    <numFmt numFmtId="180" formatCode="0_ "/>
    <numFmt numFmtId="181" formatCode="m&quot;月&quot;d&quot;日&quot;;@"/>
    <numFmt numFmtId="182" formatCode="_ * #,##0.00_ ;_ * \-#,##0.00_ "/>
  </numFmts>
  <fonts count="76">
    <font>
      <sz val="11"/>
      <color theme="1"/>
      <name val="宋体"/>
      <charset val="134"/>
      <scheme val="minor"/>
    </font>
    <font>
      <sz val="11"/>
      <color rgb="FF417FF9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417FF9"/>
      <name val="宋体"/>
      <charset val="134"/>
    </font>
    <font>
      <sz val="10"/>
      <name val="微软雅黑"/>
      <charset val="134"/>
    </font>
    <font>
      <b/>
      <sz val="10"/>
      <name val="微软雅黑"/>
      <charset val="134"/>
    </font>
    <font>
      <sz val="10"/>
      <color rgb="FFFFFFFF"/>
      <name val="微软雅黑"/>
      <charset val="134"/>
    </font>
    <font>
      <sz val="11"/>
      <color rgb="FF333333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9"/>
      <color rgb="FF000000"/>
      <name val="微软雅黑"/>
      <charset val="134"/>
    </font>
    <font>
      <sz val="9"/>
      <name val="微软雅黑"/>
      <charset val="134"/>
    </font>
    <font>
      <sz val="10"/>
      <name val="宋体"/>
      <charset val="134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name val="SimSun"/>
      <charset val="134"/>
    </font>
    <font>
      <sz val="10"/>
      <color theme="1"/>
      <name val="SimSun"/>
      <charset val="134"/>
    </font>
    <font>
      <sz val="10"/>
      <color theme="1"/>
      <name val="宋体"/>
      <charset val="134"/>
      <scheme val="minor"/>
    </font>
    <font>
      <sz val="10"/>
      <color rgb="FF000000"/>
      <name val="SimSun"/>
      <charset val="134"/>
    </font>
    <font>
      <sz val="10"/>
      <color rgb="FF000000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</font>
    <font>
      <b/>
      <sz val="18"/>
      <name val="微软雅黑"/>
      <charset val="134"/>
    </font>
    <font>
      <sz val="10"/>
      <color theme="0"/>
      <name val="微软雅黑"/>
      <charset val="134"/>
    </font>
    <font>
      <sz val="10"/>
      <color theme="1" tint="0.04999"/>
      <name val="微软雅黑"/>
      <charset val="134"/>
    </font>
    <font>
      <sz val="10"/>
      <color theme="1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b/>
      <sz val="10"/>
      <name val="宋体"/>
      <charset val="134"/>
      <scheme val="minor"/>
    </font>
    <font>
      <b/>
      <sz val="10"/>
      <name val="宋体"/>
      <charset val="134"/>
    </font>
    <font>
      <sz val="10"/>
      <color rgb="FF000000"/>
      <name val="微软雅黑"/>
      <charset val="134"/>
    </font>
    <font>
      <sz val="9"/>
      <color rgb="FFFFFFFF"/>
      <name val="微软雅黑"/>
      <charset val="134"/>
    </font>
    <font>
      <b/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0"/>
    </font>
    <font>
      <sz val="10"/>
      <name val="Microsoft YaHei"/>
      <charset val="134"/>
    </font>
    <font>
      <sz val="10"/>
      <color rgb="FF102247"/>
      <name val="BlinkMacSystemFont"/>
      <charset val="134"/>
    </font>
    <font>
      <b/>
      <sz val="10"/>
      <name val="Microsoft YaHei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8"/>
      <color rgb="FF000000"/>
      <name val="微软雅黑"/>
      <charset val="134"/>
    </font>
    <font>
      <b/>
      <sz val="10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6"/>
      <name val="微软雅黑"/>
      <charset val="134"/>
    </font>
    <font>
      <b/>
      <sz val="11"/>
      <name val="宋体"/>
      <charset val="134"/>
    </font>
    <font>
      <sz val="10"/>
      <color rgb="FFFFFFFF"/>
      <name val="宋体"/>
      <charset val="134"/>
      <scheme val="minor"/>
    </font>
    <font>
      <b/>
      <sz val="11"/>
      <color rgb="FF000000"/>
      <name val="宋体"/>
      <charset val="134"/>
    </font>
    <font>
      <b/>
      <sz val="10"/>
      <color rgb="FF000000"/>
      <name val="宋体"/>
      <charset val="134"/>
    </font>
    <font>
      <sz val="9"/>
      <color rgb="FF042E44"/>
      <name val="宋体"/>
      <charset val="134"/>
      <scheme val="minor"/>
    </font>
    <font>
      <sz val="10"/>
      <color theme="1"/>
      <name val="宋体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8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58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5"/>
        <bgColor rgb="FF000000"/>
      </patternFill>
    </fill>
    <fill>
      <patternFill patternType="solid">
        <fgColor rgb="FFDCE6F2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DEB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F5C400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88825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55C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theme="4"/>
      </left>
      <right style="hair">
        <color theme="4"/>
      </right>
      <top style="thin">
        <color theme="4"/>
      </top>
      <bottom style="hair">
        <color theme="4"/>
      </bottom>
      <diagonal/>
    </border>
    <border>
      <left style="hair">
        <color theme="4"/>
      </left>
      <right/>
      <top style="thin">
        <color theme="4"/>
      </top>
      <bottom style="hair">
        <color theme="4"/>
      </bottom>
      <diagonal/>
    </border>
    <border>
      <left style="hair">
        <color theme="4"/>
      </left>
      <right style="thin">
        <color theme="4"/>
      </right>
      <top style="thin">
        <color theme="4"/>
      </top>
      <bottom style="hair">
        <color theme="4"/>
      </bottom>
      <diagonal/>
    </border>
    <border>
      <left style="thin">
        <color rgb="FF4F81BD"/>
      </left>
      <right style="hair">
        <color rgb="FF4F81BD"/>
      </right>
      <top style="hair">
        <color rgb="FF4F81BD"/>
      </top>
      <bottom style="hair">
        <color rgb="FF4F81BD"/>
      </bottom>
      <diagonal/>
    </border>
    <border>
      <left style="hair">
        <color rgb="FF4F81BD"/>
      </left>
      <right style="hair">
        <color rgb="FF4F81BD"/>
      </right>
      <top style="hair">
        <color rgb="FF4F81BD"/>
      </top>
      <bottom style="hair">
        <color rgb="FF4F81BD"/>
      </bottom>
      <diagonal/>
    </border>
    <border>
      <left style="hair">
        <color rgb="FF4F81BD"/>
      </left>
      <right style="hair">
        <color rgb="FF4F81BD"/>
      </right>
      <top/>
      <bottom style="hair">
        <color rgb="FF4F81BD"/>
      </bottom>
      <diagonal/>
    </border>
    <border>
      <left/>
      <right style="hair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hair">
        <color theme="4"/>
      </right>
      <top/>
      <bottom style="hair">
        <color theme="4"/>
      </bottom>
      <diagonal/>
    </border>
    <border>
      <left style="hair">
        <color theme="4"/>
      </left>
      <right style="thin">
        <color theme="4"/>
      </right>
      <top style="hair">
        <color theme="4"/>
      </top>
      <bottom style="hair">
        <color theme="4"/>
      </bottom>
      <diagonal/>
    </border>
    <border>
      <left style="hair">
        <color theme="4"/>
      </left>
      <right style="thin">
        <color theme="4"/>
      </right>
      <top/>
      <bottom style="hair">
        <color theme="4"/>
      </bottom>
      <diagonal/>
    </border>
    <border>
      <left style="hair">
        <color rgb="FF4F81BD"/>
      </left>
      <right/>
      <top style="hair">
        <color rgb="FF4F81BD"/>
      </top>
      <bottom style="hair">
        <color rgb="FF4F81BD"/>
      </bottom>
      <diagonal/>
    </border>
    <border>
      <left style="hair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theme="4"/>
      </left>
      <right/>
      <top style="hair">
        <color theme="4"/>
      </top>
      <bottom style="hair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theme="4"/>
      </left>
      <right style="hair">
        <color theme="4"/>
      </right>
      <top style="hair">
        <color theme="4"/>
      </top>
      <bottom style="hair">
        <color theme="4"/>
      </bottom>
      <diagonal/>
    </border>
    <border>
      <left/>
      <right style="dotted">
        <color rgb="FF5B9BD5"/>
      </right>
      <top style="dotted">
        <color rgb="FF5B9BD5"/>
      </top>
      <bottom style="dotted">
        <color rgb="FF5B9BD5"/>
      </bottom>
      <diagonal/>
    </border>
    <border>
      <left style="dotted">
        <color rgb="FF5B9BD5"/>
      </left>
      <right style="dotted">
        <color rgb="FF5B9BD5"/>
      </right>
      <top style="dotted">
        <color rgb="FF5B9BD5"/>
      </top>
      <bottom style="dotted">
        <color rgb="FF5B9BD5"/>
      </bottom>
      <diagonal/>
    </border>
    <border>
      <left style="hair">
        <color theme="4"/>
      </left>
      <right style="hair">
        <color theme="4"/>
      </right>
      <top style="hair">
        <color theme="4"/>
      </top>
      <bottom/>
      <diagonal/>
    </border>
    <border>
      <left/>
      <right style="hair">
        <color theme="4"/>
      </right>
      <top/>
      <bottom style="hair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28" borderId="59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60" applyNumberFormat="0" applyFill="0" applyAlignment="0" applyProtection="0">
      <alignment vertical="center"/>
    </xf>
    <xf numFmtId="0" fontId="60" fillId="0" borderId="60" applyNumberFormat="0" applyFill="0" applyAlignment="0" applyProtection="0">
      <alignment vertical="center"/>
    </xf>
    <xf numFmtId="0" fontId="61" fillId="0" borderId="61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9" borderId="62" applyNumberFormat="0" applyAlignment="0" applyProtection="0">
      <alignment vertical="center"/>
    </xf>
    <xf numFmtId="0" fontId="63" fillId="27" borderId="63" applyNumberFormat="0" applyAlignment="0" applyProtection="0">
      <alignment vertical="center"/>
    </xf>
    <xf numFmtId="0" fontId="64" fillId="27" borderId="62" applyNumberFormat="0" applyAlignment="0" applyProtection="0">
      <alignment vertical="center"/>
    </xf>
    <xf numFmtId="0" fontId="65" fillId="30" borderId="64" applyNumberFormat="0" applyAlignment="0" applyProtection="0">
      <alignment vertical="center"/>
    </xf>
    <xf numFmtId="0" fontId="66" fillId="0" borderId="65" applyNumberFormat="0" applyFill="0" applyAlignment="0" applyProtection="0">
      <alignment vertical="center"/>
    </xf>
    <xf numFmtId="0" fontId="67" fillId="0" borderId="66" applyNumberFormat="0" applyFill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1" fillId="34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2" fillId="36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2" fillId="39" borderId="0" applyNumberFormat="0" applyBorder="0" applyAlignment="0" applyProtection="0">
      <alignment vertical="center"/>
    </xf>
    <xf numFmtId="0" fontId="72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2" fillId="51" borderId="0" applyNumberFormat="0" applyBorder="0" applyAlignment="0" applyProtection="0">
      <alignment vertical="center"/>
    </xf>
    <xf numFmtId="0" fontId="72" fillId="52" borderId="0" applyNumberFormat="0" applyBorder="0" applyAlignment="0" applyProtection="0">
      <alignment vertical="center"/>
    </xf>
    <xf numFmtId="0" fontId="71" fillId="53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</cellStyleXfs>
  <cellXfs count="62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/>
    </xf>
    <xf numFmtId="2" fontId="3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>
      <alignment vertical="center"/>
    </xf>
    <xf numFmtId="178" fontId="0" fillId="0" borderId="0" xfId="0" applyNumberFormat="1" applyFill="1" applyAlignment="1">
      <alignment horizontal="left" vertical="center"/>
    </xf>
    <xf numFmtId="178" fontId="0" fillId="0" borderId="0" xfId="0" applyNumberFormat="1" applyFill="1" applyAlignment="1">
      <alignment horizontal="right" vertical="center"/>
    </xf>
    <xf numFmtId="10" fontId="0" fillId="0" borderId="0" xfId="0" applyNumberFormat="1" applyFill="1">
      <alignment vertical="center"/>
    </xf>
    <xf numFmtId="178" fontId="0" fillId="0" borderId="2" xfId="0" applyNumberForma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>
      <alignment vertical="center"/>
    </xf>
    <xf numFmtId="178" fontId="9" fillId="0" borderId="2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8" fontId="10" fillId="0" borderId="2" xfId="0" applyNumberFormat="1" applyFon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0" fontId="0" fillId="0" borderId="7" xfId="0" applyFill="1" applyBorder="1">
      <alignment vertical="center"/>
    </xf>
    <xf numFmtId="178" fontId="14" fillId="0" borderId="2" xfId="0" applyNumberFormat="1" applyFont="1" applyFill="1" applyBorder="1" applyAlignment="1">
      <alignment horizontal="center" vertical="center"/>
    </xf>
    <xf numFmtId="176" fontId="15" fillId="0" borderId="2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6" fontId="9" fillId="0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" fontId="0" fillId="0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0" fontId="3" fillId="0" borderId="3" xfId="0" applyNumberFormat="1" applyFont="1" applyFill="1" applyBorder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9" fillId="0" borderId="2" xfId="0" applyFont="1" applyFill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10" fontId="10" fillId="0" borderId="2" xfId="0" applyNumberFormat="1" applyFont="1" applyFill="1" applyBorder="1" applyAlignment="1">
      <alignment horizontal="center" vertical="center"/>
    </xf>
    <xf numFmtId="10" fontId="14" fillId="0" borderId="2" xfId="0" applyNumberFormat="1" applyFon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176" fontId="0" fillId="3" borderId="1" xfId="0" applyNumberForma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0" borderId="8" xfId="0" applyNumberFormat="1" applyFill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 wrapText="1"/>
    </xf>
    <xf numFmtId="176" fontId="17" fillId="0" borderId="8" xfId="0" applyNumberFormat="1" applyFont="1" applyFill="1" applyBorder="1" applyAlignment="1">
      <alignment horizontal="center" vertical="center" wrapText="1"/>
    </xf>
    <xf numFmtId="176" fontId="18" fillId="0" borderId="8" xfId="0" applyNumberFormat="1" applyFont="1" applyFill="1" applyBorder="1" applyAlignment="1">
      <alignment horizontal="center" vertical="center" wrapText="1"/>
    </xf>
    <xf numFmtId="176" fontId="15" fillId="0" borderId="8" xfId="0" applyNumberFormat="1" applyFont="1" applyFill="1" applyBorder="1" applyAlignment="1">
      <alignment horizontal="center" vertical="center" wrapText="1"/>
    </xf>
    <xf numFmtId="176" fontId="18" fillId="0" borderId="9" xfId="0" applyNumberFormat="1" applyFont="1" applyFill="1" applyBorder="1" applyAlignment="1">
      <alignment horizontal="center" vertical="center" wrapText="1"/>
    </xf>
    <xf numFmtId="176" fontId="18" fillId="0" borderId="2" xfId="0" applyNumberFormat="1" applyFont="1" applyFill="1" applyBorder="1" applyAlignment="1">
      <alignment horizontal="center" vertical="center" wrapText="1"/>
    </xf>
    <xf numFmtId="176" fontId="18" fillId="0" borderId="10" xfId="0" applyNumberFormat="1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Fill="1" applyBorder="1" applyAlignment="1">
      <alignment horizontal="center" vertical="center" wrapText="1"/>
    </xf>
    <xf numFmtId="10" fontId="12" fillId="0" borderId="11" xfId="0" applyNumberFormat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179" fontId="13" fillId="0" borderId="8" xfId="0" applyNumberFormat="1" applyFont="1" applyFill="1" applyBorder="1" applyAlignment="1">
      <alignment horizontal="center" vertical="center"/>
    </xf>
    <xf numFmtId="0" fontId="12" fillId="0" borderId="9" xfId="0" applyNumberFormat="1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wrapText="1"/>
    </xf>
    <xf numFmtId="179" fontId="13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176" fontId="0" fillId="0" borderId="14" xfId="0" applyNumberFormat="1" applyFill="1" applyBorder="1" applyAlignment="1">
      <alignment horizontal="center" vertical="center"/>
    </xf>
    <xf numFmtId="0" fontId="12" fillId="0" borderId="15" xfId="0" applyNumberFormat="1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17" fillId="0" borderId="16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18" fillId="0" borderId="8" xfId="0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/>
    </xf>
    <xf numFmtId="0" fontId="18" fillId="0" borderId="6" xfId="0" applyFont="1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center" vertical="center"/>
    </xf>
    <xf numFmtId="0" fontId="14" fillId="0" borderId="0" xfId="0" applyFont="1" applyFill="1">
      <alignment vertical="center"/>
    </xf>
    <xf numFmtId="0" fontId="0" fillId="0" borderId="0" xfId="0" applyFill="1">
      <alignment vertical="center"/>
    </xf>
    <xf numFmtId="176" fontId="14" fillId="0" borderId="0" xfId="0" applyNumberFormat="1" applyFont="1" applyFill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43" fontId="18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43" fontId="14" fillId="0" borderId="1" xfId="0" applyNumberFormat="1" applyFont="1" applyFill="1" applyBorder="1" applyAlignment="1">
      <alignment horizontal="center" vertical="center" wrapText="1"/>
    </xf>
    <xf numFmtId="43" fontId="14" fillId="0" borderId="0" xfId="0" applyNumberFormat="1" applyFont="1" applyFill="1" applyAlignment="1">
      <alignment horizontal="center" vertical="center" wrapText="1"/>
    </xf>
    <xf numFmtId="176" fontId="0" fillId="0" borderId="0" xfId="0" applyNumberFormat="1" applyFill="1">
      <alignment vertical="center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5" fillId="7" borderId="0" xfId="0" applyFont="1" applyFill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 wrapText="1"/>
    </xf>
    <xf numFmtId="180" fontId="5" fillId="0" borderId="0" xfId="0" applyNumberFormat="1" applyFont="1" applyFill="1" applyAlignment="1">
      <alignment horizontal="center" vertical="center" wrapText="1"/>
    </xf>
    <xf numFmtId="43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vertical="center"/>
    </xf>
    <xf numFmtId="0" fontId="23" fillId="8" borderId="0" xfId="0" applyFont="1" applyFill="1" applyAlignment="1">
      <alignment horizontal="center" vertical="center" wrapText="1"/>
    </xf>
    <xf numFmtId="180" fontId="23" fillId="8" borderId="0" xfId="0" applyNumberFormat="1" applyFont="1" applyFill="1" applyAlignment="1">
      <alignment horizontal="center" vertical="center" wrapText="1"/>
    </xf>
    <xf numFmtId="43" fontId="23" fillId="8" borderId="0" xfId="0" applyNumberFormat="1" applyFont="1" applyFill="1" applyAlignment="1">
      <alignment horizontal="center" vertical="center" wrapText="1"/>
    </xf>
    <xf numFmtId="0" fontId="23" fillId="8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 applyProtection="1">
      <alignment horizontal="center" vertical="center" wrapText="1"/>
      <protection locked="0"/>
    </xf>
    <xf numFmtId="0" fontId="5" fillId="8" borderId="0" xfId="0" applyFont="1" applyFill="1" applyAlignment="1">
      <alignment horizontal="center" vertical="center" wrapText="1"/>
    </xf>
    <xf numFmtId="0" fontId="6" fillId="8" borderId="0" xfId="0" applyNumberFormat="1" applyFont="1" applyFill="1" applyAlignment="1">
      <alignment horizontal="center" vertical="center" wrapText="1"/>
    </xf>
    <xf numFmtId="0" fontId="24" fillId="2" borderId="16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5" xfId="0" applyNumberFormat="1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 applyProtection="1">
      <alignment horizontal="center" vertical="center" wrapText="1"/>
      <protection locked="0"/>
    </xf>
    <xf numFmtId="0" fontId="2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0" xfId="0" applyNumberFormat="1" applyFont="1" applyFill="1" applyAlignment="1" applyProtection="1">
      <alignment horizontal="center" vertical="center" wrapText="1"/>
      <protection locked="0"/>
    </xf>
    <xf numFmtId="0" fontId="6" fillId="7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 wrapText="1"/>
    </xf>
    <xf numFmtId="43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26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 wrapText="1"/>
      <protection locked="0"/>
    </xf>
    <xf numFmtId="0" fontId="5" fillId="0" borderId="0" xfId="0" applyFont="1" applyFill="1" applyAlignment="1" applyProtection="1">
      <alignment vertical="center" wrapText="1"/>
      <protection locked="0"/>
    </xf>
    <xf numFmtId="0" fontId="5" fillId="0" borderId="0" xfId="0" applyFont="1" applyFill="1" applyAlignment="1">
      <alignment vertical="center" wrapText="1"/>
    </xf>
    <xf numFmtId="180" fontId="5" fillId="0" borderId="0" xfId="0" applyNumberFormat="1" applyFont="1" applyFill="1" applyAlignment="1">
      <alignment vertical="center" wrapText="1"/>
    </xf>
    <xf numFmtId="43" fontId="5" fillId="0" borderId="0" xfId="0" applyNumberFormat="1" applyFont="1" applyFill="1" applyAlignment="1">
      <alignment vertical="center" wrapText="1"/>
    </xf>
    <xf numFmtId="0" fontId="23" fillId="8" borderId="0" xfId="0" applyFont="1" applyFill="1" applyAlignment="1">
      <alignment vertical="center" wrapText="1"/>
    </xf>
    <xf numFmtId="180" fontId="23" fillId="8" borderId="0" xfId="0" applyNumberFormat="1" applyFont="1" applyFill="1" applyAlignment="1">
      <alignment vertical="center" wrapText="1"/>
    </xf>
    <xf numFmtId="43" fontId="23" fillId="8" borderId="0" xfId="0" applyNumberFormat="1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27" fillId="8" borderId="0" xfId="0" applyFont="1" applyFill="1" applyAlignment="1">
      <alignment vertical="center" wrapText="1"/>
    </xf>
    <xf numFmtId="0" fontId="28" fillId="8" borderId="0" xfId="0" applyFont="1" applyFill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180" fontId="5" fillId="8" borderId="1" xfId="0" applyNumberFormat="1" applyFont="1" applyFill="1" applyBorder="1" applyAlignment="1">
      <alignment horizontal="center" vertical="center" wrapText="1"/>
    </xf>
    <xf numFmtId="43" fontId="5" fillId="8" borderId="1" xfId="0" applyNumberFormat="1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180" fontId="5" fillId="0" borderId="1" xfId="0" applyNumberFormat="1" applyFont="1" applyFill="1" applyBorder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29" fillId="0" borderId="2" xfId="0" applyFont="1" applyFill="1" applyBorder="1">
      <alignment vertical="center"/>
    </xf>
    <xf numFmtId="43" fontId="5" fillId="0" borderId="1" xfId="0" applyNumberFormat="1" applyFont="1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178" fontId="14" fillId="0" borderId="0" xfId="0" applyNumberFormat="1" applyFont="1" applyFill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6" fontId="26" fillId="0" borderId="1" xfId="0" applyNumberFormat="1" applyFont="1" applyFill="1" applyBorder="1" applyAlignment="1">
      <alignment horizontal="center" vertical="center" wrapText="1"/>
    </xf>
    <xf numFmtId="178" fontId="18" fillId="0" borderId="1" xfId="0" applyNumberFormat="1" applyFont="1" applyFill="1" applyBorder="1" applyAlignment="1">
      <alignment horizontal="center" vertical="center" wrapText="1"/>
    </xf>
    <xf numFmtId="178" fontId="14" fillId="0" borderId="1" xfId="0" applyNumberFormat="1" applyFont="1" applyFill="1" applyBorder="1" applyAlignment="1">
      <alignment horizontal="center" vertical="center" wrapText="1"/>
    </xf>
    <xf numFmtId="181" fontId="0" fillId="0" borderId="2" xfId="0" applyNumberFormat="1" applyFill="1" applyBorder="1" applyAlignment="1">
      <alignment horizontal="center" vertical="center"/>
    </xf>
    <xf numFmtId="179" fontId="5" fillId="0" borderId="2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Alignment="1">
      <alignment vertical="center" wrapText="1"/>
    </xf>
    <xf numFmtId="178" fontId="23" fillId="8" borderId="0" xfId="0" applyNumberFormat="1" applyFont="1" applyFill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78" fontId="7" fillId="2" borderId="1" xfId="0" applyNumberFormat="1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vertical="center" wrapText="1"/>
    </xf>
    <xf numFmtId="0" fontId="7" fillId="2" borderId="14" xfId="0" applyFont="1" applyFill="1" applyBorder="1" applyAlignment="1">
      <alignment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24" fillId="2" borderId="15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180" fontId="5" fillId="0" borderId="14" xfId="0" applyNumberFormat="1" applyFont="1" applyFill="1" applyBorder="1" applyAlignment="1">
      <alignment vertical="center" wrapText="1"/>
    </xf>
    <xf numFmtId="176" fontId="5" fillId="0" borderId="0" xfId="0" applyNumberFormat="1" applyFont="1" applyFill="1" applyAlignment="1">
      <alignment horizontal="center" vertical="center" wrapText="1"/>
    </xf>
    <xf numFmtId="176" fontId="23" fillId="8" borderId="0" xfId="0" applyNumberFormat="1" applyFont="1" applyFill="1" applyAlignment="1">
      <alignment horizontal="center" vertical="center" wrapText="1"/>
    </xf>
    <xf numFmtId="176" fontId="7" fillId="2" borderId="16" xfId="0" applyNumberFormat="1" applyFont="1" applyFill="1" applyBorder="1" applyAlignment="1">
      <alignment horizontal="center" vertical="center" wrapText="1"/>
    </xf>
    <xf numFmtId="176" fontId="7" fillId="2" borderId="14" xfId="0" applyNumberFormat="1" applyFont="1" applyFill="1" applyBorder="1" applyAlignment="1">
      <alignment horizontal="center" vertical="center" wrapText="1"/>
    </xf>
    <xf numFmtId="0" fontId="18" fillId="0" borderId="0" xfId="0" applyFont="1" applyFill="1">
      <alignment vertical="center"/>
    </xf>
    <xf numFmtId="176" fontId="15" fillId="0" borderId="0" xfId="0" applyNumberFormat="1" applyFont="1" applyFill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176" fontId="29" fillId="0" borderId="1" xfId="0" applyNumberFormat="1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/>
    </xf>
    <xf numFmtId="176" fontId="20" fillId="0" borderId="14" xfId="0" applyNumberFormat="1" applyFont="1" applyFill="1" applyBorder="1" applyAlignment="1">
      <alignment horizontal="center" vertical="center" wrapText="1"/>
    </xf>
    <xf numFmtId="176" fontId="15" fillId="0" borderId="14" xfId="0" applyNumberFormat="1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176" fontId="6" fillId="0" borderId="0" xfId="0" applyNumberFormat="1" applyFont="1" applyFill="1" applyAlignment="1" applyProtection="1">
      <alignment vertical="center" wrapText="1"/>
      <protection locked="0"/>
    </xf>
    <xf numFmtId="176" fontId="6" fillId="0" borderId="0" xfId="0" applyNumberFormat="1" applyFont="1" applyFill="1" applyAlignment="1" applyProtection="1">
      <alignment horizontal="center" vertical="center" wrapText="1"/>
      <protection locked="0"/>
    </xf>
    <xf numFmtId="176" fontId="5" fillId="0" borderId="0" xfId="0" applyNumberFormat="1" applyFont="1" applyFill="1" applyAlignment="1" applyProtection="1">
      <alignment vertical="center" wrapText="1"/>
      <protection locked="0"/>
    </xf>
    <xf numFmtId="176" fontId="5" fillId="0" borderId="0" xfId="0" applyNumberFormat="1" applyFont="1" applyFill="1" applyAlignment="1">
      <alignment horizontal="left" vertical="center" wrapText="1"/>
    </xf>
    <xf numFmtId="176" fontId="5" fillId="0" borderId="0" xfId="0" applyNumberFormat="1" applyFont="1" applyFill="1" applyAlignment="1">
      <alignment vertical="center" wrapText="1"/>
    </xf>
    <xf numFmtId="176" fontId="23" fillId="8" borderId="0" xfId="0" applyNumberFormat="1" applyFont="1" applyFill="1" applyAlignment="1">
      <alignment horizontal="left" vertical="center" wrapText="1"/>
    </xf>
    <xf numFmtId="176" fontId="23" fillId="8" borderId="0" xfId="0" applyNumberFormat="1" applyFont="1" applyFill="1" applyAlignment="1">
      <alignment vertical="center" wrapText="1"/>
    </xf>
    <xf numFmtId="176" fontId="5" fillId="8" borderId="0" xfId="0" applyNumberFormat="1" applyFont="1" applyFill="1" applyAlignment="1">
      <alignment horizontal="left" vertical="center" wrapText="1"/>
    </xf>
    <xf numFmtId="176" fontId="24" fillId="2" borderId="16" xfId="0" applyNumberFormat="1" applyFont="1" applyFill="1" applyBorder="1" applyAlignment="1">
      <alignment horizontal="left" vertical="center" wrapText="1"/>
    </xf>
    <xf numFmtId="176" fontId="24" fillId="2" borderId="16" xfId="0" applyNumberFormat="1" applyFont="1" applyFill="1" applyBorder="1" applyAlignment="1">
      <alignment horizontal="center" vertical="center" wrapText="1"/>
    </xf>
    <xf numFmtId="176" fontId="7" fillId="2" borderId="20" xfId="0" applyNumberFormat="1" applyFont="1" applyFill="1" applyBorder="1" applyAlignment="1">
      <alignment horizontal="center" vertical="center" wrapText="1"/>
    </xf>
    <xf numFmtId="176" fontId="24" fillId="2" borderId="14" xfId="0" applyNumberFormat="1" applyFont="1" applyFill="1" applyBorder="1" applyAlignment="1">
      <alignment horizontal="center" vertical="center" wrapText="1"/>
    </xf>
    <xf numFmtId="176" fontId="7" fillId="2" borderId="1" xfId="0" applyNumberFormat="1" applyFont="1" applyFill="1" applyBorder="1" applyAlignment="1">
      <alignment horizontal="center" vertical="center" wrapText="1"/>
    </xf>
    <xf numFmtId="176" fontId="15" fillId="0" borderId="2" xfId="0" applyNumberFormat="1" applyFont="1" applyFill="1" applyBorder="1" applyAlignment="1">
      <alignment horizontal="left" vertical="center" wrapText="1"/>
    </xf>
    <xf numFmtId="176" fontId="15" fillId="9" borderId="2" xfId="0" applyNumberFormat="1" applyFont="1" applyFill="1" applyBorder="1" applyAlignment="1">
      <alignment horizontal="center" vertical="center" wrapText="1"/>
    </xf>
    <xf numFmtId="176" fontId="5" fillId="8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vertical="center" wrapText="1"/>
    </xf>
    <xf numFmtId="4" fontId="15" fillId="9" borderId="2" xfId="0" applyNumberFormat="1" applyFont="1" applyFill="1" applyBorder="1" applyAlignment="1">
      <alignment horizontal="center" vertical="center" wrapText="1"/>
    </xf>
    <xf numFmtId="176" fontId="20" fillId="0" borderId="2" xfId="0" applyNumberFormat="1" applyFont="1" applyFill="1" applyBorder="1" applyAlignment="1">
      <alignment horizontal="left" vertical="center" wrapText="1"/>
    </xf>
    <xf numFmtId="176" fontId="20" fillId="0" borderId="2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left" vertical="center"/>
    </xf>
    <xf numFmtId="176" fontId="31" fillId="0" borderId="1" xfId="0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176" fontId="0" fillId="0" borderId="1" xfId="0" applyNumberFormat="1" applyFill="1" applyBorder="1" applyAlignment="1">
      <alignment horizontal="left" vertical="center"/>
    </xf>
    <xf numFmtId="176" fontId="5" fillId="0" borderId="1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 applyProtection="1">
      <alignment vertical="center" wrapText="1"/>
      <protection locked="0"/>
    </xf>
    <xf numFmtId="0" fontId="6" fillId="0" borderId="2" xfId="0" applyFont="1" applyFill="1" applyBorder="1" applyAlignment="1" applyProtection="1">
      <alignment vertical="center" wrapText="1"/>
      <protection locked="0"/>
    </xf>
    <xf numFmtId="0" fontId="32" fillId="2" borderId="1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  <protection locked="0"/>
    </xf>
    <xf numFmtId="0" fontId="7" fillId="2" borderId="8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76" fontId="33" fillId="6" borderId="2" xfId="0" applyNumberFormat="1" applyFont="1" applyFill="1" applyBorder="1" applyAlignment="1">
      <alignment horizontal="center" vertical="center" wrapText="1"/>
    </xf>
    <xf numFmtId="180" fontId="6" fillId="8" borderId="2" xfId="0" applyNumberFormat="1" applyFont="1" applyFill="1" applyBorder="1" applyAlignment="1">
      <alignment horizontal="center" vertical="center" wrapText="1"/>
    </xf>
    <xf numFmtId="43" fontId="33" fillId="8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76" fontId="34" fillId="6" borderId="2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180" fontId="6" fillId="8" borderId="14" xfId="0" applyNumberFormat="1" applyFont="1" applyFill="1" applyBorder="1" applyAlignment="1">
      <alignment horizontal="center" vertical="center" wrapText="1"/>
    </xf>
    <xf numFmtId="43" fontId="6" fillId="8" borderId="15" xfId="0" applyNumberFormat="1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33" fillId="0" borderId="20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33" fillId="0" borderId="2" xfId="0" applyFont="1" applyFill="1" applyBorder="1" applyAlignment="1">
      <alignment horizontal="center" vertical="center" wrapText="1"/>
    </xf>
    <xf numFmtId="180" fontId="6" fillId="8" borderId="1" xfId="0" applyNumberFormat="1" applyFont="1" applyFill="1" applyBorder="1" applyAlignment="1">
      <alignment horizontal="center" vertical="center" wrapText="1"/>
    </xf>
    <xf numFmtId="0" fontId="33" fillId="0" borderId="2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5" fillId="0" borderId="4" xfId="0" applyNumberFormat="1" applyFont="1" applyFill="1" applyBorder="1" applyAlignment="1">
      <alignment horizontal="center" vertical="center" wrapText="1"/>
    </xf>
    <xf numFmtId="0" fontId="33" fillId="0" borderId="14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80" fontId="5" fillId="0" borderId="2" xfId="0" applyNumberFormat="1" applyFont="1" applyFill="1" applyBorder="1" applyAlignment="1">
      <alignment horizontal="center" vertical="center" wrapText="1"/>
    </xf>
    <xf numFmtId="43" fontId="5" fillId="0" borderId="2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/>
    </xf>
    <xf numFmtId="0" fontId="31" fillId="0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76" fontId="5" fillId="8" borderId="0" xfId="0" applyNumberFormat="1" applyFont="1" applyFill="1" applyAlignment="1">
      <alignment horizontal="center" vertical="center" wrapText="1"/>
    </xf>
    <xf numFmtId="176" fontId="7" fillId="2" borderId="8" xfId="0" applyNumberFormat="1" applyFont="1" applyFill="1" applyBorder="1" applyAlignment="1">
      <alignment horizontal="center" vertical="center" wrapText="1"/>
    </xf>
    <xf numFmtId="176" fontId="14" fillId="0" borderId="2" xfId="0" applyNumberFormat="1" applyFont="1" applyFill="1" applyBorder="1" applyAlignment="1">
      <alignment horizontal="center" vertical="center"/>
    </xf>
    <xf numFmtId="176" fontId="36" fillId="9" borderId="2" xfId="0" applyNumberFormat="1" applyFont="1" applyFill="1" applyBorder="1" applyAlignment="1">
      <alignment horizontal="center" vertical="center" wrapText="1"/>
    </xf>
    <xf numFmtId="176" fontId="5" fillId="8" borderId="11" xfId="0" applyNumberFormat="1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176" fontId="36" fillId="0" borderId="2" xfId="0" applyNumberFormat="1" applyFont="1" applyFill="1" applyBorder="1" applyAlignment="1">
      <alignment horizontal="center" vertical="center" wrapText="1"/>
    </xf>
    <xf numFmtId="176" fontId="36" fillId="9" borderId="2" xfId="0" applyNumberFormat="1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176" fontId="38" fillId="0" borderId="3" xfId="0" applyNumberFormat="1" applyFont="1" applyFill="1" applyBorder="1" applyAlignment="1">
      <alignment horizontal="center" vertical="center" wrapText="1"/>
    </xf>
    <xf numFmtId="176" fontId="38" fillId="0" borderId="12" xfId="0" applyNumberFormat="1" applyFont="1" applyFill="1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center" vertical="center" wrapText="1"/>
    </xf>
    <xf numFmtId="176" fontId="6" fillId="0" borderId="15" xfId="0" applyNumberFormat="1" applyFont="1" applyFill="1" applyBorder="1" applyAlignment="1">
      <alignment horizontal="center" vertical="center" wrapText="1"/>
    </xf>
    <xf numFmtId="176" fontId="6" fillId="0" borderId="19" xfId="0" applyNumberFormat="1" applyFont="1" applyFill="1" applyBorder="1" applyAlignment="1">
      <alignment horizontal="center" vertical="center" wrapText="1"/>
    </xf>
    <xf numFmtId="176" fontId="6" fillId="0" borderId="20" xfId="0" applyNumberFormat="1" applyFont="1" applyFill="1" applyBorder="1" applyAlignment="1">
      <alignment horizontal="center" vertical="center" wrapText="1"/>
    </xf>
    <xf numFmtId="176" fontId="31" fillId="8" borderId="1" xfId="0" applyNumberFormat="1" applyFont="1" applyFill="1" applyBorder="1" applyAlignment="1">
      <alignment horizontal="center" vertical="center" wrapText="1"/>
    </xf>
    <xf numFmtId="176" fontId="33" fillId="0" borderId="1" xfId="0" applyNumberFormat="1" applyFont="1" applyFill="1" applyBorder="1" applyAlignment="1">
      <alignment horizontal="center" vertical="center" wrapText="1"/>
    </xf>
    <xf numFmtId="176" fontId="6" fillId="0" borderId="8" xfId="0" applyNumberFormat="1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9" fillId="6" borderId="2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176" fontId="31" fillId="0" borderId="2" xfId="0" applyNumberFormat="1" applyFont="1" applyBorder="1" applyAlignment="1">
      <alignment horizontal="center" vertical="center"/>
    </xf>
    <xf numFmtId="176" fontId="39" fillId="0" borderId="2" xfId="0" applyNumberFormat="1" applyFont="1" applyBorder="1" applyAlignment="1">
      <alignment horizontal="center" vertical="center"/>
    </xf>
    <xf numFmtId="176" fontId="40" fillId="0" borderId="0" xfId="0" applyNumberFormat="1" applyFont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12" xfId="0" applyFont="1" applyFill="1" applyBorder="1">
      <alignment vertical="center"/>
    </xf>
    <xf numFmtId="0" fontId="15" fillId="6" borderId="2" xfId="0" applyFont="1" applyFill="1" applyBorder="1" applyAlignment="1">
      <alignment horizontal="center" vertical="center"/>
    </xf>
    <xf numFmtId="176" fontId="26" fillId="0" borderId="13" xfId="0" applyNumberFormat="1" applyFont="1" applyFill="1" applyBorder="1" applyAlignment="1">
      <alignment horizontal="center" vertical="center"/>
    </xf>
    <xf numFmtId="176" fontId="18" fillId="0" borderId="1" xfId="0" applyNumberFormat="1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26" fillId="0" borderId="14" xfId="0" applyFont="1" applyFill="1" applyBorder="1" applyAlignment="1">
      <alignment horizontal="center" vertical="center"/>
    </xf>
    <xf numFmtId="176" fontId="26" fillId="0" borderId="14" xfId="0" applyNumberFormat="1" applyFont="1" applyFill="1" applyBorder="1" applyAlignment="1">
      <alignment horizontal="center" vertical="center"/>
    </xf>
    <xf numFmtId="49" fontId="13" fillId="0" borderId="14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 wrapText="1"/>
    </xf>
    <xf numFmtId="176" fontId="2" fillId="0" borderId="0" xfId="0" applyNumberFormat="1" applyFont="1" applyFill="1">
      <alignment vertical="center"/>
    </xf>
    <xf numFmtId="0" fontId="41" fillId="10" borderId="0" xfId="0" applyFont="1" applyFill="1" applyAlignment="1">
      <alignment vertical="center" wrapText="1"/>
    </xf>
    <xf numFmtId="0" fontId="34" fillId="10" borderId="0" xfId="0" applyFont="1" applyFill="1" applyAlignment="1">
      <alignment vertical="center" wrapText="1"/>
    </xf>
    <xf numFmtId="176" fontId="7" fillId="11" borderId="21" xfId="0" applyNumberFormat="1" applyFont="1" applyFill="1" applyBorder="1" applyAlignment="1">
      <alignment horizontal="center" vertical="center" wrapText="1"/>
    </xf>
    <xf numFmtId="43" fontId="42" fillId="0" borderId="2" xfId="0" applyNumberFormat="1" applyFont="1" applyBorder="1" applyAlignment="1">
      <alignment vertical="center" wrapText="1"/>
    </xf>
    <xf numFmtId="43" fontId="33" fillId="0" borderId="2" xfId="0" applyNumberFormat="1" applyFont="1" applyBorder="1" applyAlignment="1">
      <alignment vertical="center" wrapText="1"/>
    </xf>
    <xf numFmtId="43" fontId="29" fillId="0" borderId="2" xfId="0" applyNumberFormat="1" applyFont="1" applyFill="1" applyBorder="1" applyAlignment="1">
      <alignment vertical="center" wrapText="1"/>
    </xf>
    <xf numFmtId="43" fontId="6" fillId="0" borderId="1" xfId="0" applyNumberFormat="1" applyFont="1" applyFill="1" applyBorder="1" applyAlignment="1">
      <alignment vertical="center" wrapText="1"/>
    </xf>
    <xf numFmtId="0" fontId="33" fillId="0" borderId="2" xfId="0" applyFont="1" applyBorder="1" applyAlignment="1">
      <alignment vertical="center" wrapText="1"/>
    </xf>
    <xf numFmtId="0" fontId="42" fillId="0" borderId="2" xfId="0" applyFont="1" applyBorder="1" applyAlignment="1">
      <alignment vertical="center" wrapText="1"/>
    </xf>
    <xf numFmtId="0" fontId="30" fillId="0" borderId="2" xfId="0" applyFont="1" applyFill="1" applyBorder="1" applyAlignment="1">
      <alignment vertical="center" wrapText="1"/>
    </xf>
    <xf numFmtId="0" fontId="31" fillId="0" borderId="1" xfId="0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center" vertical="center" wrapText="1"/>
    </xf>
    <xf numFmtId="180" fontId="31" fillId="0" borderId="2" xfId="0" applyNumberFormat="1" applyFont="1" applyBorder="1" applyAlignment="1">
      <alignment vertical="center" wrapText="1"/>
    </xf>
    <xf numFmtId="0" fontId="31" fillId="0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41" fillId="10" borderId="0" xfId="0" applyFont="1" applyFill="1" applyAlignment="1">
      <alignment horizontal="center" vertical="center" wrapText="1"/>
    </xf>
    <xf numFmtId="0" fontId="33" fillId="10" borderId="0" xfId="0" applyFont="1" applyFill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180" fontId="13" fillId="10" borderId="2" xfId="0" applyNumberFormat="1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33" fillId="0" borderId="2" xfId="0" applyFont="1" applyBorder="1" applyAlignment="1">
      <alignment horizontal="center" vertical="center" wrapText="1"/>
    </xf>
    <xf numFmtId="0" fontId="5" fillId="13" borderId="11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80" fontId="20" fillId="10" borderId="2" xfId="0" applyNumberFormat="1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 wrapText="1"/>
      <protection locked="0"/>
    </xf>
    <xf numFmtId="0" fontId="6" fillId="0" borderId="1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42" fillId="0" borderId="12" xfId="0" applyFont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31" fillId="14" borderId="1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 wrapText="1"/>
    </xf>
    <xf numFmtId="0" fontId="31" fillId="21" borderId="1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 wrapText="1"/>
    </xf>
    <xf numFmtId="180" fontId="15" fillId="10" borderId="2" xfId="0" applyNumberFormat="1" applyFont="1" applyFill="1" applyBorder="1" applyAlignment="1">
      <alignment horizontal="center" vertical="center" wrapText="1"/>
    </xf>
    <xf numFmtId="180" fontId="31" fillId="10" borderId="2" xfId="0" applyNumberFormat="1" applyFont="1" applyFill="1" applyBorder="1" applyAlignment="1">
      <alignment horizontal="center" vertical="center" wrapText="1"/>
    </xf>
    <xf numFmtId="43" fontId="31" fillId="10" borderId="2" xfId="0" applyNumberFormat="1" applyFont="1" applyFill="1" applyBorder="1" applyAlignment="1">
      <alignment horizontal="center" vertical="center" wrapText="1"/>
    </xf>
    <xf numFmtId="43" fontId="5" fillId="0" borderId="1" xfId="0" applyNumberFormat="1" applyFont="1" applyFill="1" applyBorder="1" applyAlignment="1">
      <alignment horizontal="center" vertical="top" wrapText="1"/>
    </xf>
    <xf numFmtId="176" fontId="15" fillId="0" borderId="2" xfId="0" applyNumberFormat="1" applyFont="1" applyFill="1" applyBorder="1" applyAlignment="1">
      <alignment horizontal="center" vertical="center"/>
    </xf>
    <xf numFmtId="176" fontId="20" fillId="0" borderId="2" xfId="0" applyNumberFormat="1" applyFont="1" applyFill="1" applyBorder="1" applyAlignment="1">
      <alignment horizontal="center" vertical="center"/>
    </xf>
    <xf numFmtId="176" fontId="14" fillId="0" borderId="2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78" fontId="5" fillId="0" borderId="0" xfId="0" applyNumberFormat="1" applyFont="1" applyFill="1" applyAlignment="1">
      <alignment horizontal="center" vertical="center" wrapText="1"/>
    </xf>
    <xf numFmtId="178" fontId="23" fillId="8" borderId="0" xfId="0" applyNumberFormat="1" applyFont="1" applyFill="1" applyAlignment="1">
      <alignment horizontal="center" vertical="center" wrapText="1"/>
    </xf>
    <xf numFmtId="0" fontId="7" fillId="22" borderId="1" xfId="0" applyFont="1" applyFill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39" fillId="0" borderId="2" xfId="0" applyFont="1" applyBorder="1" applyAlignment="1">
      <alignment vertical="center" wrapText="1"/>
    </xf>
    <xf numFmtId="0" fontId="39" fillId="0" borderId="2" xfId="0" applyFont="1" applyBorder="1" applyAlignment="1">
      <alignment horizontal="center" vertical="center" wrapText="1"/>
    </xf>
    <xf numFmtId="180" fontId="15" fillId="23" borderId="2" xfId="0" applyNumberFormat="1" applyFont="1" applyFill="1" applyBorder="1" applyAlignment="1">
      <alignment horizontal="center" vertical="center" wrapText="1"/>
    </xf>
    <xf numFmtId="178" fontId="15" fillId="23" borderId="2" xfId="0" applyNumberFormat="1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right" vertical="center" wrapText="1"/>
    </xf>
    <xf numFmtId="0" fontId="44" fillId="0" borderId="2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45" fillId="0" borderId="2" xfId="0" applyFont="1" applyBorder="1" applyAlignment="1">
      <alignment vertical="center" wrapText="1"/>
    </xf>
    <xf numFmtId="0" fontId="45" fillId="0" borderId="2" xfId="0" applyFont="1" applyBorder="1" applyAlignment="1">
      <alignment horizontal="center" vertical="center" wrapText="1"/>
    </xf>
    <xf numFmtId="178" fontId="5" fillId="23" borderId="1" xfId="0" applyNumberFormat="1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center" vertical="center" wrapText="1"/>
    </xf>
    <xf numFmtId="0" fontId="44" fillId="0" borderId="2" xfId="0" applyFont="1" applyBorder="1" applyAlignment="1">
      <alignment vertical="center" wrapText="1"/>
    </xf>
    <xf numFmtId="0" fontId="45" fillId="0" borderId="12" xfId="0" applyFont="1" applyBorder="1" applyAlignment="1">
      <alignment vertical="center" wrapText="1"/>
    </xf>
    <xf numFmtId="0" fontId="30" fillId="0" borderId="2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 wrapText="1"/>
    </xf>
    <xf numFmtId="180" fontId="5" fillId="23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Protection="1">
      <alignment vertical="center"/>
      <protection locked="0"/>
    </xf>
    <xf numFmtId="0" fontId="5" fillId="0" borderId="0" xfId="0" applyFont="1" applyFill="1">
      <alignment vertical="center"/>
    </xf>
    <xf numFmtId="0" fontId="5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>
      <alignment horizontal="center" vertical="center"/>
    </xf>
    <xf numFmtId="0" fontId="5" fillId="23" borderId="0" xfId="0" applyFont="1" applyFill="1" applyAlignment="1">
      <alignment horizontal="center" vertical="center"/>
    </xf>
    <xf numFmtId="179" fontId="5" fillId="0" borderId="0" xfId="0" applyNumberFormat="1" applyFont="1" applyFill="1" applyAlignment="1" applyProtection="1">
      <alignment horizontal="center" vertical="center"/>
      <protection locked="0"/>
    </xf>
    <xf numFmtId="179" fontId="5" fillId="0" borderId="0" xfId="0" applyNumberFormat="1" applyFont="1" applyFill="1">
      <alignment vertical="center"/>
    </xf>
    <xf numFmtId="0" fontId="46" fillId="0" borderId="0" xfId="0" applyFont="1" applyFill="1" applyAlignment="1">
      <alignment horizontal="center" vertical="center"/>
    </xf>
    <xf numFmtId="0" fontId="46" fillId="23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0" fontId="6" fillId="0" borderId="24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/>
    </xf>
    <xf numFmtId="0" fontId="6" fillId="23" borderId="24" xfId="0" applyFont="1" applyFill="1" applyBorder="1" applyAlignment="1">
      <alignment horizontal="center" vertical="center"/>
    </xf>
    <xf numFmtId="0" fontId="6" fillId="23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/>
    </xf>
    <xf numFmtId="181" fontId="39" fillId="0" borderId="27" xfId="0" applyNumberFormat="1" applyFont="1" applyBorder="1" applyAlignment="1">
      <alignment horizontal="center" vertical="center"/>
    </xf>
    <xf numFmtId="58" fontId="39" fillId="0" borderId="28" xfId="0" applyNumberFormat="1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5" fillId="23" borderId="30" xfId="0" applyFont="1" applyFill="1" applyBorder="1" applyAlignment="1">
      <alignment horizontal="center" vertical="center" wrapText="1"/>
    </xf>
    <xf numFmtId="0" fontId="6" fillId="0" borderId="31" xfId="0" applyFont="1" applyFill="1" applyBorder="1" applyAlignment="1">
      <alignment horizontal="center" vertical="center"/>
    </xf>
    <xf numFmtId="0" fontId="5" fillId="23" borderId="32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6" fillId="0" borderId="33" xfId="0" applyFont="1" applyFill="1" applyBorder="1" applyAlignment="1">
      <alignment horizontal="center" vertical="center"/>
    </xf>
    <xf numFmtId="58" fontId="31" fillId="0" borderId="28" xfId="0" applyNumberFormat="1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 wrapText="1"/>
    </xf>
    <xf numFmtId="58" fontId="31" fillId="0" borderId="34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5" fillId="23" borderId="35" xfId="0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6" fillId="0" borderId="36" xfId="0" applyFont="1" applyFill="1" applyBorder="1" applyAlignment="1">
      <alignment horizontal="center" vertical="center"/>
    </xf>
    <xf numFmtId="179" fontId="6" fillId="0" borderId="37" xfId="0" applyNumberFormat="1" applyFont="1" applyFill="1" applyBorder="1" applyAlignment="1">
      <alignment horizontal="center" vertical="center"/>
    </xf>
    <xf numFmtId="0" fontId="5" fillId="0" borderId="38" xfId="0" applyFont="1" applyFill="1" applyBorder="1" applyAlignment="1">
      <alignment horizontal="center" vertical="center"/>
    </xf>
    <xf numFmtId="0" fontId="5" fillId="0" borderId="39" xfId="0" applyFont="1" applyFill="1" applyBorder="1" applyAlignment="1">
      <alignment horizontal="center" vertical="center"/>
    </xf>
    <xf numFmtId="179" fontId="5" fillId="0" borderId="40" xfId="0" applyNumberFormat="1" applyFont="1" applyFill="1" applyBorder="1">
      <alignment vertical="center"/>
    </xf>
    <xf numFmtId="181" fontId="20" fillId="0" borderId="27" xfId="0" applyNumberFormat="1" applyFont="1" applyBorder="1" applyAlignment="1">
      <alignment horizontal="center" vertical="center"/>
    </xf>
    <xf numFmtId="0" fontId="5" fillId="0" borderId="38" xfId="0" applyFont="1" applyFill="1" applyBorder="1">
      <alignment vertical="center"/>
    </xf>
    <xf numFmtId="179" fontId="5" fillId="0" borderId="40" xfId="0" applyNumberFormat="1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 wrapText="1"/>
    </xf>
    <xf numFmtId="0" fontId="5" fillId="0" borderId="42" xfId="0" applyFont="1" applyFill="1" applyBorder="1" applyAlignment="1">
      <alignment horizontal="center" vertical="center" wrapText="1"/>
    </xf>
    <xf numFmtId="179" fontId="6" fillId="0" borderId="0" xfId="0" applyNumberFormat="1" applyFont="1" applyFill="1">
      <alignment vertical="center"/>
    </xf>
    <xf numFmtId="0" fontId="5" fillId="0" borderId="43" xfId="0" applyFont="1" applyFill="1" applyBorder="1" applyAlignment="1">
      <alignment horizontal="center" vertical="center" wrapText="1"/>
    </xf>
    <xf numFmtId="0" fontId="5" fillId="0" borderId="44" xfId="0" applyFont="1" applyFill="1" applyBorder="1" applyAlignment="1">
      <alignment horizontal="center" vertical="center" wrapText="1"/>
    </xf>
    <xf numFmtId="0" fontId="5" fillId="0" borderId="45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181" fontId="5" fillId="0" borderId="2" xfId="0" applyNumberFormat="1" applyFont="1" applyFill="1" applyBorder="1" applyAlignment="1">
      <alignment horizontal="center" vertical="center"/>
    </xf>
    <xf numFmtId="179" fontId="5" fillId="0" borderId="2" xfId="0" applyNumberFormat="1" applyFont="1" applyFill="1" applyBorder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vertical="center" wrapText="1"/>
    </xf>
    <xf numFmtId="58" fontId="15" fillId="0" borderId="27" xfId="0" applyNumberFormat="1" applyFont="1" applyFill="1" applyBorder="1" applyAlignment="1">
      <alignment horizontal="center" vertical="center"/>
    </xf>
    <xf numFmtId="0" fontId="15" fillId="0" borderId="47" xfId="0" applyFont="1" applyFill="1" applyBorder="1" applyAlignment="1">
      <alignment horizontal="center" vertical="center"/>
    </xf>
    <xf numFmtId="0" fontId="15" fillId="0" borderId="28" xfId="0" applyFont="1" applyFill="1" applyBorder="1" applyAlignment="1">
      <alignment horizontal="center" vertical="center" wrapText="1"/>
    </xf>
    <xf numFmtId="0" fontId="15" fillId="0" borderId="28" xfId="0" applyFont="1" applyFill="1" applyBorder="1" applyAlignment="1">
      <alignment horizontal="center" vertical="center"/>
    </xf>
    <xf numFmtId="58" fontId="5" fillId="0" borderId="35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58" fontId="5" fillId="0" borderId="48" xfId="0" applyNumberFormat="1" applyFont="1" applyFill="1" applyBorder="1" applyAlignment="1">
      <alignment horizontal="center" vertical="center"/>
    </xf>
    <xf numFmtId="0" fontId="5" fillId="0" borderId="49" xfId="0" applyFont="1" applyFill="1" applyBorder="1" applyAlignment="1">
      <alignment horizontal="center" vertical="center"/>
    </xf>
    <xf numFmtId="58" fontId="15" fillId="0" borderId="28" xfId="0" applyNumberFormat="1" applyFont="1" applyFill="1" applyBorder="1" applyAlignment="1">
      <alignment horizontal="center" vertical="center"/>
    </xf>
    <xf numFmtId="181" fontId="15" fillId="0" borderId="27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58" fontId="5" fillId="0" borderId="30" xfId="0" applyNumberFormat="1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58" fontId="5" fillId="0" borderId="50" xfId="0" applyNumberFormat="1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 wrapText="1"/>
    </xf>
    <xf numFmtId="0" fontId="5" fillId="0" borderId="52" xfId="0" applyFont="1" applyFill="1" applyBorder="1" applyAlignment="1">
      <alignment horizontal="center" vertical="center" wrapText="1"/>
    </xf>
    <xf numFmtId="0" fontId="5" fillId="0" borderId="53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54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31" fillId="0" borderId="0" xfId="0" applyFont="1" applyFill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48" fillId="11" borderId="2" xfId="0" applyFont="1" applyFill="1" applyBorder="1" applyAlignment="1">
      <alignment horizontal="center" vertical="center" wrapText="1"/>
    </xf>
    <xf numFmtId="0" fontId="39" fillId="0" borderId="2" xfId="0" applyFont="1" applyBorder="1" applyAlignment="1">
      <alignment horizontal="left" vertical="center" wrapText="1"/>
    </xf>
    <xf numFmtId="0" fontId="31" fillId="24" borderId="2" xfId="0" applyFont="1" applyFill="1" applyBorder="1" applyAlignment="1">
      <alignment horizontal="center" vertical="center" wrapText="1"/>
    </xf>
    <xf numFmtId="182" fontId="15" fillId="10" borderId="2" xfId="0" applyNumberFormat="1" applyFont="1" applyFill="1" applyBorder="1" applyAlignment="1">
      <alignment horizontal="center" vertical="center" wrapText="1"/>
    </xf>
    <xf numFmtId="0" fontId="31" fillId="25" borderId="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left" vertical="center" wrapText="1"/>
    </xf>
    <xf numFmtId="0" fontId="45" fillId="0" borderId="2" xfId="0" applyFont="1" applyBorder="1" applyAlignment="1">
      <alignment horizontal="left" vertical="center" wrapText="1"/>
    </xf>
    <xf numFmtId="0" fontId="20" fillId="0" borderId="4" xfId="0" applyFont="1" applyFill="1" applyBorder="1" applyAlignment="1">
      <alignment horizontal="center" vertical="center"/>
    </xf>
    <xf numFmtId="0" fontId="31" fillId="0" borderId="13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 wrapText="1"/>
    </xf>
    <xf numFmtId="0" fontId="29" fillId="0" borderId="7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180" fontId="15" fillId="10" borderId="3" xfId="0" applyNumberFormat="1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80" fontId="15" fillId="10" borderId="6" xfId="0" applyNumberFormat="1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43" fontId="5" fillId="8" borderId="11" xfId="0" applyNumberFormat="1" applyFont="1" applyFill="1" applyBorder="1" applyAlignment="1">
      <alignment horizontal="center" vertical="center" wrapText="1"/>
    </xf>
    <xf numFmtId="0" fontId="47" fillId="0" borderId="2" xfId="0" applyFont="1" applyFill="1" applyBorder="1" applyAlignment="1">
      <alignment horizontal="center" vertical="center" wrapText="1"/>
    </xf>
    <xf numFmtId="0" fontId="30" fillId="0" borderId="2" xfId="0" applyFont="1" applyFill="1" applyBorder="1" applyAlignment="1">
      <alignment horizontal="center" vertical="center" wrapText="1"/>
    </xf>
    <xf numFmtId="0" fontId="47" fillId="0" borderId="1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49" fillId="0" borderId="2" xfId="0" applyFont="1" applyFill="1" applyBorder="1" applyAlignment="1">
      <alignment horizontal="center" vertical="center" wrapText="1"/>
    </xf>
    <xf numFmtId="0" fontId="5" fillId="6" borderId="0" xfId="0" applyFont="1" applyFill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/>
    </xf>
    <xf numFmtId="0" fontId="15" fillId="26" borderId="2" xfId="0" applyFont="1" applyFill="1" applyBorder="1" applyAlignment="1">
      <alignment horizontal="center" vertical="center"/>
    </xf>
    <xf numFmtId="180" fontId="31" fillId="27" borderId="2" xfId="0" applyNumberFormat="1" applyFont="1" applyFill="1" applyBorder="1" applyAlignment="1">
      <alignment horizontal="center" vertical="center" wrapText="1"/>
    </xf>
    <xf numFmtId="182" fontId="15" fillId="26" borderId="2" xfId="0" applyNumberFormat="1" applyFont="1" applyFill="1" applyBorder="1" applyAlignment="1">
      <alignment horizontal="center" vertical="center" wrapText="1"/>
    </xf>
    <xf numFmtId="180" fontId="5" fillId="27" borderId="1" xfId="0" applyNumberFormat="1" applyFont="1" applyFill="1" applyBorder="1" applyAlignment="1">
      <alignment horizontal="center" vertical="center" wrapText="1"/>
    </xf>
    <xf numFmtId="43" fontId="5" fillId="27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/>
    </xf>
    <xf numFmtId="180" fontId="5" fillId="6" borderId="1" xfId="0" applyNumberFormat="1" applyFont="1" applyFill="1" applyBorder="1" applyAlignment="1">
      <alignment horizontal="center" vertical="center" wrapText="1"/>
    </xf>
    <xf numFmtId="0" fontId="5" fillId="26" borderId="1" xfId="0" applyFont="1" applyFill="1" applyBorder="1" applyAlignment="1">
      <alignment horizontal="center" vertical="center" wrapText="1"/>
    </xf>
    <xf numFmtId="0" fontId="25" fillId="0" borderId="11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5" fillId="0" borderId="6" xfId="0" applyFont="1" applyBorder="1" applyAlignment="1">
      <alignment horizontal="center" vertical="center" wrapText="1"/>
    </xf>
    <xf numFmtId="0" fontId="45" fillId="0" borderId="7" xfId="0" applyFont="1" applyBorder="1" applyAlignment="1">
      <alignment horizontal="center" vertical="center" wrapText="1"/>
    </xf>
    <xf numFmtId="0" fontId="39" fillId="0" borderId="56" xfId="0" applyFont="1" applyBorder="1" applyAlignment="1">
      <alignment horizontal="center" vertical="center"/>
    </xf>
    <xf numFmtId="0" fontId="39" fillId="0" borderId="55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176" fontId="5" fillId="0" borderId="8" xfId="0" applyNumberFormat="1" applyFont="1" applyFill="1" applyBorder="1" applyAlignment="1">
      <alignment horizontal="center" vertical="center" wrapText="1"/>
    </xf>
    <xf numFmtId="176" fontId="15" fillId="0" borderId="6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15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176" fontId="20" fillId="0" borderId="1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 wrapText="1"/>
    </xf>
    <xf numFmtId="0" fontId="20" fillId="0" borderId="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176" fontId="14" fillId="0" borderId="4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 wrapText="1"/>
    </xf>
    <xf numFmtId="176" fontId="15" fillId="0" borderId="0" xfId="0" applyNumberFormat="1" applyFont="1" applyFill="1" applyAlignment="1">
      <alignment horizontal="center" vertical="center"/>
    </xf>
    <xf numFmtId="176" fontId="14" fillId="0" borderId="0" xfId="0" applyNumberFormat="1" applyFont="1" applyFill="1" applyAlignment="1">
      <alignment horizontal="center" vertical="center"/>
    </xf>
    <xf numFmtId="0" fontId="15" fillId="0" borderId="57" xfId="0" applyFont="1" applyFill="1" applyBorder="1" applyAlignment="1">
      <alignment horizontal="center" vertical="center"/>
    </xf>
    <xf numFmtId="0" fontId="52" fillId="0" borderId="39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53" fillId="0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0" fillId="0" borderId="57" xfId="0" applyFont="1" applyFill="1" applyBorder="1" applyAlignment="1">
      <alignment horizontal="center" vertical="center"/>
    </xf>
    <xf numFmtId="43" fontId="5" fillId="8" borderId="13" xfId="0" applyNumberFormat="1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0" fontId="15" fillId="0" borderId="58" xfId="0" applyFont="1" applyFill="1" applyBorder="1" applyAlignment="1">
      <alignment horizontal="center" vertical="center"/>
    </xf>
    <xf numFmtId="180" fontId="5" fillId="0" borderId="14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60212" dbFileVersion="0" changeLogVersion="0">
    <open main="909" threadCnt="1"/>
    <sheetInfos>
      <sheetInfo cellCmpFml="27" sheetStid="10">
        <open main="8" threadCnt="1"/>
      </sheetInfo>
      <sheetInfo cellCmpFml="5" sheetStid="9">
        <open main="7" threadCnt="1"/>
      </sheetInfo>
      <sheetInfo cellCmpFml="3" sheetStid="8">
        <open main="2" threadCnt="1"/>
      </sheetInfo>
      <sheetInfo cellCmpFml="48" sheetStid="16">
        <open main="21" threadCnt="1"/>
      </sheetInfo>
      <sheetInfo cellCmpFml="5" sheetStid="11">
        <open main="5" threadCnt="1"/>
      </sheetInfo>
      <sheetInfo cellCmpFml="30" sheetStid="12">
        <open main="16" threadCnt="1"/>
      </sheetInfo>
      <sheetInfo cellCmpFml="92" sheetStid="15">
        <open main="11" threadCnt="1"/>
      </sheetInfo>
      <sheetInfo cellCmpFml="111" sheetStid="14">
        <open main="47" threadCnt="1"/>
      </sheetInfo>
      <sheetInfo cellCmpFml="7" sheetStid="13">
        <open main="2" threadCnt="1"/>
      </sheetInfo>
      <sheetInfo cellCmpFml="1" sheetStid="17">
        <open main="1" threadCnt="1"/>
      </sheetInfo>
      <sheetInfo cellCmpFml="52" sheetStid="2">
        <open main="16" threadCnt="1"/>
      </sheetInfo>
      <sheetInfo cellCmpFml="3" sheetStid="5">
        <open threadCnt="1"/>
      </sheetInfo>
      <sheetInfo cellCmpFml="1" sheetStid="1">
        <open main="1" threadCnt="1"/>
      </sheetInfo>
      <sheetInfo cellCmpFml="5" sheetStid="4">
        <open threadCnt="1"/>
      </sheetInfo>
      <sheetInfo cellCmpFml="66" sheetStid="6">
        <open main="4" threadCnt="1"/>
      </sheetInfo>
      <sheetInfo cellCmpFml="12" sheetStid="7">
        <open main="1" threadCnt="1"/>
      </sheetInfo>
      <sheetInfo cellCmpFml="5" sheetStid="18">
        <open threadCnt="1"/>
      </sheetInfo>
      <sheetInfo cellCmpFml="3707" sheetStid="25">
        <open main="39" threadCnt="1"/>
      </sheetInfo>
      <sheetInfo cellCmpFml="3703" sheetStid="26">
        <open main="41" threadCnt="1"/>
      </sheetInfo>
      <sheetInfo cellCmpFml="2555" sheetStid="27">
        <open main="29" threadCnt="1"/>
      </sheetInfo>
      <sheetInfo cellCmpFml="12124" sheetStid="30">
        <open main="131" threadCnt="1"/>
      </sheetInfo>
      <sheetInfo cellCmpFml="10424" sheetStid="28">
        <open main="106" threadCnt="1"/>
      </sheetInfo>
      <sheetInfo cellCmpFml="172" sheetStid="22">
        <open main="3" threadCnt="1"/>
      </sheetInfo>
      <sheetInfo cellCmpFml="4154" sheetStid="31">
        <open main="42" threadCnt="1"/>
      </sheetInfo>
      <sheetInfo cellCmpFml="1485" sheetStid="29">
        <open main="15" threadCnt="1"/>
      </sheetInfo>
      <sheetInfo cellCmpFml="31" sheetStid="21">
        <open threadCnt="1"/>
      </sheetInfo>
      <sheetInfo cellCmpFml="57" sheetStid="32">
        <open main="1" threadCnt="1"/>
      </sheetInfo>
      <sheetInfo cellCmpFml="16208" sheetStid="20">
        <open main="162" threadCnt="1"/>
      </sheetInfo>
      <sheetInfo cellCmpFml="194" sheetStid="19">
        <open main="2" threadCnt="1"/>
      </sheetInfo>
      <sheetInfo cellCmpFml="136" sheetStid="24">
        <open main="2" threadCnt="1"/>
      </sheetInfo>
      <sheetInfo cellCmpFml="70" sheetStid="23">
        <open main="3" threadCnt="1"/>
      </sheetInfo>
      <sheetInfo cellCmpFml="25" sheetStid="33">
        <open main="1" threadCnt="1"/>
      </sheetInfo>
      <sheetInfo cellCmpFml="6" sheetStid="34">
        <open threadCnt="1"/>
      </sheetInfo>
      <sheetInfo cellCmpFml="1351" sheetStid="35">
        <open main="20" threadCnt="1"/>
      </sheetInfo>
      <sheetInfo cellCmpFml="53" sheetStid="36">
        <open main="4" threadCnt="1"/>
      </sheetInfo>
      <sheetInfo cellCmpFml="2062" sheetStid="37">
        <open main="46" threadCnt="1"/>
      </sheetInfo>
      <sheetInfo cellCmpFml="125" sheetStid="38">
        <open main="1" threadCnt="1"/>
      </sheetInfo>
      <sheetInfo cellCmpFml="63" sheetStid="39">
        <open main="1" threadCnt="1"/>
      </sheetInfo>
      <sheetInfo cellCmpFml="1034" sheetStid="40">
        <open main="1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7" Type="http://www.wps.cn/officeDocument/2023/relationships/woinfos" Target="woinfos.xml"/><Relationship Id="rId46" Type="http://schemas.openxmlformats.org/officeDocument/2006/relationships/styles" Target="styles.xml"/><Relationship Id="rId45" Type="http://schemas.openxmlformats.org/officeDocument/2006/relationships/customXml" Target="../customXml/item3.xml"/><Relationship Id="rId44" Type="http://schemas.openxmlformats.org/officeDocument/2006/relationships/customXml" Target="../customXml/item2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customXml" Target="../customXml/item1.xml"/><Relationship Id="rId4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Zhuanz/Library/Containers/com.tencent.xinWeChat/Data/Library/Application Support/com.tencent.xinWeChat/2.0b4.0.9/4dddcd05f5e8cc441c33a31620a20938/Favorites/data/bc30716214d765d9adff4d5926b71207/D:/xwechat_files/diudiu198603_5beb/msg/file/2026-05/&#28895;&#21488;&#33778;&#20262;26&#24180;&#25104;&#26412;&#34920;(3&#26376;&#20221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餐厅成本"/>
      <sheetName val="餐厅工资 "/>
      <sheetName val="用餐人数"/>
      <sheetName val="水电气费"/>
      <sheetName val="前台好评提成 "/>
      <sheetName val="前台增值物品出入库表 "/>
      <sheetName val="前台二维码提成 "/>
      <sheetName val="前台工资"/>
      <sheetName val="前台小商品"/>
      <sheetName val="会员卡"/>
      <sheetName val="客房耗材出入库表"/>
      <sheetName val="洗涤费"/>
      <sheetName val="客房工资"/>
      <sheetName val="客房提成"/>
      <sheetName val="固定费用"/>
      <sheetName val="平台推广费"/>
      <sheetName val="管理层工资"/>
      <sheetName val="用餐金额"/>
      <sheetName val="客房提成2"/>
      <sheetName val="餐厅工资2"/>
      <sheetName val="水电气费2"/>
      <sheetName val="餐厅成本2"/>
      <sheetName val="前台工资2"/>
      <sheetName val="前台好评提成  2"/>
      <sheetName val="前台二维码提成2"/>
      <sheetName val="会员卡 (2)"/>
      <sheetName val="前台小商品 (2)"/>
      <sheetName val="前台增值物品出入库表  (2)"/>
      <sheetName val="洗涤费 (2)"/>
      <sheetName val="客房耗材出入库表 (2)"/>
      <sheetName val="客房工资 (2)"/>
      <sheetName val="管理层工资 (2)"/>
      <sheetName val="收入及其他项目"/>
      <sheetName val="汇总表"/>
      <sheetName val="智能表1"/>
      <sheetName val="阿米巴核算表（月）"/>
      <sheetName val="阿米巴核算表（周）"/>
      <sheetName val="阿米巴核算表（日）"/>
      <sheetName val="日预算实际表"/>
      <sheetName val="时长汇总"/>
      <sheetName val="单间成本表"/>
      <sheetName val="WpsReserved_CellImgList"/>
    </sheetNames>
    <sheetDataSet>
      <sheetData sheetId="0"/>
      <sheetData sheetId="1"/>
      <sheetData sheetId="2"/>
      <sheetData sheetId="3">
        <row r="5">
          <cell r="B5" t="str">
            <v>电费</v>
          </cell>
          <cell r="C5">
            <v>80</v>
          </cell>
          <cell r="D5" t="str">
            <v>度</v>
          </cell>
        </row>
        <row r="6">
          <cell r="B6" t="str">
            <v>水费</v>
          </cell>
          <cell r="C6">
            <v>1</v>
          </cell>
          <cell r="D6" t="str">
            <v>吨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110"/>
  <sheetViews>
    <sheetView showGridLines="0" workbookViewId="0">
      <pane xSplit="7" ySplit="4" topLeftCell="Q5" activePane="bottomRight" state="frozen"/>
      <selection/>
      <selection pane="topRight"/>
      <selection pane="bottomLeft"/>
      <selection pane="bottomRight" activeCell="B5" sqref="B5"/>
    </sheetView>
  </sheetViews>
  <sheetFormatPr defaultColWidth="9" defaultRowHeight="25" customHeight="1"/>
  <cols>
    <col min="1" max="1" width="4.75" style="143"/>
    <col min="2" max="2" width="17.625" style="143"/>
    <col min="3" max="3" width="8.25833333333333" style="143"/>
    <col min="4" max="4" width="5.125" style="143"/>
    <col min="5" max="5" width="10.1083333333333" style="143" customWidth="1"/>
    <col min="6" max="6" width="5.91666666666667" style="144" customWidth="1"/>
    <col min="7" max="7" width="8.775" style="145"/>
    <col min="8" max="9" width="7.375" style="143"/>
    <col min="10" max="16384" width="9" style="360"/>
  </cols>
  <sheetData>
    <row r="1" s="18" customFormat="1" ht="40" customHeight="1" spans="1:38">
      <c r="A1" s="148" t="s">
        <v>0</v>
      </c>
      <c r="B1" s="148" t="s">
        <v>1</v>
      </c>
      <c r="C1" s="148"/>
      <c r="D1" s="148"/>
      <c r="E1" s="148"/>
      <c r="F1" s="149"/>
      <c r="G1" s="150"/>
      <c r="H1" s="148"/>
      <c r="I1" s="148"/>
    </row>
    <row r="2" s="18" customFormat="1" ht="15" customHeight="1" spans="1:38">
      <c r="A2" s="148"/>
      <c r="B2" s="153" t="s">
        <v>2</v>
      </c>
      <c r="C2" s="148"/>
      <c r="D2" s="148"/>
      <c r="E2" s="148"/>
      <c r="F2" s="149"/>
      <c r="G2" s="150"/>
      <c r="H2" s="215"/>
      <c r="I2" s="148"/>
    </row>
    <row r="3" s="18" customFormat="1" customHeight="1" spans="1:38">
      <c r="A3" s="155" t="s">
        <v>3</v>
      </c>
      <c r="B3" s="155" t="s">
        <v>4</v>
      </c>
      <c r="C3" s="155" t="s">
        <v>5</v>
      </c>
      <c r="D3" s="155" t="s">
        <v>6</v>
      </c>
      <c r="E3" s="219" t="s">
        <v>7</v>
      </c>
      <c r="F3" s="613"/>
      <c r="G3" s="221" t="s">
        <v>8</v>
      </c>
      <c r="H3" s="197" t="s">
        <v>9</v>
      </c>
      <c r="I3" s="197" t="s">
        <v>10</v>
      </c>
      <c r="J3" s="197" t="s">
        <v>11</v>
      </c>
      <c r="K3" s="197" t="s">
        <v>12</v>
      </c>
      <c r="L3" s="197" t="s">
        <v>13</v>
      </c>
      <c r="M3" s="197" t="s">
        <v>14</v>
      </c>
      <c r="N3" s="197" t="s">
        <v>15</v>
      </c>
      <c r="O3" s="197" t="s">
        <v>16</v>
      </c>
      <c r="P3" s="197" t="s">
        <v>17</v>
      </c>
      <c r="Q3" s="197" t="s">
        <v>18</v>
      </c>
      <c r="R3" s="197" t="s">
        <v>19</v>
      </c>
      <c r="S3" s="197" t="s">
        <v>20</v>
      </c>
      <c r="T3" s="197" t="s">
        <v>21</v>
      </c>
      <c r="U3" s="197" t="s">
        <v>22</v>
      </c>
      <c r="V3" s="197" t="s">
        <v>23</v>
      </c>
      <c r="W3" s="197" t="s">
        <v>24</v>
      </c>
      <c r="X3" s="197" t="s">
        <v>25</v>
      </c>
      <c r="Y3" s="197" t="s">
        <v>26</v>
      </c>
      <c r="Z3" s="197" t="s">
        <v>27</v>
      </c>
      <c r="AA3" s="197" t="s">
        <v>28</v>
      </c>
      <c r="AB3" s="197" t="s">
        <v>29</v>
      </c>
      <c r="AC3" s="197" t="s">
        <v>30</v>
      </c>
      <c r="AD3" s="197" t="s">
        <v>31</v>
      </c>
      <c r="AE3" s="197" t="s">
        <v>32</v>
      </c>
      <c r="AF3" s="197" t="s">
        <v>33</v>
      </c>
      <c r="AG3" s="197" t="s">
        <v>34</v>
      </c>
      <c r="AH3" s="197" t="s">
        <v>35</v>
      </c>
      <c r="AI3" s="197" t="s">
        <v>36</v>
      </c>
      <c r="AJ3" s="197" t="s">
        <v>37</v>
      </c>
      <c r="AK3" s="197" t="s">
        <v>38</v>
      </c>
      <c r="AL3" s="197" t="s">
        <v>39</v>
      </c>
    </row>
    <row r="4" s="18" customFormat="1" customHeight="1" spans="1:38">
      <c r="A4" s="158"/>
      <c r="B4" s="158"/>
      <c r="C4" s="158"/>
      <c r="D4" s="158"/>
      <c r="E4" s="222"/>
      <c r="F4" s="613" t="s">
        <v>40</v>
      </c>
      <c r="G4" s="223"/>
      <c r="H4" s="20" t="s">
        <v>40</v>
      </c>
      <c r="I4" s="20" t="s">
        <v>40</v>
      </c>
      <c r="J4" s="20" t="s">
        <v>40</v>
      </c>
      <c r="K4" s="20" t="s">
        <v>40</v>
      </c>
      <c r="L4" s="20" t="s">
        <v>40</v>
      </c>
      <c r="M4" s="20" t="s">
        <v>40</v>
      </c>
      <c r="N4" s="20" t="s">
        <v>40</v>
      </c>
      <c r="O4" s="20" t="s">
        <v>40</v>
      </c>
      <c r="P4" s="20" t="s">
        <v>40</v>
      </c>
      <c r="Q4" s="266" t="s">
        <v>40</v>
      </c>
      <c r="R4" s="20" t="s">
        <v>40</v>
      </c>
      <c r="S4" s="20" t="s">
        <v>40</v>
      </c>
      <c r="T4" s="20" t="s">
        <v>40</v>
      </c>
      <c r="U4" s="20" t="s">
        <v>40</v>
      </c>
      <c r="V4" s="20" t="s">
        <v>40</v>
      </c>
      <c r="W4" s="20" t="s">
        <v>40</v>
      </c>
      <c r="X4" s="20" t="s">
        <v>40</v>
      </c>
      <c r="Y4" s="20" t="s">
        <v>40</v>
      </c>
      <c r="Z4" s="20" t="s">
        <v>40</v>
      </c>
      <c r="AA4" s="20" t="s">
        <v>40</v>
      </c>
      <c r="AB4" s="20" t="s">
        <v>40</v>
      </c>
      <c r="AC4" s="20" t="s">
        <v>40</v>
      </c>
      <c r="AD4" s="20" t="s">
        <v>40</v>
      </c>
      <c r="AE4" s="20" t="s">
        <v>40</v>
      </c>
      <c r="AF4" s="20" t="s">
        <v>40</v>
      </c>
      <c r="AG4" s="20" t="s">
        <v>40</v>
      </c>
      <c r="AH4" s="20" t="s">
        <v>40</v>
      </c>
      <c r="AI4" s="20" t="s">
        <v>40</v>
      </c>
      <c r="AJ4" s="20" t="s">
        <v>40</v>
      </c>
      <c r="AK4" s="20" t="s">
        <v>40</v>
      </c>
      <c r="AL4" s="20" t="s">
        <v>40</v>
      </c>
    </row>
    <row r="5" s="140" customFormat="1" customHeight="1" spans="1:38">
      <c r="A5" s="161">
        <v>1</v>
      </c>
      <c r="B5" s="551" t="s">
        <v>41</v>
      </c>
      <c r="C5" s="609" t="s">
        <v>42</v>
      </c>
      <c r="D5" s="100" t="s">
        <v>43</v>
      </c>
      <c r="E5" s="100">
        <v>6</v>
      </c>
      <c r="F5" s="190">
        <f t="shared" ref="F5:F10" si="0">SUMIF($H$4:$AL$4,$F$4,$H5:$AL5)</f>
        <v>65</v>
      </c>
      <c r="G5" s="191">
        <f>+E5*F5</f>
        <v>390</v>
      </c>
      <c r="H5" s="143">
        <v>65</v>
      </c>
      <c r="I5" s="438"/>
      <c r="J5" s="438"/>
      <c r="K5" s="438"/>
      <c r="L5" s="162"/>
      <c r="M5" s="162"/>
      <c r="N5" s="162"/>
      <c r="O5" s="162"/>
      <c r="P5" s="536"/>
      <c r="Q5" s="293"/>
      <c r="R5" s="365"/>
      <c r="S5" s="162"/>
      <c r="T5" s="162"/>
      <c r="U5" s="162"/>
      <c r="V5" s="162"/>
      <c r="W5" s="162"/>
      <c r="X5" s="213"/>
      <c r="Y5" s="213"/>
      <c r="Z5" s="213"/>
      <c r="AA5" s="213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</row>
    <row r="6" s="140" customFormat="1" customHeight="1" spans="1:38">
      <c r="A6" s="161">
        <v>2</v>
      </c>
      <c r="B6" s="551" t="s">
        <v>41</v>
      </c>
      <c r="C6" s="614" t="s">
        <v>44</v>
      </c>
      <c r="D6" s="545" t="s">
        <v>43</v>
      </c>
      <c r="E6" s="100">
        <v>15</v>
      </c>
      <c r="F6" s="190">
        <f t="shared" si="0"/>
        <v>32</v>
      </c>
      <c r="G6" s="547">
        <f>F6*E6</f>
        <v>480</v>
      </c>
      <c r="H6" s="293">
        <v>32</v>
      </c>
      <c r="I6" s="438"/>
      <c r="J6" s="438"/>
      <c r="K6" s="438"/>
      <c r="L6" s="162"/>
      <c r="M6" s="162"/>
      <c r="N6" s="162"/>
      <c r="O6" s="162"/>
      <c r="P6" s="536"/>
      <c r="Q6" s="293"/>
      <c r="R6" s="365"/>
      <c r="S6" s="162"/>
      <c r="T6" s="162"/>
      <c r="U6" s="162"/>
      <c r="V6" s="162"/>
      <c r="W6" s="162"/>
      <c r="X6" s="213"/>
      <c r="Y6" s="213"/>
      <c r="Z6" s="213"/>
      <c r="AA6" s="213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</row>
    <row r="7" s="140" customFormat="1" customHeight="1" spans="1:38">
      <c r="A7" s="161">
        <v>3</v>
      </c>
      <c r="B7" s="551" t="s">
        <v>41</v>
      </c>
      <c r="C7" s="614" t="s">
        <v>45</v>
      </c>
      <c r="D7" s="545" t="s">
        <v>43</v>
      </c>
      <c r="E7" s="100">
        <v>30</v>
      </c>
      <c r="F7" s="190">
        <f t="shared" si="0"/>
        <v>0</v>
      </c>
      <c r="G7" s="547">
        <f>F7*E7</f>
        <v>0</v>
      </c>
      <c r="H7" s="438"/>
      <c r="I7" s="438"/>
      <c r="J7" s="438"/>
      <c r="K7" s="438"/>
      <c r="L7" s="162"/>
      <c r="M7" s="162"/>
      <c r="N7" s="162"/>
      <c r="O7" s="162"/>
      <c r="P7" s="536"/>
      <c r="Q7" s="293"/>
      <c r="R7" s="365"/>
      <c r="S7" s="162"/>
      <c r="T7" s="162"/>
      <c r="U7" s="162"/>
      <c r="V7" s="162"/>
      <c r="W7" s="162"/>
      <c r="X7" s="213"/>
      <c r="Y7" s="213"/>
      <c r="Z7" s="213"/>
      <c r="AA7" s="213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</row>
    <row r="8" s="140" customFormat="1" customHeight="1" spans="1:38">
      <c r="A8" s="161">
        <v>4</v>
      </c>
      <c r="B8" s="551" t="s">
        <v>41</v>
      </c>
      <c r="C8" s="609" t="s">
        <v>46</v>
      </c>
      <c r="D8" s="100" t="s">
        <v>43</v>
      </c>
      <c r="E8" s="100">
        <v>6</v>
      </c>
      <c r="F8" s="190">
        <f t="shared" si="0"/>
        <v>0</v>
      </c>
      <c r="G8" s="615">
        <f t="shared" ref="G8:G13" si="1">+E8*F8</f>
        <v>0</v>
      </c>
      <c r="H8" s="438"/>
      <c r="I8" s="438"/>
      <c r="J8" s="438"/>
      <c r="K8" s="438"/>
      <c r="L8" s="162"/>
      <c r="M8" s="162"/>
      <c r="N8" s="162"/>
      <c r="O8" s="162"/>
      <c r="P8" s="162"/>
      <c r="Q8" s="372"/>
      <c r="R8" s="162"/>
      <c r="S8" s="162"/>
      <c r="T8" s="162"/>
      <c r="U8" s="162"/>
      <c r="V8" s="162"/>
      <c r="W8" s="162"/>
      <c r="X8" s="213"/>
      <c r="Y8" s="213"/>
      <c r="Z8" s="213"/>
      <c r="AA8" s="213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</row>
    <row r="9" s="140" customFormat="1" customHeight="1" spans="1:38">
      <c r="A9" s="161">
        <v>5</v>
      </c>
      <c r="B9" s="551" t="s">
        <v>41</v>
      </c>
      <c r="C9" s="609" t="s">
        <v>47</v>
      </c>
      <c r="D9" s="100" t="s">
        <v>43</v>
      </c>
      <c r="E9" s="100">
        <v>6</v>
      </c>
      <c r="F9" s="190">
        <f t="shared" si="0"/>
        <v>0</v>
      </c>
      <c r="G9" s="615">
        <f t="shared" si="1"/>
        <v>0</v>
      </c>
      <c r="H9" s="438"/>
      <c r="I9" s="438"/>
      <c r="J9" s="438"/>
      <c r="K9" s="438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43"/>
      <c r="X9" s="213"/>
      <c r="Y9" s="213"/>
      <c r="Z9" s="213"/>
      <c r="AA9" s="213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</row>
    <row r="10" s="140" customFormat="1" customHeight="1" spans="1:38">
      <c r="A10" s="161">
        <v>6</v>
      </c>
      <c r="B10" s="551" t="s">
        <v>41</v>
      </c>
      <c r="C10" s="609" t="s">
        <v>48</v>
      </c>
      <c r="D10" s="100" t="s">
        <v>43</v>
      </c>
      <c r="E10" s="100">
        <v>6</v>
      </c>
      <c r="F10" s="190">
        <f t="shared" si="0"/>
        <v>0</v>
      </c>
      <c r="G10" s="615">
        <f t="shared" si="1"/>
        <v>0</v>
      </c>
      <c r="H10" s="438"/>
      <c r="I10" s="438"/>
      <c r="J10" s="438"/>
      <c r="K10" s="438"/>
      <c r="L10" s="438"/>
      <c r="M10" s="549"/>
      <c r="N10" s="549"/>
      <c r="O10" s="162"/>
      <c r="P10" s="162"/>
      <c r="Q10" s="162"/>
      <c r="R10" s="162"/>
      <c r="S10" s="162"/>
      <c r="T10" s="162"/>
      <c r="U10" s="162"/>
      <c r="V10" s="534"/>
      <c r="W10" s="162"/>
      <c r="X10" s="213"/>
      <c r="Y10" s="213"/>
      <c r="Z10" s="213"/>
      <c r="AA10" s="213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</row>
    <row r="11" s="140" customFormat="1" customHeight="1" spans="1:38">
      <c r="A11" s="161">
        <v>7</v>
      </c>
      <c r="B11" s="551" t="s">
        <v>41</v>
      </c>
      <c r="C11" s="609" t="s">
        <v>49</v>
      </c>
      <c r="D11" s="100" t="s">
        <v>43</v>
      </c>
      <c r="E11" s="100">
        <v>6</v>
      </c>
      <c r="F11" s="190">
        <f t="shared" ref="F11:F17" si="2">SUMIF($H$4:$AL$4,$F$4,$H11:$AL11)</f>
        <v>0</v>
      </c>
      <c r="G11" s="615">
        <f t="shared" si="1"/>
        <v>0</v>
      </c>
      <c r="H11" s="438"/>
      <c r="I11" s="143"/>
      <c r="J11" s="438"/>
      <c r="K11" s="438"/>
      <c r="L11" s="162"/>
      <c r="M11" s="162"/>
      <c r="N11" s="162"/>
      <c r="O11" s="143"/>
      <c r="P11" s="162"/>
      <c r="Q11" s="162"/>
      <c r="R11" s="162"/>
      <c r="S11" s="162"/>
      <c r="T11" s="162"/>
      <c r="U11" s="536"/>
      <c r="V11" s="293"/>
      <c r="W11" s="365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</row>
    <row r="12" s="140" customFormat="1" customHeight="1" spans="1:38">
      <c r="A12" s="161">
        <v>8</v>
      </c>
      <c r="B12" s="551" t="s">
        <v>41</v>
      </c>
      <c r="C12" s="609" t="s">
        <v>50</v>
      </c>
      <c r="D12" s="100" t="s">
        <v>43</v>
      </c>
      <c r="E12" s="100">
        <v>6</v>
      </c>
      <c r="F12" s="190">
        <f t="shared" si="2"/>
        <v>1</v>
      </c>
      <c r="G12" s="615">
        <f t="shared" si="1"/>
        <v>6</v>
      </c>
      <c r="H12" s="438">
        <v>1</v>
      </c>
      <c r="I12" s="438"/>
      <c r="J12" s="438"/>
      <c r="K12" s="438"/>
      <c r="L12" s="438"/>
      <c r="M12" s="549"/>
      <c r="N12" s="549"/>
      <c r="O12" s="162"/>
      <c r="P12" s="162"/>
      <c r="Q12" s="162"/>
      <c r="R12" s="162"/>
      <c r="S12" s="162"/>
      <c r="T12" s="162"/>
      <c r="U12" s="536"/>
      <c r="V12" s="293"/>
      <c r="W12" s="365"/>
      <c r="X12" s="162"/>
      <c r="Y12" s="162"/>
      <c r="Z12" s="162"/>
      <c r="AA12" s="162"/>
      <c r="AB12" s="162"/>
      <c r="AC12" s="162"/>
      <c r="AD12" s="143"/>
      <c r="AE12" s="162"/>
      <c r="AF12" s="162"/>
      <c r="AG12" s="162"/>
      <c r="AH12" s="162"/>
      <c r="AI12" s="162"/>
      <c r="AJ12" s="162"/>
      <c r="AK12" s="162"/>
      <c r="AL12" s="162"/>
    </row>
    <row r="13" s="140" customFormat="1" customHeight="1" spans="1:38">
      <c r="A13" s="161">
        <v>9</v>
      </c>
      <c r="B13" s="551" t="s">
        <v>41</v>
      </c>
      <c r="C13" s="609" t="s">
        <v>51</v>
      </c>
      <c r="D13" s="100" t="s">
        <v>43</v>
      </c>
      <c r="E13" s="100">
        <v>6</v>
      </c>
      <c r="F13" s="190">
        <f t="shared" si="2"/>
        <v>0</v>
      </c>
      <c r="G13" s="615">
        <f t="shared" si="1"/>
        <v>0</v>
      </c>
      <c r="H13" s="438"/>
      <c r="I13" s="438"/>
      <c r="J13" s="438"/>
      <c r="K13" s="438"/>
      <c r="L13" s="162"/>
      <c r="M13" s="162"/>
      <c r="N13" s="162"/>
      <c r="O13" s="162"/>
      <c r="P13" s="162"/>
      <c r="Q13" s="162"/>
      <c r="R13" s="162"/>
      <c r="S13" s="162"/>
      <c r="T13" s="162"/>
      <c r="U13" s="162"/>
      <c r="V13" s="37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</row>
    <row r="14" s="143" customFormat="1" customHeight="1" spans="1:38">
      <c r="A14" s="161">
        <v>10</v>
      </c>
      <c r="B14" s="551" t="s">
        <v>41</v>
      </c>
      <c r="C14" s="616" t="s">
        <v>52</v>
      </c>
      <c r="D14" s="560" t="s">
        <v>43</v>
      </c>
      <c r="E14" s="100">
        <v>6</v>
      </c>
      <c r="F14" s="190">
        <f t="shared" si="2"/>
        <v>1</v>
      </c>
      <c r="G14" s="615">
        <f>F14*E14</f>
        <v>6</v>
      </c>
      <c r="H14" s="549">
        <v>1</v>
      </c>
      <c r="I14" s="549"/>
      <c r="J14" s="549"/>
      <c r="K14" s="549"/>
      <c r="L14" s="162"/>
      <c r="M14" s="162"/>
      <c r="N14" s="162"/>
      <c r="O14" s="162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617"/>
      <c r="AI14" s="162"/>
      <c r="AJ14" s="162"/>
      <c r="AK14" s="162"/>
      <c r="AL14" s="162"/>
    </row>
    <row r="15" s="143" customFormat="1" customHeight="1" spans="1:38">
      <c r="A15" s="161">
        <v>11</v>
      </c>
      <c r="B15" s="551" t="s">
        <v>53</v>
      </c>
      <c r="C15" s="609" t="s">
        <v>42</v>
      </c>
      <c r="D15" s="100" t="s">
        <v>43</v>
      </c>
      <c r="E15" s="100">
        <v>5</v>
      </c>
      <c r="F15" s="190">
        <f t="shared" si="2"/>
        <v>4</v>
      </c>
      <c r="G15" s="191">
        <f t="shared" ref="G14:G30" si="3">+E15*F15</f>
        <v>20</v>
      </c>
      <c r="H15" s="143">
        <v>4</v>
      </c>
      <c r="I15" s="549"/>
      <c r="J15" s="549"/>
      <c r="K15" s="549"/>
      <c r="L15" s="162"/>
      <c r="M15" s="162"/>
      <c r="N15" s="162"/>
      <c r="O15" s="162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617"/>
      <c r="AI15" s="162" t="s">
        <v>0</v>
      </c>
      <c r="AJ15" s="162"/>
      <c r="AK15" s="162"/>
      <c r="AL15" s="162"/>
    </row>
    <row r="16" s="140" customFormat="1" customHeight="1" spans="1:38">
      <c r="A16" s="161">
        <v>12</v>
      </c>
      <c r="B16" s="551" t="s">
        <v>53</v>
      </c>
      <c r="C16" s="614" t="s">
        <v>44</v>
      </c>
      <c r="D16" s="545" t="s">
        <v>43</v>
      </c>
      <c r="E16" s="100">
        <v>15</v>
      </c>
      <c r="F16" s="190">
        <f t="shared" si="2"/>
        <v>1</v>
      </c>
      <c r="G16" s="547">
        <f>F16*E16</f>
        <v>15</v>
      </c>
      <c r="H16" s="438">
        <v>1</v>
      </c>
      <c r="I16" s="438"/>
      <c r="J16" s="438"/>
      <c r="K16" s="438"/>
      <c r="L16" s="162"/>
      <c r="M16" s="162"/>
      <c r="N16" s="162"/>
      <c r="O16" s="162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617"/>
      <c r="AI16" s="162"/>
      <c r="AJ16" s="162"/>
      <c r="AK16" s="162"/>
      <c r="AL16" s="162"/>
    </row>
    <row r="17" s="140" customFormat="1" customHeight="1" spans="1:38">
      <c r="A17" s="161">
        <v>13</v>
      </c>
      <c r="B17" s="551" t="s">
        <v>53</v>
      </c>
      <c r="C17" s="614" t="s">
        <v>45</v>
      </c>
      <c r="D17" s="545" t="s">
        <v>43</v>
      </c>
      <c r="E17" s="100">
        <v>30</v>
      </c>
      <c r="F17" s="190">
        <f t="shared" si="2"/>
        <v>0</v>
      </c>
      <c r="G17" s="547">
        <f>F17*E17</f>
        <v>0</v>
      </c>
      <c r="H17" s="438"/>
      <c r="I17" s="438"/>
      <c r="J17" s="438"/>
      <c r="K17" s="438"/>
      <c r="L17" s="162"/>
      <c r="M17" s="162"/>
      <c r="N17" s="162"/>
      <c r="O17" s="162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</row>
    <row r="18" s="140" customFormat="1" customHeight="1" spans="1:38">
      <c r="A18" s="161">
        <v>14</v>
      </c>
      <c r="B18" s="551" t="s">
        <v>53</v>
      </c>
      <c r="C18" s="609" t="s">
        <v>46</v>
      </c>
      <c r="D18" s="100" t="s">
        <v>43</v>
      </c>
      <c r="E18" s="100">
        <v>5</v>
      </c>
      <c r="F18" s="190">
        <f t="shared" ref="F18:F49" si="4">SUMIF($H$4:$AL$4,$F$4,$H18:$AL18)</f>
        <v>0</v>
      </c>
      <c r="G18" s="615">
        <f t="shared" ref="G18:G25" si="5">+E18*F18</f>
        <v>0</v>
      </c>
      <c r="H18" s="438"/>
      <c r="I18" s="438"/>
      <c r="J18" s="438"/>
      <c r="K18" s="438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</row>
    <row r="19" s="140" customFormat="1" customHeight="1" spans="1:38">
      <c r="A19" s="161">
        <v>15</v>
      </c>
      <c r="B19" s="551" t="s">
        <v>53</v>
      </c>
      <c r="C19" s="609" t="s">
        <v>47</v>
      </c>
      <c r="D19" s="100" t="s">
        <v>43</v>
      </c>
      <c r="E19" s="100">
        <v>5</v>
      </c>
      <c r="F19" s="190">
        <f t="shared" si="4"/>
        <v>1</v>
      </c>
      <c r="G19" s="615">
        <f t="shared" si="5"/>
        <v>5</v>
      </c>
      <c r="H19" s="438">
        <v>1</v>
      </c>
      <c r="I19" s="438"/>
      <c r="J19" s="438"/>
      <c r="K19" s="438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</row>
    <row r="20" s="140" customFormat="1" customHeight="1" spans="1:38">
      <c r="A20" s="161">
        <v>16</v>
      </c>
      <c r="B20" s="551" t="s">
        <v>53</v>
      </c>
      <c r="C20" s="609" t="s">
        <v>48</v>
      </c>
      <c r="D20" s="100" t="s">
        <v>43</v>
      </c>
      <c r="E20" s="100">
        <v>5</v>
      </c>
      <c r="F20" s="190">
        <f t="shared" si="4"/>
        <v>0</v>
      </c>
      <c r="G20" s="615">
        <f t="shared" si="5"/>
        <v>0</v>
      </c>
      <c r="H20" s="438"/>
      <c r="I20" s="438"/>
      <c r="J20" s="438"/>
      <c r="K20" s="438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</row>
    <row r="21" s="140" customFormat="1" customHeight="1" spans="1:38">
      <c r="A21" s="161">
        <v>17</v>
      </c>
      <c r="B21" s="551" t="s">
        <v>53</v>
      </c>
      <c r="C21" s="609" t="s">
        <v>49</v>
      </c>
      <c r="D21" s="100" t="s">
        <v>43</v>
      </c>
      <c r="E21" s="100">
        <v>5</v>
      </c>
      <c r="F21" s="190">
        <f t="shared" si="4"/>
        <v>2</v>
      </c>
      <c r="G21" s="615">
        <f t="shared" si="5"/>
        <v>10</v>
      </c>
      <c r="H21" s="438">
        <v>2</v>
      </c>
      <c r="I21" s="438"/>
      <c r="J21" s="438"/>
      <c r="K21" s="438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</row>
    <row r="22" s="140" customFormat="1" customHeight="1" spans="1:38">
      <c r="A22" s="161">
        <v>18</v>
      </c>
      <c r="B22" s="551" t="s">
        <v>53</v>
      </c>
      <c r="C22" s="609" t="s">
        <v>50</v>
      </c>
      <c r="D22" s="100" t="s">
        <v>43</v>
      </c>
      <c r="E22" s="100">
        <v>5</v>
      </c>
      <c r="F22" s="190">
        <f t="shared" si="4"/>
        <v>20</v>
      </c>
      <c r="G22" s="615">
        <f t="shared" si="5"/>
        <v>100</v>
      </c>
      <c r="H22" s="549">
        <v>20</v>
      </c>
      <c r="I22" s="438"/>
      <c r="J22" s="438"/>
      <c r="K22" s="438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</row>
    <row r="23" s="140" customFormat="1" customHeight="1" spans="1:38">
      <c r="A23" s="161">
        <v>19</v>
      </c>
      <c r="B23" s="551" t="s">
        <v>53</v>
      </c>
      <c r="C23" s="609" t="s">
        <v>51</v>
      </c>
      <c r="D23" s="100" t="s">
        <v>43</v>
      </c>
      <c r="E23" s="100">
        <v>5</v>
      </c>
      <c r="F23" s="190">
        <f t="shared" si="4"/>
        <v>1</v>
      </c>
      <c r="G23" s="615">
        <f t="shared" si="5"/>
        <v>5</v>
      </c>
      <c r="H23" s="143">
        <v>1</v>
      </c>
      <c r="I23" s="438"/>
      <c r="J23" s="438"/>
      <c r="K23" s="438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</row>
    <row r="24" s="140" customFormat="1" customHeight="1" spans="1:38">
      <c r="A24" s="161">
        <v>20</v>
      </c>
      <c r="B24" s="551" t="s">
        <v>53</v>
      </c>
      <c r="C24" s="616" t="s">
        <v>52</v>
      </c>
      <c r="D24" s="560" t="s">
        <v>43</v>
      </c>
      <c r="E24" s="560">
        <v>5</v>
      </c>
      <c r="F24" s="190">
        <f t="shared" si="4"/>
        <v>7</v>
      </c>
      <c r="G24" s="615">
        <f t="shared" si="5"/>
        <v>35</v>
      </c>
      <c r="H24" s="438">
        <v>7</v>
      </c>
      <c r="I24" s="438"/>
      <c r="J24" s="438"/>
      <c r="K24" s="438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</row>
    <row r="25" s="140" customFormat="1" customHeight="1" spans="1:38">
      <c r="A25" s="161">
        <v>21</v>
      </c>
      <c r="B25" s="551" t="s">
        <v>54</v>
      </c>
      <c r="C25" s="609" t="s">
        <v>42</v>
      </c>
      <c r="D25" s="100" t="s">
        <v>43</v>
      </c>
      <c r="E25" s="100">
        <v>5</v>
      </c>
      <c r="F25" s="190">
        <f t="shared" si="4"/>
        <v>0</v>
      </c>
      <c r="G25" s="191">
        <f t="shared" si="5"/>
        <v>0</v>
      </c>
      <c r="H25" s="438"/>
      <c r="I25" s="438"/>
      <c r="J25" s="438"/>
      <c r="K25" s="438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</row>
    <row r="26" s="143" customFormat="1" customHeight="1" spans="1:38">
      <c r="A26" s="161">
        <v>22</v>
      </c>
      <c r="B26" s="551" t="s">
        <v>54</v>
      </c>
      <c r="C26" s="614" t="s">
        <v>44</v>
      </c>
      <c r="D26" s="545" t="s">
        <v>43</v>
      </c>
      <c r="E26" s="100">
        <v>15</v>
      </c>
      <c r="F26" s="190">
        <f t="shared" si="4"/>
        <v>2</v>
      </c>
      <c r="G26" s="547">
        <f>F26*E26</f>
        <v>30</v>
      </c>
      <c r="H26" s="438">
        <v>2</v>
      </c>
      <c r="I26" s="549"/>
      <c r="J26" s="549"/>
      <c r="K26" s="549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</row>
    <row r="27" s="140" customFormat="1" customHeight="1" spans="1:38">
      <c r="A27" s="161">
        <v>23</v>
      </c>
      <c r="B27" s="551" t="s">
        <v>54</v>
      </c>
      <c r="C27" s="614" t="s">
        <v>45</v>
      </c>
      <c r="D27" s="545" t="s">
        <v>43</v>
      </c>
      <c r="E27" s="100">
        <v>30</v>
      </c>
      <c r="F27" s="190">
        <f t="shared" si="4"/>
        <v>1</v>
      </c>
      <c r="G27" s="547">
        <f>F27*E27</f>
        <v>30</v>
      </c>
      <c r="H27" s="438">
        <v>1</v>
      </c>
      <c r="I27" s="438"/>
      <c r="J27" s="438"/>
      <c r="K27" s="438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</row>
    <row r="28" s="140" customFormat="1" customHeight="1" spans="1:38">
      <c r="A28" s="161">
        <v>24</v>
      </c>
      <c r="B28" s="551" t="s">
        <v>54</v>
      </c>
      <c r="C28" s="609" t="s">
        <v>46</v>
      </c>
      <c r="D28" s="100" t="s">
        <v>43</v>
      </c>
      <c r="E28" s="100">
        <v>5</v>
      </c>
      <c r="F28" s="190">
        <f t="shared" si="4"/>
        <v>4</v>
      </c>
      <c r="G28" s="615">
        <f t="shared" ref="G28:G34" si="6">+E28*F28</f>
        <v>20</v>
      </c>
      <c r="H28" s="438">
        <v>4</v>
      </c>
      <c r="I28" s="438"/>
      <c r="J28" s="438"/>
      <c r="K28" s="438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</row>
    <row r="29" s="140" customFormat="1" customHeight="1" spans="1:38">
      <c r="A29" s="161">
        <v>25</v>
      </c>
      <c r="B29" s="551" t="s">
        <v>54</v>
      </c>
      <c r="C29" s="609" t="s">
        <v>47</v>
      </c>
      <c r="D29" s="100" t="s">
        <v>43</v>
      </c>
      <c r="E29" s="100">
        <v>5</v>
      </c>
      <c r="F29" s="190">
        <f t="shared" si="4"/>
        <v>1</v>
      </c>
      <c r="G29" s="615">
        <f t="shared" si="6"/>
        <v>5</v>
      </c>
      <c r="H29" s="438">
        <v>1</v>
      </c>
      <c r="I29" s="438"/>
      <c r="J29" s="438"/>
      <c r="K29" s="438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</row>
    <row r="30" s="140" customFormat="1" customHeight="1" spans="1:38">
      <c r="A30" s="161">
        <v>26</v>
      </c>
      <c r="B30" s="551" t="s">
        <v>54</v>
      </c>
      <c r="C30" s="609" t="s">
        <v>48</v>
      </c>
      <c r="D30" s="100" t="s">
        <v>43</v>
      </c>
      <c r="E30" s="100">
        <v>5</v>
      </c>
      <c r="F30" s="190">
        <f t="shared" si="4"/>
        <v>0</v>
      </c>
      <c r="G30" s="615">
        <f t="shared" si="6"/>
        <v>0</v>
      </c>
      <c r="H30" s="549"/>
      <c r="I30" s="438"/>
      <c r="J30" s="438"/>
      <c r="K30" s="438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</row>
    <row r="31" s="140" customFormat="1" customHeight="1" spans="1:38">
      <c r="A31" s="161">
        <v>27</v>
      </c>
      <c r="B31" s="551" t="s">
        <v>54</v>
      </c>
      <c r="C31" s="609" t="s">
        <v>49</v>
      </c>
      <c r="D31" s="100" t="s">
        <v>43</v>
      </c>
      <c r="E31" s="100">
        <v>5</v>
      </c>
      <c r="F31" s="190">
        <f t="shared" si="4"/>
        <v>14</v>
      </c>
      <c r="G31" s="615">
        <f t="shared" si="6"/>
        <v>70</v>
      </c>
      <c r="H31" s="438">
        <v>14</v>
      </c>
      <c r="I31" s="438"/>
      <c r="J31" s="438"/>
      <c r="K31" s="438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</row>
    <row r="32" s="140" customFormat="1" customHeight="1" spans="1:38">
      <c r="A32" s="161">
        <v>28</v>
      </c>
      <c r="B32" s="551" t="s">
        <v>54</v>
      </c>
      <c r="C32" s="609" t="s">
        <v>50</v>
      </c>
      <c r="D32" s="100" t="s">
        <v>43</v>
      </c>
      <c r="E32" s="100">
        <v>5</v>
      </c>
      <c r="F32" s="190">
        <f t="shared" si="4"/>
        <v>50</v>
      </c>
      <c r="G32" s="615">
        <f t="shared" si="6"/>
        <v>250</v>
      </c>
      <c r="H32" s="438">
        <v>50</v>
      </c>
      <c r="I32" s="438"/>
      <c r="J32" s="438"/>
      <c r="K32" s="438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</row>
    <row r="33" s="140" customFormat="1" customHeight="1" spans="1:38">
      <c r="A33" s="161">
        <v>29</v>
      </c>
      <c r="B33" s="551" t="s">
        <v>54</v>
      </c>
      <c r="C33" s="609" t="s">
        <v>51</v>
      </c>
      <c r="D33" s="100" t="s">
        <v>43</v>
      </c>
      <c r="E33" s="100">
        <v>5</v>
      </c>
      <c r="F33" s="190">
        <f t="shared" si="4"/>
        <v>1</v>
      </c>
      <c r="G33" s="615">
        <f t="shared" si="6"/>
        <v>5</v>
      </c>
      <c r="H33" s="438">
        <v>1</v>
      </c>
      <c r="I33" s="438"/>
      <c r="J33" s="438"/>
      <c r="K33" s="438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</row>
    <row r="34" s="140" customFormat="1" customHeight="1" spans="1:38">
      <c r="A34" s="161">
        <v>30</v>
      </c>
      <c r="B34" s="551" t="s">
        <v>54</v>
      </c>
      <c r="C34" s="616" t="s">
        <v>52</v>
      </c>
      <c r="D34" s="560" t="s">
        <v>43</v>
      </c>
      <c r="E34" s="560">
        <v>5</v>
      </c>
      <c r="F34" s="190">
        <f t="shared" si="4"/>
        <v>26</v>
      </c>
      <c r="G34" s="615">
        <f t="shared" si="6"/>
        <v>130</v>
      </c>
      <c r="H34" s="438">
        <v>26</v>
      </c>
      <c r="I34" s="438"/>
      <c r="J34" s="438"/>
      <c r="K34" s="438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</row>
    <row r="35" s="140" customFormat="1" customHeight="1" spans="1:38">
      <c r="A35" s="161">
        <v>31</v>
      </c>
      <c r="B35" s="551" t="s">
        <v>55</v>
      </c>
      <c r="C35" s="618" t="s">
        <v>42</v>
      </c>
      <c r="D35" s="100" t="s">
        <v>43</v>
      </c>
      <c r="E35" s="100">
        <v>5</v>
      </c>
      <c r="F35" s="190">
        <f t="shared" si="4"/>
        <v>2</v>
      </c>
      <c r="G35" s="191">
        <f>F35*E35</f>
        <v>10</v>
      </c>
      <c r="H35" s="438">
        <v>2</v>
      </c>
      <c r="I35" s="438"/>
      <c r="J35" s="438"/>
      <c r="K35" s="438"/>
      <c r="L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</row>
    <row r="36" s="140" customFormat="1" customHeight="1" spans="1:38">
      <c r="A36" s="161">
        <v>32</v>
      </c>
      <c r="B36" s="551" t="s">
        <v>55</v>
      </c>
      <c r="C36" s="618" t="s">
        <v>44</v>
      </c>
      <c r="D36" s="100" t="s">
        <v>43</v>
      </c>
      <c r="E36" s="100">
        <v>15</v>
      </c>
      <c r="F36" s="190">
        <f t="shared" si="4"/>
        <v>7</v>
      </c>
      <c r="G36" s="191">
        <f t="shared" ref="G36:G44" si="7">F36*E36</f>
        <v>105</v>
      </c>
      <c r="H36" s="438">
        <v>7</v>
      </c>
      <c r="I36" s="438"/>
      <c r="K36" s="438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</row>
    <row r="37" s="140" customFormat="1" customHeight="1" spans="1:38">
      <c r="A37" s="161">
        <v>33</v>
      </c>
      <c r="B37" s="551" t="s">
        <v>55</v>
      </c>
      <c r="C37" s="618" t="s">
        <v>45</v>
      </c>
      <c r="D37" s="100" t="s">
        <v>43</v>
      </c>
      <c r="E37" s="100">
        <v>30</v>
      </c>
      <c r="F37" s="190">
        <f t="shared" si="4"/>
        <v>2</v>
      </c>
      <c r="G37" s="191">
        <f t="shared" si="7"/>
        <v>60</v>
      </c>
      <c r="H37" s="438">
        <v>2</v>
      </c>
      <c r="I37" s="438"/>
      <c r="J37" s="438"/>
      <c r="K37" s="438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</row>
    <row r="38" s="140" customFormat="1" customHeight="1" spans="1:38">
      <c r="A38" s="161">
        <v>34</v>
      </c>
      <c r="B38" s="551" t="s">
        <v>55</v>
      </c>
      <c r="C38" s="618" t="s">
        <v>46</v>
      </c>
      <c r="D38" s="100" t="s">
        <v>43</v>
      </c>
      <c r="E38" s="100">
        <v>5</v>
      </c>
      <c r="F38" s="190">
        <f t="shared" si="4"/>
        <v>3</v>
      </c>
      <c r="G38" s="191">
        <f t="shared" si="7"/>
        <v>15</v>
      </c>
      <c r="H38" s="438">
        <v>3</v>
      </c>
      <c r="I38" s="438"/>
      <c r="J38" s="438"/>
      <c r="K38" s="438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</row>
    <row r="39" s="140" customFormat="1" customHeight="1" spans="1:38">
      <c r="A39" s="161">
        <v>35</v>
      </c>
      <c r="B39" s="551" t="s">
        <v>55</v>
      </c>
      <c r="C39" s="618" t="s">
        <v>47</v>
      </c>
      <c r="D39" s="100" t="s">
        <v>43</v>
      </c>
      <c r="E39" s="100">
        <v>5</v>
      </c>
      <c r="F39" s="190">
        <f t="shared" si="4"/>
        <v>0</v>
      </c>
      <c r="G39" s="191">
        <f t="shared" si="7"/>
        <v>0</v>
      </c>
      <c r="H39" s="438"/>
      <c r="I39" s="438"/>
      <c r="J39" s="438"/>
      <c r="K39" s="438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</row>
    <row r="40" s="140" customFormat="1" customHeight="1" spans="1:38">
      <c r="A40" s="161">
        <v>36</v>
      </c>
      <c r="B40" s="551" t="s">
        <v>55</v>
      </c>
      <c r="C40" s="618" t="s">
        <v>48</v>
      </c>
      <c r="D40" s="100" t="s">
        <v>43</v>
      </c>
      <c r="E40" s="100">
        <v>5</v>
      </c>
      <c r="F40" s="190">
        <f t="shared" si="4"/>
        <v>0</v>
      </c>
      <c r="G40" s="191">
        <f t="shared" si="7"/>
        <v>0</v>
      </c>
      <c r="H40" s="438"/>
      <c r="I40" s="438"/>
      <c r="J40" s="438"/>
      <c r="K40" s="438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</row>
    <row r="41" s="140" customFormat="1" customHeight="1" spans="1:38">
      <c r="A41" s="161">
        <v>37</v>
      </c>
      <c r="B41" s="551" t="s">
        <v>55</v>
      </c>
      <c r="C41" s="618" t="s">
        <v>49</v>
      </c>
      <c r="D41" s="100" t="s">
        <v>43</v>
      </c>
      <c r="E41" s="100">
        <v>5</v>
      </c>
      <c r="F41" s="190">
        <f t="shared" si="4"/>
        <v>13</v>
      </c>
      <c r="G41" s="191">
        <f t="shared" si="7"/>
        <v>65</v>
      </c>
      <c r="H41" s="438">
        <v>13</v>
      </c>
      <c r="I41" s="438"/>
      <c r="J41" s="438"/>
      <c r="K41" s="438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</row>
    <row r="42" s="140" customFormat="1" customHeight="1" spans="1:38">
      <c r="A42" s="161">
        <v>38</v>
      </c>
      <c r="B42" s="551" t="s">
        <v>55</v>
      </c>
      <c r="C42" s="618" t="s">
        <v>50</v>
      </c>
      <c r="D42" s="100" t="s">
        <v>43</v>
      </c>
      <c r="E42" s="100">
        <v>5</v>
      </c>
      <c r="F42" s="190">
        <f t="shared" si="4"/>
        <v>57</v>
      </c>
      <c r="G42" s="191">
        <f t="shared" si="7"/>
        <v>285</v>
      </c>
      <c r="H42" s="438">
        <v>57</v>
      </c>
      <c r="I42" s="438"/>
      <c r="J42" s="438"/>
      <c r="K42" s="438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</row>
    <row r="43" s="140" customFormat="1" customHeight="1" spans="1:38">
      <c r="A43" s="161">
        <v>39</v>
      </c>
      <c r="B43" s="551" t="s">
        <v>55</v>
      </c>
      <c r="C43" s="618" t="s">
        <v>51</v>
      </c>
      <c r="D43" s="100" t="s">
        <v>43</v>
      </c>
      <c r="E43" s="100">
        <v>5</v>
      </c>
      <c r="F43" s="190">
        <f t="shared" si="4"/>
        <v>7</v>
      </c>
      <c r="G43" s="191">
        <f t="shared" si="7"/>
        <v>35</v>
      </c>
      <c r="H43" s="438">
        <v>7</v>
      </c>
      <c r="I43" s="438"/>
      <c r="J43" s="438"/>
      <c r="K43" s="438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</row>
    <row r="44" s="140" customFormat="1" customHeight="1" spans="1:38">
      <c r="A44" s="161">
        <v>40</v>
      </c>
      <c r="B44" s="551" t="s">
        <v>55</v>
      </c>
      <c r="C44" s="618" t="s">
        <v>52</v>
      </c>
      <c r="D44" s="100" t="s">
        <v>43</v>
      </c>
      <c r="E44" s="100">
        <v>5</v>
      </c>
      <c r="F44" s="190">
        <f t="shared" si="4"/>
        <v>23</v>
      </c>
      <c r="G44" s="191">
        <f t="shared" si="7"/>
        <v>115</v>
      </c>
      <c r="H44" s="438">
        <v>23</v>
      </c>
      <c r="I44" s="438"/>
      <c r="J44" s="438"/>
      <c r="K44" s="438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</row>
    <row r="45" s="140" customFormat="1" customHeight="1" spans="1:38">
      <c r="A45" s="161">
        <v>41</v>
      </c>
      <c r="B45" s="545" t="s">
        <v>56</v>
      </c>
      <c r="C45" s="618" t="s">
        <v>42</v>
      </c>
      <c r="D45" s="100" t="s">
        <v>43</v>
      </c>
      <c r="E45" s="100">
        <v>5</v>
      </c>
      <c r="F45" s="190">
        <f t="shared" si="4"/>
        <v>0</v>
      </c>
      <c r="G45" s="191">
        <f t="shared" ref="G45:G55" si="8">F45*E45</f>
        <v>0</v>
      </c>
      <c r="H45" s="438"/>
      <c r="I45" s="438"/>
      <c r="J45" s="438"/>
      <c r="K45" s="438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</row>
    <row r="46" s="140" customFormat="1" customHeight="1" spans="1:38">
      <c r="A46" s="161">
        <v>42</v>
      </c>
      <c r="B46" s="545" t="s">
        <v>56</v>
      </c>
      <c r="C46" s="618" t="s">
        <v>44</v>
      </c>
      <c r="D46" s="100" t="s">
        <v>43</v>
      </c>
      <c r="E46" s="100">
        <v>15</v>
      </c>
      <c r="F46" s="190">
        <f t="shared" si="4"/>
        <v>0</v>
      </c>
      <c r="G46" s="191">
        <f t="shared" si="8"/>
        <v>0</v>
      </c>
      <c r="H46" s="438"/>
      <c r="I46" s="438"/>
      <c r="J46" s="438"/>
      <c r="K46" s="438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</row>
    <row r="47" s="140" customFormat="1" customHeight="1" spans="1:38">
      <c r="A47" s="161">
        <v>43</v>
      </c>
      <c r="B47" s="545" t="s">
        <v>56</v>
      </c>
      <c r="C47" s="618" t="s">
        <v>45</v>
      </c>
      <c r="D47" s="100" t="s">
        <v>43</v>
      </c>
      <c r="E47" s="100">
        <v>30</v>
      </c>
      <c r="F47" s="190">
        <f t="shared" si="4"/>
        <v>0</v>
      </c>
      <c r="G47" s="191">
        <f t="shared" si="8"/>
        <v>0</v>
      </c>
      <c r="H47" s="438"/>
      <c r="I47" s="438"/>
      <c r="J47" s="438"/>
      <c r="K47" s="438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</row>
    <row r="48" s="140" customFormat="1" customHeight="1" spans="1:38">
      <c r="A48" s="161">
        <v>44</v>
      </c>
      <c r="B48" s="545" t="s">
        <v>56</v>
      </c>
      <c r="C48" s="618" t="s">
        <v>46</v>
      </c>
      <c r="D48" s="100" t="s">
        <v>43</v>
      </c>
      <c r="E48" s="100">
        <v>5</v>
      </c>
      <c r="F48" s="190">
        <f t="shared" si="4"/>
        <v>0</v>
      </c>
      <c r="G48" s="191">
        <f t="shared" si="8"/>
        <v>0</v>
      </c>
      <c r="H48" s="438"/>
      <c r="I48" s="438"/>
      <c r="J48" s="438"/>
      <c r="K48" s="438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</row>
    <row r="49" s="140" customFormat="1" customHeight="1" spans="1:38">
      <c r="A49" s="161">
        <v>45</v>
      </c>
      <c r="B49" s="545" t="s">
        <v>56</v>
      </c>
      <c r="C49" s="618" t="s">
        <v>47</v>
      </c>
      <c r="D49" s="100" t="s">
        <v>43</v>
      </c>
      <c r="E49" s="100">
        <v>5</v>
      </c>
      <c r="F49" s="190">
        <f t="shared" si="4"/>
        <v>0</v>
      </c>
      <c r="G49" s="191">
        <f t="shared" si="8"/>
        <v>0</v>
      </c>
      <c r="H49" s="438"/>
      <c r="I49" s="438"/>
      <c r="J49" s="438"/>
      <c r="K49" s="438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</row>
    <row r="50" s="140" customFormat="1" customHeight="1" spans="1:38">
      <c r="A50" s="161">
        <v>46</v>
      </c>
      <c r="B50" s="545" t="s">
        <v>56</v>
      </c>
      <c r="C50" s="609" t="s">
        <v>48</v>
      </c>
      <c r="D50" s="100" t="s">
        <v>43</v>
      </c>
      <c r="E50" s="100">
        <v>5</v>
      </c>
      <c r="F50" s="190">
        <f t="shared" ref="F50:F81" si="9">SUMIF($H$4:$AL$4,$F$4,$H50:$AL50)</f>
        <v>0</v>
      </c>
      <c r="G50" s="191">
        <f t="shared" si="8"/>
        <v>0</v>
      </c>
      <c r="H50" s="438"/>
      <c r="I50" s="438"/>
      <c r="J50" s="438"/>
      <c r="K50" s="438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</row>
    <row r="51" s="140" customFormat="1" customHeight="1" spans="1:38">
      <c r="A51" s="161">
        <v>47</v>
      </c>
      <c r="B51" s="545" t="s">
        <v>56</v>
      </c>
      <c r="C51" s="609" t="s">
        <v>49</v>
      </c>
      <c r="D51" s="100" t="s">
        <v>43</v>
      </c>
      <c r="E51" s="100">
        <v>5</v>
      </c>
      <c r="F51" s="190">
        <f t="shared" si="9"/>
        <v>0</v>
      </c>
      <c r="G51" s="191">
        <f t="shared" si="8"/>
        <v>0</v>
      </c>
      <c r="H51" s="438"/>
      <c r="I51" s="438"/>
      <c r="J51" s="438"/>
      <c r="K51" s="438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</row>
    <row r="52" s="140" customFormat="1" customHeight="1" spans="1:38">
      <c r="A52" s="161">
        <v>48</v>
      </c>
      <c r="B52" s="545" t="s">
        <v>56</v>
      </c>
      <c r="C52" s="609" t="s">
        <v>50</v>
      </c>
      <c r="D52" s="100" t="s">
        <v>43</v>
      </c>
      <c r="E52" s="100">
        <v>5</v>
      </c>
      <c r="F52" s="190">
        <f t="shared" si="9"/>
        <v>0</v>
      </c>
      <c r="G52" s="191">
        <f t="shared" si="8"/>
        <v>0</v>
      </c>
      <c r="H52" s="438"/>
      <c r="I52" s="438"/>
      <c r="J52" s="438"/>
      <c r="K52" s="438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</row>
    <row r="53" s="140" customFormat="1" customHeight="1" spans="1:38">
      <c r="A53" s="161">
        <v>49</v>
      </c>
      <c r="B53" s="545" t="s">
        <v>56</v>
      </c>
      <c r="C53" s="609" t="s">
        <v>51</v>
      </c>
      <c r="D53" s="100" t="s">
        <v>43</v>
      </c>
      <c r="E53" s="100">
        <v>5</v>
      </c>
      <c r="F53" s="190">
        <f t="shared" si="9"/>
        <v>0</v>
      </c>
      <c r="G53" s="191">
        <f t="shared" si="8"/>
        <v>0</v>
      </c>
      <c r="H53" s="438"/>
      <c r="I53" s="438"/>
      <c r="J53" s="438"/>
      <c r="K53" s="438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</row>
    <row r="54" s="140" customFormat="1" customHeight="1" spans="1:38">
      <c r="A54" s="161">
        <v>50</v>
      </c>
      <c r="B54" s="545" t="s">
        <v>56</v>
      </c>
      <c r="C54" s="609" t="s">
        <v>52</v>
      </c>
      <c r="D54" s="100" t="s">
        <v>43</v>
      </c>
      <c r="E54" s="100">
        <v>5</v>
      </c>
      <c r="F54" s="190">
        <f t="shared" si="9"/>
        <v>0</v>
      </c>
      <c r="G54" s="191">
        <f t="shared" si="8"/>
        <v>0</v>
      </c>
      <c r="H54" s="438"/>
      <c r="I54" s="438"/>
      <c r="J54" s="438"/>
      <c r="K54" s="438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</row>
    <row r="55" s="140" customFormat="1" customHeight="1" spans="1:38">
      <c r="A55" s="161">
        <v>51</v>
      </c>
      <c r="B55" s="545" t="s">
        <v>57</v>
      </c>
      <c r="C55" s="609" t="s">
        <v>42</v>
      </c>
      <c r="D55" s="100" t="s">
        <v>43</v>
      </c>
      <c r="E55" s="100">
        <v>5</v>
      </c>
      <c r="F55" s="190">
        <f t="shared" si="9"/>
        <v>0</v>
      </c>
      <c r="G55" s="191">
        <f t="shared" si="8"/>
        <v>0</v>
      </c>
      <c r="H55" s="438"/>
      <c r="I55" s="438"/>
      <c r="J55" s="438"/>
      <c r="K55" s="438"/>
      <c r="L55" s="162"/>
      <c r="M55" s="162"/>
      <c r="N55" s="162"/>
      <c r="O55" s="162"/>
      <c r="P55" s="162"/>
      <c r="Q55" s="162"/>
      <c r="R55" s="162"/>
      <c r="S55" s="357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</row>
    <row r="56" s="140" customFormat="1" customHeight="1" spans="1:38">
      <c r="A56" s="161">
        <v>52</v>
      </c>
      <c r="B56" s="545" t="s">
        <v>57</v>
      </c>
      <c r="C56" s="609" t="s">
        <v>44</v>
      </c>
      <c r="D56" s="100" t="s">
        <v>43</v>
      </c>
      <c r="E56" s="100">
        <v>15</v>
      </c>
      <c r="F56" s="190">
        <f t="shared" si="9"/>
        <v>0</v>
      </c>
      <c r="G56" s="191" t="s">
        <v>58</v>
      </c>
      <c r="H56" s="438"/>
      <c r="I56" s="438"/>
      <c r="J56" s="438"/>
      <c r="K56" s="438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</row>
    <row r="57" s="140" customFormat="1" customHeight="1" spans="1:38">
      <c r="A57" s="161">
        <v>53</v>
      </c>
      <c r="B57" s="545" t="s">
        <v>57</v>
      </c>
      <c r="C57" s="609" t="s">
        <v>45</v>
      </c>
      <c r="D57" s="100" t="s">
        <v>43</v>
      </c>
      <c r="E57" s="100">
        <v>30</v>
      </c>
      <c r="F57" s="190">
        <f t="shared" si="9"/>
        <v>0</v>
      </c>
      <c r="G57" s="191" t="s">
        <v>58</v>
      </c>
      <c r="H57" s="438"/>
      <c r="I57" s="438"/>
      <c r="J57" s="438"/>
      <c r="K57" s="438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</row>
    <row r="58" s="140" customFormat="1" customHeight="1" spans="1:38">
      <c r="A58" s="161">
        <v>54</v>
      </c>
      <c r="B58" s="545" t="s">
        <v>57</v>
      </c>
      <c r="C58" s="609" t="s">
        <v>46</v>
      </c>
      <c r="D58" s="100" t="s">
        <v>43</v>
      </c>
      <c r="E58" s="100">
        <v>5</v>
      </c>
      <c r="F58" s="190">
        <f t="shared" si="9"/>
        <v>0</v>
      </c>
      <c r="G58" s="191">
        <f>F58*E58</f>
        <v>0</v>
      </c>
      <c r="H58" s="438"/>
      <c r="I58" s="438"/>
      <c r="J58" s="438"/>
      <c r="K58" s="438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</row>
    <row r="59" s="140" customFormat="1" customHeight="1" spans="1:38">
      <c r="A59" s="161">
        <v>55</v>
      </c>
      <c r="B59" s="545" t="s">
        <v>57</v>
      </c>
      <c r="C59" s="609" t="s">
        <v>47</v>
      </c>
      <c r="D59" s="100" t="s">
        <v>43</v>
      </c>
      <c r="E59" s="100">
        <v>5</v>
      </c>
      <c r="F59" s="190">
        <f t="shared" si="9"/>
        <v>0</v>
      </c>
      <c r="G59" s="191" t="s">
        <v>58</v>
      </c>
      <c r="H59" s="438"/>
      <c r="I59" s="438"/>
      <c r="J59" s="438"/>
      <c r="K59" s="438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</row>
    <row r="60" s="140" customFormat="1" customHeight="1" spans="1:38">
      <c r="A60" s="161">
        <v>56</v>
      </c>
      <c r="B60" s="545" t="s">
        <v>57</v>
      </c>
      <c r="C60" s="162" t="s">
        <v>48</v>
      </c>
      <c r="D60" s="162" t="s">
        <v>43</v>
      </c>
      <c r="E60" s="162">
        <v>5</v>
      </c>
      <c r="F60" s="190">
        <f t="shared" si="9"/>
        <v>0</v>
      </c>
      <c r="G60" s="191" t="s">
        <v>58</v>
      </c>
      <c r="H60" s="133"/>
      <c r="I60" s="133"/>
      <c r="J60" s="438"/>
      <c r="K60" s="438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</row>
    <row r="61" s="140" customFormat="1" customHeight="1" spans="1:38">
      <c r="A61" s="161">
        <v>57</v>
      </c>
      <c r="B61" s="545" t="s">
        <v>57</v>
      </c>
      <c r="C61" s="162" t="s">
        <v>49</v>
      </c>
      <c r="D61" s="162" t="s">
        <v>43</v>
      </c>
      <c r="E61" s="162">
        <v>5</v>
      </c>
      <c r="F61" s="190">
        <f t="shared" si="9"/>
        <v>0</v>
      </c>
      <c r="G61" s="191" t="s">
        <v>58</v>
      </c>
      <c r="H61" s="133"/>
      <c r="I61" s="133"/>
      <c r="J61" s="162"/>
      <c r="K61" s="438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</row>
    <row r="62" s="140" customFormat="1" customHeight="1" spans="1:38">
      <c r="A62" s="161">
        <v>58</v>
      </c>
      <c r="B62" s="545" t="s">
        <v>57</v>
      </c>
      <c r="C62" s="162" t="s">
        <v>50</v>
      </c>
      <c r="D62" s="162" t="s">
        <v>43</v>
      </c>
      <c r="E62" s="162">
        <v>5</v>
      </c>
      <c r="F62" s="190">
        <f t="shared" si="9"/>
        <v>0</v>
      </c>
      <c r="G62" s="191">
        <f>F62*5</f>
        <v>0</v>
      </c>
      <c r="H62" s="133"/>
      <c r="I62" s="133"/>
      <c r="J62" s="162"/>
      <c r="K62" s="438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</row>
    <row r="63" s="140" customFormat="1" customHeight="1" spans="1:38">
      <c r="A63" s="161">
        <v>59</v>
      </c>
      <c r="B63" s="545" t="s">
        <v>57</v>
      </c>
      <c r="C63" s="162" t="s">
        <v>51</v>
      </c>
      <c r="D63" s="162" t="s">
        <v>43</v>
      </c>
      <c r="E63" s="162">
        <v>5</v>
      </c>
      <c r="F63" s="190">
        <f t="shared" si="9"/>
        <v>0</v>
      </c>
      <c r="G63" s="191" t="s">
        <v>58</v>
      </c>
      <c r="H63" s="133"/>
      <c r="I63" s="133"/>
      <c r="J63" s="162"/>
      <c r="K63" s="438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</row>
    <row r="64" s="140" customFormat="1" customHeight="1" spans="1:38">
      <c r="A64" s="161">
        <v>60</v>
      </c>
      <c r="B64" s="545" t="s">
        <v>57</v>
      </c>
      <c r="C64" s="162" t="s">
        <v>52</v>
      </c>
      <c r="D64" s="162" t="s">
        <v>43</v>
      </c>
      <c r="E64" s="162">
        <v>5</v>
      </c>
      <c r="F64" s="190">
        <f t="shared" si="9"/>
        <v>0</v>
      </c>
      <c r="G64" s="191" t="s">
        <v>58</v>
      </c>
      <c r="H64" s="133"/>
      <c r="I64" s="133"/>
      <c r="J64" s="162"/>
      <c r="K64" s="438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</row>
    <row r="65" s="140" customFormat="1" customHeight="1" spans="1:38">
      <c r="A65" s="161">
        <v>56</v>
      </c>
      <c r="B65" s="545" t="s">
        <v>59</v>
      </c>
      <c r="C65" s="618" t="s">
        <v>42</v>
      </c>
      <c r="D65" s="100" t="s">
        <v>43</v>
      </c>
      <c r="E65" s="100">
        <v>5</v>
      </c>
      <c r="F65" s="190">
        <f t="shared" si="9"/>
        <v>3</v>
      </c>
      <c r="G65" s="191">
        <f>F65*E65</f>
        <v>15</v>
      </c>
      <c r="H65" s="133">
        <v>3</v>
      </c>
      <c r="I65" s="133"/>
      <c r="J65" s="162"/>
      <c r="K65" s="438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</row>
    <row r="66" s="140" customFormat="1" customHeight="1" spans="1:38">
      <c r="A66" s="161">
        <v>57</v>
      </c>
      <c r="B66" s="545" t="s">
        <v>59</v>
      </c>
      <c r="C66" s="618" t="s">
        <v>44</v>
      </c>
      <c r="D66" s="100" t="s">
        <v>43</v>
      </c>
      <c r="E66" s="100">
        <v>15</v>
      </c>
      <c r="F66" s="190">
        <f t="shared" si="9"/>
        <v>3</v>
      </c>
      <c r="G66" s="191">
        <f t="shared" ref="G66:G94" si="10">F66*E66</f>
        <v>45</v>
      </c>
      <c r="H66" s="133">
        <v>3</v>
      </c>
      <c r="I66" s="133"/>
      <c r="J66" s="162"/>
      <c r="K66" s="438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</row>
    <row r="67" s="140" customFormat="1" customHeight="1" spans="1:38">
      <c r="A67" s="161">
        <v>58</v>
      </c>
      <c r="B67" s="545" t="s">
        <v>59</v>
      </c>
      <c r="C67" s="618" t="s">
        <v>45</v>
      </c>
      <c r="D67" s="100" t="s">
        <v>43</v>
      </c>
      <c r="E67" s="100">
        <v>30</v>
      </c>
      <c r="F67" s="190">
        <f t="shared" si="9"/>
        <v>1</v>
      </c>
      <c r="G67" s="191">
        <f t="shared" si="10"/>
        <v>30</v>
      </c>
      <c r="H67" s="133">
        <v>1</v>
      </c>
      <c r="I67" s="133"/>
      <c r="J67" s="162"/>
      <c r="K67" s="438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</row>
    <row r="68" s="140" customFormat="1" customHeight="1" spans="1:38">
      <c r="A68" s="161">
        <v>59</v>
      </c>
      <c r="B68" s="545" t="s">
        <v>59</v>
      </c>
      <c r="C68" s="618" t="s">
        <v>46</v>
      </c>
      <c r="D68" s="100" t="s">
        <v>43</v>
      </c>
      <c r="E68" s="100">
        <v>5</v>
      </c>
      <c r="F68" s="190">
        <f t="shared" si="9"/>
        <v>0</v>
      </c>
      <c r="G68" s="191">
        <f t="shared" si="10"/>
        <v>0</v>
      </c>
      <c r="H68" s="133"/>
      <c r="I68" s="133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</row>
    <row r="69" s="140" customFormat="1" customHeight="1" spans="1:38">
      <c r="A69" s="161">
        <v>60</v>
      </c>
      <c r="B69" s="545" t="s">
        <v>59</v>
      </c>
      <c r="C69" s="618" t="s">
        <v>47</v>
      </c>
      <c r="D69" s="100" t="s">
        <v>43</v>
      </c>
      <c r="E69" s="100">
        <v>5</v>
      </c>
      <c r="F69" s="190">
        <f t="shared" si="9"/>
        <v>0</v>
      </c>
      <c r="G69" s="191">
        <f t="shared" si="10"/>
        <v>0</v>
      </c>
      <c r="H69" s="133"/>
      <c r="I69" s="133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</row>
    <row r="70" s="140" customFormat="1" customHeight="1" spans="1:38">
      <c r="A70" s="161">
        <v>61</v>
      </c>
      <c r="B70" s="545" t="s">
        <v>59</v>
      </c>
      <c r="C70" s="609" t="s">
        <v>48</v>
      </c>
      <c r="D70" s="100" t="s">
        <v>43</v>
      </c>
      <c r="E70" s="100">
        <v>5</v>
      </c>
      <c r="F70" s="190">
        <f t="shared" si="9"/>
        <v>0</v>
      </c>
      <c r="G70" s="191">
        <f t="shared" si="10"/>
        <v>0</v>
      </c>
      <c r="H70" s="133"/>
      <c r="I70" s="133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</row>
    <row r="71" s="140" customFormat="1" customHeight="1" spans="1:38">
      <c r="A71" s="161">
        <v>62</v>
      </c>
      <c r="B71" s="545" t="s">
        <v>59</v>
      </c>
      <c r="C71" s="609" t="s">
        <v>49</v>
      </c>
      <c r="D71" s="100" t="s">
        <v>43</v>
      </c>
      <c r="E71" s="100">
        <v>5</v>
      </c>
      <c r="F71" s="190">
        <f t="shared" si="9"/>
        <v>1</v>
      </c>
      <c r="G71" s="191">
        <f t="shared" si="10"/>
        <v>5</v>
      </c>
      <c r="H71" s="133">
        <v>1</v>
      </c>
      <c r="I71" s="133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</row>
    <row r="72" s="140" customFormat="1" customHeight="1" spans="1:38">
      <c r="A72" s="161">
        <v>63</v>
      </c>
      <c r="B72" s="545" t="s">
        <v>59</v>
      </c>
      <c r="C72" s="609" t="s">
        <v>50</v>
      </c>
      <c r="D72" s="100" t="s">
        <v>43</v>
      </c>
      <c r="E72" s="100">
        <v>5</v>
      </c>
      <c r="F72" s="190">
        <f t="shared" si="9"/>
        <v>3</v>
      </c>
      <c r="G72" s="191">
        <f t="shared" si="10"/>
        <v>15</v>
      </c>
      <c r="H72" s="133">
        <v>3</v>
      </c>
      <c r="I72" s="133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</row>
    <row r="73" s="140" customFormat="1" customHeight="1" spans="1:38">
      <c r="A73" s="161">
        <v>64</v>
      </c>
      <c r="B73" s="545" t="s">
        <v>59</v>
      </c>
      <c r="C73" s="609" t="s">
        <v>51</v>
      </c>
      <c r="D73" s="100" t="s">
        <v>43</v>
      </c>
      <c r="E73" s="100">
        <v>5</v>
      </c>
      <c r="F73" s="190">
        <f t="shared" si="9"/>
        <v>1</v>
      </c>
      <c r="G73" s="191">
        <f t="shared" si="10"/>
        <v>5</v>
      </c>
      <c r="H73" s="133">
        <v>1</v>
      </c>
      <c r="I73" s="133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</row>
    <row r="74" s="140" customFormat="1" customHeight="1" spans="1:38">
      <c r="A74" s="161">
        <v>65</v>
      </c>
      <c r="B74" s="545" t="s">
        <v>59</v>
      </c>
      <c r="C74" s="609" t="s">
        <v>52</v>
      </c>
      <c r="D74" s="100" t="s">
        <v>43</v>
      </c>
      <c r="E74" s="100">
        <v>5</v>
      </c>
      <c r="F74" s="190">
        <f t="shared" si="9"/>
        <v>0</v>
      </c>
      <c r="G74" s="191">
        <f t="shared" si="10"/>
        <v>0</v>
      </c>
      <c r="H74" s="133"/>
      <c r="I74" s="133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</row>
    <row r="75" s="140" customFormat="1" customHeight="1" spans="1:38">
      <c r="A75" s="161">
        <v>66</v>
      </c>
      <c r="B75" s="357" t="s">
        <v>60</v>
      </c>
      <c r="C75" s="618" t="s">
        <v>42</v>
      </c>
      <c r="D75" s="100" t="s">
        <v>43</v>
      </c>
      <c r="E75" s="100">
        <v>5</v>
      </c>
      <c r="F75" s="190">
        <f t="shared" si="9"/>
        <v>0</v>
      </c>
      <c r="G75" s="191">
        <f t="shared" si="10"/>
        <v>0</v>
      </c>
      <c r="H75" s="133"/>
      <c r="I75" s="133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</row>
    <row r="76" s="140" customFormat="1" customHeight="1" spans="1:38">
      <c r="A76" s="161">
        <v>67</v>
      </c>
      <c r="B76" s="357" t="s">
        <v>60</v>
      </c>
      <c r="C76" s="618" t="s">
        <v>44</v>
      </c>
      <c r="D76" s="100" t="s">
        <v>43</v>
      </c>
      <c r="E76" s="100">
        <v>15</v>
      </c>
      <c r="F76" s="190">
        <f t="shared" si="9"/>
        <v>0</v>
      </c>
      <c r="G76" s="191">
        <f t="shared" si="10"/>
        <v>0</v>
      </c>
      <c r="H76" s="133"/>
      <c r="I76" s="133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</row>
    <row r="77" s="140" customFormat="1" customHeight="1" spans="1:38">
      <c r="A77" s="161">
        <v>68</v>
      </c>
      <c r="B77" s="357" t="s">
        <v>60</v>
      </c>
      <c r="C77" s="618" t="s">
        <v>45</v>
      </c>
      <c r="D77" s="100" t="s">
        <v>43</v>
      </c>
      <c r="E77" s="100">
        <v>30</v>
      </c>
      <c r="F77" s="190">
        <f t="shared" si="9"/>
        <v>0</v>
      </c>
      <c r="G77" s="191">
        <f t="shared" si="10"/>
        <v>0</v>
      </c>
      <c r="H77" s="133"/>
      <c r="I77" s="133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</row>
    <row r="78" s="140" customFormat="1" customHeight="1" spans="1:38">
      <c r="A78" s="161">
        <v>69</v>
      </c>
      <c r="B78" s="357" t="s">
        <v>60</v>
      </c>
      <c r="C78" s="618" t="s">
        <v>46</v>
      </c>
      <c r="D78" s="100" t="s">
        <v>43</v>
      </c>
      <c r="E78" s="100">
        <v>5</v>
      </c>
      <c r="F78" s="190">
        <f t="shared" si="9"/>
        <v>6</v>
      </c>
      <c r="G78" s="191">
        <f t="shared" si="10"/>
        <v>30</v>
      </c>
      <c r="H78" s="133">
        <v>6</v>
      </c>
      <c r="I78" s="133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</row>
    <row r="79" s="140" customFormat="1" customHeight="1" spans="1:38">
      <c r="A79" s="161">
        <v>70</v>
      </c>
      <c r="B79" s="357" t="s">
        <v>60</v>
      </c>
      <c r="C79" s="618" t="s">
        <v>47</v>
      </c>
      <c r="D79" s="100" t="s">
        <v>43</v>
      </c>
      <c r="E79" s="100">
        <v>5</v>
      </c>
      <c r="F79" s="190">
        <f t="shared" si="9"/>
        <v>4</v>
      </c>
      <c r="G79" s="191">
        <f t="shared" si="10"/>
        <v>20</v>
      </c>
      <c r="H79" s="133">
        <v>4</v>
      </c>
      <c r="I79" s="133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</row>
    <row r="80" s="140" customFormat="1" customHeight="1" spans="1:38">
      <c r="A80" s="161">
        <v>71</v>
      </c>
      <c r="B80" s="357" t="s">
        <v>60</v>
      </c>
      <c r="C80" s="609" t="s">
        <v>48</v>
      </c>
      <c r="D80" s="100" t="s">
        <v>43</v>
      </c>
      <c r="E80" s="100">
        <v>5</v>
      </c>
      <c r="F80" s="190">
        <f t="shared" si="9"/>
        <v>0</v>
      </c>
      <c r="G80" s="191">
        <f t="shared" si="10"/>
        <v>0</v>
      </c>
      <c r="H80" s="133"/>
      <c r="I80" s="133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</row>
    <row r="81" s="140" customFormat="1" customHeight="1" spans="1:38">
      <c r="A81" s="161">
        <v>72</v>
      </c>
      <c r="B81" s="357" t="s">
        <v>60</v>
      </c>
      <c r="C81" s="609" t="s">
        <v>49</v>
      </c>
      <c r="D81" s="100" t="s">
        <v>43</v>
      </c>
      <c r="E81" s="100">
        <v>5</v>
      </c>
      <c r="F81" s="190">
        <f t="shared" si="9"/>
        <v>9</v>
      </c>
      <c r="G81" s="191">
        <f t="shared" si="10"/>
        <v>45</v>
      </c>
      <c r="H81" s="133">
        <v>9</v>
      </c>
      <c r="I81" s="133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</row>
    <row r="82" s="140" customFormat="1" customHeight="1" spans="1:38">
      <c r="A82" s="161">
        <v>73</v>
      </c>
      <c r="B82" s="357" t="s">
        <v>60</v>
      </c>
      <c r="C82" s="609" t="s">
        <v>50</v>
      </c>
      <c r="D82" s="100" t="s">
        <v>43</v>
      </c>
      <c r="E82" s="100">
        <v>5</v>
      </c>
      <c r="F82" s="190">
        <f t="shared" ref="F82:F98" si="11">SUMIF($H$4:$AL$4,$F$4,$H82:$AL82)</f>
        <v>49</v>
      </c>
      <c r="G82" s="191">
        <f t="shared" si="10"/>
        <v>245</v>
      </c>
      <c r="H82" s="133">
        <v>49</v>
      </c>
      <c r="I82" s="133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</row>
    <row r="83" s="140" customFormat="1" customHeight="1" spans="1:38">
      <c r="A83" s="161">
        <v>74</v>
      </c>
      <c r="B83" s="357" t="s">
        <v>60</v>
      </c>
      <c r="C83" s="609" t="s">
        <v>51</v>
      </c>
      <c r="D83" s="100" t="s">
        <v>43</v>
      </c>
      <c r="E83" s="100">
        <v>5</v>
      </c>
      <c r="F83" s="190">
        <f t="shared" si="11"/>
        <v>6</v>
      </c>
      <c r="G83" s="191">
        <f t="shared" si="10"/>
        <v>30</v>
      </c>
      <c r="H83" s="133">
        <v>6</v>
      </c>
      <c r="I83" s="133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</row>
    <row r="84" s="140" customFormat="1" customHeight="1" spans="1:38">
      <c r="A84" s="161">
        <v>75</v>
      </c>
      <c r="B84" s="357" t="s">
        <v>60</v>
      </c>
      <c r="C84" s="609" t="s">
        <v>52</v>
      </c>
      <c r="D84" s="100" t="s">
        <v>43</v>
      </c>
      <c r="E84" s="100">
        <v>5</v>
      </c>
      <c r="F84" s="190">
        <f t="shared" si="11"/>
        <v>0</v>
      </c>
      <c r="G84" s="191">
        <f t="shared" si="10"/>
        <v>0</v>
      </c>
      <c r="H84" s="133"/>
      <c r="I84" s="133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</row>
    <row r="85" s="140" customFormat="1" customHeight="1" spans="1:38">
      <c r="A85" s="161">
        <v>76</v>
      </c>
      <c r="B85" s="357" t="s">
        <v>61</v>
      </c>
      <c r="C85" s="162" t="s">
        <v>42</v>
      </c>
      <c r="D85" s="162" t="s">
        <v>43</v>
      </c>
      <c r="E85" s="162">
        <v>5</v>
      </c>
      <c r="F85" s="190">
        <f t="shared" si="11"/>
        <v>0</v>
      </c>
      <c r="G85" s="191">
        <f t="shared" si="10"/>
        <v>0</v>
      </c>
      <c r="H85" s="133"/>
      <c r="I85" s="133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</row>
    <row r="86" s="140" customFormat="1" customHeight="1" spans="1:38">
      <c r="A86" s="161">
        <v>77</v>
      </c>
      <c r="B86" s="357" t="s">
        <v>61</v>
      </c>
      <c r="C86" s="162" t="s">
        <v>44</v>
      </c>
      <c r="D86" s="162" t="s">
        <v>43</v>
      </c>
      <c r="E86" s="162">
        <v>15</v>
      </c>
      <c r="F86" s="190">
        <f t="shared" si="11"/>
        <v>0</v>
      </c>
      <c r="G86" s="191">
        <f t="shared" si="10"/>
        <v>0</v>
      </c>
      <c r="H86" s="133"/>
      <c r="I86" s="133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</row>
    <row r="87" s="140" customFormat="1" customHeight="1" spans="1:38">
      <c r="A87" s="161">
        <v>78</v>
      </c>
      <c r="B87" s="357" t="s">
        <v>61</v>
      </c>
      <c r="C87" s="162" t="s">
        <v>45</v>
      </c>
      <c r="D87" s="162" t="s">
        <v>43</v>
      </c>
      <c r="E87" s="162">
        <v>30</v>
      </c>
      <c r="F87" s="190">
        <f t="shared" si="11"/>
        <v>0</v>
      </c>
      <c r="G87" s="191">
        <f t="shared" si="10"/>
        <v>0</v>
      </c>
      <c r="H87" s="133"/>
      <c r="I87" s="133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</row>
    <row r="88" s="140" customFormat="1" customHeight="1" spans="1:38">
      <c r="A88" s="161">
        <v>79</v>
      </c>
      <c r="B88" s="357" t="s">
        <v>61</v>
      </c>
      <c r="C88" s="162" t="s">
        <v>46</v>
      </c>
      <c r="D88" s="162" t="s">
        <v>43</v>
      </c>
      <c r="E88" s="162">
        <v>5</v>
      </c>
      <c r="F88" s="190">
        <f t="shared" si="11"/>
        <v>0</v>
      </c>
      <c r="G88" s="191">
        <f t="shared" si="10"/>
        <v>0</v>
      </c>
      <c r="H88" s="133"/>
      <c r="I88" s="133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</row>
    <row r="89" s="140" customFormat="1" customHeight="1" spans="1:38">
      <c r="A89" s="161">
        <v>80</v>
      </c>
      <c r="B89" s="357" t="s">
        <v>61</v>
      </c>
      <c r="C89" s="162" t="s">
        <v>47</v>
      </c>
      <c r="D89" s="162" t="s">
        <v>43</v>
      </c>
      <c r="E89" s="162">
        <v>5</v>
      </c>
      <c r="F89" s="190">
        <f t="shared" si="11"/>
        <v>0</v>
      </c>
      <c r="G89" s="191">
        <f t="shared" si="10"/>
        <v>0</v>
      </c>
      <c r="H89" s="133"/>
      <c r="I89" s="133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</row>
    <row r="90" s="140" customFormat="1" customHeight="1" spans="1:38">
      <c r="A90" s="161">
        <v>81</v>
      </c>
      <c r="B90" s="357" t="s">
        <v>61</v>
      </c>
      <c r="C90" s="162" t="s">
        <v>48</v>
      </c>
      <c r="D90" s="162" t="s">
        <v>43</v>
      </c>
      <c r="E90" s="162">
        <v>5</v>
      </c>
      <c r="F90" s="190">
        <f t="shared" si="11"/>
        <v>0</v>
      </c>
      <c r="G90" s="191">
        <f t="shared" si="10"/>
        <v>0</v>
      </c>
      <c r="H90" s="133"/>
      <c r="I90" s="133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</row>
    <row r="91" s="140" customFormat="1" customHeight="1" spans="1:38">
      <c r="A91" s="161">
        <v>82</v>
      </c>
      <c r="B91" s="357" t="s">
        <v>61</v>
      </c>
      <c r="C91" s="162" t="s">
        <v>49</v>
      </c>
      <c r="D91" s="162" t="s">
        <v>43</v>
      </c>
      <c r="E91" s="162">
        <v>5</v>
      </c>
      <c r="F91" s="190">
        <f t="shared" si="11"/>
        <v>1</v>
      </c>
      <c r="G91" s="191">
        <f t="shared" si="10"/>
        <v>5</v>
      </c>
      <c r="H91" s="133">
        <v>1</v>
      </c>
      <c r="I91" s="133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</row>
    <row r="92" s="140" customFormat="1" customHeight="1" spans="1:38">
      <c r="A92" s="161">
        <v>83</v>
      </c>
      <c r="B92" s="357" t="s">
        <v>61</v>
      </c>
      <c r="C92" s="162" t="s">
        <v>50</v>
      </c>
      <c r="D92" s="162" t="s">
        <v>43</v>
      </c>
      <c r="E92" s="162">
        <v>5</v>
      </c>
      <c r="F92" s="190">
        <f t="shared" si="11"/>
        <v>2</v>
      </c>
      <c r="G92" s="191">
        <f t="shared" si="10"/>
        <v>10</v>
      </c>
      <c r="H92" s="133">
        <v>2</v>
      </c>
      <c r="I92" s="133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</row>
    <row r="93" s="140" customFormat="1" customHeight="1" spans="1:38">
      <c r="A93" s="161">
        <v>84</v>
      </c>
      <c r="B93" s="357" t="s">
        <v>61</v>
      </c>
      <c r="C93" s="162" t="s">
        <v>51</v>
      </c>
      <c r="D93" s="162" t="s">
        <v>43</v>
      </c>
      <c r="E93" s="162">
        <v>5</v>
      </c>
      <c r="F93" s="190">
        <f t="shared" si="11"/>
        <v>0</v>
      </c>
      <c r="G93" s="191">
        <f t="shared" si="10"/>
        <v>0</v>
      </c>
      <c r="H93" s="133"/>
      <c r="I93" s="133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</row>
    <row r="94" s="140" customFormat="1" customHeight="1" spans="1:38">
      <c r="A94" s="161">
        <v>85</v>
      </c>
      <c r="B94" s="357" t="s">
        <v>61</v>
      </c>
      <c r="C94" s="162" t="s">
        <v>52</v>
      </c>
      <c r="D94" s="162" t="s">
        <v>43</v>
      </c>
      <c r="E94" s="162">
        <v>5</v>
      </c>
      <c r="F94" s="190">
        <f t="shared" si="11"/>
        <v>0</v>
      </c>
      <c r="G94" s="191">
        <f t="shared" si="10"/>
        <v>0</v>
      </c>
      <c r="H94" s="133"/>
      <c r="I94" s="133"/>
      <c r="J94" s="162"/>
      <c r="K94" s="162"/>
      <c r="L94" s="162"/>
      <c r="M94" s="162"/>
      <c r="N94" s="162"/>
      <c r="O94" s="162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</row>
    <row r="95" s="140" customFormat="1" customHeight="1" spans="1:38">
      <c r="A95" s="161">
        <v>86</v>
      </c>
      <c r="B95" s="162"/>
      <c r="C95" s="162"/>
      <c r="D95" s="162" t="s">
        <v>43</v>
      </c>
      <c r="E95" s="162"/>
      <c r="F95" s="190">
        <f t="shared" si="11"/>
        <v>0</v>
      </c>
      <c r="G95" s="191">
        <f t="shared" ref="G91:G109" si="12">+E95*F95</f>
        <v>0</v>
      </c>
      <c r="H95" s="133"/>
      <c r="I95" s="133"/>
      <c r="J95" s="162"/>
      <c r="K95" s="162"/>
      <c r="L95" s="162"/>
      <c r="M95" s="162"/>
      <c r="N95" s="162"/>
      <c r="O95" s="162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</row>
    <row r="96" s="140" customFormat="1" customHeight="1" spans="1:38">
      <c r="A96" s="161">
        <v>87</v>
      </c>
      <c r="B96" s="162"/>
      <c r="C96" s="162"/>
      <c r="D96" s="162" t="s">
        <v>43</v>
      </c>
      <c r="E96" s="162"/>
      <c r="F96" s="190">
        <f t="shared" si="11"/>
        <v>0</v>
      </c>
      <c r="G96" s="191">
        <f t="shared" si="12"/>
        <v>0</v>
      </c>
      <c r="H96" s="133"/>
      <c r="I96" s="133"/>
      <c r="J96" s="162"/>
      <c r="K96" s="162"/>
      <c r="L96" s="162"/>
      <c r="M96" s="162"/>
      <c r="N96" s="162"/>
      <c r="O96" s="162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</row>
    <row r="97" s="140" customFormat="1" customHeight="1" spans="1:38">
      <c r="A97" s="161">
        <v>88</v>
      </c>
      <c r="B97" s="162"/>
      <c r="C97" s="162"/>
      <c r="D97" s="162" t="s">
        <v>43</v>
      </c>
      <c r="E97" s="162"/>
      <c r="F97" s="190">
        <f t="shared" si="11"/>
        <v>0</v>
      </c>
      <c r="G97" s="191">
        <f t="shared" si="12"/>
        <v>0</v>
      </c>
      <c r="H97" s="133"/>
      <c r="I97" s="133"/>
      <c r="J97" s="162"/>
      <c r="K97" s="162"/>
      <c r="L97" s="162"/>
      <c r="M97" s="162"/>
      <c r="N97" s="162"/>
      <c r="O97" s="162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</row>
    <row r="98" s="140" customFormat="1" customHeight="1" spans="1:38">
      <c r="A98" s="161">
        <v>89</v>
      </c>
      <c r="B98" s="162"/>
      <c r="C98" s="162"/>
      <c r="D98" s="162" t="s">
        <v>43</v>
      </c>
      <c r="E98" s="162"/>
      <c r="F98" s="190">
        <f t="shared" si="11"/>
        <v>0</v>
      </c>
      <c r="G98" s="191">
        <f t="shared" si="12"/>
        <v>0</v>
      </c>
      <c r="H98" s="133"/>
      <c r="I98" s="133"/>
      <c r="J98" s="162"/>
      <c r="K98" s="162"/>
      <c r="L98" s="162"/>
      <c r="M98" s="162"/>
      <c r="N98" s="162"/>
      <c r="O98" s="162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</row>
    <row r="99" s="140" customFormat="1" customHeight="1" spans="1:38">
      <c r="A99" s="161">
        <v>90</v>
      </c>
      <c r="B99" s="162"/>
      <c r="C99" s="162"/>
      <c r="D99" s="162" t="s">
        <v>43</v>
      </c>
      <c r="E99" s="162"/>
      <c r="F99" s="190">
        <f t="shared" ref="F91:F110" si="13">SUMIF($H$4:$AL$4,$F$4,$H99:$AL99)</f>
        <v>0</v>
      </c>
      <c r="G99" s="191">
        <f t="shared" si="12"/>
        <v>0</v>
      </c>
      <c r="H99" s="133"/>
      <c r="I99" s="133"/>
      <c r="J99" s="162"/>
      <c r="K99" s="162"/>
      <c r="L99" s="162"/>
      <c r="M99" s="162"/>
      <c r="N99" s="162"/>
      <c r="O99" s="162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</row>
    <row r="100" s="140" customFormat="1" customHeight="1" spans="1:38">
      <c r="A100" s="161">
        <v>91</v>
      </c>
      <c r="B100" s="162"/>
      <c r="C100" s="162"/>
      <c r="D100" s="162" t="s">
        <v>43</v>
      </c>
      <c r="E100" s="162"/>
      <c r="F100" s="190">
        <f t="shared" si="13"/>
        <v>0</v>
      </c>
      <c r="G100" s="191">
        <f t="shared" si="12"/>
        <v>0</v>
      </c>
      <c r="H100" s="133"/>
      <c r="I100" s="133"/>
      <c r="J100" s="162"/>
      <c r="K100" s="162"/>
      <c r="L100" s="162"/>
      <c r="M100" s="162"/>
      <c r="N100" s="162"/>
      <c r="O100" s="162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</row>
    <row r="101" s="140" customFormat="1" customHeight="1" spans="1:38">
      <c r="A101" s="161">
        <v>92</v>
      </c>
      <c r="B101" s="162"/>
      <c r="C101" s="162"/>
      <c r="D101" s="162" t="s">
        <v>43</v>
      </c>
      <c r="E101" s="162"/>
      <c r="F101" s="190">
        <f t="shared" si="13"/>
        <v>0</v>
      </c>
      <c r="G101" s="191">
        <f t="shared" si="12"/>
        <v>0</v>
      </c>
      <c r="H101" s="133"/>
      <c r="I101" s="133"/>
      <c r="J101" s="162"/>
      <c r="K101" s="162"/>
      <c r="L101" s="162"/>
      <c r="M101" s="162"/>
      <c r="N101" s="162"/>
      <c r="O101" s="162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</row>
    <row r="102" s="140" customFormat="1" customHeight="1" spans="1:38">
      <c r="A102" s="161">
        <v>93</v>
      </c>
      <c r="B102" s="162"/>
      <c r="C102" s="162"/>
      <c r="D102" s="162" t="s">
        <v>43</v>
      </c>
      <c r="E102" s="162"/>
      <c r="F102" s="190">
        <f t="shared" si="13"/>
        <v>0</v>
      </c>
      <c r="G102" s="191">
        <f t="shared" si="12"/>
        <v>0</v>
      </c>
      <c r="H102" s="133"/>
      <c r="I102" s="133"/>
      <c r="J102" s="162"/>
      <c r="K102" s="162"/>
      <c r="L102" s="162"/>
      <c r="M102" s="162"/>
      <c r="N102" s="162"/>
      <c r="O102" s="162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</row>
    <row r="103" s="140" customFormat="1" customHeight="1" spans="1:38">
      <c r="A103" s="161">
        <v>94</v>
      </c>
      <c r="B103" s="162"/>
      <c r="C103" s="162"/>
      <c r="D103" s="162" t="s">
        <v>43</v>
      </c>
      <c r="E103" s="162"/>
      <c r="F103" s="190">
        <f t="shared" si="13"/>
        <v>0</v>
      </c>
      <c r="G103" s="191">
        <f t="shared" si="12"/>
        <v>0</v>
      </c>
      <c r="H103" s="133"/>
      <c r="I103" s="133"/>
      <c r="J103" s="162"/>
      <c r="K103" s="162"/>
      <c r="L103" s="162"/>
      <c r="M103" s="162"/>
      <c r="N103" s="162"/>
      <c r="O103" s="162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</row>
    <row r="104" s="140" customFormat="1" customHeight="1" spans="1:38">
      <c r="A104" s="161">
        <v>95</v>
      </c>
      <c r="B104" s="162"/>
      <c r="C104" s="162"/>
      <c r="D104" s="162" t="s">
        <v>43</v>
      </c>
      <c r="E104" s="162"/>
      <c r="F104" s="190">
        <f t="shared" si="13"/>
        <v>0</v>
      </c>
      <c r="G104" s="191">
        <f t="shared" si="12"/>
        <v>0</v>
      </c>
      <c r="H104" s="133"/>
      <c r="I104" s="133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</row>
    <row r="105" s="140" customFormat="1" customHeight="1" spans="1:38">
      <c r="A105" s="161">
        <v>96</v>
      </c>
      <c r="B105" s="162"/>
      <c r="C105" s="162"/>
      <c r="D105" s="162" t="s">
        <v>43</v>
      </c>
      <c r="E105" s="162"/>
      <c r="F105" s="190">
        <f t="shared" si="13"/>
        <v>0</v>
      </c>
      <c r="G105" s="191">
        <f t="shared" si="12"/>
        <v>0</v>
      </c>
      <c r="H105" s="133"/>
      <c r="I105" s="133"/>
      <c r="J105" s="162"/>
      <c r="K105" s="162"/>
      <c r="L105" s="162"/>
      <c r="M105" s="162"/>
      <c r="N105" s="162"/>
      <c r="O105" s="162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</row>
    <row r="106" s="140" customFormat="1" customHeight="1" spans="1:38">
      <c r="A106" s="161">
        <v>97</v>
      </c>
      <c r="B106" s="162"/>
      <c r="C106" s="162"/>
      <c r="D106" s="162" t="s">
        <v>43</v>
      </c>
      <c r="E106" s="162"/>
      <c r="F106" s="190">
        <f t="shared" si="13"/>
        <v>0</v>
      </c>
      <c r="G106" s="191">
        <f t="shared" si="12"/>
        <v>0</v>
      </c>
      <c r="H106" s="133"/>
      <c r="I106" s="133"/>
      <c r="J106" s="162"/>
      <c r="K106" s="162"/>
      <c r="L106" s="162"/>
      <c r="M106" s="162"/>
      <c r="N106" s="162"/>
      <c r="O106" s="162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</row>
    <row r="107" s="140" customFormat="1" customHeight="1" spans="1:38">
      <c r="A107" s="161">
        <v>98</v>
      </c>
      <c r="B107" s="162"/>
      <c r="C107" s="162"/>
      <c r="D107" s="162" t="s">
        <v>43</v>
      </c>
      <c r="E107" s="162"/>
      <c r="F107" s="190">
        <f t="shared" si="13"/>
        <v>0</v>
      </c>
      <c r="G107" s="191">
        <f t="shared" si="12"/>
        <v>0</v>
      </c>
      <c r="H107" s="133"/>
      <c r="I107" s="133"/>
      <c r="J107" s="162"/>
      <c r="K107" s="162"/>
      <c r="L107" s="162"/>
      <c r="M107" s="162"/>
      <c r="N107" s="162"/>
      <c r="O107" s="162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</row>
    <row r="108" s="140" customFormat="1" customHeight="1" spans="1:38">
      <c r="A108" s="161">
        <v>99</v>
      </c>
      <c r="B108" s="162"/>
      <c r="C108" s="162"/>
      <c r="D108" s="162" t="s">
        <v>43</v>
      </c>
      <c r="E108" s="162"/>
      <c r="F108" s="190">
        <f t="shared" si="13"/>
        <v>0</v>
      </c>
      <c r="G108" s="191">
        <f t="shared" si="12"/>
        <v>0</v>
      </c>
      <c r="H108" s="133"/>
      <c r="I108" s="133"/>
      <c r="J108" s="162"/>
      <c r="K108" s="162"/>
      <c r="L108" s="162"/>
      <c r="M108" s="162"/>
      <c r="N108" s="162"/>
      <c r="O108" s="162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</row>
    <row r="109" s="140" customFormat="1" customHeight="1" spans="1:38">
      <c r="A109" s="161">
        <v>100</v>
      </c>
      <c r="B109" s="162"/>
      <c r="C109" s="162"/>
      <c r="D109" s="162" t="s">
        <v>43</v>
      </c>
      <c r="E109" s="162"/>
      <c r="F109" s="190">
        <f t="shared" si="13"/>
        <v>0</v>
      </c>
      <c r="G109" s="191">
        <f t="shared" si="12"/>
        <v>0</v>
      </c>
      <c r="H109" s="133"/>
      <c r="I109" s="133"/>
      <c r="J109" s="162"/>
      <c r="K109" s="162"/>
      <c r="L109" s="162"/>
      <c r="M109" s="162"/>
      <c r="N109" s="162"/>
      <c r="O109" s="162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</row>
    <row r="110" customHeight="1" spans="1:38">
      <c r="A110" s="162"/>
      <c r="B110" s="6" t="s">
        <v>62</v>
      </c>
      <c r="C110" s="162"/>
      <c r="D110" s="162"/>
      <c r="E110" s="162"/>
      <c r="F110" s="190">
        <f t="shared" si="13"/>
        <v>437</v>
      </c>
      <c r="G110" s="190">
        <f t="shared" ref="G110:AL110" si="14">SUM(G5:G109)</f>
        <v>2802</v>
      </c>
      <c r="H110" s="619">
        <f t="shared" si="14"/>
        <v>437</v>
      </c>
      <c r="I110" s="619">
        <f t="shared" si="14"/>
        <v>0</v>
      </c>
      <c r="J110" s="619">
        <f t="shared" si="14"/>
        <v>0</v>
      </c>
      <c r="K110" s="619">
        <f t="shared" si="14"/>
        <v>0</v>
      </c>
      <c r="L110" s="619">
        <f t="shared" si="14"/>
        <v>0</v>
      </c>
      <c r="M110" s="619">
        <f t="shared" si="14"/>
        <v>0</v>
      </c>
      <c r="N110" s="619">
        <f t="shared" si="14"/>
        <v>0</v>
      </c>
      <c r="O110" s="619">
        <f t="shared" si="14"/>
        <v>0</v>
      </c>
      <c r="P110" s="619">
        <f t="shared" si="14"/>
        <v>0</v>
      </c>
      <c r="Q110" s="619">
        <f t="shared" si="14"/>
        <v>0</v>
      </c>
      <c r="R110" s="619">
        <f t="shared" si="14"/>
        <v>0</v>
      </c>
      <c r="S110" s="619">
        <f t="shared" si="14"/>
        <v>0</v>
      </c>
      <c r="T110" s="619">
        <f t="shared" si="14"/>
        <v>0</v>
      </c>
      <c r="U110" s="619">
        <f t="shared" si="14"/>
        <v>0</v>
      </c>
      <c r="V110" s="619">
        <f t="shared" si="14"/>
        <v>0</v>
      </c>
      <c r="W110" s="619">
        <f t="shared" si="14"/>
        <v>0</v>
      </c>
      <c r="X110" s="619">
        <f t="shared" si="14"/>
        <v>0</v>
      </c>
      <c r="Y110" s="619">
        <f t="shared" si="14"/>
        <v>0</v>
      </c>
      <c r="Z110" s="619">
        <f t="shared" si="14"/>
        <v>0</v>
      </c>
      <c r="AA110" s="619">
        <f t="shared" si="14"/>
        <v>0</v>
      </c>
      <c r="AB110" s="619">
        <f t="shared" si="14"/>
        <v>0</v>
      </c>
      <c r="AC110" s="619">
        <f t="shared" si="14"/>
        <v>0</v>
      </c>
      <c r="AD110" s="619">
        <f t="shared" si="14"/>
        <v>0</v>
      </c>
      <c r="AE110" s="619">
        <f t="shared" si="14"/>
        <v>0</v>
      </c>
      <c r="AF110" s="619">
        <f t="shared" si="14"/>
        <v>0</v>
      </c>
      <c r="AG110" s="619">
        <f t="shared" si="14"/>
        <v>0</v>
      </c>
      <c r="AH110" s="619">
        <f t="shared" si="14"/>
        <v>0</v>
      </c>
      <c r="AI110" s="619">
        <f t="shared" si="14"/>
        <v>0</v>
      </c>
      <c r="AJ110" s="619">
        <f t="shared" si="14"/>
        <v>0</v>
      </c>
      <c r="AK110" s="619">
        <f t="shared" si="14"/>
        <v>0</v>
      </c>
      <c r="AL110" s="619">
        <f t="shared" si="14"/>
        <v>0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D1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前台二维码提成 ">
    <pageSetUpPr fitToPage="1"/>
  </sheetPr>
  <dimension ref="A1:AL105"/>
  <sheetViews>
    <sheetView showGridLines="0" zoomScale="70" zoomScaleNormal="70" workbookViewId="0">
      <pane xSplit="7" ySplit="4" topLeftCell="H45" activePane="bottomRight" state="frozen"/>
      <selection/>
      <selection pane="topRight"/>
      <selection pane="bottomLeft"/>
      <selection pane="bottomRight" activeCell="B45" sqref="B45"/>
    </sheetView>
  </sheetViews>
  <sheetFormatPr defaultColWidth="9" defaultRowHeight="25" customHeight="1"/>
  <cols>
    <col min="1" max="1" width="4.81666666666667" style="143"/>
    <col min="2" max="2" width="17.625" style="143"/>
    <col min="3" max="3" width="8.625" style="143"/>
    <col min="4" max="5" width="5.125" style="143"/>
    <col min="6" max="6" width="9.125" style="144"/>
    <col min="7" max="7" width="12.2583333333333" style="225"/>
    <col min="8" max="18" width="7.375" style="143"/>
    <col min="19" max="19" width="9" style="143"/>
    <col min="20" max="20" width="7.375" style="143"/>
    <col min="21" max="21" width="9" style="143"/>
    <col min="22" max="22" width="7.375" style="143"/>
    <col min="23" max="23" width="9" style="143"/>
    <col min="24" max="24" width="7.375" style="143"/>
    <col min="25" max="25" width="9" style="143"/>
    <col min="26" max="26" width="7.375" style="143"/>
    <col min="27" max="27" width="9" style="143"/>
    <col min="28" max="28" width="7.375" style="143"/>
    <col min="29" max="29" width="9" style="143"/>
    <col min="30" max="30" width="7.375" style="143"/>
    <col min="31" max="31" width="9" style="143"/>
    <col min="32" max="32" width="7.375" style="143"/>
    <col min="33" max="33" width="9" style="143"/>
    <col min="34" max="34" width="7.375" style="143"/>
    <col min="35" max="35" width="9" style="143"/>
    <col min="36" max="36" width="7.375" style="143"/>
    <col min="37" max="37" width="9" style="143"/>
    <col min="38" max="38" width="7.375" style="143"/>
    <col min="39" max="16384" width="9" style="360"/>
  </cols>
  <sheetData>
    <row r="1" s="18" customFormat="1" ht="40" customHeight="1" spans="1:38">
      <c r="A1" s="148"/>
      <c r="B1" s="148" t="s">
        <v>63</v>
      </c>
      <c r="C1" s="148"/>
      <c r="D1" s="148"/>
      <c r="E1" s="148"/>
      <c r="F1" s="149"/>
      <c r="G1" s="226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="18" customFormat="1" ht="15" customHeight="1" spans="1:38">
      <c r="A2" s="148"/>
      <c r="B2" s="153" t="s">
        <v>2</v>
      </c>
      <c r="C2" s="148"/>
      <c r="D2" s="148"/>
      <c r="E2" s="148"/>
      <c r="F2" s="149"/>
      <c r="G2" s="226"/>
      <c r="H2" s="215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</row>
    <row r="3" s="18" customFormat="1" customHeight="1" spans="1:38">
      <c r="A3" s="155" t="s">
        <v>3</v>
      </c>
      <c r="B3" s="155" t="s">
        <v>4</v>
      </c>
      <c r="C3" s="155" t="s">
        <v>5</v>
      </c>
      <c r="D3" s="155" t="s">
        <v>6</v>
      </c>
      <c r="E3" s="155" t="s">
        <v>64</v>
      </c>
      <c r="F3" s="156"/>
      <c r="G3" s="227" t="s">
        <v>65</v>
      </c>
      <c r="H3" s="197" t="s">
        <v>9</v>
      </c>
      <c r="I3" s="197" t="s">
        <v>10</v>
      </c>
      <c r="J3" s="197" t="s">
        <v>11</v>
      </c>
      <c r="K3" s="197" t="s">
        <v>12</v>
      </c>
      <c r="L3" s="197" t="s">
        <v>13</v>
      </c>
      <c r="M3" s="197" t="s">
        <v>14</v>
      </c>
      <c r="N3" s="197" t="s">
        <v>15</v>
      </c>
      <c r="O3" s="197" t="s">
        <v>16</v>
      </c>
      <c r="P3" s="197" t="s">
        <v>17</v>
      </c>
      <c r="Q3" s="197" t="s">
        <v>18</v>
      </c>
      <c r="R3" s="197" t="s">
        <v>19</v>
      </c>
      <c r="S3" s="197" t="s">
        <v>20</v>
      </c>
      <c r="T3" s="197" t="s">
        <v>21</v>
      </c>
      <c r="U3" s="197" t="s">
        <v>22</v>
      </c>
      <c r="V3" s="197" t="s">
        <v>23</v>
      </c>
      <c r="W3" s="197" t="s">
        <v>24</v>
      </c>
      <c r="X3" s="197" t="s">
        <v>25</v>
      </c>
      <c r="Y3" s="197" t="s">
        <v>26</v>
      </c>
      <c r="Z3" s="197" t="s">
        <v>27</v>
      </c>
      <c r="AA3" s="197" t="s">
        <v>28</v>
      </c>
      <c r="AB3" s="197" t="s">
        <v>29</v>
      </c>
      <c r="AC3" s="197" t="s">
        <v>30</v>
      </c>
      <c r="AD3" s="197" t="s">
        <v>31</v>
      </c>
      <c r="AE3" s="197" t="s">
        <v>32</v>
      </c>
      <c r="AF3" s="197" t="s">
        <v>33</v>
      </c>
      <c r="AG3" s="197" t="s">
        <v>34</v>
      </c>
      <c r="AH3" s="197" t="s">
        <v>35</v>
      </c>
      <c r="AI3" s="197" t="s">
        <v>36</v>
      </c>
      <c r="AJ3" s="197" t="s">
        <v>37</v>
      </c>
      <c r="AK3" s="197" t="s">
        <v>38</v>
      </c>
      <c r="AL3" s="197" t="s">
        <v>39</v>
      </c>
    </row>
    <row r="4" s="18" customFormat="1" customHeight="1" spans="1:38">
      <c r="A4" s="158"/>
      <c r="B4" s="158"/>
      <c r="C4" s="158"/>
      <c r="D4" s="158"/>
      <c r="E4" s="158"/>
      <c r="F4" s="159" t="s">
        <v>66</v>
      </c>
      <c r="G4" s="228"/>
      <c r="H4" s="20" t="s">
        <v>66</v>
      </c>
      <c r="I4" s="20" t="s">
        <v>66</v>
      </c>
      <c r="J4" s="20" t="s">
        <v>66</v>
      </c>
      <c r="K4" s="20" t="s">
        <v>66</v>
      </c>
      <c r="L4" s="20" t="s">
        <v>66</v>
      </c>
      <c r="M4" s="20" t="s">
        <v>66</v>
      </c>
      <c r="N4" s="20" t="s">
        <v>66</v>
      </c>
      <c r="O4" s="20" t="s">
        <v>66</v>
      </c>
      <c r="P4" s="20" t="s">
        <v>66</v>
      </c>
      <c r="Q4" s="20" t="s">
        <v>66</v>
      </c>
      <c r="R4" s="20" t="s">
        <v>66</v>
      </c>
      <c r="S4" s="20" t="s">
        <v>66</v>
      </c>
      <c r="T4" s="20" t="s">
        <v>66</v>
      </c>
      <c r="U4" s="20" t="s">
        <v>66</v>
      </c>
      <c r="V4" s="20" t="s">
        <v>66</v>
      </c>
      <c r="W4" s="20" t="s">
        <v>66</v>
      </c>
      <c r="X4" s="20" t="s">
        <v>66</v>
      </c>
      <c r="Y4" s="20" t="s">
        <v>66</v>
      </c>
      <c r="Z4" s="20" t="s">
        <v>66</v>
      </c>
      <c r="AA4" s="20" t="s">
        <v>66</v>
      </c>
      <c r="AB4" s="20" t="s">
        <v>66</v>
      </c>
      <c r="AC4" s="20" t="s">
        <v>66</v>
      </c>
      <c r="AD4" s="20" t="s">
        <v>66</v>
      </c>
      <c r="AE4" s="20" t="s">
        <v>66</v>
      </c>
      <c r="AF4" s="20" t="s">
        <v>66</v>
      </c>
      <c r="AG4" s="20" t="s">
        <v>66</v>
      </c>
      <c r="AH4" s="20" t="s">
        <v>66</v>
      </c>
      <c r="AI4" s="20" t="s">
        <v>66</v>
      </c>
      <c r="AJ4" s="20" t="s">
        <v>66</v>
      </c>
      <c r="AK4" s="20" t="s">
        <v>66</v>
      </c>
      <c r="AL4" s="20" t="s">
        <v>66</v>
      </c>
    </row>
    <row r="5" s="140" customFormat="1" customHeight="1" spans="1:38">
      <c r="A5" s="161">
        <v>1</v>
      </c>
      <c r="B5" s="592" t="s">
        <v>59</v>
      </c>
      <c r="C5" s="609" t="s">
        <v>67</v>
      </c>
      <c r="D5" s="100" t="s">
        <v>68</v>
      </c>
      <c r="E5" s="499">
        <v>1.5</v>
      </c>
      <c r="F5" s="190">
        <f t="shared" ref="F5:F68" si="0">SUMIF($H$4:$AL$4,$F$4,$H5:$AL5)</f>
        <v>3</v>
      </c>
      <c r="G5" s="252">
        <f t="shared" ref="G5:G68" si="1">+E5*F5</f>
        <v>4.5</v>
      </c>
      <c r="H5" s="438"/>
      <c r="I5" s="438"/>
      <c r="J5" s="438"/>
      <c r="K5" s="438"/>
      <c r="L5" s="438"/>
      <c r="M5" s="438"/>
      <c r="N5" s="133"/>
      <c r="O5" s="133">
        <v>1</v>
      </c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>
        <v>1</v>
      </c>
      <c r="AF5" s="133">
        <v>1</v>
      </c>
      <c r="AG5" s="133"/>
      <c r="AH5" s="133"/>
      <c r="AI5" s="133"/>
      <c r="AJ5" s="133"/>
      <c r="AK5" s="133"/>
      <c r="AL5" s="133"/>
    </row>
    <row r="6" s="140" customFormat="1" customHeight="1" spans="1:38">
      <c r="A6" s="161">
        <v>2</v>
      </c>
      <c r="B6" s="592" t="s">
        <v>59</v>
      </c>
      <c r="C6" s="609" t="s">
        <v>69</v>
      </c>
      <c r="D6" s="100" t="s">
        <v>68</v>
      </c>
      <c r="E6" s="499">
        <v>0.5</v>
      </c>
      <c r="F6" s="190">
        <f t="shared" si="0"/>
        <v>63</v>
      </c>
      <c r="G6" s="252">
        <f t="shared" si="1"/>
        <v>31.5</v>
      </c>
      <c r="H6" s="438"/>
      <c r="I6" s="438"/>
      <c r="J6" s="438">
        <v>11</v>
      </c>
      <c r="K6" s="438">
        <v>2</v>
      </c>
      <c r="L6" s="438">
        <v>3</v>
      </c>
      <c r="M6" s="438">
        <v>3</v>
      </c>
      <c r="N6" s="133"/>
      <c r="O6" s="133">
        <v>5</v>
      </c>
      <c r="P6" s="133">
        <v>20</v>
      </c>
      <c r="Q6" s="133"/>
      <c r="R6" s="133"/>
      <c r="S6" s="133">
        <v>2</v>
      </c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>
        <v>6</v>
      </c>
      <c r="AF6" s="133"/>
      <c r="AG6" s="133">
        <v>8</v>
      </c>
      <c r="AH6" s="133"/>
      <c r="AI6" s="133"/>
      <c r="AJ6" s="133"/>
      <c r="AK6" s="133"/>
      <c r="AL6" s="133">
        <v>3</v>
      </c>
    </row>
    <row r="7" s="140" customFormat="1" customHeight="1" spans="1:38">
      <c r="A7" s="161">
        <v>3</v>
      </c>
      <c r="B7" s="592" t="s">
        <v>59</v>
      </c>
      <c r="C7" s="609" t="s">
        <v>70</v>
      </c>
      <c r="D7" s="162" t="s">
        <v>68</v>
      </c>
      <c r="E7" s="610">
        <v>1</v>
      </c>
      <c r="F7" s="190">
        <f t="shared" si="0"/>
        <v>0</v>
      </c>
      <c r="G7" s="252">
        <f t="shared" si="1"/>
        <v>0</v>
      </c>
      <c r="H7" s="438"/>
      <c r="I7" s="438"/>
      <c r="J7" s="438"/>
      <c r="K7" s="438"/>
      <c r="L7" s="438"/>
      <c r="M7" s="438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</row>
    <row r="8" s="140" customFormat="1" customHeight="1" spans="1:38">
      <c r="A8" s="161">
        <v>4</v>
      </c>
      <c r="B8" s="592" t="s">
        <v>59</v>
      </c>
      <c r="C8" s="609" t="s">
        <v>71</v>
      </c>
      <c r="D8" s="162" t="s">
        <v>68</v>
      </c>
      <c r="E8" s="610">
        <v>-2</v>
      </c>
      <c r="F8" s="190">
        <f t="shared" si="0"/>
        <v>0</v>
      </c>
      <c r="G8" s="252">
        <f t="shared" si="1"/>
        <v>0</v>
      </c>
      <c r="H8" s="438"/>
      <c r="I8" s="438"/>
      <c r="J8" s="438"/>
      <c r="K8" s="438"/>
      <c r="L8" s="438"/>
      <c r="M8" s="438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</row>
    <row r="9" s="140" customFormat="1" customHeight="1" spans="1:38">
      <c r="A9" s="161">
        <v>5</v>
      </c>
      <c r="B9" s="592" t="s">
        <v>59</v>
      </c>
      <c r="C9" s="609" t="s">
        <v>72</v>
      </c>
      <c r="D9" s="162" t="s">
        <v>68</v>
      </c>
      <c r="E9" s="611">
        <v>2</v>
      </c>
      <c r="F9" s="190">
        <f t="shared" si="0"/>
        <v>0</v>
      </c>
      <c r="G9" s="252">
        <f t="shared" si="1"/>
        <v>0</v>
      </c>
      <c r="H9" s="438"/>
      <c r="I9" s="438"/>
      <c r="J9" s="438"/>
      <c r="K9" s="438"/>
      <c r="L9" s="438"/>
      <c r="M9" s="438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</row>
    <row r="10" s="140" customFormat="1" customHeight="1" spans="1:38">
      <c r="A10" s="161">
        <v>6</v>
      </c>
      <c r="B10" s="596" t="s">
        <v>73</v>
      </c>
      <c r="C10" s="609" t="s">
        <v>67</v>
      </c>
      <c r="D10" s="162" t="s">
        <v>68</v>
      </c>
      <c r="E10" s="499">
        <v>1.5</v>
      </c>
      <c r="F10" s="190">
        <f t="shared" si="0"/>
        <v>0</v>
      </c>
      <c r="G10" s="252">
        <f t="shared" si="1"/>
        <v>0</v>
      </c>
      <c r="H10" s="438"/>
      <c r="I10" s="438"/>
      <c r="J10" s="438"/>
      <c r="K10" s="438"/>
      <c r="L10" s="438"/>
      <c r="M10" s="438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</row>
    <row r="11" s="140" customFormat="1" customHeight="1" spans="1:38">
      <c r="A11" s="161">
        <v>7</v>
      </c>
      <c r="B11" s="596" t="s">
        <v>73</v>
      </c>
      <c r="C11" s="609" t="s">
        <v>69</v>
      </c>
      <c r="D11" s="162" t="s">
        <v>68</v>
      </c>
      <c r="E11" s="499">
        <v>0.5</v>
      </c>
      <c r="F11" s="190">
        <f t="shared" si="0"/>
        <v>67</v>
      </c>
      <c r="G11" s="252">
        <f t="shared" si="1"/>
        <v>33.5</v>
      </c>
      <c r="H11" s="438"/>
      <c r="I11" s="438"/>
      <c r="J11" s="438">
        <v>11</v>
      </c>
      <c r="K11" s="438"/>
      <c r="L11" s="438">
        <v>3</v>
      </c>
      <c r="M11" s="438">
        <v>3</v>
      </c>
      <c r="N11" s="133"/>
      <c r="O11" s="133">
        <v>5</v>
      </c>
      <c r="P11" s="133">
        <v>20</v>
      </c>
      <c r="Q11" s="133"/>
      <c r="R11" s="133">
        <v>2</v>
      </c>
      <c r="S11" s="133">
        <v>3</v>
      </c>
      <c r="T11" s="133"/>
      <c r="U11" s="133"/>
      <c r="V11" s="133"/>
      <c r="W11" s="133"/>
      <c r="X11" s="133"/>
      <c r="Y11" s="133"/>
      <c r="Z11" s="133">
        <v>2</v>
      </c>
      <c r="AA11" s="133"/>
      <c r="AB11" s="133"/>
      <c r="AC11" s="133"/>
      <c r="AD11" s="133"/>
      <c r="AE11" s="133">
        <v>6</v>
      </c>
      <c r="AF11" s="133"/>
      <c r="AG11" s="133">
        <v>8</v>
      </c>
      <c r="AH11" s="133"/>
      <c r="AI11" s="133"/>
      <c r="AJ11" s="133"/>
      <c r="AK11" s="133">
        <v>2</v>
      </c>
      <c r="AL11" s="133">
        <v>2</v>
      </c>
    </row>
    <row r="12" s="140" customFormat="1" customHeight="1" spans="1:38">
      <c r="A12" s="161">
        <v>8</v>
      </c>
      <c r="B12" s="596" t="s">
        <v>73</v>
      </c>
      <c r="C12" s="609" t="s">
        <v>70</v>
      </c>
      <c r="D12" s="162" t="s">
        <v>68</v>
      </c>
      <c r="E12" s="610">
        <v>1</v>
      </c>
      <c r="F12" s="190">
        <f t="shared" si="0"/>
        <v>0</v>
      </c>
      <c r="G12" s="252">
        <f t="shared" si="1"/>
        <v>0</v>
      </c>
      <c r="H12" s="438"/>
      <c r="I12" s="438"/>
      <c r="J12" s="438"/>
      <c r="K12" s="438"/>
      <c r="L12" s="438"/>
      <c r="M12" s="438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</row>
    <row r="13" s="140" customFormat="1" customHeight="1" spans="1:38">
      <c r="A13" s="161">
        <v>9</v>
      </c>
      <c r="B13" s="596" t="s">
        <v>73</v>
      </c>
      <c r="C13" s="609" t="s">
        <v>71</v>
      </c>
      <c r="D13" s="162" t="s">
        <v>68</v>
      </c>
      <c r="E13" s="610">
        <v>-2</v>
      </c>
      <c r="F13" s="190">
        <f t="shared" si="0"/>
        <v>0</v>
      </c>
      <c r="G13" s="252">
        <f t="shared" si="1"/>
        <v>0</v>
      </c>
      <c r="H13" s="438"/>
      <c r="I13" s="438"/>
      <c r="J13" s="438"/>
      <c r="K13" s="438"/>
      <c r="L13" s="438"/>
      <c r="M13" s="438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</row>
    <row r="14" s="140" customFormat="1" customHeight="1" spans="1:38">
      <c r="A14" s="161">
        <v>10</v>
      </c>
      <c r="B14" s="596" t="s">
        <v>73</v>
      </c>
      <c r="C14" s="609" t="s">
        <v>72</v>
      </c>
      <c r="D14" s="162" t="s">
        <v>68</v>
      </c>
      <c r="E14" s="611">
        <v>2</v>
      </c>
      <c r="F14" s="190">
        <f t="shared" si="0"/>
        <v>0</v>
      </c>
      <c r="G14" s="252">
        <f t="shared" si="1"/>
        <v>0</v>
      </c>
      <c r="H14" s="438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</row>
    <row r="15" s="140" customFormat="1" customHeight="1" spans="1:38">
      <c r="A15" s="161">
        <v>11</v>
      </c>
      <c r="B15" s="592" t="s">
        <v>41</v>
      </c>
      <c r="C15" s="609" t="s">
        <v>67</v>
      </c>
      <c r="D15" s="162" t="s">
        <v>68</v>
      </c>
      <c r="E15" s="499">
        <v>1.5</v>
      </c>
      <c r="F15" s="190">
        <f t="shared" si="0"/>
        <v>1</v>
      </c>
      <c r="G15" s="252">
        <f t="shared" si="1"/>
        <v>1.5</v>
      </c>
      <c r="H15" s="438"/>
      <c r="I15" s="133"/>
      <c r="J15" s="133"/>
      <c r="K15" s="133"/>
      <c r="L15" s="133"/>
      <c r="M15" s="133"/>
      <c r="N15" s="133"/>
      <c r="O15" s="133"/>
      <c r="P15" s="133">
        <v>1</v>
      </c>
      <c r="Q15" s="133"/>
      <c r="R15" s="291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</row>
    <row r="16" s="140" customFormat="1" customHeight="1" spans="1:38">
      <c r="A16" s="161">
        <v>12</v>
      </c>
      <c r="B16" s="592" t="s">
        <v>41</v>
      </c>
      <c r="C16" s="609" t="s">
        <v>69</v>
      </c>
      <c r="D16" s="162" t="s">
        <v>68</v>
      </c>
      <c r="E16" s="499">
        <v>0.5</v>
      </c>
      <c r="F16" s="190">
        <f t="shared" si="0"/>
        <v>70</v>
      </c>
      <c r="G16" s="252">
        <f t="shared" si="1"/>
        <v>35</v>
      </c>
      <c r="H16" s="438"/>
      <c r="I16" s="133"/>
      <c r="J16" s="133">
        <v>11</v>
      </c>
      <c r="K16" s="133">
        <v>2</v>
      </c>
      <c r="L16" s="133">
        <v>3</v>
      </c>
      <c r="M16" s="133">
        <v>3</v>
      </c>
      <c r="N16" s="133"/>
      <c r="O16" s="133">
        <v>5</v>
      </c>
      <c r="P16" s="133">
        <v>20</v>
      </c>
      <c r="Q16" s="133"/>
      <c r="R16" s="133">
        <v>2</v>
      </c>
      <c r="S16" s="133">
        <v>3</v>
      </c>
      <c r="T16" s="133"/>
      <c r="U16" s="133"/>
      <c r="V16" s="133"/>
      <c r="W16" s="133"/>
      <c r="X16" s="133"/>
      <c r="Y16" s="133"/>
      <c r="Z16" s="133"/>
      <c r="AA16" s="133">
        <v>3</v>
      </c>
      <c r="AB16" s="133"/>
      <c r="AC16" s="133"/>
      <c r="AD16" s="133"/>
      <c r="AE16" s="133">
        <v>6</v>
      </c>
      <c r="AF16" s="133"/>
      <c r="AG16" s="133">
        <v>8</v>
      </c>
      <c r="AH16" s="133"/>
      <c r="AI16" s="133"/>
      <c r="AJ16" s="133"/>
      <c r="AK16" s="133">
        <v>2</v>
      </c>
      <c r="AL16" s="133">
        <v>2</v>
      </c>
    </row>
    <row r="17" s="140" customFormat="1" customHeight="1" spans="1:38">
      <c r="A17" s="161">
        <v>13</v>
      </c>
      <c r="B17" s="592" t="s">
        <v>41</v>
      </c>
      <c r="C17" s="609" t="s">
        <v>70</v>
      </c>
      <c r="D17" s="162" t="s">
        <v>68</v>
      </c>
      <c r="E17" s="610">
        <v>1</v>
      </c>
      <c r="F17" s="190">
        <f t="shared" si="0"/>
        <v>0</v>
      </c>
      <c r="G17" s="252">
        <f t="shared" si="1"/>
        <v>0</v>
      </c>
      <c r="H17" s="438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</row>
    <row r="18" s="140" customFormat="1" customHeight="1" spans="1:38">
      <c r="A18" s="161">
        <v>14</v>
      </c>
      <c r="B18" s="592" t="s">
        <v>41</v>
      </c>
      <c r="C18" s="609" t="s">
        <v>71</v>
      </c>
      <c r="D18" s="162" t="s">
        <v>68</v>
      </c>
      <c r="E18" s="610">
        <v>-2</v>
      </c>
      <c r="F18" s="190">
        <f t="shared" si="0"/>
        <v>0</v>
      </c>
      <c r="G18" s="252">
        <f t="shared" si="1"/>
        <v>0</v>
      </c>
      <c r="H18" s="438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</row>
    <row r="19" s="140" customFormat="1" customHeight="1" spans="1:38">
      <c r="A19" s="161">
        <v>15</v>
      </c>
      <c r="B19" s="592" t="s">
        <v>41</v>
      </c>
      <c r="C19" s="609" t="s">
        <v>72</v>
      </c>
      <c r="D19" s="162" t="s">
        <v>68</v>
      </c>
      <c r="E19" s="611">
        <v>2</v>
      </c>
      <c r="F19" s="190">
        <f t="shared" si="0"/>
        <v>0</v>
      </c>
      <c r="G19" s="252">
        <f t="shared" si="1"/>
        <v>0</v>
      </c>
      <c r="H19" s="438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</row>
    <row r="20" s="140" customFormat="1" customHeight="1" spans="1:38">
      <c r="A20" s="161">
        <v>16</v>
      </c>
      <c r="B20" s="596" t="s">
        <v>54</v>
      </c>
      <c r="C20" s="609" t="s">
        <v>67</v>
      </c>
      <c r="D20" s="162" t="s">
        <v>68</v>
      </c>
      <c r="E20" s="499">
        <v>1.5</v>
      </c>
      <c r="F20" s="190">
        <f t="shared" si="0"/>
        <v>15</v>
      </c>
      <c r="G20" s="252">
        <f t="shared" si="1"/>
        <v>22.5</v>
      </c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>
        <v>4</v>
      </c>
      <c r="S20" s="133">
        <v>3</v>
      </c>
      <c r="T20" s="133"/>
      <c r="U20" s="133">
        <v>1</v>
      </c>
      <c r="V20" s="133">
        <v>2</v>
      </c>
      <c r="W20" s="133"/>
      <c r="X20" s="133">
        <v>2</v>
      </c>
      <c r="Y20" s="133">
        <v>1</v>
      </c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>
        <v>1</v>
      </c>
      <c r="AK20" s="133">
        <v>1</v>
      </c>
      <c r="AL20" s="133"/>
    </row>
    <row r="21" s="140" customFormat="1" customHeight="1" spans="1:38">
      <c r="A21" s="161">
        <v>17</v>
      </c>
      <c r="B21" s="596" t="s">
        <v>54</v>
      </c>
      <c r="C21" s="609" t="s">
        <v>69</v>
      </c>
      <c r="D21" s="162" t="s">
        <v>68</v>
      </c>
      <c r="E21" s="499">
        <v>0.5</v>
      </c>
      <c r="F21" s="190">
        <f t="shared" si="0"/>
        <v>121</v>
      </c>
      <c r="G21" s="252">
        <f t="shared" si="1"/>
        <v>60.5</v>
      </c>
      <c r="H21" s="133"/>
      <c r="I21" s="133">
        <v>1</v>
      </c>
      <c r="J21" s="133"/>
      <c r="K21" s="133"/>
      <c r="L21" s="133">
        <v>12</v>
      </c>
      <c r="M21" s="133">
        <v>12</v>
      </c>
      <c r="N21" s="133">
        <v>3</v>
      </c>
      <c r="O21" s="133"/>
      <c r="P21" s="133"/>
      <c r="Q21" s="133">
        <v>20</v>
      </c>
      <c r="R21" s="133">
        <v>15</v>
      </c>
      <c r="S21" s="133">
        <v>10</v>
      </c>
      <c r="T21" s="133"/>
      <c r="U21" s="133"/>
      <c r="V21" s="133"/>
      <c r="W21" s="133"/>
      <c r="X21" s="133">
        <v>10</v>
      </c>
      <c r="Y21" s="133">
        <v>11</v>
      </c>
      <c r="Z21" s="133"/>
      <c r="AA21" s="133"/>
      <c r="AB21" s="133"/>
      <c r="AC21" s="133"/>
      <c r="AD21" s="133">
        <v>9</v>
      </c>
      <c r="AE21" s="133">
        <v>5</v>
      </c>
      <c r="AF21" s="133"/>
      <c r="AG21" s="133"/>
      <c r="AH21" s="133"/>
      <c r="AI21" s="133"/>
      <c r="AJ21" s="133">
        <v>3</v>
      </c>
      <c r="AK21" s="133">
        <v>10</v>
      </c>
      <c r="AL21" s="133"/>
    </row>
    <row r="22" s="140" customFormat="1" customHeight="1" spans="1:38">
      <c r="A22" s="161">
        <v>18</v>
      </c>
      <c r="B22" s="596" t="s">
        <v>54</v>
      </c>
      <c r="C22" s="609" t="s">
        <v>70</v>
      </c>
      <c r="D22" s="162" t="s">
        <v>68</v>
      </c>
      <c r="E22" s="610">
        <v>1</v>
      </c>
      <c r="F22" s="190">
        <f t="shared" si="0"/>
        <v>0</v>
      </c>
      <c r="G22" s="252">
        <f t="shared" si="1"/>
        <v>0</v>
      </c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</row>
    <row r="23" s="140" customFormat="1" customHeight="1" spans="1:38">
      <c r="A23" s="161">
        <v>19</v>
      </c>
      <c r="B23" s="596" t="s">
        <v>54</v>
      </c>
      <c r="C23" s="609" t="s">
        <v>71</v>
      </c>
      <c r="D23" s="162" t="s">
        <v>68</v>
      </c>
      <c r="E23" s="610">
        <v>-2</v>
      </c>
      <c r="F23" s="190">
        <f t="shared" si="0"/>
        <v>0</v>
      </c>
      <c r="G23" s="252">
        <f t="shared" si="1"/>
        <v>0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</row>
    <row r="24" s="140" customFormat="1" customHeight="1" spans="1:38">
      <c r="A24" s="161">
        <v>20</v>
      </c>
      <c r="B24" s="596" t="s">
        <v>54</v>
      </c>
      <c r="C24" s="609" t="s">
        <v>72</v>
      </c>
      <c r="D24" s="162" t="s">
        <v>68</v>
      </c>
      <c r="E24" s="611">
        <v>2</v>
      </c>
      <c r="F24" s="190">
        <f t="shared" si="0"/>
        <v>0</v>
      </c>
      <c r="G24" s="252">
        <f t="shared" si="1"/>
        <v>0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</row>
    <row r="25" s="140" customFormat="1" customHeight="1" spans="1:38">
      <c r="A25" s="161">
        <v>21</v>
      </c>
      <c r="B25" s="596" t="s">
        <v>57</v>
      </c>
      <c r="C25" s="609" t="s">
        <v>67</v>
      </c>
      <c r="D25" s="162" t="s">
        <v>68</v>
      </c>
      <c r="E25" s="499">
        <v>1.5</v>
      </c>
      <c r="F25" s="190">
        <f t="shared" si="0"/>
        <v>6</v>
      </c>
      <c r="G25" s="252">
        <f t="shared" si="1"/>
        <v>9</v>
      </c>
      <c r="H25" s="133"/>
      <c r="I25" s="133"/>
      <c r="J25" s="133"/>
      <c r="K25" s="133"/>
      <c r="L25" s="133"/>
      <c r="M25" s="133">
        <v>1</v>
      </c>
      <c r="N25" s="133"/>
      <c r="O25" s="133"/>
      <c r="P25" s="133"/>
      <c r="Q25" s="133"/>
      <c r="R25" s="133"/>
      <c r="S25" s="133">
        <v>1</v>
      </c>
      <c r="T25" s="133"/>
      <c r="U25" s="133"/>
      <c r="V25" s="133"/>
      <c r="W25" s="133"/>
      <c r="X25" s="133"/>
      <c r="Y25" s="133">
        <v>2</v>
      </c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>
        <v>1</v>
      </c>
      <c r="AK25" s="133">
        <v>1</v>
      </c>
      <c r="AL25" s="133"/>
    </row>
    <row r="26" s="140" customFormat="1" customHeight="1" spans="1:38">
      <c r="A26" s="161">
        <v>22</v>
      </c>
      <c r="B26" s="596" t="s">
        <v>57</v>
      </c>
      <c r="C26" s="609" t="s">
        <v>69</v>
      </c>
      <c r="D26" s="162" t="s">
        <v>68</v>
      </c>
      <c r="E26" s="499">
        <v>0.5</v>
      </c>
      <c r="F26" s="190">
        <f t="shared" si="0"/>
        <v>114</v>
      </c>
      <c r="G26" s="252">
        <f t="shared" si="1"/>
        <v>57</v>
      </c>
      <c r="H26" s="133"/>
      <c r="I26" s="133"/>
      <c r="J26" s="133"/>
      <c r="K26" s="133"/>
      <c r="L26" s="133">
        <v>12</v>
      </c>
      <c r="M26" s="133">
        <v>12</v>
      </c>
      <c r="N26" s="133"/>
      <c r="O26" s="133">
        <v>2</v>
      </c>
      <c r="P26" s="133"/>
      <c r="Q26" s="133">
        <v>15</v>
      </c>
      <c r="R26" s="133">
        <v>15</v>
      </c>
      <c r="S26" s="133">
        <v>10</v>
      </c>
      <c r="T26" s="133"/>
      <c r="U26" s="133"/>
      <c r="V26" s="133"/>
      <c r="W26" s="133"/>
      <c r="X26" s="133">
        <v>10</v>
      </c>
      <c r="Y26" s="133">
        <v>10</v>
      </c>
      <c r="Z26" s="133"/>
      <c r="AA26" s="133"/>
      <c r="AB26" s="133"/>
      <c r="AC26" s="133"/>
      <c r="AD26" s="133">
        <v>9</v>
      </c>
      <c r="AE26" s="133">
        <v>5</v>
      </c>
      <c r="AF26" s="133"/>
      <c r="AG26" s="133"/>
      <c r="AH26" s="133"/>
      <c r="AI26" s="133"/>
      <c r="AJ26" s="133">
        <v>4</v>
      </c>
      <c r="AK26" s="133">
        <v>10</v>
      </c>
      <c r="AL26" s="133"/>
    </row>
    <row r="27" s="140" customFormat="1" customHeight="1" spans="1:38">
      <c r="A27" s="161">
        <v>23</v>
      </c>
      <c r="B27" s="596" t="s">
        <v>57</v>
      </c>
      <c r="C27" s="609" t="s">
        <v>70</v>
      </c>
      <c r="D27" s="162" t="s">
        <v>68</v>
      </c>
      <c r="E27" s="610">
        <v>1</v>
      </c>
      <c r="F27" s="190">
        <f t="shared" si="0"/>
        <v>0</v>
      </c>
      <c r="G27" s="252">
        <f t="shared" si="1"/>
        <v>0</v>
      </c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</row>
    <row r="28" s="140" customFormat="1" customHeight="1" spans="1:38">
      <c r="A28" s="161">
        <v>24</v>
      </c>
      <c r="B28" s="596" t="s">
        <v>57</v>
      </c>
      <c r="C28" s="609" t="s">
        <v>71</v>
      </c>
      <c r="D28" s="162" t="s">
        <v>68</v>
      </c>
      <c r="E28" s="610">
        <v>-2</v>
      </c>
      <c r="F28" s="190">
        <f t="shared" si="0"/>
        <v>0</v>
      </c>
      <c r="G28" s="252">
        <f t="shared" si="1"/>
        <v>0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</row>
    <row r="29" s="140" customFormat="1" customHeight="1" spans="1:38">
      <c r="A29" s="161">
        <v>25</v>
      </c>
      <c r="B29" s="596" t="s">
        <v>57</v>
      </c>
      <c r="C29" s="609" t="s">
        <v>72</v>
      </c>
      <c r="D29" s="162" t="s">
        <v>68</v>
      </c>
      <c r="E29" s="611">
        <v>2</v>
      </c>
      <c r="F29" s="190">
        <f t="shared" si="0"/>
        <v>0</v>
      </c>
      <c r="G29" s="252">
        <f t="shared" si="1"/>
        <v>0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</row>
    <row r="30" s="140" customFormat="1" customHeight="1" spans="1:38">
      <c r="A30" s="161">
        <v>26</v>
      </c>
      <c r="B30" s="592" t="s">
        <v>55</v>
      </c>
      <c r="C30" s="609" t="s">
        <v>67</v>
      </c>
      <c r="D30" s="162" t="s">
        <v>68</v>
      </c>
      <c r="E30" s="499">
        <v>1.5</v>
      </c>
      <c r="F30" s="190">
        <f t="shared" si="0"/>
        <v>6</v>
      </c>
      <c r="G30" s="252">
        <f t="shared" si="1"/>
        <v>9</v>
      </c>
      <c r="H30" s="133"/>
      <c r="I30" s="133"/>
      <c r="J30" s="133"/>
      <c r="K30" s="133"/>
      <c r="L30" s="133"/>
      <c r="M30" s="133"/>
      <c r="N30" s="133"/>
      <c r="O30" s="133"/>
      <c r="P30" s="133">
        <v>2</v>
      </c>
      <c r="Q30" s="133"/>
      <c r="R30" s="133"/>
      <c r="S30" s="133"/>
      <c r="T30" s="133">
        <v>1</v>
      </c>
      <c r="U30" s="133"/>
      <c r="V30" s="133">
        <v>2</v>
      </c>
      <c r="W30" s="133">
        <v>1</v>
      </c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</row>
    <row r="31" s="140" customFormat="1" customHeight="1" spans="1:38">
      <c r="A31" s="161">
        <v>27</v>
      </c>
      <c r="B31" s="592" t="s">
        <v>55</v>
      </c>
      <c r="C31" s="609" t="s">
        <v>69</v>
      </c>
      <c r="D31" s="162" t="s">
        <v>68</v>
      </c>
      <c r="E31" s="499">
        <v>0.5</v>
      </c>
      <c r="F31" s="190">
        <f t="shared" si="0"/>
        <v>77</v>
      </c>
      <c r="G31" s="252">
        <f t="shared" si="1"/>
        <v>38.5</v>
      </c>
      <c r="H31" s="133"/>
      <c r="I31" s="133"/>
      <c r="J31" s="133">
        <v>3</v>
      </c>
      <c r="K31" s="133">
        <v>5</v>
      </c>
      <c r="L31" s="133">
        <v>1</v>
      </c>
      <c r="M31" s="133"/>
      <c r="N31" s="133"/>
      <c r="O31" s="133"/>
      <c r="P31" s="133">
        <v>20</v>
      </c>
      <c r="Q31" s="133"/>
      <c r="R31" s="133"/>
      <c r="S31" s="133"/>
      <c r="T31" s="133"/>
      <c r="U31" s="133"/>
      <c r="V31" s="133">
        <v>12</v>
      </c>
      <c r="W31" s="133">
        <v>4</v>
      </c>
      <c r="X31" s="133"/>
      <c r="Y31" s="133"/>
      <c r="Z31" s="133"/>
      <c r="AA31" s="133"/>
      <c r="AB31" s="133">
        <v>12</v>
      </c>
      <c r="AC31" s="133"/>
      <c r="AD31" s="133"/>
      <c r="AE31" s="133"/>
      <c r="AF31" s="133"/>
      <c r="AG31" s="133"/>
      <c r="AH31" s="133">
        <v>10</v>
      </c>
      <c r="AI31" s="133">
        <v>10</v>
      </c>
      <c r="AJ31" s="133"/>
      <c r="AK31" s="133"/>
      <c r="AL31" s="133"/>
    </row>
    <row r="32" s="140" customFormat="1" customHeight="1" spans="1:38">
      <c r="A32" s="161">
        <v>28</v>
      </c>
      <c r="B32" s="592" t="s">
        <v>55</v>
      </c>
      <c r="C32" s="609" t="s">
        <v>70</v>
      </c>
      <c r="D32" s="162" t="s">
        <v>68</v>
      </c>
      <c r="E32" s="610">
        <v>1</v>
      </c>
      <c r="F32" s="190">
        <f t="shared" si="0"/>
        <v>0</v>
      </c>
      <c r="G32" s="252">
        <f t="shared" si="1"/>
        <v>0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</row>
    <row r="33" s="140" customFormat="1" customHeight="1" spans="1:38">
      <c r="A33" s="161">
        <v>29</v>
      </c>
      <c r="B33" s="592" t="s">
        <v>55</v>
      </c>
      <c r="C33" s="609" t="s">
        <v>71</v>
      </c>
      <c r="D33" s="162" t="s">
        <v>68</v>
      </c>
      <c r="E33" s="610">
        <v>-2</v>
      </c>
      <c r="F33" s="190">
        <f t="shared" si="0"/>
        <v>0</v>
      </c>
      <c r="G33" s="252">
        <f t="shared" si="1"/>
        <v>0</v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</row>
    <row r="34" s="140" customFormat="1" customHeight="1" spans="1:38">
      <c r="A34" s="161">
        <v>30</v>
      </c>
      <c r="B34" s="592" t="s">
        <v>55</v>
      </c>
      <c r="C34" s="609" t="s">
        <v>72</v>
      </c>
      <c r="D34" s="162" t="s">
        <v>68</v>
      </c>
      <c r="E34" s="611">
        <v>2</v>
      </c>
      <c r="F34" s="190">
        <f t="shared" si="0"/>
        <v>0</v>
      </c>
      <c r="G34" s="252">
        <f t="shared" si="1"/>
        <v>0</v>
      </c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</row>
    <row r="35" s="140" customFormat="1" customHeight="1" spans="1:38">
      <c r="A35" s="161">
        <v>31</v>
      </c>
      <c r="B35" s="596" t="s">
        <v>56</v>
      </c>
      <c r="C35" s="609" t="s">
        <v>67</v>
      </c>
      <c r="D35" s="162" t="s">
        <v>68</v>
      </c>
      <c r="E35" s="499">
        <v>1.5</v>
      </c>
      <c r="F35" s="190">
        <f t="shared" si="0"/>
        <v>8</v>
      </c>
      <c r="G35" s="252">
        <f t="shared" si="1"/>
        <v>12</v>
      </c>
      <c r="H35" s="133"/>
      <c r="I35" s="133"/>
      <c r="J35" s="133"/>
      <c r="K35" s="133"/>
      <c r="L35" s="133"/>
      <c r="M35" s="133"/>
      <c r="N35" s="133"/>
      <c r="O35" s="133"/>
      <c r="P35" s="133">
        <v>1</v>
      </c>
      <c r="Q35" s="133"/>
      <c r="R35" s="133"/>
      <c r="S35" s="133"/>
      <c r="T35" s="133"/>
      <c r="U35" s="133"/>
      <c r="V35" s="133">
        <v>2</v>
      </c>
      <c r="W35" s="133">
        <v>1</v>
      </c>
      <c r="X35" s="133"/>
      <c r="Y35" s="133">
        <v>1</v>
      </c>
      <c r="Z35" s="133"/>
      <c r="AA35" s="133"/>
      <c r="AB35" s="133">
        <v>1</v>
      </c>
      <c r="AC35" s="133">
        <v>1</v>
      </c>
      <c r="AD35" s="133"/>
      <c r="AE35" s="133"/>
      <c r="AF35" s="133"/>
      <c r="AG35" s="133"/>
      <c r="AH35" s="133"/>
      <c r="AI35" s="133">
        <v>1</v>
      </c>
      <c r="AJ35" s="133"/>
      <c r="AK35" s="133"/>
      <c r="AL35" s="133"/>
    </row>
    <row r="36" s="140" customFormat="1" customHeight="1" spans="1:38">
      <c r="A36" s="161">
        <v>32</v>
      </c>
      <c r="B36" s="596" t="s">
        <v>56</v>
      </c>
      <c r="C36" s="609" t="s">
        <v>69</v>
      </c>
      <c r="D36" s="162" t="s">
        <v>68</v>
      </c>
      <c r="E36" s="499">
        <v>0.5</v>
      </c>
      <c r="F36" s="190">
        <f t="shared" si="0"/>
        <v>77</v>
      </c>
      <c r="G36" s="252">
        <f t="shared" si="1"/>
        <v>38.5</v>
      </c>
      <c r="H36" s="133"/>
      <c r="I36" s="133"/>
      <c r="J36" s="133">
        <v>11</v>
      </c>
      <c r="K36" s="133"/>
      <c r="L36" s="133"/>
      <c r="M36" s="133"/>
      <c r="N36" s="133"/>
      <c r="O36" s="133"/>
      <c r="P36" s="133">
        <v>20</v>
      </c>
      <c r="Q36" s="133"/>
      <c r="R36" s="133"/>
      <c r="S36" s="133"/>
      <c r="T36" s="133"/>
      <c r="U36" s="133"/>
      <c r="V36" s="133">
        <v>12</v>
      </c>
      <c r="W36" s="133">
        <v>4</v>
      </c>
      <c r="X36" s="133"/>
      <c r="Y36" s="133"/>
      <c r="Z36" s="133"/>
      <c r="AA36" s="133"/>
      <c r="AB36" s="133">
        <v>10</v>
      </c>
      <c r="AC36" s="133"/>
      <c r="AD36" s="133"/>
      <c r="AE36" s="133"/>
      <c r="AF36" s="133"/>
      <c r="AG36" s="133"/>
      <c r="AH36" s="133">
        <v>10</v>
      </c>
      <c r="AI36" s="133">
        <v>10</v>
      </c>
      <c r="AJ36" s="133"/>
      <c r="AK36" s="133"/>
      <c r="AL36" s="133"/>
    </row>
    <row r="37" s="140" customFormat="1" customHeight="1" spans="1:38">
      <c r="A37" s="161">
        <v>33</v>
      </c>
      <c r="B37" s="596" t="s">
        <v>56</v>
      </c>
      <c r="C37" s="609" t="s">
        <v>70</v>
      </c>
      <c r="D37" s="162" t="s">
        <v>68</v>
      </c>
      <c r="E37" s="610">
        <v>1</v>
      </c>
      <c r="F37" s="190">
        <f t="shared" si="0"/>
        <v>0</v>
      </c>
      <c r="G37" s="252">
        <f t="shared" si="1"/>
        <v>0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</row>
    <row r="38" s="140" customFormat="1" customHeight="1" spans="1:38">
      <c r="A38" s="161">
        <v>34</v>
      </c>
      <c r="B38" s="596" t="s">
        <v>56</v>
      </c>
      <c r="C38" s="609" t="s">
        <v>71</v>
      </c>
      <c r="D38" s="162" t="s">
        <v>68</v>
      </c>
      <c r="E38" s="610">
        <v>-2</v>
      </c>
      <c r="F38" s="190">
        <f t="shared" si="0"/>
        <v>0</v>
      </c>
      <c r="G38" s="252">
        <f t="shared" si="1"/>
        <v>0</v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</row>
    <row r="39" s="140" customFormat="1" customHeight="1" spans="1:38">
      <c r="A39" s="161">
        <v>35</v>
      </c>
      <c r="B39" s="596" t="s">
        <v>56</v>
      </c>
      <c r="C39" s="609" t="s">
        <v>72</v>
      </c>
      <c r="D39" s="162" t="s">
        <v>68</v>
      </c>
      <c r="E39" s="611">
        <v>2</v>
      </c>
      <c r="F39" s="190">
        <f t="shared" si="0"/>
        <v>0</v>
      </c>
      <c r="G39" s="252">
        <f t="shared" si="1"/>
        <v>0</v>
      </c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</row>
    <row r="40" s="140" customFormat="1" customHeight="1" spans="1:38">
      <c r="A40" s="161">
        <v>36</v>
      </c>
      <c r="B40" s="599" t="s">
        <v>60</v>
      </c>
      <c r="C40" s="609" t="s">
        <v>67</v>
      </c>
      <c r="D40" s="162" t="s">
        <v>68</v>
      </c>
      <c r="E40" s="499">
        <v>1.5</v>
      </c>
      <c r="F40" s="190">
        <f t="shared" si="0"/>
        <v>5</v>
      </c>
      <c r="G40" s="252">
        <f t="shared" si="1"/>
        <v>7.5</v>
      </c>
      <c r="H40" s="133"/>
      <c r="I40" s="133">
        <v>1</v>
      </c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>
        <v>1</v>
      </c>
      <c r="U40" s="133">
        <v>1</v>
      </c>
      <c r="V40" s="133"/>
      <c r="W40" s="133"/>
      <c r="X40" s="133">
        <v>2</v>
      </c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</row>
    <row r="41" s="140" customFormat="1" customHeight="1" spans="1:38">
      <c r="A41" s="161">
        <v>37</v>
      </c>
      <c r="B41" s="599" t="s">
        <v>60</v>
      </c>
      <c r="C41" s="609" t="s">
        <v>69</v>
      </c>
      <c r="D41" s="162" t="s">
        <v>68</v>
      </c>
      <c r="E41" s="499">
        <v>0.5</v>
      </c>
      <c r="F41" s="190">
        <f t="shared" si="0"/>
        <v>210</v>
      </c>
      <c r="G41" s="252">
        <f t="shared" si="1"/>
        <v>105</v>
      </c>
      <c r="H41" s="133">
        <v>6</v>
      </c>
      <c r="I41" s="133"/>
      <c r="J41" s="133"/>
      <c r="K41" s="133"/>
      <c r="L41" s="133"/>
      <c r="M41" s="133"/>
      <c r="N41" s="133">
        <v>4</v>
      </c>
      <c r="O41" s="133">
        <v>15</v>
      </c>
      <c r="P41" s="133"/>
      <c r="Q41" s="133"/>
      <c r="R41" s="133"/>
      <c r="S41" s="133"/>
      <c r="T41" s="133">
        <v>13</v>
      </c>
      <c r="U41" s="133">
        <v>10</v>
      </c>
      <c r="V41" s="133"/>
      <c r="W41" s="133"/>
      <c r="X41" s="133"/>
      <c r="Y41" s="133"/>
      <c r="Z41" s="133">
        <v>20</v>
      </c>
      <c r="AA41" s="133">
        <v>10</v>
      </c>
      <c r="AB41" s="133"/>
      <c r="AC41" s="133"/>
      <c r="AD41" s="133"/>
      <c r="AE41" s="133"/>
      <c r="AF41" s="133">
        <v>14</v>
      </c>
      <c r="AG41" s="133">
        <v>108</v>
      </c>
      <c r="AH41" s="133"/>
      <c r="AI41" s="133"/>
      <c r="AJ41" s="133"/>
      <c r="AK41" s="133"/>
      <c r="AL41" s="133">
        <v>10</v>
      </c>
    </row>
    <row r="42" s="140" customFormat="1" customHeight="1" spans="1:38">
      <c r="A42" s="161">
        <v>38</v>
      </c>
      <c r="B42" s="599" t="s">
        <v>60</v>
      </c>
      <c r="C42" s="609" t="s">
        <v>70</v>
      </c>
      <c r="D42" s="162" t="s">
        <v>68</v>
      </c>
      <c r="E42" s="610">
        <v>1</v>
      </c>
      <c r="F42" s="190">
        <f t="shared" si="0"/>
        <v>0</v>
      </c>
      <c r="G42" s="252">
        <f t="shared" si="1"/>
        <v>0</v>
      </c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</row>
    <row r="43" s="140" customFormat="1" customHeight="1" spans="1:38">
      <c r="A43" s="161">
        <v>39</v>
      </c>
      <c r="B43" s="599" t="s">
        <v>60</v>
      </c>
      <c r="C43" s="609" t="s">
        <v>71</v>
      </c>
      <c r="D43" s="162" t="s">
        <v>68</v>
      </c>
      <c r="E43" s="610">
        <v>-2</v>
      </c>
      <c r="F43" s="190">
        <f t="shared" si="0"/>
        <v>0</v>
      </c>
      <c r="G43" s="252">
        <f t="shared" si="1"/>
        <v>0</v>
      </c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</row>
    <row r="44" s="140" customFormat="1" customHeight="1" spans="1:38">
      <c r="A44" s="161">
        <v>40</v>
      </c>
      <c r="B44" s="599" t="s">
        <v>60</v>
      </c>
      <c r="C44" s="609" t="s">
        <v>72</v>
      </c>
      <c r="D44" s="162" t="s">
        <v>68</v>
      </c>
      <c r="E44" s="611">
        <v>2</v>
      </c>
      <c r="F44" s="190">
        <f t="shared" si="0"/>
        <v>0</v>
      </c>
      <c r="G44" s="252">
        <f t="shared" si="1"/>
        <v>0</v>
      </c>
      <c r="H44" s="133"/>
      <c r="I44" s="133"/>
      <c r="J44" s="133"/>
      <c r="K44" s="133"/>
      <c r="L44" s="612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</row>
    <row r="45" s="140" customFormat="1" customHeight="1" spans="1:38">
      <c r="A45" s="161">
        <v>41</v>
      </c>
      <c r="B45" s="599" t="s">
        <v>53</v>
      </c>
      <c r="C45" s="609" t="s">
        <v>67</v>
      </c>
      <c r="D45" s="162" t="s">
        <v>68</v>
      </c>
      <c r="E45" s="499">
        <v>1.5</v>
      </c>
      <c r="F45" s="190">
        <f t="shared" si="0"/>
        <v>9</v>
      </c>
      <c r="G45" s="252">
        <f t="shared" si="1"/>
        <v>13.5</v>
      </c>
      <c r="H45" s="133"/>
      <c r="I45" s="133"/>
      <c r="J45" s="133"/>
      <c r="K45" s="133"/>
      <c r="L45" s="133"/>
      <c r="M45" s="133"/>
      <c r="N45" s="133"/>
      <c r="O45" s="133">
        <v>4</v>
      </c>
      <c r="P45" s="133"/>
      <c r="Q45" s="133"/>
      <c r="R45" s="133">
        <v>1</v>
      </c>
      <c r="S45" s="133"/>
      <c r="T45" s="133"/>
      <c r="U45" s="133">
        <v>1</v>
      </c>
      <c r="V45" s="133"/>
      <c r="W45" s="133"/>
      <c r="X45" s="133"/>
      <c r="Y45" s="133"/>
      <c r="Z45" s="133"/>
      <c r="AA45" s="133"/>
      <c r="AB45" s="133">
        <v>1</v>
      </c>
      <c r="AC45" s="133"/>
      <c r="AD45" s="133"/>
      <c r="AE45" s="133"/>
      <c r="AF45" s="133">
        <v>1</v>
      </c>
      <c r="AG45" s="133">
        <v>1</v>
      </c>
      <c r="AH45" s="133"/>
      <c r="AI45" s="133"/>
      <c r="AJ45" s="133"/>
      <c r="AK45" s="133"/>
      <c r="AL45" s="133"/>
    </row>
    <row r="46" s="140" customFormat="1" customHeight="1" spans="1:38">
      <c r="A46" s="161">
        <v>42</v>
      </c>
      <c r="B46" s="599" t="s">
        <v>53</v>
      </c>
      <c r="C46" s="609" t="s">
        <v>69</v>
      </c>
      <c r="D46" s="162" t="s">
        <v>68</v>
      </c>
      <c r="E46" s="499">
        <v>0.5</v>
      </c>
      <c r="F46" s="190">
        <f t="shared" si="0"/>
        <v>118</v>
      </c>
      <c r="G46" s="252">
        <f t="shared" si="1"/>
        <v>59</v>
      </c>
      <c r="H46" s="133">
        <v>6</v>
      </c>
      <c r="I46" s="133">
        <v>1</v>
      </c>
      <c r="J46" s="133"/>
      <c r="K46" s="133"/>
      <c r="L46" s="133"/>
      <c r="M46" s="133"/>
      <c r="N46" s="133">
        <v>4</v>
      </c>
      <c r="O46" s="133">
        <v>15</v>
      </c>
      <c r="P46" s="133"/>
      <c r="Q46" s="133"/>
      <c r="R46" s="133"/>
      <c r="S46" s="133"/>
      <c r="T46" s="133">
        <v>13</v>
      </c>
      <c r="U46" s="133">
        <v>10</v>
      </c>
      <c r="V46" s="133"/>
      <c r="W46" s="133"/>
      <c r="X46" s="133">
        <v>5</v>
      </c>
      <c r="Y46" s="133"/>
      <c r="Z46" s="133">
        <v>20</v>
      </c>
      <c r="AA46" s="133">
        <v>10</v>
      </c>
      <c r="AB46" s="133"/>
      <c r="AC46" s="133"/>
      <c r="AD46" s="133"/>
      <c r="AE46" s="133"/>
      <c r="AF46" s="133">
        <v>14</v>
      </c>
      <c r="AG46" s="133">
        <v>10</v>
      </c>
      <c r="AH46" s="133"/>
      <c r="AI46" s="133"/>
      <c r="AJ46" s="133"/>
      <c r="AK46" s="133"/>
      <c r="AL46" s="133">
        <v>10</v>
      </c>
    </row>
    <row r="47" s="140" customFormat="1" customHeight="1" spans="1:38">
      <c r="A47" s="161">
        <v>43</v>
      </c>
      <c r="B47" s="599" t="s">
        <v>53</v>
      </c>
      <c r="C47" s="609" t="s">
        <v>70</v>
      </c>
      <c r="D47" s="162" t="s">
        <v>68</v>
      </c>
      <c r="E47" s="610">
        <v>1</v>
      </c>
      <c r="F47" s="190">
        <f t="shared" si="0"/>
        <v>0</v>
      </c>
      <c r="G47" s="252">
        <f t="shared" si="1"/>
        <v>0</v>
      </c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</row>
    <row r="48" s="140" customFormat="1" customHeight="1" spans="1:38">
      <c r="A48" s="161">
        <v>44</v>
      </c>
      <c r="B48" s="599" t="s">
        <v>53</v>
      </c>
      <c r="C48" s="609" t="s">
        <v>71</v>
      </c>
      <c r="D48" s="162" t="s">
        <v>68</v>
      </c>
      <c r="E48" s="610">
        <v>-2</v>
      </c>
      <c r="F48" s="190">
        <f t="shared" si="0"/>
        <v>0</v>
      </c>
      <c r="G48" s="252">
        <f t="shared" si="1"/>
        <v>0</v>
      </c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</row>
    <row r="49" s="140" customFormat="1" customHeight="1" spans="1:38">
      <c r="A49" s="161">
        <v>45</v>
      </c>
      <c r="B49" s="599" t="s">
        <v>53</v>
      </c>
      <c r="C49" s="609" t="s">
        <v>72</v>
      </c>
      <c r="D49" s="162" t="s">
        <v>68</v>
      </c>
      <c r="E49" s="611">
        <v>2</v>
      </c>
      <c r="F49" s="190">
        <f t="shared" si="0"/>
        <v>0</v>
      </c>
      <c r="G49" s="252">
        <f t="shared" si="1"/>
        <v>0</v>
      </c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</row>
    <row r="50" s="140" customFormat="1" customHeight="1" spans="1:38">
      <c r="A50" s="161">
        <v>46</v>
      </c>
      <c r="B50" s="599" t="s">
        <v>74</v>
      </c>
      <c r="C50" s="609" t="s">
        <v>67</v>
      </c>
      <c r="D50" s="162" t="s">
        <v>68</v>
      </c>
      <c r="E50" s="499">
        <v>1.5</v>
      </c>
      <c r="F50" s="190">
        <f t="shared" si="0"/>
        <v>0</v>
      </c>
      <c r="G50" s="252">
        <f t="shared" si="1"/>
        <v>0</v>
      </c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</row>
    <row r="51" s="140" customFormat="1" customHeight="1" spans="1:38">
      <c r="A51" s="161">
        <v>47</v>
      </c>
      <c r="B51" s="599" t="s">
        <v>74</v>
      </c>
      <c r="C51" s="609" t="s">
        <v>69</v>
      </c>
      <c r="D51" s="162" t="s">
        <v>68</v>
      </c>
      <c r="E51" s="499">
        <v>0.5</v>
      </c>
      <c r="F51" s="190">
        <f t="shared" si="0"/>
        <v>7</v>
      </c>
      <c r="G51" s="252">
        <f t="shared" si="1"/>
        <v>3.5</v>
      </c>
      <c r="H51" s="133">
        <v>6</v>
      </c>
      <c r="I51" s="133">
        <v>1</v>
      </c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</row>
    <row r="52" s="140" customFormat="1" customHeight="1" spans="1:38">
      <c r="A52" s="161">
        <v>48</v>
      </c>
      <c r="B52" s="599" t="s">
        <v>74</v>
      </c>
      <c r="C52" s="609" t="s">
        <v>70</v>
      </c>
      <c r="D52" s="162" t="s">
        <v>68</v>
      </c>
      <c r="E52" s="610">
        <v>1</v>
      </c>
      <c r="F52" s="190">
        <f t="shared" si="0"/>
        <v>0</v>
      </c>
      <c r="G52" s="252">
        <f t="shared" si="1"/>
        <v>0</v>
      </c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</row>
    <row r="53" s="140" customFormat="1" customHeight="1" spans="1:38">
      <c r="A53" s="161">
        <v>49</v>
      </c>
      <c r="B53" s="599" t="s">
        <v>74</v>
      </c>
      <c r="C53" s="609" t="s">
        <v>71</v>
      </c>
      <c r="D53" s="162" t="s">
        <v>68</v>
      </c>
      <c r="E53" s="610">
        <v>-2</v>
      </c>
      <c r="F53" s="190">
        <f t="shared" si="0"/>
        <v>0</v>
      </c>
      <c r="G53" s="252">
        <f t="shared" si="1"/>
        <v>0</v>
      </c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</row>
    <row r="54" s="140" customFormat="1" customHeight="1" spans="1:38">
      <c r="A54" s="161">
        <v>50</v>
      </c>
      <c r="B54" s="599" t="s">
        <v>74</v>
      </c>
      <c r="C54" s="609" t="s">
        <v>72</v>
      </c>
      <c r="D54" s="162" t="s">
        <v>68</v>
      </c>
      <c r="E54" s="611">
        <v>2</v>
      </c>
      <c r="F54" s="190">
        <f t="shared" si="0"/>
        <v>0</v>
      </c>
      <c r="G54" s="252">
        <f t="shared" si="1"/>
        <v>0</v>
      </c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</row>
    <row r="55" s="140" customFormat="1" customHeight="1" spans="1:38">
      <c r="A55" s="161">
        <v>51</v>
      </c>
      <c r="B55" s="599" t="s">
        <v>61</v>
      </c>
      <c r="C55" s="609" t="s">
        <v>67</v>
      </c>
      <c r="D55" s="162" t="s">
        <v>68</v>
      </c>
      <c r="E55" s="499">
        <v>1.5</v>
      </c>
      <c r="F55" s="190">
        <f t="shared" si="0"/>
        <v>3</v>
      </c>
      <c r="G55" s="252">
        <f t="shared" si="1"/>
        <v>4.5</v>
      </c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>
        <v>1</v>
      </c>
      <c r="U55" s="133"/>
      <c r="V55" s="133"/>
      <c r="W55" s="133"/>
      <c r="X55" s="133"/>
      <c r="Y55" s="133"/>
      <c r="Z55" s="133"/>
      <c r="AA55" s="133"/>
      <c r="AB55" s="133"/>
      <c r="AC55" s="133">
        <v>1</v>
      </c>
      <c r="AD55" s="133"/>
      <c r="AE55" s="133"/>
      <c r="AF55" s="133"/>
      <c r="AG55" s="133"/>
      <c r="AH55" s="133">
        <v>1</v>
      </c>
      <c r="AI55" s="133"/>
      <c r="AJ55" s="133"/>
      <c r="AK55" s="133"/>
      <c r="AL55" s="133"/>
    </row>
    <row r="56" s="140" customFormat="1" customHeight="1" spans="1:38">
      <c r="A56" s="161">
        <v>52</v>
      </c>
      <c r="B56" s="599" t="s">
        <v>61</v>
      </c>
      <c r="C56" s="609" t="s">
        <v>69</v>
      </c>
      <c r="D56" s="162" t="s">
        <v>68</v>
      </c>
      <c r="E56" s="499">
        <v>0.5</v>
      </c>
      <c r="F56" s="190">
        <f t="shared" si="0"/>
        <v>26</v>
      </c>
      <c r="G56" s="252">
        <f t="shared" si="1"/>
        <v>13</v>
      </c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>
        <v>3</v>
      </c>
      <c r="AD56" s="133"/>
      <c r="AE56" s="133"/>
      <c r="AF56" s="133"/>
      <c r="AG56" s="133"/>
      <c r="AH56" s="133">
        <v>9</v>
      </c>
      <c r="AI56" s="133">
        <v>14</v>
      </c>
      <c r="AJ56" s="133"/>
      <c r="AK56" s="133"/>
      <c r="AL56" s="133"/>
    </row>
    <row r="57" s="140" customFormat="1" customHeight="1" spans="1:38">
      <c r="A57" s="161">
        <v>53</v>
      </c>
      <c r="B57" s="599" t="s">
        <v>61</v>
      </c>
      <c r="C57" s="609" t="s">
        <v>70</v>
      </c>
      <c r="D57" s="162" t="s">
        <v>68</v>
      </c>
      <c r="E57" s="610">
        <v>1</v>
      </c>
      <c r="F57" s="190">
        <f t="shared" si="0"/>
        <v>0</v>
      </c>
      <c r="G57" s="252">
        <f t="shared" si="1"/>
        <v>0</v>
      </c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</row>
    <row r="58" s="140" customFormat="1" customHeight="1" spans="1:38">
      <c r="A58" s="161">
        <v>54</v>
      </c>
      <c r="B58" s="599" t="s">
        <v>61</v>
      </c>
      <c r="C58" s="609" t="s">
        <v>71</v>
      </c>
      <c r="D58" s="162" t="s">
        <v>68</v>
      </c>
      <c r="E58" s="610">
        <v>0</v>
      </c>
      <c r="F58" s="190">
        <f t="shared" si="0"/>
        <v>0</v>
      </c>
      <c r="G58" s="252">
        <f t="shared" si="1"/>
        <v>0</v>
      </c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</row>
    <row r="59" s="140" customFormat="1" customHeight="1" spans="1:38">
      <c r="A59" s="161">
        <v>55</v>
      </c>
      <c r="B59" s="599" t="s">
        <v>61</v>
      </c>
      <c r="C59" s="609" t="s">
        <v>72</v>
      </c>
      <c r="D59" s="162" t="s">
        <v>68</v>
      </c>
      <c r="E59" s="611">
        <v>2</v>
      </c>
      <c r="F59" s="190">
        <f t="shared" si="0"/>
        <v>0</v>
      </c>
      <c r="G59" s="252">
        <f t="shared" si="1"/>
        <v>0</v>
      </c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</row>
    <row r="60" s="140" customFormat="1" customHeight="1" spans="1:38">
      <c r="A60" s="161">
        <v>56</v>
      </c>
      <c r="B60" s="162"/>
      <c r="C60" s="162"/>
      <c r="D60" s="162" t="s">
        <v>68</v>
      </c>
      <c r="E60" s="162"/>
      <c r="F60" s="190">
        <f t="shared" si="0"/>
        <v>0</v>
      </c>
      <c r="G60" s="252">
        <f t="shared" si="1"/>
        <v>0</v>
      </c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</row>
    <row r="61" s="140" customFormat="1" customHeight="1" spans="1:38">
      <c r="A61" s="161">
        <v>57</v>
      </c>
      <c r="B61" s="162"/>
      <c r="C61" s="162"/>
      <c r="D61" s="162" t="s">
        <v>68</v>
      </c>
      <c r="E61" s="162"/>
      <c r="F61" s="190">
        <f t="shared" si="0"/>
        <v>0</v>
      </c>
      <c r="G61" s="252">
        <f t="shared" si="1"/>
        <v>0</v>
      </c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</row>
    <row r="62" s="140" customFormat="1" customHeight="1" spans="1:38">
      <c r="A62" s="161">
        <v>58</v>
      </c>
      <c r="B62" s="162"/>
      <c r="C62" s="162"/>
      <c r="D62" s="162" t="s">
        <v>68</v>
      </c>
      <c r="E62" s="162"/>
      <c r="F62" s="190">
        <f t="shared" si="0"/>
        <v>0</v>
      </c>
      <c r="G62" s="252">
        <f t="shared" si="1"/>
        <v>0</v>
      </c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</row>
    <row r="63" s="140" customFormat="1" customHeight="1" spans="1:38">
      <c r="A63" s="161">
        <v>59</v>
      </c>
      <c r="B63" s="162"/>
      <c r="C63" s="162"/>
      <c r="D63" s="162" t="s">
        <v>68</v>
      </c>
      <c r="E63" s="162"/>
      <c r="F63" s="190">
        <f t="shared" si="0"/>
        <v>0</v>
      </c>
      <c r="G63" s="252">
        <f t="shared" si="1"/>
        <v>0</v>
      </c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</row>
    <row r="64" s="140" customFormat="1" customHeight="1" spans="1:38">
      <c r="A64" s="161">
        <v>60</v>
      </c>
      <c r="B64" s="162"/>
      <c r="C64" s="162"/>
      <c r="D64" s="162" t="s">
        <v>68</v>
      </c>
      <c r="E64" s="162"/>
      <c r="F64" s="190">
        <f t="shared" si="0"/>
        <v>0</v>
      </c>
      <c r="G64" s="252">
        <f t="shared" si="1"/>
        <v>0</v>
      </c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</row>
    <row r="65" s="140" customFormat="1" customHeight="1" spans="1:38">
      <c r="A65" s="161">
        <v>61</v>
      </c>
      <c r="B65" s="162"/>
      <c r="C65" s="162"/>
      <c r="D65" s="162" t="s">
        <v>68</v>
      </c>
      <c r="E65" s="162"/>
      <c r="F65" s="190">
        <f t="shared" si="0"/>
        <v>0</v>
      </c>
      <c r="G65" s="252">
        <f t="shared" si="1"/>
        <v>0</v>
      </c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</row>
    <row r="66" s="140" customFormat="1" customHeight="1" spans="1:38">
      <c r="A66" s="161">
        <v>62</v>
      </c>
      <c r="B66" s="162"/>
      <c r="C66" s="162"/>
      <c r="D66" s="162" t="s">
        <v>68</v>
      </c>
      <c r="E66" s="162"/>
      <c r="F66" s="190">
        <f t="shared" si="0"/>
        <v>0</v>
      </c>
      <c r="G66" s="252">
        <f t="shared" si="1"/>
        <v>0</v>
      </c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</row>
    <row r="67" s="140" customFormat="1" customHeight="1" spans="1:38">
      <c r="A67" s="161">
        <v>63</v>
      </c>
      <c r="B67" s="162"/>
      <c r="C67" s="162"/>
      <c r="D67" s="162" t="s">
        <v>68</v>
      </c>
      <c r="E67" s="162"/>
      <c r="F67" s="190">
        <f t="shared" si="0"/>
        <v>0</v>
      </c>
      <c r="G67" s="252">
        <f t="shared" si="1"/>
        <v>0</v>
      </c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</row>
    <row r="68" s="140" customFormat="1" customHeight="1" spans="1:38">
      <c r="A68" s="161">
        <v>64</v>
      </c>
      <c r="B68" s="162"/>
      <c r="C68" s="162"/>
      <c r="D68" s="162" t="s">
        <v>68</v>
      </c>
      <c r="E68" s="162"/>
      <c r="F68" s="190">
        <f t="shared" si="0"/>
        <v>0</v>
      </c>
      <c r="G68" s="252">
        <f t="shared" si="1"/>
        <v>0</v>
      </c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</row>
    <row r="69" s="140" customFormat="1" customHeight="1" spans="1:38">
      <c r="A69" s="161">
        <v>65</v>
      </c>
      <c r="B69" s="162"/>
      <c r="C69" s="162"/>
      <c r="D69" s="162" t="s">
        <v>68</v>
      </c>
      <c r="E69" s="162"/>
      <c r="F69" s="190">
        <f t="shared" ref="F69:F105" si="2">SUMIF($H$4:$AL$4,$F$4,$H69:$AL69)</f>
        <v>0</v>
      </c>
      <c r="G69" s="252">
        <f t="shared" ref="G69:G104" si="3">+E69*F69</f>
        <v>0</v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</row>
    <row r="70" s="140" customFormat="1" customHeight="1" spans="1:38">
      <c r="A70" s="161">
        <v>66</v>
      </c>
      <c r="B70" s="162"/>
      <c r="C70" s="162"/>
      <c r="D70" s="162" t="s">
        <v>68</v>
      </c>
      <c r="E70" s="162"/>
      <c r="F70" s="190">
        <f t="shared" si="2"/>
        <v>0</v>
      </c>
      <c r="G70" s="252">
        <f t="shared" si="3"/>
        <v>0</v>
      </c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</row>
    <row r="71" s="140" customFormat="1" customHeight="1" spans="1:38">
      <c r="A71" s="161">
        <v>67</v>
      </c>
      <c r="B71" s="162"/>
      <c r="C71" s="162"/>
      <c r="D71" s="162" t="s">
        <v>68</v>
      </c>
      <c r="E71" s="162"/>
      <c r="F71" s="190">
        <f t="shared" si="2"/>
        <v>0</v>
      </c>
      <c r="G71" s="252">
        <f t="shared" si="3"/>
        <v>0</v>
      </c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</row>
    <row r="72" s="140" customFormat="1" customHeight="1" spans="1:38">
      <c r="A72" s="161">
        <v>68</v>
      </c>
      <c r="B72" s="162"/>
      <c r="C72" s="162"/>
      <c r="D72" s="162" t="s">
        <v>68</v>
      </c>
      <c r="E72" s="162"/>
      <c r="F72" s="190">
        <f t="shared" si="2"/>
        <v>0</v>
      </c>
      <c r="G72" s="252">
        <f t="shared" si="3"/>
        <v>0</v>
      </c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</row>
    <row r="73" s="140" customFormat="1" customHeight="1" spans="1:38">
      <c r="A73" s="161">
        <v>69</v>
      </c>
      <c r="B73" s="162"/>
      <c r="C73" s="162"/>
      <c r="D73" s="162" t="s">
        <v>68</v>
      </c>
      <c r="E73" s="162"/>
      <c r="F73" s="190">
        <f t="shared" si="2"/>
        <v>0</v>
      </c>
      <c r="G73" s="252">
        <f t="shared" si="3"/>
        <v>0</v>
      </c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</row>
    <row r="74" s="140" customFormat="1" customHeight="1" spans="1:38">
      <c r="A74" s="161">
        <v>70</v>
      </c>
      <c r="B74" s="162"/>
      <c r="C74" s="162"/>
      <c r="D74" s="162" t="s">
        <v>68</v>
      </c>
      <c r="E74" s="162"/>
      <c r="F74" s="190">
        <f t="shared" si="2"/>
        <v>0</v>
      </c>
      <c r="G74" s="252">
        <f t="shared" si="3"/>
        <v>0</v>
      </c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</row>
    <row r="75" s="140" customFormat="1" customHeight="1" spans="1:38">
      <c r="A75" s="161">
        <v>71</v>
      </c>
      <c r="B75" s="162"/>
      <c r="C75" s="162"/>
      <c r="D75" s="162" t="s">
        <v>68</v>
      </c>
      <c r="E75" s="162"/>
      <c r="F75" s="190">
        <f t="shared" si="2"/>
        <v>0</v>
      </c>
      <c r="G75" s="252">
        <f t="shared" si="3"/>
        <v>0</v>
      </c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</row>
    <row r="76" s="140" customFormat="1" customHeight="1" spans="1:38">
      <c r="A76" s="161">
        <v>72</v>
      </c>
      <c r="B76" s="162"/>
      <c r="C76" s="162"/>
      <c r="D76" s="162" t="s">
        <v>68</v>
      </c>
      <c r="E76" s="162"/>
      <c r="F76" s="190">
        <f t="shared" si="2"/>
        <v>0</v>
      </c>
      <c r="G76" s="252">
        <f t="shared" si="3"/>
        <v>0</v>
      </c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</row>
    <row r="77" s="140" customFormat="1" customHeight="1" spans="1:38">
      <c r="A77" s="161">
        <v>73</v>
      </c>
      <c r="B77" s="162"/>
      <c r="C77" s="162"/>
      <c r="D77" s="162" t="s">
        <v>68</v>
      </c>
      <c r="E77" s="162"/>
      <c r="F77" s="190">
        <f t="shared" si="2"/>
        <v>0</v>
      </c>
      <c r="G77" s="252">
        <f t="shared" si="3"/>
        <v>0</v>
      </c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</row>
    <row r="78" s="140" customFormat="1" customHeight="1" spans="1:38">
      <c r="A78" s="161">
        <v>74</v>
      </c>
      <c r="B78" s="162"/>
      <c r="C78" s="162"/>
      <c r="D78" s="162" t="s">
        <v>68</v>
      </c>
      <c r="E78" s="162"/>
      <c r="F78" s="190">
        <f t="shared" si="2"/>
        <v>0</v>
      </c>
      <c r="G78" s="252">
        <f t="shared" si="3"/>
        <v>0</v>
      </c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</row>
    <row r="79" s="140" customFormat="1" customHeight="1" spans="1:38">
      <c r="A79" s="161">
        <v>75</v>
      </c>
      <c r="B79" s="162"/>
      <c r="C79" s="162"/>
      <c r="D79" s="162" t="s">
        <v>68</v>
      </c>
      <c r="E79" s="162"/>
      <c r="F79" s="190">
        <f t="shared" si="2"/>
        <v>0</v>
      </c>
      <c r="G79" s="252">
        <f t="shared" si="3"/>
        <v>0</v>
      </c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</row>
    <row r="80" s="140" customFormat="1" customHeight="1" spans="1:38">
      <c r="A80" s="161">
        <v>76</v>
      </c>
      <c r="B80" s="162"/>
      <c r="C80" s="162"/>
      <c r="D80" s="162" t="s">
        <v>68</v>
      </c>
      <c r="E80" s="162"/>
      <c r="F80" s="190">
        <f t="shared" si="2"/>
        <v>0</v>
      </c>
      <c r="G80" s="252">
        <f t="shared" si="3"/>
        <v>0</v>
      </c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</row>
    <row r="81" s="140" customFormat="1" customHeight="1" spans="1:38">
      <c r="A81" s="161">
        <v>77</v>
      </c>
      <c r="B81" s="162"/>
      <c r="C81" s="162"/>
      <c r="D81" s="162" t="s">
        <v>68</v>
      </c>
      <c r="E81" s="162"/>
      <c r="F81" s="190">
        <f t="shared" si="2"/>
        <v>0</v>
      </c>
      <c r="G81" s="252">
        <f t="shared" si="3"/>
        <v>0</v>
      </c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</row>
    <row r="82" s="140" customFormat="1" customHeight="1" spans="1:38">
      <c r="A82" s="161">
        <v>78</v>
      </c>
      <c r="B82" s="162"/>
      <c r="C82" s="162"/>
      <c r="D82" s="162" t="s">
        <v>68</v>
      </c>
      <c r="E82" s="162"/>
      <c r="F82" s="190">
        <f t="shared" si="2"/>
        <v>0</v>
      </c>
      <c r="G82" s="252">
        <f t="shared" si="3"/>
        <v>0</v>
      </c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</row>
    <row r="83" s="140" customFormat="1" customHeight="1" spans="1:38">
      <c r="A83" s="161">
        <v>79</v>
      </c>
      <c r="B83" s="162"/>
      <c r="C83" s="162"/>
      <c r="D83" s="162" t="s">
        <v>68</v>
      </c>
      <c r="E83" s="162"/>
      <c r="F83" s="190">
        <f t="shared" si="2"/>
        <v>0</v>
      </c>
      <c r="G83" s="252">
        <f t="shared" si="3"/>
        <v>0</v>
      </c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</row>
    <row r="84" s="140" customFormat="1" customHeight="1" spans="1:38">
      <c r="A84" s="161">
        <v>80</v>
      </c>
      <c r="B84" s="162"/>
      <c r="C84" s="162"/>
      <c r="D84" s="162" t="s">
        <v>68</v>
      </c>
      <c r="E84" s="162"/>
      <c r="F84" s="190">
        <f t="shared" si="2"/>
        <v>0</v>
      </c>
      <c r="G84" s="252">
        <f t="shared" si="3"/>
        <v>0</v>
      </c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</row>
    <row r="85" s="140" customFormat="1" customHeight="1" spans="1:38">
      <c r="A85" s="161">
        <v>81</v>
      </c>
      <c r="B85" s="162"/>
      <c r="C85" s="162"/>
      <c r="D85" s="162" t="s">
        <v>68</v>
      </c>
      <c r="E85" s="162"/>
      <c r="F85" s="190">
        <f t="shared" si="2"/>
        <v>0</v>
      </c>
      <c r="G85" s="252">
        <f t="shared" si="3"/>
        <v>0</v>
      </c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</row>
    <row r="86" s="140" customFormat="1" customHeight="1" spans="1:38">
      <c r="A86" s="161">
        <v>82</v>
      </c>
      <c r="B86" s="162"/>
      <c r="C86" s="162"/>
      <c r="D86" s="162" t="s">
        <v>68</v>
      </c>
      <c r="E86" s="162"/>
      <c r="F86" s="190">
        <f t="shared" si="2"/>
        <v>0</v>
      </c>
      <c r="G86" s="252">
        <f t="shared" si="3"/>
        <v>0</v>
      </c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</row>
    <row r="87" s="140" customFormat="1" customHeight="1" spans="1:38">
      <c r="A87" s="161">
        <v>83</v>
      </c>
      <c r="B87" s="162"/>
      <c r="C87" s="162"/>
      <c r="D87" s="162" t="s">
        <v>68</v>
      </c>
      <c r="E87" s="162"/>
      <c r="F87" s="190">
        <f t="shared" si="2"/>
        <v>0</v>
      </c>
      <c r="G87" s="252">
        <f t="shared" si="3"/>
        <v>0</v>
      </c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</row>
    <row r="88" s="140" customFormat="1" customHeight="1" spans="1:38">
      <c r="A88" s="161">
        <v>84</v>
      </c>
      <c r="B88" s="162"/>
      <c r="C88" s="162"/>
      <c r="D88" s="162" t="s">
        <v>68</v>
      </c>
      <c r="E88" s="162"/>
      <c r="F88" s="190">
        <f t="shared" si="2"/>
        <v>0</v>
      </c>
      <c r="G88" s="252">
        <f t="shared" si="3"/>
        <v>0</v>
      </c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</row>
    <row r="89" s="140" customFormat="1" customHeight="1" spans="1:38">
      <c r="A89" s="161">
        <v>85</v>
      </c>
      <c r="B89" s="162"/>
      <c r="C89" s="162"/>
      <c r="D89" s="162" t="s">
        <v>68</v>
      </c>
      <c r="E89" s="162"/>
      <c r="F89" s="190">
        <f t="shared" si="2"/>
        <v>0</v>
      </c>
      <c r="G89" s="252">
        <f t="shared" si="3"/>
        <v>0</v>
      </c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</row>
    <row r="90" s="140" customFormat="1" customHeight="1" spans="1:38">
      <c r="A90" s="161">
        <v>86</v>
      </c>
      <c r="B90" s="162"/>
      <c r="C90" s="162"/>
      <c r="D90" s="162" t="s">
        <v>68</v>
      </c>
      <c r="E90" s="162"/>
      <c r="F90" s="190">
        <f t="shared" si="2"/>
        <v>0</v>
      </c>
      <c r="G90" s="252">
        <f t="shared" si="3"/>
        <v>0</v>
      </c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</row>
    <row r="91" s="140" customFormat="1" customHeight="1" spans="1:38">
      <c r="A91" s="161">
        <v>87</v>
      </c>
      <c r="B91" s="162"/>
      <c r="C91" s="162"/>
      <c r="D91" s="162" t="s">
        <v>68</v>
      </c>
      <c r="E91" s="162"/>
      <c r="F91" s="190">
        <f t="shared" si="2"/>
        <v>0</v>
      </c>
      <c r="G91" s="252">
        <f t="shared" si="3"/>
        <v>0</v>
      </c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</row>
    <row r="92" s="140" customFormat="1" customHeight="1" spans="1:38">
      <c r="A92" s="161">
        <v>88</v>
      </c>
      <c r="B92" s="162"/>
      <c r="C92" s="162"/>
      <c r="D92" s="162" t="s">
        <v>68</v>
      </c>
      <c r="E92" s="162"/>
      <c r="F92" s="190">
        <f t="shared" si="2"/>
        <v>0</v>
      </c>
      <c r="G92" s="252">
        <f t="shared" si="3"/>
        <v>0</v>
      </c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</row>
    <row r="93" s="140" customFormat="1" customHeight="1" spans="1:38">
      <c r="A93" s="161">
        <v>89</v>
      </c>
      <c r="B93" s="162"/>
      <c r="C93" s="162"/>
      <c r="D93" s="162" t="s">
        <v>68</v>
      </c>
      <c r="E93" s="162"/>
      <c r="F93" s="190">
        <f t="shared" si="2"/>
        <v>0</v>
      </c>
      <c r="G93" s="252">
        <f t="shared" si="3"/>
        <v>0</v>
      </c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</row>
    <row r="94" s="140" customFormat="1" customHeight="1" spans="1:38">
      <c r="A94" s="161">
        <v>90</v>
      </c>
      <c r="B94" s="162"/>
      <c r="C94" s="162"/>
      <c r="D94" s="162" t="s">
        <v>68</v>
      </c>
      <c r="E94" s="162"/>
      <c r="F94" s="190">
        <f t="shared" si="2"/>
        <v>0</v>
      </c>
      <c r="G94" s="252">
        <f t="shared" si="3"/>
        <v>0</v>
      </c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</row>
    <row r="95" s="140" customFormat="1" customHeight="1" spans="1:38">
      <c r="A95" s="161">
        <v>91</v>
      </c>
      <c r="B95" s="162"/>
      <c r="C95" s="162"/>
      <c r="D95" s="162" t="s">
        <v>68</v>
      </c>
      <c r="E95" s="162"/>
      <c r="F95" s="190">
        <f t="shared" si="2"/>
        <v>0</v>
      </c>
      <c r="G95" s="252">
        <f t="shared" si="3"/>
        <v>0</v>
      </c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</row>
    <row r="96" s="140" customFormat="1" customHeight="1" spans="1:38">
      <c r="A96" s="161">
        <v>92</v>
      </c>
      <c r="B96" s="162"/>
      <c r="C96" s="162"/>
      <c r="D96" s="162" t="s">
        <v>68</v>
      </c>
      <c r="E96" s="162"/>
      <c r="F96" s="190">
        <f t="shared" si="2"/>
        <v>0</v>
      </c>
      <c r="G96" s="252">
        <f t="shared" si="3"/>
        <v>0</v>
      </c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</row>
    <row r="97" s="140" customFormat="1" customHeight="1" spans="1:38">
      <c r="A97" s="161">
        <v>93</v>
      </c>
      <c r="B97" s="162"/>
      <c r="C97" s="162"/>
      <c r="D97" s="162" t="s">
        <v>68</v>
      </c>
      <c r="E97" s="162"/>
      <c r="F97" s="190">
        <f t="shared" si="2"/>
        <v>0</v>
      </c>
      <c r="G97" s="252">
        <f t="shared" si="3"/>
        <v>0</v>
      </c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</row>
    <row r="98" s="140" customFormat="1" customHeight="1" spans="1:38">
      <c r="A98" s="161">
        <v>94</v>
      </c>
      <c r="B98" s="162"/>
      <c r="C98" s="162"/>
      <c r="D98" s="162" t="s">
        <v>68</v>
      </c>
      <c r="E98" s="162"/>
      <c r="F98" s="190">
        <f t="shared" si="2"/>
        <v>0</v>
      </c>
      <c r="G98" s="252">
        <f t="shared" si="3"/>
        <v>0</v>
      </c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</row>
    <row r="99" s="140" customFormat="1" customHeight="1" spans="1:38">
      <c r="A99" s="161">
        <v>95</v>
      </c>
      <c r="B99" s="162"/>
      <c r="C99" s="162"/>
      <c r="D99" s="162" t="s">
        <v>68</v>
      </c>
      <c r="E99" s="162"/>
      <c r="F99" s="190">
        <f t="shared" si="2"/>
        <v>0</v>
      </c>
      <c r="G99" s="252">
        <f t="shared" si="3"/>
        <v>0</v>
      </c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</row>
    <row r="100" s="140" customFormat="1" customHeight="1" spans="1:38">
      <c r="A100" s="161">
        <v>96</v>
      </c>
      <c r="B100" s="162"/>
      <c r="C100" s="162"/>
      <c r="D100" s="162" t="s">
        <v>68</v>
      </c>
      <c r="E100" s="162"/>
      <c r="F100" s="190">
        <f t="shared" si="2"/>
        <v>0</v>
      </c>
      <c r="G100" s="252">
        <f t="shared" si="3"/>
        <v>0</v>
      </c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</row>
    <row r="101" s="140" customFormat="1" customHeight="1" spans="1:38">
      <c r="A101" s="161">
        <v>97</v>
      </c>
      <c r="B101" s="162"/>
      <c r="C101" s="162"/>
      <c r="D101" s="162" t="s">
        <v>68</v>
      </c>
      <c r="E101" s="162"/>
      <c r="F101" s="190">
        <f t="shared" si="2"/>
        <v>0</v>
      </c>
      <c r="G101" s="252">
        <f t="shared" si="3"/>
        <v>0</v>
      </c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</row>
    <row r="102" s="140" customFormat="1" customHeight="1" spans="1:38">
      <c r="A102" s="161">
        <v>98</v>
      </c>
      <c r="B102" s="162"/>
      <c r="C102" s="162"/>
      <c r="D102" s="162" t="s">
        <v>68</v>
      </c>
      <c r="E102" s="162"/>
      <c r="F102" s="190">
        <f t="shared" si="2"/>
        <v>0</v>
      </c>
      <c r="G102" s="252">
        <f t="shared" si="3"/>
        <v>0</v>
      </c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</row>
    <row r="103" s="140" customFormat="1" customHeight="1" spans="1:38">
      <c r="A103" s="161">
        <v>99</v>
      </c>
      <c r="B103" s="162"/>
      <c r="C103" s="162"/>
      <c r="D103" s="162" t="s">
        <v>68</v>
      </c>
      <c r="E103" s="162"/>
      <c r="F103" s="190">
        <f t="shared" si="2"/>
        <v>0</v>
      </c>
      <c r="G103" s="252">
        <f t="shared" si="3"/>
        <v>0</v>
      </c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</row>
    <row r="104" s="140" customFormat="1" customHeight="1" spans="1:38">
      <c r="A104" s="161">
        <v>100</v>
      </c>
      <c r="B104" s="162"/>
      <c r="C104" s="162"/>
      <c r="D104" s="162" t="s">
        <v>68</v>
      </c>
      <c r="E104" s="162"/>
      <c r="F104" s="190">
        <f t="shared" si="2"/>
        <v>0</v>
      </c>
      <c r="G104" s="252">
        <f t="shared" si="3"/>
        <v>0</v>
      </c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</row>
    <row r="105" customHeight="1" spans="1:38">
      <c r="A105" s="162"/>
      <c r="B105" s="6" t="s">
        <v>75</v>
      </c>
      <c r="C105" s="162"/>
      <c r="D105" s="162"/>
      <c r="E105" s="162"/>
      <c r="F105" s="190">
        <f t="shared" si="2"/>
        <v>1006</v>
      </c>
      <c r="G105" s="15">
        <f t="shared" ref="G105:AL105" si="4">SUM(G5:G104)</f>
        <v>559</v>
      </c>
      <c r="H105" s="171">
        <f t="shared" si="4"/>
        <v>18</v>
      </c>
      <c r="I105" s="171">
        <f t="shared" si="4"/>
        <v>4</v>
      </c>
      <c r="J105" s="171">
        <f t="shared" si="4"/>
        <v>47</v>
      </c>
      <c r="K105" s="171">
        <f t="shared" si="4"/>
        <v>9</v>
      </c>
      <c r="L105" s="171">
        <f t="shared" si="4"/>
        <v>34</v>
      </c>
      <c r="M105" s="171">
        <f t="shared" si="4"/>
        <v>34</v>
      </c>
      <c r="N105" s="171">
        <f t="shared" si="4"/>
        <v>11</v>
      </c>
      <c r="O105" s="171">
        <f t="shared" si="4"/>
        <v>52</v>
      </c>
      <c r="P105" s="171">
        <f t="shared" si="4"/>
        <v>104</v>
      </c>
      <c r="Q105" s="171">
        <f t="shared" si="4"/>
        <v>35</v>
      </c>
      <c r="R105" s="171">
        <f t="shared" si="4"/>
        <v>39</v>
      </c>
      <c r="S105" s="171">
        <f t="shared" si="4"/>
        <v>32</v>
      </c>
      <c r="T105" s="171">
        <f t="shared" si="4"/>
        <v>29</v>
      </c>
      <c r="U105" s="171">
        <f t="shared" si="4"/>
        <v>23</v>
      </c>
      <c r="V105" s="171">
        <f t="shared" si="4"/>
        <v>30</v>
      </c>
      <c r="W105" s="171">
        <f t="shared" si="4"/>
        <v>10</v>
      </c>
      <c r="X105" s="171">
        <f t="shared" si="4"/>
        <v>29</v>
      </c>
      <c r="Y105" s="171">
        <f t="shared" si="4"/>
        <v>25</v>
      </c>
      <c r="Z105" s="171">
        <f t="shared" si="4"/>
        <v>42</v>
      </c>
      <c r="AA105" s="171">
        <f t="shared" si="4"/>
        <v>23</v>
      </c>
      <c r="AB105" s="171">
        <f t="shared" si="4"/>
        <v>24</v>
      </c>
      <c r="AC105" s="171">
        <f t="shared" si="4"/>
        <v>5</v>
      </c>
      <c r="AD105" s="171">
        <f t="shared" si="4"/>
        <v>18</v>
      </c>
      <c r="AE105" s="171">
        <f t="shared" si="4"/>
        <v>29</v>
      </c>
      <c r="AF105" s="171">
        <f t="shared" si="4"/>
        <v>30</v>
      </c>
      <c r="AG105" s="171">
        <f t="shared" si="4"/>
        <v>143</v>
      </c>
      <c r="AH105" s="171">
        <f t="shared" si="4"/>
        <v>30</v>
      </c>
      <c r="AI105" s="171">
        <f t="shared" si="4"/>
        <v>35</v>
      </c>
      <c r="AJ105" s="171">
        <f t="shared" si="4"/>
        <v>9</v>
      </c>
      <c r="AK105" s="171">
        <f t="shared" si="4"/>
        <v>26</v>
      </c>
      <c r="AL105" s="171">
        <f t="shared" si="4"/>
        <v>27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D1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前台工资"/>
  <dimension ref="A1:AS34"/>
  <sheetViews>
    <sheetView topLeftCell="A6" workbookViewId="0">
      <pane xSplit="3" topLeftCell="AI1" activePane="topRight" state="frozen"/>
      <selection/>
      <selection pane="topRight" activeCell="AI6" sqref="AI6"/>
    </sheetView>
  </sheetViews>
  <sheetFormatPr defaultColWidth="8.275" defaultRowHeight="20" customHeight="1"/>
  <cols>
    <col min="1" max="1" width="8.89166666666667" style="132" customWidth="1"/>
    <col min="2" max="2" width="4.375" style="132" customWidth="1"/>
    <col min="3" max="4" width="7.63333333333333" style="132" customWidth="1"/>
    <col min="5" max="5" width="4.725" style="132" customWidth="1"/>
    <col min="6" max="6" width="4.375" style="132" customWidth="1"/>
    <col min="7" max="7" width="6.00833333333333" style="132" customWidth="1"/>
    <col min="8" max="11" width="7.63333333333333" style="132" customWidth="1"/>
    <col min="12" max="12" width="8.60833333333333" style="132" customWidth="1"/>
    <col min="13" max="20" width="6.99166666666667" style="132" customWidth="1"/>
    <col min="21" max="31" width="7.925" style="132" customWidth="1"/>
    <col min="32" max="32" width="6.99166666666667" style="132" customWidth="1"/>
    <col min="33" max="36" width="7.925" style="132" customWidth="1"/>
    <col min="37" max="38" width="6.99166666666667" style="132" customWidth="1"/>
    <col min="39" max="39" width="6.375" style="132" customWidth="1"/>
    <col min="40" max="40" width="6.25" style="132" customWidth="1"/>
    <col min="41" max="41" width="6.99166666666667" style="132" customWidth="1"/>
    <col min="42" max="42" width="6.5" style="132" customWidth="1"/>
  </cols>
  <sheetData>
    <row r="1" ht="27" customHeight="1" spans="1:45">
      <c r="A1" s="387" t="s">
        <v>76</v>
      </c>
      <c r="B1" s="387" t="s">
        <v>77</v>
      </c>
      <c r="C1" s="387" t="s">
        <v>78</v>
      </c>
      <c r="D1" s="387" t="s">
        <v>79</v>
      </c>
      <c r="E1" s="387" t="s">
        <v>80</v>
      </c>
      <c r="F1" s="387" t="s">
        <v>81</v>
      </c>
      <c r="G1" s="387" t="s">
        <v>82</v>
      </c>
      <c r="H1" s="387" t="s">
        <v>83</v>
      </c>
      <c r="I1" s="387" t="s">
        <v>84</v>
      </c>
      <c r="J1" s="387" t="s">
        <v>85</v>
      </c>
      <c r="K1" s="317" t="s">
        <v>86</v>
      </c>
      <c r="L1" s="590" t="s">
        <v>87</v>
      </c>
      <c r="M1" s="590" t="s">
        <v>88</v>
      </c>
      <c r="N1" s="590" t="s">
        <v>89</v>
      </c>
      <c r="O1" s="590" t="s">
        <v>90</v>
      </c>
      <c r="P1" s="590" t="s">
        <v>91</v>
      </c>
      <c r="Q1" s="590" t="s">
        <v>92</v>
      </c>
      <c r="R1" s="590" t="s">
        <v>93</v>
      </c>
      <c r="S1" s="590" t="s">
        <v>94</v>
      </c>
      <c r="T1" s="590" t="s">
        <v>95</v>
      </c>
      <c r="U1" s="590" t="s">
        <v>96</v>
      </c>
      <c r="V1" s="590" t="s">
        <v>97</v>
      </c>
      <c r="W1" s="590" t="s">
        <v>98</v>
      </c>
      <c r="X1" s="590" t="s">
        <v>99</v>
      </c>
      <c r="Y1" s="590" t="s">
        <v>100</v>
      </c>
      <c r="Z1" s="590" t="s">
        <v>101</v>
      </c>
      <c r="AA1" s="590" t="s">
        <v>102</v>
      </c>
      <c r="AB1" s="590" t="s">
        <v>103</v>
      </c>
      <c r="AC1" s="590" t="s">
        <v>104</v>
      </c>
      <c r="AD1" s="79" t="s">
        <v>105</v>
      </c>
      <c r="AE1" s="590" t="s">
        <v>106</v>
      </c>
      <c r="AF1" s="591" t="s">
        <v>107</v>
      </c>
      <c r="AG1" s="590" t="s">
        <v>108</v>
      </c>
      <c r="AH1" s="590" t="s">
        <v>109</v>
      </c>
      <c r="AI1" s="590" t="s">
        <v>110</v>
      </c>
      <c r="AJ1" s="590" t="s">
        <v>111</v>
      </c>
      <c r="AK1" s="590" t="s">
        <v>112</v>
      </c>
      <c r="AL1" s="590" t="s">
        <v>113</v>
      </c>
      <c r="AM1" s="590" t="s">
        <v>114</v>
      </c>
      <c r="AN1" s="590" t="s">
        <v>115</v>
      </c>
      <c r="AO1" s="590" t="s">
        <v>116</v>
      </c>
      <c r="AP1" s="590" t="s">
        <v>117</v>
      </c>
    </row>
    <row r="2" s="589" customFormat="1" ht="27.75" customHeight="1" spans="1:45">
      <c r="A2" s="592" t="s">
        <v>59</v>
      </c>
      <c r="B2" s="593" t="s">
        <v>118</v>
      </c>
      <c r="C2" s="93" t="s">
        <v>119</v>
      </c>
      <c r="D2" s="162" t="s">
        <v>120</v>
      </c>
      <c r="E2" s="93"/>
      <c r="F2" s="593"/>
      <c r="G2" s="593">
        <f>H2+I2+J2</f>
        <v>4500</v>
      </c>
      <c r="H2" s="593">
        <v>4050</v>
      </c>
      <c r="I2" s="593">
        <v>0</v>
      </c>
      <c r="J2" s="593">
        <v>450</v>
      </c>
      <c r="K2" s="594">
        <v>25</v>
      </c>
      <c r="L2" s="595">
        <v>0</v>
      </c>
      <c r="M2" s="595">
        <v>8</v>
      </c>
      <c r="N2" s="595">
        <v>8</v>
      </c>
      <c r="O2" s="595">
        <v>8</v>
      </c>
      <c r="P2" s="595">
        <v>8</v>
      </c>
      <c r="Q2" s="595">
        <v>8</v>
      </c>
      <c r="R2" s="595">
        <v>8</v>
      </c>
      <c r="S2" s="595">
        <v>8</v>
      </c>
      <c r="T2" s="595">
        <v>8</v>
      </c>
      <c r="U2" s="595">
        <v>8</v>
      </c>
      <c r="V2" s="595">
        <v>0</v>
      </c>
      <c r="W2" s="595">
        <v>8</v>
      </c>
      <c r="X2" s="595">
        <v>8</v>
      </c>
      <c r="Y2" s="595">
        <v>8</v>
      </c>
      <c r="Z2" s="595">
        <v>8</v>
      </c>
      <c r="AA2" s="595">
        <v>0</v>
      </c>
      <c r="AB2" s="595">
        <v>8</v>
      </c>
      <c r="AC2" s="595">
        <v>8</v>
      </c>
      <c r="AD2" s="595">
        <v>8</v>
      </c>
      <c r="AE2" s="595">
        <v>8</v>
      </c>
      <c r="AF2" s="595">
        <v>4</v>
      </c>
      <c r="AG2" s="595">
        <v>8</v>
      </c>
      <c r="AH2" s="595">
        <v>8</v>
      </c>
      <c r="AI2" s="595">
        <v>8</v>
      </c>
      <c r="AJ2" s="595">
        <v>8</v>
      </c>
      <c r="AK2" s="595">
        <v>8</v>
      </c>
      <c r="AL2" s="595">
        <v>8</v>
      </c>
      <c r="AM2" s="595">
        <v>8</v>
      </c>
      <c r="AN2" s="595">
        <v>8</v>
      </c>
      <c r="AO2" s="595">
        <v>8</v>
      </c>
      <c r="AP2" s="595">
        <v>4</v>
      </c>
    </row>
    <row r="3" s="589" customFormat="1" ht="24.75" customHeight="1" spans="1:45">
      <c r="A3" s="596" t="s">
        <v>73</v>
      </c>
      <c r="B3" s="593" t="s">
        <v>118</v>
      </c>
      <c r="C3" s="597" t="s">
        <v>121</v>
      </c>
      <c r="D3" s="162" t="s">
        <v>120</v>
      </c>
      <c r="E3" s="93"/>
      <c r="F3" s="593"/>
      <c r="G3" s="593">
        <f>H3+I3+J3</f>
        <v>4500</v>
      </c>
      <c r="H3" s="593">
        <v>4050</v>
      </c>
      <c r="I3" s="593">
        <v>0</v>
      </c>
      <c r="J3" s="593">
        <v>450</v>
      </c>
      <c r="K3" s="594">
        <v>25</v>
      </c>
      <c r="L3" s="595">
        <v>8</v>
      </c>
      <c r="M3" s="595">
        <v>8</v>
      </c>
      <c r="N3" s="595">
        <v>8</v>
      </c>
      <c r="O3" s="595">
        <v>0</v>
      </c>
      <c r="P3" s="595">
        <v>8</v>
      </c>
      <c r="Q3" s="595">
        <v>8</v>
      </c>
      <c r="R3" s="595">
        <v>8</v>
      </c>
      <c r="S3" s="595">
        <v>8</v>
      </c>
      <c r="T3" s="595">
        <v>8</v>
      </c>
      <c r="U3" s="595">
        <v>0</v>
      </c>
      <c r="V3" s="595">
        <v>8</v>
      </c>
      <c r="W3" s="595">
        <v>8</v>
      </c>
      <c r="X3" s="595">
        <v>8</v>
      </c>
      <c r="Y3" s="595">
        <v>0</v>
      </c>
      <c r="Z3" s="595">
        <v>8</v>
      </c>
      <c r="AA3" s="595">
        <v>8</v>
      </c>
      <c r="AB3" s="595">
        <v>8</v>
      </c>
      <c r="AC3" s="595">
        <v>8</v>
      </c>
      <c r="AD3" s="595">
        <v>8</v>
      </c>
      <c r="AE3" s="595">
        <v>8</v>
      </c>
      <c r="AF3" s="595">
        <v>8</v>
      </c>
      <c r="AG3" s="595">
        <v>0</v>
      </c>
      <c r="AH3" s="595">
        <v>8</v>
      </c>
      <c r="AI3" s="595">
        <v>8</v>
      </c>
      <c r="AJ3" s="595">
        <v>8</v>
      </c>
      <c r="AK3" s="595">
        <v>8</v>
      </c>
      <c r="AL3" s="595">
        <v>8</v>
      </c>
      <c r="AM3" s="595">
        <v>8</v>
      </c>
      <c r="AN3" s="595">
        <v>8</v>
      </c>
      <c r="AO3" s="595">
        <v>8</v>
      </c>
      <c r="AP3" s="595">
        <v>8</v>
      </c>
    </row>
    <row r="4" s="589" customFormat="1" customHeight="1" spans="1:45">
      <c r="A4" s="592" t="s">
        <v>41</v>
      </c>
      <c r="B4" s="593" t="s">
        <v>118</v>
      </c>
      <c r="C4" s="597" t="s">
        <v>122</v>
      </c>
      <c r="D4" s="162" t="s">
        <v>120</v>
      </c>
      <c r="E4" s="93"/>
      <c r="F4" s="593"/>
      <c r="G4" s="593">
        <v>4000</v>
      </c>
      <c r="H4" s="593">
        <v>4000</v>
      </c>
      <c r="I4" s="593">
        <v>0</v>
      </c>
      <c r="J4" s="593">
        <v>0</v>
      </c>
      <c r="K4" s="594">
        <v>25</v>
      </c>
      <c r="L4" s="595">
        <v>8</v>
      </c>
      <c r="M4" s="595">
        <v>0</v>
      </c>
      <c r="N4" s="595">
        <v>8</v>
      </c>
      <c r="O4" s="595">
        <v>8</v>
      </c>
      <c r="P4" s="595">
        <v>8</v>
      </c>
      <c r="Q4" s="595">
        <v>8</v>
      </c>
      <c r="R4" s="595">
        <v>8</v>
      </c>
      <c r="S4" s="595">
        <v>8</v>
      </c>
      <c r="T4" s="595">
        <v>0</v>
      </c>
      <c r="U4" s="595">
        <v>8</v>
      </c>
      <c r="V4" s="595">
        <v>8</v>
      </c>
      <c r="W4" s="595">
        <v>8</v>
      </c>
      <c r="X4" s="595">
        <v>8</v>
      </c>
      <c r="Y4" s="595">
        <v>8</v>
      </c>
      <c r="Z4" s="595">
        <v>8</v>
      </c>
      <c r="AA4" s="595">
        <v>8</v>
      </c>
      <c r="AB4" s="595">
        <v>8</v>
      </c>
      <c r="AC4" s="595">
        <v>8</v>
      </c>
      <c r="AD4" s="595">
        <v>0</v>
      </c>
      <c r="AE4" s="595">
        <v>8</v>
      </c>
      <c r="AF4" s="595">
        <v>8</v>
      </c>
      <c r="AG4" s="595">
        <v>8</v>
      </c>
      <c r="AH4" s="595">
        <v>8</v>
      </c>
      <c r="AI4" s="595">
        <v>0</v>
      </c>
      <c r="AJ4" s="595">
        <v>8</v>
      </c>
      <c r="AK4" s="595">
        <v>8</v>
      </c>
      <c r="AL4" s="595">
        <v>8</v>
      </c>
      <c r="AM4" s="595">
        <v>8</v>
      </c>
      <c r="AN4" s="595">
        <v>8</v>
      </c>
      <c r="AO4" s="595">
        <v>8</v>
      </c>
      <c r="AP4" s="595">
        <v>8</v>
      </c>
    </row>
    <row r="5" s="589" customFormat="1" customHeight="1" spans="1:45">
      <c r="A5" s="596" t="s">
        <v>53</v>
      </c>
      <c r="B5" s="593" t="s">
        <v>118</v>
      </c>
      <c r="C5" s="597" t="s">
        <v>119</v>
      </c>
      <c r="D5" s="162" t="s">
        <v>120</v>
      </c>
      <c r="E5" s="93"/>
      <c r="F5" s="593"/>
      <c r="G5" s="593">
        <v>3500</v>
      </c>
      <c r="H5" s="593">
        <v>3500</v>
      </c>
      <c r="I5" s="593">
        <v>0</v>
      </c>
      <c r="J5" s="593">
        <v>0</v>
      </c>
      <c r="K5" s="594">
        <v>20</v>
      </c>
      <c r="L5" s="595">
        <v>12</v>
      </c>
      <c r="M5" s="595">
        <v>12</v>
      </c>
      <c r="N5" s="595">
        <v>12</v>
      </c>
      <c r="O5" s="595">
        <v>12</v>
      </c>
      <c r="P5" s="595">
        <v>0</v>
      </c>
      <c r="Q5" s="595">
        <v>0</v>
      </c>
      <c r="R5" s="595">
        <v>12</v>
      </c>
      <c r="S5" s="595">
        <v>12</v>
      </c>
      <c r="T5" s="595">
        <v>12</v>
      </c>
      <c r="U5" s="595">
        <v>12</v>
      </c>
      <c r="V5" s="595">
        <v>0</v>
      </c>
      <c r="W5" s="595">
        <v>0</v>
      </c>
      <c r="X5" s="595">
        <v>12</v>
      </c>
      <c r="Y5" s="595">
        <v>12</v>
      </c>
      <c r="Z5" s="595">
        <v>0</v>
      </c>
      <c r="AA5" s="595">
        <v>4</v>
      </c>
      <c r="AB5" s="595">
        <v>0</v>
      </c>
      <c r="AC5" s="595">
        <v>0</v>
      </c>
      <c r="AD5" s="595">
        <v>12</v>
      </c>
      <c r="AE5" s="595">
        <v>12</v>
      </c>
      <c r="AF5" s="595">
        <v>12</v>
      </c>
      <c r="AG5" s="595">
        <v>12</v>
      </c>
      <c r="AH5" s="595">
        <v>0</v>
      </c>
      <c r="AI5" s="595">
        <v>0</v>
      </c>
      <c r="AJ5" s="595">
        <v>12</v>
      </c>
      <c r="AK5" s="595">
        <v>12</v>
      </c>
      <c r="AL5" s="595">
        <v>12</v>
      </c>
      <c r="AM5" s="595">
        <v>12</v>
      </c>
      <c r="AN5" s="595">
        <v>0</v>
      </c>
      <c r="AO5" s="595">
        <v>0</v>
      </c>
      <c r="AP5" s="595">
        <v>12</v>
      </c>
    </row>
    <row r="6" s="589" customFormat="1" customHeight="1" spans="1:45">
      <c r="A6" s="596" t="s">
        <v>54</v>
      </c>
      <c r="B6" s="593" t="s">
        <v>118</v>
      </c>
      <c r="C6" s="597" t="s">
        <v>119</v>
      </c>
      <c r="D6" s="162" t="s">
        <v>120</v>
      </c>
      <c r="E6" s="93"/>
      <c r="F6" s="593"/>
      <c r="G6" s="593">
        <v>3500</v>
      </c>
      <c r="H6" s="593">
        <v>3500</v>
      </c>
      <c r="I6" s="593">
        <v>0</v>
      </c>
      <c r="J6" s="593">
        <v>0</v>
      </c>
      <c r="K6" s="594">
        <v>20</v>
      </c>
      <c r="L6" s="595">
        <v>12</v>
      </c>
      <c r="M6" s="595">
        <v>12</v>
      </c>
      <c r="N6" s="595">
        <v>0</v>
      </c>
      <c r="O6" s="595">
        <v>0</v>
      </c>
      <c r="P6" s="595">
        <v>12</v>
      </c>
      <c r="Q6" s="595">
        <v>12</v>
      </c>
      <c r="R6" s="595">
        <v>12</v>
      </c>
      <c r="S6" s="595">
        <v>12</v>
      </c>
      <c r="T6" s="595">
        <v>0</v>
      </c>
      <c r="U6" s="595">
        <v>0</v>
      </c>
      <c r="V6" s="595">
        <v>12</v>
      </c>
      <c r="W6" s="595">
        <v>12</v>
      </c>
      <c r="X6" s="595">
        <v>12</v>
      </c>
      <c r="Y6" s="595">
        <v>12</v>
      </c>
      <c r="Z6" s="595">
        <v>0</v>
      </c>
      <c r="AA6" s="595">
        <v>0</v>
      </c>
      <c r="AB6" s="595">
        <v>12</v>
      </c>
      <c r="AC6" s="595">
        <v>12</v>
      </c>
      <c r="AD6" s="595">
        <v>12</v>
      </c>
      <c r="AE6" s="595">
        <v>12</v>
      </c>
      <c r="AF6" s="595">
        <v>0</v>
      </c>
      <c r="AG6" s="595">
        <v>0</v>
      </c>
      <c r="AH6" s="595">
        <v>12</v>
      </c>
      <c r="AI6" s="595">
        <v>12</v>
      </c>
      <c r="AJ6" s="595">
        <v>12</v>
      </c>
      <c r="AK6" s="595">
        <v>12</v>
      </c>
      <c r="AL6" s="595">
        <v>0</v>
      </c>
      <c r="AM6" s="595">
        <v>0</v>
      </c>
      <c r="AN6" s="595">
        <v>12</v>
      </c>
      <c r="AO6" s="595">
        <v>12</v>
      </c>
      <c r="AP6" s="595">
        <v>12</v>
      </c>
      <c r="AQ6" s="595"/>
      <c r="AR6" s="595"/>
      <c r="AS6" s="595"/>
    </row>
    <row r="7" s="589" customFormat="1" customHeight="1" spans="1:45">
      <c r="A7" s="596" t="s">
        <v>57</v>
      </c>
      <c r="B7" s="593" t="s">
        <v>118</v>
      </c>
      <c r="C7" s="597" t="s">
        <v>119</v>
      </c>
      <c r="D7" s="162" t="s">
        <v>120</v>
      </c>
      <c r="E7" s="93"/>
      <c r="F7" s="593"/>
      <c r="G7" s="593">
        <v>3500</v>
      </c>
      <c r="H7" s="593">
        <v>3500</v>
      </c>
      <c r="I7" s="593">
        <v>0</v>
      </c>
      <c r="J7" s="593">
        <v>0</v>
      </c>
      <c r="K7" s="594">
        <v>20</v>
      </c>
      <c r="L7" s="595">
        <v>12</v>
      </c>
      <c r="M7" s="595">
        <v>12</v>
      </c>
      <c r="N7" s="595">
        <v>0</v>
      </c>
      <c r="O7" s="595">
        <v>0</v>
      </c>
      <c r="P7" s="595">
        <v>12</v>
      </c>
      <c r="Q7" s="595">
        <v>12</v>
      </c>
      <c r="R7" s="595">
        <v>12</v>
      </c>
      <c r="S7" s="595">
        <v>12</v>
      </c>
      <c r="T7" s="595">
        <v>0</v>
      </c>
      <c r="U7" s="595">
        <v>0</v>
      </c>
      <c r="V7" s="595">
        <v>12</v>
      </c>
      <c r="W7" s="595">
        <v>12</v>
      </c>
      <c r="X7" s="595">
        <v>12</v>
      </c>
      <c r="Y7" s="595">
        <v>12</v>
      </c>
      <c r="Z7" s="595">
        <v>0</v>
      </c>
      <c r="AA7" s="595">
        <v>0</v>
      </c>
      <c r="AB7" s="595">
        <v>12</v>
      </c>
      <c r="AC7" s="595">
        <v>12</v>
      </c>
      <c r="AD7" s="595">
        <v>12</v>
      </c>
      <c r="AE7" s="595">
        <v>12</v>
      </c>
      <c r="AF7" s="595">
        <v>0</v>
      </c>
      <c r="AG7" s="595">
        <v>0</v>
      </c>
      <c r="AH7" s="595">
        <v>12</v>
      </c>
      <c r="AI7" s="595">
        <v>12</v>
      </c>
      <c r="AJ7" s="595">
        <v>12</v>
      </c>
      <c r="AK7" s="595">
        <v>12</v>
      </c>
      <c r="AL7" s="595">
        <v>0</v>
      </c>
      <c r="AM7" s="595">
        <v>0</v>
      </c>
      <c r="AN7" s="595">
        <v>12</v>
      </c>
      <c r="AO7" s="595">
        <v>12</v>
      </c>
      <c r="AP7" s="595">
        <v>12</v>
      </c>
    </row>
    <row r="8" s="589" customFormat="1" customHeight="1" spans="1:45">
      <c r="A8" s="592" t="s">
        <v>55</v>
      </c>
      <c r="B8" s="593" t="s">
        <v>118</v>
      </c>
      <c r="C8" s="597" t="s">
        <v>119</v>
      </c>
      <c r="D8" s="162" t="s">
        <v>120</v>
      </c>
      <c r="E8" s="93"/>
      <c r="F8" s="593"/>
      <c r="G8" s="593">
        <v>3500</v>
      </c>
      <c r="H8" s="593">
        <v>3500</v>
      </c>
      <c r="I8" s="593">
        <v>0</v>
      </c>
      <c r="J8" s="593">
        <v>0</v>
      </c>
      <c r="K8" s="594">
        <v>20</v>
      </c>
      <c r="L8" s="595">
        <v>0</v>
      </c>
      <c r="M8" s="595">
        <v>0</v>
      </c>
      <c r="N8" s="595">
        <v>0</v>
      </c>
      <c r="O8" s="595">
        <v>12</v>
      </c>
      <c r="P8" s="595">
        <v>12</v>
      </c>
      <c r="Q8" s="595">
        <v>12</v>
      </c>
      <c r="R8" s="595">
        <v>0</v>
      </c>
      <c r="S8" s="595">
        <v>0</v>
      </c>
      <c r="T8" s="595">
        <v>12</v>
      </c>
      <c r="U8" s="595">
        <v>12</v>
      </c>
      <c r="V8" s="595">
        <v>12</v>
      </c>
      <c r="W8" s="595">
        <v>12</v>
      </c>
      <c r="X8" s="595">
        <v>0</v>
      </c>
      <c r="Y8" s="595">
        <v>0</v>
      </c>
      <c r="Z8" s="595">
        <v>12</v>
      </c>
      <c r="AA8" s="595">
        <v>12</v>
      </c>
      <c r="AB8" s="595">
        <v>12</v>
      </c>
      <c r="AC8" s="595">
        <v>12</v>
      </c>
      <c r="AD8" s="595">
        <v>0</v>
      </c>
      <c r="AE8" s="595">
        <v>0</v>
      </c>
      <c r="AF8" s="595">
        <v>12</v>
      </c>
      <c r="AG8" s="595">
        <v>12</v>
      </c>
      <c r="AH8" s="595">
        <v>12</v>
      </c>
      <c r="AI8" s="595">
        <v>12</v>
      </c>
      <c r="AJ8" s="595">
        <v>0</v>
      </c>
      <c r="AK8" s="595">
        <v>0</v>
      </c>
      <c r="AL8" s="595">
        <v>12</v>
      </c>
      <c r="AM8" s="595">
        <v>12</v>
      </c>
      <c r="AN8" s="595">
        <v>12</v>
      </c>
      <c r="AO8" s="595">
        <v>12</v>
      </c>
      <c r="AP8" s="595">
        <v>0</v>
      </c>
      <c r="AQ8" s="595"/>
      <c r="AR8" s="595"/>
      <c r="AS8" s="598"/>
    </row>
    <row r="9" s="589" customFormat="1" customHeight="1" spans="1:45">
      <c r="A9" s="596" t="s">
        <v>56</v>
      </c>
      <c r="B9" s="593" t="s">
        <v>118</v>
      </c>
      <c r="C9" s="597" t="s">
        <v>119</v>
      </c>
      <c r="D9" s="162" t="s">
        <v>120</v>
      </c>
      <c r="E9" s="93"/>
      <c r="F9" s="593"/>
      <c r="G9" s="593">
        <v>3500</v>
      </c>
      <c r="H9" s="593">
        <v>3500</v>
      </c>
      <c r="I9" s="593">
        <v>0</v>
      </c>
      <c r="J9" s="593">
        <v>0</v>
      </c>
      <c r="K9" s="594">
        <v>20</v>
      </c>
      <c r="L9" s="595">
        <v>0</v>
      </c>
      <c r="M9" s="595">
        <v>0</v>
      </c>
      <c r="N9" s="595">
        <v>12</v>
      </c>
      <c r="O9" s="595">
        <v>0</v>
      </c>
      <c r="P9" s="595">
        <v>12</v>
      </c>
      <c r="Q9" s="595">
        <v>12</v>
      </c>
      <c r="R9" s="595">
        <v>0</v>
      </c>
      <c r="S9" s="595">
        <v>0</v>
      </c>
      <c r="T9" s="595">
        <v>12</v>
      </c>
      <c r="U9" s="595">
        <v>12</v>
      </c>
      <c r="V9" s="595">
        <v>12</v>
      </c>
      <c r="W9" s="595">
        <v>12</v>
      </c>
      <c r="X9" s="595">
        <v>0</v>
      </c>
      <c r="Y9" s="595">
        <v>0</v>
      </c>
      <c r="Z9" s="595">
        <v>12</v>
      </c>
      <c r="AA9" s="595">
        <v>12</v>
      </c>
      <c r="AB9" s="595">
        <v>12</v>
      </c>
      <c r="AC9" s="595">
        <v>12</v>
      </c>
      <c r="AD9" s="595">
        <v>0</v>
      </c>
      <c r="AE9" s="595">
        <v>0</v>
      </c>
      <c r="AF9" s="595">
        <v>12</v>
      </c>
      <c r="AG9" s="595">
        <v>12</v>
      </c>
      <c r="AH9" s="595">
        <v>12</v>
      </c>
      <c r="AI9" s="595">
        <v>12</v>
      </c>
      <c r="AJ9" s="595">
        <v>0</v>
      </c>
      <c r="AK9" s="595">
        <v>0</v>
      </c>
      <c r="AL9" s="595">
        <v>0</v>
      </c>
      <c r="AM9" s="595">
        <v>12</v>
      </c>
      <c r="AN9" s="595">
        <v>12</v>
      </c>
      <c r="AO9" s="595">
        <v>12</v>
      </c>
      <c r="AP9" s="595">
        <v>0</v>
      </c>
    </row>
    <row r="10" customHeight="1" spans="1:45">
      <c r="A10" s="599" t="s">
        <v>60</v>
      </c>
      <c r="B10" s="530" t="s">
        <v>118</v>
      </c>
      <c r="C10" s="600" t="s">
        <v>119</v>
      </c>
      <c r="D10" s="601"/>
      <c r="E10" s="602"/>
      <c r="F10" s="533"/>
      <c r="G10" s="593">
        <v>3500</v>
      </c>
      <c r="H10" s="593">
        <v>3500</v>
      </c>
      <c r="I10" s="593">
        <v>0</v>
      </c>
      <c r="J10" s="593">
        <v>0</v>
      </c>
      <c r="K10" s="594">
        <v>20</v>
      </c>
      <c r="L10" s="595">
        <v>12</v>
      </c>
      <c r="M10" s="595">
        <v>12</v>
      </c>
      <c r="N10" s="595">
        <v>12</v>
      </c>
      <c r="O10" s="595">
        <v>12</v>
      </c>
      <c r="P10" s="595">
        <v>0</v>
      </c>
      <c r="Q10" s="595">
        <v>0</v>
      </c>
      <c r="R10" s="595">
        <v>12</v>
      </c>
      <c r="S10" s="595">
        <v>12</v>
      </c>
      <c r="T10" s="595">
        <v>12</v>
      </c>
      <c r="U10" s="595">
        <v>12</v>
      </c>
      <c r="V10" s="595">
        <v>0</v>
      </c>
      <c r="W10" s="595">
        <v>0</v>
      </c>
      <c r="X10" s="595">
        <v>12</v>
      </c>
      <c r="Y10" s="595">
        <v>12</v>
      </c>
      <c r="Z10" s="595">
        <v>12</v>
      </c>
      <c r="AA10" s="595">
        <v>12</v>
      </c>
      <c r="AB10" s="595">
        <v>0</v>
      </c>
      <c r="AC10" s="595">
        <v>0</v>
      </c>
      <c r="AD10" s="595">
        <v>6</v>
      </c>
      <c r="AE10" s="595">
        <v>12</v>
      </c>
      <c r="AF10" s="595">
        <v>12</v>
      </c>
      <c r="AG10" s="595">
        <v>12</v>
      </c>
      <c r="AH10" s="595">
        <v>0</v>
      </c>
      <c r="AI10" s="595">
        <v>0</v>
      </c>
      <c r="AJ10" s="595">
        <v>12</v>
      </c>
      <c r="AK10" s="595">
        <v>12</v>
      </c>
      <c r="AL10" s="595">
        <v>12</v>
      </c>
      <c r="AM10" s="595">
        <v>12</v>
      </c>
      <c r="AN10" s="595">
        <v>0</v>
      </c>
      <c r="AO10" s="595">
        <v>0</v>
      </c>
      <c r="AP10" s="603">
        <v>12</v>
      </c>
    </row>
    <row r="11" s="200" customFormat="1" customHeight="1" spans="1:45">
      <c r="A11" s="604" t="s">
        <v>74</v>
      </c>
      <c r="B11" s="233" t="s">
        <v>118</v>
      </c>
      <c r="C11" s="605" t="s">
        <v>119</v>
      </c>
      <c r="D11" s="534"/>
      <c r="E11" s="606"/>
      <c r="F11" s="96"/>
      <c r="G11" s="593">
        <v>3500</v>
      </c>
      <c r="H11" s="593">
        <v>3500</v>
      </c>
      <c r="I11" s="593">
        <v>0</v>
      </c>
      <c r="J11" s="593">
        <v>0</v>
      </c>
      <c r="K11" s="594">
        <v>20</v>
      </c>
      <c r="L11" s="203"/>
      <c r="M11" s="412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595"/>
      <c r="Y11" s="595"/>
      <c r="Z11" s="595"/>
      <c r="AA11" s="595"/>
      <c r="AB11" s="595"/>
      <c r="AC11" s="595"/>
      <c r="AD11" s="595"/>
      <c r="AE11" s="595"/>
      <c r="AF11" s="595"/>
      <c r="AG11" s="595"/>
      <c r="AH11" s="595"/>
      <c r="AI11" s="595"/>
      <c r="AJ11" s="595"/>
      <c r="AK11" s="595"/>
      <c r="AL11" s="595"/>
      <c r="AM11" s="595"/>
      <c r="AN11" s="595"/>
      <c r="AO11" s="595"/>
      <c r="AP11" s="23"/>
    </row>
    <row r="12" s="200" customFormat="1" customHeight="1" spans="1:45">
      <c r="A12" s="604" t="s">
        <v>61</v>
      </c>
      <c r="B12" s="233" t="s">
        <v>118</v>
      </c>
      <c r="C12" s="605" t="s">
        <v>119</v>
      </c>
      <c r="D12" s="162"/>
      <c r="E12" s="162"/>
      <c r="F12" s="162"/>
      <c r="G12" s="593">
        <v>3500</v>
      </c>
      <c r="H12" s="593">
        <v>3500</v>
      </c>
      <c r="I12" s="593">
        <v>0</v>
      </c>
      <c r="J12" s="593">
        <v>0</v>
      </c>
      <c r="K12" s="594">
        <v>26</v>
      </c>
      <c r="L12" s="203">
        <v>8</v>
      </c>
      <c r="M12" s="23">
        <v>8</v>
      </c>
      <c r="N12" s="23">
        <v>8</v>
      </c>
      <c r="O12" s="23">
        <v>8</v>
      </c>
      <c r="P12" s="23">
        <v>8</v>
      </c>
      <c r="Q12" s="23">
        <v>8</v>
      </c>
      <c r="R12" s="23">
        <v>0</v>
      </c>
      <c r="S12" s="23">
        <v>8</v>
      </c>
      <c r="T12" s="23">
        <v>8</v>
      </c>
      <c r="U12" s="23">
        <v>8</v>
      </c>
      <c r="V12" s="23">
        <v>8</v>
      </c>
      <c r="W12" s="23">
        <v>8</v>
      </c>
      <c r="X12" s="23">
        <v>8</v>
      </c>
      <c r="Y12" s="23">
        <v>0</v>
      </c>
      <c r="Z12" s="23">
        <v>12</v>
      </c>
      <c r="AA12" s="23">
        <v>12</v>
      </c>
      <c r="AB12" s="23">
        <v>0</v>
      </c>
      <c r="AC12" s="23">
        <v>8</v>
      </c>
      <c r="AD12" s="23">
        <v>8</v>
      </c>
      <c r="AE12" s="23">
        <v>8</v>
      </c>
      <c r="AF12" s="23">
        <v>8</v>
      </c>
      <c r="AG12" s="23">
        <v>8</v>
      </c>
      <c r="AH12" s="23">
        <v>12</v>
      </c>
      <c r="AI12" s="23">
        <v>12</v>
      </c>
      <c r="AJ12" s="23">
        <v>0</v>
      </c>
      <c r="AK12" s="23">
        <v>0</v>
      </c>
      <c r="AL12" s="595">
        <v>12</v>
      </c>
      <c r="AM12" s="23">
        <v>12</v>
      </c>
      <c r="AN12" s="23">
        <v>12</v>
      </c>
      <c r="AO12" s="23">
        <v>12</v>
      </c>
      <c r="AP12" s="23">
        <v>0</v>
      </c>
    </row>
    <row r="13" s="200" customFormat="1" customHeight="1" spans="1:45">
      <c r="A13" s="40"/>
      <c r="B13" s="162"/>
      <c r="C13" s="162"/>
      <c r="D13" s="162"/>
      <c r="E13" s="162"/>
      <c r="F13" s="162"/>
      <c r="G13" s="162"/>
      <c r="H13" s="162"/>
      <c r="I13" s="162"/>
      <c r="J13" s="162"/>
      <c r="K13" s="203"/>
      <c r="L13" s="20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</row>
    <row r="14" s="200" customFormat="1" customHeight="1" spans="1:45">
      <c r="A14" s="40"/>
      <c r="B14" s="162"/>
      <c r="C14" s="162"/>
      <c r="D14" s="162"/>
      <c r="E14" s="162"/>
      <c r="F14" s="162"/>
      <c r="G14" s="162"/>
      <c r="H14" s="162"/>
      <c r="I14" s="162"/>
      <c r="J14" s="162"/>
      <c r="K14" s="203"/>
      <c r="L14" s="20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</row>
    <row r="15" s="200" customFormat="1" customHeight="1" spans="1:45">
      <c r="A15" s="40"/>
      <c r="B15" s="162"/>
      <c r="C15" s="162"/>
      <c r="D15" s="162"/>
      <c r="E15" s="162"/>
      <c r="F15" s="162"/>
      <c r="G15" s="162"/>
      <c r="H15" s="162"/>
      <c r="I15" s="162"/>
      <c r="J15" s="162"/>
      <c r="K15" s="203"/>
      <c r="L15" s="20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</row>
    <row r="16" s="131" customFormat="1" customHeight="1" spans="1:45">
      <c r="A16" s="136" t="s">
        <v>123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>
        <f t="shared" ref="L16:AP16" si="0">SUM(L2:L15)</f>
        <v>72</v>
      </c>
      <c r="M16" s="136">
        <f t="shared" si="0"/>
        <v>72</v>
      </c>
      <c r="N16" s="136">
        <f t="shared" si="0"/>
        <v>68</v>
      </c>
      <c r="O16" s="136">
        <f t="shared" si="0"/>
        <v>60</v>
      </c>
      <c r="P16" s="136">
        <f t="shared" si="0"/>
        <v>80</v>
      </c>
      <c r="Q16" s="136">
        <f t="shared" si="0"/>
        <v>80</v>
      </c>
      <c r="R16" s="136">
        <f t="shared" si="0"/>
        <v>72</v>
      </c>
      <c r="S16" s="136">
        <f t="shared" si="0"/>
        <v>80</v>
      </c>
      <c r="T16" s="136">
        <f t="shared" si="0"/>
        <v>72</v>
      </c>
      <c r="U16" s="136">
        <f t="shared" si="0"/>
        <v>72</v>
      </c>
      <c r="V16" s="136">
        <f t="shared" si="0"/>
        <v>72</v>
      </c>
      <c r="W16" s="136">
        <f t="shared" si="0"/>
        <v>80</v>
      </c>
      <c r="X16" s="136">
        <f t="shared" si="0"/>
        <v>80</v>
      </c>
      <c r="Y16" s="136">
        <f t="shared" si="0"/>
        <v>64</v>
      </c>
      <c r="Z16" s="136">
        <f t="shared" si="0"/>
        <v>72</v>
      </c>
      <c r="AA16" s="136">
        <f t="shared" si="0"/>
        <v>68</v>
      </c>
      <c r="AB16" s="136">
        <f t="shared" si="0"/>
        <v>72</v>
      </c>
      <c r="AC16" s="136">
        <f t="shared" si="0"/>
        <v>80</v>
      </c>
      <c r="AD16" s="136">
        <f t="shared" si="0"/>
        <v>66</v>
      </c>
      <c r="AE16" s="136">
        <f t="shared" si="0"/>
        <v>80</v>
      </c>
      <c r="AF16" s="136">
        <f t="shared" si="0"/>
        <v>76</v>
      </c>
      <c r="AG16" s="136">
        <f t="shared" si="0"/>
        <v>72</v>
      </c>
      <c r="AH16" s="136">
        <f t="shared" si="0"/>
        <v>84</v>
      </c>
      <c r="AI16" s="136">
        <f t="shared" si="0"/>
        <v>76</v>
      </c>
      <c r="AJ16" s="136">
        <f t="shared" si="0"/>
        <v>72</v>
      </c>
      <c r="AK16" s="136">
        <f t="shared" si="0"/>
        <v>72</v>
      </c>
      <c r="AL16" s="136">
        <f t="shared" si="0"/>
        <v>72</v>
      </c>
      <c r="AM16" s="136">
        <f t="shared" si="0"/>
        <v>84</v>
      </c>
      <c r="AN16" s="136">
        <f t="shared" si="0"/>
        <v>84</v>
      </c>
      <c r="AO16" s="136">
        <f t="shared" si="0"/>
        <v>84</v>
      </c>
      <c r="AP16" s="136">
        <f t="shared" si="0"/>
        <v>68</v>
      </c>
    </row>
    <row r="20" ht="13.5" spans="29:32">
      <c r="AC20" s="415"/>
      <c r="AD20" s="415"/>
      <c r="AE20" s="415"/>
      <c r="AF20" s="415"/>
    </row>
    <row r="21" ht="13.5" spans="29:32">
      <c r="AC21" s="415"/>
      <c r="AD21" s="415"/>
      <c r="AE21" s="415"/>
      <c r="AF21" s="415"/>
    </row>
    <row r="22" ht="13.5" spans="29:32">
      <c r="AC22" s="415"/>
      <c r="AD22" s="415"/>
      <c r="AE22" s="607"/>
      <c r="AF22" s="415"/>
    </row>
    <row r="23" ht="13.5" spans="29:32">
      <c r="AC23" s="415"/>
      <c r="AD23" s="415"/>
      <c r="AE23" s="607"/>
      <c r="AF23" s="415"/>
    </row>
    <row r="24" ht="13.5" spans="29:32">
      <c r="AC24" s="415"/>
      <c r="AD24" s="415"/>
      <c r="AE24" s="607"/>
      <c r="AF24" s="415"/>
    </row>
    <row r="25" ht="13.5" spans="29:32">
      <c r="AC25" s="415"/>
      <c r="AD25" s="415"/>
      <c r="AE25" s="607"/>
      <c r="AF25" s="415"/>
    </row>
    <row r="26" ht="13.5" spans="29:32">
      <c r="AC26" s="415"/>
      <c r="AD26" s="415"/>
      <c r="AE26" s="607"/>
      <c r="AF26" s="415"/>
    </row>
    <row r="27" ht="13.5" spans="29:32">
      <c r="AC27" s="415"/>
      <c r="AD27" s="415"/>
      <c r="AE27" s="607"/>
      <c r="AF27" s="415"/>
    </row>
    <row r="28" ht="13.5" spans="29:32">
      <c r="AC28" s="415"/>
      <c r="AD28" s="415"/>
      <c r="AE28" s="607"/>
      <c r="AF28" s="415"/>
    </row>
    <row r="29" ht="13.5" spans="29:32">
      <c r="AC29" s="415"/>
      <c r="AD29" s="415"/>
      <c r="AE29" s="608"/>
      <c r="AF29" s="415"/>
    </row>
    <row r="30" ht="13.5" spans="29:32">
      <c r="AC30" s="415"/>
      <c r="AD30" s="415"/>
      <c r="AE30" s="415"/>
      <c r="AF30" s="415"/>
    </row>
    <row r="31" ht="13.5" spans="29:32">
      <c r="AC31" s="415"/>
      <c r="AD31" s="415"/>
      <c r="AE31" s="415"/>
      <c r="AF31" s="415"/>
    </row>
    <row r="32" ht="13.5" spans="29:32">
      <c r="AC32" s="415"/>
      <c r="AD32" s="415"/>
      <c r="AE32" s="415"/>
      <c r="AF32" s="415"/>
    </row>
    <row r="33" ht="13.5" spans="29:32">
      <c r="AC33" s="415"/>
      <c r="AD33" s="415"/>
      <c r="AE33" s="415"/>
      <c r="AF33" s="415"/>
    </row>
    <row r="34" ht="13.5" spans="29:32">
      <c r="AC34" s="415"/>
      <c r="AD34" s="415"/>
      <c r="AE34" s="415"/>
      <c r="AF34" s="415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W170"/>
  <sheetViews>
    <sheetView showGridLines="0" zoomScale="70" zoomScaleNormal="70" workbookViewId="0">
      <pane xSplit="13" topLeftCell="N1" activePane="topRight" state="frozen"/>
      <selection/>
      <selection pane="topRight" activeCell="N1" sqref="N1"/>
    </sheetView>
  </sheetViews>
  <sheetFormatPr defaultColWidth="9" defaultRowHeight="25" customHeight="1"/>
  <cols>
    <col min="1" max="1" width="4.81666666666667" style="143"/>
    <col min="2" max="2" width="15" style="143"/>
    <col min="3" max="3" width="8.25833333333333" style="143"/>
    <col min="4" max="4" width="5.125" style="143"/>
    <col min="5" max="5" width="11.1583333333333" style="143" customWidth="1"/>
    <col min="6" max="6" width="10.875" style="143"/>
    <col min="7" max="7" width="10.875" style="145"/>
    <col min="8" max="8" width="10.875" style="144"/>
    <col min="9" max="9" width="10.875" style="145"/>
    <col min="10" max="10" width="10.875" style="144"/>
    <col min="11" max="11" width="12.275" style="145" customWidth="1"/>
    <col min="12" max="12" width="10.875" style="144"/>
    <col min="13" max="13" width="10.875" style="145"/>
    <col min="14" max="15" width="7.375" style="143" customWidth="1"/>
    <col min="16" max="17" width="7.70833333333333" style="360" customWidth="1"/>
    <col min="18" max="18" width="7.48333333333333" style="360" customWidth="1"/>
    <col min="19" max="19" width="7.70833333333333" style="360" customWidth="1"/>
    <col min="20" max="20" width="9.80833333333333" style="360" customWidth="1"/>
    <col min="21" max="21" width="7.70833333333333" style="360" customWidth="1"/>
    <col min="22" max="22" width="7.85833333333333" style="360" customWidth="1"/>
    <col min="23" max="23" width="9.80833333333333" style="360" customWidth="1"/>
    <col min="24" max="41" width="9" style="360" customWidth="1"/>
    <col min="42" max="16384" width="9" style="360"/>
  </cols>
  <sheetData>
    <row r="1" s="18" customFormat="1" ht="40" customHeight="1" spans="1:75">
      <c r="A1" s="148"/>
      <c r="B1" s="148" t="s">
        <v>124</v>
      </c>
      <c r="C1" s="148"/>
      <c r="D1" s="148"/>
      <c r="E1" s="148"/>
      <c r="F1" s="148"/>
      <c r="G1" s="148"/>
      <c r="H1" s="149"/>
      <c r="I1" s="150"/>
      <c r="J1" s="149"/>
      <c r="K1" s="150"/>
      <c r="L1" s="149"/>
      <c r="M1" s="150"/>
      <c r="N1" s="148"/>
      <c r="O1" s="148"/>
    </row>
    <row r="2" s="18" customFormat="1" ht="15" customHeight="1" spans="1:75">
      <c r="A2" s="148"/>
      <c r="B2" s="15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215" t="s">
        <v>125</v>
      </c>
      <c r="O2" s="215"/>
    </row>
    <row r="3" s="18" customFormat="1" customHeight="1" spans="1:75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64</v>
      </c>
      <c r="F3" s="20" t="s">
        <v>128</v>
      </c>
      <c r="G3" s="20" t="s">
        <v>129</v>
      </c>
      <c r="H3" s="554" t="s">
        <v>130</v>
      </c>
      <c r="I3" s="20" t="s">
        <v>131</v>
      </c>
      <c r="J3" s="20" t="s">
        <v>132</v>
      </c>
      <c r="K3" s="20" t="s">
        <v>65</v>
      </c>
      <c r="L3" s="20" t="s">
        <v>133</v>
      </c>
      <c r="M3" s="20" t="s">
        <v>129</v>
      </c>
      <c r="N3" s="20" t="s">
        <v>9</v>
      </c>
      <c r="O3" s="20"/>
      <c r="P3" s="20" t="s">
        <v>10</v>
      </c>
      <c r="Q3" s="20"/>
      <c r="R3" s="20" t="s">
        <v>11</v>
      </c>
      <c r="S3" s="20"/>
      <c r="T3" s="20" t="s">
        <v>12</v>
      </c>
      <c r="U3" s="20"/>
      <c r="V3" s="20" t="s">
        <v>13</v>
      </c>
      <c r="W3" s="20"/>
      <c r="X3" s="20" t="s">
        <v>14</v>
      </c>
      <c r="Y3" s="20"/>
      <c r="Z3" s="20" t="s">
        <v>15</v>
      </c>
      <c r="AA3" s="20"/>
      <c r="AB3" s="20" t="s">
        <v>16</v>
      </c>
      <c r="AC3" s="20"/>
      <c r="AD3" s="20" t="s">
        <v>17</v>
      </c>
      <c r="AE3" s="20"/>
      <c r="AF3" s="20" t="s">
        <v>18</v>
      </c>
      <c r="AG3" s="20"/>
      <c r="AH3" s="20" t="s">
        <v>19</v>
      </c>
      <c r="AI3" s="20"/>
      <c r="AJ3" s="20" t="s">
        <v>20</v>
      </c>
      <c r="AK3" s="20"/>
      <c r="AL3" s="20" t="s">
        <v>21</v>
      </c>
      <c r="AM3" s="20"/>
      <c r="AN3" s="20" t="s">
        <v>22</v>
      </c>
      <c r="AO3" s="20"/>
      <c r="AP3" s="20" t="s">
        <v>23</v>
      </c>
      <c r="AQ3" s="20"/>
      <c r="AR3" s="20" t="s">
        <v>24</v>
      </c>
      <c r="AS3" s="20"/>
      <c r="AT3" s="20" t="s">
        <v>25</v>
      </c>
      <c r="AU3" s="20"/>
      <c r="AV3" s="20" t="s">
        <v>26</v>
      </c>
      <c r="AW3" s="20"/>
      <c r="AX3" s="20" t="s">
        <v>27</v>
      </c>
      <c r="AY3" s="20"/>
      <c r="AZ3" s="20" t="s">
        <v>28</v>
      </c>
      <c r="BA3" s="20"/>
      <c r="BB3" s="20" t="s">
        <v>29</v>
      </c>
      <c r="BC3" s="20"/>
      <c r="BD3" s="20" t="s">
        <v>30</v>
      </c>
      <c r="BE3" s="20"/>
      <c r="BF3" s="20" t="s">
        <v>31</v>
      </c>
      <c r="BG3" s="20"/>
      <c r="BH3" s="20" t="s">
        <v>32</v>
      </c>
      <c r="BI3" s="20"/>
      <c r="BJ3" s="20" t="s">
        <v>33</v>
      </c>
      <c r="BK3" s="20"/>
      <c r="BL3" s="20" t="s">
        <v>34</v>
      </c>
      <c r="BM3" s="20"/>
      <c r="BN3" s="20" t="s">
        <v>35</v>
      </c>
      <c r="BO3" s="20"/>
      <c r="BP3" s="20" t="s">
        <v>36</v>
      </c>
      <c r="BQ3" s="20"/>
      <c r="BR3" s="20" t="s">
        <v>37</v>
      </c>
      <c r="BS3" s="20"/>
      <c r="BT3" s="20" t="s">
        <v>38</v>
      </c>
      <c r="BU3" s="20"/>
      <c r="BV3" s="20" t="s">
        <v>39</v>
      </c>
      <c r="BW3" s="20"/>
    </row>
    <row r="4" s="18" customFormat="1" customHeight="1" spans="1:75">
      <c r="A4" s="210"/>
      <c r="B4" s="210"/>
      <c r="C4" s="210"/>
      <c r="D4" s="210"/>
      <c r="E4" s="210"/>
      <c r="F4" s="20"/>
      <c r="G4" s="20"/>
      <c r="H4" s="20" t="s">
        <v>134</v>
      </c>
      <c r="I4" s="20"/>
      <c r="J4" s="20" t="s">
        <v>135</v>
      </c>
      <c r="K4" s="20"/>
      <c r="L4" s="20"/>
      <c r="M4" s="20"/>
      <c r="N4" s="20" t="s">
        <v>134</v>
      </c>
      <c r="O4" s="20" t="s">
        <v>135</v>
      </c>
      <c r="P4" s="20" t="s">
        <v>134</v>
      </c>
      <c r="Q4" s="20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40" customFormat="1" customHeight="1" spans="1:75">
      <c r="A5" s="161">
        <v>1</v>
      </c>
      <c r="B5" s="555" t="s">
        <v>136</v>
      </c>
      <c r="C5" s="555"/>
      <c r="D5" s="555" t="s">
        <v>137</v>
      </c>
      <c r="E5" s="555">
        <v>1.2</v>
      </c>
      <c r="F5" s="556">
        <v>0</v>
      </c>
      <c r="G5" s="557">
        <f>F5*E5</f>
        <v>0</v>
      </c>
      <c r="H5" s="558">
        <f>SUMIF($N$4:$BW$4,$H$4,$N5:$BW5)</f>
        <v>0</v>
      </c>
      <c r="I5" s="559">
        <f>+E5*H5</f>
        <v>0</v>
      </c>
      <c r="J5" s="558">
        <f>SUMIF($N$4:$BW$4,$J$4,$N5:$BW5)</f>
        <v>0</v>
      </c>
      <c r="K5" s="559">
        <f>+E5*J5</f>
        <v>0</v>
      </c>
      <c r="L5" s="558">
        <f>+F5+H5-J5</f>
        <v>0</v>
      </c>
      <c r="M5" s="559">
        <f>+E5*L5</f>
        <v>0</v>
      </c>
      <c r="N5" s="162"/>
      <c r="O5" s="545"/>
      <c r="P5" s="100"/>
      <c r="Q5" s="100"/>
      <c r="R5" s="162"/>
      <c r="S5" s="100"/>
      <c r="T5" s="162"/>
      <c r="U5" s="100"/>
      <c r="V5" s="162"/>
      <c r="W5" s="100"/>
      <c r="X5" s="162"/>
      <c r="Y5" s="560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  <c r="BA5" s="162"/>
      <c r="BB5" s="162"/>
      <c r="BC5" s="162"/>
      <c r="BD5" s="162"/>
      <c r="BE5" s="162"/>
      <c r="BF5" s="162"/>
      <c r="BG5" s="162"/>
      <c r="BH5" s="162"/>
      <c r="BI5" s="162"/>
      <c r="BJ5" s="162"/>
      <c r="BK5" s="162"/>
      <c r="BL5" s="162"/>
      <c r="BM5" s="162"/>
      <c r="BN5" s="162"/>
      <c r="BO5" s="162"/>
      <c r="BP5" s="162"/>
      <c r="BQ5" s="162"/>
      <c r="BR5" s="162"/>
      <c r="BS5" s="162"/>
      <c r="BT5" s="162"/>
      <c r="BU5" s="162"/>
      <c r="BV5" s="162"/>
      <c r="BW5" s="162"/>
    </row>
    <row r="6" s="140" customFormat="1" customHeight="1" spans="1:75">
      <c r="A6" s="161">
        <v>2</v>
      </c>
      <c r="B6" s="368" t="s">
        <v>138</v>
      </c>
      <c r="C6" s="555"/>
      <c r="D6" s="431" t="s">
        <v>137</v>
      </c>
      <c r="E6" s="318">
        <v>2</v>
      </c>
      <c r="F6" s="556">
        <v>5</v>
      </c>
      <c r="G6" s="557">
        <f t="shared" ref="G6:G41" si="0">F6*E6</f>
        <v>10</v>
      </c>
      <c r="H6" s="558">
        <f t="shared" ref="H6:H41" si="1">SUMIF($N$4:$BW$4,$H$4,$N6:$BW6)</f>
        <v>0</v>
      </c>
      <c r="I6" s="559">
        <f t="shared" ref="I6:I41" si="2">+E6*H6</f>
        <v>0</v>
      </c>
      <c r="J6" s="558">
        <f t="shared" ref="J6:J41" si="3">SUMIF($N$4:$BW$4,$J$4,$N6:$BW6)</f>
        <v>0</v>
      </c>
      <c r="K6" s="559">
        <f t="shared" ref="K6:K41" si="4">+E6*J6</f>
        <v>0</v>
      </c>
      <c r="L6" s="558">
        <f t="shared" ref="L6:L41" si="5">+F6+H6-J6</f>
        <v>5</v>
      </c>
      <c r="M6" s="559">
        <f t="shared" ref="M6:M41" si="6">+E6*L6</f>
        <v>10</v>
      </c>
      <c r="N6" s="318"/>
      <c r="O6" s="318"/>
      <c r="P6" s="406"/>
      <c r="Q6" s="406"/>
      <c r="R6" s="406"/>
      <c r="S6" s="406"/>
      <c r="T6" s="406"/>
      <c r="U6" s="406"/>
      <c r="V6" s="406"/>
      <c r="W6" s="406"/>
      <c r="X6" s="406"/>
      <c r="Y6" s="406"/>
      <c r="Z6" s="406"/>
      <c r="AA6" s="406"/>
      <c r="AB6" s="406"/>
      <c r="AC6" s="406"/>
      <c r="AD6" s="406"/>
      <c r="AE6" s="406"/>
      <c r="AF6" s="406"/>
      <c r="AG6" s="406"/>
      <c r="AH6" s="406"/>
      <c r="AI6" s="406"/>
      <c r="AJ6" s="406"/>
      <c r="AK6" s="406"/>
      <c r="AL6" s="406"/>
      <c r="AM6" s="406"/>
      <c r="AN6" s="406"/>
      <c r="AO6" s="406"/>
      <c r="AP6" s="406"/>
      <c r="AQ6" s="406"/>
      <c r="AR6" s="406"/>
      <c r="AS6" s="406"/>
      <c r="AT6" s="406"/>
      <c r="AU6" s="406"/>
      <c r="AV6" s="406"/>
      <c r="AW6" s="406"/>
      <c r="AX6" s="406"/>
      <c r="AY6" s="406"/>
      <c r="AZ6" s="406"/>
      <c r="BA6" s="406"/>
      <c r="BB6" s="406"/>
      <c r="BC6" s="406"/>
      <c r="BD6" s="406"/>
      <c r="BE6" s="406"/>
      <c r="BF6" s="406"/>
      <c r="BG6" s="406"/>
      <c r="BH6" s="406"/>
      <c r="BI6" s="406"/>
      <c r="BJ6" s="406"/>
      <c r="BK6" s="406"/>
      <c r="BL6" s="406"/>
      <c r="BM6" s="406"/>
      <c r="BN6" s="406"/>
      <c r="BO6" s="406"/>
      <c r="BP6" s="406"/>
      <c r="BQ6" s="406"/>
      <c r="BR6" s="406"/>
      <c r="BS6" s="406"/>
      <c r="BT6" s="406"/>
      <c r="BU6" s="406"/>
      <c r="BV6" s="162"/>
      <c r="BW6" s="190"/>
    </row>
    <row r="7" s="140" customFormat="1" customHeight="1" spans="1:75">
      <c r="A7" s="161">
        <v>3</v>
      </c>
      <c r="B7" s="394" t="s">
        <v>139</v>
      </c>
      <c r="C7" s="555"/>
      <c r="D7" s="561" t="s">
        <v>137</v>
      </c>
      <c r="E7" s="562">
        <v>0.398</v>
      </c>
      <c r="F7" s="556">
        <v>35</v>
      </c>
      <c r="G7" s="557">
        <f t="shared" si="0"/>
        <v>13.93</v>
      </c>
      <c r="H7" s="558">
        <f t="shared" si="1"/>
        <v>0</v>
      </c>
      <c r="I7" s="559">
        <f t="shared" si="2"/>
        <v>0</v>
      </c>
      <c r="J7" s="558">
        <f t="shared" si="3"/>
        <v>4</v>
      </c>
      <c r="K7" s="559">
        <f t="shared" si="4"/>
        <v>1.592</v>
      </c>
      <c r="L7" s="558">
        <f t="shared" si="5"/>
        <v>31</v>
      </c>
      <c r="M7" s="559">
        <f t="shared" si="6"/>
        <v>12.338</v>
      </c>
      <c r="N7" s="562"/>
      <c r="O7" s="562">
        <v>1</v>
      </c>
      <c r="P7" s="563"/>
      <c r="Q7" s="563"/>
      <c r="R7" s="563"/>
      <c r="S7" s="563"/>
      <c r="T7" s="563"/>
      <c r="U7" s="563"/>
      <c r="V7" s="563"/>
      <c r="W7" s="563"/>
      <c r="X7" s="563"/>
      <c r="Y7" s="563"/>
      <c r="Z7" s="563"/>
      <c r="AA7" s="563"/>
      <c r="AB7" s="563"/>
      <c r="AC7" s="563"/>
      <c r="AD7" s="563"/>
      <c r="AE7" s="563"/>
      <c r="AF7" s="563"/>
      <c r="AG7" s="563"/>
      <c r="AH7" s="563"/>
      <c r="AI7" s="563"/>
      <c r="AJ7" s="563"/>
      <c r="AK7" s="563"/>
      <c r="AL7" s="563"/>
      <c r="AM7" s="563"/>
      <c r="AN7" s="563"/>
      <c r="AO7" s="563"/>
      <c r="AP7" s="563"/>
      <c r="AQ7" s="563"/>
      <c r="AR7" s="563"/>
      <c r="AS7" s="563"/>
      <c r="AT7" s="563"/>
      <c r="AU7" s="563"/>
      <c r="AV7" s="563"/>
      <c r="AW7" s="563"/>
      <c r="AX7" s="563"/>
      <c r="AY7" s="563"/>
      <c r="AZ7" s="563"/>
      <c r="BA7" s="563"/>
      <c r="BB7" s="563"/>
      <c r="BC7" s="563"/>
      <c r="BD7" s="563"/>
      <c r="BE7" s="563"/>
      <c r="BF7" s="563"/>
      <c r="BG7" s="563"/>
      <c r="BH7" s="563"/>
      <c r="BI7" s="563"/>
      <c r="BJ7" s="563"/>
      <c r="BK7" s="563">
        <v>3</v>
      </c>
      <c r="BL7" s="563"/>
      <c r="BM7" s="563"/>
      <c r="BN7" s="563"/>
      <c r="BO7" s="563"/>
      <c r="BP7" s="563"/>
      <c r="BQ7" s="563"/>
      <c r="BR7" s="563"/>
      <c r="BS7" s="563"/>
      <c r="BT7" s="563"/>
      <c r="BU7" s="563"/>
      <c r="BV7" s="162"/>
      <c r="BW7" s="190"/>
    </row>
    <row r="8" s="140" customFormat="1" customHeight="1" spans="1:75">
      <c r="A8" s="161">
        <v>4</v>
      </c>
      <c r="B8" s="394" t="s">
        <v>140</v>
      </c>
      <c r="C8" s="555"/>
      <c r="D8" s="564" t="s">
        <v>137</v>
      </c>
      <c r="E8" s="562">
        <v>7</v>
      </c>
      <c r="F8" s="556">
        <v>27</v>
      </c>
      <c r="G8" s="557">
        <f t="shared" si="0"/>
        <v>189</v>
      </c>
      <c r="H8" s="558">
        <f t="shared" si="1"/>
        <v>0</v>
      </c>
      <c r="I8" s="559">
        <f t="shared" si="2"/>
        <v>0</v>
      </c>
      <c r="J8" s="558">
        <f t="shared" si="3"/>
        <v>2</v>
      </c>
      <c r="K8" s="559">
        <f t="shared" si="4"/>
        <v>14</v>
      </c>
      <c r="L8" s="558">
        <f t="shared" si="5"/>
        <v>25</v>
      </c>
      <c r="M8" s="559">
        <f t="shared" si="6"/>
        <v>175</v>
      </c>
      <c r="N8" s="562"/>
      <c r="O8" s="562">
        <v>1</v>
      </c>
      <c r="P8" s="563"/>
      <c r="Q8" s="563"/>
      <c r="R8" s="563"/>
      <c r="S8" s="563"/>
      <c r="T8" s="563"/>
      <c r="U8" s="563"/>
      <c r="V8" s="563"/>
      <c r="W8" s="563"/>
      <c r="X8" s="563"/>
      <c r="Y8" s="563"/>
      <c r="Z8" s="563"/>
      <c r="AA8" s="563"/>
      <c r="AB8" s="563"/>
      <c r="AC8" s="563"/>
      <c r="AD8" s="563"/>
      <c r="AE8" s="563"/>
      <c r="AF8" s="563"/>
      <c r="AG8" s="563"/>
      <c r="AH8" s="563"/>
      <c r="AI8" s="563"/>
      <c r="AJ8" s="563"/>
      <c r="AK8" s="563"/>
      <c r="AL8" s="563"/>
      <c r="AM8" s="563"/>
      <c r="AN8" s="563"/>
      <c r="AO8" s="563"/>
      <c r="AP8" s="563"/>
      <c r="AQ8" s="563"/>
      <c r="AR8" s="563"/>
      <c r="AS8" s="563"/>
      <c r="AT8" s="563"/>
      <c r="AU8" s="563"/>
      <c r="AV8" s="563"/>
      <c r="AW8" s="563"/>
      <c r="AX8" s="563"/>
      <c r="AY8" s="563"/>
      <c r="AZ8" s="563"/>
      <c r="BA8" s="563"/>
      <c r="BB8" s="563"/>
      <c r="BC8" s="563"/>
      <c r="BD8" s="563"/>
      <c r="BE8" s="563"/>
      <c r="BF8" s="563"/>
      <c r="BG8" s="563"/>
      <c r="BH8" s="563"/>
      <c r="BI8" s="563"/>
      <c r="BJ8" s="563"/>
      <c r="BK8" s="563">
        <v>1</v>
      </c>
      <c r="BL8" s="563"/>
      <c r="BM8" s="563"/>
      <c r="BN8" s="563"/>
      <c r="BO8" s="563"/>
      <c r="BP8" s="563"/>
      <c r="BQ8" s="563"/>
      <c r="BR8" s="563"/>
      <c r="BS8" s="563"/>
      <c r="BT8" s="563"/>
      <c r="BU8" s="563"/>
      <c r="BV8" s="162"/>
      <c r="BW8" s="190"/>
    </row>
    <row r="9" s="140" customFormat="1" customHeight="1" spans="1:75">
      <c r="A9" s="161">
        <v>5</v>
      </c>
      <c r="B9" s="394" t="s">
        <v>141</v>
      </c>
      <c r="C9" s="555"/>
      <c r="D9" s="564" t="s">
        <v>137</v>
      </c>
      <c r="E9" s="562">
        <v>7</v>
      </c>
      <c r="F9" s="556">
        <v>4</v>
      </c>
      <c r="G9" s="557">
        <f t="shared" si="0"/>
        <v>28</v>
      </c>
      <c r="H9" s="558">
        <f t="shared" si="1"/>
        <v>0</v>
      </c>
      <c r="I9" s="559">
        <f t="shared" si="2"/>
        <v>0</v>
      </c>
      <c r="J9" s="558">
        <f t="shared" si="3"/>
        <v>0</v>
      </c>
      <c r="K9" s="559">
        <f t="shared" si="4"/>
        <v>0</v>
      </c>
      <c r="L9" s="558">
        <f t="shared" si="5"/>
        <v>4</v>
      </c>
      <c r="M9" s="559">
        <f t="shared" si="6"/>
        <v>28</v>
      </c>
      <c r="N9" s="562"/>
      <c r="O9" s="562"/>
      <c r="P9" s="563"/>
      <c r="Q9" s="563"/>
      <c r="R9" s="563"/>
      <c r="S9" s="563"/>
      <c r="T9" s="563"/>
      <c r="U9" s="563"/>
      <c r="V9" s="563"/>
      <c r="W9" s="563"/>
      <c r="X9" s="563"/>
      <c r="Y9" s="563"/>
      <c r="Z9" s="563"/>
      <c r="AA9" s="563"/>
      <c r="AB9" s="563"/>
      <c r="AC9" s="563"/>
      <c r="AD9" s="563"/>
      <c r="AE9" s="563"/>
      <c r="AF9" s="563"/>
      <c r="AG9" s="563"/>
      <c r="AH9" s="563"/>
      <c r="AI9" s="563"/>
      <c r="AJ9" s="563"/>
      <c r="AK9" s="563"/>
      <c r="AL9" s="563"/>
      <c r="AM9" s="563"/>
      <c r="AN9" s="563"/>
      <c r="AO9" s="563"/>
      <c r="AP9" s="563"/>
      <c r="AQ9" s="563"/>
      <c r="AR9" s="563"/>
      <c r="AS9" s="563"/>
      <c r="AT9" s="563"/>
      <c r="AU9" s="563"/>
      <c r="AV9" s="563"/>
      <c r="AW9" s="563"/>
      <c r="AX9" s="563"/>
      <c r="AY9" s="563"/>
      <c r="AZ9" s="563"/>
      <c r="BA9" s="563"/>
      <c r="BB9" s="563"/>
      <c r="BC9" s="563"/>
      <c r="BD9" s="563"/>
      <c r="BE9" s="563"/>
      <c r="BF9" s="563"/>
      <c r="BG9" s="563"/>
      <c r="BH9" s="563"/>
      <c r="BI9" s="563"/>
      <c r="BJ9" s="563"/>
      <c r="BK9" s="563"/>
      <c r="BL9" s="563"/>
      <c r="BM9" s="563"/>
      <c r="BN9" s="563"/>
      <c r="BO9" s="563"/>
      <c r="BP9" s="563"/>
      <c r="BQ9" s="563"/>
      <c r="BR9" s="563"/>
      <c r="BS9" s="563"/>
      <c r="BT9" s="563"/>
      <c r="BU9" s="563"/>
      <c r="BV9" s="162"/>
      <c r="BW9" s="190"/>
    </row>
    <row r="10" s="140" customFormat="1" customHeight="1" spans="1:75">
      <c r="A10" s="161">
        <v>6</v>
      </c>
      <c r="B10" s="394" t="s">
        <v>142</v>
      </c>
      <c r="C10" s="555"/>
      <c r="D10" s="564" t="s">
        <v>137</v>
      </c>
      <c r="E10" s="562">
        <v>7</v>
      </c>
      <c r="F10" s="556">
        <v>11</v>
      </c>
      <c r="G10" s="557">
        <f t="shared" si="0"/>
        <v>77</v>
      </c>
      <c r="H10" s="558">
        <f t="shared" si="1"/>
        <v>0</v>
      </c>
      <c r="I10" s="559">
        <f t="shared" si="2"/>
        <v>0</v>
      </c>
      <c r="J10" s="558">
        <f t="shared" si="3"/>
        <v>0</v>
      </c>
      <c r="K10" s="559">
        <f t="shared" si="4"/>
        <v>0</v>
      </c>
      <c r="L10" s="558">
        <f t="shared" si="5"/>
        <v>11</v>
      </c>
      <c r="M10" s="559">
        <f t="shared" si="6"/>
        <v>77</v>
      </c>
      <c r="N10" s="562"/>
      <c r="O10" s="562"/>
      <c r="P10" s="563"/>
      <c r="Q10" s="563"/>
      <c r="R10" s="563"/>
      <c r="S10" s="563"/>
      <c r="T10" s="563"/>
      <c r="U10" s="563"/>
      <c r="V10" s="563"/>
      <c r="W10" s="563"/>
      <c r="X10" s="563"/>
      <c r="Y10" s="563"/>
      <c r="Z10" s="563"/>
      <c r="AA10" s="563"/>
      <c r="AB10" s="563"/>
      <c r="AC10" s="563"/>
      <c r="AD10" s="563"/>
      <c r="AE10" s="563"/>
      <c r="AF10" s="563"/>
      <c r="AG10" s="563"/>
      <c r="AH10" s="563"/>
      <c r="AI10" s="563"/>
      <c r="AJ10" s="563"/>
      <c r="AK10" s="563"/>
      <c r="AL10" s="563"/>
      <c r="AM10" s="563"/>
      <c r="AN10" s="563"/>
      <c r="AO10" s="563"/>
      <c r="AP10" s="563"/>
      <c r="AQ10" s="563"/>
      <c r="AR10" s="563"/>
      <c r="AS10" s="563"/>
      <c r="AT10" s="563"/>
      <c r="AU10" s="563"/>
      <c r="AV10" s="563"/>
      <c r="AW10" s="563"/>
      <c r="AX10" s="563"/>
      <c r="AY10" s="563"/>
      <c r="AZ10" s="563"/>
      <c r="BA10" s="563"/>
      <c r="BB10" s="563"/>
      <c r="BC10" s="563"/>
      <c r="BD10" s="563"/>
      <c r="BE10" s="563"/>
      <c r="BF10" s="563"/>
      <c r="BG10" s="563"/>
      <c r="BH10" s="563"/>
      <c r="BI10" s="563"/>
      <c r="BJ10" s="563"/>
      <c r="BK10" s="563"/>
      <c r="BL10" s="563"/>
      <c r="BM10" s="563"/>
      <c r="BN10" s="563"/>
      <c r="BO10" s="563"/>
      <c r="BP10" s="563"/>
      <c r="BQ10" s="563"/>
      <c r="BR10" s="563"/>
      <c r="BS10" s="563"/>
      <c r="BT10" s="563"/>
      <c r="BU10" s="563"/>
      <c r="BV10" s="162"/>
      <c r="BW10" s="190"/>
    </row>
    <row r="11" s="140" customFormat="1" customHeight="1" spans="1:75">
      <c r="A11" s="161">
        <v>7</v>
      </c>
      <c r="B11" s="394" t="s">
        <v>143</v>
      </c>
      <c r="C11" s="555"/>
      <c r="D11" s="564" t="s">
        <v>137</v>
      </c>
      <c r="E11" s="562">
        <v>7</v>
      </c>
      <c r="F11" s="556">
        <v>15</v>
      </c>
      <c r="G11" s="557">
        <f t="shared" si="0"/>
        <v>105</v>
      </c>
      <c r="H11" s="558">
        <f t="shared" si="1"/>
        <v>0</v>
      </c>
      <c r="I11" s="559">
        <f t="shared" si="2"/>
        <v>0</v>
      </c>
      <c r="J11" s="558">
        <f t="shared" si="3"/>
        <v>0</v>
      </c>
      <c r="K11" s="559">
        <f t="shared" si="4"/>
        <v>0</v>
      </c>
      <c r="L11" s="558">
        <f t="shared" si="5"/>
        <v>15</v>
      </c>
      <c r="M11" s="559">
        <f t="shared" si="6"/>
        <v>105</v>
      </c>
      <c r="N11" s="562"/>
      <c r="O11" s="562"/>
      <c r="P11" s="563"/>
      <c r="Q11" s="563"/>
      <c r="R11" s="563"/>
      <c r="S11" s="563"/>
      <c r="T11" s="563"/>
      <c r="U11" s="563"/>
      <c r="V11" s="563"/>
      <c r="W11" s="563"/>
      <c r="X11" s="563"/>
      <c r="Y11" s="563"/>
      <c r="Z11" s="563"/>
      <c r="AA11" s="563"/>
      <c r="AB11" s="563"/>
      <c r="AC11" s="563"/>
      <c r="AD11" s="563"/>
      <c r="AE11" s="563"/>
      <c r="AF11" s="563"/>
      <c r="AG11" s="563"/>
      <c r="AH11" s="563"/>
      <c r="AI11" s="563"/>
      <c r="AJ11" s="563"/>
      <c r="AK11" s="563"/>
      <c r="AL11" s="563"/>
      <c r="AM11" s="563"/>
      <c r="AN11" s="563"/>
      <c r="AO11" s="563"/>
      <c r="AP11" s="563"/>
      <c r="AQ11" s="563"/>
      <c r="AR11" s="563"/>
      <c r="AS11" s="563"/>
      <c r="AT11" s="563"/>
      <c r="AU11" s="563"/>
      <c r="AV11" s="563"/>
      <c r="AW11" s="563"/>
      <c r="AX11" s="563"/>
      <c r="AY11" s="563"/>
      <c r="AZ11" s="563"/>
      <c r="BA11" s="563"/>
      <c r="BB11" s="563"/>
      <c r="BC11" s="563"/>
      <c r="BD11" s="563"/>
      <c r="BE11" s="563"/>
      <c r="BF11" s="563"/>
      <c r="BG11" s="563"/>
      <c r="BH11" s="563"/>
      <c r="BI11" s="563"/>
      <c r="BJ11" s="563"/>
      <c r="BK11" s="563"/>
      <c r="BL11" s="563"/>
      <c r="BM11" s="563"/>
      <c r="BN11" s="563"/>
      <c r="BO11" s="563"/>
      <c r="BP11" s="563"/>
      <c r="BQ11" s="563"/>
      <c r="BR11" s="563"/>
      <c r="BS11" s="563"/>
      <c r="BT11" s="563"/>
      <c r="BU11" s="563"/>
      <c r="BV11" s="162"/>
      <c r="BW11" s="190"/>
    </row>
    <row r="12" s="140" customFormat="1" customHeight="1" spans="1:75">
      <c r="A12" s="161">
        <v>8</v>
      </c>
      <c r="B12" s="394" t="s">
        <v>144</v>
      </c>
      <c r="C12" s="555"/>
      <c r="D12" s="564" t="s">
        <v>145</v>
      </c>
      <c r="E12" s="562">
        <v>0.0354</v>
      </c>
      <c r="F12" s="556">
        <v>300</v>
      </c>
      <c r="G12" s="557">
        <f t="shared" si="0"/>
        <v>10.62</v>
      </c>
      <c r="H12" s="558">
        <f t="shared" si="1"/>
        <v>0</v>
      </c>
      <c r="I12" s="559">
        <f t="shared" si="2"/>
        <v>0</v>
      </c>
      <c r="J12" s="558">
        <f t="shared" si="3"/>
        <v>300</v>
      </c>
      <c r="K12" s="559">
        <f t="shared" si="4"/>
        <v>10.62</v>
      </c>
      <c r="L12" s="558">
        <f t="shared" si="5"/>
        <v>0</v>
      </c>
      <c r="M12" s="559">
        <f t="shared" si="6"/>
        <v>0</v>
      </c>
      <c r="N12" s="562"/>
      <c r="O12" s="562">
        <v>100</v>
      </c>
      <c r="P12" s="563"/>
      <c r="Q12" s="563"/>
      <c r="R12" s="563"/>
      <c r="S12" s="563"/>
      <c r="T12" s="563"/>
      <c r="U12" s="563"/>
      <c r="V12" s="563"/>
      <c r="W12" s="563"/>
      <c r="X12" s="563"/>
      <c r="Y12" s="563"/>
      <c r="Z12" s="563"/>
      <c r="AA12" s="563"/>
      <c r="AB12" s="563"/>
      <c r="AC12" s="563"/>
      <c r="AD12" s="563"/>
      <c r="AE12" s="563"/>
      <c r="AF12" s="563"/>
      <c r="AG12" s="563"/>
      <c r="AH12" s="563"/>
      <c r="AI12" s="563"/>
      <c r="AJ12" s="563"/>
      <c r="AK12" s="563"/>
      <c r="AL12" s="563"/>
      <c r="AM12" s="563">
        <v>100</v>
      </c>
      <c r="AN12" s="563"/>
      <c r="AO12" s="563"/>
      <c r="AP12" s="563"/>
      <c r="AQ12" s="563"/>
      <c r="AR12" s="563"/>
      <c r="AS12" s="563">
        <v>100</v>
      </c>
      <c r="AT12" s="563"/>
      <c r="AU12" s="563"/>
      <c r="AV12" s="563"/>
      <c r="AW12" s="563"/>
      <c r="AX12" s="563"/>
      <c r="AY12" s="563"/>
      <c r="AZ12" s="563"/>
      <c r="BA12" s="563"/>
      <c r="BB12" s="563"/>
      <c r="BC12" s="563"/>
      <c r="BD12" s="563"/>
      <c r="BE12" s="563"/>
      <c r="BF12" s="563"/>
      <c r="BG12" s="563"/>
      <c r="BH12" s="563"/>
      <c r="BI12" s="563"/>
      <c r="BJ12" s="563"/>
      <c r="BK12" s="563"/>
      <c r="BL12" s="563"/>
      <c r="BM12" s="563"/>
      <c r="BN12" s="563"/>
      <c r="BO12" s="563"/>
      <c r="BP12" s="563"/>
      <c r="BQ12" s="563"/>
      <c r="BR12" s="563"/>
      <c r="BS12" s="563"/>
      <c r="BT12" s="563"/>
      <c r="BU12" s="563"/>
      <c r="BV12" s="162"/>
      <c r="BW12" s="190"/>
    </row>
    <row r="13" s="140" customFormat="1" customHeight="1" spans="1:75">
      <c r="A13" s="161">
        <v>9</v>
      </c>
      <c r="B13" s="565" t="s">
        <v>146</v>
      </c>
      <c r="C13" s="555"/>
      <c r="D13" s="564" t="s">
        <v>137</v>
      </c>
      <c r="E13" s="562">
        <v>0.06384</v>
      </c>
      <c r="F13" s="556">
        <v>360</v>
      </c>
      <c r="G13" s="557">
        <f t="shared" si="0"/>
        <v>22.9824</v>
      </c>
      <c r="H13" s="558">
        <f t="shared" si="1"/>
        <v>0</v>
      </c>
      <c r="I13" s="559">
        <f t="shared" si="2"/>
        <v>0</v>
      </c>
      <c r="J13" s="558">
        <f t="shared" si="3"/>
        <v>360</v>
      </c>
      <c r="K13" s="559">
        <f t="shared" si="4"/>
        <v>22.9824</v>
      </c>
      <c r="L13" s="558">
        <f t="shared" si="5"/>
        <v>0</v>
      </c>
      <c r="M13" s="559">
        <f t="shared" si="6"/>
        <v>0</v>
      </c>
      <c r="N13" s="562"/>
      <c r="O13" s="562">
        <v>20</v>
      </c>
      <c r="P13" s="563"/>
      <c r="Q13" s="563">
        <v>20</v>
      </c>
      <c r="R13" s="563"/>
      <c r="S13" s="563">
        <v>20</v>
      </c>
      <c r="T13" s="563"/>
      <c r="U13" s="563">
        <v>20</v>
      </c>
      <c r="V13" s="563"/>
      <c r="W13" s="563">
        <v>20</v>
      </c>
      <c r="X13" s="563"/>
      <c r="Y13" s="563"/>
      <c r="Z13" s="563"/>
      <c r="AA13" s="563">
        <v>20</v>
      </c>
      <c r="AB13" s="563"/>
      <c r="AC13" s="563"/>
      <c r="AD13" s="563"/>
      <c r="AE13" s="563">
        <v>20</v>
      </c>
      <c r="AF13" s="563"/>
      <c r="AG13" s="563">
        <v>20</v>
      </c>
      <c r="AH13" s="563"/>
      <c r="AI13" s="563"/>
      <c r="AJ13" s="563"/>
      <c r="AK13" s="563">
        <v>20</v>
      </c>
      <c r="AL13" s="563"/>
      <c r="AM13" s="563"/>
      <c r="AN13" s="563"/>
      <c r="AO13" s="563"/>
      <c r="AP13" s="563"/>
      <c r="AQ13" s="563"/>
      <c r="AR13" s="563"/>
      <c r="AS13" s="563"/>
      <c r="AT13" s="563"/>
      <c r="AU13" s="563"/>
      <c r="AV13" s="563"/>
      <c r="AW13" s="563"/>
      <c r="AX13" s="563"/>
      <c r="AY13" s="563"/>
      <c r="AZ13" s="563"/>
      <c r="BA13" s="563"/>
      <c r="BB13" s="563"/>
      <c r="BC13" s="563"/>
      <c r="BD13" s="563"/>
      <c r="BE13" s="563"/>
      <c r="BF13" s="563"/>
      <c r="BG13" s="563"/>
      <c r="BH13" s="563"/>
      <c r="BI13" s="563"/>
      <c r="BJ13" s="563"/>
      <c r="BK13" s="563">
        <v>180</v>
      </c>
      <c r="BL13" s="563"/>
      <c r="BM13" s="563"/>
      <c r="BN13" s="563"/>
      <c r="BO13" s="563"/>
      <c r="BP13" s="563"/>
      <c r="BQ13" s="563"/>
      <c r="BR13" s="563"/>
      <c r="BS13" s="563"/>
      <c r="BT13" s="563"/>
      <c r="BU13" s="563"/>
      <c r="BV13" s="162"/>
      <c r="BW13" s="190"/>
    </row>
    <row r="14" s="140" customFormat="1" customHeight="1" spans="1:75">
      <c r="A14" s="161">
        <v>10</v>
      </c>
      <c r="B14" s="394" t="s">
        <v>147</v>
      </c>
      <c r="C14" s="555"/>
      <c r="D14" s="561" t="s">
        <v>137</v>
      </c>
      <c r="E14" s="562">
        <v>0.115</v>
      </c>
      <c r="F14" s="556">
        <v>199</v>
      </c>
      <c r="G14" s="557">
        <f t="shared" si="0"/>
        <v>22.885</v>
      </c>
      <c r="H14" s="558">
        <f t="shared" si="1"/>
        <v>0</v>
      </c>
      <c r="I14" s="559">
        <f t="shared" si="2"/>
        <v>0</v>
      </c>
      <c r="J14" s="558">
        <f t="shared" si="3"/>
        <v>57</v>
      </c>
      <c r="K14" s="559">
        <f t="shared" si="4"/>
        <v>6.555</v>
      </c>
      <c r="L14" s="558">
        <f t="shared" si="5"/>
        <v>142</v>
      </c>
      <c r="M14" s="559">
        <f t="shared" si="6"/>
        <v>16.33</v>
      </c>
      <c r="N14" s="562"/>
      <c r="O14" s="562">
        <v>5</v>
      </c>
      <c r="P14" s="563"/>
      <c r="Q14" s="563"/>
      <c r="R14" s="563"/>
      <c r="S14" s="563">
        <v>6</v>
      </c>
      <c r="T14" s="563"/>
      <c r="U14" s="563"/>
      <c r="V14" s="563"/>
      <c r="W14" s="563">
        <v>5</v>
      </c>
      <c r="X14" s="563"/>
      <c r="Y14" s="563"/>
      <c r="Z14" s="563"/>
      <c r="AA14" s="563"/>
      <c r="AB14" s="563"/>
      <c r="AC14" s="563"/>
      <c r="AD14" s="563"/>
      <c r="AE14" s="563"/>
      <c r="AF14" s="563"/>
      <c r="AG14" s="563"/>
      <c r="AH14" s="563"/>
      <c r="AI14" s="563"/>
      <c r="AJ14" s="563"/>
      <c r="AK14" s="563"/>
      <c r="AL14" s="563"/>
      <c r="AM14" s="563">
        <v>15</v>
      </c>
      <c r="AN14" s="563"/>
      <c r="AO14" s="563"/>
      <c r="AP14" s="563"/>
      <c r="AQ14" s="563">
        <v>10</v>
      </c>
      <c r="AR14" s="563"/>
      <c r="AS14" s="563"/>
      <c r="AT14" s="563"/>
      <c r="AU14" s="563"/>
      <c r="AV14" s="563"/>
      <c r="AW14" s="563"/>
      <c r="AX14" s="563"/>
      <c r="AY14" s="563"/>
      <c r="AZ14" s="563"/>
      <c r="BA14" s="563"/>
      <c r="BB14" s="563"/>
      <c r="BC14" s="563"/>
      <c r="BD14" s="563"/>
      <c r="BE14" s="563"/>
      <c r="BF14" s="563"/>
      <c r="BG14" s="563"/>
      <c r="BH14" s="563"/>
      <c r="BI14" s="563"/>
      <c r="BJ14" s="563"/>
      <c r="BK14" s="563">
        <v>2</v>
      </c>
      <c r="BL14" s="563"/>
      <c r="BM14" s="563">
        <v>2</v>
      </c>
      <c r="BN14" s="563"/>
      <c r="BO14" s="563">
        <v>1</v>
      </c>
      <c r="BP14" s="563"/>
      <c r="BQ14" s="563"/>
      <c r="BR14" s="563"/>
      <c r="BS14" s="563">
        <v>1</v>
      </c>
      <c r="BT14" s="563"/>
      <c r="BU14" s="563">
        <v>5</v>
      </c>
      <c r="BV14" s="162"/>
      <c r="BW14" s="566">
        <v>5</v>
      </c>
    </row>
    <row r="15" s="140" customFormat="1" customHeight="1" spans="1:75">
      <c r="A15" s="161">
        <v>11</v>
      </c>
      <c r="B15" s="394" t="s">
        <v>148</v>
      </c>
      <c r="C15" s="555"/>
      <c r="D15" s="561" t="s">
        <v>137</v>
      </c>
      <c r="E15" s="562">
        <v>4.495</v>
      </c>
      <c r="F15" s="556">
        <v>3</v>
      </c>
      <c r="G15" s="557">
        <f t="shared" si="0"/>
        <v>13.485</v>
      </c>
      <c r="H15" s="558">
        <f t="shared" si="1"/>
        <v>0</v>
      </c>
      <c r="I15" s="559">
        <f t="shared" si="2"/>
        <v>0</v>
      </c>
      <c r="J15" s="558">
        <f t="shared" si="3"/>
        <v>2</v>
      </c>
      <c r="K15" s="559">
        <f t="shared" si="4"/>
        <v>8.99</v>
      </c>
      <c r="L15" s="558">
        <f t="shared" si="5"/>
        <v>1</v>
      </c>
      <c r="M15" s="559">
        <f t="shared" si="6"/>
        <v>4.495</v>
      </c>
      <c r="N15" s="562"/>
      <c r="O15" s="562"/>
      <c r="P15" s="563"/>
      <c r="Q15" s="563"/>
      <c r="R15" s="563"/>
      <c r="S15" s="563"/>
      <c r="T15" s="563"/>
      <c r="U15" s="563"/>
      <c r="V15" s="563"/>
      <c r="W15" s="563"/>
      <c r="X15" s="563"/>
      <c r="Y15" s="563"/>
      <c r="Z15" s="563"/>
      <c r="AA15" s="563"/>
      <c r="AB15" s="563"/>
      <c r="AC15" s="563"/>
      <c r="AD15" s="563"/>
      <c r="AE15" s="563"/>
      <c r="AF15" s="563"/>
      <c r="AG15" s="563"/>
      <c r="AH15" s="563"/>
      <c r="AI15" s="563"/>
      <c r="AJ15" s="563"/>
      <c r="AK15" s="563"/>
      <c r="AL15" s="563"/>
      <c r="AM15" s="563"/>
      <c r="AN15" s="563"/>
      <c r="AO15" s="563"/>
      <c r="AP15" s="563"/>
      <c r="AQ15" s="563"/>
      <c r="AR15" s="563"/>
      <c r="AS15" s="563"/>
      <c r="AT15" s="563"/>
      <c r="AU15" s="563"/>
      <c r="AV15" s="563"/>
      <c r="AW15" s="563"/>
      <c r="AX15" s="563"/>
      <c r="AY15" s="563"/>
      <c r="AZ15" s="563"/>
      <c r="BA15" s="563"/>
      <c r="BB15" s="563"/>
      <c r="BC15" s="563"/>
      <c r="BD15" s="563"/>
      <c r="BE15" s="563"/>
      <c r="BF15" s="563"/>
      <c r="BG15" s="563">
        <v>1</v>
      </c>
      <c r="BH15" s="563"/>
      <c r="BI15" s="563"/>
      <c r="BJ15" s="563"/>
      <c r="BK15" s="563"/>
      <c r="BL15" s="563"/>
      <c r="BM15" s="563">
        <v>1</v>
      </c>
      <c r="BN15" s="563"/>
      <c r="BO15" s="563"/>
      <c r="BP15" s="563"/>
      <c r="BQ15" s="563"/>
      <c r="BR15" s="563"/>
      <c r="BS15" s="563"/>
      <c r="BT15" s="563"/>
      <c r="BU15" s="563"/>
      <c r="BV15" s="162"/>
      <c r="BW15" s="566"/>
    </row>
    <row r="16" s="140" customFormat="1" customHeight="1" spans="1:75">
      <c r="A16" s="161">
        <v>12</v>
      </c>
      <c r="B16" s="394" t="s">
        <v>149</v>
      </c>
      <c r="C16" s="555"/>
      <c r="D16" s="561" t="s">
        <v>137</v>
      </c>
      <c r="E16" s="562">
        <v>3.495</v>
      </c>
      <c r="F16" s="556">
        <v>4</v>
      </c>
      <c r="G16" s="557">
        <f t="shared" si="0"/>
        <v>13.98</v>
      </c>
      <c r="H16" s="558">
        <f t="shared" si="1"/>
        <v>0</v>
      </c>
      <c r="I16" s="559">
        <f t="shared" si="2"/>
        <v>0</v>
      </c>
      <c r="J16" s="558">
        <f t="shared" si="3"/>
        <v>4</v>
      </c>
      <c r="K16" s="559">
        <f t="shared" si="4"/>
        <v>13.98</v>
      </c>
      <c r="L16" s="558">
        <f t="shared" si="5"/>
        <v>0</v>
      </c>
      <c r="M16" s="559">
        <f t="shared" si="6"/>
        <v>0</v>
      </c>
      <c r="N16" s="562"/>
      <c r="O16" s="562">
        <v>1</v>
      </c>
      <c r="P16" s="563"/>
      <c r="Q16" s="563"/>
      <c r="R16" s="563"/>
      <c r="S16" s="563"/>
      <c r="T16" s="563"/>
      <c r="U16" s="563"/>
      <c r="V16" s="563"/>
      <c r="W16" s="563"/>
      <c r="X16" s="563"/>
      <c r="Y16" s="563"/>
      <c r="Z16" s="563"/>
      <c r="AA16" s="563"/>
      <c r="AB16" s="563"/>
      <c r="AC16" s="563"/>
      <c r="AD16" s="563"/>
      <c r="AE16" s="563"/>
      <c r="AF16" s="563"/>
      <c r="AG16" s="563"/>
      <c r="AH16" s="563"/>
      <c r="AI16" s="563"/>
      <c r="AJ16" s="563"/>
      <c r="AK16" s="563"/>
      <c r="AL16" s="563"/>
      <c r="AM16" s="563"/>
      <c r="AN16" s="563"/>
      <c r="AO16" s="563"/>
      <c r="AP16" s="563"/>
      <c r="AQ16" s="563"/>
      <c r="AR16" s="563"/>
      <c r="AS16" s="563"/>
      <c r="AT16" s="563"/>
      <c r="AU16" s="563"/>
      <c r="AV16" s="563"/>
      <c r="AW16" s="563"/>
      <c r="AX16" s="563"/>
      <c r="AY16" s="563"/>
      <c r="AZ16" s="563"/>
      <c r="BA16" s="563"/>
      <c r="BB16" s="563"/>
      <c r="BC16" s="563"/>
      <c r="BD16" s="563"/>
      <c r="BE16" s="563"/>
      <c r="BF16" s="563"/>
      <c r="BG16" s="563"/>
      <c r="BH16" s="563"/>
      <c r="BI16" s="563"/>
      <c r="BJ16" s="563"/>
      <c r="BK16" s="563">
        <v>3</v>
      </c>
      <c r="BL16" s="563"/>
      <c r="BM16" s="563"/>
      <c r="BN16" s="563"/>
      <c r="BO16" s="563"/>
      <c r="BP16" s="563"/>
      <c r="BQ16" s="563"/>
      <c r="BR16" s="563"/>
      <c r="BS16" s="563"/>
      <c r="BT16" s="563"/>
      <c r="BU16" s="563"/>
      <c r="BV16" s="162"/>
      <c r="BW16" s="190"/>
    </row>
    <row r="17" s="140" customFormat="1" customHeight="1" spans="1:75">
      <c r="A17" s="161">
        <v>13</v>
      </c>
      <c r="B17" s="394" t="s">
        <v>150</v>
      </c>
      <c r="C17" s="555"/>
      <c r="D17" s="561" t="s">
        <v>137</v>
      </c>
      <c r="E17" s="562">
        <v>0.3779</v>
      </c>
      <c r="F17" s="556">
        <v>59</v>
      </c>
      <c r="G17" s="557">
        <f t="shared" si="0"/>
        <v>22.2961</v>
      </c>
      <c r="H17" s="558">
        <f t="shared" si="1"/>
        <v>0</v>
      </c>
      <c r="I17" s="559">
        <f t="shared" si="2"/>
        <v>0</v>
      </c>
      <c r="J17" s="558">
        <f t="shared" si="3"/>
        <v>14</v>
      </c>
      <c r="K17" s="559">
        <f t="shared" si="4"/>
        <v>5.2906</v>
      </c>
      <c r="L17" s="558">
        <f t="shared" si="5"/>
        <v>45</v>
      </c>
      <c r="M17" s="559">
        <f t="shared" si="6"/>
        <v>17.0055</v>
      </c>
      <c r="N17" s="562"/>
      <c r="O17" s="562"/>
      <c r="P17" s="563"/>
      <c r="Q17" s="563"/>
      <c r="R17" s="563"/>
      <c r="S17" s="563"/>
      <c r="T17" s="563"/>
      <c r="U17" s="563"/>
      <c r="V17" s="563"/>
      <c r="W17" s="563"/>
      <c r="X17" s="563"/>
      <c r="Y17" s="563"/>
      <c r="Z17" s="563"/>
      <c r="AA17" s="563"/>
      <c r="AB17" s="563"/>
      <c r="AC17" s="563"/>
      <c r="AD17" s="563"/>
      <c r="AE17" s="563"/>
      <c r="AF17" s="563"/>
      <c r="AG17" s="563"/>
      <c r="AH17" s="563"/>
      <c r="AI17" s="563"/>
      <c r="AJ17" s="563"/>
      <c r="AK17" s="563"/>
      <c r="AL17" s="563"/>
      <c r="AM17" s="563"/>
      <c r="AN17" s="563"/>
      <c r="AO17" s="563"/>
      <c r="AP17" s="563"/>
      <c r="AQ17" s="563"/>
      <c r="AR17" s="563"/>
      <c r="AS17" s="563">
        <v>5</v>
      </c>
      <c r="AT17" s="563"/>
      <c r="AU17" s="563"/>
      <c r="AV17" s="563"/>
      <c r="AW17" s="563"/>
      <c r="AX17" s="563"/>
      <c r="AY17" s="563"/>
      <c r="AZ17" s="563"/>
      <c r="BA17" s="563"/>
      <c r="BB17" s="563"/>
      <c r="BC17" s="563"/>
      <c r="BD17" s="563"/>
      <c r="BE17" s="563"/>
      <c r="BF17" s="563"/>
      <c r="BG17" s="563"/>
      <c r="BH17" s="563"/>
      <c r="BI17" s="563"/>
      <c r="BJ17" s="563"/>
      <c r="BK17" s="563"/>
      <c r="BL17" s="563"/>
      <c r="BM17" s="563"/>
      <c r="BN17" s="563"/>
      <c r="BO17" s="563"/>
      <c r="BP17" s="563"/>
      <c r="BQ17" s="563"/>
      <c r="BR17" s="563"/>
      <c r="BS17" s="563">
        <v>1</v>
      </c>
      <c r="BT17" s="563"/>
      <c r="BU17" s="563">
        <v>6</v>
      </c>
      <c r="BV17" s="162"/>
      <c r="BW17" s="566">
        <v>2</v>
      </c>
    </row>
    <row r="18" s="140" customFormat="1" customHeight="1" spans="1:75">
      <c r="A18" s="161">
        <v>14</v>
      </c>
      <c r="B18" s="565" t="s">
        <v>151</v>
      </c>
      <c r="C18" s="555"/>
      <c r="D18" s="561" t="s">
        <v>137</v>
      </c>
      <c r="E18" s="562">
        <v>29.6</v>
      </c>
      <c r="F18" s="556">
        <v>0</v>
      </c>
      <c r="G18" s="557">
        <f t="shared" si="0"/>
        <v>0</v>
      </c>
      <c r="H18" s="558">
        <f t="shared" si="1"/>
        <v>1</v>
      </c>
      <c r="I18" s="559">
        <f t="shared" si="2"/>
        <v>29.6</v>
      </c>
      <c r="J18" s="558">
        <f t="shared" si="3"/>
        <v>1</v>
      </c>
      <c r="K18" s="559">
        <f t="shared" si="4"/>
        <v>29.6</v>
      </c>
      <c r="L18" s="558">
        <f t="shared" si="5"/>
        <v>0</v>
      </c>
      <c r="M18" s="559">
        <f t="shared" si="6"/>
        <v>0</v>
      </c>
      <c r="N18" s="562"/>
      <c r="O18" s="562"/>
      <c r="P18" s="563"/>
      <c r="Q18" s="563"/>
      <c r="R18" s="563"/>
      <c r="S18" s="563"/>
      <c r="T18" s="563"/>
      <c r="U18" s="563"/>
      <c r="V18" s="563">
        <v>1</v>
      </c>
      <c r="W18" s="563"/>
      <c r="X18" s="563"/>
      <c r="Y18" s="563"/>
      <c r="Z18" s="563"/>
      <c r="AA18" s="563"/>
      <c r="AB18" s="563"/>
      <c r="AC18" s="563"/>
      <c r="AD18" s="563"/>
      <c r="AE18" s="563"/>
      <c r="AF18" s="563"/>
      <c r="AG18" s="563"/>
      <c r="AH18" s="563"/>
      <c r="AI18" s="563"/>
      <c r="AJ18" s="563"/>
      <c r="AK18" s="563"/>
      <c r="AL18" s="563"/>
      <c r="AM18" s="563"/>
      <c r="AN18" s="563"/>
      <c r="AO18" s="563"/>
      <c r="AP18" s="563"/>
      <c r="AQ18" s="563"/>
      <c r="AR18" s="563"/>
      <c r="AS18" s="563"/>
      <c r="AT18" s="563"/>
      <c r="AU18" s="563"/>
      <c r="AV18" s="563"/>
      <c r="AW18" s="563"/>
      <c r="AX18" s="563"/>
      <c r="AY18" s="563"/>
      <c r="AZ18" s="563"/>
      <c r="BA18" s="563"/>
      <c r="BB18" s="563"/>
      <c r="BC18" s="563"/>
      <c r="BD18" s="563"/>
      <c r="BE18" s="563"/>
      <c r="BF18" s="563"/>
      <c r="BG18" s="563"/>
      <c r="BH18" s="563"/>
      <c r="BI18" s="563">
        <v>1</v>
      </c>
      <c r="BJ18" s="563"/>
      <c r="BK18" s="563"/>
      <c r="BL18" s="563"/>
      <c r="BM18" s="563"/>
      <c r="BN18" s="563"/>
      <c r="BO18" s="563"/>
      <c r="BP18" s="563"/>
      <c r="BQ18" s="563"/>
      <c r="BR18" s="563"/>
      <c r="BS18" s="563"/>
      <c r="BT18" s="563"/>
      <c r="BU18" s="563"/>
      <c r="BV18" s="162"/>
      <c r="BW18" s="190"/>
    </row>
    <row r="19" s="140" customFormat="1" customHeight="1" spans="1:75">
      <c r="A19" s="161">
        <v>15</v>
      </c>
      <c r="B19" s="394" t="s">
        <v>152</v>
      </c>
      <c r="C19" s="555"/>
      <c r="D19" s="561" t="s">
        <v>137</v>
      </c>
      <c r="E19" s="562">
        <v>9.5</v>
      </c>
      <c r="F19" s="556">
        <v>2</v>
      </c>
      <c r="G19" s="557">
        <f t="shared" si="0"/>
        <v>19</v>
      </c>
      <c r="H19" s="558">
        <f t="shared" si="1"/>
        <v>0</v>
      </c>
      <c r="I19" s="559">
        <f t="shared" si="2"/>
        <v>0</v>
      </c>
      <c r="J19" s="558">
        <f t="shared" si="3"/>
        <v>0</v>
      </c>
      <c r="K19" s="559">
        <f t="shared" si="4"/>
        <v>0</v>
      </c>
      <c r="L19" s="558">
        <f t="shared" si="5"/>
        <v>2</v>
      </c>
      <c r="M19" s="559">
        <f t="shared" si="6"/>
        <v>19</v>
      </c>
      <c r="N19" s="562"/>
      <c r="O19" s="562"/>
      <c r="P19" s="563"/>
      <c r="Q19" s="563"/>
      <c r="R19" s="563"/>
      <c r="S19" s="563"/>
      <c r="T19" s="563"/>
      <c r="U19" s="563"/>
      <c r="V19" s="563"/>
      <c r="W19" s="563"/>
      <c r="X19" s="563"/>
      <c r="Y19" s="563"/>
      <c r="Z19" s="563"/>
      <c r="AA19" s="563"/>
      <c r="AB19" s="563"/>
      <c r="AC19" s="563"/>
      <c r="AD19" s="563"/>
      <c r="AE19" s="563"/>
      <c r="AF19" s="563"/>
      <c r="AG19" s="563"/>
      <c r="AH19" s="563"/>
      <c r="AI19" s="563"/>
      <c r="AJ19" s="563"/>
      <c r="AK19" s="563"/>
      <c r="AL19" s="563"/>
      <c r="AM19" s="563"/>
      <c r="AN19" s="563"/>
      <c r="AO19" s="563"/>
      <c r="AP19" s="563"/>
      <c r="AQ19" s="563"/>
      <c r="AR19" s="563"/>
      <c r="AS19" s="563"/>
      <c r="AT19" s="563"/>
      <c r="AU19" s="563"/>
      <c r="AV19" s="563"/>
      <c r="AW19" s="563"/>
      <c r="AX19" s="563"/>
      <c r="AY19" s="563"/>
      <c r="AZ19" s="563"/>
      <c r="BA19" s="563"/>
      <c r="BB19" s="563"/>
      <c r="BC19" s="563"/>
      <c r="BD19" s="563"/>
      <c r="BE19" s="563"/>
      <c r="BF19" s="563"/>
      <c r="BG19" s="563"/>
      <c r="BH19" s="563"/>
      <c r="BI19" s="563"/>
      <c r="BJ19" s="563"/>
      <c r="BK19" s="563"/>
      <c r="BL19" s="563"/>
      <c r="BM19" s="563"/>
      <c r="BN19" s="563"/>
      <c r="BO19" s="563"/>
      <c r="BP19" s="563"/>
      <c r="BQ19" s="563"/>
      <c r="BR19" s="563"/>
      <c r="BS19" s="563"/>
      <c r="BT19" s="563"/>
      <c r="BU19" s="563"/>
      <c r="BV19" s="162"/>
      <c r="BW19" s="190"/>
    </row>
    <row r="20" s="143" customFormat="1" customHeight="1" spans="1:75">
      <c r="A20" s="161">
        <v>70</v>
      </c>
      <c r="B20" s="394" t="s">
        <v>153</v>
      </c>
      <c r="C20" s="567"/>
      <c r="D20" s="561" t="s">
        <v>137</v>
      </c>
      <c r="E20" s="562">
        <v>0.28</v>
      </c>
      <c r="F20" s="556">
        <v>110</v>
      </c>
      <c r="G20" s="557">
        <f t="shared" si="0"/>
        <v>30.8</v>
      </c>
      <c r="H20" s="558">
        <f t="shared" si="1"/>
        <v>0</v>
      </c>
      <c r="I20" s="559">
        <f t="shared" si="2"/>
        <v>0</v>
      </c>
      <c r="J20" s="558">
        <f t="shared" si="3"/>
        <v>60</v>
      </c>
      <c r="K20" s="559">
        <f t="shared" si="4"/>
        <v>16.8</v>
      </c>
      <c r="L20" s="558">
        <f t="shared" si="5"/>
        <v>50</v>
      </c>
      <c r="M20" s="559">
        <f t="shared" si="6"/>
        <v>14</v>
      </c>
      <c r="N20" s="562"/>
      <c r="O20" s="562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63"/>
      <c r="AB20" s="563"/>
      <c r="AC20" s="563"/>
      <c r="AD20" s="563"/>
      <c r="AE20" s="563"/>
      <c r="AF20" s="563"/>
      <c r="AG20" s="563"/>
      <c r="AH20" s="563"/>
      <c r="AI20" s="563"/>
      <c r="AJ20" s="563"/>
      <c r="AK20" s="563"/>
      <c r="AL20" s="563"/>
      <c r="AM20" s="563"/>
      <c r="AN20" s="563"/>
      <c r="AO20" s="563"/>
      <c r="AP20" s="563"/>
      <c r="AQ20" s="563">
        <v>10</v>
      </c>
      <c r="AR20" s="563"/>
      <c r="AS20" s="563"/>
      <c r="AT20" s="563"/>
      <c r="AU20" s="563">
        <v>10</v>
      </c>
      <c r="AV20" s="563"/>
      <c r="AW20" s="563"/>
      <c r="AX20" s="563"/>
      <c r="AY20" s="563">
        <v>10</v>
      </c>
      <c r="AZ20" s="563"/>
      <c r="BA20" s="563"/>
      <c r="BB20" s="563"/>
      <c r="BC20" s="563">
        <v>10</v>
      </c>
      <c r="BD20" s="563"/>
      <c r="BE20" s="563"/>
      <c r="BF20" s="563"/>
      <c r="BG20" s="563"/>
      <c r="BH20" s="563"/>
      <c r="BI20" s="563"/>
      <c r="BJ20" s="563"/>
      <c r="BK20" s="563">
        <v>20</v>
      </c>
      <c r="BL20" s="563"/>
      <c r="BM20" s="563"/>
      <c r="BN20" s="563"/>
      <c r="BO20" s="563"/>
      <c r="BP20" s="563"/>
      <c r="BQ20" s="563"/>
      <c r="BR20" s="563"/>
      <c r="BS20" s="563"/>
      <c r="BT20" s="563"/>
      <c r="BU20" s="563"/>
      <c r="BV20" s="162"/>
      <c r="BW20" s="190"/>
    </row>
    <row r="21" s="140" customFormat="1" customHeight="1" spans="1:75">
      <c r="A21" s="161">
        <v>16</v>
      </c>
      <c r="B21" s="565" t="s">
        <v>154</v>
      </c>
      <c r="C21" s="555"/>
      <c r="D21" s="561" t="s">
        <v>137</v>
      </c>
      <c r="E21" s="562">
        <v>19.9</v>
      </c>
      <c r="F21" s="556">
        <v>1</v>
      </c>
      <c r="G21" s="557">
        <f t="shared" si="0"/>
        <v>19.9</v>
      </c>
      <c r="H21" s="558">
        <f t="shared" si="1"/>
        <v>0</v>
      </c>
      <c r="I21" s="559">
        <f t="shared" si="2"/>
        <v>0</v>
      </c>
      <c r="J21" s="558">
        <f t="shared" si="3"/>
        <v>1</v>
      </c>
      <c r="K21" s="559">
        <f t="shared" si="4"/>
        <v>19.9</v>
      </c>
      <c r="L21" s="558">
        <f t="shared" si="5"/>
        <v>0</v>
      </c>
      <c r="M21" s="559">
        <f t="shared" si="6"/>
        <v>0</v>
      </c>
      <c r="N21" s="562"/>
      <c r="O21" s="562">
        <v>1</v>
      </c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63"/>
      <c r="AB21" s="563"/>
      <c r="AC21" s="563"/>
      <c r="AD21" s="563"/>
      <c r="AE21" s="563"/>
      <c r="AF21" s="563"/>
      <c r="AG21" s="563"/>
      <c r="AH21" s="563"/>
      <c r="AI21" s="563"/>
      <c r="AJ21" s="563"/>
      <c r="AK21" s="563"/>
      <c r="AL21" s="563"/>
      <c r="AM21" s="563"/>
      <c r="AN21" s="563"/>
      <c r="AO21" s="563"/>
      <c r="AP21" s="563"/>
      <c r="AQ21" s="563"/>
      <c r="AR21" s="563"/>
      <c r="AS21" s="563"/>
      <c r="AT21" s="563"/>
      <c r="AU21" s="563"/>
      <c r="AV21" s="563"/>
      <c r="AW21" s="563"/>
      <c r="AX21" s="563"/>
      <c r="AY21" s="563"/>
      <c r="AZ21" s="563"/>
      <c r="BA21" s="563"/>
      <c r="BB21" s="563"/>
      <c r="BC21" s="563"/>
      <c r="BD21" s="563"/>
      <c r="BE21" s="563"/>
      <c r="BF21" s="563"/>
      <c r="BG21" s="563"/>
      <c r="BH21" s="563"/>
      <c r="BI21" s="563"/>
      <c r="BJ21" s="563"/>
      <c r="BK21" s="563"/>
      <c r="BL21" s="563"/>
      <c r="BM21" s="563"/>
      <c r="BN21" s="563"/>
      <c r="BO21" s="563"/>
      <c r="BP21" s="563"/>
      <c r="BQ21" s="563"/>
      <c r="BR21" s="563"/>
      <c r="BS21" s="563"/>
      <c r="BT21" s="563"/>
      <c r="BU21" s="563"/>
      <c r="BV21" s="162"/>
      <c r="BW21" s="190"/>
    </row>
    <row r="22" s="140" customFormat="1" customHeight="1" spans="1:75">
      <c r="A22" s="161">
        <v>18</v>
      </c>
      <c r="B22" s="394" t="s">
        <v>155</v>
      </c>
      <c r="C22" s="555"/>
      <c r="D22" s="561" t="s">
        <v>137</v>
      </c>
      <c r="E22" s="562">
        <v>1.060555556</v>
      </c>
      <c r="F22" s="556">
        <v>26</v>
      </c>
      <c r="G22" s="557">
        <f t="shared" si="0"/>
        <v>27.574444456</v>
      </c>
      <c r="H22" s="558">
        <f t="shared" si="1"/>
        <v>0</v>
      </c>
      <c r="I22" s="559">
        <f t="shared" si="2"/>
        <v>0</v>
      </c>
      <c r="J22" s="558">
        <f t="shared" si="3"/>
        <v>11</v>
      </c>
      <c r="K22" s="559">
        <f t="shared" si="4"/>
        <v>11.666111116</v>
      </c>
      <c r="L22" s="558">
        <f t="shared" si="5"/>
        <v>15</v>
      </c>
      <c r="M22" s="559">
        <f t="shared" si="6"/>
        <v>15.90833334</v>
      </c>
      <c r="N22" s="562"/>
      <c r="O22" s="562"/>
      <c r="P22" s="563"/>
      <c r="Q22" s="563"/>
      <c r="R22" s="563"/>
      <c r="S22" s="563"/>
      <c r="T22" s="563"/>
      <c r="U22" s="563"/>
      <c r="V22" s="563"/>
      <c r="W22" s="563"/>
      <c r="X22" s="563"/>
      <c r="Y22" s="563"/>
      <c r="Z22" s="563"/>
      <c r="AA22" s="563"/>
      <c r="AB22" s="563"/>
      <c r="AC22" s="563"/>
      <c r="AD22" s="563"/>
      <c r="AE22" s="563"/>
      <c r="AF22" s="563"/>
      <c r="AG22" s="563"/>
      <c r="AH22" s="563"/>
      <c r="AI22" s="563"/>
      <c r="AJ22" s="563"/>
      <c r="AK22" s="563"/>
      <c r="AL22" s="563"/>
      <c r="AM22" s="563"/>
      <c r="AN22" s="563"/>
      <c r="AO22" s="563"/>
      <c r="AP22" s="563"/>
      <c r="AQ22" s="563"/>
      <c r="AR22" s="563"/>
      <c r="AS22" s="563"/>
      <c r="AT22" s="563"/>
      <c r="AU22" s="563"/>
      <c r="AV22" s="563"/>
      <c r="AW22" s="563"/>
      <c r="AX22" s="563"/>
      <c r="AY22" s="563"/>
      <c r="AZ22" s="563"/>
      <c r="BA22" s="563">
        <v>3</v>
      </c>
      <c r="BB22" s="563"/>
      <c r="BC22" s="563">
        <v>3</v>
      </c>
      <c r="BD22" s="563"/>
      <c r="BE22" s="563"/>
      <c r="BF22" s="563"/>
      <c r="BG22" s="563"/>
      <c r="BH22" s="563"/>
      <c r="BI22" s="563">
        <v>2</v>
      </c>
      <c r="BJ22" s="563"/>
      <c r="BK22" s="563">
        <v>1</v>
      </c>
      <c r="BL22" s="563"/>
      <c r="BM22" s="563">
        <v>2</v>
      </c>
      <c r="BN22" s="563"/>
      <c r="BO22" s="563"/>
      <c r="BP22" s="563"/>
      <c r="BQ22" s="563"/>
      <c r="BR22" s="563"/>
      <c r="BS22" s="563"/>
      <c r="BT22" s="563"/>
      <c r="BU22" s="563"/>
      <c r="BV22" s="162"/>
      <c r="BW22" s="190"/>
    </row>
    <row r="23" s="140" customFormat="1" customHeight="1" spans="1:75">
      <c r="A23" s="161">
        <v>19</v>
      </c>
      <c r="B23" s="394" t="s">
        <v>156</v>
      </c>
      <c r="C23" s="555"/>
      <c r="D23" s="561" t="s">
        <v>137</v>
      </c>
      <c r="E23" s="562">
        <v>0.0653</v>
      </c>
      <c r="F23" s="556">
        <v>50</v>
      </c>
      <c r="G23" s="557">
        <f t="shared" si="0"/>
        <v>3.265</v>
      </c>
      <c r="H23" s="558">
        <f t="shared" si="1"/>
        <v>0</v>
      </c>
      <c r="I23" s="559">
        <f t="shared" si="2"/>
        <v>0</v>
      </c>
      <c r="J23" s="558">
        <f t="shared" si="3"/>
        <v>22</v>
      </c>
      <c r="K23" s="559">
        <f t="shared" si="4"/>
        <v>1.4366</v>
      </c>
      <c r="L23" s="558">
        <f t="shared" si="5"/>
        <v>28</v>
      </c>
      <c r="M23" s="559">
        <f t="shared" si="6"/>
        <v>1.8284</v>
      </c>
      <c r="N23" s="562"/>
      <c r="O23" s="562">
        <v>2</v>
      </c>
      <c r="P23" s="563"/>
      <c r="Q23" s="563"/>
      <c r="R23" s="563"/>
      <c r="S23" s="563"/>
      <c r="T23" s="563"/>
      <c r="U23" s="563"/>
      <c r="V23" s="563"/>
      <c r="W23" s="563"/>
      <c r="X23" s="563"/>
      <c r="Y23" s="563"/>
      <c r="Z23" s="563"/>
      <c r="AA23" s="563"/>
      <c r="AB23" s="563"/>
      <c r="AC23" s="563"/>
      <c r="AD23" s="563"/>
      <c r="AE23" s="563"/>
      <c r="AF23" s="563"/>
      <c r="AG23" s="563"/>
      <c r="AH23" s="563"/>
      <c r="AI23" s="563"/>
      <c r="AJ23" s="563"/>
      <c r="AK23" s="563"/>
      <c r="AL23" s="563"/>
      <c r="AM23" s="563"/>
      <c r="AN23" s="563"/>
      <c r="AO23" s="563"/>
      <c r="AP23" s="563"/>
      <c r="AQ23" s="563"/>
      <c r="AR23" s="563"/>
      <c r="AS23" s="563"/>
      <c r="AT23" s="563"/>
      <c r="AU23" s="563">
        <v>5</v>
      </c>
      <c r="AV23" s="563"/>
      <c r="AW23" s="563">
        <v>3</v>
      </c>
      <c r="AX23" s="563"/>
      <c r="AY23" s="563">
        <v>10</v>
      </c>
      <c r="AZ23" s="563"/>
      <c r="BA23" s="563"/>
      <c r="BB23" s="563"/>
      <c r="BC23" s="563"/>
      <c r="BD23" s="563"/>
      <c r="BE23" s="563"/>
      <c r="BF23" s="563"/>
      <c r="BG23" s="563"/>
      <c r="BH23" s="563"/>
      <c r="BI23" s="563"/>
      <c r="BJ23" s="563"/>
      <c r="BK23" s="563">
        <v>2</v>
      </c>
      <c r="BL23" s="563"/>
      <c r="BM23" s="563"/>
      <c r="BN23" s="563"/>
      <c r="BO23" s="563"/>
      <c r="BP23" s="563"/>
      <c r="BQ23" s="563"/>
      <c r="BR23" s="563"/>
      <c r="BS23" s="563"/>
      <c r="BT23" s="563"/>
      <c r="BU23" s="563"/>
      <c r="BV23" s="162"/>
      <c r="BW23" s="190"/>
    </row>
    <row r="24" s="140" customFormat="1" customHeight="1" spans="1:75">
      <c r="A24" s="161">
        <v>20</v>
      </c>
      <c r="B24" s="394" t="s">
        <v>157</v>
      </c>
      <c r="C24" s="555"/>
      <c r="D24" s="561" t="s">
        <v>137</v>
      </c>
      <c r="E24" s="562">
        <v>3.31</v>
      </c>
      <c r="F24" s="556">
        <v>1</v>
      </c>
      <c r="G24" s="557">
        <f t="shared" si="0"/>
        <v>3.31</v>
      </c>
      <c r="H24" s="558">
        <f t="shared" si="1"/>
        <v>0</v>
      </c>
      <c r="I24" s="559">
        <f t="shared" si="2"/>
        <v>0</v>
      </c>
      <c r="J24" s="558">
        <f t="shared" si="3"/>
        <v>0</v>
      </c>
      <c r="K24" s="559">
        <f t="shared" si="4"/>
        <v>0</v>
      </c>
      <c r="L24" s="558">
        <f t="shared" si="5"/>
        <v>1</v>
      </c>
      <c r="M24" s="559">
        <f t="shared" si="6"/>
        <v>3.31</v>
      </c>
      <c r="N24" s="562"/>
      <c r="O24" s="562"/>
      <c r="P24" s="563"/>
      <c r="Q24" s="563"/>
      <c r="R24" s="563"/>
      <c r="S24" s="563"/>
      <c r="T24" s="563"/>
      <c r="U24" s="563"/>
      <c r="V24" s="563"/>
      <c r="W24" s="563"/>
      <c r="X24" s="563"/>
      <c r="Y24" s="563"/>
      <c r="Z24" s="563"/>
      <c r="AA24" s="563"/>
      <c r="AB24" s="563"/>
      <c r="AC24" s="563"/>
      <c r="AD24" s="563"/>
      <c r="AE24" s="563"/>
      <c r="AF24" s="563"/>
      <c r="AG24" s="563"/>
      <c r="AH24" s="563"/>
      <c r="AI24" s="563"/>
      <c r="AJ24" s="563"/>
      <c r="AK24" s="563"/>
      <c r="AL24" s="563"/>
      <c r="AM24" s="563"/>
      <c r="AN24" s="563"/>
      <c r="AO24" s="563"/>
      <c r="AP24" s="563"/>
      <c r="AQ24" s="563"/>
      <c r="AR24" s="563"/>
      <c r="AS24" s="563"/>
      <c r="AT24" s="563"/>
      <c r="AU24" s="563"/>
      <c r="AV24" s="563"/>
      <c r="AW24" s="563"/>
      <c r="AX24" s="563"/>
      <c r="AY24" s="563"/>
      <c r="AZ24" s="563"/>
      <c r="BA24" s="563"/>
      <c r="BB24" s="563"/>
      <c r="BC24" s="563"/>
      <c r="BD24" s="563"/>
      <c r="BE24" s="563"/>
      <c r="BF24" s="563"/>
      <c r="BG24" s="563"/>
      <c r="BH24" s="563"/>
      <c r="BI24" s="563"/>
      <c r="BJ24" s="563"/>
      <c r="BK24" s="563"/>
      <c r="BL24" s="563"/>
      <c r="BM24" s="563"/>
      <c r="BN24" s="563"/>
      <c r="BO24" s="563"/>
      <c r="BP24" s="563"/>
      <c r="BQ24" s="563"/>
      <c r="BR24" s="563"/>
      <c r="BS24" s="563"/>
      <c r="BT24" s="563"/>
      <c r="BU24" s="563"/>
      <c r="BV24" s="162"/>
      <c r="BW24" s="190"/>
    </row>
    <row r="25" s="140" customFormat="1" customHeight="1" spans="1:75">
      <c r="A25" s="161">
        <v>1</v>
      </c>
      <c r="B25" s="394" t="s">
        <v>158</v>
      </c>
      <c r="C25" s="555"/>
      <c r="D25" s="561" t="s">
        <v>137</v>
      </c>
      <c r="E25" s="562">
        <v>3.31</v>
      </c>
      <c r="F25" s="556">
        <v>8</v>
      </c>
      <c r="G25" s="557">
        <f t="shared" si="0"/>
        <v>26.48</v>
      </c>
      <c r="H25" s="558">
        <f t="shared" si="1"/>
        <v>0</v>
      </c>
      <c r="I25" s="559">
        <f t="shared" si="2"/>
        <v>0</v>
      </c>
      <c r="J25" s="558">
        <f t="shared" si="3"/>
        <v>0</v>
      </c>
      <c r="K25" s="559">
        <f t="shared" si="4"/>
        <v>0</v>
      </c>
      <c r="L25" s="558">
        <f t="shared" si="5"/>
        <v>8</v>
      </c>
      <c r="M25" s="559">
        <f t="shared" si="6"/>
        <v>26.48</v>
      </c>
      <c r="N25" s="562"/>
      <c r="O25" s="562"/>
      <c r="P25" s="563"/>
      <c r="Q25" s="563"/>
      <c r="R25" s="563"/>
      <c r="S25" s="563"/>
      <c r="T25" s="563"/>
      <c r="U25" s="563"/>
      <c r="V25" s="563"/>
      <c r="W25" s="563"/>
      <c r="X25" s="563"/>
      <c r="Y25" s="563"/>
      <c r="Z25" s="563"/>
      <c r="AA25" s="563"/>
      <c r="AB25" s="563"/>
      <c r="AC25" s="563"/>
      <c r="AD25" s="563"/>
      <c r="AE25" s="563"/>
      <c r="AF25" s="563"/>
      <c r="AG25" s="563"/>
      <c r="AH25" s="563"/>
      <c r="AI25" s="563"/>
      <c r="AJ25" s="563"/>
      <c r="AK25" s="563"/>
      <c r="AL25" s="563"/>
      <c r="AM25" s="563"/>
      <c r="AN25" s="563"/>
      <c r="AO25" s="563"/>
      <c r="AP25" s="563"/>
      <c r="AQ25" s="563"/>
      <c r="AR25" s="563"/>
      <c r="AS25" s="563"/>
      <c r="AT25" s="563"/>
      <c r="AU25" s="563"/>
      <c r="AV25" s="563"/>
      <c r="AW25" s="563"/>
      <c r="AX25" s="563"/>
      <c r="AY25" s="563"/>
      <c r="AZ25" s="563"/>
      <c r="BA25" s="563"/>
      <c r="BB25" s="563"/>
      <c r="BC25" s="563"/>
      <c r="BD25" s="563"/>
      <c r="BE25" s="563"/>
      <c r="BF25" s="563"/>
      <c r="BG25" s="563"/>
      <c r="BH25" s="563"/>
      <c r="BI25" s="563"/>
      <c r="BJ25" s="563"/>
      <c r="BK25" s="563"/>
      <c r="BL25" s="563"/>
      <c r="BM25" s="563"/>
      <c r="BN25" s="563"/>
      <c r="BO25" s="563"/>
      <c r="BP25" s="563"/>
      <c r="BQ25" s="563"/>
      <c r="BR25" s="563"/>
      <c r="BS25" s="563"/>
      <c r="BT25" s="563"/>
      <c r="BU25" s="563"/>
      <c r="BV25" s="162"/>
      <c r="BW25" s="190"/>
    </row>
    <row r="26" s="140" customFormat="1" customHeight="1" spans="1:75">
      <c r="A26" s="568">
        <v>24</v>
      </c>
      <c r="B26" s="394" t="s">
        <v>159</v>
      </c>
      <c r="C26" s="569"/>
      <c r="D26" s="561" t="s">
        <v>137</v>
      </c>
      <c r="E26" s="562">
        <v>1.991666667</v>
      </c>
      <c r="F26" s="556">
        <v>4</v>
      </c>
      <c r="G26" s="557">
        <f t="shared" si="0"/>
        <v>7.966666668</v>
      </c>
      <c r="H26" s="558">
        <f t="shared" si="1"/>
        <v>0</v>
      </c>
      <c r="I26" s="559">
        <f t="shared" si="2"/>
        <v>0</v>
      </c>
      <c r="J26" s="558">
        <f t="shared" si="3"/>
        <v>1</v>
      </c>
      <c r="K26" s="559">
        <f t="shared" si="4"/>
        <v>1.991666667</v>
      </c>
      <c r="L26" s="558">
        <f t="shared" si="5"/>
        <v>3</v>
      </c>
      <c r="M26" s="559">
        <f t="shared" si="6"/>
        <v>5.975000001</v>
      </c>
      <c r="N26" s="562"/>
      <c r="O26" s="562"/>
      <c r="P26" s="563"/>
      <c r="Q26" s="563">
        <v>1</v>
      </c>
      <c r="R26" s="563"/>
      <c r="S26" s="563"/>
      <c r="T26" s="563"/>
      <c r="U26" s="563"/>
      <c r="V26" s="563"/>
      <c r="W26" s="563"/>
      <c r="X26" s="563"/>
      <c r="Y26" s="563"/>
      <c r="Z26" s="563"/>
      <c r="AA26" s="563"/>
      <c r="AB26" s="563"/>
      <c r="AC26" s="563"/>
      <c r="AD26" s="563"/>
      <c r="AE26" s="563"/>
      <c r="AF26" s="563"/>
      <c r="AG26" s="563"/>
      <c r="AH26" s="563"/>
      <c r="AI26" s="563"/>
      <c r="AJ26" s="563"/>
      <c r="AK26" s="563"/>
      <c r="AL26" s="563"/>
      <c r="AM26" s="563"/>
      <c r="AN26" s="563"/>
      <c r="AO26" s="563"/>
      <c r="AP26" s="563"/>
      <c r="AQ26" s="563"/>
      <c r="AR26" s="563"/>
      <c r="AS26" s="563"/>
      <c r="AT26" s="563"/>
      <c r="AU26" s="563"/>
      <c r="AV26" s="563"/>
      <c r="AW26" s="563"/>
      <c r="AX26" s="563"/>
      <c r="AY26" s="563"/>
      <c r="AZ26" s="563"/>
      <c r="BA26" s="563"/>
      <c r="BB26" s="563"/>
      <c r="BC26" s="563"/>
      <c r="BD26" s="563"/>
      <c r="BE26" s="563"/>
      <c r="BF26" s="563"/>
      <c r="BG26" s="563"/>
      <c r="BH26" s="563"/>
      <c r="BI26" s="563"/>
      <c r="BJ26" s="563"/>
      <c r="BK26" s="563"/>
      <c r="BL26" s="563"/>
      <c r="BM26" s="563"/>
      <c r="BN26" s="563"/>
      <c r="BO26" s="563"/>
      <c r="BP26" s="563"/>
      <c r="BQ26" s="563"/>
      <c r="BR26" s="563"/>
      <c r="BS26" s="563"/>
      <c r="BT26" s="563"/>
      <c r="BU26" s="563"/>
      <c r="BV26" s="162"/>
      <c r="BW26" s="190"/>
    </row>
    <row r="27" s="140" customFormat="1" customHeight="1" spans="1:75">
      <c r="A27" s="568">
        <v>25</v>
      </c>
      <c r="B27" s="394" t="s">
        <v>160</v>
      </c>
      <c r="C27" s="569"/>
      <c r="D27" s="561" t="s">
        <v>137</v>
      </c>
      <c r="E27" s="562">
        <v>0.01681875</v>
      </c>
      <c r="F27" s="556">
        <v>642</v>
      </c>
      <c r="G27" s="557">
        <f t="shared" si="0"/>
        <v>10.7976375</v>
      </c>
      <c r="H27" s="558">
        <f t="shared" si="1"/>
        <v>0</v>
      </c>
      <c r="I27" s="559">
        <f t="shared" si="2"/>
        <v>0</v>
      </c>
      <c r="J27" s="558">
        <f t="shared" si="3"/>
        <v>211</v>
      </c>
      <c r="K27" s="559">
        <f t="shared" si="4"/>
        <v>3.54875625</v>
      </c>
      <c r="L27" s="558">
        <f t="shared" si="5"/>
        <v>431</v>
      </c>
      <c r="M27" s="559">
        <f t="shared" si="6"/>
        <v>7.24888125</v>
      </c>
      <c r="N27" s="562"/>
      <c r="O27" s="562"/>
      <c r="P27" s="563"/>
      <c r="Q27" s="563">
        <v>30</v>
      </c>
      <c r="R27" s="563"/>
      <c r="S27" s="563">
        <v>15</v>
      </c>
      <c r="T27" s="563"/>
      <c r="U27" s="563"/>
      <c r="V27" s="563"/>
      <c r="W27" s="563">
        <v>10</v>
      </c>
      <c r="X27" s="563"/>
      <c r="Y27" s="563"/>
      <c r="Z27" s="563"/>
      <c r="AA27" s="563">
        <v>15</v>
      </c>
      <c r="AB27" s="563"/>
      <c r="AC27" s="563"/>
      <c r="AD27" s="563"/>
      <c r="AE27" s="563"/>
      <c r="AF27" s="563"/>
      <c r="AG27" s="563"/>
      <c r="AH27" s="563"/>
      <c r="AI27" s="563"/>
      <c r="AJ27" s="563"/>
      <c r="AK27" s="563">
        <v>20</v>
      </c>
      <c r="AL27" s="563"/>
      <c r="AM27" s="563">
        <v>5</v>
      </c>
      <c r="AN27" s="563"/>
      <c r="AO27" s="563">
        <v>15</v>
      </c>
      <c r="AP27" s="563"/>
      <c r="AQ27" s="563"/>
      <c r="AR27" s="563"/>
      <c r="AS27" s="563">
        <v>20</v>
      </c>
      <c r="AT27" s="563"/>
      <c r="AU27" s="563"/>
      <c r="AV27" s="563"/>
      <c r="AW27" s="563">
        <v>5</v>
      </c>
      <c r="AX27" s="563"/>
      <c r="AY27" s="563">
        <v>5</v>
      </c>
      <c r="AZ27" s="563"/>
      <c r="BA27" s="563"/>
      <c r="BB27" s="563"/>
      <c r="BC27" s="563">
        <v>15</v>
      </c>
      <c r="BD27" s="563"/>
      <c r="BE27" s="563">
        <v>3</v>
      </c>
      <c r="BF27" s="563"/>
      <c r="BG27" s="563">
        <v>2</v>
      </c>
      <c r="BH27" s="563"/>
      <c r="BI27" s="563">
        <v>1</v>
      </c>
      <c r="BJ27" s="563"/>
      <c r="BK27" s="563">
        <v>10</v>
      </c>
      <c r="BL27" s="563"/>
      <c r="BM27" s="563">
        <v>10</v>
      </c>
      <c r="BN27" s="563"/>
      <c r="BO27" s="563"/>
      <c r="BP27" s="563"/>
      <c r="BQ27" s="563">
        <v>5</v>
      </c>
      <c r="BR27" s="563"/>
      <c r="BS27" s="563">
        <v>10</v>
      </c>
      <c r="BT27" s="563"/>
      <c r="BU27" s="563">
        <v>15</v>
      </c>
      <c r="BV27" s="162"/>
      <c r="BW27" s="190"/>
    </row>
    <row r="28" s="140" customFormat="1" customHeight="1" spans="1:75">
      <c r="A28" s="161">
        <v>26</v>
      </c>
      <c r="B28" s="394" t="s">
        <v>161</v>
      </c>
      <c r="C28" s="555"/>
      <c r="D28" s="561" t="s">
        <v>137</v>
      </c>
      <c r="E28" s="562">
        <v>0.695675676</v>
      </c>
      <c r="F28" s="556">
        <v>15</v>
      </c>
      <c r="G28" s="557">
        <f t="shared" si="0"/>
        <v>10.43513514</v>
      </c>
      <c r="H28" s="558">
        <f t="shared" si="1"/>
        <v>0</v>
      </c>
      <c r="I28" s="559">
        <f t="shared" si="2"/>
        <v>0</v>
      </c>
      <c r="J28" s="558">
        <f t="shared" si="3"/>
        <v>0</v>
      </c>
      <c r="K28" s="559">
        <f t="shared" si="4"/>
        <v>0</v>
      </c>
      <c r="L28" s="558">
        <f t="shared" si="5"/>
        <v>15</v>
      </c>
      <c r="M28" s="559">
        <f t="shared" si="6"/>
        <v>10.43513514</v>
      </c>
      <c r="N28" s="562"/>
      <c r="O28" s="562"/>
      <c r="P28" s="563"/>
      <c r="Q28" s="563"/>
      <c r="R28" s="563"/>
      <c r="S28" s="563"/>
      <c r="T28" s="563"/>
      <c r="U28" s="563"/>
      <c r="V28" s="563"/>
      <c r="W28" s="563"/>
      <c r="X28" s="563"/>
      <c r="Y28" s="563"/>
      <c r="Z28" s="563"/>
      <c r="AA28" s="563"/>
      <c r="AB28" s="563"/>
      <c r="AC28" s="563"/>
      <c r="AD28" s="563"/>
      <c r="AE28" s="563"/>
      <c r="AF28" s="563"/>
      <c r="AG28" s="563"/>
      <c r="AH28" s="563"/>
      <c r="AI28" s="563"/>
      <c r="AJ28" s="563"/>
      <c r="AK28" s="563"/>
      <c r="AL28" s="563"/>
      <c r="AM28" s="563"/>
      <c r="AN28" s="563"/>
      <c r="AO28" s="563"/>
      <c r="AP28" s="563"/>
      <c r="AQ28" s="563"/>
      <c r="AR28" s="563"/>
      <c r="AS28" s="563"/>
      <c r="AT28" s="563"/>
      <c r="AU28" s="563"/>
      <c r="AV28" s="563"/>
      <c r="AW28" s="563"/>
      <c r="AX28" s="563"/>
      <c r="AY28" s="563"/>
      <c r="AZ28" s="563"/>
      <c r="BA28" s="563"/>
      <c r="BB28" s="563"/>
      <c r="BC28" s="563"/>
      <c r="BD28" s="563"/>
      <c r="BE28" s="563"/>
      <c r="BF28" s="563"/>
      <c r="BG28" s="563"/>
      <c r="BH28" s="563"/>
      <c r="BI28" s="563"/>
      <c r="BJ28" s="563"/>
      <c r="BK28" s="563"/>
      <c r="BL28" s="563"/>
      <c r="BM28" s="563"/>
      <c r="BN28" s="563"/>
      <c r="BO28" s="563"/>
      <c r="BP28" s="563"/>
      <c r="BQ28" s="563"/>
      <c r="BR28" s="563"/>
      <c r="BS28" s="563"/>
      <c r="BT28" s="563"/>
      <c r="BU28" s="563"/>
      <c r="BV28" s="162"/>
      <c r="BW28" s="190"/>
    </row>
    <row r="29" s="140" customFormat="1" customHeight="1" spans="1:75">
      <c r="A29" s="161">
        <v>27</v>
      </c>
      <c r="B29" s="394" t="s">
        <v>162</v>
      </c>
      <c r="C29" s="555"/>
      <c r="D29" s="561" t="s">
        <v>137</v>
      </c>
      <c r="E29" s="562">
        <v>0.0109</v>
      </c>
      <c r="F29" s="556">
        <v>1483</v>
      </c>
      <c r="G29" s="557">
        <f t="shared" si="0"/>
        <v>16.1647</v>
      </c>
      <c r="H29" s="558">
        <f t="shared" si="1"/>
        <v>0</v>
      </c>
      <c r="I29" s="559">
        <f t="shared" si="2"/>
        <v>0</v>
      </c>
      <c r="J29" s="558">
        <f t="shared" si="3"/>
        <v>255</v>
      </c>
      <c r="K29" s="559">
        <f t="shared" si="4"/>
        <v>2.7795</v>
      </c>
      <c r="L29" s="558">
        <f t="shared" si="5"/>
        <v>1228</v>
      </c>
      <c r="M29" s="559">
        <f t="shared" si="6"/>
        <v>13.3852</v>
      </c>
      <c r="N29" s="562"/>
      <c r="O29" s="562">
        <v>50</v>
      </c>
      <c r="P29" s="563"/>
      <c r="Q29" s="563">
        <v>50</v>
      </c>
      <c r="R29" s="563"/>
      <c r="S29" s="563"/>
      <c r="T29" s="563"/>
      <c r="U29" s="563"/>
      <c r="V29" s="563"/>
      <c r="W29" s="563">
        <v>30</v>
      </c>
      <c r="X29" s="563"/>
      <c r="Y29" s="563"/>
      <c r="Z29" s="563"/>
      <c r="AA29" s="563"/>
      <c r="AB29" s="563"/>
      <c r="AC29" s="563"/>
      <c r="AD29" s="563"/>
      <c r="AE29" s="563"/>
      <c r="AF29" s="563"/>
      <c r="AG29" s="563"/>
      <c r="AH29" s="563"/>
      <c r="AI29" s="563"/>
      <c r="AJ29" s="563"/>
      <c r="AK29" s="563"/>
      <c r="AL29" s="563"/>
      <c r="AM29" s="563"/>
      <c r="AN29" s="563"/>
      <c r="AO29" s="563"/>
      <c r="AP29" s="563"/>
      <c r="AQ29" s="563"/>
      <c r="AR29" s="563"/>
      <c r="AS29" s="563"/>
      <c r="AT29" s="563"/>
      <c r="AU29" s="563"/>
      <c r="AV29" s="563"/>
      <c r="AW29" s="563"/>
      <c r="AX29" s="563"/>
      <c r="AY29" s="563">
        <v>30</v>
      </c>
      <c r="AZ29" s="563"/>
      <c r="BA29" s="563"/>
      <c r="BB29" s="563"/>
      <c r="BC29" s="563">
        <v>20</v>
      </c>
      <c r="BD29" s="563"/>
      <c r="BE29" s="563">
        <v>20</v>
      </c>
      <c r="BF29" s="563"/>
      <c r="BG29" s="563"/>
      <c r="BH29" s="563"/>
      <c r="BI29" s="563"/>
      <c r="BJ29" s="563"/>
      <c r="BK29" s="563"/>
      <c r="BL29" s="563"/>
      <c r="BM29" s="563">
        <v>30</v>
      </c>
      <c r="BN29" s="563"/>
      <c r="BO29" s="563"/>
      <c r="BP29" s="563"/>
      <c r="BQ29" s="563">
        <v>10</v>
      </c>
      <c r="BR29" s="563"/>
      <c r="BS29" s="563"/>
      <c r="BT29" s="563"/>
      <c r="BU29" s="563">
        <v>15</v>
      </c>
      <c r="BV29" s="162"/>
      <c r="BW29" s="190"/>
    </row>
    <row r="30" s="140" customFormat="1" customHeight="1" spans="1:75">
      <c r="A30" s="161">
        <v>29</v>
      </c>
      <c r="B30" s="394" t="s">
        <v>163</v>
      </c>
      <c r="C30" s="555"/>
      <c r="D30" s="561" t="s">
        <v>137</v>
      </c>
      <c r="E30" s="562">
        <v>1.5475</v>
      </c>
      <c r="F30" s="556">
        <v>0</v>
      </c>
      <c r="G30" s="557">
        <f t="shared" si="0"/>
        <v>0</v>
      </c>
      <c r="H30" s="558">
        <f t="shared" si="1"/>
        <v>0</v>
      </c>
      <c r="I30" s="559">
        <f t="shared" si="2"/>
        <v>0</v>
      </c>
      <c r="J30" s="558">
        <f t="shared" si="3"/>
        <v>0</v>
      </c>
      <c r="K30" s="559">
        <f t="shared" si="4"/>
        <v>0</v>
      </c>
      <c r="L30" s="558">
        <f t="shared" si="5"/>
        <v>0</v>
      </c>
      <c r="M30" s="559">
        <f t="shared" si="6"/>
        <v>0</v>
      </c>
      <c r="N30" s="562"/>
      <c r="O30" s="562"/>
      <c r="P30" s="563"/>
      <c r="Q30" s="563"/>
      <c r="R30" s="563"/>
      <c r="S30" s="563"/>
      <c r="T30" s="563"/>
      <c r="U30" s="563"/>
      <c r="V30" s="563"/>
      <c r="W30" s="563"/>
      <c r="X30" s="563"/>
      <c r="Y30" s="563"/>
      <c r="Z30" s="563"/>
      <c r="AA30" s="563"/>
      <c r="AB30" s="563"/>
      <c r="AC30" s="563"/>
      <c r="AD30" s="563"/>
      <c r="AE30" s="563"/>
      <c r="AF30" s="563"/>
      <c r="AG30" s="563"/>
      <c r="AH30" s="563"/>
      <c r="AI30" s="563"/>
      <c r="AJ30" s="563"/>
      <c r="AK30" s="563"/>
      <c r="AL30" s="563"/>
      <c r="AM30" s="563"/>
      <c r="AN30" s="563"/>
      <c r="AO30" s="563"/>
      <c r="AP30" s="563"/>
      <c r="AQ30" s="563"/>
      <c r="AR30" s="563"/>
      <c r="AS30" s="563"/>
      <c r="AT30" s="563"/>
      <c r="AU30" s="563"/>
      <c r="AV30" s="563"/>
      <c r="AW30" s="563"/>
      <c r="AX30" s="563"/>
      <c r="AY30" s="563"/>
      <c r="AZ30" s="563"/>
      <c r="BA30" s="563"/>
      <c r="BB30" s="563"/>
      <c r="BC30" s="563"/>
      <c r="BD30" s="563"/>
      <c r="BE30" s="563"/>
      <c r="BF30" s="563"/>
      <c r="BG30" s="563"/>
      <c r="BH30" s="563"/>
      <c r="BI30" s="563"/>
      <c r="BJ30" s="563"/>
      <c r="BK30" s="563"/>
      <c r="BL30" s="563"/>
      <c r="BM30" s="563"/>
      <c r="BN30" s="563"/>
      <c r="BO30" s="563"/>
      <c r="BP30" s="563"/>
      <c r="BQ30" s="563"/>
      <c r="BR30" s="563"/>
      <c r="BS30" s="563"/>
      <c r="BT30" s="563"/>
      <c r="BU30" s="563"/>
      <c r="BV30" s="162"/>
      <c r="BW30" s="190"/>
    </row>
    <row r="31" s="140" customFormat="1" customHeight="1" spans="1:75">
      <c r="A31" s="161">
        <v>30</v>
      </c>
      <c r="B31" s="394" t="s">
        <v>164</v>
      </c>
      <c r="C31" s="555"/>
      <c r="D31" s="561" t="s">
        <v>137</v>
      </c>
      <c r="E31" s="562">
        <v>0.6915</v>
      </c>
      <c r="F31" s="556">
        <v>7</v>
      </c>
      <c r="G31" s="557">
        <f t="shared" si="0"/>
        <v>4.8405</v>
      </c>
      <c r="H31" s="558">
        <f t="shared" si="1"/>
        <v>0</v>
      </c>
      <c r="I31" s="559">
        <f t="shared" si="2"/>
        <v>0</v>
      </c>
      <c r="J31" s="558">
        <f t="shared" si="3"/>
        <v>4</v>
      </c>
      <c r="K31" s="559">
        <f t="shared" si="4"/>
        <v>2.766</v>
      </c>
      <c r="L31" s="558">
        <f t="shared" si="5"/>
        <v>3</v>
      </c>
      <c r="M31" s="559">
        <f t="shared" si="6"/>
        <v>2.0745</v>
      </c>
      <c r="N31" s="562"/>
      <c r="O31" s="562"/>
      <c r="P31" s="563"/>
      <c r="Q31" s="563"/>
      <c r="R31" s="563"/>
      <c r="S31" s="563"/>
      <c r="T31" s="563"/>
      <c r="U31" s="563"/>
      <c r="V31" s="563"/>
      <c r="W31" s="563"/>
      <c r="X31" s="563"/>
      <c r="Y31" s="563"/>
      <c r="Z31" s="563"/>
      <c r="AA31" s="563"/>
      <c r="AB31" s="563"/>
      <c r="AC31" s="563"/>
      <c r="AD31" s="563"/>
      <c r="AE31" s="563"/>
      <c r="AF31" s="563"/>
      <c r="AG31" s="563"/>
      <c r="AH31" s="563"/>
      <c r="AI31" s="563"/>
      <c r="AJ31" s="563"/>
      <c r="AK31" s="563"/>
      <c r="AL31" s="563"/>
      <c r="AM31" s="563"/>
      <c r="AN31" s="563"/>
      <c r="AO31" s="563"/>
      <c r="AP31" s="563"/>
      <c r="AQ31" s="563"/>
      <c r="AR31" s="563"/>
      <c r="AS31" s="563"/>
      <c r="AT31" s="563"/>
      <c r="AU31" s="563"/>
      <c r="AV31" s="563"/>
      <c r="AW31" s="563"/>
      <c r="AX31" s="563"/>
      <c r="AY31" s="563"/>
      <c r="AZ31" s="563"/>
      <c r="BA31" s="563">
        <v>2</v>
      </c>
      <c r="BB31" s="563"/>
      <c r="BC31" s="563"/>
      <c r="BD31" s="563"/>
      <c r="BE31" s="563">
        <v>1</v>
      </c>
      <c r="BF31" s="563"/>
      <c r="BG31" s="563"/>
      <c r="BH31" s="563"/>
      <c r="BI31" s="563"/>
      <c r="BJ31" s="563"/>
      <c r="BK31" s="563"/>
      <c r="BL31" s="563"/>
      <c r="BM31" s="563">
        <v>1</v>
      </c>
      <c r="BN31" s="563"/>
      <c r="BO31" s="563"/>
      <c r="BP31" s="563"/>
      <c r="BQ31" s="563"/>
      <c r="BR31" s="563"/>
      <c r="BS31" s="563"/>
      <c r="BT31" s="563"/>
      <c r="BU31" s="563"/>
      <c r="BV31" s="162"/>
      <c r="BW31" s="190"/>
    </row>
    <row r="32" s="140" customFormat="1" customHeight="1" spans="1:75">
      <c r="A32" s="161">
        <v>31</v>
      </c>
      <c r="B32" s="394" t="s">
        <v>165</v>
      </c>
      <c r="C32" s="555"/>
      <c r="D32" s="561" t="s">
        <v>137</v>
      </c>
      <c r="E32" s="562">
        <v>0.408</v>
      </c>
      <c r="F32" s="556">
        <v>98</v>
      </c>
      <c r="G32" s="557">
        <f t="shared" si="0"/>
        <v>39.984</v>
      </c>
      <c r="H32" s="558">
        <f t="shared" si="1"/>
        <v>0</v>
      </c>
      <c r="I32" s="559">
        <f t="shared" si="2"/>
        <v>0</v>
      </c>
      <c r="J32" s="558">
        <f t="shared" si="3"/>
        <v>48</v>
      </c>
      <c r="K32" s="559">
        <f t="shared" si="4"/>
        <v>19.584</v>
      </c>
      <c r="L32" s="558">
        <f t="shared" si="5"/>
        <v>50</v>
      </c>
      <c r="M32" s="559">
        <f t="shared" si="6"/>
        <v>20.4</v>
      </c>
      <c r="N32" s="562"/>
      <c r="O32" s="562">
        <v>20</v>
      </c>
      <c r="P32" s="563"/>
      <c r="Q32" s="563"/>
      <c r="R32" s="563"/>
      <c r="S32" s="563">
        <v>10</v>
      </c>
      <c r="T32" s="563"/>
      <c r="U32" s="563"/>
      <c r="V32" s="563"/>
      <c r="W32" s="563">
        <v>5</v>
      </c>
      <c r="X32" s="563"/>
      <c r="Y32" s="563"/>
      <c r="Z32" s="563"/>
      <c r="AA32" s="563">
        <v>5</v>
      </c>
      <c r="AB32" s="563"/>
      <c r="AC32" s="563"/>
      <c r="AD32" s="563"/>
      <c r="AE32" s="563"/>
      <c r="AF32" s="563"/>
      <c r="AG32" s="563"/>
      <c r="AH32" s="563"/>
      <c r="AI32" s="563"/>
      <c r="AJ32" s="563"/>
      <c r="AK32" s="563"/>
      <c r="AL32" s="563"/>
      <c r="AM32" s="563"/>
      <c r="AN32" s="563"/>
      <c r="AO32" s="563"/>
      <c r="AP32" s="563"/>
      <c r="AQ32" s="563"/>
      <c r="AR32" s="563"/>
      <c r="AS32" s="563"/>
      <c r="AT32" s="563"/>
      <c r="AU32" s="563"/>
      <c r="AV32" s="563"/>
      <c r="AW32" s="563"/>
      <c r="AX32" s="563"/>
      <c r="AY32" s="563"/>
      <c r="AZ32" s="563"/>
      <c r="BA32" s="563"/>
      <c r="BB32" s="563"/>
      <c r="BC32" s="563">
        <v>4</v>
      </c>
      <c r="BD32" s="563"/>
      <c r="BE32" s="563"/>
      <c r="BF32" s="563"/>
      <c r="BG32" s="563">
        <v>4</v>
      </c>
      <c r="BH32" s="563"/>
      <c r="BI32" s="563"/>
      <c r="BJ32" s="563"/>
      <c r="BK32" s="563"/>
      <c r="BL32" s="563"/>
      <c r="BM32" s="563"/>
      <c r="BN32" s="563"/>
      <c r="BO32" s="563"/>
      <c r="BP32" s="563"/>
      <c r="BQ32" s="563"/>
      <c r="BR32" s="563"/>
      <c r="BS32" s="563"/>
      <c r="BT32" s="563"/>
      <c r="BU32" s="563"/>
      <c r="BV32" s="162"/>
      <c r="BW32" s="190"/>
    </row>
    <row r="33" s="140" customFormat="1" customHeight="1" spans="1:75">
      <c r="A33" s="161">
        <v>32</v>
      </c>
      <c r="B33" s="394" t="s">
        <v>166</v>
      </c>
      <c r="C33" s="555"/>
      <c r="D33" s="561" t="s">
        <v>137</v>
      </c>
      <c r="E33" s="562">
        <v>4.9</v>
      </c>
      <c r="F33" s="556">
        <v>3</v>
      </c>
      <c r="G33" s="557">
        <f t="shared" si="0"/>
        <v>14.7</v>
      </c>
      <c r="H33" s="558">
        <f t="shared" si="1"/>
        <v>0</v>
      </c>
      <c r="I33" s="559">
        <f t="shared" si="2"/>
        <v>0</v>
      </c>
      <c r="J33" s="558">
        <f t="shared" si="3"/>
        <v>0</v>
      </c>
      <c r="K33" s="559">
        <f t="shared" si="4"/>
        <v>0</v>
      </c>
      <c r="L33" s="558">
        <f t="shared" si="5"/>
        <v>3</v>
      </c>
      <c r="M33" s="559">
        <f t="shared" si="6"/>
        <v>14.7</v>
      </c>
      <c r="N33" s="562"/>
      <c r="O33" s="562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63"/>
      <c r="AB33" s="563"/>
      <c r="AC33" s="563"/>
      <c r="AD33" s="563"/>
      <c r="AE33" s="563"/>
      <c r="AF33" s="563"/>
      <c r="AG33" s="563"/>
      <c r="AH33" s="563"/>
      <c r="AI33" s="563"/>
      <c r="AJ33" s="563"/>
      <c r="AK33" s="563"/>
      <c r="AL33" s="563"/>
      <c r="AM33" s="563"/>
      <c r="AN33" s="563"/>
      <c r="AO33" s="563"/>
      <c r="AP33" s="563"/>
      <c r="AQ33" s="563"/>
      <c r="AR33" s="563"/>
      <c r="AS33" s="563"/>
      <c r="AT33" s="563"/>
      <c r="AU33" s="563"/>
      <c r="AV33" s="563"/>
      <c r="AW33" s="563"/>
      <c r="AX33" s="563"/>
      <c r="AY33" s="563"/>
      <c r="AZ33" s="563"/>
      <c r="BA33" s="563"/>
      <c r="BB33" s="563"/>
      <c r="BC33" s="563"/>
      <c r="BD33" s="563"/>
      <c r="BE33" s="563"/>
      <c r="BF33" s="563"/>
      <c r="BG33" s="563"/>
      <c r="BH33" s="563"/>
      <c r="BI33" s="563"/>
      <c r="BJ33" s="563"/>
      <c r="BK33" s="563"/>
      <c r="BL33" s="563"/>
      <c r="BM33" s="563"/>
      <c r="BN33" s="563"/>
      <c r="BO33" s="563"/>
      <c r="BP33" s="563"/>
      <c r="BQ33" s="563"/>
      <c r="BR33" s="563"/>
      <c r="BS33" s="563"/>
      <c r="BT33" s="563"/>
      <c r="BU33" s="563"/>
      <c r="BV33" s="162"/>
      <c r="BW33" s="171"/>
    </row>
    <row r="34" s="140" customFormat="1" customHeight="1" spans="1:75">
      <c r="A34" s="161">
        <v>33</v>
      </c>
      <c r="B34" s="565" t="s">
        <v>167</v>
      </c>
      <c r="C34" s="555"/>
      <c r="D34" s="561" t="s">
        <v>137</v>
      </c>
      <c r="E34" s="562">
        <v>0.0298</v>
      </c>
      <c r="F34" s="556">
        <v>0</v>
      </c>
      <c r="G34" s="557">
        <f t="shared" si="0"/>
        <v>0</v>
      </c>
      <c r="H34" s="558">
        <f t="shared" si="1"/>
        <v>500</v>
      </c>
      <c r="I34" s="559">
        <f t="shared" si="2"/>
        <v>14.9</v>
      </c>
      <c r="J34" s="558">
        <f t="shared" si="3"/>
        <v>69</v>
      </c>
      <c r="K34" s="559">
        <f t="shared" si="4"/>
        <v>2.0562</v>
      </c>
      <c r="L34" s="558">
        <f t="shared" si="5"/>
        <v>431</v>
      </c>
      <c r="M34" s="559">
        <f t="shared" si="6"/>
        <v>12.8438</v>
      </c>
      <c r="N34" s="562"/>
      <c r="O34" s="562"/>
      <c r="P34" s="563"/>
      <c r="Q34" s="563"/>
      <c r="R34" s="563"/>
      <c r="S34" s="563"/>
      <c r="T34" s="563"/>
      <c r="U34" s="563"/>
      <c r="V34" s="563">
        <v>500</v>
      </c>
      <c r="W34" s="563"/>
      <c r="X34" s="563"/>
      <c r="Y34" s="563"/>
      <c r="Z34" s="563"/>
      <c r="AA34" s="563"/>
      <c r="AB34" s="563"/>
      <c r="AC34" s="563"/>
      <c r="AD34" s="563"/>
      <c r="AE34" s="563"/>
      <c r="AF34" s="563"/>
      <c r="AG34" s="563"/>
      <c r="AH34" s="563"/>
      <c r="AI34" s="563"/>
      <c r="AJ34" s="563"/>
      <c r="AK34" s="563"/>
      <c r="AL34" s="563"/>
      <c r="AM34" s="563"/>
      <c r="AN34" s="563"/>
      <c r="AO34" s="563">
        <v>5</v>
      </c>
      <c r="AP34" s="563"/>
      <c r="AQ34" s="563">
        <v>5</v>
      </c>
      <c r="AR34" s="563"/>
      <c r="AS34" s="563">
        <v>10</v>
      </c>
      <c r="AT34" s="563"/>
      <c r="AU34" s="563"/>
      <c r="AV34" s="563"/>
      <c r="AW34" s="563"/>
      <c r="AX34" s="563"/>
      <c r="AY34" s="563"/>
      <c r="AZ34" s="563"/>
      <c r="BA34" s="563"/>
      <c r="BB34" s="563"/>
      <c r="BC34" s="563">
        <v>5</v>
      </c>
      <c r="BD34" s="563"/>
      <c r="BE34" s="563">
        <v>5</v>
      </c>
      <c r="BF34" s="563"/>
      <c r="BG34" s="563">
        <v>5</v>
      </c>
      <c r="BH34" s="563"/>
      <c r="BI34" s="563"/>
      <c r="BJ34" s="563"/>
      <c r="BK34" s="563">
        <v>20</v>
      </c>
      <c r="BL34" s="563"/>
      <c r="BM34" s="563">
        <v>5</v>
      </c>
      <c r="BN34" s="563"/>
      <c r="BO34" s="563">
        <v>3</v>
      </c>
      <c r="BP34" s="563"/>
      <c r="BQ34" s="563">
        <v>4</v>
      </c>
      <c r="BR34" s="563"/>
      <c r="BS34" s="563">
        <v>2</v>
      </c>
      <c r="BT34" s="563"/>
      <c r="BU34" s="563"/>
      <c r="BV34" s="162"/>
      <c r="BW34" s="190"/>
    </row>
    <row r="35" s="140" customFormat="1" customHeight="1" spans="1:75">
      <c r="A35" s="161">
        <v>34</v>
      </c>
      <c r="B35" s="394" t="s">
        <v>168</v>
      </c>
      <c r="C35" s="555"/>
      <c r="D35" s="561" t="s">
        <v>137</v>
      </c>
      <c r="E35" s="562">
        <v>2.64</v>
      </c>
      <c r="F35" s="556">
        <v>20</v>
      </c>
      <c r="G35" s="557">
        <f t="shared" si="0"/>
        <v>52.8</v>
      </c>
      <c r="H35" s="558">
        <f t="shared" si="1"/>
        <v>0</v>
      </c>
      <c r="I35" s="559">
        <f t="shared" si="2"/>
        <v>0</v>
      </c>
      <c r="J35" s="558">
        <f t="shared" si="3"/>
        <v>0</v>
      </c>
      <c r="K35" s="559">
        <f t="shared" si="4"/>
        <v>0</v>
      </c>
      <c r="L35" s="558">
        <f t="shared" si="5"/>
        <v>20</v>
      </c>
      <c r="M35" s="559">
        <f t="shared" si="6"/>
        <v>52.8</v>
      </c>
      <c r="N35" s="562"/>
      <c r="O35" s="562"/>
      <c r="P35" s="563"/>
      <c r="Q35" s="563"/>
      <c r="R35" s="563"/>
      <c r="S35" s="563"/>
      <c r="T35" s="563"/>
      <c r="U35" s="563"/>
      <c r="V35" s="563"/>
      <c r="W35" s="563"/>
      <c r="X35" s="563"/>
      <c r="Y35" s="563"/>
      <c r="Z35" s="563"/>
      <c r="AA35" s="563"/>
      <c r="AB35" s="563"/>
      <c r="AC35" s="563"/>
      <c r="AD35" s="563"/>
      <c r="AE35" s="563"/>
      <c r="AF35" s="563"/>
      <c r="AG35" s="563"/>
      <c r="AH35" s="563"/>
      <c r="AI35" s="563"/>
      <c r="AJ35" s="563"/>
      <c r="AK35" s="563"/>
      <c r="AL35" s="563"/>
      <c r="AM35" s="563"/>
      <c r="AN35" s="563"/>
      <c r="AO35" s="563"/>
      <c r="AP35" s="563"/>
      <c r="AQ35" s="563"/>
      <c r="AR35" s="563"/>
      <c r="AS35" s="563"/>
      <c r="AT35" s="563"/>
      <c r="AU35" s="563"/>
      <c r="AV35" s="563"/>
      <c r="AW35" s="563"/>
      <c r="AX35" s="563"/>
      <c r="AY35" s="563"/>
      <c r="AZ35" s="563"/>
      <c r="BA35" s="563"/>
      <c r="BB35" s="563"/>
      <c r="BC35" s="563"/>
      <c r="BD35" s="563"/>
      <c r="BE35" s="563"/>
      <c r="BF35" s="563"/>
      <c r="BG35" s="563"/>
      <c r="BH35" s="563"/>
      <c r="BI35" s="563"/>
      <c r="BJ35" s="563"/>
      <c r="BK35" s="563"/>
      <c r="BL35" s="563"/>
      <c r="BM35" s="563"/>
      <c r="BN35" s="563"/>
      <c r="BO35" s="563"/>
      <c r="BP35" s="563"/>
      <c r="BQ35" s="563"/>
      <c r="BR35" s="563"/>
      <c r="BS35" s="563"/>
      <c r="BT35" s="563"/>
      <c r="BU35" s="563"/>
      <c r="BV35" s="162"/>
      <c r="BW35" s="190"/>
    </row>
    <row r="36" s="140" customFormat="1" customHeight="1" spans="1:75">
      <c r="A36" s="161">
        <v>35</v>
      </c>
      <c r="B36" s="394" t="s">
        <v>169</v>
      </c>
      <c r="C36" s="555"/>
      <c r="D36" s="561" t="s">
        <v>137</v>
      </c>
      <c r="E36" s="562">
        <v>0.632</v>
      </c>
      <c r="F36" s="556">
        <v>3</v>
      </c>
      <c r="G36" s="557">
        <f t="shared" si="0"/>
        <v>1.896</v>
      </c>
      <c r="H36" s="558">
        <f t="shared" si="1"/>
        <v>0</v>
      </c>
      <c r="I36" s="559">
        <f t="shared" si="2"/>
        <v>0</v>
      </c>
      <c r="J36" s="558">
        <f t="shared" si="3"/>
        <v>3</v>
      </c>
      <c r="K36" s="559">
        <f t="shared" si="4"/>
        <v>1.896</v>
      </c>
      <c r="L36" s="558">
        <f t="shared" si="5"/>
        <v>0</v>
      </c>
      <c r="M36" s="559">
        <f t="shared" si="6"/>
        <v>0</v>
      </c>
      <c r="N36" s="562"/>
      <c r="O36" s="562"/>
      <c r="P36" s="563"/>
      <c r="Q36" s="563"/>
      <c r="R36" s="563"/>
      <c r="S36" s="563"/>
      <c r="T36" s="563"/>
      <c r="U36" s="563"/>
      <c r="V36" s="563"/>
      <c r="W36" s="563"/>
      <c r="X36" s="563"/>
      <c r="Y36" s="563"/>
      <c r="Z36" s="563"/>
      <c r="AA36" s="563"/>
      <c r="AB36" s="563"/>
      <c r="AC36" s="563"/>
      <c r="AD36" s="563"/>
      <c r="AE36" s="563"/>
      <c r="AF36" s="563"/>
      <c r="AG36" s="563"/>
      <c r="AH36" s="563"/>
      <c r="AI36" s="563"/>
      <c r="AJ36" s="563"/>
      <c r="AK36" s="563"/>
      <c r="AL36" s="563"/>
      <c r="AM36" s="563"/>
      <c r="AN36" s="563"/>
      <c r="AO36" s="563"/>
      <c r="AP36" s="563"/>
      <c r="AQ36" s="563"/>
      <c r="AR36" s="563"/>
      <c r="AS36" s="563"/>
      <c r="AT36" s="563"/>
      <c r="AU36" s="563"/>
      <c r="AV36" s="563"/>
      <c r="AW36" s="563"/>
      <c r="AX36" s="563"/>
      <c r="AY36" s="563"/>
      <c r="AZ36" s="563"/>
      <c r="BA36" s="563"/>
      <c r="BB36" s="563"/>
      <c r="BC36" s="563">
        <v>3</v>
      </c>
      <c r="BD36" s="563"/>
      <c r="BE36" s="563"/>
      <c r="BF36" s="563"/>
      <c r="BG36" s="563"/>
      <c r="BH36" s="563"/>
      <c r="BI36" s="563"/>
      <c r="BJ36" s="563"/>
      <c r="BK36" s="563"/>
      <c r="BL36" s="563"/>
      <c r="BM36" s="563"/>
      <c r="BN36" s="563"/>
      <c r="BO36" s="563"/>
      <c r="BP36" s="563"/>
      <c r="BQ36" s="563"/>
      <c r="BR36" s="563"/>
      <c r="BS36" s="563"/>
      <c r="BT36" s="563"/>
      <c r="BU36" s="563"/>
      <c r="BV36" s="162"/>
      <c r="BW36" s="190"/>
    </row>
    <row r="37" s="140" customFormat="1" customHeight="1" spans="1:75">
      <c r="A37" s="161">
        <v>36</v>
      </c>
      <c r="B37" s="394" t="s">
        <v>170</v>
      </c>
      <c r="C37" s="555"/>
      <c r="D37" s="561" t="s">
        <v>137</v>
      </c>
      <c r="E37" s="562">
        <v>2.9925</v>
      </c>
      <c r="F37" s="556">
        <v>2</v>
      </c>
      <c r="G37" s="557">
        <f t="shared" si="0"/>
        <v>5.985</v>
      </c>
      <c r="H37" s="558">
        <f t="shared" si="1"/>
        <v>0</v>
      </c>
      <c r="I37" s="559">
        <f t="shared" si="2"/>
        <v>0</v>
      </c>
      <c r="J37" s="558">
        <f t="shared" si="3"/>
        <v>0</v>
      </c>
      <c r="K37" s="559">
        <f t="shared" si="4"/>
        <v>0</v>
      </c>
      <c r="L37" s="558">
        <f t="shared" si="5"/>
        <v>2</v>
      </c>
      <c r="M37" s="559">
        <f t="shared" si="6"/>
        <v>5.985</v>
      </c>
      <c r="N37" s="562"/>
      <c r="O37" s="562"/>
      <c r="P37" s="563"/>
      <c r="Q37" s="563"/>
      <c r="R37" s="563"/>
      <c r="S37" s="563"/>
      <c r="T37" s="563"/>
      <c r="U37" s="563"/>
      <c r="V37" s="563"/>
      <c r="W37" s="563"/>
      <c r="X37" s="563"/>
      <c r="Y37" s="563"/>
      <c r="Z37" s="563"/>
      <c r="AA37" s="563"/>
      <c r="AB37" s="563"/>
      <c r="AC37" s="563"/>
      <c r="AD37" s="563"/>
      <c r="AE37" s="563"/>
      <c r="AF37" s="563"/>
      <c r="AG37" s="563"/>
      <c r="AH37" s="563"/>
      <c r="AI37" s="563"/>
      <c r="AJ37" s="563"/>
      <c r="AK37" s="563"/>
      <c r="AL37" s="563"/>
      <c r="AM37" s="563"/>
      <c r="AN37" s="563"/>
      <c r="AO37" s="563"/>
      <c r="AP37" s="563"/>
      <c r="AQ37" s="563"/>
      <c r="AR37" s="563"/>
      <c r="AS37" s="563"/>
      <c r="AT37" s="563"/>
      <c r="AU37" s="563"/>
      <c r="AV37" s="563"/>
      <c r="AW37" s="563"/>
      <c r="AX37" s="563"/>
      <c r="AY37" s="563"/>
      <c r="AZ37" s="563"/>
      <c r="BA37" s="563"/>
      <c r="BB37" s="563"/>
      <c r="BC37" s="563"/>
      <c r="BD37" s="563"/>
      <c r="BE37" s="563"/>
      <c r="BF37" s="563"/>
      <c r="BG37" s="563"/>
      <c r="BH37" s="563"/>
      <c r="BI37" s="563"/>
      <c r="BJ37" s="563"/>
      <c r="BK37" s="563"/>
      <c r="BL37" s="563"/>
      <c r="BM37" s="563"/>
      <c r="BN37" s="563"/>
      <c r="BO37" s="563"/>
      <c r="BP37" s="563"/>
      <c r="BQ37" s="563"/>
      <c r="BR37" s="563"/>
      <c r="BS37" s="563"/>
      <c r="BT37" s="563"/>
      <c r="BU37" s="563"/>
      <c r="BV37" s="162"/>
      <c r="BW37" s="190"/>
    </row>
    <row r="38" s="140" customFormat="1" customHeight="1" spans="1:75">
      <c r="A38" s="161">
        <v>37</v>
      </c>
      <c r="B38" s="394" t="s">
        <v>171</v>
      </c>
      <c r="C38" s="555"/>
      <c r="D38" s="561" t="s">
        <v>137</v>
      </c>
      <c r="E38" s="562">
        <v>0.0798</v>
      </c>
      <c r="F38" s="556">
        <v>901</v>
      </c>
      <c r="G38" s="557">
        <f t="shared" si="0"/>
        <v>71.8998</v>
      </c>
      <c r="H38" s="558">
        <f t="shared" si="1"/>
        <v>0</v>
      </c>
      <c r="I38" s="559">
        <f t="shared" si="2"/>
        <v>0</v>
      </c>
      <c r="J38" s="558">
        <f t="shared" si="3"/>
        <v>300</v>
      </c>
      <c r="K38" s="559">
        <f t="shared" si="4"/>
        <v>23.94</v>
      </c>
      <c r="L38" s="558">
        <f t="shared" si="5"/>
        <v>601</v>
      </c>
      <c r="M38" s="559">
        <f t="shared" si="6"/>
        <v>47.9598</v>
      </c>
      <c r="N38" s="562"/>
      <c r="O38" s="562">
        <v>30</v>
      </c>
      <c r="P38" s="563"/>
      <c r="Q38" s="563"/>
      <c r="R38" s="563"/>
      <c r="S38" s="563">
        <v>15</v>
      </c>
      <c r="T38" s="563"/>
      <c r="U38" s="563"/>
      <c r="V38" s="563"/>
      <c r="W38" s="563">
        <v>20</v>
      </c>
      <c r="X38" s="563"/>
      <c r="Y38" s="563"/>
      <c r="Z38" s="563"/>
      <c r="AA38" s="563">
        <v>25</v>
      </c>
      <c r="AB38" s="563"/>
      <c r="AC38" s="563">
        <v>15</v>
      </c>
      <c r="AD38" s="563"/>
      <c r="AE38" s="563">
        <v>15</v>
      </c>
      <c r="AF38" s="563"/>
      <c r="AG38" s="563">
        <v>10</v>
      </c>
      <c r="AH38" s="563"/>
      <c r="AI38" s="563"/>
      <c r="AJ38" s="563"/>
      <c r="AK38" s="563">
        <v>10</v>
      </c>
      <c r="AL38" s="563"/>
      <c r="AM38" s="563"/>
      <c r="AN38" s="563"/>
      <c r="AO38" s="563"/>
      <c r="AP38" s="563"/>
      <c r="AQ38" s="563"/>
      <c r="AR38" s="563"/>
      <c r="AS38" s="563">
        <v>10</v>
      </c>
      <c r="AT38" s="563"/>
      <c r="AU38" s="563">
        <v>10</v>
      </c>
      <c r="AV38" s="563"/>
      <c r="AW38" s="563">
        <v>15</v>
      </c>
      <c r="AX38" s="563"/>
      <c r="AY38" s="563">
        <v>10</v>
      </c>
      <c r="AZ38" s="563"/>
      <c r="BA38" s="563">
        <v>15</v>
      </c>
      <c r="BB38" s="563"/>
      <c r="BC38" s="563"/>
      <c r="BD38" s="563"/>
      <c r="BE38" s="563">
        <v>20</v>
      </c>
      <c r="BF38" s="563"/>
      <c r="BG38" s="563"/>
      <c r="BH38" s="563"/>
      <c r="BI38" s="563">
        <v>15</v>
      </c>
      <c r="BJ38" s="563"/>
      <c r="BK38" s="563">
        <v>15</v>
      </c>
      <c r="BL38" s="563"/>
      <c r="BM38" s="563">
        <v>10</v>
      </c>
      <c r="BN38" s="563"/>
      <c r="BO38" s="563"/>
      <c r="BP38" s="563"/>
      <c r="BQ38" s="563">
        <v>15</v>
      </c>
      <c r="BR38" s="563"/>
      <c r="BS38" s="563">
        <v>5</v>
      </c>
      <c r="BT38" s="563"/>
      <c r="BU38" s="563">
        <v>10</v>
      </c>
      <c r="BV38" s="162"/>
      <c r="BW38" s="190">
        <v>10</v>
      </c>
    </row>
    <row r="39" s="140" customFormat="1" customHeight="1" spans="1:75">
      <c r="A39" s="161">
        <v>38</v>
      </c>
      <c r="B39" s="565" t="s">
        <v>172</v>
      </c>
      <c r="C39" s="555"/>
      <c r="D39" s="561" t="s">
        <v>173</v>
      </c>
      <c r="E39" s="562">
        <v>29.335</v>
      </c>
      <c r="F39" s="556">
        <v>0</v>
      </c>
      <c r="G39" s="557">
        <f t="shared" si="0"/>
        <v>0</v>
      </c>
      <c r="H39" s="558">
        <f t="shared" si="1"/>
        <v>2</v>
      </c>
      <c r="I39" s="559">
        <f t="shared" si="2"/>
        <v>58.67</v>
      </c>
      <c r="J39" s="558">
        <f t="shared" si="3"/>
        <v>2</v>
      </c>
      <c r="K39" s="559">
        <f t="shared" si="4"/>
        <v>58.67</v>
      </c>
      <c r="L39" s="558">
        <f t="shared" si="5"/>
        <v>0</v>
      </c>
      <c r="M39" s="559">
        <f t="shared" si="6"/>
        <v>0</v>
      </c>
      <c r="N39" s="329"/>
      <c r="O39" s="562"/>
      <c r="P39" s="563"/>
      <c r="Q39" s="563"/>
      <c r="R39" s="563"/>
      <c r="S39" s="563"/>
      <c r="T39" s="563"/>
      <c r="U39" s="563"/>
      <c r="V39" s="563">
        <v>2</v>
      </c>
      <c r="W39" s="563">
        <v>1</v>
      </c>
      <c r="X39" s="563"/>
      <c r="Y39" s="563"/>
      <c r="Z39" s="563"/>
      <c r="AA39" s="563"/>
      <c r="AB39" s="563"/>
      <c r="AC39" s="570"/>
      <c r="AD39" s="563"/>
      <c r="AE39" s="563"/>
      <c r="AF39" s="563"/>
      <c r="AG39" s="563"/>
      <c r="AH39" s="563"/>
      <c r="AI39" s="563"/>
      <c r="AJ39" s="563"/>
      <c r="AK39" s="563"/>
      <c r="AL39" s="563"/>
      <c r="AM39" s="563"/>
      <c r="AN39" s="563"/>
      <c r="AO39" s="563"/>
      <c r="AP39" s="563"/>
      <c r="AQ39" s="563"/>
      <c r="AR39" s="563"/>
      <c r="AS39" s="563"/>
      <c r="AT39" s="563"/>
      <c r="AU39" s="563"/>
      <c r="AV39" s="563"/>
      <c r="AW39" s="563"/>
      <c r="AX39" s="563"/>
      <c r="AY39" s="563"/>
      <c r="AZ39" s="563"/>
      <c r="BA39" s="563"/>
      <c r="BB39" s="563"/>
      <c r="BC39" s="563"/>
      <c r="BD39" s="563"/>
      <c r="BE39" s="563"/>
      <c r="BF39" s="563"/>
      <c r="BG39" s="563"/>
      <c r="BH39" s="563"/>
      <c r="BI39" s="563"/>
      <c r="BJ39" s="563"/>
      <c r="BK39" s="563">
        <v>1</v>
      </c>
      <c r="BL39" s="563"/>
      <c r="BM39" s="563"/>
      <c r="BN39" s="563"/>
      <c r="BO39" s="563"/>
      <c r="BP39" s="563"/>
      <c r="BQ39" s="563"/>
      <c r="BR39" s="563"/>
      <c r="BS39" s="563"/>
      <c r="BT39" s="563"/>
      <c r="BU39" s="563"/>
      <c r="BV39" s="162"/>
      <c r="BW39" s="190"/>
    </row>
    <row r="40" s="140" customFormat="1" customHeight="1" spans="1:75">
      <c r="A40" s="161">
        <v>39</v>
      </c>
      <c r="B40" s="565" t="s">
        <v>174</v>
      </c>
      <c r="C40" s="555"/>
      <c r="D40" s="561" t="s">
        <v>137</v>
      </c>
      <c r="E40" s="562">
        <v>0.2071</v>
      </c>
      <c r="F40" s="556">
        <v>450</v>
      </c>
      <c r="G40" s="557">
        <f t="shared" si="0"/>
        <v>93.195</v>
      </c>
      <c r="H40" s="558">
        <f t="shared" si="1"/>
        <v>0</v>
      </c>
      <c r="I40" s="559">
        <f t="shared" si="2"/>
        <v>0</v>
      </c>
      <c r="J40" s="558">
        <f t="shared" si="3"/>
        <v>192</v>
      </c>
      <c r="K40" s="559">
        <f t="shared" si="4"/>
        <v>39.7632</v>
      </c>
      <c r="L40" s="558">
        <f t="shared" si="5"/>
        <v>258</v>
      </c>
      <c r="M40" s="559">
        <f t="shared" si="6"/>
        <v>53.4318</v>
      </c>
      <c r="N40" s="562"/>
      <c r="O40" s="562">
        <v>50</v>
      </c>
      <c r="P40" s="563"/>
      <c r="Q40" s="563"/>
      <c r="R40" s="563"/>
      <c r="S40" s="563">
        <v>20</v>
      </c>
      <c r="T40" s="563"/>
      <c r="U40" s="563"/>
      <c r="V40" s="563"/>
      <c r="W40" s="563">
        <v>15</v>
      </c>
      <c r="X40" s="563"/>
      <c r="Y40" s="563"/>
      <c r="Z40" s="563"/>
      <c r="AA40" s="563">
        <v>10</v>
      </c>
      <c r="AB40" s="563"/>
      <c r="AC40" s="563"/>
      <c r="AD40" s="563"/>
      <c r="AE40" s="563">
        <v>5</v>
      </c>
      <c r="AF40" s="563"/>
      <c r="AG40" s="563"/>
      <c r="AH40" s="563"/>
      <c r="AI40" s="563">
        <v>5</v>
      </c>
      <c r="AJ40" s="563"/>
      <c r="AK40" s="563">
        <v>5</v>
      </c>
      <c r="AL40" s="563"/>
      <c r="AM40" s="563">
        <v>5</v>
      </c>
      <c r="AN40" s="563"/>
      <c r="AO40" s="563">
        <v>10</v>
      </c>
      <c r="AP40" s="563"/>
      <c r="AQ40" s="563">
        <v>5</v>
      </c>
      <c r="AR40" s="563"/>
      <c r="AS40" s="563">
        <v>10</v>
      </c>
      <c r="AT40" s="563"/>
      <c r="AU40" s="563">
        <v>6</v>
      </c>
      <c r="AV40" s="563"/>
      <c r="AW40" s="563">
        <v>5</v>
      </c>
      <c r="AX40" s="563"/>
      <c r="AY40" s="563"/>
      <c r="AZ40" s="563"/>
      <c r="BA40" s="563">
        <v>4</v>
      </c>
      <c r="BB40" s="563"/>
      <c r="BC40" s="563">
        <v>5</v>
      </c>
      <c r="BD40" s="563"/>
      <c r="BE40" s="563">
        <v>5</v>
      </c>
      <c r="BF40" s="563"/>
      <c r="BG40" s="563">
        <v>3</v>
      </c>
      <c r="BH40" s="563"/>
      <c r="BI40" s="563">
        <v>5</v>
      </c>
      <c r="BJ40" s="563"/>
      <c r="BK40" s="563">
        <v>10</v>
      </c>
      <c r="BL40" s="563"/>
      <c r="BM40" s="563"/>
      <c r="BN40" s="563"/>
      <c r="BO40" s="563"/>
      <c r="BP40" s="563"/>
      <c r="BQ40" s="563">
        <v>5</v>
      </c>
      <c r="BR40" s="563"/>
      <c r="BS40" s="563">
        <v>3</v>
      </c>
      <c r="BT40" s="563"/>
      <c r="BU40" s="563">
        <v>1</v>
      </c>
      <c r="BV40" s="162"/>
      <c r="BW40" s="190"/>
    </row>
    <row r="41" s="140" customFormat="1" customHeight="1" spans="1:75">
      <c r="A41" s="161">
        <v>40</v>
      </c>
      <c r="B41" s="394" t="s">
        <v>175</v>
      </c>
      <c r="C41" s="555"/>
      <c r="D41" s="561" t="s">
        <v>137</v>
      </c>
      <c r="E41" s="562">
        <v>30</v>
      </c>
      <c r="F41" s="556">
        <v>2</v>
      </c>
      <c r="G41" s="557">
        <f t="shared" si="0"/>
        <v>60</v>
      </c>
      <c r="H41" s="558">
        <f t="shared" si="1"/>
        <v>0</v>
      </c>
      <c r="I41" s="559">
        <f t="shared" si="2"/>
        <v>0</v>
      </c>
      <c r="J41" s="558">
        <f t="shared" si="3"/>
        <v>0</v>
      </c>
      <c r="K41" s="559">
        <f t="shared" si="4"/>
        <v>0</v>
      </c>
      <c r="L41" s="558">
        <f t="shared" si="5"/>
        <v>2</v>
      </c>
      <c r="M41" s="559">
        <f t="shared" si="6"/>
        <v>60</v>
      </c>
      <c r="N41" s="562"/>
      <c r="O41" s="562"/>
      <c r="P41" s="563"/>
      <c r="Q41" s="563"/>
      <c r="R41" s="563"/>
      <c r="S41" s="563"/>
      <c r="T41" s="563"/>
      <c r="U41" s="563"/>
      <c r="V41" s="563"/>
      <c r="W41" s="563"/>
      <c r="X41" s="563"/>
      <c r="Y41" s="563"/>
      <c r="Z41" s="563"/>
      <c r="AA41" s="563"/>
      <c r="AB41" s="563"/>
      <c r="AC41" s="563"/>
      <c r="AD41" s="563"/>
      <c r="AE41" s="563"/>
      <c r="AF41" s="563"/>
      <c r="AG41" s="563"/>
      <c r="AH41" s="563"/>
      <c r="AI41" s="563"/>
      <c r="AJ41" s="563"/>
      <c r="AK41" s="563"/>
      <c r="AL41" s="563"/>
      <c r="AM41" s="563"/>
      <c r="AN41" s="563"/>
      <c r="AO41" s="563"/>
      <c r="AP41" s="563"/>
      <c r="AQ41" s="563"/>
      <c r="AR41" s="563"/>
      <c r="AS41" s="563"/>
      <c r="AT41" s="563"/>
      <c r="AU41" s="563"/>
      <c r="AV41" s="563"/>
      <c r="AW41" s="563"/>
      <c r="AX41" s="563"/>
      <c r="AY41" s="563"/>
      <c r="AZ41" s="563"/>
      <c r="BA41" s="563"/>
      <c r="BB41" s="563"/>
      <c r="BC41" s="563"/>
      <c r="BD41" s="563"/>
      <c r="BE41" s="563"/>
      <c r="BF41" s="563"/>
      <c r="BG41" s="563"/>
      <c r="BH41" s="563"/>
      <c r="BI41" s="563"/>
      <c r="BJ41" s="563"/>
      <c r="BK41" s="563"/>
      <c r="BL41" s="563"/>
      <c r="BM41" s="563"/>
      <c r="BN41" s="563"/>
      <c r="BO41" s="563"/>
      <c r="BP41" s="563"/>
      <c r="BQ41" s="563"/>
      <c r="BR41" s="563"/>
      <c r="BS41" s="563"/>
      <c r="BT41" s="563"/>
      <c r="BU41" s="563"/>
      <c r="BV41" s="162"/>
      <c r="BW41" s="438"/>
    </row>
    <row r="42" s="140" customFormat="1" customHeight="1" spans="1:75">
      <c r="A42" s="161"/>
      <c r="B42" s="394" t="s">
        <v>175</v>
      </c>
      <c r="C42" s="555"/>
      <c r="D42" s="561" t="s">
        <v>137</v>
      </c>
      <c r="E42" s="562">
        <v>10</v>
      </c>
      <c r="F42" s="556"/>
      <c r="G42" s="557"/>
      <c r="H42" s="558"/>
      <c r="I42" s="559"/>
      <c r="J42" s="558"/>
      <c r="K42" s="559"/>
      <c r="L42" s="558"/>
      <c r="M42" s="559"/>
      <c r="N42" s="562"/>
      <c r="O42" s="562"/>
      <c r="P42" s="563"/>
      <c r="Q42" s="563"/>
      <c r="R42" s="563"/>
      <c r="S42" s="563"/>
      <c r="T42" s="563"/>
      <c r="U42" s="563"/>
      <c r="V42" s="563"/>
      <c r="W42" s="563"/>
      <c r="X42" s="563"/>
      <c r="Y42" s="563"/>
      <c r="Z42" s="563"/>
      <c r="AA42" s="563"/>
      <c r="AB42" s="563"/>
      <c r="AC42" s="563"/>
      <c r="AD42" s="563"/>
      <c r="AE42" s="563"/>
      <c r="AF42" s="563"/>
      <c r="AG42" s="563"/>
      <c r="AH42" s="563"/>
      <c r="AI42" s="563"/>
      <c r="AJ42" s="563"/>
      <c r="AK42" s="563"/>
      <c r="AL42" s="563"/>
      <c r="AM42" s="563"/>
      <c r="AN42" s="563"/>
      <c r="AO42" s="563"/>
      <c r="AP42" s="563"/>
      <c r="AQ42" s="563"/>
      <c r="AR42" s="563"/>
      <c r="AS42" s="563"/>
      <c r="AT42" s="563"/>
      <c r="AU42" s="563"/>
      <c r="AV42" s="563"/>
      <c r="AW42" s="563"/>
      <c r="AX42" s="563"/>
      <c r="AY42" s="563"/>
      <c r="AZ42" s="563"/>
      <c r="BA42" s="563"/>
      <c r="BB42" s="563"/>
      <c r="BC42" s="563"/>
      <c r="BD42" s="563"/>
      <c r="BE42" s="563"/>
      <c r="BF42" s="563"/>
      <c r="BG42" s="563"/>
      <c r="BH42" s="563"/>
      <c r="BI42" s="563"/>
      <c r="BJ42" s="563"/>
      <c r="BK42" s="563"/>
      <c r="BL42" s="563"/>
      <c r="BM42" s="563"/>
      <c r="BN42" s="563"/>
      <c r="BO42" s="563"/>
      <c r="BP42" s="563"/>
      <c r="BQ42" s="563"/>
      <c r="BR42" s="563"/>
      <c r="BS42" s="563"/>
      <c r="BT42" s="563"/>
      <c r="BU42" s="563"/>
      <c r="BV42" s="162"/>
      <c r="BW42" s="438"/>
    </row>
    <row r="43" s="140" customFormat="1" customHeight="1" spans="1:75">
      <c r="A43" s="161">
        <v>41</v>
      </c>
      <c r="B43" s="562" t="s">
        <v>176</v>
      </c>
      <c r="C43" s="555"/>
      <c r="D43" s="561" t="s">
        <v>137</v>
      </c>
      <c r="E43" s="562">
        <v>0.5</v>
      </c>
      <c r="F43" s="556">
        <v>16</v>
      </c>
      <c r="G43" s="557">
        <f t="shared" ref="G43:G80" si="7">F43*E43</f>
        <v>8</v>
      </c>
      <c r="H43" s="558">
        <f t="shared" ref="H43:H80" si="8">SUMIF($N$4:$BW$4,$H$4,$N43:$BW43)</f>
        <v>0</v>
      </c>
      <c r="I43" s="559">
        <f t="shared" ref="I43:I80" si="9">+E43*H43</f>
        <v>0</v>
      </c>
      <c r="J43" s="558">
        <f t="shared" ref="J43:J80" si="10">SUMIF($N$4:$BW$4,$J$4,$N43:$BW43)</f>
        <v>1</v>
      </c>
      <c r="K43" s="559">
        <f t="shared" ref="K43:K80" si="11">+E43*J43</f>
        <v>0.5</v>
      </c>
      <c r="L43" s="558">
        <f t="shared" ref="L43:L80" si="12">+F43+H43-J43</f>
        <v>15</v>
      </c>
      <c r="M43" s="559">
        <f t="shared" ref="M43:M80" si="13">+E43*L43</f>
        <v>7.5</v>
      </c>
      <c r="N43" s="562"/>
      <c r="O43" s="562"/>
      <c r="P43" s="563"/>
      <c r="Q43" s="563"/>
      <c r="R43" s="563"/>
      <c r="S43" s="563"/>
      <c r="T43" s="563"/>
      <c r="U43" s="563"/>
      <c r="V43" s="563"/>
      <c r="W43" s="563"/>
      <c r="X43" s="563"/>
      <c r="Y43" s="563"/>
      <c r="Z43" s="563"/>
      <c r="AA43" s="563"/>
      <c r="AB43" s="563"/>
      <c r="AC43" s="563"/>
      <c r="AD43" s="563"/>
      <c r="AE43" s="563"/>
      <c r="AF43" s="563"/>
      <c r="AG43" s="563"/>
      <c r="AH43" s="563"/>
      <c r="AI43" s="563"/>
      <c r="AJ43" s="563"/>
      <c r="AK43" s="563"/>
      <c r="AL43" s="563"/>
      <c r="AM43" s="563"/>
      <c r="AN43" s="563"/>
      <c r="AO43" s="563"/>
      <c r="AP43" s="563"/>
      <c r="AQ43" s="563"/>
      <c r="AR43" s="563"/>
      <c r="AS43" s="563"/>
      <c r="AT43" s="563"/>
      <c r="AU43" s="563"/>
      <c r="AV43" s="563"/>
      <c r="AW43" s="563"/>
      <c r="AX43" s="563"/>
      <c r="AY43" s="563"/>
      <c r="AZ43" s="563"/>
      <c r="BA43" s="563"/>
      <c r="BB43" s="563"/>
      <c r="BC43" s="563"/>
      <c r="BD43" s="563"/>
      <c r="BE43" s="563"/>
      <c r="BF43" s="563"/>
      <c r="BG43" s="563"/>
      <c r="BH43" s="563"/>
      <c r="BI43" s="563">
        <v>1</v>
      </c>
      <c r="BJ43" s="563"/>
      <c r="BK43" s="563"/>
      <c r="BL43" s="563"/>
      <c r="BM43" s="563"/>
      <c r="BN43" s="563"/>
      <c r="BO43" s="563"/>
      <c r="BP43" s="563"/>
      <c r="BQ43" s="563"/>
      <c r="BR43" s="563"/>
      <c r="BS43" s="563"/>
      <c r="BT43" s="563"/>
      <c r="BU43" s="563"/>
      <c r="BV43" s="162"/>
      <c r="BW43" s="438"/>
    </row>
    <row r="44" s="140" customFormat="1" customHeight="1" spans="1:75">
      <c r="A44" s="161">
        <v>42</v>
      </c>
      <c r="B44" s="562" t="s">
        <v>177</v>
      </c>
      <c r="C44" s="555"/>
      <c r="D44" s="561" t="s">
        <v>137</v>
      </c>
      <c r="E44" s="562">
        <v>4.5</v>
      </c>
      <c r="F44" s="556">
        <v>3</v>
      </c>
      <c r="G44" s="557">
        <f t="shared" si="7"/>
        <v>13.5</v>
      </c>
      <c r="H44" s="558">
        <f t="shared" si="8"/>
        <v>0</v>
      </c>
      <c r="I44" s="559">
        <f t="shared" si="9"/>
        <v>0</v>
      </c>
      <c r="J44" s="558">
        <f t="shared" si="10"/>
        <v>1</v>
      </c>
      <c r="K44" s="559">
        <f t="shared" si="11"/>
        <v>4.5</v>
      </c>
      <c r="L44" s="558">
        <f t="shared" si="12"/>
        <v>2</v>
      </c>
      <c r="M44" s="559">
        <f t="shared" si="13"/>
        <v>9</v>
      </c>
      <c r="N44" s="562"/>
      <c r="O44" s="562"/>
      <c r="P44" s="563"/>
      <c r="Q44" s="563"/>
      <c r="R44" s="563"/>
      <c r="S44" s="563"/>
      <c r="T44" s="563"/>
      <c r="U44" s="563"/>
      <c r="V44" s="563"/>
      <c r="W44" s="563"/>
      <c r="X44" s="563"/>
      <c r="Y44" s="563"/>
      <c r="Z44" s="563"/>
      <c r="AA44" s="563"/>
      <c r="AB44" s="563"/>
      <c r="AC44" s="563"/>
      <c r="AD44" s="563"/>
      <c r="AE44" s="563"/>
      <c r="AF44" s="563"/>
      <c r="AG44" s="563"/>
      <c r="AH44" s="563"/>
      <c r="AI44" s="563"/>
      <c r="AJ44" s="563"/>
      <c r="AK44" s="563"/>
      <c r="AL44" s="563"/>
      <c r="AM44" s="563"/>
      <c r="AN44" s="563"/>
      <c r="AO44" s="563"/>
      <c r="AP44" s="563"/>
      <c r="AQ44" s="563"/>
      <c r="AR44" s="563"/>
      <c r="AS44" s="563"/>
      <c r="AT44" s="563"/>
      <c r="AU44" s="563"/>
      <c r="AV44" s="563"/>
      <c r="AW44" s="563"/>
      <c r="AX44" s="563"/>
      <c r="AY44" s="563"/>
      <c r="AZ44" s="563"/>
      <c r="BA44" s="563"/>
      <c r="BB44" s="563"/>
      <c r="BC44" s="563"/>
      <c r="BD44" s="563"/>
      <c r="BE44" s="563"/>
      <c r="BF44" s="563"/>
      <c r="BG44" s="563"/>
      <c r="BH44" s="563"/>
      <c r="BI44" s="563"/>
      <c r="BJ44" s="563"/>
      <c r="BK44" s="563">
        <v>1</v>
      </c>
      <c r="BL44" s="563"/>
      <c r="BM44" s="563"/>
      <c r="BN44" s="563"/>
      <c r="BO44" s="563"/>
      <c r="BP44" s="563"/>
      <c r="BQ44" s="563"/>
      <c r="BR44" s="563"/>
      <c r="BS44" s="563"/>
      <c r="BT44" s="563"/>
      <c r="BU44" s="563"/>
      <c r="BV44" s="162"/>
      <c r="BW44" s="190"/>
    </row>
    <row r="45" s="140" customFormat="1" customHeight="1" spans="1:75">
      <c r="A45" s="161">
        <v>43</v>
      </c>
      <c r="B45" s="562" t="s">
        <v>178</v>
      </c>
      <c r="C45" s="555"/>
      <c r="D45" s="561" t="s">
        <v>137</v>
      </c>
      <c r="E45" s="562">
        <v>0.1</v>
      </c>
      <c r="F45" s="556">
        <v>1889</v>
      </c>
      <c r="G45" s="557">
        <f t="shared" si="7"/>
        <v>188.9</v>
      </c>
      <c r="H45" s="558">
        <f t="shared" si="8"/>
        <v>0</v>
      </c>
      <c r="I45" s="559">
        <f t="shared" si="9"/>
        <v>0</v>
      </c>
      <c r="J45" s="558">
        <f t="shared" si="10"/>
        <v>250</v>
      </c>
      <c r="K45" s="559">
        <f t="shared" si="11"/>
        <v>25</v>
      </c>
      <c r="L45" s="558">
        <f t="shared" si="12"/>
        <v>1639</v>
      </c>
      <c r="M45" s="559">
        <f t="shared" si="13"/>
        <v>163.9</v>
      </c>
      <c r="N45" s="562"/>
      <c r="O45" s="562">
        <v>100</v>
      </c>
      <c r="P45" s="563"/>
      <c r="Q45" s="563"/>
      <c r="R45" s="563"/>
      <c r="S45" s="563">
        <v>150</v>
      </c>
      <c r="T45" s="563"/>
      <c r="U45" s="563"/>
      <c r="V45" s="563"/>
      <c r="W45" s="563"/>
      <c r="X45" s="563"/>
      <c r="Y45" s="563"/>
      <c r="Z45" s="563"/>
      <c r="AA45" s="563"/>
      <c r="AB45" s="563"/>
      <c r="AC45" s="563"/>
      <c r="AD45" s="563"/>
      <c r="AE45" s="563"/>
      <c r="AF45" s="563"/>
      <c r="AG45" s="563"/>
      <c r="AH45" s="563"/>
      <c r="AI45" s="563"/>
      <c r="AJ45" s="563"/>
      <c r="AK45" s="563"/>
      <c r="AL45" s="563"/>
      <c r="AM45" s="563"/>
      <c r="AN45" s="563"/>
      <c r="AO45" s="563"/>
      <c r="AP45" s="563"/>
      <c r="AQ45" s="563"/>
      <c r="AR45" s="563"/>
      <c r="AS45" s="563"/>
      <c r="AT45" s="563"/>
      <c r="AU45" s="563"/>
      <c r="AV45" s="563"/>
      <c r="AW45" s="563"/>
      <c r="AX45" s="563"/>
      <c r="AY45" s="563"/>
      <c r="AZ45" s="563"/>
      <c r="BA45" s="563"/>
      <c r="BB45" s="563"/>
      <c r="BC45" s="563"/>
      <c r="BD45" s="563"/>
      <c r="BE45" s="563"/>
      <c r="BF45" s="563"/>
      <c r="BG45" s="563"/>
      <c r="BH45" s="563"/>
      <c r="BI45" s="563"/>
      <c r="BJ45" s="563"/>
      <c r="BK45" s="563"/>
      <c r="BL45" s="563"/>
      <c r="BM45" s="563"/>
      <c r="BN45" s="563"/>
      <c r="BO45" s="563"/>
      <c r="BP45" s="563"/>
      <c r="BQ45" s="563"/>
      <c r="BR45" s="563"/>
      <c r="BS45" s="563"/>
      <c r="BT45" s="563"/>
      <c r="BU45" s="563"/>
      <c r="BV45" s="162"/>
      <c r="BW45" s="190"/>
    </row>
    <row r="46" s="140" customFormat="1" customHeight="1" spans="1:75">
      <c r="A46" s="161">
        <v>46</v>
      </c>
      <c r="B46" s="571" t="s">
        <v>179</v>
      </c>
      <c r="C46" s="555"/>
      <c r="D46" s="561" t="s">
        <v>137</v>
      </c>
      <c r="E46" s="562">
        <v>0.506</v>
      </c>
      <c r="F46" s="556">
        <v>0</v>
      </c>
      <c r="G46" s="557">
        <f t="shared" si="7"/>
        <v>0</v>
      </c>
      <c r="H46" s="558">
        <f t="shared" si="8"/>
        <v>120</v>
      </c>
      <c r="I46" s="559">
        <f t="shared" si="9"/>
        <v>60.72</v>
      </c>
      <c r="J46" s="558">
        <f t="shared" si="10"/>
        <v>14</v>
      </c>
      <c r="K46" s="559">
        <f t="shared" si="11"/>
        <v>7.084</v>
      </c>
      <c r="L46" s="558">
        <f t="shared" si="12"/>
        <v>106</v>
      </c>
      <c r="M46" s="559">
        <f t="shared" si="13"/>
        <v>53.636</v>
      </c>
      <c r="N46" s="562"/>
      <c r="O46" s="562"/>
      <c r="P46" s="563"/>
      <c r="Q46" s="563"/>
      <c r="R46" s="563"/>
      <c r="S46" s="563"/>
      <c r="T46" s="563"/>
      <c r="U46" s="563"/>
      <c r="V46" s="563">
        <v>120</v>
      </c>
      <c r="W46" s="563"/>
      <c r="X46" s="563"/>
      <c r="Y46" s="563"/>
      <c r="Z46" s="563"/>
      <c r="AA46" s="563"/>
      <c r="AB46" s="563"/>
      <c r="AC46" s="563"/>
      <c r="AD46" s="563"/>
      <c r="AE46" s="563"/>
      <c r="AF46" s="563"/>
      <c r="AG46" s="563"/>
      <c r="AH46" s="563"/>
      <c r="AI46" s="563"/>
      <c r="AJ46" s="563"/>
      <c r="AK46" s="563"/>
      <c r="AL46" s="563"/>
      <c r="AM46" s="563"/>
      <c r="AN46" s="563"/>
      <c r="AO46" s="563"/>
      <c r="AP46" s="563"/>
      <c r="AQ46" s="563"/>
      <c r="AR46" s="563"/>
      <c r="AS46" s="563"/>
      <c r="AT46" s="563"/>
      <c r="AU46" s="563">
        <v>1</v>
      </c>
      <c r="AV46" s="563"/>
      <c r="AW46" s="563">
        <v>2</v>
      </c>
      <c r="AX46" s="563"/>
      <c r="AY46" s="563">
        <v>3</v>
      </c>
      <c r="AZ46" s="563"/>
      <c r="BA46" s="563"/>
      <c r="BB46" s="563"/>
      <c r="BC46" s="563">
        <v>3</v>
      </c>
      <c r="BD46" s="563"/>
      <c r="BE46" s="563"/>
      <c r="BF46" s="563"/>
      <c r="BG46" s="563"/>
      <c r="BH46" s="563"/>
      <c r="BI46" s="563">
        <v>5</v>
      </c>
      <c r="BJ46" s="563"/>
      <c r="BK46" s="563"/>
      <c r="BL46" s="563"/>
      <c r="BM46" s="563"/>
      <c r="BN46" s="563"/>
      <c r="BO46" s="563"/>
      <c r="BP46" s="563"/>
      <c r="BQ46" s="563"/>
      <c r="BR46" s="563"/>
      <c r="BS46" s="563"/>
      <c r="BT46" s="563"/>
      <c r="BU46" s="563"/>
      <c r="BV46" s="162"/>
      <c r="BW46" s="190"/>
    </row>
    <row r="47" s="140" customFormat="1" customHeight="1" spans="1:75">
      <c r="A47" s="161">
        <v>47</v>
      </c>
      <c r="B47" s="571" t="s">
        <v>180</v>
      </c>
      <c r="C47" s="555"/>
      <c r="D47" s="561" t="s">
        <v>137</v>
      </c>
      <c r="E47" s="562">
        <v>9.04</v>
      </c>
      <c r="F47" s="556">
        <v>0</v>
      </c>
      <c r="G47" s="557">
        <f t="shared" si="7"/>
        <v>0</v>
      </c>
      <c r="H47" s="558">
        <f t="shared" si="8"/>
        <v>0</v>
      </c>
      <c r="I47" s="559">
        <f t="shared" si="9"/>
        <v>0</v>
      </c>
      <c r="J47" s="558">
        <f t="shared" si="10"/>
        <v>0</v>
      </c>
      <c r="K47" s="559">
        <f t="shared" si="11"/>
        <v>0</v>
      </c>
      <c r="L47" s="558">
        <f t="shared" si="12"/>
        <v>0</v>
      </c>
      <c r="M47" s="559">
        <f t="shared" si="13"/>
        <v>0</v>
      </c>
      <c r="N47" s="562"/>
      <c r="O47" s="562"/>
      <c r="P47" s="563"/>
      <c r="Q47" s="563"/>
      <c r="R47" s="563"/>
      <c r="S47" s="563"/>
      <c r="T47" s="563"/>
      <c r="U47" s="563"/>
      <c r="V47" s="563"/>
      <c r="W47" s="563"/>
      <c r="X47" s="563"/>
      <c r="Y47" s="563"/>
      <c r="Z47" s="563"/>
      <c r="AA47" s="563"/>
      <c r="AB47" s="563"/>
      <c r="AC47" s="563"/>
      <c r="AD47" s="563"/>
      <c r="AE47" s="563"/>
      <c r="AF47" s="563"/>
      <c r="AG47" s="563"/>
      <c r="AH47" s="563"/>
      <c r="AI47" s="563"/>
      <c r="AJ47" s="563"/>
      <c r="AK47" s="563"/>
      <c r="AL47" s="563"/>
      <c r="AM47" s="563"/>
      <c r="AN47" s="563"/>
      <c r="AO47" s="563"/>
      <c r="AP47" s="563"/>
      <c r="AQ47" s="563"/>
      <c r="AR47" s="563"/>
      <c r="AS47" s="563"/>
      <c r="AT47" s="563"/>
      <c r="AU47" s="563"/>
      <c r="AV47" s="563"/>
      <c r="AW47" s="563"/>
      <c r="AX47" s="563"/>
      <c r="AY47" s="563"/>
      <c r="AZ47" s="563"/>
      <c r="BA47" s="563"/>
      <c r="BB47" s="563"/>
      <c r="BC47" s="563"/>
      <c r="BD47" s="563"/>
      <c r="BE47" s="563"/>
      <c r="BF47" s="563"/>
      <c r="BG47" s="563"/>
      <c r="BH47" s="563"/>
      <c r="BI47" s="563"/>
      <c r="BJ47" s="563"/>
      <c r="BK47" s="563"/>
      <c r="BL47" s="563"/>
      <c r="BM47" s="563"/>
      <c r="BN47" s="563"/>
      <c r="BO47" s="563"/>
      <c r="BP47" s="563"/>
      <c r="BQ47" s="563"/>
      <c r="BR47" s="563"/>
      <c r="BS47" s="563"/>
      <c r="BT47" s="563"/>
      <c r="BU47" s="563"/>
      <c r="BV47" s="162"/>
      <c r="BW47" s="190"/>
    </row>
    <row r="48" s="140" customFormat="1" customHeight="1" spans="1:75">
      <c r="A48" s="161">
        <v>48</v>
      </c>
      <c r="B48" s="562" t="s">
        <v>181</v>
      </c>
      <c r="C48" s="555"/>
      <c r="D48" s="561" t="s">
        <v>137</v>
      </c>
      <c r="E48" s="562">
        <v>0.1</v>
      </c>
      <c r="F48" s="556">
        <v>117</v>
      </c>
      <c r="G48" s="557">
        <f t="shared" si="7"/>
        <v>11.7</v>
      </c>
      <c r="H48" s="558">
        <f t="shared" si="8"/>
        <v>0</v>
      </c>
      <c r="I48" s="559">
        <f t="shared" si="9"/>
        <v>0</v>
      </c>
      <c r="J48" s="558">
        <f t="shared" si="10"/>
        <v>65</v>
      </c>
      <c r="K48" s="559">
        <f t="shared" si="11"/>
        <v>6.5</v>
      </c>
      <c r="L48" s="558">
        <f t="shared" si="12"/>
        <v>52</v>
      </c>
      <c r="M48" s="559">
        <f t="shared" si="13"/>
        <v>5.2</v>
      </c>
      <c r="N48" s="562"/>
      <c r="O48" s="562">
        <v>20</v>
      </c>
      <c r="P48" s="563"/>
      <c r="Q48" s="563"/>
      <c r="R48" s="563"/>
      <c r="S48" s="563">
        <v>15</v>
      </c>
      <c r="T48" s="563"/>
      <c r="U48" s="563"/>
      <c r="V48" s="563"/>
      <c r="W48" s="563"/>
      <c r="X48" s="563"/>
      <c r="Y48" s="563"/>
      <c r="Z48" s="563"/>
      <c r="AA48" s="563"/>
      <c r="AB48" s="563"/>
      <c r="AC48" s="563"/>
      <c r="AD48" s="563"/>
      <c r="AE48" s="563"/>
      <c r="AF48" s="563"/>
      <c r="AG48" s="563"/>
      <c r="AH48" s="563"/>
      <c r="AI48" s="563"/>
      <c r="AJ48" s="563"/>
      <c r="AK48" s="563"/>
      <c r="AL48" s="563"/>
      <c r="AM48" s="563"/>
      <c r="AN48" s="563"/>
      <c r="AO48" s="563"/>
      <c r="AP48" s="563"/>
      <c r="AQ48" s="563"/>
      <c r="AR48" s="563"/>
      <c r="AS48" s="563"/>
      <c r="AT48" s="563"/>
      <c r="AU48" s="563"/>
      <c r="AV48" s="563"/>
      <c r="AW48" s="563"/>
      <c r="AX48" s="563"/>
      <c r="AY48" s="563"/>
      <c r="AZ48" s="563"/>
      <c r="BA48" s="563">
        <v>10</v>
      </c>
      <c r="BB48" s="563"/>
      <c r="BC48" s="563"/>
      <c r="BD48" s="563"/>
      <c r="BE48" s="563"/>
      <c r="BF48" s="563"/>
      <c r="BG48" s="563"/>
      <c r="BH48" s="563"/>
      <c r="BI48" s="563">
        <v>5</v>
      </c>
      <c r="BJ48" s="563"/>
      <c r="BK48" s="563"/>
      <c r="BL48" s="563"/>
      <c r="BM48" s="563">
        <v>10</v>
      </c>
      <c r="BN48" s="563"/>
      <c r="BO48" s="563"/>
      <c r="BP48" s="563"/>
      <c r="BQ48" s="563">
        <v>5</v>
      </c>
      <c r="BR48" s="563"/>
      <c r="BS48" s="563"/>
      <c r="BT48" s="563"/>
      <c r="BU48" s="563"/>
      <c r="BV48" s="162"/>
      <c r="BW48" s="190"/>
    </row>
    <row r="49" s="140" customFormat="1" customHeight="1" spans="1:75">
      <c r="A49" s="161">
        <v>21</v>
      </c>
      <c r="B49" s="562" t="s">
        <v>182</v>
      </c>
      <c r="C49" s="555"/>
      <c r="D49" s="561" t="s">
        <v>137</v>
      </c>
      <c r="E49" s="562">
        <v>0.2</v>
      </c>
      <c r="F49" s="556">
        <v>100</v>
      </c>
      <c r="G49" s="557">
        <f t="shared" si="7"/>
        <v>20</v>
      </c>
      <c r="H49" s="558">
        <f t="shared" si="8"/>
        <v>0</v>
      </c>
      <c r="I49" s="559">
        <f t="shared" si="9"/>
        <v>0</v>
      </c>
      <c r="J49" s="558">
        <f t="shared" si="10"/>
        <v>50</v>
      </c>
      <c r="K49" s="559">
        <f t="shared" si="11"/>
        <v>10</v>
      </c>
      <c r="L49" s="558">
        <f t="shared" si="12"/>
        <v>50</v>
      </c>
      <c r="M49" s="559">
        <f t="shared" si="13"/>
        <v>10</v>
      </c>
      <c r="N49" s="562"/>
      <c r="O49" s="562">
        <v>5</v>
      </c>
      <c r="P49" s="563"/>
      <c r="Q49" s="563"/>
      <c r="R49" s="563"/>
      <c r="S49" s="563"/>
      <c r="T49" s="563"/>
      <c r="U49" s="563">
        <v>5</v>
      </c>
      <c r="V49" s="563"/>
      <c r="W49" s="563"/>
      <c r="X49" s="563"/>
      <c r="Y49" s="563"/>
      <c r="Z49" s="563"/>
      <c r="AA49" s="563"/>
      <c r="AB49" s="563"/>
      <c r="AC49" s="563">
        <v>6</v>
      </c>
      <c r="AD49" s="563"/>
      <c r="AE49" s="563"/>
      <c r="AF49" s="563"/>
      <c r="AG49" s="563"/>
      <c r="AH49" s="563"/>
      <c r="AI49" s="563"/>
      <c r="AJ49" s="563"/>
      <c r="AK49" s="563"/>
      <c r="AL49" s="563"/>
      <c r="AM49" s="563"/>
      <c r="AN49" s="563"/>
      <c r="AO49" s="563"/>
      <c r="AP49" s="570"/>
      <c r="AQ49" s="563">
        <v>1</v>
      </c>
      <c r="AR49" s="563"/>
      <c r="AS49" s="563">
        <v>2</v>
      </c>
      <c r="AT49" s="563"/>
      <c r="AU49" s="563"/>
      <c r="AV49" s="563"/>
      <c r="AW49" s="563"/>
      <c r="AX49" s="563"/>
      <c r="AY49" s="563"/>
      <c r="AZ49" s="563"/>
      <c r="BA49" s="563">
        <v>5</v>
      </c>
      <c r="BB49" s="563"/>
      <c r="BC49" s="563">
        <v>5</v>
      </c>
      <c r="BD49" s="563"/>
      <c r="BE49" s="563">
        <v>10</v>
      </c>
      <c r="BF49" s="563"/>
      <c r="BG49" s="563">
        <v>4</v>
      </c>
      <c r="BH49" s="563"/>
      <c r="BI49" s="563">
        <v>1</v>
      </c>
      <c r="BJ49" s="563"/>
      <c r="BK49" s="563"/>
      <c r="BL49" s="563"/>
      <c r="BM49" s="563">
        <v>6</v>
      </c>
      <c r="BN49" s="563"/>
      <c r="BO49" s="563"/>
      <c r="BP49" s="563"/>
      <c r="BQ49" s="563"/>
      <c r="BR49" s="563"/>
      <c r="BS49" s="563"/>
      <c r="BT49" s="563"/>
      <c r="BU49" s="563"/>
      <c r="BV49" s="162"/>
      <c r="BW49" s="190"/>
    </row>
    <row r="50" s="140" customFormat="1" customHeight="1" spans="1:75">
      <c r="A50" s="161">
        <v>51</v>
      </c>
      <c r="B50" s="571" t="s">
        <v>183</v>
      </c>
      <c r="C50" s="555"/>
      <c r="D50" s="561" t="s">
        <v>184</v>
      </c>
      <c r="E50" s="562">
        <v>0.3975</v>
      </c>
      <c r="F50" s="556">
        <v>0</v>
      </c>
      <c r="G50" s="557">
        <f t="shared" si="7"/>
        <v>0</v>
      </c>
      <c r="H50" s="558">
        <f t="shared" si="8"/>
        <v>100</v>
      </c>
      <c r="I50" s="559">
        <f t="shared" si="9"/>
        <v>39.75</v>
      </c>
      <c r="J50" s="558">
        <f t="shared" si="10"/>
        <v>60</v>
      </c>
      <c r="K50" s="559">
        <f t="shared" si="11"/>
        <v>23.85</v>
      </c>
      <c r="L50" s="558">
        <f t="shared" si="12"/>
        <v>40</v>
      </c>
      <c r="M50" s="559">
        <f t="shared" si="13"/>
        <v>15.9</v>
      </c>
      <c r="N50" s="562"/>
      <c r="O50" s="562"/>
      <c r="P50" s="563"/>
      <c r="Q50" s="563"/>
      <c r="R50" s="563"/>
      <c r="S50" s="563"/>
      <c r="T50" s="563"/>
      <c r="U50" s="563"/>
      <c r="V50" s="563">
        <v>100</v>
      </c>
      <c r="W50" s="563"/>
      <c r="X50" s="563"/>
      <c r="Y50" s="563"/>
      <c r="Z50" s="563"/>
      <c r="AA50" s="563"/>
      <c r="AB50" s="563"/>
      <c r="AC50" s="563"/>
      <c r="AD50" s="563"/>
      <c r="AE50" s="563"/>
      <c r="AF50" s="563"/>
      <c r="AG50" s="563"/>
      <c r="AH50" s="563"/>
      <c r="AI50" s="563"/>
      <c r="AJ50" s="563"/>
      <c r="AK50" s="563"/>
      <c r="AL50" s="563"/>
      <c r="AM50" s="563"/>
      <c r="AN50" s="563"/>
      <c r="AO50" s="563"/>
      <c r="AP50" s="563"/>
      <c r="AQ50" s="563"/>
      <c r="AR50" s="563"/>
      <c r="AS50" s="563"/>
      <c r="AT50" s="563"/>
      <c r="AU50" s="563"/>
      <c r="AV50" s="563"/>
      <c r="AW50" s="563"/>
      <c r="AX50" s="563"/>
      <c r="AY50" s="563"/>
      <c r="AZ50" s="563"/>
      <c r="BA50" s="563"/>
      <c r="BB50" s="563"/>
      <c r="BC50" s="563"/>
      <c r="BD50" s="563"/>
      <c r="BE50" s="563"/>
      <c r="BF50" s="563"/>
      <c r="BG50" s="563"/>
      <c r="BH50" s="563"/>
      <c r="BI50" s="563">
        <v>60</v>
      </c>
      <c r="BJ50" s="563"/>
      <c r="BK50" s="563"/>
      <c r="BL50" s="563"/>
      <c r="BM50" s="563"/>
      <c r="BN50" s="563"/>
      <c r="BO50" s="563"/>
      <c r="BP50" s="563"/>
      <c r="BQ50" s="563"/>
      <c r="BR50" s="563"/>
      <c r="BS50" s="563"/>
      <c r="BT50" s="563"/>
      <c r="BU50" s="563"/>
      <c r="BV50" s="162"/>
      <c r="BW50" s="190"/>
    </row>
    <row r="51" s="140" customFormat="1" customHeight="1" spans="1:75">
      <c r="A51" s="161">
        <v>52</v>
      </c>
      <c r="B51" s="562" t="s">
        <v>185</v>
      </c>
      <c r="C51" s="555"/>
      <c r="D51" s="561" t="s">
        <v>137</v>
      </c>
      <c r="E51" s="562">
        <v>5</v>
      </c>
      <c r="F51" s="556">
        <v>6</v>
      </c>
      <c r="G51" s="557">
        <f t="shared" si="7"/>
        <v>30</v>
      </c>
      <c r="H51" s="558">
        <f t="shared" si="8"/>
        <v>0</v>
      </c>
      <c r="I51" s="559">
        <f t="shared" si="9"/>
        <v>0</v>
      </c>
      <c r="J51" s="558">
        <f t="shared" si="10"/>
        <v>0</v>
      </c>
      <c r="K51" s="559">
        <f t="shared" si="11"/>
        <v>0</v>
      </c>
      <c r="L51" s="558">
        <f t="shared" si="12"/>
        <v>6</v>
      </c>
      <c r="M51" s="559">
        <f t="shared" si="13"/>
        <v>30</v>
      </c>
      <c r="N51" s="562"/>
      <c r="O51" s="562"/>
      <c r="P51" s="563"/>
      <c r="Q51" s="563"/>
      <c r="R51" s="563"/>
      <c r="S51" s="563"/>
      <c r="T51" s="563"/>
      <c r="U51" s="563"/>
      <c r="V51" s="563"/>
      <c r="W51" s="563"/>
      <c r="X51" s="563"/>
      <c r="Y51" s="563"/>
      <c r="Z51" s="563"/>
      <c r="AA51" s="563"/>
      <c r="AB51" s="563"/>
      <c r="AC51" s="563"/>
      <c r="AD51" s="563"/>
      <c r="AE51" s="563"/>
      <c r="AF51" s="563"/>
      <c r="AG51" s="563"/>
      <c r="AH51" s="563"/>
      <c r="AI51" s="563"/>
      <c r="AJ51" s="563"/>
      <c r="AK51" s="563"/>
      <c r="AL51" s="563"/>
      <c r="AM51" s="563"/>
      <c r="AN51" s="563"/>
      <c r="AO51" s="563"/>
      <c r="AP51" s="563"/>
      <c r="AQ51" s="563"/>
      <c r="AR51" s="563"/>
      <c r="AS51" s="563"/>
      <c r="AT51" s="563"/>
      <c r="AU51" s="563"/>
      <c r="AV51" s="563"/>
      <c r="AW51" s="563"/>
      <c r="AX51" s="563"/>
      <c r="AY51" s="563"/>
      <c r="AZ51" s="563"/>
      <c r="BA51" s="563"/>
      <c r="BB51" s="563"/>
      <c r="BC51" s="563"/>
      <c r="BD51" s="563"/>
      <c r="BE51" s="563"/>
      <c r="BF51" s="563"/>
      <c r="BG51" s="563"/>
      <c r="BH51" s="563"/>
      <c r="BI51" s="563"/>
      <c r="BJ51" s="563"/>
      <c r="BK51" s="563"/>
      <c r="BL51" s="563"/>
      <c r="BM51" s="563"/>
      <c r="BN51" s="563"/>
      <c r="BO51" s="563"/>
      <c r="BP51" s="563"/>
      <c r="BQ51" s="563"/>
      <c r="BR51" s="563"/>
      <c r="BS51" s="563"/>
      <c r="BT51" s="563"/>
      <c r="BU51" s="563"/>
      <c r="BV51" s="162"/>
      <c r="BW51" s="190"/>
    </row>
    <row r="52" s="140" customFormat="1" customHeight="1" spans="1:75">
      <c r="A52" s="161">
        <v>53</v>
      </c>
      <c r="B52" s="571" t="s">
        <v>186</v>
      </c>
      <c r="C52" s="555"/>
      <c r="D52" s="561" t="s">
        <v>137</v>
      </c>
      <c r="E52" s="562">
        <v>69.9</v>
      </c>
      <c r="F52" s="556">
        <v>0</v>
      </c>
      <c r="G52" s="557">
        <f t="shared" si="7"/>
        <v>0</v>
      </c>
      <c r="H52" s="558">
        <f t="shared" si="8"/>
        <v>1</v>
      </c>
      <c r="I52" s="559">
        <f t="shared" si="9"/>
        <v>69.9</v>
      </c>
      <c r="J52" s="558">
        <f t="shared" si="10"/>
        <v>1</v>
      </c>
      <c r="K52" s="559">
        <f t="shared" si="11"/>
        <v>69.9</v>
      </c>
      <c r="L52" s="558">
        <f t="shared" si="12"/>
        <v>0</v>
      </c>
      <c r="M52" s="559">
        <f t="shared" si="13"/>
        <v>0</v>
      </c>
      <c r="N52" s="562"/>
      <c r="O52" s="562"/>
      <c r="P52" s="563"/>
      <c r="Q52" s="563"/>
      <c r="R52" s="563">
        <v>1</v>
      </c>
      <c r="S52" s="563">
        <v>1</v>
      </c>
      <c r="T52" s="563"/>
      <c r="U52" s="563"/>
      <c r="V52" s="563"/>
      <c r="W52" s="563"/>
      <c r="X52" s="563"/>
      <c r="Y52" s="563"/>
      <c r="Z52" s="563"/>
      <c r="AA52" s="563"/>
      <c r="AB52" s="563"/>
      <c r="AC52" s="563"/>
      <c r="AD52" s="563"/>
      <c r="AE52" s="563"/>
      <c r="AF52" s="563"/>
      <c r="AG52" s="563"/>
      <c r="AH52" s="563"/>
      <c r="AI52" s="563"/>
      <c r="AJ52" s="563"/>
      <c r="AK52" s="563"/>
      <c r="AL52" s="563"/>
      <c r="AM52" s="563"/>
      <c r="AN52" s="563"/>
      <c r="AO52" s="563"/>
      <c r="AP52" s="563"/>
      <c r="AQ52" s="563"/>
      <c r="AR52" s="563"/>
      <c r="AS52" s="563"/>
      <c r="AT52" s="563"/>
      <c r="AU52" s="563"/>
      <c r="AV52" s="563"/>
      <c r="AW52" s="563"/>
      <c r="AX52" s="563"/>
      <c r="AY52" s="563"/>
      <c r="AZ52" s="563"/>
      <c r="BA52" s="563"/>
      <c r="BB52" s="563"/>
      <c r="BC52" s="563"/>
      <c r="BD52" s="563"/>
      <c r="BE52" s="563"/>
      <c r="BF52" s="563"/>
      <c r="BG52" s="563"/>
      <c r="BH52" s="563"/>
      <c r="BI52" s="563"/>
      <c r="BJ52" s="563"/>
      <c r="BK52" s="563"/>
      <c r="BL52" s="563"/>
      <c r="BM52" s="563"/>
      <c r="BN52" s="563"/>
      <c r="BO52" s="563"/>
      <c r="BP52" s="563"/>
      <c r="BQ52" s="563"/>
      <c r="BR52" s="563"/>
      <c r="BS52" s="563"/>
      <c r="BT52" s="563"/>
      <c r="BU52" s="563"/>
      <c r="BV52" s="162"/>
      <c r="BW52" s="190"/>
    </row>
    <row r="53" s="140" customFormat="1" customHeight="1" spans="1:75">
      <c r="A53" s="161">
        <v>54</v>
      </c>
      <c r="B53" s="562" t="s">
        <v>187</v>
      </c>
      <c r="C53" s="555"/>
      <c r="D53" s="561" t="s">
        <v>137</v>
      </c>
      <c r="E53" s="562">
        <v>0.059</v>
      </c>
      <c r="F53" s="556">
        <v>50</v>
      </c>
      <c r="G53" s="557">
        <f t="shared" si="7"/>
        <v>2.95</v>
      </c>
      <c r="H53" s="558">
        <f t="shared" si="8"/>
        <v>0</v>
      </c>
      <c r="I53" s="559">
        <f t="shared" si="9"/>
        <v>0</v>
      </c>
      <c r="J53" s="558">
        <f t="shared" si="10"/>
        <v>12</v>
      </c>
      <c r="K53" s="559">
        <f t="shared" si="11"/>
        <v>0.708</v>
      </c>
      <c r="L53" s="558">
        <f t="shared" si="12"/>
        <v>38</v>
      </c>
      <c r="M53" s="559">
        <f t="shared" si="13"/>
        <v>2.242</v>
      </c>
      <c r="N53" s="562"/>
      <c r="O53" s="562">
        <v>2</v>
      </c>
      <c r="P53" s="563"/>
      <c r="Q53" s="563"/>
      <c r="R53" s="563"/>
      <c r="S53" s="563">
        <v>10</v>
      </c>
      <c r="T53" s="563"/>
      <c r="U53" s="563"/>
      <c r="V53" s="563"/>
      <c r="W53" s="563"/>
      <c r="X53" s="563"/>
      <c r="Y53" s="563"/>
      <c r="Z53" s="563"/>
      <c r="AA53" s="563"/>
      <c r="AB53" s="563"/>
      <c r="AC53" s="563"/>
      <c r="AD53" s="563"/>
      <c r="AE53" s="563"/>
      <c r="AF53" s="563"/>
      <c r="AG53" s="563"/>
      <c r="AH53" s="563"/>
      <c r="AI53" s="563"/>
      <c r="AJ53" s="563"/>
      <c r="AK53" s="563"/>
      <c r="AL53" s="563"/>
      <c r="AM53" s="563"/>
      <c r="AN53" s="563"/>
      <c r="AO53" s="563"/>
      <c r="AP53" s="563"/>
      <c r="AQ53" s="563"/>
      <c r="AR53" s="563"/>
      <c r="AS53" s="563"/>
      <c r="AT53" s="563"/>
      <c r="AU53" s="563"/>
      <c r="AV53" s="563"/>
      <c r="AW53" s="563"/>
      <c r="AX53" s="563"/>
      <c r="AY53" s="563"/>
      <c r="AZ53" s="563"/>
      <c r="BA53" s="563"/>
      <c r="BB53" s="563"/>
      <c r="BC53" s="563"/>
      <c r="BD53" s="563"/>
      <c r="BE53" s="563"/>
      <c r="BF53" s="563"/>
      <c r="BG53" s="563"/>
      <c r="BH53" s="563"/>
      <c r="BI53" s="563"/>
      <c r="BJ53" s="563"/>
      <c r="BK53" s="563"/>
      <c r="BL53" s="563"/>
      <c r="BM53" s="563"/>
      <c r="BN53" s="563"/>
      <c r="BO53" s="563"/>
      <c r="BP53" s="563"/>
      <c r="BQ53" s="563"/>
      <c r="BR53" s="563"/>
      <c r="BS53" s="563"/>
      <c r="BT53" s="563"/>
      <c r="BU53" s="563"/>
      <c r="BV53" s="162"/>
      <c r="BW53" s="190"/>
    </row>
    <row r="54" s="140" customFormat="1" customHeight="1" spans="1:75">
      <c r="A54" s="161">
        <v>55</v>
      </c>
      <c r="B54" s="565" t="s">
        <v>188</v>
      </c>
      <c r="C54" s="555"/>
      <c r="D54" s="561" t="s">
        <v>137</v>
      </c>
      <c r="E54" s="562">
        <v>0.1138</v>
      </c>
      <c r="F54" s="556">
        <v>748</v>
      </c>
      <c r="G54" s="557">
        <f t="shared" si="7"/>
        <v>85.1224</v>
      </c>
      <c r="H54" s="558">
        <f t="shared" si="8"/>
        <v>0</v>
      </c>
      <c r="I54" s="559">
        <f t="shared" si="9"/>
        <v>0</v>
      </c>
      <c r="J54" s="558">
        <f t="shared" si="10"/>
        <v>748</v>
      </c>
      <c r="K54" s="559">
        <f t="shared" si="11"/>
        <v>85.1224</v>
      </c>
      <c r="L54" s="558">
        <f t="shared" si="12"/>
        <v>0</v>
      </c>
      <c r="M54" s="559">
        <f t="shared" si="13"/>
        <v>0</v>
      </c>
      <c r="N54" s="562"/>
      <c r="O54" s="562">
        <v>100</v>
      </c>
      <c r="P54" s="563"/>
      <c r="Q54" s="563"/>
      <c r="R54" s="563"/>
      <c r="S54" s="563">
        <v>50</v>
      </c>
      <c r="T54" s="563"/>
      <c r="U54" s="563"/>
      <c r="V54" s="563"/>
      <c r="W54" s="563">
        <v>100</v>
      </c>
      <c r="X54" s="563"/>
      <c r="Y54" s="563"/>
      <c r="Z54" s="563"/>
      <c r="AA54" s="563">
        <v>40</v>
      </c>
      <c r="AB54" s="563"/>
      <c r="AC54" s="563"/>
      <c r="AD54" s="563"/>
      <c r="AE54" s="563">
        <v>100</v>
      </c>
      <c r="AF54" s="563"/>
      <c r="AG54" s="563"/>
      <c r="AH54" s="563"/>
      <c r="AI54" s="563"/>
      <c r="AJ54" s="563"/>
      <c r="AK54" s="563">
        <v>100</v>
      </c>
      <c r="AL54" s="563"/>
      <c r="AM54" s="563"/>
      <c r="AN54" s="563"/>
      <c r="AO54" s="563"/>
      <c r="AP54" s="563"/>
      <c r="AQ54" s="563">
        <v>100</v>
      </c>
      <c r="AR54" s="563"/>
      <c r="AS54" s="563"/>
      <c r="AT54" s="563"/>
      <c r="AU54" s="563"/>
      <c r="AV54" s="563"/>
      <c r="AW54" s="563"/>
      <c r="AX54" s="563"/>
      <c r="AY54" s="563"/>
      <c r="AZ54" s="563"/>
      <c r="BA54" s="563"/>
      <c r="BB54" s="563"/>
      <c r="BC54" s="563">
        <v>50</v>
      </c>
      <c r="BD54" s="563"/>
      <c r="BE54" s="563"/>
      <c r="BF54" s="563"/>
      <c r="BG54" s="563"/>
      <c r="BH54" s="563"/>
      <c r="BI54" s="563">
        <v>108</v>
      </c>
      <c r="BJ54" s="563"/>
      <c r="BK54" s="563"/>
      <c r="BL54" s="563"/>
      <c r="BM54" s="563"/>
      <c r="BN54" s="563"/>
      <c r="BO54" s="563"/>
      <c r="BP54" s="563"/>
      <c r="BQ54" s="563"/>
      <c r="BR54" s="563"/>
      <c r="BS54" s="563"/>
      <c r="BT54" s="563"/>
      <c r="BU54" s="563"/>
      <c r="BV54" s="162"/>
      <c r="BW54" s="190"/>
    </row>
    <row r="55" s="553" customFormat="1" customHeight="1" spans="1:75">
      <c r="A55" s="161">
        <v>56</v>
      </c>
      <c r="B55" s="571" t="s">
        <v>189</v>
      </c>
      <c r="C55" s="555"/>
      <c r="D55" s="561" t="s">
        <v>137</v>
      </c>
      <c r="E55" s="562">
        <v>18.88</v>
      </c>
      <c r="F55" s="556">
        <v>0</v>
      </c>
      <c r="G55" s="557">
        <f t="shared" si="7"/>
        <v>0</v>
      </c>
      <c r="H55" s="558">
        <f t="shared" si="8"/>
        <v>1</v>
      </c>
      <c r="I55" s="559">
        <f t="shared" si="9"/>
        <v>18.88</v>
      </c>
      <c r="J55" s="558">
        <f t="shared" si="10"/>
        <v>1</v>
      </c>
      <c r="K55" s="559">
        <f t="shared" si="11"/>
        <v>18.88</v>
      </c>
      <c r="L55" s="558">
        <f t="shared" si="12"/>
        <v>0</v>
      </c>
      <c r="M55" s="559">
        <f t="shared" si="13"/>
        <v>0</v>
      </c>
      <c r="N55" s="562"/>
      <c r="O55" s="562"/>
      <c r="P55" s="563"/>
      <c r="Q55" s="563"/>
      <c r="R55" s="563">
        <v>1</v>
      </c>
      <c r="S55" s="563"/>
      <c r="T55" s="563"/>
      <c r="U55" s="563"/>
      <c r="V55" s="563"/>
      <c r="W55" s="563"/>
      <c r="X55" s="563"/>
      <c r="Y55" s="563"/>
      <c r="Z55" s="563"/>
      <c r="AA55" s="563"/>
      <c r="AB55" s="563"/>
      <c r="AC55" s="563"/>
      <c r="AD55" s="563"/>
      <c r="AE55" s="563"/>
      <c r="AF55" s="563"/>
      <c r="AG55" s="563"/>
      <c r="AH55" s="563"/>
      <c r="AI55" s="563"/>
      <c r="AJ55" s="563"/>
      <c r="AK55" s="563"/>
      <c r="AL55" s="563"/>
      <c r="AM55" s="563"/>
      <c r="AN55" s="563"/>
      <c r="AO55" s="563"/>
      <c r="AP55" s="563"/>
      <c r="AQ55" s="563"/>
      <c r="AR55" s="563"/>
      <c r="AS55" s="563"/>
      <c r="AT55" s="563"/>
      <c r="AU55" s="563"/>
      <c r="AV55" s="563"/>
      <c r="AW55" s="563"/>
      <c r="AX55" s="563"/>
      <c r="AY55" s="563"/>
      <c r="AZ55" s="563"/>
      <c r="BA55" s="563"/>
      <c r="BB55" s="563"/>
      <c r="BC55" s="563"/>
      <c r="BD55" s="563"/>
      <c r="BE55" s="563"/>
      <c r="BF55" s="563"/>
      <c r="BG55" s="563"/>
      <c r="BH55" s="563"/>
      <c r="BI55" s="563">
        <v>1</v>
      </c>
      <c r="BJ55" s="563"/>
      <c r="BK55" s="563"/>
      <c r="BL55" s="563"/>
      <c r="BM55" s="563"/>
      <c r="BN55" s="563"/>
      <c r="BO55" s="563"/>
      <c r="BP55" s="563"/>
      <c r="BQ55" s="563"/>
      <c r="BR55" s="563"/>
      <c r="BS55" s="563"/>
      <c r="BT55" s="563"/>
      <c r="BU55" s="563"/>
      <c r="BV55" s="381"/>
      <c r="BW55" s="566"/>
    </row>
    <row r="56" s="140" customFormat="1" customHeight="1" spans="1:75">
      <c r="A56" s="161">
        <v>57</v>
      </c>
      <c r="B56" s="571" t="s">
        <v>190</v>
      </c>
      <c r="C56" s="555"/>
      <c r="D56" s="561" t="s">
        <v>137</v>
      </c>
      <c r="E56" s="562">
        <v>23.8</v>
      </c>
      <c r="F56" s="556">
        <v>0</v>
      </c>
      <c r="G56" s="557">
        <f t="shared" si="7"/>
        <v>0</v>
      </c>
      <c r="H56" s="558">
        <f t="shared" si="8"/>
        <v>1</v>
      </c>
      <c r="I56" s="559">
        <f t="shared" si="9"/>
        <v>23.8</v>
      </c>
      <c r="J56" s="558">
        <f t="shared" si="10"/>
        <v>1</v>
      </c>
      <c r="K56" s="559">
        <f t="shared" si="11"/>
        <v>23.8</v>
      </c>
      <c r="L56" s="558">
        <f t="shared" si="12"/>
        <v>0</v>
      </c>
      <c r="M56" s="559">
        <f t="shared" si="13"/>
        <v>0</v>
      </c>
      <c r="N56" s="562"/>
      <c r="O56" s="562"/>
      <c r="P56" s="563"/>
      <c r="Q56" s="563"/>
      <c r="R56" s="563"/>
      <c r="S56" s="563"/>
      <c r="T56" s="563"/>
      <c r="U56" s="563"/>
      <c r="V56" s="563">
        <v>1</v>
      </c>
      <c r="W56" s="563"/>
      <c r="X56" s="563"/>
      <c r="Y56" s="563"/>
      <c r="Z56" s="563"/>
      <c r="AA56" s="563"/>
      <c r="AB56" s="563"/>
      <c r="AC56" s="563"/>
      <c r="AD56" s="563"/>
      <c r="AE56" s="563"/>
      <c r="AF56" s="563"/>
      <c r="AG56" s="563"/>
      <c r="AH56" s="563"/>
      <c r="AI56" s="563"/>
      <c r="AJ56" s="563"/>
      <c r="AK56" s="563"/>
      <c r="AL56" s="563"/>
      <c r="AM56" s="563"/>
      <c r="AN56" s="563"/>
      <c r="AO56" s="563"/>
      <c r="AP56" s="563"/>
      <c r="AQ56" s="563"/>
      <c r="AR56" s="563"/>
      <c r="AS56" s="563"/>
      <c r="AT56" s="563"/>
      <c r="AU56" s="563"/>
      <c r="AV56" s="563"/>
      <c r="AW56" s="563"/>
      <c r="AX56" s="563"/>
      <c r="AY56" s="563"/>
      <c r="AZ56" s="563"/>
      <c r="BA56" s="563"/>
      <c r="BB56" s="563"/>
      <c r="BC56" s="563"/>
      <c r="BD56" s="563"/>
      <c r="BE56" s="563"/>
      <c r="BF56" s="563"/>
      <c r="BG56" s="563"/>
      <c r="BH56" s="563"/>
      <c r="BI56" s="563">
        <v>1</v>
      </c>
      <c r="BJ56" s="563"/>
      <c r="BK56" s="563"/>
      <c r="BL56" s="563"/>
      <c r="BM56" s="563"/>
      <c r="BN56" s="563"/>
      <c r="BO56" s="563"/>
      <c r="BP56" s="563"/>
      <c r="BQ56" s="563"/>
      <c r="BR56" s="563"/>
      <c r="BS56" s="563"/>
      <c r="BT56" s="563"/>
      <c r="BU56" s="563"/>
      <c r="BV56" s="162"/>
      <c r="BW56" s="162"/>
    </row>
    <row r="57" s="140" customFormat="1" customHeight="1" spans="1:75">
      <c r="A57" s="161">
        <v>58</v>
      </c>
      <c r="B57" s="571" t="s">
        <v>191</v>
      </c>
      <c r="C57" s="555"/>
      <c r="D57" s="561" t="s">
        <v>137</v>
      </c>
      <c r="E57" s="562">
        <v>13.8</v>
      </c>
      <c r="F57" s="556">
        <v>0</v>
      </c>
      <c r="G57" s="557">
        <f t="shared" si="7"/>
        <v>0</v>
      </c>
      <c r="H57" s="558">
        <f t="shared" si="8"/>
        <v>1</v>
      </c>
      <c r="I57" s="559">
        <f t="shared" si="9"/>
        <v>13.8</v>
      </c>
      <c r="J57" s="558">
        <f t="shared" si="10"/>
        <v>1</v>
      </c>
      <c r="K57" s="559">
        <f t="shared" si="11"/>
        <v>13.8</v>
      </c>
      <c r="L57" s="558">
        <f t="shared" si="12"/>
        <v>0</v>
      </c>
      <c r="M57" s="559">
        <f t="shared" si="13"/>
        <v>0</v>
      </c>
      <c r="N57" s="562"/>
      <c r="O57" s="562"/>
      <c r="P57" s="563"/>
      <c r="Q57" s="563"/>
      <c r="R57" s="563">
        <v>1</v>
      </c>
      <c r="S57" s="563"/>
      <c r="T57" s="563"/>
      <c r="U57" s="563"/>
      <c r="V57" s="563"/>
      <c r="W57" s="563"/>
      <c r="X57" s="563"/>
      <c r="Y57" s="563"/>
      <c r="Z57" s="563"/>
      <c r="AA57" s="563"/>
      <c r="AB57" s="563"/>
      <c r="AC57" s="563"/>
      <c r="AD57" s="563"/>
      <c r="AE57" s="563"/>
      <c r="AF57" s="563"/>
      <c r="AG57" s="563"/>
      <c r="AH57" s="563"/>
      <c r="AI57" s="563"/>
      <c r="AJ57" s="563"/>
      <c r="AK57" s="563"/>
      <c r="AL57" s="563"/>
      <c r="AM57" s="563"/>
      <c r="AN57" s="563"/>
      <c r="AO57" s="563"/>
      <c r="AP57" s="563"/>
      <c r="AQ57" s="563"/>
      <c r="AR57" s="563"/>
      <c r="AS57" s="563"/>
      <c r="AT57" s="563"/>
      <c r="AU57" s="563"/>
      <c r="AV57" s="563"/>
      <c r="AW57" s="563"/>
      <c r="AX57" s="563"/>
      <c r="AY57" s="563"/>
      <c r="AZ57" s="563"/>
      <c r="BA57" s="563"/>
      <c r="BB57" s="563"/>
      <c r="BC57" s="563"/>
      <c r="BD57" s="563"/>
      <c r="BE57" s="563"/>
      <c r="BF57" s="563"/>
      <c r="BG57" s="563"/>
      <c r="BH57" s="563"/>
      <c r="BI57" s="563">
        <v>1</v>
      </c>
      <c r="BJ57" s="563"/>
      <c r="BK57" s="563"/>
      <c r="BL57" s="563"/>
      <c r="BM57" s="563"/>
      <c r="BN57" s="563"/>
      <c r="BO57" s="563"/>
      <c r="BP57" s="563"/>
      <c r="BQ57" s="563"/>
      <c r="BR57" s="563"/>
      <c r="BS57" s="563"/>
      <c r="BT57" s="563"/>
      <c r="BU57" s="563"/>
      <c r="BV57" s="162"/>
      <c r="BW57" s="162"/>
    </row>
    <row r="58" s="140" customFormat="1" ht="25.5" customHeight="1" spans="1:75">
      <c r="A58" s="161">
        <v>59</v>
      </c>
      <c r="B58" s="562" t="s">
        <v>192</v>
      </c>
      <c r="C58" s="555"/>
      <c r="D58" s="561" t="s">
        <v>137</v>
      </c>
      <c r="E58" s="562">
        <v>0.85</v>
      </c>
      <c r="F58" s="556">
        <v>40</v>
      </c>
      <c r="G58" s="557">
        <f t="shared" si="7"/>
        <v>34</v>
      </c>
      <c r="H58" s="558">
        <f t="shared" si="8"/>
        <v>0</v>
      </c>
      <c r="I58" s="559">
        <f t="shared" si="9"/>
        <v>0</v>
      </c>
      <c r="J58" s="558">
        <f t="shared" si="10"/>
        <v>40</v>
      </c>
      <c r="K58" s="559">
        <f t="shared" si="11"/>
        <v>34</v>
      </c>
      <c r="L58" s="558">
        <f t="shared" si="12"/>
        <v>0</v>
      </c>
      <c r="M58" s="559">
        <f t="shared" si="13"/>
        <v>0</v>
      </c>
      <c r="N58" s="562"/>
      <c r="O58" s="562">
        <v>10</v>
      </c>
      <c r="P58" s="563"/>
      <c r="Q58" s="563"/>
      <c r="R58" s="563"/>
      <c r="S58" s="563"/>
      <c r="T58" s="563"/>
      <c r="U58" s="563"/>
      <c r="V58" s="563"/>
      <c r="W58" s="563">
        <v>5</v>
      </c>
      <c r="X58" s="563"/>
      <c r="Y58" s="563"/>
      <c r="Z58" s="563"/>
      <c r="AA58" s="563"/>
      <c r="AB58" s="563"/>
      <c r="AC58" s="563"/>
      <c r="AD58" s="563"/>
      <c r="AE58" s="563"/>
      <c r="AF58" s="563"/>
      <c r="AG58" s="563"/>
      <c r="AH58" s="563"/>
      <c r="AI58" s="563"/>
      <c r="AJ58" s="563"/>
      <c r="AK58" s="563"/>
      <c r="AL58" s="563"/>
      <c r="AM58" s="563"/>
      <c r="AN58" s="563"/>
      <c r="AO58" s="563"/>
      <c r="AP58" s="563"/>
      <c r="AQ58" s="563"/>
      <c r="AR58" s="563"/>
      <c r="AS58" s="563"/>
      <c r="AT58" s="563"/>
      <c r="AU58" s="563">
        <v>5</v>
      </c>
      <c r="AV58" s="563"/>
      <c r="AW58" s="563">
        <v>5</v>
      </c>
      <c r="AX58" s="563"/>
      <c r="AY58" s="563">
        <v>5</v>
      </c>
      <c r="AZ58" s="563"/>
      <c r="BA58" s="563">
        <v>10</v>
      </c>
      <c r="BB58" s="563"/>
      <c r="BC58" s="563"/>
      <c r="BD58" s="563"/>
      <c r="BE58" s="563"/>
      <c r="BF58" s="563"/>
      <c r="BG58" s="563"/>
      <c r="BH58" s="563"/>
      <c r="BI58" s="563"/>
      <c r="BJ58" s="563"/>
      <c r="BK58" s="563"/>
      <c r="BL58" s="563"/>
      <c r="BM58" s="563"/>
      <c r="BN58" s="563"/>
      <c r="BO58" s="563"/>
      <c r="BP58" s="563"/>
      <c r="BQ58" s="563"/>
      <c r="BR58" s="563"/>
      <c r="BS58" s="563"/>
      <c r="BT58" s="563"/>
      <c r="BU58" s="563"/>
      <c r="BV58" s="162"/>
      <c r="BW58" s="162"/>
    </row>
    <row r="59" s="140" customFormat="1" customHeight="1" spans="1:75">
      <c r="A59" s="161">
        <v>63</v>
      </c>
      <c r="B59" s="562" t="s">
        <v>193</v>
      </c>
      <c r="C59" s="555"/>
      <c r="D59" s="561" t="s">
        <v>137</v>
      </c>
      <c r="E59" s="562">
        <v>0.228</v>
      </c>
      <c r="F59" s="556">
        <v>123</v>
      </c>
      <c r="G59" s="557">
        <f t="shared" si="7"/>
        <v>28.044</v>
      </c>
      <c r="H59" s="558">
        <f t="shared" si="8"/>
        <v>0</v>
      </c>
      <c r="I59" s="559">
        <f t="shared" si="9"/>
        <v>0</v>
      </c>
      <c r="J59" s="558">
        <f t="shared" si="10"/>
        <v>23</v>
      </c>
      <c r="K59" s="559">
        <f t="shared" si="11"/>
        <v>5.244</v>
      </c>
      <c r="L59" s="558">
        <f t="shared" si="12"/>
        <v>100</v>
      </c>
      <c r="M59" s="559">
        <f t="shared" si="13"/>
        <v>22.8</v>
      </c>
      <c r="N59" s="562"/>
      <c r="O59" s="562"/>
      <c r="P59" s="563"/>
      <c r="Q59" s="563">
        <v>3</v>
      </c>
      <c r="R59" s="563"/>
      <c r="S59" s="563"/>
      <c r="T59" s="563"/>
      <c r="U59" s="563"/>
      <c r="V59" s="563"/>
      <c r="W59" s="563">
        <v>5</v>
      </c>
      <c r="X59" s="563"/>
      <c r="Y59" s="563"/>
      <c r="Z59" s="563"/>
      <c r="AA59" s="563">
        <v>2</v>
      </c>
      <c r="AB59" s="563"/>
      <c r="AC59" s="563"/>
      <c r="AD59" s="563"/>
      <c r="AE59" s="563">
        <v>4</v>
      </c>
      <c r="AF59" s="563"/>
      <c r="AG59" s="563"/>
      <c r="AH59" s="563"/>
      <c r="AI59" s="563"/>
      <c r="AJ59" s="563"/>
      <c r="AK59" s="563"/>
      <c r="AL59" s="563"/>
      <c r="AM59" s="563"/>
      <c r="AN59" s="563"/>
      <c r="AO59" s="563"/>
      <c r="AP59" s="563"/>
      <c r="AQ59" s="563"/>
      <c r="AR59" s="563"/>
      <c r="AS59" s="563">
        <v>4</v>
      </c>
      <c r="AT59" s="563"/>
      <c r="AU59" s="563">
        <v>2</v>
      </c>
      <c r="AV59" s="563"/>
      <c r="AW59" s="563"/>
      <c r="AX59" s="563"/>
      <c r="AY59" s="563">
        <v>1</v>
      </c>
      <c r="AZ59" s="563"/>
      <c r="BA59" s="563"/>
      <c r="BB59" s="563"/>
      <c r="BC59" s="563"/>
      <c r="BD59" s="563"/>
      <c r="BE59" s="563">
        <v>1</v>
      </c>
      <c r="BF59" s="563"/>
      <c r="BG59" s="563"/>
      <c r="BH59" s="563"/>
      <c r="BI59" s="563">
        <v>1</v>
      </c>
      <c r="BJ59" s="563"/>
      <c r="BK59" s="563"/>
      <c r="BL59" s="563"/>
      <c r="BM59" s="563"/>
      <c r="BN59" s="563"/>
      <c r="BO59" s="563"/>
      <c r="BP59" s="563"/>
      <c r="BQ59" s="563"/>
      <c r="BR59" s="563"/>
      <c r="BS59" s="563"/>
      <c r="BT59" s="563"/>
      <c r="BU59" s="563"/>
      <c r="BV59" s="162"/>
      <c r="BW59" s="190"/>
    </row>
    <row r="60" s="140" customFormat="1" customHeight="1" spans="1:75">
      <c r="A60" s="161">
        <v>64</v>
      </c>
      <c r="B60" s="571" t="s">
        <v>194</v>
      </c>
      <c r="C60" s="555"/>
      <c r="D60" s="561" t="s">
        <v>137</v>
      </c>
      <c r="E60" s="562">
        <v>0.477</v>
      </c>
      <c r="F60" s="556">
        <v>0</v>
      </c>
      <c r="G60" s="557">
        <f t="shared" si="7"/>
        <v>0</v>
      </c>
      <c r="H60" s="558">
        <f t="shared" si="8"/>
        <v>10</v>
      </c>
      <c r="I60" s="559">
        <f t="shared" si="9"/>
        <v>4.77</v>
      </c>
      <c r="J60" s="558">
        <f t="shared" si="10"/>
        <v>0</v>
      </c>
      <c r="K60" s="559">
        <f t="shared" si="11"/>
        <v>0</v>
      </c>
      <c r="L60" s="558">
        <f t="shared" si="12"/>
        <v>10</v>
      </c>
      <c r="M60" s="559">
        <f t="shared" si="13"/>
        <v>4.77</v>
      </c>
      <c r="N60" s="562"/>
      <c r="O60" s="562"/>
      <c r="P60" s="563"/>
      <c r="Q60" s="563"/>
      <c r="R60" s="563">
        <v>10</v>
      </c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563"/>
      <c r="AI60" s="563"/>
      <c r="AJ60" s="563"/>
      <c r="AK60" s="563"/>
      <c r="AL60" s="563"/>
      <c r="AM60" s="563"/>
      <c r="AN60" s="563"/>
      <c r="AO60" s="563"/>
      <c r="AP60" s="563"/>
      <c r="AQ60" s="563"/>
      <c r="AR60" s="563"/>
      <c r="AS60" s="563"/>
      <c r="AT60" s="563"/>
      <c r="AU60" s="563"/>
      <c r="AV60" s="563"/>
      <c r="AW60" s="563"/>
      <c r="AX60" s="563"/>
      <c r="AY60" s="563"/>
      <c r="AZ60" s="563"/>
      <c r="BA60" s="563"/>
      <c r="BB60" s="563"/>
      <c r="BC60" s="563"/>
      <c r="BD60" s="563"/>
      <c r="BE60" s="563"/>
      <c r="BF60" s="563"/>
      <c r="BG60" s="563"/>
      <c r="BH60" s="563"/>
      <c r="BI60" s="563"/>
      <c r="BJ60" s="563"/>
      <c r="BK60" s="563"/>
      <c r="BL60" s="563"/>
      <c r="BM60" s="563"/>
      <c r="BN60" s="563"/>
      <c r="BO60" s="563"/>
      <c r="BP60" s="563"/>
      <c r="BQ60" s="563"/>
      <c r="BR60" s="563"/>
      <c r="BS60" s="563"/>
      <c r="BT60" s="563"/>
      <c r="BU60" s="563"/>
      <c r="BV60" s="162"/>
      <c r="BW60" s="190"/>
    </row>
    <row r="61" s="140" customFormat="1" customHeight="1" spans="1:75">
      <c r="A61" s="161">
        <v>65</v>
      </c>
      <c r="B61" s="562" t="s">
        <v>195</v>
      </c>
      <c r="C61" s="555"/>
      <c r="D61" s="561" t="s">
        <v>137</v>
      </c>
      <c r="E61" s="562">
        <v>1.1854</v>
      </c>
      <c r="F61" s="556">
        <v>15</v>
      </c>
      <c r="G61" s="557">
        <f t="shared" si="7"/>
        <v>17.781</v>
      </c>
      <c r="H61" s="558">
        <f t="shared" si="8"/>
        <v>0</v>
      </c>
      <c r="I61" s="559">
        <f t="shared" si="9"/>
        <v>0</v>
      </c>
      <c r="J61" s="558">
        <f t="shared" si="10"/>
        <v>11</v>
      </c>
      <c r="K61" s="559">
        <f t="shared" si="11"/>
        <v>13.0394</v>
      </c>
      <c r="L61" s="558">
        <f t="shared" si="12"/>
        <v>4</v>
      </c>
      <c r="M61" s="559">
        <f t="shared" si="13"/>
        <v>4.7416</v>
      </c>
      <c r="N61" s="562"/>
      <c r="O61" s="562"/>
      <c r="P61" s="563"/>
      <c r="Q61" s="563"/>
      <c r="R61" s="563"/>
      <c r="S61" s="563">
        <v>2</v>
      </c>
      <c r="T61" s="563"/>
      <c r="U61" s="563">
        <v>1</v>
      </c>
      <c r="V61" s="563"/>
      <c r="W61" s="563">
        <v>1</v>
      </c>
      <c r="X61" s="563"/>
      <c r="Y61" s="563"/>
      <c r="Z61" s="563"/>
      <c r="AA61" s="563">
        <v>3</v>
      </c>
      <c r="AB61" s="563"/>
      <c r="AC61" s="563"/>
      <c r="AD61" s="563"/>
      <c r="AE61" s="563"/>
      <c r="AF61" s="563"/>
      <c r="AG61" s="563"/>
      <c r="AH61" s="563"/>
      <c r="AI61" s="563"/>
      <c r="AJ61" s="563"/>
      <c r="AK61" s="563"/>
      <c r="AL61" s="563"/>
      <c r="AM61" s="563"/>
      <c r="AN61" s="563"/>
      <c r="AO61" s="563"/>
      <c r="AP61" s="563"/>
      <c r="AQ61" s="563"/>
      <c r="AR61" s="563"/>
      <c r="AS61" s="563"/>
      <c r="AT61" s="563"/>
      <c r="AU61" s="563"/>
      <c r="AV61" s="563"/>
      <c r="AW61" s="563"/>
      <c r="AX61" s="563"/>
      <c r="AY61" s="563"/>
      <c r="AZ61" s="563"/>
      <c r="BA61" s="563"/>
      <c r="BB61" s="563"/>
      <c r="BC61" s="563"/>
      <c r="BD61" s="563"/>
      <c r="BE61" s="563"/>
      <c r="BF61" s="563"/>
      <c r="BG61" s="563"/>
      <c r="BH61" s="563"/>
      <c r="BI61" s="563"/>
      <c r="BJ61" s="563"/>
      <c r="BK61" s="563"/>
      <c r="BL61" s="563"/>
      <c r="BM61" s="563">
        <v>4</v>
      </c>
      <c r="BN61" s="563"/>
      <c r="BO61" s="563"/>
      <c r="BP61" s="563"/>
      <c r="BQ61" s="563"/>
      <c r="BR61" s="563"/>
      <c r="BS61" s="563"/>
      <c r="BT61" s="563"/>
      <c r="BU61" s="563"/>
      <c r="BV61" s="162"/>
      <c r="BW61" s="190"/>
    </row>
    <row r="62" s="140" customFormat="1" customHeight="1" spans="1:75">
      <c r="A62" s="161">
        <v>66</v>
      </c>
      <c r="B62" s="571" t="s">
        <v>196</v>
      </c>
      <c r="C62" s="555"/>
      <c r="D62" s="561" t="s">
        <v>137</v>
      </c>
      <c r="E62" s="562">
        <v>20.8</v>
      </c>
      <c r="F62" s="556">
        <v>1</v>
      </c>
      <c r="G62" s="557">
        <f t="shared" si="7"/>
        <v>20.8</v>
      </c>
      <c r="H62" s="558">
        <f t="shared" si="8"/>
        <v>0</v>
      </c>
      <c r="I62" s="559">
        <f t="shared" si="9"/>
        <v>0</v>
      </c>
      <c r="J62" s="558">
        <f t="shared" si="10"/>
        <v>1</v>
      </c>
      <c r="K62" s="559">
        <f t="shared" si="11"/>
        <v>20.8</v>
      </c>
      <c r="L62" s="558">
        <f t="shared" si="12"/>
        <v>0</v>
      </c>
      <c r="M62" s="559">
        <f t="shared" si="13"/>
        <v>0</v>
      </c>
      <c r="N62" s="562"/>
      <c r="O62" s="562">
        <v>1</v>
      </c>
      <c r="P62" s="563"/>
      <c r="Q62" s="563"/>
      <c r="R62" s="563"/>
      <c r="S62" s="563"/>
      <c r="T62" s="563"/>
      <c r="U62" s="563"/>
      <c r="V62" s="563"/>
      <c r="W62" s="563"/>
      <c r="X62" s="563"/>
      <c r="Y62" s="563"/>
      <c r="Z62" s="563"/>
      <c r="AA62" s="563"/>
      <c r="AB62" s="563"/>
      <c r="AC62" s="563"/>
      <c r="AD62" s="563"/>
      <c r="AE62" s="563"/>
      <c r="AF62" s="563"/>
      <c r="AG62" s="563"/>
      <c r="AH62" s="563"/>
      <c r="AI62" s="563"/>
      <c r="AJ62" s="563"/>
      <c r="AK62" s="563"/>
      <c r="AL62" s="563"/>
      <c r="AM62" s="563"/>
      <c r="AN62" s="563"/>
      <c r="AO62" s="563"/>
      <c r="AP62" s="563"/>
      <c r="AQ62" s="563"/>
      <c r="AR62" s="563"/>
      <c r="AS62" s="563"/>
      <c r="AT62" s="563"/>
      <c r="AU62" s="563"/>
      <c r="AV62" s="563"/>
      <c r="AW62" s="563"/>
      <c r="AX62" s="563"/>
      <c r="AY62" s="563"/>
      <c r="AZ62" s="563"/>
      <c r="BA62" s="563"/>
      <c r="BB62" s="563"/>
      <c r="BC62" s="563"/>
      <c r="BD62" s="563"/>
      <c r="BE62" s="563"/>
      <c r="BF62" s="563"/>
      <c r="BG62" s="563"/>
      <c r="BH62" s="563"/>
      <c r="BI62" s="563"/>
      <c r="BJ62" s="563"/>
      <c r="BK62" s="563"/>
      <c r="BL62" s="563"/>
      <c r="BM62" s="563"/>
      <c r="BN62" s="563"/>
      <c r="BO62" s="563"/>
      <c r="BP62" s="563"/>
      <c r="BQ62" s="563"/>
      <c r="BR62" s="563"/>
      <c r="BS62" s="563"/>
      <c r="BT62" s="563"/>
      <c r="BU62" s="563"/>
      <c r="BV62" s="162"/>
      <c r="BW62" s="190"/>
    </row>
    <row r="63" s="140" customFormat="1" customHeight="1" spans="1:75">
      <c r="A63" s="161">
        <v>71</v>
      </c>
      <c r="B63" s="571" t="s">
        <v>197</v>
      </c>
      <c r="C63" s="567"/>
      <c r="D63" s="561" t="s">
        <v>137</v>
      </c>
      <c r="E63" s="562">
        <v>14.8</v>
      </c>
      <c r="F63" s="556">
        <v>1</v>
      </c>
      <c r="G63" s="557">
        <f t="shared" si="7"/>
        <v>14.8</v>
      </c>
      <c r="H63" s="558">
        <f t="shared" si="8"/>
        <v>0</v>
      </c>
      <c r="I63" s="559">
        <f t="shared" si="9"/>
        <v>0</v>
      </c>
      <c r="J63" s="558">
        <f t="shared" si="10"/>
        <v>1</v>
      </c>
      <c r="K63" s="559">
        <f t="shared" si="11"/>
        <v>14.8</v>
      </c>
      <c r="L63" s="558">
        <f t="shared" si="12"/>
        <v>0</v>
      </c>
      <c r="M63" s="559">
        <f t="shared" si="13"/>
        <v>0</v>
      </c>
      <c r="N63" s="562"/>
      <c r="O63" s="562"/>
      <c r="P63" s="563"/>
      <c r="Q63" s="563">
        <v>1</v>
      </c>
      <c r="R63" s="563"/>
      <c r="S63" s="563"/>
      <c r="T63" s="563"/>
      <c r="U63" s="563"/>
      <c r="V63" s="563"/>
      <c r="W63" s="563"/>
      <c r="X63" s="563"/>
      <c r="Y63" s="563"/>
      <c r="Z63" s="563"/>
      <c r="AA63" s="563"/>
      <c r="AB63" s="563"/>
      <c r="AC63" s="563"/>
      <c r="AD63" s="563"/>
      <c r="AE63" s="563"/>
      <c r="AF63" s="563"/>
      <c r="AG63" s="563"/>
      <c r="AH63" s="563"/>
      <c r="AI63" s="563"/>
      <c r="AJ63" s="563"/>
      <c r="AK63" s="563"/>
      <c r="AL63" s="563"/>
      <c r="AM63" s="563"/>
      <c r="AN63" s="563"/>
      <c r="AO63" s="563"/>
      <c r="AP63" s="563"/>
      <c r="AQ63" s="563"/>
      <c r="AR63" s="563"/>
      <c r="AS63" s="563"/>
      <c r="AT63" s="563"/>
      <c r="AU63" s="563"/>
      <c r="AV63" s="563"/>
      <c r="AW63" s="563"/>
      <c r="AX63" s="563"/>
      <c r="AY63" s="563"/>
      <c r="AZ63" s="563"/>
      <c r="BA63" s="563"/>
      <c r="BB63" s="563"/>
      <c r="BC63" s="563"/>
      <c r="BD63" s="563"/>
      <c r="BE63" s="563"/>
      <c r="BF63" s="563"/>
      <c r="BG63" s="563"/>
      <c r="BH63" s="563"/>
      <c r="BI63" s="563"/>
      <c r="BJ63" s="563"/>
      <c r="BK63" s="563"/>
      <c r="BL63" s="563"/>
      <c r="BM63" s="563"/>
      <c r="BN63" s="563"/>
      <c r="BO63" s="563"/>
      <c r="BP63" s="563"/>
      <c r="BQ63" s="563"/>
      <c r="BR63" s="563"/>
      <c r="BS63" s="563"/>
      <c r="BT63" s="563"/>
      <c r="BU63" s="563"/>
      <c r="BV63" s="162"/>
      <c r="BW63" s="162"/>
    </row>
    <row r="64" s="140" customFormat="1" customHeight="1" spans="1:75">
      <c r="A64" s="161">
        <v>72</v>
      </c>
      <c r="B64" s="562" t="s">
        <v>198</v>
      </c>
      <c r="C64" s="567"/>
      <c r="D64" s="561" t="s">
        <v>137</v>
      </c>
      <c r="E64" s="562">
        <v>0.033</v>
      </c>
      <c r="F64" s="556">
        <v>214</v>
      </c>
      <c r="G64" s="557">
        <f t="shared" si="7"/>
        <v>7.062</v>
      </c>
      <c r="H64" s="558">
        <f t="shared" si="8"/>
        <v>0</v>
      </c>
      <c r="I64" s="559">
        <f t="shared" si="9"/>
        <v>0</v>
      </c>
      <c r="J64" s="558">
        <f t="shared" si="10"/>
        <v>39</v>
      </c>
      <c r="K64" s="559">
        <f t="shared" si="11"/>
        <v>1.287</v>
      </c>
      <c r="L64" s="558">
        <f t="shared" si="12"/>
        <v>175</v>
      </c>
      <c r="M64" s="559">
        <f t="shared" si="13"/>
        <v>5.775</v>
      </c>
      <c r="N64" s="562"/>
      <c r="O64" s="562">
        <v>10</v>
      </c>
      <c r="P64" s="563"/>
      <c r="Q64" s="563"/>
      <c r="R64" s="563"/>
      <c r="S64" s="563"/>
      <c r="T64" s="563"/>
      <c r="U64" s="563">
        <v>5</v>
      </c>
      <c r="V64" s="563"/>
      <c r="W64" s="563">
        <v>9</v>
      </c>
      <c r="X64" s="563"/>
      <c r="Y64" s="563"/>
      <c r="Z64" s="563"/>
      <c r="AA64" s="563">
        <v>10</v>
      </c>
      <c r="AB64" s="563"/>
      <c r="AC64" s="563"/>
      <c r="AD64" s="563"/>
      <c r="AE64" s="563"/>
      <c r="AF64" s="563"/>
      <c r="AG64" s="563"/>
      <c r="AH64" s="563"/>
      <c r="AI64" s="563"/>
      <c r="AJ64" s="563"/>
      <c r="AK64" s="563"/>
      <c r="AL64" s="563"/>
      <c r="AM64" s="563"/>
      <c r="AN64" s="563"/>
      <c r="AO64" s="563"/>
      <c r="AP64" s="563"/>
      <c r="AQ64" s="563"/>
      <c r="AR64" s="563"/>
      <c r="AS64" s="563"/>
      <c r="AT64" s="563"/>
      <c r="AU64" s="563"/>
      <c r="AV64" s="563"/>
      <c r="AW64" s="563"/>
      <c r="AX64" s="563"/>
      <c r="AY64" s="563">
        <v>5</v>
      </c>
      <c r="AZ64" s="563"/>
      <c r="BA64" s="563"/>
      <c r="BB64" s="563"/>
      <c r="BC64" s="563"/>
      <c r="BD64" s="563"/>
      <c r="BE64" s="563"/>
      <c r="BF64" s="563"/>
      <c r="BG64" s="563"/>
      <c r="BH64" s="563"/>
      <c r="BI64" s="563"/>
      <c r="BJ64" s="563"/>
      <c r="BK64" s="563"/>
      <c r="BL64" s="563"/>
      <c r="BM64" s="563"/>
      <c r="BN64" s="563"/>
      <c r="BO64" s="563"/>
      <c r="BP64" s="563"/>
      <c r="BQ64" s="563"/>
      <c r="BR64" s="563"/>
      <c r="BS64" s="563"/>
      <c r="BT64" s="563"/>
      <c r="BU64" s="563"/>
      <c r="BV64" s="162"/>
      <c r="BW64" s="162"/>
    </row>
    <row r="65" s="140" customFormat="1" customHeight="1" spans="1:75">
      <c r="A65" s="161">
        <v>73</v>
      </c>
      <c r="B65" s="571" t="s">
        <v>199</v>
      </c>
      <c r="C65" s="567"/>
      <c r="D65" s="561" t="s">
        <v>137</v>
      </c>
      <c r="E65" s="562">
        <v>0.0357</v>
      </c>
      <c r="F65" s="556">
        <v>350</v>
      </c>
      <c r="G65" s="557">
        <f t="shared" si="7"/>
        <v>12.495</v>
      </c>
      <c r="H65" s="558">
        <f t="shared" si="8"/>
        <v>0</v>
      </c>
      <c r="I65" s="559">
        <f t="shared" si="9"/>
        <v>0</v>
      </c>
      <c r="J65" s="558">
        <f t="shared" si="10"/>
        <v>350</v>
      </c>
      <c r="K65" s="559">
        <f t="shared" si="11"/>
        <v>12.495</v>
      </c>
      <c r="L65" s="558">
        <f t="shared" si="12"/>
        <v>0</v>
      </c>
      <c r="M65" s="559">
        <f t="shared" si="13"/>
        <v>0</v>
      </c>
      <c r="N65" s="562"/>
      <c r="O65" s="562"/>
      <c r="P65" s="563"/>
      <c r="Q65" s="563">
        <v>50</v>
      </c>
      <c r="R65" s="563"/>
      <c r="S65" s="563"/>
      <c r="T65" s="563"/>
      <c r="U65" s="563"/>
      <c r="V65" s="563"/>
      <c r="W65" s="563">
        <v>50</v>
      </c>
      <c r="X65" s="563"/>
      <c r="Y65" s="563"/>
      <c r="Z65" s="563"/>
      <c r="AA65" s="563"/>
      <c r="AB65" s="563"/>
      <c r="AC65" s="563"/>
      <c r="AD65" s="563"/>
      <c r="AE65" s="563">
        <v>50</v>
      </c>
      <c r="AF65" s="563"/>
      <c r="AG65" s="563"/>
      <c r="AH65" s="563"/>
      <c r="AI65" s="563"/>
      <c r="AJ65" s="563"/>
      <c r="AK65" s="563"/>
      <c r="AL65" s="563"/>
      <c r="AM65" s="563"/>
      <c r="AN65" s="563"/>
      <c r="AO65" s="563"/>
      <c r="AP65" s="563"/>
      <c r="AQ65" s="563"/>
      <c r="AR65" s="563"/>
      <c r="AS65" s="563"/>
      <c r="AT65" s="563"/>
      <c r="AU65" s="563"/>
      <c r="AV65" s="563"/>
      <c r="AW65" s="563"/>
      <c r="AX65" s="563"/>
      <c r="AY65" s="563">
        <v>100</v>
      </c>
      <c r="AZ65" s="563"/>
      <c r="BA65" s="563"/>
      <c r="BB65" s="563"/>
      <c r="BC65" s="563">
        <v>100</v>
      </c>
      <c r="BD65" s="563"/>
      <c r="BE65" s="563"/>
      <c r="BF65" s="563"/>
      <c r="BG65" s="563"/>
      <c r="BH65" s="563"/>
      <c r="BI65" s="563"/>
      <c r="BJ65" s="563"/>
      <c r="BK65" s="563"/>
      <c r="BL65" s="563"/>
      <c r="BM65" s="563"/>
      <c r="BN65" s="563"/>
      <c r="BO65" s="563"/>
      <c r="BP65" s="563"/>
      <c r="BQ65" s="563"/>
      <c r="BR65" s="563"/>
      <c r="BS65" s="563"/>
      <c r="BT65" s="563"/>
      <c r="BU65" s="563"/>
      <c r="BV65" s="162"/>
      <c r="BW65" s="162"/>
    </row>
    <row r="66" s="140" customFormat="1" customHeight="1" spans="1:75">
      <c r="A66" s="161">
        <v>75</v>
      </c>
      <c r="B66" s="562" t="s">
        <v>200</v>
      </c>
      <c r="C66" s="567"/>
      <c r="D66" s="561" t="s">
        <v>137</v>
      </c>
      <c r="E66" s="562">
        <v>1.529</v>
      </c>
      <c r="F66" s="556">
        <v>10</v>
      </c>
      <c r="G66" s="557">
        <f t="shared" si="7"/>
        <v>15.29</v>
      </c>
      <c r="H66" s="558">
        <f t="shared" si="8"/>
        <v>0</v>
      </c>
      <c r="I66" s="559">
        <f t="shared" si="9"/>
        <v>0</v>
      </c>
      <c r="J66" s="558">
        <f t="shared" si="10"/>
        <v>0</v>
      </c>
      <c r="K66" s="559">
        <f t="shared" si="11"/>
        <v>0</v>
      </c>
      <c r="L66" s="558">
        <f t="shared" si="12"/>
        <v>10</v>
      </c>
      <c r="M66" s="559">
        <f t="shared" si="13"/>
        <v>15.29</v>
      </c>
      <c r="N66" s="562"/>
      <c r="O66" s="562"/>
      <c r="P66" s="563"/>
      <c r="Q66" s="563"/>
      <c r="R66" s="563"/>
      <c r="S66" s="563"/>
      <c r="T66" s="563"/>
      <c r="U66" s="563"/>
      <c r="V66" s="563"/>
      <c r="W66" s="563"/>
      <c r="X66" s="570"/>
      <c r="Y66" s="563"/>
      <c r="Z66" s="563"/>
      <c r="AA66" s="563"/>
      <c r="AB66" s="563"/>
      <c r="AC66" s="563"/>
      <c r="AD66" s="563"/>
      <c r="AE66" s="563"/>
      <c r="AF66" s="563"/>
      <c r="AG66" s="563"/>
      <c r="AH66" s="563"/>
      <c r="AI66" s="563"/>
      <c r="AJ66" s="563"/>
      <c r="AK66" s="563"/>
      <c r="AL66" s="563"/>
      <c r="AM66" s="563"/>
      <c r="AN66" s="563"/>
      <c r="AO66" s="563"/>
      <c r="AP66" s="563"/>
      <c r="AQ66" s="563"/>
      <c r="AR66" s="563"/>
      <c r="AS66" s="563"/>
      <c r="AT66" s="563"/>
      <c r="AU66" s="563"/>
      <c r="AV66" s="563"/>
      <c r="AW66" s="563"/>
      <c r="AX66" s="563"/>
      <c r="AY66" s="563"/>
      <c r="AZ66" s="563"/>
      <c r="BA66" s="563"/>
      <c r="BB66" s="563"/>
      <c r="BC66" s="563"/>
      <c r="BD66" s="563"/>
      <c r="BE66" s="563"/>
      <c r="BF66" s="563"/>
      <c r="BG66" s="563"/>
      <c r="BH66" s="563"/>
      <c r="BI66" s="563"/>
      <c r="BJ66" s="563"/>
      <c r="BK66" s="563"/>
      <c r="BL66" s="563"/>
      <c r="BM66" s="563"/>
      <c r="BN66" s="563"/>
      <c r="BO66" s="563"/>
      <c r="BP66" s="563"/>
      <c r="BQ66" s="563"/>
      <c r="BR66" s="563"/>
      <c r="BS66" s="563"/>
      <c r="BT66" s="563"/>
      <c r="BU66" s="563"/>
      <c r="BV66" s="162"/>
      <c r="BW66" s="162"/>
    </row>
    <row r="67" s="140" customFormat="1" customHeight="1" spans="1:75">
      <c r="A67" s="161">
        <v>76</v>
      </c>
      <c r="B67" s="562" t="s">
        <v>201</v>
      </c>
      <c r="C67" s="567"/>
      <c r="D67" s="561" t="s">
        <v>137</v>
      </c>
      <c r="E67" s="562">
        <v>0.23</v>
      </c>
      <c r="F67" s="556">
        <v>937</v>
      </c>
      <c r="G67" s="557">
        <f t="shared" si="7"/>
        <v>215.51</v>
      </c>
      <c r="H67" s="558">
        <f t="shared" si="8"/>
        <v>0</v>
      </c>
      <c r="I67" s="559">
        <f t="shared" si="9"/>
        <v>0</v>
      </c>
      <c r="J67" s="558">
        <f t="shared" si="10"/>
        <v>500</v>
      </c>
      <c r="K67" s="559">
        <f t="shared" si="11"/>
        <v>115</v>
      </c>
      <c r="L67" s="558">
        <f t="shared" si="12"/>
        <v>437</v>
      </c>
      <c r="M67" s="559">
        <f t="shared" si="13"/>
        <v>100.51</v>
      </c>
      <c r="N67" s="562"/>
      <c r="O67" s="562"/>
      <c r="P67" s="563"/>
      <c r="Q67" s="563"/>
      <c r="R67" s="563"/>
      <c r="S67" s="563">
        <v>50</v>
      </c>
      <c r="T67" s="563"/>
      <c r="U67" s="563"/>
      <c r="V67" s="563"/>
      <c r="W67" s="563">
        <v>50</v>
      </c>
      <c r="X67" s="563"/>
      <c r="Y67" s="563"/>
      <c r="Z67" s="563"/>
      <c r="AA67" s="563">
        <v>50</v>
      </c>
      <c r="AB67" s="563"/>
      <c r="AC67" s="563"/>
      <c r="AD67" s="563"/>
      <c r="AE67" s="563">
        <v>50</v>
      </c>
      <c r="AF67" s="563"/>
      <c r="AG67" s="563"/>
      <c r="AH67" s="563"/>
      <c r="AI67" s="563">
        <v>40</v>
      </c>
      <c r="AJ67" s="563"/>
      <c r="AK67" s="563"/>
      <c r="AL67" s="563"/>
      <c r="AM67" s="563"/>
      <c r="AN67" s="563"/>
      <c r="AO67" s="563"/>
      <c r="AP67" s="563"/>
      <c r="AQ67" s="563"/>
      <c r="AR67" s="563"/>
      <c r="AS67" s="563"/>
      <c r="AT67" s="563"/>
      <c r="AU67" s="563"/>
      <c r="AV67" s="563"/>
      <c r="AW67" s="563"/>
      <c r="AX67" s="563"/>
      <c r="AY67" s="563">
        <v>20</v>
      </c>
      <c r="AZ67" s="563"/>
      <c r="BA67" s="563">
        <v>20</v>
      </c>
      <c r="BB67" s="563"/>
      <c r="BC67" s="563">
        <v>20</v>
      </c>
      <c r="BD67" s="563"/>
      <c r="BE67" s="563">
        <v>20</v>
      </c>
      <c r="BF67" s="563"/>
      <c r="BG67" s="563">
        <v>20</v>
      </c>
      <c r="BH67" s="563"/>
      <c r="BI67" s="563">
        <v>20</v>
      </c>
      <c r="BJ67" s="563"/>
      <c r="BK67" s="563">
        <v>30</v>
      </c>
      <c r="BL67" s="563"/>
      <c r="BM67" s="563">
        <v>30</v>
      </c>
      <c r="BN67" s="563"/>
      <c r="BO67" s="563">
        <v>25</v>
      </c>
      <c r="BP67" s="563"/>
      <c r="BQ67" s="563">
        <v>25</v>
      </c>
      <c r="BR67" s="563"/>
      <c r="BS67" s="563">
        <v>30</v>
      </c>
      <c r="BT67" s="563"/>
      <c r="BU67" s="563"/>
      <c r="BV67" s="162"/>
      <c r="BW67" s="162"/>
    </row>
    <row r="68" s="140" customFormat="1" customHeight="1" spans="1:75">
      <c r="A68" s="161">
        <v>97</v>
      </c>
      <c r="B68" s="563" t="s">
        <v>202</v>
      </c>
      <c r="C68" s="162"/>
      <c r="D68" s="561" t="s">
        <v>137</v>
      </c>
      <c r="E68" s="562">
        <v>0.495</v>
      </c>
      <c r="F68" s="556">
        <v>47</v>
      </c>
      <c r="G68" s="557">
        <f t="shared" si="7"/>
        <v>23.265</v>
      </c>
      <c r="H68" s="558">
        <f t="shared" si="8"/>
        <v>0</v>
      </c>
      <c r="I68" s="559">
        <f t="shared" si="9"/>
        <v>0</v>
      </c>
      <c r="J68" s="558">
        <f t="shared" si="10"/>
        <v>47</v>
      </c>
      <c r="K68" s="559">
        <f t="shared" si="11"/>
        <v>23.265</v>
      </c>
      <c r="L68" s="558">
        <f t="shared" si="12"/>
        <v>0</v>
      </c>
      <c r="M68" s="559">
        <f t="shared" si="13"/>
        <v>0</v>
      </c>
      <c r="N68" s="562"/>
      <c r="O68" s="562">
        <v>5</v>
      </c>
      <c r="P68" s="563"/>
      <c r="Q68" s="563">
        <v>5</v>
      </c>
      <c r="R68" s="563"/>
      <c r="S68" s="563"/>
      <c r="T68" s="563"/>
      <c r="U68" s="563">
        <v>7</v>
      </c>
      <c r="V68" s="563"/>
      <c r="W68" s="563"/>
      <c r="X68" s="563"/>
      <c r="Y68" s="563"/>
      <c r="Z68" s="563"/>
      <c r="AA68" s="563">
        <v>10</v>
      </c>
      <c r="AB68" s="563"/>
      <c r="AC68" s="563">
        <v>10</v>
      </c>
      <c r="AD68" s="563"/>
      <c r="AE68" s="563">
        <v>10</v>
      </c>
      <c r="AF68" s="563"/>
      <c r="AG68" s="563"/>
      <c r="AH68" s="563"/>
      <c r="AI68" s="563"/>
      <c r="AJ68" s="563"/>
      <c r="AK68" s="563"/>
      <c r="AL68" s="563"/>
      <c r="AM68" s="563"/>
      <c r="AN68" s="563"/>
      <c r="AO68" s="563"/>
      <c r="AP68" s="563"/>
      <c r="AQ68" s="563"/>
      <c r="AR68" s="563"/>
      <c r="AS68" s="563"/>
      <c r="AT68" s="563"/>
      <c r="AU68" s="563"/>
      <c r="AV68" s="563"/>
      <c r="AW68" s="563"/>
      <c r="AX68" s="563"/>
      <c r="AY68" s="563"/>
      <c r="AZ68" s="563"/>
      <c r="BA68" s="563"/>
      <c r="BB68" s="563"/>
      <c r="BC68" s="563"/>
      <c r="BD68" s="563"/>
      <c r="BE68" s="563"/>
      <c r="BF68" s="563"/>
      <c r="BG68" s="563"/>
      <c r="BH68" s="563"/>
      <c r="BI68" s="563"/>
      <c r="BJ68" s="563"/>
      <c r="BK68" s="563"/>
      <c r="BL68" s="563"/>
      <c r="BM68" s="563"/>
      <c r="BN68" s="563"/>
      <c r="BO68" s="563"/>
      <c r="BP68" s="563"/>
      <c r="BQ68" s="563"/>
      <c r="BR68" s="563"/>
      <c r="BS68" s="563"/>
      <c r="BT68" s="563"/>
      <c r="BU68" s="563"/>
      <c r="BV68" s="162"/>
      <c r="BW68" s="162"/>
    </row>
    <row r="69" s="140" customFormat="1" customHeight="1" spans="1:75">
      <c r="A69" s="161">
        <v>98</v>
      </c>
      <c r="B69" s="572" t="s">
        <v>203</v>
      </c>
      <c r="C69" s="162"/>
      <c r="D69" s="561" t="s">
        <v>204</v>
      </c>
      <c r="E69" s="562">
        <v>0.031</v>
      </c>
      <c r="F69" s="556">
        <v>350</v>
      </c>
      <c r="G69" s="557">
        <f t="shared" si="7"/>
        <v>10.85</v>
      </c>
      <c r="H69" s="558">
        <f t="shared" si="8"/>
        <v>0</v>
      </c>
      <c r="I69" s="559">
        <f t="shared" si="9"/>
        <v>0</v>
      </c>
      <c r="J69" s="558">
        <f t="shared" si="10"/>
        <v>350</v>
      </c>
      <c r="K69" s="559">
        <f t="shared" si="11"/>
        <v>10.85</v>
      </c>
      <c r="L69" s="558">
        <f t="shared" si="12"/>
        <v>0</v>
      </c>
      <c r="M69" s="559">
        <f t="shared" si="13"/>
        <v>0</v>
      </c>
      <c r="N69" s="562"/>
      <c r="O69" s="562"/>
      <c r="P69" s="563"/>
      <c r="Q69" s="563"/>
      <c r="R69" s="563"/>
      <c r="S69" s="563"/>
      <c r="T69" s="563"/>
      <c r="U69" s="563"/>
      <c r="V69" s="563"/>
      <c r="W69" s="563"/>
      <c r="X69" s="563"/>
      <c r="Y69" s="563"/>
      <c r="Z69" s="563"/>
      <c r="AA69" s="563">
        <v>50</v>
      </c>
      <c r="AB69" s="563"/>
      <c r="AC69" s="563"/>
      <c r="AD69" s="563"/>
      <c r="AE69" s="563">
        <v>50</v>
      </c>
      <c r="AF69" s="563"/>
      <c r="AG69" s="563"/>
      <c r="AH69" s="563"/>
      <c r="AI69" s="563">
        <v>40</v>
      </c>
      <c r="AJ69" s="563"/>
      <c r="AK69" s="563"/>
      <c r="AL69" s="563"/>
      <c r="AM69" s="563"/>
      <c r="AN69" s="563"/>
      <c r="AO69" s="563"/>
      <c r="AP69" s="563"/>
      <c r="AQ69" s="563"/>
      <c r="AR69" s="563"/>
      <c r="AS69" s="563"/>
      <c r="AT69" s="563"/>
      <c r="AU69" s="563">
        <v>10</v>
      </c>
      <c r="AV69" s="563"/>
      <c r="AW69" s="563"/>
      <c r="AX69" s="563"/>
      <c r="AY69" s="563"/>
      <c r="AZ69" s="563"/>
      <c r="BA69" s="563">
        <v>100</v>
      </c>
      <c r="BB69" s="563"/>
      <c r="BC69" s="563"/>
      <c r="BD69" s="563"/>
      <c r="BE69" s="563"/>
      <c r="BF69" s="563"/>
      <c r="BG69" s="563">
        <v>100</v>
      </c>
      <c r="BH69" s="563"/>
      <c r="BI69" s="563"/>
      <c r="BJ69" s="563"/>
      <c r="BK69" s="563"/>
      <c r="BL69" s="563"/>
      <c r="BM69" s="563"/>
      <c r="BN69" s="563"/>
      <c r="BO69" s="563"/>
      <c r="BP69" s="563"/>
      <c r="BQ69" s="563"/>
      <c r="BR69" s="563"/>
      <c r="BS69" s="563"/>
      <c r="BT69" s="563"/>
      <c r="BU69" s="563"/>
      <c r="BV69" s="162"/>
      <c r="BW69" s="162"/>
    </row>
    <row r="70" s="140" customFormat="1" customHeight="1" spans="1:75">
      <c r="A70" s="161">
        <v>99</v>
      </c>
      <c r="B70" s="571" t="s">
        <v>205</v>
      </c>
      <c r="C70" s="162"/>
      <c r="D70" s="561" t="s">
        <v>137</v>
      </c>
      <c r="E70" s="562">
        <v>0.0992</v>
      </c>
      <c r="F70" s="556">
        <v>0</v>
      </c>
      <c r="G70" s="557">
        <f t="shared" si="7"/>
        <v>0</v>
      </c>
      <c r="H70" s="558">
        <f t="shared" si="8"/>
        <v>500</v>
      </c>
      <c r="I70" s="559">
        <f t="shared" si="9"/>
        <v>49.6</v>
      </c>
      <c r="J70" s="558">
        <f t="shared" si="10"/>
        <v>300</v>
      </c>
      <c r="K70" s="559">
        <f t="shared" si="11"/>
        <v>29.76</v>
      </c>
      <c r="L70" s="558">
        <f t="shared" si="12"/>
        <v>200</v>
      </c>
      <c r="M70" s="559">
        <f t="shared" si="13"/>
        <v>19.84</v>
      </c>
      <c r="N70" s="562"/>
      <c r="O70" s="562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>
        <v>500</v>
      </c>
      <c r="AA70" s="563"/>
      <c r="AB70" s="563"/>
      <c r="AC70" s="563"/>
      <c r="AD70" s="563"/>
      <c r="AE70" s="563"/>
      <c r="AF70" s="563"/>
      <c r="AG70" s="563"/>
      <c r="AH70" s="563"/>
      <c r="AI70" s="563"/>
      <c r="AJ70" s="563"/>
      <c r="AK70" s="563"/>
      <c r="AL70" s="563"/>
      <c r="AM70" s="563"/>
      <c r="AN70" s="563"/>
      <c r="AO70" s="563"/>
      <c r="AP70" s="563"/>
      <c r="AQ70" s="563"/>
      <c r="AR70" s="563"/>
      <c r="AS70" s="563"/>
      <c r="AT70" s="563"/>
      <c r="AU70" s="563"/>
      <c r="AV70" s="563"/>
      <c r="AW70" s="563"/>
      <c r="AX70" s="563"/>
      <c r="AY70" s="563"/>
      <c r="AZ70" s="563"/>
      <c r="BA70" s="563"/>
      <c r="BB70" s="563"/>
      <c r="BC70" s="563"/>
      <c r="BD70" s="563"/>
      <c r="BE70" s="563"/>
      <c r="BF70" s="563"/>
      <c r="BG70" s="563"/>
      <c r="BH70" s="563"/>
      <c r="BI70" s="563"/>
      <c r="BJ70" s="563"/>
      <c r="BK70" s="563">
        <v>300</v>
      </c>
      <c r="BL70" s="563"/>
      <c r="BM70" s="563"/>
      <c r="BN70" s="563"/>
      <c r="BO70" s="563"/>
      <c r="BP70" s="563"/>
      <c r="BQ70" s="563"/>
      <c r="BR70" s="563"/>
      <c r="BS70" s="563"/>
      <c r="BT70" s="563"/>
      <c r="BU70" s="563"/>
      <c r="BV70" s="162"/>
      <c r="BW70" s="162"/>
    </row>
    <row r="71" s="140" customFormat="1" customHeight="1" spans="1:75">
      <c r="A71" s="161">
        <v>100</v>
      </c>
      <c r="B71" s="562" t="s">
        <v>206</v>
      </c>
      <c r="C71" s="162"/>
      <c r="D71" s="561" t="s">
        <v>137</v>
      </c>
      <c r="E71" s="562">
        <v>0.12</v>
      </c>
      <c r="F71" s="556">
        <v>3870</v>
      </c>
      <c r="G71" s="557">
        <f t="shared" si="7"/>
        <v>464.4</v>
      </c>
      <c r="H71" s="558">
        <f t="shared" si="8"/>
        <v>0</v>
      </c>
      <c r="I71" s="559">
        <f t="shared" si="9"/>
        <v>0</v>
      </c>
      <c r="J71" s="558">
        <f t="shared" si="10"/>
        <v>350</v>
      </c>
      <c r="K71" s="559">
        <f t="shared" si="11"/>
        <v>42</v>
      </c>
      <c r="L71" s="558">
        <f t="shared" si="12"/>
        <v>3520</v>
      </c>
      <c r="M71" s="559">
        <f t="shared" si="13"/>
        <v>422.4</v>
      </c>
      <c r="N71" s="562"/>
      <c r="O71" s="562"/>
      <c r="P71" s="563"/>
      <c r="Q71" s="563">
        <v>100</v>
      </c>
      <c r="R71" s="563"/>
      <c r="S71" s="563"/>
      <c r="T71" s="563"/>
      <c r="U71" s="563"/>
      <c r="V71" s="563"/>
      <c r="W71" s="563">
        <v>100</v>
      </c>
      <c r="X71" s="563"/>
      <c r="Y71" s="563"/>
      <c r="Z71" s="563"/>
      <c r="AA71" s="563"/>
      <c r="AB71" s="563"/>
      <c r="AC71" s="563"/>
      <c r="AD71" s="563"/>
      <c r="AE71" s="563">
        <v>100</v>
      </c>
      <c r="AF71" s="563"/>
      <c r="AG71" s="563"/>
      <c r="AH71" s="563"/>
      <c r="AI71" s="563"/>
      <c r="AJ71" s="563"/>
      <c r="AK71" s="563"/>
      <c r="AL71" s="563"/>
      <c r="AM71" s="563"/>
      <c r="AN71" s="563"/>
      <c r="AO71" s="563"/>
      <c r="AP71" s="563"/>
      <c r="AQ71" s="563"/>
      <c r="AR71" s="563"/>
      <c r="AS71" s="563"/>
      <c r="AT71" s="563"/>
      <c r="AU71" s="563"/>
      <c r="AV71" s="563"/>
      <c r="AW71" s="563"/>
      <c r="AX71" s="563"/>
      <c r="AY71" s="563"/>
      <c r="AZ71" s="563"/>
      <c r="BA71" s="563"/>
      <c r="BB71" s="563"/>
      <c r="BC71" s="563"/>
      <c r="BD71" s="563"/>
      <c r="BE71" s="563"/>
      <c r="BF71" s="563"/>
      <c r="BG71" s="563"/>
      <c r="BH71" s="563"/>
      <c r="BI71" s="563"/>
      <c r="BJ71" s="563"/>
      <c r="BK71" s="563">
        <v>50</v>
      </c>
      <c r="BL71" s="563"/>
      <c r="BM71" s="563"/>
      <c r="BN71" s="563"/>
      <c r="BO71" s="563"/>
      <c r="BP71" s="563"/>
      <c r="BQ71" s="563"/>
      <c r="BR71" s="563"/>
      <c r="BS71" s="563"/>
      <c r="BT71" s="563"/>
      <c r="BU71" s="563"/>
      <c r="BV71" s="162"/>
      <c r="BW71" s="162"/>
    </row>
    <row r="72" s="140" customFormat="1" customHeight="1" spans="1:75">
      <c r="A72" s="161">
        <v>101</v>
      </c>
      <c r="B72" s="562" t="s">
        <v>207</v>
      </c>
      <c r="C72" s="162"/>
      <c r="D72" s="561" t="s">
        <v>137</v>
      </c>
      <c r="E72" s="562">
        <v>0.693</v>
      </c>
      <c r="F72" s="556">
        <v>0</v>
      </c>
      <c r="G72" s="557">
        <f t="shared" si="7"/>
        <v>0</v>
      </c>
      <c r="H72" s="558">
        <f t="shared" si="8"/>
        <v>0</v>
      </c>
      <c r="I72" s="559">
        <f t="shared" si="9"/>
        <v>0</v>
      </c>
      <c r="J72" s="558">
        <f t="shared" si="10"/>
        <v>0</v>
      </c>
      <c r="K72" s="559">
        <f t="shared" si="11"/>
        <v>0</v>
      </c>
      <c r="L72" s="558">
        <f t="shared" si="12"/>
        <v>0</v>
      </c>
      <c r="M72" s="559">
        <f t="shared" si="13"/>
        <v>0</v>
      </c>
      <c r="N72" s="562"/>
      <c r="O72" s="562"/>
      <c r="P72" s="563"/>
      <c r="Q72" s="563"/>
      <c r="R72" s="563"/>
      <c r="S72" s="563"/>
      <c r="T72" s="563"/>
      <c r="U72" s="563"/>
      <c r="V72" s="563"/>
      <c r="W72" s="563"/>
      <c r="X72" s="563"/>
      <c r="Y72" s="563"/>
      <c r="Z72" s="563"/>
      <c r="AA72" s="563"/>
      <c r="AB72" s="563"/>
      <c r="AC72" s="563"/>
      <c r="AD72" s="563"/>
      <c r="AE72" s="563"/>
      <c r="AF72" s="563"/>
      <c r="AG72" s="563"/>
      <c r="AH72" s="563"/>
      <c r="AI72" s="563"/>
      <c r="AJ72" s="563"/>
      <c r="AK72" s="563"/>
      <c r="AL72" s="563"/>
      <c r="AM72" s="563"/>
      <c r="AN72" s="563"/>
      <c r="AO72" s="563"/>
      <c r="AP72" s="563"/>
      <c r="AQ72" s="563"/>
      <c r="AR72" s="563"/>
      <c r="AS72" s="563"/>
      <c r="AT72" s="563"/>
      <c r="AU72" s="563"/>
      <c r="AV72" s="563"/>
      <c r="AW72" s="563"/>
      <c r="AX72" s="563"/>
      <c r="AY72" s="563"/>
      <c r="AZ72" s="563"/>
      <c r="BA72" s="563"/>
      <c r="BB72" s="563"/>
      <c r="BC72" s="563"/>
      <c r="BD72" s="563"/>
      <c r="BE72" s="563"/>
      <c r="BF72" s="563"/>
      <c r="BG72" s="563"/>
      <c r="BH72" s="563"/>
      <c r="BI72" s="563"/>
      <c r="BJ72" s="563"/>
      <c r="BK72" s="563"/>
      <c r="BL72" s="563"/>
      <c r="BM72" s="563"/>
      <c r="BN72" s="563"/>
      <c r="BO72" s="563"/>
      <c r="BP72" s="563"/>
      <c r="BQ72" s="563"/>
      <c r="BR72" s="563"/>
      <c r="BS72" s="563"/>
      <c r="BT72" s="563"/>
      <c r="BU72" s="563"/>
      <c r="BV72" s="162"/>
      <c r="BW72" s="162"/>
    </row>
    <row r="73" s="140" customFormat="1" customHeight="1" spans="1:75">
      <c r="A73" s="161">
        <v>102</v>
      </c>
      <c r="B73" s="562" t="s">
        <v>208</v>
      </c>
      <c r="C73" s="162"/>
      <c r="D73" s="561" t="s">
        <v>209</v>
      </c>
      <c r="E73" s="562">
        <v>0.65</v>
      </c>
      <c r="F73" s="556">
        <v>49</v>
      </c>
      <c r="G73" s="557">
        <f t="shared" si="7"/>
        <v>31.85</v>
      </c>
      <c r="H73" s="558">
        <f t="shared" si="8"/>
        <v>15</v>
      </c>
      <c r="I73" s="559">
        <f t="shared" si="9"/>
        <v>9.75</v>
      </c>
      <c r="J73" s="558">
        <f t="shared" si="10"/>
        <v>40</v>
      </c>
      <c r="K73" s="559">
        <f t="shared" si="11"/>
        <v>26</v>
      </c>
      <c r="L73" s="558">
        <f t="shared" si="12"/>
        <v>24</v>
      </c>
      <c r="M73" s="559">
        <f t="shared" si="13"/>
        <v>15.6</v>
      </c>
      <c r="N73" s="562"/>
      <c r="O73" s="562"/>
      <c r="P73" s="563"/>
      <c r="Q73" s="563"/>
      <c r="R73" s="563"/>
      <c r="S73" s="563"/>
      <c r="T73" s="563"/>
      <c r="U73" s="563"/>
      <c r="V73" s="563"/>
      <c r="W73" s="563"/>
      <c r="X73" s="563">
        <v>15</v>
      </c>
      <c r="Y73" s="563"/>
      <c r="Z73" s="563"/>
      <c r="AA73" s="563">
        <v>15</v>
      </c>
      <c r="AB73" s="563"/>
      <c r="AC73" s="563"/>
      <c r="AD73" s="563"/>
      <c r="AE73" s="563">
        <v>15</v>
      </c>
      <c r="AF73" s="563"/>
      <c r="AG73" s="563"/>
      <c r="AH73" s="563"/>
      <c r="AI73" s="563"/>
      <c r="AJ73" s="563"/>
      <c r="AK73" s="563"/>
      <c r="AL73" s="563"/>
      <c r="AM73" s="563"/>
      <c r="AN73" s="563"/>
      <c r="AO73" s="563"/>
      <c r="AP73" s="563"/>
      <c r="AQ73" s="563"/>
      <c r="AR73" s="563"/>
      <c r="AS73" s="563"/>
      <c r="AT73" s="563"/>
      <c r="AU73" s="563">
        <v>10</v>
      </c>
      <c r="AV73" s="563"/>
      <c r="AW73" s="563"/>
      <c r="AX73" s="563"/>
      <c r="AY73" s="563"/>
      <c r="AZ73" s="563"/>
      <c r="BA73" s="563"/>
      <c r="BB73" s="563"/>
      <c r="BC73" s="563"/>
      <c r="BD73" s="563"/>
      <c r="BE73" s="563"/>
      <c r="BF73" s="563"/>
      <c r="BG73" s="563"/>
      <c r="BH73" s="563"/>
      <c r="BI73" s="563"/>
      <c r="BJ73" s="563"/>
      <c r="BK73" s="563"/>
      <c r="BL73" s="563"/>
      <c r="BM73" s="563"/>
      <c r="BN73" s="563"/>
      <c r="BO73" s="563"/>
      <c r="BP73" s="563"/>
      <c r="BQ73" s="563"/>
      <c r="BR73" s="563"/>
      <c r="BS73" s="563"/>
      <c r="BT73" s="563"/>
      <c r="BU73" s="563"/>
      <c r="BV73" s="162"/>
      <c r="BW73" s="162"/>
    </row>
    <row r="74" s="140" customFormat="1" customHeight="1" spans="1:75">
      <c r="A74" s="161">
        <v>103</v>
      </c>
      <c r="B74" s="571" t="s">
        <v>210</v>
      </c>
      <c r="C74" s="162"/>
      <c r="D74" s="561" t="s">
        <v>211</v>
      </c>
      <c r="E74" s="562">
        <v>14.72</v>
      </c>
      <c r="F74" s="556">
        <v>0</v>
      </c>
      <c r="G74" s="557">
        <f t="shared" si="7"/>
        <v>0</v>
      </c>
      <c r="H74" s="558">
        <f t="shared" si="8"/>
        <v>5</v>
      </c>
      <c r="I74" s="559">
        <f t="shared" si="9"/>
        <v>73.6</v>
      </c>
      <c r="J74" s="558">
        <f t="shared" si="10"/>
        <v>0</v>
      </c>
      <c r="K74" s="559">
        <f t="shared" si="11"/>
        <v>0</v>
      </c>
      <c r="L74" s="558">
        <f t="shared" si="12"/>
        <v>5</v>
      </c>
      <c r="M74" s="559">
        <f t="shared" si="13"/>
        <v>73.6</v>
      </c>
      <c r="N74" s="562"/>
      <c r="O74" s="562"/>
      <c r="P74" s="563"/>
      <c r="Q74" s="563"/>
      <c r="R74" s="563"/>
      <c r="S74" s="563"/>
      <c r="T74" s="563"/>
      <c r="U74" s="563"/>
      <c r="V74" s="563"/>
      <c r="W74" s="563"/>
      <c r="X74" s="563"/>
      <c r="Y74" s="563"/>
      <c r="Z74" s="563"/>
      <c r="AA74" s="563"/>
      <c r="AB74" s="563"/>
      <c r="AC74" s="563"/>
      <c r="AD74" s="563"/>
      <c r="AE74" s="563"/>
      <c r="AF74" s="563"/>
      <c r="AG74" s="563"/>
      <c r="AH74" s="563">
        <v>5</v>
      </c>
      <c r="AI74" s="563"/>
      <c r="AJ74" s="563"/>
      <c r="AK74" s="563"/>
      <c r="AL74" s="563"/>
      <c r="AM74" s="563"/>
      <c r="AN74" s="563"/>
      <c r="AO74" s="563"/>
      <c r="AP74" s="563"/>
      <c r="AQ74" s="563"/>
      <c r="AR74" s="563"/>
      <c r="AS74" s="563"/>
      <c r="AT74" s="563"/>
      <c r="AU74" s="563"/>
      <c r="AV74" s="563"/>
      <c r="AW74" s="563"/>
      <c r="AX74" s="563"/>
      <c r="AY74" s="563"/>
      <c r="AZ74" s="563"/>
      <c r="BA74" s="563"/>
      <c r="BB74" s="563"/>
      <c r="BC74" s="563"/>
      <c r="BD74" s="563"/>
      <c r="BE74" s="563"/>
      <c r="BF74" s="563"/>
      <c r="BG74" s="563"/>
      <c r="BH74" s="563"/>
      <c r="BI74" s="563"/>
      <c r="BJ74" s="563"/>
      <c r="BK74" s="563"/>
      <c r="BL74" s="563"/>
      <c r="BM74" s="563"/>
      <c r="BN74" s="563"/>
      <c r="BO74" s="563"/>
      <c r="BP74" s="563"/>
      <c r="BQ74" s="563"/>
      <c r="BR74" s="563"/>
      <c r="BS74" s="563"/>
      <c r="BT74" s="563"/>
      <c r="BU74" s="563"/>
      <c r="BV74" s="162"/>
      <c r="BW74" s="162"/>
    </row>
    <row r="75" s="140" customFormat="1" customHeight="1" spans="1:75">
      <c r="A75" s="161">
        <v>104</v>
      </c>
      <c r="B75" s="571" t="s">
        <v>212</v>
      </c>
      <c r="C75" s="162"/>
      <c r="D75" s="561" t="s">
        <v>137</v>
      </c>
      <c r="E75" s="562">
        <v>0.01693</v>
      </c>
      <c r="F75" s="556">
        <v>0</v>
      </c>
      <c r="G75" s="557">
        <f t="shared" si="7"/>
        <v>0</v>
      </c>
      <c r="H75" s="558">
        <f t="shared" si="8"/>
        <v>2000</v>
      </c>
      <c r="I75" s="559">
        <f t="shared" si="9"/>
        <v>33.86</v>
      </c>
      <c r="J75" s="558">
        <f t="shared" si="10"/>
        <v>800</v>
      </c>
      <c r="K75" s="559">
        <f t="shared" si="11"/>
        <v>13.544</v>
      </c>
      <c r="L75" s="558">
        <f t="shared" si="12"/>
        <v>1200</v>
      </c>
      <c r="M75" s="559">
        <f t="shared" si="13"/>
        <v>20.316</v>
      </c>
      <c r="N75" s="562"/>
      <c r="O75" s="562"/>
      <c r="P75" s="563">
        <v>2000</v>
      </c>
      <c r="Q75" s="563"/>
      <c r="R75" s="563"/>
      <c r="S75" s="563"/>
      <c r="T75" s="563"/>
      <c r="U75" s="563"/>
      <c r="V75" s="563"/>
      <c r="W75" s="563">
        <v>100</v>
      </c>
      <c r="X75" s="563"/>
      <c r="Y75" s="563"/>
      <c r="Z75" s="563"/>
      <c r="AA75" s="563">
        <v>100</v>
      </c>
      <c r="AB75" s="563"/>
      <c r="AC75" s="563"/>
      <c r="AD75" s="563"/>
      <c r="AE75" s="563">
        <v>100</v>
      </c>
      <c r="AF75" s="563"/>
      <c r="AG75" s="563"/>
      <c r="AH75" s="563"/>
      <c r="AI75" s="563"/>
      <c r="AJ75" s="563"/>
      <c r="AK75" s="563"/>
      <c r="AL75" s="563"/>
      <c r="AM75" s="563"/>
      <c r="AN75" s="563"/>
      <c r="AO75" s="563"/>
      <c r="AP75" s="563"/>
      <c r="AQ75" s="563"/>
      <c r="AR75" s="563"/>
      <c r="AS75" s="563"/>
      <c r="AT75" s="563"/>
      <c r="AU75" s="563"/>
      <c r="AV75" s="563"/>
      <c r="AW75" s="563"/>
      <c r="AX75" s="563"/>
      <c r="AY75" s="563"/>
      <c r="AZ75" s="563"/>
      <c r="BA75" s="563"/>
      <c r="BB75" s="563"/>
      <c r="BC75" s="563"/>
      <c r="BD75" s="563"/>
      <c r="BE75" s="563"/>
      <c r="BF75" s="563"/>
      <c r="BG75" s="563"/>
      <c r="BH75" s="563"/>
      <c r="BI75" s="563"/>
      <c r="BJ75" s="563"/>
      <c r="BK75" s="563"/>
      <c r="BL75" s="563"/>
      <c r="BM75" s="563">
        <v>500</v>
      </c>
      <c r="BN75" s="563"/>
      <c r="BO75" s="563"/>
      <c r="BP75" s="563"/>
      <c r="BQ75" s="563"/>
      <c r="BR75" s="563"/>
      <c r="BS75" s="563"/>
      <c r="BT75" s="563"/>
      <c r="BU75" s="563"/>
      <c r="BV75" s="162"/>
      <c r="BW75" s="162"/>
    </row>
    <row r="76" s="140" customFormat="1" customHeight="1" spans="1:75">
      <c r="A76" s="161">
        <v>105</v>
      </c>
      <c r="B76" s="571" t="s">
        <v>175</v>
      </c>
      <c r="C76" s="162"/>
      <c r="D76" s="561" t="s">
        <v>213</v>
      </c>
      <c r="E76" s="562">
        <v>26.532</v>
      </c>
      <c r="F76" s="556">
        <v>0</v>
      </c>
      <c r="G76" s="557">
        <f t="shared" si="7"/>
        <v>0</v>
      </c>
      <c r="H76" s="558">
        <f t="shared" si="8"/>
        <v>10</v>
      </c>
      <c r="I76" s="559">
        <f t="shared" si="9"/>
        <v>265.32</v>
      </c>
      <c r="J76" s="558">
        <f t="shared" si="10"/>
        <v>0</v>
      </c>
      <c r="K76" s="559">
        <f t="shared" si="11"/>
        <v>0</v>
      </c>
      <c r="L76" s="558">
        <f t="shared" si="12"/>
        <v>10</v>
      </c>
      <c r="M76" s="559">
        <f t="shared" si="13"/>
        <v>265.32</v>
      </c>
      <c r="N76" s="562"/>
      <c r="O76" s="562"/>
      <c r="P76" s="563"/>
      <c r="Q76" s="563"/>
      <c r="R76" s="563"/>
      <c r="S76" s="563"/>
      <c r="T76" s="563"/>
      <c r="U76" s="563"/>
      <c r="V76" s="563"/>
      <c r="W76" s="563"/>
      <c r="X76" s="563"/>
      <c r="Y76" s="563"/>
      <c r="Z76" s="563"/>
      <c r="AA76" s="563"/>
      <c r="AB76" s="563"/>
      <c r="AC76" s="563"/>
      <c r="AD76" s="563">
        <v>10</v>
      </c>
      <c r="AE76" s="563"/>
      <c r="AF76" s="563"/>
      <c r="AG76" s="563"/>
      <c r="AH76" s="563"/>
      <c r="AI76" s="563"/>
      <c r="AJ76" s="563"/>
      <c r="AK76" s="563"/>
      <c r="AL76" s="563"/>
      <c r="AM76" s="563"/>
      <c r="AN76" s="563"/>
      <c r="AO76" s="563"/>
      <c r="AP76" s="563"/>
      <c r="AQ76" s="563"/>
      <c r="AR76" s="563"/>
      <c r="AS76" s="563"/>
      <c r="AT76" s="563"/>
      <c r="AU76" s="563"/>
      <c r="AV76" s="563"/>
      <c r="AW76" s="563"/>
      <c r="AX76" s="563"/>
      <c r="AY76" s="563"/>
      <c r="AZ76" s="563"/>
      <c r="BA76" s="563"/>
      <c r="BB76" s="563"/>
      <c r="BC76" s="563"/>
      <c r="BD76" s="563"/>
      <c r="BE76" s="563"/>
      <c r="BF76" s="563"/>
      <c r="BG76" s="563"/>
      <c r="BH76" s="563"/>
      <c r="BI76" s="563"/>
      <c r="BJ76" s="563"/>
      <c r="BK76" s="563"/>
      <c r="BL76" s="563"/>
      <c r="BM76" s="563"/>
      <c r="BN76" s="563"/>
      <c r="BO76" s="563"/>
      <c r="BP76" s="563"/>
      <c r="BQ76" s="563"/>
      <c r="BR76" s="563"/>
      <c r="BS76" s="563"/>
      <c r="BT76" s="563"/>
      <c r="BU76" s="563"/>
      <c r="BV76" s="162"/>
      <c r="BW76" s="162"/>
    </row>
    <row r="77" s="140" customFormat="1" customHeight="1" spans="1:75">
      <c r="A77" s="161">
        <v>106</v>
      </c>
      <c r="B77" s="562" t="s">
        <v>214</v>
      </c>
      <c r="C77" s="162"/>
      <c r="D77" s="561" t="s">
        <v>137</v>
      </c>
      <c r="E77" s="562">
        <v>0.241</v>
      </c>
      <c r="F77" s="556">
        <v>30</v>
      </c>
      <c r="G77" s="557">
        <f t="shared" si="7"/>
        <v>7.23</v>
      </c>
      <c r="H77" s="558">
        <f t="shared" si="8"/>
        <v>0</v>
      </c>
      <c r="I77" s="559">
        <f t="shared" si="9"/>
        <v>0</v>
      </c>
      <c r="J77" s="558">
        <f t="shared" si="10"/>
        <v>30</v>
      </c>
      <c r="K77" s="559">
        <f t="shared" si="11"/>
        <v>7.23</v>
      </c>
      <c r="L77" s="558">
        <f t="shared" si="12"/>
        <v>0</v>
      </c>
      <c r="M77" s="559">
        <f t="shared" si="13"/>
        <v>0</v>
      </c>
      <c r="N77" s="562"/>
      <c r="O77" s="562"/>
      <c r="P77" s="563"/>
      <c r="Q77" s="563"/>
      <c r="R77" s="563"/>
      <c r="S77" s="563"/>
      <c r="T77" s="563"/>
      <c r="U77" s="563"/>
      <c r="V77" s="563"/>
      <c r="W77" s="563"/>
      <c r="X77" s="563"/>
      <c r="Y77" s="563">
        <v>5</v>
      </c>
      <c r="Z77" s="563"/>
      <c r="AA77" s="563">
        <v>15</v>
      </c>
      <c r="AB77" s="563"/>
      <c r="AC77" s="563"/>
      <c r="AD77" s="563"/>
      <c r="AE77" s="563"/>
      <c r="AF77" s="563"/>
      <c r="AG77" s="563"/>
      <c r="AH77" s="563"/>
      <c r="AI77" s="563"/>
      <c r="AJ77" s="563"/>
      <c r="AK77" s="563"/>
      <c r="AL77" s="563"/>
      <c r="AM77" s="563"/>
      <c r="AN77" s="563"/>
      <c r="AO77" s="563"/>
      <c r="AP77" s="563"/>
      <c r="AQ77" s="563"/>
      <c r="AR77" s="563"/>
      <c r="AS77" s="563"/>
      <c r="AT77" s="563"/>
      <c r="AU77" s="563"/>
      <c r="AV77" s="563"/>
      <c r="AW77" s="563">
        <v>10</v>
      </c>
      <c r="AX77" s="563"/>
      <c r="AY77" s="563"/>
      <c r="AZ77" s="563"/>
      <c r="BA77" s="563"/>
      <c r="BB77" s="563"/>
      <c r="BC77" s="563"/>
      <c r="BD77" s="563"/>
      <c r="BE77" s="563"/>
      <c r="BF77" s="563"/>
      <c r="BG77" s="563"/>
      <c r="BH77" s="563"/>
      <c r="BI77" s="563"/>
      <c r="BJ77" s="563"/>
      <c r="BK77" s="563"/>
      <c r="BL77" s="563"/>
      <c r="BM77" s="563"/>
      <c r="BN77" s="563"/>
      <c r="BO77" s="563"/>
      <c r="BP77" s="563"/>
      <c r="BQ77" s="563"/>
      <c r="BR77" s="563"/>
      <c r="BS77" s="563"/>
      <c r="BT77" s="563"/>
      <c r="BU77" s="563"/>
      <c r="BV77" s="162"/>
      <c r="BW77" s="162"/>
    </row>
    <row r="78" s="140" customFormat="1" customHeight="1" spans="1:75">
      <c r="A78" s="161">
        <v>107</v>
      </c>
      <c r="B78" s="571" t="s">
        <v>215</v>
      </c>
      <c r="C78" s="162"/>
      <c r="D78" s="561" t="s">
        <v>137</v>
      </c>
      <c r="E78" s="562">
        <v>24.5</v>
      </c>
      <c r="F78" s="556">
        <v>0</v>
      </c>
      <c r="G78" s="557">
        <f t="shared" si="7"/>
        <v>0</v>
      </c>
      <c r="H78" s="558">
        <f t="shared" si="8"/>
        <v>4</v>
      </c>
      <c r="I78" s="559">
        <f t="shared" si="9"/>
        <v>98</v>
      </c>
      <c r="J78" s="558">
        <f t="shared" si="10"/>
        <v>2</v>
      </c>
      <c r="K78" s="559">
        <f t="shared" si="11"/>
        <v>49</v>
      </c>
      <c r="L78" s="558">
        <f t="shared" si="12"/>
        <v>2</v>
      </c>
      <c r="M78" s="559">
        <f t="shared" si="13"/>
        <v>49</v>
      </c>
      <c r="N78" s="562"/>
      <c r="O78" s="562"/>
      <c r="P78" s="563"/>
      <c r="Q78" s="563"/>
      <c r="R78" s="563"/>
      <c r="S78" s="563"/>
      <c r="T78" s="563"/>
      <c r="U78" s="563"/>
      <c r="V78" s="563"/>
      <c r="W78" s="563"/>
      <c r="X78" s="563"/>
      <c r="Y78" s="563"/>
      <c r="Z78" s="563"/>
      <c r="AA78" s="563"/>
      <c r="AB78" s="563"/>
      <c r="AC78" s="563"/>
      <c r="AD78" s="563"/>
      <c r="AE78" s="563"/>
      <c r="AF78" s="563"/>
      <c r="AG78" s="563"/>
      <c r="AH78" s="563">
        <v>4</v>
      </c>
      <c r="AI78" s="563"/>
      <c r="AJ78" s="563"/>
      <c r="AK78" s="563"/>
      <c r="AL78" s="563"/>
      <c r="AM78" s="563"/>
      <c r="AN78" s="563"/>
      <c r="AO78" s="563"/>
      <c r="AP78" s="563"/>
      <c r="AQ78" s="563"/>
      <c r="AR78" s="563"/>
      <c r="AS78" s="563"/>
      <c r="AT78" s="563"/>
      <c r="AU78" s="563"/>
      <c r="AV78" s="563"/>
      <c r="AW78" s="563"/>
      <c r="AX78" s="563"/>
      <c r="AY78" s="563"/>
      <c r="AZ78" s="563"/>
      <c r="BA78" s="563"/>
      <c r="BB78" s="563"/>
      <c r="BC78" s="563"/>
      <c r="BD78" s="563"/>
      <c r="BE78" s="563"/>
      <c r="BF78" s="563"/>
      <c r="BG78" s="563"/>
      <c r="BH78" s="563"/>
      <c r="BI78" s="563"/>
      <c r="BJ78" s="563"/>
      <c r="BK78" s="563">
        <v>2</v>
      </c>
      <c r="BL78" s="563"/>
      <c r="BM78" s="563"/>
      <c r="BN78" s="563"/>
      <c r="BO78" s="563"/>
      <c r="BP78" s="563"/>
      <c r="BQ78" s="563"/>
      <c r="BR78" s="563"/>
      <c r="BS78" s="563"/>
      <c r="BT78" s="563"/>
      <c r="BU78" s="563"/>
      <c r="BV78" s="162"/>
      <c r="BW78" s="162"/>
    </row>
    <row r="79" s="140" customFormat="1" customHeight="1" spans="1:75">
      <c r="A79" s="161">
        <v>108</v>
      </c>
      <c r="B79" s="571" t="s">
        <v>216</v>
      </c>
      <c r="C79" s="162"/>
      <c r="D79" s="561" t="s">
        <v>204</v>
      </c>
      <c r="E79" s="562">
        <v>33.5</v>
      </c>
      <c r="F79" s="556">
        <v>0</v>
      </c>
      <c r="G79" s="557">
        <f t="shared" si="7"/>
        <v>0</v>
      </c>
      <c r="H79" s="558">
        <f t="shared" si="8"/>
        <v>20</v>
      </c>
      <c r="I79" s="559">
        <f t="shared" si="9"/>
        <v>670</v>
      </c>
      <c r="J79" s="558">
        <f t="shared" si="10"/>
        <v>4</v>
      </c>
      <c r="K79" s="559">
        <f t="shared" si="11"/>
        <v>134</v>
      </c>
      <c r="L79" s="558">
        <f t="shared" si="12"/>
        <v>16</v>
      </c>
      <c r="M79" s="559">
        <f t="shared" si="13"/>
        <v>536</v>
      </c>
      <c r="N79" s="562"/>
      <c r="O79" s="562"/>
      <c r="P79" s="563"/>
      <c r="Q79" s="563"/>
      <c r="R79" s="563"/>
      <c r="S79" s="563"/>
      <c r="T79" s="563"/>
      <c r="U79" s="563"/>
      <c r="V79" s="563"/>
      <c r="W79" s="563"/>
      <c r="X79" s="563"/>
      <c r="Y79" s="563"/>
      <c r="Z79" s="563"/>
      <c r="AA79" s="563"/>
      <c r="AB79" s="563"/>
      <c r="AC79" s="563"/>
      <c r="AD79" s="563">
        <v>20</v>
      </c>
      <c r="AE79" s="563"/>
      <c r="AF79" s="563"/>
      <c r="AG79" s="563"/>
      <c r="AH79" s="563"/>
      <c r="AI79" s="563"/>
      <c r="AJ79" s="563"/>
      <c r="AK79" s="563"/>
      <c r="AL79" s="563"/>
      <c r="AM79" s="563"/>
      <c r="AN79" s="563"/>
      <c r="AO79" s="563"/>
      <c r="AP79" s="563"/>
      <c r="AQ79" s="563"/>
      <c r="AR79" s="563"/>
      <c r="AS79" s="563"/>
      <c r="AT79" s="563"/>
      <c r="AU79" s="563"/>
      <c r="AV79" s="563"/>
      <c r="AW79" s="563"/>
      <c r="AX79" s="563"/>
      <c r="AY79" s="563"/>
      <c r="AZ79" s="563"/>
      <c r="BA79" s="563"/>
      <c r="BB79" s="563"/>
      <c r="BC79" s="563"/>
      <c r="BD79" s="563"/>
      <c r="BE79" s="563"/>
      <c r="BF79" s="563"/>
      <c r="BG79" s="563"/>
      <c r="BH79" s="563"/>
      <c r="BI79" s="563"/>
      <c r="BJ79" s="563"/>
      <c r="BK79" s="563"/>
      <c r="BL79" s="563"/>
      <c r="BM79" s="563">
        <v>2</v>
      </c>
      <c r="BN79" s="563"/>
      <c r="BO79" s="563">
        <v>1</v>
      </c>
      <c r="BP79" s="563"/>
      <c r="BQ79" s="563">
        <v>1</v>
      </c>
      <c r="BR79" s="563"/>
      <c r="BS79" s="563"/>
      <c r="BT79" s="563"/>
      <c r="BU79" s="563"/>
      <c r="BV79" s="162"/>
      <c r="BW79" s="162"/>
    </row>
    <row r="80" s="140" customFormat="1" customHeight="1" spans="1:75">
      <c r="A80" s="161"/>
      <c r="B80" s="571" t="s">
        <v>217</v>
      </c>
      <c r="C80" s="162"/>
      <c r="D80" s="561" t="s">
        <v>218</v>
      </c>
      <c r="E80" s="562">
        <v>0.1864</v>
      </c>
      <c r="F80" s="556">
        <v>30</v>
      </c>
      <c r="G80" s="557">
        <f t="shared" si="7"/>
        <v>5.592</v>
      </c>
      <c r="H80" s="558">
        <f t="shared" si="8"/>
        <v>0</v>
      </c>
      <c r="I80" s="559">
        <f t="shared" si="9"/>
        <v>0</v>
      </c>
      <c r="J80" s="558">
        <f t="shared" si="10"/>
        <v>30</v>
      </c>
      <c r="K80" s="559">
        <f t="shared" si="11"/>
        <v>5.592</v>
      </c>
      <c r="L80" s="558">
        <f t="shared" si="12"/>
        <v>0</v>
      </c>
      <c r="M80" s="559">
        <f t="shared" si="13"/>
        <v>0</v>
      </c>
      <c r="N80" s="562"/>
      <c r="O80" s="562"/>
      <c r="P80" s="563"/>
      <c r="Q80" s="563"/>
      <c r="R80" s="563"/>
      <c r="S80" s="563"/>
      <c r="T80" s="563"/>
      <c r="U80" s="563"/>
      <c r="V80" s="563"/>
      <c r="W80" s="563"/>
      <c r="X80" s="563"/>
      <c r="Y80" s="563"/>
      <c r="Z80" s="563"/>
      <c r="AA80" s="563">
        <v>10</v>
      </c>
      <c r="AB80" s="563"/>
      <c r="AC80" s="563"/>
      <c r="AD80" s="563"/>
      <c r="AE80" s="563">
        <v>10</v>
      </c>
      <c r="AF80" s="563"/>
      <c r="AG80" s="563">
        <v>10</v>
      </c>
      <c r="AH80" s="563"/>
      <c r="AI80" s="563"/>
      <c r="AJ80" s="563"/>
      <c r="AK80" s="563"/>
      <c r="AL80" s="563"/>
      <c r="AM80" s="563"/>
      <c r="AN80" s="563"/>
      <c r="AO80" s="563"/>
      <c r="AP80" s="563"/>
      <c r="AQ80" s="563"/>
      <c r="AR80" s="563"/>
      <c r="AS80" s="563"/>
      <c r="AT80" s="563"/>
      <c r="AU80" s="563"/>
      <c r="AV80" s="563"/>
      <c r="AW80" s="563"/>
      <c r="AX80" s="563"/>
      <c r="AY80" s="563"/>
      <c r="AZ80" s="563"/>
      <c r="BA80" s="563"/>
      <c r="BB80" s="563"/>
      <c r="BC80" s="563"/>
      <c r="BD80" s="563"/>
      <c r="BE80" s="563"/>
      <c r="BF80" s="563"/>
      <c r="BG80" s="563"/>
      <c r="BH80" s="563"/>
      <c r="BI80" s="563"/>
      <c r="BJ80" s="563"/>
      <c r="BK80" s="563"/>
      <c r="BL80" s="563"/>
      <c r="BM80" s="563"/>
      <c r="BN80" s="563"/>
      <c r="BO80" s="563"/>
      <c r="BP80" s="563"/>
      <c r="BQ80" s="563"/>
      <c r="BR80" s="563"/>
      <c r="BS80" s="563"/>
      <c r="BT80" s="563"/>
      <c r="BU80" s="563"/>
      <c r="BV80" s="162"/>
      <c r="BW80" s="162"/>
    </row>
    <row r="81" s="140" customFormat="1" customHeight="1" spans="1:75">
      <c r="A81" s="161">
        <v>109</v>
      </c>
      <c r="B81" s="562" t="s">
        <v>219</v>
      </c>
      <c r="C81" s="162"/>
      <c r="D81" s="561" t="s">
        <v>137</v>
      </c>
      <c r="E81" s="562">
        <v>0.18</v>
      </c>
      <c r="F81" s="556">
        <v>180</v>
      </c>
      <c r="G81" s="557">
        <f t="shared" ref="G81:G112" si="14">F81*E81</f>
        <v>32.4</v>
      </c>
      <c r="H81" s="558">
        <f t="shared" ref="H81:H113" si="15">SUMIF($N$4:$BW$4,$H$4,$N81:$BW81)</f>
        <v>0</v>
      </c>
      <c r="I81" s="559">
        <f t="shared" ref="I81:I113" si="16">+E81*H81</f>
        <v>0</v>
      </c>
      <c r="J81" s="558">
        <f t="shared" ref="J81:J113" si="17">SUMIF($N$4:$BW$4,$J$4,$N81:$BW81)</f>
        <v>81</v>
      </c>
      <c r="K81" s="559">
        <f t="shared" ref="K81:K113" si="18">+E81*J81</f>
        <v>14.58</v>
      </c>
      <c r="L81" s="558">
        <f t="shared" ref="L81:L113" si="19">+F81+H81-J81</f>
        <v>99</v>
      </c>
      <c r="M81" s="559">
        <f t="shared" ref="M81:M113" si="20">+E81*L81</f>
        <v>17.82</v>
      </c>
      <c r="N81" s="562"/>
      <c r="O81" s="562">
        <v>5</v>
      </c>
      <c r="P81" s="563"/>
      <c r="Q81" s="563"/>
      <c r="R81" s="563"/>
      <c r="S81" s="563">
        <v>30</v>
      </c>
      <c r="T81" s="563"/>
      <c r="U81" s="563">
        <v>30</v>
      </c>
      <c r="V81" s="563"/>
      <c r="W81" s="563"/>
      <c r="X81" s="563"/>
      <c r="Y81" s="563"/>
      <c r="Z81" s="563"/>
      <c r="AA81" s="563"/>
      <c r="AB81" s="563"/>
      <c r="AC81" s="563"/>
      <c r="AD81" s="563"/>
      <c r="AE81" s="563"/>
      <c r="AF81" s="563"/>
      <c r="AG81" s="563"/>
      <c r="AH81" s="563"/>
      <c r="AI81" s="563"/>
      <c r="AJ81" s="563"/>
      <c r="AK81" s="563"/>
      <c r="AL81" s="563"/>
      <c r="AM81" s="563"/>
      <c r="AN81" s="563"/>
      <c r="AO81" s="563"/>
      <c r="AP81" s="563"/>
      <c r="AQ81" s="563"/>
      <c r="AR81" s="563"/>
      <c r="AS81" s="563"/>
      <c r="AT81" s="563"/>
      <c r="AU81" s="563">
        <v>3</v>
      </c>
      <c r="AV81" s="563"/>
      <c r="AW81" s="563">
        <v>4</v>
      </c>
      <c r="AX81" s="563"/>
      <c r="AY81" s="563">
        <v>1</v>
      </c>
      <c r="AZ81" s="563"/>
      <c r="BA81" s="563">
        <v>1</v>
      </c>
      <c r="BB81" s="563"/>
      <c r="BC81" s="563">
        <v>4</v>
      </c>
      <c r="BD81" s="563"/>
      <c r="BE81" s="563">
        <v>3</v>
      </c>
      <c r="BF81" s="563"/>
      <c r="BG81" s="563"/>
      <c r="BH81" s="563"/>
      <c r="BI81" s="563"/>
      <c r="BJ81" s="563"/>
      <c r="BK81" s="563"/>
      <c r="BL81" s="563"/>
      <c r="BM81" s="563"/>
      <c r="BN81" s="563"/>
      <c r="BO81" s="563"/>
      <c r="BP81" s="563"/>
      <c r="BQ81" s="563"/>
      <c r="BR81" s="563"/>
      <c r="BS81" s="563"/>
      <c r="BT81" s="563"/>
      <c r="BU81" s="563"/>
      <c r="BV81" s="162"/>
      <c r="BW81" s="162"/>
    </row>
    <row r="82" s="140" customFormat="1" customHeight="1" spans="1:75">
      <c r="A82" s="161">
        <v>110</v>
      </c>
      <c r="B82" s="573" t="s">
        <v>220</v>
      </c>
      <c r="C82" s="162"/>
      <c r="D82" s="561" t="s">
        <v>221</v>
      </c>
      <c r="E82" s="562">
        <v>0.9771</v>
      </c>
      <c r="F82" s="556">
        <v>30</v>
      </c>
      <c r="G82" s="557">
        <f t="shared" si="14"/>
        <v>29.313</v>
      </c>
      <c r="H82" s="558">
        <f t="shared" si="15"/>
        <v>0</v>
      </c>
      <c r="I82" s="559">
        <f t="shared" si="16"/>
        <v>0</v>
      </c>
      <c r="J82" s="558">
        <f t="shared" si="17"/>
        <v>0</v>
      </c>
      <c r="K82" s="559">
        <f t="shared" si="18"/>
        <v>0</v>
      </c>
      <c r="L82" s="558">
        <f t="shared" si="19"/>
        <v>30</v>
      </c>
      <c r="M82" s="559">
        <f t="shared" si="20"/>
        <v>29.313</v>
      </c>
      <c r="N82" s="562"/>
      <c r="O82" s="562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63"/>
      <c r="AB82" s="563"/>
      <c r="AC82" s="563"/>
      <c r="AD82" s="563"/>
      <c r="AE82" s="563"/>
      <c r="AF82" s="563"/>
      <c r="AG82" s="563"/>
      <c r="AH82" s="563"/>
      <c r="AI82" s="563"/>
      <c r="AJ82" s="563"/>
      <c r="AK82" s="563"/>
      <c r="AL82" s="563"/>
      <c r="AM82" s="563"/>
      <c r="AN82" s="563"/>
      <c r="AO82" s="563"/>
      <c r="AP82" s="563"/>
      <c r="AQ82" s="563"/>
      <c r="AR82" s="563"/>
      <c r="AS82" s="563"/>
      <c r="AT82" s="563"/>
      <c r="AU82" s="563"/>
      <c r="AV82" s="563"/>
      <c r="AW82" s="563"/>
      <c r="AX82" s="563"/>
      <c r="AY82" s="563"/>
      <c r="AZ82" s="563"/>
      <c r="BA82" s="563"/>
      <c r="BB82" s="563"/>
      <c r="BC82" s="563"/>
      <c r="BD82" s="563"/>
      <c r="BE82" s="563"/>
      <c r="BF82" s="563"/>
      <c r="BG82" s="563"/>
      <c r="BH82" s="563"/>
      <c r="BI82" s="563"/>
      <c r="BJ82" s="563"/>
      <c r="BK82" s="563"/>
      <c r="BL82" s="563"/>
      <c r="BM82" s="563"/>
      <c r="BN82" s="563"/>
      <c r="BO82" s="563"/>
      <c r="BP82" s="563"/>
      <c r="BQ82" s="563"/>
      <c r="BR82" s="563"/>
      <c r="BS82" s="563"/>
      <c r="BT82" s="563"/>
      <c r="BU82" s="563"/>
      <c r="BV82" s="162"/>
      <c r="BW82" s="162"/>
    </row>
    <row r="83" s="140" customFormat="1" customHeight="1" spans="1:75">
      <c r="A83" s="161">
        <v>111</v>
      </c>
      <c r="B83" s="574" t="s">
        <v>222</v>
      </c>
      <c r="C83" s="162"/>
      <c r="D83" s="561" t="s">
        <v>184</v>
      </c>
      <c r="E83" s="562">
        <v>9.15</v>
      </c>
      <c r="F83" s="556">
        <v>0</v>
      </c>
      <c r="G83" s="557">
        <f t="shared" si="14"/>
        <v>0</v>
      </c>
      <c r="H83" s="558">
        <f t="shared" si="15"/>
        <v>0</v>
      </c>
      <c r="I83" s="559">
        <f t="shared" si="16"/>
        <v>0</v>
      </c>
      <c r="J83" s="558">
        <f t="shared" si="17"/>
        <v>0</v>
      </c>
      <c r="K83" s="559">
        <f t="shared" si="18"/>
        <v>0</v>
      </c>
      <c r="L83" s="558">
        <f t="shared" si="19"/>
        <v>0</v>
      </c>
      <c r="M83" s="559">
        <f t="shared" si="20"/>
        <v>0</v>
      </c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63"/>
      <c r="AB83" s="563"/>
      <c r="AC83" s="563"/>
      <c r="AD83" s="563"/>
      <c r="AE83" s="563"/>
      <c r="AF83" s="563"/>
      <c r="AG83" s="563"/>
      <c r="AH83" s="563"/>
      <c r="AI83" s="563"/>
      <c r="AJ83" s="563"/>
      <c r="AK83" s="563"/>
      <c r="AL83" s="563"/>
      <c r="AM83" s="563"/>
      <c r="AN83" s="563"/>
      <c r="AO83" s="563"/>
      <c r="AP83" s="563"/>
      <c r="AQ83" s="563"/>
      <c r="AR83" s="563"/>
      <c r="AS83" s="563"/>
      <c r="AT83" s="563"/>
      <c r="AU83" s="563"/>
      <c r="AV83" s="563"/>
      <c r="AW83" s="563"/>
      <c r="AX83" s="563"/>
      <c r="AY83" s="563"/>
      <c r="AZ83" s="563"/>
      <c r="BA83" s="563"/>
      <c r="BB83" s="563"/>
      <c r="BC83" s="563"/>
      <c r="BD83" s="563"/>
      <c r="BE83" s="563"/>
      <c r="BF83" s="563"/>
      <c r="BG83" s="563"/>
      <c r="BH83" s="563"/>
      <c r="BI83" s="563"/>
      <c r="BJ83" s="563"/>
      <c r="BK83" s="563"/>
      <c r="BL83" s="563"/>
      <c r="BM83" s="563"/>
      <c r="BN83" s="563"/>
      <c r="BO83" s="563"/>
      <c r="BP83" s="563"/>
      <c r="BQ83" s="563"/>
      <c r="BR83" s="563"/>
      <c r="BS83" s="563"/>
      <c r="BT83" s="563"/>
      <c r="BU83" s="563"/>
      <c r="BV83" s="162"/>
      <c r="BW83" s="162"/>
    </row>
    <row r="84" s="140" customFormat="1" customHeight="1" spans="1:75">
      <c r="A84" s="161">
        <v>112</v>
      </c>
      <c r="B84" s="562" t="s">
        <v>223</v>
      </c>
      <c r="C84" s="162"/>
      <c r="D84" s="561" t="s">
        <v>137</v>
      </c>
      <c r="E84" s="561">
        <v>1.11</v>
      </c>
      <c r="F84" s="556">
        <v>0</v>
      </c>
      <c r="G84" s="557">
        <f t="shared" si="14"/>
        <v>0</v>
      </c>
      <c r="H84" s="558">
        <f t="shared" si="15"/>
        <v>0</v>
      </c>
      <c r="I84" s="559">
        <f t="shared" si="16"/>
        <v>0</v>
      </c>
      <c r="J84" s="558">
        <f t="shared" si="17"/>
        <v>0</v>
      </c>
      <c r="K84" s="559">
        <f t="shared" si="18"/>
        <v>0</v>
      </c>
      <c r="L84" s="558">
        <f t="shared" si="19"/>
        <v>0</v>
      </c>
      <c r="M84" s="559">
        <f t="shared" si="20"/>
        <v>0</v>
      </c>
      <c r="N84" s="563"/>
      <c r="O84" s="563"/>
      <c r="P84" s="563"/>
      <c r="Q84" s="563"/>
      <c r="R84" s="563"/>
      <c r="S84" s="563"/>
      <c r="T84" s="563"/>
      <c r="U84" s="563"/>
      <c r="V84" s="563"/>
      <c r="W84" s="563"/>
      <c r="X84" s="563"/>
      <c r="Y84" s="563"/>
      <c r="Z84" s="563"/>
      <c r="AA84" s="563"/>
      <c r="AB84" s="563"/>
      <c r="AC84" s="563"/>
      <c r="AD84" s="563"/>
      <c r="AE84" s="563"/>
      <c r="AF84" s="563"/>
      <c r="AG84" s="563"/>
      <c r="AH84" s="563"/>
      <c r="AI84" s="563"/>
      <c r="AJ84" s="563"/>
      <c r="AK84" s="563"/>
      <c r="AL84" s="563"/>
      <c r="AM84" s="563"/>
      <c r="AN84" s="563"/>
      <c r="AO84" s="563"/>
      <c r="AP84" s="563"/>
      <c r="AQ84" s="563"/>
      <c r="AR84" s="563"/>
      <c r="AS84" s="563"/>
      <c r="AT84" s="563"/>
      <c r="AU84" s="563"/>
      <c r="AV84" s="563"/>
      <c r="AW84" s="563"/>
      <c r="AX84" s="563"/>
      <c r="AY84" s="563"/>
      <c r="AZ84" s="563"/>
      <c r="BA84" s="563"/>
      <c r="BB84" s="563"/>
      <c r="BC84" s="563"/>
      <c r="BD84" s="563"/>
      <c r="BE84" s="563"/>
      <c r="BF84" s="563"/>
      <c r="BG84" s="563"/>
      <c r="BH84" s="563"/>
      <c r="BI84" s="563"/>
      <c r="BJ84" s="563"/>
      <c r="BK84" s="563"/>
      <c r="BL84" s="563"/>
      <c r="BM84" s="563"/>
      <c r="BN84" s="563"/>
      <c r="BO84" s="563"/>
      <c r="BP84" s="563"/>
      <c r="BQ84" s="563"/>
      <c r="BR84" s="563"/>
      <c r="BS84" s="563"/>
      <c r="BT84" s="563"/>
      <c r="BU84" s="563"/>
      <c r="BV84" s="162"/>
      <c r="BW84" s="162"/>
    </row>
    <row r="85" s="140" customFormat="1" customHeight="1" spans="1:75">
      <c r="A85" s="161">
        <v>113</v>
      </c>
      <c r="B85" s="571" t="s">
        <v>224</v>
      </c>
      <c r="C85" s="162"/>
      <c r="D85" s="561" t="s">
        <v>204</v>
      </c>
      <c r="E85" s="561">
        <v>11.34</v>
      </c>
      <c r="F85" s="556">
        <v>0</v>
      </c>
      <c r="G85" s="557">
        <f t="shared" si="14"/>
        <v>0</v>
      </c>
      <c r="H85" s="558">
        <f t="shared" si="15"/>
        <v>0</v>
      </c>
      <c r="I85" s="559">
        <f t="shared" si="16"/>
        <v>0</v>
      </c>
      <c r="J85" s="558">
        <f t="shared" si="17"/>
        <v>0</v>
      </c>
      <c r="K85" s="559">
        <f t="shared" si="18"/>
        <v>0</v>
      </c>
      <c r="L85" s="558">
        <f t="shared" si="19"/>
        <v>0</v>
      </c>
      <c r="M85" s="559">
        <f t="shared" si="20"/>
        <v>0</v>
      </c>
      <c r="N85" s="563"/>
      <c r="O85" s="563"/>
      <c r="P85" s="563"/>
      <c r="Q85" s="563"/>
      <c r="R85" s="563"/>
      <c r="S85" s="563"/>
      <c r="T85" s="563"/>
      <c r="U85" s="563"/>
      <c r="V85" s="563"/>
      <c r="W85" s="563"/>
      <c r="X85" s="563"/>
      <c r="Y85" s="563"/>
      <c r="Z85" s="563"/>
      <c r="AA85" s="563"/>
      <c r="AB85" s="563"/>
      <c r="AC85" s="563"/>
      <c r="AD85" s="563"/>
      <c r="AE85" s="563"/>
      <c r="AF85" s="563"/>
      <c r="AG85" s="563"/>
      <c r="AH85" s="563"/>
      <c r="AI85" s="563"/>
      <c r="AJ85" s="563"/>
      <c r="AK85" s="563"/>
      <c r="AL85" s="563"/>
      <c r="AM85" s="563"/>
      <c r="AN85" s="563"/>
      <c r="AO85" s="563"/>
      <c r="AP85" s="563"/>
      <c r="AQ85" s="563"/>
      <c r="AR85" s="563"/>
      <c r="AS85" s="563"/>
      <c r="AT85" s="563"/>
      <c r="AU85" s="563"/>
      <c r="AV85" s="563"/>
      <c r="AW85" s="563"/>
      <c r="AX85" s="563"/>
      <c r="AY85" s="563"/>
      <c r="AZ85" s="563"/>
      <c r="BA85" s="563"/>
      <c r="BB85" s="563"/>
      <c r="BC85" s="563"/>
      <c r="BD85" s="563"/>
      <c r="BE85" s="563"/>
      <c r="BF85" s="563"/>
      <c r="BG85" s="563"/>
      <c r="BH85" s="563"/>
      <c r="BI85" s="563"/>
      <c r="BJ85" s="563"/>
      <c r="BK85" s="563"/>
      <c r="BL85" s="563"/>
      <c r="BM85" s="563"/>
      <c r="BN85" s="563"/>
      <c r="BO85" s="563"/>
      <c r="BP85" s="563"/>
      <c r="BQ85" s="563"/>
      <c r="BR85" s="563"/>
      <c r="BS85" s="563"/>
      <c r="BT85" s="563"/>
      <c r="BU85" s="563"/>
      <c r="BV85" s="162"/>
      <c r="BW85" s="162"/>
    </row>
    <row r="86" s="140" customFormat="1" customHeight="1" spans="1:75">
      <c r="A86" s="161">
        <v>114</v>
      </c>
      <c r="B86" s="562" t="s">
        <v>225</v>
      </c>
      <c r="C86" s="162"/>
      <c r="D86" s="561" t="s">
        <v>226</v>
      </c>
      <c r="E86" s="561">
        <v>7.76</v>
      </c>
      <c r="F86" s="556">
        <v>2</v>
      </c>
      <c r="G86" s="557">
        <f t="shared" si="14"/>
        <v>15.52</v>
      </c>
      <c r="H86" s="558">
        <f t="shared" si="15"/>
        <v>0</v>
      </c>
      <c r="I86" s="559">
        <f t="shared" si="16"/>
        <v>0</v>
      </c>
      <c r="J86" s="558">
        <f t="shared" si="17"/>
        <v>0</v>
      </c>
      <c r="K86" s="559">
        <f t="shared" si="18"/>
        <v>0</v>
      </c>
      <c r="L86" s="558">
        <f t="shared" si="19"/>
        <v>2</v>
      </c>
      <c r="M86" s="559">
        <f t="shared" si="20"/>
        <v>15.52</v>
      </c>
      <c r="N86" s="562"/>
      <c r="O86" s="562"/>
      <c r="P86" s="563"/>
      <c r="Q86" s="563"/>
      <c r="R86" s="563"/>
      <c r="S86" s="563"/>
      <c r="T86" s="563"/>
      <c r="U86" s="563"/>
      <c r="V86" s="563"/>
      <c r="W86" s="563"/>
      <c r="X86" s="563"/>
      <c r="Y86" s="563"/>
      <c r="Z86" s="563"/>
      <c r="AA86" s="563"/>
      <c r="AB86" s="563"/>
      <c r="AC86" s="563"/>
      <c r="AD86" s="563"/>
      <c r="AE86" s="563"/>
      <c r="AF86" s="563"/>
      <c r="AG86" s="563"/>
      <c r="AH86" s="563"/>
      <c r="AI86" s="563"/>
      <c r="AJ86" s="563"/>
      <c r="AK86" s="563"/>
      <c r="AL86" s="563"/>
      <c r="AM86" s="563"/>
      <c r="AN86" s="563"/>
      <c r="AO86" s="563"/>
      <c r="AP86" s="563"/>
      <c r="AQ86" s="563"/>
      <c r="AR86" s="563"/>
      <c r="AS86" s="563"/>
      <c r="AT86" s="563"/>
      <c r="AU86" s="563"/>
      <c r="AV86" s="563"/>
      <c r="AW86" s="563"/>
      <c r="AX86" s="563"/>
      <c r="AY86" s="563"/>
      <c r="AZ86" s="563"/>
      <c r="BA86" s="563"/>
      <c r="BB86" s="563"/>
      <c r="BC86" s="563"/>
      <c r="BD86" s="563"/>
      <c r="BE86" s="563"/>
      <c r="BF86" s="563"/>
      <c r="BG86" s="563"/>
      <c r="BH86" s="563"/>
      <c r="BI86" s="563"/>
      <c r="BJ86" s="563"/>
      <c r="BK86" s="563"/>
      <c r="BL86" s="563"/>
      <c r="BM86" s="563"/>
      <c r="BN86" s="563"/>
      <c r="BO86" s="563"/>
      <c r="BP86" s="563"/>
      <c r="BQ86" s="563"/>
      <c r="BR86" s="563"/>
      <c r="BS86" s="563"/>
      <c r="BT86" s="563"/>
      <c r="BU86" s="563"/>
      <c r="BV86" s="162"/>
      <c r="BW86" s="162"/>
    </row>
    <row r="87" s="140" customFormat="1" customHeight="1" spans="1:75">
      <c r="A87" s="161">
        <v>115</v>
      </c>
      <c r="B87" s="571" t="s">
        <v>227</v>
      </c>
      <c r="C87" s="162"/>
      <c r="D87" s="561" t="s">
        <v>137</v>
      </c>
      <c r="E87" s="561">
        <v>10.63</v>
      </c>
      <c r="F87" s="556">
        <v>0</v>
      </c>
      <c r="G87" s="557">
        <f t="shared" si="14"/>
        <v>0</v>
      </c>
      <c r="H87" s="558">
        <f t="shared" si="15"/>
        <v>0</v>
      </c>
      <c r="I87" s="559">
        <f t="shared" si="16"/>
        <v>0</v>
      </c>
      <c r="J87" s="558">
        <f t="shared" si="17"/>
        <v>0</v>
      </c>
      <c r="K87" s="559">
        <f t="shared" si="18"/>
        <v>0</v>
      </c>
      <c r="L87" s="558">
        <f t="shared" si="19"/>
        <v>0</v>
      </c>
      <c r="M87" s="559">
        <f t="shared" si="20"/>
        <v>0</v>
      </c>
      <c r="N87" s="563"/>
      <c r="O87" s="563"/>
      <c r="P87" s="563"/>
      <c r="Q87" s="563"/>
      <c r="R87" s="563"/>
      <c r="S87" s="563"/>
      <c r="T87" s="563"/>
      <c r="U87" s="563"/>
      <c r="V87" s="563"/>
      <c r="W87" s="563"/>
      <c r="X87" s="563"/>
      <c r="Y87" s="563"/>
      <c r="Z87" s="563"/>
      <c r="AA87" s="563"/>
      <c r="AB87" s="563"/>
      <c r="AC87" s="563"/>
      <c r="AD87" s="563"/>
      <c r="AE87" s="563"/>
      <c r="AF87" s="563"/>
      <c r="AG87" s="563"/>
      <c r="AH87" s="563"/>
      <c r="AI87" s="563"/>
      <c r="AJ87" s="563"/>
      <c r="AK87" s="563"/>
      <c r="AL87" s="563"/>
      <c r="AM87" s="563"/>
      <c r="AN87" s="563"/>
      <c r="AO87" s="563"/>
      <c r="AP87" s="563"/>
      <c r="AQ87" s="563"/>
      <c r="AR87" s="563"/>
      <c r="AS87" s="563"/>
      <c r="AT87" s="563"/>
      <c r="AU87" s="563"/>
      <c r="AV87" s="563"/>
      <c r="AW87" s="563"/>
      <c r="AX87" s="563"/>
      <c r="AY87" s="563"/>
      <c r="AZ87" s="563"/>
      <c r="BA87" s="563"/>
      <c r="BB87" s="563"/>
      <c r="BC87" s="563"/>
      <c r="BD87" s="563"/>
      <c r="BE87" s="563"/>
      <c r="BF87" s="563"/>
      <c r="BG87" s="563"/>
      <c r="BH87" s="563"/>
      <c r="BI87" s="563"/>
      <c r="BJ87" s="563"/>
      <c r="BK87" s="575"/>
      <c r="BL87" s="575"/>
      <c r="BM87" s="575"/>
      <c r="BN87" s="575"/>
      <c r="BO87" s="575"/>
      <c r="BP87" s="575"/>
      <c r="BQ87" s="575"/>
      <c r="BR87" s="575"/>
      <c r="BS87" s="575"/>
      <c r="BT87" s="575"/>
      <c r="BU87" s="575"/>
      <c r="BV87" s="162"/>
      <c r="BW87" s="162"/>
    </row>
    <row r="88" s="140" customFormat="1" customHeight="1" spans="1:75">
      <c r="A88" s="161">
        <v>116</v>
      </c>
      <c r="B88" s="562" t="s">
        <v>228</v>
      </c>
      <c r="C88" s="162"/>
      <c r="D88" s="561" t="s">
        <v>209</v>
      </c>
      <c r="E88" s="561">
        <v>0.6078</v>
      </c>
      <c r="F88" s="556">
        <v>0</v>
      </c>
      <c r="G88" s="557">
        <f t="shared" si="14"/>
        <v>0</v>
      </c>
      <c r="H88" s="558">
        <f t="shared" si="15"/>
        <v>0</v>
      </c>
      <c r="I88" s="559">
        <f t="shared" si="16"/>
        <v>0</v>
      </c>
      <c r="J88" s="558">
        <f t="shared" si="17"/>
        <v>0</v>
      </c>
      <c r="K88" s="559">
        <f t="shared" si="18"/>
        <v>0</v>
      </c>
      <c r="L88" s="558">
        <f t="shared" si="19"/>
        <v>0</v>
      </c>
      <c r="M88" s="559">
        <f t="shared" si="20"/>
        <v>0</v>
      </c>
      <c r="N88" s="563"/>
      <c r="O88" s="563"/>
      <c r="P88" s="563"/>
      <c r="Q88" s="563"/>
      <c r="R88" s="563"/>
      <c r="S88" s="563"/>
      <c r="T88" s="563"/>
      <c r="U88" s="563"/>
      <c r="V88" s="563"/>
      <c r="W88" s="563"/>
      <c r="X88" s="563"/>
      <c r="Y88" s="563"/>
      <c r="Z88" s="563"/>
      <c r="AA88" s="563"/>
      <c r="AB88" s="563"/>
      <c r="AC88" s="563"/>
      <c r="AD88" s="563"/>
      <c r="AE88" s="563"/>
      <c r="AF88" s="563"/>
      <c r="AG88" s="563"/>
      <c r="AH88" s="563"/>
      <c r="AI88" s="563"/>
      <c r="AJ88" s="563"/>
      <c r="AK88" s="563"/>
      <c r="AL88" s="563"/>
      <c r="AM88" s="563"/>
      <c r="AN88" s="563"/>
      <c r="AO88" s="563"/>
      <c r="AP88" s="563"/>
      <c r="AQ88" s="563"/>
      <c r="AR88" s="563"/>
      <c r="AS88" s="563"/>
      <c r="AT88" s="563"/>
      <c r="AU88" s="563"/>
      <c r="AV88" s="563"/>
      <c r="AW88" s="563"/>
      <c r="AX88" s="563"/>
      <c r="AY88" s="563"/>
      <c r="AZ88" s="563"/>
      <c r="BA88" s="563"/>
      <c r="BB88" s="563"/>
      <c r="BC88" s="563"/>
      <c r="BD88" s="563"/>
      <c r="BE88" s="563"/>
      <c r="BF88" s="563"/>
      <c r="BG88" s="563"/>
      <c r="BH88" s="563"/>
      <c r="BI88" s="563"/>
      <c r="BJ88" s="563"/>
      <c r="BK88" s="575"/>
      <c r="BL88" s="575"/>
      <c r="BM88" s="575"/>
      <c r="BN88" s="575"/>
      <c r="BO88" s="575"/>
      <c r="BP88" s="575"/>
      <c r="BQ88" s="575"/>
      <c r="BR88" s="575"/>
      <c r="BS88" s="575"/>
      <c r="BT88" s="575"/>
      <c r="BU88" s="575"/>
      <c r="BV88" s="162"/>
      <c r="BW88" s="162"/>
    </row>
    <row r="89" s="140" customFormat="1" customHeight="1" spans="1:75">
      <c r="A89" s="161">
        <v>117</v>
      </c>
      <c r="B89" s="562" t="s">
        <v>229</v>
      </c>
      <c r="C89" s="162"/>
      <c r="D89" s="561" t="s">
        <v>137</v>
      </c>
      <c r="E89" s="561">
        <v>0.34</v>
      </c>
      <c r="F89" s="556">
        <v>30</v>
      </c>
      <c r="G89" s="557">
        <f t="shared" si="14"/>
        <v>10.2</v>
      </c>
      <c r="H89" s="558">
        <f t="shared" si="15"/>
        <v>0</v>
      </c>
      <c r="I89" s="559">
        <f t="shared" si="16"/>
        <v>0</v>
      </c>
      <c r="J89" s="558">
        <f t="shared" si="17"/>
        <v>10</v>
      </c>
      <c r="K89" s="559">
        <f t="shared" si="18"/>
        <v>3.4</v>
      </c>
      <c r="L89" s="558">
        <f t="shared" si="19"/>
        <v>20</v>
      </c>
      <c r="M89" s="559">
        <f t="shared" si="20"/>
        <v>6.8</v>
      </c>
      <c r="N89" s="563"/>
      <c r="O89" s="563"/>
      <c r="P89" s="563"/>
      <c r="Q89" s="563"/>
      <c r="R89" s="563"/>
      <c r="S89" s="563"/>
      <c r="T89" s="563"/>
      <c r="U89" s="563"/>
      <c r="V89" s="563"/>
      <c r="W89" s="563"/>
      <c r="X89" s="563"/>
      <c r="Y89" s="563"/>
      <c r="Z89" s="563"/>
      <c r="AA89" s="563"/>
      <c r="AB89" s="563"/>
      <c r="AC89" s="563"/>
      <c r="AD89" s="563"/>
      <c r="AE89" s="563"/>
      <c r="AF89" s="563"/>
      <c r="AG89" s="563"/>
      <c r="AH89" s="563"/>
      <c r="AI89" s="563"/>
      <c r="AJ89" s="563"/>
      <c r="AK89" s="563"/>
      <c r="AL89" s="563"/>
      <c r="AM89" s="563"/>
      <c r="AN89" s="563"/>
      <c r="AO89" s="563"/>
      <c r="AP89" s="563"/>
      <c r="AQ89" s="563"/>
      <c r="AR89" s="563"/>
      <c r="AS89" s="563"/>
      <c r="AT89" s="563"/>
      <c r="AU89" s="563"/>
      <c r="AV89" s="563"/>
      <c r="AW89" s="563"/>
      <c r="AX89" s="563"/>
      <c r="AY89" s="563">
        <v>10</v>
      </c>
      <c r="AZ89" s="563"/>
      <c r="BA89" s="563"/>
      <c r="BB89" s="563"/>
      <c r="BC89" s="563"/>
      <c r="BD89" s="563"/>
      <c r="BE89" s="563"/>
      <c r="BF89" s="563"/>
      <c r="BG89" s="563"/>
      <c r="BH89" s="563"/>
      <c r="BI89" s="563"/>
      <c r="BJ89" s="563"/>
      <c r="BK89" s="575"/>
      <c r="BL89" s="575"/>
      <c r="BM89" s="575"/>
      <c r="BN89" s="575"/>
      <c r="BO89" s="575"/>
      <c r="BP89" s="575"/>
      <c r="BQ89" s="575"/>
      <c r="BR89" s="575"/>
      <c r="BS89" s="575"/>
      <c r="BT89" s="575"/>
      <c r="BU89" s="575"/>
      <c r="BV89" s="162"/>
      <c r="BW89" s="162"/>
    </row>
    <row r="90" s="140" customFormat="1" customHeight="1" spans="1:75">
      <c r="A90" s="161">
        <v>118</v>
      </c>
      <c r="B90" s="562" t="s">
        <v>230</v>
      </c>
      <c r="C90" s="162"/>
      <c r="D90" s="561" t="s">
        <v>137</v>
      </c>
      <c r="E90" s="561">
        <v>4.7</v>
      </c>
      <c r="F90" s="556">
        <v>4</v>
      </c>
      <c r="G90" s="557">
        <f t="shared" si="14"/>
        <v>18.8</v>
      </c>
      <c r="H90" s="558">
        <f t="shared" si="15"/>
        <v>0</v>
      </c>
      <c r="I90" s="559">
        <f t="shared" si="16"/>
        <v>0</v>
      </c>
      <c r="J90" s="558">
        <f t="shared" si="17"/>
        <v>1</v>
      </c>
      <c r="K90" s="559">
        <f t="shared" si="18"/>
        <v>4.7</v>
      </c>
      <c r="L90" s="558">
        <f t="shared" si="19"/>
        <v>3</v>
      </c>
      <c r="M90" s="559">
        <f t="shared" si="20"/>
        <v>14.1</v>
      </c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63"/>
      <c r="AB90" s="563"/>
      <c r="AC90" s="563"/>
      <c r="AD90" s="563"/>
      <c r="AE90" s="563"/>
      <c r="AF90" s="563"/>
      <c r="AG90" s="563"/>
      <c r="AH90" s="563"/>
      <c r="AI90" s="563"/>
      <c r="AJ90" s="563"/>
      <c r="AK90" s="563"/>
      <c r="AL90" s="563"/>
      <c r="AM90" s="563"/>
      <c r="AN90" s="563"/>
      <c r="AO90" s="563"/>
      <c r="AP90" s="563"/>
      <c r="AQ90" s="563"/>
      <c r="AR90" s="563"/>
      <c r="AS90" s="563"/>
      <c r="AT90" s="563"/>
      <c r="AU90" s="563"/>
      <c r="AV90" s="563"/>
      <c r="AW90" s="563"/>
      <c r="AX90" s="563"/>
      <c r="AY90" s="563"/>
      <c r="AZ90" s="563"/>
      <c r="BA90" s="563"/>
      <c r="BB90" s="563"/>
      <c r="BC90" s="563"/>
      <c r="BD90" s="563"/>
      <c r="BE90" s="563"/>
      <c r="BF90" s="563"/>
      <c r="BG90" s="563"/>
      <c r="BH90" s="563"/>
      <c r="BI90" s="563"/>
      <c r="BJ90" s="563"/>
      <c r="BK90" s="575">
        <v>1</v>
      </c>
      <c r="BL90" s="575"/>
      <c r="BM90" s="575"/>
      <c r="BN90" s="575"/>
      <c r="BO90" s="575"/>
      <c r="BP90" s="575"/>
      <c r="BQ90" s="575"/>
      <c r="BR90" s="575"/>
      <c r="BS90" s="575"/>
      <c r="BT90" s="575"/>
      <c r="BU90" s="575"/>
      <c r="BV90" s="162"/>
      <c r="BW90" s="162"/>
    </row>
    <row r="91" s="140" customFormat="1" customHeight="1" spans="1:75">
      <c r="A91" s="161">
        <v>119</v>
      </c>
      <c r="B91" s="573" t="s">
        <v>231</v>
      </c>
      <c r="C91" s="162"/>
      <c r="D91" s="561" t="s">
        <v>137</v>
      </c>
      <c r="E91" s="561">
        <v>3.3</v>
      </c>
      <c r="F91" s="556">
        <v>18</v>
      </c>
      <c r="G91" s="557">
        <f t="shared" si="14"/>
        <v>59.4</v>
      </c>
      <c r="H91" s="558">
        <f t="shared" si="15"/>
        <v>0</v>
      </c>
      <c r="I91" s="559">
        <f t="shared" si="16"/>
        <v>0</v>
      </c>
      <c r="J91" s="558">
        <f t="shared" si="17"/>
        <v>6</v>
      </c>
      <c r="K91" s="559">
        <f t="shared" si="18"/>
        <v>19.8</v>
      </c>
      <c r="L91" s="558">
        <f t="shared" si="19"/>
        <v>12</v>
      </c>
      <c r="M91" s="559">
        <f t="shared" si="20"/>
        <v>39.6</v>
      </c>
      <c r="N91" s="563"/>
      <c r="O91" s="563"/>
      <c r="P91" s="563"/>
      <c r="Q91" s="563"/>
      <c r="R91" s="563"/>
      <c r="S91" s="563"/>
      <c r="T91" s="563"/>
      <c r="U91" s="563"/>
      <c r="V91" s="563"/>
      <c r="W91" s="563"/>
      <c r="X91" s="563"/>
      <c r="Y91" s="563"/>
      <c r="Z91" s="563"/>
      <c r="AA91" s="563"/>
      <c r="AB91" s="563"/>
      <c r="AC91" s="563"/>
      <c r="AD91" s="563"/>
      <c r="AE91" s="563"/>
      <c r="AF91" s="563"/>
      <c r="AG91" s="563"/>
      <c r="AH91" s="563"/>
      <c r="AI91" s="563"/>
      <c r="AJ91" s="563"/>
      <c r="AK91" s="563"/>
      <c r="AL91" s="563"/>
      <c r="AM91" s="563"/>
      <c r="AN91" s="563"/>
      <c r="AO91" s="563">
        <v>2</v>
      </c>
      <c r="AP91" s="563"/>
      <c r="AQ91" s="563"/>
      <c r="AR91" s="563"/>
      <c r="AS91" s="563"/>
      <c r="AT91" s="563"/>
      <c r="AU91" s="563"/>
      <c r="AV91" s="563"/>
      <c r="AW91" s="563"/>
      <c r="AX91" s="563"/>
      <c r="AY91" s="563">
        <v>2</v>
      </c>
      <c r="AZ91" s="563"/>
      <c r="BA91" s="563"/>
      <c r="BB91" s="563"/>
      <c r="BC91" s="563">
        <v>2</v>
      </c>
      <c r="BD91" s="563"/>
      <c r="BE91" s="563"/>
      <c r="BF91" s="563"/>
      <c r="BG91" s="563"/>
      <c r="BH91" s="563"/>
      <c r="BI91" s="563"/>
      <c r="BJ91" s="563"/>
      <c r="BK91" s="575"/>
      <c r="BL91" s="575"/>
      <c r="BM91" s="575"/>
      <c r="BN91" s="575"/>
      <c r="BO91" s="575"/>
      <c r="BP91" s="575"/>
      <c r="BQ91" s="575"/>
      <c r="BR91" s="575"/>
      <c r="BS91" s="575"/>
      <c r="BT91" s="575"/>
      <c r="BU91" s="575"/>
      <c r="BV91" s="162"/>
      <c r="BW91" s="162"/>
    </row>
    <row r="92" s="140" customFormat="1" customHeight="1" spans="1:75">
      <c r="A92" s="161">
        <v>120</v>
      </c>
      <c r="B92" s="573" t="s">
        <v>232</v>
      </c>
      <c r="C92" s="162"/>
      <c r="D92" s="561" t="s">
        <v>137</v>
      </c>
      <c r="E92" s="561">
        <v>17.31</v>
      </c>
      <c r="F92" s="556">
        <v>2</v>
      </c>
      <c r="G92" s="557">
        <f t="shared" si="14"/>
        <v>34.62</v>
      </c>
      <c r="H92" s="558">
        <f t="shared" si="15"/>
        <v>0</v>
      </c>
      <c r="I92" s="559">
        <f t="shared" si="16"/>
        <v>0</v>
      </c>
      <c r="J92" s="558">
        <f t="shared" si="17"/>
        <v>2</v>
      </c>
      <c r="K92" s="559">
        <f t="shared" si="18"/>
        <v>34.62</v>
      </c>
      <c r="L92" s="558">
        <f t="shared" si="19"/>
        <v>0</v>
      </c>
      <c r="M92" s="559">
        <f t="shared" si="20"/>
        <v>0</v>
      </c>
      <c r="N92" s="562"/>
      <c r="O92" s="562"/>
      <c r="P92" s="563"/>
      <c r="Q92" s="563"/>
      <c r="R92" s="563"/>
      <c r="S92" s="563"/>
      <c r="T92" s="563"/>
      <c r="U92" s="563"/>
      <c r="V92" s="563"/>
      <c r="W92" s="563"/>
      <c r="X92" s="563"/>
      <c r="Y92" s="563">
        <v>2</v>
      </c>
      <c r="Z92" s="563"/>
      <c r="AA92" s="563"/>
      <c r="AB92" s="563"/>
      <c r="AC92" s="563"/>
      <c r="AD92" s="563"/>
      <c r="AE92" s="563"/>
      <c r="AF92" s="563"/>
      <c r="AG92" s="563"/>
      <c r="AH92" s="563"/>
      <c r="AI92" s="563"/>
      <c r="AJ92" s="563"/>
      <c r="AK92" s="563"/>
      <c r="AL92" s="563"/>
      <c r="AM92" s="563"/>
      <c r="AN92" s="563"/>
      <c r="AO92" s="563"/>
      <c r="AP92" s="563"/>
      <c r="AQ92" s="563"/>
      <c r="AR92" s="563"/>
      <c r="AS92" s="563"/>
      <c r="AT92" s="563"/>
      <c r="AU92" s="563"/>
      <c r="AV92" s="563"/>
      <c r="AW92" s="563"/>
      <c r="AX92" s="563"/>
      <c r="AY92" s="563"/>
      <c r="AZ92" s="563"/>
      <c r="BA92" s="563"/>
      <c r="BB92" s="563"/>
      <c r="BC92" s="563"/>
      <c r="BD92" s="563"/>
      <c r="BE92" s="563"/>
      <c r="BF92" s="563"/>
      <c r="BG92" s="563"/>
      <c r="BH92" s="563"/>
      <c r="BI92" s="563"/>
      <c r="BJ92" s="563"/>
      <c r="BK92" s="575"/>
      <c r="BL92" s="575"/>
      <c r="BM92" s="575"/>
      <c r="BN92" s="575"/>
      <c r="BO92" s="575"/>
      <c r="BP92" s="575"/>
      <c r="BQ92" s="575"/>
      <c r="BR92" s="575"/>
      <c r="BS92" s="575"/>
      <c r="BT92" s="575"/>
      <c r="BU92" s="575"/>
      <c r="BV92" s="162"/>
      <c r="BW92" s="162"/>
    </row>
    <row r="93" s="140" customFormat="1" customHeight="1" spans="1:75">
      <c r="A93" s="161">
        <v>121</v>
      </c>
      <c r="B93" s="394" t="s">
        <v>233</v>
      </c>
      <c r="C93" s="162"/>
      <c r="D93" s="561" t="s">
        <v>209</v>
      </c>
      <c r="E93" s="561">
        <v>0.543</v>
      </c>
      <c r="F93" s="556">
        <v>0</v>
      </c>
      <c r="G93" s="557">
        <f t="shared" si="14"/>
        <v>0</v>
      </c>
      <c r="H93" s="558">
        <f t="shared" si="15"/>
        <v>0</v>
      </c>
      <c r="I93" s="559">
        <f t="shared" si="16"/>
        <v>0</v>
      </c>
      <c r="J93" s="558">
        <f t="shared" si="17"/>
        <v>0</v>
      </c>
      <c r="K93" s="559">
        <f t="shared" si="18"/>
        <v>0</v>
      </c>
      <c r="L93" s="558">
        <f t="shared" si="19"/>
        <v>0</v>
      </c>
      <c r="M93" s="559">
        <f t="shared" si="20"/>
        <v>0</v>
      </c>
      <c r="N93" s="562"/>
      <c r="O93" s="562"/>
      <c r="P93" s="563"/>
      <c r="Q93" s="563"/>
      <c r="R93" s="563"/>
      <c r="S93" s="563"/>
      <c r="T93" s="563"/>
      <c r="U93" s="563"/>
      <c r="V93" s="563"/>
      <c r="W93" s="563"/>
      <c r="X93" s="563"/>
      <c r="Y93" s="563"/>
      <c r="Z93" s="563"/>
      <c r="AA93" s="563"/>
      <c r="AB93" s="563"/>
      <c r="AC93" s="563"/>
      <c r="AD93" s="563"/>
      <c r="AE93" s="563"/>
      <c r="AF93" s="563"/>
      <c r="AG93" s="563"/>
      <c r="AH93" s="563"/>
      <c r="AI93" s="563"/>
      <c r="AJ93" s="563"/>
      <c r="AK93" s="563"/>
      <c r="AL93" s="563"/>
      <c r="AM93" s="563"/>
      <c r="AN93" s="563"/>
      <c r="AO93" s="563"/>
      <c r="AP93" s="563"/>
      <c r="AQ93" s="563"/>
      <c r="AR93" s="563"/>
      <c r="AS93" s="563"/>
      <c r="AT93" s="563"/>
      <c r="AU93" s="563"/>
      <c r="AV93" s="563"/>
      <c r="AW93" s="563"/>
      <c r="AX93" s="563"/>
      <c r="AY93" s="563"/>
      <c r="AZ93" s="563"/>
      <c r="BA93" s="563"/>
      <c r="BB93" s="563"/>
      <c r="BC93" s="563"/>
      <c r="BD93" s="563"/>
      <c r="BE93" s="563"/>
      <c r="BF93" s="563"/>
      <c r="BG93" s="563"/>
      <c r="BH93" s="563"/>
      <c r="BI93" s="563"/>
      <c r="BJ93" s="563"/>
      <c r="BK93" s="575"/>
      <c r="BL93" s="575"/>
      <c r="BM93" s="575"/>
      <c r="BN93" s="575"/>
      <c r="BO93" s="575"/>
      <c r="BP93" s="575"/>
      <c r="BQ93" s="575"/>
      <c r="BR93" s="575"/>
      <c r="BS93" s="575"/>
      <c r="BT93" s="575"/>
      <c r="BU93" s="575"/>
      <c r="BV93" s="162"/>
      <c r="BW93" s="162"/>
    </row>
    <row r="94" s="140" customFormat="1" customHeight="1" spans="1:75">
      <c r="A94" s="161">
        <v>122</v>
      </c>
      <c r="B94" s="565" t="s">
        <v>189</v>
      </c>
      <c r="C94" s="162"/>
      <c r="D94" s="561" t="s">
        <v>209</v>
      </c>
      <c r="E94" s="561">
        <v>13.9</v>
      </c>
      <c r="F94" s="556">
        <v>0</v>
      </c>
      <c r="G94" s="557">
        <f t="shared" si="14"/>
        <v>0</v>
      </c>
      <c r="H94" s="558">
        <f t="shared" si="15"/>
        <v>0</v>
      </c>
      <c r="I94" s="559">
        <f t="shared" si="16"/>
        <v>0</v>
      </c>
      <c r="J94" s="558">
        <f t="shared" si="17"/>
        <v>0</v>
      </c>
      <c r="K94" s="559">
        <f t="shared" si="18"/>
        <v>0</v>
      </c>
      <c r="L94" s="558">
        <f t="shared" si="19"/>
        <v>0</v>
      </c>
      <c r="M94" s="559">
        <f t="shared" si="20"/>
        <v>0</v>
      </c>
      <c r="N94" s="562"/>
      <c r="O94" s="562"/>
      <c r="P94" s="563"/>
      <c r="Q94" s="563"/>
      <c r="R94" s="563"/>
      <c r="S94" s="563"/>
      <c r="T94" s="563"/>
      <c r="U94" s="563"/>
      <c r="V94" s="563"/>
      <c r="W94" s="563"/>
      <c r="X94" s="563"/>
      <c r="Y94" s="563"/>
      <c r="Z94" s="563"/>
      <c r="AA94" s="563"/>
      <c r="AB94" s="563"/>
      <c r="AC94" s="563"/>
      <c r="AD94" s="563"/>
      <c r="AE94" s="563"/>
      <c r="AF94" s="563"/>
      <c r="AG94" s="563"/>
      <c r="AH94" s="563"/>
      <c r="AI94" s="563"/>
      <c r="AJ94" s="563"/>
      <c r="AK94" s="563"/>
      <c r="AL94" s="563"/>
      <c r="AM94" s="563"/>
      <c r="AN94" s="563"/>
      <c r="AO94" s="563"/>
      <c r="AP94" s="563"/>
      <c r="AQ94" s="563"/>
      <c r="AR94" s="563"/>
      <c r="AS94" s="563"/>
      <c r="AT94" s="563"/>
      <c r="AU94" s="563"/>
      <c r="AV94" s="563"/>
      <c r="AW94" s="563"/>
      <c r="AX94" s="563"/>
      <c r="AY94" s="563"/>
      <c r="AZ94" s="563"/>
      <c r="BA94" s="563"/>
      <c r="BB94" s="563"/>
      <c r="BC94" s="563"/>
      <c r="BD94" s="563"/>
      <c r="BE94" s="563"/>
      <c r="BF94" s="563"/>
      <c r="BG94" s="563"/>
      <c r="BH94" s="563"/>
      <c r="BI94" s="563"/>
      <c r="BJ94" s="563"/>
      <c r="BK94" s="575"/>
      <c r="BL94" s="575"/>
      <c r="BM94" s="575"/>
      <c r="BN94" s="575"/>
      <c r="BO94" s="575"/>
      <c r="BP94" s="575"/>
      <c r="BQ94" s="575"/>
      <c r="BR94" s="575"/>
      <c r="BS94" s="575"/>
      <c r="BT94" s="576"/>
      <c r="BU94" s="575"/>
      <c r="BV94" s="162"/>
      <c r="BW94" s="162"/>
    </row>
    <row r="95" s="140" customFormat="1" customHeight="1" spans="1:75">
      <c r="A95" s="161">
        <v>123</v>
      </c>
      <c r="B95" s="565" t="s">
        <v>234</v>
      </c>
      <c r="C95" s="162"/>
      <c r="D95" s="561" t="s">
        <v>209</v>
      </c>
      <c r="E95" s="561">
        <v>0.0466</v>
      </c>
      <c r="F95" s="556">
        <v>790</v>
      </c>
      <c r="G95" s="557">
        <f t="shared" si="14"/>
        <v>36.814</v>
      </c>
      <c r="H95" s="558">
        <f t="shared" si="15"/>
        <v>0</v>
      </c>
      <c r="I95" s="559">
        <f t="shared" si="16"/>
        <v>0</v>
      </c>
      <c r="J95" s="558">
        <f t="shared" si="17"/>
        <v>790</v>
      </c>
      <c r="K95" s="559">
        <f t="shared" si="18"/>
        <v>36.814</v>
      </c>
      <c r="L95" s="558">
        <f t="shared" si="19"/>
        <v>0</v>
      </c>
      <c r="M95" s="559">
        <f t="shared" si="20"/>
        <v>0</v>
      </c>
      <c r="N95" s="562"/>
      <c r="O95" s="562"/>
      <c r="P95" s="563"/>
      <c r="Q95" s="563"/>
      <c r="R95" s="563"/>
      <c r="S95" s="563"/>
      <c r="T95" s="563"/>
      <c r="U95" s="563"/>
      <c r="V95" s="563"/>
      <c r="W95" s="563"/>
      <c r="X95" s="563"/>
      <c r="Y95" s="563">
        <v>150</v>
      </c>
      <c r="Z95" s="563"/>
      <c r="AA95" s="563">
        <v>150</v>
      </c>
      <c r="AB95" s="563"/>
      <c r="AC95" s="563">
        <v>200</v>
      </c>
      <c r="AD95" s="563"/>
      <c r="AE95" s="563">
        <v>290</v>
      </c>
      <c r="AF95" s="563"/>
      <c r="AG95" s="563"/>
      <c r="AH95" s="563"/>
      <c r="AI95" s="563"/>
      <c r="AJ95" s="563"/>
      <c r="AK95" s="563"/>
      <c r="AL95" s="563"/>
      <c r="AM95" s="563"/>
      <c r="AN95" s="563"/>
      <c r="AO95" s="563"/>
      <c r="AP95" s="563"/>
      <c r="AQ95" s="563"/>
      <c r="AR95" s="563"/>
      <c r="AS95" s="563"/>
      <c r="AT95" s="563"/>
      <c r="AU95" s="563"/>
      <c r="AV95" s="563"/>
      <c r="AW95" s="563"/>
      <c r="AX95" s="563"/>
      <c r="AY95" s="563"/>
      <c r="AZ95" s="563"/>
      <c r="BA95" s="563"/>
      <c r="BB95" s="563"/>
      <c r="BC95" s="563"/>
      <c r="BD95" s="563"/>
      <c r="BE95" s="563"/>
      <c r="BF95" s="563"/>
      <c r="BG95" s="563"/>
      <c r="BH95" s="563"/>
      <c r="BI95" s="563"/>
      <c r="BJ95" s="563"/>
      <c r="BK95" s="575"/>
      <c r="BL95" s="575"/>
      <c r="BM95" s="575"/>
      <c r="BN95" s="575"/>
      <c r="BO95" s="575"/>
      <c r="BP95" s="575"/>
      <c r="BQ95" s="575"/>
      <c r="BR95" s="575"/>
      <c r="BS95" s="575"/>
      <c r="BT95" s="575"/>
      <c r="BU95" s="575"/>
      <c r="BV95" s="162"/>
      <c r="BW95" s="162"/>
    </row>
    <row r="96" s="140" customFormat="1" customHeight="1" spans="1:75">
      <c r="A96" s="161">
        <v>124</v>
      </c>
      <c r="B96" s="565" t="s">
        <v>169</v>
      </c>
      <c r="C96" s="162"/>
      <c r="D96" s="561" t="s">
        <v>137</v>
      </c>
      <c r="E96" s="561">
        <v>14.89</v>
      </c>
      <c r="F96" s="556">
        <v>0</v>
      </c>
      <c r="G96" s="557">
        <f t="shared" si="14"/>
        <v>0</v>
      </c>
      <c r="H96" s="558">
        <f t="shared" si="15"/>
        <v>0</v>
      </c>
      <c r="I96" s="559">
        <f t="shared" si="16"/>
        <v>0</v>
      </c>
      <c r="J96" s="558">
        <f t="shared" si="17"/>
        <v>0</v>
      </c>
      <c r="K96" s="559">
        <f t="shared" si="18"/>
        <v>0</v>
      </c>
      <c r="L96" s="558">
        <f t="shared" si="19"/>
        <v>0</v>
      </c>
      <c r="M96" s="559">
        <f t="shared" si="20"/>
        <v>0</v>
      </c>
      <c r="N96" s="562"/>
      <c r="O96" s="562"/>
      <c r="P96" s="563"/>
      <c r="Q96" s="563"/>
      <c r="R96" s="563"/>
      <c r="S96" s="563"/>
      <c r="T96" s="563"/>
      <c r="U96" s="563"/>
      <c r="V96" s="563"/>
      <c r="W96" s="563"/>
      <c r="X96" s="563"/>
      <c r="Y96" s="563"/>
      <c r="Z96" s="563"/>
      <c r="AA96" s="563"/>
      <c r="AB96" s="563"/>
      <c r="AC96" s="563"/>
      <c r="AD96" s="563"/>
      <c r="AE96" s="563"/>
      <c r="AF96" s="563"/>
      <c r="AG96" s="563"/>
      <c r="AH96" s="563"/>
      <c r="AI96" s="563"/>
      <c r="AJ96" s="563"/>
      <c r="AK96" s="563"/>
      <c r="AL96" s="563"/>
      <c r="AM96" s="563"/>
      <c r="AN96" s="563"/>
      <c r="AO96" s="563"/>
      <c r="AP96" s="563"/>
      <c r="AQ96" s="563"/>
      <c r="AR96" s="563"/>
      <c r="AS96" s="563"/>
      <c r="AT96" s="563"/>
      <c r="AU96" s="563"/>
      <c r="AV96" s="563"/>
      <c r="AW96" s="563"/>
      <c r="AX96" s="563"/>
      <c r="AY96" s="563"/>
      <c r="AZ96" s="563"/>
      <c r="BA96" s="563"/>
      <c r="BB96" s="563"/>
      <c r="BC96" s="563"/>
      <c r="BD96" s="563"/>
      <c r="BE96" s="563"/>
      <c r="BF96" s="563"/>
      <c r="BG96" s="563"/>
      <c r="BH96" s="563"/>
      <c r="BI96" s="563"/>
      <c r="BJ96" s="563"/>
      <c r="BK96" s="575"/>
      <c r="BL96" s="575"/>
      <c r="BM96" s="575"/>
      <c r="BN96" s="575"/>
      <c r="BO96" s="575"/>
      <c r="BP96" s="575"/>
      <c r="BQ96" s="575"/>
      <c r="BR96" s="575"/>
      <c r="BS96" s="575"/>
      <c r="BT96" s="575"/>
      <c r="BU96" s="575"/>
      <c r="BV96" s="162"/>
      <c r="BW96" s="162"/>
    </row>
    <row r="97" s="140" customFormat="1" customHeight="1" spans="1:75">
      <c r="A97" s="161">
        <v>125</v>
      </c>
      <c r="B97" s="394" t="s">
        <v>235</v>
      </c>
      <c r="C97" s="162"/>
      <c r="D97" s="561" t="s">
        <v>209</v>
      </c>
      <c r="E97" s="561">
        <v>17.227</v>
      </c>
      <c r="F97" s="556">
        <v>0</v>
      </c>
      <c r="G97" s="557">
        <f t="shared" si="14"/>
        <v>0</v>
      </c>
      <c r="H97" s="558">
        <f t="shared" si="15"/>
        <v>0</v>
      </c>
      <c r="I97" s="559">
        <f t="shared" si="16"/>
        <v>0</v>
      </c>
      <c r="J97" s="558">
        <f t="shared" si="17"/>
        <v>0</v>
      </c>
      <c r="K97" s="559">
        <f t="shared" si="18"/>
        <v>0</v>
      </c>
      <c r="L97" s="558">
        <f t="shared" si="19"/>
        <v>0</v>
      </c>
      <c r="M97" s="559">
        <f t="shared" si="20"/>
        <v>0</v>
      </c>
      <c r="N97" s="562"/>
      <c r="O97" s="562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63"/>
      <c r="AB97" s="563"/>
      <c r="AC97" s="563"/>
      <c r="AD97" s="563"/>
      <c r="AE97" s="563"/>
      <c r="AF97" s="563"/>
      <c r="AG97" s="563"/>
      <c r="AH97" s="563"/>
      <c r="AI97" s="563"/>
      <c r="AJ97" s="563"/>
      <c r="AK97" s="563"/>
      <c r="AL97" s="563"/>
      <c r="AM97" s="563"/>
      <c r="AN97" s="563"/>
      <c r="AO97" s="563"/>
      <c r="AP97" s="563"/>
      <c r="AQ97" s="563"/>
      <c r="AR97" s="563"/>
      <c r="AS97" s="563"/>
      <c r="AT97" s="563"/>
      <c r="AU97" s="563"/>
      <c r="AV97" s="563"/>
      <c r="AW97" s="563"/>
      <c r="AX97" s="563"/>
      <c r="AY97" s="563"/>
      <c r="AZ97" s="563"/>
      <c r="BA97" s="563"/>
      <c r="BB97" s="563"/>
      <c r="BC97" s="563"/>
      <c r="BD97" s="563"/>
      <c r="BE97" s="563"/>
      <c r="BF97" s="563"/>
      <c r="BG97" s="563"/>
      <c r="BH97" s="563"/>
      <c r="BI97" s="563"/>
      <c r="BJ97" s="563"/>
      <c r="BK97" s="575"/>
      <c r="BL97" s="575"/>
      <c r="BM97" s="575"/>
      <c r="BN97" s="575"/>
      <c r="BO97" s="575"/>
      <c r="BP97" s="575"/>
      <c r="BQ97" s="575"/>
      <c r="BR97" s="575"/>
      <c r="BS97" s="575"/>
      <c r="BT97" s="575"/>
      <c r="BU97" s="575"/>
      <c r="BV97" s="162"/>
      <c r="BW97" s="162"/>
    </row>
    <row r="98" s="140" customFormat="1" customHeight="1" spans="1:75">
      <c r="A98" s="161">
        <v>126</v>
      </c>
      <c r="B98" s="562" t="s">
        <v>236</v>
      </c>
      <c r="C98" s="162"/>
      <c r="D98" s="561" t="s">
        <v>137</v>
      </c>
      <c r="E98" s="561">
        <v>0.216</v>
      </c>
      <c r="F98" s="556">
        <v>0</v>
      </c>
      <c r="G98" s="557">
        <f t="shared" si="14"/>
        <v>0</v>
      </c>
      <c r="H98" s="558">
        <f t="shared" si="15"/>
        <v>0</v>
      </c>
      <c r="I98" s="559">
        <f t="shared" si="16"/>
        <v>0</v>
      </c>
      <c r="J98" s="558">
        <f t="shared" si="17"/>
        <v>0</v>
      </c>
      <c r="K98" s="559">
        <f t="shared" si="18"/>
        <v>0</v>
      </c>
      <c r="L98" s="558">
        <f t="shared" si="19"/>
        <v>0</v>
      </c>
      <c r="M98" s="559">
        <f t="shared" si="20"/>
        <v>0</v>
      </c>
      <c r="N98" s="562"/>
      <c r="O98" s="562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63"/>
      <c r="AB98" s="563"/>
      <c r="AC98" s="563"/>
      <c r="AD98" s="563"/>
      <c r="AE98" s="563"/>
      <c r="AF98" s="563"/>
      <c r="AG98" s="563"/>
      <c r="AH98" s="563"/>
      <c r="AI98" s="563"/>
      <c r="AJ98" s="563"/>
      <c r="AK98" s="563"/>
      <c r="AL98" s="563"/>
      <c r="AM98" s="563"/>
      <c r="AN98" s="563"/>
      <c r="AO98" s="563"/>
      <c r="AP98" s="563"/>
      <c r="AQ98" s="563"/>
      <c r="AR98" s="563"/>
      <c r="AS98" s="563"/>
      <c r="AT98" s="563"/>
      <c r="AU98" s="563"/>
      <c r="AV98" s="563"/>
      <c r="AW98" s="563"/>
      <c r="AX98" s="563"/>
      <c r="AY98" s="563"/>
      <c r="AZ98" s="563"/>
      <c r="BA98" s="563"/>
      <c r="BB98" s="563"/>
      <c r="BC98" s="563"/>
      <c r="BD98" s="563"/>
      <c r="BE98" s="563"/>
      <c r="BF98" s="563"/>
      <c r="BG98" s="563"/>
      <c r="BH98" s="563"/>
      <c r="BI98" s="563"/>
      <c r="BJ98" s="563"/>
      <c r="BK98" s="575"/>
      <c r="BL98" s="575"/>
      <c r="BM98" s="575"/>
      <c r="BN98" s="575"/>
      <c r="BO98" s="575"/>
      <c r="BP98" s="575"/>
      <c r="BQ98" s="575"/>
      <c r="BR98" s="575"/>
      <c r="BS98" s="575"/>
      <c r="BT98" s="575"/>
      <c r="BU98" s="575"/>
      <c r="BV98" s="162"/>
      <c r="BW98" s="162"/>
    </row>
    <row r="99" s="140" customFormat="1" customHeight="1" spans="1:75">
      <c r="A99" s="161">
        <v>127</v>
      </c>
      <c r="B99" s="562" t="s">
        <v>237</v>
      </c>
      <c r="C99" s="162"/>
      <c r="D99" s="561" t="s">
        <v>137</v>
      </c>
      <c r="E99" s="561">
        <v>0.226</v>
      </c>
      <c r="F99" s="556">
        <v>0</v>
      </c>
      <c r="G99" s="557">
        <f t="shared" si="14"/>
        <v>0</v>
      </c>
      <c r="H99" s="558">
        <f t="shared" si="15"/>
        <v>0</v>
      </c>
      <c r="I99" s="559">
        <f t="shared" si="16"/>
        <v>0</v>
      </c>
      <c r="J99" s="558">
        <f t="shared" si="17"/>
        <v>0</v>
      </c>
      <c r="K99" s="559">
        <f t="shared" si="18"/>
        <v>0</v>
      </c>
      <c r="L99" s="558">
        <f t="shared" si="19"/>
        <v>0</v>
      </c>
      <c r="M99" s="559">
        <f t="shared" si="20"/>
        <v>0</v>
      </c>
      <c r="N99" s="394"/>
      <c r="O99" s="394"/>
      <c r="P99" s="563"/>
      <c r="Q99" s="563"/>
      <c r="R99" s="563"/>
      <c r="S99" s="563"/>
      <c r="T99" s="563"/>
      <c r="U99" s="563"/>
      <c r="V99" s="563"/>
      <c r="W99" s="563"/>
      <c r="X99" s="563"/>
      <c r="Y99" s="563"/>
      <c r="Z99" s="563"/>
      <c r="AA99" s="563"/>
      <c r="AB99" s="563"/>
      <c r="AC99" s="563"/>
      <c r="AD99" s="563"/>
      <c r="AE99" s="563"/>
      <c r="AF99" s="563"/>
      <c r="AG99" s="563"/>
      <c r="AH99" s="563"/>
      <c r="AI99" s="563"/>
      <c r="AJ99" s="563"/>
      <c r="AK99" s="563"/>
      <c r="AL99" s="563"/>
      <c r="AM99" s="563"/>
      <c r="AN99" s="563"/>
      <c r="AO99" s="563"/>
      <c r="AP99" s="563"/>
      <c r="AQ99" s="563"/>
      <c r="AR99" s="563"/>
      <c r="AS99" s="563"/>
      <c r="AT99" s="563"/>
      <c r="AU99" s="563"/>
      <c r="AV99" s="563"/>
      <c r="AW99" s="563"/>
      <c r="AX99" s="563"/>
      <c r="AY99" s="563"/>
      <c r="AZ99" s="563"/>
      <c r="BA99" s="563"/>
      <c r="BB99" s="563"/>
      <c r="BC99" s="563"/>
      <c r="BD99" s="563"/>
      <c r="BE99" s="563"/>
      <c r="BF99" s="563"/>
      <c r="BG99" s="563"/>
      <c r="BH99" s="563"/>
      <c r="BI99" s="563"/>
      <c r="BJ99" s="563"/>
      <c r="BK99" s="575"/>
      <c r="BL99" s="575"/>
      <c r="BM99" s="575"/>
      <c r="BN99" s="575"/>
      <c r="BO99" s="575"/>
      <c r="BP99" s="575"/>
      <c r="BQ99" s="575"/>
      <c r="BR99" s="575"/>
      <c r="BS99" s="575"/>
      <c r="BT99" s="575"/>
      <c r="BU99" s="575"/>
      <c r="BV99" s="162"/>
      <c r="BW99" s="162"/>
    </row>
    <row r="100" s="140" customFormat="1" customHeight="1" spans="1:75">
      <c r="A100" s="161">
        <v>128</v>
      </c>
      <c r="B100" s="394" t="s">
        <v>238</v>
      </c>
      <c r="C100" s="162"/>
      <c r="D100" s="561" t="s">
        <v>137</v>
      </c>
      <c r="E100" s="561">
        <v>1.373</v>
      </c>
      <c r="F100" s="556">
        <v>0</v>
      </c>
      <c r="G100" s="557">
        <f t="shared" si="14"/>
        <v>0</v>
      </c>
      <c r="H100" s="558">
        <f t="shared" si="15"/>
        <v>0</v>
      </c>
      <c r="I100" s="559">
        <f t="shared" si="16"/>
        <v>0</v>
      </c>
      <c r="J100" s="558">
        <f t="shared" si="17"/>
        <v>0</v>
      </c>
      <c r="K100" s="559">
        <f t="shared" si="18"/>
        <v>0</v>
      </c>
      <c r="L100" s="558">
        <f t="shared" si="19"/>
        <v>0</v>
      </c>
      <c r="M100" s="559">
        <f t="shared" si="20"/>
        <v>0</v>
      </c>
      <c r="N100" s="562"/>
      <c r="O100" s="562"/>
      <c r="P100" s="563"/>
      <c r="Q100" s="563"/>
      <c r="R100" s="563"/>
      <c r="S100" s="563"/>
      <c r="T100" s="563"/>
      <c r="U100" s="563"/>
      <c r="V100" s="563"/>
      <c r="W100" s="563"/>
      <c r="X100" s="563"/>
      <c r="Y100" s="563"/>
      <c r="Z100" s="563"/>
      <c r="AA100" s="563"/>
      <c r="AB100" s="563"/>
      <c r="AC100" s="563"/>
      <c r="AD100" s="563"/>
      <c r="AE100" s="563"/>
      <c r="AF100" s="563"/>
      <c r="AG100" s="563"/>
      <c r="AH100" s="563"/>
      <c r="AI100" s="563"/>
      <c r="AJ100" s="563"/>
      <c r="AK100" s="563"/>
      <c r="AL100" s="563"/>
      <c r="AM100" s="563"/>
      <c r="AN100" s="563"/>
      <c r="AO100" s="563"/>
      <c r="AP100" s="563"/>
      <c r="AQ100" s="563"/>
      <c r="AR100" s="563"/>
      <c r="AS100" s="563"/>
      <c r="AT100" s="563"/>
      <c r="AU100" s="563"/>
      <c r="AV100" s="563"/>
      <c r="AW100" s="563"/>
      <c r="AX100" s="563"/>
      <c r="AY100" s="563"/>
      <c r="AZ100" s="563"/>
      <c r="BA100" s="563"/>
      <c r="BB100" s="563"/>
      <c r="BC100" s="563"/>
      <c r="BD100" s="563"/>
      <c r="BE100" s="563"/>
      <c r="BF100" s="563"/>
      <c r="BG100" s="563"/>
      <c r="BH100" s="563"/>
      <c r="BI100" s="563"/>
      <c r="BJ100" s="563"/>
      <c r="BK100" s="575"/>
      <c r="BL100" s="575"/>
      <c r="BM100" s="575"/>
      <c r="BN100" s="575"/>
      <c r="BO100" s="575"/>
      <c r="BP100" s="575"/>
      <c r="BQ100" s="575"/>
      <c r="BR100" s="575"/>
      <c r="BS100" s="575"/>
      <c r="BT100" s="575"/>
      <c r="BU100" s="575"/>
      <c r="BV100" s="162"/>
      <c r="BW100" s="162"/>
    </row>
    <row r="101" s="140" customFormat="1" customHeight="1" spans="1:75">
      <c r="A101" s="161">
        <v>129</v>
      </c>
      <c r="B101" s="394" t="s">
        <v>239</v>
      </c>
      <c r="C101" s="162"/>
      <c r="D101" s="561" t="s">
        <v>137</v>
      </c>
      <c r="E101" s="561">
        <v>0.544</v>
      </c>
      <c r="F101" s="556">
        <v>0</v>
      </c>
      <c r="G101" s="557">
        <f t="shared" si="14"/>
        <v>0</v>
      </c>
      <c r="H101" s="558">
        <f t="shared" si="15"/>
        <v>0</v>
      </c>
      <c r="I101" s="559">
        <f t="shared" si="16"/>
        <v>0</v>
      </c>
      <c r="J101" s="558">
        <f t="shared" si="17"/>
        <v>0</v>
      </c>
      <c r="K101" s="559">
        <f t="shared" si="18"/>
        <v>0</v>
      </c>
      <c r="L101" s="558">
        <f t="shared" si="19"/>
        <v>0</v>
      </c>
      <c r="M101" s="559">
        <f t="shared" si="20"/>
        <v>0</v>
      </c>
      <c r="N101" s="562"/>
      <c r="O101" s="562"/>
      <c r="P101" s="563"/>
      <c r="Q101" s="563"/>
      <c r="R101" s="563"/>
      <c r="S101" s="563"/>
      <c r="T101" s="563"/>
      <c r="U101" s="563"/>
      <c r="V101" s="563"/>
      <c r="W101" s="563"/>
      <c r="X101" s="563"/>
      <c r="Y101" s="563"/>
      <c r="Z101" s="563"/>
      <c r="AA101" s="563"/>
      <c r="AB101" s="563"/>
      <c r="AC101" s="563"/>
      <c r="AD101" s="563"/>
      <c r="AE101" s="563"/>
      <c r="AF101" s="563"/>
      <c r="AG101" s="563"/>
      <c r="AH101" s="563"/>
      <c r="AI101" s="563"/>
      <c r="AJ101" s="563"/>
      <c r="AK101" s="563"/>
      <c r="AL101" s="563"/>
      <c r="AM101" s="563"/>
      <c r="AN101" s="563"/>
      <c r="AO101" s="563"/>
      <c r="AP101" s="563"/>
      <c r="AQ101" s="563"/>
      <c r="AR101" s="563"/>
      <c r="AS101" s="563"/>
      <c r="AT101" s="563"/>
      <c r="AU101" s="563"/>
      <c r="AV101" s="563"/>
      <c r="AW101" s="563"/>
      <c r="AX101" s="563"/>
      <c r="AY101" s="563"/>
      <c r="AZ101" s="563"/>
      <c r="BA101" s="563"/>
      <c r="BB101" s="563"/>
      <c r="BC101" s="563"/>
      <c r="BD101" s="563"/>
      <c r="BE101" s="563"/>
      <c r="BF101" s="563"/>
      <c r="BG101" s="563"/>
      <c r="BH101" s="563"/>
      <c r="BI101" s="563"/>
      <c r="BJ101" s="563"/>
      <c r="BK101" s="575"/>
      <c r="BL101" s="575"/>
      <c r="BM101" s="575"/>
      <c r="BN101" s="575"/>
      <c r="BO101" s="575"/>
      <c r="BP101" s="575"/>
      <c r="BQ101" s="575"/>
      <c r="BR101" s="575"/>
      <c r="BS101" s="575"/>
      <c r="BT101" s="575"/>
      <c r="BU101" s="575"/>
      <c r="BV101" s="162"/>
      <c r="BW101" s="162"/>
    </row>
    <row r="102" s="140" customFormat="1" customHeight="1" spans="1:75">
      <c r="A102" s="161">
        <v>130</v>
      </c>
      <c r="B102" s="394" t="s">
        <v>240</v>
      </c>
      <c r="C102" s="162"/>
      <c r="D102" s="561" t="s">
        <v>137</v>
      </c>
      <c r="E102" s="561">
        <v>1.219</v>
      </c>
      <c r="F102" s="556">
        <v>0</v>
      </c>
      <c r="G102" s="557">
        <f t="shared" si="14"/>
        <v>0</v>
      </c>
      <c r="H102" s="558">
        <f t="shared" si="15"/>
        <v>0</v>
      </c>
      <c r="I102" s="559">
        <f t="shared" si="16"/>
        <v>0</v>
      </c>
      <c r="J102" s="558">
        <f t="shared" si="17"/>
        <v>0</v>
      </c>
      <c r="K102" s="559">
        <f t="shared" si="18"/>
        <v>0</v>
      </c>
      <c r="L102" s="558">
        <f t="shared" si="19"/>
        <v>0</v>
      </c>
      <c r="M102" s="559">
        <f t="shared" si="20"/>
        <v>0</v>
      </c>
      <c r="N102" s="562"/>
      <c r="O102" s="562"/>
      <c r="P102" s="563"/>
      <c r="Q102" s="563"/>
      <c r="R102" s="563"/>
      <c r="S102" s="563"/>
      <c r="T102" s="563"/>
      <c r="U102" s="563"/>
      <c r="V102" s="563"/>
      <c r="W102" s="563"/>
      <c r="X102" s="563"/>
      <c r="Y102" s="563"/>
      <c r="Z102" s="563"/>
      <c r="AA102" s="563"/>
      <c r="AB102" s="563"/>
      <c r="AC102" s="563"/>
      <c r="AD102" s="563"/>
      <c r="AE102" s="563"/>
      <c r="AF102" s="563"/>
      <c r="AG102" s="563"/>
      <c r="AH102" s="563"/>
      <c r="AI102" s="563"/>
      <c r="AJ102" s="563"/>
      <c r="AK102" s="563"/>
      <c r="AL102" s="563"/>
      <c r="AM102" s="563"/>
      <c r="AN102" s="563"/>
      <c r="AO102" s="563"/>
      <c r="AP102" s="563"/>
      <c r="AQ102" s="563"/>
      <c r="AR102" s="563"/>
      <c r="AS102" s="563"/>
      <c r="AT102" s="563"/>
      <c r="AU102" s="563"/>
      <c r="AV102" s="563"/>
      <c r="AW102" s="563"/>
      <c r="AX102" s="563"/>
      <c r="AY102" s="563"/>
      <c r="AZ102" s="563"/>
      <c r="BA102" s="563"/>
      <c r="BB102" s="563"/>
      <c r="BC102" s="563"/>
      <c r="BD102" s="563"/>
      <c r="BE102" s="563"/>
      <c r="BF102" s="563"/>
      <c r="BG102" s="563"/>
      <c r="BH102" s="563"/>
      <c r="BI102" s="563"/>
      <c r="BJ102" s="563"/>
      <c r="BK102" s="575"/>
      <c r="BL102" s="575"/>
      <c r="BM102" s="575"/>
      <c r="BN102" s="575"/>
      <c r="BO102" s="575"/>
      <c r="BP102" s="575"/>
      <c r="BQ102" s="575"/>
      <c r="BR102" s="575"/>
      <c r="BS102" s="575"/>
      <c r="BT102" s="575"/>
      <c r="BU102" s="575"/>
      <c r="BV102" s="162"/>
      <c r="BW102" s="162"/>
    </row>
    <row r="103" s="140" customFormat="1" customHeight="1" spans="1:75">
      <c r="A103" s="161">
        <v>131</v>
      </c>
      <c r="B103" s="394" t="s">
        <v>241</v>
      </c>
      <c r="C103" s="162"/>
      <c r="D103" s="561" t="s">
        <v>137</v>
      </c>
      <c r="E103" s="561">
        <v>0.081</v>
      </c>
      <c r="F103" s="556">
        <v>45</v>
      </c>
      <c r="G103" s="557">
        <f t="shared" si="14"/>
        <v>3.645</v>
      </c>
      <c r="H103" s="558">
        <f t="shared" si="15"/>
        <v>0</v>
      </c>
      <c r="I103" s="559">
        <f t="shared" si="16"/>
        <v>0</v>
      </c>
      <c r="J103" s="558">
        <f t="shared" si="17"/>
        <v>0</v>
      </c>
      <c r="K103" s="559">
        <f t="shared" si="18"/>
        <v>0</v>
      </c>
      <c r="L103" s="558">
        <f t="shared" si="19"/>
        <v>45</v>
      </c>
      <c r="M103" s="559">
        <f t="shared" si="20"/>
        <v>3.645</v>
      </c>
      <c r="N103" s="562"/>
      <c r="O103" s="562"/>
      <c r="P103" s="563"/>
      <c r="Q103" s="563"/>
      <c r="R103" s="563"/>
      <c r="S103" s="563"/>
      <c r="T103" s="563"/>
      <c r="U103" s="563"/>
      <c r="V103" s="563"/>
      <c r="W103" s="563"/>
      <c r="X103" s="563"/>
      <c r="Y103" s="563"/>
      <c r="Z103" s="563"/>
      <c r="AA103" s="563"/>
      <c r="AB103" s="563"/>
      <c r="AC103" s="563"/>
      <c r="AD103" s="563"/>
      <c r="AE103" s="563"/>
      <c r="AF103" s="563"/>
      <c r="AG103" s="563"/>
      <c r="AH103" s="563"/>
      <c r="AI103" s="563"/>
      <c r="AJ103" s="563"/>
      <c r="AK103" s="563"/>
      <c r="AL103" s="563"/>
      <c r="AM103" s="563"/>
      <c r="AN103" s="563"/>
      <c r="AO103" s="563"/>
      <c r="AP103" s="563"/>
      <c r="AQ103" s="563"/>
      <c r="AR103" s="563"/>
      <c r="AS103" s="563"/>
      <c r="AT103" s="563"/>
      <c r="AU103" s="563"/>
      <c r="AV103" s="563"/>
      <c r="AW103" s="563"/>
      <c r="AX103" s="563"/>
      <c r="AY103" s="563"/>
      <c r="AZ103" s="563"/>
      <c r="BA103" s="563"/>
      <c r="BB103" s="563"/>
      <c r="BC103" s="563"/>
      <c r="BD103" s="563"/>
      <c r="BE103" s="563"/>
      <c r="BF103" s="563"/>
      <c r="BG103" s="563"/>
      <c r="BH103" s="563"/>
      <c r="BI103" s="563"/>
      <c r="BJ103" s="563"/>
      <c r="BK103" s="575"/>
      <c r="BL103" s="575"/>
      <c r="BM103" s="575"/>
      <c r="BN103" s="575"/>
      <c r="BO103" s="575"/>
      <c r="BP103" s="575"/>
      <c r="BQ103" s="575"/>
      <c r="BR103" s="575"/>
      <c r="BS103" s="575"/>
      <c r="BT103" s="575"/>
      <c r="BU103" s="575"/>
      <c r="BV103" s="162"/>
      <c r="BW103" s="162"/>
    </row>
    <row r="104" s="140" customFormat="1" customHeight="1" spans="1:75">
      <c r="A104" s="161">
        <v>132</v>
      </c>
      <c r="B104" s="394" t="s">
        <v>242</v>
      </c>
      <c r="C104" s="162"/>
      <c r="D104" s="561" t="s">
        <v>137</v>
      </c>
      <c r="E104" s="561">
        <v>43.9</v>
      </c>
      <c r="F104" s="556">
        <v>0</v>
      </c>
      <c r="G104" s="557">
        <f t="shared" si="14"/>
        <v>0</v>
      </c>
      <c r="H104" s="558">
        <f t="shared" si="15"/>
        <v>0</v>
      </c>
      <c r="I104" s="559">
        <f t="shared" si="16"/>
        <v>0</v>
      </c>
      <c r="J104" s="558">
        <f t="shared" si="17"/>
        <v>0</v>
      </c>
      <c r="K104" s="559">
        <f t="shared" si="18"/>
        <v>0</v>
      </c>
      <c r="L104" s="558">
        <f t="shared" si="19"/>
        <v>0</v>
      </c>
      <c r="M104" s="559">
        <f t="shared" si="20"/>
        <v>0</v>
      </c>
      <c r="N104" s="562"/>
      <c r="O104" s="562"/>
      <c r="P104" s="563"/>
      <c r="Q104" s="563"/>
      <c r="R104" s="563"/>
      <c r="S104" s="563"/>
      <c r="T104" s="563"/>
      <c r="U104" s="563"/>
      <c r="V104" s="563"/>
      <c r="W104" s="563"/>
      <c r="X104" s="563"/>
      <c r="Y104" s="563"/>
      <c r="Z104" s="563"/>
      <c r="AA104" s="563"/>
      <c r="AB104" s="563"/>
      <c r="AC104" s="563"/>
      <c r="AD104" s="563"/>
      <c r="AE104" s="563"/>
      <c r="AF104" s="563"/>
      <c r="AG104" s="563"/>
      <c r="AH104" s="563"/>
      <c r="AI104" s="563"/>
      <c r="AJ104" s="563"/>
      <c r="AK104" s="563"/>
      <c r="AL104" s="563"/>
      <c r="AM104" s="563"/>
      <c r="AN104" s="563"/>
      <c r="AO104" s="563"/>
      <c r="AP104" s="563"/>
      <c r="AQ104" s="563"/>
      <c r="AR104" s="563"/>
      <c r="AS104" s="563"/>
      <c r="AT104" s="563"/>
      <c r="AU104" s="563"/>
      <c r="AV104" s="563"/>
      <c r="AW104" s="563"/>
      <c r="AX104" s="563"/>
      <c r="AY104" s="563"/>
      <c r="AZ104" s="563"/>
      <c r="BA104" s="563"/>
      <c r="BB104" s="563"/>
      <c r="BC104" s="563"/>
      <c r="BD104" s="563"/>
      <c r="BE104" s="563"/>
      <c r="BF104" s="563"/>
      <c r="BG104" s="563"/>
      <c r="BH104" s="563"/>
      <c r="BI104" s="563"/>
      <c r="BJ104" s="563"/>
      <c r="BK104" s="575"/>
      <c r="BL104" s="575"/>
      <c r="BM104" s="575"/>
      <c r="BN104" s="575"/>
      <c r="BO104" s="575"/>
      <c r="BP104" s="575"/>
      <c r="BQ104" s="575"/>
      <c r="BR104" s="575"/>
      <c r="BS104" s="575"/>
      <c r="BT104" s="575"/>
      <c r="BU104" s="575"/>
      <c r="BV104" s="162"/>
      <c r="BW104" s="162"/>
    </row>
    <row r="105" s="140" customFormat="1" customHeight="1" spans="1:75">
      <c r="A105" s="161">
        <v>133</v>
      </c>
      <c r="B105" s="394" t="s">
        <v>243</v>
      </c>
      <c r="C105" s="162"/>
      <c r="D105" s="561" t="s">
        <v>137</v>
      </c>
      <c r="E105" s="561">
        <v>69</v>
      </c>
      <c r="F105" s="556">
        <v>0</v>
      </c>
      <c r="G105" s="557">
        <f t="shared" si="14"/>
        <v>0</v>
      </c>
      <c r="H105" s="558">
        <f t="shared" si="15"/>
        <v>0</v>
      </c>
      <c r="I105" s="559">
        <f t="shared" si="16"/>
        <v>0</v>
      </c>
      <c r="J105" s="558">
        <f t="shared" si="17"/>
        <v>0</v>
      </c>
      <c r="K105" s="559">
        <f t="shared" si="18"/>
        <v>0</v>
      </c>
      <c r="L105" s="558">
        <f t="shared" si="19"/>
        <v>0</v>
      </c>
      <c r="M105" s="559">
        <f t="shared" si="20"/>
        <v>0</v>
      </c>
      <c r="N105" s="562"/>
      <c r="O105" s="562"/>
      <c r="P105" s="563"/>
      <c r="Q105" s="563"/>
      <c r="R105" s="563"/>
      <c r="S105" s="563"/>
      <c r="T105" s="563"/>
      <c r="U105" s="563"/>
      <c r="V105" s="563"/>
      <c r="W105" s="563"/>
      <c r="X105" s="563"/>
      <c r="Y105" s="563"/>
      <c r="Z105" s="563"/>
      <c r="AA105" s="563"/>
      <c r="AB105" s="563"/>
      <c r="AC105" s="563"/>
      <c r="AD105" s="563"/>
      <c r="AE105" s="563"/>
      <c r="AF105" s="563"/>
      <c r="AG105" s="563"/>
      <c r="AH105" s="563"/>
      <c r="AI105" s="563"/>
      <c r="AJ105" s="563"/>
      <c r="AK105" s="563"/>
      <c r="AL105" s="563"/>
      <c r="AM105" s="563"/>
      <c r="AN105" s="563"/>
      <c r="AO105" s="563"/>
      <c r="AP105" s="563"/>
      <c r="AQ105" s="563"/>
      <c r="AR105" s="563"/>
      <c r="AS105" s="563"/>
      <c r="AT105" s="563"/>
      <c r="AU105" s="563"/>
      <c r="AV105" s="563"/>
      <c r="AW105" s="563"/>
      <c r="AX105" s="563"/>
      <c r="AY105" s="563"/>
      <c r="AZ105" s="563"/>
      <c r="BA105" s="563"/>
      <c r="BB105" s="563"/>
      <c r="BC105" s="563"/>
      <c r="BD105" s="563"/>
      <c r="BE105" s="563"/>
      <c r="BF105" s="563"/>
      <c r="BG105" s="563"/>
      <c r="BH105" s="563"/>
      <c r="BI105" s="563"/>
      <c r="BJ105" s="563"/>
      <c r="BK105" s="575"/>
      <c r="BL105" s="575"/>
      <c r="BM105" s="575"/>
      <c r="BN105" s="575"/>
      <c r="BO105" s="575"/>
      <c r="BP105" s="575"/>
      <c r="BQ105" s="575"/>
      <c r="BR105" s="575"/>
      <c r="BS105" s="575"/>
      <c r="BT105" s="575"/>
      <c r="BU105" s="575"/>
      <c r="BV105" s="162"/>
      <c r="BW105" s="162"/>
    </row>
    <row r="106" s="140" customFormat="1" customHeight="1" spans="1:75">
      <c r="A106" s="161">
        <v>134</v>
      </c>
      <c r="B106" s="394" t="s">
        <v>244</v>
      </c>
      <c r="C106" s="162"/>
      <c r="D106" s="561" t="s">
        <v>137</v>
      </c>
      <c r="E106" s="561">
        <v>0.138</v>
      </c>
      <c r="F106" s="556">
        <v>30</v>
      </c>
      <c r="G106" s="557">
        <f t="shared" si="14"/>
        <v>4.14</v>
      </c>
      <c r="H106" s="558">
        <f t="shared" si="15"/>
        <v>0</v>
      </c>
      <c r="I106" s="559">
        <f t="shared" si="16"/>
        <v>0</v>
      </c>
      <c r="J106" s="558">
        <f t="shared" si="17"/>
        <v>0</v>
      </c>
      <c r="K106" s="559">
        <f t="shared" si="18"/>
        <v>0</v>
      </c>
      <c r="L106" s="558">
        <f t="shared" si="19"/>
        <v>30</v>
      </c>
      <c r="M106" s="559">
        <f t="shared" si="20"/>
        <v>4.14</v>
      </c>
      <c r="N106" s="562"/>
      <c r="O106" s="562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63"/>
      <c r="AB106" s="563"/>
      <c r="AC106" s="563"/>
      <c r="AD106" s="563"/>
      <c r="AE106" s="563"/>
      <c r="AF106" s="563"/>
      <c r="AG106" s="563"/>
      <c r="AH106" s="563"/>
      <c r="AI106" s="563"/>
      <c r="AJ106" s="563"/>
      <c r="AK106" s="563"/>
      <c r="AL106" s="563"/>
      <c r="AM106" s="563"/>
      <c r="AN106" s="563"/>
      <c r="AO106" s="563"/>
      <c r="AP106" s="563"/>
      <c r="AQ106" s="563"/>
      <c r="AR106" s="563"/>
      <c r="AS106" s="563"/>
      <c r="AT106" s="563"/>
      <c r="AU106" s="563"/>
      <c r="AV106" s="563"/>
      <c r="AW106" s="563"/>
      <c r="AX106" s="563"/>
      <c r="AY106" s="563"/>
      <c r="AZ106" s="563"/>
      <c r="BA106" s="563"/>
      <c r="BB106" s="563"/>
      <c r="BC106" s="563"/>
      <c r="BD106" s="563"/>
      <c r="BE106" s="563"/>
      <c r="BF106" s="563"/>
      <c r="BG106" s="563"/>
      <c r="BH106" s="563"/>
      <c r="BI106" s="563"/>
      <c r="BJ106" s="563"/>
      <c r="BK106" s="575"/>
      <c r="BL106" s="575"/>
      <c r="BM106" s="575"/>
      <c r="BN106" s="575"/>
      <c r="BO106" s="575"/>
      <c r="BP106" s="575"/>
      <c r="BQ106" s="575"/>
      <c r="BR106" s="575"/>
      <c r="BS106" s="575"/>
      <c r="BT106" s="575"/>
      <c r="BU106" s="575"/>
      <c r="BV106" s="162"/>
      <c r="BW106" s="162"/>
    </row>
    <row r="107" s="140" customFormat="1" customHeight="1" spans="1:75">
      <c r="A107" s="161">
        <v>135</v>
      </c>
      <c r="B107" s="394" t="s">
        <v>245</v>
      </c>
      <c r="C107" s="162"/>
      <c r="D107" s="561" t="s">
        <v>137</v>
      </c>
      <c r="E107" s="561">
        <v>0.535</v>
      </c>
      <c r="F107" s="556">
        <v>50</v>
      </c>
      <c r="G107" s="557">
        <f t="shared" si="14"/>
        <v>26.75</v>
      </c>
      <c r="H107" s="558">
        <f t="shared" si="15"/>
        <v>0</v>
      </c>
      <c r="I107" s="559">
        <f t="shared" si="16"/>
        <v>0</v>
      </c>
      <c r="J107" s="558">
        <f t="shared" si="17"/>
        <v>0</v>
      </c>
      <c r="K107" s="559">
        <f t="shared" si="18"/>
        <v>0</v>
      </c>
      <c r="L107" s="558">
        <f t="shared" si="19"/>
        <v>50</v>
      </c>
      <c r="M107" s="559">
        <f t="shared" si="20"/>
        <v>26.75</v>
      </c>
      <c r="N107" s="562"/>
      <c r="O107" s="562"/>
      <c r="P107" s="563"/>
      <c r="Q107" s="563"/>
      <c r="R107" s="563"/>
      <c r="S107" s="563"/>
      <c r="T107" s="563"/>
      <c r="U107" s="563"/>
      <c r="V107" s="563"/>
      <c r="W107" s="563"/>
      <c r="X107" s="563"/>
      <c r="Y107" s="563"/>
      <c r="Z107" s="563"/>
      <c r="AA107" s="563"/>
      <c r="AB107" s="563"/>
      <c r="AC107" s="563"/>
      <c r="AD107" s="563"/>
      <c r="AE107" s="563"/>
      <c r="AF107" s="563"/>
      <c r="AG107" s="563"/>
      <c r="AH107" s="563"/>
      <c r="AI107" s="563"/>
      <c r="AJ107" s="563"/>
      <c r="AK107" s="563"/>
      <c r="AL107" s="563"/>
      <c r="AM107" s="563"/>
      <c r="AN107" s="563"/>
      <c r="AO107" s="563"/>
      <c r="AP107" s="563"/>
      <c r="AQ107" s="563"/>
      <c r="AR107" s="563"/>
      <c r="AS107" s="563"/>
      <c r="AT107" s="563"/>
      <c r="AU107" s="563"/>
      <c r="AV107" s="563"/>
      <c r="AW107" s="563"/>
      <c r="AX107" s="563"/>
      <c r="AY107" s="563"/>
      <c r="AZ107" s="563"/>
      <c r="BA107" s="563"/>
      <c r="BB107" s="563"/>
      <c r="BC107" s="563"/>
      <c r="BD107" s="563"/>
      <c r="BE107" s="563"/>
      <c r="BF107" s="563"/>
      <c r="BG107" s="563"/>
      <c r="BH107" s="563"/>
      <c r="BI107" s="563"/>
      <c r="BJ107" s="563"/>
      <c r="BK107" s="575"/>
      <c r="BL107" s="575"/>
      <c r="BM107" s="575"/>
      <c r="BN107" s="575"/>
      <c r="BO107" s="575"/>
      <c r="BP107" s="575"/>
      <c r="BQ107" s="575"/>
      <c r="BR107" s="575"/>
      <c r="BS107" s="575"/>
      <c r="BT107" s="575"/>
      <c r="BU107" s="575"/>
      <c r="BV107" s="162"/>
      <c r="BW107" s="162"/>
    </row>
    <row r="108" s="140" customFormat="1" customHeight="1" spans="1:75">
      <c r="A108" s="161">
        <v>136</v>
      </c>
      <c r="B108" s="394" t="s">
        <v>246</v>
      </c>
      <c r="C108" s="162"/>
      <c r="D108" s="561" t="s">
        <v>137</v>
      </c>
      <c r="E108" s="561">
        <v>6.96</v>
      </c>
      <c r="F108" s="556">
        <v>5</v>
      </c>
      <c r="G108" s="557">
        <f t="shared" si="14"/>
        <v>34.8</v>
      </c>
      <c r="H108" s="558">
        <f t="shared" si="15"/>
        <v>0</v>
      </c>
      <c r="I108" s="559">
        <f t="shared" si="16"/>
        <v>0</v>
      </c>
      <c r="J108" s="558">
        <f t="shared" si="17"/>
        <v>0</v>
      </c>
      <c r="K108" s="559">
        <f t="shared" si="18"/>
        <v>0</v>
      </c>
      <c r="L108" s="558">
        <f t="shared" si="19"/>
        <v>5</v>
      </c>
      <c r="M108" s="559">
        <f t="shared" si="20"/>
        <v>34.8</v>
      </c>
      <c r="N108" s="562"/>
      <c r="O108" s="562"/>
      <c r="P108" s="563"/>
      <c r="Q108" s="563"/>
      <c r="R108" s="563"/>
      <c r="S108" s="563"/>
      <c r="T108" s="563"/>
      <c r="U108" s="563"/>
      <c r="V108" s="563"/>
      <c r="W108" s="563"/>
      <c r="X108" s="563"/>
      <c r="Y108" s="563"/>
      <c r="Z108" s="563"/>
      <c r="AA108" s="563"/>
      <c r="AB108" s="563"/>
      <c r="AC108" s="563"/>
      <c r="AD108" s="563"/>
      <c r="AE108" s="563"/>
      <c r="AF108" s="563"/>
      <c r="AG108" s="563"/>
      <c r="AH108" s="563"/>
      <c r="AI108" s="563"/>
      <c r="AJ108" s="563"/>
      <c r="AK108" s="563"/>
      <c r="AL108" s="563"/>
      <c r="AM108" s="563"/>
      <c r="AN108" s="563"/>
      <c r="AO108" s="563"/>
      <c r="AP108" s="563"/>
      <c r="AQ108" s="563"/>
      <c r="AR108" s="563"/>
      <c r="AS108" s="563"/>
      <c r="AT108" s="563"/>
      <c r="AU108" s="563"/>
      <c r="AV108" s="563"/>
      <c r="AW108" s="563"/>
      <c r="AX108" s="563"/>
      <c r="AY108" s="563"/>
      <c r="AZ108" s="563"/>
      <c r="BA108" s="563"/>
      <c r="BB108" s="563"/>
      <c r="BC108" s="563"/>
      <c r="BD108" s="563"/>
      <c r="BE108" s="563"/>
      <c r="BF108" s="563"/>
      <c r="BG108" s="563"/>
      <c r="BH108" s="563"/>
      <c r="BI108" s="563"/>
      <c r="BJ108" s="563"/>
      <c r="BK108" s="575"/>
      <c r="BL108" s="575"/>
      <c r="BM108" s="575"/>
      <c r="BN108" s="575"/>
      <c r="BO108" s="575"/>
      <c r="BP108" s="575"/>
      <c r="BQ108" s="575"/>
      <c r="BR108" s="575"/>
      <c r="BS108" s="575"/>
      <c r="BT108" s="575"/>
      <c r="BU108" s="575"/>
      <c r="BV108" s="162"/>
      <c r="BW108" s="162"/>
    </row>
    <row r="109" s="140" customFormat="1" customHeight="1" spans="1:75">
      <c r="A109" s="161">
        <v>137</v>
      </c>
      <c r="B109" s="394" t="s">
        <v>247</v>
      </c>
      <c r="C109" s="162"/>
      <c r="D109" s="561" t="s">
        <v>137</v>
      </c>
      <c r="E109" s="561">
        <v>44.5</v>
      </c>
      <c r="F109" s="556">
        <v>1</v>
      </c>
      <c r="G109" s="557">
        <f t="shared" si="14"/>
        <v>44.5</v>
      </c>
      <c r="H109" s="558">
        <f t="shared" si="15"/>
        <v>0</v>
      </c>
      <c r="I109" s="559">
        <f t="shared" si="16"/>
        <v>0</v>
      </c>
      <c r="J109" s="558">
        <f t="shared" si="17"/>
        <v>0</v>
      </c>
      <c r="K109" s="559">
        <f t="shared" si="18"/>
        <v>0</v>
      </c>
      <c r="L109" s="558">
        <f t="shared" si="19"/>
        <v>1</v>
      </c>
      <c r="M109" s="559">
        <f t="shared" si="20"/>
        <v>44.5</v>
      </c>
      <c r="N109" s="562"/>
      <c r="O109" s="562"/>
      <c r="P109" s="563"/>
      <c r="Q109" s="563"/>
      <c r="R109" s="563"/>
      <c r="S109" s="563"/>
      <c r="T109" s="563"/>
      <c r="U109" s="563"/>
      <c r="V109" s="563"/>
      <c r="W109" s="563"/>
      <c r="X109" s="563"/>
      <c r="Y109" s="563"/>
      <c r="Z109" s="563"/>
      <c r="AA109" s="563"/>
      <c r="AB109" s="563"/>
      <c r="AC109" s="563"/>
      <c r="AD109" s="563"/>
      <c r="AE109" s="563"/>
      <c r="AF109" s="563"/>
      <c r="AG109" s="563"/>
      <c r="AH109" s="563"/>
      <c r="AI109" s="563"/>
      <c r="AJ109" s="563"/>
      <c r="AK109" s="563"/>
      <c r="AL109" s="563"/>
      <c r="AM109" s="563"/>
      <c r="AN109" s="563"/>
      <c r="AO109" s="563"/>
      <c r="AP109" s="563"/>
      <c r="AQ109" s="563"/>
      <c r="AR109" s="563"/>
      <c r="AS109" s="563"/>
      <c r="AT109" s="563"/>
      <c r="AU109" s="563"/>
      <c r="AV109" s="563"/>
      <c r="AW109" s="563"/>
      <c r="AX109" s="563"/>
      <c r="AY109" s="563"/>
      <c r="AZ109" s="563"/>
      <c r="BA109" s="563"/>
      <c r="BB109" s="563"/>
      <c r="BC109" s="563"/>
      <c r="BD109" s="563"/>
      <c r="BE109" s="563"/>
      <c r="BF109" s="563"/>
      <c r="BG109" s="563"/>
      <c r="BH109" s="563"/>
      <c r="BI109" s="563"/>
      <c r="BJ109" s="563"/>
      <c r="BK109" s="575"/>
      <c r="BL109" s="575"/>
      <c r="BM109" s="575"/>
      <c r="BN109" s="575"/>
      <c r="BO109" s="575"/>
      <c r="BP109" s="575"/>
      <c r="BQ109" s="575"/>
      <c r="BR109" s="575"/>
      <c r="BS109" s="575"/>
      <c r="BT109" s="575"/>
      <c r="BU109" s="575"/>
      <c r="BV109" s="162"/>
      <c r="BW109" s="162"/>
    </row>
    <row r="110" s="140" customFormat="1" customHeight="1" spans="1:75">
      <c r="A110" s="161">
        <v>138</v>
      </c>
      <c r="B110" s="565" t="s">
        <v>212</v>
      </c>
      <c r="C110" s="162"/>
      <c r="D110" s="561" t="s">
        <v>209</v>
      </c>
      <c r="E110" s="561">
        <v>0.0171</v>
      </c>
      <c r="F110" s="556">
        <v>850</v>
      </c>
      <c r="G110" s="557">
        <f t="shared" si="14"/>
        <v>14.535</v>
      </c>
      <c r="H110" s="558">
        <f t="shared" si="15"/>
        <v>0</v>
      </c>
      <c r="I110" s="559">
        <f t="shared" si="16"/>
        <v>0</v>
      </c>
      <c r="J110" s="558">
        <f t="shared" si="17"/>
        <v>750</v>
      </c>
      <c r="K110" s="559">
        <f t="shared" si="18"/>
        <v>12.825</v>
      </c>
      <c r="L110" s="558">
        <f t="shared" si="19"/>
        <v>100</v>
      </c>
      <c r="M110" s="559">
        <f t="shared" si="20"/>
        <v>1.71</v>
      </c>
      <c r="N110" s="562"/>
      <c r="O110" s="562"/>
      <c r="P110" s="563"/>
      <c r="Q110" s="563"/>
      <c r="R110" s="563"/>
      <c r="S110" s="563"/>
      <c r="T110" s="563"/>
      <c r="U110" s="563"/>
      <c r="V110" s="563"/>
      <c r="W110" s="563"/>
      <c r="X110" s="563"/>
      <c r="Y110" s="563"/>
      <c r="Z110" s="563"/>
      <c r="AA110" s="563">
        <v>150</v>
      </c>
      <c r="AB110" s="563"/>
      <c r="AC110" s="563"/>
      <c r="AD110" s="563"/>
      <c r="AE110" s="563">
        <v>150</v>
      </c>
      <c r="AF110" s="563"/>
      <c r="AG110" s="563"/>
      <c r="AH110" s="563"/>
      <c r="AI110" s="563">
        <v>150</v>
      </c>
      <c r="AJ110" s="563"/>
      <c r="AK110" s="563"/>
      <c r="AL110" s="563"/>
      <c r="AM110" s="563"/>
      <c r="AN110" s="563"/>
      <c r="AO110" s="563"/>
      <c r="AP110" s="563"/>
      <c r="AQ110" s="563"/>
      <c r="AR110" s="563"/>
      <c r="AS110" s="563">
        <v>100</v>
      </c>
      <c r="AT110" s="563"/>
      <c r="AU110" s="563"/>
      <c r="AV110" s="563"/>
      <c r="AW110" s="563"/>
      <c r="AX110" s="563"/>
      <c r="AY110" s="563">
        <v>100</v>
      </c>
      <c r="AZ110" s="563"/>
      <c r="BA110" s="563"/>
      <c r="BB110" s="563"/>
      <c r="BC110" s="563"/>
      <c r="BD110" s="563"/>
      <c r="BE110" s="563"/>
      <c r="BF110" s="563"/>
      <c r="BG110" s="563">
        <v>100</v>
      </c>
      <c r="BH110" s="563"/>
      <c r="BI110" s="563"/>
      <c r="BJ110" s="563"/>
      <c r="BK110" s="575"/>
      <c r="BL110" s="575"/>
      <c r="BM110" s="575"/>
      <c r="BN110" s="575"/>
      <c r="BO110" s="575"/>
      <c r="BP110" s="575"/>
      <c r="BQ110" s="575"/>
      <c r="BR110" s="575"/>
      <c r="BS110" s="575"/>
      <c r="BT110" s="575"/>
      <c r="BU110" s="575"/>
      <c r="BV110" s="162"/>
      <c r="BW110" s="162"/>
    </row>
    <row r="111" s="140" customFormat="1" customHeight="1" spans="1:75">
      <c r="A111" s="161">
        <v>139</v>
      </c>
      <c r="B111" s="394" t="s">
        <v>248</v>
      </c>
      <c r="C111" s="162"/>
      <c r="D111" s="561" t="s">
        <v>173</v>
      </c>
      <c r="E111" s="561">
        <v>26.3</v>
      </c>
      <c r="F111" s="556">
        <v>0</v>
      </c>
      <c r="G111" s="557">
        <f t="shared" si="14"/>
        <v>0</v>
      </c>
      <c r="H111" s="558">
        <f t="shared" si="15"/>
        <v>0</v>
      </c>
      <c r="I111" s="559">
        <f t="shared" si="16"/>
        <v>0</v>
      </c>
      <c r="J111" s="558">
        <f t="shared" si="17"/>
        <v>0</v>
      </c>
      <c r="K111" s="559">
        <f t="shared" si="18"/>
        <v>0</v>
      </c>
      <c r="L111" s="558">
        <f t="shared" si="19"/>
        <v>0</v>
      </c>
      <c r="M111" s="559">
        <f t="shared" si="20"/>
        <v>0</v>
      </c>
      <c r="N111" s="562"/>
      <c r="O111" s="562"/>
      <c r="P111" s="563"/>
      <c r="Q111" s="563"/>
      <c r="R111" s="563"/>
      <c r="S111" s="563"/>
      <c r="T111" s="563"/>
      <c r="U111" s="563"/>
      <c r="V111" s="563"/>
      <c r="W111" s="563"/>
      <c r="X111" s="563"/>
      <c r="Y111" s="563"/>
      <c r="Z111" s="563"/>
      <c r="AA111" s="563"/>
      <c r="AB111" s="563"/>
      <c r="AC111" s="563"/>
      <c r="AD111" s="563"/>
      <c r="AE111" s="563"/>
      <c r="AF111" s="563"/>
      <c r="AG111" s="563"/>
      <c r="AH111" s="563"/>
      <c r="AI111" s="563"/>
      <c r="AJ111" s="563"/>
      <c r="AK111" s="563"/>
      <c r="AL111" s="563"/>
      <c r="AM111" s="563"/>
      <c r="AN111" s="563"/>
      <c r="AO111" s="563"/>
      <c r="AP111" s="563"/>
      <c r="AQ111" s="563"/>
      <c r="AR111" s="563"/>
      <c r="AS111" s="563"/>
      <c r="AT111" s="563"/>
      <c r="AU111" s="563"/>
      <c r="AV111" s="563"/>
      <c r="AW111" s="563"/>
      <c r="AX111" s="563"/>
      <c r="AY111" s="563"/>
      <c r="AZ111" s="563"/>
      <c r="BA111" s="563"/>
      <c r="BB111" s="563"/>
      <c r="BC111" s="563"/>
      <c r="BD111" s="563"/>
      <c r="BE111" s="563"/>
      <c r="BF111" s="563"/>
      <c r="BG111" s="563"/>
      <c r="BH111" s="563"/>
      <c r="BI111" s="563"/>
      <c r="BJ111" s="563"/>
      <c r="BK111" s="575"/>
      <c r="BL111" s="575"/>
      <c r="BM111" s="575"/>
      <c r="BN111" s="575"/>
      <c r="BO111" s="575"/>
      <c r="BP111" s="575"/>
      <c r="BQ111" s="575"/>
      <c r="BR111" s="575"/>
      <c r="BS111" s="575"/>
      <c r="BT111" s="575"/>
      <c r="BU111" s="575"/>
      <c r="BV111" s="162"/>
      <c r="BW111" s="162"/>
    </row>
    <row r="112" s="140" customFormat="1" customHeight="1" spans="1:75">
      <c r="A112" s="161">
        <v>140</v>
      </c>
      <c r="B112" s="565" t="s">
        <v>216</v>
      </c>
      <c r="C112" s="162"/>
      <c r="D112" s="561" t="s">
        <v>137</v>
      </c>
      <c r="E112" s="561">
        <v>67</v>
      </c>
      <c r="F112" s="556">
        <v>8</v>
      </c>
      <c r="G112" s="557">
        <f t="shared" ref="G112:G143" si="21">F112*E112</f>
        <v>536</v>
      </c>
      <c r="H112" s="558">
        <f t="shared" ref="H112:H143" si="22">SUMIF($N$4:$BW$4,$H$4,$N112:$BW112)</f>
        <v>0</v>
      </c>
      <c r="I112" s="559">
        <f t="shared" ref="I112:I143" si="23">+E112*H112</f>
        <v>0</v>
      </c>
      <c r="J112" s="558">
        <f t="shared" ref="J112:J143" si="24">SUMIF($N$4:$BW$4,$J$4,$N112:$BW112)</f>
        <v>8</v>
      </c>
      <c r="K112" s="559">
        <f t="shared" ref="K112:K143" si="25">+E112*J112</f>
        <v>536</v>
      </c>
      <c r="L112" s="558">
        <f t="shared" ref="L112:L143" si="26">+F112+H112-J112</f>
        <v>0</v>
      </c>
      <c r="M112" s="559">
        <f t="shared" ref="M112:M143" si="27">+E112*L112</f>
        <v>0</v>
      </c>
      <c r="N112" s="562"/>
      <c r="O112" s="562"/>
      <c r="P112" s="563"/>
      <c r="Q112" s="563"/>
      <c r="R112" s="563"/>
      <c r="S112" s="563"/>
      <c r="T112" s="563"/>
      <c r="U112" s="563"/>
      <c r="V112" s="563"/>
      <c r="W112" s="563"/>
      <c r="X112" s="563"/>
      <c r="Y112" s="563"/>
      <c r="Z112" s="563"/>
      <c r="AA112" s="563">
        <v>2</v>
      </c>
      <c r="AB112" s="563"/>
      <c r="AC112" s="563"/>
      <c r="AD112" s="563"/>
      <c r="AE112" s="563">
        <v>1</v>
      </c>
      <c r="AF112" s="563"/>
      <c r="AG112" s="563"/>
      <c r="AH112" s="563"/>
      <c r="AI112" s="563"/>
      <c r="AJ112" s="563"/>
      <c r="AK112" s="563"/>
      <c r="AL112" s="563"/>
      <c r="AM112" s="563"/>
      <c r="AN112" s="563"/>
      <c r="AO112" s="563"/>
      <c r="AP112" s="563"/>
      <c r="AQ112" s="563"/>
      <c r="AR112" s="563"/>
      <c r="AS112" s="563"/>
      <c r="AT112" s="563"/>
      <c r="AU112" s="563"/>
      <c r="AV112" s="563"/>
      <c r="AW112" s="563"/>
      <c r="AX112" s="563"/>
      <c r="AY112" s="563">
        <v>5</v>
      </c>
      <c r="AZ112" s="563"/>
      <c r="BA112" s="563"/>
      <c r="BB112" s="563"/>
      <c r="BC112" s="563"/>
      <c r="BD112" s="563"/>
      <c r="BE112" s="563"/>
      <c r="BF112" s="563"/>
      <c r="BG112" s="563"/>
      <c r="BH112" s="563"/>
      <c r="BI112" s="563"/>
      <c r="BJ112" s="563"/>
      <c r="BK112" s="575"/>
      <c r="BL112" s="575"/>
      <c r="BM112" s="575"/>
      <c r="BN112" s="575"/>
      <c r="BO112" s="575"/>
      <c r="BP112" s="575"/>
      <c r="BQ112" s="575"/>
      <c r="BR112" s="575"/>
      <c r="BS112" s="575"/>
      <c r="BT112" s="575"/>
      <c r="BU112" s="575"/>
      <c r="BV112" s="162"/>
      <c r="BW112" s="162"/>
    </row>
    <row r="113" s="140" customFormat="1" customHeight="1" spans="1:75">
      <c r="A113" s="161">
        <v>141</v>
      </c>
      <c r="B113" s="394" t="s">
        <v>249</v>
      </c>
      <c r="C113" s="162"/>
      <c r="D113" s="561" t="s">
        <v>221</v>
      </c>
      <c r="E113" s="561">
        <v>0.0195375</v>
      </c>
      <c r="F113" s="556">
        <v>30</v>
      </c>
      <c r="G113" s="557">
        <f t="shared" si="21"/>
        <v>0.586125</v>
      </c>
      <c r="H113" s="558">
        <f t="shared" si="22"/>
        <v>0</v>
      </c>
      <c r="I113" s="559">
        <f t="shared" si="23"/>
        <v>0</v>
      </c>
      <c r="J113" s="558">
        <f t="shared" si="24"/>
        <v>30</v>
      </c>
      <c r="K113" s="559">
        <f t="shared" si="25"/>
        <v>0.586125</v>
      </c>
      <c r="L113" s="558">
        <f t="shared" si="26"/>
        <v>0</v>
      </c>
      <c r="M113" s="559">
        <f t="shared" si="27"/>
        <v>0</v>
      </c>
      <c r="N113" s="562"/>
      <c r="O113" s="562"/>
      <c r="P113" s="563"/>
      <c r="Q113" s="563"/>
      <c r="R113" s="563"/>
      <c r="S113" s="563">
        <v>10</v>
      </c>
      <c r="T113" s="563"/>
      <c r="U113" s="563"/>
      <c r="V113" s="563"/>
      <c r="W113" s="563">
        <v>10</v>
      </c>
      <c r="X113" s="563"/>
      <c r="Y113" s="563"/>
      <c r="Z113" s="563"/>
      <c r="AA113" s="563"/>
      <c r="AB113" s="563"/>
      <c r="AC113" s="563"/>
      <c r="AD113" s="563"/>
      <c r="AE113" s="563"/>
      <c r="AF113" s="563"/>
      <c r="AG113" s="563"/>
      <c r="AH113" s="563"/>
      <c r="AI113" s="563"/>
      <c r="AJ113" s="563"/>
      <c r="AK113" s="563"/>
      <c r="AL113" s="563"/>
      <c r="AM113" s="563"/>
      <c r="AN113" s="563"/>
      <c r="AO113" s="563"/>
      <c r="AP113" s="563"/>
      <c r="AQ113" s="563"/>
      <c r="AR113" s="563"/>
      <c r="AS113" s="563"/>
      <c r="AT113" s="563"/>
      <c r="AU113" s="563"/>
      <c r="AV113" s="563"/>
      <c r="AW113" s="563"/>
      <c r="AX113" s="563"/>
      <c r="AY113" s="563">
        <v>5</v>
      </c>
      <c r="AZ113" s="563"/>
      <c r="BA113" s="563"/>
      <c r="BB113" s="563"/>
      <c r="BC113" s="563"/>
      <c r="BD113" s="563"/>
      <c r="BE113" s="563"/>
      <c r="BF113" s="563"/>
      <c r="BG113" s="563">
        <v>5</v>
      </c>
      <c r="BH113" s="563"/>
      <c r="BI113" s="563"/>
      <c r="BJ113" s="563"/>
      <c r="BK113" s="575"/>
      <c r="BL113" s="575"/>
      <c r="BM113" s="576"/>
      <c r="BN113" s="575"/>
      <c r="BO113" s="575"/>
      <c r="BP113" s="575"/>
      <c r="BQ113" s="575"/>
      <c r="BR113" s="575"/>
      <c r="BS113" s="575"/>
      <c r="BT113" s="575"/>
      <c r="BU113" s="575"/>
      <c r="BV113" s="162"/>
      <c r="BW113" s="162"/>
    </row>
    <row r="114" s="140" customFormat="1" customHeight="1" spans="1:75">
      <c r="A114" s="161">
        <v>142</v>
      </c>
      <c r="B114" s="394" t="s">
        <v>214</v>
      </c>
      <c r="C114" s="162"/>
      <c r="D114" s="561" t="s">
        <v>204</v>
      </c>
      <c r="E114" s="561">
        <v>0.089</v>
      </c>
      <c r="F114" s="556">
        <v>50</v>
      </c>
      <c r="G114" s="557">
        <f t="shared" si="21"/>
        <v>4.45</v>
      </c>
      <c r="H114" s="558">
        <f t="shared" si="22"/>
        <v>0</v>
      </c>
      <c r="I114" s="559">
        <f t="shared" si="23"/>
        <v>0</v>
      </c>
      <c r="J114" s="558">
        <f t="shared" si="24"/>
        <v>10</v>
      </c>
      <c r="K114" s="559">
        <f t="shared" si="25"/>
        <v>0.89</v>
      </c>
      <c r="L114" s="558">
        <f t="shared" si="26"/>
        <v>40</v>
      </c>
      <c r="M114" s="559">
        <f t="shared" si="27"/>
        <v>3.56</v>
      </c>
      <c r="N114" s="562"/>
      <c r="O114" s="562"/>
      <c r="P114" s="563"/>
      <c r="Q114" s="563"/>
      <c r="R114" s="563"/>
      <c r="S114" s="563"/>
      <c r="T114" s="563"/>
      <c r="U114" s="563"/>
      <c r="V114" s="563"/>
      <c r="W114" s="563"/>
      <c r="X114" s="563"/>
      <c r="Y114" s="563"/>
      <c r="Z114" s="563"/>
      <c r="AA114" s="563"/>
      <c r="AB114" s="563"/>
      <c r="AC114" s="563"/>
      <c r="AD114" s="563"/>
      <c r="AE114" s="563"/>
      <c r="AF114" s="563"/>
      <c r="AG114" s="563"/>
      <c r="AH114" s="563"/>
      <c r="AI114" s="563"/>
      <c r="AJ114" s="563"/>
      <c r="AK114" s="563"/>
      <c r="AL114" s="563"/>
      <c r="AM114" s="563"/>
      <c r="AN114" s="563"/>
      <c r="AO114" s="563"/>
      <c r="AP114" s="563"/>
      <c r="AQ114" s="563"/>
      <c r="AR114" s="563"/>
      <c r="AS114" s="563"/>
      <c r="AT114" s="563"/>
      <c r="AU114" s="563"/>
      <c r="AV114" s="563"/>
      <c r="AW114" s="563"/>
      <c r="AX114" s="563"/>
      <c r="AY114" s="563"/>
      <c r="AZ114" s="563"/>
      <c r="BA114" s="563"/>
      <c r="BB114" s="563"/>
      <c r="BC114" s="563"/>
      <c r="BD114" s="563"/>
      <c r="BE114" s="563"/>
      <c r="BF114" s="563"/>
      <c r="BG114" s="563"/>
      <c r="BH114" s="563"/>
      <c r="BI114" s="563"/>
      <c r="BJ114" s="563"/>
      <c r="BK114" s="575">
        <v>10</v>
      </c>
      <c r="BL114" s="575"/>
      <c r="BM114" s="575"/>
      <c r="BN114" s="575"/>
      <c r="BO114" s="575"/>
      <c r="BP114" s="575"/>
      <c r="BQ114" s="575"/>
      <c r="BR114" s="575"/>
      <c r="BS114" s="575"/>
      <c r="BT114" s="575"/>
      <c r="BU114" s="575"/>
      <c r="BV114" s="162"/>
      <c r="BW114" s="162"/>
    </row>
    <row r="115" s="140" customFormat="1" customHeight="1" spans="1:75">
      <c r="A115" s="161">
        <v>143</v>
      </c>
      <c r="B115" s="577" t="s">
        <v>250</v>
      </c>
      <c r="C115" s="162"/>
      <c r="D115" s="561" t="s">
        <v>204</v>
      </c>
      <c r="E115" s="561">
        <v>0.3</v>
      </c>
      <c r="F115" s="556">
        <v>88</v>
      </c>
      <c r="G115" s="557">
        <f t="shared" si="21"/>
        <v>26.4</v>
      </c>
      <c r="H115" s="558">
        <f t="shared" si="22"/>
        <v>0</v>
      </c>
      <c r="I115" s="559">
        <f t="shared" si="23"/>
        <v>0</v>
      </c>
      <c r="J115" s="558">
        <f t="shared" si="24"/>
        <v>51</v>
      </c>
      <c r="K115" s="559">
        <f t="shared" si="25"/>
        <v>15.3</v>
      </c>
      <c r="L115" s="558">
        <f t="shared" si="26"/>
        <v>37</v>
      </c>
      <c r="M115" s="559">
        <f t="shared" si="27"/>
        <v>11.1</v>
      </c>
      <c r="N115" s="562"/>
      <c r="O115" s="562"/>
      <c r="P115" s="563"/>
      <c r="Q115" s="563">
        <v>5</v>
      </c>
      <c r="R115" s="563"/>
      <c r="S115" s="563">
        <v>6</v>
      </c>
      <c r="T115" s="563"/>
      <c r="U115" s="563"/>
      <c r="V115" s="563"/>
      <c r="W115" s="563"/>
      <c r="X115" s="563"/>
      <c r="Y115" s="563"/>
      <c r="Z115" s="563"/>
      <c r="AA115" s="563">
        <v>15</v>
      </c>
      <c r="AB115" s="563"/>
      <c r="AC115" s="563"/>
      <c r="AD115" s="563"/>
      <c r="AE115" s="563">
        <v>5</v>
      </c>
      <c r="AF115" s="563"/>
      <c r="AG115" s="563"/>
      <c r="AH115" s="563"/>
      <c r="AI115" s="563"/>
      <c r="AJ115" s="563"/>
      <c r="AK115" s="563"/>
      <c r="AL115" s="563"/>
      <c r="AM115" s="563"/>
      <c r="AN115" s="563"/>
      <c r="AO115" s="563"/>
      <c r="AP115" s="563"/>
      <c r="AQ115" s="563"/>
      <c r="AR115" s="563"/>
      <c r="AS115" s="563"/>
      <c r="AT115" s="563"/>
      <c r="AU115" s="563"/>
      <c r="AV115" s="563"/>
      <c r="AW115" s="563"/>
      <c r="AX115" s="563"/>
      <c r="AY115" s="563"/>
      <c r="AZ115" s="563"/>
      <c r="BA115" s="563"/>
      <c r="BB115" s="563"/>
      <c r="BC115" s="563"/>
      <c r="BD115" s="563"/>
      <c r="BE115" s="563"/>
      <c r="BF115" s="563"/>
      <c r="BG115" s="563"/>
      <c r="BH115" s="563"/>
      <c r="BI115" s="563">
        <v>5</v>
      </c>
      <c r="BJ115" s="563"/>
      <c r="BK115" s="575">
        <v>10</v>
      </c>
      <c r="BL115" s="575"/>
      <c r="BM115" s="575">
        <v>5</v>
      </c>
      <c r="BN115" s="575"/>
      <c r="BO115" s="575"/>
      <c r="BP115" s="575"/>
      <c r="BQ115" s="575"/>
      <c r="BR115" s="575"/>
      <c r="BS115" s="575"/>
      <c r="BT115" s="575"/>
      <c r="BU115" s="575"/>
      <c r="BV115" s="162"/>
      <c r="BW115" s="162"/>
    </row>
    <row r="116" s="140" customFormat="1" customHeight="1" spans="1:75">
      <c r="A116" s="161">
        <v>144</v>
      </c>
      <c r="B116" s="318" t="s">
        <v>251</v>
      </c>
      <c r="C116" s="162"/>
      <c r="D116" s="561" t="s">
        <v>137</v>
      </c>
      <c r="E116" s="561">
        <v>4.316</v>
      </c>
      <c r="F116" s="556">
        <v>0</v>
      </c>
      <c r="G116" s="557">
        <f t="shared" si="21"/>
        <v>0</v>
      </c>
      <c r="H116" s="558">
        <f t="shared" si="22"/>
        <v>0</v>
      </c>
      <c r="I116" s="559">
        <f t="shared" si="23"/>
        <v>0</v>
      </c>
      <c r="J116" s="558">
        <f t="shared" si="24"/>
        <v>0</v>
      </c>
      <c r="K116" s="559">
        <f t="shared" si="25"/>
        <v>0</v>
      </c>
      <c r="L116" s="558">
        <f t="shared" si="26"/>
        <v>0</v>
      </c>
      <c r="M116" s="559">
        <f t="shared" si="27"/>
        <v>0</v>
      </c>
      <c r="N116" s="562"/>
      <c r="O116" s="562"/>
      <c r="P116" s="563"/>
      <c r="Q116" s="563"/>
      <c r="R116" s="563"/>
      <c r="S116" s="563"/>
      <c r="T116" s="563"/>
      <c r="U116" s="563"/>
      <c r="V116" s="563"/>
      <c r="W116" s="563"/>
      <c r="X116" s="563"/>
      <c r="Y116" s="563"/>
      <c r="Z116" s="563"/>
      <c r="AA116" s="563"/>
      <c r="AB116" s="563"/>
      <c r="AC116" s="563"/>
      <c r="AD116" s="563"/>
      <c r="AE116" s="563"/>
      <c r="AF116" s="563"/>
      <c r="AG116" s="563"/>
      <c r="AH116" s="563"/>
      <c r="AI116" s="563"/>
      <c r="AJ116" s="563"/>
      <c r="AK116" s="563"/>
      <c r="AL116" s="563"/>
      <c r="AM116" s="563"/>
      <c r="AN116" s="563"/>
      <c r="AO116" s="563"/>
      <c r="AP116" s="563"/>
      <c r="AQ116" s="563"/>
      <c r="AR116" s="563"/>
      <c r="AS116" s="563"/>
      <c r="AT116" s="563"/>
      <c r="AU116" s="563"/>
      <c r="AV116" s="563"/>
      <c r="AW116" s="563"/>
      <c r="AX116" s="563"/>
      <c r="AY116" s="563"/>
      <c r="AZ116" s="563"/>
      <c r="BA116" s="563"/>
      <c r="BB116" s="563"/>
      <c r="BC116" s="563"/>
      <c r="BD116" s="563"/>
      <c r="BE116" s="563"/>
      <c r="BF116" s="563"/>
      <c r="BG116" s="563"/>
      <c r="BH116" s="563"/>
      <c r="BI116" s="563"/>
      <c r="BJ116" s="563"/>
      <c r="BK116" s="575"/>
      <c r="BL116" s="575"/>
      <c r="BM116" s="575"/>
      <c r="BN116" s="575"/>
      <c r="BO116" s="575"/>
      <c r="BP116" s="575"/>
      <c r="BQ116" s="575"/>
      <c r="BR116" s="575"/>
      <c r="BS116" s="575"/>
      <c r="BT116" s="575"/>
      <c r="BU116" s="575"/>
      <c r="BV116" s="162"/>
      <c r="BW116" s="162"/>
    </row>
    <row r="117" s="140" customFormat="1" customHeight="1" spans="1:75">
      <c r="A117" s="161">
        <v>145</v>
      </c>
      <c r="B117" s="562" t="s">
        <v>252</v>
      </c>
      <c r="C117" s="162"/>
      <c r="D117" s="561" t="s">
        <v>137</v>
      </c>
      <c r="E117" s="561">
        <v>5</v>
      </c>
      <c r="F117" s="556">
        <v>0</v>
      </c>
      <c r="G117" s="557">
        <f t="shared" si="21"/>
        <v>0</v>
      </c>
      <c r="H117" s="558">
        <f t="shared" si="22"/>
        <v>0</v>
      </c>
      <c r="I117" s="559">
        <f t="shared" si="23"/>
        <v>0</v>
      </c>
      <c r="J117" s="558">
        <f t="shared" si="24"/>
        <v>0</v>
      </c>
      <c r="K117" s="559">
        <f t="shared" si="25"/>
        <v>0</v>
      </c>
      <c r="L117" s="558">
        <f t="shared" si="26"/>
        <v>0</v>
      </c>
      <c r="M117" s="559">
        <f t="shared" si="27"/>
        <v>0</v>
      </c>
      <c r="N117" s="573"/>
      <c r="O117" s="573"/>
      <c r="P117" s="563"/>
      <c r="Q117" s="563"/>
      <c r="R117" s="563"/>
      <c r="S117" s="563"/>
      <c r="T117" s="563"/>
      <c r="U117" s="563"/>
      <c r="V117" s="563"/>
      <c r="W117" s="563"/>
      <c r="X117" s="563"/>
      <c r="Y117" s="563"/>
      <c r="Z117" s="563"/>
      <c r="AA117" s="563"/>
      <c r="AB117" s="563"/>
      <c r="AC117" s="563"/>
      <c r="AD117" s="563"/>
      <c r="AE117" s="563"/>
      <c r="AF117" s="563"/>
      <c r="AG117" s="563"/>
      <c r="AH117" s="563"/>
      <c r="AI117" s="563"/>
      <c r="AJ117" s="563"/>
      <c r="AK117" s="563"/>
      <c r="AL117" s="563"/>
      <c r="AM117" s="563"/>
      <c r="AN117" s="563"/>
      <c r="AO117" s="563"/>
      <c r="AP117" s="563"/>
      <c r="AQ117" s="563"/>
      <c r="AR117" s="575"/>
      <c r="AS117" s="575"/>
      <c r="AT117" s="575"/>
      <c r="AU117" s="575"/>
      <c r="AV117" s="575"/>
      <c r="AW117" s="575"/>
      <c r="AX117" s="575"/>
      <c r="AY117" s="575"/>
      <c r="AZ117" s="575"/>
      <c r="BA117" s="575"/>
      <c r="BB117" s="575"/>
      <c r="BC117" s="575"/>
      <c r="BD117" s="575"/>
      <c r="BE117" s="575"/>
      <c r="BF117" s="575"/>
      <c r="BG117" s="575"/>
      <c r="BH117" s="575"/>
      <c r="BI117" s="575"/>
      <c r="BJ117" s="575"/>
      <c r="BK117" s="575"/>
      <c r="BL117" s="575"/>
      <c r="BM117" s="575"/>
      <c r="BN117" s="575"/>
      <c r="BO117" s="575"/>
      <c r="BP117" s="575"/>
      <c r="BQ117" s="575"/>
      <c r="BR117" s="575"/>
      <c r="BS117" s="575"/>
      <c r="BT117" s="575"/>
      <c r="BU117" s="575"/>
      <c r="BV117" s="162"/>
      <c r="BW117" s="162"/>
    </row>
    <row r="118" s="140" customFormat="1" customHeight="1" spans="1:75">
      <c r="A118" s="161">
        <v>146</v>
      </c>
      <c r="B118" s="562" t="s">
        <v>253</v>
      </c>
      <c r="C118" s="162"/>
      <c r="D118" s="561" t="s">
        <v>137</v>
      </c>
      <c r="E118" s="561">
        <v>6.62</v>
      </c>
      <c r="F118" s="556">
        <v>0</v>
      </c>
      <c r="G118" s="557">
        <f t="shared" si="21"/>
        <v>0</v>
      </c>
      <c r="H118" s="558">
        <f t="shared" si="22"/>
        <v>0</v>
      </c>
      <c r="I118" s="559">
        <f t="shared" si="23"/>
        <v>0</v>
      </c>
      <c r="J118" s="558">
        <f t="shared" si="24"/>
        <v>0</v>
      </c>
      <c r="K118" s="559">
        <f t="shared" si="25"/>
        <v>0</v>
      </c>
      <c r="L118" s="558">
        <f t="shared" si="26"/>
        <v>0</v>
      </c>
      <c r="M118" s="559">
        <f t="shared" si="27"/>
        <v>0</v>
      </c>
      <c r="N118" s="562"/>
      <c r="O118" s="562"/>
      <c r="P118" s="563"/>
      <c r="Q118" s="563"/>
      <c r="R118" s="563"/>
      <c r="S118" s="563"/>
      <c r="T118" s="563"/>
      <c r="U118" s="563"/>
      <c r="V118" s="563"/>
      <c r="W118" s="563"/>
      <c r="X118" s="563"/>
      <c r="Y118" s="563"/>
      <c r="Z118" s="563"/>
      <c r="AA118" s="563"/>
      <c r="AB118" s="563"/>
      <c r="AC118" s="563"/>
      <c r="AD118" s="563"/>
      <c r="AE118" s="563"/>
      <c r="AF118" s="563"/>
      <c r="AG118" s="563"/>
      <c r="AH118" s="563"/>
      <c r="AI118" s="563"/>
      <c r="AJ118" s="563"/>
      <c r="AK118" s="563"/>
      <c r="AL118" s="563"/>
      <c r="AM118" s="563"/>
      <c r="AN118" s="563"/>
      <c r="AO118" s="563"/>
      <c r="AP118" s="563"/>
      <c r="AQ118" s="563"/>
      <c r="AR118" s="575"/>
      <c r="AS118" s="575"/>
      <c r="AT118" s="575"/>
      <c r="AU118" s="575"/>
      <c r="AV118" s="575"/>
      <c r="AW118" s="575"/>
      <c r="AX118" s="575"/>
      <c r="AY118" s="575"/>
      <c r="AZ118" s="575"/>
      <c r="BA118" s="575"/>
      <c r="BB118" s="575"/>
      <c r="BC118" s="575"/>
      <c r="BD118" s="575"/>
      <c r="BE118" s="575"/>
      <c r="BF118" s="575"/>
      <c r="BG118" s="575"/>
      <c r="BH118" s="575"/>
      <c r="BI118" s="575"/>
      <c r="BJ118" s="575"/>
      <c r="BK118" s="575"/>
      <c r="BL118" s="575"/>
      <c r="BM118" s="575"/>
      <c r="BN118" s="575"/>
      <c r="BO118" s="575"/>
      <c r="BP118" s="575"/>
      <c r="BQ118" s="575"/>
      <c r="BR118" s="575"/>
      <c r="BS118" s="575"/>
      <c r="BT118" s="575"/>
      <c r="BU118" s="575"/>
      <c r="BV118" s="162"/>
      <c r="BW118" s="162"/>
    </row>
    <row r="119" s="140" customFormat="1" customHeight="1" spans="1:75">
      <c r="A119" s="161">
        <v>147</v>
      </c>
      <c r="B119" s="562" t="s">
        <v>254</v>
      </c>
      <c r="C119" s="162"/>
      <c r="D119" s="561" t="s">
        <v>137</v>
      </c>
      <c r="E119" s="561">
        <v>24.99</v>
      </c>
      <c r="F119" s="556">
        <v>3</v>
      </c>
      <c r="G119" s="557">
        <f t="shared" si="21"/>
        <v>74.97</v>
      </c>
      <c r="H119" s="558">
        <f t="shared" si="22"/>
        <v>0</v>
      </c>
      <c r="I119" s="559">
        <f t="shared" si="23"/>
        <v>0</v>
      </c>
      <c r="J119" s="558">
        <f t="shared" si="24"/>
        <v>1</v>
      </c>
      <c r="K119" s="559">
        <f t="shared" si="25"/>
        <v>24.99</v>
      </c>
      <c r="L119" s="558">
        <f t="shared" si="26"/>
        <v>2</v>
      </c>
      <c r="M119" s="559">
        <f t="shared" si="27"/>
        <v>49.98</v>
      </c>
      <c r="N119" s="562"/>
      <c r="O119" s="562"/>
      <c r="P119" s="563"/>
      <c r="Q119" s="563"/>
      <c r="R119" s="563"/>
      <c r="S119" s="563"/>
      <c r="T119" s="563"/>
      <c r="U119" s="563"/>
      <c r="V119" s="563"/>
      <c r="W119" s="563"/>
      <c r="X119" s="563"/>
      <c r="Y119" s="563"/>
      <c r="Z119" s="563"/>
      <c r="AA119" s="563"/>
      <c r="AB119" s="563"/>
      <c r="AC119" s="563"/>
      <c r="AD119" s="563"/>
      <c r="AE119" s="563"/>
      <c r="AF119" s="563"/>
      <c r="AG119" s="563"/>
      <c r="AH119" s="563"/>
      <c r="AI119" s="563"/>
      <c r="AJ119" s="563"/>
      <c r="AK119" s="563"/>
      <c r="AL119" s="563"/>
      <c r="AM119" s="563"/>
      <c r="AN119" s="563"/>
      <c r="AO119" s="563"/>
      <c r="AP119" s="563"/>
      <c r="AQ119" s="563"/>
      <c r="AR119" s="575"/>
      <c r="AS119" s="575"/>
      <c r="AT119" s="575"/>
      <c r="AU119" s="575"/>
      <c r="AV119" s="575"/>
      <c r="AW119" s="575"/>
      <c r="AX119" s="575"/>
      <c r="AY119" s="575"/>
      <c r="AZ119" s="575"/>
      <c r="BA119" s="575"/>
      <c r="BB119" s="575"/>
      <c r="BC119" s="575"/>
      <c r="BD119" s="575"/>
      <c r="BE119" s="575"/>
      <c r="BF119" s="575"/>
      <c r="BG119" s="575">
        <v>1</v>
      </c>
      <c r="BH119" s="575"/>
      <c r="BI119" s="575"/>
      <c r="BJ119" s="575"/>
      <c r="BK119" s="575"/>
      <c r="BL119" s="575"/>
      <c r="BM119" s="575"/>
      <c r="BN119" s="575"/>
      <c r="BO119" s="575"/>
      <c r="BP119" s="575"/>
      <c r="BQ119" s="575"/>
      <c r="BR119" s="575"/>
      <c r="BS119" s="575"/>
      <c r="BT119" s="575"/>
      <c r="BU119" s="575"/>
      <c r="BV119" s="162"/>
      <c r="BW119" s="162"/>
    </row>
    <row r="120" s="140" customFormat="1" customHeight="1" spans="1:75">
      <c r="A120" s="161">
        <v>148</v>
      </c>
      <c r="B120" s="578" t="s">
        <v>255</v>
      </c>
      <c r="C120" s="162"/>
      <c r="D120" s="561" t="s">
        <v>137</v>
      </c>
      <c r="E120" s="561">
        <v>0.06</v>
      </c>
      <c r="F120" s="556">
        <v>40</v>
      </c>
      <c r="G120" s="557">
        <f t="shared" si="21"/>
        <v>2.4</v>
      </c>
      <c r="H120" s="558">
        <f t="shared" si="22"/>
        <v>0</v>
      </c>
      <c r="I120" s="559">
        <f t="shared" si="23"/>
        <v>0</v>
      </c>
      <c r="J120" s="558">
        <f t="shared" si="24"/>
        <v>10</v>
      </c>
      <c r="K120" s="559">
        <f t="shared" si="25"/>
        <v>0.6</v>
      </c>
      <c r="L120" s="558">
        <f t="shared" si="26"/>
        <v>30</v>
      </c>
      <c r="M120" s="559">
        <f t="shared" si="27"/>
        <v>1.8</v>
      </c>
      <c r="N120" s="562"/>
      <c r="O120" s="562"/>
      <c r="P120" s="563"/>
      <c r="Q120" s="563">
        <v>10</v>
      </c>
      <c r="R120" s="563"/>
      <c r="S120" s="563"/>
      <c r="T120" s="563"/>
      <c r="U120" s="563"/>
      <c r="V120" s="563"/>
      <c r="W120" s="563"/>
      <c r="X120" s="563"/>
      <c r="Y120" s="563"/>
      <c r="Z120" s="563"/>
      <c r="AA120" s="563"/>
      <c r="AB120" s="563"/>
      <c r="AC120" s="563"/>
      <c r="AD120" s="563"/>
      <c r="AE120" s="563"/>
      <c r="AF120" s="563"/>
      <c r="AG120" s="563"/>
      <c r="AH120" s="563"/>
      <c r="AI120" s="563"/>
      <c r="AJ120" s="563"/>
      <c r="AK120" s="563"/>
      <c r="AL120" s="563"/>
      <c r="AM120" s="563"/>
      <c r="AN120" s="563"/>
      <c r="AO120" s="563"/>
      <c r="AP120" s="563"/>
      <c r="AQ120" s="563"/>
      <c r="AR120" s="575"/>
      <c r="AS120" s="575"/>
      <c r="AT120" s="575"/>
      <c r="AU120" s="575"/>
      <c r="AV120" s="575"/>
      <c r="AW120" s="575"/>
      <c r="AX120" s="575"/>
      <c r="AY120" s="575"/>
      <c r="AZ120" s="575"/>
      <c r="BA120" s="575"/>
      <c r="BB120" s="575"/>
      <c r="BC120" s="575"/>
      <c r="BD120" s="575"/>
      <c r="BE120" s="575"/>
      <c r="BF120" s="575"/>
      <c r="BG120" s="575"/>
      <c r="BH120" s="575"/>
      <c r="BI120" s="575"/>
      <c r="BJ120" s="575"/>
      <c r="BK120" s="575"/>
      <c r="BL120" s="575"/>
      <c r="BM120" s="575"/>
      <c r="BN120" s="575"/>
      <c r="BO120" s="575"/>
      <c r="BP120" s="575"/>
      <c r="BQ120" s="575"/>
      <c r="BR120" s="575"/>
      <c r="BS120" s="575"/>
      <c r="BT120" s="575"/>
      <c r="BU120" s="575"/>
      <c r="BV120" s="162"/>
      <c r="BW120" s="162"/>
    </row>
    <row r="121" s="140" customFormat="1" customHeight="1" spans="1:75">
      <c r="A121" s="161">
        <v>149</v>
      </c>
      <c r="B121" s="579" t="s">
        <v>216</v>
      </c>
      <c r="C121" s="162"/>
      <c r="D121" s="561" t="s">
        <v>209</v>
      </c>
      <c r="E121" s="561">
        <v>39</v>
      </c>
      <c r="F121" s="556">
        <v>0</v>
      </c>
      <c r="G121" s="557">
        <f t="shared" si="21"/>
        <v>0</v>
      </c>
      <c r="H121" s="558">
        <f t="shared" si="22"/>
        <v>0</v>
      </c>
      <c r="I121" s="559">
        <f t="shared" si="23"/>
        <v>0</v>
      </c>
      <c r="J121" s="558">
        <f t="shared" si="24"/>
        <v>0</v>
      </c>
      <c r="K121" s="559">
        <f t="shared" si="25"/>
        <v>0</v>
      </c>
      <c r="L121" s="558">
        <f t="shared" si="26"/>
        <v>0</v>
      </c>
      <c r="M121" s="559">
        <f t="shared" si="27"/>
        <v>0</v>
      </c>
      <c r="N121" s="562"/>
      <c r="O121" s="562"/>
      <c r="P121" s="563"/>
      <c r="Q121" s="563"/>
      <c r="R121" s="563"/>
      <c r="S121" s="563"/>
      <c r="T121" s="563"/>
      <c r="U121" s="563"/>
      <c r="V121" s="563"/>
      <c r="W121" s="563"/>
      <c r="X121" s="563"/>
      <c r="Y121" s="563"/>
      <c r="Z121" s="563"/>
      <c r="AA121" s="563"/>
      <c r="AB121" s="563"/>
      <c r="AC121" s="563"/>
      <c r="AD121" s="563"/>
      <c r="AE121" s="563"/>
      <c r="AF121" s="563"/>
      <c r="AG121" s="563"/>
      <c r="AH121" s="563"/>
      <c r="AI121" s="563"/>
      <c r="AJ121" s="563"/>
      <c r="AK121" s="563"/>
      <c r="AL121" s="563"/>
      <c r="AM121" s="563"/>
      <c r="AN121" s="563"/>
      <c r="AO121" s="563"/>
      <c r="AP121" s="563"/>
      <c r="AQ121" s="563"/>
      <c r="AR121" s="575"/>
      <c r="AS121" s="575"/>
      <c r="AT121" s="575"/>
      <c r="AU121" s="575"/>
      <c r="AV121" s="575"/>
      <c r="AW121" s="575"/>
      <c r="AX121" s="575"/>
      <c r="AY121" s="575"/>
      <c r="AZ121" s="575"/>
      <c r="BA121" s="575"/>
      <c r="BB121" s="575"/>
      <c r="BC121" s="575"/>
      <c r="BD121" s="575"/>
      <c r="BE121" s="575"/>
      <c r="BF121" s="575"/>
      <c r="BG121" s="575"/>
      <c r="BH121" s="575"/>
      <c r="BI121" s="575"/>
      <c r="BJ121" s="575"/>
      <c r="BK121" s="575"/>
      <c r="BL121" s="575"/>
      <c r="BM121" s="575"/>
      <c r="BN121" s="575"/>
      <c r="BO121" s="575"/>
      <c r="BP121" s="575"/>
      <c r="BQ121" s="575"/>
      <c r="BR121" s="575"/>
      <c r="BS121" s="575"/>
      <c r="BT121" s="575"/>
      <c r="BU121" s="575"/>
      <c r="BV121" s="162"/>
      <c r="BW121" s="162"/>
    </row>
    <row r="122" s="140" customFormat="1" customHeight="1" spans="1:75">
      <c r="A122" s="161">
        <v>150</v>
      </c>
      <c r="B122" s="577" t="s">
        <v>256</v>
      </c>
      <c r="C122" s="162"/>
      <c r="D122" s="561" t="s">
        <v>43</v>
      </c>
      <c r="E122" s="561">
        <v>0.42</v>
      </c>
      <c r="F122" s="556">
        <v>37</v>
      </c>
      <c r="G122" s="557">
        <f t="shared" si="21"/>
        <v>15.54</v>
      </c>
      <c r="H122" s="558">
        <f t="shared" si="22"/>
        <v>0</v>
      </c>
      <c r="I122" s="559">
        <f t="shared" si="23"/>
        <v>0</v>
      </c>
      <c r="J122" s="558">
        <f t="shared" si="24"/>
        <v>37</v>
      </c>
      <c r="K122" s="559">
        <f t="shared" si="25"/>
        <v>15.54</v>
      </c>
      <c r="L122" s="558">
        <f t="shared" si="26"/>
        <v>0</v>
      </c>
      <c r="M122" s="559">
        <f t="shared" si="27"/>
        <v>0</v>
      </c>
      <c r="N122" s="562"/>
      <c r="O122" s="562"/>
      <c r="P122" s="563"/>
      <c r="Q122" s="563">
        <v>37</v>
      </c>
      <c r="R122" s="563"/>
      <c r="S122" s="563"/>
      <c r="T122" s="563"/>
      <c r="U122" s="563"/>
      <c r="V122" s="563"/>
      <c r="W122" s="563"/>
      <c r="X122" s="563"/>
      <c r="Y122" s="563"/>
      <c r="Z122" s="563"/>
      <c r="AA122" s="563"/>
      <c r="AB122" s="563"/>
      <c r="AC122" s="563"/>
      <c r="AD122" s="563"/>
      <c r="AE122" s="563"/>
      <c r="AF122" s="563"/>
      <c r="AG122" s="563"/>
      <c r="AH122" s="563"/>
      <c r="AI122" s="563"/>
      <c r="AJ122" s="563"/>
      <c r="AK122" s="563"/>
      <c r="AL122" s="563"/>
      <c r="AM122" s="576"/>
      <c r="AN122" s="563"/>
      <c r="AO122" s="563"/>
      <c r="AP122" s="563"/>
      <c r="AQ122" s="563"/>
      <c r="AR122" s="575"/>
      <c r="AS122" s="575"/>
      <c r="AT122" s="575"/>
      <c r="AU122" s="575"/>
      <c r="AV122" s="575"/>
      <c r="AW122" s="575"/>
      <c r="AX122" s="575"/>
      <c r="AY122" s="575"/>
      <c r="AZ122" s="575"/>
      <c r="BA122" s="575"/>
      <c r="BB122" s="575"/>
      <c r="BC122" s="575"/>
      <c r="BD122" s="575"/>
      <c r="BE122" s="575"/>
      <c r="BF122" s="575"/>
      <c r="BG122" s="575"/>
      <c r="BH122" s="575"/>
      <c r="BI122" s="575"/>
      <c r="BJ122" s="575"/>
      <c r="BK122" s="575"/>
      <c r="BL122" s="575"/>
      <c r="BM122" s="575"/>
      <c r="BN122" s="575"/>
      <c r="BO122" s="575"/>
      <c r="BP122" s="575"/>
      <c r="BQ122" s="575"/>
      <c r="BR122" s="575"/>
      <c r="BS122" s="575"/>
      <c r="BT122" s="575"/>
      <c r="BU122" s="575"/>
      <c r="BV122" s="162"/>
      <c r="BW122" s="162"/>
    </row>
    <row r="123" s="140" customFormat="1" customHeight="1" spans="1:75">
      <c r="A123" s="161">
        <v>151</v>
      </c>
      <c r="B123" s="431" t="s">
        <v>257</v>
      </c>
      <c r="C123" s="162"/>
      <c r="D123" s="561" t="s">
        <v>43</v>
      </c>
      <c r="E123" s="561">
        <v>0.0588</v>
      </c>
      <c r="F123" s="556">
        <v>346</v>
      </c>
      <c r="G123" s="557">
        <f t="shared" si="21"/>
        <v>20.3448</v>
      </c>
      <c r="H123" s="558">
        <f t="shared" si="22"/>
        <v>0</v>
      </c>
      <c r="I123" s="559">
        <f t="shared" si="23"/>
        <v>0</v>
      </c>
      <c r="J123" s="558">
        <f t="shared" si="24"/>
        <v>35</v>
      </c>
      <c r="K123" s="559">
        <f t="shared" si="25"/>
        <v>2.058</v>
      </c>
      <c r="L123" s="558">
        <f t="shared" si="26"/>
        <v>311</v>
      </c>
      <c r="M123" s="559">
        <f t="shared" si="27"/>
        <v>18.2868</v>
      </c>
      <c r="N123" s="562"/>
      <c r="O123" s="562"/>
      <c r="P123" s="563"/>
      <c r="Q123" s="563"/>
      <c r="R123" s="563"/>
      <c r="S123" s="563">
        <v>20</v>
      </c>
      <c r="T123" s="563"/>
      <c r="U123" s="563"/>
      <c r="V123" s="563"/>
      <c r="W123" s="563">
        <v>15</v>
      </c>
      <c r="X123" s="563"/>
      <c r="Y123" s="563"/>
      <c r="Z123" s="563"/>
      <c r="AA123" s="563"/>
      <c r="AB123" s="563"/>
      <c r="AC123" s="563"/>
      <c r="AD123" s="563"/>
      <c r="AE123" s="563"/>
      <c r="AF123" s="563"/>
      <c r="AG123" s="563"/>
      <c r="AH123" s="563"/>
      <c r="AI123" s="563"/>
      <c r="AJ123" s="563"/>
      <c r="AK123" s="563"/>
      <c r="AL123" s="563"/>
      <c r="AM123" s="563"/>
      <c r="AN123" s="563"/>
      <c r="AO123" s="563"/>
      <c r="AP123" s="563"/>
      <c r="AQ123" s="563"/>
      <c r="AR123" s="575"/>
      <c r="AS123" s="575"/>
      <c r="AT123" s="575"/>
      <c r="AU123" s="575"/>
      <c r="AV123" s="575"/>
      <c r="AW123" s="575"/>
      <c r="AX123" s="575"/>
      <c r="AY123" s="575"/>
      <c r="AZ123" s="575"/>
      <c r="BA123" s="575"/>
      <c r="BB123" s="575"/>
      <c r="BC123" s="575"/>
      <c r="BD123" s="575"/>
      <c r="BE123" s="575"/>
      <c r="BF123" s="575"/>
      <c r="BG123" s="575"/>
      <c r="BH123" s="575"/>
      <c r="BI123" s="575"/>
      <c r="BJ123" s="575"/>
      <c r="BK123" s="575"/>
      <c r="BL123" s="575"/>
      <c r="BM123" s="575"/>
      <c r="BN123" s="575"/>
      <c r="BO123" s="575"/>
      <c r="BP123" s="575"/>
      <c r="BQ123" s="575"/>
      <c r="BR123" s="575"/>
      <c r="BS123" s="575"/>
      <c r="BT123" s="575"/>
      <c r="BU123" s="575"/>
      <c r="BV123" s="162"/>
      <c r="BW123" s="162"/>
    </row>
    <row r="124" s="140" customFormat="1" customHeight="1" spans="1:75">
      <c r="A124" s="161">
        <v>152</v>
      </c>
      <c r="B124" s="562" t="s">
        <v>258</v>
      </c>
      <c r="C124" s="162"/>
      <c r="D124" s="431" t="s">
        <v>137</v>
      </c>
      <c r="E124" s="431">
        <v>0.9771</v>
      </c>
      <c r="F124" s="556">
        <v>33</v>
      </c>
      <c r="G124" s="557">
        <f t="shared" si="21"/>
        <v>32.2443</v>
      </c>
      <c r="H124" s="558">
        <f t="shared" si="22"/>
        <v>0</v>
      </c>
      <c r="I124" s="559">
        <f t="shared" si="23"/>
        <v>0</v>
      </c>
      <c r="J124" s="558">
        <f t="shared" si="24"/>
        <v>2</v>
      </c>
      <c r="K124" s="559">
        <f t="shared" si="25"/>
        <v>1.9542</v>
      </c>
      <c r="L124" s="558">
        <f t="shared" si="26"/>
        <v>31</v>
      </c>
      <c r="M124" s="559">
        <f t="shared" si="27"/>
        <v>30.2901</v>
      </c>
      <c r="N124" s="388"/>
      <c r="O124" s="562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63"/>
      <c r="AB124" s="563"/>
      <c r="AC124" s="563"/>
      <c r="AD124" s="563"/>
      <c r="AE124" s="563"/>
      <c r="AF124" s="563"/>
      <c r="AG124" s="563"/>
      <c r="AH124" s="563"/>
      <c r="AI124" s="563"/>
      <c r="AJ124" s="563"/>
      <c r="AK124" s="563"/>
      <c r="AL124" s="563"/>
      <c r="AM124" s="563"/>
      <c r="AN124" s="563"/>
      <c r="AO124" s="563"/>
      <c r="AP124" s="563"/>
      <c r="AQ124" s="563"/>
      <c r="AR124" s="563"/>
      <c r="AS124" s="563"/>
      <c r="AT124" s="563"/>
      <c r="AU124" s="563"/>
      <c r="AV124" s="563"/>
      <c r="AW124" s="563"/>
      <c r="AX124" s="563"/>
      <c r="AY124" s="563"/>
      <c r="AZ124" s="563"/>
      <c r="BA124" s="563"/>
      <c r="BB124" s="563"/>
      <c r="BC124" s="563"/>
      <c r="BD124" s="563"/>
      <c r="BE124" s="563"/>
      <c r="BF124" s="563"/>
      <c r="BG124" s="563"/>
      <c r="BH124" s="563"/>
      <c r="BI124" s="563">
        <v>1</v>
      </c>
      <c r="BJ124" s="563"/>
      <c r="BK124" s="563">
        <v>1</v>
      </c>
      <c r="BL124" s="563"/>
      <c r="BM124" s="563"/>
      <c r="BN124" s="563"/>
      <c r="BO124" s="563"/>
      <c r="BP124" s="563"/>
      <c r="BQ124" s="563"/>
      <c r="BR124" s="563"/>
      <c r="BS124" s="563"/>
      <c r="BT124" s="563"/>
      <c r="BU124" s="563"/>
      <c r="BV124" s="162"/>
      <c r="BW124" s="162"/>
    </row>
    <row r="125" s="140" customFormat="1" customHeight="1" spans="1:75">
      <c r="A125" s="161">
        <v>153</v>
      </c>
      <c r="B125" s="562" t="s">
        <v>259</v>
      </c>
      <c r="C125" s="162"/>
      <c r="D125" s="561" t="s">
        <v>137</v>
      </c>
      <c r="E125" s="561">
        <v>2.8</v>
      </c>
      <c r="F125" s="556">
        <v>1</v>
      </c>
      <c r="G125" s="557">
        <f t="shared" si="21"/>
        <v>2.8</v>
      </c>
      <c r="H125" s="558">
        <f t="shared" si="22"/>
        <v>0</v>
      </c>
      <c r="I125" s="559">
        <f t="shared" si="23"/>
        <v>0</v>
      </c>
      <c r="J125" s="558">
        <f t="shared" si="24"/>
        <v>0</v>
      </c>
      <c r="K125" s="559">
        <f t="shared" si="25"/>
        <v>0</v>
      </c>
      <c r="L125" s="558">
        <f t="shared" si="26"/>
        <v>1</v>
      </c>
      <c r="M125" s="559">
        <f t="shared" si="27"/>
        <v>2.8</v>
      </c>
      <c r="N125" s="388"/>
      <c r="O125" s="562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63"/>
      <c r="AB125" s="563"/>
      <c r="AC125" s="563"/>
      <c r="AD125" s="563"/>
      <c r="AE125" s="563"/>
      <c r="AF125" s="563"/>
      <c r="AG125" s="563"/>
      <c r="AH125" s="563"/>
      <c r="AI125" s="563"/>
      <c r="AJ125" s="563"/>
      <c r="AK125" s="563"/>
      <c r="AL125" s="563"/>
      <c r="AM125" s="563"/>
      <c r="AN125" s="563"/>
      <c r="AO125" s="563"/>
      <c r="AP125" s="563"/>
      <c r="AQ125" s="563"/>
      <c r="AR125" s="563"/>
      <c r="AS125" s="563"/>
      <c r="AT125" s="563"/>
      <c r="AU125" s="563"/>
      <c r="AV125" s="563"/>
      <c r="AW125" s="563"/>
      <c r="AX125" s="563"/>
      <c r="AY125" s="563"/>
      <c r="AZ125" s="563"/>
      <c r="BA125" s="563"/>
      <c r="BB125" s="563"/>
      <c r="BC125" s="563"/>
      <c r="BD125" s="563"/>
      <c r="BE125" s="563"/>
      <c r="BF125" s="563"/>
      <c r="BG125" s="563"/>
      <c r="BH125" s="563"/>
      <c r="BI125" s="563"/>
      <c r="BJ125" s="563"/>
      <c r="BK125" s="563"/>
      <c r="BL125" s="563"/>
      <c r="BM125" s="563"/>
      <c r="BN125" s="563"/>
      <c r="BO125" s="563"/>
      <c r="BP125" s="563"/>
      <c r="BQ125" s="563"/>
      <c r="BR125" s="563"/>
      <c r="BS125" s="563"/>
      <c r="BT125" s="563"/>
      <c r="BU125" s="563"/>
      <c r="BV125" s="162"/>
      <c r="BW125" s="162"/>
    </row>
    <row r="126" s="140" customFormat="1" customHeight="1" spans="1:75">
      <c r="A126" s="161">
        <v>154</v>
      </c>
      <c r="B126" s="562" t="s">
        <v>260</v>
      </c>
      <c r="C126" s="162"/>
      <c r="D126" s="561" t="s">
        <v>137</v>
      </c>
      <c r="E126" s="561">
        <v>0.12</v>
      </c>
      <c r="F126" s="556">
        <v>4230</v>
      </c>
      <c r="G126" s="557">
        <f t="shared" si="21"/>
        <v>507.6</v>
      </c>
      <c r="H126" s="558">
        <f t="shared" si="22"/>
        <v>0</v>
      </c>
      <c r="I126" s="559">
        <f t="shared" si="23"/>
        <v>0</v>
      </c>
      <c r="J126" s="558">
        <f t="shared" si="24"/>
        <v>210</v>
      </c>
      <c r="K126" s="559">
        <f t="shared" si="25"/>
        <v>25.2</v>
      </c>
      <c r="L126" s="558">
        <f t="shared" si="26"/>
        <v>4020</v>
      </c>
      <c r="M126" s="559">
        <f t="shared" si="27"/>
        <v>482.4</v>
      </c>
      <c r="N126" s="388"/>
      <c r="O126" s="562"/>
      <c r="P126" s="563"/>
      <c r="Q126" s="563"/>
      <c r="R126" s="563"/>
      <c r="S126" s="563"/>
      <c r="T126" s="563"/>
      <c r="U126" s="563">
        <v>100</v>
      </c>
      <c r="V126" s="563"/>
      <c r="W126" s="563"/>
      <c r="X126" s="563"/>
      <c r="Y126" s="563"/>
      <c r="Z126" s="563"/>
      <c r="AA126" s="563"/>
      <c r="AB126" s="563"/>
      <c r="AC126" s="563"/>
      <c r="AD126" s="563"/>
      <c r="AE126" s="563"/>
      <c r="AF126" s="563"/>
      <c r="AG126" s="563"/>
      <c r="AH126" s="563"/>
      <c r="AI126" s="563"/>
      <c r="AJ126" s="563"/>
      <c r="AK126" s="563"/>
      <c r="AL126" s="563"/>
      <c r="AM126" s="563"/>
      <c r="AN126" s="563"/>
      <c r="AO126" s="563"/>
      <c r="AP126" s="563"/>
      <c r="AQ126" s="563"/>
      <c r="AR126" s="563"/>
      <c r="AS126" s="563"/>
      <c r="AT126" s="563"/>
      <c r="AU126" s="563"/>
      <c r="AV126" s="563"/>
      <c r="AW126" s="563"/>
      <c r="AX126" s="563"/>
      <c r="AY126" s="563">
        <v>50</v>
      </c>
      <c r="AZ126" s="563"/>
      <c r="BA126" s="563"/>
      <c r="BB126" s="563"/>
      <c r="BC126" s="563"/>
      <c r="BD126" s="563"/>
      <c r="BE126" s="563"/>
      <c r="BF126" s="563"/>
      <c r="BG126" s="563">
        <v>50</v>
      </c>
      <c r="BH126" s="563"/>
      <c r="BI126" s="563"/>
      <c r="BJ126" s="563"/>
      <c r="BK126" s="563"/>
      <c r="BL126" s="563"/>
      <c r="BM126" s="563">
        <v>10</v>
      </c>
      <c r="BN126" s="563"/>
      <c r="BO126" s="563"/>
      <c r="BP126" s="563"/>
      <c r="BQ126" s="563"/>
      <c r="BR126" s="563"/>
      <c r="BS126" s="563"/>
      <c r="BT126" s="563"/>
      <c r="BU126" s="563"/>
      <c r="BV126" s="162"/>
      <c r="BW126" s="162"/>
    </row>
    <row r="127" s="140" customFormat="1" customHeight="1" spans="1:75">
      <c r="A127" s="161">
        <v>155</v>
      </c>
      <c r="B127" s="571" t="s">
        <v>261</v>
      </c>
      <c r="C127" s="162"/>
      <c r="D127" s="561" t="s">
        <v>137</v>
      </c>
      <c r="E127" s="561">
        <v>0.322</v>
      </c>
      <c r="F127" s="556">
        <v>540</v>
      </c>
      <c r="G127" s="557">
        <f t="shared" si="21"/>
        <v>173.88</v>
      </c>
      <c r="H127" s="558">
        <f t="shared" si="22"/>
        <v>0</v>
      </c>
      <c r="I127" s="559">
        <f t="shared" si="23"/>
        <v>0</v>
      </c>
      <c r="J127" s="558">
        <f t="shared" si="24"/>
        <v>209</v>
      </c>
      <c r="K127" s="559">
        <f t="shared" si="25"/>
        <v>67.298</v>
      </c>
      <c r="L127" s="558">
        <f t="shared" si="26"/>
        <v>331</v>
      </c>
      <c r="M127" s="559">
        <f t="shared" si="27"/>
        <v>106.582</v>
      </c>
      <c r="N127" s="388"/>
      <c r="O127" s="562"/>
      <c r="P127" s="563"/>
      <c r="Q127" s="563">
        <v>40</v>
      </c>
      <c r="R127" s="563"/>
      <c r="S127" s="563">
        <v>10</v>
      </c>
      <c r="T127" s="563"/>
      <c r="U127" s="563">
        <v>20</v>
      </c>
      <c r="V127" s="563"/>
      <c r="W127" s="563">
        <v>20</v>
      </c>
      <c r="X127" s="563"/>
      <c r="Y127" s="563"/>
      <c r="Z127" s="563"/>
      <c r="AA127" s="563">
        <v>20</v>
      </c>
      <c r="AB127" s="563"/>
      <c r="AC127" s="563">
        <v>5</v>
      </c>
      <c r="AD127" s="563"/>
      <c r="AE127" s="563">
        <v>6</v>
      </c>
      <c r="AF127" s="563"/>
      <c r="AG127" s="563">
        <v>10</v>
      </c>
      <c r="AH127" s="563"/>
      <c r="AI127" s="563">
        <v>5</v>
      </c>
      <c r="AJ127" s="563"/>
      <c r="AK127" s="563">
        <v>10</v>
      </c>
      <c r="AL127" s="563"/>
      <c r="AM127" s="563">
        <v>6</v>
      </c>
      <c r="AN127" s="563"/>
      <c r="AO127" s="563">
        <v>7</v>
      </c>
      <c r="AP127" s="563"/>
      <c r="AQ127" s="563">
        <v>5</v>
      </c>
      <c r="AR127" s="563"/>
      <c r="AS127" s="563">
        <v>10</v>
      </c>
      <c r="AT127" s="563"/>
      <c r="AU127" s="563"/>
      <c r="AV127" s="563"/>
      <c r="AW127" s="563"/>
      <c r="AX127" s="563"/>
      <c r="AY127" s="563">
        <v>10</v>
      </c>
      <c r="AZ127" s="563"/>
      <c r="BA127" s="563">
        <v>10</v>
      </c>
      <c r="BB127" s="563"/>
      <c r="BC127" s="563">
        <v>5</v>
      </c>
      <c r="BD127" s="563"/>
      <c r="BE127" s="563">
        <v>5</v>
      </c>
      <c r="BF127" s="563"/>
      <c r="BG127" s="563">
        <v>5</v>
      </c>
      <c r="BH127" s="563"/>
      <c r="BI127" s="563"/>
      <c r="BJ127" s="563"/>
      <c r="BK127" s="563"/>
      <c r="BL127" s="563"/>
      <c r="BM127" s="563"/>
      <c r="BN127" s="563"/>
      <c r="BO127" s="563"/>
      <c r="BP127" s="580"/>
      <c r="BQ127" s="562"/>
      <c r="BR127" s="563"/>
      <c r="BS127" s="563"/>
      <c r="BT127" s="563"/>
      <c r="BU127" s="563"/>
      <c r="BV127" s="162"/>
      <c r="BW127" s="162"/>
    </row>
    <row r="128" s="140" customFormat="1" customHeight="1" spans="1:75">
      <c r="A128" s="161">
        <v>156</v>
      </c>
      <c r="B128" s="581" t="s">
        <v>262</v>
      </c>
      <c r="C128" s="162"/>
      <c r="D128" s="582" t="s">
        <v>137</v>
      </c>
      <c r="E128" s="582">
        <v>16.8</v>
      </c>
      <c r="F128" s="556">
        <v>1</v>
      </c>
      <c r="G128" s="557">
        <f t="shared" si="21"/>
        <v>16.8</v>
      </c>
      <c r="H128" s="558">
        <f t="shared" si="22"/>
        <v>0</v>
      </c>
      <c r="I128" s="559">
        <f t="shared" si="23"/>
        <v>0</v>
      </c>
      <c r="J128" s="558">
        <f t="shared" si="24"/>
        <v>0</v>
      </c>
      <c r="K128" s="559">
        <f t="shared" si="25"/>
        <v>0</v>
      </c>
      <c r="L128" s="558">
        <f t="shared" si="26"/>
        <v>1</v>
      </c>
      <c r="M128" s="559">
        <f t="shared" si="27"/>
        <v>16.8</v>
      </c>
      <c r="N128" s="388"/>
      <c r="O128" s="329"/>
      <c r="P128" s="583"/>
      <c r="Q128" s="583"/>
      <c r="R128" s="583"/>
      <c r="S128" s="583"/>
      <c r="T128" s="583"/>
      <c r="U128" s="583"/>
      <c r="V128" s="583"/>
      <c r="W128" s="583"/>
      <c r="X128" s="583"/>
      <c r="Y128" s="583"/>
      <c r="Z128" s="583"/>
      <c r="AA128" s="583"/>
      <c r="AB128" s="583"/>
      <c r="AC128" s="583"/>
      <c r="AD128" s="583"/>
      <c r="AE128" s="583"/>
      <c r="AF128" s="583"/>
      <c r="AG128" s="583"/>
      <c r="AH128" s="583"/>
      <c r="AI128" s="583"/>
      <c r="AJ128" s="583"/>
      <c r="AK128" s="583"/>
      <c r="AL128" s="583"/>
      <c r="AM128" s="583"/>
      <c r="AN128" s="583"/>
      <c r="AO128" s="583"/>
      <c r="AP128" s="583"/>
      <c r="AQ128" s="583"/>
      <c r="AR128" s="583"/>
      <c r="AS128" s="583"/>
      <c r="AT128" s="583"/>
      <c r="AU128" s="583"/>
      <c r="AV128" s="583"/>
      <c r="AW128" s="583"/>
      <c r="AX128" s="583"/>
      <c r="AY128" s="583"/>
      <c r="AZ128" s="583"/>
      <c r="BA128" s="583"/>
      <c r="BB128" s="583"/>
      <c r="BC128" s="583"/>
      <c r="BD128" s="583"/>
      <c r="BE128" s="583"/>
      <c r="BF128" s="583"/>
      <c r="BG128" s="583"/>
      <c r="BH128" s="583"/>
      <c r="BI128" s="583"/>
      <c r="BJ128" s="583"/>
      <c r="BK128" s="583"/>
      <c r="BL128" s="583"/>
      <c r="BM128" s="583"/>
      <c r="BN128" s="583"/>
      <c r="BO128" s="583"/>
      <c r="BP128" s="584"/>
      <c r="BQ128" s="583"/>
      <c r="BR128" s="583"/>
      <c r="BS128" s="583"/>
      <c r="BT128" s="583"/>
      <c r="BU128" s="583"/>
      <c r="BV128" s="162"/>
      <c r="BW128" s="162"/>
    </row>
    <row r="129" s="140" customFormat="1" customHeight="1" spans="1:75">
      <c r="A129" s="161">
        <v>157</v>
      </c>
      <c r="B129" s="431" t="s">
        <v>263</v>
      </c>
      <c r="C129" s="162"/>
      <c r="D129" s="431" t="s">
        <v>137</v>
      </c>
      <c r="E129" s="431">
        <v>0.3037</v>
      </c>
      <c r="F129" s="556">
        <v>11</v>
      </c>
      <c r="G129" s="557">
        <f t="shared" si="21"/>
        <v>3.3407</v>
      </c>
      <c r="H129" s="558">
        <f t="shared" si="22"/>
        <v>0</v>
      </c>
      <c r="I129" s="559">
        <f t="shared" si="23"/>
        <v>0</v>
      </c>
      <c r="J129" s="558">
        <f t="shared" si="24"/>
        <v>11</v>
      </c>
      <c r="K129" s="559">
        <f t="shared" si="25"/>
        <v>3.3407</v>
      </c>
      <c r="L129" s="558">
        <f t="shared" si="26"/>
        <v>0</v>
      </c>
      <c r="M129" s="559">
        <f t="shared" si="27"/>
        <v>0</v>
      </c>
      <c r="N129" s="38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318">
        <v>11</v>
      </c>
      <c r="AB129" s="318"/>
      <c r="AC129" s="318"/>
      <c r="AD129" s="318"/>
      <c r="AE129" s="318"/>
      <c r="AF129" s="318"/>
      <c r="AG129" s="318"/>
      <c r="AH129" s="318"/>
      <c r="AI129" s="318"/>
      <c r="AJ129" s="318"/>
      <c r="AK129" s="318"/>
      <c r="AL129" s="318"/>
      <c r="AM129" s="318"/>
      <c r="AN129" s="318"/>
      <c r="AO129" s="318"/>
      <c r="AP129" s="318"/>
      <c r="AQ129" s="318"/>
      <c r="AR129" s="318"/>
      <c r="AS129" s="318"/>
      <c r="AT129" s="318"/>
      <c r="AU129" s="318"/>
      <c r="AV129" s="318"/>
      <c r="AW129" s="318"/>
      <c r="AX129" s="318"/>
      <c r="AY129" s="318"/>
      <c r="AZ129" s="318"/>
      <c r="BA129" s="318"/>
      <c r="BB129" s="318"/>
      <c r="BC129" s="318"/>
      <c r="BD129" s="318"/>
      <c r="BE129" s="318"/>
      <c r="BF129" s="318"/>
      <c r="BG129" s="318"/>
      <c r="BH129" s="318"/>
      <c r="BI129" s="318"/>
      <c r="BJ129" s="318"/>
      <c r="BK129" s="318"/>
      <c r="BL129" s="318"/>
      <c r="BM129" s="318"/>
      <c r="BN129" s="318"/>
      <c r="BO129" s="318"/>
      <c r="BP129" s="318"/>
      <c r="BQ129" s="318"/>
      <c r="BR129" s="318"/>
      <c r="BS129" s="318"/>
      <c r="BT129" s="318"/>
      <c r="BU129" s="318"/>
      <c r="BV129" s="162"/>
      <c r="BW129" s="162"/>
    </row>
    <row r="130" s="140" customFormat="1" customHeight="1" spans="1:75">
      <c r="A130" s="161">
        <v>158</v>
      </c>
      <c r="B130" s="561" t="s">
        <v>264</v>
      </c>
      <c r="C130" s="162"/>
      <c r="D130" s="582" t="s">
        <v>137</v>
      </c>
      <c r="E130" s="581">
        <v>0.258</v>
      </c>
      <c r="F130" s="556">
        <v>0</v>
      </c>
      <c r="G130" s="557">
        <f t="shared" si="21"/>
        <v>0</v>
      </c>
      <c r="H130" s="558">
        <f t="shared" si="22"/>
        <v>0</v>
      </c>
      <c r="I130" s="559">
        <f t="shared" si="23"/>
        <v>0</v>
      </c>
      <c r="J130" s="558">
        <f t="shared" si="24"/>
        <v>0</v>
      </c>
      <c r="K130" s="559">
        <f t="shared" si="25"/>
        <v>0</v>
      </c>
      <c r="L130" s="558">
        <f t="shared" si="26"/>
        <v>0</v>
      </c>
      <c r="M130" s="559">
        <f t="shared" si="27"/>
        <v>0</v>
      </c>
      <c r="N130" s="318"/>
      <c r="O130" s="318"/>
      <c r="P130" s="318"/>
      <c r="Q130" s="318"/>
      <c r="R130" s="318"/>
      <c r="S130" s="318"/>
      <c r="T130" s="318"/>
      <c r="U130" s="318"/>
      <c r="V130" s="318"/>
      <c r="W130" s="318"/>
      <c r="X130" s="318"/>
      <c r="Y130" s="318"/>
      <c r="Z130" s="318"/>
      <c r="AA130" s="318"/>
      <c r="AB130" s="318"/>
      <c r="AC130" s="318"/>
      <c r="AD130" s="318"/>
      <c r="AE130" s="318"/>
      <c r="AF130" s="318"/>
      <c r="AG130" s="318"/>
      <c r="AH130" s="318"/>
      <c r="AI130" s="318"/>
      <c r="AJ130" s="318"/>
      <c r="AK130" s="318"/>
      <c r="AL130" s="318"/>
      <c r="AM130" s="318"/>
      <c r="AN130" s="318"/>
      <c r="AO130" s="318"/>
      <c r="AP130" s="318"/>
      <c r="AQ130" s="318"/>
      <c r="AR130" s="318"/>
      <c r="AS130" s="318"/>
      <c r="AT130" s="318"/>
      <c r="AU130" s="318"/>
      <c r="AV130" s="318"/>
      <c r="AW130" s="318"/>
      <c r="AX130" s="318"/>
      <c r="AY130" s="318"/>
      <c r="AZ130" s="318"/>
      <c r="BA130" s="318"/>
      <c r="BB130" s="318"/>
      <c r="BC130" s="318"/>
      <c r="BD130" s="318"/>
      <c r="BE130" s="318"/>
      <c r="BF130" s="318"/>
      <c r="BG130" s="318"/>
      <c r="BH130" s="318"/>
      <c r="BI130" s="318"/>
      <c r="BJ130" s="318"/>
      <c r="BK130" s="318"/>
      <c r="BL130" s="318"/>
      <c r="BM130" s="318"/>
      <c r="BN130" s="318"/>
      <c r="BO130" s="318"/>
      <c r="BP130" s="318"/>
      <c r="BQ130" s="318"/>
      <c r="BR130" s="318"/>
      <c r="BS130" s="318"/>
      <c r="BT130" s="318"/>
      <c r="BU130" s="318"/>
      <c r="BV130" s="162"/>
      <c r="BW130" s="162"/>
    </row>
    <row r="131" s="140" customFormat="1" customHeight="1" spans="1:75">
      <c r="A131" s="161">
        <v>159</v>
      </c>
      <c r="B131" s="564" t="s">
        <v>265</v>
      </c>
      <c r="C131" s="162"/>
      <c r="D131" s="431" t="s">
        <v>137</v>
      </c>
      <c r="E131" s="431">
        <v>1</v>
      </c>
      <c r="F131" s="556">
        <v>28</v>
      </c>
      <c r="G131" s="557">
        <f t="shared" si="21"/>
        <v>28</v>
      </c>
      <c r="H131" s="558">
        <f t="shared" si="22"/>
        <v>0</v>
      </c>
      <c r="I131" s="559">
        <f t="shared" si="23"/>
        <v>0</v>
      </c>
      <c r="J131" s="558">
        <f t="shared" si="24"/>
        <v>28</v>
      </c>
      <c r="K131" s="559">
        <f t="shared" si="25"/>
        <v>28</v>
      </c>
      <c r="L131" s="558">
        <f t="shared" si="26"/>
        <v>0</v>
      </c>
      <c r="M131" s="559">
        <f t="shared" si="27"/>
        <v>0</v>
      </c>
      <c r="N131" s="318"/>
      <c r="O131" s="318"/>
      <c r="P131" s="318"/>
      <c r="Q131" s="318"/>
      <c r="R131" s="318"/>
      <c r="S131" s="318">
        <v>13</v>
      </c>
      <c r="T131" s="318"/>
      <c r="U131" s="318"/>
      <c r="V131" s="318"/>
      <c r="W131" s="318"/>
      <c r="X131" s="318"/>
      <c r="Y131" s="318"/>
      <c r="Z131" s="318"/>
      <c r="AA131" s="318">
        <v>15</v>
      </c>
      <c r="AB131" s="318"/>
      <c r="AC131" s="318"/>
      <c r="AD131" s="318"/>
      <c r="AE131" s="318"/>
      <c r="AF131" s="318"/>
      <c r="AG131" s="318"/>
      <c r="AH131" s="318"/>
      <c r="AI131" s="318"/>
      <c r="AJ131" s="318"/>
      <c r="AK131" s="318"/>
      <c r="AL131" s="318"/>
      <c r="AM131" s="318"/>
      <c r="AN131" s="318"/>
      <c r="AO131" s="318"/>
      <c r="AP131" s="318"/>
      <c r="AQ131" s="318"/>
      <c r="AR131" s="318"/>
      <c r="AS131" s="318"/>
      <c r="AT131" s="318"/>
      <c r="AU131" s="318"/>
      <c r="AV131" s="318"/>
      <c r="AW131" s="318"/>
      <c r="AX131" s="318"/>
      <c r="AY131" s="318"/>
      <c r="AZ131" s="318"/>
      <c r="BA131" s="318"/>
      <c r="BB131" s="318"/>
      <c r="BC131" s="318"/>
      <c r="BD131" s="318"/>
      <c r="BE131" s="318"/>
      <c r="BF131" s="318"/>
      <c r="BG131" s="318"/>
      <c r="BH131" s="318"/>
      <c r="BI131" s="318"/>
      <c r="BJ131" s="318"/>
      <c r="BK131" s="318"/>
      <c r="BL131" s="318"/>
      <c r="BM131" s="318"/>
      <c r="BN131" s="318"/>
      <c r="BO131" s="318"/>
      <c r="BP131" s="318"/>
      <c r="BQ131" s="318"/>
      <c r="BR131" s="318"/>
      <c r="BS131" s="318"/>
      <c r="BT131" s="318"/>
      <c r="BU131" s="318"/>
      <c r="BV131" s="162"/>
      <c r="BW131" s="162"/>
    </row>
    <row r="132" s="140" customFormat="1" customHeight="1" spans="1:75">
      <c r="A132" s="161">
        <v>160</v>
      </c>
      <c r="B132" s="577" t="s">
        <v>266</v>
      </c>
      <c r="C132" s="162"/>
      <c r="D132" s="561" t="s">
        <v>137</v>
      </c>
      <c r="E132" s="561">
        <v>0.21</v>
      </c>
      <c r="F132" s="556">
        <v>34</v>
      </c>
      <c r="G132" s="557">
        <f t="shared" si="21"/>
        <v>7.14</v>
      </c>
      <c r="H132" s="558">
        <f t="shared" si="22"/>
        <v>0</v>
      </c>
      <c r="I132" s="559">
        <f t="shared" si="23"/>
        <v>0</v>
      </c>
      <c r="J132" s="558">
        <f t="shared" si="24"/>
        <v>20</v>
      </c>
      <c r="K132" s="559">
        <f t="shared" si="25"/>
        <v>4.2</v>
      </c>
      <c r="L132" s="558">
        <f t="shared" si="26"/>
        <v>14</v>
      </c>
      <c r="M132" s="559">
        <f t="shared" si="27"/>
        <v>2.94</v>
      </c>
      <c r="N132" s="318"/>
      <c r="O132" s="318"/>
      <c r="P132" s="318"/>
      <c r="Q132" s="318"/>
      <c r="R132" s="318"/>
      <c r="S132" s="318"/>
      <c r="T132" s="318"/>
      <c r="U132" s="318"/>
      <c r="V132" s="318"/>
      <c r="W132" s="318"/>
      <c r="X132" s="318"/>
      <c r="Y132" s="318"/>
      <c r="Z132" s="318"/>
      <c r="AA132" s="318"/>
      <c r="AB132" s="318"/>
      <c r="AC132" s="318"/>
      <c r="AD132" s="318"/>
      <c r="AE132" s="318"/>
      <c r="AF132" s="318"/>
      <c r="AG132" s="318"/>
      <c r="AH132" s="318"/>
      <c r="AI132" s="318"/>
      <c r="AJ132" s="318"/>
      <c r="AK132" s="318"/>
      <c r="AL132" s="318"/>
      <c r="AM132" s="318"/>
      <c r="AN132" s="318"/>
      <c r="AO132" s="318"/>
      <c r="AP132" s="318"/>
      <c r="AQ132" s="318"/>
      <c r="AR132" s="318"/>
      <c r="AS132" s="318"/>
      <c r="AT132" s="318"/>
      <c r="AU132" s="318"/>
      <c r="AV132" s="318"/>
      <c r="AW132" s="318"/>
      <c r="AX132" s="318"/>
      <c r="AY132" s="318"/>
      <c r="AZ132" s="318"/>
      <c r="BA132" s="318"/>
      <c r="BB132" s="318"/>
      <c r="BC132" s="318"/>
      <c r="BD132" s="318"/>
      <c r="BE132" s="318">
        <v>20</v>
      </c>
      <c r="BF132" s="318"/>
      <c r="BG132" s="318"/>
      <c r="BH132" s="318"/>
      <c r="BI132" s="318"/>
      <c r="BJ132" s="318"/>
      <c r="BK132" s="318"/>
      <c r="BL132" s="318"/>
      <c r="BM132" s="318"/>
      <c r="BN132" s="318"/>
      <c r="BO132" s="318"/>
      <c r="BP132" s="318"/>
      <c r="BQ132" s="318"/>
      <c r="BR132" s="318"/>
      <c r="BS132" s="318"/>
      <c r="BT132" s="318"/>
      <c r="BU132" s="318"/>
      <c r="BV132" s="162"/>
      <c r="BW132" s="162"/>
    </row>
    <row r="133" s="140" customFormat="1" customHeight="1" spans="1:75">
      <c r="A133" s="161">
        <v>161</v>
      </c>
      <c r="B133" s="585" t="s">
        <v>267</v>
      </c>
      <c r="C133" s="162"/>
      <c r="D133" s="561" t="s">
        <v>137</v>
      </c>
      <c r="E133" s="561">
        <v>0.678</v>
      </c>
      <c r="F133" s="556">
        <v>50</v>
      </c>
      <c r="G133" s="557">
        <f t="shared" si="21"/>
        <v>33.9</v>
      </c>
      <c r="H133" s="558">
        <f t="shared" si="22"/>
        <v>0</v>
      </c>
      <c r="I133" s="559">
        <f t="shared" si="23"/>
        <v>0</v>
      </c>
      <c r="J133" s="558">
        <f t="shared" si="24"/>
        <v>2</v>
      </c>
      <c r="K133" s="559">
        <f t="shared" si="25"/>
        <v>1.356</v>
      </c>
      <c r="L133" s="558">
        <f t="shared" si="26"/>
        <v>48</v>
      </c>
      <c r="M133" s="559">
        <f t="shared" si="27"/>
        <v>32.544</v>
      </c>
      <c r="N133" s="318"/>
      <c r="O133" s="318"/>
      <c r="P133" s="318"/>
      <c r="Q133" s="318"/>
      <c r="R133" s="318"/>
      <c r="S133" s="318">
        <v>2</v>
      </c>
      <c r="T133" s="318"/>
      <c r="U133" s="318"/>
      <c r="V133" s="318"/>
      <c r="W133" s="318"/>
      <c r="X133" s="318"/>
      <c r="Y133" s="318"/>
      <c r="Z133" s="318"/>
      <c r="AA133" s="318"/>
      <c r="AB133" s="318"/>
      <c r="AC133" s="318"/>
      <c r="AD133" s="318"/>
      <c r="AE133" s="318"/>
      <c r="AF133" s="318"/>
      <c r="AG133" s="318"/>
      <c r="AH133" s="318"/>
      <c r="AI133" s="318"/>
      <c r="AJ133" s="318"/>
      <c r="AK133" s="318"/>
      <c r="AL133" s="318"/>
      <c r="AM133" s="318"/>
      <c r="AN133" s="318"/>
      <c r="AO133" s="318"/>
      <c r="AP133" s="318"/>
      <c r="AQ133" s="318"/>
      <c r="AR133" s="318"/>
      <c r="AS133" s="318"/>
      <c r="AT133" s="318"/>
      <c r="AU133" s="318"/>
      <c r="AV133" s="318"/>
      <c r="AW133" s="318"/>
      <c r="AX133" s="318"/>
      <c r="AY133" s="318"/>
      <c r="AZ133" s="318"/>
      <c r="BA133" s="318"/>
      <c r="BB133" s="318"/>
      <c r="BC133" s="318"/>
      <c r="BD133" s="318"/>
      <c r="BE133" s="318"/>
      <c r="BF133" s="318"/>
      <c r="BG133" s="318"/>
      <c r="BH133" s="318"/>
      <c r="BI133" s="318"/>
      <c r="BJ133" s="318"/>
      <c r="BK133" s="318"/>
      <c r="BL133" s="318"/>
      <c r="BM133" s="318"/>
      <c r="BN133" s="318"/>
      <c r="BO133" s="318"/>
      <c r="BP133" s="318"/>
      <c r="BQ133" s="318"/>
      <c r="BR133" s="318"/>
      <c r="BS133" s="318"/>
      <c r="BT133" s="318"/>
      <c r="BU133" s="318"/>
      <c r="BV133" s="162"/>
      <c r="BW133" s="162"/>
    </row>
    <row r="134" s="140" customFormat="1" customHeight="1" spans="1:75">
      <c r="A134" s="161">
        <v>162</v>
      </c>
      <c r="B134" s="564" t="s">
        <v>235</v>
      </c>
      <c r="C134" s="162"/>
      <c r="D134" s="561" t="s">
        <v>137</v>
      </c>
      <c r="E134" s="561">
        <v>8.72</v>
      </c>
      <c r="F134" s="556">
        <v>4</v>
      </c>
      <c r="G134" s="557">
        <f t="shared" si="21"/>
        <v>34.88</v>
      </c>
      <c r="H134" s="558">
        <f t="shared" si="22"/>
        <v>0</v>
      </c>
      <c r="I134" s="559">
        <f t="shared" si="23"/>
        <v>0</v>
      </c>
      <c r="J134" s="558">
        <f t="shared" si="24"/>
        <v>4</v>
      </c>
      <c r="K134" s="559">
        <f t="shared" si="25"/>
        <v>34.88</v>
      </c>
      <c r="L134" s="558">
        <f t="shared" si="26"/>
        <v>0</v>
      </c>
      <c r="M134" s="559">
        <f t="shared" si="27"/>
        <v>0</v>
      </c>
      <c r="N134" s="318"/>
      <c r="O134" s="318"/>
      <c r="P134" s="318"/>
      <c r="Q134" s="318"/>
      <c r="R134" s="318"/>
      <c r="S134" s="318"/>
      <c r="T134" s="318"/>
      <c r="U134" s="318"/>
      <c r="V134" s="318"/>
      <c r="W134" s="318"/>
      <c r="X134" s="318"/>
      <c r="Y134" s="318">
        <v>2</v>
      </c>
      <c r="Z134" s="318"/>
      <c r="AA134" s="318"/>
      <c r="AB134" s="318"/>
      <c r="AC134" s="318"/>
      <c r="AD134" s="318"/>
      <c r="AE134" s="318"/>
      <c r="AF134" s="318"/>
      <c r="AG134" s="318"/>
      <c r="AH134" s="318"/>
      <c r="AI134" s="318"/>
      <c r="AJ134" s="318"/>
      <c r="AK134" s="318"/>
      <c r="AL134" s="318"/>
      <c r="AM134" s="318"/>
      <c r="AN134" s="318"/>
      <c r="AO134" s="318">
        <v>2</v>
      </c>
      <c r="AP134" s="318"/>
      <c r="AQ134" s="318"/>
      <c r="AR134" s="318"/>
      <c r="AS134" s="318"/>
      <c r="AT134" s="318"/>
      <c r="AU134" s="318"/>
      <c r="AV134" s="318"/>
      <c r="AW134" s="318"/>
      <c r="AX134" s="318"/>
      <c r="AY134" s="318"/>
      <c r="AZ134" s="318"/>
      <c r="BA134" s="318"/>
      <c r="BB134" s="318"/>
      <c r="BC134" s="318"/>
      <c r="BD134" s="318"/>
      <c r="BE134" s="318"/>
      <c r="BF134" s="318"/>
      <c r="BG134" s="318"/>
      <c r="BH134" s="318"/>
      <c r="BI134" s="318"/>
      <c r="BJ134" s="318"/>
      <c r="BK134" s="318"/>
      <c r="BL134" s="318"/>
      <c r="BM134" s="318"/>
      <c r="BN134" s="318"/>
      <c r="BO134" s="318"/>
      <c r="BP134" s="318"/>
      <c r="BQ134" s="318"/>
      <c r="BR134" s="318"/>
      <c r="BS134" s="318"/>
      <c r="BT134" s="318"/>
      <c r="BU134" s="318"/>
      <c r="BV134" s="162"/>
      <c r="BW134" s="162"/>
    </row>
    <row r="135" s="140" customFormat="1" customHeight="1" spans="1:75">
      <c r="A135" s="161">
        <v>163</v>
      </c>
      <c r="B135" s="564" t="s">
        <v>215</v>
      </c>
      <c r="C135" s="162"/>
      <c r="D135" s="561" t="s">
        <v>137</v>
      </c>
      <c r="E135" s="561">
        <v>26.918</v>
      </c>
      <c r="F135" s="556">
        <v>4</v>
      </c>
      <c r="G135" s="557">
        <f t="shared" si="21"/>
        <v>107.672</v>
      </c>
      <c r="H135" s="558">
        <f t="shared" si="22"/>
        <v>0</v>
      </c>
      <c r="I135" s="559">
        <f t="shared" si="23"/>
        <v>0</v>
      </c>
      <c r="J135" s="558">
        <f t="shared" si="24"/>
        <v>4</v>
      </c>
      <c r="K135" s="559">
        <f t="shared" si="25"/>
        <v>107.672</v>
      </c>
      <c r="L135" s="558">
        <f t="shared" si="26"/>
        <v>0</v>
      </c>
      <c r="M135" s="559">
        <f t="shared" si="27"/>
        <v>0</v>
      </c>
      <c r="N135" s="318"/>
      <c r="O135" s="318"/>
      <c r="P135" s="318"/>
      <c r="Q135" s="318"/>
      <c r="R135" s="318"/>
      <c r="S135" s="318"/>
      <c r="T135" s="318"/>
      <c r="U135" s="318"/>
      <c r="V135" s="318"/>
      <c r="W135" s="318"/>
      <c r="X135" s="318"/>
      <c r="Y135" s="318">
        <v>2</v>
      </c>
      <c r="Z135" s="318"/>
      <c r="AA135" s="318"/>
      <c r="AB135" s="318"/>
      <c r="AC135" s="318"/>
      <c r="AD135" s="318"/>
      <c r="AE135" s="318"/>
      <c r="AF135" s="318"/>
      <c r="AG135" s="318"/>
      <c r="AH135" s="318"/>
      <c r="AI135" s="318"/>
      <c r="AJ135" s="318"/>
      <c r="AK135" s="318"/>
      <c r="AL135" s="318"/>
      <c r="AM135" s="318"/>
      <c r="AN135" s="318"/>
      <c r="AO135" s="318">
        <v>2</v>
      </c>
      <c r="AP135" s="318"/>
      <c r="AQ135" s="318"/>
      <c r="AR135" s="318"/>
      <c r="AS135" s="318"/>
      <c r="AT135" s="318"/>
      <c r="AU135" s="318"/>
      <c r="AV135" s="318"/>
      <c r="AW135" s="318"/>
      <c r="AX135" s="318"/>
      <c r="AY135" s="318"/>
      <c r="AZ135" s="318"/>
      <c r="BA135" s="318"/>
      <c r="BB135" s="318"/>
      <c r="BC135" s="318"/>
      <c r="BD135" s="318"/>
      <c r="BE135" s="318"/>
      <c r="BF135" s="318"/>
      <c r="BG135" s="318"/>
      <c r="BH135" s="318"/>
      <c r="BI135" s="318"/>
      <c r="BJ135" s="318"/>
      <c r="BK135" s="318"/>
      <c r="BL135" s="318"/>
      <c r="BM135" s="318"/>
      <c r="BN135" s="318"/>
      <c r="BO135" s="318"/>
      <c r="BP135" s="318"/>
      <c r="BQ135" s="318"/>
      <c r="BR135" s="318"/>
      <c r="BS135" s="318"/>
      <c r="BT135" s="318"/>
      <c r="BU135" s="318"/>
      <c r="BV135" s="162"/>
      <c r="BW135" s="162"/>
    </row>
    <row r="136" s="140" customFormat="1" customHeight="1" spans="1:75">
      <c r="A136" s="161">
        <v>164</v>
      </c>
      <c r="B136" s="564" t="s">
        <v>268</v>
      </c>
      <c r="C136" s="162"/>
      <c r="D136" s="561" t="s">
        <v>137</v>
      </c>
      <c r="E136" s="561">
        <v>0.5424</v>
      </c>
      <c r="F136" s="556">
        <v>177</v>
      </c>
      <c r="G136" s="557">
        <f t="shared" si="21"/>
        <v>96.0048</v>
      </c>
      <c r="H136" s="558">
        <f t="shared" si="22"/>
        <v>0</v>
      </c>
      <c r="I136" s="559">
        <f t="shared" si="23"/>
        <v>0</v>
      </c>
      <c r="J136" s="558">
        <f t="shared" si="24"/>
        <v>60</v>
      </c>
      <c r="K136" s="559">
        <f t="shared" si="25"/>
        <v>32.544</v>
      </c>
      <c r="L136" s="558">
        <f t="shared" si="26"/>
        <v>117</v>
      </c>
      <c r="M136" s="559">
        <f t="shared" si="27"/>
        <v>63.4608</v>
      </c>
      <c r="N136" s="318"/>
      <c r="O136" s="318"/>
      <c r="P136" s="318"/>
      <c r="Q136" s="318"/>
      <c r="R136" s="318"/>
      <c r="S136" s="318"/>
      <c r="T136" s="318"/>
      <c r="U136" s="318"/>
      <c r="V136" s="318"/>
      <c r="W136" s="318"/>
      <c r="X136" s="318"/>
      <c r="Y136" s="318">
        <v>20</v>
      </c>
      <c r="Z136" s="318"/>
      <c r="AA136" s="318">
        <v>5</v>
      </c>
      <c r="AB136" s="318"/>
      <c r="AC136" s="318"/>
      <c r="AD136" s="318"/>
      <c r="AE136" s="318">
        <v>3</v>
      </c>
      <c r="AF136" s="318"/>
      <c r="AG136" s="318">
        <v>1</v>
      </c>
      <c r="AH136" s="318"/>
      <c r="AI136" s="318"/>
      <c r="AJ136" s="318"/>
      <c r="AK136" s="318"/>
      <c r="AL136" s="318"/>
      <c r="AM136" s="318">
        <v>3</v>
      </c>
      <c r="AN136" s="318"/>
      <c r="AO136" s="318">
        <v>5</v>
      </c>
      <c r="AP136" s="318"/>
      <c r="AQ136" s="318">
        <v>1</v>
      </c>
      <c r="AR136" s="318"/>
      <c r="AS136" s="318"/>
      <c r="AT136" s="318"/>
      <c r="AU136" s="318"/>
      <c r="AV136" s="318"/>
      <c r="AW136" s="318"/>
      <c r="AX136" s="318"/>
      <c r="AY136" s="318"/>
      <c r="AZ136" s="318"/>
      <c r="BA136" s="318"/>
      <c r="BB136" s="318"/>
      <c r="BC136" s="318"/>
      <c r="BD136" s="318"/>
      <c r="BE136" s="318">
        <v>10</v>
      </c>
      <c r="BF136" s="318"/>
      <c r="BG136" s="318">
        <v>5</v>
      </c>
      <c r="BH136" s="318"/>
      <c r="BI136" s="318">
        <v>3</v>
      </c>
      <c r="BJ136" s="318"/>
      <c r="BK136" s="318">
        <v>1</v>
      </c>
      <c r="BL136" s="318"/>
      <c r="BM136" s="318"/>
      <c r="BN136" s="318"/>
      <c r="BO136" s="318"/>
      <c r="BP136" s="318"/>
      <c r="BQ136" s="318">
        <v>3</v>
      </c>
      <c r="BR136" s="318"/>
      <c r="BS136" s="318"/>
      <c r="BT136" s="318"/>
      <c r="BU136" s="318"/>
      <c r="BV136" s="162"/>
      <c r="BW136" s="162"/>
    </row>
    <row r="137" s="140" customFormat="1" customHeight="1" spans="1:75">
      <c r="A137" s="161">
        <v>165</v>
      </c>
      <c r="B137" s="564" t="s">
        <v>269</v>
      </c>
      <c r="C137" s="162"/>
      <c r="D137" s="561" t="s">
        <v>137</v>
      </c>
      <c r="E137" s="561">
        <v>0.3477</v>
      </c>
      <c r="F137" s="556">
        <v>59</v>
      </c>
      <c r="G137" s="557">
        <f t="shared" si="21"/>
        <v>20.5143</v>
      </c>
      <c r="H137" s="558">
        <f t="shared" si="22"/>
        <v>0</v>
      </c>
      <c r="I137" s="559">
        <f t="shared" si="23"/>
        <v>0</v>
      </c>
      <c r="J137" s="558">
        <f t="shared" si="24"/>
        <v>49</v>
      </c>
      <c r="K137" s="559">
        <f t="shared" si="25"/>
        <v>17.0373</v>
      </c>
      <c r="L137" s="558">
        <f t="shared" si="26"/>
        <v>10</v>
      </c>
      <c r="M137" s="559">
        <f t="shared" si="27"/>
        <v>3.477</v>
      </c>
      <c r="N137" s="318"/>
      <c r="O137" s="318">
        <v>10</v>
      </c>
      <c r="P137" s="318"/>
      <c r="Q137" s="318"/>
      <c r="R137" s="318"/>
      <c r="S137" s="318">
        <v>3</v>
      </c>
      <c r="T137" s="318"/>
      <c r="U137" s="318">
        <v>3</v>
      </c>
      <c r="V137" s="318"/>
      <c r="W137" s="318">
        <v>1</v>
      </c>
      <c r="X137" s="318"/>
      <c r="Y137" s="318"/>
      <c r="Z137" s="318"/>
      <c r="AA137" s="318">
        <v>5</v>
      </c>
      <c r="AB137" s="318"/>
      <c r="AC137" s="318">
        <v>2</v>
      </c>
      <c r="AD137" s="318"/>
      <c r="AE137" s="318">
        <v>4</v>
      </c>
      <c r="AF137" s="318"/>
      <c r="AG137" s="318">
        <v>3</v>
      </c>
      <c r="AH137" s="318"/>
      <c r="AI137" s="318">
        <v>1</v>
      </c>
      <c r="AJ137" s="318"/>
      <c r="AK137" s="318">
        <v>3</v>
      </c>
      <c r="AL137" s="318"/>
      <c r="AM137" s="318"/>
      <c r="AN137" s="318"/>
      <c r="AO137" s="318"/>
      <c r="AP137" s="318"/>
      <c r="AQ137" s="318"/>
      <c r="AR137" s="318"/>
      <c r="AS137" s="318"/>
      <c r="AT137" s="318"/>
      <c r="AU137" s="318"/>
      <c r="AV137" s="318"/>
      <c r="AW137" s="318"/>
      <c r="AX137" s="318"/>
      <c r="AY137" s="318"/>
      <c r="AZ137" s="318"/>
      <c r="BA137" s="318"/>
      <c r="BB137" s="318"/>
      <c r="BC137" s="318"/>
      <c r="BD137" s="318"/>
      <c r="BE137" s="318"/>
      <c r="BF137" s="318"/>
      <c r="BG137" s="318"/>
      <c r="BH137" s="318"/>
      <c r="BI137" s="318"/>
      <c r="BJ137" s="318"/>
      <c r="BK137" s="318">
        <v>4</v>
      </c>
      <c r="BL137" s="318"/>
      <c r="BM137" s="579">
        <v>5</v>
      </c>
      <c r="BN137" s="318"/>
      <c r="BO137" s="318"/>
      <c r="BP137" s="318"/>
      <c r="BQ137" s="318">
        <v>5</v>
      </c>
      <c r="BR137" s="318"/>
      <c r="BS137" s="318"/>
      <c r="BT137" s="318"/>
      <c r="BU137" s="318"/>
      <c r="BV137" s="162"/>
      <c r="BW137" s="162"/>
    </row>
    <row r="138" s="140" customFormat="1" customHeight="1" spans="1:75">
      <c r="A138" s="161">
        <v>166</v>
      </c>
      <c r="B138" s="564" t="s">
        <v>216</v>
      </c>
      <c r="C138" s="162"/>
      <c r="D138" s="561" t="s">
        <v>209</v>
      </c>
      <c r="E138" s="561">
        <v>36.45</v>
      </c>
      <c r="F138" s="556">
        <v>0</v>
      </c>
      <c r="G138" s="557">
        <f t="shared" si="21"/>
        <v>0</v>
      </c>
      <c r="H138" s="558">
        <f t="shared" si="22"/>
        <v>0</v>
      </c>
      <c r="I138" s="559">
        <f t="shared" si="23"/>
        <v>0</v>
      </c>
      <c r="J138" s="558">
        <f t="shared" si="24"/>
        <v>0</v>
      </c>
      <c r="K138" s="559">
        <f t="shared" si="25"/>
        <v>0</v>
      </c>
      <c r="L138" s="558">
        <f t="shared" si="26"/>
        <v>0</v>
      </c>
      <c r="M138" s="559">
        <f t="shared" si="27"/>
        <v>0</v>
      </c>
      <c r="N138" s="318"/>
      <c r="O138" s="318"/>
      <c r="P138" s="318"/>
      <c r="Q138" s="318"/>
      <c r="R138" s="318"/>
      <c r="S138" s="318"/>
      <c r="T138" s="318"/>
      <c r="U138" s="318"/>
      <c r="V138" s="318"/>
      <c r="W138" s="318"/>
      <c r="X138" s="318"/>
      <c r="Y138" s="318"/>
      <c r="Z138" s="318"/>
      <c r="AA138" s="318"/>
      <c r="AB138" s="318"/>
      <c r="AC138" s="318"/>
      <c r="AD138" s="318"/>
      <c r="AE138" s="318"/>
      <c r="AF138" s="318"/>
      <c r="AG138" s="318"/>
      <c r="AH138" s="318"/>
      <c r="AI138" s="318"/>
      <c r="AJ138" s="318"/>
      <c r="AK138" s="318"/>
      <c r="AL138" s="318"/>
      <c r="AM138" s="318"/>
      <c r="AN138" s="318"/>
      <c r="AO138" s="318"/>
      <c r="AP138" s="318"/>
      <c r="AQ138" s="318"/>
      <c r="AR138" s="318"/>
      <c r="AS138" s="318"/>
      <c r="AT138" s="318"/>
      <c r="AU138" s="318"/>
      <c r="AV138" s="318"/>
      <c r="AW138" s="318"/>
      <c r="AX138" s="318"/>
      <c r="AY138" s="318"/>
      <c r="AZ138" s="318"/>
      <c r="BA138" s="318"/>
      <c r="BB138" s="318"/>
      <c r="BC138" s="318"/>
      <c r="BD138" s="318"/>
      <c r="BE138" s="318"/>
      <c r="BF138" s="318"/>
      <c r="BG138" s="318"/>
      <c r="BH138" s="318"/>
      <c r="BI138" s="318"/>
      <c r="BJ138" s="318"/>
      <c r="BK138" s="318"/>
      <c r="BL138" s="318"/>
      <c r="BM138" s="318"/>
      <c r="BN138" s="318"/>
      <c r="BO138" s="318"/>
      <c r="BP138" s="318"/>
      <c r="BQ138" s="318"/>
      <c r="BR138" s="318"/>
      <c r="BS138" s="318"/>
      <c r="BT138" s="318"/>
      <c r="BU138" s="318"/>
      <c r="BV138" s="162"/>
      <c r="BW138" s="162"/>
    </row>
    <row r="139" s="140" customFormat="1" customHeight="1" spans="1:75">
      <c r="A139" s="161">
        <v>167</v>
      </c>
      <c r="B139" s="564" t="s">
        <v>270</v>
      </c>
      <c r="C139" s="162"/>
      <c r="D139" s="561" t="s">
        <v>137</v>
      </c>
      <c r="E139" s="561">
        <v>7.19</v>
      </c>
      <c r="F139" s="556">
        <v>0</v>
      </c>
      <c r="G139" s="557">
        <f t="shared" si="21"/>
        <v>0</v>
      </c>
      <c r="H139" s="558">
        <f t="shared" si="22"/>
        <v>0</v>
      </c>
      <c r="I139" s="559">
        <f t="shared" si="23"/>
        <v>0</v>
      </c>
      <c r="J139" s="558">
        <f t="shared" si="24"/>
        <v>0</v>
      </c>
      <c r="K139" s="559">
        <f t="shared" si="25"/>
        <v>0</v>
      </c>
      <c r="L139" s="558">
        <f t="shared" si="26"/>
        <v>0</v>
      </c>
      <c r="M139" s="559">
        <f t="shared" si="27"/>
        <v>0</v>
      </c>
      <c r="N139" s="318"/>
      <c r="O139" s="318"/>
      <c r="P139" s="318"/>
      <c r="Q139" s="318"/>
      <c r="R139" s="318"/>
      <c r="S139" s="318"/>
      <c r="T139" s="318"/>
      <c r="U139" s="318"/>
      <c r="V139" s="318"/>
      <c r="W139" s="318"/>
      <c r="X139" s="318"/>
      <c r="Y139" s="318"/>
      <c r="Z139" s="318"/>
      <c r="AA139" s="318"/>
      <c r="AB139" s="318"/>
      <c r="AC139" s="318"/>
      <c r="AD139" s="318"/>
      <c r="AE139" s="318"/>
      <c r="AF139" s="318"/>
      <c r="AG139" s="318"/>
      <c r="AH139" s="318"/>
      <c r="AI139" s="318"/>
      <c r="AJ139" s="318"/>
      <c r="AK139" s="318"/>
      <c r="AL139" s="318"/>
      <c r="AM139" s="318"/>
      <c r="AN139" s="318"/>
      <c r="AO139" s="318"/>
      <c r="AP139" s="318"/>
      <c r="AQ139" s="318"/>
      <c r="AR139" s="318"/>
      <c r="AS139" s="318"/>
      <c r="AT139" s="318"/>
      <c r="AU139" s="318"/>
      <c r="AV139" s="318"/>
      <c r="AW139" s="318"/>
      <c r="AX139" s="318"/>
      <c r="AY139" s="318"/>
      <c r="AZ139" s="318"/>
      <c r="BA139" s="318"/>
      <c r="BB139" s="318"/>
      <c r="BC139" s="318"/>
      <c r="BD139" s="318"/>
      <c r="BE139" s="318"/>
      <c r="BF139" s="318"/>
      <c r="BG139" s="318"/>
      <c r="BH139" s="318"/>
      <c r="BI139" s="318"/>
      <c r="BJ139" s="318"/>
      <c r="BK139" s="318"/>
      <c r="BL139" s="318"/>
      <c r="BM139" s="318"/>
      <c r="BN139" s="318"/>
      <c r="BO139" s="318"/>
      <c r="BP139" s="318"/>
      <c r="BQ139" s="318"/>
      <c r="BR139" s="318"/>
      <c r="BS139" s="318"/>
      <c r="BT139" s="318"/>
      <c r="BU139" s="318"/>
      <c r="BV139" s="162"/>
      <c r="BW139" s="162"/>
    </row>
    <row r="140" s="140" customFormat="1" customHeight="1" spans="1:75">
      <c r="A140" s="161">
        <v>168</v>
      </c>
      <c r="B140" s="564" t="s">
        <v>271</v>
      </c>
      <c r="C140" s="162"/>
      <c r="D140" s="561" t="s">
        <v>137</v>
      </c>
      <c r="E140" s="561">
        <v>68</v>
      </c>
      <c r="F140" s="556">
        <v>2</v>
      </c>
      <c r="G140" s="557">
        <f t="shared" si="21"/>
        <v>136</v>
      </c>
      <c r="H140" s="558">
        <f t="shared" si="22"/>
        <v>0</v>
      </c>
      <c r="I140" s="559">
        <f t="shared" si="23"/>
        <v>0</v>
      </c>
      <c r="J140" s="558">
        <f t="shared" si="24"/>
        <v>1</v>
      </c>
      <c r="K140" s="559">
        <f t="shared" si="25"/>
        <v>68</v>
      </c>
      <c r="L140" s="558">
        <f t="shared" si="26"/>
        <v>1</v>
      </c>
      <c r="M140" s="559">
        <f t="shared" si="27"/>
        <v>68</v>
      </c>
      <c r="N140" s="318"/>
      <c r="O140" s="318"/>
      <c r="P140" s="318"/>
      <c r="Q140" s="318"/>
      <c r="R140" s="318"/>
      <c r="S140" s="318"/>
      <c r="T140" s="318"/>
      <c r="U140" s="318"/>
      <c r="V140" s="318"/>
      <c r="W140" s="318"/>
      <c r="X140" s="318"/>
      <c r="Y140" s="318"/>
      <c r="Z140" s="318"/>
      <c r="AA140" s="318"/>
      <c r="AB140" s="318"/>
      <c r="AC140" s="318"/>
      <c r="AD140" s="318"/>
      <c r="AE140" s="318"/>
      <c r="AF140" s="318"/>
      <c r="AG140" s="318"/>
      <c r="AH140" s="318"/>
      <c r="AI140" s="318"/>
      <c r="AJ140" s="318"/>
      <c r="AK140" s="318"/>
      <c r="AL140" s="318"/>
      <c r="AM140" s="318"/>
      <c r="AN140" s="318"/>
      <c r="AO140" s="318"/>
      <c r="AP140" s="318"/>
      <c r="AQ140" s="318"/>
      <c r="AR140" s="318"/>
      <c r="AS140" s="318"/>
      <c r="AT140" s="318"/>
      <c r="AU140" s="318"/>
      <c r="AV140" s="318"/>
      <c r="AW140" s="318"/>
      <c r="AX140" s="318"/>
      <c r="AY140" s="318"/>
      <c r="AZ140" s="318"/>
      <c r="BA140" s="318"/>
      <c r="BB140" s="318"/>
      <c r="BC140" s="318"/>
      <c r="BD140" s="318"/>
      <c r="BE140" s="318"/>
      <c r="BF140" s="318"/>
      <c r="BG140" s="318"/>
      <c r="BH140" s="318"/>
      <c r="BI140" s="318"/>
      <c r="BJ140" s="318"/>
      <c r="BK140" s="318">
        <v>1</v>
      </c>
      <c r="BL140" s="318"/>
      <c r="BM140" s="318"/>
      <c r="BN140" s="318"/>
      <c r="BO140" s="318"/>
      <c r="BP140" s="318"/>
      <c r="BQ140" s="318"/>
      <c r="BR140" s="318"/>
      <c r="BS140" s="318"/>
      <c r="BT140" s="318"/>
      <c r="BU140" s="318"/>
      <c r="BV140" s="162"/>
      <c r="BW140" s="162"/>
    </row>
    <row r="141" s="140" customFormat="1" customHeight="1" spans="1:75">
      <c r="A141" s="161">
        <v>169</v>
      </c>
      <c r="B141" s="564" t="s">
        <v>272</v>
      </c>
      <c r="C141" s="162"/>
      <c r="D141" s="561" t="s">
        <v>137</v>
      </c>
      <c r="E141" s="561">
        <v>28.62</v>
      </c>
      <c r="F141" s="556">
        <v>10</v>
      </c>
      <c r="G141" s="557">
        <f t="shared" si="21"/>
        <v>286.2</v>
      </c>
      <c r="H141" s="558">
        <f t="shared" si="22"/>
        <v>0</v>
      </c>
      <c r="I141" s="559">
        <f t="shared" si="23"/>
        <v>0</v>
      </c>
      <c r="J141" s="558">
        <f t="shared" si="24"/>
        <v>1</v>
      </c>
      <c r="K141" s="559">
        <f t="shared" si="25"/>
        <v>28.62</v>
      </c>
      <c r="L141" s="558">
        <f t="shared" si="26"/>
        <v>9</v>
      </c>
      <c r="M141" s="559">
        <f t="shared" si="27"/>
        <v>257.58</v>
      </c>
      <c r="N141" s="318"/>
      <c r="O141" s="318"/>
      <c r="P141" s="318"/>
      <c r="Q141" s="318"/>
      <c r="R141" s="318"/>
      <c r="S141" s="318">
        <v>1</v>
      </c>
      <c r="T141" s="318"/>
      <c r="U141" s="318"/>
      <c r="V141" s="318"/>
      <c r="W141" s="318"/>
      <c r="X141" s="318"/>
      <c r="Y141" s="318"/>
      <c r="Z141" s="318"/>
      <c r="AA141" s="318"/>
      <c r="AB141" s="318"/>
      <c r="AC141" s="318"/>
      <c r="AD141" s="318"/>
      <c r="AE141" s="318"/>
      <c r="AF141" s="318"/>
      <c r="AG141" s="318"/>
      <c r="AH141" s="318"/>
      <c r="AI141" s="318"/>
      <c r="AJ141" s="318"/>
      <c r="AK141" s="318"/>
      <c r="AL141" s="318"/>
      <c r="AM141" s="318"/>
      <c r="AN141" s="318"/>
      <c r="AO141" s="318"/>
      <c r="AP141" s="318"/>
      <c r="AQ141" s="318"/>
      <c r="AR141" s="318"/>
      <c r="AS141" s="318"/>
      <c r="AT141" s="318"/>
      <c r="AU141" s="318"/>
      <c r="AV141" s="318"/>
      <c r="AW141" s="318"/>
      <c r="AX141" s="318"/>
      <c r="AY141" s="318"/>
      <c r="AZ141" s="318"/>
      <c r="BA141" s="318"/>
      <c r="BB141" s="318"/>
      <c r="BC141" s="318"/>
      <c r="BD141" s="318"/>
      <c r="BE141" s="318"/>
      <c r="BF141" s="318"/>
      <c r="BG141" s="318"/>
      <c r="BH141" s="318"/>
      <c r="BI141" s="318"/>
      <c r="BJ141" s="318"/>
      <c r="BK141" s="318"/>
      <c r="BL141" s="318"/>
      <c r="BM141" s="318"/>
      <c r="BN141" s="318"/>
      <c r="BO141" s="318"/>
      <c r="BP141" s="318"/>
      <c r="BQ141" s="318"/>
      <c r="BR141" s="318"/>
      <c r="BS141" s="318"/>
      <c r="BT141" s="318"/>
      <c r="BU141" s="318"/>
      <c r="BV141" s="162"/>
      <c r="BW141" s="162"/>
    </row>
    <row r="142" s="140" customFormat="1" customHeight="1" spans="1:75">
      <c r="A142" s="161">
        <v>170</v>
      </c>
      <c r="B142" s="564" t="s">
        <v>273</v>
      </c>
      <c r="C142" s="162"/>
      <c r="D142" s="561" t="s">
        <v>137</v>
      </c>
      <c r="E142" s="561">
        <v>0.1525</v>
      </c>
      <c r="F142" s="556">
        <v>154</v>
      </c>
      <c r="G142" s="557">
        <f t="shared" si="21"/>
        <v>23.485</v>
      </c>
      <c r="H142" s="558">
        <f t="shared" si="22"/>
        <v>0</v>
      </c>
      <c r="I142" s="559">
        <f t="shared" si="23"/>
        <v>0</v>
      </c>
      <c r="J142" s="558">
        <f t="shared" si="24"/>
        <v>20</v>
      </c>
      <c r="K142" s="559">
        <f t="shared" si="25"/>
        <v>3.05</v>
      </c>
      <c r="L142" s="558">
        <f t="shared" si="26"/>
        <v>134</v>
      </c>
      <c r="M142" s="559">
        <f t="shared" si="27"/>
        <v>20.435</v>
      </c>
      <c r="N142" s="318"/>
      <c r="O142" s="318"/>
      <c r="P142" s="318"/>
      <c r="Q142" s="318"/>
      <c r="R142" s="318"/>
      <c r="S142" s="318"/>
      <c r="T142" s="318"/>
      <c r="U142" s="318"/>
      <c r="V142" s="318"/>
      <c r="W142" s="318"/>
      <c r="X142" s="318"/>
      <c r="Y142" s="318"/>
      <c r="Z142" s="318"/>
      <c r="AA142" s="318"/>
      <c r="AB142" s="318"/>
      <c r="AC142" s="318"/>
      <c r="AD142" s="318"/>
      <c r="AE142" s="318"/>
      <c r="AF142" s="318"/>
      <c r="AG142" s="318"/>
      <c r="AH142" s="318"/>
      <c r="AI142" s="318"/>
      <c r="AJ142" s="318"/>
      <c r="AK142" s="318"/>
      <c r="AL142" s="318"/>
      <c r="AM142" s="318"/>
      <c r="AN142" s="318"/>
      <c r="AO142" s="318"/>
      <c r="AP142" s="318"/>
      <c r="AQ142" s="318"/>
      <c r="AR142" s="318"/>
      <c r="AS142" s="318"/>
      <c r="AT142" s="318"/>
      <c r="AU142" s="318"/>
      <c r="AV142" s="318"/>
      <c r="AW142" s="318"/>
      <c r="AX142" s="318"/>
      <c r="AY142" s="318"/>
      <c r="AZ142" s="318"/>
      <c r="BA142" s="318"/>
      <c r="BB142" s="318"/>
      <c r="BC142" s="318"/>
      <c r="BD142" s="318"/>
      <c r="BE142" s="318"/>
      <c r="BF142" s="318"/>
      <c r="BG142" s="318"/>
      <c r="BH142" s="318"/>
      <c r="BI142" s="318"/>
      <c r="BJ142" s="318"/>
      <c r="BK142" s="318"/>
      <c r="BL142" s="318"/>
      <c r="BM142" s="318">
        <v>10</v>
      </c>
      <c r="BN142" s="318"/>
      <c r="BO142" s="318"/>
      <c r="BP142" s="318"/>
      <c r="BQ142" s="318">
        <v>10</v>
      </c>
      <c r="BR142" s="318"/>
      <c r="BS142" s="318"/>
      <c r="BT142" s="318"/>
      <c r="BU142" s="318"/>
      <c r="BV142" s="162"/>
      <c r="BW142" s="162"/>
    </row>
    <row r="143" s="140" customFormat="1" customHeight="1" spans="1:75">
      <c r="A143" s="161">
        <v>171</v>
      </c>
      <c r="B143" s="564" t="s">
        <v>274</v>
      </c>
      <c r="C143" s="162"/>
      <c r="D143" s="561" t="s">
        <v>137</v>
      </c>
      <c r="E143" s="561">
        <v>1.429</v>
      </c>
      <c r="F143" s="556">
        <v>0</v>
      </c>
      <c r="G143" s="557">
        <f t="shared" si="21"/>
        <v>0</v>
      </c>
      <c r="H143" s="558">
        <f t="shared" si="22"/>
        <v>0</v>
      </c>
      <c r="I143" s="559">
        <f t="shared" si="23"/>
        <v>0</v>
      </c>
      <c r="J143" s="558">
        <f t="shared" si="24"/>
        <v>0</v>
      </c>
      <c r="K143" s="559">
        <f t="shared" si="25"/>
        <v>0</v>
      </c>
      <c r="L143" s="558">
        <f t="shared" si="26"/>
        <v>0</v>
      </c>
      <c r="M143" s="559">
        <f t="shared" si="27"/>
        <v>0</v>
      </c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318"/>
      <c r="AB143" s="318"/>
      <c r="AC143" s="318"/>
      <c r="AD143" s="318"/>
      <c r="AE143" s="318"/>
      <c r="AF143" s="318"/>
      <c r="AG143" s="318"/>
      <c r="AH143" s="318"/>
      <c r="AI143" s="318"/>
      <c r="AJ143" s="318"/>
      <c r="AK143" s="318"/>
      <c r="AL143" s="318"/>
      <c r="AM143" s="318"/>
      <c r="AN143" s="318"/>
      <c r="AO143" s="318"/>
      <c r="AP143" s="318"/>
      <c r="AQ143" s="318"/>
      <c r="AR143" s="318"/>
      <c r="AS143" s="318"/>
      <c r="AT143" s="318"/>
      <c r="AU143" s="318"/>
      <c r="AV143" s="318"/>
      <c r="AW143" s="318"/>
      <c r="AX143" s="318"/>
      <c r="AY143" s="318"/>
      <c r="AZ143" s="318"/>
      <c r="BA143" s="318"/>
      <c r="BB143" s="318"/>
      <c r="BC143" s="318"/>
      <c r="BD143" s="318"/>
      <c r="BE143" s="318"/>
      <c r="BF143" s="318"/>
      <c r="BG143" s="318"/>
      <c r="BH143" s="318"/>
      <c r="BI143" s="318"/>
      <c r="BJ143" s="318"/>
      <c r="BK143" s="318"/>
      <c r="BL143" s="318"/>
      <c r="BM143" s="318"/>
      <c r="BN143" s="318"/>
      <c r="BO143" s="318"/>
      <c r="BP143" s="318"/>
      <c r="BQ143" s="318"/>
      <c r="BR143" s="318"/>
      <c r="BS143" s="318"/>
      <c r="BT143" s="318"/>
      <c r="BU143" s="318"/>
      <c r="BV143" s="162"/>
      <c r="BW143" s="162"/>
    </row>
    <row r="144" s="140" customFormat="1" customHeight="1" spans="1:75">
      <c r="A144" s="161">
        <v>172</v>
      </c>
      <c r="B144" s="564" t="s">
        <v>275</v>
      </c>
      <c r="C144" s="162"/>
      <c r="D144" s="561" t="s">
        <v>137</v>
      </c>
      <c r="E144" s="561">
        <v>0.2841</v>
      </c>
      <c r="F144" s="556">
        <v>8</v>
      </c>
      <c r="G144" s="557">
        <f t="shared" ref="G144:G175" si="28">F144*E144</f>
        <v>2.2728</v>
      </c>
      <c r="H144" s="558">
        <f t="shared" ref="H144:H175" si="29">SUMIF($N$4:$BW$4,$H$4,$N144:$BW144)</f>
        <v>0</v>
      </c>
      <c r="I144" s="559">
        <f t="shared" ref="I144:I175" si="30">+E144*H144</f>
        <v>0</v>
      </c>
      <c r="J144" s="558">
        <f t="shared" ref="J144:J175" si="31">SUMIF($N$4:$BW$4,$J$4,$N144:$BW144)</f>
        <v>8</v>
      </c>
      <c r="K144" s="559">
        <f t="shared" ref="K144:K175" si="32">+E144*J144</f>
        <v>2.2728</v>
      </c>
      <c r="L144" s="558">
        <f t="shared" ref="L144:L175" si="33">+F144+H144-J144</f>
        <v>0</v>
      </c>
      <c r="M144" s="559">
        <f t="shared" ref="M144:M175" si="34">+E144*L144</f>
        <v>0</v>
      </c>
      <c r="N144" s="318"/>
      <c r="O144" s="318"/>
      <c r="P144" s="318"/>
      <c r="Q144" s="318"/>
      <c r="R144" s="318"/>
      <c r="S144" s="318"/>
      <c r="T144" s="318"/>
      <c r="U144" s="318"/>
      <c r="V144" s="318"/>
      <c r="W144" s="318"/>
      <c r="X144" s="318"/>
      <c r="Y144" s="318"/>
      <c r="Z144" s="318"/>
      <c r="AA144" s="318"/>
      <c r="AB144" s="318"/>
      <c r="AC144" s="318">
        <v>8</v>
      </c>
      <c r="AD144" s="318"/>
      <c r="AE144" s="318"/>
      <c r="AF144" s="318"/>
      <c r="AG144" s="318"/>
      <c r="AH144" s="318"/>
      <c r="AI144" s="318"/>
      <c r="AJ144" s="318"/>
      <c r="AK144" s="318"/>
      <c r="AL144" s="318"/>
      <c r="AM144" s="318"/>
      <c r="AN144" s="318"/>
      <c r="AO144" s="318"/>
      <c r="AP144" s="318"/>
      <c r="AQ144" s="318"/>
      <c r="AR144" s="318"/>
      <c r="AS144" s="318"/>
      <c r="AT144" s="318"/>
      <c r="AU144" s="318"/>
      <c r="AV144" s="318"/>
      <c r="AW144" s="318"/>
      <c r="AX144" s="318"/>
      <c r="AY144" s="318"/>
      <c r="AZ144" s="318"/>
      <c r="BA144" s="318"/>
      <c r="BB144" s="318"/>
      <c r="BC144" s="318"/>
      <c r="BD144" s="318"/>
      <c r="BE144" s="318"/>
      <c r="BF144" s="318"/>
      <c r="BG144" s="318"/>
      <c r="BH144" s="318"/>
      <c r="BI144" s="318"/>
      <c r="BJ144" s="318"/>
      <c r="BK144" s="318"/>
      <c r="BL144" s="318"/>
      <c r="BM144" s="318"/>
      <c r="BN144" s="318"/>
      <c r="BO144" s="318"/>
      <c r="BP144" s="318"/>
      <c r="BQ144" s="318"/>
      <c r="BR144" s="318"/>
      <c r="BS144" s="318"/>
      <c r="BT144" s="318"/>
      <c r="BU144" s="318"/>
      <c r="BV144" s="162"/>
      <c r="BW144" s="162"/>
    </row>
    <row r="145" s="140" customFormat="1" customHeight="1" spans="1:75">
      <c r="A145" s="161">
        <v>173</v>
      </c>
      <c r="B145" s="564" t="s">
        <v>276</v>
      </c>
      <c r="C145" s="162"/>
      <c r="D145" s="561" t="s">
        <v>137</v>
      </c>
      <c r="E145" s="561">
        <v>0.486</v>
      </c>
      <c r="F145" s="556">
        <v>0</v>
      </c>
      <c r="G145" s="557">
        <f t="shared" si="28"/>
        <v>0</v>
      </c>
      <c r="H145" s="558">
        <f t="shared" si="29"/>
        <v>0</v>
      </c>
      <c r="I145" s="559">
        <f t="shared" si="30"/>
        <v>0</v>
      </c>
      <c r="J145" s="558">
        <f t="shared" si="31"/>
        <v>0</v>
      </c>
      <c r="K145" s="559">
        <f t="shared" si="32"/>
        <v>0</v>
      </c>
      <c r="L145" s="558">
        <f t="shared" si="33"/>
        <v>0</v>
      </c>
      <c r="M145" s="559">
        <f t="shared" si="34"/>
        <v>0</v>
      </c>
      <c r="N145" s="318"/>
      <c r="O145" s="318"/>
      <c r="P145" s="318"/>
      <c r="Q145" s="318"/>
      <c r="R145" s="318"/>
      <c r="S145" s="318"/>
      <c r="T145" s="318"/>
      <c r="U145" s="318"/>
      <c r="V145" s="318"/>
      <c r="W145" s="318"/>
      <c r="X145" s="318"/>
      <c r="Y145" s="318"/>
      <c r="Z145" s="318"/>
      <c r="AA145" s="318"/>
      <c r="AB145" s="318"/>
      <c r="AC145" s="318"/>
      <c r="AD145" s="318"/>
      <c r="AE145" s="318"/>
      <c r="AF145" s="318"/>
      <c r="AG145" s="318"/>
      <c r="AH145" s="318"/>
      <c r="AI145" s="318"/>
      <c r="AJ145" s="318"/>
      <c r="AK145" s="318"/>
      <c r="AL145" s="318"/>
      <c r="AM145" s="318"/>
      <c r="AN145" s="318"/>
      <c r="AO145" s="318"/>
      <c r="AP145" s="318"/>
      <c r="AQ145" s="318"/>
      <c r="AR145" s="318"/>
      <c r="AS145" s="318"/>
      <c r="AT145" s="318"/>
      <c r="AU145" s="318"/>
      <c r="AV145" s="318"/>
      <c r="AW145" s="318"/>
      <c r="AX145" s="318"/>
      <c r="AY145" s="318"/>
      <c r="AZ145" s="318"/>
      <c r="BA145" s="318"/>
      <c r="BB145" s="318"/>
      <c r="BC145" s="318"/>
      <c r="BD145" s="318"/>
      <c r="BE145" s="318"/>
      <c r="BF145" s="318"/>
      <c r="BG145" s="318"/>
      <c r="BH145" s="318"/>
      <c r="BI145" s="318"/>
      <c r="BJ145" s="318"/>
      <c r="BK145" s="318"/>
      <c r="BL145" s="318"/>
      <c r="BM145" s="318"/>
      <c r="BN145" s="318"/>
      <c r="BO145" s="318"/>
      <c r="BP145" s="318"/>
      <c r="BQ145" s="318"/>
      <c r="BR145" s="318"/>
      <c r="BS145" s="318"/>
      <c r="BT145" s="318"/>
      <c r="BU145" s="318"/>
      <c r="BV145" s="162"/>
      <c r="BW145" s="162"/>
    </row>
    <row r="146" s="140" customFormat="1" customHeight="1" spans="1:75">
      <c r="A146" s="161">
        <v>174</v>
      </c>
      <c r="B146" s="564" t="s">
        <v>277</v>
      </c>
      <c r="C146" s="162"/>
      <c r="D146" s="561" t="s">
        <v>218</v>
      </c>
      <c r="E146" s="561">
        <v>19.9</v>
      </c>
      <c r="F146" s="556">
        <v>0</v>
      </c>
      <c r="G146" s="557">
        <f t="shared" si="28"/>
        <v>0</v>
      </c>
      <c r="H146" s="558">
        <f t="shared" si="29"/>
        <v>0</v>
      </c>
      <c r="I146" s="559">
        <f t="shared" si="30"/>
        <v>0</v>
      </c>
      <c r="J146" s="558">
        <f t="shared" si="31"/>
        <v>0</v>
      </c>
      <c r="K146" s="559">
        <f t="shared" si="32"/>
        <v>0</v>
      </c>
      <c r="L146" s="558">
        <f t="shared" si="33"/>
        <v>0</v>
      </c>
      <c r="M146" s="559">
        <f t="shared" si="34"/>
        <v>0</v>
      </c>
      <c r="N146" s="318"/>
      <c r="O146" s="318"/>
      <c r="P146" s="318"/>
      <c r="Q146" s="318"/>
      <c r="R146" s="318"/>
      <c r="S146" s="318"/>
      <c r="T146" s="318"/>
      <c r="U146" s="318"/>
      <c r="V146" s="318"/>
      <c r="W146" s="318"/>
      <c r="X146" s="318"/>
      <c r="Y146" s="318"/>
      <c r="Z146" s="318"/>
      <c r="AA146" s="318"/>
      <c r="AB146" s="318"/>
      <c r="AC146" s="318"/>
      <c r="AD146" s="318"/>
      <c r="AE146" s="318"/>
      <c r="AF146" s="318"/>
      <c r="AG146" s="318"/>
      <c r="AH146" s="318"/>
      <c r="AI146" s="318"/>
      <c r="AJ146" s="318"/>
      <c r="AK146" s="318"/>
      <c r="AL146" s="318"/>
      <c r="AM146" s="318"/>
      <c r="AN146" s="318"/>
      <c r="AO146" s="318"/>
      <c r="AP146" s="318"/>
      <c r="AQ146" s="318"/>
      <c r="AR146" s="318"/>
      <c r="AS146" s="318"/>
      <c r="AT146" s="318"/>
      <c r="AU146" s="318"/>
      <c r="AV146" s="318"/>
      <c r="AW146" s="318"/>
      <c r="AX146" s="318"/>
      <c r="AY146" s="318"/>
      <c r="AZ146" s="318"/>
      <c r="BA146" s="318"/>
      <c r="BB146" s="318"/>
      <c r="BC146" s="318"/>
      <c r="BD146" s="318"/>
      <c r="BE146" s="318"/>
      <c r="BF146" s="318"/>
      <c r="BG146" s="318"/>
      <c r="BH146" s="318"/>
      <c r="BI146" s="318"/>
      <c r="BJ146" s="318"/>
      <c r="BK146" s="318"/>
      <c r="BL146" s="318"/>
      <c r="BM146" s="318"/>
      <c r="BN146" s="318"/>
      <c r="BO146" s="318"/>
      <c r="BP146" s="318"/>
      <c r="BQ146" s="318"/>
      <c r="BR146" s="318"/>
      <c r="BS146" s="318"/>
      <c r="BT146" s="318"/>
      <c r="BU146" s="318"/>
      <c r="BV146" s="162"/>
      <c r="BW146" s="162"/>
    </row>
    <row r="147" s="140" customFormat="1" customHeight="1" spans="1:75">
      <c r="A147" s="161">
        <v>175</v>
      </c>
      <c r="B147" s="564" t="s">
        <v>278</v>
      </c>
      <c r="C147" s="162"/>
      <c r="D147" s="582" t="s">
        <v>137</v>
      </c>
      <c r="E147" s="582">
        <v>1.39</v>
      </c>
      <c r="F147" s="556">
        <v>10</v>
      </c>
      <c r="G147" s="557">
        <f t="shared" si="28"/>
        <v>13.9</v>
      </c>
      <c r="H147" s="558">
        <f t="shared" si="29"/>
        <v>0</v>
      </c>
      <c r="I147" s="559">
        <f t="shared" si="30"/>
        <v>0</v>
      </c>
      <c r="J147" s="558">
        <f t="shared" si="31"/>
        <v>10</v>
      </c>
      <c r="K147" s="559">
        <f t="shared" si="32"/>
        <v>13.9</v>
      </c>
      <c r="L147" s="558">
        <f t="shared" si="33"/>
        <v>0</v>
      </c>
      <c r="M147" s="559">
        <f t="shared" si="34"/>
        <v>0</v>
      </c>
      <c r="N147" s="326"/>
      <c r="O147" s="326">
        <v>10</v>
      </c>
      <c r="P147" s="326"/>
      <c r="Q147" s="326"/>
      <c r="R147" s="318"/>
      <c r="S147" s="318"/>
      <c r="T147" s="318"/>
      <c r="U147" s="318"/>
      <c r="V147" s="318"/>
      <c r="W147" s="318"/>
      <c r="X147" s="318"/>
      <c r="Y147" s="318"/>
      <c r="Z147" s="318"/>
      <c r="AA147" s="318"/>
      <c r="AB147" s="318"/>
      <c r="AC147" s="318"/>
      <c r="AD147" s="318"/>
      <c r="AE147" s="318"/>
      <c r="AF147" s="318"/>
      <c r="AG147" s="318"/>
      <c r="AH147" s="318"/>
      <c r="AI147" s="318"/>
      <c r="AJ147" s="318"/>
      <c r="AK147" s="318"/>
      <c r="AL147" s="318"/>
      <c r="AM147" s="318"/>
      <c r="AN147" s="318"/>
      <c r="AO147" s="318"/>
      <c r="AP147" s="318"/>
      <c r="AQ147" s="318"/>
      <c r="AR147" s="318"/>
      <c r="AS147" s="318"/>
      <c r="AT147" s="318"/>
      <c r="AU147" s="318"/>
      <c r="AV147" s="318"/>
      <c r="AW147" s="318"/>
      <c r="AX147" s="318"/>
      <c r="AY147" s="318"/>
      <c r="AZ147" s="318"/>
      <c r="BA147" s="318"/>
      <c r="BB147" s="318"/>
      <c r="BC147" s="318"/>
      <c r="BD147" s="318"/>
      <c r="BE147" s="318"/>
      <c r="BF147" s="318"/>
      <c r="BG147" s="318"/>
      <c r="BH147" s="318"/>
      <c r="BI147" s="318"/>
      <c r="BJ147" s="318"/>
      <c r="BK147" s="318"/>
      <c r="BL147" s="318"/>
      <c r="BM147" s="318"/>
      <c r="BN147" s="318"/>
      <c r="BO147" s="318"/>
      <c r="BP147" s="318"/>
      <c r="BQ147" s="318"/>
      <c r="BR147" s="318"/>
      <c r="BS147" s="318"/>
      <c r="BT147" s="318"/>
      <c r="BU147" s="318"/>
      <c r="BV147" s="162"/>
      <c r="BW147" s="162"/>
    </row>
    <row r="148" s="140" customFormat="1" customHeight="1" spans="1:75">
      <c r="A148" s="161">
        <v>176</v>
      </c>
      <c r="B148" s="564" t="s">
        <v>279</v>
      </c>
      <c r="C148" s="162"/>
      <c r="D148" s="581" t="s">
        <v>137</v>
      </c>
      <c r="E148" s="581">
        <v>1.278</v>
      </c>
      <c r="F148" s="556">
        <v>21</v>
      </c>
      <c r="G148" s="557">
        <f t="shared" si="28"/>
        <v>26.838</v>
      </c>
      <c r="H148" s="558">
        <f t="shared" si="29"/>
        <v>0</v>
      </c>
      <c r="I148" s="559">
        <f t="shared" si="30"/>
        <v>0</v>
      </c>
      <c r="J148" s="558">
        <f t="shared" si="31"/>
        <v>21</v>
      </c>
      <c r="K148" s="559">
        <f t="shared" si="32"/>
        <v>26.838</v>
      </c>
      <c r="L148" s="558">
        <f t="shared" si="33"/>
        <v>0</v>
      </c>
      <c r="M148" s="559">
        <f t="shared" si="34"/>
        <v>0</v>
      </c>
      <c r="N148" s="326"/>
      <c r="O148" s="326"/>
      <c r="P148" s="326"/>
      <c r="Q148" s="326">
        <v>21</v>
      </c>
      <c r="R148" s="406"/>
      <c r="S148" s="318"/>
      <c r="T148" s="318"/>
      <c r="U148" s="318"/>
      <c r="V148" s="318"/>
      <c r="W148" s="318"/>
      <c r="X148" s="318"/>
      <c r="Y148" s="318"/>
      <c r="Z148" s="318"/>
      <c r="AA148" s="318"/>
      <c r="AB148" s="318"/>
      <c r="AC148" s="318"/>
      <c r="AD148" s="318"/>
      <c r="AE148" s="318"/>
      <c r="AF148" s="318"/>
      <c r="AG148" s="318"/>
      <c r="AH148" s="318"/>
      <c r="AI148" s="318"/>
      <c r="AJ148" s="318"/>
      <c r="AK148" s="318"/>
      <c r="AL148" s="318"/>
      <c r="AM148" s="318"/>
      <c r="AN148" s="318"/>
      <c r="AO148" s="318"/>
      <c r="AP148" s="318"/>
      <c r="AQ148" s="318"/>
      <c r="AR148" s="318"/>
      <c r="AS148" s="318"/>
      <c r="AT148" s="318"/>
      <c r="AU148" s="318"/>
      <c r="AV148" s="318"/>
      <c r="AW148" s="318"/>
      <c r="AX148" s="318"/>
      <c r="AY148" s="318"/>
      <c r="AZ148" s="318"/>
      <c r="BA148" s="318"/>
      <c r="BB148" s="318"/>
      <c r="BC148" s="318"/>
      <c r="BD148" s="318"/>
      <c r="BE148" s="318"/>
      <c r="BF148" s="318"/>
      <c r="BG148" s="318"/>
      <c r="BH148" s="318"/>
      <c r="BI148" s="318"/>
      <c r="BJ148" s="318"/>
      <c r="BK148" s="318"/>
      <c r="BL148" s="318"/>
      <c r="BM148" s="318"/>
      <c r="BN148" s="318"/>
      <c r="BO148" s="318"/>
      <c r="BP148" s="318"/>
      <c r="BQ148" s="318"/>
      <c r="BR148" s="318"/>
      <c r="BS148" s="318"/>
      <c r="BT148" s="318"/>
      <c r="BU148" s="318"/>
      <c r="BV148" s="162"/>
      <c r="BW148" s="162"/>
    </row>
    <row r="149" s="140" customFormat="1" customHeight="1" spans="1:75">
      <c r="A149" s="161">
        <v>177</v>
      </c>
      <c r="B149" s="564" t="s">
        <v>280</v>
      </c>
      <c r="C149" s="162"/>
      <c r="D149" s="581" t="s">
        <v>137</v>
      </c>
      <c r="E149" s="581">
        <v>6.75</v>
      </c>
      <c r="F149" s="556"/>
      <c r="G149" s="557">
        <f t="shared" si="28"/>
        <v>0</v>
      </c>
      <c r="H149" s="558">
        <f t="shared" si="29"/>
        <v>0</v>
      </c>
      <c r="I149" s="559">
        <f t="shared" si="30"/>
        <v>0</v>
      </c>
      <c r="J149" s="558">
        <f t="shared" si="31"/>
        <v>0</v>
      </c>
      <c r="K149" s="559">
        <f t="shared" si="32"/>
        <v>0</v>
      </c>
      <c r="L149" s="558">
        <f t="shared" si="33"/>
        <v>0</v>
      </c>
      <c r="M149" s="559">
        <f t="shared" si="34"/>
        <v>0</v>
      </c>
      <c r="N149" s="326"/>
      <c r="O149" s="326"/>
      <c r="P149" s="326"/>
      <c r="Q149" s="326"/>
      <c r="R149" s="406"/>
      <c r="S149" s="318"/>
      <c r="T149" s="318"/>
      <c r="U149" s="318"/>
      <c r="V149" s="318"/>
      <c r="W149" s="318"/>
      <c r="X149" s="318"/>
      <c r="Y149" s="318"/>
      <c r="Z149" s="318"/>
      <c r="AA149" s="318"/>
      <c r="AB149" s="318"/>
      <c r="AC149" s="318"/>
      <c r="AD149" s="318"/>
      <c r="AE149" s="318"/>
      <c r="AF149" s="318"/>
      <c r="AG149" s="318"/>
      <c r="AH149" s="318"/>
      <c r="AI149" s="318"/>
      <c r="AJ149" s="318"/>
      <c r="AK149" s="318"/>
      <c r="AL149" s="318"/>
      <c r="AM149" s="318"/>
      <c r="AN149" s="318"/>
      <c r="AO149" s="318"/>
      <c r="AP149" s="318"/>
      <c r="AQ149" s="318"/>
      <c r="AR149" s="318"/>
      <c r="AS149" s="318"/>
      <c r="AT149" s="318"/>
      <c r="AU149" s="318"/>
      <c r="AV149" s="318"/>
      <c r="AW149" s="318"/>
      <c r="AX149" s="318"/>
      <c r="AY149" s="318"/>
      <c r="AZ149" s="318"/>
      <c r="BA149" s="318"/>
      <c r="BB149" s="318"/>
      <c r="BC149" s="318"/>
      <c r="BD149" s="318"/>
      <c r="BE149" s="318"/>
      <c r="BF149" s="318"/>
      <c r="BG149" s="318"/>
      <c r="BH149" s="318"/>
      <c r="BI149" s="318"/>
      <c r="BJ149" s="318"/>
      <c r="BK149" s="318"/>
      <c r="BL149" s="318"/>
      <c r="BM149" s="318"/>
      <c r="BN149" s="318"/>
      <c r="BO149" s="318"/>
      <c r="BP149" s="318"/>
      <c r="BQ149" s="318"/>
      <c r="BR149" s="318"/>
      <c r="BS149" s="318"/>
      <c r="BT149" s="318"/>
      <c r="BU149" s="318"/>
      <c r="BV149" s="162"/>
      <c r="BW149" s="162"/>
    </row>
    <row r="150" s="140" customFormat="1" customHeight="1" spans="1:75">
      <c r="A150" s="161">
        <v>178</v>
      </c>
      <c r="B150" s="564" t="s">
        <v>281</v>
      </c>
      <c r="C150" s="162"/>
      <c r="D150" s="431" t="s">
        <v>137</v>
      </c>
      <c r="E150" s="581">
        <v>0.06726</v>
      </c>
      <c r="F150" s="556">
        <v>950</v>
      </c>
      <c r="G150" s="557">
        <f t="shared" si="28"/>
        <v>63.897</v>
      </c>
      <c r="H150" s="558">
        <f t="shared" si="29"/>
        <v>0</v>
      </c>
      <c r="I150" s="559">
        <f t="shared" si="30"/>
        <v>0</v>
      </c>
      <c r="J150" s="558">
        <f t="shared" si="31"/>
        <v>290</v>
      </c>
      <c r="K150" s="559">
        <f t="shared" si="32"/>
        <v>19.5054</v>
      </c>
      <c r="L150" s="558">
        <f t="shared" si="33"/>
        <v>660</v>
      </c>
      <c r="M150" s="559">
        <f t="shared" si="34"/>
        <v>44.3916</v>
      </c>
      <c r="N150" s="326"/>
      <c r="O150" s="318"/>
      <c r="P150" s="318"/>
      <c r="Q150" s="318">
        <v>20</v>
      </c>
      <c r="R150" s="406"/>
      <c r="S150" s="318">
        <v>15</v>
      </c>
      <c r="T150" s="318"/>
      <c r="U150" s="318">
        <v>15</v>
      </c>
      <c r="V150" s="318"/>
      <c r="W150" s="318">
        <v>15</v>
      </c>
      <c r="X150" s="318"/>
      <c r="Y150" s="318">
        <v>15</v>
      </c>
      <c r="Z150" s="318"/>
      <c r="AA150" s="318">
        <v>15</v>
      </c>
      <c r="AB150" s="318"/>
      <c r="AC150" s="318">
        <v>15</v>
      </c>
      <c r="AD150" s="318"/>
      <c r="AE150" s="318">
        <v>15</v>
      </c>
      <c r="AF150" s="318"/>
      <c r="AG150" s="318">
        <v>15</v>
      </c>
      <c r="AH150" s="318"/>
      <c r="AI150" s="318"/>
      <c r="AJ150" s="318"/>
      <c r="AK150" s="318">
        <v>15</v>
      </c>
      <c r="AL150" s="318"/>
      <c r="AM150" s="318">
        <v>15</v>
      </c>
      <c r="AN150" s="318"/>
      <c r="AO150" s="318">
        <v>15</v>
      </c>
      <c r="AP150" s="318"/>
      <c r="AQ150" s="318">
        <v>15</v>
      </c>
      <c r="AR150" s="318"/>
      <c r="AS150" s="318"/>
      <c r="AT150" s="318"/>
      <c r="AU150" s="318"/>
      <c r="AV150" s="318"/>
      <c r="AW150" s="318"/>
      <c r="AX150" s="318"/>
      <c r="AY150" s="318"/>
      <c r="AZ150" s="318"/>
      <c r="BA150" s="318"/>
      <c r="BB150" s="318"/>
      <c r="BC150" s="318"/>
      <c r="BD150" s="318"/>
      <c r="BE150" s="318"/>
      <c r="BF150" s="318"/>
      <c r="BG150" s="318"/>
      <c r="BH150" s="318"/>
      <c r="BI150" s="318"/>
      <c r="BJ150" s="318"/>
      <c r="BK150" s="318">
        <v>30</v>
      </c>
      <c r="BL150" s="318"/>
      <c r="BM150" s="318">
        <v>10</v>
      </c>
      <c r="BN150" s="318"/>
      <c r="BO150" s="318"/>
      <c r="BP150" s="318"/>
      <c r="BQ150" s="318">
        <v>50</v>
      </c>
      <c r="BR150" s="318"/>
      <c r="BS150" s="318"/>
      <c r="BT150" s="318"/>
      <c r="BU150" s="318"/>
      <c r="BV150" s="162"/>
      <c r="BW150" s="162"/>
    </row>
    <row r="151" s="140" customFormat="1" customHeight="1" spans="1:75">
      <c r="A151" s="161">
        <v>179</v>
      </c>
      <c r="B151" s="586" t="s">
        <v>282</v>
      </c>
      <c r="C151" s="162"/>
      <c r="D151" s="582" t="s">
        <v>137</v>
      </c>
      <c r="E151" s="581">
        <v>13.9</v>
      </c>
      <c r="F151" s="556">
        <v>0</v>
      </c>
      <c r="G151" s="557">
        <f t="shared" si="28"/>
        <v>0</v>
      </c>
      <c r="H151" s="558">
        <f t="shared" si="29"/>
        <v>0</v>
      </c>
      <c r="I151" s="559">
        <f t="shared" si="30"/>
        <v>0</v>
      </c>
      <c r="J151" s="558">
        <f t="shared" si="31"/>
        <v>0</v>
      </c>
      <c r="K151" s="559">
        <f t="shared" si="32"/>
        <v>0</v>
      </c>
      <c r="L151" s="558">
        <f t="shared" si="33"/>
        <v>0</v>
      </c>
      <c r="M151" s="559">
        <f t="shared" si="34"/>
        <v>0</v>
      </c>
      <c r="N151" s="326"/>
      <c r="O151" s="326"/>
      <c r="P151" s="326"/>
      <c r="Q151" s="326"/>
      <c r="R151" s="584"/>
      <c r="S151" s="326"/>
      <c r="T151" s="326"/>
      <c r="U151" s="326"/>
      <c r="V151" s="326"/>
      <c r="W151" s="326"/>
      <c r="X151" s="326"/>
      <c r="Y151" s="326"/>
      <c r="Z151" s="326"/>
      <c r="AA151" s="326"/>
      <c r="AB151" s="326"/>
      <c r="AC151" s="326"/>
      <c r="AD151" s="326"/>
      <c r="AE151" s="326"/>
      <c r="AF151" s="326"/>
      <c r="AG151" s="326"/>
      <c r="AH151" s="326"/>
      <c r="AI151" s="326"/>
      <c r="AJ151" s="326"/>
      <c r="AK151" s="326"/>
      <c r="AL151" s="326"/>
      <c r="AM151" s="326"/>
      <c r="AN151" s="326"/>
      <c r="AO151" s="326"/>
      <c r="AP151" s="326"/>
      <c r="AQ151" s="326"/>
      <c r="AR151" s="326"/>
      <c r="AS151" s="326"/>
      <c r="AT151" s="326"/>
      <c r="AU151" s="326"/>
      <c r="AV151" s="326"/>
      <c r="AW151" s="326"/>
      <c r="AX151" s="326"/>
      <c r="AY151" s="326"/>
      <c r="AZ151" s="326"/>
      <c r="BA151" s="326"/>
      <c r="BB151" s="326"/>
      <c r="BC151" s="326"/>
      <c r="BD151" s="326"/>
      <c r="BE151" s="326"/>
      <c r="BF151" s="326"/>
      <c r="BG151" s="326"/>
      <c r="BH151" s="326"/>
      <c r="BI151" s="326"/>
      <c r="BJ151" s="326"/>
      <c r="BK151" s="326"/>
      <c r="BL151" s="326"/>
      <c r="BM151" s="326"/>
      <c r="BN151" s="326"/>
      <c r="BO151" s="326"/>
      <c r="BP151" s="326"/>
      <c r="BQ151" s="326"/>
      <c r="BR151" s="326"/>
      <c r="BS151" s="326"/>
      <c r="BT151" s="326"/>
      <c r="BU151" s="326"/>
      <c r="BV151" s="162"/>
      <c r="BW151" s="162"/>
    </row>
    <row r="152" s="140" customFormat="1" customHeight="1" spans="1:75">
      <c r="A152" s="161">
        <v>180</v>
      </c>
      <c r="B152" s="581" t="s">
        <v>283</v>
      </c>
      <c r="C152" s="162"/>
      <c r="D152" s="581" t="s">
        <v>145</v>
      </c>
      <c r="E152" s="581">
        <v>0.479</v>
      </c>
      <c r="F152" s="556">
        <v>100</v>
      </c>
      <c r="G152" s="557">
        <f t="shared" si="28"/>
        <v>47.9</v>
      </c>
      <c r="H152" s="558">
        <f t="shared" si="29"/>
        <v>0</v>
      </c>
      <c r="I152" s="559">
        <f t="shared" si="30"/>
        <v>0</v>
      </c>
      <c r="J152" s="558">
        <f t="shared" si="31"/>
        <v>0</v>
      </c>
      <c r="K152" s="559">
        <f t="shared" si="32"/>
        <v>0</v>
      </c>
      <c r="L152" s="558">
        <f t="shared" si="33"/>
        <v>100</v>
      </c>
      <c r="M152" s="559">
        <f t="shared" si="34"/>
        <v>47.9</v>
      </c>
      <c r="N152" s="326"/>
      <c r="O152" s="326"/>
      <c r="P152" s="326"/>
      <c r="Q152" s="326"/>
      <c r="R152" s="326"/>
      <c r="S152" s="326"/>
      <c r="T152" s="326"/>
      <c r="U152" s="326"/>
      <c r="V152" s="326"/>
      <c r="W152" s="326"/>
      <c r="X152" s="326"/>
      <c r="Y152" s="326"/>
      <c r="Z152" s="326"/>
      <c r="AA152" s="326"/>
      <c r="AB152" s="326"/>
      <c r="AC152" s="326"/>
      <c r="AD152" s="326"/>
      <c r="AE152" s="326"/>
      <c r="AF152" s="326"/>
      <c r="AG152" s="326"/>
      <c r="AH152" s="326"/>
      <c r="AI152" s="326"/>
      <c r="AJ152" s="326"/>
      <c r="AK152" s="326"/>
      <c r="AL152" s="326"/>
      <c r="AM152" s="326"/>
      <c r="AN152" s="326"/>
      <c r="AO152" s="326"/>
      <c r="AP152" s="326"/>
      <c r="AQ152" s="326"/>
      <c r="AR152" s="326"/>
      <c r="AS152" s="326"/>
      <c r="AT152" s="326"/>
      <c r="AU152" s="326"/>
      <c r="AV152" s="326"/>
      <c r="AW152" s="326"/>
      <c r="AX152" s="326"/>
      <c r="AY152" s="326"/>
      <c r="AZ152" s="326"/>
      <c r="BA152" s="326"/>
      <c r="BB152" s="326"/>
      <c r="BC152" s="326"/>
      <c r="BD152" s="326"/>
      <c r="BE152" s="326"/>
      <c r="BF152" s="326"/>
      <c r="BG152" s="326"/>
      <c r="BH152" s="326"/>
      <c r="BI152" s="326"/>
      <c r="BJ152" s="326"/>
      <c r="BK152" s="326"/>
      <c r="BL152" s="326"/>
      <c r="BM152" s="326"/>
      <c r="BN152" s="326"/>
      <c r="BO152" s="326"/>
      <c r="BP152" s="326"/>
      <c r="BQ152" s="326"/>
      <c r="BR152" s="326"/>
      <c r="BS152" s="326"/>
      <c r="BT152" s="326"/>
      <c r="BU152" s="326"/>
      <c r="BV152" s="162"/>
      <c r="BW152" s="162"/>
    </row>
    <row r="153" s="140" customFormat="1" customHeight="1" spans="1:75">
      <c r="A153" s="161">
        <v>181</v>
      </c>
      <c r="B153" s="581" t="s">
        <v>282</v>
      </c>
      <c r="C153" s="162"/>
      <c r="D153" s="581" t="s">
        <v>137</v>
      </c>
      <c r="E153" s="587">
        <v>12.05</v>
      </c>
      <c r="F153" s="556">
        <v>1</v>
      </c>
      <c r="G153" s="557">
        <f t="shared" si="28"/>
        <v>12.05</v>
      </c>
      <c r="H153" s="558">
        <f t="shared" si="29"/>
        <v>0</v>
      </c>
      <c r="I153" s="559">
        <f t="shared" si="30"/>
        <v>0</v>
      </c>
      <c r="J153" s="558">
        <f t="shared" si="31"/>
        <v>1</v>
      </c>
      <c r="K153" s="559">
        <f t="shared" si="32"/>
        <v>12.05</v>
      </c>
      <c r="L153" s="558">
        <f t="shared" si="33"/>
        <v>0</v>
      </c>
      <c r="M153" s="559">
        <f t="shared" si="34"/>
        <v>0</v>
      </c>
      <c r="N153" s="584"/>
      <c r="O153" s="584"/>
      <c r="P153" s="326"/>
      <c r="Q153" s="326"/>
      <c r="R153" s="326"/>
      <c r="S153" s="326"/>
      <c r="T153" s="326"/>
      <c r="U153" s="326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6"/>
      <c r="AI153" s="326"/>
      <c r="AJ153" s="326"/>
      <c r="AK153" s="326"/>
      <c r="AL153" s="326"/>
      <c r="AM153" s="326"/>
      <c r="AN153" s="326"/>
      <c r="AO153" s="326"/>
      <c r="AP153" s="326"/>
      <c r="AQ153" s="326"/>
      <c r="AR153" s="326"/>
      <c r="AS153" s="326"/>
      <c r="AT153" s="326"/>
      <c r="AU153" s="326"/>
      <c r="AV153" s="326"/>
      <c r="AW153" s="326"/>
      <c r="AX153" s="326"/>
      <c r="AY153" s="326"/>
      <c r="AZ153" s="326"/>
      <c r="BA153" s="326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>
        <v>1</v>
      </c>
      <c r="BL153" s="326"/>
      <c r="BM153" s="326"/>
      <c r="BN153" s="326"/>
      <c r="BO153" s="326"/>
      <c r="BP153" s="326"/>
      <c r="BQ153" s="326"/>
      <c r="BR153" s="326"/>
      <c r="BS153" s="326"/>
      <c r="BT153" s="326"/>
      <c r="BU153" s="326"/>
      <c r="BV153" s="162"/>
      <c r="BW153" s="162"/>
    </row>
    <row r="154" s="140" customFormat="1" customHeight="1" spans="1:75">
      <c r="A154" s="161">
        <v>182</v>
      </c>
      <c r="B154" s="431" t="s">
        <v>284</v>
      </c>
      <c r="C154" s="162"/>
      <c r="D154" s="431" t="s">
        <v>137</v>
      </c>
      <c r="E154" s="431">
        <v>110</v>
      </c>
      <c r="F154" s="556">
        <v>0</v>
      </c>
      <c r="G154" s="557">
        <f t="shared" si="28"/>
        <v>0</v>
      </c>
      <c r="H154" s="558">
        <f t="shared" si="29"/>
        <v>0</v>
      </c>
      <c r="I154" s="559">
        <f t="shared" si="30"/>
        <v>0</v>
      </c>
      <c r="J154" s="558">
        <f t="shared" si="31"/>
        <v>0</v>
      </c>
      <c r="K154" s="559">
        <f t="shared" si="32"/>
        <v>0</v>
      </c>
      <c r="L154" s="558">
        <f t="shared" si="33"/>
        <v>0</v>
      </c>
      <c r="M154" s="559">
        <f t="shared" si="34"/>
        <v>0</v>
      </c>
      <c r="N154" s="318"/>
      <c r="O154" s="318"/>
      <c r="P154" s="318"/>
      <c r="Q154" s="318"/>
      <c r="R154" s="318"/>
      <c r="S154" s="318"/>
      <c r="T154" s="318"/>
      <c r="U154" s="318"/>
      <c r="V154" s="318"/>
      <c r="W154" s="318"/>
      <c r="X154" s="318"/>
      <c r="Y154" s="318"/>
      <c r="Z154" s="318"/>
      <c r="AA154" s="318"/>
      <c r="AB154" s="318"/>
      <c r="AC154" s="318"/>
      <c r="AD154" s="318"/>
      <c r="AE154" s="318"/>
      <c r="AF154" s="318"/>
      <c r="AG154" s="318"/>
      <c r="AH154" s="318"/>
      <c r="AI154" s="318"/>
      <c r="AJ154" s="318"/>
      <c r="AK154" s="318"/>
      <c r="AL154" s="318"/>
      <c r="AM154" s="318"/>
      <c r="AN154" s="318"/>
      <c r="AO154" s="318"/>
      <c r="AP154" s="318"/>
      <c r="AQ154" s="318"/>
      <c r="AR154" s="318"/>
      <c r="AS154" s="318"/>
      <c r="AT154" s="318"/>
      <c r="AU154" s="318"/>
      <c r="AV154" s="318"/>
      <c r="AW154" s="318"/>
      <c r="AX154" s="318"/>
      <c r="AY154" s="318"/>
      <c r="AZ154" s="318"/>
      <c r="BA154" s="318"/>
      <c r="BB154" s="318"/>
      <c r="BC154" s="318"/>
      <c r="BD154" s="318"/>
      <c r="BE154" s="318"/>
      <c r="BF154" s="318"/>
      <c r="BG154" s="318"/>
      <c r="BH154" s="318"/>
      <c r="BI154" s="318"/>
      <c r="BJ154" s="318"/>
      <c r="BK154" s="318"/>
      <c r="BL154" s="318"/>
      <c r="BM154" s="318"/>
      <c r="BN154" s="318"/>
      <c r="BO154" s="318"/>
      <c r="BP154" s="318"/>
      <c r="BQ154" s="318"/>
      <c r="BR154" s="318"/>
      <c r="BS154" s="318"/>
      <c r="BT154" s="318"/>
      <c r="BU154" s="318"/>
      <c r="BV154" s="162"/>
      <c r="BW154" s="162"/>
    </row>
    <row r="155" s="140" customFormat="1" customHeight="1" spans="1:75">
      <c r="A155" s="161">
        <v>183</v>
      </c>
      <c r="B155" s="582" t="s">
        <v>285</v>
      </c>
      <c r="C155" s="162"/>
      <c r="D155" s="582" t="s">
        <v>137</v>
      </c>
      <c r="E155" s="582">
        <v>235</v>
      </c>
      <c r="F155" s="556">
        <v>0</v>
      </c>
      <c r="G155" s="557">
        <f t="shared" si="28"/>
        <v>0</v>
      </c>
      <c r="H155" s="558">
        <f t="shared" si="29"/>
        <v>0</v>
      </c>
      <c r="I155" s="559">
        <f t="shared" si="30"/>
        <v>0</v>
      </c>
      <c r="J155" s="558">
        <f t="shared" si="31"/>
        <v>0</v>
      </c>
      <c r="K155" s="559">
        <f t="shared" si="32"/>
        <v>0</v>
      </c>
      <c r="L155" s="558">
        <f t="shared" si="33"/>
        <v>0</v>
      </c>
      <c r="M155" s="559">
        <f t="shared" si="34"/>
        <v>0</v>
      </c>
      <c r="N155" s="326"/>
      <c r="O155" s="326"/>
      <c r="P155" s="326"/>
      <c r="Q155" s="326"/>
      <c r="R155" s="326"/>
      <c r="S155" s="326"/>
      <c r="T155" s="326"/>
      <c r="U155" s="326"/>
      <c r="V155" s="326"/>
      <c r="W155" s="326"/>
      <c r="X155" s="326"/>
      <c r="Y155" s="326"/>
      <c r="Z155" s="326"/>
      <c r="AA155" s="326"/>
      <c r="AB155" s="326"/>
      <c r="AC155" s="326"/>
      <c r="AD155" s="326"/>
      <c r="AE155" s="326"/>
      <c r="AF155" s="326"/>
      <c r="AG155" s="326"/>
      <c r="AH155" s="326"/>
      <c r="AI155" s="326"/>
      <c r="AJ155" s="326"/>
      <c r="AK155" s="326"/>
      <c r="AL155" s="326"/>
      <c r="AM155" s="326"/>
      <c r="AN155" s="326"/>
      <c r="AO155" s="326"/>
      <c r="AP155" s="326"/>
      <c r="AQ155" s="326"/>
      <c r="AR155" s="326"/>
      <c r="AS155" s="326"/>
      <c r="AT155" s="326"/>
      <c r="AU155" s="326"/>
      <c r="AV155" s="326"/>
      <c r="AW155" s="326"/>
      <c r="AX155" s="326"/>
      <c r="AY155" s="326"/>
      <c r="AZ155" s="326"/>
      <c r="BA155" s="326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  <c r="BM155" s="326"/>
      <c r="BN155" s="326"/>
      <c r="BO155" s="326"/>
      <c r="BP155" s="326"/>
      <c r="BQ155" s="326"/>
      <c r="BR155" s="326"/>
      <c r="BS155" s="326"/>
      <c r="BT155" s="326"/>
      <c r="BU155" s="326"/>
      <c r="BV155" s="162"/>
      <c r="BW155" s="162"/>
    </row>
    <row r="156" s="140" customFormat="1" customHeight="1" spans="1:75">
      <c r="A156" s="161">
        <v>184</v>
      </c>
      <c r="B156" s="581" t="s">
        <v>216</v>
      </c>
      <c r="C156" s="162"/>
      <c r="D156" s="581" t="s">
        <v>209</v>
      </c>
      <c r="E156" s="581">
        <v>44</v>
      </c>
      <c r="F156" s="556">
        <v>0</v>
      </c>
      <c r="G156" s="557">
        <f t="shared" si="28"/>
        <v>0</v>
      </c>
      <c r="H156" s="558">
        <f t="shared" si="29"/>
        <v>0</v>
      </c>
      <c r="I156" s="559">
        <f t="shared" si="30"/>
        <v>0</v>
      </c>
      <c r="J156" s="558">
        <f t="shared" si="31"/>
        <v>0</v>
      </c>
      <c r="K156" s="559">
        <f t="shared" si="32"/>
        <v>0</v>
      </c>
      <c r="L156" s="558">
        <f t="shared" si="33"/>
        <v>0</v>
      </c>
      <c r="M156" s="559">
        <f t="shared" si="34"/>
        <v>0</v>
      </c>
      <c r="N156" s="326"/>
      <c r="O156" s="326"/>
      <c r="P156" s="326"/>
      <c r="Q156" s="326"/>
      <c r="R156" s="326"/>
      <c r="S156" s="326"/>
      <c r="T156" s="326"/>
      <c r="U156" s="326"/>
      <c r="V156" s="326"/>
      <c r="W156" s="326"/>
      <c r="X156" s="326"/>
      <c r="Y156" s="326"/>
      <c r="Z156" s="326"/>
      <c r="AA156" s="326"/>
      <c r="AB156" s="326"/>
      <c r="AC156" s="326"/>
      <c r="AD156" s="326"/>
      <c r="AE156" s="326"/>
      <c r="AF156" s="326"/>
      <c r="AG156" s="326"/>
      <c r="AH156" s="326"/>
      <c r="AI156" s="326"/>
      <c r="AJ156" s="326"/>
      <c r="AK156" s="326"/>
      <c r="AL156" s="326"/>
      <c r="AM156" s="326"/>
      <c r="AN156" s="326"/>
      <c r="AO156" s="326"/>
      <c r="AP156" s="326"/>
      <c r="AQ156" s="326"/>
      <c r="AR156" s="326"/>
      <c r="AS156" s="326"/>
      <c r="AT156" s="326"/>
      <c r="AU156" s="326"/>
      <c r="AV156" s="326"/>
      <c r="AW156" s="326"/>
      <c r="AX156" s="326"/>
      <c r="AY156" s="326"/>
      <c r="AZ156" s="326"/>
      <c r="BA156" s="326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  <c r="BM156" s="326"/>
      <c r="BN156" s="326"/>
      <c r="BO156" s="326"/>
      <c r="BP156" s="326"/>
      <c r="BQ156" s="326"/>
      <c r="BR156" s="326"/>
      <c r="BS156" s="326"/>
      <c r="BT156" s="326"/>
      <c r="BU156" s="326"/>
      <c r="BV156" s="162"/>
      <c r="BW156" s="162"/>
    </row>
    <row r="157" s="140" customFormat="1" customHeight="1" spans="1:75">
      <c r="A157" s="161">
        <v>185</v>
      </c>
      <c r="B157" s="581" t="s">
        <v>286</v>
      </c>
      <c r="C157" s="162"/>
      <c r="D157" s="581" t="s">
        <v>145</v>
      </c>
      <c r="E157" s="581">
        <v>0.3133</v>
      </c>
      <c r="F157" s="556">
        <v>60</v>
      </c>
      <c r="G157" s="557">
        <f t="shared" si="28"/>
        <v>18.798</v>
      </c>
      <c r="H157" s="558">
        <f t="shared" si="29"/>
        <v>0</v>
      </c>
      <c r="I157" s="559">
        <f t="shared" si="30"/>
        <v>0</v>
      </c>
      <c r="J157" s="558">
        <f t="shared" si="31"/>
        <v>0</v>
      </c>
      <c r="K157" s="559">
        <f t="shared" si="32"/>
        <v>0</v>
      </c>
      <c r="L157" s="558">
        <f t="shared" si="33"/>
        <v>60</v>
      </c>
      <c r="M157" s="559">
        <f t="shared" si="34"/>
        <v>18.798</v>
      </c>
      <c r="N157" s="326"/>
      <c r="O157" s="326"/>
      <c r="P157" s="326"/>
      <c r="Q157" s="326"/>
      <c r="R157" s="326"/>
      <c r="S157" s="326"/>
      <c r="T157" s="326"/>
      <c r="U157" s="326"/>
      <c r="V157" s="326"/>
      <c r="W157" s="326"/>
      <c r="X157" s="326"/>
      <c r="Y157" s="326"/>
      <c r="Z157" s="326"/>
      <c r="AA157" s="326"/>
      <c r="AB157" s="326"/>
      <c r="AC157" s="326"/>
      <c r="AD157" s="326"/>
      <c r="AE157" s="326"/>
      <c r="AF157" s="326"/>
      <c r="AG157" s="326"/>
      <c r="AH157" s="326"/>
      <c r="AI157" s="326"/>
      <c r="AJ157" s="326"/>
      <c r="AK157" s="326"/>
      <c r="AL157" s="326"/>
      <c r="AM157" s="326"/>
      <c r="AN157" s="326"/>
      <c r="AO157" s="326"/>
      <c r="AP157" s="326"/>
      <c r="AQ157" s="326"/>
      <c r="AR157" s="326"/>
      <c r="AS157" s="326"/>
      <c r="AT157" s="326"/>
      <c r="AU157" s="326"/>
      <c r="AV157" s="326"/>
      <c r="AW157" s="326"/>
      <c r="AX157" s="326"/>
      <c r="AY157" s="326"/>
      <c r="AZ157" s="326"/>
      <c r="BA157" s="326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  <c r="BM157" s="326"/>
      <c r="BN157" s="326"/>
      <c r="BO157" s="326"/>
      <c r="BP157" s="326"/>
      <c r="BQ157" s="326"/>
      <c r="BR157" s="326"/>
      <c r="BS157" s="326"/>
      <c r="BT157" s="326"/>
      <c r="BU157" s="326"/>
      <c r="BV157" s="162"/>
      <c r="BW157" s="162"/>
    </row>
    <row r="158" s="140" customFormat="1" customHeight="1" spans="1:75">
      <c r="A158" s="161">
        <v>186</v>
      </c>
      <c r="B158" s="581" t="s">
        <v>216</v>
      </c>
      <c r="C158" s="162"/>
      <c r="D158" s="581" t="s">
        <v>137</v>
      </c>
      <c r="E158" s="581">
        <v>34.6</v>
      </c>
      <c r="F158" s="556">
        <v>0</v>
      </c>
      <c r="G158" s="557">
        <f t="shared" si="28"/>
        <v>0</v>
      </c>
      <c r="H158" s="558">
        <f t="shared" si="29"/>
        <v>0</v>
      </c>
      <c r="I158" s="559">
        <f t="shared" si="30"/>
        <v>0</v>
      </c>
      <c r="J158" s="558">
        <f t="shared" si="31"/>
        <v>0</v>
      </c>
      <c r="K158" s="559">
        <f t="shared" si="32"/>
        <v>0</v>
      </c>
      <c r="L158" s="558">
        <f t="shared" si="33"/>
        <v>0</v>
      </c>
      <c r="M158" s="559">
        <f t="shared" si="34"/>
        <v>0</v>
      </c>
      <c r="N158" s="326"/>
      <c r="O158" s="326"/>
      <c r="P158" s="326"/>
      <c r="Q158" s="326"/>
      <c r="R158" s="326"/>
      <c r="S158" s="326"/>
      <c r="T158" s="326"/>
      <c r="U158" s="326"/>
      <c r="V158" s="326"/>
      <c r="W158" s="326"/>
      <c r="X158" s="326"/>
      <c r="Y158" s="326"/>
      <c r="Z158" s="326"/>
      <c r="AA158" s="326"/>
      <c r="AB158" s="326"/>
      <c r="AC158" s="326"/>
      <c r="AD158" s="326"/>
      <c r="AE158" s="326"/>
      <c r="AF158" s="326"/>
      <c r="AG158" s="326"/>
      <c r="AH158" s="326"/>
      <c r="AI158" s="326"/>
      <c r="AJ158" s="326"/>
      <c r="AK158" s="326"/>
      <c r="AL158" s="326"/>
      <c r="AM158" s="326"/>
      <c r="AN158" s="326"/>
      <c r="AO158" s="326"/>
      <c r="AP158" s="326"/>
      <c r="AQ158" s="326"/>
      <c r="AR158" s="326"/>
      <c r="AS158" s="326"/>
      <c r="AT158" s="326"/>
      <c r="AU158" s="326"/>
      <c r="AV158" s="326"/>
      <c r="AW158" s="326"/>
      <c r="AX158" s="326"/>
      <c r="AY158" s="326"/>
      <c r="AZ158" s="326"/>
      <c r="BA158" s="326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  <c r="BM158" s="326"/>
      <c r="BN158" s="326"/>
      <c r="BO158" s="326"/>
      <c r="BP158" s="326"/>
      <c r="BQ158" s="326"/>
      <c r="BR158" s="326"/>
      <c r="BS158" s="326"/>
      <c r="BT158" s="326"/>
      <c r="BU158" s="326"/>
      <c r="BV158" s="162"/>
      <c r="BW158" s="162"/>
    </row>
    <row r="159" s="140" customFormat="1" customHeight="1" spans="1:75">
      <c r="A159" s="161">
        <v>187</v>
      </c>
      <c r="B159" s="581" t="s">
        <v>287</v>
      </c>
      <c r="C159" s="162"/>
      <c r="D159" s="581" t="s">
        <v>137</v>
      </c>
      <c r="E159" s="581">
        <v>0.0264</v>
      </c>
      <c r="F159" s="556">
        <v>630</v>
      </c>
      <c r="G159" s="557">
        <f t="shared" si="28"/>
        <v>16.632</v>
      </c>
      <c r="H159" s="558">
        <f t="shared" si="29"/>
        <v>0</v>
      </c>
      <c r="I159" s="559">
        <f t="shared" si="30"/>
        <v>0</v>
      </c>
      <c r="J159" s="558">
        <f t="shared" si="31"/>
        <v>230</v>
      </c>
      <c r="K159" s="559">
        <f t="shared" si="32"/>
        <v>6.072</v>
      </c>
      <c r="L159" s="558">
        <f t="shared" si="33"/>
        <v>400</v>
      </c>
      <c r="M159" s="559">
        <f t="shared" si="34"/>
        <v>10.56</v>
      </c>
      <c r="N159" s="326"/>
      <c r="O159" s="326"/>
      <c r="P159" s="326"/>
      <c r="Q159" s="326">
        <v>30</v>
      </c>
      <c r="R159" s="326"/>
      <c r="S159" s="326">
        <v>50</v>
      </c>
      <c r="T159" s="326"/>
      <c r="U159" s="326"/>
      <c r="V159" s="326"/>
      <c r="W159" s="326"/>
      <c r="X159" s="326"/>
      <c r="Y159" s="326">
        <v>50</v>
      </c>
      <c r="Z159" s="326"/>
      <c r="AA159" s="326"/>
      <c r="AB159" s="326"/>
      <c r="AC159" s="326"/>
      <c r="AD159" s="326"/>
      <c r="AE159" s="326">
        <v>50</v>
      </c>
      <c r="AF159" s="326"/>
      <c r="AG159" s="326"/>
      <c r="AH159" s="326"/>
      <c r="AI159" s="326"/>
      <c r="AJ159" s="326"/>
      <c r="AK159" s="326">
        <v>50</v>
      </c>
      <c r="AL159" s="326"/>
      <c r="AM159" s="326"/>
      <c r="AN159" s="326"/>
      <c r="AO159" s="326"/>
      <c r="AP159" s="326"/>
      <c r="AQ159" s="326"/>
      <c r="AR159" s="326"/>
      <c r="AS159" s="326"/>
      <c r="AT159" s="326"/>
      <c r="AU159" s="326"/>
      <c r="AV159" s="326"/>
      <c r="AW159" s="326"/>
      <c r="AX159" s="326"/>
      <c r="AY159" s="326"/>
      <c r="AZ159" s="326"/>
      <c r="BA159" s="326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  <c r="BM159" s="326"/>
      <c r="BN159" s="326"/>
      <c r="BO159" s="326"/>
      <c r="BP159" s="326"/>
      <c r="BQ159" s="326"/>
      <c r="BR159" s="326"/>
      <c r="BS159" s="326"/>
      <c r="BT159" s="326"/>
      <c r="BU159" s="326"/>
      <c r="BV159" s="162"/>
      <c r="BW159" s="162"/>
    </row>
    <row r="160" s="140" customFormat="1" customHeight="1" spans="1:75">
      <c r="A160" s="161">
        <v>188</v>
      </c>
      <c r="B160" s="581" t="s">
        <v>288</v>
      </c>
      <c r="C160" s="162"/>
      <c r="D160" s="581" t="s">
        <v>137</v>
      </c>
      <c r="E160" s="581">
        <v>80.2</v>
      </c>
      <c r="F160" s="556">
        <v>0</v>
      </c>
      <c r="G160" s="557">
        <f t="shared" si="28"/>
        <v>0</v>
      </c>
      <c r="H160" s="558">
        <f t="shared" si="29"/>
        <v>0</v>
      </c>
      <c r="I160" s="559">
        <f t="shared" si="30"/>
        <v>0</v>
      </c>
      <c r="J160" s="558">
        <f t="shared" si="31"/>
        <v>0</v>
      </c>
      <c r="K160" s="559">
        <f t="shared" si="32"/>
        <v>0</v>
      </c>
      <c r="L160" s="558">
        <f t="shared" si="33"/>
        <v>0</v>
      </c>
      <c r="M160" s="559">
        <f t="shared" si="34"/>
        <v>0</v>
      </c>
      <c r="N160" s="326"/>
      <c r="O160" s="326"/>
      <c r="P160" s="326"/>
      <c r="Q160" s="326"/>
      <c r="R160" s="326"/>
      <c r="S160" s="326"/>
      <c r="T160" s="326"/>
      <c r="U160" s="326"/>
      <c r="V160" s="326"/>
      <c r="W160" s="326"/>
      <c r="X160" s="326"/>
      <c r="Y160" s="326"/>
      <c r="Z160" s="326"/>
      <c r="AA160" s="326"/>
      <c r="AB160" s="326"/>
      <c r="AC160" s="326"/>
      <c r="AD160" s="326"/>
      <c r="AE160" s="326"/>
      <c r="AF160" s="326"/>
      <c r="AG160" s="326"/>
      <c r="AH160" s="326"/>
      <c r="AI160" s="326"/>
      <c r="AJ160" s="326"/>
      <c r="AK160" s="326"/>
      <c r="AL160" s="326"/>
      <c r="AM160" s="326"/>
      <c r="AN160" s="326"/>
      <c r="AO160" s="326"/>
      <c r="AP160" s="326"/>
      <c r="AQ160" s="326"/>
      <c r="AR160" s="326"/>
      <c r="AS160" s="326"/>
      <c r="AT160" s="326"/>
      <c r="AU160" s="326"/>
      <c r="AV160" s="326"/>
      <c r="AW160" s="326"/>
      <c r="AX160" s="326"/>
      <c r="AY160" s="326"/>
      <c r="AZ160" s="326"/>
      <c r="BA160" s="326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  <c r="BM160" s="326"/>
      <c r="BN160" s="326"/>
      <c r="BO160" s="326"/>
      <c r="BP160" s="326"/>
      <c r="BQ160" s="326"/>
      <c r="BR160" s="326"/>
      <c r="BS160" s="326"/>
      <c r="BT160" s="326"/>
      <c r="BU160" s="326"/>
      <c r="BV160" s="162"/>
      <c r="BW160" s="162"/>
    </row>
    <row r="161" s="140" customFormat="1" customHeight="1" spans="1:75">
      <c r="A161" s="161">
        <v>189</v>
      </c>
      <c r="B161" s="581" t="s">
        <v>289</v>
      </c>
      <c r="C161" s="162"/>
      <c r="D161" s="581" t="s">
        <v>137</v>
      </c>
      <c r="E161" s="581">
        <v>26.82</v>
      </c>
      <c r="F161" s="556">
        <v>0</v>
      </c>
      <c r="G161" s="557">
        <f t="shared" si="28"/>
        <v>0</v>
      </c>
      <c r="H161" s="558">
        <f t="shared" si="29"/>
        <v>0</v>
      </c>
      <c r="I161" s="559">
        <f t="shared" si="30"/>
        <v>0</v>
      </c>
      <c r="J161" s="558">
        <f t="shared" si="31"/>
        <v>0</v>
      </c>
      <c r="K161" s="559">
        <f t="shared" si="32"/>
        <v>0</v>
      </c>
      <c r="L161" s="558">
        <f t="shared" si="33"/>
        <v>0</v>
      </c>
      <c r="M161" s="559">
        <f t="shared" si="34"/>
        <v>0</v>
      </c>
      <c r="N161" s="326"/>
      <c r="O161" s="326"/>
      <c r="P161" s="326"/>
      <c r="Q161" s="326"/>
      <c r="R161" s="326"/>
      <c r="S161" s="326"/>
      <c r="T161" s="326"/>
      <c r="U161" s="326"/>
      <c r="V161" s="326"/>
      <c r="W161" s="326"/>
      <c r="X161" s="326"/>
      <c r="Y161" s="326"/>
      <c r="Z161" s="326"/>
      <c r="AA161" s="326"/>
      <c r="AB161" s="326"/>
      <c r="AC161" s="326"/>
      <c r="AD161" s="326"/>
      <c r="AE161" s="326"/>
      <c r="AF161" s="326"/>
      <c r="AG161" s="326"/>
      <c r="AH161" s="326"/>
      <c r="AI161" s="326"/>
      <c r="AJ161" s="326"/>
      <c r="AK161" s="326"/>
      <c r="AL161" s="326"/>
      <c r="AM161" s="326"/>
      <c r="AN161" s="326"/>
      <c r="AO161" s="326"/>
      <c r="AP161" s="326"/>
      <c r="AQ161" s="326"/>
      <c r="AR161" s="326"/>
      <c r="AS161" s="326"/>
      <c r="AT161" s="326"/>
      <c r="AU161" s="326"/>
      <c r="AV161" s="326"/>
      <c r="AW161" s="326"/>
      <c r="AX161" s="326"/>
      <c r="AY161" s="326"/>
      <c r="AZ161" s="326"/>
      <c r="BA161" s="326"/>
      <c r="BB161" s="326"/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  <c r="BM161" s="326"/>
      <c r="BN161" s="326"/>
      <c r="BO161" s="326"/>
      <c r="BP161" s="326"/>
      <c r="BQ161" s="326"/>
      <c r="BR161" s="326"/>
      <c r="BS161" s="326"/>
      <c r="BT161" s="326"/>
      <c r="BU161" s="326"/>
      <c r="BV161" s="162"/>
      <c r="BW161" s="162"/>
    </row>
    <row r="162" s="140" customFormat="1" customHeight="1" spans="1:75">
      <c r="A162" s="161">
        <v>190</v>
      </c>
      <c r="B162" s="581" t="s">
        <v>290</v>
      </c>
      <c r="C162" s="162"/>
      <c r="D162" s="581" t="s">
        <v>137</v>
      </c>
      <c r="E162" s="581">
        <v>0.6915</v>
      </c>
      <c r="F162" s="556">
        <v>18</v>
      </c>
      <c r="G162" s="557">
        <f t="shared" si="28"/>
        <v>12.447</v>
      </c>
      <c r="H162" s="558">
        <f t="shared" si="29"/>
        <v>0</v>
      </c>
      <c r="I162" s="559">
        <f t="shared" si="30"/>
        <v>0</v>
      </c>
      <c r="J162" s="558">
        <f t="shared" si="31"/>
        <v>18</v>
      </c>
      <c r="K162" s="559">
        <f t="shared" si="32"/>
        <v>12.447</v>
      </c>
      <c r="L162" s="558">
        <f t="shared" si="33"/>
        <v>0</v>
      </c>
      <c r="M162" s="559">
        <f t="shared" si="34"/>
        <v>0</v>
      </c>
      <c r="N162" s="326"/>
      <c r="O162" s="326"/>
      <c r="P162" s="326"/>
      <c r="Q162" s="326"/>
      <c r="R162" s="326"/>
      <c r="S162" s="326">
        <v>5</v>
      </c>
      <c r="T162" s="326"/>
      <c r="U162" s="326">
        <v>5</v>
      </c>
      <c r="V162" s="326"/>
      <c r="W162" s="326"/>
      <c r="X162" s="326"/>
      <c r="Y162" s="326">
        <v>8</v>
      </c>
      <c r="Z162" s="326"/>
      <c r="AA162" s="326"/>
      <c r="AB162" s="326"/>
      <c r="AC162" s="326"/>
      <c r="AD162" s="326"/>
      <c r="AE162" s="326"/>
      <c r="AF162" s="326"/>
      <c r="AG162" s="326"/>
      <c r="AH162" s="326"/>
      <c r="AI162" s="326"/>
      <c r="AJ162" s="326"/>
      <c r="AK162" s="326"/>
      <c r="AL162" s="326"/>
      <c r="AM162" s="326"/>
      <c r="AN162" s="326"/>
      <c r="AO162" s="326"/>
      <c r="AP162" s="326"/>
      <c r="AQ162" s="326"/>
      <c r="AR162" s="326"/>
      <c r="AS162" s="326"/>
      <c r="AT162" s="326"/>
      <c r="AU162" s="326"/>
      <c r="AV162" s="326"/>
      <c r="AW162" s="326"/>
      <c r="AX162" s="326"/>
      <c r="AY162" s="326"/>
      <c r="AZ162" s="326"/>
      <c r="BA162" s="326"/>
      <c r="BB162" s="326"/>
      <c r="BC162" s="326"/>
      <c r="BD162" s="326"/>
      <c r="BE162" s="326"/>
      <c r="BF162" s="326"/>
      <c r="BG162" s="326"/>
      <c r="BH162" s="326"/>
      <c r="BI162" s="326"/>
      <c r="BJ162" s="326"/>
      <c r="BK162" s="326"/>
      <c r="BL162" s="326"/>
      <c r="BM162" s="326"/>
      <c r="BN162" s="326"/>
      <c r="BO162" s="326"/>
      <c r="BP162" s="326"/>
      <c r="BQ162" s="326"/>
      <c r="BR162" s="326"/>
      <c r="BS162" s="326"/>
      <c r="BT162" s="326"/>
      <c r="BU162" s="326"/>
      <c r="BV162" s="162"/>
      <c r="BW162" s="162"/>
    </row>
    <row r="163" s="140" customFormat="1" customHeight="1" spans="1:75">
      <c r="A163" s="161">
        <v>191</v>
      </c>
      <c r="B163" s="581" t="s">
        <v>291</v>
      </c>
      <c r="C163" s="162"/>
      <c r="D163" s="581" t="s">
        <v>137</v>
      </c>
      <c r="E163" s="581">
        <v>36</v>
      </c>
      <c r="F163" s="556">
        <v>0</v>
      </c>
      <c r="G163" s="557">
        <f t="shared" si="28"/>
        <v>0</v>
      </c>
      <c r="H163" s="558">
        <f t="shared" si="29"/>
        <v>0</v>
      </c>
      <c r="I163" s="559">
        <f t="shared" si="30"/>
        <v>0</v>
      </c>
      <c r="J163" s="558">
        <f t="shared" si="31"/>
        <v>0</v>
      </c>
      <c r="K163" s="559">
        <f t="shared" si="32"/>
        <v>0</v>
      </c>
      <c r="L163" s="558">
        <f t="shared" si="33"/>
        <v>0</v>
      </c>
      <c r="M163" s="559">
        <f t="shared" si="34"/>
        <v>0</v>
      </c>
      <c r="N163" s="326"/>
      <c r="O163" s="326"/>
      <c r="P163" s="326"/>
      <c r="Q163" s="326"/>
      <c r="R163" s="326"/>
      <c r="S163" s="326"/>
      <c r="T163" s="326"/>
      <c r="U163" s="326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  <c r="AI163" s="326"/>
      <c r="AJ163" s="326"/>
      <c r="AK163" s="326"/>
      <c r="AL163" s="326"/>
      <c r="AM163" s="326"/>
      <c r="AN163" s="326"/>
      <c r="AO163" s="326"/>
      <c r="AP163" s="326"/>
      <c r="AQ163" s="326"/>
      <c r="AR163" s="326"/>
      <c r="AS163" s="326"/>
      <c r="AT163" s="326"/>
      <c r="AU163" s="326"/>
      <c r="AV163" s="326"/>
      <c r="AW163" s="326"/>
      <c r="AX163" s="326"/>
      <c r="AY163" s="326"/>
      <c r="AZ163" s="326"/>
      <c r="BA163" s="326"/>
      <c r="BB163" s="326"/>
      <c r="BC163" s="326"/>
      <c r="BD163" s="326"/>
      <c r="BE163" s="326"/>
      <c r="BF163" s="326"/>
      <c r="BG163" s="326"/>
      <c r="BH163" s="326"/>
      <c r="BI163" s="326"/>
      <c r="BJ163" s="326"/>
      <c r="BK163" s="326"/>
      <c r="BL163" s="326"/>
      <c r="BM163" s="326"/>
      <c r="BN163" s="326"/>
      <c r="BO163" s="326"/>
      <c r="BP163" s="326"/>
      <c r="BQ163" s="326"/>
      <c r="BR163" s="326"/>
      <c r="BS163" s="326"/>
      <c r="BT163" s="326"/>
      <c r="BU163" s="326"/>
      <c r="BV163" s="162"/>
      <c r="BW163" s="162"/>
    </row>
    <row r="164" s="140" customFormat="1" customHeight="1" spans="1:75">
      <c r="A164" s="161">
        <v>192</v>
      </c>
      <c r="B164" s="581" t="s">
        <v>292</v>
      </c>
      <c r="C164" s="162"/>
      <c r="D164" s="581" t="s">
        <v>137</v>
      </c>
      <c r="E164" s="581">
        <v>0.3</v>
      </c>
      <c r="F164" s="556">
        <v>0</v>
      </c>
      <c r="G164" s="557">
        <f t="shared" si="28"/>
        <v>0</v>
      </c>
      <c r="H164" s="558">
        <f t="shared" si="29"/>
        <v>0</v>
      </c>
      <c r="I164" s="559">
        <f t="shared" si="30"/>
        <v>0</v>
      </c>
      <c r="J164" s="558">
        <f t="shared" si="31"/>
        <v>0</v>
      </c>
      <c r="K164" s="559">
        <f t="shared" si="32"/>
        <v>0</v>
      </c>
      <c r="L164" s="558">
        <f t="shared" si="33"/>
        <v>0</v>
      </c>
      <c r="M164" s="559">
        <f t="shared" si="34"/>
        <v>0</v>
      </c>
      <c r="N164" s="326"/>
      <c r="O164" s="326"/>
      <c r="P164" s="326"/>
      <c r="Q164" s="326"/>
      <c r="R164" s="326"/>
      <c r="S164" s="326"/>
      <c r="T164" s="326"/>
      <c r="U164" s="326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  <c r="AI164" s="326"/>
      <c r="AJ164" s="326"/>
      <c r="AK164" s="326"/>
      <c r="AL164" s="326"/>
      <c r="AM164" s="326"/>
      <c r="AN164" s="326"/>
      <c r="AO164" s="326"/>
      <c r="AP164" s="326"/>
      <c r="AQ164" s="326"/>
      <c r="AR164" s="326"/>
      <c r="AS164" s="326"/>
      <c r="AT164" s="326"/>
      <c r="AU164" s="326"/>
      <c r="AV164" s="326"/>
      <c r="AW164" s="326"/>
      <c r="AX164" s="326"/>
      <c r="AY164" s="326"/>
      <c r="AZ164" s="326"/>
      <c r="BA164" s="326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  <c r="BM164" s="326"/>
      <c r="BN164" s="326"/>
      <c r="BO164" s="326"/>
      <c r="BP164" s="326"/>
      <c r="BQ164" s="326"/>
      <c r="BR164" s="326"/>
      <c r="BS164" s="326"/>
      <c r="BT164" s="326"/>
      <c r="BU164" s="326"/>
      <c r="BV164" s="162"/>
      <c r="BW164" s="162"/>
    </row>
    <row r="165" s="140" customFormat="1" customHeight="1" spans="1:75">
      <c r="A165" s="161">
        <v>193</v>
      </c>
      <c r="B165" s="431" t="s">
        <v>293</v>
      </c>
      <c r="C165" s="162"/>
      <c r="D165" s="588" t="s">
        <v>294</v>
      </c>
      <c r="E165" s="581">
        <v>1.59</v>
      </c>
      <c r="F165" s="556">
        <v>0</v>
      </c>
      <c r="G165" s="557">
        <f t="shared" si="28"/>
        <v>0</v>
      </c>
      <c r="H165" s="558">
        <f t="shared" si="29"/>
        <v>0</v>
      </c>
      <c r="I165" s="559">
        <f t="shared" si="30"/>
        <v>0</v>
      </c>
      <c r="J165" s="558">
        <f t="shared" si="31"/>
        <v>0</v>
      </c>
      <c r="K165" s="559">
        <f t="shared" si="32"/>
        <v>0</v>
      </c>
      <c r="L165" s="558">
        <f t="shared" si="33"/>
        <v>0</v>
      </c>
      <c r="M165" s="559">
        <f t="shared" si="34"/>
        <v>0</v>
      </c>
      <c r="N165" s="326"/>
      <c r="O165" s="326"/>
      <c r="P165" s="326"/>
      <c r="Q165" s="326"/>
      <c r="R165" s="326"/>
      <c r="S165" s="326"/>
      <c r="T165" s="326"/>
      <c r="U165" s="326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  <c r="AI165" s="326"/>
      <c r="AJ165" s="326"/>
      <c r="AK165" s="326"/>
      <c r="AL165" s="326"/>
      <c r="AM165" s="326"/>
      <c r="AN165" s="326"/>
      <c r="AO165" s="326"/>
      <c r="AP165" s="326"/>
      <c r="AQ165" s="326"/>
      <c r="AR165" s="326"/>
      <c r="AS165" s="326"/>
      <c r="AT165" s="326"/>
      <c r="AU165" s="326"/>
      <c r="AV165" s="326"/>
      <c r="AW165" s="326"/>
      <c r="AX165" s="326"/>
      <c r="AY165" s="326"/>
      <c r="AZ165" s="326"/>
      <c r="BA165" s="326"/>
      <c r="BB165" s="326"/>
      <c r="BC165" s="326"/>
      <c r="BD165" s="326"/>
      <c r="BE165" s="326"/>
      <c r="BF165" s="326"/>
      <c r="BG165" s="326"/>
      <c r="BH165" s="326"/>
      <c r="BI165" s="326"/>
      <c r="BJ165" s="326"/>
      <c r="BK165" s="326"/>
      <c r="BL165" s="326"/>
      <c r="BM165" s="326"/>
      <c r="BN165" s="326"/>
      <c r="BO165" s="326"/>
      <c r="BP165" s="326"/>
      <c r="BQ165" s="326"/>
      <c r="BR165" s="326"/>
      <c r="BS165" s="326"/>
      <c r="BT165" s="326"/>
      <c r="BU165" s="326"/>
      <c r="BV165" s="162"/>
      <c r="BW165" s="162"/>
    </row>
    <row r="166" s="140" customFormat="1" customHeight="1" spans="1:75">
      <c r="A166" s="161">
        <v>194</v>
      </c>
      <c r="B166" s="582" t="s">
        <v>295</v>
      </c>
      <c r="C166" s="162"/>
      <c r="D166" s="588" t="s">
        <v>137</v>
      </c>
      <c r="E166" s="581">
        <v>133.2</v>
      </c>
      <c r="F166" s="556">
        <v>0</v>
      </c>
      <c r="G166" s="557">
        <f t="shared" si="28"/>
        <v>0</v>
      </c>
      <c r="H166" s="558">
        <f t="shared" si="29"/>
        <v>0</v>
      </c>
      <c r="I166" s="559">
        <f t="shared" si="30"/>
        <v>0</v>
      </c>
      <c r="J166" s="558">
        <f t="shared" si="31"/>
        <v>0</v>
      </c>
      <c r="K166" s="559">
        <f t="shared" si="32"/>
        <v>0</v>
      </c>
      <c r="L166" s="558">
        <f t="shared" si="33"/>
        <v>0</v>
      </c>
      <c r="M166" s="559">
        <f t="shared" si="34"/>
        <v>0</v>
      </c>
      <c r="N166" s="326"/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26"/>
      <c r="AO166" s="326"/>
      <c r="AP166" s="326"/>
      <c r="AQ166" s="326"/>
      <c r="AR166" s="326"/>
      <c r="AS166" s="326"/>
      <c r="AT166" s="326"/>
      <c r="AU166" s="326"/>
      <c r="AV166" s="326"/>
      <c r="AW166" s="326"/>
      <c r="AX166" s="326"/>
      <c r="AY166" s="326"/>
      <c r="AZ166" s="326"/>
      <c r="BA166" s="326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  <c r="BM166" s="326"/>
      <c r="BN166" s="326"/>
      <c r="BO166" s="326"/>
      <c r="BP166" s="326"/>
      <c r="BQ166" s="326"/>
      <c r="BR166" s="326"/>
      <c r="BS166" s="326"/>
      <c r="BT166" s="326"/>
      <c r="BU166" s="326"/>
      <c r="BV166" s="162"/>
      <c r="BW166" s="162"/>
    </row>
    <row r="167" s="140" customFormat="1" customHeight="1" spans="1:75">
      <c r="A167" s="161">
        <v>195</v>
      </c>
      <c r="B167" s="581" t="s">
        <v>264</v>
      </c>
      <c r="C167" s="162"/>
      <c r="D167" s="581" t="s">
        <v>137</v>
      </c>
      <c r="E167" s="581">
        <v>0.12</v>
      </c>
      <c r="F167" s="556">
        <v>0</v>
      </c>
      <c r="G167" s="557">
        <f t="shared" si="28"/>
        <v>0</v>
      </c>
      <c r="H167" s="558">
        <f t="shared" si="29"/>
        <v>0</v>
      </c>
      <c r="I167" s="559">
        <f t="shared" si="30"/>
        <v>0</v>
      </c>
      <c r="J167" s="558">
        <f t="shared" si="31"/>
        <v>0</v>
      </c>
      <c r="K167" s="559">
        <f t="shared" si="32"/>
        <v>0</v>
      </c>
      <c r="L167" s="558">
        <f t="shared" si="33"/>
        <v>0</v>
      </c>
      <c r="M167" s="559">
        <f t="shared" si="34"/>
        <v>0</v>
      </c>
      <c r="N167" s="326"/>
      <c r="O167" s="326"/>
      <c r="P167" s="326"/>
      <c r="Q167" s="326"/>
      <c r="R167" s="326"/>
      <c r="S167" s="326"/>
      <c r="T167" s="326"/>
      <c r="U167" s="326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  <c r="AI167" s="326"/>
      <c r="AJ167" s="326"/>
      <c r="AK167" s="326"/>
      <c r="AL167" s="326"/>
      <c r="AM167" s="326"/>
      <c r="AN167" s="326"/>
      <c r="AO167" s="326"/>
      <c r="AP167" s="326"/>
      <c r="AQ167" s="326"/>
      <c r="AR167" s="326"/>
      <c r="AS167" s="326"/>
      <c r="AT167" s="326"/>
      <c r="AU167" s="326"/>
      <c r="AV167" s="326"/>
      <c r="AW167" s="326"/>
      <c r="AX167" s="326"/>
      <c r="AY167" s="326"/>
      <c r="AZ167" s="326"/>
      <c r="BA167" s="326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  <c r="BM167" s="326"/>
      <c r="BN167" s="326"/>
      <c r="BO167" s="326"/>
      <c r="BP167" s="326"/>
      <c r="BQ167" s="326"/>
      <c r="BR167" s="326"/>
      <c r="BS167" s="326"/>
      <c r="BT167" s="326"/>
      <c r="BU167" s="326"/>
      <c r="BV167" s="162"/>
      <c r="BW167" s="162"/>
    </row>
    <row r="168" s="140" customFormat="1" customHeight="1" spans="1:75">
      <c r="A168" s="161">
        <v>196</v>
      </c>
      <c r="B168" s="431" t="s">
        <v>271</v>
      </c>
      <c r="C168" s="162"/>
      <c r="D168" s="431" t="s">
        <v>137</v>
      </c>
      <c r="E168" s="431">
        <v>26.5</v>
      </c>
      <c r="F168" s="556">
        <v>0</v>
      </c>
      <c r="G168" s="557">
        <f t="shared" si="28"/>
        <v>0</v>
      </c>
      <c r="H168" s="558">
        <f t="shared" si="29"/>
        <v>0</v>
      </c>
      <c r="I168" s="559">
        <f t="shared" si="30"/>
        <v>0</v>
      </c>
      <c r="J168" s="558">
        <f t="shared" si="31"/>
        <v>0</v>
      </c>
      <c r="K168" s="559">
        <f t="shared" si="32"/>
        <v>0</v>
      </c>
      <c r="L168" s="558">
        <f t="shared" si="33"/>
        <v>0</v>
      </c>
      <c r="M168" s="559">
        <f t="shared" si="34"/>
        <v>0</v>
      </c>
      <c r="N168" s="318"/>
      <c r="O168" s="318"/>
      <c r="P168" s="318"/>
      <c r="Q168" s="318"/>
      <c r="R168" s="318"/>
      <c r="S168" s="318"/>
      <c r="T168" s="318"/>
      <c r="U168" s="318"/>
      <c r="V168" s="318"/>
      <c r="W168" s="318"/>
      <c r="X168" s="318"/>
      <c r="Y168" s="318"/>
      <c r="Z168" s="318"/>
      <c r="AA168" s="318"/>
      <c r="AB168" s="318"/>
      <c r="AC168" s="318"/>
      <c r="AD168" s="318"/>
      <c r="AE168" s="318"/>
      <c r="AF168" s="318"/>
      <c r="AG168" s="318"/>
      <c r="AH168" s="318"/>
      <c r="AI168" s="318"/>
      <c r="AJ168" s="318"/>
      <c r="AK168" s="318"/>
      <c r="AL168" s="318"/>
      <c r="AM168" s="318"/>
      <c r="AN168" s="318"/>
      <c r="AO168" s="318"/>
      <c r="AP168" s="318"/>
      <c r="AQ168" s="318"/>
      <c r="AR168" s="318"/>
      <c r="AS168" s="318"/>
      <c r="AT168" s="318"/>
      <c r="AU168" s="318"/>
      <c r="AV168" s="318"/>
      <c r="AW168" s="318"/>
      <c r="AX168" s="318"/>
      <c r="AY168" s="318"/>
      <c r="AZ168" s="318"/>
      <c r="BA168" s="318"/>
      <c r="BB168" s="318"/>
      <c r="BC168" s="318"/>
      <c r="BD168" s="318"/>
      <c r="BE168" s="318"/>
      <c r="BF168" s="318"/>
      <c r="BG168" s="318"/>
      <c r="BH168" s="318"/>
      <c r="BI168" s="318"/>
      <c r="BJ168" s="318"/>
      <c r="BK168" s="318"/>
      <c r="BL168" s="318"/>
      <c r="BM168" s="318"/>
      <c r="BN168" s="318"/>
      <c r="BO168" s="318"/>
      <c r="BP168" s="318"/>
      <c r="BQ168" s="318"/>
      <c r="BR168" s="318"/>
      <c r="BS168" s="318"/>
      <c r="BT168" s="318"/>
      <c r="BU168" s="318"/>
      <c r="BV168" s="162"/>
      <c r="BW168" s="162"/>
    </row>
    <row r="169" s="140" customFormat="1" customHeight="1" spans="1:75">
      <c r="A169" s="161">
        <v>197</v>
      </c>
      <c r="B169" s="431" t="s">
        <v>296</v>
      </c>
      <c r="C169" s="162"/>
      <c r="D169" s="431" t="s">
        <v>137</v>
      </c>
      <c r="E169" s="431">
        <v>35.1</v>
      </c>
      <c r="F169" s="556">
        <v>0</v>
      </c>
      <c r="G169" s="557">
        <f t="shared" si="28"/>
        <v>0</v>
      </c>
      <c r="H169" s="558">
        <f t="shared" si="29"/>
        <v>0</v>
      </c>
      <c r="I169" s="559">
        <f t="shared" si="30"/>
        <v>0</v>
      </c>
      <c r="J169" s="558">
        <f t="shared" si="31"/>
        <v>0</v>
      </c>
      <c r="K169" s="559">
        <f t="shared" si="32"/>
        <v>0</v>
      </c>
      <c r="L169" s="558">
        <f t="shared" si="33"/>
        <v>0</v>
      </c>
      <c r="M169" s="559">
        <f t="shared" si="34"/>
        <v>0</v>
      </c>
      <c r="N169" s="318"/>
      <c r="O169" s="318"/>
      <c r="P169" s="318"/>
      <c r="Q169" s="318"/>
      <c r="R169" s="318"/>
      <c r="S169" s="318"/>
      <c r="T169" s="318"/>
      <c r="U169" s="318"/>
      <c r="V169" s="318"/>
      <c r="W169" s="318"/>
      <c r="X169" s="318"/>
      <c r="Y169" s="318"/>
      <c r="Z169" s="318"/>
      <c r="AA169" s="318"/>
      <c r="AB169" s="318"/>
      <c r="AC169" s="318"/>
      <c r="AD169" s="318"/>
      <c r="AE169" s="318"/>
      <c r="AF169" s="318"/>
      <c r="AG169" s="318"/>
      <c r="AH169" s="318"/>
      <c r="AI169" s="318"/>
      <c r="AJ169" s="318"/>
      <c r="AK169" s="318"/>
      <c r="AL169" s="318"/>
      <c r="AM169" s="318"/>
      <c r="AN169" s="318"/>
      <c r="AO169" s="318"/>
      <c r="AP169" s="318"/>
      <c r="AQ169" s="318"/>
      <c r="AR169" s="318"/>
      <c r="AS169" s="318"/>
      <c r="AT169" s="318"/>
      <c r="AU169" s="318"/>
      <c r="AV169" s="318"/>
      <c r="AW169" s="318"/>
      <c r="AX169" s="318"/>
      <c r="AY169" s="318"/>
      <c r="AZ169" s="318"/>
      <c r="BA169" s="318"/>
      <c r="BB169" s="318"/>
      <c r="BC169" s="318"/>
      <c r="BD169" s="318"/>
      <c r="BE169" s="318"/>
      <c r="BF169" s="318"/>
      <c r="BG169" s="318"/>
      <c r="BH169" s="318"/>
      <c r="BI169" s="318"/>
      <c r="BJ169" s="318"/>
      <c r="BK169" s="318"/>
      <c r="BL169" s="318"/>
      <c r="BM169" s="318"/>
      <c r="BN169" s="318"/>
      <c r="BO169" s="318"/>
      <c r="BP169" s="318"/>
      <c r="BQ169" s="318"/>
      <c r="BR169" s="318"/>
      <c r="BS169" s="318"/>
      <c r="BT169" s="318"/>
      <c r="BU169" s="318"/>
      <c r="BV169" s="162"/>
      <c r="BW169" s="162"/>
    </row>
    <row r="170" s="360" customFormat="1" customHeight="1" spans="1:75">
      <c r="A170" s="162"/>
      <c r="B170" s="162" t="s">
        <v>297</v>
      </c>
      <c r="C170" s="162"/>
      <c r="D170" s="162"/>
      <c r="E170" s="162"/>
      <c r="F170" s="162">
        <f>SUM(F5:F169)</f>
        <v>23621</v>
      </c>
      <c r="G170" s="162">
        <f>SUM(G5:G169)</f>
        <v>5090.637608764</v>
      </c>
      <c r="H170" s="558">
        <f t="shared" si="29"/>
        <v>3291</v>
      </c>
      <c r="I170" s="559">
        <f>SUM(I5:I169)</f>
        <v>1534.92</v>
      </c>
      <c r="J170" s="558">
        <f t="shared" si="31"/>
        <v>9067</v>
      </c>
      <c r="K170" s="559">
        <f>SUM(K5:K169)</f>
        <v>2406.899359033</v>
      </c>
      <c r="L170" s="558">
        <f t="shared" si="33"/>
        <v>17845</v>
      </c>
      <c r="M170" s="559">
        <f>SUM(M5:M169)</f>
        <v>4218.658249731</v>
      </c>
      <c r="N170" s="171">
        <f t="shared" ref="K170:BW170" si="35">SUM(N5:N169)</f>
        <v>0</v>
      </c>
      <c r="O170" s="171">
        <f t="shared" si="35"/>
        <v>559</v>
      </c>
      <c r="P170" s="171">
        <f t="shared" si="35"/>
        <v>2000</v>
      </c>
      <c r="Q170" s="171">
        <f t="shared" si="35"/>
        <v>423</v>
      </c>
      <c r="R170" s="171">
        <f t="shared" si="35"/>
        <v>13</v>
      </c>
      <c r="S170" s="171">
        <f t="shared" si="35"/>
        <v>529</v>
      </c>
      <c r="T170" s="171">
        <f t="shared" si="35"/>
        <v>0</v>
      </c>
      <c r="U170" s="171">
        <f t="shared" si="35"/>
        <v>211</v>
      </c>
      <c r="V170" s="171">
        <f t="shared" si="35"/>
        <v>724</v>
      </c>
      <c r="W170" s="171">
        <f t="shared" si="35"/>
        <v>587</v>
      </c>
      <c r="X170" s="171">
        <f t="shared" si="35"/>
        <v>15</v>
      </c>
      <c r="Y170" s="171">
        <f t="shared" si="35"/>
        <v>254</v>
      </c>
      <c r="Z170" s="171">
        <f t="shared" si="35"/>
        <v>500</v>
      </c>
      <c r="AA170" s="171">
        <f t="shared" si="35"/>
        <v>768</v>
      </c>
      <c r="AB170" s="171">
        <f t="shared" si="35"/>
        <v>0</v>
      </c>
      <c r="AC170" s="171">
        <f t="shared" si="35"/>
        <v>261</v>
      </c>
      <c r="AD170" s="171">
        <f t="shared" si="35"/>
        <v>30</v>
      </c>
      <c r="AE170" s="171">
        <f t="shared" si="35"/>
        <v>1053</v>
      </c>
      <c r="AF170" s="171">
        <f t="shared" si="35"/>
        <v>0</v>
      </c>
      <c r="AG170" s="171">
        <f t="shared" si="35"/>
        <v>69</v>
      </c>
      <c r="AH170" s="171">
        <f t="shared" si="35"/>
        <v>9</v>
      </c>
      <c r="AI170" s="171">
        <f t="shared" si="35"/>
        <v>241</v>
      </c>
      <c r="AJ170" s="171">
        <f t="shared" si="35"/>
        <v>0</v>
      </c>
      <c r="AK170" s="171">
        <f t="shared" si="35"/>
        <v>233</v>
      </c>
      <c r="AL170" s="171">
        <f t="shared" si="35"/>
        <v>0</v>
      </c>
      <c r="AM170" s="171">
        <f t="shared" si="35"/>
        <v>149</v>
      </c>
      <c r="AN170" s="171">
        <f t="shared" si="35"/>
        <v>0</v>
      </c>
      <c r="AO170" s="171">
        <f t="shared" si="35"/>
        <v>63</v>
      </c>
      <c r="AP170" s="171">
        <f t="shared" si="35"/>
        <v>0</v>
      </c>
      <c r="AQ170" s="171">
        <f t="shared" si="35"/>
        <v>152</v>
      </c>
      <c r="AR170" s="171">
        <f t="shared" si="35"/>
        <v>0</v>
      </c>
      <c r="AS170" s="171">
        <f t="shared" si="35"/>
        <v>271</v>
      </c>
      <c r="AT170" s="171">
        <f t="shared" si="35"/>
        <v>0</v>
      </c>
      <c r="AU170" s="171">
        <f t="shared" si="35"/>
        <v>62</v>
      </c>
      <c r="AV170" s="171">
        <f t="shared" si="35"/>
        <v>0</v>
      </c>
      <c r="AW170" s="171">
        <f t="shared" si="35"/>
        <v>49</v>
      </c>
      <c r="AX170" s="171">
        <f t="shared" si="35"/>
        <v>0</v>
      </c>
      <c r="AY170" s="171">
        <f t="shared" si="35"/>
        <v>382</v>
      </c>
      <c r="AZ170" s="171">
        <f t="shared" si="35"/>
        <v>0</v>
      </c>
      <c r="BA170" s="171">
        <f t="shared" si="35"/>
        <v>180</v>
      </c>
      <c r="BB170" s="171">
        <f t="shared" si="35"/>
        <v>0</v>
      </c>
      <c r="BC170" s="171">
        <f t="shared" si="35"/>
        <v>254</v>
      </c>
      <c r="BD170" s="171">
        <f t="shared" si="35"/>
        <v>0</v>
      </c>
      <c r="BE170" s="171">
        <f t="shared" si="35"/>
        <v>123</v>
      </c>
      <c r="BF170" s="171">
        <f t="shared" si="35"/>
        <v>0</v>
      </c>
      <c r="BG170" s="171">
        <f t="shared" si="35"/>
        <v>305</v>
      </c>
      <c r="BH170" s="171">
        <f t="shared" si="35"/>
        <v>0</v>
      </c>
      <c r="BI170" s="171">
        <f t="shared" si="35"/>
        <v>237</v>
      </c>
      <c r="BJ170" s="171">
        <f t="shared" si="35"/>
        <v>0</v>
      </c>
      <c r="BK170" s="171">
        <f t="shared" si="35"/>
        <v>710</v>
      </c>
      <c r="BL170" s="171">
        <f t="shared" si="35"/>
        <v>0</v>
      </c>
      <c r="BM170" s="171">
        <f t="shared" si="35"/>
        <v>653</v>
      </c>
      <c r="BN170" s="171">
        <f t="shared" si="35"/>
        <v>0</v>
      </c>
      <c r="BO170" s="171">
        <f t="shared" si="35"/>
        <v>30</v>
      </c>
      <c r="BP170" s="171">
        <f t="shared" si="35"/>
        <v>0</v>
      </c>
      <c r="BQ170" s="171">
        <f t="shared" si="35"/>
        <v>138</v>
      </c>
      <c r="BR170" s="171">
        <f t="shared" si="35"/>
        <v>0</v>
      </c>
      <c r="BS170" s="171">
        <f t="shared" si="35"/>
        <v>52</v>
      </c>
      <c r="BT170" s="171">
        <f t="shared" si="35"/>
        <v>0</v>
      </c>
      <c r="BU170" s="171">
        <f t="shared" si="35"/>
        <v>52</v>
      </c>
      <c r="BV170" s="171">
        <f t="shared" si="35"/>
        <v>0</v>
      </c>
      <c r="BW170" s="171">
        <f t="shared" si="35"/>
        <v>17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B170" etc:filterBottomFollowUsedRange="0">
    <extLst/>
  </autoFilter>
  <mergeCells count="43">
    <mergeCell ref="B1:G1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3:A4"/>
    <mergeCell ref="B3:B4"/>
    <mergeCell ref="C3:C4"/>
    <mergeCell ref="D3:D4"/>
    <mergeCell ref="E3:E4"/>
    <mergeCell ref="F3:F4"/>
    <mergeCell ref="G3:G4"/>
    <mergeCell ref="I3:I4"/>
    <mergeCell ref="K3:K4"/>
    <mergeCell ref="L3:L4"/>
    <mergeCell ref="M3:M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5"/>
  <sheetViews>
    <sheetView zoomScale="50" zoomScaleNormal="50" workbookViewId="0">
      <pane xSplit="7" topLeftCell="H1" activePane="topRight" state="frozen"/>
      <selection/>
      <selection pane="topRight" activeCell="H1" sqref="H1"/>
    </sheetView>
  </sheetViews>
  <sheetFormatPr defaultColWidth="9" defaultRowHeight="25" customHeight="1"/>
  <cols>
    <col min="1" max="1" width="4.75" style="143"/>
    <col min="2" max="2" width="17.625" style="143"/>
    <col min="3" max="3" width="8.25833333333333" style="143"/>
    <col min="4" max="4" width="5.125" style="143"/>
    <col min="5" max="5" width="8.775" style="143" customWidth="1"/>
    <col min="6" max="6" width="4.75" style="144"/>
    <col min="7" max="7" width="11.5583333333333" style="145" customWidth="1"/>
    <col min="8" max="8" width="7.375" style="143"/>
    <col min="9" max="9" width="9" style="143"/>
    <col min="10" max="10" width="7.375" style="143"/>
    <col min="11" max="11" width="9" style="143"/>
    <col min="12" max="12" width="7.375" style="143"/>
    <col min="13" max="13" width="9" style="143"/>
    <col min="14" max="14" width="7.375" style="143"/>
    <col min="15" max="15" width="9" style="143"/>
    <col min="16" max="16" width="7.375" style="143"/>
    <col min="17" max="17" width="9" style="143"/>
    <col min="18" max="18" width="7.375" style="143"/>
    <col min="19" max="19" width="9" style="143"/>
    <col min="20" max="20" width="7.375" style="143"/>
    <col min="21" max="21" width="9" style="143"/>
    <col min="22" max="22" width="7.375" style="143"/>
    <col min="23" max="23" width="9" style="143"/>
    <col min="24" max="24" width="7.375" style="143"/>
    <col min="25" max="25" width="9" style="143"/>
    <col min="26" max="26" width="7.375" style="143"/>
    <col min="27" max="27" width="9" style="143"/>
    <col min="28" max="28" width="7.375" style="143"/>
    <col min="29" max="29" width="9" style="143"/>
    <col min="30" max="30" width="7.375" style="143"/>
    <col min="31" max="31" width="9" style="143"/>
    <col min="32" max="32" width="7.375" style="143"/>
    <col min="33" max="33" width="9" style="143"/>
    <col min="34" max="34" width="7.375" style="143"/>
    <col min="35" max="35" width="9" style="143"/>
    <col min="36" max="36" width="7.375" style="143"/>
    <col min="37" max="37" width="9" style="143"/>
    <col min="38" max="38" width="7.375" style="143"/>
    <col min="39" max="16384" width="9" style="360"/>
  </cols>
  <sheetData>
    <row r="1" s="18" customFormat="1" ht="40" customHeight="1" spans="1:38">
      <c r="A1" s="148"/>
      <c r="B1" s="148" t="s">
        <v>298</v>
      </c>
      <c r="C1" s="148"/>
      <c r="D1" s="148"/>
      <c r="E1" s="148"/>
      <c r="F1" s="149"/>
      <c r="G1" s="150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="18" customFormat="1" ht="15" customHeight="1" spans="1:38">
      <c r="A2" s="148"/>
      <c r="B2" s="153" t="s">
        <v>2</v>
      </c>
      <c r="C2" s="148"/>
      <c r="D2" s="148"/>
      <c r="E2" s="148"/>
      <c r="F2" s="149"/>
      <c r="G2" s="150"/>
      <c r="H2" s="215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</row>
    <row r="3" s="18" customFormat="1" customHeight="1" spans="1:38">
      <c r="A3" s="155" t="s">
        <v>3</v>
      </c>
      <c r="B3" s="155" t="s">
        <v>4</v>
      </c>
      <c r="C3" s="155" t="s">
        <v>5</v>
      </c>
      <c r="D3" s="155" t="s">
        <v>6</v>
      </c>
      <c r="E3" s="155" t="s">
        <v>7</v>
      </c>
      <c r="F3" s="156"/>
      <c r="G3" s="156" t="s">
        <v>65</v>
      </c>
      <c r="H3" s="197" t="s">
        <v>9</v>
      </c>
      <c r="I3" s="197" t="s">
        <v>10</v>
      </c>
      <c r="J3" s="197" t="s">
        <v>11</v>
      </c>
      <c r="K3" s="197" t="s">
        <v>12</v>
      </c>
      <c r="L3" s="197" t="s">
        <v>13</v>
      </c>
      <c r="M3" s="197" t="s">
        <v>14</v>
      </c>
      <c r="N3" s="197" t="s">
        <v>15</v>
      </c>
      <c r="O3" s="197" t="s">
        <v>16</v>
      </c>
      <c r="P3" s="197" t="s">
        <v>17</v>
      </c>
      <c r="Q3" s="197" t="s">
        <v>18</v>
      </c>
      <c r="R3" s="197" t="s">
        <v>19</v>
      </c>
      <c r="S3" s="197" t="s">
        <v>20</v>
      </c>
      <c r="T3" s="197" t="s">
        <v>21</v>
      </c>
      <c r="U3" s="197" t="s">
        <v>22</v>
      </c>
      <c r="V3" s="197" t="s">
        <v>23</v>
      </c>
      <c r="W3" s="197" t="s">
        <v>24</v>
      </c>
      <c r="X3" s="197" t="s">
        <v>25</v>
      </c>
      <c r="Y3" s="197" t="s">
        <v>26</v>
      </c>
      <c r="Z3" s="197" t="s">
        <v>27</v>
      </c>
      <c r="AA3" s="197" t="s">
        <v>28</v>
      </c>
      <c r="AB3" s="197" t="s">
        <v>29</v>
      </c>
      <c r="AC3" s="197" t="s">
        <v>30</v>
      </c>
      <c r="AD3" s="197" t="s">
        <v>31</v>
      </c>
      <c r="AE3" s="197" t="s">
        <v>32</v>
      </c>
      <c r="AF3" s="197" t="s">
        <v>33</v>
      </c>
      <c r="AG3" s="197" t="s">
        <v>34</v>
      </c>
      <c r="AH3" s="197" t="s">
        <v>35</v>
      </c>
      <c r="AI3" s="197" t="s">
        <v>36</v>
      </c>
      <c r="AJ3" s="197" t="s">
        <v>37</v>
      </c>
      <c r="AK3" s="197" t="s">
        <v>38</v>
      </c>
      <c r="AL3" s="197" t="s">
        <v>39</v>
      </c>
    </row>
    <row r="4" s="18" customFormat="1" customHeight="1" spans="1:38">
      <c r="A4" s="158"/>
      <c r="B4" s="158"/>
      <c r="C4" s="158"/>
      <c r="D4" s="158"/>
      <c r="E4" s="158"/>
      <c r="F4" s="159" t="s">
        <v>299</v>
      </c>
      <c r="G4" s="159"/>
      <c r="H4" s="266" t="s">
        <v>299</v>
      </c>
      <c r="I4" s="266" t="s">
        <v>299</v>
      </c>
      <c r="J4" s="266" t="s">
        <v>299</v>
      </c>
      <c r="K4" s="266" t="s">
        <v>299</v>
      </c>
      <c r="L4" s="266" t="s">
        <v>299</v>
      </c>
      <c r="M4" s="266" t="s">
        <v>299</v>
      </c>
      <c r="N4" s="266" t="s">
        <v>299</v>
      </c>
      <c r="O4" s="266" t="s">
        <v>299</v>
      </c>
      <c r="P4" s="266" t="s">
        <v>299</v>
      </c>
      <c r="Q4" s="266" t="s">
        <v>299</v>
      </c>
      <c r="R4" s="266" t="s">
        <v>299</v>
      </c>
      <c r="S4" s="266" t="s">
        <v>299</v>
      </c>
      <c r="T4" s="266" t="s">
        <v>299</v>
      </c>
      <c r="U4" s="266" t="s">
        <v>299</v>
      </c>
      <c r="V4" s="266" t="s">
        <v>299</v>
      </c>
      <c r="W4" s="266" t="s">
        <v>299</v>
      </c>
      <c r="X4" s="266" t="s">
        <v>299</v>
      </c>
      <c r="Y4" s="266" t="s">
        <v>299</v>
      </c>
      <c r="Z4" s="266" t="s">
        <v>299</v>
      </c>
      <c r="AA4" s="266" t="s">
        <v>299</v>
      </c>
      <c r="AB4" s="266" t="s">
        <v>299</v>
      </c>
      <c r="AC4" s="266" t="s">
        <v>299</v>
      </c>
      <c r="AD4" s="266" t="s">
        <v>299</v>
      </c>
      <c r="AE4" s="266" t="s">
        <v>299</v>
      </c>
      <c r="AF4" s="266" t="s">
        <v>299</v>
      </c>
      <c r="AG4" s="266" t="s">
        <v>299</v>
      </c>
      <c r="AH4" s="266" t="s">
        <v>299</v>
      </c>
      <c r="AI4" s="266" t="s">
        <v>299</v>
      </c>
      <c r="AJ4" s="266" t="s">
        <v>299</v>
      </c>
      <c r="AK4" s="266" t="s">
        <v>299</v>
      </c>
      <c r="AL4" s="266" t="s">
        <v>299</v>
      </c>
    </row>
    <row r="5" s="140" customFormat="1" customHeight="1" spans="1:38">
      <c r="A5" s="161">
        <v>1</v>
      </c>
      <c r="B5" s="57" t="s">
        <v>59</v>
      </c>
      <c r="C5" s="100" t="s">
        <v>300</v>
      </c>
      <c r="D5" s="100" t="s">
        <v>145</v>
      </c>
      <c r="E5" s="100">
        <v>11</v>
      </c>
      <c r="F5" s="190">
        <f t="shared" ref="F5:F68" si="0">SUMIF($H$4:$AL$4,$F$4,$H5:$AL5)</f>
        <v>0</v>
      </c>
      <c r="G5" s="547">
        <f t="shared" ref="G5:G68" si="1">+E5*F5</f>
        <v>0</v>
      </c>
      <c r="H5" s="548"/>
      <c r="I5" s="548"/>
      <c r="J5" s="548"/>
      <c r="K5" s="549"/>
      <c r="L5" s="549"/>
      <c r="M5" s="549"/>
      <c r="N5" s="549"/>
      <c r="O5" s="549"/>
      <c r="P5" s="133"/>
      <c r="Q5" s="133"/>
      <c r="R5" s="133"/>
      <c r="S5" s="133"/>
      <c r="T5" s="133"/>
      <c r="U5" s="291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</row>
    <row r="6" s="140" customFormat="1" customHeight="1" spans="1:38">
      <c r="A6" s="161">
        <v>2</v>
      </c>
      <c r="B6" s="57" t="s">
        <v>59</v>
      </c>
      <c r="C6" s="545" t="s">
        <v>301</v>
      </c>
      <c r="D6" s="545" t="s">
        <v>145</v>
      </c>
      <c r="E6" s="100">
        <v>5</v>
      </c>
      <c r="F6" s="190">
        <f t="shared" si="0"/>
        <v>1</v>
      </c>
      <c r="G6" s="547">
        <f t="shared" si="1"/>
        <v>5</v>
      </c>
      <c r="H6" s="548"/>
      <c r="I6" s="548"/>
      <c r="J6" s="548"/>
      <c r="K6" s="548"/>
      <c r="L6" s="550"/>
      <c r="M6" s="380"/>
      <c r="N6" s="133"/>
      <c r="O6" s="133">
        <v>1</v>
      </c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</row>
    <row r="7" s="140" customFormat="1" customHeight="1" spans="1:38">
      <c r="A7" s="161">
        <v>3</v>
      </c>
      <c r="B7" s="57" t="s">
        <v>59</v>
      </c>
      <c r="C7" s="545" t="s">
        <v>302</v>
      </c>
      <c r="D7" s="545" t="s">
        <v>145</v>
      </c>
      <c r="E7" s="100">
        <v>20</v>
      </c>
      <c r="F7" s="190">
        <f t="shared" si="0"/>
        <v>0</v>
      </c>
      <c r="G7" s="547">
        <f t="shared" si="1"/>
        <v>0</v>
      </c>
      <c r="H7" s="548"/>
      <c r="I7" s="548"/>
      <c r="J7" s="548"/>
      <c r="K7" s="548"/>
      <c r="L7" s="550"/>
      <c r="M7" s="380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</row>
    <row r="8" s="140" customFormat="1" customHeight="1" spans="1:38">
      <c r="A8" s="161">
        <v>4</v>
      </c>
      <c r="B8" s="551" t="s">
        <v>54</v>
      </c>
      <c r="C8" s="100" t="s">
        <v>300</v>
      </c>
      <c r="D8" s="100" t="s">
        <v>145</v>
      </c>
      <c r="E8" s="100">
        <v>11</v>
      </c>
      <c r="F8" s="190">
        <f t="shared" si="0"/>
        <v>20</v>
      </c>
      <c r="G8" s="547">
        <f t="shared" si="1"/>
        <v>220</v>
      </c>
      <c r="H8" s="548"/>
      <c r="I8" s="548"/>
      <c r="J8" s="548"/>
      <c r="K8" s="548"/>
      <c r="L8" s="550">
        <v>4</v>
      </c>
      <c r="M8" s="380"/>
      <c r="N8" s="133">
        <v>1</v>
      </c>
      <c r="O8" s="133"/>
      <c r="P8" s="133"/>
      <c r="Q8" s="133"/>
      <c r="R8" s="133">
        <v>2</v>
      </c>
      <c r="S8" s="291">
        <v>2</v>
      </c>
      <c r="T8" s="133"/>
      <c r="U8" s="133"/>
      <c r="V8" s="133"/>
      <c r="W8" s="133"/>
      <c r="X8" s="133"/>
      <c r="Y8" s="133">
        <v>1</v>
      </c>
      <c r="Z8" s="133"/>
      <c r="AA8" s="133"/>
      <c r="AB8" s="133"/>
      <c r="AC8" s="133"/>
      <c r="AD8" s="133">
        <v>1</v>
      </c>
      <c r="AE8" s="133">
        <v>2</v>
      </c>
      <c r="AF8" s="133"/>
      <c r="AG8" s="133">
        <v>1</v>
      </c>
      <c r="AH8" s="133"/>
      <c r="AI8" s="133"/>
      <c r="AJ8" s="133"/>
      <c r="AK8" s="133">
        <v>2</v>
      </c>
      <c r="AL8" s="133">
        <v>4</v>
      </c>
    </row>
    <row r="9" s="140" customFormat="1" customHeight="1" spans="1:38">
      <c r="A9" s="161">
        <v>5</v>
      </c>
      <c r="B9" s="551" t="s">
        <v>54</v>
      </c>
      <c r="C9" s="545" t="s">
        <v>301</v>
      </c>
      <c r="D9" s="545" t="s">
        <v>145</v>
      </c>
      <c r="E9" s="100">
        <v>5</v>
      </c>
      <c r="F9" s="190">
        <f t="shared" si="0"/>
        <v>25</v>
      </c>
      <c r="G9" s="547">
        <f t="shared" si="1"/>
        <v>125</v>
      </c>
      <c r="H9" s="548"/>
      <c r="I9" s="548"/>
      <c r="J9" s="548"/>
      <c r="K9" s="548"/>
      <c r="L9" s="550">
        <v>1</v>
      </c>
      <c r="M9" s="380"/>
      <c r="N9" s="133">
        <v>3</v>
      </c>
      <c r="O9" s="133">
        <v>1</v>
      </c>
      <c r="P9" s="133"/>
      <c r="Q9" s="133">
        <v>1</v>
      </c>
      <c r="R9" s="133">
        <v>3</v>
      </c>
      <c r="S9" s="133">
        <v>2</v>
      </c>
      <c r="T9" s="133"/>
      <c r="U9" s="133">
        <v>1</v>
      </c>
      <c r="V9" s="133">
        <v>3</v>
      </c>
      <c r="W9" s="133"/>
      <c r="X9" s="133">
        <v>4</v>
      </c>
      <c r="Y9" s="133">
        <v>1</v>
      </c>
      <c r="Z9" s="133"/>
      <c r="AA9" s="133">
        <v>1</v>
      </c>
      <c r="AB9" s="133"/>
      <c r="AC9" s="133"/>
      <c r="AD9" s="133">
        <v>1</v>
      </c>
      <c r="AE9" s="133"/>
      <c r="AF9" s="133"/>
      <c r="AG9" s="133"/>
      <c r="AH9" s="133">
        <v>1</v>
      </c>
      <c r="AI9" s="133"/>
      <c r="AJ9" s="133"/>
      <c r="AK9" s="133">
        <v>2</v>
      </c>
      <c r="AL9" s="133"/>
    </row>
    <row r="10" s="140" customFormat="1" customHeight="1" spans="1:38">
      <c r="A10" s="161">
        <v>5</v>
      </c>
      <c r="B10" s="551" t="s">
        <v>54</v>
      </c>
      <c r="C10" s="545" t="s">
        <v>302</v>
      </c>
      <c r="D10" s="545" t="s">
        <v>145</v>
      </c>
      <c r="E10" s="100">
        <v>20</v>
      </c>
      <c r="F10" s="190">
        <f t="shared" si="0"/>
        <v>1</v>
      </c>
      <c r="G10" s="547">
        <f t="shared" si="1"/>
        <v>20</v>
      </c>
      <c r="H10" s="548"/>
      <c r="I10" s="548"/>
      <c r="J10" s="548"/>
      <c r="K10" s="548"/>
      <c r="L10" s="550"/>
      <c r="M10" s="380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>
        <v>1</v>
      </c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</row>
    <row r="11" s="140" customFormat="1" customHeight="1" spans="1:38">
      <c r="A11" s="161">
        <v>5</v>
      </c>
      <c r="B11" s="551" t="s">
        <v>55</v>
      </c>
      <c r="C11" s="100" t="s">
        <v>300</v>
      </c>
      <c r="D11" s="100" t="s">
        <v>145</v>
      </c>
      <c r="E11" s="100">
        <v>11</v>
      </c>
      <c r="F11" s="190">
        <f t="shared" si="0"/>
        <v>9</v>
      </c>
      <c r="G11" s="547">
        <f t="shared" si="1"/>
        <v>99</v>
      </c>
      <c r="H11" s="548"/>
      <c r="I11" s="548"/>
      <c r="J11" s="548"/>
      <c r="K11" s="548">
        <v>2</v>
      </c>
      <c r="L11" s="550"/>
      <c r="M11" s="380"/>
      <c r="N11" s="133"/>
      <c r="O11" s="133"/>
      <c r="P11" s="133"/>
      <c r="Q11" s="291">
        <v>1</v>
      </c>
      <c r="R11" s="133"/>
      <c r="S11" s="133"/>
      <c r="T11" s="133"/>
      <c r="U11" s="133"/>
      <c r="V11" s="133"/>
      <c r="W11" s="133">
        <v>2</v>
      </c>
      <c r="X11" s="133"/>
      <c r="Y11" s="133"/>
      <c r="Z11" s="133"/>
      <c r="AA11" s="133"/>
      <c r="AB11" s="133"/>
      <c r="AC11" s="133">
        <v>2</v>
      </c>
      <c r="AD11" s="133"/>
      <c r="AE11" s="133"/>
      <c r="AF11" s="133"/>
      <c r="AG11" s="133"/>
      <c r="AH11" s="133"/>
      <c r="AI11" s="133">
        <v>1</v>
      </c>
      <c r="AJ11" s="133">
        <v>1</v>
      </c>
      <c r="AK11" s="133"/>
      <c r="AL11" s="133"/>
    </row>
    <row r="12" s="140" customFormat="1" customHeight="1" spans="1:38">
      <c r="A12" s="161">
        <v>5</v>
      </c>
      <c r="B12" s="551" t="s">
        <v>55</v>
      </c>
      <c r="C12" s="545" t="s">
        <v>301</v>
      </c>
      <c r="D12" s="545" t="s">
        <v>145</v>
      </c>
      <c r="E12" s="100">
        <v>5</v>
      </c>
      <c r="F12" s="190">
        <f t="shared" si="0"/>
        <v>11</v>
      </c>
      <c r="G12" s="547">
        <f t="shared" si="1"/>
        <v>55</v>
      </c>
      <c r="H12" s="548"/>
      <c r="I12" s="548"/>
      <c r="J12" s="548"/>
      <c r="K12" s="548">
        <v>2</v>
      </c>
      <c r="L12" s="550"/>
      <c r="M12" s="380"/>
      <c r="N12" s="133"/>
      <c r="O12" s="133"/>
      <c r="P12" s="133">
        <v>2</v>
      </c>
      <c r="Q12" s="133">
        <v>1</v>
      </c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>
        <v>1</v>
      </c>
      <c r="AC12" s="133"/>
      <c r="AD12" s="133">
        <v>2</v>
      </c>
      <c r="AE12" s="133">
        <v>1</v>
      </c>
      <c r="AF12" s="133"/>
      <c r="AG12" s="133"/>
      <c r="AH12" s="133"/>
      <c r="AI12" s="133">
        <v>2</v>
      </c>
      <c r="AJ12" s="133"/>
      <c r="AK12" s="133"/>
      <c r="AL12" s="133"/>
    </row>
    <row r="13" s="140" customFormat="1" customHeight="1" spans="1:38">
      <c r="A13" s="161">
        <v>9</v>
      </c>
      <c r="B13" s="551" t="s">
        <v>55</v>
      </c>
      <c r="C13" s="545" t="s">
        <v>302</v>
      </c>
      <c r="D13" s="545" t="s">
        <v>145</v>
      </c>
      <c r="E13" s="100">
        <v>20</v>
      </c>
      <c r="F13" s="190">
        <f t="shared" si="0"/>
        <v>1</v>
      </c>
      <c r="G13" s="547">
        <f t="shared" si="1"/>
        <v>20</v>
      </c>
      <c r="H13" s="548"/>
      <c r="I13" s="548"/>
      <c r="J13" s="548"/>
      <c r="K13" s="548"/>
      <c r="L13" s="550"/>
      <c r="M13" s="380"/>
      <c r="N13" s="133"/>
      <c r="O13" s="133"/>
      <c r="P13" s="133"/>
      <c r="Q13" s="133">
        <v>1</v>
      </c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</row>
    <row r="14" s="140" customFormat="1" customHeight="1" spans="1:38">
      <c r="A14" s="161">
        <v>10</v>
      </c>
      <c r="B14" s="551" t="s">
        <v>56</v>
      </c>
      <c r="C14" s="100" t="s">
        <v>300</v>
      </c>
      <c r="D14" s="100" t="s">
        <v>145</v>
      </c>
      <c r="E14" s="100">
        <v>11</v>
      </c>
      <c r="F14" s="190">
        <f t="shared" si="0"/>
        <v>7</v>
      </c>
      <c r="G14" s="547">
        <f t="shared" si="1"/>
        <v>77</v>
      </c>
      <c r="H14" s="548">
        <v>1</v>
      </c>
      <c r="I14" s="548"/>
      <c r="J14" s="548">
        <v>2</v>
      </c>
      <c r="K14" s="548"/>
      <c r="L14" s="550">
        <v>1</v>
      </c>
      <c r="M14" s="380"/>
      <c r="N14" s="133">
        <v>1</v>
      </c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>
        <v>2</v>
      </c>
      <c r="AL14" s="133"/>
    </row>
    <row r="15" s="140" customFormat="1" customHeight="1" spans="1:38">
      <c r="A15" s="161">
        <v>11</v>
      </c>
      <c r="B15" s="551" t="s">
        <v>56</v>
      </c>
      <c r="C15" s="545" t="s">
        <v>301</v>
      </c>
      <c r="D15" s="545" t="s">
        <v>145</v>
      </c>
      <c r="E15" s="100">
        <v>5</v>
      </c>
      <c r="F15" s="190">
        <f t="shared" si="0"/>
        <v>12</v>
      </c>
      <c r="G15" s="547">
        <f t="shared" si="1"/>
        <v>60</v>
      </c>
      <c r="H15" s="548"/>
      <c r="I15" s="548"/>
      <c r="J15" s="548"/>
      <c r="K15" s="548"/>
      <c r="L15" s="550"/>
      <c r="M15" s="380">
        <v>1</v>
      </c>
      <c r="N15" s="133"/>
      <c r="O15" s="133"/>
      <c r="P15" s="133">
        <v>4</v>
      </c>
      <c r="Q15" s="133"/>
      <c r="R15" s="133"/>
      <c r="S15" s="133"/>
      <c r="T15" s="133">
        <v>1</v>
      </c>
      <c r="U15" s="133"/>
      <c r="V15" s="133">
        <v>3</v>
      </c>
      <c r="W15" s="133"/>
      <c r="X15" s="133"/>
      <c r="Y15" s="133"/>
      <c r="Z15" s="133"/>
      <c r="AA15" s="133"/>
      <c r="AB15" s="133">
        <v>3</v>
      </c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</row>
    <row r="16" s="140" customFormat="1" customHeight="1" spans="1:38">
      <c r="A16" s="161">
        <v>12</v>
      </c>
      <c r="B16" s="551" t="s">
        <v>56</v>
      </c>
      <c r="C16" s="545" t="s">
        <v>302</v>
      </c>
      <c r="D16" s="545" t="s">
        <v>145</v>
      </c>
      <c r="E16" s="100">
        <v>20</v>
      </c>
      <c r="F16" s="190">
        <f t="shared" si="0"/>
        <v>0</v>
      </c>
      <c r="G16" s="547">
        <f t="shared" si="1"/>
        <v>0</v>
      </c>
      <c r="H16" s="548"/>
      <c r="I16" s="548"/>
      <c r="J16" s="548"/>
      <c r="K16" s="548"/>
      <c r="L16" s="550"/>
      <c r="M16" s="380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</row>
    <row r="17" s="140" customFormat="1" customHeight="1" spans="1:38">
      <c r="A17" s="161">
        <v>13</v>
      </c>
      <c r="B17" s="551" t="s">
        <v>41</v>
      </c>
      <c r="C17" s="100" t="s">
        <v>300</v>
      </c>
      <c r="D17" s="100" t="s">
        <v>145</v>
      </c>
      <c r="E17" s="100">
        <v>11</v>
      </c>
      <c r="F17" s="190">
        <f t="shared" si="0"/>
        <v>3</v>
      </c>
      <c r="G17" s="547">
        <f t="shared" si="1"/>
        <v>33</v>
      </c>
      <c r="H17" s="548"/>
      <c r="I17" s="548"/>
      <c r="J17" s="548"/>
      <c r="K17" s="548"/>
      <c r="L17" s="550"/>
      <c r="M17" s="380"/>
      <c r="N17" s="133"/>
      <c r="O17" s="133">
        <v>2</v>
      </c>
      <c r="P17" s="133"/>
      <c r="Q17" s="133"/>
      <c r="R17" s="133"/>
      <c r="S17" s="133"/>
      <c r="T17" s="133"/>
      <c r="U17" s="133"/>
      <c r="V17" s="133"/>
      <c r="W17" s="133"/>
      <c r="X17" s="133">
        <v>1</v>
      </c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</row>
    <row r="18" s="140" customFormat="1" customHeight="1" spans="1:38">
      <c r="A18" s="161">
        <v>14</v>
      </c>
      <c r="B18" s="551" t="s">
        <v>41</v>
      </c>
      <c r="C18" s="545" t="s">
        <v>301</v>
      </c>
      <c r="D18" s="545" t="s">
        <v>145</v>
      </c>
      <c r="E18" s="100">
        <v>5</v>
      </c>
      <c r="F18" s="190">
        <f t="shared" si="0"/>
        <v>5</v>
      </c>
      <c r="G18" s="547">
        <f t="shared" si="1"/>
        <v>25</v>
      </c>
      <c r="H18" s="548"/>
      <c r="I18" s="548"/>
      <c r="J18" s="548"/>
      <c r="K18" s="548">
        <v>1</v>
      </c>
      <c r="L18" s="550"/>
      <c r="M18" s="380"/>
      <c r="N18" s="133">
        <v>1</v>
      </c>
      <c r="O18" s="133"/>
      <c r="P18" s="133"/>
      <c r="Q18" s="133">
        <v>1</v>
      </c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>
        <v>1</v>
      </c>
      <c r="AH18" s="133"/>
      <c r="AI18" s="133"/>
      <c r="AJ18" s="133">
        <v>1</v>
      </c>
      <c r="AK18" s="133"/>
      <c r="AL18" s="133"/>
    </row>
    <row r="19" s="140" customFormat="1" customHeight="1" spans="1:38">
      <c r="A19" s="161">
        <v>15</v>
      </c>
      <c r="B19" s="551" t="s">
        <v>41</v>
      </c>
      <c r="C19" s="545" t="s">
        <v>302</v>
      </c>
      <c r="D19" s="545" t="s">
        <v>145</v>
      </c>
      <c r="E19" s="100">
        <v>20</v>
      </c>
      <c r="F19" s="190">
        <f t="shared" si="0"/>
        <v>0</v>
      </c>
      <c r="G19" s="547">
        <f t="shared" si="1"/>
        <v>0</v>
      </c>
      <c r="H19" s="548"/>
      <c r="I19" s="548"/>
      <c r="J19" s="548"/>
      <c r="K19" s="548"/>
      <c r="L19" s="550"/>
      <c r="M19" s="380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</row>
    <row r="20" s="140" customFormat="1" customHeight="1" spans="1:38">
      <c r="A20" s="161">
        <v>16</v>
      </c>
      <c r="B20" s="551" t="s">
        <v>57</v>
      </c>
      <c r="C20" s="100" t="s">
        <v>300</v>
      </c>
      <c r="D20" s="100" t="s">
        <v>145</v>
      </c>
      <c r="E20" s="100">
        <v>11</v>
      </c>
      <c r="F20" s="190">
        <f t="shared" si="0"/>
        <v>0</v>
      </c>
      <c r="G20" s="547">
        <f t="shared" si="1"/>
        <v>0</v>
      </c>
      <c r="H20" s="548"/>
      <c r="I20" s="548"/>
      <c r="J20" s="548"/>
      <c r="K20" s="548"/>
      <c r="L20" s="550"/>
      <c r="M20" s="380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</row>
    <row r="21" s="140" customFormat="1" customHeight="1" spans="1:38">
      <c r="A21" s="161">
        <v>17</v>
      </c>
      <c r="B21" s="551" t="s">
        <v>57</v>
      </c>
      <c r="C21" s="545" t="s">
        <v>301</v>
      </c>
      <c r="D21" s="545" t="s">
        <v>145</v>
      </c>
      <c r="E21" s="100">
        <v>5</v>
      </c>
      <c r="F21" s="190">
        <f t="shared" si="0"/>
        <v>0</v>
      </c>
      <c r="G21" s="547">
        <f t="shared" si="1"/>
        <v>0</v>
      </c>
      <c r="H21" s="548"/>
      <c r="I21" s="552"/>
      <c r="J21" s="548"/>
      <c r="K21" s="548"/>
      <c r="L21" s="550"/>
      <c r="M21" s="380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</row>
    <row r="22" s="140" customFormat="1" customHeight="1" spans="1:38">
      <c r="A22" s="161">
        <v>18</v>
      </c>
      <c r="B22" s="551" t="s">
        <v>57</v>
      </c>
      <c r="C22" s="545" t="s">
        <v>302</v>
      </c>
      <c r="D22" s="545" t="s">
        <v>145</v>
      </c>
      <c r="E22" s="100">
        <v>20</v>
      </c>
      <c r="F22" s="190">
        <f t="shared" si="0"/>
        <v>1</v>
      </c>
      <c r="G22" s="191">
        <f t="shared" si="1"/>
        <v>20</v>
      </c>
      <c r="H22" s="133"/>
      <c r="I22" s="133">
        <v>1</v>
      </c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</row>
    <row r="23" s="140" customFormat="1" customHeight="1" spans="1:38">
      <c r="A23" s="161">
        <v>19</v>
      </c>
      <c r="B23" s="357" t="s">
        <v>73</v>
      </c>
      <c r="C23" s="100" t="s">
        <v>300</v>
      </c>
      <c r="D23" s="100" t="s">
        <v>145</v>
      </c>
      <c r="E23" s="100">
        <v>11</v>
      </c>
      <c r="F23" s="190">
        <f t="shared" si="0"/>
        <v>1</v>
      </c>
      <c r="G23" s="191">
        <f t="shared" si="1"/>
        <v>11</v>
      </c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>
        <v>1</v>
      </c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</row>
    <row r="24" s="140" customFormat="1" customHeight="1" spans="1:38">
      <c r="A24" s="161">
        <v>20</v>
      </c>
      <c r="B24" s="357" t="s">
        <v>73</v>
      </c>
      <c r="C24" s="545" t="s">
        <v>301</v>
      </c>
      <c r="D24" s="545" t="s">
        <v>145</v>
      </c>
      <c r="E24" s="100">
        <v>5</v>
      </c>
      <c r="F24" s="190">
        <f t="shared" si="0"/>
        <v>1</v>
      </c>
      <c r="G24" s="191">
        <f t="shared" si="1"/>
        <v>5</v>
      </c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>
        <v>1</v>
      </c>
    </row>
    <row r="25" s="140" customFormat="1" customHeight="1" spans="1:38">
      <c r="A25" s="161">
        <v>21</v>
      </c>
      <c r="B25" s="357" t="s">
        <v>73</v>
      </c>
      <c r="C25" s="545" t="s">
        <v>302</v>
      </c>
      <c r="D25" s="545" t="s">
        <v>145</v>
      </c>
      <c r="E25" s="100">
        <v>20</v>
      </c>
      <c r="F25" s="190">
        <f t="shared" si="0"/>
        <v>1</v>
      </c>
      <c r="G25" s="191">
        <f t="shared" si="1"/>
        <v>20</v>
      </c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>
        <v>1</v>
      </c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</row>
    <row r="26" s="140" customFormat="1" customHeight="1" spans="1:38">
      <c r="A26" s="161">
        <v>22</v>
      </c>
      <c r="B26" s="357" t="s">
        <v>53</v>
      </c>
      <c r="C26" s="100" t="s">
        <v>300</v>
      </c>
      <c r="D26" s="100" t="s">
        <v>145</v>
      </c>
      <c r="E26" s="100">
        <v>11</v>
      </c>
      <c r="F26" s="190">
        <f t="shared" si="0"/>
        <v>5</v>
      </c>
      <c r="G26" s="191">
        <f t="shared" si="1"/>
        <v>55</v>
      </c>
      <c r="H26" s="133"/>
      <c r="I26" s="133"/>
      <c r="J26" s="133"/>
      <c r="K26" s="133"/>
      <c r="L26" s="133"/>
      <c r="M26" s="133"/>
      <c r="N26" s="133">
        <v>1</v>
      </c>
      <c r="O26" s="133">
        <v>1</v>
      </c>
      <c r="P26" s="133"/>
      <c r="Q26" s="133"/>
      <c r="R26" s="133"/>
      <c r="S26" s="133"/>
      <c r="T26" s="133"/>
      <c r="U26" s="133">
        <v>1</v>
      </c>
      <c r="V26" s="133"/>
      <c r="W26" s="133"/>
      <c r="X26" s="133"/>
      <c r="Y26" s="133"/>
      <c r="Z26" s="133"/>
      <c r="AA26" s="133"/>
      <c r="AB26" s="133"/>
      <c r="AC26" s="133">
        <v>1</v>
      </c>
      <c r="AD26" s="133"/>
      <c r="AE26" s="133"/>
      <c r="AF26" s="133">
        <v>1</v>
      </c>
      <c r="AG26" s="133"/>
      <c r="AH26" s="133"/>
      <c r="AI26" s="133"/>
      <c r="AJ26" s="133"/>
      <c r="AK26" s="133"/>
      <c r="AL26" s="133"/>
    </row>
    <row r="27" s="140" customFormat="1" customHeight="1" spans="1:38">
      <c r="A27" s="161">
        <v>23</v>
      </c>
      <c r="B27" s="357" t="s">
        <v>53</v>
      </c>
      <c r="C27" s="545" t="s">
        <v>301</v>
      </c>
      <c r="D27" s="545" t="s">
        <v>145</v>
      </c>
      <c r="E27" s="100">
        <v>5</v>
      </c>
      <c r="F27" s="190">
        <f t="shared" si="0"/>
        <v>9</v>
      </c>
      <c r="G27" s="191">
        <f t="shared" si="1"/>
        <v>45</v>
      </c>
      <c r="H27" s="133"/>
      <c r="I27" s="133"/>
      <c r="J27" s="133"/>
      <c r="K27" s="133"/>
      <c r="L27" s="133"/>
      <c r="M27" s="133"/>
      <c r="N27" s="133"/>
      <c r="O27" s="133">
        <v>3</v>
      </c>
      <c r="P27" s="133">
        <v>1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>
        <v>1</v>
      </c>
      <c r="AA27" s="133"/>
      <c r="AB27" s="133"/>
      <c r="AC27" s="133"/>
      <c r="AD27" s="133"/>
      <c r="AE27" s="133"/>
      <c r="AF27" s="133">
        <v>1</v>
      </c>
      <c r="AG27" s="133"/>
      <c r="AH27" s="133"/>
      <c r="AI27" s="133"/>
      <c r="AJ27" s="133"/>
      <c r="AK27" s="133"/>
      <c r="AL27" s="133">
        <v>3</v>
      </c>
    </row>
    <row r="28" s="140" customFormat="1" customHeight="1" spans="1:38">
      <c r="A28" s="161">
        <v>24</v>
      </c>
      <c r="B28" s="357" t="s">
        <v>53</v>
      </c>
      <c r="C28" s="545" t="s">
        <v>302</v>
      </c>
      <c r="D28" s="545" t="s">
        <v>145</v>
      </c>
      <c r="E28" s="100">
        <v>20</v>
      </c>
      <c r="F28" s="190">
        <f t="shared" si="0"/>
        <v>0</v>
      </c>
      <c r="G28" s="191">
        <f t="shared" si="1"/>
        <v>0</v>
      </c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</row>
    <row r="29" s="140" customFormat="1" customHeight="1" spans="1:38">
      <c r="A29" s="161">
        <v>25</v>
      </c>
      <c r="B29" s="357" t="s">
        <v>60</v>
      </c>
      <c r="C29" s="100" t="s">
        <v>300</v>
      </c>
      <c r="D29" s="100" t="s">
        <v>145</v>
      </c>
      <c r="E29" s="100">
        <v>11</v>
      </c>
      <c r="F29" s="190">
        <f t="shared" si="0"/>
        <v>2</v>
      </c>
      <c r="G29" s="191">
        <f t="shared" si="1"/>
        <v>22</v>
      </c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>
        <v>1</v>
      </c>
      <c r="X29" s="133"/>
      <c r="Y29" s="133"/>
      <c r="Z29" s="133"/>
      <c r="AA29" s="133"/>
      <c r="AB29" s="133"/>
      <c r="AC29" s="133"/>
      <c r="AD29" s="133"/>
      <c r="AE29" s="133"/>
      <c r="AF29" s="133"/>
      <c r="AG29" s="133">
        <v>1</v>
      </c>
      <c r="AH29" s="133"/>
      <c r="AI29" s="133"/>
      <c r="AJ29" s="133"/>
      <c r="AK29" s="133"/>
      <c r="AL29" s="133"/>
    </row>
    <row r="30" s="140" customFormat="1" customHeight="1" spans="1:38">
      <c r="A30" s="161">
        <v>26</v>
      </c>
      <c r="B30" s="357" t="s">
        <v>60</v>
      </c>
      <c r="C30" s="545" t="s">
        <v>301</v>
      </c>
      <c r="D30" s="545" t="s">
        <v>145</v>
      </c>
      <c r="E30" s="100">
        <v>5</v>
      </c>
      <c r="F30" s="190">
        <f t="shared" si="0"/>
        <v>8</v>
      </c>
      <c r="G30" s="191">
        <f t="shared" si="1"/>
        <v>40</v>
      </c>
      <c r="H30" s="133">
        <v>2</v>
      </c>
      <c r="I30" s="133"/>
      <c r="J30" s="133"/>
      <c r="K30" s="133">
        <v>1</v>
      </c>
      <c r="L30" s="133"/>
      <c r="M30" s="133"/>
      <c r="N30" s="133"/>
      <c r="O30" s="133"/>
      <c r="P30" s="133"/>
      <c r="Q30" s="133">
        <v>2</v>
      </c>
      <c r="R30" s="133"/>
      <c r="S30" s="133"/>
      <c r="T30" s="133">
        <v>1</v>
      </c>
      <c r="U30" s="133"/>
      <c r="V30" s="133"/>
      <c r="W30" s="133"/>
      <c r="X30" s="133"/>
      <c r="Y30" s="133"/>
      <c r="Z30" s="133"/>
      <c r="AA30" s="133">
        <v>1</v>
      </c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>
        <v>1</v>
      </c>
    </row>
    <row r="31" s="140" customFormat="1" customHeight="1" spans="1:38">
      <c r="A31" s="161">
        <v>27</v>
      </c>
      <c r="B31" s="357" t="s">
        <v>60</v>
      </c>
      <c r="C31" s="545" t="s">
        <v>302</v>
      </c>
      <c r="D31" s="545" t="s">
        <v>145</v>
      </c>
      <c r="E31" s="100">
        <v>20</v>
      </c>
      <c r="F31" s="190">
        <f t="shared" si="0"/>
        <v>0</v>
      </c>
      <c r="G31" s="191">
        <f t="shared" si="1"/>
        <v>0</v>
      </c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</row>
    <row r="32" s="140" customFormat="1" customHeight="1" spans="1:38">
      <c r="A32" s="161">
        <v>28</v>
      </c>
      <c r="B32" s="357" t="s">
        <v>74</v>
      </c>
      <c r="C32" s="100" t="s">
        <v>300</v>
      </c>
      <c r="D32" s="100" t="s">
        <v>145</v>
      </c>
      <c r="E32" s="100">
        <v>11</v>
      </c>
      <c r="F32" s="190">
        <f t="shared" si="0"/>
        <v>0</v>
      </c>
      <c r="G32" s="191">
        <f t="shared" si="1"/>
        <v>0</v>
      </c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</row>
    <row r="33" s="140" customFormat="1" customHeight="1" spans="1:38">
      <c r="A33" s="161">
        <v>29</v>
      </c>
      <c r="B33" s="357" t="s">
        <v>74</v>
      </c>
      <c r="C33" s="545" t="s">
        <v>301</v>
      </c>
      <c r="D33" s="545" t="s">
        <v>145</v>
      </c>
      <c r="E33" s="100">
        <v>5</v>
      </c>
      <c r="F33" s="190">
        <f t="shared" si="0"/>
        <v>0</v>
      </c>
      <c r="G33" s="191">
        <f t="shared" si="1"/>
        <v>0</v>
      </c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</row>
    <row r="34" s="140" customFormat="1" customHeight="1" spans="1:38">
      <c r="A34" s="161">
        <v>30</v>
      </c>
      <c r="B34" s="357" t="s">
        <v>74</v>
      </c>
      <c r="C34" s="545" t="s">
        <v>302</v>
      </c>
      <c r="D34" s="545" t="s">
        <v>145</v>
      </c>
      <c r="E34" s="100">
        <v>20</v>
      </c>
      <c r="F34" s="190">
        <f t="shared" si="0"/>
        <v>0</v>
      </c>
      <c r="G34" s="191">
        <f t="shared" si="1"/>
        <v>0</v>
      </c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</row>
    <row r="35" s="140" customFormat="1" customHeight="1" spans="1:38">
      <c r="A35" s="161">
        <v>31</v>
      </c>
      <c r="B35" s="162"/>
      <c r="C35" s="162"/>
      <c r="D35" s="162"/>
      <c r="E35" s="162"/>
      <c r="F35" s="190">
        <f t="shared" si="0"/>
        <v>0</v>
      </c>
      <c r="G35" s="191">
        <f t="shared" si="1"/>
        <v>0</v>
      </c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</row>
    <row r="36" s="140" customFormat="1" customHeight="1" spans="1:38">
      <c r="A36" s="161">
        <v>32</v>
      </c>
      <c r="B36" s="162"/>
      <c r="C36" s="162"/>
      <c r="D36" s="162"/>
      <c r="E36" s="162"/>
      <c r="F36" s="190">
        <f t="shared" si="0"/>
        <v>0</v>
      </c>
      <c r="G36" s="191">
        <f t="shared" si="1"/>
        <v>0</v>
      </c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</row>
    <row r="37" s="140" customFormat="1" customHeight="1" spans="1:38">
      <c r="A37" s="161">
        <v>33</v>
      </c>
      <c r="B37" s="162"/>
      <c r="C37" s="162"/>
      <c r="D37" s="162"/>
      <c r="E37" s="162"/>
      <c r="F37" s="190">
        <f t="shared" si="0"/>
        <v>0</v>
      </c>
      <c r="G37" s="191">
        <f t="shared" si="1"/>
        <v>0</v>
      </c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</row>
    <row r="38" s="140" customFormat="1" customHeight="1" spans="1:38">
      <c r="A38" s="161">
        <v>34</v>
      </c>
      <c r="B38" s="162"/>
      <c r="C38" s="162"/>
      <c r="D38" s="162"/>
      <c r="E38" s="162"/>
      <c r="F38" s="190">
        <f t="shared" si="0"/>
        <v>0</v>
      </c>
      <c r="G38" s="191">
        <f t="shared" si="1"/>
        <v>0</v>
      </c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</row>
    <row r="39" s="140" customFormat="1" customHeight="1" spans="1:38">
      <c r="A39" s="161">
        <v>35</v>
      </c>
      <c r="B39" s="162"/>
      <c r="C39" s="162"/>
      <c r="D39" s="162"/>
      <c r="E39" s="162"/>
      <c r="F39" s="190">
        <f t="shared" si="0"/>
        <v>0</v>
      </c>
      <c r="G39" s="191">
        <f t="shared" si="1"/>
        <v>0</v>
      </c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</row>
    <row r="40" s="140" customFormat="1" customHeight="1" spans="1:38">
      <c r="A40" s="161">
        <v>36</v>
      </c>
      <c r="B40" s="162"/>
      <c r="C40" s="162"/>
      <c r="D40" s="162"/>
      <c r="E40" s="162"/>
      <c r="F40" s="190">
        <f t="shared" si="0"/>
        <v>0</v>
      </c>
      <c r="G40" s="191">
        <f t="shared" si="1"/>
        <v>0</v>
      </c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</row>
    <row r="41" s="140" customFormat="1" customHeight="1" spans="1:38">
      <c r="A41" s="161">
        <v>37</v>
      </c>
      <c r="B41" s="162"/>
      <c r="C41" s="162"/>
      <c r="D41" s="162"/>
      <c r="E41" s="162"/>
      <c r="F41" s="190">
        <f t="shared" si="0"/>
        <v>0</v>
      </c>
      <c r="G41" s="191">
        <f t="shared" si="1"/>
        <v>0</v>
      </c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</row>
    <row r="42" s="140" customFormat="1" customHeight="1" spans="1:38">
      <c r="A42" s="161">
        <v>38</v>
      </c>
      <c r="B42" s="162"/>
      <c r="C42" s="162"/>
      <c r="D42" s="162"/>
      <c r="E42" s="162"/>
      <c r="F42" s="190">
        <f t="shared" si="0"/>
        <v>0</v>
      </c>
      <c r="G42" s="191">
        <f t="shared" si="1"/>
        <v>0</v>
      </c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</row>
    <row r="43" s="140" customFormat="1" customHeight="1" spans="1:38">
      <c r="A43" s="161">
        <v>39</v>
      </c>
      <c r="B43" s="162"/>
      <c r="C43" s="162"/>
      <c r="D43" s="162"/>
      <c r="E43" s="162"/>
      <c r="F43" s="190">
        <f t="shared" si="0"/>
        <v>0</v>
      </c>
      <c r="G43" s="191">
        <f t="shared" si="1"/>
        <v>0</v>
      </c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</row>
    <row r="44" s="140" customFormat="1" customHeight="1" spans="1:38">
      <c r="A44" s="161">
        <v>40</v>
      </c>
      <c r="B44" s="162"/>
      <c r="C44" s="162"/>
      <c r="D44" s="162"/>
      <c r="E44" s="162"/>
      <c r="F44" s="190">
        <f t="shared" si="0"/>
        <v>0</v>
      </c>
      <c r="G44" s="191">
        <f t="shared" si="1"/>
        <v>0</v>
      </c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</row>
    <row r="45" s="140" customFormat="1" customHeight="1" spans="1:38">
      <c r="A45" s="161">
        <v>41</v>
      </c>
      <c r="B45" s="162"/>
      <c r="C45" s="162"/>
      <c r="D45" s="162"/>
      <c r="E45" s="162"/>
      <c r="F45" s="190">
        <f t="shared" si="0"/>
        <v>0</v>
      </c>
      <c r="G45" s="191">
        <f t="shared" si="1"/>
        <v>0</v>
      </c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</row>
    <row r="46" s="140" customFormat="1" customHeight="1" spans="1:38">
      <c r="A46" s="161">
        <v>42</v>
      </c>
      <c r="B46" s="162"/>
      <c r="C46" s="162"/>
      <c r="D46" s="162"/>
      <c r="E46" s="162"/>
      <c r="F46" s="190">
        <f t="shared" si="0"/>
        <v>0</v>
      </c>
      <c r="G46" s="191">
        <f t="shared" si="1"/>
        <v>0</v>
      </c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</row>
    <row r="47" s="140" customFormat="1" customHeight="1" spans="1:38">
      <c r="A47" s="161">
        <v>43</v>
      </c>
      <c r="B47" s="162"/>
      <c r="C47" s="162"/>
      <c r="D47" s="162"/>
      <c r="E47" s="162"/>
      <c r="F47" s="190">
        <f t="shared" si="0"/>
        <v>0</v>
      </c>
      <c r="G47" s="191">
        <f t="shared" si="1"/>
        <v>0</v>
      </c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</row>
    <row r="48" s="140" customFormat="1" customHeight="1" spans="1:38">
      <c r="A48" s="161">
        <v>44</v>
      </c>
      <c r="B48" s="162"/>
      <c r="C48" s="162"/>
      <c r="D48" s="162"/>
      <c r="E48" s="162"/>
      <c r="F48" s="190">
        <f t="shared" si="0"/>
        <v>0</v>
      </c>
      <c r="G48" s="191">
        <f t="shared" si="1"/>
        <v>0</v>
      </c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</row>
    <row r="49" s="140" customFormat="1" customHeight="1" spans="1:38">
      <c r="A49" s="161">
        <v>45</v>
      </c>
      <c r="B49" s="162"/>
      <c r="C49" s="162"/>
      <c r="D49" s="162"/>
      <c r="E49" s="162"/>
      <c r="F49" s="190">
        <f t="shared" si="0"/>
        <v>0</v>
      </c>
      <c r="G49" s="191">
        <f t="shared" si="1"/>
        <v>0</v>
      </c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</row>
    <row r="50" s="140" customFormat="1" customHeight="1" spans="1:38">
      <c r="A50" s="161">
        <v>46</v>
      </c>
      <c r="B50" s="162"/>
      <c r="C50" s="162"/>
      <c r="D50" s="162"/>
      <c r="E50" s="162"/>
      <c r="F50" s="190">
        <f t="shared" si="0"/>
        <v>0</v>
      </c>
      <c r="G50" s="191">
        <f t="shared" si="1"/>
        <v>0</v>
      </c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</row>
    <row r="51" s="140" customFormat="1" customHeight="1" spans="1:38">
      <c r="A51" s="161">
        <v>47</v>
      </c>
      <c r="B51" s="162"/>
      <c r="C51" s="162"/>
      <c r="D51" s="162"/>
      <c r="E51" s="162"/>
      <c r="F51" s="190">
        <f t="shared" si="0"/>
        <v>0</v>
      </c>
      <c r="G51" s="191">
        <f t="shared" si="1"/>
        <v>0</v>
      </c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</row>
    <row r="52" s="140" customFormat="1" customHeight="1" spans="1:38">
      <c r="A52" s="161">
        <v>48</v>
      </c>
      <c r="B52" s="162"/>
      <c r="C52" s="162"/>
      <c r="D52" s="162"/>
      <c r="E52" s="162"/>
      <c r="F52" s="190">
        <f t="shared" si="0"/>
        <v>0</v>
      </c>
      <c r="G52" s="191">
        <f t="shared" si="1"/>
        <v>0</v>
      </c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</row>
    <row r="53" s="140" customFormat="1" customHeight="1" spans="1:38">
      <c r="A53" s="161">
        <v>49</v>
      </c>
      <c r="B53" s="162"/>
      <c r="C53" s="162"/>
      <c r="D53" s="162"/>
      <c r="E53" s="162"/>
      <c r="F53" s="190">
        <f t="shared" si="0"/>
        <v>0</v>
      </c>
      <c r="G53" s="191">
        <f t="shared" si="1"/>
        <v>0</v>
      </c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</row>
    <row r="54" s="140" customFormat="1" customHeight="1" spans="1:38">
      <c r="A54" s="161">
        <v>50</v>
      </c>
      <c r="B54" s="162"/>
      <c r="C54" s="162"/>
      <c r="D54" s="162"/>
      <c r="E54" s="162"/>
      <c r="F54" s="190">
        <f t="shared" si="0"/>
        <v>0</v>
      </c>
      <c r="G54" s="191">
        <f t="shared" si="1"/>
        <v>0</v>
      </c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</row>
    <row r="55" s="140" customFormat="1" customHeight="1" spans="1:38">
      <c r="A55" s="161">
        <v>51</v>
      </c>
      <c r="B55" s="162"/>
      <c r="C55" s="162"/>
      <c r="D55" s="162"/>
      <c r="E55" s="162"/>
      <c r="F55" s="190">
        <f t="shared" si="0"/>
        <v>0</v>
      </c>
      <c r="G55" s="191">
        <f t="shared" si="1"/>
        <v>0</v>
      </c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</row>
    <row r="56" s="140" customFormat="1" customHeight="1" spans="1:38">
      <c r="A56" s="161">
        <v>52</v>
      </c>
      <c r="B56" s="162"/>
      <c r="C56" s="162"/>
      <c r="D56" s="162"/>
      <c r="E56" s="162"/>
      <c r="F56" s="190">
        <f t="shared" si="0"/>
        <v>0</v>
      </c>
      <c r="G56" s="191">
        <f t="shared" si="1"/>
        <v>0</v>
      </c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</row>
    <row r="57" s="140" customFormat="1" customHeight="1" spans="1:38">
      <c r="A57" s="161">
        <v>53</v>
      </c>
      <c r="B57" s="162"/>
      <c r="C57" s="162"/>
      <c r="D57" s="162"/>
      <c r="E57" s="162"/>
      <c r="F57" s="190">
        <f t="shared" si="0"/>
        <v>0</v>
      </c>
      <c r="G57" s="191">
        <f t="shared" si="1"/>
        <v>0</v>
      </c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</row>
    <row r="58" s="140" customFormat="1" customHeight="1" spans="1:38">
      <c r="A58" s="161">
        <v>54</v>
      </c>
      <c r="B58" s="162"/>
      <c r="C58" s="162"/>
      <c r="D58" s="162"/>
      <c r="E58" s="162"/>
      <c r="F58" s="190">
        <f t="shared" si="0"/>
        <v>0</v>
      </c>
      <c r="G58" s="191">
        <f t="shared" si="1"/>
        <v>0</v>
      </c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</row>
    <row r="59" s="140" customFormat="1" customHeight="1" spans="1:38">
      <c r="A59" s="161">
        <v>55</v>
      </c>
      <c r="B59" s="162"/>
      <c r="C59" s="162"/>
      <c r="D59" s="162"/>
      <c r="E59" s="162"/>
      <c r="F59" s="190">
        <f t="shared" si="0"/>
        <v>0</v>
      </c>
      <c r="G59" s="191">
        <f t="shared" si="1"/>
        <v>0</v>
      </c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</row>
    <row r="60" s="140" customFormat="1" customHeight="1" spans="1:38">
      <c r="A60" s="161">
        <v>56</v>
      </c>
      <c r="B60" s="162"/>
      <c r="C60" s="162"/>
      <c r="D60" s="162"/>
      <c r="E60" s="162"/>
      <c r="F60" s="190">
        <f t="shared" si="0"/>
        <v>0</v>
      </c>
      <c r="G60" s="191">
        <f t="shared" si="1"/>
        <v>0</v>
      </c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</row>
    <row r="61" s="140" customFormat="1" customHeight="1" spans="1:38">
      <c r="A61" s="161">
        <v>57</v>
      </c>
      <c r="B61" s="162"/>
      <c r="C61" s="162"/>
      <c r="D61" s="162"/>
      <c r="E61" s="162"/>
      <c r="F61" s="190">
        <f t="shared" si="0"/>
        <v>0</v>
      </c>
      <c r="G61" s="191">
        <f t="shared" si="1"/>
        <v>0</v>
      </c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</row>
    <row r="62" s="140" customFormat="1" customHeight="1" spans="1:38">
      <c r="A62" s="161">
        <v>58</v>
      </c>
      <c r="B62" s="162"/>
      <c r="C62" s="162"/>
      <c r="D62" s="162"/>
      <c r="E62" s="162"/>
      <c r="F62" s="190">
        <f t="shared" si="0"/>
        <v>0</v>
      </c>
      <c r="G62" s="191">
        <f t="shared" si="1"/>
        <v>0</v>
      </c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</row>
    <row r="63" s="140" customFormat="1" customHeight="1" spans="1:38">
      <c r="A63" s="161">
        <v>59</v>
      </c>
      <c r="B63" s="162"/>
      <c r="C63" s="162"/>
      <c r="D63" s="162"/>
      <c r="E63" s="162"/>
      <c r="F63" s="190">
        <f t="shared" si="0"/>
        <v>0</v>
      </c>
      <c r="G63" s="191">
        <f t="shared" si="1"/>
        <v>0</v>
      </c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</row>
    <row r="64" s="140" customFormat="1" customHeight="1" spans="1:38">
      <c r="A64" s="161">
        <v>60</v>
      </c>
      <c r="B64" s="162"/>
      <c r="C64" s="162"/>
      <c r="D64" s="162"/>
      <c r="E64" s="162"/>
      <c r="F64" s="190">
        <f t="shared" si="0"/>
        <v>0</v>
      </c>
      <c r="G64" s="191">
        <f t="shared" si="1"/>
        <v>0</v>
      </c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</row>
    <row r="65" s="140" customFormat="1" customHeight="1" spans="1:38">
      <c r="A65" s="161">
        <v>61</v>
      </c>
      <c r="B65" s="162"/>
      <c r="C65" s="162"/>
      <c r="D65" s="162"/>
      <c r="E65" s="162"/>
      <c r="F65" s="190">
        <f t="shared" si="0"/>
        <v>0</v>
      </c>
      <c r="G65" s="191">
        <f t="shared" si="1"/>
        <v>0</v>
      </c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</row>
    <row r="66" s="140" customFormat="1" customHeight="1" spans="1:38">
      <c r="A66" s="161">
        <v>62</v>
      </c>
      <c r="B66" s="162"/>
      <c r="C66" s="162"/>
      <c r="D66" s="162"/>
      <c r="E66" s="162"/>
      <c r="F66" s="190">
        <f t="shared" si="0"/>
        <v>0</v>
      </c>
      <c r="G66" s="191">
        <f t="shared" si="1"/>
        <v>0</v>
      </c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</row>
    <row r="67" s="140" customFormat="1" customHeight="1" spans="1:38">
      <c r="A67" s="161">
        <v>63</v>
      </c>
      <c r="B67" s="162"/>
      <c r="C67" s="162"/>
      <c r="D67" s="162"/>
      <c r="E67" s="162"/>
      <c r="F67" s="190">
        <f t="shared" si="0"/>
        <v>0</v>
      </c>
      <c r="G67" s="191">
        <f t="shared" si="1"/>
        <v>0</v>
      </c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</row>
    <row r="68" s="140" customFormat="1" customHeight="1" spans="1:38">
      <c r="A68" s="161">
        <v>64</v>
      </c>
      <c r="B68" s="162"/>
      <c r="C68" s="162"/>
      <c r="D68" s="162"/>
      <c r="E68" s="162"/>
      <c r="F68" s="190">
        <f t="shared" si="0"/>
        <v>0</v>
      </c>
      <c r="G68" s="191">
        <f t="shared" si="1"/>
        <v>0</v>
      </c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</row>
    <row r="69" s="140" customFormat="1" customHeight="1" spans="1:38">
      <c r="A69" s="161">
        <v>65</v>
      </c>
      <c r="B69" s="162"/>
      <c r="C69" s="162"/>
      <c r="D69" s="162"/>
      <c r="E69" s="162"/>
      <c r="F69" s="190">
        <f t="shared" ref="F69:F75" si="2">SUMIF($H$4:$AL$4,$F$4,$H69:$AL69)</f>
        <v>0</v>
      </c>
      <c r="G69" s="191">
        <f t="shared" ref="G69:G74" si="3">+E69*F69</f>
        <v>0</v>
      </c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</row>
    <row r="70" s="140" customFormat="1" customHeight="1" spans="1:38">
      <c r="A70" s="161">
        <v>66</v>
      </c>
      <c r="B70" s="162"/>
      <c r="C70" s="162"/>
      <c r="D70" s="162"/>
      <c r="E70" s="162"/>
      <c r="F70" s="190">
        <f t="shared" si="2"/>
        <v>0</v>
      </c>
      <c r="G70" s="191">
        <f t="shared" si="3"/>
        <v>0</v>
      </c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</row>
    <row r="71" s="140" customFormat="1" customHeight="1" spans="1:38">
      <c r="A71" s="161">
        <v>67</v>
      </c>
      <c r="B71" s="162"/>
      <c r="C71" s="162"/>
      <c r="D71" s="162"/>
      <c r="E71" s="162"/>
      <c r="F71" s="190">
        <f t="shared" si="2"/>
        <v>0</v>
      </c>
      <c r="G71" s="191">
        <f t="shared" si="3"/>
        <v>0</v>
      </c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</row>
    <row r="72" s="140" customFormat="1" customHeight="1" spans="1:38">
      <c r="A72" s="161">
        <v>68</v>
      </c>
      <c r="B72" s="162"/>
      <c r="C72" s="162"/>
      <c r="D72" s="162"/>
      <c r="E72" s="162"/>
      <c r="F72" s="190">
        <f t="shared" si="2"/>
        <v>0</v>
      </c>
      <c r="G72" s="191">
        <f t="shared" si="3"/>
        <v>0</v>
      </c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</row>
    <row r="73" s="140" customFormat="1" customHeight="1" spans="1:38">
      <c r="A73" s="161">
        <v>69</v>
      </c>
      <c r="B73" s="162"/>
      <c r="C73" s="162"/>
      <c r="D73" s="162"/>
      <c r="E73" s="162"/>
      <c r="F73" s="190">
        <f t="shared" si="2"/>
        <v>0</v>
      </c>
      <c r="G73" s="191">
        <f t="shared" si="3"/>
        <v>0</v>
      </c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</row>
    <row r="74" s="140" customFormat="1" customHeight="1" spans="1:38">
      <c r="A74" s="161">
        <v>70</v>
      </c>
      <c r="B74" s="162"/>
      <c r="C74" s="162"/>
      <c r="D74" s="162"/>
      <c r="E74" s="162"/>
      <c r="F74" s="190">
        <f t="shared" si="2"/>
        <v>0</v>
      </c>
      <c r="G74" s="191">
        <f t="shared" si="3"/>
        <v>0</v>
      </c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</row>
    <row r="75" s="143" customFormat="1" customHeight="1" spans="1:38">
      <c r="A75" s="162"/>
      <c r="B75" s="6" t="s">
        <v>303</v>
      </c>
      <c r="C75" s="162"/>
      <c r="D75" s="162"/>
      <c r="E75" s="162"/>
      <c r="F75" s="190">
        <f t="shared" si="2"/>
        <v>123</v>
      </c>
      <c r="G75" s="171">
        <f t="shared" ref="G75:AL75" si="4">SUM(G5:G74)</f>
        <v>957</v>
      </c>
      <c r="H75" s="171">
        <f t="shared" si="4"/>
        <v>3</v>
      </c>
      <c r="I75" s="171">
        <f t="shared" si="4"/>
        <v>1</v>
      </c>
      <c r="J75" s="171">
        <f t="shared" si="4"/>
        <v>2</v>
      </c>
      <c r="K75" s="171">
        <f t="shared" si="4"/>
        <v>6</v>
      </c>
      <c r="L75" s="171">
        <f t="shared" si="4"/>
        <v>6</v>
      </c>
      <c r="M75" s="171">
        <f t="shared" si="4"/>
        <v>1</v>
      </c>
      <c r="N75" s="171">
        <f t="shared" si="4"/>
        <v>7</v>
      </c>
      <c r="O75" s="171">
        <f t="shared" si="4"/>
        <v>8</v>
      </c>
      <c r="P75" s="171">
        <f t="shared" si="4"/>
        <v>7</v>
      </c>
      <c r="Q75" s="171">
        <f t="shared" si="4"/>
        <v>7</v>
      </c>
      <c r="R75" s="171">
        <f t="shared" si="4"/>
        <v>5</v>
      </c>
      <c r="S75" s="171">
        <f t="shared" si="4"/>
        <v>4</v>
      </c>
      <c r="T75" s="171">
        <f t="shared" si="4"/>
        <v>2</v>
      </c>
      <c r="U75" s="171">
        <f t="shared" si="4"/>
        <v>2</v>
      </c>
      <c r="V75" s="171">
        <f t="shared" si="4"/>
        <v>7</v>
      </c>
      <c r="W75" s="171">
        <f t="shared" si="4"/>
        <v>4</v>
      </c>
      <c r="X75" s="171">
        <f t="shared" si="4"/>
        <v>5</v>
      </c>
      <c r="Y75" s="171">
        <f t="shared" si="4"/>
        <v>2</v>
      </c>
      <c r="Z75" s="171">
        <f t="shared" si="4"/>
        <v>1</v>
      </c>
      <c r="AA75" s="171">
        <f t="shared" si="4"/>
        <v>3</v>
      </c>
      <c r="AB75" s="171">
        <f t="shared" si="4"/>
        <v>4</v>
      </c>
      <c r="AC75" s="171">
        <f t="shared" si="4"/>
        <v>3</v>
      </c>
      <c r="AD75" s="171">
        <f t="shared" si="4"/>
        <v>4</v>
      </c>
      <c r="AE75" s="171">
        <f t="shared" si="4"/>
        <v>3</v>
      </c>
      <c r="AF75" s="171">
        <f t="shared" si="4"/>
        <v>2</v>
      </c>
      <c r="AG75" s="171">
        <f t="shared" si="4"/>
        <v>3</v>
      </c>
      <c r="AH75" s="171">
        <f t="shared" si="4"/>
        <v>1</v>
      </c>
      <c r="AI75" s="171">
        <f t="shared" si="4"/>
        <v>3</v>
      </c>
      <c r="AJ75" s="171">
        <f t="shared" si="4"/>
        <v>2</v>
      </c>
      <c r="AK75" s="171">
        <f t="shared" si="4"/>
        <v>6</v>
      </c>
      <c r="AL75" s="171">
        <f t="shared" si="4"/>
        <v>9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D1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前台小商品">
    <pageSetUpPr fitToPage="1"/>
  </sheetPr>
  <dimension ref="A1:BW145"/>
  <sheetViews>
    <sheetView showGridLines="0" workbookViewId="0">
      <pane xSplit="7" ySplit="1" topLeftCell="H2" activePane="bottomRight" state="frozen"/>
      <selection/>
      <selection pane="topRight"/>
      <selection pane="bottomLeft"/>
      <selection pane="bottomRight" activeCell="Q8" sqref="Q8"/>
    </sheetView>
  </sheetViews>
  <sheetFormatPr defaultColWidth="9" defaultRowHeight="25" customHeight="1"/>
  <cols>
    <col min="1" max="1" width="4.81666666666667" style="143"/>
    <col min="2" max="2" width="15" style="443"/>
    <col min="3" max="3" width="8.25833333333333" style="143"/>
    <col min="4" max="4" width="5.125" style="143"/>
    <col min="5" max="5" width="5.75" style="143"/>
    <col min="6" max="6" width="10.875" style="143"/>
    <col min="7" max="7" width="10.875" style="145"/>
    <col min="8" max="8" width="10.875" style="144"/>
    <col min="9" max="9" width="10.875" style="145"/>
    <col min="10" max="10" width="10.875" style="144"/>
    <col min="11" max="11" width="10.875" style="145"/>
    <col min="12" max="12" width="10.875" style="144"/>
    <col min="13" max="13" width="10.875" style="145"/>
    <col min="14" max="15" width="7.375" style="143"/>
    <col min="16" max="16384" width="9" style="360"/>
  </cols>
  <sheetData>
    <row r="1" s="18" customFormat="1" ht="40" customHeight="1" spans="1:75">
      <c r="A1" s="148"/>
      <c r="B1" s="148" t="s">
        <v>304</v>
      </c>
      <c r="C1" s="148"/>
      <c r="D1" s="148"/>
      <c r="E1" s="148"/>
      <c r="F1" s="148"/>
      <c r="G1" s="148"/>
      <c r="H1" s="149"/>
      <c r="I1" s="150"/>
      <c r="J1" s="149"/>
      <c r="K1" s="150"/>
      <c r="L1" s="149"/>
      <c r="M1" s="150"/>
      <c r="N1" s="148"/>
      <c r="O1" s="148"/>
    </row>
    <row r="2" s="18" customFormat="1" ht="15" customHeight="1" spans="1:75">
      <c r="A2" s="148"/>
      <c r="B2" s="54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215" t="s">
        <v>125</v>
      </c>
      <c r="O2" s="215"/>
    </row>
    <row r="3" s="18" customFormat="1" customHeight="1" spans="1:75">
      <c r="A3" s="210" t="s">
        <v>3</v>
      </c>
      <c r="B3" s="544" t="s">
        <v>126</v>
      </c>
      <c r="C3" s="210" t="s">
        <v>127</v>
      </c>
      <c r="D3" s="210" t="s">
        <v>6</v>
      </c>
      <c r="E3" s="210" t="s">
        <v>64</v>
      </c>
      <c r="F3" s="20" t="s">
        <v>128</v>
      </c>
      <c r="G3" s="20" t="s">
        <v>129</v>
      </c>
      <c r="H3" s="20" t="s">
        <v>130</v>
      </c>
      <c r="I3" s="20" t="s">
        <v>131</v>
      </c>
      <c r="J3" s="20" t="s">
        <v>132</v>
      </c>
      <c r="K3" s="20" t="s">
        <v>65</v>
      </c>
      <c r="L3" s="20" t="s">
        <v>133</v>
      </c>
      <c r="M3" s="20" t="s">
        <v>129</v>
      </c>
      <c r="N3" s="20" t="s">
        <v>9</v>
      </c>
      <c r="O3" s="20"/>
      <c r="P3" s="20" t="s">
        <v>10</v>
      </c>
      <c r="Q3" s="20"/>
      <c r="R3" s="20" t="s">
        <v>11</v>
      </c>
      <c r="S3" s="20"/>
      <c r="T3" s="20" t="s">
        <v>12</v>
      </c>
      <c r="U3" s="20"/>
      <c r="V3" s="20" t="s">
        <v>13</v>
      </c>
      <c r="W3" s="20"/>
      <c r="X3" s="20" t="s">
        <v>14</v>
      </c>
      <c r="Y3" s="20"/>
      <c r="Z3" s="20" t="s">
        <v>15</v>
      </c>
      <c r="AA3" s="20"/>
      <c r="AB3" s="20" t="s">
        <v>16</v>
      </c>
      <c r="AC3" s="20"/>
      <c r="AD3" s="20" t="s">
        <v>17</v>
      </c>
      <c r="AE3" s="20"/>
      <c r="AF3" s="20" t="s">
        <v>18</v>
      </c>
      <c r="AG3" s="20"/>
      <c r="AH3" s="20" t="s">
        <v>19</v>
      </c>
      <c r="AI3" s="20"/>
      <c r="AJ3" s="20" t="s">
        <v>20</v>
      </c>
      <c r="AK3" s="20"/>
      <c r="AL3" s="20" t="s">
        <v>21</v>
      </c>
      <c r="AM3" s="20"/>
      <c r="AN3" s="20" t="s">
        <v>22</v>
      </c>
      <c r="AO3" s="20"/>
      <c r="AP3" s="20" t="s">
        <v>23</v>
      </c>
      <c r="AQ3" s="20"/>
      <c r="AR3" s="20" t="s">
        <v>24</v>
      </c>
      <c r="AS3" s="20"/>
      <c r="AT3" s="20" t="s">
        <v>25</v>
      </c>
      <c r="AU3" s="20"/>
      <c r="AV3" s="20" t="s">
        <v>26</v>
      </c>
      <c r="AW3" s="20"/>
      <c r="AX3" s="20" t="s">
        <v>27</v>
      </c>
      <c r="AY3" s="20"/>
      <c r="AZ3" s="20" t="s">
        <v>28</v>
      </c>
      <c r="BA3" s="20"/>
      <c r="BB3" s="20" t="s">
        <v>29</v>
      </c>
      <c r="BC3" s="20"/>
      <c r="BD3" s="20" t="s">
        <v>30</v>
      </c>
      <c r="BE3" s="20"/>
      <c r="BF3" s="20" t="s">
        <v>31</v>
      </c>
      <c r="BG3" s="20"/>
      <c r="BH3" s="20" t="s">
        <v>32</v>
      </c>
      <c r="BI3" s="20"/>
      <c r="BJ3" s="20" t="s">
        <v>33</v>
      </c>
      <c r="BK3" s="20"/>
      <c r="BL3" s="20" t="s">
        <v>34</v>
      </c>
      <c r="BM3" s="20"/>
      <c r="BN3" s="20" t="s">
        <v>35</v>
      </c>
      <c r="BO3" s="20"/>
      <c r="BP3" s="20" t="s">
        <v>36</v>
      </c>
      <c r="BQ3" s="20"/>
      <c r="BR3" s="20" t="s">
        <v>37</v>
      </c>
      <c r="BS3" s="20"/>
      <c r="BT3" s="20" t="s">
        <v>38</v>
      </c>
      <c r="BU3" s="20"/>
      <c r="BV3" s="20" t="s">
        <v>39</v>
      </c>
      <c r="BW3" s="20"/>
    </row>
    <row r="4" s="18" customFormat="1" customHeight="1" spans="1:75">
      <c r="A4" s="210"/>
      <c r="B4" s="210"/>
      <c r="C4" s="210"/>
      <c r="D4" s="210"/>
      <c r="E4" s="210"/>
      <c r="F4" s="20"/>
      <c r="G4" s="20"/>
      <c r="H4" s="20" t="s">
        <v>134</v>
      </c>
      <c r="I4" s="20" t="s">
        <v>8</v>
      </c>
      <c r="J4" s="20" t="s">
        <v>135</v>
      </c>
      <c r="K4" s="20"/>
      <c r="L4" s="20" t="s">
        <v>305</v>
      </c>
      <c r="M4" s="20"/>
      <c r="N4" s="20" t="s">
        <v>134</v>
      </c>
      <c r="O4" s="20" t="s">
        <v>135</v>
      </c>
      <c r="P4" s="20" t="s">
        <v>134</v>
      </c>
      <c r="Q4" s="20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40" customFormat="1" customHeight="1" spans="1:75">
      <c r="A5" s="161">
        <v>1</v>
      </c>
      <c r="B5" s="57" t="s">
        <v>306</v>
      </c>
      <c r="C5" s="545" t="s">
        <v>173</v>
      </c>
      <c r="D5" s="100"/>
      <c r="E5" s="100">
        <v>7.9</v>
      </c>
      <c r="F5" s="408">
        <v>0</v>
      </c>
      <c r="G5" s="526">
        <f t="shared" ref="G5:G42" si="0">F5*E5</f>
        <v>0</v>
      </c>
      <c r="H5" s="190">
        <f>SUMIF($N$4:$O$4,$H$4,$N5:$O5)</f>
        <v>33</v>
      </c>
      <c r="I5" s="191">
        <f t="shared" ref="I5:I68" si="1">+E5*H5</f>
        <v>260.7</v>
      </c>
      <c r="J5" s="190">
        <f t="shared" ref="J5:J68" si="2">SUMIF($N$4:$BW$4,$J$4,$N5:$BW5)</f>
        <v>1</v>
      </c>
      <c r="K5" s="191">
        <f t="shared" ref="K5:K68" si="3">+E5*J5</f>
        <v>7.9</v>
      </c>
      <c r="L5" s="190">
        <f t="shared" ref="L5:L23" si="4">+F5+H5-J5</f>
        <v>32</v>
      </c>
      <c r="M5" s="191">
        <f t="shared" ref="M5:M68" si="5">+E5*L5</f>
        <v>252.8</v>
      </c>
      <c r="N5" s="133">
        <v>33</v>
      </c>
      <c r="O5" s="133"/>
      <c r="P5" s="133"/>
      <c r="Q5" s="133">
        <v>1</v>
      </c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133"/>
      <c r="AO5" s="133"/>
      <c r="AP5" s="133"/>
      <c r="AQ5" s="133"/>
      <c r="AR5" s="133"/>
      <c r="AS5" s="133"/>
      <c r="AT5" s="133"/>
      <c r="AU5" s="133"/>
      <c r="AV5" s="133"/>
      <c r="AW5" s="133"/>
      <c r="AX5" s="133"/>
      <c r="AY5" s="133"/>
      <c r="AZ5" s="133"/>
      <c r="BA5" s="133"/>
      <c r="BB5" s="133"/>
      <c r="BC5" s="133"/>
      <c r="BD5" s="133"/>
      <c r="BE5" s="133"/>
      <c r="BF5" s="133"/>
      <c r="BG5" s="133"/>
      <c r="BH5" s="133"/>
      <c r="BI5" s="133"/>
      <c r="BJ5" s="133"/>
      <c r="BK5" s="133"/>
      <c r="BL5" s="133"/>
      <c r="BM5" s="133"/>
      <c r="BN5" s="133"/>
      <c r="BO5" s="133"/>
      <c r="BP5" s="133"/>
      <c r="BQ5" s="133"/>
      <c r="BR5" s="133"/>
      <c r="BS5" s="133"/>
      <c r="BT5" s="133"/>
      <c r="BU5" s="133"/>
      <c r="BV5" s="133"/>
      <c r="BW5" s="133"/>
    </row>
    <row r="6" s="140" customFormat="1" customHeight="1" spans="1:75">
      <c r="A6" s="161">
        <v>2</v>
      </c>
      <c r="B6" s="57" t="s">
        <v>307</v>
      </c>
      <c r="C6" s="545" t="s">
        <v>173</v>
      </c>
      <c r="D6" s="100"/>
      <c r="E6" s="100">
        <v>13.5</v>
      </c>
      <c r="F6" s="408">
        <v>0</v>
      </c>
      <c r="G6" s="526">
        <f t="shared" si="0"/>
        <v>0</v>
      </c>
      <c r="H6" s="190">
        <f t="shared" ref="H5:H68" si="6">SUMIF($N$4:$O$4,$H$4,$N6:$O6)</f>
        <v>27</v>
      </c>
      <c r="I6" s="191">
        <f t="shared" si="1"/>
        <v>364.5</v>
      </c>
      <c r="J6" s="190">
        <f t="shared" si="2"/>
        <v>0</v>
      </c>
      <c r="K6" s="191">
        <f t="shared" si="3"/>
        <v>0</v>
      </c>
      <c r="L6" s="190">
        <f t="shared" si="4"/>
        <v>27</v>
      </c>
      <c r="M6" s="191">
        <f t="shared" si="5"/>
        <v>364.5</v>
      </c>
      <c r="N6" s="133">
        <v>27</v>
      </c>
      <c r="O6" s="133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2"/>
      <c r="AC6" s="162"/>
      <c r="AD6" s="162"/>
      <c r="AE6" s="162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  <c r="BA6" s="162"/>
      <c r="BB6" s="162"/>
      <c r="BC6" s="162"/>
      <c r="BD6" s="162"/>
      <c r="BE6" s="162"/>
      <c r="BF6" s="162"/>
      <c r="BG6" s="162"/>
      <c r="BH6" s="162"/>
      <c r="BI6" s="162"/>
      <c r="BJ6" s="162"/>
      <c r="BK6" s="162"/>
      <c r="BL6" s="162"/>
      <c r="BM6" s="162"/>
      <c r="BN6" s="162"/>
      <c r="BO6" s="162"/>
      <c r="BP6" s="162"/>
      <c r="BQ6" s="162"/>
      <c r="BR6" s="162"/>
      <c r="BS6" s="162"/>
      <c r="BT6" s="162"/>
      <c r="BU6" s="162"/>
      <c r="BV6" s="162"/>
      <c r="BW6" s="162"/>
    </row>
    <row r="7" s="140" customFormat="1" customHeight="1" spans="1:75">
      <c r="A7" s="161">
        <v>3</v>
      </c>
      <c r="B7" s="57" t="s">
        <v>308</v>
      </c>
      <c r="C7" s="545" t="s">
        <v>173</v>
      </c>
      <c r="D7" s="100"/>
      <c r="E7" s="100">
        <v>13.5</v>
      </c>
      <c r="F7" s="408">
        <v>0</v>
      </c>
      <c r="G7" s="526">
        <f t="shared" si="0"/>
        <v>0</v>
      </c>
      <c r="H7" s="190">
        <f t="shared" si="6"/>
        <v>28</v>
      </c>
      <c r="I7" s="191">
        <f t="shared" si="1"/>
        <v>378</v>
      </c>
      <c r="J7" s="190">
        <f t="shared" si="2"/>
        <v>0</v>
      </c>
      <c r="K7" s="191">
        <f t="shared" si="3"/>
        <v>0</v>
      </c>
      <c r="L7" s="190">
        <f t="shared" si="4"/>
        <v>28</v>
      </c>
      <c r="M7" s="191">
        <f t="shared" si="5"/>
        <v>378</v>
      </c>
      <c r="N7" s="133">
        <v>28</v>
      </c>
      <c r="O7" s="133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  <c r="BA7" s="162"/>
      <c r="BB7" s="162"/>
      <c r="BC7" s="162"/>
      <c r="BD7" s="162"/>
      <c r="BE7" s="162"/>
      <c r="BF7" s="162"/>
      <c r="BG7" s="162"/>
      <c r="BH7" s="162"/>
      <c r="BI7" s="162"/>
      <c r="BJ7" s="162"/>
      <c r="BK7" s="162"/>
      <c r="BL7" s="162"/>
      <c r="BM7" s="162"/>
      <c r="BN7" s="162"/>
      <c r="BO7" s="162"/>
      <c r="BP7" s="162"/>
      <c r="BQ7" s="162"/>
      <c r="BR7" s="162"/>
      <c r="BS7" s="162"/>
      <c r="BT7" s="162"/>
      <c r="BU7" s="162"/>
      <c r="BV7" s="162"/>
      <c r="BW7" s="162"/>
    </row>
    <row r="8" s="140" customFormat="1" customHeight="1" spans="1:75">
      <c r="A8" s="161">
        <v>4</v>
      </c>
      <c r="B8" s="57" t="s">
        <v>309</v>
      </c>
      <c r="C8" s="545" t="s">
        <v>173</v>
      </c>
      <c r="D8" s="100"/>
      <c r="E8" s="100">
        <v>13.5</v>
      </c>
      <c r="F8" s="408">
        <v>0</v>
      </c>
      <c r="G8" s="526">
        <f t="shared" si="0"/>
        <v>0</v>
      </c>
      <c r="H8" s="190">
        <f t="shared" si="6"/>
        <v>30</v>
      </c>
      <c r="I8" s="191">
        <f t="shared" si="1"/>
        <v>405</v>
      </c>
      <c r="J8" s="190">
        <f t="shared" si="2"/>
        <v>0</v>
      </c>
      <c r="K8" s="191">
        <f t="shared" si="3"/>
        <v>0</v>
      </c>
      <c r="L8" s="190">
        <f t="shared" si="4"/>
        <v>30</v>
      </c>
      <c r="M8" s="191">
        <f t="shared" si="5"/>
        <v>405</v>
      </c>
      <c r="N8" s="133">
        <v>30</v>
      </c>
      <c r="O8" s="133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2"/>
      <c r="AH8" s="162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  <c r="BA8" s="162"/>
      <c r="BB8" s="162"/>
      <c r="BC8" s="162"/>
      <c r="BD8" s="162"/>
      <c r="BE8" s="162"/>
      <c r="BF8" s="162"/>
      <c r="BG8" s="162"/>
      <c r="BH8" s="162"/>
      <c r="BI8" s="162"/>
      <c r="BJ8" s="162"/>
      <c r="BK8" s="162"/>
      <c r="BL8" s="162"/>
      <c r="BM8" s="162"/>
      <c r="BN8" s="162"/>
      <c r="BO8" s="162"/>
      <c r="BP8" s="162"/>
      <c r="BQ8" s="162"/>
      <c r="BR8" s="162"/>
      <c r="BS8" s="162"/>
      <c r="BT8" s="162"/>
      <c r="BU8" s="162"/>
      <c r="BV8" s="162"/>
      <c r="BW8" s="162"/>
    </row>
    <row r="9" s="140" customFormat="1" customHeight="1" spans="1:75">
      <c r="A9" s="161">
        <v>5</v>
      </c>
      <c r="B9" s="57" t="s">
        <v>310</v>
      </c>
      <c r="C9" s="545" t="s">
        <v>137</v>
      </c>
      <c r="D9" s="100"/>
      <c r="E9" s="100">
        <v>66</v>
      </c>
      <c r="F9" s="408">
        <v>0</v>
      </c>
      <c r="G9" s="526">
        <f t="shared" si="0"/>
        <v>0</v>
      </c>
      <c r="H9" s="190">
        <f t="shared" si="6"/>
        <v>22</v>
      </c>
      <c r="I9" s="191">
        <f t="shared" si="1"/>
        <v>1452</v>
      </c>
      <c r="J9" s="190">
        <f t="shared" si="2"/>
        <v>3</v>
      </c>
      <c r="K9" s="191">
        <f t="shared" si="3"/>
        <v>198</v>
      </c>
      <c r="L9" s="190">
        <f t="shared" si="4"/>
        <v>19</v>
      </c>
      <c r="M9" s="191">
        <f t="shared" si="5"/>
        <v>1254</v>
      </c>
      <c r="N9" s="133">
        <v>22</v>
      </c>
      <c r="O9" s="133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  <c r="AQ9" s="162">
        <v>1</v>
      </c>
      <c r="AR9" s="162"/>
      <c r="AS9" s="162"/>
      <c r="AT9" s="162"/>
      <c r="AU9" s="162"/>
      <c r="AV9" s="162"/>
      <c r="AW9" s="162"/>
      <c r="AX9" s="162"/>
      <c r="AY9" s="162"/>
      <c r="AZ9" s="162"/>
      <c r="BA9" s="162">
        <v>2</v>
      </c>
      <c r="BB9" s="162"/>
      <c r="BC9" s="162"/>
      <c r="BD9" s="162"/>
      <c r="BE9" s="162"/>
      <c r="BF9" s="162"/>
      <c r="BG9" s="162"/>
      <c r="BH9" s="162"/>
      <c r="BI9" s="162"/>
      <c r="BJ9" s="162"/>
      <c r="BK9" s="162"/>
      <c r="BL9" s="162"/>
      <c r="BM9" s="162"/>
      <c r="BN9" s="162"/>
      <c r="BO9" s="162"/>
      <c r="BP9" s="162"/>
      <c r="BQ9" s="162"/>
      <c r="BR9" s="162"/>
      <c r="BS9" s="162"/>
      <c r="BT9" s="162"/>
      <c r="BU9" s="162"/>
      <c r="BV9" s="162"/>
      <c r="BW9" s="162"/>
    </row>
    <row r="10" s="140" customFormat="1" customHeight="1" spans="1:75">
      <c r="A10" s="161">
        <v>6</v>
      </c>
      <c r="B10" s="57" t="s">
        <v>311</v>
      </c>
      <c r="C10" s="545" t="s">
        <v>137</v>
      </c>
      <c r="D10" s="100"/>
      <c r="E10" s="100">
        <v>113.5</v>
      </c>
      <c r="F10" s="408">
        <v>0</v>
      </c>
      <c r="G10" s="526">
        <f t="shared" si="0"/>
        <v>0</v>
      </c>
      <c r="H10" s="190">
        <f t="shared" si="6"/>
        <v>10</v>
      </c>
      <c r="I10" s="191">
        <f t="shared" si="1"/>
        <v>1135</v>
      </c>
      <c r="J10" s="190">
        <f t="shared" si="2"/>
        <v>0</v>
      </c>
      <c r="K10" s="191">
        <f t="shared" si="3"/>
        <v>0</v>
      </c>
      <c r="L10" s="190">
        <f t="shared" si="4"/>
        <v>10</v>
      </c>
      <c r="M10" s="191">
        <f t="shared" si="5"/>
        <v>1135</v>
      </c>
      <c r="N10" s="133">
        <v>10</v>
      </c>
      <c r="O10" s="133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  <c r="BA10" s="162"/>
      <c r="BB10" s="162"/>
      <c r="BC10" s="162"/>
      <c r="BD10" s="162"/>
      <c r="BE10" s="162"/>
      <c r="BF10" s="162"/>
      <c r="BG10" s="162"/>
      <c r="BH10" s="162"/>
      <c r="BI10" s="162"/>
      <c r="BJ10" s="162"/>
      <c r="BK10" s="162"/>
      <c r="BL10" s="162"/>
      <c r="BM10" s="162"/>
      <c r="BN10" s="162"/>
      <c r="BO10" s="162"/>
      <c r="BP10" s="162"/>
      <c r="BQ10" s="162"/>
      <c r="BR10" s="162"/>
      <c r="BS10" s="162"/>
      <c r="BT10" s="162"/>
      <c r="BU10" s="162"/>
      <c r="BV10" s="162"/>
      <c r="BW10" s="162"/>
    </row>
    <row r="11" s="140" customFormat="1" customHeight="1" spans="1:75">
      <c r="A11" s="161">
        <v>7</v>
      </c>
      <c r="B11" s="57" t="s">
        <v>312</v>
      </c>
      <c r="C11" s="545" t="s">
        <v>173</v>
      </c>
      <c r="D11" s="100"/>
      <c r="E11" s="100">
        <v>176</v>
      </c>
      <c r="F11" s="408">
        <v>0</v>
      </c>
      <c r="G11" s="526">
        <f t="shared" si="0"/>
        <v>0</v>
      </c>
      <c r="H11" s="190">
        <f t="shared" si="6"/>
        <v>9</v>
      </c>
      <c r="I11" s="191">
        <f t="shared" si="1"/>
        <v>1584</v>
      </c>
      <c r="J11" s="190">
        <f t="shared" si="2"/>
        <v>0</v>
      </c>
      <c r="K11" s="191">
        <f t="shared" si="3"/>
        <v>0</v>
      </c>
      <c r="L11" s="190">
        <f t="shared" si="4"/>
        <v>9</v>
      </c>
      <c r="M11" s="191">
        <f t="shared" si="5"/>
        <v>1584</v>
      </c>
      <c r="N11" s="133">
        <v>9</v>
      </c>
      <c r="O11" s="133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2"/>
      <c r="AF11" s="162"/>
      <c r="AG11" s="162"/>
      <c r="AH11" s="16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  <c r="BA11" s="162"/>
      <c r="BB11" s="162"/>
      <c r="BC11" s="162"/>
      <c r="BD11" s="162"/>
      <c r="BE11" s="162"/>
      <c r="BF11" s="162"/>
      <c r="BG11" s="162"/>
      <c r="BH11" s="162"/>
      <c r="BI11" s="162"/>
      <c r="BJ11" s="162"/>
      <c r="BK11" s="162"/>
      <c r="BL11" s="162"/>
      <c r="BM11" s="162"/>
      <c r="BN11" s="162"/>
      <c r="BO11" s="162"/>
      <c r="BP11" s="162"/>
      <c r="BQ11" s="162"/>
      <c r="BR11" s="162"/>
      <c r="BS11" s="162"/>
      <c r="BT11" s="162"/>
      <c r="BU11" s="162"/>
      <c r="BV11" s="162"/>
      <c r="BW11" s="162"/>
    </row>
    <row r="12" s="140" customFormat="1" customHeight="1" spans="1:75">
      <c r="A12" s="161">
        <v>8</v>
      </c>
      <c r="B12" s="503"/>
      <c r="C12" s="100"/>
      <c r="D12" s="100"/>
      <c r="E12" s="100">
        <v>0</v>
      </c>
      <c r="F12" s="408">
        <v>0</v>
      </c>
      <c r="G12" s="526">
        <f t="shared" si="0"/>
        <v>0</v>
      </c>
      <c r="H12" s="190">
        <f t="shared" si="6"/>
        <v>0</v>
      </c>
      <c r="I12" s="191">
        <f t="shared" si="1"/>
        <v>0</v>
      </c>
      <c r="J12" s="190">
        <f t="shared" si="2"/>
        <v>0</v>
      </c>
      <c r="K12" s="191">
        <f t="shared" si="3"/>
        <v>0</v>
      </c>
      <c r="L12" s="190">
        <f t="shared" si="4"/>
        <v>0</v>
      </c>
      <c r="M12" s="191">
        <f t="shared" si="5"/>
        <v>0</v>
      </c>
      <c r="N12" s="133"/>
      <c r="O12" s="133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2"/>
      <c r="AF12" s="162"/>
      <c r="AG12" s="162"/>
      <c r="AH12" s="162"/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  <c r="BA12" s="162"/>
      <c r="BB12" s="162"/>
      <c r="BC12" s="162"/>
      <c r="BD12" s="162"/>
      <c r="BE12" s="162"/>
      <c r="BF12" s="162"/>
      <c r="BG12" s="162"/>
      <c r="BH12" s="162"/>
      <c r="BI12" s="162"/>
      <c r="BJ12" s="162"/>
      <c r="BK12" s="162"/>
      <c r="BL12" s="162"/>
      <c r="BM12" s="162"/>
      <c r="BN12" s="162"/>
      <c r="BO12" s="162"/>
      <c r="BP12" s="162"/>
      <c r="BQ12" s="162"/>
      <c r="BR12" s="162"/>
      <c r="BS12" s="162"/>
      <c r="BT12" s="162"/>
      <c r="BU12" s="162"/>
      <c r="BV12" s="162"/>
      <c r="BW12" s="162"/>
    </row>
    <row r="13" s="140" customFormat="1" customHeight="1" spans="1:75">
      <c r="A13" s="161">
        <v>9</v>
      </c>
      <c r="B13" s="503"/>
      <c r="C13" s="100"/>
      <c r="D13" s="100"/>
      <c r="E13" s="100">
        <v>0</v>
      </c>
      <c r="F13" s="408">
        <v>0</v>
      </c>
      <c r="G13" s="526">
        <f t="shared" si="0"/>
        <v>0</v>
      </c>
      <c r="H13" s="190">
        <f t="shared" si="6"/>
        <v>0</v>
      </c>
      <c r="I13" s="191">
        <f t="shared" si="1"/>
        <v>0</v>
      </c>
      <c r="J13" s="190">
        <f t="shared" si="2"/>
        <v>0</v>
      </c>
      <c r="K13" s="191">
        <f t="shared" si="3"/>
        <v>0</v>
      </c>
      <c r="L13" s="190">
        <f t="shared" si="4"/>
        <v>0</v>
      </c>
      <c r="M13" s="191">
        <f t="shared" si="5"/>
        <v>0</v>
      </c>
      <c r="N13" s="133"/>
      <c r="O13" s="133"/>
      <c r="P13" s="162"/>
      <c r="Q13" s="162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2"/>
      <c r="AF13" s="162"/>
      <c r="AG13" s="162"/>
      <c r="AH13" s="162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  <c r="BA13" s="162"/>
      <c r="BB13" s="162"/>
      <c r="BC13" s="162"/>
      <c r="BD13" s="162"/>
      <c r="BE13" s="162"/>
      <c r="BF13" s="162"/>
      <c r="BG13" s="162"/>
      <c r="BH13" s="162"/>
      <c r="BI13" s="162"/>
      <c r="BJ13" s="162"/>
      <c r="BK13" s="162"/>
      <c r="BL13" s="162"/>
      <c r="BM13" s="162"/>
      <c r="BN13" s="162"/>
      <c r="BO13" s="162"/>
      <c r="BP13" s="162"/>
      <c r="BQ13" s="162"/>
      <c r="BR13" s="162"/>
      <c r="BS13" s="162"/>
      <c r="BT13" s="162"/>
      <c r="BU13" s="162"/>
      <c r="BV13" s="162"/>
      <c r="BW13" s="162"/>
    </row>
    <row r="14" s="140" customFormat="1" customHeight="1" spans="1:75">
      <c r="A14" s="161">
        <v>10</v>
      </c>
      <c r="B14" s="128"/>
      <c r="C14" s="100"/>
      <c r="D14" s="100"/>
      <c r="E14" s="100">
        <v>0</v>
      </c>
      <c r="F14" s="408">
        <v>0</v>
      </c>
      <c r="G14" s="526">
        <f t="shared" si="0"/>
        <v>0</v>
      </c>
      <c r="H14" s="190">
        <f t="shared" si="6"/>
        <v>0</v>
      </c>
      <c r="I14" s="191">
        <f t="shared" si="1"/>
        <v>0</v>
      </c>
      <c r="J14" s="190">
        <f t="shared" si="2"/>
        <v>0</v>
      </c>
      <c r="K14" s="191">
        <f t="shared" si="3"/>
        <v>0</v>
      </c>
      <c r="L14" s="190">
        <f t="shared" si="4"/>
        <v>0</v>
      </c>
      <c r="M14" s="191">
        <f t="shared" si="5"/>
        <v>0</v>
      </c>
      <c r="N14" s="133"/>
      <c r="O14" s="133"/>
      <c r="P14" s="162"/>
      <c r="Q14" s="162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  <c r="BA14" s="162"/>
      <c r="BB14" s="162"/>
      <c r="BC14" s="162"/>
      <c r="BD14" s="162"/>
      <c r="BE14" s="162"/>
      <c r="BF14" s="162"/>
      <c r="BG14" s="162"/>
      <c r="BH14" s="162"/>
      <c r="BI14" s="162"/>
      <c r="BJ14" s="162"/>
      <c r="BK14" s="162"/>
      <c r="BL14" s="162"/>
      <c r="BM14" s="162"/>
      <c r="BN14" s="162"/>
      <c r="BO14" s="162"/>
      <c r="BP14" s="162"/>
      <c r="BQ14" s="162"/>
      <c r="BR14" s="162"/>
      <c r="BS14" s="162"/>
      <c r="BT14" s="162"/>
      <c r="BU14" s="162"/>
      <c r="BV14" s="162"/>
      <c r="BW14" s="162"/>
    </row>
    <row r="15" s="140" customFormat="1" customHeight="1" spans="1:75">
      <c r="A15" s="161">
        <v>11</v>
      </c>
      <c r="B15" s="503"/>
      <c r="C15" s="100"/>
      <c r="D15" s="100"/>
      <c r="E15" s="100">
        <v>0</v>
      </c>
      <c r="F15" s="408">
        <v>0</v>
      </c>
      <c r="G15" s="526">
        <f t="shared" si="0"/>
        <v>0</v>
      </c>
      <c r="H15" s="190">
        <f t="shared" si="6"/>
        <v>0</v>
      </c>
      <c r="I15" s="191">
        <f t="shared" si="1"/>
        <v>0</v>
      </c>
      <c r="J15" s="190">
        <f t="shared" si="2"/>
        <v>0</v>
      </c>
      <c r="K15" s="191">
        <f t="shared" si="3"/>
        <v>0</v>
      </c>
      <c r="L15" s="190">
        <f t="shared" si="4"/>
        <v>0</v>
      </c>
      <c r="M15" s="191">
        <f t="shared" si="5"/>
        <v>0</v>
      </c>
      <c r="N15" s="133"/>
      <c r="O15" s="133"/>
      <c r="P15" s="162"/>
      <c r="Q15" s="162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  <c r="BA15" s="162"/>
      <c r="BB15" s="162"/>
      <c r="BC15" s="162"/>
      <c r="BD15" s="162"/>
      <c r="BE15" s="162"/>
      <c r="BF15" s="162"/>
      <c r="BG15" s="162"/>
      <c r="BH15" s="162"/>
      <c r="BI15" s="162"/>
      <c r="BJ15" s="162"/>
      <c r="BK15" s="162"/>
      <c r="BL15" s="162"/>
      <c r="BM15" s="162"/>
      <c r="BN15" s="162"/>
      <c r="BO15" s="162"/>
      <c r="BP15" s="162"/>
      <c r="BQ15" s="162"/>
      <c r="BR15" s="162"/>
      <c r="BS15" s="162"/>
      <c r="BT15" s="162"/>
      <c r="BU15" s="162"/>
      <c r="BV15" s="162"/>
      <c r="BW15" s="162"/>
    </row>
    <row r="16" s="140" customFormat="1" customHeight="1" spans="1:75">
      <c r="A16" s="161">
        <v>12</v>
      </c>
      <c r="B16" s="503"/>
      <c r="C16" s="100"/>
      <c r="D16" s="100"/>
      <c r="E16" s="100">
        <v>0</v>
      </c>
      <c r="F16" s="408">
        <v>0</v>
      </c>
      <c r="G16" s="526">
        <f t="shared" si="0"/>
        <v>0</v>
      </c>
      <c r="H16" s="190">
        <f t="shared" si="6"/>
        <v>0</v>
      </c>
      <c r="I16" s="191">
        <f t="shared" si="1"/>
        <v>0</v>
      </c>
      <c r="J16" s="190">
        <f t="shared" si="2"/>
        <v>0</v>
      </c>
      <c r="K16" s="191">
        <f t="shared" si="3"/>
        <v>0</v>
      </c>
      <c r="L16" s="190">
        <f t="shared" si="4"/>
        <v>0</v>
      </c>
      <c r="M16" s="191">
        <f t="shared" si="5"/>
        <v>0</v>
      </c>
      <c r="N16" s="133"/>
      <c r="O16" s="133"/>
      <c r="P16" s="162"/>
      <c r="Q16" s="162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2"/>
      <c r="AF16" s="162"/>
      <c r="AG16" s="162"/>
      <c r="AH16" s="16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  <c r="BA16" s="162"/>
      <c r="BB16" s="162"/>
      <c r="BC16" s="162"/>
      <c r="BD16" s="162"/>
      <c r="BE16" s="162"/>
      <c r="BF16" s="162"/>
      <c r="BG16" s="162"/>
      <c r="BH16" s="162"/>
      <c r="BI16" s="162"/>
      <c r="BJ16" s="162"/>
      <c r="BK16" s="162"/>
      <c r="BL16" s="162"/>
      <c r="BM16" s="162"/>
      <c r="BN16" s="162"/>
      <c r="BO16" s="162"/>
      <c r="BP16" s="162"/>
      <c r="BQ16" s="162"/>
      <c r="BR16" s="162"/>
      <c r="BS16" s="162"/>
      <c r="BT16" s="162"/>
      <c r="BU16" s="162"/>
      <c r="BV16" s="162"/>
      <c r="BW16" s="162"/>
    </row>
    <row r="17" s="140" customFormat="1" customHeight="1" spans="1:75">
      <c r="A17" s="161">
        <v>13</v>
      </c>
      <c r="B17" s="503"/>
      <c r="C17" s="100"/>
      <c r="D17" s="100"/>
      <c r="E17" s="100">
        <v>0</v>
      </c>
      <c r="F17" s="408">
        <v>0</v>
      </c>
      <c r="G17" s="526">
        <f t="shared" si="0"/>
        <v>0</v>
      </c>
      <c r="H17" s="190">
        <f t="shared" si="6"/>
        <v>0</v>
      </c>
      <c r="I17" s="191">
        <f t="shared" si="1"/>
        <v>0</v>
      </c>
      <c r="J17" s="190">
        <f t="shared" si="2"/>
        <v>0</v>
      </c>
      <c r="K17" s="191">
        <f t="shared" si="3"/>
        <v>0</v>
      </c>
      <c r="L17" s="190">
        <f t="shared" si="4"/>
        <v>0</v>
      </c>
      <c r="M17" s="191">
        <f t="shared" si="5"/>
        <v>0</v>
      </c>
      <c r="N17" s="133"/>
      <c r="O17" s="133"/>
      <c r="P17" s="162"/>
      <c r="Q17" s="162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  <c r="BA17" s="162"/>
      <c r="BB17" s="162"/>
      <c r="BC17" s="162"/>
      <c r="BD17" s="162"/>
      <c r="BE17" s="162"/>
      <c r="BF17" s="162"/>
      <c r="BG17" s="162"/>
      <c r="BH17" s="162"/>
      <c r="BI17" s="162"/>
      <c r="BJ17" s="162"/>
      <c r="BK17" s="162"/>
      <c r="BL17" s="162"/>
      <c r="BM17" s="162"/>
      <c r="BN17" s="162"/>
      <c r="BO17" s="162"/>
      <c r="BP17" s="162"/>
      <c r="BQ17" s="162"/>
      <c r="BR17" s="162"/>
      <c r="BS17" s="162"/>
      <c r="BT17" s="162"/>
      <c r="BU17" s="162"/>
      <c r="BV17" s="162"/>
      <c r="BW17" s="162"/>
    </row>
    <row r="18" s="140" customFormat="1" customHeight="1" spans="1:75">
      <c r="A18" s="161">
        <v>14</v>
      </c>
      <c r="B18" s="503"/>
      <c r="C18" s="100"/>
      <c r="D18" s="100"/>
      <c r="E18" s="100">
        <v>0</v>
      </c>
      <c r="F18" s="408">
        <v>0</v>
      </c>
      <c r="G18" s="526">
        <f t="shared" si="0"/>
        <v>0</v>
      </c>
      <c r="H18" s="190">
        <f t="shared" si="6"/>
        <v>0</v>
      </c>
      <c r="I18" s="191">
        <f t="shared" si="1"/>
        <v>0</v>
      </c>
      <c r="J18" s="190">
        <f t="shared" si="2"/>
        <v>0</v>
      </c>
      <c r="K18" s="191">
        <f t="shared" si="3"/>
        <v>0</v>
      </c>
      <c r="L18" s="190">
        <f t="shared" si="4"/>
        <v>0</v>
      </c>
      <c r="M18" s="191">
        <f t="shared" si="5"/>
        <v>0</v>
      </c>
      <c r="N18" s="133"/>
      <c r="O18" s="133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  <c r="BA18" s="162"/>
      <c r="BB18" s="162"/>
      <c r="BC18" s="162"/>
      <c r="BD18" s="162"/>
      <c r="BE18" s="162"/>
      <c r="BF18" s="162"/>
      <c r="BG18" s="162"/>
      <c r="BH18" s="162"/>
      <c r="BI18" s="162"/>
      <c r="BJ18" s="162"/>
      <c r="BK18" s="162"/>
      <c r="BL18" s="162"/>
      <c r="BM18" s="162"/>
      <c r="BN18" s="162"/>
      <c r="BO18" s="162"/>
      <c r="BP18" s="162"/>
      <c r="BQ18" s="162"/>
      <c r="BR18" s="162"/>
      <c r="BS18" s="162"/>
      <c r="BT18" s="162"/>
      <c r="BU18" s="162"/>
      <c r="BV18" s="162"/>
      <c r="BW18" s="162"/>
    </row>
    <row r="19" s="140" customFormat="1" customHeight="1" spans="1:75">
      <c r="A19" s="161">
        <v>15</v>
      </c>
      <c r="B19" s="503"/>
      <c r="C19" s="100"/>
      <c r="D19" s="100"/>
      <c r="E19" s="100">
        <v>0</v>
      </c>
      <c r="F19" s="408">
        <v>0</v>
      </c>
      <c r="G19" s="526">
        <f t="shared" si="0"/>
        <v>0</v>
      </c>
      <c r="H19" s="190">
        <f t="shared" si="6"/>
        <v>0</v>
      </c>
      <c r="I19" s="191">
        <f t="shared" si="1"/>
        <v>0</v>
      </c>
      <c r="J19" s="190">
        <f t="shared" si="2"/>
        <v>0</v>
      </c>
      <c r="K19" s="191">
        <f t="shared" si="3"/>
        <v>0</v>
      </c>
      <c r="L19" s="190">
        <f t="shared" si="4"/>
        <v>0</v>
      </c>
      <c r="M19" s="191">
        <f t="shared" si="5"/>
        <v>0</v>
      </c>
      <c r="N19" s="133"/>
      <c r="O19" s="133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  <c r="BA19" s="162"/>
      <c r="BB19" s="162"/>
      <c r="BC19" s="162"/>
      <c r="BD19" s="162"/>
      <c r="BE19" s="162"/>
      <c r="BF19" s="162"/>
      <c r="BG19" s="162"/>
      <c r="BH19" s="162"/>
      <c r="BI19" s="162"/>
      <c r="BJ19" s="162"/>
      <c r="BK19" s="162"/>
      <c r="BL19" s="162"/>
      <c r="BM19" s="162"/>
      <c r="BN19" s="162"/>
      <c r="BO19" s="162"/>
      <c r="BP19" s="162"/>
      <c r="BQ19" s="162"/>
      <c r="BR19" s="162"/>
      <c r="BS19" s="162"/>
      <c r="BT19" s="162"/>
      <c r="BU19" s="162"/>
      <c r="BV19" s="162"/>
      <c r="BW19" s="162"/>
    </row>
    <row r="20" s="140" customFormat="1" customHeight="1" spans="1:75">
      <c r="A20" s="161">
        <v>16</v>
      </c>
      <c r="B20" s="503"/>
      <c r="C20" s="100"/>
      <c r="D20" s="100"/>
      <c r="E20" s="100">
        <v>0</v>
      </c>
      <c r="F20" s="408">
        <v>0</v>
      </c>
      <c r="G20" s="526">
        <f t="shared" si="0"/>
        <v>0</v>
      </c>
      <c r="H20" s="190">
        <f t="shared" si="6"/>
        <v>0</v>
      </c>
      <c r="I20" s="191">
        <f t="shared" si="1"/>
        <v>0</v>
      </c>
      <c r="J20" s="190">
        <f t="shared" si="2"/>
        <v>0</v>
      </c>
      <c r="K20" s="191">
        <f t="shared" si="3"/>
        <v>0</v>
      </c>
      <c r="L20" s="190">
        <f t="shared" si="4"/>
        <v>0</v>
      </c>
      <c r="M20" s="191">
        <f t="shared" si="5"/>
        <v>0</v>
      </c>
      <c r="N20" s="133"/>
      <c r="O20" s="133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  <c r="BA20" s="162"/>
      <c r="BB20" s="162"/>
      <c r="BC20" s="162"/>
      <c r="BD20" s="162"/>
      <c r="BE20" s="162"/>
      <c r="BF20" s="162"/>
      <c r="BG20" s="162"/>
      <c r="BH20" s="162"/>
      <c r="BI20" s="162"/>
      <c r="BJ20" s="162"/>
      <c r="BK20" s="162"/>
      <c r="BL20" s="162"/>
      <c r="BM20" s="162"/>
      <c r="BN20" s="162"/>
      <c r="BO20" s="162"/>
      <c r="BP20" s="162"/>
      <c r="BQ20" s="162"/>
      <c r="BR20" s="162"/>
      <c r="BS20" s="162"/>
      <c r="BT20" s="162"/>
      <c r="BU20" s="162"/>
      <c r="BV20" s="162"/>
      <c r="BW20" s="162"/>
    </row>
    <row r="21" s="140" customFormat="1" customHeight="1" spans="1:75">
      <c r="A21" s="161">
        <v>17</v>
      </c>
      <c r="B21" s="503"/>
      <c r="C21" s="100"/>
      <c r="D21" s="100"/>
      <c r="E21" s="100">
        <v>0</v>
      </c>
      <c r="F21" s="408">
        <v>0</v>
      </c>
      <c r="G21" s="526">
        <f t="shared" si="0"/>
        <v>0</v>
      </c>
      <c r="H21" s="190">
        <f t="shared" si="6"/>
        <v>0</v>
      </c>
      <c r="I21" s="191">
        <f t="shared" si="1"/>
        <v>0</v>
      </c>
      <c r="J21" s="190">
        <f t="shared" si="2"/>
        <v>0</v>
      </c>
      <c r="K21" s="191">
        <f t="shared" si="3"/>
        <v>0</v>
      </c>
      <c r="L21" s="190">
        <f t="shared" si="4"/>
        <v>0</v>
      </c>
      <c r="M21" s="191">
        <f t="shared" si="5"/>
        <v>0</v>
      </c>
      <c r="N21" s="133"/>
      <c r="O21" s="133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  <c r="BA21" s="162"/>
      <c r="BB21" s="162"/>
      <c r="BC21" s="162"/>
      <c r="BD21" s="162"/>
      <c r="BE21" s="162"/>
      <c r="BF21" s="162"/>
      <c r="BG21" s="162"/>
      <c r="BH21" s="162"/>
      <c r="BI21" s="162"/>
      <c r="BJ21" s="162"/>
      <c r="BK21" s="162"/>
      <c r="BL21" s="162"/>
      <c r="BM21" s="162"/>
      <c r="BN21" s="162"/>
      <c r="BO21" s="162"/>
      <c r="BP21" s="162"/>
      <c r="BQ21" s="162"/>
      <c r="BR21" s="162"/>
      <c r="BS21" s="162"/>
      <c r="BT21" s="162"/>
      <c r="BU21" s="162"/>
      <c r="BV21" s="162"/>
      <c r="BW21" s="162"/>
    </row>
    <row r="22" s="140" customFormat="1" customHeight="1" spans="1:75">
      <c r="A22" s="161">
        <v>18</v>
      </c>
      <c r="B22" s="503"/>
      <c r="C22" s="100"/>
      <c r="D22" s="100"/>
      <c r="E22" s="100"/>
      <c r="F22" s="408">
        <v>0</v>
      </c>
      <c r="G22" s="526">
        <f t="shared" si="0"/>
        <v>0</v>
      </c>
      <c r="H22" s="190">
        <f t="shared" si="6"/>
        <v>0</v>
      </c>
      <c r="I22" s="191">
        <f t="shared" si="1"/>
        <v>0</v>
      </c>
      <c r="J22" s="190">
        <f t="shared" si="2"/>
        <v>0</v>
      </c>
      <c r="K22" s="191">
        <f t="shared" si="3"/>
        <v>0</v>
      </c>
      <c r="L22" s="190">
        <f t="shared" si="4"/>
        <v>0</v>
      </c>
      <c r="M22" s="191">
        <f t="shared" si="5"/>
        <v>0</v>
      </c>
      <c r="N22" s="133"/>
      <c r="O22" s="133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</row>
    <row r="23" s="140" customFormat="1" customHeight="1" spans="1:75">
      <c r="A23" s="161">
        <v>19</v>
      </c>
      <c r="B23" s="503"/>
      <c r="C23" s="100"/>
      <c r="D23" s="100"/>
      <c r="E23" s="100"/>
      <c r="F23" s="408">
        <v>0</v>
      </c>
      <c r="G23" s="526">
        <f t="shared" si="0"/>
        <v>0</v>
      </c>
      <c r="H23" s="190">
        <f t="shared" si="6"/>
        <v>0</v>
      </c>
      <c r="I23" s="191">
        <f t="shared" si="1"/>
        <v>0</v>
      </c>
      <c r="J23" s="190">
        <f t="shared" si="2"/>
        <v>0</v>
      </c>
      <c r="K23" s="191">
        <f t="shared" si="3"/>
        <v>0</v>
      </c>
      <c r="L23" s="190">
        <f t="shared" si="4"/>
        <v>0</v>
      </c>
      <c r="M23" s="191">
        <f t="shared" si="5"/>
        <v>0</v>
      </c>
      <c r="N23" s="133"/>
      <c r="O23" s="133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</row>
    <row r="24" s="140" customFormat="1" customHeight="1" spans="1:75">
      <c r="A24" s="161">
        <v>20</v>
      </c>
      <c r="B24" s="503"/>
      <c r="C24" s="100"/>
      <c r="D24" s="100"/>
      <c r="E24" s="100"/>
      <c r="F24" s="408">
        <v>0</v>
      </c>
      <c r="G24" s="526">
        <f t="shared" si="0"/>
        <v>0</v>
      </c>
      <c r="H24" s="190">
        <f t="shared" si="6"/>
        <v>0</v>
      </c>
      <c r="I24" s="191">
        <f t="shared" si="1"/>
        <v>0</v>
      </c>
      <c r="J24" s="190">
        <f t="shared" si="2"/>
        <v>0</v>
      </c>
      <c r="K24" s="191">
        <f t="shared" si="3"/>
        <v>0</v>
      </c>
      <c r="L24" s="190">
        <v>0</v>
      </c>
      <c r="M24" s="191">
        <f t="shared" si="5"/>
        <v>0</v>
      </c>
      <c r="N24" s="133"/>
      <c r="O24" s="133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</row>
    <row r="25" s="140" customFormat="1" customHeight="1" spans="1:75">
      <c r="A25" s="161">
        <v>21</v>
      </c>
      <c r="B25" s="503"/>
      <c r="C25" s="100"/>
      <c r="D25" s="100"/>
      <c r="E25" s="100"/>
      <c r="F25" s="408">
        <v>0</v>
      </c>
      <c r="G25" s="526">
        <f t="shared" si="0"/>
        <v>0</v>
      </c>
      <c r="H25" s="190">
        <f t="shared" si="6"/>
        <v>0</v>
      </c>
      <c r="I25" s="191">
        <f t="shared" si="1"/>
        <v>0</v>
      </c>
      <c r="J25" s="190">
        <f t="shared" si="2"/>
        <v>0</v>
      </c>
      <c r="K25" s="191">
        <f t="shared" si="3"/>
        <v>0</v>
      </c>
      <c r="L25" s="190">
        <f t="shared" ref="L25:L88" si="7">+F25+H25-J25</f>
        <v>0</v>
      </c>
      <c r="M25" s="191">
        <f t="shared" si="5"/>
        <v>0</v>
      </c>
      <c r="N25" s="133"/>
      <c r="O25" s="133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</row>
    <row r="26" s="140" customFormat="1" customHeight="1" spans="1:75">
      <c r="A26" s="161">
        <v>22</v>
      </c>
      <c r="B26" s="503"/>
      <c r="C26" s="100"/>
      <c r="D26" s="100"/>
      <c r="E26" s="100"/>
      <c r="F26" s="408">
        <v>0</v>
      </c>
      <c r="G26" s="526">
        <f t="shared" si="0"/>
        <v>0</v>
      </c>
      <c r="H26" s="190">
        <f t="shared" si="6"/>
        <v>0</v>
      </c>
      <c r="I26" s="191">
        <f t="shared" si="1"/>
        <v>0</v>
      </c>
      <c r="J26" s="190">
        <f t="shared" si="2"/>
        <v>0</v>
      </c>
      <c r="K26" s="191">
        <f t="shared" si="3"/>
        <v>0</v>
      </c>
      <c r="L26" s="190">
        <f t="shared" si="7"/>
        <v>0</v>
      </c>
      <c r="M26" s="191">
        <f t="shared" si="5"/>
        <v>0</v>
      </c>
      <c r="N26" s="133"/>
      <c r="O26" s="133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</row>
    <row r="27" s="140" customFormat="1" customHeight="1" spans="1:75">
      <c r="A27" s="161">
        <v>23</v>
      </c>
      <c r="B27" s="503"/>
      <c r="C27" s="100"/>
      <c r="D27" s="100"/>
      <c r="E27" s="100"/>
      <c r="F27" s="408">
        <v>0</v>
      </c>
      <c r="G27" s="526">
        <f t="shared" si="0"/>
        <v>0</v>
      </c>
      <c r="H27" s="190">
        <f t="shared" si="6"/>
        <v>0</v>
      </c>
      <c r="I27" s="191">
        <f t="shared" si="1"/>
        <v>0</v>
      </c>
      <c r="J27" s="190">
        <f t="shared" si="2"/>
        <v>0</v>
      </c>
      <c r="K27" s="191">
        <f t="shared" si="3"/>
        <v>0</v>
      </c>
      <c r="L27" s="190">
        <f t="shared" si="7"/>
        <v>0</v>
      </c>
      <c r="M27" s="191">
        <f t="shared" si="5"/>
        <v>0</v>
      </c>
      <c r="N27" s="133"/>
      <c r="O27" s="133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</row>
    <row r="28" s="140" customFormat="1" customHeight="1" spans="1:75">
      <c r="A28" s="161">
        <v>24</v>
      </c>
      <c r="B28" s="503"/>
      <c r="C28" s="100"/>
      <c r="D28" s="100"/>
      <c r="E28" s="100"/>
      <c r="F28" s="408">
        <v>0</v>
      </c>
      <c r="G28" s="526">
        <f t="shared" si="0"/>
        <v>0</v>
      </c>
      <c r="H28" s="190">
        <f t="shared" si="6"/>
        <v>0</v>
      </c>
      <c r="I28" s="191">
        <f t="shared" si="1"/>
        <v>0</v>
      </c>
      <c r="J28" s="190">
        <f t="shared" si="2"/>
        <v>0</v>
      </c>
      <c r="K28" s="191">
        <f t="shared" si="3"/>
        <v>0</v>
      </c>
      <c r="L28" s="190">
        <f t="shared" si="7"/>
        <v>0</v>
      </c>
      <c r="M28" s="191">
        <f t="shared" si="5"/>
        <v>0</v>
      </c>
      <c r="N28" s="133"/>
      <c r="O28" s="133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</row>
    <row r="29" s="140" customFormat="1" customHeight="1" spans="1:75">
      <c r="A29" s="161">
        <v>25</v>
      </c>
      <c r="B29" s="503"/>
      <c r="C29" s="100"/>
      <c r="D29" s="100"/>
      <c r="E29" s="100"/>
      <c r="F29" s="408">
        <v>0</v>
      </c>
      <c r="G29" s="526">
        <f t="shared" si="0"/>
        <v>0</v>
      </c>
      <c r="H29" s="190">
        <f t="shared" si="6"/>
        <v>0</v>
      </c>
      <c r="I29" s="191">
        <f t="shared" si="1"/>
        <v>0</v>
      </c>
      <c r="J29" s="190">
        <f t="shared" si="2"/>
        <v>0</v>
      </c>
      <c r="K29" s="191">
        <f t="shared" si="3"/>
        <v>0</v>
      </c>
      <c r="L29" s="190">
        <f t="shared" si="7"/>
        <v>0</v>
      </c>
      <c r="M29" s="191">
        <f t="shared" si="5"/>
        <v>0</v>
      </c>
      <c r="N29" s="133"/>
      <c r="O29" s="133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162"/>
      <c r="BB29" s="162"/>
      <c r="BC29" s="162"/>
      <c r="BD29" s="162"/>
      <c r="BE29" s="162"/>
      <c r="BF29" s="162"/>
      <c r="BG29" s="162"/>
      <c r="BH29" s="162"/>
      <c r="BI29" s="162"/>
      <c r="BJ29" s="162"/>
      <c r="BK29" s="162"/>
      <c r="BL29" s="162"/>
      <c r="BM29" s="162"/>
      <c r="BN29" s="162"/>
      <c r="BO29" s="162"/>
      <c r="BP29" s="162"/>
      <c r="BQ29" s="162"/>
      <c r="BR29" s="162"/>
      <c r="BS29" s="162"/>
      <c r="BT29" s="162"/>
      <c r="BU29" s="162"/>
      <c r="BV29" s="162"/>
      <c r="BW29" s="162"/>
    </row>
    <row r="30" s="140" customFormat="1" customHeight="1" spans="1:75">
      <c r="A30" s="161">
        <v>26</v>
      </c>
      <c r="B30" s="503"/>
      <c r="C30" s="100"/>
      <c r="D30" s="100"/>
      <c r="E30" s="100"/>
      <c r="F30" s="408">
        <v>0</v>
      </c>
      <c r="G30" s="526">
        <f t="shared" si="0"/>
        <v>0</v>
      </c>
      <c r="H30" s="190">
        <f t="shared" si="6"/>
        <v>0</v>
      </c>
      <c r="I30" s="191">
        <f t="shared" si="1"/>
        <v>0</v>
      </c>
      <c r="J30" s="190">
        <f t="shared" si="2"/>
        <v>0</v>
      </c>
      <c r="K30" s="191">
        <f t="shared" si="3"/>
        <v>0</v>
      </c>
      <c r="L30" s="190">
        <f t="shared" si="7"/>
        <v>0</v>
      </c>
      <c r="M30" s="191">
        <f t="shared" si="5"/>
        <v>0</v>
      </c>
      <c r="N30" s="133"/>
      <c r="O30" s="133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2"/>
      <c r="BJ30" s="162"/>
      <c r="BK30" s="162"/>
      <c r="BL30" s="162"/>
      <c r="BM30" s="162"/>
      <c r="BN30" s="162"/>
      <c r="BO30" s="162"/>
      <c r="BP30" s="162"/>
      <c r="BQ30" s="162"/>
      <c r="BR30" s="162"/>
      <c r="BS30" s="162"/>
      <c r="BT30" s="162"/>
      <c r="BU30" s="162"/>
      <c r="BV30" s="162"/>
      <c r="BW30" s="162"/>
    </row>
    <row r="31" s="140" customFormat="1" customHeight="1" spans="1:75">
      <c r="A31" s="161">
        <v>27</v>
      </c>
      <c r="B31" s="503"/>
      <c r="C31" s="100"/>
      <c r="D31" s="100"/>
      <c r="E31" s="100"/>
      <c r="F31" s="408">
        <v>0</v>
      </c>
      <c r="G31" s="526">
        <f t="shared" si="0"/>
        <v>0</v>
      </c>
      <c r="H31" s="190">
        <f t="shared" si="6"/>
        <v>0</v>
      </c>
      <c r="I31" s="191">
        <f t="shared" si="1"/>
        <v>0</v>
      </c>
      <c r="J31" s="190">
        <f t="shared" si="2"/>
        <v>0</v>
      </c>
      <c r="K31" s="191">
        <f t="shared" si="3"/>
        <v>0</v>
      </c>
      <c r="L31" s="190">
        <f t="shared" si="7"/>
        <v>0</v>
      </c>
      <c r="M31" s="191">
        <f t="shared" si="5"/>
        <v>0</v>
      </c>
      <c r="N31" s="133"/>
      <c r="O31" s="133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2"/>
      <c r="BJ31" s="162"/>
      <c r="BK31" s="162"/>
      <c r="BL31" s="162"/>
      <c r="BM31" s="162"/>
      <c r="BN31" s="162"/>
      <c r="BO31" s="162"/>
      <c r="BP31" s="162"/>
      <c r="BQ31" s="162"/>
      <c r="BR31" s="162"/>
      <c r="BS31" s="162"/>
      <c r="BT31" s="162"/>
      <c r="BU31" s="162"/>
      <c r="BV31" s="162"/>
      <c r="BW31" s="162"/>
    </row>
    <row r="32" s="140" customFormat="1" customHeight="1" spans="1:75">
      <c r="A32" s="161">
        <v>28</v>
      </c>
      <c r="B32" s="503"/>
      <c r="C32" s="100"/>
      <c r="D32" s="100"/>
      <c r="E32" s="100"/>
      <c r="F32" s="408">
        <v>0</v>
      </c>
      <c r="G32" s="526">
        <f t="shared" si="0"/>
        <v>0</v>
      </c>
      <c r="H32" s="190">
        <f t="shared" si="6"/>
        <v>0</v>
      </c>
      <c r="I32" s="191">
        <f t="shared" si="1"/>
        <v>0</v>
      </c>
      <c r="J32" s="190">
        <f t="shared" si="2"/>
        <v>0</v>
      </c>
      <c r="K32" s="191">
        <f t="shared" si="3"/>
        <v>0</v>
      </c>
      <c r="L32" s="190">
        <f t="shared" si="7"/>
        <v>0</v>
      </c>
      <c r="M32" s="191">
        <f t="shared" si="5"/>
        <v>0</v>
      </c>
      <c r="N32" s="133"/>
      <c r="O32" s="133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  <c r="BN32" s="162"/>
      <c r="BO32" s="162"/>
      <c r="BP32" s="162"/>
      <c r="BQ32" s="162"/>
      <c r="BR32" s="162"/>
      <c r="BS32" s="162"/>
      <c r="BT32" s="162"/>
      <c r="BU32" s="162"/>
      <c r="BV32" s="162"/>
      <c r="BW32" s="162"/>
    </row>
    <row r="33" s="140" customFormat="1" customHeight="1" spans="1:75">
      <c r="A33" s="161">
        <v>29</v>
      </c>
      <c r="B33" s="503"/>
      <c r="C33" s="100"/>
      <c r="D33" s="100"/>
      <c r="E33" s="100"/>
      <c r="F33" s="408">
        <v>0</v>
      </c>
      <c r="G33" s="526">
        <f t="shared" si="0"/>
        <v>0</v>
      </c>
      <c r="H33" s="190">
        <f t="shared" si="6"/>
        <v>0</v>
      </c>
      <c r="I33" s="191">
        <f t="shared" si="1"/>
        <v>0</v>
      </c>
      <c r="J33" s="190">
        <f t="shared" si="2"/>
        <v>0</v>
      </c>
      <c r="K33" s="191">
        <f t="shared" si="3"/>
        <v>0</v>
      </c>
      <c r="L33" s="190">
        <f t="shared" si="7"/>
        <v>0</v>
      </c>
      <c r="M33" s="191">
        <f t="shared" si="5"/>
        <v>0</v>
      </c>
      <c r="N33" s="133"/>
      <c r="O33" s="133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2"/>
      <c r="BU33" s="162"/>
      <c r="BV33" s="162"/>
      <c r="BW33" s="162"/>
    </row>
    <row r="34" s="140" customFormat="1" customHeight="1" spans="1:75">
      <c r="A34" s="161">
        <v>30</v>
      </c>
      <c r="B34" s="503"/>
      <c r="C34" s="100"/>
      <c r="D34" s="100"/>
      <c r="E34" s="100"/>
      <c r="F34" s="408">
        <v>0</v>
      </c>
      <c r="G34" s="526">
        <f t="shared" si="0"/>
        <v>0</v>
      </c>
      <c r="H34" s="190">
        <f t="shared" si="6"/>
        <v>0</v>
      </c>
      <c r="I34" s="191">
        <f t="shared" si="1"/>
        <v>0</v>
      </c>
      <c r="J34" s="190">
        <f t="shared" si="2"/>
        <v>0</v>
      </c>
      <c r="K34" s="191">
        <f t="shared" si="3"/>
        <v>0</v>
      </c>
      <c r="L34" s="190">
        <f t="shared" si="7"/>
        <v>0</v>
      </c>
      <c r="M34" s="191">
        <f t="shared" si="5"/>
        <v>0</v>
      </c>
      <c r="N34" s="133"/>
      <c r="O34" s="133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</row>
    <row r="35" s="140" customFormat="1" customHeight="1" spans="1:75">
      <c r="A35" s="161">
        <v>31</v>
      </c>
      <c r="B35" s="503"/>
      <c r="C35" s="100"/>
      <c r="D35" s="100"/>
      <c r="E35" s="100"/>
      <c r="F35" s="408">
        <v>0</v>
      </c>
      <c r="G35" s="526">
        <f t="shared" si="0"/>
        <v>0</v>
      </c>
      <c r="H35" s="190">
        <f t="shared" si="6"/>
        <v>0</v>
      </c>
      <c r="I35" s="191">
        <f t="shared" si="1"/>
        <v>0</v>
      </c>
      <c r="J35" s="190">
        <f t="shared" si="2"/>
        <v>0</v>
      </c>
      <c r="K35" s="191">
        <f t="shared" si="3"/>
        <v>0</v>
      </c>
      <c r="L35" s="190">
        <f t="shared" si="7"/>
        <v>0</v>
      </c>
      <c r="M35" s="191">
        <f t="shared" si="5"/>
        <v>0</v>
      </c>
      <c r="N35" s="133"/>
      <c r="O35" s="133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2"/>
      <c r="BU35" s="162"/>
      <c r="BV35" s="162"/>
      <c r="BW35" s="162"/>
    </row>
    <row r="36" s="140" customFormat="1" customHeight="1" spans="1:75">
      <c r="A36" s="161">
        <v>32</v>
      </c>
      <c r="B36" s="503"/>
      <c r="C36" s="100"/>
      <c r="D36" s="100"/>
      <c r="E36" s="100"/>
      <c r="F36" s="408">
        <v>0</v>
      </c>
      <c r="G36" s="526">
        <f t="shared" si="0"/>
        <v>0</v>
      </c>
      <c r="H36" s="190">
        <f t="shared" si="6"/>
        <v>0</v>
      </c>
      <c r="I36" s="191">
        <f t="shared" si="1"/>
        <v>0</v>
      </c>
      <c r="J36" s="190">
        <f t="shared" si="2"/>
        <v>0</v>
      </c>
      <c r="K36" s="191">
        <f t="shared" si="3"/>
        <v>0</v>
      </c>
      <c r="L36" s="190">
        <f t="shared" si="7"/>
        <v>0</v>
      </c>
      <c r="M36" s="191">
        <f t="shared" si="5"/>
        <v>0</v>
      </c>
      <c r="N36" s="133"/>
      <c r="O36" s="133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</row>
    <row r="37" s="140" customFormat="1" customHeight="1" spans="1:75">
      <c r="A37" s="161">
        <v>33</v>
      </c>
      <c r="B37" s="503"/>
      <c r="C37" s="100"/>
      <c r="D37" s="100"/>
      <c r="E37" s="100"/>
      <c r="F37" s="408">
        <v>0</v>
      </c>
      <c r="G37" s="526">
        <f t="shared" si="0"/>
        <v>0</v>
      </c>
      <c r="H37" s="190">
        <f t="shared" si="6"/>
        <v>0</v>
      </c>
      <c r="I37" s="191">
        <f t="shared" si="1"/>
        <v>0</v>
      </c>
      <c r="J37" s="190">
        <f t="shared" si="2"/>
        <v>0</v>
      </c>
      <c r="K37" s="191">
        <f t="shared" si="3"/>
        <v>0</v>
      </c>
      <c r="L37" s="190">
        <f t="shared" si="7"/>
        <v>0</v>
      </c>
      <c r="M37" s="191">
        <f t="shared" si="5"/>
        <v>0</v>
      </c>
      <c r="N37" s="133"/>
      <c r="O37" s="13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2"/>
      <c r="BJ37" s="162"/>
      <c r="BK37" s="162"/>
      <c r="BL37" s="162"/>
      <c r="BM37" s="162"/>
      <c r="BN37" s="162"/>
      <c r="BO37" s="162"/>
      <c r="BP37" s="162"/>
      <c r="BQ37" s="162"/>
      <c r="BR37" s="162"/>
      <c r="BS37" s="162"/>
      <c r="BT37" s="162"/>
      <c r="BU37" s="162"/>
      <c r="BV37" s="162"/>
      <c r="BW37" s="162"/>
    </row>
    <row r="38" s="140" customFormat="1" customHeight="1" spans="1:75">
      <c r="A38" s="161">
        <v>34</v>
      </c>
      <c r="B38" s="503"/>
      <c r="C38" s="100"/>
      <c r="D38" s="100"/>
      <c r="E38" s="100"/>
      <c r="F38" s="408">
        <v>0</v>
      </c>
      <c r="G38" s="526">
        <f t="shared" si="0"/>
        <v>0</v>
      </c>
      <c r="H38" s="190">
        <f t="shared" si="6"/>
        <v>0</v>
      </c>
      <c r="I38" s="191">
        <f t="shared" si="1"/>
        <v>0</v>
      </c>
      <c r="J38" s="190">
        <f t="shared" si="2"/>
        <v>0</v>
      </c>
      <c r="K38" s="191">
        <f t="shared" si="3"/>
        <v>0</v>
      </c>
      <c r="L38" s="190">
        <f t="shared" si="7"/>
        <v>0</v>
      </c>
      <c r="M38" s="191">
        <f t="shared" si="5"/>
        <v>0</v>
      </c>
      <c r="N38" s="133"/>
      <c r="O38" s="133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62"/>
      <c r="BF38" s="162"/>
      <c r="BG38" s="162"/>
      <c r="BH38" s="162"/>
      <c r="BI38" s="162"/>
      <c r="BJ38" s="162"/>
      <c r="BK38" s="162"/>
      <c r="BL38" s="162"/>
      <c r="BM38" s="162"/>
      <c r="BN38" s="162"/>
      <c r="BO38" s="162"/>
      <c r="BP38" s="162"/>
      <c r="BQ38" s="162"/>
      <c r="BR38" s="162"/>
      <c r="BS38" s="162"/>
      <c r="BT38" s="162"/>
      <c r="BU38" s="162"/>
      <c r="BV38" s="162"/>
      <c r="BW38" s="162"/>
    </row>
    <row r="39" s="140" customFormat="1" customHeight="1" spans="1:75">
      <c r="A39" s="161">
        <v>35</v>
      </c>
      <c r="B39" s="503"/>
      <c r="C39" s="100"/>
      <c r="D39" s="100"/>
      <c r="E39" s="100"/>
      <c r="F39" s="408">
        <v>0</v>
      </c>
      <c r="G39" s="526">
        <f t="shared" si="0"/>
        <v>0</v>
      </c>
      <c r="H39" s="190">
        <f t="shared" si="6"/>
        <v>0</v>
      </c>
      <c r="I39" s="191">
        <f t="shared" si="1"/>
        <v>0</v>
      </c>
      <c r="J39" s="190">
        <f t="shared" si="2"/>
        <v>0</v>
      </c>
      <c r="K39" s="191">
        <f t="shared" si="3"/>
        <v>0</v>
      </c>
      <c r="L39" s="190">
        <f t="shared" si="7"/>
        <v>0</v>
      </c>
      <c r="M39" s="191">
        <f t="shared" si="5"/>
        <v>0</v>
      </c>
      <c r="N39" s="133"/>
      <c r="O39" s="133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2"/>
      <c r="BJ39" s="162"/>
      <c r="BK39" s="162"/>
      <c r="BL39" s="162"/>
      <c r="BM39" s="162"/>
      <c r="BN39" s="162"/>
      <c r="BO39" s="162"/>
      <c r="BP39" s="162"/>
      <c r="BQ39" s="162"/>
      <c r="BR39" s="162"/>
      <c r="BS39" s="162"/>
      <c r="BT39" s="162"/>
      <c r="BU39" s="162"/>
      <c r="BV39" s="162"/>
      <c r="BW39" s="162"/>
    </row>
    <row r="40" s="140" customFormat="1" customHeight="1" spans="1:75">
      <c r="A40" s="161">
        <v>36</v>
      </c>
      <c r="B40" s="503"/>
      <c r="C40" s="100"/>
      <c r="D40" s="100"/>
      <c r="E40" s="100"/>
      <c r="F40" s="408">
        <v>0</v>
      </c>
      <c r="G40" s="526">
        <f t="shared" si="0"/>
        <v>0</v>
      </c>
      <c r="H40" s="190">
        <f t="shared" si="6"/>
        <v>0</v>
      </c>
      <c r="I40" s="191">
        <f t="shared" si="1"/>
        <v>0</v>
      </c>
      <c r="J40" s="190">
        <f t="shared" si="2"/>
        <v>0</v>
      </c>
      <c r="K40" s="191">
        <f t="shared" si="3"/>
        <v>0</v>
      </c>
      <c r="L40" s="190">
        <f t="shared" si="7"/>
        <v>0</v>
      </c>
      <c r="M40" s="191">
        <f t="shared" si="5"/>
        <v>0</v>
      </c>
      <c r="N40" s="133"/>
      <c r="O40" s="133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2"/>
      <c r="BJ40" s="162"/>
      <c r="BK40" s="162"/>
      <c r="BL40" s="162"/>
      <c r="BM40" s="162"/>
      <c r="BN40" s="162"/>
      <c r="BO40" s="162"/>
      <c r="BP40" s="162"/>
      <c r="BQ40" s="162"/>
      <c r="BR40" s="162"/>
      <c r="BS40" s="162"/>
      <c r="BT40" s="162"/>
      <c r="BU40" s="162"/>
      <c r="BV40" s="162"/>
      <c r="BW40" s="162"/>
    </row>
    <row r="41" s="140" customFormat="1" customHeight="1" spans="1:75">
      <c r="A41" s="161">
        <v>37</v>
      </c>
      <c r="B41" s="503"/>
      <c r="C41" s="236"/>
      <c r="D41" s="100"/>
      <c r="E41" s="100"/>
      <c r="F41" s="408">
        <v>0</v>
      </c>
      <c r="G41" s="526">
        <f t="shared" si="0"/>
        <v>0</v>
      </c>
      <c r="H41" s="190">
        <f t="shared" si="6"/>
        <v>0</v>
      </c>
      <c r="I41" s="191">
        <f t="shared" si="1"/>
        <v>0</v>
      </c>
      <c r="J41" s="190">
        <f t="shared" si="2"/>
        <v>0</v>
      </c>
      <c r="K41" s="191">
        <f t="shared" si="3"/>
        <v>0</v>
      </c>
      <c r="L41" s="190">
        <f t="shared" si="7"/>
        <v>0</v>
      </c>
      <c r="M41" s="191">
        <f t="shared" si="5"/>
        <v>0</v>
      </c>
      <c r="N41" s="133"/>
      <c r="O41" s="133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162"/>
      <c r="BB41" s="162"/>
      <c r="BC41" s="162"/>
      <c r="BD41" s="162"/>
      <c r="BE41" s="162"/>
      <c r="BF41" s="162"/>
      <c r="BG41" s="162"/>
      <c r="BH41" s="162"/>
      <c r="BI41" s="162"/>
      <c r="BJ41" s="162"/>
      <c r="BK41" s="162"/>
      <c r="BL41" s="162"/>
      <c r="BM41" s="162"/>
      <c r="BN41" s="162"/>
      <c r="BO41" s="162"/>
      <c r="BP41" s="162"/>
      <c r="BQ41" s="162"/>
      <c r="BR41" s="162"/>
      <c r="BS41" s="162"/>
      <c r="BT41" s="162"/>
      <c r="BU41" s="162"/>
      <c r="BV41" s="162"/>
      <c r="BW41" s="162"/>
    </row>
    <row r="42" s="140" customFormat="1" customHeight="1" spans="1:75">
      <c r="A42" s="161">
        <v>38</v>
      </c>
      <c r="B42" s="503"/>
      <c r="C42" s="100"/>
      <c r="D42" s="100"/>
      <c r="E42" s="100"/>
      <c r="F42" s="408">
        <v>0</v>
      </c>
      <c r="G42" s="526">
        <f t="shared" si="0"/>
        <v>0</v>
      </c>
      <c r="H42" s="190">
        <f t="shared" si="6"/>
        <v>0</v>
      </c>
      <c r="I42" s="191">
        <f t="shared" si="1"/>
        <v>0</v>
      </c>
      <c r="J42" s="190">
        <f t="shared" si="2"/>
        <v>0</v>
      </c>
      <c r="K42" s="191">
        <f t="shared" si="3"/>
        <v>0</v>
      </c>
      <c r="L42" s="190">
        <f t="shared" si="7"/>
        <v>0</v>
      </c>
      <c r="M42" s="191">
        <f t="shared" si="5"/>
        <v>0</v>
      </c>
      <c r="N42" s="133"/>
      <c r="O42" s="133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162"/>
      <c r="BB42" s="162"/>
      <c r="BC42" s="162"/>
      <c r="BD42" s="162"/>
      <c r="BE42" s="162"/>
      <c r="BF42" s="162"/>
      <c r="BG42" s="162"/>
      <c r="BH42" s="162"/>
      <c r="BI42" s="162"/>
      <c r="BJ42" s="162"/>
      <c r="BK42" s="162"/>
      <c r="BL42" s="162"/>
      <c r="BM42" s="162"/>
      <c r="BN42" s="162"/>
      <c r="BO42" s="162"/>
      <c r="BP42" s="162"/>
      <c r="BQ42" s="162"/>
      <c r="BR42" s="162"/>
      <c r="BS42" s="162"/>
      <c r="BT42" s="162"/>
      <c r="BU42" s="162"/>
      <c r="BV42" s="162"/>
      <c r="BW42" s="162"/>
    </row>
    <row r="43" s="140" customFormat="1" customHeight="1" spans="1:75">
      <c r="A43" s="161">
        <v>39</v>
      </c>
      <c r="B43" s="342"/>
      <c r="C43" s="162"/>
      <c r="D43" s="162"/>
      <c r="E43" s="162"/>
      <c r="F43" s="408">
        <v>0</v>
      </c>
      <c r="G43" s="191">
        <f t="shared" ref="G43:G106" si="8">+E43*F43</f>
        <v>0</v>
      </c>
      <c r="H43" s="190">
        <f t="shared" si="6"/>
        <v>0</v>
      </c>
      <c r="I43" s="191">
        <f t="shared" si="1"/>
        <v>0</v>
      </c>
      <c r="J43" s="190">
        <f t="shared" si="2"/>
        <v>0</v>
      </c>
      <c r="K43" s="191">
        <f t="shared" si="3"/>
        <v>0</v>
      </c>
      <c r="L43" s="190">
        <f t="shared" si="7"/>
        <v>0</v>
      </c>
      <c r="M43" s="191">
        <f t="shared" si="5"/>
        <v>0</v>
      </c>
      <c r="N43" s="133"/>
      <c r="O43" s="133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162"/>
      <c r="BB43" s="162"/>
      <c r="BC43" s="162"/>
      <c r="BD43" s="162"/>
      <c r="BE43" s="162"/>
      <c r="BF43" s="162"/>
      <c r="BG43" s="162"/>
      <c r="BH43" s="162"/>
      <c r="BI43" s="162"/>
      <c r="BJ43" s="162"/>
      <c r="BK43" s="162"/>
      <c r="BL43" s="162"/>
      <c r="BM43" s="162"/>
      <c r="BN43" s="162"/>
      <c r="BO43" s="162"/>
      <c r="BP43" s="162"/>
      <c r="BQ43" s="162"/>
      <c r="BR43" s="162"/>
      <c r="BS43" s="162"/>
      <c r="BT43" s="162"/>
      <c r="BU43" s="162"/>
      <c r="BV43" s="162"/>
      <c r="BW43" s="162"/>
    </row>
    <row r="44" s="140" customFormat="1" customHeight="1" spans="1:75">
      <c r="A44" s="161">
        <v>40</v>
      </c>
      <c r="B44" s="342"/>
      <c r="C44" s="162"/>
      <c r="D44" s="162"/>
      <c r="E44" s="162"/>
      <c r="F44" s="546"/>
      <c r="G44" s="191">
        <f t="shared" si="8"/>
        <v>0</v>
      </c>
      <c r="H44" s="190">
        <f t="shared" si="6"/>
        <v>0</v>
      </c>
      <c r="I44" s="191">
        <f t="shared" si="1"/>
        <v>0</v>
      </c>
      <c r="J44" s="190">
        <f t="shared" si="2"/>
        <v>0</v>
      </c>
      <c r="K44" s="191">
        <f t="shared" si="3"/>
        <v>0</v>
      </c>
      <c r="L44" s="190">
        <f t="shared" si="7"/>
        <v>0</v>
      </c>
      <c r="M44" s="191">
        <f t="shared" si="5"/>
        <v>0</v>
      </c>
      <c r="N44" s="133"/>
      <c r="O44" s="133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62"/>
      <c r="BL44" s="162"/>
      <c r="BM44" s="162"/>
      <c r="BN44" s="162"/>
      <c r="BO44" s="162"/>
      <c r="BP44" s="162"/>
      <c r="BQ44" s="162"/>
      <c r="BR44" s="162"/>
      <c r="BS44" s="162"/>
      <c r="BT44" s="162"/>
      <c r="BU44" s="162"/>
      <c r="BV44" s="162"/>
      <c r="BW44" s="162"/>
    </row>
    <row r="45" s="140" customFormat="1" customHeight="1" spans="1:75">
      <c r="A45" s="161">
        <v>41</v>
      </c>
      <c r="B45" s="342"/>
      <c r="C45" s="162"/>
      <c r="D45" s="162"/>
      <c r="E45" s="162"/>
      <c r="F45" s="546"/>
      <c r="G45" s="191">
        <f t="shared" si="8"/>
        <v>0</v>
      </c>
      <c r="H45" s="190">
        <f t="shared" si="6"/>
        <v>0</v>
      </c>
      <c r="I45" s="191">
        <f t="shared" si="1"/>
        <v>0</v>
      </c>
      <c r="J45" s="190">
        <f t="shared" si="2"/>
        <v>0</v>
      </c>
      <c r="K45" s="191">
        <f t="shared" si="3"/>
        <v>0</v>
      </c>
      <c r="L45" s="190">
        <f t="shared" si="7"/>
        <v>0</v>
      </c>
      <c r="M45" s="191">
        <f t="shared" si="5"/>
        <v>0</v>
      </c>
      <c r="N45" s="133"/>
      <c r="O45" s="133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162"/>
      <c r="BB45" s="162"/>
      <c r="BC45" s="162"/>
      <c r="BD45" s="162"/>
      <c r="BE45" s="162"/>
      <c r="BF45" s="162"/>
      <c r="BG45" s="162"/>
      <c r="BH45" s="162"/>
      <c r="BI45" s="162"/>
      <c r="BJ45" s="162"/>
      <c r="BK45" s="162"/>
      <c r="BL45" s="162"/>
      <c r="BM45" s="162"/>
      <c r="BN45" s="162"/>
      <c r="BO45" s="162"/>
      <c r="BP45" s="162"/>
      <c r="BQ45" s="162"/>
      <c r="BR45" s="162"/>
      <c r="BS45" s="162"/>
      <c r="BT45" s="162"/>
      <c r="BU45" s="162"/>
      <c r="BV45" s="162"/>
      <c r="BW45" s="162"/>
    </row>
    <row r="46" s="140" customFormat="1" customHeight="1" spans="1:75">
      <c r="A46" s="161">
        <v>42</v>
      </c>
      <c r="B46" s="342"/>
      <c r="C46" s="162"/>
      <c r="D46" s="162"/>
      <c r="E46" s="162"/>
      <c r="F46" s="546"/>
      <c r="G46" s="191">
        <f t="shared" si="8"/>
        <v>0</v>
      </c>
      <c r="H46" s="190">
        <f t="shared" si="6"/>
        <v>0</v>
      </c>
      <c r="I46" s="191">
        <f t="shared" si="1"/>
        <v>0</v>
      </c>
      <c r="J46" s="190">
        <f t="shared" si="2"/>
        <v>0</v>
      </c>
      <c r="K46" s="191">
        <f t="shared" si="3"/>
        <v>0</v>
      </c>
      <c r="L46" s="190">
        <f t="shared" si="7"/>
        <v>0</v>
      </c>
      <c r="M46" s="191">
        <f t="shared" si="5"/>
        <v>0</v>
      </c>
      <c r="N46" s="133"/>
      <c r="O46" s="133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162"/>
      <c r="BB46" s="162"/>
      <c r="BC46" s="162"/>
      <c r="BD46" s="162"/>
      <c r="BE46" s="162"/>
      <c r="BF46" s="162"/>
      <c r="BG46" s="162"/>
      <c r="BH46" s="162"/>
      <c r="BI46" s="162"/>
      <c r="BJ46" s="162"/>
      <c r="BK46" s="162"/>
      <c r="BL46" s="162"/>
      <c r="BM46" s="162"/>
      <c r="BN46" s="162"/>
      <c r="BO46" s="162"/>
      <c r="BP46" s="162"/>
      <c r="BQ46" s="162"/>
      <c r="BR46" s="162"/>
      <c r="BS46" s="162"/>
      <c r="BT46" s="162"/>
      <c r="BU46" s="162"/>
      <c r="BV46" s="162"/>
      <c r="BW46" s="162"/>
    </row>
    <row r="47" s="140" customFormat="1" customHeight="1" spans="1:75">
      <c r="A47" s="161">
        <v>43</v>
      </c>
      <c r="B47" s="342"/>
      <c r="C47" s="162"/>
      <c r="D47" s="162"/>
      <c r="E47" s="162"/>
      <c r="F47" s="546"/>
      <c r="G47" s="191">
        <f t="shared" si="8"/>
        <v>0</v>
      </c>
      <c r="H47" s="190">
        <f t="shared" si="6"/>
        <v>0</v>
      </c>
      <c r="I47" s="191">
        <f t="shared" si="1"/>
        <v>0</v>
      </c>
      <c r="J47" s="190">
        <f t="shared" si="2"/>
        <v>0</v>
      </c>
      <c r="K47" s="191">
        <f t="shared" si="3"/>
        <v>0</v>
      </c>
      <c r="L47" s="190">
        <f t="shared" si="7"/>
        <v>0</v>
      </c>
      <c r="M47" s="191">
        <f t="shared" si="5"/>
        <v>0</v>
      </c>
      <c r="N47" s="133"/>
      <c r="O47" s="133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162"/>
      <c r="BB47" s="162"/>
      <c r="BC47" s="162"/>
      <c r="BD47" s="162"/>
      <c r="BE47" s="162"/>
      <c r="BF47" s="162"/>
      <c r="BG47" s="162"/>
      <c r="BH47" s="162"/>
      <c r="BI47" s="162"/>
      <c r="BJ47" s="162"/>
      <c r="BK47" s="162"/>
      <c r="BL47" s="162"/>
      <c r="BM47" s="162"/>
      <c r="BN47" s="162"/>
      <c r="BO47" s="162"/>
      <c r="BP47" s="162"/>
      <c r="BQ47" s="162"/>
      <c r="BR47" s="162"/>
      <c r="BS47" s="162"/>
      <c r="BT47" s="162"/>
      <c r="BU47" s="162"/>
      <c r="BV47" s="162"/>
      <c r="BW47" s="162"/>
    </row>
    <row r="48" s="140" customFormat="1" customHeight="1" spans="1:75">
      <c r="A48" s="161">
        <v>44</v>
      </c>
      <c r="B48" s="342"/>
      <c r="C48" s="162"/>
      <c r="D48" s="162"/>
      <c r="E48" s="162"/>
      <c r="F48" s="546"/>
      <c r="G48" s="191">
        <f t="shared" si="8"/>
        <v>0</v>
      </c>
      <c r="H48" s="190">
        <f t="shared" si="6"/>
        <v>0</v>
      </c>
      <c r="I48" s="191">
        <f t="shared" si="1"/>
        <v>0</v>
      </c>
      <c r="J48" s="190">
        <f t="shared" si="2"/>
        <v>0</v>
      </c>
      <c r="K48" s="191">
        <f t="shared" si="3"/>
        <v>0</v>
      </c>
      <c r="L48" s="190">
        <f t="shared" si="7"/>
        <v>0</v>
      </c>
      <c r="M48" s="191">
        <f t="shared" si="5"/>
        <v>0</v>
      </c>
      <c r="N48" s="133"/>
      <c r="O48" s="133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162"/>
      <c r="BB48" s="162"/>
      <c r="BC48" s="162"/>
      <c r="BD48" s="162"/>
      <c r="BE48" s="162"/>
      <c r="BF48" s="162"/>
      <c r="BG48" s="162"/>
      <c r="BH48" s="162"/>
      <c r="BI48" s="162"/>
      <c r="BJ48" s="162"/>
      <c r="BK48" s="162"/>
      <c r="BL48" s="162"/>
      <c r="BM48" s="162"/>
      <c r="BN48" s="162"/>
      <c r="BO48" s="162"/>
      <c r="BP48" s="162"/>
      <c r="BQ48" s="162"/>
      <c r="BR48" s="162"/>
      <c r="BS48" s="162"/>
      <c r="BT48" s="162"/>
      <c r="BU48" s="162"/>
      <c r="BV48" s="162"/>
      <c r="BW48" s="162"/>
    </row>
    <row r="49" s="140" customFormat="1" customHeight="1" spans="1:75">
      <c r="A49" s="161">
        <v>45</v>
      </c>
      <c r="B49" s="342"/>
      <c r="C49" s="162"/>
      <c r="D49" s="162"/>
      <c r="E49" s="162"/>
      <c r="F49" s="546"/>
      <c r="G49" s="191">
        <f t="shared" si="8"/>
        <v>0</v>
      </c>
      <c r="H49" s="190">
        <f t="shared" si="6"/>
        <v>0</v>
      </c>
      <c r="I49" s="191">
        <f t="shared" si="1"/>
        <v>0</v>
      </c>
      <c r="J49" s="190">
        <f t="shared" si="2"/>
        <v>0</v>
      </c>
      <c r="K49" s="191">
        <f t="shared" si="3"/>
        <v>0</v>
      </c>
      <c r="L49" s="190">
        <f t="shared" si="7"/>
        <v>0</v>
      </c>
      <c r="M49" s="191">
        <f t="shared" si="5"/>
        <v>0</v>
      </c>
      <c r="N49" s="133"/>
      <c r="O49" s="133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162"/>
      <c r="BB49" s="162"/>
      <c r="BC49" s="162"/>
      <c r="BD49" s="162"/>
      <c r="BE49" s="162"/>
      <c r="BF49" s="162"/>
      <c r="BG49" s="162"/>
      <c r="BH49" s="162"/>
      <c r="BI49" s="162"/>
      <c r="BJ49" s="162"/>
      <c r="BK49" s="162"/>
      <c r="BL49" s="162"/>
      <c r="BM49" s="162"/>
      <c r="BN49" s="162"/>
      <c r="BO49" s="162"/>
      <c r="BP49" s="162"/>
      <c r="BQ49" s="162"/>
      <c r="BR49" s="162"/>
      <c r="BS49" s="162"/>
      <c r="BT49" s="162"/>
      <c r="BU49" s="162"/>
      <c r="BV49" s="162"/>
      <c r="BW49" s="162"/>
    </row>
    <row r="50" s="140" customFormat="1" customHeight="1" spans="1:75">
      <c r="A50" s="161">
        <v>46</v>
      </c>
      <c r="B50" s="342"/>
      <c r="C50" s="162"/>
      <c r="D50" s="162"/>
      <c r="E50" s="162"/>
      <c r="F50" s="546"/>
      <c r="G50" s="191">
        <f t="shared" si="8"/>
        <v>0</v>
      </c>
      <c r="H50" s="190">
        <f t="shared" si="6"/>
        <v>0</v>
      </c>
      <c r="I50" s="191">
        <f t="shared" si="1"/>
        <v>0</v>
      </c>
      <c r="J50" s="190">
        <f t="shared" si="2"/>
        <v>0</v>
      </c>
      <c r="K50" s="191">
        <f t="shared" si="3"/>
        <v>0</v>
      </c>
      <c r="L50" s="190">
        <f t="shared" si="7"/>
        <v>0</v>
      </c>
      <c r="M50" s="191">
        <f t="shared" si="5"/>
        <v>0</v>
      </c>
      <c r="N50" s="133"/>
      <c r="O50" s="133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162"/>
      <c r="BB50" s="162"/>
      <c r="BC50" s="162"/>
      <c r="BD50" s="162"/>
      <c r="BE50" s="162"/>
      <c r="BF50" s="162"/>
      <c r="BG50" s="162"/>
      <c r="BH50" s="162"/>
      <c r="BI50" s="162"/>
      <c r="BJ50" s="162"/>
      <c r="BK50" s="162"/>
      <c r="BL50" s="162"/>
      <c r="BM50" s="162"/>
      <c r="BN50" s="162"/>
      <c r="BO50" s="162"/>
      <c r="BP50" s="162"/>
      <c r="BQ50" s="162"/>
      <c r="BR50" s="162"/>
      <c r="BS50" s="162"/>
      <c r="BT50" s="162"/>
      <c r="BU50" s="162"/>
      <c r="BV50" s="162"/>
      <c r="BW50" s="162"/>
    </row>
    <row r="51" s="140" customFormat="1" customHeight="1" spans="1:75">
      <c r="A51" s="161">
        <v>47</v>
      </c>
      <c r="B51" s="342"/>
      <c r="C51" s="162"/>
      <c r="D51" s="162"/>
      <c r="E51" s="162"/>
      <c r="F51" s="546"/>
      <c r="G51" s="191">
        <f t="shared" si="8"/>
        <v>0</v>
      </c>
      <c r="H51" s="190">
        <f t="shared" si="6"/>
        <v>0</v>
      </c>
      <c r="I51" s="191">
        <f t="shared" si="1"/>
        <v>0</v>
      </c>
      <c r="J51" s="190">
        <f t="shared" si="2"/>
        <v>0</v>
      </c>
      <c r="K51" s="191">
        <f t="shared" si="3"/>
        <v>0</v>
      </c>
      <c r="L51" s="190">
        <f t="shared" si="7"/>
        <v>0</v>
      </c>
      <c r="M51" s="191">
        <f t="shared" si="5"/>
        <v>0</v>
      </c>
      <c r="N51" s="133"/>
      <c r="O51" s="133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162"/>
      <c r="BB51" s="162"/>
      <c r="BC51" s="162"/>
      <c r="BD51" s="162"/>
      <c r="BE51" s="162"/>
      <c r="BF51" s="162"/>
      <c r="BG51" s="162"/>
      <c r="BH51" s="162"/>
      <c r="BI51" s="162"/>
      <c r="BJ51" s="162"/>
      <c r="BK51" s="162"/>
      <c r="BL51" s="162"/>
      <c r="BM51" s="162"/>
      <c r="BN51" s="162"/>
      <c r="BO51" s="162"/>
      <c r="BP51" s="162"/>
      <c r="BQ51" s="162"/>
      <c r="BR51" s="162"/>
      <c r="BS51" s="162"/>
      <c r="BT51" s="162"/>
      <c r="BU51" s="162"/>
      <c r="BV51" s="162"/>
      <c r="BW51" s="162"/>
    </row>
    <row r="52" s="140" customFormat="1" customHeight="1" spans="1:75">
      <c r="A52" s="161">
        <v>48</v>
      </c>
      <c r="B52" s="342"/>
      <c r="C52" s="162"/>
      <c r="D52" s="162"/>
      <c r="E52" s="162"/>
      <c r="F52" s="546"/>
      <c r="G52" s="191">
        <f t="shared" si="8"/>
        <v>0</v>
      </c>
      <c r="H52" s="190">
        <f t="shared" si="6"/>
        <v>0</v>
      </c>
      <c r="I52" s="191">
        <f t="shared" si="1"/>
        <v>0</v>
      </c>
      <c r="J52" s="190">
        <f t="shared" si="2"/>
        <v>0</v>
      </c>
      <c r="K52" s="191">
        <f t="shared" si="3"/>
        <v>0</v>
      </c>
      <c r="L52" s="190">
        <f t="shared" si="7"/>
        <v>0</v>
      </c>
      <c r="M52" s="191">
        <f t="shared" si="5"/>
        <v>0</v>
      </c>
      <c r="N52" s="133"/>
      <c r="O52" s="133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62"/>
      <c r="BC52" s="162"/>
      <c r="BD52" s="162"/>
      <c r="BE52" s="162"/>
      <c r="BF52" s="162"/>
      <c r="BG52" s="162"/>
      <c r="BH52" s="162"/>
      <c r="BI52" s="162"/>
      <c r="BJ52" s="162"/>
      <c r="BK52" s="162"/>
      <c r="BL52" s="162"/>
      <c r="BM52" s="162"/>
      <c r="BN52" s="162"/>
      <c r="BO52" s="162"/>
      <c r="BP52" s="162"/>
      <c r="BQ52" s="162"/>
      <c r="BR52" s="162"/>
      <c r="BS52" s="162"/>
      <c r="BT52" s="162"/>
      <c r="BU52" s="162"/>
      <c r="BV52" s="162"/>
      <c r="BW52" s="162"/>
    </row>
    <row r="53" s="140" customFormat="1" customHeight="1" spans="1:75">
      <c r="A53" s="161">
        <v>49</v>
      </c>
      <c r="B53" s="342"/>
      <c r="C53" s="162"/>
      <c r="D53" s="162"/>
      <c r="E53" s="162"/>
      <c r="F53" s="546"/>
      <c r="G53" s="191">
        <f t="shared" si="8"/>
        <v>0</v>
      </c>
      <c r="H53" s="190">
        <f t="shared" si="6"/>
        <v>0</v>
      </c>
      <c r="I53" s="191">
        <f t="shared" si="1"/>
        <v>0</v>
      </c>
      <c r="J53" s="190">
        <f t="shared" si="2"/>
        <v>0</v>
      </c>
      <c r="K53" s="191">
        <f t="shared" si="3"/>
        <v>0</v>
      </c>
      <c r="L53" s="190">
        <f t="shared" si="7"/>
        <v>0</v>
      </c>
      <c r="M53" s="191">
        <f t="shared" si="5"/>
        <v>0</v>
      </c>
      <c r="N53" s="133"/>
      <c r="O53" s="133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2"/>
      <c r="BD53" s="162"/>
      <c r="BE53" s="162"/>
      <c r="BF53" s="162"/>
      <c r="BG53" s="162"/>
      <c r="BH53" s="162"/>
      <c r="BI53" s="162"/>
      <c r="BJ53" s="162"/>
      <c r="BK53" s="162"/>
      <c r="BL53" s="162"/>
      <c r="BM53" s="162"/>
      <c r="BN53" s="162"/>
      <c r="BO53" s="162"/>
      <c r="BP53" s="162"/>
      <c r="BQ53" s="162"/>
      <c r="BR53" s="162"/>
      <c r="BS53" s="162"/>
      <c r="BT53" s="162"/>
      <c r="BU53" s="162"/>
      <c r="BV53" s="162"/>
      <c r="BW53" s="162"/>
    </row>
    <row r="54" s="140" customFormat="1" customHeight="1" spans="1:75">
      <c r="A54" s="161">
        <v>50</v>
      </c>
      <c r="B54" s="342"/>
      <c r="C54" s="162"/>
      <c r="D54" s="162"/>
      <c r="E54" s="162"/>
      <c r="F54" s="546"/>
      <c r="G54" s="191">
        <f t="shared" si="8"/>
        <v>0</v>
      </c>
      <c r="H54" s="190">
        <f t="shared" si="6"/>
        <v>0</v>
      </c>
      <c r="I54" s="191">
        <f t="shared" si="1"/>
        <v>0</v>
      </c>
      <c r="J54" s="190">
        <f t="shared" si="2"/>
        <v>0</v>
      </c>
      <c r="K54" s="191">
        <f t="shared" si="3"/>
        <v>0</v>
      </c>
      <c r="L54" s="190">
        <f t="shared" si="7"/>
        <v>0</v>
      </c>
      <c r="M54" s="191">
        <f t="shared" si="5"/>
        <v>0</v>
      </c>
      <c r="N54" s="133"/>
      <c r="O54" s="133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162"/>
      <c r="BB54" s="162"/>
      <c r="BC54" s="162"/>
      <c r="BD54" s="162"/>
      <c r="BE54" s="162"/>
      <c r="BF54" s="162"/>
      <c r="BG54" s="162"/>
      <c r="BH54" s="162"/>
      <c r="BI54" s="162"/>
      <c r="BJ54" s="162"/>
      <c r="BK54" s="162"/>
      <c r="BL54" s="162"/>
      <c r="BM54" s="162"/>
      <c r="BN54" s="162"/>
      <c r="BO54" s="162"/>
      <c r="BP54" s="162"/>
      <c r="BQ54" s="162"/>
      <c r="BR54" s="162"/>
      <c r="BS54" s="162"/>
      <c r="BT54" s="162"/>
      <c r="BU54" s="162"/>
      <c r="BV54" s="162"/>
      <c r="BW54" s="162"/>
    </row>
    <row r="55" s="140" customFormat="1" customHeight="1" spans="1:75">
      <c r="A55" s="161">
        <v>51</v>
      </c>
      <c r="B55" s="342"/>
      <c r="C55" s="162"/>
      <c r="D55" s="162"/>
      <c r="E55" s="162"/>
      <c r="F55" s="546"/>
      <c r="G55" s="191">
        <f t="shared" si="8"/>
        <v>0</v>
      </c>
      <c r="H55" s="190">
        <f t="shared" si="6"/>
        <v>0</v>
      </c>
      <c r="I55" s="191">
        <f t="shared" si="1"/>
        <v>0</v>
      </c>
      <c r="J55" s="190">
        <f t="shared" si="2"/>
        <v>0</v>
      </c>
      <c r="K55" s="191">
        <f t="shared" si="3"/>
        <v>0</v>
      </c>
      <c r="L55" s="190">
        <f t="shared" si="7"/>
        <v>0</v>
      </c>
      <c r="M55" s="191">
        <f t="shared" si="5"/>
        <v>0</v>
      </c>
      <c r="N55" s="133"/>
      <c r="O55" s="133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2"/>
      <c r="BI55" s="162"/>
      <c r="BJ55" s="162"/>
      <c r="BK55" s="162"/>
      <c r="BL55" s="162"/>
      <c r="BM55" s="162"/>
      <c r="BN55" s="162"/>
      <c r="BO55" s="162"/>
      <c r="BP55" s="162"/>
      <c r="BQ55" s="162"/>
      <c r="BR55" s="162"/>
      <c r="BS55" s="162"/>
      <c r="BT55" s="162"/>
      <c r="BU55" s="162"/>
      <c r="BV55" s="162"/>
      <c r="BW55" s="162"/>
    </row>
    <row r="56" s="140" customFormat="1" customHeight="1" spans="1:75">
      <c r="A56" s="161">
        <v>52</v>
      </c>
      <c r="B56" s="342"/>
      <c r="C56" s="162"/>
      <c r="D56" s="162"/>
      <c r="E56" s="162"/>
      <c r="F56" s="546"/>
      <c r="G56" s="191">
        <f t="shared" si="8"/>
        <v>0</v>
      </c>
      <c r="H56" s="190">
        <f t="shared" si="6"/>
        <v>0</v>
      </c>
      <c r="I56" s="191">
        <f t="shared" si="1"/>
        <v>0</v>
      </c>
      <c r="J56" s="190">
        <f t="shared" si="2"/>
        <v>0</v>
      </c>
      <c r="K56" s="191">
        <f t="shared" si="3"/>
        <v>0</v>
      </c>
      <c r="L56" s="190">
        <f t="shared" si="7"/>
        <v>0</v>
      </c>
      <c r="M56" s="191">
        <f t="shared" si="5"/>
        <v>0</v>
      </c>
      <c r="N56" s="133"/>
      <c r="O56" s="133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162"/>
      <c r="BB56" s="162"/>
      <c r="BC56" s="162"/>
      <c r="BD56" s="162"/>
      <c r="BE56" s="162"/>
      <c r="BF56" s="162"/>
      <c r="BG56" s="162"/>
      <c r="BH56" s="162"/>
      <c r="BI56" s="162"/>
      <c r="BJ56" s="162"/>
      <c r="BK56" s="162"/>
      <c r="BL56" s="162"/>
      <c r="BM56" s="162"/>
      <c r="BN56" s="162"/>
      <c r="BO56" s="162"/>
      <c r="BP56" s="162"/>
      <c r="BQ56" s="162"/>
      <c r="BR56" s="162"/>
      <c r="BS56" s="162"/>
      <c r="BT56" s="162"/>
      <c r="BU56" s="162"/>
      <c r="BV56" s="162"/>
      <c r="BW56" s="162"/>
    </row>
    <row r="57" s="140" customFormat="1" customHeight="1" spans="1:75">
      <c r="A57" s="161">
        <v>53</v>
      </c>
      <c r="B57" s="342"/>
      <c r="C57" s="162"/>
      <c r="D57" s="162"/>
      <c r="E57" s="162"/>
      <c r="F57" s="546"/>
      <c r="G57" s="191">
        <f t="shared" si="8"/>
        <v>0</v>
      </c>
      <c r="H57" s="190">
        <f t="shared" si="6"/>
        <v>0</v>
      </c>
      <c r="I57" s="191">
        <f t="shared" si="1"/>
        <v>0</v>
      </c>
      <c r="J57" s="190">
        <f t="shared" si="2"/>
        <v>0</v>
      </c>
      <c r="K57" s="191">
        <f t="shared" si="3"/>
        <v>0</v>
      </c>
      <c r="L57" s="190">
        <f t="shared" si="7"/>
        <v>0</v>
      </c>
      <c r="M57" s="191">
        <f t="shared" si="5"/>
        <v>0</v>
      </c>
      <c r="N57" s="133"/>
      <c r="O57" s="133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162"/>
      <c r="BB57" s="162"/>
      <c r="BC57" s="162"/>
      <c r="BD57" s="162"/>
      <c r="BE57" s="162"/>
      <c r="BF57" s="162"/>
      <c r="BG57" s="162"/>
      <c r="BH57" s="162"/>
      <c r="BI57" s="162"/>
      <c r="BJ57" s="162"/>
      <c r="BK57" s="162"/>
      <c r="BL57" s="162"/>
      <c r="BM57" s="162"/>
      <c r="BN57" s="162"/>
      <c r="BO57" s="162"/>
      <c r="BP57" s="162"/>
      <c r="BQ57" s="162"/>
      <c r="BR57" s="162"/>
      <c r="BS57" s="162"/>
      <c r="BT57" s="162"/>
      <c r="BU57" s="162"/>
      <c r="BV57" s="162"/>
      <c r="BW57" s="162"/>
    </row>
    <row r="58" s="140" customFormat="1" customHeight="1" spans="1:75">
      <c r="A58" s="161">
        <v>54</v>
      </c>
      <c r="B58" s="342"/>
      <c r="C58" s="162"/>
      <c r="D58" s="162"/>
      <c r="E58" s="162"/>
      <c r="F58" s="546"/>
      <c r="G58" s="191">
        <f t="shared" si="8"/>
        <v>0</v>
      </c>
      <c r="H58" s="190">
        <f t="shared" si="6"/>
        <v>0</v>
      </c>
      <c r="I58" s="191">
        <f t="shared" si="1"/>
        <v>0</v>
      </c>
      <c r="J58" s="190">
        <f t="shared" si="2"/>
        <v>0</v>
      </c>
      <c r="K58" s="191">
        <f t="shared" si="3"/>
        <v>0</v>
      </c>
      <c r="L58" s="190">
        <f t="shared" si="7"/>
        <v>0</v>
      </c>
      <c r="M58" s="191">
        <f t="shared" si="5"/>
        <v>0</v>
      </c>
      <c r="N58" s="133"/>
      <c r="O58" s="133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162"/>
      <c r="BB58" s="162"/>
      <c r="BC58" s="162"/>
      <c r="BD58" s="162"/>
      <c r="BE58" s="162"/>
      <c r="BF58" s="162"/>
      <c r="BG58" s="162"/>
      <c r="BH58" s="162"/>
      <c r="BI58" s="162"/>
      <c r="BJ58" s="162"/>
      <c r="BK58" s="162"/>
      <c r="BL58" s="162"/>
      <c r="BM58" s="162"/>
      <c r="BN58" s="162"/>
      <c r="BO58" s="162"/>
      <c r="BP58" s="162"/>
      <c r="BQ58" s="162"/>
      <c r="BR58" s="162"/>
      <c r="BS58" s="162"/>
      <c r="BT58" s="162"/>
      <c r="BU58" s="162"/>
      <c r="BV58" s="162"/>
      <c r="BW58" s="162"/>
    </row>
    <row r="59" s="140" customFormat="1" customHeight="1" spans="1:75">
      <c r="A59" s="161">
        <v>55</v>
      </c>
      <c r="B59" s="342"/>
      <c r="C59" s="162"/>
      <c r="D59" s="162"/>
      <c r="E59" s="162"/>
      <c r="F59" s="546"/>
      <c r="G59" s="191">
        <f t="shared" si="8"/>
        <v>0</v>
      </c>
      <c r="H59" s="190">
        <f t="shared" si="6"/>
        <v>0</v>
      </c>
      <c r="I59" s="191">
        <f t="shared" si="1"/>
        <v>0</v>
      </c>
      <c r="J59" s="190">
        <f t="shared" si="2"/>
        <v>0</v>
      </c>
      <c r="K59" s="191">
        <f t="shared" si="3"/>
        <v>0</v>
      </c>
      <c r="L59" s="190">
        <f t="shared" si="7"/>
        <v>0</v>
      </c>
      <c r="M59" s="191">
        <f t="shared" si="5"/>
        <v>0</v>
      </c>
      <c r="N59" s="133"/>
      <c r="O59" s="133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162"/>
      <c r="BB59" s="162"/>
      <c r="BC59" s="162"/>
      <c r="BD59" s="162"/>
      <c r="BE59" s="162"/>
      <c r="BF59" s="162"/>
      <c r="BG59" s="162"/>
      <c r="BH59" s="162"/>
      <c r="BI59" s="162"/>
      <c r="BJ59" s="162"/>
      <c r="BK59" s="162"/>
      <c r="BL59" s="162"/>
      <c r="BM59" s="162"/>
      <c r="BN59" s="162"/>
      <c r="BO59" s="162"/>
      <c r="BP59" s="162"/>
      <c r="BQ59" s="162"/>
      <c r="BR59" s="162"/>
      <c r="BS59" s="162"/>
      <c r="BT59" s="162"/>
      <c r="BU59" s="162"/>
      <c r="BV59" s="162"/>
      <c r="BW59" s="162"/>
    </row>
    <row r="60" s="140" customFormat="1" customHeight="1" spans="1:75">
      <c r="A60" s="161">
        <v>56</v>
      </c>
      <c r="B60" s="342"/>
      <c r="C60" s="162"/>
      <c r="D60" s="162"/>
      <c r="E60" s="162"/>
      <c r="F60" s="546"/>
      <c r="G60" s="191">
        <f t="shared" si="8"/>
        <v>0</v>
      </c>
      <c r="H60" s="190">
        <f t="shared" si="6"/>
        <v>0</v>
      </c>
      <c r="I60" s="191">
        <f t="shared" si="1"/>
        <v>0</v>
      </c>
      <c r="J60" s="190">
        <f t="shared" si="2"/>
        <v>0</v>
      </c>
      <c r="K60" s="191">
        <f t="shared" si="3"/>
        <v>0</v>
      </c>
      <c r="L60" s="190">
        <f t="shared" si="7"/>
        <v>0</v>
      </c>
      <c r="M60" s="191">
        <f t="shared" si="5"/>
        <v>0</v>
      </c>
      <c r="N60" s="133"/>
      <c r="O60" s="133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162"/>
      <c r="BB60" s="162"/>
      <c r="BC60" s="162"/>
      <c r="BD60" s="162"/>
      <c r="BE60" s="162"/>
      <c r="BF60" s="162"/>
      <c r="BG60" s="162"/>
      <c r="BH60" s="162"/>
      <c r="BI60" s="162"/>
      <c r="BJ60" s="162"/>
      <c r="BK60" s="162"/>
      <c r="BL60" s="162"/>
      <c r="BM60" s="162"/>
      <c r="BN60" s="162"/>
      <c r="BO60" s="162"/>
      <c r="BP60" s="162"/>
      <c r="BQ60" s="162"/>
      <c r="BR60" s="162"/>
      <c r="BS60" s="162"/>
      <c r="BT60" s="162"/>
      <c r="BU60" s="162"/>
      <c r="BV60" s="162"/>
      <c r="BW60" s="162"/>
    </row>
    <row r="61" s="140" customFormat="1" customHeight="1" spans="1:75">
      <c r="A61" s="161">
        <v>57</v>
      </c>
      <c r="B61" s="342"/>
      <c r="C61" s="162"/>
      <c r="D61" s="162"/>
      <c r="E61" s="162"/>
      <c r="F61" s="546"/>
      <c r="G61" s="191">
        <f t="shared" si="8"/>
        <v>0</v>
      </c>
      <c r="H61" s="190">
        <f t="shared" si="6"/>
        <v>0</v>
      </c>
      <c r="I61" s="191">
        <f t="shared" si="1"/>
        <v>0</v>
      </c>
      <c r="J61" s="190">
        <f t="shared" si="2"/>
        <v>0</v>
      </c>
      <c r="K61" s="191">
        <f t="shared" si="3"/>
        <v>0</v>
      </c>
      <c r="L61" s="190">
        <f t="shared" si="7"/>
        <v>0</v>
      </c>
      <c r="M61" s="191">
        <f t="shared" si="5"/>
        <v>0</v>
      </c>
      <c r="N61" s="133"/>
      <c r="O61" s="133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162"/>
      <c r="BB61" s="162"/>
      <c r="BC61" s="162"/>
      <c r="BD61" s="162"/>
      <c r="BE61" s="162"/>
      <c r="BF61" s="162"/>
      <c r="BG61" s="162"/>
      <c r="BH61" s="162"/>
      <c r="BI61" s="162"/>
      <c r="BJ61" s="162"/>
      <c r="BK61" s="162"/>
      <c r="BL61" s="162"/>
      <c r="BM61" s="162"/>
      <c r="BN61" s="162"/>
      <c r="BO61" s="162"/>
      <c r="BP61" s="162"/>
      <c r="BQ61" s="162"/>
      <c r="BR61" s="162"/>
      <c r="BS61" s="162"/>
      <c r="BT61" s="162"/>
      <c r="BU61" s="162"/>
      <c r="BV61" s="162"/>
      <c r="BW61" s="162"/>
    </row>
    <row r="62" s="140" customFormat="1" customHeight="1" spans="1:75">
      <c r="A62" s="161">
        <v>58</v>
      </c>
      <c r="B62" s="342"/>
      <c r="C62" s="162"/>
      <c r="D62" s="162"/>
      <c r="E62" s="162"/>
      <c r="F62" s="546"/>
      <c r="G62" s="191">
        <f t="shared" si="8"/>
        <v>0</v>
      </c>
      <c r="H62" s="190">
        <f t="shared" si="6"/>
        <v>0</v>
      </c>
      <c r="I62" s="191">
        <f t="shared" si="1"/>
        <v>0</v>
      </c>
      <c r="J62" s="190">
        <f t="shared" si="2"/>
        <v>0</v>
      </c>
      <c r="K62" s="191">
        <f t="shared" si="3"/>
        <v>0</v>
      </c>
      <c r="L62" s="190">
        <f t="shared" si="7"/>
        <v>0</v>
      </c>
      <c r="M62" s="191">
        <f t="shared" si="5"/>
        <v>0</v>
      </c>
      <c r="N62" s="133"/>
      <c r="O62" s="133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162"/>
      <c r="BB62" s="162"/>
      <c r="BC62" s="162"/>
      <c r="BD62" s="162"/>
      <c r="BE62" s="162"/>
      <c r="BF62" s="162"/>
      <c r="BG62" s="162"/>
      <c r="BH62" s="162"/>
      <c r="BI62" s="162"/>
      <c r="BJ62" s="162"/>
      <c r="BK62" s="162"/>
      <c r="BL62" s="162"/>
      <c r="BM62" s="162"/>
      <c r="BN62" s="162"/>
      <c r="BO62" s="162"/>
      <c r="BP62" s="162"/>
      <c r="BQ62" s="162"/>
      <c r="BR62" s="162"/>
      <c r="BS62" s="162"/>
      <c r="BT62" s="162"/>
      <c r="BU62" s="162"/>
      <c r="BV62" s="162"/>
      <c r="BW62" s="162"/>
    </row>
    <row r="63" s="140" customFormat="1" customHeight="1" spans="1:75">
      <c r="A63" s="161">
        <v>59</v>
      </c>
      <c r="B63" s="342"/>
      <c r="C63" s="162"/>
      <c r="D63" s="162"/>
      <c r="E63" s="162"/>
      <c r="F63" s="546"/>
      <c r="G63" s="191">
        <f t="shared" si="8"/>
        <v>0</v>
      </c>
      <c r="H63" s="190">
        <f t="shared" si="6"/>
        <v>0</v>
      </c>
      <c r="I63" s="191">
        <f t="shared" si="1"/>
        <v>0</v>
      </c>
      <c r="J63" s="190">
        <f t="shared" si="2"/>
        <v>0</v>
      </c>
      <c r="K63" s="191">
        <f t="shared" si="3"/>
        <v>0</v>
      </c>
      <c r="L63" s="190">
        <f t="shared" si="7"/>
        <v>0</v>
      </c>
      <c r="M63" s="191">
        <f t="shared" si="5"/>
        <v>0</v>
      </c>
      <c r="N63" s="133"/>
      <c r="O63" s="133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162"/>
      <c r="BB63" s="162"/>
      <c r="BC63" s="162"/>
      <c r="BD63" s="162"/>
      <c r="BE63" s="162"/>
      <c r="BF63" s="162"/>
      <c r="BG63" s="162"/>
      <c r="BH63" s="162"/>
      <c r="BI63" s="162"/>
      <c r="BJ63" s="162"/>
      <c r="BK63" s="162"/>
      <c r="BL63" s="162"/>
      <c r="BM63" s="162"/>
      <c r="BN63" s="162"/>
      <c r="BO63" s="162"/>
      <c r="BP63" s="162"/>
      <c r="BQ63" s="162"/>
      <c r="BR63" s="162"/>
      <c r="BS63" s="162"/>
      <c r="BT63" s="162"/>
      <c r="BU63" s="162"/>
      <c r="BV63" s="162"/>
      <c r="BW63" s="162"/>
    </row>
    <row r="64" s="140" customFormat="1" customHeight="1" spans="1:75">
      <c r="A64" s="161">
        <v>60</v>
      </c>
      <c r="B64" s="342"/>
      <c r="C64" s="162"/>
      <c r="D64" s="162"/>
      <c r="E64" s="162"/>
      <c r="F64" s="546"/>
      <c r="G64" s="191">
        <f t="shared" si="8"/>
        <v>0</v>
      </c>
      <c r="H64" s="190">
        <f t="shared" si="6"/>
        <v>0</v>
      </c>
      <c r="I64" s="191">
        <f t="shared" si="1"/>
        <v>0</v>
      </c>
      <c r="J64" s="190">
        <f t="shared" si="2"/>
        <v>0</v>
      </c>
      <c r="K64" s="191">
        <f t="shared" si="3"/>
        <v>0</v>
      </c>
      <c r="L64" s="190">
        <f t="shared" si="7"/>
        <v>0</v>
      </c>
      <c r="M64" s="191">
        <f t="shared" si="5"/>
        <v>0</v>
      </c>
      <c r="N64" s="133"/>
      <c r="O64" s="133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162"/>
      <c r="BB64" s="162"/>
      <c r="BC64" s="162"/>
      <c r="BD64" s="162"/>
      <c r="BE64" s="162"/>
      <c r="BF64" s="162"/>
      <c r="BG64" s="162"/>
      <c r="BH64" s="162"/>
      <c r="BI64" s="162"/>
      <c r="BJ64" s="162"/>
      <c r="BK64" s="162"/>
      <c r="BL64" s="162"/>
      <c r="BM64" s="162"/>
      <c r="BN64" s="162"/>
      <c r="BO64" s="162"/>
      <c r="BP64" s="162"/>
      <c r="BQ64" s="162"/>
      <c r="BR64" s="162"/>
      <c r="BS64" s="162"/>
      <c r="BT64" s="162"/>
      <c r="BU64" s="162"/>
      <c r="BV64" s="162"/>
      <c r="BW64" s="162"/>
    </row>
    <row r="65" s="140" customFormat="1" customHeight="1" spans="1:75">
      <c r="A65" s="161">
        <v>61</v>
      </c>
      <c r="B65" s="342"/>
      <c r="C65" s="162"/>
      <c r="D65" s="162"/>
      <c r="E65" s="162"/>
      <c r="F65" s="546"/>
      <c r="G65" s="191">
        <f t="shared" si="8"/>
        <v>0</v>
      </c>
      <c r="H65" s="190">
        <f t="shared" si="6"/>
        <v>0</v>
      </c>
      <c r="I65" s="191">
        <f t="shared" si="1"/>
        <v>0</v>
      </c>
      <c r="J65" s="190">
        <f t="shared" si="2"/>
        <v>0</v>
      </c>
      <c r="K65" s="191">
        <f t="shared" si="3"/>
        <v>0</v>
      </c>
      <c r="L65" s="190">
        <f t="shared" si="7"/>
        <v>0</v>
      </c>
      <c r="M65" s="191">
        <f t="shared" si="5"/>
        <v>0</v>
      </c>
      <c r="N65" s="133"/>
      <c r="O65" s="133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162"/>
      <c r="BB65" s="162"/>
      <c r="BC65" s="162"/>
      <c r="BD65" s="162"/>
      <c r="BE65" s="162"/>
      <c r="BF65" s="162"/>
      <c r="BG65" s="162"/>
      <c r="BH65" s="162"/>
      <c r="BI65" s="162"/>
      <c r="BJ65" s="162"/>
      <c r="BK65" s="162"/>
      <c r="BL65" s="162"/>
      <c r="BM65" s="162"/>
      <c r="BN65" s="162"/>
      <c r="BO65" s="162"/>
      <c r="BP65" s="162"/>
      <c r="BQ65" s="162"/>
      <c r="BR65" s="162"/>
      <c r="BS65" s="162"/>
      <c r="BT65" s="162"/>
      <c r="BU65" s="162"/>
      <c r="BV65" s="162"/>
      <c r="BW65" s="162"/>
    </row>
    <row r="66" s="140" customFormat="1" customHeight="1" spans="1:75">
      <c r="A66" s="161">
        <v>62</v>
      </c>
      <c r="B66" s="342"/>
      <c r="C66" s="162"/>
      <c r="D66" s="162"/>
      <c r="E66" s="162"/>
      <c r="F66" s="546"/>
      <c r="G66" s="191">
        <f t="shared" si="8"/>
        <v>0</v>
      </c>
      <c r="H66" s="190">
        <f t="shared" si="6"/>
        <v>0</v>
      </c>
      <c r="I66" s="191">
        <f t="shared" si="1"/>
        <v>0</v>
      </c>
      <c r="J66" s="190">
        <f t="shared" si="2"/>
        <v>0</v>
      </c>
      <c r="K66" s="191">
        <f t="shared" si="3"/>
        <v>0</v>
      </c>
      <c r="L66" s="190">
        <f t="shared" si="7"/>
        <v>0</v>
      </c>
      <c r="M66" s="191">
        <f t="shared" si="5"/>
        <v>0</v>
      </c>
      <c r="N66" s="133"/>
      <c r="O66" s="133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162"/>
      <c r="BB66" s="162"/>
      <c r="BC66" s="162"/>
      <c r="BD66" s="162"/>
      <c r="BE66" s="162"/>
      <c r="BF66" s="162"/>
      <c r="BG66" s="162"/>
      <c r="BH66" s="162"/>
      <c r="BI66" s="162"/>
      <c r="BJ66" s="162"/>
      <c r="BK66" s="162"/>
      <c r="BL66" s="162"/>
      <c r="BM66" s="162"/>
      <c r="BN66" s="162"/>
      <c r="BO66" s="162"/>
      <c r="BP66" s="162"/>
      <c r="BQ66" s="162"/>
      <c r="BR66" s="162"/>
      <c r="BS66" s="162"/>
      <c r="BT66" s="162"/>
      <c r="BU66" s="162"/>
      <c r="BV66" s="162"/>
      <c r="BW66" s="162"/>
    </row>
    <row r="67" s="140" customFormat="1" customHeight="1" spans="1:75">
      <c r="A67" s="161">
        <v>63</v>
      </c>
      <c r="B67" s="342"/>
      <c r="C67" s="162"/>
      <c r="D67" s="162"/>
      <c r="E67" s="162"/>
      <c r="F67" s="546"/>
      <c r="G67" s="191">
        <f t="shared" si="8"/>
        <v>0</v>
      </c>
      <c r="H67" s="190">
        <f t="shared" si="6"/>
        <v>0</v>
      </c>
      <c r="I67" s="191">
        <f t="shared" si="1"/>
        <v>0</v>
      </c>
      <c r="J67" s="190">
        <f t="shared" si="2"/>
        <v>0</v>
      </c>
      <c r="K67" s="191">
        <f t="shared" si="3"/>
        <v>0</v>
      </c>
      <c r="L67" s="190">
        <f t="shared" si="7"/>
        <v>0</v>
      </c>
      <c r="M67" s="191">
        <f t="shared" si="5"/>
        <v>0</v>
      </c>
      <c r="N67" s="133"/>
      <c r="O67" s="133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2"/>
      <c r="BD67" s="162"/>
      <c r="BE67" s="162"/>
      <c r="BF67" s="162"/>
      <c r="BG67" s="162"/>
      <c r="BH67" s="162"/>
      <c r="BI67" s="162"/>
      <c r="BJ67" s="162"/>
      <c r="BK67" s="162"/>
      <c r="BL67" s="162"/>
      <c r="BM67" s="162"/>
      <c r="BN67" s="162"/>
      <c r="BO67" s="162"/>
      <c r="BP67" s="162"/>
      <c r="BQ67" s="162"/>
      <c r="BR67" s="162"/>
      <c r="BS67" s="162"/>
      <c r="BT67" s="162"/>
      <c r="BU67" s="162"/>
      <c r="BV67" s="162"/>
      <c r="BW67" s="162"/>
    </row>
    <row r="68" s="140" customFormat="1" customHeight="1" spans="1:75">
      <c r="A68" s="161">
        <v>64</v>
      </c>
      <c r="B68" s="342"/>
      <c r="C68" s="162"/>
      <c r="D68" s="162"/>
      <c r="E68" s="162"/>
      <c r="F68" s="546"/>
      <c r="G68" s="191">
        <f t="shared" si="8"/>
        <v>0</v>
      </c>
      <c r="H68" s="190">
        <f t="shared" si="6"/>
        <v>0</v>
      </c>
      <c r="I68" s="191">
        <f t="shared" si="1"/>
        <v>0</v>
      </c>
      <c r="J68" s="190">
        <f t="shared" si="2"/>
        <v>0</v>
      </c>
      <c r="K68" s="191">
        <f t="shared" si="3"/>
        <v>0</v>
      </c>
      <c r="L68" s="190">
        <f t="shared" si="7"/>
        <v>0</v>
      </c>
      <c r="M68" s="191">
        <f t="shared" si="5"/>
        <v>0</v>
      </c>
      <c r="N68" s="133"/>
      <c r="O68" s="133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62"/>
      <c r="BC68" s="162"/>
      <c r="BD68" s="162"/>
      <c r="BE68" s="162"/>
      <c r="BF68" s="162"/>
      <c r="BG68" s="162"/>
      <c r="BH68" s="162"/>
      <c r="BI68" s="162"/>
      <c r="BJ68" s="162"/>
      <c r="BK68" s="162"/>
      <c r="BL68" s="162"/>
      <c r="BM68" s="162"/>
      <c r="BN68" s="162"/>
      <c r="BO68" s="162"/>
      <c r="BP68" s="162"/>
      <c r="BQ68" s="162"/>
      <c r="BR68" s="162"/>
      <c r="BS68" s="162"/>
      <c r="BT68" s="162"/>
      <c r="BU68" s="162"/>
      <c r="BV68" s="162"/>
      <c r="BW68" s="162"/>
    </row>
    <row r="69" s="140" customFormat="1" customHeight="1" spans="1:75">
      <c r="A69" s="161">
        <v>65</v>
      </c>
      <c r="B69" s="342"/>
      <c r="C69" s="162"/>
      <c r="D69" s="162"/>
      <c r="E69" s="162"/>
      <c r="F69" s="546"/>
      <c r="G69" s="191">
        <f t="shared" si="8"/>
        <v>0</v>
      </c>
      <c r="H69" s="190">
        <f t="shared" ref="H69:H132" si="9">SUMIF($N$4:$O$4,$H$4,$N69:$O69)</f>
        <v>0</v>
      </c>
      <c r="I69" s="191">
        <f t="shared" ref="I69:I132" si="10">+E69*H69</f>
        <v>0</v>
      </c>
      <c r="J69" s="190">
        <f t="shared" ref="J69:J132" si="11">SUMIF($N$4:$BW$4,$J$4,$N69:$BW69)</f>
        <v>0</v>
      </c>
      <c r="K69" s="191">
        <f t="shared" ref="K69:K132" si="12">+E69*J69</f>
        <v>0</v>
      </c>
      <c r="L69" s="190">
        <f t="shared" si="7"/>
        <v>0</v>
      </c>
      <c r="M69" s="191">
        <f t="shared" ref="M69:M132" si="13">+E69*L69</f>
        <v>0</v>
      </c>
      <c r="N69" s="133"/>
      <c r="O69" s="133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62"/>
      <c r="BC69" s="162"/>
      <c r="BD69" s="162"/>
      <c r="BE69" s="162"/>
      <c r="BF69" s="162"/>
      <c r="BG69" s="162"/>
      <c r="BH69" s="162"/>
      <c r="BI69" s="162"/>
      <c r="BJ69" s="162"/>
      <c r="BK69" s="162"/>
      <c r="BL69" s="162"/>
      <c r="BM69" s="162"/>
      <c r="BN69" s="162"/>
      <c r="BO69" s="162"/>
      <c r="BP69" s="162"/>
      <c r="BQ69" s="162"/>
      <c r="BR69" s="162"/>
      <c r="BS69" s="162"/>
      <c r="BT69" s="162"/>
      <c r="BU69" s="162"/>
      <c r="BV69" s="162"/>
      <c r="BW69" s="162"/>
    </row>
    <row r="70" s="140" customFormat="1" customHeight="1" spans="1:75">
      <c r="A70" s="161">
        <v>66</v>
      </c>
      <c r="B70" s="342"/>
      <c r="C70" s="162"/>
      <c r="D70" s="162"/>
      <c r="E70" s="162"/>
      <c r="F70" s="546"/>
      <c r="G70" s="191">
        <f t="shared" si="8"/>
        <v>0</v>
      </c>
      <c r="H70" s="190">
        <f t="shared" si="9"/>
        <v>0</v>
      </c>
      <c r="I70" s="191">
        <f t="shared" si="10"/>
        <v>0</v>
      </c>
      <c r="J70" s="190">
        <f t="shared" si="11"/>
        <v>0</v>
      </c>
      <c r="K70" s="191">
        <f t="shared" si="12"/>
        <v>0</v>
      </c>
      <c r="L70" s="190">
        <f t="shared" si="7"/>
        <v>0</v>
      </c>
      <c r="M70" s="191">
        <f t="shared" si="13"/>
        <v>0</v>
      </c>
      <c r="N70" s="133"/>
      <c r="O70" s="133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62"/>
      <c r="BC70" s="162"/>
      <c r="BD70" s="162"/>
      <c r="BE70" s="162"/>
      <c r="BF70" s="162"/>
      <c r="BG70" s="162"/>
      <c r="BH70" s="162"/>
      <c r="BI70" s="162"/>
      <c r="BJ70" s="162"/>
      <c r="BK70" s="162"/>
      <c r="BL70" s="162"/>
      <c r="BM70" s="162"/>
      <c r="BN70" s="162"/>
      <c r="BO70" s="162"/>
      <c r="BP70" s="162"/>
      <c r="BQ70" s="162"/>
      <c r="BR70" s="162"/>
      <c r="BS70" s="162"/>
      <c r="BT70" s="162"/>
      <c r="BU70" s="162"/>
      <c r="BV70" s="162"/>
      <c r="BW70" s="162"/>
    </row>
    <row r="71" s="140" customFormat="1" customHeight="1" spans="1:75">
      <c r="A71" s="161">
        <v>67</v>
      </c>
      <c r="B71" s="342"/>
      <c r="C71" s="162"/>
      <c r="D71" s="162"/>
      <c r="E71" s="162"/>
      <c r="F71" s="546"/>
      <c r="G71" s="191">
        <f t="shared" si="8"/>
        <v>0</v>
      </c>
      <c r="H71" s="190">
        <f t="shared" si="9"/>
        <v>0</v>
      </c>
      <c r="I71" s="191">
        <f t="shared" si="10"/>
        <v>0</v>
      </c>
      <c r="J71" s="190">
        <f t="shared" si="11"/>
        <v>0</v>
      </c>
      <c r="K71" s="191">
        <f t="shared" si="12"/>
        <v>0</v>
      </c>
      <c r="L71" s="190">
        <f t="shared" si="7"/>
        <v>0</v>
      </c>
      <c r="M71" s="191">
        <f t="shared" si="13"/>
        <v>0</v>
      </c>
      <c r="N71" s="133"/>
      <c r="O71" s="133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62"/>
      <c r="BC71" s="162"/>
      <c r="BD71" s="162"/>
      <c r="BE71" s="162"/>
      <c r="BF71" s="162"/>
      <c r="BG71" s="162"/>
      <c r="BH71" s="162"/>
      <c r="BI71" s="162"/>
      <c r="BJ71" s="162"/>
      <c r="BK71" s="162"/>
      <c r="BL71" s="162"/>
      <c r="BM71" s="162"/>
      <c r="BN71" s="162"/>
      <c r="BO71" s="162"/>
      <c r="BP71" s="162"/>
      <c r="BQ71" s="162"/>
      <c r="BR71" s="162"/>
      <c r="BS71" s="162"/>
      <c r="BT71" s="162"/>
      <c r="BU71" s="162"/>
      <c r="BV71" s="162"/>
      <c r="BW71" s="162"/>
    </row>
    <row r="72" s="140" customFormat="1" customHeight="1" spans="1:75">
      <c r="A72" s="161">
        <v>68</v>
      </c>
      <c r="B72" s="342"/>
      <c r="C72" s="162"/>
      <c r="D72" s="162"/>
      <c r="E72" s="162"/>
      <c r="F72" s="546"/>
      <c r="G72" s="191">
        <f t="shared" si="8"/>
        <v>0</v>
      </c>
      <c r="H72" s="190">
        <f t="shared" si="9"/>
        <v>0</v>
      </c>
      <c r="I72" s="191">
        <f t="shared" si="10"/>
        <v>0</v>
      </c>
      <c r="J72" s="190">
        <f t="shared" si="11"/>
        <v>0</v>
      </c>
      <c r="K72" s="191">
        <f t="shared" si="12"/>
        <v>0</v>
      </c>
      <c r="L72" s="190">
        <f t="shared" si="7"/>
        <v>0</v>
      </c>
      <c r="M72" s="191">
        <f t="shared" si="13"/>
        <v>0</v>
      </c>
      <c r="N72" s="133"/>
      <c r="O72" s="133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62"/>
      <c r="BC72" s="162"/>
      <c r="BD72" s="162"/>
      <c r="BE72" s="162"/>
      <c r="BF72" s="162"/>
      <c r="BG72" s="162"/>
      <c r="BH72" s="162"/>
      <c r="BI72" s="162"/>
      <c r="BJ72" s="162"/>
      <c r="BK72" s="162"/>
      <c r="BL72" s="162"/>
      <c r="BM72" s="162"/>
      <c r="BN72" s="162"/>
      <c r="BO72" s="162"/>
      <c r="BP72" s="162"/>
      <c r="BQ72" s="162"/>
      <c r="BR72" s="162"/>
      <c r="BS72" s="162"/>
      <c r="BT72" s="162"/>
      <c r="BU72" s="162"/>
      <c r="BV72" s="162"/>
      <c r="BW72" s="162"/>
    </row>
    <row r="73" s="140" customFormat="1" customHeight="1" spans="1:75">
      <c r="A73" s="161">
        <v>69</v>
      </c>
      <c r="B73" s="342"/>
      <c r="C73" s="162"/>
      <c r="D73" s="162"/>
      <c r="E73" s="162"/>
      <c r="F73" s="546"/>
      <c r="G73" s="191">
        <f t="shared" si="8"/>
        <v>0</v>
      </c>
      <c r="H73" s="190">
        <f t="shared" si="9"/>
        <v>0</v>
      </c>
      <c r="I73" s="191">
        <f t="shared" si="10"/>
        <v>0</v>
      </c>
      <c r="J73" s="190">
        <f t="shared" si="11"/>
        <v>0</v>
      </c>
      <c r="K73" s="191">
        <f t="shared" si="12"/>
        <v>0</v>
      </c>
      <c r="L73" s="190">
        <f t="shared" si="7"/>
        <v>0</v>
      </c>
      <c r="M73" s="191">
        <f t="shared" si="13"/>
        <v>0</v>
      </c>
      <c r="N73" s="133"/>
      <c r="O73" s="133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2"/>
      <c r="BD73" s="162"/>
      <c r="BE73" s="162"/>
      <c r="BF73" s="162"/>
      <c r="BG73" s="162"/>
      <c r="BH73" s="162"/>
      <c r="BI73" s="162"/>
      <c r="BJ73" s="162"/>
      <c r="BK73" s="162"/>
      <c r="BL73" s="162"/>
      <c r="BM73" s="162"/>
      <c r="BN73" s="162"/>
      <c r="BO73" s="162"/>
      <c r="BP73" s="162"/>
      <c r="BQ73" s="162"/>
      <c r="BR73" s="162"/>
      <c r="BS73" s="162"/>
      <c r="BT73" s="162"/>
      <c r="BU73" s="162"/>
      <c r="BV73" s="162"/>
      <c r="BW73" s="162"/>
    </row>
    <row r="74" s="140" customFormat="1" customHeight="1" spans="1:75">
      <c r="A74" s="161">
        <v>70</v>
      </c>
      <c r="B74" s="342"/>
      <c r="C74" s="162"/>
      <c r="D74" s="162"/>
      <c r="E74" s="162"/>
      <c r="F74" s="546"/>
      <c r="G74" s="191">
        <f t="shared" si="8"/>
        <v>0</v>
      </c>
      <c r="H74" s="190">
        <f t="shared" si="9"/>
        <v>0</v>
      </c>
      <c r="I74" s="191">
        <f t="shared" si="10"/>
        <v>0</v>
      </c>
      <c r="J74" s="190">
        <f t="shared" si="11"/>
        <v>0</v>
      </c>
      <c r="K74" s="191">
        <f t="shared" si="12"/>
        <v>0</v>
      </c>
      <c r="L74" s="190">
        <f t="shared" si="7"/>
        <v>0</v>
      </c>
      <c r="M74" s="191">
        <f t="shared" si="13"/>
        <v>0</v>
      </c>
      <c r="N74" s="133"/>
      <c r="O74" s="133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2"/>
      <c r="BD74" s="162"/>
      <c r="BE74" s="162"/>
      <c r="BF74" s="162"/>
      <c r="BG74" s="162"/>
      <c r="BH74" s="162"/>
      <c r="BI74" s="162"/>
      <c r="BJ74" s="162"/>
      <c r="BK74" s="162"/>
      <c r="BL74" s="162"/>
      <c r="BM74" s="162"/>
      <c r="BN74" s="162"/>
      <c r="BO74" s="162"/>
      <c r="BP74" s="162"/>
      <c r="BQ74" s="162"/>
      <c r="BR74" s="162"/>
      <c r="BS74" s="162"/>
      <c r="BT74" s="162"/>
      <c r="BU74" s="162"/>
      <c r="BV74" s="162"/>
      <c r="BW74" s="162"/>
    </row>
    <row r="75" s="140" customFormat="1" customHeight="1" spans="1:75">
      <c r="A75" s="161">
        <v>71</v>
      </c>
      <c r="B75" s="342"/>
      <c r="C75" s="162"/>
      <c r="D75" s="162"/>
      <c r="E75" s="162"/>
      <c r="F75" s="546"/>
      <c r="G75" s="191">
        <f t="shared" si="8"/>
        <v>0</v>
      </c>
      <c r="H75" s="190">
        <f t="shared" si="9"/>
        <v>0</v>
      </c>
      <c r="I75" s="191">
        <f t="shared" si="10"/>
        <v>0</v>
      </c>
      <c r="J75" s="190">
        <f t="shared" si="11"/>
        <v>0</v>
      </c>
      <c r="K75" s="191">
        <f t="shared" si="12"/>
        <v>0</v>
      </c>
      <c r="L75" s="190">
        <f t="shared" si="7"/>
        <v>0</v>
      </c>
      <c r="M75" s="191">
        <f t="shared" si="13"/>
        <v>0</v>
      </c>
      <c r="N75" s="133"/>
      <c r="O75" s="133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2"/>
      <c r="BD75" s="162"/>
      <c r="BE75" s="162"/>
      <c r="BF75" s="162"/>
      <c r="BG75" s="162"/>
      <c r="BH75" s="162"/>
      <c r="BI75" s="162"/>
      <c r="BJ75" s="162"/>
      <c r="BK75" s="162"/>
      <c r="BL75" s="162"/>
      <c r="BM75" s="162"/>
      <c r="BN75" s="162"/>
      <c r="BO75" s="162"/>
      <c r="BP75" s="162"/>
      <c r="BQ75" s="162"/>
      <c r="BR75" s="162"/>
      <c r="BS75" s="162"/>
      <c r="BT75" s="162"/>
      <c r="BU75" s="162"/>
      <c r="BV75" s="162"/>
      <c r="BW75" s="162"/>
    </row>
    <row r="76" s="140" customFormat="1" customHeight="1" spans="1:75">
      <c r="A76" s="161">
        <v>72</v>
      </c>
      <c r="B76" s="342"/>
      <c r="C76" s="162"/>
      <c r="D76" s="162"/>
      <c r="E76" s="162"/>
      <c r="F76" s="546"/>
      <c r="G76" s="191">
        <f t="shared" si="8"/>
        <v>0</v>
      </c>
      <c r="H76" s="190">
        <f t="shared" si="9"/>
        <v>0</v>
      </c>
      <c r="I76" s="191">
        <f t="shared" si="10"/>
        <v>0</v>
      </c>
      <c r="J76" s="190">
        <f t="shared" si="11"/>
        <v>0</v>
      </c>
      <c r="K76" s="191">
        <f t="shared" si="12"/>
        <v>0</v>
      </c>
      <c r="L76" s="190">
        <f t="shared" si="7"/>
        <v>0</v>
      </c>
      <c r="M76" s="191">
        <f t="shared" si="13"/>
        <v>0</v>
      </c>
      <c r="N76" s="133"/>
      <c r="O76" s="133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2"/>
      <c r="BD76" s="162"/>
      <c r="BE76" s="162"/>
      <c r="BF76" s="162"/>
      <c r="BG76" s="162"/>
      <c r="BH76" s="162"/>
      <c r="BI76" s="162"/>
      <c r="BJ76" s="162"/>
      <c r="BK76" s="162"/>
      <c r="BL76" s="162"/>
      <c r="BM76" s="162"/>
      <c r="BN76" s="162"/>
      <c r="BO76" s="162"/>
      <c r="BP76" s="162"/>
      <c r="BQ76" s="162"/>
      <c r="BR76" s="162"/>
      <c r="BS76" s="162"/>
      <c r="BT76" s="162"/>
      <c r="BU76" s="162"/>
      <c r="BV76" s="162"/>
      <c r="BW76" s="162"/>
    </row>
    <row r="77" s="140" customFormat="1" customHeight="1" spans="1:75">
      <c r="A77" s="161">
        <v>73</v>
      </c>
      <c r="B77" s="342"/>
      <c r="C77" s="162"/>
      <c r="D77" s="162"/>
      <c r="E77" s="162"/>
      <c r="F77" s="546"/>
      <c r="G77" s="191">
        <f t="shared" si="8"/>
        <v>0</v>
      </c>
      <c r="H77" s="190">
        <f t="shared" si="9"/>
        <v>0</v>
      </c>
      <c r="I77" s="191">
        <f t="shared" si="10"/>
        <v>0</v>
      </c>
      <c r="J77" s="190">
        <f t="shared" si="11"/>
        <v>0</v>
      </c>
      <c r="K77" s="191">
        <f t="shared" si="12"/>
        <v>0</v>
      </c>
      <c r="L77" s="190">
        <f t="shared" si="7"/>
        <v>0</v>
      </c>
      <c r="M77" s="191">
        <f t="shared" si="13"/>
        <v>0</v>
      </c>
      <c r="N77" s="133"/>
      <c r="O77" s="133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2"/>
      <c r="BD77" s="162"/>
      <c r="BE77" s="162"/>
      <c r="BF77" s="162"/>
      <c r="BG77" s="162"/>
      <c r="BH77" s="162"/>
      <c r="BI77" s="162"/>
      <c r="BJ77" s="162"/>
      <c r="BK77" s="162"/>
      <c r="BL77" s="162"/>
      <c r="BM77" s="162"/>
      <c r="BN77" s="162"/>
      <c r="BO77" s="162"/>
      <c r="BP77" s="162"/>
      <c r="BQ77" s="162"/>
      <c r="BR77" s="162"/>
      <c r="BS77" s="162"/>
      <c r="BT77" s="162"/>
      <c r="BU77" s="162"/>
      <c r="BV77" s="162"/>
      <c r="BW77" s="162"/>
    </row>
    <row r="78" s="140" customFormat="1" customHeight="1" spans="1:75">
      <c r="A78" s="161">
        <v>74</v>
      </c>
      <c r="B78" s="342"/>
      <c r="C78" s="162"/>
      <c r="D78" s="162"/>
      <c r="E78" s="162"/>
      <c r="F78" s="546"/>
      <c r="G78" s="191">
        <f t="shared" si="8"/>
        <v>0</v>
      </c>
      <c r="H78" s="190">
        <f t="shared" si="9"/>
        <v>0</v>
      </c>
      <c r="I78" s="191">
        <f t="shared" si="10"/>
        <v>0</v>
      </c>
      <c r="J78" s="190">
        <f t="shared" si="11"/>
        <v>0</v>
      </c>
      <c r="K78" s="191">
        <f t="shared" si="12"/>
        <v>0</v>
      </c>
      <c r="L78" s="190">
        <f t="shared" si="7"/>
        <v>0</v>
      </c>
      <c r="M78" s="191">
        <f t="shared" si="13"/>
        <v>0</v>
      </c>
      <c r="N78" s="133"/>
      <c r="O78" s="133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62"/>
      <c r="BC78" s="162"/>
      <c r="BD78" s="162"/>
      <c r="BE78" s="162"/>
      <c r="BF78" s="162"/>
      <c r="BG78" s="162"/>
      <c r="BH78" s="162"/>
      <c r="BI78" s="162"/>
      <c r="BJ78" s="162"/>
      <c r="BK78" s="162"/>
      <c r="BL78" s="162"/>
      <c r="BM78" s="162"/>
      <c r="BN78" s="162"/>
      <c r="BO78" s="162"/>
      <c r="BP78" s="162"/>
      <c r="BQ78" s="162"/>
      <c r="BR78" s="162"/>
      <c r="BS78" s="162"/>
      <c r="BT78" s="162"/>
      <c r="BU78" s="162"/>
      <c r="BV78" s="162"/>
      <c r="BW78" s="162"/>
    </row>
    <row r="79" s="140" customFormat="1" customHeight="1" spans="1:75">
      <c r="A79" s="161">
        <v>75</v>
      </c>
      <c r="B79" s="342"/>
      <c r="C79" s="162"/>
      <c r="D79" s="162"/>
      <c r="E79" s="162"/>
      <c r="F79" s="546"/>
      <c r="G79" s="191">
        <f t="shared" si="8"/>
        <v>0</v>
      </c>
      <c r="H79" s="190">
        <f t="shared" si="9"/>
        <v>0</v>
      </c>
      <c r="I79" s="191">
        <f t="shared" si="10"/>
        <v>0</v>
      </c>
      <c r="J79" s="190">
        <f t="shared" si="11"/>
        <v>0</v>
      </c>
      <c r="K79" s="191">
        <f t="shared" si="12"/>
        <v>0</v>
      </c>
      <c r="L79" s="190">
        <f t="shared" si="7"/>
        <v>0</v>
      </c>
      <c r="M79" s="191">
        <f t="shared" si="13"/>
        <v>0</v>
      </c>
      <c r="N79" s="133"/>
      <c r="O79" s="133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62"/>
      <c r="BC79" s="162"/>
      <c r="BD79" s="162"/>
      <c r="BE79" s="162"/>
      <c r="BF79" s="162"/>
      <c r="BG79" s="162"/>
      <c r="BH79" s="162"/>
      <c r="BI79" s="162"/>
      <c r="BJ79" s="162"/>
      <c r="BK79" s="162"/>
      <c r="BL79" s="162"/>
      <c r="BM79" s="162"/>
      <c r="BN79" s="162"/>
      <c r="BO79" s="162"/>
      <c r="BP79" s="162"/>
      <c r="BQ79" s="162"/>
      <c r="BR79" s="162"/>
      <c r="BS79" s="162"/>
      <c r="BT79" s="162"/>
      <c r="BU79" s="162"/>
      <c r="BV79" s="162"/>
      <c r="BW79" s="162"/>
    </row>
    <row r="80" s="140" customFormat="1" customHeight="1" spans="1:75">
      <c r="A80" s="161">
        <v>76</v>
      </c>
      <c r="B80" s="342"/>
      <c r="C80" s="162"/>
      <c r="D80" s="162"/>
      <c r="E80" s="162"/>
      <c r="F80" s="546"/>
      <c r="G80" s="191">
        <f t="shared" si="8"/>
        <v>0</v>
      </c>
      <c r="H80" s="190">
        <f t="shared" si="9"/>
        <v>0</v>
      </c>
      <c r="I80" s="191">
        <f t="shared" si="10"/>
        <v>0</v>
      </c>
      <c r="J80" s="190">
        <f t="shared" si="11"/>
        <v>0</v>
      </c>
      <c r="K80" s="191">
        <f t="shared" si="12"/>
        <v>0</v>
      </c>
      <c r="L80" s="190">
        <f t="shared" si="7"/>
        <v>0</v>
      </c>
      <c r="M80" s="191">
        <f t="shared" si="13"/>
        <v>0</v>
      </c>
      <c r="N80" s="133"/>
      <c r="O80" s="133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162"/>
      <c r="BB80" s="162"/>
      <c r="BC80" s="162"/>
      <c r="BD80" s="162"/>
      <c r="BE80" s="162"/>
      <c r="BF80" s="162"/>
      <c r="BG80" s="162"/>
      <c r="BH80" s="162"/>
      <c r="BI80" s="162"/>
      <c r="BJ80" s="162"/>
      <c r="BK80" s="162"/>
      <c r="BL80" s="162"/>
      <c r="BM80" s="162"/>
      <c r="BN80" s="162"/>
      <c r="BO80" s="162"/>
      <c r="BP80" s="162"/>
      <c r="BQ80" s="162"/>
      <c r="BR80" s="162"/>
      <c r="BS80" s="162"/>
      <c r="BT80" s="162"/>
      <c r="BU80" s="162"/>
      <c r="BV80" s="162"/>
      <c r="BW80" s="162"/>
    </row>
    <row r="81" s="140" customFormat="1" customHeight="1" spans="1:75">
      <c r="A81" s="161">
        <v>77</v>
      </c>
      <c r="B81" s="342"/>
      <c r="C81" s="162"/>
      <c r="D81" s="162"/>
      <c r="E81" s="162"/>
      <c r="F81" s="546"/>
      <c r="G81" s="191">
        <f t="shared" si="8"/>
        <v>0</v>
      </c>
      <c r="H81" s="190">
        <f t="shared" si="9"/>
        <v>0</v>
      </c>
      <c r="I81" s="191">
        <f t="shared" si="10"/>
        <v>0</v>
      </c>
      <c r="J81" s="190">
        <f t="shared" si="11"/>
        <v>0</v>
      </c>
      <c r="K81" s="191">
        <f t="shared" si="12"/>
        <v>0</v>
      </c>
      <c r="L81" s="190">
        <f t="shared" si="7"/>
        <v>0</v>
      </c>
      <c r="M81" s="191">
        <f t="shared" si="13"/>
        <v>0</v>
      </c>
      <c r="N81" s="133"/>
      <c r="O81" s="133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162"/>
      <c r="BB81" s="162"/>
      <c r="BC81" s="162"/>
      <c r="BD81" s="162"/>
      <c r="BE81" s="162"/>
      <c r="BF81" s="162"/>
      <c r="BG81" s="162"/>
      <c r="BH81" s="162"/>
      <c r="BI81" s="162"/>
      <c r="BJ81" s="162"/>
      <c r="BK81" s="162"/>
      <c r="BL81" s="162"/>
      <c r="BM81" s="162"/>
      <c r="BN81" s="162"/>
      <c r="BO81" s="162"/>
      <c r="BP81" s="162"/>
      <c r="BQ81" s="162"/>
      <c r="BR81" s="162"/>
      <c r="BS81" s="162"/>
      <c r="BT81" s="162"/>
      <c r="BU81" s="162"/>
      <c r="BV81" s="162"/>
      <c r="BW81" s="162"/>
    </row>
    <row r="82" s="140" customFormat="1" customHeight="1" spans="1:75">
      <c r="A82" s="161">
        <v>78</v>
      </c>
      <c r="B82" s="342"/>
      <c r="C82" s="162"/>
      <c r="D82" s="162"/>
      <c r="E82" s="162"/>
      <c r="F82" s="546"/>
      <c r="G82" s="191">
        <f t="shared" si="8"/>
        <v>0</v>
      </c>
      <c r="H82" s="190">
        <f t="shared" si="9"/>
        <v>0</v>
      </c>
      <c r="I82" s="191">
        <f t="shared" si="10"/>
        <v>0</v>
      </c>
      <c r="J82" s="190">
        <f t="shared" si="11"/>
        <v>0</v>
      </c>
      <c r="K82" s="191">
        <f t="shared" si="12"/>
        <v>0</v>
      </c>
      <c r="L82" s="190">
        <f t="shared" si="7"/>
        <v>0</v>
      </c>
      <c r="M82" s="191">
        <f t="shared" si="13"/>
        <v>0</v>
      </c>
      <c r="N82" s="133"/>
      <c r="O82" s="133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162"/>
      <c r="BB82" s="162"/>
      <c r="BC82" s="162"/>
      <c r="BD82" s="162"/>
      <c r="BE82" s="162"/>
      <c r="BF82" s="162"/>
      <c r="BG82" s="162"/>
      <c r="BH82" s="162"/>
      <c r="BI82" s="162"/>
      <c r="BJ82" s="162"/>
      <c r="BK82" s="162"/>
      <c r="BL82" s="162"/>
      <c r="BM82" s="162"/>
      <c r="BN82" s="162"/>
      <c r="BO82" s="162"/>
      <c r="BP82" s="162"/>
      <c r="BQ82" s="162"/>
      <c r="BR82" s="162"/>
      <c r="BS82" s="162"/>
      <c r="BT82" s="162"/>
      <c r="BU82" s="162"/>
      <c r="BV82" s="162"/>
      <c r="BW82" s="162"/>
    </row>
    <row r="83" s="140" customFormat="1" customHeight="1" spans="1:75">
      <c r="A83" s="161">
        <v>79</v>
      </c>
      <c r="B83" s="342"/>
      <c r="C83" s="162"/>
      <c r="D83" s="162"/>
      <c r="E83" s="162"/>
      <c r="F83" s="546"/>
      <c r="G83" s="191">
        <f t="shared" si="8"/>
        <v>0</v>
      </c>
      <c r="H83" s="190">
        <f t="shared" si="9"/>
        <v>0</v>
      </c>
      <c r="I83" s="191">
        <f t="shared" si="10"/>
        <v>0</v>
      </c>
      <c r="J83" s="190">
        <f t="shared" si="11"/>
        <v>0</v>
      </c>
      <c r="K83" s="191">
        <f t="shared" si="12"/>
        <v>0</v>
      </c>
      <c r="L83" s="190">
        <f t="shared" si="7"/>
        <v>0</v>
      </c>
      <c r="M83" s="191">
        <f t="shared" si="13"/>
        <v>0</v>
      </c>
      <c r="N83" s="133"/>
      <c r="O83" s="133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162"/>
      <c r="BB83" s="162"/>
      <c r="BC83" s="162"/>
      <c r="BD83" s="162"/>
      <c r="BE83" s="162"/>
      <c r="BF83" s="162"/>
      <c r="BG83" s="162"/>
      <c r="BH83" s="162"/>
      <c r="BI83" s="162"/>
      <c r="BJ83" s="162"/>
      <c r="BK83" s="162"/>
      <c r="BL83" s="162"/>
      <c r="BM83" s="162"/>
      <c r="BN83" s="162"/>
      <c r="BO83" s="162"/>
      <c r="BP83" s="162"/>
      <c r="BQ83" s="162"/>
      <c r="BR83" s="162"/>
      <c r="BS83" s="162"/>
      <c r="BT83" s="162"/>
      <c r="BU83" s="162"/>
      <c r="BV83" s="162"/>
      <c r="BW83" s="162"/>
    </row>
    <row r="84" s="140" customFormat="1" customHeight="1" spans="1:75">
      <c r="A84" s="161">
        <v>80</v>
      </c>
      <c r="B84" s="342"/>
      <c r="C84" s="162"/>
      <c r="D84" s="162"/>
      <c r="E84" s="162"/>
      <c r="F84" s="546"/>
      <c r="G84" s="191">
        <f t="shared" si="8"/>
        <v>0</v>
      </c>
      <c r="H84" s="190">
        <f t="shared" si="9"/>
        <v>0</v>
      </c>
      <c r="I84" s="191">
        <f t="shared" si="10"/>
        <v>0</v>
      </c>
      <c r="J84" s="190">
        <f t="shared" si="11"/>
        <v>0</v>
      </c>
      <c r="K84" s="191">
        <f t="shared" si="12"/>
        <v>0</v>
      </c>
      <c r="L84" s="190">
        <f t="shared" si="7"/>
        <v>0</v>
      </c>
      <c r="M84" s="191">
        <f t="shared" si="13"/>
        <v>0</v>
      </c>
      <c r="N84" s="133"/>
      <c r="O84" s="133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162"/>
      <c r="BB84" s="162"/>
      <c r="BC84" s="162"/>
      <c r="BD84" s="162"/>
      <c r="BE84" s="162"/>
      <c r="BF84" s="162"/>
      <c r="BG84" s="162"/>
      <c r="BH84" s="162"/>
      <c r="BI84" s="162"/>
      <c r="BJ84" s="162"/>
      <c r="BK84" s="162"/>
      <c r="BL84" s="162"/>
      <c r="BM84" s="162"/>
      <c r="BN84" s="162"/>
      <c r="BO84" s="162"/>
      <c r="BP84" s="162"/>
      <c r="BQ84" s="162"/>
      <c r="BR84" s="162"/>
      <c r="BS84" s="162"/>
      <c r="BT84" s="162"/>
      <c r="BU84" s="162"/>
      <c r="BV84" s="162"/>
      <c r="BW84" s="162"/>
    </row>
    <row r="85" s="140" customFormat="1" customHeight="1" spans="1:75">
      <c r="A85" s="161">
        <v>81</v>
      </c>
      <c r="B85" s="342"/>
      <c r="C85" s="162"/>
      <c r="D85" s="162"/>
      <c r="E85" s="162"/>
      <c r="F85" s="546"/>
      <c r="G85" s="191">
        <f t="shared" si="8"/>
        <v>0</v>
      </c>
      <c r="H85" s="190">
        <f t="shared" si="9"/>
        <v>0</v>
      </c>
      <c r="I85" s="191">
        <f t="shared" si="10"/>
        <v>0</v>
      </c>
      <c r="J85" s="190">
        <f t="shared" si="11"/>
        <v>0</v>
      </c>
      <c r="K85" s="191">
        <f t="shared" si="12"/>
        <v>0</v>
      </c>
      <c r="L85" s="190">
        <f t="shared" si="7"/>
        <v>0</v>
      </c>
      <c r="M85" s="191">
        <f t="shared" si="13"/>
        <v>0</v>
      </c>
      <c r="N85" s="133"/>
      <c r="O85" s="133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162"/>
      <c r="BB85" s="162"/>
      <c r="BC85" s="162"/>
      <c r="BD85" s="162"/>
      <c r="BE85" s="162"/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162"/>
      <c r="BV85" s="162"/>
      <c r="BW85" s="162"/>
    </row>
    <row r="86" s="140" customFormat="1" customHeight="1" spans="1:75">
      <c r="A86" s="161">
        <v>82</v>
      </c>
      <c r="B86" s="342"/>
      <c r="C86" s="162"/>
      <c r="D86" s="162"/>
      <c r="E86" s="162"/>
      <c r="F86" s="546"/>
      <c r="G86" s="191">
        <f t="shared" si="8"/>
        <v>0</v>
      </c>
      <c r="H86" s="190">
        <f t="shared" si="9"/>
        <v>0</v>
      </c>
      <c r="I86" s="191">
        <f t="shared" si="10"/>
        <v>0</v>
      </c>
      <c r="J86" s="190">
        <f t="shared" si="11"/>
        <v>0</v>
      </c>
      <c r="K86" s="191">
        <f t="shared" si="12"/>
        <v>0</v>
      </c>
      <c r="L86" s="190">
        <f t="shared" si="7"/>
        <v>0</v>
      </c>
      <c r="M86" s="191">
        <f t="shared" si="13"/>
        <v>0</v>
      </c>
      <c r="N86" s="133"/>
      <c r="O86" s="133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162"/>
      <c r="BB86" s="162"/>
      <c r="BC86" s="162"/>
      <c r="BD86" s="162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162"/>
      <c r="BV86" s="162"/>
      <c r="BW86" s="162"/>
    </row>
    <row r="87" s="140" customFormat="1" customHeight="1" spans="1:75">
      <c r="A87" s="161">
        <v>83</v>
      </c>
      <c r="B87" s="342"/>
      <c r="C87" s="162"/>
      <c r="D87" s="162"/>
      <c r="E87" s="162"/>
      <c r="F87" s="546"/>
      <c r="G87" s="191">
        <f t="shared" si="8"/>
        <v>0</v>
      </c>
      <c r="H87" s="190">
        <f t="shared" si="9"/>
        <v>0</v>
      </c>
      <c r="I87" s="191">
        <f t="shared" si="10"/>
        <v>0</v>
      </c>
      <c r="J87" s="190">
        <f t="shared" si="11"/>
        <v>0</v>
      </c>
      <c r="K87" s="191">
        <f t="shared" si="12"/>
        <v>0</v>
      </c>
      <c r="L87" s="190">
        <f t="shared" si="7"/>
        <v>0</v>
      </c>
      <c r="M87" s="191">
        <f t="shared" si="13"/>
        <v>0</v>
      </c>
      <c r="N87" s="133"/>
      <c r="O87" s="133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162"/>
      <c r="BB87" s="162"/>
      <c r="BC87" s="162"/>
      <c r="BD87" s="162"/>
      <c r="BE87" s="162"/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162"/>
      <c r="BV87" s="162"/>
      <c r="BW87" s="162"/>
    </row>
    <row r="88" s="140" customFormat="1" customHeight="1" spans="1:75">
      <c r="A88" s="161">
        <v>84</v>
      </c>
      <c r="B88" s="342"/>
      <c r="C88" s="162"/>
      <c r="D88" s="162"/>
      <c r="E88" s="162"/>
      <c r="F88" s="546"/>
      <c r="G88" s="191">
        <f t="shared" si="8"/>
        <v>0</v>
      </c>
      <c r="H88" s="190">
        <f t="shared" si="9"/>
        <v>0</v>
      </c>
      <c r="I88" s="191">
        <f t="shared" si="10"/>
        <v>0</v>
      </c>
      <c r="J88" s="190">
        <f t="shared" si="11"/>
        <v>0</v>
      </c>
      <c r="K88" s="191">
        <f t="shared" si="12"/>
        <v>0</v>
      </c>
      <c r="L88" s="190">
        <f t="shared" si="7"/>
        <v>0</v>
      </c>
      <c r="M88" s="191">
        <f t="shared" si="13"/>
        <v>0</v>
      </c>
      <c r="N88" s="133"/>
      <c r="O88" s="133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162"/>
      <c r="BB88" s="162"/>
      <c r="BC88" s="162"/>
      <c r="BD88" s="162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162"/>
      <c r="BV88" s="162"/>
      <c r="BW88" s="162"/>
    </row>
    <row r="89" s="140" customFormat="1" customHeight="1" spans="1:75">
      <c r="A89" s="161">
        <v>85</v>
      </c>
      <c r="B89" s="342"/>
      <c r="C89" s="162"/>
      <c r="D89" s="162"/>
      <c r="E89" s="162"/>
      <c r="F89" s="546"/>
      <c r="G89" s="191">
        <f t="shared" si="8"/>
        <v>0</v>
      </c>
      <c r="H89" s="190">
        <f t="shared" si="9"/>
        <v>0</v>
      </c>
      <c r="I89" s="191">
        <f t="shared" si="10"/>
        <v>0</v>
      </c>
      <c r="J89" s="190">
        <f t="shared" si="11"/>
        <v>0</v>
      </c>
      <c r="K89" s="191">
        <f t="shared" si="12"/>
        <v>0</v>
      </c>
      <c r="L89" s="190">
        <f t="shared" ref="L89:L144" si="14">+F89+H89-J89</f>
        <v>0</v>
      </c>
      <c r="M89" s="191">
        <f t="shared" si="13"/>
        <v>0</v>
      </c>
      <c r="N89" s="133"/>
      <c r="O89" s="133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162"/>
      <c r="BB89" s="162"/>
      <c r="BC89" s="162"/>
      <c r="BD89" s="162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162"/>
      <c r="BV89" s="162"/>
      <c r="BW89" s="162"/>
    </row>
    <row r="90" s="140" customFormat="1" customHeight="1" spans="1:75">
      <c r="A90" s="161">
        <v>86</v>
      </c>
      <c r="B90" s="342"/>
      <c r="C90" s="162"/>
      <c r="D90" s="162"/>
      <c r="E90" s="162"/>
      <c r="F90" s="546"/>
      <c r="G90" s="191">
        <f t="shared" si="8"/>
        <v>0</v>
      </c>
      <c r="H90" s="190">
        <f t="shared" si="9"/>
        <v>0</v>
      </c>
      <c r="I90" s="191">
        <f t="shared" si="10"/>
        <v>0</v>
      </c>
      <c r="J90" s="190">
        <f t="shared" si="11"/>
        <v>0</v>
      </c>
      <c r="K90" s="191">
        <f t="shared" si="12"/>
        <v>0</v>
      </c>
      <c r="L90" s="190">
        <f t="shared" si="14"/>
        <v>0</v>
      </c>
      <c r="M90" s="191">
        <f t="shared" si="13"/>
        <v>0</v>
      </c>
      <c r="N90" s="133"/>
      <c r="O90" s="133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162"/>
      <c r="BB90" s="162"/>
      <c r="BC90" s="162"/>
      <c r="BD90" s="162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162"/>
      <c r="BV90" s="162"/>
      <c r="BW90" s="162"/>
    </row>
    <row r="91" s="140" customFormat="1" customHeight="1" spans="1:75">
      <c r="A91" s="161">
        <v>87</v>
      </c>
      <c r="B91" s="342"/>
      <c r="C91" s="162"/>
      <c r="D91" s="162"/>
      <c r="E91" s="162"/>
      <c r="F91" s="546"/>
      <c r="G91" s="191">
        <f t="shared" si="8"/>
        <v>0</v>
      </c>
      <c r="H91" s="190">
        <f t="shared" si="9"/>
        <v>0</v>
      </c>
      <c r="I91" s="191">
        <f t="shared" si="10"/>
        <v>0</v>
      </c>
      <c r="J91" s="190">
        <f t="shared" si="11"/>
        <v>0</v>
      </c>
      <c r="K91" s="191">
        <f t="shared" si="12"/>
        <v>0</v>
      </c>
      <c r="L91" s="190">
        <f t="shared" si="14"/>
        <v>0</v>
      </c>
      <c r="M91" s="191">
        <f t="shared" si="13"/>
        <v>0</v>
      </c>
      <c r="N91" s="133"/>
      <c r="O91" s="133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162"/>
      <c r="BB91" s="162"/>
      <c r="BC91" s="162"/>
      <c r="BD91" s="162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162"/>
      <c r="BV91" s="162"/>
      <c r="BW91" s="162"/>
    </row>
    <row r="92" s="140" customFormat="1" customHeight="1" spans="1:75">
      <c r="A92" s="161">
        <v>88</v>
      </c>
      <c r="B92" s="342"/>
      <c r="C92" s="162"/>
      <c r="D92" s="162"/>
      <c r="E92" s="162"/>
      <c r="F92" s="546"/>
      <c r="G92" s="191">
        <f t="shared" si="8"/>
        <v>0</v>
      </c>
      <c r="H92" s="190">
        <f t="shared" si="9"/>
        <v>0</v>
      </c>
      <c r="I92" s="191">
        <f t="shared" si="10"/>
        <v>0</v>
      </c>
      <c r="J92" s="190">
        <f t="shared" si="11"/>
        <v>0</v>
      </c>
      <c r="K92" s="191">
        <f t="shared" si="12"/>
        <v>0</v>
      </c>
      <c r="L92" s="190">
        <f t="shared" si="14"/>
        <v>0</v>
      </c>
      <c r="M92" s="191">
        <f t="shared" si="13"/>
        <v>0</v>
      </c>
      <c r="N92" s="133"/>
      <c r="O92" s="133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162"/>
      <c r="BB92" s="162"/>
      <c r="BC92" s="162"/>
      <c r="BD92" s="162"/>
      <c r="BE92" s="162"/>
      <c r="BF92" s="162"/>
      <c r="BG92" s="162"/>
      <c r="BH92" s="162"/>
      <c r="BI92" s="162"/>
      <c r="BJ92" s="162"/>
      <c r="BK92" s="162"/>
      <c r="BL92" s="162"/>
      <c r="BM92" s="162"/>
      <c r="BN92" s="162"/>
      <c r="BO92" s="162"/>
      <c r="BP92" s="162"/>
      <c r="BQ92" s="162"/>
      <c r="BR92" s="162"/>
      <c r="BS92" s="162"/>
      <c r="BT92" s="162"/>
      <c r="BU92" s="162"/>
      <c r="BV92" s="162"/>
      <c r="BW92" s="162"/>
    </row>
    <row r="93" s="140" customFormat="1" customHeight="1" spans="1:75">
      <c r="A93" s="161">
        <v>89</v>
      </c>
      <c r="B93" s="342"/>
      <c r="C93" s="162"/>
      <c r="D93" s="162"/>
      <c r="E93" s="162"/>
      <c r="F93" s="546"/>
      <c r="G93" s="191">
        <f t="shared" si="8"/>
        <v>0</v>
      </c>
      <c r="H93" s="190">
        <f t="shared" si="9"/>
        <v>0</v>
      </c>
      <c r="I93" s="191">
        <f t="shared" si="10"/>
        <v>0</v>
      </c>
      <c r="J93" s="190">
        <f t="shared" si="11"/>
        <v>0</v>
      </c>
      <c r="K93" s="191">
        <f t="shared" si="12"/>
        <v>0</v>
      </c>
      <c r="L93" s="190">
        <f t="shared" si="14"/>
        <v>0</v>
      </c>
      <c r="M93" s="191">
        <f t="shared" si="13"/>
        <v>0</v>
      </c>
      <c r="N93" s="133"/>
      <c r="O93" s="133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162"/>
      <c r="BB93" s="162"/>
      <c r="BC93" s="162"/>
      <c r="BD93" s="162"/>
      <c r="BE93" s="162"/>
      <c r="BF93" s="162"/>
      <c r="BG93" s="162"/>
      <c r="BH93" s="162"/>
      <c r="BI93" s="162"/>
      <c r="BJ93" s="162"/>
      <c r="BK93" s="162"/>
      <c r="BL93" s="162"/>
      <c r="BM93" s="162"/>
      <c r="BN93" s="162"/>
      <c r="BO93" s="162"/>
      <c r="BP93" s="162"/>
      <c r="BQ93" s="162"/>
      <c r="BR93" s="162"/>
      <c r="BS93" s="162"/>
      <c r="BT93" s="162"/>
      <c r="BU93" s="162"/>
      <c r="BV93" s="162"/>
      <c r="BW93" s="162"/>
    </row>
    <row r="94" s="140" customFormat="1" customHeight="1" spans="1:75">
      <c r="A94" s="161">
        <v>90</v>
      </c>
      <c r="B94" s="342"/>
      <c r="C94" s="162"/>
      <c r="D94" s="162"/>
      <c r="E94" s="162"/>
      <c r="F94" s="546"/>
      <c r="G94" s="191">
        <f t="shared" si="8"/>
        <v>0</v>
      </c>
      <c r="H94" s="190">
        <f t="shared" si="9"/>
        <v>0</v>
      </c>
      <c r="I94" s="191">
        <f t="shared" si="10"/>
        <v>0</v>
      </c>
      <c r="J94" s="190">
        <f t="shared" si="11"/>
        <v>0</v>
      </c>
      <c r="K94" s="191">
        <f t="shared" si="12"/>
        <v>0</v>
      </c>
      <c r="L94" s="190">
        <f t="shared" si="14"/>
        <v>0</v>
      </c>
      <c r="M94" s="191">
        <f t="shared" si="13"/>
        <v>0</v>
      </c>
      <c r="N94" s="133"/>
      <c r="O94" s="133"/>
      <c r="P94" s="162"/>
      <c r="Q94" s="162"/>
      <c r="R94" s="162"/>
      <c r="S94" s="162"/>
      <c r="T94" s="162"/>
      <c r="U94" s="162"/>
      <c r="V94" s="162"/>
      <c r="W94" s="162"/>
      <c r="X94" s="162"/>
      <c r="Y94" s="162"/>
      <c r="Z94" s="162"/>
      <c r="AA94" s="162"/>
      <c r="AB94" s="162"/>
      <c r="AC94" s="162"/>
      <c r="AD94" s="162"/>
      <c r="AE94" s="162"/>
      <c r="AF94" s="162"/>
      <c r="AG94" s="162"/>
      <c r="AH94" s="162"/>
      <c r="AI94" s="162"/>
      <c r="AJ94" s="162"/>
      <c r="AK94" s="162"/>
      <c r="AL94" s="162"/>
      <c r="AM94" s="162"/>
      <c r="AN94" s="162"/>
      <c r="AO94" s="162"/>
      <c r="AP94" s="162"/>
      <c r="AQ94" s="162"/>
      <c r="AR94" s="162"/>
      <c r="AS94" s="162"/>
      <c r="AT94" s="162"/>
      <c r="AU94" s="162"/>
      <c r="AV94" s="162"/>
      <c r="AW94" s="162"/>
      <c r="AX94" s="162"/>
      <c r="AY94" s="162"/>
      <c r="AZ94" s="162"/>
      <c r="BA94" s="162"/>
      <c r="BB94" s="162"/>
      <c r="BC94" s="162"/>
      <c r="BD94" s="162"/>
      <c r="BE94" s="162"/>
      <c r="BF94" s="162"/>
      <c r="BG94" s="162"/>
      <c r="BH94" s="162"/>
      <c r="BI94" s="162"/>
      <c r="BJ94" s="162"/>
      <c r="BK94" s="162"/>
      <c r="BL94" s="162"/>
      <c r="BM94" s="162"/>
      <c r="BN94" s="162"/>
      <c r="BO94" s="162"/>
      <c r="BP94" s="162"/>
      <c r="BQ94" s="162"/>
      <c r="BR94" s="162"/>
      <c r="BS94" s="162"/>
      <c r="BT94" s="162"/>
      <c r="BU94" s="162"/>
      <c r="BV94" s="162"/>
      <c r="BW94" s="162"/>
    </row>
    <row r="95" s="140" customFormat="1" customHeight="1" spans="1:75">
      <c r="A95" s="161">
        <v>91</v>
      </c>
      <c r="B95" s="342"/>
      <c r="C95" s="162"/>
      <c r="D95" s="162"/>
      <c r="E95" s="162"/>
      <c r="F95" s="546"/>
      <c r="G95" s="191">
        <f t="shared" si="8"/>
        <v>0</v>
      </c>
      <c r="H95" s="190">
        <f t="shared" si="9"/>
        <v>0</v>
      </c>
      <c r="I95" s="191">
        <f t="shared" si="10"/>
        <v>0</v>
      </c>
      <c r="J95" s="190">
        <f t="shared" si="11"/>
        <v>0</v>
      </c>
      <c r="K95" s="191">
        <f t="shared" si="12"/>
        <v>0</v>
      </c>
      <c r="L95" s="190">
        <f t="shared" si="14"/>
        <v>0</v>
      </c>
      <c r="M95" s="191">
        <f t="shared" si="13"/>
        <v>0</v>
      </c>
      <c r="N95" s="133"/>
      <c r="O95" s="133"/>
      <c r="P95" s="162"/>
      <c r="Q95" s="162"/>
      <c r="R95" s="162"/>
      <c r="S95" s="162"/>
      <c r="T95" s="162"/>
      <c r="U95" s="162"/>
      <c r="V95" s="162"/>
      <c r="W95" s="162"/>
      <c r="X95" s="162"/>
      <c r="Y95" s="162"/>
      <c r="Z95" s="162"/>
      <c r="AA95" s="162"/>
      <c r="AB95" s="162"/>
      <c r="AC95" s="162"/>
      <c r="AD95" s="162"/>
      <c r="AE95" s="162"/>
      <c r="AF95" s="162"/>
      <c r="AG95" s="162"/>
      <c r="AH95" s="162"/>
      <c r="AI95" s="162"/>
      <c r="AJ95" s="162"/>
      <c r="AK95" s="162"/>
      <c r="AL95" s="162"/>
      <c r="AM95" s="162"/>
      <c r="AN95" s="162"/>
      <c r="AO95" s="162"/>
      <c r="AP95" s="162"/>
      <c r="AQ95" s="162"/>
      <c r="AR95" s="162"/>
      <c r="AS95" s="162"/>
      <c r="AT95" s="162"/>
      <c r="AU95" s="162"/>
      <c r="AV95" s="162"/>
      <c r="AW95" s="162"/>
      <c r="AX95" s="162"/>
      <c r="AY95" s="162"/>
      <c r="AZ95" s="162"/>
      <c r="BA95" s="162"/>
      <c r="BB95" s="162"/>
      <c r="BC95" s="162"/>
      <c r="BD95" s="162"/>
      <c r="BE95" s="162"/>
      <c r="BF95" s="162"/>
      <c r="BG95" s="162"/>
      <c r="BH95" s="162"/>
      <c r="BI95" s="162"/>
      <c r="BJ95" s="162"/>
      <c r="BK95" s="162"/>
      <c r="BL95" s="162"/>
      <c r="BM95" s="162"/>
      <c r="BN95" s="162"/>
      <c r="BO95" s="162"/>
      <c r="BP95" s="162"/>
      <c r="BQ95" s="162"/>
      <c r="BR95" s="162"/>
      <c r="BS95" s="162"/>
      <c r="BT95" s="162"/>
      <c r="BU95" s="162"/>
      <c r="BV95" s="162"/>
      <c r="BW95" s="162"/>
    </row>
    <row r="96" s="140" customFormat="1" customHeight="1" spans="1:75">
      <c r="A96" s="161">
        <v>92</v>
      </c>
      <c r="B96" s="342"/>
      <c r="C96" s="162"/>
      <c r="D96" s="162"/>
      <c r="E96" s="162"/>
      <c r="F96" s="546"/>
      <c r="G96" s="191">
        <f t="shared" si="8"/>
        <v>0</v>
      </c>
      <c r="H96" s="190">
        <f t="shared" si="9"/>
        <v>0</v>
      </c>
      <c r="I96" s="191">
        <f t="shared" si="10"/>
        <v>0</v>
      </c>
      <c r="J96" s="190">
        <f t="shared" si="11"/>
        <v>0</v>
      </c>
      <c r="K96" s="191">
        <f t="shared" si="12"/>
        <v>0</v>
      </c>
      <c r="L96" s="190">
        <f t="shared" si="14"/>
        <v>0</v>
      </c>
      <c r="M96" s="191">
        <f t="shared" si="13"/>
        <v>0</v>
      </c>
      <c r="N96" s="133"/>
      <c r="O96" s="133"/>
      <c r="P96" s="162"/>
      <c r="Q96" s="162"/>
      <c r="R96" s="162"/>
      <c r="S96" s="162"/>
      <c r="T96" s="162"/>
      <c r="U96" s="162"/>
      <c r="V96" s="162"/>
      <c r="W96" s="162"/>
      <c r="X96" s="162"/>
      <c r="Y96" s="162"/>
      <c r="Z96" s="162"/>
      <c r="AA96" s="162"/>
      <c r="AB96" s="162"/>
      <c r="AC96" s="162"/>
      <c r="AD96" s="162"/>
      <c r="AE96" s="162"/>
      <c r="AF96" s="162"/>
      <c r="AG96" s="162"/>
      <c r="AH96" s="162"/>
      <c r="AI96" s="162"/>
      <c r="AJ96" s="162"/>
      <c r="AK96" s="162"/>
      <c r="AL96" s="162"/>
      <c r="AM96" s="162"/>
      <c r="AN96" s="162"/>
      <c r="AO96" s="162"/>
      <c r="AP96" s="162"/>
      <c r="AQ96" s="162"/>
      <c r="AR96" s="162"/>
      <c r="AS96" s="162"/>
      <c r="AT96" s="162"/>
      <c r="AU96" s="162"/>
      <c r="AV96" s="162"/>
      <c r="AW96" s="162"/>
      <c r="AX96" s="162"/>
      <c r="AY96" s="162"/>
      <c r="AZ96" s="162"/>
      <c r="BA96" s="162"/>
      <c r="BB96" s="162"/>
      <c r="BC96" s="162"/>
      <c r="BD96" s="162"/>
      <c r="BE96" s="162"/>
      <c r="BF96" s="162"/>
      <c r="BG96" s="162"/>
      <c r="BH96" s="162"/>
      <c r="BI96" s="162"/>
      <c r="BJ96" s="162"/>
      <c r="BK96" s="162"/>
      <c r="BL96" s="162"/>
      <c r="BM96" s="162"/>
      <c r="BN96" s="162"/>
      <c r="BO96" s="162"/>
      <c r="BP96" s="162"/>
      <c r="BQ96" s="162"/>
      <c r="BR96" s="162"/>
      <c r="BS96" s="162"/>
      <c r="BT96" s="162"/>
      <c r="BU96" s="162"/>
      <c r="BV96" s="162"/>
      <c r="BW96" s="162"/>
    </row>
    <row r="97" s="140" customFormat="1" customHeight="1" spans="1:75">
      <c r="A97" s="161">
        <v>93</v>
      </c>
      <c r="B97" s="342"/>
      <c r="C97" s="162"/>
      <c r="D97" s="162"/>
      <c r="E97" s="162"/>
      <c r="F97" s="546"/>
      <c r="G97" s="191">
        <f t="shared" si="8"/>
        <v>0</v>
      </c>
      <c r="H97" s="190">
        <f t="shared" si="9"/>
        <v>0</v>
      </c>
      <c r="I97" s="191">
        <f t="shared" si="10"/>
        <v>0</v>
      </c>
      <c r="J97" s="190">
        <f t="shared" si="11"/>
        <v>0</v>
      </c>
      <c r="K97" s="191">
        <f t="shared" si="12"/>
        <v>0</v>
      </c>
      <c r="L97" s="190">
        <f t="shared" si="14"/>
        <v>0</v>
      </c>
      <c r="M97" s="191">
        <f t="shared" si="13"/>
        <v>0</v>
      </c>
      <c r="N97" s="133"/>
      <c r="O97" s="133"/>
      <c r="P97" s="162"/>
      <c r="Q97" s="162"/>
      <c r="R97" s="162"/>
      <c r="S97" s="162"/>
      <c r="T97" s="162"/>
      <c r="U97" s="162"/>
      <c r="V97" s="162"/>
      <c r="W97" s="162"/>
      <c r="X97" s="162"/>
      <c r="Y97" s="162"/>
      <c r="Z97" s="162"/>
      <c r="AA97" s="162"/>
      <c r="AB97" s="162"/>
      <c r="AC97" s="162"/>
      <c r="AD97" s="162"/>
      <c r="AE97" s="162"/>
      <c r="AF97" s="162"/>
      <c r="AG97" s="162"/>
      <c r="AH97" s="162"/>
      <c r="AI97" s="162"/>
      <c r="AJ97" s="162"/>
      <c r="AK97" s="162"/>
      <c r="AL97" s="162"/>
      <c r="AM97" s="162"/>
      <c r="AN97" s="162"/>
      <c r="AO97" s="162"/>
      <c r="AP97" s="162"/>
      <c r="AQ97" s="162"/>
      <c r="AR97" s="162"/>
      <c r="AS97" s="162"/>
      <c r="AT97" s="162"/>
      <c r="AU97" s="162"/>
      <c r="AV97" s="162"/>
      <c r="AW97" s="162"/>
      <c r="AX97" s="162"/>
      <c r="AY97" s="162"/>
      <c r="AZ97" s="162"/>
      <c r="BA97" s="162"/>
      <c r="BB97" s="162"/>
      <c r="BC97" s="162"/>
      <c r="BD97" s="162"/>
      <c r="BE97" s="162"/>
      <c r="BF97" s="162"/>
      <c r="BG97" s="162"/>
      <c r="BH97" s="162"/>
      <c r="BI97" s="162"/>
      <c r="BJ97" s="162"/>
      <c r="BK97" s="162"/>
      <c r="BL97" s="162"/>
      <c r="BM97" s="162"/>
      <c r="BN97" s="162"/>
      <c r="BO97" s="162"/>
      <c r="BP97" s="162"/>
      <c r="BQ97" s="162"/>
      <c r="BR97" s="162"/>
      <c r="BS97" s="162"/>
      <c r="BT97" s="162"/>
      <c r="BU97" s="162"/>
      <c r="BV97" s="162"/>
      <c r="BW97" s="162"/>
    </row>
    <row r="98" s="140" customFormat="1" customHeight="1" spans="1:75">
      <c r="A98" s="161">
        <v>94</v>
      </c>
      <c r="B98" s="342"/>
      <c r="C98" s="162"/>
      <c r="D98" s="162"/>
      <c r="E98" s="162"/>
      <c r="F98" s="546"/>
      <c r="G98" s="191">
        <f t="shared" si="8"/>
        <v>0</v>
      </c>
      <c r="H98" s="190">
        <f t="shared" si="9"/>
        <v>0</v>
      </c>
      <c r="I98" s="191">
        <f t="shared" si="10"/>
        <v>0</v>
      </c>
      <c r="J98" s="190">
        <f t="shared" si="11"/>
        <v>0</v>
      </c>
      <c r="K98" s="191">
        <f t="shared" si="12"/>
        <v>0</v>
      </c>
      <c r="L98" s="190">
        <f t="shared" si="14"/>
        <v>0</v>
      </c>
      <c r="M98" s="191">
        <f t="shared" si="13"/>
        <v>0</v>
      </c>
      <c r="N98" s="133"/>
      <c r="O98" s="133"/>
      <c r="P98" s="162"/>
      <c r="Q98" s="162"/>
      <c r="R98" s="162"/>
      <c r="S98" s="162"/>
      <c r="T98" s="162"/>
      <c r="U98" s="162"/>
      <c r="V98" s="162"/>
      <c r="W98" s="162"/>
      <c r="X98" s="162"/>
      <c r="Y98" s="162"/>
      <c r="Z98" s="162"/>
      <c r="AA98" s="162"/>
      <c r="AB98" s="162"/>
      <c r="AC98" s="162"/>
      <c r="AD98" s="162"/>
      <c r="AE98" s="162"/>
      <c r="AF98" s="162"/>
      <c r="AG98" s="162"/>
      <c r="AH98" s="162"/>
      <c r="AI98" s="162"/>
      <c r="AJ98" s="162"/>
      <c r="AK98" s="162"/>
      <c r="AL98" s="162"/>
      <c r="AM98" s="162"/>
      <c r="AN98" s="162"/>
      <c r="AO98" s="162"/>
      <c r="AP98" s="162"/>
      <c r="AQ98" s="162"/>
      <c r="AR98" s="162"/>
      <c r="AS98" s="162"/>
      <c r="AT98" s="162"/>
      <c r="AU98" s="162"/>
      <c r="AV98" s="162"/>
      <c r="AW98" s="162"/>
      <c r="AX98" s="162"/>
      <c r="AY98" s="162"/>
      <c r="AZ98" s="162"/>
      <c r="BA98" s="162"/>
      <c r="BB98" s="162"/>
      <c r="BC98" s="162"/>
      <c r="BD98" s="162"/>
      <c r="BE98" s="162"/>
      <c r="BF98" s="162"/>
      <c r="BG98" s="162"/>
      <c r="BH98" s="162"/>
      <c r="BI98" s="162"/>
      <c r="BJ98" s="162"/>
      <c r="BK98" s="162"/>
      <c r="BL98" s="162"/>
      <c r="BM98" s="162"/>
      <c r="BN98" s="162"/>
      <c r="BO98" s="162"/>
      <c r="BP98" s="162"/>
      <c r="BQ98" s="162"/>
      <c r="BR98" s="162"/>
      <c r="BS98" s="162"/>
      <c r="BT98" s="162"/>
      <c r="BU98" s="162"/>
      <c r="BV98" s="162"/>
      <c r="BW98" s="162"/>
    </row>
    <row r="99" s="140" customFormat="1" customHeight="1" spans="1:75">
      <c r="A99" s="161">
        <v>95</v>
      </c>
      <c r="B99" s="342"/>
      <c r="C99" s="162"/>
      <c r="D99" s="162"/>
      <c r="E99" s="162"/>
      <c r="F99" s="546"/>
      <c r="G99" s="191">
        <f t="shared" si="8"/>
        <v>0</v>
      </c>
      <c r="H99" s="190">
        <f t="shared" si="9"/>
        <v>0</v>
      </c>
      <c r="I99" s="191">
        <f t="shared" si="10"/>
        <v>0</v>
      </c>
      <c r="J99" s="190">
        <f t="shared" si="11"/>
        <v>0</v>
      </c>
      <c r="K99" s="191">
        <f t="shared" si="12"/>
        <v>0</v>
      </c>
      <c r="L99" s="190">
        <f t="shared" si="14"/>
        <v>0</v>
      </c>
      <c r="M99" s="191">
        <f t="shared" si="13"/>
        <v>0</v>
      </c>
      <c r="N99" s="133"/>
      <c r="O99" s="133"/>
      <c r="P99" s="162"/>
      <c r="Q99" s="162"/>
      <c r="R99" s="162"/>
      <c r="S99" s="162"/>
      <c r="T99" s="162"/>
      <c r="U99" s="162"/>
      <c r="V99" s="162"/>
      <c r="W99" s="162"/>
      <c r="X99" s="162"/>
      <c r="Y99" s="162"/>
      <c r="Z99" s="162"/>
      <c r="AA99" s="162"/>
      <c r="AB99" s="162"/>
      <c r="AC99" s="162"/>
      <c r="AD99" s="162"/>
      <c r="AE99" s="162"/>
      <c r="AF99" s="162"/>
      <c r="AG99" s="162"/>
      <c r="AH99" s="162"/>
      <c r="AI99" s="162"/>
      <c r="AJ99" s="162"/>
      <c r="AK99" s="162"/>
      <c r="AL99" s="162"/>
      <c r="AM99" s="162"/>
      <c r="AN99" s="162"/>
      <c r="AO99" s="162"/>
      <c r="AP99" s="162"/>
      <c r="AQ99" s="162"/>
      <c r="AR99" s="162"/>
      <c r="AS99" s="162"/>
      <c r="AT99" s="162"/>
      <c r="AU99" s="162"/>
      <c r="AV99" s="162"/>
      <c r="AW99" s="162"/>
      <c r="AX99" s="162"/>
      <c r="AY99" s="162"/>
      <c r="AZ99" s="162"/>
      <c r="BA99" s="162"/>
      <c r="BB99" s="162"/>
      <c r="BC99" s="162"/>
      <c r="BD99" s="162"/>
      <c r="BE99" s="162"/>
      <c r="BF99" s="162"/>
      <c r="BG99" s="162"/>
      <c r="BH99" s="162"/>
      <c r="BI99" s="162"/>
      <c r="BJ99" s="162"/>
      <c r="BK99" s="162"/>
      <c r="BL99" s="162"/>
      <c r="BM99" s="162"/>
      <c r="BN99" s="162"/>
      <c r="BO99" s="162"/>
      <c r="BP99" s="162"/>
      <c r="BQ99" s="162"/>
      <c r="BR99" s="162"/>
      <c r="BS99" s="162"/>
      <c r="BT99" s="162"/>
      <c r="BU99" s="162"/>
      <c r="BV99" s="162"/>
      <c r="BW99" s="162"/>
    </row>
    <row r="100" s="140" customFormat="1" customHeight="1" spans="1:75">
      <c r="A100" s="161">
        <v>96</v>
      </c>
      <c r="B100" s="342"/>
      <c r="C100" s="162"/>
      <c r="D100" s="162"/>
      <c r="E100" s="162"/>
      <c r="F100" s="546"/>
      <c r="G100" s="191">
        <f t="shared" si="8"/>
        <v>0</v>
      </c>
      <c r="H100" s="190">
        <f t="shared" si="9"/>
        <v>0</v>
      </c>
      <c r="I100" s="191">
        <f t="shared" si="10"/>
        <v>0</v>
      </c>
      <c r="J100" s="190">
        <f t="shared" si="11"/>
        <v>0</v>
      </c>
      <c r="K100" s="191">
        <f t="shared" si="12"/>
        <v>0</v>
      </c>
      <c r="L100" s="190">
        <f t="shared" si="14"/>
        <v>0</v>
      </c>
      <c r="M100" s="191">
        <f t="shared" si="13"/>
        <v>0</v>
      </c>
      <c r="N100" s="133"/>
      <c r="O100" s="133"/>
      <c r="P100" s="162"/>
      <c r="Q100" s="162"/>
      <c r="R100" s="162"/>
      <c r="S100" s="162"/>
      <c r="T100" s="162"/>
      <c r="U100" s="162"/>
      <c r="V100" s="162"/>
      <c r="W100" s="162"/>
      <c r="X100" s="162"/>
      <c r="Y100" s="162"/>
      <c r="Z100" s="162"/>
      <c r="AA100" s="162"/>
      <c r="AB100" s="162"/>
      <c r="AC100" s="162"/>
      <c r="AD100" s="162"/>
      <c r="AE100" s="162"/>
      <c r="AF100" s="162"/>
      <c r="AG100" s="162"/>
      <c r="AH100" s="162"/>
      <c r="AI100" s="162"/>
      <c r="AJ100" s="162"/>
      <c r="AK100" s="162"/>
      <c r="AL100" s="162"/>
      <c r="AM100" s="162"/>
      <c r="AN100" s="162"/>
      <c r="AO100" s="162"/>
      <c r="AP100" s="162"/>
      <c r="AQ100" s="162"/>
      <c r="AR100" s="162"/>
      <c r="AS100" s="162"/>
      <c r="AT100" s="162"/>
      <c r="AU100" s="162"/>
      <c r="AV100" s="162"/>
      <c r="AW100" s="162"/>
      <c r="AX100" s="162"/>
      <c r="AY100" s="162"/>
      <c r="AZ100" s="162"/>
      <c r="BA100" s="162"/>
      <c r="BB100" s="162"/>
      <c r="BC100" s="162"/>
      <c r="BD100" s="162"/>
      <c r="BE100" s="162"/>
      <c r="BF100" s="162"/>
      <c r="BG100" s="162"/>
      <c r="BH100" s="162"/>
      <c r="BI100" s="162"/>
      <c r="BJ100" s="162"/>
      <c r="BK100" s="162"/>
      <c r="BL100" s="162"/>
      <c r="BM100" s="162"/>
      <c r="BN100" s="162"/>
      <c r="BO100" s="162"/>
      <c r="BP100" s="162"/>
      <c r="BQ100" s="162"/>
      <c r="BR100" s="162"/>
      <c r="BS100" s="162"/>
      <c r="BT100" s="162"/>
      <c r="BU100" s="162"/>
      <c r="BV100" s="162"/>
      <c r="BW100" s="162"/>
    </row>
    <row r="101" s="140" customFormat="1" customHeight="1" spans="1:75">
      <c r="A101" s="161">
        <v>97</v>
      </c>
      <c r="B101" s="342"/>
      <c r="C101" s="162"/>
      <c r="D101" s="162"/>
      <c r="E101" s="162"/>
      <c r="F101" s="546"/>
      <c r="G101" s="191">
        <f t="shared" si="8"/>
        <v>0</v>
      </c>
      <c r="H101" s="190">
        <f t="shared" si="9"/>
        <v>0</v>
      </c>
      <c r="I101" s="191">
        <f t="shared" si="10"/>
        <v>0</v>
      </c>
      <c r="J101" s="190">
        <f t="shared" si="11"/>
        <v>0</v>
      </c>
      <c r="K101" s="191">
        <f t="shared" si="12"/>
        <v>0</v>
      </c>
      <c r="L101" s="190">
        <f t="shared" si="14"/>
        <v>0</v>
      </c>
      <c r="M101" s="191">
        <f t="shared" si="13"/>
        <v>0</v>
      </c>
      <c r="N101" s="133"/>
      <c r="O101" s="133"/>
      <c r="P101" s="162"/>
      <c r="Q101" s="162"/>
      <c r="R101" s="162"/>
      <c r="S101" s="162"/>
      <c r="T101" s="162"/>
      <c r="U101" s="162"/>
      <c r="V101" s="162"/>
      <c r="W101" s="162"/>
      <c r="X101" s="162"/>
      <c r="Y101" s="162"/>
      <c r="Z101" s="162"/>
      <c r="AA101" s="162"/>
      <c r="AB101" s="162"/>
      <c r="AC101" s="162"/>
      <c r="AD101" s="162"/>
      <c r="AE101" s="162"/>
      <c r="AF101" s="162"/>
      <c r="AG101" s="162"/>
      <c r="AH101" s="162"/>
      <c r="AI101" s="162"/>
      <c r="AJ101" s="162"/>
      <c r="AK101" s="162"/>
      <c r="AL101" s="162"/>
      <c r="AM101" s="162"/>
      <c r="AN101" s="162"/>
      <c r="AO101" s="162"/>
      <c r="AP101" s="162"/>
      <c r="AQ101" s="162"/>
      <c r="AR101" s="162"/>
      <c r="AS101" s="162"/>
      <c r="AT101" s="162"/>
      <c r="AU101" s="162"/>
      <c r="AV101" s="162"/>
      <c r="AW101" s="162"/>
      <c r="AX101" s="162"/>
      <c r="AY101" s="162"/>
      <c r="AZ101" s="162"/>
      <c r="BA101" s="162"/>
      <c r="BB101" s="162"/>
      <c r="BC101" s="162"/>
      <c r="BD101" s="162"/>
      <c r="BE101" s="162"/>
      <c r="BF101" s="162"/>
      <c r="BG101" s="162"/>
      <c r="BH101" s="162"/>
      <c r="BI101" s="162"/>
      <c r="BJ101" s="162"/>
      <c r="BK101" s="162"/>
      <c r="BL101" s="162"/>
      <c r="BM101" s="162"/>
      <c r="BN101" s="162"/>
      <c r="BO101" s="162"/>
      <c r="BP101" s="162"/>
      <c r="BQ101" s="162"/>
      <c r="BR101" s="162"/>
      <c r="BS101" s="162"/>
      <c r="BT101" s="162"/>
      <c r="BU101" s="162"/>
      <c r="BV101" s="162"/>
      <c r="BW101" s="162"/>
    </row>
    <row r="102" s="140" customFormat="1" customHeight="1" spans="1:75">
      <c r="A102" s="161">
        <v>98</v>
      </c>
      <c r="B102" s="342"/>
      <c r="C102" s="162"/>
      <c r="D102" s="162"/>
      <c r="E102" s="162"/>
      <c r="F102" s="546"/>
      <c r="G102" s="191">
        <f t="shared" si="8"/>
        <v>0</v>
      </c>
      <c r="H102" s="190">
        <f t="shared" si="9"/>
        <v>0</v>
      </c>
      <c r="I102" s="191">
        <f t="shared" si="10"/>
        <v>0</v>
      </c>
      <c r="J102" s="190">
        <f t="shared" si="11"/>
        <v>0</v>
      </c>
      <c r="K102" s="191">
        <f t="shared" si="12"/>
        <v>0</v>
      </c>
      <c r="L102" s="190">
        <f t="shared" si="14"/>
        <v>0</v>
      </c>
      <c r="M102" s="191">
        <f t="shared" si="13"/>
        <v>0</v>
      </c>
      <c r="N102" s="133"/>
      <c r="O102" s="133"/>
      <c r="P102" s="162"/>
      <c r="Q102" s="162"/>
      <c r="R102" s="162"/>
      <c r="S102" s="162"/>
      <c r="T102" s="162"/>
      <c r="U102" s="162"/>
      <c r="V102" s="162"/>
      <c r="W102" s="162"/>
      <c r="X102" s="162"/>
      <c r="Y102" s="162"/>
      <c r="Z102" s="162"/>
      <c r="AA102" s="162"/>
      <c r="AB102" s="162"/>
      <c r="AC102" s="162"/>
      <c r="AD102" s="162"/>
      <c r="AE102" s="162"/>
      <c r="AF102" s="162"/>
      <c r="AG102" s="162"/>
      <c r="AH102" s="162"/>
      <c r="AI102" s="162"/>
      <c r="AJ102" s="162"/>
      <c r="AK102" s="162"/>
      <c r="AL102" s="162"/>
      <c r="AM102" s="162"/>
      <c r="AN102" s="162"/>
      <c r="AO102" s="162"/>
      <c r="AP102" s="162"/>
      <c r="AQ102" s="162"/>
      <c r="AR102" s="162"/>
      <c r="AS102" s="162"/>
      <c r="AT102" s="162"/>
      <c r="AU102" s="162"/>
      <c r="AV102" s="162"/>
      <c r="AW102" s="162"/>
      <c r="AX102" s="162"/>
      <c r="AY102" s="162"/>
      <c r="AZ102" s="162"/>
      <c r="BA102" s="162"/>
      <c r="BB102" s="162"/>
      <c r="BC102" s="162"/>
      <c r="BD102" s="162"/>
      <c r="BE102" s="162"/>
      <c r="BF102" s="162"/>
      <c r="BG102" s="162"/>
      <c r="BH102" s="162"/>
      <c r="BI102" s="162"/>
      <c r="BJ102" s="162"/>
      <c r="BK102" s="162"/>
      <c r="BL102" s="162"/>
      <c r="BM102" s="162"/>
      <c r="BN102" s="162"/>
      <c r="BO102" s="162"/>
      <c r="BP102" s="162"/>
      <c r="BQ102" s="162"/>
      <c r="BR102" s="162"/>
      <c r="BS102" s="162"/>
      <c r="BT102" s="162"/>
      <c r="BU102" s="162"/>
      <c r="BV102" s="162"/>
      <c r="BW102" s="162"/>
    </row>
    <row r="103" s="140" customFormat="1" customHeight="1" spans="1:75">
      <c r="A103" s="161">
        <v>99</v>
      </c>
      <c r="B103" s="342"/>
      <c r="C103" s="162"/>
      <c r="D103" s="162"/>
      <c r="E103" s="162"/>
      <c r="F103" s="546"/>
      <c r="G103" s="191">
        <f t="shared" si="8"/>
        <v>0</v>
      </c>
      <c r="H103" s="190">
        <f t="shared" si="9"/>
        <v>0</v>
      </c>
      <c r="I103" s="191">
        <f t="shared" si="10"/>
        <v>0</v>
      </c>
      <c r="J103" s="190">
        <f t="shared" si="11"/>
        <v>0</v>
      </c>
      <c r="K103" s="191">
        <f t="shared" si="12"/>
        <v>0</v>
      </c>
      <c r="L103" s="190">
        <f t="shared" si="14"/>
        <v>0</v>
      </c>
      <c r="M103" s="191">
        <f t="shared" si="13"/>
        <v>0</v>
      </c>
      <c r="N103" s="133"/>
      <c r="O103" s="133"/>
      <c r="P103" s="162"/>
      <c r="Q103" s="162"/>
      <c r="R103" s="162"/>
      <c r="S103" s="162"/>
      <c r="T103" s="162"/>
      <c r="U103" s="162"/>
      <c r="V103" s="162"/>
      <c r="W103" s="162"/>
      <c r="X103" s="162"/>
      <c r="Y103" s="162"/>
      <c r="Z103" s="162"/>
      <c r="AA103" s="162"/>
      <c r="AB103" s="162"/>
      <c r="AC103" s="162"/>
      <c r="AD103" s="162"/>
      <c r="AE103" s="162"/>
      <c r="AF103" s="162"/>
      <c r="AG103" s="162"/>
      <c r="AH103" s="162"/>
      <c r="AI103" s="162"/>
      <c r="AJ103" s="162"/>
      <c r="AK103" s="162"/>
      <c r="AL103" s="162"/>
      <c r="AM103" s="162"/>
      <c r="AN103" s="162"/>
      <c r="AO103" s="162"/>
      <c r="AP103" s="162"/>
      <c r="AQ103" s="162"/>
      <c r="AR103" s="162"/>
      <c r="AS103" s="162"/>
      <c r="AT103" s="162"/>
      <c r="AU103" s="162"/>
      <c r="AV103" s="162"/>
      <c r="AW103" s="162"/>
      <c r="AX103" s="162"/>
      <c r="AY103" s="162"/>
      <c r="AZ103" s="162"/>
      <c r="BA103" s="162"/>
      <c r="BB103" s="162"/>
      <c r="BC103" s="162"/>
      <c r="BD103" s="162"/>
      <c r="BE103" s="162"/>
      <c r="BF103" s="162"/>
      <c r="BG103" s="162"/>
      <c r="BH103" s="162"/>
      <c r="BI103" s="162"/>
      <c r="BJ103" s="162"/>
      <c r="BK103" s="162"/>
      <c r="BL103" s="162"/>
      <c r="BM103" s="162"/>
      <c r="BN103" s="162"/>
      <c r="BO103" s="162"/>
      <c r="BP103" s="162"/>
      <c r="BQ103" s="162"/>
      <c r="BR103" s="162"/>
      <c r="BS103" s="162"/>
      <c r="BT103" s="162"/>
      <c r="BU103" s="162"/>
      <c r="BV103" s="162"/>
      <c r="BW103" s="162"/>
    </row>
    <row r="104" s="140" customFormat="1" customHeight="1" spans="1:75">
      <c r="A104" s="161">
        <v>100</v>
      </c>
      <c r="B104" s="342"/>
      <c r="C104" s="162"/>
      <c r="D104" s="162"/>
      <c r="E104" s="162"/>
      <c r="F104" s="546"/>
      <c r="G104" s="191">
        <f t="shared" si="8"/>
        <v>0</v>
      </c>
      <c r="H104" s="190">
        <f t="shared" si="9"/>
        <v>0</v>
      </c>
      <c r="I104" s="191">
        <f t="shared" si="10"/>
        <v>0</v>
      </c>
      <c r="J104" s="190">
        <f t="shared" si="11"/>
        <v>0</v>
      </c>
      <c r="K104" s="191">
        <f t="shared" si="12"/>
        <v>0</v>
      </c>
      <c r="L104" s="190">
        <f t="shared" si="14"/>
        <v>0</v>
      </c>
      <c r="M104" s="191">
        <f t="shared" si="13"/>
        <v>0</v>
      </c>
      <c r="N104" s="133"/>
      <c r="O104" s="133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2"/>
      <c r="AA104" s="162"/>
      <c r="AB104" s="162"/>
      <c r="AC104" s="162"/>
      <c r="AD104" s="162"/>
      <c r="AE104" s="162"/>
      <c r="AF104" s="162"/>
      <c r="AG104" s="162"/>
      <c r="AH104" s="162"/>
      <c r="AI104" s="162"/>
      <c r="AJ104" s="162"/>
      <c r="AK104" s="162"/>
      <c r="AL104" s="162"/>
      <c r="AM104" s="162"/>
      <c r="AN104" s="162"/>
      <c r="AO104" s="162"/>
      <c r="AP104" s="162"/>
      <c r="AQ104" s="162"/>
      <c r="AR104" s="162"/>
      <c r="AS104" s="162"/>
      <c r="AT104" s="162"/>
      <c r="AU104" s="162"/>
      <c r="AV104" s="162"/>
      <c r="AW104" s="162"/>
      <c r="AX104" s="162"/>
      <c r="AY104" s="162"/>
      <c r="AZ104" s="162"/>
      <c r="BA104" s="162"/>
      <c r="BB104" s="162"/>
      <c r="BC104" s="162"/>
      <c r="BD104" s="162"/>
      <c r="BE104" s="162"/>
      <c r="BF104" s="162"/>
      <c r="BG104" s="162"/>
      <c r="BH104" s="162"/>
      <c r="BI104" s="162"/>
      <c r="BJ104" s="162"/>
      <c r="BK104" s="162"/>
      <c r="BL104" s="162"/>
      <c r="BM104" s="162"/>
      <c r="BN104" s="162"/>
      <c r="BO104" s="162"/>
      <c r="BP104" s="162"/>
      <c r="BQ104" s="162"/>
      <c r="BR104" s="162"/>
      <c r="BS104" s="162"/>
      <c r="BT104" s="162"/>
      <c r="BU104" s="162"/>
      <c r="BV104" s="162"/>
      <c r="BW104" s="162"/>
    </row>
    <row r="105" s="140" customFormat="1" customHeight="1" spans="1:75">
      <c r="A105" s="161">
        <v>101</v>
      </c>
      <c r="B105" s="342"/>
      <c r="C105" s="162"/>
      <c r="D105" s="162"/>
      <c r="E105" s="162"/>
      <c r="F105" s="546"/>
      <c r="G105" s="191">
        <f t="shared" si="8"/>
        <v>0</v>
      </c>
      <c r="H105" s="190">
        <f t="shared" si="9"/>
        <v>0</v>
      </c>
      <c r="I105" s="191">
        <f t="shared" si="10"/>
        <v>0</v>
      </c>
      <c r="J105" s="190">
        <f t="shared" si="11"/>
        <v>0</v>
      </c>
      <c r="K105" s="191">
        <f t="shared" si="12"/>
        <v>0</v>
      </c>
      <c r="L105" s="190">
        <f t="shared" si="14"/>
        <v>0</v>
      </c>
      <c r="M105" s="191">
        <f t="shared" si="13"/>
        <v>0</v>
      </c>
      <c r="N105" s="133"/>
      <c r="O105" s="133"/>
      <c r="P105" s="162"/>
      <c r="Q105" s="162"/>
      <c r="R105" s="162"/>
      <c r="S105" s="162"/>
      <c r="T105" s="162"/>
      <c r="U105" s="162"/>
      <c r="V105" s="162"/>
      <c r="W105" s="162"/>
      <c r="X105" s="162"/>
      <c r="Y105" s="162"/>
      <c r="Z105" s="162"/>
      <c r="AA105" s="162"/>
      <c r="AB105" s="162"/>
      <c r="AC105" s="162"/>
      <c r="AD105" s="162"/>
      <c r="AE105" s="162"/>
      <c r="AF105" s="162"/>
      <c r="AG105" s="162"/>
      <c r="AH105" s="162"/>
      <c r="AI105" s="162"/>
      <c r="AJ105" s="162"/>
      <c r="AK105" s="162"/>
      <c r="AL105" s="162"/>
      <c r="AM105" s="162"/>
      <c r="AN105" s="162"/>
      <c r="AO105" s="162"/>
      <c r="AP105" s="162"/>
      <c r="AQ105" s="162"/>
      <c r="AR105" s="162"/>
      <c r="AS105" s="162"/>
      <c r="AT105" s="162"/>
      <c r="AU105" s="162"/>
      <c r="AV105" s="162"/>
      <c r="AW105" s="162"/>
      <c r="AX105" s="162"/>
      <c r="AY105" s="162"/>
      <c r="AZ105" s="162"/>
      <c r="BA105" s="162"/>
      <c r="BB105" s="162"/>
      <c r="BC105" s="162"/>
      <c r="BD105" s="162"/>
      <c r="BE105" s="162"/>
      <c r="BF105" s="162"/>
      <c r="BG105" s="162"/>
      <c r="BH105" s="162"/>
      <c r="BI105" s="162"/>
      <c r="BJ105" s="162"/>
      <c r="BK105" s="162"/>
      <c r="BL105" s="162"/>
      <c r="BM105" s="162"/>
      <c r="BN105" s="162"/>
      <c r="BO105" s="162"/>
      <c r="BP105" s="162"/>
      <c r="BQ105" s="162"/>
      <c r="BR105" s="162"/>
      <c r="BS105" s="162"/>
      <c r="BT105" s="162"/>
      <c r="BU105" s="162"/>
      <c r="BV105" s="162"/>
      <c r="BW105" s="162"/>
    </row>
    <row r="106" s="140" customFormat="1" customHeight="1" spans="1:75">
      <c r="A106" s="161">
        <v>102</v>
      </c>
      <c r="B106" s="342"/>
      <c r="C106" s="162"/>
      <c r="D106" s="162"/>
      <c r="E106" s="162"/>
      <c r="F106" s="546"/>
      <c r="G106" s="191">
        <f t="shared" si="8"/>
        <v>0</v>
      </c>
      <c r="H106" s="190">
        <f t="shared" si="9"/>
        <v>0</v>
      </c>
      <c r="I106" s="191">
        <f t="shared" si="10"/>
        <v>0</v>
      </c>
      <c r="J106" s="190">
        <f t="shared" si="11"/>
        <v>0</v>
      </c>
      <c r="K106" s="191">
        <f t="shared" si="12"/>
        <v>0</v>
      </c>
      <c r="L106" s="190">
        <f t="shared" si="14"/>
        <v>0</v>
      </c>
      <c r="M106" s="191">
        <f t="shared" si="13"/>
        <v>0</v>
      </c>
      <c r="N106" s="133"/>
      <c r="O106" s="133"/>
      <c r="P106" s="162"/>
      <c r="Q106" s="162"/>
      <c r="R106" s="162"/>
      <c r="S106" s="162"/>
      <c r="T106" s="162"/>
      <c r="U106" s="162"/>
      <c r="V106" s="162"/>
      <c r="W106" s="162"/>
      <c r="X106" s="162"/>
      <c r="Y106" s="162"/>
      <c r="Z106" s="162"/>
      <c r="AA106" s="162"/>
      <c r="AB106" s="162"/>
      <c r="AC106" s="162"/>
      <c r="AD106" s="162"/>
      <c r="AE106" s="162"/>
      <c r="AF106" s="162"/>
      <c r="AG106" s="162"/>
      <c r="AH106" s="162"/>
      <c r="AI106" s="162"/>
      <c r="AJ106" s="162"/>
      <c r="AK106" s="162"/>
      <c r="AL106" s="162"/>
      <c r="AM106" s="162"/>
      <c r="AN106" s="162"/>
      <c r="AO106" s="162"/>
      <c r="AP106" s="162"/>
      <c r="AQ106" s="162"/>
      <c r="AR106" s="162"/>
      <c r="AS106" s="162"/>
      <c r="AT106" s="162"/>
      <c r="AU106" s="162"/>
      <c r="AV106" s="162"/>
      <c r="AW106" s="162"/>
      <c r="AX106" s="162"/>
      <c r="AY106" s="162"/>
      <c r="AZ106" s="162"/>
      <c r="BA106" s="162"/>
      <c r="BB106" s="162"/>
      <c r="BC106" s="162"/>
      <c r="BD106" s="16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BO106" s="162"/>
      <c r="BP106" s="162"/>
      <c r="BQ106" s="162"/>
      <c r="BR106" s="162"/>
      <c r="BS106" s="162"/>
      <c r="BT106" s="162"/>
      <c r="BU106" s="162"/>
      <c r="BV106" s="162"/>
      <c r="BW106" s="162"/>
    </row>
    <row r="107" s="140" customFormat="1" customHeight="1" spans="1:75">
      <c r="A107" s="161">
        <v>103</v>
      </c>
      <c r="B107" s="342"/>
      <c r="C107" s="162"/>
      <c r="D107" s="162"/>
      <c r="E107" s="162"/>
      <c r="F107" s="546"/>
      <c r="G107" s="191">
        <f t="shared" ref="G107:G144" si="15">+E107*F107</f>
        <v>0</v>
      </c>
      <c r="H107" s="190">
        <f t="shared" si="9"/>
        <v>0</v>
      </c>
      <c r="I107" s="191">
        <f t="shared" si="10"/>
        <v>0</v>
      </c>
      <c r="J107" s="190">
        <f t="shared" si="11"/>
        <v>0</v>
      </c>
      <c r="K107" s="191">
        <f t="shared" si="12"/>
        <v>0</v>
      </c>
      <c r="L107" s="190">
        <f t="shared" si="14"/>
        <v>0</v>
      </c>
      <c r="M107" s="191">
        <f t="shared" si="13"/>
        <v>0</v>
      </c>
      <c r="N107" s="133"/>
      <c r="O107" s="133"/>
      <c r="P107" s="162"/>
      <c r="Q107" s="162"/>
      <c r="R107" s="162"/>
      <c r="S107" s="162"/>
      <c r="T107" s="162"/>
      <c r="U107" s="162"/>
      <c r="V107" s="162"/>
      <c r="W107" s="162"/>
      <c r="X107" s="162"/>
      <c r="Y107" s="162"/>
      <c r="Z107" s="162"/>
      <c r="AA107" s="162"/>
      <c r="AB107" s="162"/>
      <c r="AC107" s="162"/>
      <c r="AD107" s="162"/>
      <c r="AE107" s="162"/>
      <c r="AF107" s="162"/>
      <c r="AG107" s="162"/>
      <c r="AH107" s="162"/>
      <c r="AI107" s="162"/>
      <c r="AJ107" s="162"/>
      <c r="AK107" s="162"/>
      <c r="AL107" s="162"/>
      <c r="AM107" s="162"/>
      <c r="AN107" s="162"/>
      <c r="AO107" s="162"/>
      <c r="AP107" s="162"/>
      <c r="AQ107" s="162"/>
      <c r="AR107" s="162"/>
      <c r="AS107" s="162"/>
      <c r="AT107" s="162"/>
      <c r="AU107" s="162"/>
      <c r="AV107" s="162"/>
      <c r="AW107" s="162"/>
      <c r="AX107" s="162"/>
      <c r="AY107" s="162"/>
      <c r="AZ107" s="162"/>
      <c r="BA107" s="162"/>
      <c r="BB107" s="162"/>
      <c r="BC107" s="162"/>
      <c r="BD107" s="16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2"/>
      <c r="BQ107" s="162"/>
      <c r="BR107" s="162"/>
      <c r="BS107" s="162"/>
      <c r="BT107" s="162"/>
      <c r="BU107" s="162"/>
      <c r="BV107" s="162"/>
      <c r="BW107" s="162"/>
    </row>
    <row r="108" s="140" customFormat="1" customHeight="1" spans="1:75">
      <c r="A108" s="161">
        <v>104</v>
      </c>
      <c r="B108" s="342"/>
      <c r="C108" s="162"/>
      <c r="D108" s="162"/>
      <c r="E108" s="162"/>
      <c r="F108" s="546"/>
      <c r="G108" s="191">
        <f t="shared" si="15"/>
        <v>0</v>
      </c>
      <c r="H108" s="190">
        <f t="shared" si="9"/>
        <v>0</v>
      </c>
      <c r="I108" s="191">
        <f t="shared" si="10"/>
        <v>0</v>
      </c>
      <c r="J108" s="190">
        <f t="shared" si="11"/>
        <v>0</v>
      </c>
      <c r="K108" s="191">
        <f t="shared" si="12"/>
        <v>0</v>
      </c>
      <c r="L108" s="190">
        <f t="shared" si="14"/>
        <v>0</v>
      </c>
      <c r="M108" s="191">
        <f t="shared" si="13"/>
        <v>0</v>
      </c>
      <c r="N108" s="133"/>
      <c r="O108" s="133"/>
      <c r="P108" s="162"/>
      <c r="Q108" s="162"/>
      <c r="R108" s="162"/>
      <c r="S108" s="162"/>
      <c r="T108" s="162"/>
      <c r="U108" s="162"/>
      <c r="V108" s="162"/>
      <c r="W108" s="162"/>
      <c r="X108" s="162"/>
      <c r="Y108" s="162"/>
      <c r="Z108" s="162"/>
      <c r="AA108" s="162"/>
      <c r="AB108" s="162"/>
      <c r="AC108" s="162"/>
      <c r="AD108" s="162"/>
      <c r="AE108" s="162"/>
      <c r="AF108" s="162"/>
      <c r="AG108" s="162"/>
      <c r="AH108" s="162"/>
      <c r="AI108" s="162"/>
      <c r="AJ108" s="162"/>
      <c r="AK108" s="162"/>
      <c r="AL108" s="162"/>
      <c r="AM108" s="162"/>
      <c r="AN108" s="162"/>
      <c r="AO108" s="162"/>
      <c r="AP108" s="162"/>
      <c r="AQ108" s="162"/>
      <c r="AR108" s="162"/>
      <c r="AS108" s="162"/>
      <c r="AT108" s="162"/>
      <c r="AU108" s="162"/>
      <c r="AV108" s="162"/>
      <c r="AW108" s="162"/>
      <c r="AX108" s="162"/>
      <c r="AY108" s="162"/>
      <c r="AZ108" s="162"/>
      <c r="BA108" s="162"/>
      <c r="BB108" s="162"/>
      <c r="BC108" s="162"/>
      <c r="BD108" s="162"/>
      <c r="BE108" s="162"/>
      <c r="BF108" s="162"/>
      <c r="BG108" s="162"/>
      <c r="BH108" s="162"/>
      <c r="BI108" s="162"/>
      <c r="BJ108" s="162"/>
      <c r="BK108" s="162"/>
      <c r="BL108" s="162"/>
      <c r="BM108" s="162"/>
      <c r="BN108" s="162"/>
      <c r="BO108" s="162"/>
      <c r="BP108" s="162"/>
      <c r="BQ108" s="162"/>
      <c r="BR108" s="162"/>
      <c r="BS108" s="162"/>
      <c r="BT108" s="162"/>
      <c r="BU108" s="162"/>
      <c r="BV108" s="162"/>
      <c r="BW108" s="162"/>
    </row>
    <row r="109" s="140" customFormat="1" customHeight="1" spans="1:75">
      <c r="A109" s="161">
        <v>105</v>
      </c>
      <c r="B109" s="342"/>
      <c r="C109" s="162"/>
      <c r="D109" s="162"/>
      <c r="E109" s="162"/>
      <c r="F109" s="546"/>
      <c r="G109" s="191">
        <f t="shared" si="15"/>
        <v>0</v>
      </c>
      <c r="H109" s="190">
        <f t="shared" si="9"/>
        <v>0</v>
      </c>
      <c r="I109" s="191">
        <f t="shared" si="10"/>
        <v>0</v>
      </c>
      <c r="J109" s="190">
        <f t="shared" si="11"/>
        <v>0</v>
      </c>
      <c r="K109" s="191">
        <f t="shared" si="12"/>
        <v>0</v>
      </c>
      <c r="L109" s="190">
        <f t="shared" si="14"/>
        <v>0</v>
      </c>
      <c r="M109" s="191">
        <f t="shared" si="13"/>
        <v>0</v>
      </c>
      <c r="N109" s="133"/>
      <c r="O109" s="133"/>
      <c r="P109" s="162"/>
      <c r="Q109" s="162"/>
      <c r="R109" s="162"/>
      <c r="S109" s="162"/>
      <c r="T109" s="162"/>
      <c r="U109" s="162"/>
      <c r="V109" s="162"/>
      <c r="W109" s="162"/>
      <c r="X109" s="162"/>
      <c r="Y109" s="162"/>
      <c r="Z109" s="162"/>
      <c r="AA109" s="162"/>
      <c r="AB109" s="162"/>
      <c r="AC109" s="162"/>
      <c r="AD109" s="162"/>
      <c r="AE109" s="162"/>
      <c r="AF109" s="162"/>
      <c r="AG109" s="162"/>
      <c r="AH109" s="162"/>
      <c r="AI109" s="162"/>
      <c r="AJ109" s="162"/>
      <c r="AK109" s="162"/>
      <c r="AL109" s="162"/>
      <c r="AM109" s="162"/>
      <c r="AN109" s="162"/>
      <c r="AO109" s="162"/>
      <c r="AP109" s="162"/>
      <c r="AQ109" s="162"/>
      <c r="AR109" s="162"/>
      <c r="AS109" s="162"/>
      <c r="AT109" s="162"/>
      <c r="AU109" s="162"/>
      <c r="AV109" s="162"/>
      <c r="AW109" s="162"/>
      <c r="AX109" s="162"/>
      <c r="AY109" s="162"/>
      <c r="AZ109" s="162"/>
      <c r="BA109" s="162"/>
      <c r="BB109" s="162"/>
      <c r="BC109" s="162"/>
      <c r="BD109" s="16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162"/>
      <c r="BV109" s="162"/>
      <c r="BW109" s="162"/>
    </row>
    <row r="110" s="140" customFormat="1" customHeight="1" spans="1:75">
      <c r="A110" s="161">
        <v>106</v>
      </c>
      <c r="B110" s="342"/>
      <c r="C110" s="162"/>
      <c r="D110" s="162"/>
      <c r="E110" s="162"/>
      <c r="F110" s="546"/>
      <c r="G110" s="191">
        <f t="shared" si="15"/>
        <v>0</v>
      </c>
      <c r="H110" s="190">
        <f t="shared" si="9"/>
        <v>0</v>
      </c>
      <c r="I110" s="191">
        <f t="shared" si="10"/>
        <v>0</v>
      </c>
      <c r="J110" s="190">
        <f t="shared" si="11"/>
        <v>0</v>
      </c>
      <c r="K110" s="191">
        <f t="shared" si="12"/>
        <v>0</v>
      </c>
      <c r="L110" s="190">
        <f t="shared" si="14"/>
        <v>0</v>
      </c>
      <c r="M110" s="191">
        <f t="shared" si="13"/>
        <v>0</v>
      </c>
      <c r="N110" s="133"/>
      <c r="O110" s="133"/>
      <c r="P110" s="162"/>
      <c r="Q110" s="162"/>
      <c r="R110" s="162"/>
      <c r="S110" s="162"/>
      <c r="T110" s="162"/>
      <c r="U110" s="162"/>
      <c r="V110" s="162"/>
      <c r="W110" s="162"/>
      <c r="X110" s="162"/>
      <c r="Y110" s="162"/>
      <c r="Z110" s="162"/>
      <c r="AA110" s="162"/>
      <c r="AB110" s="162"/>
      <c r="AC110" s="162"/>
      <c r="AD110" s="162"/>
      <c r="AE110" s="162"/>
      <c r="AF110" s="162"/>
      <c r="AG110" s="162"/>
      <c r="AH110" s="162"/>
      <c r="AI110" s="162"/>
      <c r="AJ110" s="162"/>
      <c r="AK110" s="162"/>
      <c r="AL110" s="162"/>
      <c r="AM110" s="162"/>
      <c r="AN110" s="162"/>
      <c r="AO110" s="162"/>
      <c r="AP110" s="162"/>
      <c r="AQ110" s="162"/>
      <c r="AR110" s="162"/>
      <c r="AS110" s="162"/>
      <c r="AT110" s="162"/>
      <c r="AU110" s="162"/>
      <c r="AV110" s="162"/>
      <c r="AW110" s="162"/>
      <c r="AX110" s="162"/>
      <c r="AY110" s="162"/>
      <c r="AZ110" s="162"/>
      <c r="BA110" s="162"/>
      <c r="BB110" s="162"/>
      <c r="BC110" s="162"/>
      <c r="BD110" s="16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2"/>
      <c r="BQ110" s="162"/>
      <c r="BR110" s="162"/>
      <c r="BS110" s="162"/>
      <c r="BT110" s="162"/>
      <c r="BU110" s="162"/>
      <c r="BV110" s="162"/>
      <c r="BW110" s="162"/>
    </row>
    <row r="111" s="140" customFormat="1" customHeight="1" spans="1:75">
      <c r="A111" s="161">
        <v>107</v>
      </c>
      <c r="B111" s="342"/>
      <c r="C111" s="162"/>
      <c r="D111" s="162"/>
      <c r="E111" s="162"/>
      <c r="F111" s="546"/>
      <c r="G111" s="191">
        <f t="shared" si="15"/>
        <v>0</v>
      </c>
      <c r="H111" s="190">
        <f t="shared" si="9"/>
        <v>0</v>
      </c>
      <c r="I111" s="191">
        <f t="shared" si="10"/>
        <v>0</v>
      </c>
      <c r="J111" s="190">
        <f t="shared" si="11"/>
        <v>0</v>
      </c>
      <c r="K111" s="191">
        <f t="shared" si="12"/>
        <v>0</v>
      </c>
      <c r="L111" s="190">
        <f t="shared" si="14"/>
        <v>0</v>
      </c>
      <c r="M111" s="191">
        <f t="shared" si="13"/>
        <v>0</v>
      </c>
      <c r="N111" s="133"/>
      <c r="O111" s="133"/>
      <c r="P111" s="162"/>
      <c r="Q111" s="162"/>
      <c r="R111" s="162"/>
      <c r="S111" s="162"/>
      <c r="T111" s="162"/>
      <c r="U111" s="162"/>
      <c r="V111" s="162"/>
      <c r="W111" s="162"/>
      <c r="X111" s="162"/>
      <c r="Y111" s="162"/>
      <c r="Z111" s="162"/>
      <c r="AA111" s="162"/>
      <c r="AB111" s="162"/>
      <c r="AC111" s="162"/>
      <c r="AD111" s="162"/>
      <c r="AE111" s="162"/>
      <c r="AF111" s="162"/>
      <c r="AG111" s="162"/>
      <c r="AH111" s="162"/>
      <c r="AI111" s="162"/>
      <c r="AJ111" s="162"/>
      <c r="AK111" s="162"/>
      <c r="AL111" s="162"/>
      <c r="AM111" s="162"/>
      <c r="AN111" s="162"/>
      <c r="AO111" s="162"/>
      <c r="AP111" s="162"/>
      <c r="AQ111" s="162"/>
      <c r="AR111" s="162"/>
      <c r="AS111" s="162"/>
      <c r="AT111" s="162"/>
      <c r="AU111" s="162"/>
      <c r="AV111" s="162"/>
      <c r="AW111" s="162"/>
      <c r="AX111" s="162"/>
      <c r="AY111" s="162"/>
      <c r="AZ111" s="162"/>
      <c r="BA111" s="162"/>
      <c r="BB111" s="162"/>
      <c r="BC111" s="162"/>
      <c r="BD111" s="162"/>
      <c r="BE111" s="162"/>
      <c r="BF111" s="162"/>
      <c r="BG111" s="162"/>
      <c r="BH111" s="162"/>
      <c r="BI111" s="162"/>
      <c r="BJ111" s="162"/>
      <c r="BK111" s="162"/>
      <c r="BL111" s="162"/>
      <c r="BM111" s="162"/>
      <c r="BN111" s="162"/>
      <c r="BO111" s="162"/>
      <c r="BP111" s="162"/>
      <c r="BQ111" s="162"/>
      <c r="BR111" s="162"/>
      <c r="BS111" s="162"/>
      <c r="BT111" s="162"/>
      <c r="BU111" s="162"/>
      <c r="BV111" s="162"/>
      <c r="BW111" s="162"/>
    </row>
    <row r="112" s="140" customFormat="1" customHeight="1" spans="1:75">
      <c r="A112" s="161">
        <v>108</v>
      </c>
      <c r="B112" s="342"/>
      <c r="C112" s="162"/>
      <c r="D112" s="162"/>
      <c r="E112" s="162"/>
      <c r="F112" s="546"/>
      <c r="G112" s="191">
        <f t="shared" si="15"/>
        <v>0</v>
      </c>
      <c r="H112" s="190">
        <f t="shared" si="9"/>
        <v>0</v>
      </c>
      <c r="I112" s="191">
        <f t="shared" si="10"/>
        <v>0</v>
      </c>
      <c r="J112" s="190">
        <f t="shared" si="11"/>
        <v>0</v>
      </c>
      <c r="K112" s="191">
        <f t="shared" si="12"/>
        <v>0</v>
      </c>
      <c r="L112" s="190">
        <f t="shared" si="14"/>
        <v>0</v>
      </c>
      <c r="M112" s="191">
        <f t="shared" si="13"/>
        <v>0</v>
      </c>
      <c r="N112" s="133"/>
      <c r="O112" s="133"/>
      <c r="P112" s="162"/>
      <c r="Q112" s="162"/>
      <c r="R112" s="162"/>
      <c r="S112" s="162"/>
      <c r="T112" s="162"/>
      <c r="U112" s="162"/>
      <c r="V112" s="162"/>
      <c r="W112" s="162"/>
      <c r="X112" s="162"/>
      <c r="Y112" s="162"/>
      <c r="Z112" s="162"/>
      <c r="AA112" s="162"/>
      <c r="AB112" s="162"/>
      <c r="AC112" s="162"/>
      <c r="AD112" s="162"/>
      <c r="AE112" s="162"/>
      <c r="AF112" s="162"/>
      <c r="AG112" s="162"/>
      <c r="AH112" s="162"/>
      <c r="AI112" s="162"/>
      <c r="AJ112" s="162"/>
      <c r="AK112" s="162"/>
      <c r="AL112" s="162"/>
      <c r="AM112" s="162"/>
      <c r="AN112" s="162"/>
      <c r="AO112" s="162"/>
      <c r="AP112" s="162"/>
      <c r="AQ112" s="162"/>
      <c r="AR112" s="162"/>
      <c r="AS112" s="162"/>
      <c r="AT112" s="162"/>
      <c r="AU112" s="162"/>
      <c r="AV112" s="162"/>
      <c r="AW112" s="162"/>
      <c r="AX112" s="162"/>
      <c r="AY112" s="162"/>
      <c r="AZ112" s="162"/>
      <c r="BA112" s="162"/>
      <c r="BB112" s="162"/>
      <c r="BC112" s="162"/>
      <c r="BD112" s="162"/>
      <c r="BE112" s="162"/>
      <c r="BF112" s="162"/>
      <c r="BG112" s="162"/>
      <c r="BH112" s="162"/>
      <c r="BI112" s="162"/>
      <c r="BJ112" s="162"/>
      <c r="BK112" s="162"/>
      <c r="BL112" s="162"/>
      <c r="BM112" s="162"/>
      <c r="BN112" s="162"/>
      <c r="BO112" s="162"/>
      <c r="BP112" s="162"/>
      <c r="BQ112" s="162"/>
      <c r="BR112" s="162"/>
      <c r="BS112" s="162"/>
      <c r="BT112" s="162"/>
      <c r="BU112" s="162"/>
      <c r="BV112" s="162"/>
      <c r="BW112" s="162"/>
    </row>
    <row r="113" s="140" customFormat="1" customHeight="1" spans="1:75">
      <c r="A113" s="161">
        <v>109</v>
      </c>
      <c r="B113" s="342"/>
      <c r="C113" s="162"/>
      <c r="D113" s="162"/>
      <c r="E113" s="162"/>
      <c r="F113" s="546"/>
      <c r="G113" s="191">
        <f t="shared" si="15"/>
        <v>0</v>
      </c>
      <c r="H113" s="190">
        <f t="shared" si="9"/>
        <v>0</v>
      </c>
      <c r="I113" s="191">
        <f t="shared" si="10"/>
        <v>0</v>
      </c>
      <c r="J113" s="190">
        <f t="shared" si="11"/>
        <v>0</v>
      </c>
      <c r="K113" s="191">
        <f t="shared" si="12"/>
        <v>0</v>
      </c>
      <c r="L113" s="190">
        <f t="shared" si="14"/>
        <v>0</v>
      </c>
      <c r="M113" s="191">
        <f t="shared" si="13"/>
        <v>0</v>
      </c>
      <c r="N113" s="133"/>
      <c r="O113" s="133"/>
      <c r="P113" s="162"/>
      <c r="Q113" s="162"/>
      <c r="R113" s="162"/>
      <c r="S113" s="162"/>
      <c r="T113" s="162"/>
      <c r="U113" s="162"/>
      <c r="V113" s="162"/>
      <c r="W113" s="162"/>
      <c r="X113" s="162"/>
      <c r="Y113" s="162"/>
      <c r="Z113" s="162"/>
      <c r="AA113" s="162"/>
      <c r="AB113" s="162"/>
      <c r="AC113" s="162"/>
      <c r="AD113" s="162"/>
      <c r="AE113" s="162"/>
      <c r="AF113" s="162"/>
      <c r="AG113" s="162"/>
      <c r="AH113" s="162"/>
      <c r="AI113" s="162"/>
      <c r="AJ113" s="162"/>
      <c r="AK113" s="162"/>
      <c r="AL113" s="162"/>
      <c r="AM113" s="162"/>
      <c r="AN113" s="162"/>
      <c r="AO113" s="162"/>
      <c r="AP113" s="162"/>
      <c r="AQ113" s="162"/>
      <c r="AR113" s="162"/>
      <c r="AS113" s="162"/>
      <c r="AT113" s="162"/>
      <c r="AU113" s="162"/>
      <c r="AV113" s="162"/>
      <c r="AW113" s="162"/>
      <c r="AX113" s="162"/>
      <c r="AY113" s="162"/>
      <c r="AZ113" s="162"/>
      <c r="BA113" s="162"/>
      <c r="BB113" s="162"/>
      <c r="BC113" s="162"/>
      <c r="BD113" s="162"/>
      <c r="BE113" s="162"/>
      <c r="BF113" s="162"/>
      <c r="BG113" s="162"/>
      <c r="BH113" s="162"/>
      <c r="BI113" s="162"/>
      <c r="BJ113" s="162"/>
      <c r="BK113" s="162"/>
      <c r="BL113" s="162"/>
      <c r="BM113" s="162"/>
      <c r="BN113" s="162"/>
      <c r="BO113" s="162"/>
      <c r="BP113" s="162"/>
      <c r="BQ113" s="162"/>
      <c r="BR113" s="162"/>
      <c r="BS113" s="162"/>
      <c r="BT113" s="162"/>
      <c r="BU113" s="162"/>
      <c r="BV113" s="162"/>
      <c r="BW113" s="162"/>
    </row>
    <row r="114" s="140" customFormat="1" customHeight="1" spans="1:75">
      <c r="A114" s="161">
        <v>110</v>
      </c>
      <c r="B114" s="342"/>
      <c r="C114" s="162"/>
      <c r="D114" s="162"/>
      <c r="E114" s="162"/>
      <c r="F114" s="546"/>
      <c r="G114" s="191">
        <f t="shared" si="15"/>
        <v>0</v>
      </c>
      <c r="H114" s="190">
        <f t="shared" si="9"/>
        <v>0</v>
      </c>
      <c r="I114" s="191">
        <f t="shared" si="10"/>
        <v>0</v>
      </c>
      <c r="J114" s="190">
        <f t="shared" si="11"/>
        <v>0</v>
      </c>
      <c r="K114" s="191">
        <f t="shared" si="12"/>
        <v>0</v>
      </c>
      <c r="L114" s="190">
        <f t="shared" si="14"/>
        <v>0</v>
      </c>
      <c r="M114" s="191">
        <f t="shared" si="13"/>
        <v>0</v>
      </c>
      <c r="N114" s="133"/>
      <c r="O114" s="133"/>
      <c r="P114" s="162"/>
      <c r="Q114" s="162"/>
      <c r="R114" s="162"/>
      <c r="S114" s="162"/>
      <c r="T114" s="162"/>
      <c r="U114" s="162"/>
      <c r="V114" s="162"/>
      <c r="W114" s="162"/>
      <c r="X114" s="162"/>
      <c r="Y114" s="162"/>
      <c r="Z114" s="162"/>
      <c r="AA114" s="162"/>
      <c r="AB114" s="162"/>
      <c r="AC114" s="162"/>
      <c r="AD114" s="162"/>
      <c r="AE114" s="162"/>
      <c r="AF114" s="162"/>
      <c r="AG114" s="162"/>
      <c r="AH114" s="162"/>
      <c r="AI114" s="162"/>
      <c r="AJ114" s="162"/>
      <c r="AK114" s="162"/>
      <c r="AL114" s="162"/>
      <c r="AM114" s="162"/>
      <c r="AN114" s="162"/>
      <c r="AO114" s="162"/>
      <c r="AP114" s="162"/>
      <c r="AQ114" s="162"/>
      <c r="AR114" s="162"/>
      <c r="AS114" s="162"/>
      <c r="AT114" s="162"/>
      <c r="AU114" s="162"/>
      <c r="AV114" s="162"/>
      <c r="AW114" s="162"/>
      <c r="AX114" s="162"/>
      <c r="AY114" s="162"/>
      <c r="AZ114" s="162"/>
      <c r="BA114" s="162"/>
      <c r="BB114" s="162"/>
      <c r="BC114" s="162"/>
      <c r="BD114" s="162"/>
      <c r="BE114" s="162"/>
      <c r="BF114" s="162"/>
      <c r="BG114" s="162"/>
      <c r="BH114" s="162"/>
      <c r="BI114" s="162"/>
      <c r="BJ114" s="162"/>
      <c r="BK114" s="162"/>
      <c r="BL114" s="162"/>
      <c r="BM114" s="162"/>
      <c r="BN114" s="162"/>
      <c r="BO114" s="162"/>
      <c r="BP114" s="162"/>
      <c r="BQ114" s="162"/>
      <c r="BR114" s="162"/>
      <c r="BS114" s="162"/>
      <c r="BT114" s="162"/>
      <c r="BU114" s="162"/>
      <c r="BV114" s="162"/>
      <c r="BW114" s="162"/>
    </row>
    <row r="115" s="140" customFormat="1" customHeight="1" spans="1:75">
      <c r="A115" s="161">
        <v>111</v>
      </c>
      <c r="B115" s="342"/>
      <c r="C115" s="162"/>
      <c r="D115" s="162"/>
      <c r="E115" s="162"/>
      <c r="F115" s="546"/>
      <c r="G115" s="191">
        <f t="shared" si="15"/>
        <v>0</v>
      </c>
      <c r="H115" s="190">
        <f t="shared" si="9"/>
        <v>0</v>
      </c>
      <c r="I115" s="191">
        <f t="shared" si="10"/>
        <v>0</v>
      </c>
      <c r="J115" s="190">
        <f t="shared" si="11"/>
        <v>0</v>
      </c>
      <c r="K115" s="191">
        <f t="shared" si="12"/>
        <v>0</v>
      </c>
      <c r="L115" s="190">
        <f t="shared" si="14"/>
        <v>0</v>
      </c>
      <c r="M115" s="191">
        <f t="shared" si="13"/>
        <v>0</v>
      </c>
      <c r="N115" s="133"/>
      <c r="O115" s="133"/>
      <c r="P115" s="162"/>
      <c r="Q115" s="162"/>
      <c r="R115" s="162"/>
      <c r="S115" s="162"/>
      <c r="T115" s="162"/>
      <c r="U115" s="162"/>
      <c r="V115" s="162"/>
      <c r="W115" s="162"/>
      <c r="X115" s="162"/>
      <c r="Y115" s="162"/>
      <c r="Z115" s="162"/>
      <c r="AA115" s="162"/>
      <c r="AB115" s="162"/>
      <c r="AC115" s="162"/>
      <c r="AD115" s="162"/>
      <c r="AE115" s="162"/>
      <c r="AF115" s="162"/>
      <c r="AG115" s="162"/>
      <c r="AH115" s="162"/>
      <c r="AI115" s="162"/>
      <c r="AJ115" s="162"/>
      <c r="AK115" s="162"/>
      <c r="AL115" s="162"/>
      <c r="AM115" s="162"/>
      <c r="AN115" s="162"/>
      <c r="AO115" s="162"/>
      <c r="AP115" s="162"/>
      <c r="AQ115" s="162"/>
      <c r="AR115" s="162"/>
      <c r="AS115" s="162"/>
      <c r="AT115" s="162"/>
      <c r="AU115" s="162"/>
      <c r="AV115" s="162"/>
      <c r="AW115" s="162"/>
      <c r="AX115" s="162"/>
      <c r="AY115" s="162"/>
      <c r="AZ115" s="162"/>
      <c r="BA115" s="162"/>
      <c r="BB115" s="162"/>
      <c r="BC115" s="162"/>
      <c r="BD115" s="162"/>
      <c r="BE115" s="162"/>
      <c r="BF115" s="162"/>
      <c r="BG115" s="162"/>
      <c r="BH115" s="162"/>
      <c r="BI115" s="162"/>
      <c r="BJ115" s="162"/>
      <c r="BK115" s="162"/>
      <c r="BL115" s="162"/>
      <c r="BM115" s="162"/>
      <c r="BN115" s="162"/>
      <c r="BO115" s="162"/>
      <c r="BP115" s="162"/>
      <c r="BQ115" s="162"/>
      <c r="BR115" s="162"/>
      <c r="BS115" s="162"/>
      <c r="BT115" s="162"/>
      <c r="BU115" s="162"/>
      <c r="BV115" s="162"/>
      <c r="BW115" s="162"/>
    </row>
    <row r="116" s="140" customFormat="1" customHeight="1" spans="1:75">
      <c r="A116" s="161">
        <v>112</v>
      </c>
      <c r="B116" s="342"/>
      <c r="C116" s="162"/>
      <c r="D116" s="162"/>
      <c r="E116" s="162"/>
      <c r="F116" s="546"/>
      <c r="G116" s="191">
        <f t="shared" si="15"/>
        <v>0</v>
      </c>
      <c r="H116" s="190">
        <f t="shared" si="9"/>
        <v>0</v>
      </c>
      <c r="I116" s="191">
        <f t="shared" si="10"/>
        <v>0</v>
      </c>
      <c r="J116" s="190">
        <f t="shared" si="11"/>
        <v>0</v>
      </c>
      <c r="K116" s="191">
        <f t="shared" si="12"/>
        <v>0</v>
      </c>
      <c r="L116" s="190">
        <f t="shared" si="14"/>
        <v>0</v>
      </c>
      <c r="M116" s="191">
        <f t="shared" si="13"/>
        <v>0</v>
      </c>
      <c r="N116" s="133"/>
      <c r="O116" s="133"/>
      <c r="P116" s="162"/>
      <c r="Q116" s="162"/>
      <c r="R116" s="162"/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/>
      <c r="AD116" s="162"/>
      <c r="AE116" s="162"/>
      <c r="AF116" s="162"/>
      <c r="AG116" s="162"/>
      <c r="AH116" s="162"/>
      <c r="AI116" s="162"/>
      <c r="AJ116" s="162"/>
      <c r="AK116" s="162"/>
      <c r="AL116" s="162"/>
      <c r="AM116" s="162"/>
      <c r="AN116" s="162"/>
      <c r="AO116" s="162"/>
      <c r="AP116" s="162"/>
      <c r="AQ116" s="162"/>
      <c r="AR116" s="162"/>
      <c r="AS116" s="162"/>
      <c r="AT116" s="162"/>
      <c r="AU116" s="162"/>
      <c r="AV116" s="162"/>
      <c r="AW116" s="162"/>
      <c r="AX116" s="162"/>
      <c r="AY116" s="162"/>
      <c r="AZ116" s="162"/>
      <c r="BA116" s="162"/>
      <c r="BB116" s="162"/>
      <c r="BC116" s="162"/>
      <c r="BD116" s="162"/>
      <c r="BE116" s="162"/>
      <c r="BF116" s="162"/>
      <c r="BG116" s="162"/>
      <c r="BH116" s="162"/>
      <c r="BI116" s="162"/>
      <c r="BJ116" s="162"/>
      <c r="BK116" s="162"/>
      <c r="BL116" s="162"/>
      <c r="BM116" s="162"/>
      <c r="BN116" s="162"/>
      <c r="BO116" s="162"/>
      <c r="BP116" s="162"/>
      <c r="BQ116" s="162"/>
      <c r="BR116" s="162"/>
      <c r="BS116" s="162"/>
      <c r="BT116" s="162"/>
      <c r="BU116" s="162"/>
      <c r="BV116" s="162"/>
      <c r="BW116" s="162"/>
    </row>
    <row r="117" s="140" customFormat="1" customHeight="1" spans="1:75">
      <c r="A117" s="161">
        <v>113</v>
      </c>
      <c r="B117" s="342"/>
      <c r="C117" s="162"/>
      <c r="D117" s="162"/>
      <c r="E117" s="162"/>
      <c r="F117" s="546"/>
      <c r="G117" s="191">
        <f t="shared" si="15"/>
        <v>0</v>
      </c>
      <c r="H117" s="190">
        <f t="shared" si="9"/>
        <v>0</v>
      </c>
      <c r="I117" s="191">
        <f t="shared" si="10"/>
        <v>0</v>
      </c>
      <c r="J117" s="190">
        <f t="shared" si="11"/>
        <v>0</v>
      </c>
      <c r="K117" s="191">
        <f t="shared" si="12"/>
        <v>0</v>
      </c>
      <c r="L117" s="190">
        <f t="shared" si="14"/>
        <v>0</v>
      </c>
      <c r="M117" s="191">
        <f t="shared" si="13"/>
        <v>0</v>
      </c>
      <c r="N117" s="133"/>
      <c r="O117" s="133"/>
      <c r="P117" s="162"/>
      <c r="Q117" s="162"/>
      <c r="R117" s="162"/>
      <c r="S117" s="162"/>
      <c r="T117" s="162"/>
      <c r="U117" s="162"/>
      <c r="V117" s="162"/>
      <c r="W117" s="162"/>
      <c r="X117" s="162"/>
      <c r="Y117" s="162"/>
      <c r="Z117" s="162"/>
      <c r="AA117" s="162"/>
      <c r="AB117" s="162"/>
      <c r="AC117" s="162"/>
      <c r="AD117" s="162"/>
      <c r="AE117" s="162"/>
      <c r="AF117" s="162"/>
      <c r="AG117" s="162"/>
      <c r="AH117" s="162"/>
      <c r="AI117" s="162"/>
      <c r="AJ117" s="162"/>
      <c r="AK117" s="162"/>
      <c r="AL117" s="162"/>
      <c r="AM117" s="162"/>
      <c r="AN117" s="162"/>
      <c r="AO117" s="162"/>
      <c r="AP117" s="162"/>
      <c r="AQ117" s="162"/>
      <c r="AR117" s="162"/>
      <c r="AS117" s="162"/>
      <c r="AT117" s="162"/>
      <c r="AU117" s="162"/>
      <c r="AV117" s="162"/>
      <c r="AW117" s="162"/>
      <c r="AX117" s="162"/>
      <c r="AY117" s="162"/>
      <c r="AZ117" s="162"/>
      <c r="BA117" s="162"/>
      <c r="BB117" s="162"/>
      <c r="BC117" s="162"/>
      <c r="BD117" s="162"/>
      <c r="BE117" s="162"/>
      <c r="BF117" s="162"/>
      <c r="BG117" s="162"/>
      <c r="BH117" s="162"/>
      <c r="BI117" s="162"/>
      <c r="BJ117" s="162"/>
      <c r="BK117" s="162"/>
      <c r="BL117" s="162"/>
      <c r="BM117" s="162"/>
      <c r="BN117" s="162"/>
      <c r="BO117" s="162"/>
      <c r="BP117" s="162"/>
      <c r="BQ117" s="162"/>
      <c r="BR117" s="162"/>
      <c r="BS117" s="162"/>
      <c r="BT117" s="162"/>
      <c r="BU117" s="162"/>
      <c r="BV117" s="162"/>
      <c r="BW117" s="162"/>
    </row>
    <row r="118" s="140" customFormat="1" customHeight="1" spans="1:75">
      <c r="A118" s="161">
        <v>114</v>
      </c>
      <c r="B118" s="342"/>
      <c r="C118" s="162"/>
      <c r="D118" s="162"/>
      <c r="E118" s="162"/>
      <c r="F118" s="546"/>
      <c r="G118" s="191">
        <f t="shared" si="15"/>
        <v>0</v>
      </c>
      <c r="H118" s="190">
        <f t="shared" si="9"/>
        <v>0</v>
      </c>
      <c r="I118" s="191">
        <f t="shared" si="10"/>
        <v>0</v>
      </c>
      <c r="J118" s="190">
        <f t="shared" si="11"/>
        <v>0</v>
      </c>
      <c r="K118" s="191">
        <f t="shared" si="12"/>
        <v>0</v>
      </c>
      <c r="L118" s="190">
        <f t="shared" si="14"/>
        <v>0</v>
      </c>
      <c r="M118" s="191">
        <f t="shared" si="13"/>
        <v>0</v>
      </c>
      <c r="N118" s="133"/>
      <c r="O118" s="133"/>
      <c r="P118" s="162"/>
      <c r="Q118" s="162"/>
      <c r="R118" s="162"/>
      <c r="S118" s="162"/>
      <c r="T118" s="162"/>
      <c r="U118" s="162"/>
      <c r="V118" s="162"/>
      <c r="W118" s="162"/>
      <c r="X118" s="162"/>
      <c r="Y118" s="162"/>
      <c r="Z118" s="162"/>
      <c r="AA118" s="162"/>
      <c r="AB118" s="162"/>
      <c r="AC118" s="162"/>
      <c r="AD118" s="162"/>
      <c r="AE118" s="162"/>
      <c r="AF118" s="162"/>
      <c r="AG118" s="162"/>
      <c r="AH118" s="162"/>
      <c r="AI118" s="162"/>
      <c r="AJ118" s="162"/>
      <c r="AK118" s="162"/>
      <c r="AL118" s="162"/>
      <c r="AM118" s="162"/>
      <c r="AN118" s="162"/>
      <c r="AO118" s="162"/>
      <c r="AP118" s="162"/>
      <c r="AQ118" s="162"/>
      <c r="AR118" s="162"/>
      <c r="AS118" s="162"/>
      <c r="AT118" s="162"/>
      <c r="AU118" s="162"/>
      <c r="AV118" s="162"/>
      <c r="AW118" s="162"/>
      <c r="AX118" s="162"/>
      <c r="AY118" s="162"/>
      <c r="AZ118" s="162"/>
      <c r="BA118" s="162"/>
      <c r="BB118" s="162"/>
      <c r="BC118" s="162"/>
      <c r="BD118" s="162"/>
      <c r="BE118" s="162"/>
      <c r="BF118" s="162"/>
      <c r="BG118" s="162"/>
      <c r="BH118" s="162"/>
      <c r="BI118" s="162"/>
      <c r="BJ118" s="162"/>
      <c r="BK118" s="162"/>
      <c r="BL118" s="162"/>
      <c r="BM118" s="162"/>
      <c r="BN118" s="162"/>
      <c r="BO118" s="162"/>
      <c r="BP118" s="162"/>
      <c r="BQ118" s="162"/>
      <c r="BR118" s="162"/>
      <c r="BS118" s="162"/>
      <c r="BT118" s="162"/>
      <c r="BU118" s="162"/>
      <c r="BV118" s="162"/>
      <c r="BW118" s="162"/>
    </row>
    <row r="119" s="140" customFormat="1" customHeight="1" spans="1:75">
      <c r="A119" s="161">
        <v>115</v>
      </c>
      <c r="B119" s="342"/>
      <c r="C119" s="162"/>
      <c r="D119" s="162"/>
      <c r="E119" s="162"/>
      <c r="F119" s="546"/>
      <c r="G119" s="191">
        <f t="shared" si="15"/>
        <v>0</v>
      </c>
      <c r="H119" s="190">
        <f t="shared" si="9"/>
        <v>0</v>
      </c>
      <c r="I119" s="191">
        <f t="shared" si="10"/>
        <v>0</v>
      </c>
      <c r="J119" s="190">
        <f t="shared" si="11"/>
        <v>0</v>
      </c>
      <c r="K119" s="191">
        <f t="shared" si="12"/>
        <v>0</v>
      </c>
      <c r="L119" s="190">
        <f t="shared" si="14"/>
        <v>0</v>
      </c>
      <c r="M119" s="191">
        <f t="shared" si="13"/>
        <v>0</v>
      </c>
      <c r="N119" s="133"/>
      <c r="O119" s="133"/>
      <c r="P119" s="162"/>
      <c r="Q119" s="162"/>
      <c r="R119" s="162"/>
      <c r="S119" s="162"/>
      <c r="T119" s="162"/>
      <c r="U119" s="162"/>
      <c r="V119" s="162"/>
      <c r="W119" s="162"/>
      <c r="X119" s="162"/>
      <c r="Y119" s="162"/>
      <c r="Z119" s="162"/>
      <c r="AA119" s="162"/>
      <c r="AB119" s="162"/>
      <c r="AC119" s="162"/>
      <c r="AD119" s="162"/>
      <c r="AE119" s="162"/>
      <c r="AF119" s="162"/>
      <c r="AG119" s="162"/>
      <c r="AH119" s="162"/>
      <c r="AI119" s="162"/>
      <c r="AJ119" s="162"/>
      <c r="AK119" s="162"/>
      <c r="AL119" s="162"/>
      <c r="AM119" s="162"/>
      <c r="AN119" s="162"/>
      <c r="AO119" s="162"/>
      <c r="AP119" s="162"/>
      <c r="AQ119" s="162"/>
      <c r="AR119" s="162"/>
      <c r="AS119" s="162"/>
      <c r="AT119" s="162"/>
      <c r="AU119" s="162"/>
      <c r="AV119" s="162"/>
      <c r="AW119" s="162"/>
      <c r="AX119" s="162"/>
      <c r="AY119" s="162"/>
      <c r="AZ119" s="162"/>
      <c r="BA119" s="162"/>
      <c r="BB119" s="162"/>
      <c r="BC119" s="162"/>
      <c r="BD119" s="162"/>
      <c r="BE119" s="162"/>
      <c r="BF119" s="162"/>
      <c r="BG119" s="162"/>
      <c r="BH119" s="162"/>
      <c r="BI119" s="162"/>
      <c r="BJ119" s="162"/>
      <c r="BK119" s="162"/>
      <c r="BL119" s="162"/>
      <c r="BM119" s="162"/>
      <c r="BN119" s="162"/>
      <c r="BO119" s="162"/>
      <c r="BP119" s="162"/>
      <c r="BQ119" s="162"/>
      <c r="BR119" s="162"/>
      <c r="BS119" s="162"/>
      <c r="BT119" s="162"/>
      <c r="BU119" s="162"/>
      <c r="BV119" s="162"/>
      <c r="BW119" s="162"/>
    </row>
    <row r="120" s="140" customFormat="1" customHeight="1" spans="1:75">
      <c r="A120" s="161">
        <v>116</v>
      </c>
      <c r="B120" s="342"/>
      <c r="C120" s="162"/>
      <c r="D120" s="162"/>
      <c r="E120" s="162"/>
      <c r="F120" s="546"/>
      <c r="G120" s="191">
        <f t="shared" si="15"/>
        <v>0</v>
      </c>
      <c r="H120" s="190">
        <f t="shared" si="9"/>
        <v>0</v>
      </c>
      <c r="I120" s="191">
        <f t="shared" si="10"/>
        <v>0</v>
      </c>
      <c r="J120" s="190">
        <f t="shared" si="11"/>
        <v>0</v>
      </c>
      <c r="K120" s="191">
        <f t="shared" si="12"/>
        <v>0</v>
      </c>
      <c r="L120" s="190">
        <f t="shared" si="14"/>
        <v>0</v>
      </c>
      <c r="M120" s="191">
        <f t="shared" si="13"/>
        <v>0</v>
      </c>
      <c r="N120" s="133"/>
      <c r="O120" s="133"/>
      <c r="P120" s="162"/>
      <c r="Q120" s="162"/>
      <c r="R120" s="162"/>
      <c r="S120" s="162"/>
      <c r="T120" s="162"/>
      <c r="U120" s="162"/>
      <c r="V120" s="162"/>
      <c r="W120" s="162"/>
      <c r="X120" s="162"/>
      <c r="Y120" s="162"/>
      <c r="Z120" s="162"/>
      <c r="AA120" s="162"/>
      <c r="AB120" s="162"/>
      <c r="AC120" s="162"/>
      <c r="AD120" s="162"/>
      <c r="AE120" s="162"/>
      <c r="AF120" s="162"/>
      <c r="AG120" s="162"/>
      <c r="AH120" s="162"/>
      <c r="AI120" s="162"/>
      <c r="AJ120" s="162"/>
      <c r="AK120" s="162"/>
      <c r="AL120" s="162"/>
      <c r="AM120" s="162"/>
      <c r="AN120" s="162"/>
      <c r="AO120" s="162"/>
      <c r="AP120" s="162"/>
      <c r="AQ120" s="162"/>
      <c r="AR120" s="162"/>
      <c r="AS120" s="162"/>
      <c r="AT120" s="162"/>
      <c r="AU120" s="162"/>
      <c r="AV120" s="162"/>
      <c r="AW120" s="162"/>
      <c r="AX120" s="162"/>
      <c r="AY120" s="162"/>
      <c r="AZ120" s="162"/>
      <c r="BA120" s="162"/>
      <c r="BB120" s="162"/>
      <c r="BC120" s="162"/>
      <c r="BD120" s="162"/>
      <c r="BE120" s="162"/>
      <c r="BF120" s="162"/>
      <c r="BG120" s="162"/>
      <c r="BH120" s="162"/>
      <c r="BI120" s="162"/>
      <c r="BJ120" s="162"/>
      <c r="BK120" s="162"/>
      <c r="BL120" s="162"/>
      <c r="BM120" s="162"/>
      <c r="BN120" s="162"/>
      <c r="BO120" s="162"/>
      <c r="BP120" s="162"/>
      <c r="BQ120" s="162"/>
      <c r="BR120" s="162"/>
      <c r="BS120" s="162"/>
      <c r="BT120" s="162"/>
      <c r="BU120" s="162"/>
      <c r="BV120" s="162"/>
      <c r="BW120" s="162"/>
    </row>
    <row r="121" s="140" customFormat="1" customHeight="1" spans="1:75">
      <c r="A121" s="161">
        <v>117</v>
      </c>
      <c r="B121" s="342"/>
      <c r="C121" s="162"/>
      <c r="D121" s="162"/>
      <c r="E121" s="162"/>
      <c r="F121" s="546"/>
      <c r="G121" s="191">
        <f t="shared" si="15"/>
        <v>0</v>
      </c>
      <c r="H121" s="190">
        <f t="shared" si="9"/>
        <v>0</v>
      </c>
      <c r="I121" s="191">
        <f t="shared" si="10"/>
        <v>0</v>
      </c>
      <c r="J121" s="190">
        <f t="shared" si="11"/>
        <v>0</v>
      </c>
      <c r="K121" s="191">
        <f t="shared" si="12"/>
        <v>0</v>
      </c>
      <c r="L121" s="190">
        <f t="shared" si="14"/>
        <v>0</v>
      </c>
      <c r="M121" s="191">
        <f t="shared" si="13"/>
        <v>0</v>
      </c>
      <c r="N121" s="133"/>
      <c r="O121" s="133"/>
      <c r="P121" s="162"/>
      <c r="Q121" s="162"/>
      <c r="R121" s="162"/>
      <c r="S121" s="162"/>
      <c r="T121" s="162"/>
      <c r="U121" s="162"/>
      <c r="V121" s="162"/>
      <c r="W121" s="162"/>
      <c r="X121" s="162"/>
      <c r="Y121" s="162"/>
      <c r="Z121" s="162"/>
      <c r="AA121" s="162"/>
      <c r="AB121" s="162"/>
      <c r="AC121" s="162"/>
      <c r="AD121" s="162"/>
      <c r="AE121" s="162"/>
      <c r="AF121" s="162"/>
      <c r="AG121" s="162"/>
      <c r="AH121" s="162"/>
      <c r="AI121" s="162"/>
      <c r="AJ121" s="162"/>
      <c r="AK121" s="162"/>
      <c r="AL121" s="162"/>
      <c r="AM121" s="162"/>
      <c r="AN121" s="162"/>
      <c r="AO121" s="162"/>
      <c r="AP121" s="162"/>
      <c r="AQ121" s="162"/>
      <c r="AR121" s="162"/>
      <c r="AS121" s="162"/>
      <c r="AT121" s="162"/>
      <c r="AU121" s="162"/>
      <c r="AV121" s="162"/>
      <c r="AW121" s="162"/>
      <c r="AX121" s="162"/>
      <c r="AY121" s="162"/>
      <c r="AZ121" s="162"/>
      <c r="BA121" s="162"/>
      <c r="BB121" s="162"/>
      <c r="BC121" s="162"/>
      <c r="BD121" s="162"/>
      <c r="BE121" s="162"/>
      <c r="BF121" s="162"/>
      <c r="BG121" s="162"/>
      <c r="BH121" s="162"/>
      <c r="BI121" s="162"/>
      <c r="BJ121" s="162"/>
      <c r="BK121" s="162"/>
      <c r="BL121" s="162"/>
      <c r="BM121" s="162"/>
      <c r="BN121" s="162"/>
      <c r="BO121" s="162"/>
      <c r="BP121" s="162"/>
      <c r="BQ121" s="162"/>
      <c r="BR121" s="162"/>
      <c r="BS121" s="162"/>
      <c r="BT121" s="162"/>
      <c r="BU121" s="162"/>
      <c r="BV121" s="162"/>
      <c r="BW121" s="162"/>
    </row>
    <row r="122" s="140" customFormat="1" customHeight="1" spans="1:75">
      <c r="A122" s="161">
        <v>118</v>
      </c>
      <c r="B122" s="342"/>
      <c r="C122" s="162"/>
      <c r="D122" s="162"/>
      <c r="E122" s="162"/>
      <c r="F122" s="546"/>
      <c r="G122" s="191">
        <f t="shared" si="15"/>
        <v>0</v>
      </c>
      <c r="H122" s="190">
        <f t="shared" si="9"/>
        <v>0</v>
      </c>
      <c r="I122" s="191">
        <f t="shared" si="10"/>
        <v>0</v>
      </c>
      <c r="J122" s="190">
        <f t="shared" si="11"/>
        <v>0</v>
      </c>
      <c r="K122" s="191">
        <f t="shared" si="12"/>
        <v>0</v>
      </c>
      <c r="L122" s="190">
        <f t="shared" si="14"/>
        <v>0</v>
      </c>
      <c r="M122" s="191">
        <f t="shared" si="13"/>
        <v>0</v>
      </c>
      <c r="N122" s="133"/>
      <c r="O122" s="133"/>
      <c r="P122" s="162"/>
      <c r="Q122" s="162"/>
      <c r="R122" s="162"/>
      <c r="S122" s="162"/>
      <c r="T122" s="162"/>
      <c r="U122" s="162"/>
      <c r="V122" s="162"/>
      <c r="W122" s="162"/>
      <c r="X122" s="162"/>
      <c r="Y122" s="162"/>
      <c r="Z122" s="162"/>
      <c r="AA122" s="162"/>
      <c r="AB122" s="162"/>
      <c r="AC122" s="162"/>
      <c r="AD122" s="162"/>
      <c r="AE122" s="162"/>
      <c r="AF122" s="162"/>
      <c r="AG122" s="162"/>
      <c r="AH122" s="162"/>
      <c r="AI122" s="162"/>
      <c r="AJ122" s="162"/>
      <c r="AK122" s="162"/>
      <c r="AL122" s="162"/>
      <c r="AM122" s="162"/>
      <c r="AN122" s="162"/>
      <c r="AO122" s="162"/>
      <c r="AP122" s="162"/>
      <c r="AQ122" s="162"/>
      <c r="AR122" s="162"/>
      <c r="AS122" s="162"/>
      <c r="AT122" s="162"/>
      <c r="AU122" s="162"/>
      <c r="AV122" s="162"/>
      <c r="AW122" s="162"/>
      <c r="AX122" s="162"/>
      <c r="AY122" s="162"/>
      <c r="AZ122" s="162"/>
      <c r="BA122" s="162"/>
      <c r="BB122" s="162"/>
      <c r="BC122" s="162"/>
      <c r="BD122" s="162"/>
      <c r="BE122" s="162"/>
      <c r="BF122" s="162"/>
      <c r="BG122" s="162"/>
      <c r="BH122" s="162"/>
      <c r="BI122" s="162"/>
      <c r="BJ122" s="162"/>
      <c r="BK122" s="162"/>
      <c r="BL122" s="162"/>
      <c r="BM122" s="162"/>
      <c r="BN122" s="162"/>
      <c r="BO122" s="162"/>
      <c r="BP122" s="162"/>
      <c r="BQ122" s="162"/>
      <c r="BR122" s="162"/>
      <c r="BS122" s="162"/>
      <c r="BT122" s="162"/>
      <c r="BU122" s="162"/>
      <c r="BV122" s="162"/>
      <c r="BW122" s="162"/>
    </row>
    <row r="123" s="140" customFormat="1" customHeight="1" spans="1:75">
      <c r="A123" s="161">
        <v>119</v>
      </c>
      <c r="B123" s="342"/>
      <c r="C123" s="162"/>
      <c r="D123" s="162"/>
      <c r="E123" s="162"/>
      <c r="F123" s="546"/>
      <c r="G123" s="191">
        <f t="shared" si="15"/>
        <v>0</v>
      </c>
      <c r="H123" s="190">
        <f t="shared" si="9"/>
        <v>0</v>
      </c>
      <c r="I123" s="191">
        <f t="shared" si="10"/>
        <v>0</v>
      </c>
      <c r="J123" s="190">
        <f t="shared" si="11"/>
        <v>0</v>
      </c>
      <c r="K123" s="191">
        <f t="shared" si="12"/>
        <v>0</v>
      </c>
      <c r="L123" s="190">
        <f t="shared" si="14"/>
        <v>0</v>
      </c>
      <c r="M123" s="191">
        <f t="shared" si="13"/>
        <v>0</v>
      </c>
      <c r="N123" s="133"/>
      <c r="O123" s="133"/>
      <c r="P123" s="162"/>
      <c r="Q123" s="162"/>
      <c r="R123" s="162"/>
      <c r="S123" s="162"/>
      <c r="T123" s="162"/>
      <c r="U123" s="162"/>
      <c r="V123" s="162"/>
      <c r="W123" s="162"/>
      <c r="X123" s="162"/>
      <c r="Y123" s="162"/>
      <c r="Z123" s="162"/>
      <c r="AA123" s="162"/>
      <c r="AB123" s="162"/>
      <c r="AC123" s="162"/>
      <c r="AD123" s="162"/>
      <c r="AE123" s="162"/>
      <c r="AF123" s="162"/>
      <c r="AG123" s="162"/>
      <c r="AH123" s="162"/>
      <c r="AI123" s="162"/>
      <c r="AJ123" s="162"/>
      <c r="AK123" s="162"/>
      <c r="AL123" s="162"/>
      <c r="AM123" s="162"/>
      <c r="AN123" s="162"/>
      <c r="AO123" s="162"/>
      <c r="AP123" s="162"/>
      <c r="AQ123" s="162"/>
      <c r="AR123" s="162"/>
      <c r="AS123" s="162"/>
      <c r="AT123" s="162"/>
      <c r="AU123" s="162"/>
      <c r="AV123" s="162"/>
      <c r="AW123" s="162"/>
      <c r="AX123" s="162"/>
      <c r="AY123" s="162"/>
      <c r="AZ123" s="162"/>
      <c r="BA123" s="162"/>
      <c r="BB123" s="162"/>
      <c r="BC123" s="162"/>
      <c r="BD123" s="162"/>
      <c r="BE123" s="162"/>
      <c r="BF123" s="162"/>
      <c r="BG123" s="162"/>
      <c r="BH123" s="162"/>
      <c r="BI123" s="162"/>
      <c r="BJ123" s="162"/>
      <c r="BK123" s="162"/>
      <c r="BL123" s="162"/>
      <c r="BM123" s="162"/>
      <c r="BN123" s="162"/>
      <c r="BO123" s="162"/>
      <c r="BP123" s="162"/>
      <c r="BQ123" s="162"/>
      <c r="BR123" s="162"/>
      <c r="BS123" s="162"/>
      <c r="BT123" s="162"/>
      <c r="BU123" s="162"/>
      <c r="BV123" s="162"/>
      <c r="BW123" s="162"/>
    </row>
    <row r="124" s="140" customFormat="1" customHeight="1" spans="1:75">
      <c r="A124" s="161">
        <v>120</v>
      </c>
      <c r="B124" s="342"/>
      <c r="C124" s="162"/>
      <c r="D124" s="162"/>
      <c r="E124" s="162"/>
      <c r="F124" s="546"/>
      <c r="G124" s="191">
        <f t="shared" si="15"/>
        <v>0</v>
      </c>
      <c r="H124" s="190">
        <f t="shared" si="9"/>
        <v>0</v>
      </c>
      <c r="I124" s="191">
        <f t="shared" si="10"/>
        <v>0</v>
      </c>
      <c r="J124" s="190">
        <f t="shared" si="11"/>
        <v>0</v>
      </c>
      <c r="K124" s="191">
        <f t="shared" si="12"/>
        <v>0</v>
      </c>
      <c r="L124" s="190">
        <f t="shared" si="14"/>
        <v>0</v>
      </c>
      <c r="M124" s="191">
        <f t="shared" si="13"/>
        <v>0</v>
      </c>
      <c r="N124" s="133"/>
      <c r="O124" s="133"/>
      <c r="P124" s="162"/>
      <c r="Q124" s="162"/>
      <c r="R124" s="162"/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62"/>
      <c r="BF124" s="162"/>
      <c r="BG124" s="162"/>
      <c r="BH124" s="162"/>
      <c r="BI124" s="162"/>
      <c r="BJ124" s="162"/>
      <c r="BK124" s="162"/>
      <c r="BL124" s="162"/>
      <c r="BM124" s="162"/>
      <c r="BN124" s="162"/>
      <c r="BO124" s="162"/>
      <c r="BP124" s="162"/>
      <c r="BQ124" s="162"/>
      <c r="BR124" s="162"/>
      <c r="BS124" s="162"/>
      <c r="BT124" s="162"/>
      <c r="BU124" s="162"/>
      <c r="BV124" s="162"/>
      <c r="BW124" s="162"/>
    </row>
    <row r="125" s="140" customFormat="1" customHeight="1" spans="1:75">
      <c r="A125" s="161">
        <v>121</v>
      </c>
      <c r="B125" s="342"/>
      <c r="C125" s="162"/>
      <c r="D125" s="162"/>
      <c r="E125" s="162"/>
      <c r="F125" s="546"/>
      <c r="G125" s="191">
        <f t="shared" si="15"/>
        <v>0</v>
      </c>
      <c r="H125" s="190">
        <f t="shared" si="9"/>
        <v>0</v>
      </c>
      <c r="I125" s="191">
        <f t="shared" si="10"/>
        <v>0</v>
      </c>
      <c r="J125" s="190">
        <f t="shared" si="11"/>
        <v>0</v>
      </c>
      <c r="K125" s="191">
        <f t="shared" si="12"/>
        <v>0</v>
      </c>
      <c r="L125" s="190">
        <f t="shared" si="14"/>
        <v>0</v>
      </c>
      <c r="M125" s="191">
        <f t="shared" si="13"/>
        <v>0</v>
      </c>
      <c r="N125" s="133"/>
      <c r="O125" s="133"/>
      <c r="P125" s="162"/>
      <c r="Q125" s="162"/>
      <c r="R125" s="162"/>
      <c r="S125" s="162"/>
      <c r="T125" s="162"/>
      <c r="U125" s="162"/>
      <c r="V125" s="162"/>
      <c r="W125" s="162"/>
      <c r="X125" s="162"/>
      <c r="Y125" s="162"/>
      <c r="Z125" s="162"/>
      <c r="AA125" s="162"/>
      <c r="AB125" s="162"/>
      <c r="AC125" s="162"/>
      <c r="AD125" s="162"/>
      <c r="AE125" s="162"/>
      <c r="AF125" s="162"/>
      <c r="AG125" s="162"/>
      <c r="AH125" s="162"/>
      <c r="AI125" s="162"/>
      <c r="AJ125" s="162"/>
      <c r="AK125" s="162"/>
      <c r="AL125" s="162"/>
      <c r="AM125" s="162"/>
      <c r="AN125" s="162"/>
      <c r="AO125" s="162"/>
      <c r="AP125" s="162"/>
      <c r="AQ125" s="162"/>
      <c r="AR125" s="162"/>
      <c r="AS125" s="162"/>
      <c r="AT125" s="162"/>
      <c r="AU125" s="162"/>
      <c r="AV125" s="162"/>
      <c r="AW125" s="162"/>
      <c r="AX125" s="162"/>
      <c r="AY125" s="162"/>
      <c r="AZ125" s="162"/>
      <c r="BA125" s="162"/>
      <c r="BB125" s="162"/>
      <c r="BC125" s="162"/>
      <c r="BD125" s="162"/>
      <c r="BE125" s="162"/>
      <c r="BF125" s="162"/>
      <c r="BG125" s="162"/>
      <c r="BH125" s="162"/>
      <c r="BI125" s="162"/>
      <c r="BJ125" s="162"/>
      <c r="BK125" s="162"/>
      <c r="BL125" s="162"/>
      <c r="BM125" s="162"/>
      <c r="BN125" s="162"/>
      <c r="BO125" s="162"/>
      <c r="BP125" s="162"/>
      <c r="BQ125" s="162"/>
      <c r="BR125" s="162"/>
      <c r="BS125" s="162"/>
      <c r="BT125" s="162"/>
      <c r="BU125" s="162"/>
      <c r="BV125" s="162"/>
      <c r="BW125" s="162"/>
    </row>
    <row r="126" s="140" customFormat="1" customHeight="1" spans="1:75">
      <c r="A126" s="161">
        <v>122</v>
      </c>
      <c r="B126" s="342"/>
      <c r="C126" s="162"/>
      <c r="D126" s="162"/>
      <c r="E126" s="162"/>
      <c r="F126" s="546"/>
      <c r="G126" s="191">
        <f t="shared" si="15"/>
        <v>0</v>
      </c>
      <c r="H126" s="190">
        <f t="shared" si="9"/>
        <v>0</v>
      </c>
      <c r="I126" s="191">
        <f t="shared" si="10"/>
        <v>0</v>
      </c>
      <c r="J126" s="190">
        <f t="shared" si="11"/>
        <v>0</v>
      </c>
      <c r="K126" s="191">
        <f t="shared" si="12"/>
        <v>0</v>
      </c>
      <c r="L126" s="190">
        <f t="shared" si="14"/>
        <v>0</v>
      </c>
      <c r="M126" s="191">
        <f t="shared" si="13"/>
        <v>0</v>
      </c>
      <c r="N126" s="133"/>
      <c r="O126" s="133"/>
      <c r="P126" s="162"/>
      <c r="Q126" s="162"/>
      <c r="R126" s="162"/>
      <c r="S126" s="162"/>
      <c r="T126" s="162"/>
      <c r="U126" s="162"/>
      <c r="V126" s="162"/>
      <c r="W126" s="162"/>
      <c r="X126" s="162"/>
      <c r="Y126" s="162"/>
      <c r="Z126" s="162"/>
      <c r="AA126" s="162"/>
      <c r="AB126" s="162"/>
      <c r="AC126" s="162"/>
      <c r="AD126" s="162"/>
      <c r="AE126" s="162"/>
      <c r="AF126" s="162"/>
      <c r="AG126" s="162"/>
      <c r="AH126" s="162"/>
      <c r="AI126" s="162"/>
      <c r="AJ126" s="162"/>
      <c r="AK126" s="162"/>
      <c r="AL126" s="162"/>
      <c r="AM126" s="162"/>
      <c r="AN126" s="162"/>
      <c r="AO126" s="162"/>
      <c r="AP126" s="162"/>
      <c r="AQ126" s="162"/>
      <c r="AR126" s="162"/>
      <c r="AS126" s="162"/>
      <c r="AT126" s="162"/>
      <c r="AU126" s="162"/>
      <c r="AV126" s="162"/>
      <c r="AW126" s="162"/>
      <c r="AX126" s="162"/>
      <c r="AY126" s="162"/>
      <c r="AZ126" s="162"/>
      <c r="BA126" s="162"/>
      <c r="BB126" s="162"/>
      <c r="BC126" s="162"/>
      <c r="BD126" s="162"/>
      <c r="BE126" s="162"/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  <c r="BR126" s="162"/>
      <c r="BS126" s="162"/>
      <c r="BT126" s="162"/>
      <c r="BU126" s="162"/>
      <c r="BV126" s="162"/>
      <c r="BW126" s="162"/>
    </row>
    <row r="127" s="140" customFormat="1" customHeight="1" spans="1:75">
      <c r="A127" s="161">
        <v>123</v>
      </c>
      <c r="B127" s="342"/>
      <c r="C127" s="162"/>
      <c r="D127" s="162"/>
      <c r="E127" s="162"/>
      <c r="F127" s="546"/>
      <c r="G127" s="191">
        <f t="shared" si="15"/>
        <v>0</v>
      </c>
      <c r="H127" s="190">
        <f t="shared" si="9"/>
        <v>0</v>
      </c>
      <c r="I127" s="191">
        <f t="shared" si="10"/>
        <v>0</v>
      </c>
      <c r="J127" s="190">
        <f t="shared" si="11"/>
        <v>0</v>
      </c>
      <c r="K127" s="191">
        <f t="shared" si="12"/>
        <v>0</v>
      </c>
      <c r="L127" s="190">
        <f t="shared" si="14"/>
        <v>0</v>
      </c>
      <c r="M127" s="191">
        <f t="shared" si="13"/>
        <v>0</v>
      </c>
      <c r="N127" s="133"/>
      <c r="O127" s="133"/>
      <c r="P127" s="162"/>
      <c r="Q127" s="162"/>
      <c r="R127" s="162"/>
      <c r="S127" s="162"/>
      <c r="T127" s="162"/>
      <c r="U127" s="162"/>
      <c r="V127" s="162"/>
      <c r="W127" s="162"/>
      <c r="X127" s="162"/>
      <c r="Y127" s="162"/>
      <c r="Z127" s="162"/>
      <c r="AA127" s="162"/>
      <c r="AB127" s="162"/>
      <c r="AC127" s="162"/>
      <c r="AD127" s="162"/>
      <c r="AE127" s="162"/>
      <c r="AF127" s="162"/>
      <c r="AG127" s="162"/>
      <c r="AH127" s="162"/>
      <c r="AI127" s="162"/>
      <c r="AJ127" s="162"/>
      <c r="AK127" s="162"/>
      <c r="AL127" s="162"/>
      <c r="AM127" s="162"/>
      <c r="AN127" s="162"/>
      <c r="AO127" s="162"/>
      <c r="AP127" s="162"/>
      <c r="AQ127" s="162"/>
      <c r="AR127" s="162"/>
      <c r="AS127" s="162"/>
      <c r="AT127" s="162"/>
      <c r="AU127" s="162"/>
      <c r="AV127" s="162"/>
      <c r="AW127" s="162"/>
      <c r="AX127" s="162"/>
      <c r="AY127" s="162"/>
      <c r="AZ127" s="162"/>
      <c r="BA127" s="162"/>
      <c r="BB127" s="162"/>
      <c r="BC127" s="162"/>
      <c r="BD127" s="162"/>
      <c r="BE127" s="162"/>
      <c r="BF127" s="162"/>
      <c r="BG127" s="162"/>
      <c r="BH127" s="162"/>
      <c r="BI127" s="162"/>
      <c r="BJ127" s="162"/>
      <c r="BK127" s="162"/>
      <c r="BL127" s="162"/>
      <c r="BM127" s="162"/>
      <c r="BN127" s="162"/>
      <c r="BO127" s="162"/>
      <c r="BP127" s="162"/>
      <c r="BQ127" s="162"/>
      <c r="BR127" s="162"/>
      <c r="BS127" s="162"/>
      <c r="BT127" s="162"/>
      <c r="BU127" s="162"/>
      <c r="BV127" s="162"/>
      <c r="BW127" s="162"/>
    </row>
    <row r="128" s="140" customFormat="1" customHeight="1" spans="1:75">
      <c r="A128" s="161">
        <v>124</v>
      </c>
      <c r="B128" s="342"/>
      <c r="C128" s="162"/>
      <c r="D128" s="162"/>
      <c r="E128" s="162"/>
      <c r="F128" s="546"/>
      <c r="G128" s="191">
        <f t="shared" si="15"/>
        <v>0</v>
      </c>
      <c r="H128" s="190">
        <f t="shared" si="9"/>
        <v>0</v>
      </c>
      <c r="I128" s="191">
        <f t="shared" si="10"/>
        <v>0</v>
      </c>
      <c r="J128" s="190">
        <f t="shared" si="11"/>
        <v>0</v>
      </c>
      <c r="K128" s="191">
        <f t="shared" si="12"/>
        <v>0</v>
      </c>
      <c r="L128" s="190">
        <f t="shared" si="14"/>
        <v>0</v>
      </c>
      <c r="M128" s="191">
        <f t="shared" si="13"/>
        <v>0</v>
      </c>
      <c r="N128" s="133"/>
      <c r="O128" s="133"/>
      <c r="P128" s="162"/>
      <c r="Q128" s="162"/>
      <c r="R128" s="162"/>
      <c r="S128" s="162"/>
      <c r="T128" s="162"/>
      <c r="U128" s="162"/>
      <c r="V128" s="162"/>
      <c r="W128" s="162"/>
      <c r="X128" s="162"/>
      <c r="Y128" s="162"/>
      <c r="Z128" s="162"/>
      <c r="AA128" s="162"/>
      <c r="AB128" s="162"/>
      <c r="AC128" s="162"/>
      <c r="AD128" s="162"/>
      <c r="AE128" s="162"/>
      <c r="AF128" s="162"/>
      <c r="AG128" s="162"/>
      <c r="AH128" s="162"/>
      <c r="AI128" s="162"/>
      <c r="AJ128" s="162"/>
      <c r="AK128" s="162"/>
      <c r="AL128" s="162"/>
      <c r="AM128" s="162"/>
      <c r="AN128" s="162"/>
      <c r="AO128" s="162"/>
      <c r="AP128" s="162"/>
      <c r="AQ128" s="162"/>
      <c r="AR128" s="162"/>
      <c r="AS128" s="162"/>
      <c r="AT128" s="162"/>
      <c r="AU128" s="162"/>
      <c r="AV128" s="162"/>
      <c r="AW128" s="162"/>
      <c r="AX128" s="162"/>
      <c r="AY128" s="162"/>
      <c r="AZ128" s="162"/>
      <c r="BA128" s="162"/>
      <c r="BB128" s="162"/>
      <c r="BC128" s="162"/>
      <c r="BD128" s="162"/>
      <c r="BE128" s="162"/>
      <c r="BF128" s="162"/>
      <c r="BG128" s="162"/>
      <c r="BH128" s="162"/>
      <c r="BI128" s="162"/>
      <c r="BJ128" s="162"/>
      <c r="BK128" s="162"/>
      <c r="BL128" s="162"/>
      <c r="BM128" s="162"/>
      <c r="BN128" s="162"/>
      <c r="BO128" s="162"/>
      <c r="BP128" s="162"/>
      <c r="BQ128" s="162"/>
      <c r="BR128" s="162"/>
      <c r="BS128" s="162"/>
      <c r="BT128" s="162"/>
      <c r="BU128" s="162"/>
      <c r="BV128" s="162"/>
      <c r="BW128" s="162"/>
    </row>
    <row r="129" s="140" customFormat="1" customHeight="1" spans="1:75">
      <c r="A129" s="161">
        <v>125</v>
      </c>
      <c r="B129" s="342"/>
      <c r="C129" s="162"/>
      <c r="D129" s="162"/>
      <c r="E129" s="162"/>
      <c r="F129" s="546"/>
      <c r="G129" s="191">
        <f t="shared" si="15"/>
        <v>0</v>
      </c>
      <c r="H129" s="190">
        <f t="shared" si="9"/>
        <v>0</v>
      </c>
      <c r="I129" s="191">
        <f t="shared" si="10"/>
        <v>0</v>
      </c>
      <c r="J129" s="190">
        <f t="shared" si="11"/>
        <v>0</v>
      </c>
      <c r="K129" s="191">
        <f t="shared" si="12"/>
        <v>0</v>
      </c>
      <c r="L129" s="190">
        <f t="shared" si="14"/>
        <v>0</v>
      </c>
      <c r="M129" s="191">
        <f t="shared" si="13"/>
        <v>0</v>
      </c>
      <c r="N129" s="133"/>
      <c r="O129" s="133"/>
      <c r="P129" s="162"/>
      <c r="Q129" s="162"/>
      <c r="R129" s="162"/>
      <c r="S129" s="162"/>
      <c r="T129" s="162"/>
      <c r="U129" s="162"/>
      <c r="V129" s="162"/>
      <c r="W129" s="162"/>
      <c r="X129" s="162"/>
      <c r="Y129" s="162"/>
      <c r="Z129" s="162"/>
      <c r="AA129" s="162"/>
      <c r="AB129" s="162"/>
      <c r="AC129" s="162"/>
      <c r="AD129" s="162"/>
      <c r="AE129" s="162"/>
      <c r="AF129" s="162"/>
      <c r="AG129" s="162"/>
      <c r="AH129" s="162"/>
      <c r="AI129" s="162"/>
      <c r="AJ129" s="162"/>
      <c r="AK129" s="162"/>
      <c r="AL129" s="162"/>
      <c r="AM129" s="162"/>
      <c r="AN129" s="162"/>
      <c r="AO129" s="162"/>
      <c r="AP129" s="162"/>
      <c r="AQ129" s="162"/>
      <c r="AR129" s="162"/>
      <c r="AS129" s="162"/>
      <c r="AT129" s="162"/>
      <c r="AU129" s="162"/>
      <c r="AV129" s="162"/>
      <c r="AW129" s="162"/>
      <c r="AX129" s="162"/>
      <c r="AY129" s="162"/>
      <c r="AZ129" s="162"/>
      <c r="BA129" s="162"/>
      <c r="BB129" s="162"/>
      <c r="BC129" s="162"/>
      <c r="BD129" s="162"/>
      <c r="BE129" s="162"/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162"/>
      <c r="BV129" s="162"/>
      <c r="BW129" s="162"/>
    </row>
    <row r="130" s="140" customFormat="1" customHeight="1" spans="1:75">
      <c r="A130" s="161">
        <v>126</v>
      </c>
      <c r="B130" s="342"/>
      <c r="C130" s="162"/>
      <c r="D130" s="162"/>
      <c r="E130" s="162"/>
      <c r="F130" s="546"/>
      <c r="G130" s="191">
        <f t="shared" si="15"/>
        <v>0</v>
      </c>
      <c r="H130" s="190">
        <f t="shared" si="9"/>
        <v>0</v>
      </c>
      <c r="I130" s="191">
        <f t="shared" si="10"/>
        <v>0</v>
      </c>
      <c r="J130" s="190">
        <f t="shared" si="11"/>
        <v>0</v>
      </c>
      <c r="K130" s="191">
        <f t="shared" si="12"/>
        <v>0</v>
      </c>
      <c r="L130" s="190">
        <f t="shared" si="14"/>
        <v>0</v>
      </c>
      <c r="M130" s="191">
        <f t="shared" si="13"/>
        <v>0</v>
      </c>
      <c r="N130" s="133"/>
      <c r="O130" s="133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2"/>
      <c r="AA130" s="162"/>
      <c r="AB130" s="162"/>
      <c r="AC130" s="162"/>
      <c r="AD130" s="162"/>
      <c r="AE130" s="162"/>
      <c r="AF130" s="162"/>
      <c r="AG130" s="162"/>
      <c r="AH130" s="162"/>
      <c r="AI130" s="162"/>
      <c r="AJ130" s="162"/>
      <c r="AK130" s="162"/>
      <c r="AL130" s="162"/>
      <c r="AM130" s="162"/>
      <c r="AN130" s="162"/>
      <c r="AO130" s="162"/>
      <c r="AP130" s="162"/>
      <c r="AQ130" s="162"/>
      <c r="AR130" s="162"/>
      <c r="AS130" s="162"/>
      <c r="AT130" s="162"/>
      <c r="AU130" s="162"/>
      <c r="AV130" s="162"/>
      <c r="AW130" s="162"/>
      <c r="AX130" s="162"/>
      <c r="AY130" s="162"/>
      <c r="AZ130" s="162"/>
      <c r="BA130" s="162"/>
      <c r="BB130" s="162"/>
      <c r="BC130" s="162"/>
      <c r="BD130" s="162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162"/>
      <c r="BV130" s="162"/>
      <c r="BW130" s="162"/>
    </row>
    <row r="131" s="140" customFormat="1" customHeight="1" spans="1:75">
      <c r="A131" s="161">
        <v>127</v>
      </c>
      <c r="B131" s="342"/>
      <c r="C131" s="162"/>
      <c r="D131" s="162"/>
      <c r="E131" s="162"/>
      <c r="F131" s="546"/>
      <c r="G131" s="191">
        <f t="shared" si="15"/>
        <v>0</v>
      </c>
      <c r="H131" s="190">
        <f t="shared" si="9"/>
        <v>0</v>
      </c>
      <c r="I131" s="191">
        <f t="shared" si="10"/>
        <v>0</v>
      </c>
      <c r="J131" s="190">
        <f t="shared" si="11"/>
        <v>0</v>
      </c>
      <c r="K131" s="191">
        <f t="shared" si="12"/>
        <v>0</v>
      </c>
      <c r="L131" s="190">
        <f t="shared" si="14"/>
        <v>0</v>
      </c>
      <c r="M131" s="191">
        <f t="shared" si="13"/>
        <v>0</v>
      </c>
      <c r="N131" s="133"/>
      <c r="O131" s="133"/>
      <c r="P131" s="162"/>
      <c r="Q131" s="162"/>
      <c r="R131" s="162"/>
      <c r="S131" s="162"/>
      <c r="T131" s="162"/>
      <c r="U131" s="162"/>
      <c r="V131" s="162"/>
      <c r="W131" s="162"/>
      <c r="X131" s="162"/>
      <c r="Y131" s="162"/>
      <c r="Z131" s="162"/>
      <c r="AA131" s="162"/>
      <c r="AB131" s="162"/>
      <c r="AC131" s="162"/>
      <c r="AD131" s="162"/>
      <c r="AE131" s="162"/>
      <c r="AF131" s="162"/>
      <c r="AG131" s="162"/>
      <c r="AH131" s="162"/>
      <c r="AI131" s="162"/>
      <c r="AJ131" s="162"/>
      <c r="AK131" s="162"/>
      <c r="AL131" s="162"/>
      <c r="AM131" s="162"/>
      <c r="AN131" s="162"/>
      <c r="AO131" s="162"/>
      <c r="AP131" s="162"/>
      <c r="AQ131" s="162"/>
      <c r="AR131" s="162"/>
      <c r="AS131" s="162"/>
      <c r="AT131" s="162"/>
      <c r="AU131" s="162"/>
      <c r="AV131" s="162"/>
      <c r="AW131" s="162"/>
      <c r="AX131" s="162"/>
      <c r="AY131" s="162"/>
      <c r="AZ131" s="162"/>
      <c r="BA131" s="162"/>
      <c r="BB131" s="162"/>
      <c r="BC131" s="162"/>
      <c r="BD131" s="162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  <c r="BR131" s="162"/>
      <c r="BS131" s="162"/>
      <c r="BT131" s="162"/>
      <c r="BU131" s="162"/>
      <c r="BV131" s="162"/>
      <c r="BW131" s="162"/>
    </row>
    <row r="132" s="140" customFormat="1" customHeight="1" spans="1:75">
      <c r="A132" s="161">
        <v>128</v>
      </c>
      <c r="B132" s="342"/>
      <c r="C132" s="162"/>
      <c r="D132" s="162"/>
      <c r="E132" s="162"/>
      <c r="F132" s="546"/>
      <c r="G132" s="191">
        <f t="shared" si="15"/>
        <v>0</v>
      </c>
      <c r="H132" s="190">
        <f t="shared" si="9"/>
        <v>0</v>
      </c>
      <c r="I132" s="191">
        <f t="shared" si="10"/>
        <v>0</v>
      </c>
      <c r="J132" s="190">
        <f t="shared" si="11"/>
        <v>0</v>
      </c>
      <c r="K132" s="191">
        <f t="shared" si="12"/>
        <v>0</v>
      </c>
      <c r="L132" s="190">
        <f t="shared" si="14"/>
        <v>0</v>
      </c>
      <c r="M132" s="191">
        <f t="shared" si="13"/>
        <v>0</v>
      </c>
      <c r="N132" s="133"/>
      <c r="O132" s="133"/>
      <c r="P132" s="162"/>
      <c r="Q132" s="162"/>
      <c r="R132" s="162"/>
      <c r="S132" s="162"/>
      <c r="T132" s="162"/>
      <c r="U132" s="162"/>
      <c r="V132" s="162"/>
      <c r="W132" s="162"/>
      <c r="X132" s="162"/>
      <c r="Y132" s="162"/>
      <c r="Z132" s="162"/>
      <c r="AA132" s="162"/>
      <c r="AB132" s="162"/>
      <c r="AC132" s="162"/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BO132" s="162"/>
      <c r="BP132" s="162"/>
      <c r="BQ132" s="162"/>
      <c r="BR132" s="162"/>
      <c r="BS132" s="162"/>
      <c r="BT132" s="162"/>
      <c r="BU132" s="162"/>
      <c r="BV132" s="162"/>
      <c r="BW132" s="162"/>
    </row>
    <row r="133" s="140" customFormat="1" customHeight="1" spans="1:75">
      <c r="A133" s="161">
        <v>129</v>
      </c>
      <c r="B133" s="342"/>
      <c r="C133" s="162"/>
      <c r="D133" s="162"/>
      <c r="E133" s="162"/>
      <c r="F133" s="546"/>
      <c r="G133" s="191">
        <f t="shared" si="15"/>
        <v>0</v>
      </c>
      <c r="H133" s="190">
        <f t="shared" ref="H133:H144" si="16">SUMIF($N$4:$O$4,$H$4,$N133:$O133)</f>
        <v>0</v>
      </c>
      <c r="I133" s="191">
        <f t="shared" ref="I133:I144" si="17">+E133*H133</f>
        <v>0</v>
      </c>
      <c r="J133" s="190">
        <f t="shared" ref="J133:J145" si="18">SUMIF($N$4:$BW$4,$J$4,$N133:$BW133)</f>
        <v>0</v>
      </c>
      <c r="K133" s="191">
        <f t="shared" ref="K133:K144" si="19">+E133*J133</f>
        <v>0</v>
      </c>
      <c r="L133" s="190">
        <f t="shared" si="14"/>
        <v>0</v>
      </c>
      <c r="M133" s="191">
        <f t="shared" ref="M133:M144" si="20">+E133*L133</f>
        <v>0</v>
      </c>
      <c r="N133" s="133"/>
      <c r="O133" s="133"/>
      <c r="P133" s="162"/>
      <c r="Q133" s="162"/>
      <c r="R133" s="162"/>
      <c r="S133" s="162"/>
      <c r="T133" s="162"/>
      <c r="U133" s="162"/>
      <c r="V133" s="162"/>
      <c r="W133" s="162"/>
      <c r="X133" s="162"/>
      <c r="Y133" s="162"/>
      <c r="Z133" s="162"/>
      <c r="AA133" s="162"/>
      <c r="AB133" s="162"/>
      <c r="AC133" s="162"/>
      <c r="AD133" s="162"/>
      <c r="AE133" s="162"/>
      <c r="AF133" s="162"/>
      <c r="AG133" s="162"/>
      <c r="AH133" s="162"/>
      <c r="AI133" s="162"/>
      <c r="AJ133" s="162"/>
      <c r="AK133" s="162"/>
      <c r="AL133" s="162"/>
      <c r="AM133" s="162"/>
      <c r="AN133" s="162"/>
      <c r="AO133" s="162"/>
      <c r="AP133" s="162"/>
      <c r="AQ133" s="162"/>
      <c r="AR133" s="162"/>
      <c r="AS133" s="162"/>
      <c r="AT133" s="162"/>
      <c r="AU133" s="162"/>
      <c r="AV133" s="162"/>
      <c r="AW133" s="162"/>
      <c r="AX133" s="162"/>
      <c r="AY133" s="162"/>
      <c r="AZ133" s="162"/>
      <c r="BA133" s="162"/>
      <c r="BB133" s="162"/>
      <c r="BC133" s="162"/>
      <c r="BD133" s="162"/>
      <c r="BE133" s="162"/>
      <c r="BF133" s="162"/>
      <c r="BG133" s="162"/>
      <c r="BH133" s="162"/>
      <c r="BI133" s="162"/>
      <c r="BJ133" s="162"/>
      <c r="BK133" s="162"/>
      <c r="BL133" s="162"/>
      <c r="BM133" s="162"/>
      <c r="BN133" s="162"/>
      <c r="BO133" s="162"/>
      <c r="BP133" s="162"/>
      <c r="BQ133" s="162"/>
      <c r="BR133" s="162"/>
      <c r="BS133" s="162"/>
      <c r="BT133" s="162"/>
      <c r="BU133" s="162"/>
      <c r="BV133" s="162"/>
      <c r="BW133" s="162"/>
    </row>
    <row r="134" s="140" customFormat="1" customHeight="1" spans="1:75">
      <c r="A134" s="161">
        <v>130</v>
      </c>
      <c r="B134" s="342"/>
      <c r="C134" s="162"/>
      <c r="D134" s="162"/>
      <c r="E134" s="162"/>
      <c r="F134" s="546"/>
      <c r="G134" s="191">
        <f t="shared" si="15"/>
        <v>0</v>
      </c>
      <c r="H134" s="190">
        <f t="shared" si="16"/>
        <v>0</v>
      </c>
      <c r="I134" s="191">
        <f t="shared" si="17"/>
        <v>0</v>
      </c>
      <c r="J134" s="190">
        <f t="shared" si="18"/>
        <v>0</v>
      </c>
      <c r="K134" s="191">
        <f t="shared" si="19"/>
        <v>0</v>
      </c>
      <c r="L134" s="190">
        <f t="shared" si="14"/>
        <v>0</v>
      </c>
      <c r="M134" s="191">
        <f t="shared" si="20"/>
        <v>0</v>
      </c>
      <c r="N134" s="133"/>
      <c r="O134" s="133"/>
      <c r="P134" s="162"/>
      <c r="Q134" s="162"/>
      <c r="R134" s="162"/>
      <c r="S134" s="162"/>
      <c r="T134" s="162"/>
      <c r="U134" s="162"/>
      <c r="V134" s="162"/>
      <c r="W134" s="162"/>
      <c r="X134" s="162"/>
      <c r="Y134" s="162"/>
      <c r="Z134" s="162"/>
      <c r="AA134" s="162"/>
      <c r="AB134" s="162"/>
      <c r="AC134" s="162"/>
      <c r="AD134" s="162"/>
      <c r="AE134" s="162"/>
      <c r="AF134" s="162"/>
      <c r="AG134" s="162"/>
      <c r="AH134" s="162"/>
      <c r="AI134" s="162"/>
      <c r="AJ134" s="162"/>
      <c r="AK134" s="162"/>
      <c r="AL134" s="162"/>
      <c r="AM134" s="162"/>
      <c r="AN134" s="162"/>
      <c r="AO134" s="162"/>
      <c r="AP134" s="162"/>
      <c r="AQ134" s="162"/>
      <c r="AR134" s="162"/>
      <c r="AS134" s="162"/>
      <c r="AT134" s="162"/>
      <c r="AU134" s="162"/>
      <c r="AV134" s="162"/>
      <c r="AW134" s="162"/>
      <c r="AX134" s="162"/>
      <c r="AY134" s="162"/>
      <c r="AZ134" s="162"/>
      <c r="BA134" s="162"/>
      <c r="BB134" s="162"/>
      <c r="BC134" s="162"/>
      <c r="BD134" s="162"/>
      <c r="BE134" s="162"/>
      <c r="BF134" s="162"/>
      <c r="BG134" s="162"/>
      <c r="BH134" s="162"/>
      <c r="BI134" s="162"/>
      <c r="BJ134" s="162"/>
      <c r="BK134" s="162"/>
      <c r="BL134" s="162"/>
      <c r="BM134" s="162"/>
      <c r="BN134" s="162"/>
      <c r="BO134" s="162"/>
      <c r="BP134" s="162"/>
      <c r="BQ134" s="162"/>
      <c r="BR134" s="162"/>
      <c r="BS134" s="162"/>
      <c r="BT134" s="162"/>
      <c r="BU134" s="162"/>
      <c r="BV134" s="162"/>
      <c r="BW134" s="162"/>
    </row>
    <row r="135" s="140" customFormat="1" customHeight="1" spans="1:75">
      <c r="A135" s="161">
        <v>131</v>
      </c>
      <c r="B135" s="342"/>
      <c r="C135" s="162"/>
      <c r="D135" s="162"/>
      <c r="E135" s="162"/>
      <c r="F135" s="546"/>
      <c r="G135" s="191">
        <f t="shared" si="15"/>
        <v>0</v>
      </c>
      <c r="H135" s="190">
        <f t="shared" si="16"/>
        <v>0</v>
      </c>
      <c r="I135" s="191">
        <f t="shared" si="17"/>
        <v>0</v>
      </c>
      <c r="J135" s="190">
        <f t="shared" si="18"/>
        <v>0</v>
      </c>
      <c r="K135" s="191">
        <f t="shared" si="19"/>
        <v>0</v>
      </c>
      <c r="L135" s="190">
        <f t="shared" si="14"/>
        <v>0</v>
      </c>
      <c r="M135" s="191">
        <f t="shared" si="20"/>
        <v>0</v>
      </c>
      <c r="N135" s="133"/>
      <c r="O135" s="133"/>
      <c r="P135" s="162"/>
      <c r="Q135" s="162"/>
      <c r="R135" s="162"/>
      <c r="S135" s="162"/>
      <c r="T135" s="162"/>
      <c r="U135" s="162"/>
      <c r="V135" s="162"/>
      <c r="W135" s="162"/>
      <c r="X135" s="162"/>
      <c r="Y135" s="162"/>
      <c r="Z135" s="162"/>
      <c r="AA135" s="162"/>
      <c r="AB135" s="162"/>
      <c r="AC135" s="162"/>
      <c r="AD135" s="162"/>
      <c r="AE135" s="162"/>
      <c r="AF135" s="162"/>
      <c r="AG135" s="162"/>
      <c r="AH135" s="162"/>
      <c r="AI135" s="162"/>
      <c r="AJ135" s="162"/>
      <c r="AK135" s="162"/>
      <c r="AL135" s="162"/>
      <c r="AM135" s="162"/>
      <c r="AN135" s="162"/>
      <c r="AO135" s="162"/>
      <c r="AP135" s="162"/>
      <c r="AQ135" s="162"/>
      <c r="AR135" s="162"/>
      <c r="AS135" s="162"/>
      <c r="AT135" s="162"/>
      <c r="AU135" s="162"/>
      <c r="AV135" s="162"/>
      <c r="AW135" s="162"/>
      <c r="AX135" s="162"/>
      <c r="AY135" s="162"/>
      <c r="AZ135" s="162"/>
      <c r="BA135" s="162"/>
      <c r="BB135" s="162"/>
      <c r="BC135" s="162"/>
      <c r="BD135" s="162"/>
      <c r="BE135" s="162"/>
      <c r="BF135" s="162"/>
      <c r="BG135" s="162"/>
      <c r="BH135" s="162"/>
      <c r="BI135" s="162"/>
      <c r="BJ135" s="162"/>
      <c r="BK135" s="162"/>
      <c r="BL135" s="162"/>
      <c r="BM135" s="162"/>
      <c r="BN135" s="162"/>
      <c r="BO135" s="162"/>
      <c r="BP135" s="162"/>
      <c r="BQ135" s="162"/>
      <c r="BR135" s="162"/>
      <c r="BS135" s="162"/>
      <c r="BT135" s="162"/>
      <c r="BU135" s="162"/>
      <c r="BV135" s="162"/>
      <c r="BW135" s="162"/>
    </row>
    <row r="136" s="140" customFormat="1" customHeight="1" spans="1:75">
      <c r="A136" s="161">
        <v>132</v>
      </c>
      <c r="B136" s="342"/>
      <c r="C136" s="162"/>
      <c r="D136" s="162"/>
      <c r="E136" s="162"/>
      <c r="F136" s="546"/>
      <c r="G136" s="191">
        <f t="shared" si="15"/>
        <v>0</v>
      </c>
      <c r="H136" s="190">
        <f t="shared" si="16"/>
        <v>0</v>
      </c>
      <c r="I136" s="191">
        <f t="shared" si="17"/>
        <v>0</v>
      </c>
      <c r="J136" s="190">
        <f t="shared" si="18"/>
        <v>0</v>
      </c>
      <c r="K136" s="191">
        <f t="shared" si="19"/>
        <v>0</v>
      </c>
      <c r="L136" s="190">
        <f t="shared" si="14"/>
        <v>0</v>
      </c>
      <c r="M136" s="191">
        <f t="shared" si="20"/>
        <v>0</v>
      </c>
      <c r="N136" s="133"/>
      <c r="O136" s="133"/>
      <c r="P136" s="162"/>
      <c r="Q136" s="162"/>
      <c r="R136" s="162"/>
      <c r="S136" s="162"/>
      <c r="T136" s="162"/>
      <c r="U136" s="162"/>
      <c r="V136" s="162"/>
      <c r="W136" s="162"/>
      <c r="X136" s="162"/>
      <c r="Y136" s="162"/>
      <c r="Z136" s="162"/>
      <c r="AA136" s="162"/>
      <c r="AB136" s="162"/>
      <c r="AC136" s="162"/>
      <c r="AD136" s="162"/>
      <c r="AE136" s="162"/>
      <c r="AF136" s="162"/>
      <c r="AG136" s="162"/>
      <c r="AH136" s="162"/>
      <c r="AI136" s="162"/>
      <c r="AJ136" s="162"/>
      <c r="AK136" s="162"/>
      <c r="AL136" s="162"/>
      <c r="AM136" s="162"/>
      <c r="AN136" s="162"/>
      <c r="AO136" s="162"/>
      <c r="AP136" s="162"/>
      <c r="AQ136" s="162"/>
      <c r="AR136" s="162"/>
      <c r="AS136" s="162"/>
      <c r="AT136" s="162"/>
      <c r="AU136" s="162"/>
      <c r="AV136" s="162"/>
      <c r="AW136" s="162"/>
      <c r="AX136" s="162"/>
      <c r="AY136" s="162"/>
      <c r="AZ136" s="162"/>
      <c r="BA136" s="162"/>
      <c r="BB136" s="162"/>
      <c r="BC136" s="162"/>
      <c r="BD136" s="162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  <c r="BR136" s="162"/>
      <c r="BS136" s="162"/>
      <c r="BT136" s="162"/>
      <c r="BU136" s="162"/>
      <c r="BV136" s="162"/>
      <c r="BW136" s="162"/>
    </row>
    <row r="137" s="140" customFormat="1" customHeight="1" spans="1:75">
      <c r="A137" s="161">
        <v>133</v>
      </c>
      <c r="B137" s="342"/>
      <c r="C137" s="162"/>
      <c r="D137" s="162"/>
      <c r="E137" s="162"/>
      <c r="F137" s="546"/>
      <c r="G137" s="191">
        <f t="shared" si="15"/>
        <v>0</v>
      </c>
      <c r="H137" s="190">
        <f t="shared" si="16"/>
        <v>0</v>
      </c>
      <c r="I137" s="191">
        <f t="shared" si="17"/>
        <v>0</v>
      </c>
      <c r="J137" s="190">
        <f t="shared" si="18"/>
        <v>0</v>
      </c>
      <c r="K137" s="191">
        <f t="shared" si="19"/>
        <v>0</v>
      </c>
      <c r="L137" s="190">
        <f t="shared" si="14"/>
        <v>0</v>
      </c>
      <c r="M137" s="191">
        <f t="shared" si="20"/>
        <v>0</v>
      </c>
      <c r="N137" s="133"/>
      <c r="O137" s="133"/>
      <c r="P137" s="162"/>
      <c r="Q137" s="162"/>
      <c r="R137" s="162"/>
      <c r="S137" s="162"/>
      <c r="T137" s="162"/>
      <c r="U137" s="162"/>
      <c r="V137" s="162"/>
      <c r="W137" s="162"/>
      <c r="X137" s="162"/>
      <c r="Y137" s="162"/>
      <c r="Z137" s="162"/>
      <c r="AA137" s="162"/>
      <c r="AB137" s="162"/>
      <c r="AC137" s="162"/>
      <c r="AD137" s="162"/>
      <c r="AE137" s="162"/>
      <c r="AF137" s="162"/>
      <c r="AG137" s="162"/>
      <c r="AH137" s="162"/>
      <c r="AI137" s="162"/>
      <c r="AJ137" s="162"/>
      <c r="AK137" s="162"/>
      <c r="AL137" s="162"/>
      <c r="AM137" s="162"/>
      <c r="AN137" s="162"/>
      <c r="AO137" s="162"/>
      <c r="AP137" s="162"/>
      <c r="AQ137" s="162"/>
      <c r="AR137" s="162"/>
      <c r="AS137" s="162"/>
      <c r="AT137" s="162"/>
      <c r="AU137" s="162"/>
      <c r="AV137" s="162"/>
      <c r="AW137" s="162"/>
      <c r="AX137" s="162"/>
      <c r="AY137" s="162"/>
      <c r="AZ137" s="162"/>
      <c r="BA137" s="162"/>
      <c r="BB137" s="162"/>
      <c r="BC137" s="162"/>
      <c r="BD137" s="162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162"/>
      <c r="BV137" s="162"/>
      <c r="BW137" s="162"/>
    </row>
    <row r="138" s="140" customFormat="1" customHeight="1" spans="1:75">
      <c r="A138" s="161">
        <v>134</v>
      </c>
      <c r="B138" s="342"/>
      <c r="C138" s="162"/>
      <c r="D138" s="162"/>
      <c r="E138" s="162"/>
      <c r="F138" s="546"/>
      <c r="G138" s="191">
        <f t="shared" si="15"/>
        <v>0</v>
      </c>
      <c r="H138" s="190">
        <f t="shared" si="16"/>
        <v>0</v>
      </c>
      <c r="I138" s="191">
        <f t="shared" si="17"/>
        <v>0</v>
      </c>
      <c r="J138" s="190">
        <f t="shared" si="18"/>
        <v>0</v>
      </c>
      <c r="K138" s="191">
        <f t="shared" si="19"/>
        <v>0</v>
      </c>
      <c r="L138" s="190">
        <f t="shared" si="14"/>
        <v>0</v>
      </c>
      <c r="M138" s="191">
        <f t="shared" si="20"/>
        <v>0</v>
      </c>
      <c r="N138" s="133"/>
      <c r="O138" s="133"/>
      <c r="P138" s="162"/>
      <c r="Q138" s="162"/>
      <c r="R138" s="162"/>
      <c r="S138" s="162"/>
      <c r="T138" s="162"/>
      <c r="U138" s="162"/>
      <c r="V138" s="162"/>
      <c r="W138" s="162"/>
      <c r="X138" s="162"/>
      <c r="Y138" s="162"/>
      <c r="Z138" s="162"/>
      <c r="AA138" s="162"/>
      <c r="AB138" s="162"/>
      <c r="AC138" s="162"/>
      <c r="AD138" s="162"/>
      <c r="AE138" s="162"/>
      <c r="AF138" s="162"/>
      <c r="AG138" s="162"/>
      <c r="AH138" s="162"/>
      <c r="AI138" s="162"/>
      <c r="AJ138" s="162"/>
      <c r="AK138" s="162"/>
      <c r="AL138" s="162"/>
      <c r="AM138" s="162"/>
      <c r="AN138" s="162"/>
      <c r="AO138" s="162"/>
      <c r="AP138" s="162"/>
      <c r="AQ138" s="162"/>
      <c r="AR138" s="162"/>
      <c r="AS138" s="162"/>
      <c r="AT138" s="162"/>
      <c r="AU138" s="162"/>
      <c r="AV138" s="162"/>
      <c r="AW138" s="162"/>
      <c r="AX138" s="162"/>
      <c r="AY138" s="162"/>
      <c r="AZ138" s="162"/>
      <c r="BA138" s="162"/>
      <c r="BB138" s="162"/>
      <c r="BC138" s="162"/>
      <c r="BD138" s="162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162"/>
      <c r="BV138" s="162"/>
      <c r="BW138" s="162"/>
    </row>
    <row r="139" s="140" customFormat="1" customHeight="1" spans="1:75">
      <c r="A139" s="161">
        <v>135</v>
      </c>
      <c r="B139" s="342"/>
      <c r="C139" s="162"/>
      <c r="D139" s="162"/>
      <c r="E139" s="162"/>
      <c r="F139" s="546"/>
      <c r="G139" s="191">
        <f t="shared" si="15"/>
        <v>0</v>
      </c>
      <c r="H139" s="190">
        <f t="shared" si="16"/>
        <v>0</v>
      </c>
      <c r="I139" s="191">
        <f t="shared" si="17"/>
        <v>0</v>
      </c>
      <c r="J139" s="190">
        <f t="shared" si="18"/>
        <v>0</v>
      </c>
      <c r="K139" s="191">
        <f t="shared" si="19"/>
        <v>0</v>
      </c>
      <c r="L139" s="190">
        <f t="shared" si="14"/>
        <v>0</v>
      </c>
      <c r="M139" s="191">
        <f t="shared" si="20"/>
        <v>0</v>
      </c>
      <c r="N139" s="133"/>
      <c r="O139" s="133"/>
      <c r="P139" s="162"/>
      <c r="Q139" s="162"/>
      <c r="R139" s="162"/>
      <c r="S139" s="162"/>
      <c r="T139" s="162"/>
      <c r="U139" s="162"/>
      <c r="V139" s="162"/>
      <c r="W139" s="162"/>
      <c r="X139" s="162"/>
      <c r="Y139" s="162"/>
      <c r="Z139" s="162"/>
      <c r="AA139" s="162"/>
      <c r="AB139" s="162"/>
      <c r="AC139" s="162"/>
      <c r="AD139" s="162"/>
      <c r="AE139" s="162"/>
      <c r="AF139" s="162"/>
      <c r="AG139" s="162"/>
      <c r="AH139" s="162"/>
      <c r="AI139" s="162"/>
      <c r="AJ139" s="162"/>
      <c r="AK139" s="162"/>
      <c r="AL139" s="162"/>
      <c r="AM139" s="162"/>
      <c r="AN139" s="162"/>
      <c r="AO139" s="162"/>
      <c r="AP139" s="162"/>
      <c r="AQ139" s="162"/>
      <c r="AR139" s="162"/>
      <c r="AS139" s="162"/>
      <c r="AT139" s="162"/>
      <c r="AU139" s="162"/>
      <c r="AV139" s="162"/>
      <c r="AW139" s="162"/>
      <c r="AX139" s="162"/>
      <c r="AY139" s="162"/>
      <c r="AZ139" s="162"/>
      <c r="BA139" s="162"/>
      <c r="BB139" s="162"/>
      <c r="BC139" s="162"/>
      <c r="BD139" s="162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  <c r="BR139" s="162"/>
      <c r="BS139" s="162"/>
      <c r="BT139" s="162"/>
      <c r="BU139" s="162"/>
      <c r="BV139" s="162"/>
      <c r="BW139" s="162"/>
    </row>
    <row r="140" s="140" customFormat="1" customHeight="1" spans="1:75">
      <c r="A140" s="161">
        <v>136</v>
      </c>
      <c r="B140" s="342"/>
      <c r="C140" s="162"/>
      <c r="D140" s="162"/>
      <c r="E140" s="162"/>
      <c r="F140" s="546"/>
      <c r="G140" s="191">
        <f t="shared" si="15"/>
        <v>0</v>
      </c>
      <c r="H140" s="190">
        <f t="shared" si="16"/>
        <v>0</v>
      </c>
      <c r="I140" s="191">
        <f t="shared" si="17"/>
        <v>0</v>
      </c>
      <c r="J140" s="190">
        <f t="shared" si="18"/>
        <v>0</v>
      </c>
      <c r="K140" s="191">
        <f t="shared" si="19"/>
        <v>0</v>
      </c>
      <c r="L140" s="190">
        <f t="shared" si="14"/>
        <v>0</v>
      </c>
      <c r="M140" s="191">
        <f t="shared" si="20"/>
        <v>0</v>
      </c>
      <c r="N140" s="133"/>
      <c r="O140" s="133"/>
      <c r="P140" s="162"/>
      <c r="Q140" s="162"/>
      <c r="R140" s="162"/>
      <c r="S140" s="162"/>
      <c r="T140" s="162"/>
      <c r="U140" s="162"/>
      <c r="V140" s="162"/>
      <c r="W140" s="162"/>
      <c r="X140" s="162"/>
      <c r="Y140" s="162"/>
      <c r="Z140" s="162"/>
      <c r="AA140" s="162"/>
      <c r="AB140" s="162"/>
      <c r="AC140" s="162"/>
      <c r="AD140" s="162"/>
      <c r="AE140" s="162"/>
      <c r="AF140" s="162"/>
      <c r="AG140" s="162"/>
      <c r="AH140" s="162"/>
      <c r="AI140" s="162"/>
      <c r="AJ140" s="162"/>
      <c r="AK140" s="162"/>
      <c r="AL140" s="162"/>
      <c r="AM140" s="162"/>
      <c r="AN140" s="162"/>
      <c r="AO140" s="162"/>
      <c r="AP140" s="162"/>
      <c r="AQ140" s="162"/>
      <c r="AR140" s="162"/>
      <c r="AS140" s="162"/>
      <c r="AT140" s="162"/>
      <c r="AU140" s="162"/>
      <c r="AV140" s="162"/>
      <c r="AW140" s="162"/>
      <c r="AX140" s="162"/>
      <c r="AY140" s="162"/>
      <c r="AZ140" s="162"/>
      <c r="BA140" s="162"/>
      <c r="BB140" s="162"/>
      <c r="BC140" s="162"/>
      <c r="BD140" s="162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  <c r="BR140" s="162"/>
      <c r="BS140" s="162"/>
      <c r="BT140" s="162"/>
      <c r="BU140" s="162"/>
      <c r="BV140" s="162"/>
      <c r="BW140" s="162"/>
    </row>
    <row r="141" s="140" customFormat="1" customHeight="1" spans="1:75">
      <c r="A141" s="161">
        <v>137</v>
      </c>
      <c r="B141" s="342"/>
      <c r="C141" s="162"/>
      <c r="D141" s="162"/>
      <c r="E141" s="162"/>
      <c r="F141" s="546"/>
      <c r="G141" s="191">
        <f t="shared" si="15"/>
        <v>0</v>
      </c>
      <c r="H141" s="190">
        <f t="shared" si="16"/>
        <v>0</v>
      </c>
      <c r="I141" s="191">
        <f t="shared" si="17"/>
        <v>0</v>
      </c>
      <c r="J141" s="190">
        <f t="shared" si="18"/>
        <v>0</v>
      </c>
      <c r="K141" s="191">
        <f t="shared" si="19"/>
        <v>0</v>
      </c>
      <c r="L141" s="190">
        <f t="shared" si="14"/>
        <v>0</v>
      </c>
      <c r="M141" s="191">
        <f t="shared" si="20"/>
        <v>0</v>
      </c>
      <c r="N141" s="133"/>
      <c r="O141" s="133"/>
      <c r="P141" s="162"/>
      <c r="Q141" s="162"/>
      <c r="R141" s="162"/>
      <c r="S141" s="162"/>
      <c r="T141" s="162"/>
      <c r="U141" s="162"/>
      <c r="V141" s="162"/>
      <c r="W141" s="162"/>
      <c r="X141" s="162"/>
      <c r="Y141" s="162"/>
      <c r="Z141" s="162"/>
      <c r="AA141" s="162"/>
      <c r="AB141" s="162"/>
      <c r="AC141" s="162"/>
      <c r="AD141" s="162"/>
      <c r="AE141" s="162"/>
      <c r="AF141" s="162"/>
      <c r="AG141" s="162"/>
      <c r="AH141" s="162"/>
      <c r="AI141" s="162"/>
      <c r="AJ141" s="162"/>
      <c r="AK141" s="162"/>
      <c r="AL141" s="162"/>
      <c r="AM141" s="162"/>
      <c r="AN141" s="162"/>
      <c r="AO141" s="162"/>
      <c r="AP141" s="162"/>
      <c r="AQ141" s="162"/>
      <c r="AR141" s="162"/>
      <c r="AS141" s="162"/>
      <c r="AT141" s="162"/>
      <c r="AU141" s="162"/>
      <c r="AV141" s="162"/>
      <c r="AW141" s="162"/>
      <c r="AX141" s="162"/>
      <c r="AY141" s="162"/>
      <c r="AZ141" s="162"/>
      <c r="BA141" s="162"/>
      <c r="BB141" s="162"/>
      <c r="BC141" s="162"/>
      <c r="BD141" s="162"/>
      <c r="BE141" s="162"/>
      <c r="BF141" s="162"/>
      <c r="BG141" s="162"/>
      <c r="BH141" s="162"/>
      <c r="BI141" s="162"/>
      <c r="BJ141" s="162"/>
      <c r="BK141" s="162"/>
      <c r="BL141" s="162"/>
      <c r="BM141" s="162"/>
      <c r="BN141" s="162"/>
      <c r="BO141" s="162"/>
      <c r="BP141" s="162"/>
      <c r="BQ141" s="162"/>
      <c r="BR141" s="162"/>
      <c r="BS141" s="162"/>
      <c r="BT141" s="162"/>
      <c r="BU141" s="162"/>
      <c r="BV141" s="162"/>
      <c r="BW141" s="162"/>
    </row>
    <row r="142" s="140" customFormat="1" customHeight="1" spans="1:75">
      <c r="A142" s="161">
        <v>138</v>
      </c>
      <c r="B142" s="342"/>
      <c r="C142" s="162"/>
      <c r="D142" s="162"/>
      <c r="E142" s="162"/>
      <c r="F142" s="546"/>
      <c r="G142" s="191">
        <f t="shared" si="15"/>
        <v>0</v>
      </c>
      <c r="H142" s="190">
        <f t="shared" si="16"/>
        <v>0</v>
      </c>
      <c r="I142" s="191">
        <f t="shared" si="17"/>
        <v>0</v>
      </c>
      <c r="J142" s="190">
        <f t="shared" si="18"/>
        <v>0</v>
      </c>
      <c r="K142" s="191">
        <f t="shared" si="19"/>
        <v>0</v>
      </c>
      <c r="L142" s="190">
        <f t="shared" si="14"/>
        <v>0</v>
      </c>
      <c r="M142" s="191">
        <f t="shared" si="20"/>
        <v>0</v>
      </c>
      <c r="N142" s="133"/>
      <c r="O142" s="133"/>
      <c r="P142" s="162"/>
      <c r="Q142" s="162"/>
      <c r="R142" s="162"/>
      <c r="S142" s="162"/>
      <c r="T142" s="162"/>
      <c r="U142" s="162"/>
      <c r="V142" s="162"/>
      <c r="W142" s="162"/>
      <c r="X142" s="162"/>
      <c r="Y142" s="162"/>
      <c r="Z142" s="162"/>
      <c r="AA142" s="162"/>
      <c r="AB142" s="162"/>
      <c r="AC142" s="162"/>
      <c r="AD142" s="162"/>
      <c r="AE142" s="162"/>
      <c r="AF142" s="162"/>
      <c r="AG142" s="162"/>
      <c r="AH142" s="162"/>
      <c r="AI142" s="162"/>
      <c r="AJ142" s="162"/>
      <c r="AK142" s="162"/>
      <c r="AL142" s="162"/>
      <c r="AM142" s="162"/>
      <c r="AN142" s="162"/>
      <c r="AO142" s="162"/>
      <c r="AP142" s="162"/>
      <c r="AQ142" s="162"/>
      <c r="AR142" s="162"/>
      <c r="AS142" s="162"/>
      <c r="AT142" s="162"/>
      <c r="AU142" s="162"/>
      <c r="AV142" s="162"/>
      <c r="AW142" s="162"/>
      <c r="AX142" s="162"/>
      <c r="AY142" s="162"/>
      <c r="AZ142" s="162"/>
      <c r="BA142" s="162"/>
      <c r="BB142" s="162"/>
      <c r="BC142" s="162"/>
      <c r="BD142" s="162"/>
      <c r="BE142" s="162"/>
      <c r="BF142" s="162"/>
      <c r="BG142" s="162"/>
      <c r="BH142" s="162"/>
      <c r="BI142" s="162"/>
      <c r="BJ142" s="162"/>
      <c r="BK142" s="162"/>
      <c r="BL142" s="162"/>
      <c r="BM142" s="162"/>
      <c r="BN142" s="162"/>
      <c r="BO142" s="162"/>
      <c r="BP142" s="162"/>
      <c r="BQ142" s="162"/>
      <c r="BR142" s="162"/>
      <c r="BS142" s="162"/>
      <c r="BT142" s="162"/>
      <c r="BU142" s="162"/>
      <c r="BV142" s="162"/>
      <c r="BW142" s="162"/>
    </row>
    <row r="143" s="140" customFormat="1" customHeight="1" spans="1:75">
      <c r="A143" s="161">
        <v>139</v>
      </c>
      <c r="B143" s="342"/>
      <c r="C143" s="162"/>
      <c r="D143" s="162"/>
      <c r="E143" s="162"/>
      <c r="F143" s="546"/>
      <c r="G143" s="191">
        <f t="shared" si="15"/>
        <v>0</v>
      </c>
      <c r="H143" s="190">
        <f t="shared" si="16"/>
        <v>0</v>
      </c>
      <c r="I143" s="191">
        <f t="shared" si="17"/>
        <v>0</v>
      </c>
      <c r="J143" s="190">
        <f t="shared" si="18"/>
        <v>0</v>
      </c>
      <c r="K143" s="191">
        <f t="shared" si="19"/>
        <v>0</v>
      </c>
      <c r="L143" s="190">
        <f t="shared" si="14"/>
        <v>0</v>
      </c>
      <c r="M143" s="191">
        <f t="shared" si="20"/>
        <v>0</v>
      </c>
      <c r="N143" s="133"/>
      <c r="O143" s="133"/>
      <c r="P143" s="162"/>
      <c r="Q143" s="162"/>
      <c r="R143" s="162"/>
      <c r="S143" s="162"/>
      <c r="T143" s="162"/>
      <c r="U143" s="162"/>
      <c r="V143" s="162"/>
      <c r="W143" s="162"/>
      <c r="X143" s="162"/>
      <c r="Y143" s="162"/>
      <c r="Z143" s="162"/>
      <c r="AA143" s="162"/>
      <c r="AB143" s="162"/>
      <c r="AC143" s="162"/>
      <c r="AD143" s="162"/>
      <c r="AE143" s="162"/>
      <c r="AF143" s="162"/>
      <c r="AG143" s="162"/>
      <c r="AH143" s="162"/>
      <c r="AI143" s="162"/>
      <c r="AJ143" s="162"/>
      <c r="AK143" s="162"/>
      <c r="AL143" s="162"/>
      <c r="AM143" s="162"/>
      <c r="AN143" s="162"/>
      <c r="AO143" s="162"/>
      <c r="AP143" s="162"/>
      <c r="AQ143" s="162"/>
      <c r="AR143" s="162"/>
      <c r="AS143" s="162"/>
      <c r="AT143" s="162"/>
      <c r="AU143" s="162"/>
      <c r="AV143" s="162"/>
      <c r="AW143" s="162"/>
      <c r="AX143" s="162"/>
      <c r="AY143" s="162"/>
      <c r="AZ143" s="162"/>
      <c r="BA143" s="162"/>
      <c r="BB143" s="162"/>
      <c r="BC143" s="162"/>
      <c r="BD143" s="162"/>
      <c r="BE143" s="162"/>
      <c r="BF143" s="162"/>
      <c r="BG143" s="162"/>
      <c r="BH143" s="162"/>
      <c r="BI143" s="162"/>
      <c r="BJ143" s="162"/>
      <c r="BK143" s="162"/>
      <c r="BL143" s="162"/>
      <c r="BM143" s="162"/>
      <c r="BN143" s="162"/>
      <c r="BO143" s="162"/>
      <c r="BP143" s="162"/>
      <c r="BQ143" s="162"/>
      <c r="BR143" s="162"/>
      <c r="BS143" s="162"/>
      <c r="BT143" s="162"/>
      <c r="BU143" s="162"/>
      <c r="BV143" s="162"/>
      <c r="BW143" s="162"/>
    </row>
    <row r="144" s="140" customFormat="1" customHeight="1" spans="1:75">
      <c r="A144" s="161">
        <v>140</v>
      </c>
      <c r="B144" s="342"/>
      <c r="C144" s="162"/>
      <c r="D144" s="162"/>
      <c r="E144" s="162"/>
      <c r="F144" s="546"/>
      <c r="G144" s="191">
        <f t="shared" si="15"/>
        <v>0</v>
      </c>
      <c r="H144" s="190">
        <f t="shared" si="16"/>
        <v>0</v>
      </c>
      <c r="I144" s="191">
        <f t="shared" si="17"/>
        <v>0</v>
      </c>
      <c r="J144" s="190">
        <f t="shared" si="18"/>
        <v>0</v>
      </c>
      <c r="K144" s="191">
        <f t="shared" si="19"/>
        <v>0</v>
      </c>
      <c r="L144" s="190">
        <f t="shared" si="14"/>
        <v>0</v>
      </c>
      <c r="M144" s="191">
        <f t="shared" si="20"/>
        <v>0</v>
      </c>
      <c r="N144" s="133"/>
      <c r="O144" s="133"/>
      <c r="P144" s="162"/>
      <c r="Q144" s="162"/>
      <c r="R144" s="162"/>
      <c r="S144" s="162"/>
      <c r="T144" s="162"/>
      <c r="U144" s="162"/>
      <c r="V144" s="162"/>
      <c r="W144" s="162"/>
      <c r="X144" s="162"/>
      <c r="Y144" s="162"/>
      <c r="Z144" s="162"/>
      <c r="AA144" s="162"/>
      <c r="AB144" s="162"/>
      <c r="AC144" s="162"/>
      <c r="AD144" s="162"/>
      <c r="AE144" s="162"/>
      <c r="AF144" s="162"/>
      <c r="AG144" s="162"/>
      <c r="AH144" s="162"/>
      <c r="AI144" s="162"/>
      <c r="AJ144" s="162"/>
      <c r="AK144" s="162"/>
      <c r="AL144" s="162"/>
      <c r="AM144" s="162"/>
      <c r="AN144" s="162"/>
      <c r="AO144" s="162"/>
      <c r="AP144" s="162"/>
      <c r="AQ144" s="162"/>
      <c r="AR144" s="162"/>
      <c r="AS144" s="162"/>
      <c r="AT144" s="162"/>
      <c r="AU144" s="162"/>
      <c r="AV144" s="162"/>
      <c r="AW144" s="162"/>
      <c r="AX144" s="162"/>
      <c r="AY144" s="162"/>
      <c r="AZ144" s="162"/>
      <c r="BA144" s="162"/>
      <c r="BB144" s="162"/>
      <c r="BC144" s="162"/>
      <c r="BD144" s="162"/>
      <c r="BE144" s="162"/>
      <c r="BF144" s="162"/>
      <c r="BG144" s="162"/>
      <c r="BH144" s="162"/>
      <c r="BI144" s="162"/>
      <c r="BJ144" s="162"/>
      <c r="BK144" s="162"/>
      <c r="BL144" s="162"/>
      <c r="BM144" s="162"/>
      <c r="BN144" s="162"/>
      <c r="BO144" s="162"/>
      <c r="BP144" s="162"/>
      <c r="BQ144" s="162"/>
      <c r="BR144" s="162"/>
      <c r="BS144" s="162"/>
      <c r="BT144" s="162"/>
      <c r="BU144" s="162"/>
      <c r="BV144" s="162"/>
      <c r="BW144" s="162"/>
    </row>
    <row r="145" customHeight="1" spans="1:75">
      <c r="A145" s="162"/>
      <c r="B145" s="342" t="s">
        <v>297</v>
      </c>
      <c r="C145" s="162"/>
      <c r="D145" s="162"/>
      <c r="E145" s="162"/>
      <c r="F145" s="162">
        <f>SUM(F5:F144)</f>
        <v>0</v>
      </c>
      <c r="G145" s="162">
        <f>SUM(G5:G144)</f>
        <v>0</v>
      </c>
      <c r="H145" s="162">
        <f>SUM(H5:H144)</f>
        <v>159</v>
      </c>
      <c r="I145" s="162">
        <f>SUM(I5:I144)</f>
        <v>5579.2</v>
      </c>
      <c r="J145" s="190">
        <f t="shared" si="18"/>
        <v>4</v>
      </c>
      <c r="K145" s="162">
        <f>SUM(K5:K144)</f>
        <v>205.9</v>
      </c>
      <c r="L145" s="162">
        <f>SUM(L5:L144)</f>
        <v>155</v>
      </c>
      <c r="M145" s="162">
        <f>SUM(M5:M144)</f>
        <v>5373.3</v>
      </c>
      <c r="N145" s="162">
        <f t="shared" ref="N145:BW145" si="21">SUM(N4:N144)</f>
        <v>159</v>
      </c>
      <c r="O145" s="162">
        <f t="shared" si="21"/>
        <v>0</v>
      </c>
      <c r="P145" s="162">
        <f t="shared" si="21"/>
        <v>0</v>
      </c>
      <c r="Q145" s="162">
        <f t="shared" si="21"/>
        <v>1</v>
      </c>
      <c r="R145" s="162">
        <f t="shared" si="21"/>
        <v>0</v>
      </c>
      <c r="S145" s="162">
        <f t="shared" si="21"/>
        <v>0</v>
      </c>
      <c r="T145" s="162">
        <f t="shared" si="21"/>
        <v>0</v>
      </c>
      <c r="U145" s="162">
        <f t="shared" si="21"/>
        <v>0</v>
      </c>
      <c r="V145" s="162">
        <f t="shared" si="21"/>
        <v>0</v>
      </c>
      <c r="W145" s="162">
        <f t="shared" si="21"/>
        <v>0</v>
      </c>
      <c r="X145" s="162">
        <f t="shared" si="21"/>
        <v>0</v>
      </c>
      <c r="Y145" s="162">
        <f t="shared" si="21"/>
        <v>0</v>
      </c>
      <c r="Z145" s="162">
        <f t="shared" si="21"/>
        <v>0</v>
      </c>
      <c r="AA145" s="162">
        <f t="shared" si="21"/>
        <v>0</v>
      </c>
      <c r="AB145" s="162">
        <f t="shared" si="21"/>
        <v>0</v>
      </c>
      <c r="AC145" s="162">
        <f t="shared" si="21"/>
        <v>0</v>
      </c>
      <c r="AD145" s="162">
        <f t="shared" si="21"/>
        <v>0</v>
      </c>
      <c r="AE145" s="162">
        <f t="shared" si="21"/>
        <v>0</v>
      </c>
      <c r="AF145" s="162">
        <f t="shared" si="21"/>
        <v>0</v>
      </c>
      <c r="AG145" s="162">
        <f t="shared" si="21"/>
        <v>0</v>
      </c>
      <c r="AH145" s="162">
        <f t="shared" si="21"/>
        <v>0</v>
      </c>
      <c r="AI145" s="162">
        <f t="shared" si="21"/>
        <v>0</v>
      </c>
      <c r="AJ145" s="162">
        <f t="shared" si="21"/>
        <v>0</v>
      </c>
      <c r="AK145" s="162">
        <f t="shared" si="21"/>
        <v>0</v>
      </c>
      <c r="AL145" s="162">
        <f t="shared" si="21"/>
        <v>0</v>
      </c>
      <c r="AM145" s="162">
        <f t="shared" si="21"/>
        <v>0</v>
      </c>
      <c r="AN145" s="162">
        <f t="shared" si="21"/>
        <v>0</v>
      </c>
      <c r="AO145" s="162">
        <f t="shared" si="21"/>
        <v>0</v>
      </c>
      <c r="AP145" s="162">
        <f t="shared" si="21"/>
        <v>0</v>
      </c>
      <c r="AQ145" s="162">
        <f t="shared" si="21"/>
        <v>1</v>
      </c>
      <c r="AR145" s="162">
        <f t="shared" si="21"/>
        <v>0</v>
      </c>
      <c r="AS145" s="162">
        <f t="shared" si="21"/>
        <v>0</v>
      </c>
      <c r="AT145" s="162">
        <f t="shared" si="21"/>
        <v>0</v>
      </c>
      <c r="AU145" s="162">
        <f t="shared" si="21"/>
        <v>0</v>
      </c>
      <c r="AV145" s="162">
        <f t="shared" si="21"/>
        <v>0</v>
      </c>
      <c r="AW145" s="162">
        <f t="shared" si="21"/>
        <v>0</v>
      </c>
      <c r="AX145" s="162">
        <f t="shared" si="21"/>
        <v>0</v>
      </c>
      <c r="AY145" s="162">
        <f t="shared" si="21"/>
        <v>0</v>
      </c>
      <c r="AZ145" s="162">
        <f t="shared" si="21"/>
        <v>0</v>
      </c>
      <c r="BA145" s="162">
        <f t="shared" si="21"/>
        <v>2</v>
      </c>
      <c r="BB145" s="162">
        <f t="shared" si="21"/>
        <v>0</v>
      </c>
      <c r="BC145" s="162">
        <f t="shared" si="21"/>
        <v>0</v>
      </c>
      <c r="BD145" s="162">
        <f t="shared" si="21"/>
        <v>0</v>
      </c>
      <c r="BE145" s="162">
        <f t="shared" si="21"/>
        <v>0</v>
      </c>
      <c r="BF145" s="162">
        <f t="shared" si="21"/>
        <v>0</v>
      </c>
      <c r="BG145" s="162">
        <f t="shared" si="21"/>
        <v>0</v>
      </c>
      <c r="BH145" s="162">
        <f t="shared" si="21"/>
        <v>0</v>
      </c>
      <c r="BI145" s="162">
        <f t="shared" si="21"/>
        <v>0</v>
      </c>
      <c r="BJ145" s="162">
        <f t="shared" si="21"/>
        <v>0</v>
      </c>
      <c r="BK145" s="162">
        <f t="shared" si="21"/>
        <v>0</v>
      </c>
      <c r="BL145" s="162">
        <f t="shared" si="21"/>
        <v>0</v>
      </c>
      <c r="BM145" s="162">
        <f t="shared" si="21"/>
        <v>0</v>
      </c>
      <c r="BN145" s="162">
        <f t="shared" si="21"/>
        <v>0</v>
      </c>
      <c r="BO145" s="162">
        <f t="shared" si="21"/>
        <v>0</v>
      </c>
      <c r="BP145" s="162">
        <f t="shared" si="21"/>
        <v>0</v>
      </c>
      <c r="BQ145" s="162">
        <f t="shared" si="21"/>
        <v>0</v>
      </c>
      <c r="BR145" s="162">
        <f t="shared" si="21"/>
        <v>0</v>
      </c>
      <c r="BS145" s="162">
        <f t="shared" si="21"/>
        <v>0</v>
      </c>
      <c r="BT145" s="162">
        <f t="shared" si="21"/>
        <v>0</v>
      </c>
      <c r="BU145" s="162">
        <f t="shared" si="21"/>
        <v>0</v>
      </c>
      <c r="BV145" s="162">
        <f t="shared" si="21"/>
        <v>0</v>
      </c>
      <c r="BW145" s="162">
        <f t="shared" si="21"/>
        <v>0</v>
      </c>
    </row>
  </sheetData>
  <sheetProtection formatCells="0" formatColumns="0" formatRows="0" insertRows="0" insertColumns="0" insertHyperlinks="0" deleteColumns="0" deleteRows="0" sort="0" autoFilter="0" pivotTables="0"/>
  <mergeCells count="45">
    <mergeCell ref="B1:G1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客房耗材出入库表">
    <pageSetUpPr fitToPage="1"/>
  </sheetPr>
  <dimension ref="A1:BW71"/>
  <sheetViews>
    <sheetView showGridLines="0" workbookViewId="0">
      <pane xSplit="5" ySplit="4" topLeftCell="AQ10" activePane="bottomRight" state="frozen"/>
      <selection/>
      <selection pane="topRight"/>
      <selection pane="bottomLeft"/>
      <selection pane="bottomRight" activeCell="AQ10" sqref="AQ10"/>
    </sheetView>
  </sheetViews>
  <sheetFormatPr defaultColWidth="9" defaultRowHeight="25" customHeight="1"/>
  <cols>
    <col min="1" max="1" width="4.75" style="143"/>
    <col min="2" max="2" width="15" style="143"/>
    <col min="3" max="3" width="8.25833333333333" style="143"/>
    <col min="4" max="5" width="5.125" style="143"/>
    <col min="6" max="6" width="10.875" style="143"/>
    <col min="7" max="7" width="10.875" style="145"/>
    <col min="8" max="8" width="10.875" style="144"/>
    <col min="9" max="9" width="10.875" style="145"/>
    <col min="10" max="10" width="10.875" style="144"/>
    <col min="11" max="11" width="10.875" style="145"/>
    <col min="12" max="12" width="10.875" style="144"/>
    <col min="13" max="13" width="10.875" style="145"/>
    <col min="14" max="15" width="7.375" style="143"/>
    <col min="16" max="16" width="9" style="360"/>
    <col min="17" max="17" width="9.56666666666667" style="360" customWidth="1"/>
    <col min="18" max="18" width="9" style="360"/>
    <col min="19" max="19" width="9.44166666666667" style="360" customWidth="1"/>
    <col min="20" max="20" width="9" style="360"/>
    <col min="21" max="21" width="7.725" style="360" customWidth="1"/>
    <col min="22" max="16384" width="9" style="360"/>
  </cols>
  <sheetData>
    <row r="1" s="18" customFormat="1" ht="40" customHeight="1" spans="1:75">
      <c r="A1" s="148"/>
      <c r="B1" s="148" t="s">
        <v>313</v>
      </c>
      <c r="C1" s="148"/>
      <c r="D1" s="148"/>
      <c r="E1" s="148"/>
      <c r="F1" s="148"/>
      <c r="G1" s="148"/>
      <c r="H1" s="149"/>
      <c r="I1" s="150"/>
      <c r="J1" s="149"/>
      <c r="K1" s="150"/>
      <c r="L1" s="149"/>
      <c r="M1" s="150"/>
      <c r="N1" s="148"/>
      <c r="O1" s="148"/>
    </row>
    <row r="2" s="18" customFormat="1" ht="15" customHeight="1" spans="1:75">
      <c r="A2" s="148"/>
      <c r="B2" s="15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215" t="s">
        <v>125</v>
      </c>
      <c r="O2" s="215"/>
    </row>
    <row r="3" s="18" customFormat="1" customHeight="1" spans="1:75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64</v>
      </c>
      <c r="F3" s="20" t="s">
        <v>128</v>
      </c>
      <c r="G3" s="20" t="s">
        <v>129</v>
      </c>
      <c r="H3" s="20" t="s">
        <v>130</v>
      </c>
      <c r="I3" s="20" t="s">
        <v>131</v>
      </c>
      <c r="J3" s="20" t="s">
        <v>132</v>
      </c>
      <c r="K3" s="20" t="s">
        <v>65</v>
      </c>
      <c r="L3" s="20" t="s">
        <v>133</v>
      </c>
      <c r="M3" s="20" t="s">
        <v>129</v>
      </c>
      <c r="N3" s="20" t="s">
        <v>9</v>
      </c>
      <c r="O3" s="20" t="s">
        <v>9</v>
      </c>
      <c r="P3" s="20" t="s">
        <v>10</v>
      </c>
      <c r="Q3" s="20" t="s">
        <v>10</v>
      </c>
      <c r="R3" s="20" t="s">
        <v>11</v>
      </c>
      <c r="S3" s="20" t="s">
        <v>11</v>
      </c>
      <c r="T3" s="20" t="s">
        <v>12</v>
      </c>
      <c r="U3" s="20" t="s">
        <v>12</v>
      </c>
      <c r="V3" s="20" t="s">
        <v>13</v>
      </c>
      <c r="W3" s="20" t="s">
        <v>13</v>
      </c>
      <c r="X3" s="20" t="s">
        <v>14</v>
      </c>
      <c r="Y3" s="20" t="s">
        <v>14</v>
      </c>
      <c r="Z3" s="20" t="s">
        <v>15</v>
      </c>
      <c r="AA3" s="20" t="s">
        <v>15</v>
      </c>
      <c r="AB3" s="20" t="s">
        <v>16</v>
      </c>
      <c r="AC3" s="20" t="s">
        <v>16</v>
      </c>
      <c r="AD3" s="20" t="s">
        <v>17</v>
      </c>
      <c r="AE3" s="20" t="s">
        <v>17</v>
      </c>
      <c r="AF3" s="20" t="s">
        <v>18</v>
      </c>
      <c r="AG3" s="20" t="s">
        <v>18</v>
      </c>
      <c r="AH3" s="20" t="s">
        <v>19</v>
      </c>
      <c r="AI3" s="20" t="s">
        <v>19</v>
      </c>
      <c r="AJ3" s="20" t="s">
        <v>20</v>
      </c>
      <c r="AK3" s="20" t="s">
        <v>20</v>
      </c>
      <c r="AL3" s="20" t="s">
        <v>21</v>
      </c>
      <c r="AM3" s="20" t="s">
        <v>21</v>
      </c>
      <c r="AN3" s="20" t="s">
        <v>22</v>
      </c>
      <c r="AO3" s="20" t="s">
        <v>22</v>
      </c>
      <c r="AP3" s="20" t="s">
        <v>23</v>
      </c>
      <c r="AQ3" s="20" t="s">
        <v>23</v>
      </c>
      <c r="AR3" s="20" t="s">
        <v>24</v>
      </c>
      <c r="AS3" s="20" t="s">
        <v>24</v>
      </c>
      <c r="AT3" s="20" t="s">
        <v>25</v>
      </c>
      <c r="AU3" s="20" t="s">
        <v>25</v>
      </c>
      <c r="AV3" s="20" t="s">
        <v>26</v>
      </c>
      <c r="AW3" s="20" t="s">
        <v>26</v>
      </c>
      <c r="AX3" s="20" t="s">
        <v>27</v>
      </c>
      <c r="AY3" s="20" t="s">
        <v>27</v>
      </c>
      <c r="AZ3" s="20" t="s">
        <v>28</v>
      </c>
      <c r="BA3" s="20" t="s">
        <v>28</v>
      </c>
      <c r="BB3" s="20" t="s">
        <v>29</v>
      </c>
      <c r="BC3" s="20" t="s">
        <v>29</v>
      </c>
      <c r="BD3" s="20" t="s">
        <v>30</v>
      </c>
      <c r="BE3" s="20" t="s">
        <v>30</v>
      </c>
      <c r="BF3" s="20" t="s">
        <v>31</v>
      </c>
      <c r="BG3" s="20" t="s">
        <v>31</v>
      </c>
      <c r="BH3" s="20" t="s">
        <v>32</v>
      </c>
      <c r="BI3" s="20" t="s">
        <v>32</v>
      </c>
      <c r="BJ3" s="20" t="s">
        <v>33</v>
      </c>
      <c r="BK3" s="20" t="s">
        <v>33</v>
      </c>
      <c r="BL3" s="20" t="s">
        <v>34</v>
      </c>
      <c r="BM3" s="20" t="s">
        <v>34</v>
      </c>
      <c r="BN3" s="20" t="s">
        <v>35</v>
      </c>
      <c r="BO3" s="20" t="s">
        <v>35</v>
      </c>
      <c r="BP3" s="20" t="s">
        <v>36</v>
      </c>
      <c r="BQ3" s="20" t="s">
        <v>36</v>
      </c>
      <c r="BR3" s="20" t="s">
        <v>37</v>
      </c>
      <c r="BS3" s="20" t="s">
        <v>37</v>
      </c>
      <c r="BT3" s="20" t="s">
        <v>38</v>
      </c>
      <c r="BU3" s="20" t="s">
        <v>38</v>
      </c>
      <c r="BV3" s="20" t="s">
        <v>39</v>
      </c>
      <c r="BW3" s="20" t="s">
        <v>39</v>
      </c>
    </row>
    <row r="4" s="18" customFormat="1" customHeight="1" spans="1:75">
      <c r="A4" s="210"/>
      <c r="B4" s="210"/>
      <c r="C4" s="210"/>
      <c r="D4" s="210"/>
      <c r="E4" s="210"/>
      <c r="F4" s="20"/>
      <c r="G4" s="20"/>
      <c r="H4" s="20" t="s">
        <v>134</v>
      </c>
      <c r="I4" s="20"/>
      <c r="J4" s="20" t="s">
        <v>135</v>
      </c>
      <c r="K4" s="20"/>
      <c r="L4" s="20"/>
      <c r="M4" s="20"/>
      <c r="N4" s="20" t="s">
        <v>134</v>
      </c>
      <c r="O4" s="20" t="s">
        <v>135</v>
      </c>
      <c r="P4" s="20" t="s">
        <v>134</v>
      </c>
      <c r="Q4" s="523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40" customFormat="1" customHeight="1" spans="1:75">
      <c r="A5" s="161">
        <v>1</v>
      </c>
      <c r="B5" s="524" t="s">
        <v>256</v>
      </c>
      <c r="C5" s="420"/>
      <c r="D5" s="421" t="s">
        <v>221</v>
      </c>
      <c r="E5" s="421">
        <v>0.39</v>
      </c>
      <c r="F5" s="525">
        <v>5400</v>
      </c>
      <c r="G5" s="526">
        <f t="shared" ref="G5:G11" si="0">F5*E5</f>
        <v>2106</v>
      </c>
      <c r="H5" s="190">
        <f t="shared" ref="H5:H15" si="1">SUMIF($N$4:$BW$4,$H$4,$N5:$BW5)</f>
        <v>0</v>
      </c>
      <c r="I5" s="191">
        <f t="shared" ref="I5:I15" si="2">+E5*H5</f>
        <v>0</v>
      </c>
      <c r="J5" s="190">
        <f>SUMIF($N$4:$BW$4,$J$4,N5:$BW5)</f>
        <v>3784</v>
      </c>
      <c r="K5" s="191">
        <f t="shared" ref="K5:K15" si="3">+E5*J5</f>
        <v>1475.76</v>
      </c>
      <c r="L5" s="190">
        <f t="shared" ref="L5:L15" si="4">+F5+H5-J5</f>
        <v>1616</v>
      </c>
      <c r="M5" s="191">
        <f t="shared" ref="M5:M15" si="5">+E5*L5</f>
        <v>630.24</v>
      </c>
      <c r="N5" s="527"/>
      <c r="O5" s="527">
        <v>98</v>
      </c>
      <c r="P5" s="527"/>
      <c r="Q5" s="527">
        <v>106</v>
      </c>
      <c r="R5" s="527"/>
      <c r="S5" s="527">
        <v>120</v>
      </c>
      <c r="T5" s="527"/>
      <c r="U5" s="527">
        <v>102</v>
      </c>
      <c r="V5" s="527"/>
      <c r="W5" s="527">
        <v>123</v>
      </c>
      <c r="X5" s="527"/>
      <c r="Y5" s="527">
        <v>98</v>
      </c>
      <c r="Z5" s="527"/>
      <c r="AA5" s="527">
        <v>132</v>
      </c>
      <c r="AB5" s="527"/>
      <c r="AC5" s="527">
        <v>126</v>
      </c>
      <c r="AD5" s="527"/>
      <c r="AE5" s="527">
        <v>124</v>
      </c>
      <c r="AF5" s="527"/>
      <c r="AG5" s="527">
        <v>142</v>
      </c>
      <c r="AH5" s="527"/>
      <c r="AI5" s="527">
        <v>131</v>
      </c>
      <c r="AJ5" s="527"/>
      <c r="AK5" s="527">
        <v>123</v>
      </c>
      <c r="AL5" s="527"/>
      <c r="AM5" s="527">
        <v>138</v>
      </c>
      <c r="AN5" s="527"/>
      <c r="AO5" s="527">
        <v>96</v>
      </c>
      <c r="AP5" s="527"/>
      <c r="AQ5" s="527">
        <v>119</v>
      </c>
      <c r="AR5" s="527"/>
      <c r="AS5" s="527">
        <v>123</v>
      </c>
      <c r="AT5" s="527"/>
      <c r="AU5" s="527">
        <v>114</v>
      </c>
      <c r="AV5" s="527"/>
      <c r="AW5" s="527">
        <v>120</v>
      </c>
      <c r="AX5" s="527"/>
      <c r="AY5" s="527">
        <v>116</v>
      </c>
      <c r="AZ5" s="527"/>
      <c r="BA5" s="527">
        <v>127</v>
      </c>
      <c r="BB5" s="527"/>
      <c r="BC5" s="527">
        <v>122</v>
      </c>
      <c r="BD5" s="527"/>
      <c r="BE5" s="527">
        <v>118</v>
      </c>
      <c r="BF5" s="527"/>
      <c r="BG5" s="527">
        <v>123</v>
      </c>
      <c r="BH5" s="527"/>
      <c r="BI5" s="527">
        <v>119</v>
      </c>
      <c r="BJ5" s="527"/>
      <c r="BK5" s="527">
        <v>132</v>
      </c>
      <c r="BL5" s="527"/>
      <c r="BM5" s="527">
        <v>118</v>
      </c>
      <c r="BN5" s="527"/>
      <c r="BO5" s="527">
        <v>120</v>
      </c>
      <c r="BP5" s="527"/>
      <c r="BQ5" s="527">
        <v>130</v>
      </c>
      <c r="BR5" s="527"/>
      <c r="BS5" s="527">
        <v>136</v>
      </c>
      <c r="BT5" s="527"/>
      <c r="BU5" s="527">
        <v>142</v>
      </c>
      <c r="BV5" s="527"/>
      <c r="BW5" s="527">
        <v>146</v>
      </c>
    </row>
    <row r="6" s="140" customFormat="1" ht="23.25" customHeight="1" spans="1:75">
      <c r="A6" s="161">
        <v>2</v>
      </c>
      <c r="B6" s="524" t="s">
        <v>314</v>
      </c>
      <c r="C6" s="420"/>
      <c r="D6" s="421" t="s">
        <v>221</v>
      </c>
      <c r="E6" s="421">
        <v>0.16</v>
      </c>
      <c r="F6" s="525">
        <v>6407</v>
      </c>
      <c r="G6" s="526">
        <f t="shared" si="0"/>
        <v>1025.12</v>
      </c>
      <c r="H6" s="190">
        <f t="shared" si="1"/>
        <v>0</v>
      </c>
      <c r="I6" s="191">
        <f t="shared" si="2"/>
        <v>0</v>
      </c>
      <c r="J6" s="190">
        <f>SUMIF($N$4:$BW$4,$J$4,N6:$BW6)</f>
        <v>3399</v>
      </c>
      <c r="K6" s="191">
        <f t="shared" si="3"/>
        <v>543.84</v>
      </c>
      <c r="L6" s="190">
        <f t="shared" si="4"/>
        <v>3008</v>
      </c>
      <c r="M6" s="191">
        <f t="shared" si="5"/>
        <v>481.28</v>
      </c>
      <c r="N6" s="527"/>
      <c r="O6" s="527">
        <v>90</v>
      </c>
      <c r="P6" s="527"/>
      <c r="Q6" s="527">
        <v>95</v>
      </c>
      <c r="R6" s="527"/>
      <c r="S6" s="527">
        <v>113</v>
      </c>
      <c r="T6" s="527"/>
      <c r="U6" s="527">
        <v>94</v>
      </c>
      <c r="V6" s="527"/>
      <c r="W6" s="527">
        <v>106</v>
      </c>
      <c r="X6" s="527"/>
      <c r="Y6" s="527">
        <v>88</v>
      </c>
      <c r="Z6" s="527"/>
      <c r="AA6" s="527">
        <v>112</v>
      </c>
      <c r="AB6" s="527"/>
      <c r="AC6" s="527">
        <v>118</v>
      </c>
      <c r="AD6" s="527"/>
      <c r="AE6" s="527">
        <v>105</v>
      </c>
      <c r="AF6" s="527"/>
      <c r="AG6" s="527">
        <v>127</v>
      </c>
      <c r="AH6" s="527"/>
      <c r="AI6" s="527">
        <v>118</v>
      </c>
      <c r="AJ6" s="527"/>
      <c r="AK6" s="527">
        <v>108</v>
      </c>
      <c r="AL6" s="527"/>
      <c r="AM6" s="527">
        <v>124</v>
      </c>
      <c r="AN6" s="527"/>
      <c r="AO6" s="527">
        <v>88</v>
      </c>
      <c r="AP6" s="527"/>
      <c r="AQ6" s="527">
        <v>105</v>
      </c>
      <c r="AR6" s="527"/>
      <c r="AS6" s="527">
        <v>111</v>
      </c>
      <c r="AT6" s="527"/>
      <c r="AU6" s="527">
        <v>101</v>
      </c>
      <c r="AV6" s="527"/>
      <c r="AW6" s="527">
        <v>116</v>
      </c>
      <c r="AX6" s="527"/>
      <c r="AY6" s="527">
        <v>106</v>
      </c>
      <c r="AZ6" s="527"/>
      <c r="BA6" s="527">
        <v>112</v>
      </c>
      <c r="BB6" s="527"/>
      <c r="BC6" s="527">
        <v>117</v>
      </c>
      <c r="BD6" s="527"/>
      <c r="BE6" s="527">
        <v>106</v>
      </c>
      <c r="BF6" s="527"/>
      <c r="BG6" s="527">
        <v>112</v>
      </c>
      <c r="BH6" s="527"/>
      <c r="BI6" s="527">
        <v>107</v>
      </c>
      <c r="BJ6" s="527"/>
      <c r="BK6" s="527">
        <v>117</v>
      </c>
      <c r="BL6" s="527"/>
      <c r="BM6" s="527">
        <v>106</v>
      </c>
      <c r="BN6" s="527"/>
      <c r="BO6" s="527">
        <v>103</v>
      </c>
      <c r="BP6" s="527"/>
      <c r="BQ6" s="527">
        <v>114</v>
      </c>
      <c r="BR6" s="527"/>
      <c r="BS6" s="527">
        <v>124</v>
      </c>
      <c r="BT6" s="527"/>
      <c r="BU6" s="527">
        <v>126</v>
      </c>
      <c r="BV6" s="527"/>
      <c r="BW6" s="527">
        <v>130</v>
      </c>
    </row>
    <row r="7" s="140" customFormat="1" customHeight="1" spans="1:75">
      <c r="A7" s="161">
        <v>3</v>
      </c>
      <c r="B7" s="524" t="s">
        <v>292</v>
      </c>
      <c r="C7" s="420"/>
      <c r="D7" s="421" t="s">
        <v>213</v>
      </c>
      <c r="E7" s="421">
        <v>0.3</v>
      </c>
      <c r="F7" s="525">
        <v>3959</v>
      </c>
      <c r="G7" s="526">
        <f t="shared" si="0"/>
        <v>1187.7</v>
      </c>
      <c r="H7" s="190">
        <f t="shared" si="1"/>
        <v>0</v>
      </c>
      <c r="I7" s="191">
        <f t="shared" si="2"/>
        <v>0</v>
      </c>
      <c r="J7" s="190">
        <f>SUMIF($N$4:$BW$4,$J$4,N7:$BW7)</f>
        <v>2501</v>
      </c>
      <c r="K7" s="191">
        <f t="shared" si="3"/>
        <v>750.3</v>
      </c>
      <c r="L7" s="190">
        <f t="shared" si="4"/>
        <v>1458</v>
      </c>
      <c r="M7" s="191">
        <f t="shared" si="5"/>
        <v>437.4</v>
      </c>
      <c r="N7" s="527"/>
      <c r="O7" s="527">
        <v>76</v>
      </c>
      <c r="P7" s="527"/>
      <c r="Q7" s="527">
        <v>80</v>
      </c>
      <c r="R7" s="527"/>
      <c r="S7" s="527">
        <v>85</v>
      </c>
      <c r="T7" s="527"/>
      <c r="U7" s="527">
        <v>71</v>
      </c>
      <c r="V7" s="527"/>
      <c r="W7" s="527">
        <v>78</v>
      </c>
      <c r="X7" s="527"/>
      <c r="Y7" s="527">
        <v>88</v>
      </c>
      <c r="Z7" s="527"/>
      <c r="AA7" s="527">
        <v>68</v>
      </c>
      <c r="AB7" s="527"/>
      <c r="AC7" s="527">
        <v>80</v>
      </c>
      <c r="AD7" s="527"/>
      <c r="AE7" s="527">
        <v>78</v>
      </c>
      <c r="AF7" s="527"/>
      <c r="AG7" s="527">
        <v>92</v>
      </c>
      <c r="AH7" s="527"/>
      <c r="AI7" s="527">
        <v>88</v>
      </c>
      <c r="AJ7" s="527"/>
      <c r="AK7" s="527">
        <v>82</v>
      </c>
      <c r="AL7" s="527"/>
      <c r="AM7" s="527">
        <v>90</v>
      </c>
      <c r="AN7" s="527"/>
      <c r="AO7" s="527">
        <v>52</v>
      </c>
      <c r="AP7" s="527"/>
      <c r="AQ7" s="527">
        <v>76</v>
      </c>
      <c r="AR7" s="527"/>
      <c r="AS7" s="527">
        <v>79</v>
      </c>
      <c r="AT7" s="527"/>
      <c r="AU7" s="527">
        <v>74</v>
      </c>
      <c r="AV7" s="527"/>
      <c r="AW7" s="527">
        <v>86</v>
      </c>
      <c r="AX7" s="527"/>
      <c r="AY7" s="527">
        <v>83</v>
      </c>
      <c r="AZ7" s="527"/>
      <c r="BA7" s="527">
        <v>80</v>
      </c>
      <c r="BB7" s="527"/>
      <c r="BC7" s="527">
        <v>85</v>
      </c>
      <c r="BD7" s="527"/>
      <c r="BE7" s="527">
        <v>75</v>
      </c>
      <c r="BF7" s="527"/>
      <c r="BG7" s="527">
        <v>79</v>
      </c>
      <c r="BH7" s="527"/>
      <c r="BI7" s="527">
        <v>80</v>
      </c>
      <c r="BJ7" s="527"/>
      <c r="BK7" s="527">
        <v>86</v>
      </c>
      <c r="BL7" s="527"/>
      <c r="BM7" s="527">
        <v>76</v>
      </c>
      <c r="BN7" s="527"/>
      <c r="BO7" s="527">
        <v>80</v>
      </c>
      <c r="BP7" s="527"/>
      <c r="BQ7" s="527">
        <v>86</v>
      </c>
      <c r="BR7" s="527"/>
      <c r="BS7" s="527">
        <v>92</v>
      </c>
      <c r="BT7" s="527"/>
      <c r="BU7" s="527">
        <v>86</v>
      </c>
      <c r="BV7" s="527"/>
      <c r="BW7" s="527">
        <v>90</v>
      </c>
    </row>
    <row r="8" s="140" customFormat="1" customHeight="1" spans="1:75">
      <c r="A8" s="161">
        <v>4</v>
      </c>
      <c r="B8" s="524" t="s">
        <v>250</v>
      </c>
      <c r="C8" s="420"/>
      <c r="D8" s="421" t="s">
        <v>209</v>
      </c>
      <c r="E8" s="318">
        <v>0.3</v>
      </c>
      <c r="F8" s="525">
        <v>4755</v>
      </c>
      <c r="G8" s="526">
        <f t="shared" si="0"/>
        <v>1426.5</v>
      </c>
      <c r="H8" s="190">
        <f t="shared" si="1"/>
        <v>0</v>
      </c>
      <c r="I8" s="191">
        <f t="shared" si="2"/>
        <v>0</v>
      </c>
      <c r="J8" s="190">
        <f>SUMIF($N$4:$BW$4,$J$4,N8:$BW8)</f>
        <v>2243</v>
      </c>
      <c r="K8" s="191">
        <f t="shared" si="3"/>
        <v>672.9</v>
      </c>
      <c r="L8" s="190">
        <f t="shared" si="4"/>
        <v>2512</v>
      </c>
      <c r="M8" s="191">
        <f t="shared" si="5"/>
        <v>753.6</v>
      </c>
      <c r="N8" s="527"/>
      <c r="O8" s="527">
        <v>65</v>
      </c>
      <c r="P8" s="527"/>
      <c r="Q8" s="527">
        <v>78</v>
      </c>
      <c r="R8" s="527"/>
      <c r="S8" s="527">
        <v>75</v>
      </c>
      <c r="T8" s="527"/>
      <c r="U8" s="527">
        <v>62</v>
      </c>
      <c r="V8" s="527"/>
      <c r="W8" s="527">
        <v>78</v>
      </c>
      <c r="X8" s="527"/>
      <c r="Y8" s="527">
        <v>79</v>
      </c>
      <c r="Z8" s="527"/>
      <c r="AA8" s="527">
        <v>65</v>
      </c>
      <c r="AB8" s="527"/>
      <c r="AC8" s="527">
        <v>75</v>
      </c>
      <c r="AD8" s="527"/>
      <c r="AE8" s="527">
        <v>69</v>
      </c>
      <c r="AF8" s="527"/>
      <c r="AG8" s="527">
        <v>73</v>
      </c>
      <c r="AH8" s="527"/>
      <c r="AI8" s="527">
        <v>68</v>
      </c>
      <c r="AJ8" s="527"/>
      <c r="AK8" s="527">
        <v>70</v>
      </c>
      <c r="AL8" s="527"/>
      <c r="AM8" s="527">
        <v>72</v>
      </c>
      <c r="AN8" s="527"/>
      <c r="AO8" s="527">
        <v>50</v>
      </c>
      <c r="AP8" s="527"/>
      <c r="AQ8" s="527">
        <v>66</v>
      </c>
      <c r="AR8" s="527"/>
      <c r="AS8" s="527">
        <v>70</v>
      </c>
      <c r="AT8" s="527"/>
      <c r="AU8" s="527">
        <v>69</v>
      </c>
      <c r="AV8" s="527"/>
      <c r="AW8" s="527">
        <v>75</v>
      </c>
      <c r="AX8" s="527"/>
      <c r="AY8" s="527">
        <v>73</v>
      </c>
      <c r="AZ8" s="527"/>
      <c r="BA8" s="527">
        <v>71</v>
      </c>
      <c r="BB8" s="527"/>
      <c r="BC8" s="527">
        <v>76</v>
      </c>
      <c r="BD8" s="527"/>
      <c r="BE8" s="527">
        <v>68</v>
      </c>
      <c r="BF8" s="527"/>
      <c r="BG8" s="527">
        <v>66</v>
      </c>
      <c r="BH8" s="527"/>
      <c r="BI8" s="527">
        <v>71</v>
      </c>
      <c r="BJ8" s="527"/>
      <c r="BK8" s="527">
        <v>75</v>
      </c>
      <c r="BL8" s="527"/>
      <c r="BM8" s="527">
        <v>72</v>
      </c>
      <c r="BN8" s="527"/>
      <c r="BO8" s="527">
        <v>71</v>
      </c>
      <c r="BP8" s="527"/>
      <c r="BQ8" s="527">
        <v>84</v>
      </c>
      <c r="BR8" s="527"/>
      <c r="BS8" s="527">
        <v>84</v>
      </c>
      <c r="BT8" s="527"/>
      <c r="BU8" s="527">
        <v>87</v>
      </c>
      <c r="BV8" s="527"/>
      <c r="BW8" s="527">
        <v>86</v>
      </c>
    </row>
    <row r="9" s="140" customFormat="1" customHeight="1" spans="1:75">
      <c r="A9" s="161">
        <v>5</v>
      </c>
      <c r="B9" s="524" t="s">
        <v>266</v>
      </c>
      <c r="C9" s="420"/>
      <c r="D9" s="421" t="s">
        <v>209</v>
      </c>
      <c r="E9" s="421">
        <v>0.21</v>
      </c>
      <c r="F9" s="525">
        <v>5900</v>
      </c>
      <c r="G9" s="526">
        <f t="shared" si="0"/>
        <v>1239</v>
      </c>
      <c r="H9" s="190">
        <f t="shared" si="1"/>
        <v>0</v>
      </c>
      <c r="I9" s="191">
        <f t="shared" si="2"/>
        <v>0</v>
      </c>
      <c r="J9" s="190">
        <f>SUMIF($N$4:$BW$4,$J$4,N9:$BW9)</f>
        <v>1912</v>
      </c>
      <c r="K9" s="191">
        <f t="shared" si="3"/>
        <v>401.52</v>
      </c>
      <c r="L9" s="190">
        <f t="shared" si="4"/>
        <v>3988</v>
      </c>
      <c r="M9" s="191">
        <f t="shared" si="5"/>
        <v>837.48</v>
      </c>
      <c r="N9" s="527"/>
      <c r="O9" s="527">
        <v>50</v>
      </c>
      <c r="P9" s="527"/>
      <c r="Q9" s="527">
        <v>66</v>
      </c>
      <c r="R9" s="527"/>
      <c r="S9" s="527">
        <v>65</v>
      </c>
      <c r="T9" s="527"/>
      <c r="U9" s="527">
        <v>53</v>
      </c>
      <c r="V9" s="527"/>
      <c r="W9" s="527">
        <v>52</v>
      </c>
      <c r="X9" s="527"/>
      <c r="Y9" s="527">
        <v>63</v>
      </c>
      <c r="Z9" s="527"/>
      <c r="AA9" s="527">
        <v>50</v>
      </c>
      <c r="AB9" s="527"/>
      <c r="AC9" s="527">
        <v>58</v>
      </c>
      <c r="AD9" s="527"/>
      <c r="AE9" s="527">
        <v>62</v>
      </c>
      <c r="AF9" s="527"/>
      <c r="AG9" s="527">
        <v>60</v>
      </c>
      <c r="AH9" s="527"/>
      <c r="AI9" s="527">
        <v>63</v>
      </c>
      <c r="AJ9" s="527"/>
      <c r="AK9" s="527">
        <v>58</v>
      </c>
      <c r="AL9" s="527"/>
      <c r="AM9" s="527">
        <v>68</v>
      </c>
      <c r="AN9" s="527"/>
      <c r="AO9" s="527">
        <v>42</v>
      </c>
      <c r="AP9" s="527"/>
      <c r="AQ9" s="140">
        <v>54</v>
      </c>
      <c r="AR9" s="527"/>
      <c r="AS9" s="527">
        <v>61</v>
      </c>
      <c r="AT9" s="527"/>
      <c r="AU9" s="527">
        <v>58</v>
      </c>
      <c r="AV9" s="527"/>
      <c r="AW9" s="527">
        <v>63</v>
      </c>
      <c r="AX9" s="527"/>
      <c r="AY9" s="527">
        <v>64</v>
      </c>
      <c r="AZ9" s="527"/>
      <c r="BA9" s="527">
        <v>68</v>
      </c>
      <c r="BB9" s="527"/>
      <c r="BC9" s="527">
        <v>60</v>
      </c>
      <c r="BD9" s="527"/>
      <c r="BE9" s="527">
        <v>62</v>
      </c>
      <c r="BF9" s="527"/>
      <c r="BG9" s="527">
        <v>65</v>
      </c>
      <c r="BH9" s="527"/>
      <c r="BI9" s="527">
        <v>63</v>
      </c>
      <c r="BJ9" s="527"/>
      <c r="BK9" s="527">
        <v>68</v>
      </c>
      <c r="BL9" s="527"/>
      <c r="BM9" s="527">
        <v>63</v>
      </c>
      <c r="BN9" s="527"/>
      <c r="BO9" s="527">
        <v>62</v>
      </c>
      <c r="BP9" s="527"/>
      <c r="BQ9" s="527">
        <v>68</v>
      </c>
      <c r="BR9" s="527"/>
      <c r="BS9" s="527">
        <v>72</v>
      </c>
      <c r="BT9" s="527"/>
      <c r="BU9" s="527">
        <v>76</v>
      </c>
      <c r="BV9" s="527"/>
      <c r="BW9" s="527">
        <v>75</v>
      </c>
    </row>
    <row r="10" s="140" customFormat="1" customHeight="1" spans="1:75">
      <c r="A10" s="161">
        <v>6</v>
      </c>
      <c r="B10" s="524" t="s">
        <v>293</v>
      </c>
      <c r="C10" s="420"/>
      <c r="D10" s="421" t="s">
        <v>294</v>
      </c>
      <c r="E10" s="421">
        <v>1.59</v>
      </c>
      <c r="F10" s="525">
        <v>7546</v>
      </c>
      <c r="G10" s="526">
        <f t="shared" si="0"/>
        <v>11998.14</v>
      </c>
      <c r="H10" s="190">
        <f t="shared" si="1"/>
        <v>0</v>
      </c>
      <c r="I10" s="191">
        <f t="shared" si="2"/>
        <v>0</v>
      </c>
      <c r="J10" s="190">
        <f>SUMIF($N$4:$BW$4,$J$4,N10:$BW10)</f>
        <v>4101</v>
      </c>
      <c r="K10" s="191">
        <f t="shared" si="3"/>
        <v>6520.59</v>
      </c>
      <c r="L10" s="190">
        <f t="shared" si="4"/>
        <v>3445</v>
      </c>
      <c r="M10" s="191">
        <f t="shared" si="5"/>
        <v>5477.55</v>
      </c>
      <c r="N10" s="527"/>
      <c r="O10" s="527">
        <v>114</v>
      </c>
      <c r="P10" s="527"/>
      <c r="Q10" s="527">
        <v>122</v>
      </c>
      <c r="R10" s="527"/>
      <c r="S10" s="527">
        <v>126</v>
      </c>
      <c r="T10" s="527"/>
      <c r="U10" s="527">
        <v>118</v>
      </c>
      <c r="V10" s="527"/>
      <c r="W10" s="527">
        <v>132</v>
      </c>
      <c r="X10" s="527"/>
      <c r="Y10" s="527">
        <v>124</v>
      </c>
      <c r="Z10" s="527"/>
      <c r="AA10" s="527">
        <v>136</v>
      </c>
      <c r="AB10" s="527"/>
      <c r="AC10" s="527">
        <v>127</v>
      </c>
      <c r="AD10" s="527"/>
      <c r="AE10" s="527">
        <v>125</v>
      </c>
      <c r="AF10" s="527"/>
      <c r="AG10" s="527">
        <v>130</v>
      </c>
      <c r="AH10" s="527"/>
      <c r="AI10" s="527">
        <v>134</v>
      </c>
      <c r="AJ10" s="527"/>
      <c r="AK10" s="527">
        <v>142</v>
      </c>
      <c r="AL10" s="527"/>
      <c r="AM10" s="527">
        <v>158</v>
      </c>
      <c r="AN10" s="527"/>
      <c r="AO10" s="527">
        <v>104</v>
      </c>
      <c r="AP10" s="527"/>
      <c r="AQ10" s="527">
        <v>128</v>
      </c>
      <c r="AR10" s="527"/>
      <c r="AS10" s="527">
        <v>135</v>
      </c>
      <c r="AT10" s="527"/>
      <c r="AU10" s="527">
        <v>122</v>
      </c>
      <c r="AV10" s="527"/>
      <c r="AW10" s="527">
        <v>139</v>
      </c>
      <c r="AX10" s="527"/>
      <c r="AY10" s="527">
        <v>127</v>
      </c>
      <c r="AZ10" s="527"/>
      <c r="BA10" s="527">
        <v>137</v>
      </c>
      <c r="BB10" s="527"/>
      <c r="BC10" s="527">
        <v>132</v>
      </c>
      <c r="BD10" s="527"/>
      <c r="BE10" s="527">
        <v>125</v>
      </c>
      <c r="BF10" s="527"/>
      <c r="BG10" s="527">
        <v>134</v>
      </c>
      <c r="BH10" s="527"/>
      <c r="BI10" s="527">
        <v>129</v>
      </c>
      <c r="BJ10" s="527"/>
      <c r="BK10" s="527">
        <v>136</v>
      </c>
      <c r="BL10" s="527"/>
      <c r="BM10" s="527">
        <v>121</v>
      </c>
      <c r="BN10" s="527"/>
      <c r="BO10" s="527">
        <v>126</v>
      </c>
      <c r="BP10" s="527"/>
      <c r="BQ10" s="527">
        <v>136</v>
      </c>
      <c r="BR10" s="527"/>
      <c r="BS10" s="527">
        <v>153</v>
      </c>
      <c r="BT10" s="527"/>
      <c r="BU10" s="527">
        <v>162</v>
      </c>
      <c r="BV10" s="527"/>
      <c r="BW10" s="527">
        <v>167</v>
      </c>
    </row>
    <row r="11" s="140" customFormat="1" customHeight="1" spans="1:75">
      <c r="A11" s="161">
        <v>7</v>
      </c>
      <c r="B11" s="524" t="s">
        <v>315</v>
      </c>
      <c r="C11" s="420"/>
      <c r="D11" s="421" t="s">
        <v>221</v>
      </c>
      <c r="E11" s="421">
        <v>1</v>
      </c>
      <c r="F11" s="525">
        <v>500</v>
      </c>
      <c r="G11" s="526">
        <f t="shared" si="0"/>
        <v>500</v>
      </c>
      <c r="H11" s="190">
        <f t="shared" si="1"/>
        <v>0</v>
      </c>
      <c r="I11" s="191">
        <f t="shared" si="2"/>
        <v>0</v>
      </c>
      <c r="J11" s="190">
        <f>SUMIF($N$4:$BW$4,$J$4,N11:$BW11)</f>
        <v>89</v>
      </c>
      <c r="K11" s="191">
        <f t="shared" si="3"/>
        <v>89</v>
      </c>
      <c r="L11" s="190">
        <f t="shared" si="4"/>
        <v>411</v>
      </c>
      <c r="M11" s="191">
        <f t="shared" si="5"/>
        <v>411</v>
      </c>
      <c r="N11" s="527"/>
      <c r="O11" s="527">
        <v>1</v>
      </c>
      <c r="P11" s="527"/>
      <c r="Q11" s="527">
        <v>4</v>
      </c>
      <c r="R11" s="527"/>
      <c r="S11" s="527">
        <v>2</v>
      </c>
      <c r="T11" s="527"/>
      <c r="U11" s="527">
        <v>2</v>
      </c>
      <c r="V11" s="527"/>
      <c r="W11" s="527">
        <v>3</v>
      </c>
      <c r="X11" s="527"/>
      <c r="Y11" s="527"/>
      <c r="Z11" s="527"/>
      <c r="AA11" s="527">
        <v>2</v>
      </c>
      <c r="AB11" s="527"/>
      <c r="AC11" s="527">
        <v>2</v>
      </c>
      <c r="AD11" s="527"/>
      <c r="AE11" s="527">
        <v>4</v>
      </c>
      <c r="AF11" s="527"/>
      <c r="AG11" s="527"/>
      <c r="AH11" s="527"/>
      <c r="AI11" s="527">
        <v>3</v>
      </c>
      <c r="AJ11" s="527"/>
      <c r="AK11" s="527">
        <v>3</v>
      </c>
      <c r="AL11" s="527"/>
      <c r="AM11" s="527">
        <v>1</v>
      </c>
      <c r="AN11" s="527"/>
      <c r="AO11" s="527">
        <v>2</v>
      </c>
      <c r="AP11" s="527"/>
      <c r="AQ11" s="527"/>
      <c r="AR11" s="527"/>
      <c r="AS11" s="527">
        <v>3</v>
      </c>
      <c r="AT11" s="527"/>
      <c r="AU11" s="527">
        <v>1</v>
      </c>
      <c r="AV11" s="527"/>
      <c r="AW11" s="527">
        <v>4</v>
      </c>
      <c r="AX11" s="527"/>
      <c r="AY11" s="527">
        <v>1</v>
      </c>
      <c r="AZ11" s="527"/>
      <c r="BA11" s="527">
        <v>3</v>
      </c>
      <c r="BB11" s="527"/>
      <c r="BC11" s="527">
        <v>2</v>
      </c>
      <c r="BD11" s="527"/>
      <c r="BE11" s="527">
        <v>3</v>
      </c>
      <c r="BF11" s="527"/>
      <c r="BG11" s="527">
        <v>4</v>
      </c>
      <c r="BH11" s="527"/>
      <c r="BI11" s="527">
        <v>3</v>
      </c>
      <c r="BJ11" s="527"/>
      <c r="BK11" s="527">
        <v>5</v>
      </c>
      <c r="BL11" s="527"/>
      <c r="BM11" s="527">
        <v>2</v>
      </c>
      <c r="BN11" s="527"/>
      <c r="BO11" s="527">
        <v>3</v>
      </c>
      <c r="BP11" s="527"/>
      <c r="BQ11" s="527">
        <v>5</v>
      </c>
      <c r="BR11" s="527"/>
      <c r="BS11" s="527">
        <v>6</v>
      </c>
      <c r="BT11" s="527"/>
      <c r="BU11" s="527">
        <v>7</v>
      </c>
      <c r="BV11" s="527"/>
      <c r="BW11" s="527">
        <v>8</v>
      </c>
    </row>
    <row r="12" s="140" customFormat="1" customHeight="1" spans="1:75">
      <c r="A12" s="161">
        <v>8</v>
      </c>
      <c r="B12" s="524" t="s">
        <v>265</v>
      </c>
      <c r="C12" s="420"/>
      <c r="D12" s="421" t="s">
        <v>294</v>
      </c>
      <c r="E12" s="421">
        <v>1.8</v>
      </c>
      <c r="F12" s="525">
        <v>500</v>
      </c>
      <c r="G12" s="526">
        <f t="shared" ref="G12:G35" si="6">F12*E12</f>
        <v>900</v>
      </c>
      <c r="H12" s="190">
        <f t="shared" si="1"/>
        <v>0</v>
      </c>
      <c r="I12" s="191">
        <f t="shared" si="2"/>
        <v>0</v>
      </c>
      <c r="J12" s="190">
        <f>SUMIF($N$4:$BW$4,$J$4,N12:$BW12)</f>
        <v>92</v>
      </c>
      <c r="K12" s="191">
        <f t="shared" si="3"/>
        <v>165.6</v>
      </c>
      <c r="L12" s="190">
        <f t="shared" si="4"/>
        <v>408</v>
      </c>
      <c r="M12" s="191">
        <f t="shared" si="5"/>
        <v>734.4</v>
      </c>
      <c r="N12" s="527"/>
      <c r="O12" s="527">
        <v>1</v>
      </c>
      <c r="P12" s="527"/>
      <c r="Q12" s="527">
        <v>4</v>
      </c>
      <c r="R12" s="527"/>
      <c r="S12" s="527">
        <v>2</v>
      </c>
      <c r="T12" s="527"/>
      <c r="U12" s="527">
        <v>2</v>
      </c>
      <c r="V12" s="527"/>
      <c r="W12" s="527">
        <v>4</v>
      </c>
      <c r="X12" s="527"/>
      <c r="Y12" s="527"/>
      <c r="Z12" s="527"/>
      <c r="AA12" s="527">
        <v>2</v>
      </c>
      <c r="AB12" s="527"/>
      <c r="AC12" s="527">
        <v>2</v>
      </c>
      <c r="AD12" s="527"/>
      <c r="AE12" s="527">
        <v>3</v>
      </c>
      <c r="AF12" s="527"/>
      <c r="AG12" s="527"/>
      <c r="AH12" s="527"/>
      <c r="AI12" s="527">
        <v>2</v>
      </c>
      <c r="AJ12" s="527"/>
      <c r="AK12" s="527">
        <v>3</v>
      </c>
      <c r="AL12" s="527"/>
      <c r="AM12" s="527">
        <v>1</v>
      </c>
      <c r="AN12" s="527"/>
      <c r="AO12" s="527">
        <v>2</v>
      </c>
      <c r="AP12" s="527"/>
      <c r="AQ12" s="527"/>
      <c r="AR12" s="527"/>
      <c r="AS12" s="527">
        <v>3</v>
      </c>
      <c r="AT12" s="527"/>
      <c r="AU12" s="527">
        <v>1</v>
      </c>
      <c r="AV12" s="527"/>
      <c r="AW12" s="527">
        <v>4</v>
      </c>
      <c r="AX12" s="527"/>
      <c r="AY12" s="527">
        <v>1</v>
      </c>
      <c r="AZ12" s="527"/>
      <c r="BA12" s="527">
        <v>3</v>
      </c>
      <c r="BB12" s="527"/>
      <c r="BC12" s="527">
        <v>2</v>
      </c>
      <c r="BD12" s="527"/>
      <c r="BE12" s="527">
        <v>2</v>
      </c>
      <c r="BF12" s="527"/>
      <c r="BG12" s="527">
        <v>4</v>
      </c>
      <c r="BH12" s="527"/>
      <c r="BI12" s="527">
        <v>3</v>
      </c>
      <c r="BJ12" s="527"/>
      <c r="BK12" s="527">
        <v>5</v>
      </c>
      <c r="BL12" s="527"/>
      <c r="BM12" s="527">
        <v>3</v>
      </c>
      <c r="BN12" s="527"/>
      <c r="BO12" s="527">
        <v>4</v>
      </c>
      <c r="BP12" s="527"/>
      <c r="BQ12" s="527">
        <v>6</v>
      </c>
      <c r="BR12" s="527"/>
      <c r="BS12" s="527">
        <v>8</v>
      </c>
      <c r="BT12" s="527"/>
      <c r="BU12" s="527">
        <v>7</v>
      </c>
      <c r="BV12" s="527"/>
      <c r="BW12" s="527">
        <v>8</v>
      </c>
    </row>
    <row r="13" s="140" customFormat="1" customHeight="1" spans="1:75">
      <c r="A13" s="161">
        <v>9</v>
      </c>
      <c r="B13" s="524" t="s">
        <v>316</v>
      </c>
      <c r="C13" s="420"/>
      <c r="D13" s="421" t="s">
        <v>173</v>
      </c>
      <c r="E13" s="421">
        <v>7.9</v>
      </c>
      <c r="F13" s="525">
        <v>21</v>
      </c>
      <c r="G13" s="526">
        <f t="shared" si="6"/>
        <v>165.9</v>
      </c>
      <c r="H13" s="190">
        <f t="shared" si="1"/>
        <v>0</v>
      </c>
      <c r="I13" s="191">
        <f t="shared" si="2"/>
        <v>0</v>
      </c>
      <c r="J13" s="190">
        <f>SUMIF($N$4:$BW$4,$J$4,N13:$BW13)</f>
        <v>11</v>
      </c>
      <c r="K13" s="191">
        <f t="shared" si="3"/>
        <v>86.9</v>
      </c>
      <c r="L13" s="190">
        <f t="shared" si="4"/>
        <v>10</v>
      </c>
      <c r="M13" s="191">
        <f t="shared" si="5"/>
        <v>79</v>
      </c>
      <c r="N13" s="527"/>
      <c r="O13" s="527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  <c r="AA13" s="527">
        <v>1</v>
      </c>
      <c r="AB13" s="527"/>
      <c r="AC13" s="527"/>
      <c r="AD13" s="527"/>
      <c r="AE13" s="527">
        <v>1</v>
      </c>
      <c r="AF13" s="527"/>
      <c r="AG13" s="527"/>
      <c r="AH13" s="527"/>
      <c r="AI13" s="527"/>
      <c r="AJ13" s="527"/>
      <c r="AK13" s="527"/>
      <c r="AL13" s="527"/>
      <c r="AM13" s="527"/>
      <c r="AN13" s="527"/>
      <c r="AO13" s="527">
        <v>1</v>
      </c>
      <c r="AP13" s="527"/>
      <c r="AQ13" s="527"/>
      <c r="AR13" s="527"/>
      <c r="AS13" s="527"/>
      <c r="AT13" s="527"/>
      <c r="AU13" s="527">
        <v>1</v>
      </c>
      <c r="AV13" s="527"/>
      <c r="AW13" s="527"/>
      <c r="AX13" s="527"/>
      <c r="AY13" s="527"/>
      <c r="AZ13" s="527"/>
      <c r="BA13" s="527">
        <v>1</v>
      </c>
      <c r="BB13" s="527"/>
      <c r="BC13" s="527"/>
      <c r="BD13" s="527"/>
      <c r="BE13" s="527"/>
      <c r="BF13" s="527"/>
      <c r="BG13" s="527">
        <v>1</v>
      </c>
      <c r="BH13" s="527"/>
      <c r="BI13" s="527"/>
      <c r="BJ13" s="527"/>
      <c r="BK13" s="527"/>
      <c r="BL13" s="527"/>
      <c r="BM13" s="527"/>
      <c r="BN13" s="527"/>
      <c r="BO13" s="527">
        <v>1</v>
      </c>
      <c r="BP13" s="527"/>
      <c r="BQ13" s="527">
        <v>2</v>
      </c>
      <c r="BR13" s="527"/>
      <c r="BS13" s="527">
        <v>1</v>
      </c>
      <c r="BT13" s="527"/>
      <c r="BU13" s="527">
        <v>1</v>
      </c>
      <c r="BV13" s="527"/>
      <c r="BW13" s="527"/>
    </row>
    <row r="14" s="140" customFormat="1" customHeight="1" spans="1:75">
      <c r="A14" s="161">
        <v>10</v>
      </c>
      <c r="B14" s="524" t="s">
        <v>306</v>
      </c>
      <c r="C14" s="420"/>
      <c r="D14" s="421" t="s">
        <v>173</v>
      </c>
      <c r="E14" s="421">
        <v>7.9</v>
      </c>
      <c r="F14" s="525">
        <v>83</v>
      </c>
      <c r="G14" s="526">
        <f t="shared" si="6"/>
        <v>655.7</v>
      </c>
      <c r="H14" s="190">
        <f t="shared" si="1"/>
        <v>0</v>
      </c>
      <c r="I14" s="191">
        <f t="shared" si="2"/>
        <v>0</v>
      </c>
      <c r="J14" s="190">
        <f>SUMIF($N$4:$BW$4,$J$4,N14:$BW14)</f>
        <v>28</v>
      </c>
      <c r="K14" s="191">
        <f t="shared" si="3"/>
        <v>221.2</v>
      </c>
      <c r="L14" s="190">
        <f t="shared" si="4"/>
        <v>55</v>
      </c>
      <c r="M14" s="191">
        <f t="shared" si="5"/>
        <v>434.5</v>
      </c>
      <c r="N14" s="527"/>
      <c r="O14" s="527">
        <v>1</v>
      </c>
      <c r="P14" s="527"/>
      <c r="Q14" s="527">
        <v>1</v>
      </c>
      <c r="R14" s="527"/>
      <c r="S14" s="527">
        <v>1</v>
      </c>
      <c r="T14" s="527"/>
      <c r="U14" s="527">
        <v>2</v>
      </c>
      <c r="V14" s="527"/>
      <c r="W14" s="527">
        <v>1</v>
      </c>
      <c r="X14" s="527"/>
      <c r="Y14" s="527"/>
      <c r="Z14" s="527"/>
      <c r="AA14" s="527">
        <v>1</v>
      </c>
      <c r="AB14" s="527"/>
      <c r="AC14" s="527"/>
      <c r="AD14" s="527"/>
      <c r="AE14" s="527">
        <v>2</v>
      </c>
      <c r="AF14" s="527"/>
      <c r="AG14" s="527">
        <v>1</v>
      </c>
      <c r="AH14" s="527"/>
      <c r="AI14" s="527">
        <v>1</v>
      </c>
      <c r="AJ14" s="527"/>
      <c r="AK14" s="527"/>
      <c r="AL14" s="527"/>
      <c r="AM14" s="527">
        <v>2</v>
      </c>
      <c r="AN14" s="527"/>
      <c r="AO14" s="527">
        <v>1</v>
      </c>
      <c r="AP14" s="527"/>
      <c r="AQ14" s="527"/>
      <c r="AR14" s="527"/>
      <c r="AS14" s="527">
        <v>1</v>
      </c>
      <c r="AT14" s="527"/>
      <c r="AU14" s="527"/>
      <c r="AV14" s="527"/>
      <c r="AW14" s="527">
        <v>1</v>
      </c>
      <c r="AX14" s="527"/>
      <c r="AY14" s="527"/>
      <c r="AZ14" s="527"/>
      <c r="BA14" s="527">
        <v>1</v>
      </c>
      <c r="BB14" s="527"/>
      <c r="BC14" s="527">
        <v>2</v>
      </c>
      <c r="BD14" s="527"/>
      <c r="BE14" s="527">
        <v>2</v>
      </c>
      <c r="BF14" s="527"/>
      <c r="BG14" s="527"/>
      <c r="BH14" s="527"/>
      <c r="BI14" s="527">
        <v>1</v>
      </c>
      <c r="BJ14" s="527"/>
      <c r="BK14" s="527">
        <v>1</v>
      </c>
      <c r="BL14" s="527"/>
      <c r="BM14" s="527"/>
      <c r="BN14" s="527"/>
      <c r="BO14" s="527">
        <v>2</v>
      </c>
      <c r="BP14" s="527"/>
      <c r="BQ14" s="527"/>
      <c r="BR14" s="527"/>
      <c r="BS14" s="527">
        <v>1</v>
      </c>
      <c r="BT14" s="527"/>
      <c r="BU14" s="527"/>
      <c r="BV14" s="527"/>
      <c r="BW14" s="527">
        <v>2</v>
      </c>
    </row>
    <row r="15" s="143" customFormat="1" customHeight="1" spans="1:75">
      <c r="A15" s="161">
        <v>11</v>
      </c>
      <c r="B15" s="524" t="s">
        <v>317</v>
      </c>
      <c r="C15" s="420"/>
      <c r="D15" s="421" t="s">
        <v>318</v>
      </c>
      <c r="E15" s="421">
        <v>48</v>
      </c>
      <c r="F15" s="525">
        <v>23</v>
      </c>
      <c r="G15" s="526">
        <f t="shared" si="6"/>
        <v>1104</v>
      </c>
      <c r="H15" s="190">
        <f t="shared" si="1"/>
        <v>0</v>
      </c>
      <c r="I15" s="191">
        <f t="shared" si="2"/>
        <v>0</v>
      </c>
      <c r="J15" s="190">
        <f>SUMIF($N$4:$BW$4,$J$4,N15:$BW15)</f>
        <v>10</v>
      </c>
      <c r="K15" s="191">
        <f t="shared" si="3"/>
        <v>480</v>
      </c>
      <c r="L15" s="190">
        <f t="shared" si="4"/>
        <v>13</v>
      </c>
      <c r="M15" s="191">
        <f t="shared" si="5"/>
        <v>624</v>
      </c>
      <c r="N15" s="527"/>
      <c r="O15" s="527"/>
      <c r="P15" s="527"/>
      <c r="Q15" s="527"/>
      <c r="R15" s="527"/>
      <c r="S15" s="527">
        <v>1</v>
      </c>
      <c r="T15" s="527"/>
      <c r="U15" s="527"/>
      <c r="V15" s="527"/>
      <c r="W15" s="527">
        <v>1</v>
      </c>
      <c r="X15" s="527"/>
      <c r="Y15" s="527"/>
      <c r="Z15" s="527"/>
      <c r="AA15" s="527">
        <v>1</v>
      </c>
      <c r="AB15" s="527"/>
      <c r="AC15" s="527"/>
      <c r="AD15" s="527"/>
      <c r="AE15" s="527"/>
      <c r="AF15" s="527"/>
      <c r="AG15" s="527"/>
      <c r="AH15" s="527"/>
      <c r="AI15" s="527">
        <v>1</v>
      </c>
      <c r="AJ15" s="527"/>
      <c r="AK15" s="527"/>
      <c r="AL15" s="527"/>
      <c r="AM15" s="527">
        <v>1</v>
      </c>
      <c r="AN15" s="527"/>
      <c r="AO15" s="527"/>
      <c r="AP15" s="527"/>
      <c r="AQ15" s="527">
        <v>1</v>
      </c>
      <c r="AR15" s="527"/>
      <c r="AS15" s="527"/>
      <c r="AT15" s="527"/>
      <c r="AU15" s="527"/>
      <c r="AV15" s="527"/>
      <c r="AW15" s="527"/>
      <c r="AX15" s="527"/>
      <c r="AY15" s="527"/>
      <c r="AZ15" s="527"/>
      <c r="BA15" s="527">
        <v>1</v>
      </c>
      <c r="BB15" s="527"/>
      <c r="BC15" s="527"/>
      <c r="BD15" s="527"/>
      <c r="BE15" s="527"/>
      <c r="BF15" s="527"/>
      <c r="BG15" s="527">
        <v>1</v>
      </c>
      <c r="BH15" s="527"/>
      <c r="BI15" s="527"/>
      <c r="BJ15" s="527"/>
      <c r="BK15" s="527"/>
      <c r="BL15" s="527"/>
      <c r="BM15" s="527"/>
      <c r="BN15" s="527"/>
      <c r="BO15" s="527"/>
      <c r="BP15" s="527"/>
      <c r="BQ15" s="527"/>
      <c r="BR15" s="527"/>
      <c r="BS15" s="527">
        <v>1</v>
      </c>
      <c r="BT15" s="527"/>
      <c r="BU15" s="527">
        <v>1</v>
      </c>
      <c r="BV15" s="527"/>
      <c r="BW15" s="527"/>
    </row>
    <row r="16" s="140" customFormat="1" ht="16.5" spans="1:75">
      <c r="A16" s="161">
        <v>12</v>
      </c>
      <c r="B16" s="524" t="s">
        <v>319</v>
      </c>
      <c r="C16" s="420"/>
      <c r="D16" s="421" t="s">
        <v>137</v>
      </c>
      <c r="E16" s="421">
        <v>0.75</v>
      </c>
      <c r="F16" s="525">
        <v>3159</v>
      </c>
      <c r="G16" s="526">
        <f t="shared" si="6"/>
        <v>2369.25</v>
      </c>
      <c r="H16" s="190">
        <f t="shared" ref="H16:H31" si="7">SUMIF($N$4:$BW$4,$H$4,$N16:$BW16)</f>
        <v>0</v>
      </c>
      <c r="I16" s="191">
        <f t="shared" ref="I16:I31" si="8">+E16*H16</f>
        <v>0</v>
      </c>
      <c r="J16" s="190">
        <f>SUMIF($N$4:$BW$4,$J$4,N16:$BW16)</f>
        <v>1101</v>
      </c>
      <c r="K16" s="191">
        <f t="shared" ref="K16:K31" si="9">+E16*J16</f>
        <v>825.75</v>
      </c>
      <c r="L16" s="190">
        <f t="shared" ref="L16:L31" si="10">+F16+H16-J16</f>
        <v>2058</v>
      </c>
      <c r="M16" s="191">
        <f t="shared" ref="M16:M31" si="11">+E16*L16</f>
        <v>1543.5</v>
      </c>
      <c r="N16" s="527"/>
      <c r="O16" s="527">
        <v>25</v>
      </c>
      <c r="P16" s="527"/>
      <c r="Q16" s="527">
        <v>23</v>
      </c>
      <c r="R16" s="527"/>
      <c r="S16" s="527">
        <v>38</v>
      </c>
      <c r="T16" s="527"/>
      <c r="U16" s="527">
        <v>30</v>
      </c>
      <c r="V16" s="527"/>
      <c r="W16" s="527">
        <v>39</v>
      </c>
      <c r="X16" s="527"/>
      <c r="Y16" s="527">
        <v>34</v>
      </c>
      <c r="Z16" s="527"/>
      <c r="AA16" s="527">
        <v>30</v>
      </c>
      <c r="AB16" s="527"/>
      <c r="AC16" s="527">
        <v>38</v>
      </c>
      <c r="AD16" s="527"/>
      <c r="AE16" s="527">
        <v>32</v>
      </c>
      <c r="AF16" s="527"/>
      <c r="AG16" s="527">
        <v>41</v>
      </c>
      <c r="AH16" s="527"/>
      <c r="AI16" s="527">
        <v>26</v>
      </c>
      <c r="AJ16" s="527"/>
      <c r="AK16" s="527">
        <v>36</v>
      </c>
      <c r="AL16" s="527"/>
      <c r="AM16" s="527">
        <v>43</v>
      </c>
      <c r="AN16" s="527"/>
      <c r="AO16" s="527">
        <v>29</v>
      </c>
      <c r="AP16" s="527"/>
      <c r="AQ16" s="527">
        <v>25</v>
      </c>
      <c r="AR16" s="527"/>
      <c r="AS16" s="527">
        <v>31</v>
      </c>
      <c r="AT16" s="527"/>
      <c r="AU16" s="527">
        <v>24</v>
      </c>
      <c r="AV16" s="527"/>
      <c r="AW16" s="527">
        <v>33</v>
      </c>
      <c r="AX16" s="527"/>
      <c r="AY16" s="527">
        <v>24</v>
      </c>
      <c r="AZ16" s="527"/>
      <c r="BA16" s="527">
        <v>36</v>
      </c>
      <c r="BB16" s="527"/>
      <c r="BC16" s="527">
        <v>41</v>
      </c>
      <c r="BD16" s="527"/>
      <c r="BE16" s="527">
        <v>36</v>
      </c>
      <c r="BF16" s="527"/>
      <c r="BG16" s="527">
        <v>43</v>
      </c>
      <c r="BH16" s="527"/>
      <c r="BI16" s="527">
        <v>37</v>
      </c>
      <c r="BJ16" s="527"/>
      <c r="BK16" s="527">
        <v>31</v>
      </c>
      <c r="BL16" s="527"/>
      <c r="BM16" s="527">
        <v>32</v>
      </c>
      <c r="BN16" s="527"/>
      <c r="BO16" s="527">
        <v>36</v>
      </c>
      <c r="BP16" s="527"/>
      <c r="BQ16" s="527">
        <v>40</v>
      </c>
      <c r="BR16" s="527"/>
      <c r="BS16" s="527">
        <v>52</v>
      </c>
      <c r="BT16" s="527"/>
      <c r="BU16" s="527">
        <v>56</v>
      </c>
      <c r="BV16" s="527"/>
      <c r="BW16" s="527">
        <v>60</v>
      </c>
    </row>
    <row r="17" s="140" customFormat="1" customHeight="1" spans="1:75">
      <c r="A17" s="161">
        <v>13</v>
      </c>
      <c r="B17" s="524" t="s">
        <v>320</v>
      </c>
      <c r="C17" s="420"/>
      <c r="D17" s="421" t="s">
        <v>209</v>
      </c>
      <c r="E17" s="421">
        <v>0.39</v>
      </c>
      <c r="F17" s="525">
        <v>772</v>
      </c>
      <c r="G17" s="526">
        <f t="shared" si="6"/>
        <v>301.08</v>
      </c>
      <c r="H17" s="190">
        <f t="shared" si="7"/>
        <v>0</v>
      </c>
      <c r="I17" s="191">
        <f t="shared" si="8"/>
        <v>0</v>
      </c>
      <c r="J17" s="190">
        <f>SUMIF($N$4:$BW$4,$J$4,N17:$BW17)</f>
        <v>565</v>
      </c>
      <c r="K17" s="191">
        <f t="shared" si="9"/>
        <v>220.35</v>
      </c>
      <c r="L17" s="190">
        <f t="shared" si="10"/>
        <v>207</v>
      </c>
      <c r="M17" s="191">
        <f t="shared" si="11"/>
        <v>80.73</v>
      </c>
      <c r="N17" s="527"/>
      <c r="O17" s="527">
        <v>17</v>
      </c>
      <c r="P17" s="527"/>
      <c r="Q17" s="527">
        <v>18</v>
      </c>
      <c r="R17" s="527"/>
      <c r="S17" s="527">
        <v>19</v>
      </c>
      <c r="T17" s="527"/>
      <c r="U17" s="527">
        <v>15</v>
      </c>
      <c r="V17" s="527"/>
      <c r="W17" s="527">
        <v>16</v>
      </c>
      <c r="X17" s="527"/>
      <c r="Y17" s="527">
        <v>19</v>
      </c>
      <c r="Z17" s="527"/>
      <c r="AA17" s="527">
        <v>17</v>
      </c>
      <c r="AB17" s="527"/>
      <c r="AC17" s="527">
        <v>21</v>
      </c>
      <c r="AD17" s="527"/>
      <c r="AE17" s="527">
        <v>18</v>
      </c>
      <c r="AF17" s="527"/>
      <c r="AG17" s="527">
        <v>23</v>
      </c>
      <c r="AH17" s="527"/>
      <c r="AI17" s="527">
        <v>18</v>
      </c>
      <c r="AJ17" s="527"/>
      <c r="AK17" s="527">
        <v>20</v>
      </c>
      <c r="AL17" s="527"/>
      <c r="AM17" s="527">
        <v>24</v>
      </c>
      <c r="AN17" s="527"/>
      <c r="AO17" s="527">
        <v>17</v>
      </c>
      <c r="AP17" s="527"/>
      <c r="AQ17" s="527">
        <v>20</v>
      </c>
      <c r="AR17" s="527"/>
      <c r="AS17" s="527">
        <v>14</v>
      </c>
      <c r="AT17" s="527"/>
      <c r="AU17" s="527">
        <v>13</v>
      </c>
      <c r="AV17" s="527"/>
      <c r="AW17" s="527">
        <v>18</v>
      </c>
      <c r="AX17" s="527"/>
      <c r="AY17" s="527">
        <v>15</v>
      </c>
      <c r="AZ17" s="527"/>
      <c r="BA17" s="527">
        <v>18</v>
      </c>
      <c r="BB17" s="527"/>
      <c r="BC17" s="527">
        <v>22</v>
      </c>
      <c r="BD17" s="527"/>
      <c r="BE17" s="527">
        <v>18</v>
      </c>
      <c r="BF17" s="527"/>
      <c r="BG17" s="527">
        <v>15</v>
      </c>
      <c r="BH17" s="527"/>
      <c r="BI17" s="527">
        <v>18</v>
      </c>
      <c r="BJ17" s="527"/>
      <c r="BK17" s="527">
        <v>17</v>
      </c>
      <c r="BL17" s="527"/>
      <c r="BM17" s="527">
        <v>15</v>
      </c>
      <c r="BN17" s="527"/>
      <c r="BO17" s="527">
        <v>17</v>
      </c>
      <c r="BP17" s="527"/>
      <c r="BQ17" s="527">
        <v>19</v>
      </c>
      <c r="BR17" s="527"/>
      <c r="BS17" s="527">
        <v>21</v>
      </c>
      <c r="BT17" s="527"/>
      <c r="BU17" s="527">
        <v>22</v>
      </c>
      <c r="BV17" s="527"/>
      <c r="BW17" s="527">
        <v>21</v>
      </c>
    </row>
    <row r="18" s="140" customFormat="1" customHeight="1" spans="1:75">
      <c r="A18" s="161">
        <v>14</v>
      </c>
      <c r="B18" s="524" t="s">
        <v>321</v>
      </c>
      <c r="C18" s="420"/>
      <c r="D18" s="421" t="s">
        <v>209</v>
      </c>
      <c r="E18" s="421">
        <v>0.39</v>
      </c>
      <c r="F18" s="525">
        <v>857</v>
      </c>
      <c r="G18" s="526">
        <f t="shared" si="6"/>
        <v>334.23</v>
      </c>
      <c r="H18" s="190">
        <f t="shared" si="7"/>
        <v>0</v>
      </c>
      <c r="I18" s="191">
        <f t="shared" si="8"/>
        <v>0</v>
      </c>
      <c r="J18" s="190">
        <f>SUMIF($N$4:$BW$4,$J$4,N18:$BW18)</f>
        <v>557</v>
      </c>
      <c r="K18" s="191">
        <f t="shared" si="9"/>
        <v>217.23</v>
      </c>
      <c r="L18" s="190">
        <f t="shared" si="10"/>
        <v>300</v>
      </c>
      <c r="M18" s="191">
        <f t="shared" si="11"/>
        <v>117</v>
      </c>
      <c r="N18" s="527"/>
      <c r="O18" s="527">
        <v>19</v>
      </c>
      <c r="P18" s="527"/>
      <c r="Q18" s="527">
        <v>16</v>
      </c>
      <c r="R18" s="527"/>
      <c r="S18" s="527">
        <v>17</v>
      </c>
      <c r="T18" s="527"/>
      <c r="U18" s="527">
        <v>16</v>
      </c>
      <c r="V18" s="527"/>
      <c r="W18" s="527">
        <v>16</v>
      </c>
      <c r="X18" s="527"/>
      <c r="Y18" s="527">
        <v>14</v>
      </c>
      <c r="Z18" s="527"/>
      <c r="AA18" s="527">
        <v>17</v>
      </c>
      <c r="AB18" s="527"/>
      <c r="AC18" s="527">
        <v>22</v>
      </c>
      <c r="AD18" s="527"/>
      <c r="AE18" s="527">
        <v>20</v>
      </c>
      <c r="AF18" s="527"/>
      <c r="AG18" s="527">
        <v>20</v>
      </c>
      <c r="AH18" s="527"/>
      <c r="AI18" s="527">
        <v>17</v>
      </c>
      <c r="AJ18" s="527"/>
      <c r="AK18" s="527">
        <v>18</v>
      </c>
      <c r="AL18" s="527"/>
      <c r="AM18" s="527">
        <v>23</v>
      </c>
      <c r="AN18" s="527"/>
      <c r="AO18" s="527">
        <v>18</v>
      </c>
      <c r="AP18" s="527"/>
      <c r="AQ18" s="527">
        <v>19</v>
      </c>
      <c r="AR18" s="527"/>
      <c r="AS18" s="527">
        <v>16</v>
      </c>
      <c r="AT18" s="527"/>
      <c r="AU18" s="527">
        <v>15</v>
      </c>
      <c r="AV18" s="527"/>
      <c r="AW18" s="527">
        <v>19</v>
      </c>
      <c r="AX18" s="527"/>
      <c r="AY18" s="527">
        <v>13</v>
      </c>
      <c r="AZ18" s="527"/>
      <c r="BA18" s="527">
        <v>19</v>
      </c>
      <c r="BB18" s="527"/>
      <c r="BC18" s="527">
        <v>23</v>
      </c>
      <c r="BD18" s="527"/>
      <c r="BE18" s="527">
        <v>16</v>
      </c>
      <c r="BF18" s="527"/>
      <c r="BG18" s="527">
        <v>15</v>
      </c>
      <c r="BH18" s="527"/>
      <c r="BI18" s="527">
        <v>17</v>
      </c>
      <c r="BJ18" s="527"/>
      <c r="BK18" s="527">
        <v>19</v>
      </c>
      <c r="BL18" s="527"/>
      <c r="BM18" s="527">
        <v>13</v>
      </c>
      <c r="BN18" s="527"/>
      <c r="BO18" s="527">
        <v>17</v>
      </c>
      <c r="BP18" s="527"/>
      <c r="BQ18" s="527">
        <v>17</v>
      </c>
      <c r="BR18" s="527"/>
      <c r="BS18" s="527">
        <v>23</v>
      </c>
      <c r="BT18" s="527"/>
      <c r="BU18" s="527">
        <v>20</v>
      </c>
      <c r="BV18" s="527"/>
      <c r="BW18" s="527">
        <v>23</v>
      </c>
    </row>
    <row r="19" s="140" customFormat="1" customHeight="1" spans="1:75">
      <c r="A19" s="161">
        <v>15</v>
      </c>
      <c r="B19" s="524" t="s">
        <v>322</v>
      </c>
      <c r="C19" s="420"/>
      <c r="D19" s="421" t="s">
        <v>173</v>
      </c>
      <c r="E19" s="421">
        <v>13.5</v>
      </c>
      <c r="F19" s="525">
        <v>422</v>
      </c>
      <c r="G19" s="526">
        <f t="shared" si="6"/>
        <v>5697</v>
      </c>
      <c r="H19" s="190">
        <f t="shared" si="7"/>
        <v>0</v>
      </c>
      <c r="I19" s="191">
        <f t="shared" si="8"/>
        <v>0</v>
      </c>
      <c r="J19" s="190">
        <f>SUMIF($N$4:$BW$4,$J$4,N19:$BW19)</f>
        <v>254</v>
      </c>
      <c r="K19" s="191">
        <f t="shared" si="9"/>
        <v>3429</v>
      </c>
      <c r="L19" s="190">
        <f t="shared" si="10"/>
        <v>168</v>
      </c>
      <c r="M19" s="191">
        <f t="shared" si="11"/>
        <v>2268</v>
      </c>
      <c r="N19" s="527"/>
      <c r="O19" s="527">
        <v>6</v>
      </c>
      <c r="P19" s="527"/>
      <c r="Q19" s="527">
        <v>7</v>
      </c>
      <c r="R19" s="527"/>
      <c r="S19" s="527">
        <v>7</v>
      </c>
      <c r="T19" s="527"/>
      <c r="U19" s="527">
        <v>8</v>
      </c>
      <c r="V19" s="527"/>
      <c r="W19" s="527">
        <v>8</v>
      </c>
      <c r="X19" s="527"/>
      <c r="Y19" s="527">
        <v>7</v>
      </c>
      <c r="Z19" s="527"/>
      <c r="AA19" s="527">
        <v>8</v>
      </c>
      <c r="AB19" s="527"/>
      <c r="AC19" s="527">
        <v>8</v>
      </c>
      <c r="AD19" s="527"/>
      <c r="AE19" s="527">
        <v>6</v>
      </c>
      <c r="AF19" s="527"/>
      <c r="AG19" s="527">
        <v>7</v>
      </c>
      <c r="AH19" s="527"/>
      <c r="AI19" s="527">
        <v>9</v>
      </c>
      <c r="AJ19" s="527"/>
      <c r="AK19" s="527">
        <v>8</v>
      </c>
      <c r="AL19" s="527"/>
      <c r="AM19" s="527">
        <v>9</v>
      </c>
      <c r="AN19" s="527"/>
      <c r="AO19" s="527">
        <v>8</v>
      </c>
      <c r="AP19" s="527"/>
      <c r="AQ19" s="527">
        <v>9</v>
      </c>
      <c r="AR19" s="527"/>
      <c r="AS19" s="527">
        <v>8</v>
      </c>
      <c r="AT19" s="527"/>
      <c r="AU19" s="527">
        <v>8</v>
      </c>
      <c r="AV19" s="527"/>
      <c r="AW19" s="527">
        <v>10</v>
      </c>
      <c r="AX19" s="527"/>
      <c r="AY19" s="527">
        <v>8</v>
      </c>
      <c r="AZ19" s="527"/>
      <c r="BA19" s="527">
        <v>10</v>
      </c>
      <c r="BB19" s="527"/>
      <c r="BC19" s="527">
        <v>11</v>
      </c>
      <c r="BD19" s="527"/>
      <c r="BE19" s="527">
        <v>9</v>
      </c>
      <c r="BF19" s="527"/>
      <c r="BG19" s="527">
        <v>10</v>
      </c>
      <c r="BH19" s="527"/>
      <c r="BI19" s="527">
        <v>8</v>
      </c>
      <c r="BJ19" s="527"/>
      <c r="BK19" s="527">
        <v>9</v>
      </c>
      <c r="BL19" s="527"/>
      <c r="BM19" s="527">
        <v>8</v>
      </c>
      <c r="BN19" s="527"/>
      <c r="BO19" s="527">
        <v>8</v>
      </c>
      <c r="BP19" s="527"/>
      <c r="BQ19" s="527">
        <v>7</v>
      </c>
      <c r="BR19" s="527"/>
      <c r="BS19" s="527">
        <v>11</v>
      </c>
      <c r="BT19" s="527"/>
      <c r="BU19" s="527">
        <v>7</v>
      </c>
      <c r="BV19" s="527"/>
      <c r="BW19" s="527">
        <v>7</v>
      </c>
    </row>
    <row r="20" s="140" customFormat="1" ht="20.25" customHeight="1" spans="1:75">
      <c r="A20" s="161">
        <v>16</v>
      </c>
      <c r="B20" s="528" t="s">
        <v>323</v>
      </c>
      <c r="C20" s="528"/>
      <c r="D20" s="366" t="s">
        <v>173</v>
      </c>
      <c r="E20" s="366">
        <v>13.5</v>
      </c>
      <c r="F20" s="525">
        <v>447</v>
      </c>
      <c r="G20" s="526">
        <f t="shared" si="6"/>
        <v>6034.5</v>
      </c>
      <c r="H20" s="190">
        <f t="shared" si="7"/>
        <v>0</v>
      </c>
      <c r="I20" s="191">
        <f t="shared" si="8"/>
        <v>0</v>
      </c>
      <c r="J20" s="190">
        <f>SUMIF($N$4:$BW$4,$J$4,N20:$BW20)</f>
        <v>248</v>
      </c>
      <c r="K20" s="191">
        <f t="shared" si="9"/>
        <v>3348</v>
      </c>
      <c r="L20" s="190">
        <f t="shared" si="10"/>
        <v>199</v>
      </c>
      <c r="M20" s="191">
        <f t="shared" si="11"/>
        <v>2686.5</v>
      </c>
      <c r="N20" s="527"/>
      <c r="O20" s="527">
        <v>6</v>
      </c>
      <c r="P20" s="527"/>
      <c r="Q20" s="527">
        <v>6</v>
      </c>
      <c r="R20" s="527"/>
      <c r="S20" s="527">
        <v>7</v>
      </c>
      <c r="T20" s="527"/>
      <c r="U20" s="527">
        <v>8</v>
      </c>
      <c r="V20" s="527"/>
      <c r="W20" s="527">
        <v>7</v>
      </c>
      <c r="X20" s="527"/>
      <c r="Y20" s="527">
        <v>8</v>
      </c>
      <c r="Z20" s="527"/>
      <c r="AA20" s="527">
        <v>6</v>
      </c>
      <c r="AB20" s="527"/>
      <c r="AC20" s="527">
        <v>6</v>
      </c>
      <c r="AD20" s="527"/>
      <c r="AE20" s="527">
        <v>7</v>
      </c>
      <c r="AF20" s="527"/>
      <c r="AG20" s="527">
        <v>8</v>
      </c>
      <c r="AH20" s="527"/>
      <c r="AI20" s="527">
        <v>7</v>
      </c>
      <c r="AJ20" s="527"/>
      <c r="AK20" s="527">
        <v>8</v>
      </c>
      <c r="AL20" s="527"/>
      <c r="AM20" s="527">
        <v>7</v>
      </c>
      <c r="AN20" s="527"/>
      <c r="AO20" s="527">
        <v>8</v>
      </c>
      <c r="AP20" s="527"/>
      <c r="AQ20" s="527">
        <v>8</v>
      </c>
      <c r="AR20" s="527"/>
      <c r="AS20" s="527">
        <v>8</v>
      </c>
      <c r="AT20" s="527"/>
      <c r="AU20" s="527">
        <v>7</v>
      </c>
      <c r="AV20" s="527"/>
      <c r="AW20" s="527">
        <v>9</v>
      </c>
      <c r="AX20" s="527"/>
      <c r="AY20" s="527">
        <v>9</v>
      </c>
      <c r="AZ20" s="527"/>
      <c r="BA20" s="527">
        <v>10</v>
      </c>
      <c r="BB20" s="527"/>
      <c r="BC20" s="527">
        <v>10</v>
      </c>
      <c r="BD20" s="527"/>
      <c r="BE20" s="527">
        <v>9</v>
      </c>
      <c r="BF20" s="527"/>
      <c r="BG20" s="527">
        <v>9</v>
      </c>
      <c r="BH20" s="527"/>
      <c r="BI20" s="527">
        <v>10</v>
      </c>
      <c r="BJ20" s="527"/>
      <c r="BK20" s="527">
        <v>9</v>
      </c>
      <c r="BL20" s="527"/>
      <c r="BM20" s="527">
        <v>7</v>
      </c>
      <c r="BN20" s="527"/>
      <c r="BO20" s="527">
        <v>9</v>
      </c>
      <c r="BP20" s="527"/>
      <c r="BQ20" s="527">
        <v>7</v>
      </c>
      <c r="BR20" s="527"/>
      <c r="BS20" s="527">
        <v>12</v>
      </c>
      <c r="BT20" s="527"/>
      <c r="BU20" s="527">
        <v>10</v>
      </c>
      <c r="BV20" s="527"/>
      <c r="BW20" s="527">
        <v>6</v>
      </c>
    </row>
    <row r="21" s="140" customFormat="1" customHeight="1" spans="1:75">
      <c r="A21" s="161">
        <v>17</v>
      </c>
      <c r="B21" s="528" t="s">
        <v>308</v>
      </c>
      <c r="C21" s="528"/>
      <c r="D21" s="366" t="s">
        <v>173</v>
      </c>
      <c r="E21" s="366">
        <v>13.5</v>
      </c>
      <c r="F21" s="525">
        <v>476</v>
      </c>
      <c r="G21" s="526">
        <f t="shared" si="6"/>
        <v>6426</v>
      </c>
      <c r="H21" s="190">
        <f t="shared" si="7"/>
        <v>0</v>
      </c>
      <c r="I21" s="191">
        <f t="shared" si="8"/>
        <v>0</v>
      </c>
      <c r="J21" s="190">
        <f>SUMIF($N$4:$BW$4,$J$4,N21:$BW21)</f>
        <v>146</v>
      </c>
      <c r="K21" s="191">
        <f t="shared" si="9"/>
        <v>1971</v>
      </c>
      <c r="L21" s="190">
        <f t="shared" si="10"/>
        <v>330</v>
      </c>
      <c r="M21" s="191">
        <f t="shared" si="11"/>
        <v>4455</v>
      </c>
      <c r="N21" s="527"/>
      <c r="O21" s="527">
        <v>5</v>
      </c>
      <c r="P21" s="527"/>
      <c r="Q21" s="527">
        <v>4</v>
      </c>
      <c r="R21" s="527"/>
      <c r="S21" s="527">
        <v>5</v>
      </c>
      <c r="T21" s="527"/>
      <c r="U21" s="527">
        <v>4</v>
      </c>
      <c r="V21" s="527"/>
      <c r="W21" s="527">
        <v>4</v>
      </c>
      <c r="X21" s="527"/>
      <c r="Y21" s="527">
        <v>5</v>
      </c>
      <c r="Z21" s="527"/>
      <c r="AA21" s="527">
        <v>3</v>
      </c>
      <c r="AB21" s="527"/>
      <c r="AC21" s="527">
        <v>4</v>
      </c>
      <c r="AD21" s="527"/>
      <c r="AE21" s="527">
        <v>5</v>
      </c>
      <c r="AF21" s="527"/>
      <c r="AG21" s="527">
        <v>4</v>
      </c>
      <c r="AH21" s="527"/>
      <c r="AI21" s="527">
        <v>5</v>
      </c>
      <c r="AJ21" s="527"/>
      <c r="AK21" s="527">
        <v>4</v>
      </c>
      <c r="AL21" s="527"/>
      <c r="AM21" s="527">
        <v>6</v>
      </c>
      <c r="AN21" s="527"/>
      <c r="AO21" s="527">
        <v>5</v>
      </c>
      <c r="AP21" s="527"/>
      <c r="AQ21" s="527">
        <v>4</v>
      </c>
      <c r="AR21" s="527"/>
      <c r="AS21" s="527">
        <v>5</v>
      </c>
      <c r="AT21" s="527"/>
      <c r="AU21" s="527">
        <v>5</v>
      </c>
      <c r="AV21" s="527"/>
      <c r="AW21" s="527">
        <v>6</v>
      </c>
      <c r="AX21" s="527"/>
      <c r="AY21" s="527">
        <v>4</v>
      </c>
      <c r="AZ21" s="527"/>
      <c r="BA21" s="527">
        <v>6</v>
      </c>
      <c r="BB21" s="527"/>
      <c r="BC21" s="527">
        <v>4</v>
      </c>
      <c r="BD21" s="527"/>
      <c r="BE21" s="527">
        <v>6</v>
      </c>
      <c r="BF21" s="527"/>
      <c r="BG21" s="527">
        <v>5</v>
      </c>
      <c r="BH21" s="527"/>
      <c r="BI21" s="527">
        <v>6</v>
      </c>
      <c r="BJ21" s="527"/>
      <c r="BK21" s="527">
        <v>5</v>
      </c>
      <c r="BL21" s="527"/>
      <c r="BM21" s="527">
        <v>4</v>
      </c>
      <c r="BN21" s="527"/>
      <c r="BO21" s="527">
        <v>4</v>
      </c>
      <c r="BP21" s="527"/>
      <c r="BQ21" s="527">
        <v>3</v>
      </c>
      <c r="BR21" s="527"/>
      <c r="BS21" s="527">
        <v>7</v>
      </c>
      <c r="BT21" s="527"/>
      <c r="BU21" s="527">
        <v>4</v>
      </c>
      <c r="BV21" s="527"/>
      <c r="BW21" s="527">
        <v>5</v>
      </c>
    </row>
    <row r="22" s="140" customFormat="1" customHeight="1" spans="1:75">
      <c r="A22" s="161">
        <v>18</v>
      </c>
      <c r="B22" s="528" t="s">
        <v>324</v>
      </c>
      <c r="C22" s="528"/>
      <c r="D22" s="366" t="s">
        <v>325</v>
      </c>
      <c r="E22" s="366">
        <v>0.75</v>
      </c>
      <c r="F22" s="525">
        <v>4725</v>
      </c>
      <c r="G22" s="526">
        <f t="shared" si="6"/>
        <v>3543.75</v>
      </c>
      <c r="H22" s="190">
        <f t="shared" si="7"/>
        <v>0</v>
      </c>
      <c r="I22" s="191">
        <f t="shared" si="8"/>
        <v>0</v>
      </c>
      <c r="J22" s="190">
        <f>SUMIF($N$4:$BW$4,$J$4,N22:$BW22)</f>
        <v>2883</v>
      </c>
      <c r="K22" s="191">
        <f t="shared" si="9"/>
        <v>2162.25</v>
      </c>
      <c r="L22" s="190">
        <f t="shared" si="10"/>
        <v>1842</v>
      </c>
      <c r="M22" s="191">
        <f t="shared" si="11"/>
        <v>1381.5</v>
      </c>
      <c r="N22" s="527"/>
      <c r="O22" s="527">
        <v>81</v>
      </c>
      <c r="P22" s="527"/>
      <c r="Q22" s="527">
        <v>98</v>
      </c>
      <c r="R22" s="527"/>
      <c r="S22" s="527">
        <v>96</v>
      </c>
      <c r="T22" s="527"/>
      <c r="U22" s="527">
        <v>83</v>
      </c>
      <c r="V22" s="527"/>
      <c r="W22" s="527">
        <v>93</v>
      </c>
      <c r="X22" s="527"/>
      <c r="Y22" s="527">
        <v>92</v>
      </c>
      <c r="Z22" s="527"/>
      <c r="AA22" s="527">
        <v>91</v>
      </c>
      <c r="AB22" s="527"/>
      <c r="AC22" s="527">
        <v>93</v>
      </c>
      <c r="AD22" s="527"/>
      <c r="AE22" s="527">
        <v>89</v>
      </c>
      <c r="AF22" s="527"/>
      <c r="AG22" s="527">
        <v>90</v>
      </c>
      <c r="AH22" s="527"/>
      <c r="AI22" s="527">
        <v>90</v>
      </c>
      <c r="AJ22" s="527"/>
      <c r="AK22" s="527">
        <v>92</v>
      </c>
      <c r="AL22" s="527"/>
      <c r="AM22" s="527">
        <v>96</v>
      </c>
      <c r="AN22" s="527"/>
      <c r="AO22" s="527">
        <v>75</v>
      </c>
      <c r="AP22" s="527"/>
      <c r="AQ22" s="527">
        <v>86</v>
      </c>
      <c r="AR22" s="527"/>
      <c r="AS22" s="527">
        <v>92</v>
      </c>
      <c r="AT22" s="527"/>
      <c r="AU22" s="527">
        <v>82</v>
      </c>
      <c r="AV22" s="527"/>
      <c r="AW22" s="527">
        <v>96</v>
      </c>
      <c r="AX22" s="527"/>
      <c r="AY22" s="527">
        <v>89</v>
      </c>
      <c r="AZ22" s="527"/>
      <c r="BA22" s="527">
        <v>93</v>
      </c>
      <c r="BB22" s="527"/>
      <c r="BC22" s="527">
        <v>95</v>
      </c>
      <c r="BD22" s="527"/>
      <c r="BE22" s="527">
        <v>97</v>
      </c>
      <c r="BF22" s="527"/>
      <c r="BG22" s="527">
        <v>93</v>
      </c>
      <c r="BH22" s="527"/>
      <c r="BI22" s="527">
        <v>97</v>
      </c>
      <c r="BJ22" s="527"/>
      <c r="BK22" s="527">
        <v>102</v>
      </c>
      <c r="BL22" s="527"/>
      <c r="BM22" s="527">
        <v>93</v>
      </c>
      <c r="BN22" s="527"/>
      <c r="BO22" s="527">
        <v>92</v>
      </c>
      <c r="BP22" s="527"/>
      <c r="BQ22" s="527">
        <v>101</v>
      </c>
      <c r="BR22" s="527"/>
      <c r="BS22" s="527">
        <v>108</v>
      </c>
      <c r="BT22" s="527"/>
      <c r="BU22" s="527">
        <v>106</v>
      </c>
      <c r="BV22" s="527"/>
      <c r="BW22" s="527">
        <v>102</v>
      </c>
    </row>
    <row r="23" s="140" customFormat="1" customHeight="1" spans="1:75">
      <c r="A23" s="161">
        <v>19</v>
      </c>
      <c r="B23" s="528" t="s">
        <v>326</v>
      </c>
      <c r="C23" s="528"/>
      <c r="D23" s="366" t="s">
        <v>209</v>
      </c>
      <c r="E23" s="366">
        <v>0.45</v>
      </c>
      <c r="F23" s="525">
        <v>4436</v>
      </c>
      <c r="G23" s="526">
        <f t="shared" si="6"/>
        <v>1996.2</v>
      </c>
      <c r="H23" s="190">
        <f t="shared" si="7"/>
        <v>0</v>
      </c>
      <c r="I23" s="191">
        <f t="shared" si="8"/>
        <v>0</v>
      </c>
      <c r="J23" s="190">
        <f>SUMIF($N$4:$BW$4,$J$4,N23:$BW23)</f>
        <v>3689</v>
      </c>
      <c r="K23" s="191">
        <f t="shared" si="9"/>
        <v>1660.05</v>
      </c>
      <c r="L23" s="190">
        <f t="shared" si="10"/>
        <v>747</v>
      </c>
      <c r="M23" s="191">
        <f t="shared" si="11"/>
        <v>336.15</v>
      </c>
      <c r="N23" s="527"/>
      <c r="O23" s="527">
        <v>93</v>
      </c>
      <c r="P23" s="527"/>
      <c r="Q23" s="527">
        <v>90</v>
      </c>
      <c r="R23" s="527"/>
      <c r="S23" s="527">
        <v>921</v>
      </c>
      <c r="T23" s="527"/>
      <c r="U23" s="527">
        <v>88</v>
      </c>
      <c r="V23" s="527"/>
      <c r="W23" s="527">
        <v>89</v>
      </c>
      <c r="X23" s="527"/>
      <c r="Y23" s="527">
        <v>94</v>
      </c>
      <c r="Z23" s="527"/>
      <c r="AA23" s="527">
        <v>92</v>
      </c>
      <c r="AB23" s="527"/>
      <c r="AC23" s="527">
        <v>95</v>
      </c>
      <c r="AD23" s="527"/>
      <c r="AE23" s="527">
        <v>92</v>
      </c>
      <c r="AF23" s="527"/>
      <c r="AG23" s="527">
        <v>92</v>
      </c>
      <c r="AH23" s="527"/>
      <c r="AI23" s="527">
        <v>85</v>
      </c>
      <c r="AJ23" s="527"/>
      <c r="AK23" s="527">
        <v>88</v>
      </c>
      <c r="AL23" s="527"/>
      <c r="AM23" s="527">
        <v>91</v>
      </c>
      <c r="AN23" s="527"/>
      <c r="AO23" s="527">
        <v>80</v>
      </c>
      <c r="AP23" s="527"/>
      <c r="AQ23" s="527">
        <v>88</v>
      </c>
      <c r="AR23" s="527"/>
      <c r="AS23" s="527">
        <v>93</v>
      </c>
      <c r="AT23" s="527"/>
      <c r="AU23" s="527">
        <v>86</v>
      </c>
      <c r="AV23" s="527"/>
      <c r="AW23" s="527">
        <v>95</v>
      </c>
      <c r="AX23" s="527"/>
      <c r="AY23" s="527">
        <v>91</v>
      </c>
      <c r="AZ23" s="527"/>
      <c r="BA23" s="527">
        <v>90</v>
      </c>
      <c r="BB23" s="527"/>
      <c r="BC23" s="527">
        <v>91</v>
      </c>
      <c r="BD23" s="527"/>
      <c r="BE23" s="527">
        <v>95</v>
      </c>
      <c r="BF23" s="527"/>
      <c r="BG23" s="527">
        <v>92</v>
      </c>
      <c r="BH23" s="527"/>
      <c r="BI23" s="527">
        <v>93</v>
      </c>
      <c r="BJ23" s="527"/>
      <c r="BK23" s="527">
        <v>97</v>
      </c>
      <c r="BL23" s="527"/>
      <c r="BM23" s="527">
        <v>90</v>
      </c>
      <c r="BN23" s="527"/>
      <c r="BO23" s="527">
        <v>93</v>
      </c>
      <c r="BP23" s="527"/>
      <c r="BQ23" s="527">
        <v>99</v>
      </c>
      <c r="BR23" s="527"/>
      <c r="BS23" s="527">
        <v>106</v>
      </c>
      <c r="BT23" s="527"/>
      <c r="BU23" s="527">
        <v>102</v>
      </c>
      <c r="BV23" s="527"/>
      <c r="BW23" s="527">
        <v>98</v>
      </c>
    </row>
    <row r="24" s="140" customFormat="1" customHeight="1" spans="1:75">
      <c r="A24" s="161">
        <v>20</v>
      </c>
      <c r="B24" s="528" t="s">
        <v>327</v>
      </c>
      <c r="C24" s="528"/>
      <c r="D24" s="366" t="s">
        <v>173</v>
      </c>
      <c r="E24" s="366">
        <v>0.667</v>
      </c>
      <c r="F24" s="525">
        <v>15786</v>
      </c>
      <c r="G24" s="526">
        <f t="shared" si="6"/>
        <v>10529.262</v>
      </c>
      <c r="H24" s="190">
        <f t="shared" si="7"/>
        <v>0</v>
      </c>
      <c r="I24" s="191">
        <f t="shared" si="8"/>
        <v>0</v>
      </c>
      <c r="J24" s="190">
        <f>SUMIF($N$4:$BW$4,$J$4,N24:$BW24)</f>
        <v>10137</v>
      </c>
      <c r="K24" s="191">
        <f t="shared" si="9"/>
        <v>6761.379</v>
      </c>
      <c r="L24" s="190">
        <f t="shared" si="10"/>
        <v>5649</v>
      </c>
      <c r="M24" s="191">
        <f t="shared" si="11"/>
        <v>3767.883</v>
      </c>
      <c r="N24" s="527"/>
      <c r="O24" s="527">
        <v>318</v>
      </c>
      <c r="P24" s="527"/>
      <c r="Q24" s="527">
        <v>286</v>
      </c>
      <c r="R24" s="527"/>
      <c r="S24" s="527">
        <v>325</v>
      </c>
      <c r="T24" s="527"/>
      <c r="U24" s="527">
        <v>274</v>
      </c>
      <c r="V24" s="527"/>
      <c r="W24" s="527">
        <v>287</v>
      </c>
      <c r="X24" s="527"/>
      <c r="Y24" s="527">
        <v>345</v>
      </c>
      <c r="Z24" s="527"/>
      <c r="AA24" s="527">
        <v>330</v>
      </c>
      <c r="AB24" s="527"/>
      <c r="AC24" s="527">
        <v>336</v>
      </c>
      <c r="AD24" s="527"/>
      <c r="AE24" s="527">
        <v>352</v>
      </c>
      <c r="AF24" s="527"/>
      <c r="AG24" s="527">
        <v>340</v>
      </c>
      <c r="AH24" s="527"/>
      <c r="AI24" s="527">
        <v>333</v>
      </c>
      <c r="AJ24" s="527"/>
      <c r="AK24" s="527">
        <v>332</v>
      </c>
      <c r="AL24" s="527"/>
      <c r="AM24" s="527">
        <v>343</v>
      </c>
      <c r="AN24" s="527"/>
      <c r="AO24" s="527">
        <v>314</v>
      </c>
      <c r="AP24" s="527"/>
      <c r="AQ24" s="527">
        <v>333</v>
      </c>
      <c r="AR24" s="527"/>
      <c r="AS24" s="527">
        <v>347</v>
      </c>
      <c r="AT24" s="527"/>
      <c r="AU24" s="527">
        <v>316</v>
      </c>
      <c r="AV24" s="527"/>
      <c r="AW24" s="527">
        <v>322</v>
      </c>
      <c r="AX24" s="527"/>
      <c r="AY24" s="527">
        <v>344</v>
      </c>
      <c r="AZ24" s="527"/>
      <c r="BA24" s="527">
        <v>333</v>
      </c>
      <c r="BB24" s="527"/>
      <c r="BC24" s="527">
        <v>311</v>
      </c>
      <c r="BD24" s="527"/>
      <c r="BE24" s="527">
        <v>298</v>
      </c>
      <c r="BF24" s="527"/>
      <c r="BG24" s="527">
        <v>322</v>
      </c>
      <c r="BH24" s="527"/>
      <c r="BI24" s="527">
        <v>310</v>
      </c>
      <c r="BJ24" s="527"/>
      <c r="BK24" s="527">
        <v>311</v>
      </c>
      <c r="BL24" s="527"/>
      <c r="BM24" s="527">
        <v>320</v>
      </c>
      <c r="BN24" s="527"/>
      <c r="BO24" s="527">
        <v>354</v>
      </c>
      <c r="BP24" s="527"/>
      <c r="BQ24" s="527">
        <v>331</v>
      </c>
      <c r="BR24" s="527"/>
      <c r="BS24" s="527">
        <v>342</v>
      </c>
      <c r="BT24" s="527"/>
      <c r="BU24" s="527">
        <v>341</v>
      </c>
      <c r="BV24" s="527"/>
      <c r="BW24" s="527">
        <v>387</v>
      </c>
    </row>
    <row r="25" s="140" customFormat="1" customHeight="1" spans="1:75">
      <c r="A25" s="161">
        <v>21</v>
      </c>
      <c r="B25" s="528" t="s">
        <v>328</v>
      </c>
      <c r="C25" s="528"/>
      <c r="D25" s="366" t="s">
        <v>137</v>
      </c>
      <c r="E25" s="366">
        <v>0.36</v>
      </c>
      <c r="F25" s="525">
        <v>1541</v>
      </c>
      <c r="G25" s="526">
        <f t="shared" si="6"/>
        <v>554.76</v>
      </c>
      <c r="H25" s="190">
        <f t="shared" si="7"/>
        <v>0</v>
      </c>
      <c r="I25" s="191">
        <f t="shared" si="8"/>
        <v>0</v>
      </c>
      <c r="J25" s="190">
        <f>SUMIF($N$4:$BW$4,$J$4,N25:$BW25)</f>
        <v>941</v>
      </c>
      <c r="K25" s="191">
        <f t="shared" si="9"/>
        <v>338.76</v>
      </c>
      <c r="L25" s="190">
        <f t="shared" si="10"/>
        <v>600</v>
      </c>
      <c r="M25" s="191">
        <f t="shared" si="11"/>
        <v>216</v>
      </c>
      <c r="N25" s="527"/>
      <c r="O25" s="527">
        <v>28</v>
      </c>
      <c r="P25" s="527"/>
      <c r="Q25" s="527">
        <v>32</v>
      </c>
      <c r="R25" s="527"/>
      <c r="S25" s="527">
        <v>35</v>
      </c>
      <c r="T25" s="527"/>
      <c r="U25" s="527">
        <v>32</v>
      </c>
      <c r="V25" s="527"/>
      <c r="W25" s="527">
        <v>35</v>
      </c>
      <c r="X25" s="527"/>
      <c r="Y25" s="527">
        <v>24</v>
      </c>
      <c r="Z25" s="527"/>
      <c r="AA25" s="527">
        <v>26</v>
      </c>
      <c r="AB25" s="527"/>
      <c r="AC25" s="527">
        <v>23</v>
      </c>
      <c r="AD25" s="527"/>
      <c r="AE25" s="527">
        <v>27</v>
      </c>
      <c r="AF25" s="527"/>
      <c r="AG25" s="527">
        <v>30</v>
      </c>
      <c r="AH25" s="527"/>
      <c r="AI25" s="527">
        <v>32</v>
      </c>
      <c r="AJ25" s="527"/>
      <c r="AK25" s="527">
        <v>34</v>
      </c>
      <c r="AL25" s="527"/>
      <c r="AM25" s="527">
        <v>38</v>
      </c>
      <c r="AN25" s="527"/>
      <c r="AO25" s="527">
        <v>20</v>
      </c>
      <c r="AP25" s="527"/>
      <c r="AQ25" s="527">
        <v>29</v>
      </c>
      <c r="AR25" s="527"/>
      <c r="AS25" s="527">
        <v>26</v>
      </c>
      <c r="AT25" s="527"/>
      <c r="AU25" s="527">
        <v>22</v>
      </c>
      <c r="AV25" s="527"/>
      <c r="AW25" s="527">
        <v>29</v>
      </c>
      <c r="AX25" s="527"/>
      <c r="AY25" s="527">
        <v>27</v>
      </c>
      <c r="AZ25" s="527"/>
      <c r="BA25" s="527">
        <v>30</v>
      </c>
      <c r="BB25" s="527"/>
      <c r="BC25" s="527">
        <v>32</v>
      </c>
      <c r="BD25" s="527"/>
      <c r="BE25" s="527">
        <v>33</v>
      </c>
      <c r="BF25" s="527"/>
      <c r="BG25" s="527">
        <v>35</v>
      </c>
      <c r="BH25" s="527"/>
      <c r="BI25" s="527">
        <v>32</v>
      </c>
      <c r="BJ25" s="527"/>
      <c r="BK25" s="527">
        <v>36</v>
      </c>
      <c r="BL25" s="527"/>
      <c r="BM25" s="527">
        <v>32</v>
      </c>
      <c r="BN25" s="527"/>
      <c r="BO25" s="527">
        <v>29</v>
      </c>
      <c r="BP25" s="527"/>
      <c r="BQ25" s="527">
        <v>31</v>
      </c>
      <c r="BR25" s="527"/>
      <c r="BS25" s="527">
        <v>36</v>
      </c>
      <c r="BT25" s="527"/>
      <c r="BU25" s="527">
        <v>34</v>
      </c>
      <c r="BV25" s="527"/>
      <c r="BW25" s="527">
        <v>32</v>
      </c>
    </row>
    <row r="26" s="140" customFormat="1" customHeight="1" spans="1:75">
      <c r="A26" s="161">
        <v>22</v>
      </c>
      <c r="B26" s="528" t="s">
        <v>329</v>
      </c>
      <c r="C26" s="528"/>
      <c r="D26" s="366" t="s">
        <v>137</v>
      </c>
      <c r="E26" s="366">
        <v>0.027</v>
      </c>
      <c r="F26" s="525">
        <v>15272</v>
      </c>
      <c r="G26" s="526">
        <f t="shared" si="6"/>
        <v>412.344</v>
      </c>
      <c r="H26" s="190">
        <f t="shared" si="7"/>
        <v>0</v>
      </c>
      <c r="I26" s="191">
        <f t="shared" si="8"/>
        <v>0</v>
      </c>
      <c r="J26" s="190">
        <f>SUMIF($N$4:$BW$4,$J$4,N26:$BW26)</f>
        <v>6862</v>
      </c>
      <c r="K26" s="191">
        <f t="shared" si="9"/>
        <v>185.274</v>
      </c>
      <c r="L26" s="190">
        <f t="shared" si="10"/>
        <v>8410</v>
      </c>
      <c r="M26" s="191">
        <f t="shared" si="11"/>
        <v>227.07</v>
      </c>
      <c r="N26" s="527"/>
      <c r="O26" s="527">
        <v>204</v>
      </c>
      <c r="P26" s="527"/>
      <c r="Q26" s="527">
        <v>211</v>
      </c>
      <c r="R26" s="527"/>
      <c r="S26" s="527">
        <v>222</v>
      </c>
      <c r="T26" s="527"/>
      <c r="U26" s="527">
        <v>217</v>
      </c>
      <c r="V26" s="527"/>
      <c r="W26" s="527">
        <v>210</v>
      </c>
      <c r="X26" s="527"/>
      <c r="Y26" s="527">
        <v>198</v>
      </c>
      <c r="Z26" s="527"/>
      <c r="AA26" s="527">
        <v>213</v>
      </c>
      <c r="AB26" s="527"/>
      <c r="AC26" s="527">
        <v>214</v>
      </c>
      <c r="AD26" s="527"/>
      <c r="AE26" s="527">
        <v>218</v>
      </c>
      <c r="AF26" s="527"/>
      <c r="AG26" s="527">
        <v>215</v>
      </c>
      <c r="AH26" s="527"/>
      <c r="AI26" s="527">
        <v>213</v>
      </c>
      <c r="AJ26" s="527"/>
      <c r="AK26" s="527">
        <v>224</v>
      </c>
      <c r="AL26" s="527"/>
      <c r="AM26" s="527">
        <v>236</v>
      </c>
      <c r="AN26" s="527"/>
      <c r="AO26" s="527">
        <v>199</v>
      </c>
      <c r="AP26" s="527"/>
      <c r="AQ26" s="527">
        <v>217</v>
      </c>
      <c r="AR26" s="527"/>
      <c r="AS26" s="527">
        <v>223</v>
      </c>
      <c r="AT26" s="527"/>
      <c r="AU26" s="527">
        <v>208</v>
      </c>
      <c r="AV26" s="527"/>
      <c r="AW26" s="527">
        <v>221</v>
      </c>
      <c r="AX26" s="527"/>
      <c r="AY26" s="527">
        <v>227</v>
      </c>
      <c r="AZ26" s="527"/>
      <c r="BA26" s="527">
        <v>231</v>
      </c>
      <c r="BB26" s="527"/>
      <c r="BC26" s="527">
        <v>236</v>
      </c>
      <c r="BD26" s="527"/>
      <c r="BE26" s="527">
        <v>228</v>
      </c>
      <c r="BF26" s="527"/>
      <c r="BG26" s="527">
        <v>231</v>
      </c>
      <c r="BH26" s="527"/>
      <c r="BI26" s="527">
        <v>221</v>
      </c>
      <c r="BJ26" s="527"/>
      <c r="BK26" s="527">
        <v>234</v>
      </c>
      <c r="BL26" s="527"/>
      <c r="BM26" s="527">
        <v>227</v>
      </c>
      <c r="BN26" s="527"/>
      <c r="BO26" s="527">
        <v>224</v>
      </c>
      <c r="BP26" s="527"/>
      <c r="BQ26" s="527">
        <v>228</v>
      </c>
      <c r="BR26" s="527"/>
      <c r="BS26" s="527">
        <v>234</v>
      </c>
      <c r="BT26" s="527"/>
      <c r="BU26" s="527">
        <v>238</v>
      </c>
      <c r="BV26" s="527"/>
      <c r="BW26" s="527">
        <v>240</v>
      </c>
    </row>
    <row r="27" s="140" customFormat="1" customHeight="1" spans="1:75">
      <c r="A27" s="161">
        <v>23</v>
      </c>
      <c r="B27" s="529" t="s">
        <v>330</v>
      </c>
      <c r="C27" s="529"/>
      <c r="D27" s="431" t="s">
        <v>209</v>
      </c>
      <c r="E27" s="431">
        <v>0.43</v>
      </c>
      <c r="F27" s="525">
        <v>780</v>
      </c>
      <c r="G27" s="526">
        <f t="shared" si="6"/>
        <v>335.4</v>
      </c>
      <c r="H27" s="190">
        <f t="shared" si="7"/>
        <v>0</v>
      </c>
      <c r="I27" s="191">
        <f t="shared" si="8"/>
        <v>0</v>
      </c>
      <c r="J27" s="190">
        <f>SUMIF($N$4:$BW$4,$J$4,N27:$BW27)</f>
        <v>599</v>
      </c>
      <c r="K27" s="191">
        <f t="shared" si="9"/>
        <v>257.57</v>
      </c>
      <c r="L27" s="190">
        <f t="shared" si="10"/>
        <v>181</v>
      </c>
      <c r="M27" s="191">
        <f t="shared" si="11"/>
        <v>77.83</v>
      </c>
      <c r="N27" s="527"/>
      <c r="O27" s="527">
        <v>18</v>
      </c>
      <c r="P27" s="527"/>
      <c r="Q27" s="527">
        <v>19</v>
      </c>
      <c r="R27" s="527"/>
      <c r="S27" s="527">
        <v>19</v>
      </c>
      <c r="T27" s="527"/>
      <c r="U27" s="527">
        <v>23</v>
      </c>
      <c r="V27" s="527"/>
      <c r="W27" s="527">
        <v>24</v>
      </c>
      <c r="X27" s="527"/>
      <c r="Y27" s="527">
        <v>20</v>
      </c>
      <c r="Z27" s="527"/>
      <c r="AA27" s="527">
        <v>19</v>
      </c>
      <c r="AB27" s="527"/>
      <c r="AC27" s="527">
        <v>16</v>
      </c>
      <c r="AD27" s="527"/>
      <c r="AE27" s="527">
        <v>24</v>
      </c>
      <c r="AF27" s="527"/>
      <c r="AG27" s="527">
        <v>18</v>
      </c>
      <c r="AH27" s="527"/>
      <c r="AI27" s="527">
        <v>23</v>
      </c>
      <c r="AJ27" s="527"/>
      <c r="AK27" s="527">
        <v>21</v>
      </c>
      <c r="AL27" s="527"/>
      <c r="AM27" s="527">
        <v>26</v>
      </c>
      <c r="AN27" s="527"/>
      <c r="AO27" s="527">
        <v>15</v>
      </c>
      <c r="AP27" s="527"/>
      <c r="AQ27" s="527">
        <v>18</v>
      </c>
      <c r="AR27" s="527"/>
      <c r="AS27" s="527">
        <v>21</v>
      </c>
      <c r="AT27" s="527"/>
      <c r="AU27" s="527">
        <v>16</v>
      </c>
      <c r="AV27" s="527"/>
      <c r="AW27" s="527">
        <v>22</v>
      </c>
      <c r="AX27" s="527"/>
      <c r="AY27" s="527">
        <v>23</v>
      </c>
      <c r="AZ27" s="527"/>
      <c r="BA27" s="527">
        <v>24</v>
      </c>
      <c r="BB27" s="527"/>
      <c r="BC27" s="527">
        <v>19</v>
      </c>
      <c r="BD27" s="527"/>
      <c r="BE27" s="527">
        <v>16</v>
      </c>
      <c r="BF27" s="527"/>
      <c r="BG27" s="527">
        <v>14</v>
      </c>
      <c r="BH27" s="527"/>
      <c r="BI27" s="527">
        <v>17</v>
      </c>
      <c r="BJ27" s="527"/>
      <c r="BK27" s="527">
        <v>18</v>
      </c>
      <c r="BL27" s="527"/>
      <c r="BM27" s="527">
        <v>15</v>
      </c>
      <c r="BN27" s="527"/>
      <c r="BO27" s="527">
        <v>18</v>
      </c>
      <c r="BP27" s="527"/>
      <c r="BQ27" s="527">
        <v>16</v>
      </c>
      <c r="BR27" s="527"/>
      <c r="BS27" s="527">
        <v>19</v>
      </c>
      <c r="BT27" s="527"/>
      <c r="BU27" s="527">
        <v>20</v>
      </c>
      <c r="BV27" s="527"/>
      <c r="BW27" s="527">
        <v>18</v>
      </c>
    </row>
    <row r="28" s="140" customFormat="1" customHeight="1" spans="1:75">
      <c r="A28" s="161">
        <v>24</v>
      </c>
      <c r="B28" s="529" t="s">
        <v>331</v>
      </c>
      <c r="C28" s="529"/>
      <c r="D28" s="431" t="s">
        <v>209</v>
      </c>
      <c r="E28" s="431">
        <v>0.43</v>
      </c>
      <c r="F28" s="525">
        <v>785</v>
      </c>
      <c r="G28" s="526">
        <f t="shared" si="6"/>
        <v>337.55</v>
      </c>
      <c r="H28" s="190">
        <f t="shared" si="7"/>
        <v>0</v>
      </c>
      <c r="I28" s="191">
        <f t="shared" si="8"/>
        <v>0</v>
      </c>
      <c r="J28" s="190">
        <f>SUMIF($N$4:$BW$4,$J$4,N28:$BW28)</f>
        <v>581</v>
      </c>
      <c r="K28" s="191">
        <f t="shared" si="9"/>
        <v>249.83</v>
      </c>
      <c r="L28" s="190">
        <f t="shared" si="10"/>
        <v>204</v>
      </c>
      <c r="M28" s="191">
        <f t="shared" si="11"/>
        <v>87.72</v>
      </c>
      <c r="N28" s="527"/>
      <c r="O28" s="527">
        <v>18</v>
      </c>
      <c r="P28" s="527"/>
      <c r="Q28" s="527">
        <v>17</v>
      </c>
      <c r="R28" s="527"/>
      <c r="S28" s="527">
        <v>17</v>
      </c>
      <c r="T28" s="527"/>
      <c r="U28" s="527">
        <v>20</v>
      </c>
      <c r="V28" s="527"/>
      <c r="W28" s="527">
        <v>25</v>
      </c>
      <c r="X28" s="527"/>
      <c r="Y28" s="527">
        <v>21</v>
      </c>
      <c r="Z28" s="527"/>
      <c r="AA28" s="527">
        <v>18</v>
      </c>
      <c r="AB28" s="527"/>
      <c r="AC28" s="527">
        <v>17</v>
      </c>
      <c r="AD28" s="527"/>
      <c r="AE28" s="527">
        <v>25</v>
      </c>
      <c r="AF28" s="527"/>
      <c r="AG28" s="527">
        <v>19</v>
      </c>
      <c r="AH28" s="527"/>
      <c r="AI28" s="527">
        <v>24</v>
      </c>
      <c r="AJ28" s="527"/>
      <c r="AK28" s="527">
        <v>23</v>
      </c>
      <c r="AL28" s="527"/>
      <c r="AM28" s="527">
        <v>24</v>
      </c>
      <c r="AN28" s="527"/>
      <c r="AO28" s="527">
        <v>15</v>
      </c>
      <c r="AP28" s="527"/>
      <c r="AQ28" s="527">
        <v>20</v>
      </c>
      <c r="AR28" s="527"/>
      <c r="AS28" s="527">
        <v>18</v>
      </c>
      <c r="AT28" s="527"/>
      <c r="AU28" s="527">
        <v>16</v>
      </c>
      <c r="AV28" s="527"/>
      <c r="AW28" s="527">
        <v>20</v>
      </c>
      <c r="AX28" s="527"/>
      <c r="AY28" s="527">
        <v>19</v>
      </c>
      <c r="AZ28" s="527"/>
      <c r="BA28" s="527">
        <v>22</v>
      </c>
      <c r="BB28" s="527"/>
      <c r="BC28" s="527">
        <v>18</v>
      </c>
      <c r="BD28" s="527"/>
      <c r="BE28" s="527">
        <v>14</v>
      </c>
      <c r="BF28" s="527"/>
      <c r="BG28" s="527">
        <v>16</v>
      </c>
      <c r="BH28" s="527"/>
      <c r="BI28" s="527">
        <v>16</v>
      </c>
      <c r="BJ28" s="527"/>
      <c r="BK28" s="527">
        <v>13</v>
      </c>
      <c r="BL28" s="527"/>
      <c r="BM28" s="527">
        <v>16</v>
      </c>
      <c r="BN28" s="527"/>
      <c r="BO28" s="527">
        <v>17</v>
      </c>
      <c r="BP28" s="527"/>
      <c r="BQ28" s="527">
        <v>15</v>
      </c>
      <c r="BR28" s="527"/>
      <c r="BS28" s="527">
        <v>17</v>
      </c>
      <c r="BT28" s="527"/>
      <c r="BU28" s="527">
        <v>21</v>
      </c>
      <c r="BV28" s="527"/>
      <c r="BW28" s="527">
        <v>20</v>
      </c>
    </row>
    <row r="29" s="140" customFormat="1" customHeight="1" spans="1:75">
      <c r="A29" s="161">
        <v>25</v>
      </c>
      <c r="B29" s="529" t="s">
        <v>332</v>
      </c>
      <c r="C29" s="529"/>
      <c r="D29" s="431" t="s">
        <v>173</v>
      </c>
      <c r="E29" s="431">
        <v>1.125</v>
      </c>
      <c r="F29" s="525">
        <v>3184</v>
      </c>
      <c r="G29" s="526">
        <f t="shared" si="6"/>
        <v>3582</v>
      </c>
      <c r="H29" s="190">
        <f t="shared" si="7"/>
        <v>0</v>
      </c>
      <c r="I29" s="191">
        <f t="shared" si="8"/>
        <v>0</v>
      </c>
      <c r="J29" s="190">
        <f>SUMIF($N$4:$BW$4,$J$4,N29:$BW29)</f>
        <v>2739</v>
      </c>
      <c r="K29" s="191">
        <f t="shared" si="9"/>
        <v>3081.375</v>
      </c>
      <c r="L29" s="190">
        <f t="shared" si="10"/>
        <v>445</v>
      </c>
      <c r="M29" s="191">
        <f t="shared" si="11"/>
        <v>500.625</v>
      </c>
      <c r="N29" s="527"/>
      <c r="O29" s="527">
        <v>86</v>
      </c>
      <c r="P29" s="527"/>
      <c r="Q29" s="527">
        <v>86</v>
      </c>
      <c r="R29" s="527"/>
      <c r="S29" s="527">
        <v>91</v>
      </c>
      <c r="T29" s="527"/>
      <c r="U29" s="527">
        <v>72</v>
      </c>
      <c r="V29" s="527"/>
      <c r="W29" s="527">
        <v>85</v>
      </c>
      <c r="X29" s="527"/>
      <c r="Y29" s="527">
        <v>88</v>
      </c>
      <c r="Z29" s="527"/>
      <c r="AA29" s="527">
        <v>88</v>
      </c>
      <c r="AB29" s="527"/>
      <c r="AC29" s="527">
        <v>77</v>
      </c>
      <c r="AD29" s="527"/>
      <c r="AE29" s="527">
        <v>75</v>
      </c>
      <c r="AF29" s="527"/>
      <c r="AG29" s="527">
        <v>90</v>
      </c>
      <c r="AH29" s="527"/>
      <c r="AI29" s="527">
        <v>92</v>
      </c>
      <c r="AJ29" s="527"/>
      <c r="AK29" s="527">
        <v>83</v>
      </c>
      <c r="AL29" s="527"/>
      <c r="AM29" s="527">
        <v>96</v>
      </c>
      <c r="AN29" s="527"/>
      <c r="AO29" s="527">
        <v>74</v>
      </c>
      <c r="AP29" s="527"/>
      <c r="AQ29" s="527">
        <v>86</v>
      </c>
      <c r="AR29" s="527"/>
      <c r="AS29" s="527">
        <v>88</v>
      </c>
      <c r="AT29" s="527"/>
      <c r="AU29" s="527">
        <v>83</v>
      </c>
      <c r="AV29" s="527"/>
      <c r="AW29" s="527">
        <v>92</v>
      </c>
      <c r="AX29" s="527"/>
      <c r="AY29" s="527">
        <v>88</v>
      </c>
      <c r="AZ29" s="527"/>
      <c r="BA29" s="527">
        <v>91</v>
      </c>
      <c r="BB29" s="527"/>
      <c r="BC29" s="527">
        <v>93</v>
      </c>
      <c r="BD29" s="527"/>
      <c r="BE29" s="527">
        <v>85</v>
      </c>
      <c r="BF29" s="527"/>
      <c r="BG29" s="527">
        <v>90</v>
      </c>
      <c r="BH29" s="527"/>
      <c r="BI29" s="527">
        <v>92</v>
      </c>
      <c r="BJ29" s="527"/>
      <c r="BK29" s="527">
        <v>94</v>
      </c>
      <c r="BL29" s="527"/>
      <c r="BM29" s="527">
        <v>90</v>
      </c>
      <c r="BN29" s="527"/>
      <c r="BO29" s="527">
        <v>92</v>
      </c>
      <c r="BP29" s="527"/>
      <c r="BQ29" s="527">
        <v>90</v>
      </c>
      <c r="BR29" s="527"/>
      <c r="BS29" s="527">
        <v>96</v>
      </c>
      <c r="BT29" s="527"/>
      <c r="BU29" s="527">
        <v>102</v>
      </c>
      <c r="BV29" s="527"/>
      <c r="BW29" s="527">
        <v>104</v>
      </c>
    </row>
    <row r="30" s="140" customFormat="1" customHeight="1" spans="1:75">
      <c r="A30" s="161">
        <v>26</v>
      </c>
      <c r="B30" s="529" t="s">
        <v>333</v>
      </c>
      <c r="C30" s="529"/>
      <c r="D30" s="431" t="s">
        <v>204</v>
      </c>
      <c r="E30" s="431">
        <v>0.6</v>
      </c>
      <c r="F30" s="525">
        <v>3494</v>
      </c>
      <c r="G30" s="526">
        <f t="shared" si="6"/>
        <v>2096.4</v>
      </c>
      <c r="H30" s="190">
        <f t="shared" si="7"/>
        <v>0</v>
      </c>
      <c r="I30" s="191">
        <f t="shared" si="8"/>
        <v>0</v>
      </c>
      <c r="J30" s="190">
        <f>SUMIF($N$4:$BW$4,$J$4,N30:$BW30)</f>
        <v>2545</v>
      </c>
      <c r="K30" s="191">
        <f t="shared" si="9"/>
        <v>1527</v>
      </c>
      <c r="L30" s="190">
        <f t="shared" si="10"/>
        <v>949</v>
      </c>
      <c r="M30" s="191">
        <f t="shared" si="11"/>
        <v>569.4</v>
      </c>
      <c r="N30" s="527"/>
      <c r="O30" s="527">
        <v>75</v>
      </c>
      <c r="P30" s="527"/>
      <c r="Q30" s="527">
        <v>80</v>
      </c>
      <c r="R30" s="527"/>
      <c r="S30" s="527">
        <v>83</v>
      </c>
      <c r="T30" s="527"/>
      <c r="U30" s="527">
        <v>85</v>
      </c>
      <c r="V30" s="527"/>
      <c r="W30" s="527">
        <v>82</v>
      </c>
      <c r="X30" s="527"/>
      <c r="Y30" s="527">
        <v>76</v>
      </c>
      <c r="Z30" s="527"/>
      <c r="AA30" s="527">
        <v>80</v>
      </c>
      <c r="AB30" s="527"/>
      <c r="AC30" s="527">
        <v>78</v>
      </c>
      <c r="AD30" s="527"/>
      <c r="AE30" s="527">
        <v>84</v>
      </c>
      <c r="AF30" s="527"/>
      <c r="AG30" s="527">
        <v>81</v>
      </c>
      <c r="AH30" s="527"/>
      <c r="AI30" s="527">
        <v>83</v>
      </c>
      <c r="AJ30" s="527"/>
      <c r="AK30" s="527">
        <v>86</v>
      </c>
      <c r="AL30" s="527"/>
      <c r="AM30" s="527">
        <v>75</v>
      </c>
      <c r="AN30" s="527"/>
      <c r="AO30" s="527">
        <v>69</v>
      </c>
      <c r="AP30" s="527"/>
      <c r="AQ30" s="527">
        <v>72</v>
      </c>
      <c r="AR30" s="527"/>
      <c r="AS30" s="527">
        <v>76</v>
      </c>
      <c r="AT30" s="527"/>
      <c r="AU30" s="527">
        <v>71</v>
      </c>
      <c r="AV30" s="527"/>
      <c r="AW30" s="527">
        <v>84</v>
      </c>
      <c r="AX30" s="527"/>
      <c r="AY30" s="527">
        <v>82</v>
      </c>
      <c r="AZ30" s="527"/>
      <c r="BA30" s="527">
        <v>89</v>
      </c>
      <c r="BB30" s="527"/>
      <c r="BC30" s="527">
        <v>83</v>
      </c>
      <c r="BD30" s="527"/>
      <c r="BE30" s="527">
        <v>82</v>
      </c>
      <c r="BF30" s="527"/>
      <c r="BG30" s="527">
        <v>88</v>
      </c>
      <c r="BH30" s="527"/>
      <c r="BI30" s="527">
        <v>84</v>
      </c>
      <c r="BJ30" s="527"/>
      <c r="BK30" s="527">
        <v>83</v>
      </c>
      <c r="BL30" s="527"/>
      <c r="BM30" s="527">
        <v>82</v>
      </c>
      <c r="BN30" s="527"/>
      <c r="BO30" s="527">
        <v>81</v>
      </c>
      <c r="BP30" s="527"/>
      <c r="BQ30" s="527">
        <v>83</v>
      </c>
      <c r="BR30" s="527"/>
      <c r="BS30" s="527">
        <v>93</v>
      </c>
      <c r="BT30" s="527"/>
      <c r="BU30" s="527">
        <v>97</v>
      </c>
      <c r="BV30" s="527"/>
      <c r="BW30" s="527">
        <v>98</v>
      </c>
    </row>
    <row r="31" s="140" customFormat="1" customHeight="1" spans="1:75">
      <c r="A31" s="161">
        <v>27</v>
      </c>
      <c r="B31" s="530" t="s">
        <v>334</v>
      </c>
      <c r="C31" s="293"/>
      <c r="D31" s="531" t="s">
        <v>173</v>
      </c>
      <c r="E31" s="162">
        <v>1.5</v>
      </c>
      <c r="F31" s="408"/>
      <c r="G31" s="526">
        <f t="shared" si="6"/>
        <v>0</v>
      </c>
      <c r="H31" s="190">
        <f t="shared" si="7"/>
        <v>3600</v>
      </c>
      <c r="I31" s="191">
        <f t="shared" si="8"/>
        <v>5400</v>
      </c>
      <c r="J31" s="190">
        <f>SUMIF($N$4:$BW$4,$J$4,N31:$BW31)</f>
        <v>2641</v>
      </c>
      <c r="K31" s="191">
        <f t="shared" si="9"/>
        <v>3961.5</v>
      </c>
      <c r="L31" s="190">
        <f t="shared" si="10"/>
        <v>959</v>
      </c>
      <c r="M31" s="191">
        <f t="shared" si="11"/>
        <v>1438.5</v>
      </c>
      <c r="N31" s="133"/>
      <c r="O31" s="532"/>
      <c r="P31" s="162"/>
      <c r="Q31" s="532"/>
      <c r="R31" s="372"/>
      <c r="S31" s="532"/>
      <c r="T31" s="372"/>
      <c r="U31" s="53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>
        <v>1200</v>
      </c>
      <c r="AM31" s="162"/>
      <c r="AN31" s="162"/>
      <c r="AO31" s="162">
        <v>266</v>
      </c>
      <c r="AP31" s="162"/>
      <c r="AQ31" s="162">
        <v>128</v>
      </c>
      <c r="AR31" s="162"/>
      <c r="AS31" s="162">
        <v>137</v>
      </c>
      <c r="AT31" s="162"/>
      <c r="AU31" s="162">
        <v>152</v>
      </c>
      <c r="AV31" s="162"/>
      <c r="AW31" s="162">
        <v>142</v>
      </c>
      <c r="AX31" s="162"/>
      <c r="AY31" s="162">
        <v>135</v>
      </c>
      <c r="AZ31" s="162">
        <v>2400</v>
      </c>
      <c r="BA31" s="162">
        <v>130</v>
      </c>
      <c r="BB31" s="162"/>
      <c r="BC31" s="162">
        <v>141</v>
      </c>
      <c r="BD31" s="162"/>
      <c r="BE31" s="162">
        <v>145</v>
      </c>
      <c r="BF31" s="162"/>
      <c r="BG31" s="162">
        <v>147</v>
      </c>
      <c r="BH31" s="162"/>
      <c r="BI31" s="162">
        <v>127</v>
      </c>
      <c r="BJ31" s="162"/>
      <c r="BK31" s="162">
        <v>137</v>
      </c>
      <c r="BL31" s="162"/>
      <c r="BM31" s="162">
        <v>122</v>
      </c>
      <c r="BN31" s="162"/>
      <c r="BO31" s="162">
        <v>137</v>
      </c>
      <c r="BP31" s="162"/>
      <c r="BQ31" s="162">
        <v>133</v>
      </c>
      <c r="BR31" s="162"/>
      <c r="BS31" s="162">
        <v>154</v>
      </c>
      <c r="BT31" s="162"/>
      <c r="BU31" s="162">
        <v>148</v>
      </c>
      <c r="BV31" s="162"/>
      <c r="BW31" s="162">
        <v>160</v>
      </c>
    </row>
    <row r="32" s="140" customFormat="1" customHeight="1" spans="1:75">
      <c r="A32" s="161">
        <v>28</v>
      </c>
      <c r="B32" s="533"/>
      <c r="C32" s="372"/>
      <c r="D32" s="162"/>
      <c r="E32" s="162"/>
      <c r="F32" s="408"/>
      <c r="G32" s="526">
        <f t="shared" si="6"/>
        <v>0</v>
      </c>
      <c r="H32" s="190">
        <f t="shared" ref="H30:H69" si="12">SUMIF($N$4:$BW$4,$H$4,$N32:$BW32)</f>
        <v>0</v>
      </c>
      <c r="I32" s="191">
        <f t="shared" ref="I30:I69" si="13">+E32*H32</f>
        <v>0</v>
      </c>
      <c r="J32" s="190">
        <f>SUMIF($N$4:$BW$4,$J$4,N32:$BW32)</f>
        <v>0</v>
      </c>
      <c r="K32" s="191">
        <f t="shared" ref="K30:K69" si="14">+E32*J32</f>
        <v>0</v>
      </c>
      <c r="L32" s="190">
        <f t="shared" ref="L30:L69" si="15">+F32+H32-J32</f>
        <v>0</v>
      </c>
      <c r="M32" s="191">
        <f t="shared" ref="M30:M69" si="16">+E32*L32</f>
        <v>0</v>
      </c>
      <c r="N32" s="133"/>
      <c r="O32" s="532"/>
      <c r="P32" s="162"/>
      <c r="Q32" s="532"/>
      <c r="R32" s="162"/>
      <c r="S32" s="532"/>
      <c r="T32" s="162"/>
      <c r="U32" s="53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2"/>
      <c r="BJ32" s="162"/>
      <c r="BK32" s="162"/>
      <c r="BL32" s="162"/>
      <c r="BM32" s="162"/>
      <c r="BN32" s="162"/>
      <c r="BO32" s="162"/>
      <c r="BP32" s="162"/>
      <c r="BQ32" s="162"/>
      <c r="BR32" s="162"/>
      <c r="BS32" s="162"/>
      <c r="BT32" s="162"/>
      <c r="BU32" s="162"/>
      <c r="BV32" s="162"/>
      <c r="BW32" s="162"/>
    </row>
    <row r="33" s="140" customFormat="1" customHeight="1" spans="1:75">
      <c r="A33" s="161">
        <v>29</v>
      </c>
      <c r="B33" s="533"/>
      <c r="C33" s="534"/>
      <c r="D33" s="534"/>
      <c r="E33" s="534"/>
      <c r="F33" s="408"/>
      <c r="G33" s="526">
        <f t="shared" si="6"/>
        <v>0</v>
      </c>
      <c r="H33" s="190">
        <f t="shared" si="12"/>
        <v>0</v>
      </c>
      <c r="I33" s="191">
        <f t="shared" si="13"/>
        <v>0</v>
      </c>
      <c r="J33" s="190">
        <f>SUMIF($N$4:$BW$4,$J$4,N33:$BW33)</f>
        <v>0</v>
      </c>
      <c r="K33" s="191">
        <f t="shared" si="14"/>
        <v>0</v>
      </c>
      <c r="L33" s="190">
        <f t="shared" si="15"/>
        <v>0</v>
      </c>
      <c r="M33" s="191">
        <f t="shared" si="16"/>
        <v>0</v>
      </c>
      <c r="N33" s="387"/>
      <c r="O33" s="535"/>
      <c r="P33" s="534"/>
      <c r="Q33" s="535"/>
      <c r="R33" s="534"/>
      <c r="S33" s="532"/>
      <c r="T33" s="162"/>
      <c r="U33" s="532"/>
      <c r="V33" s="534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2"/>
      <c r="BJ33" s="162"/>
      <c r="BK33" s="162"/>
      <c r="BL33" s="162"/>
      <c r="BM33" s="162"/>
      <c r="BN33" s="162"/>
      <c r="BO33" s="162"/>
      <c r="BP33" s="162"/>
      <c r="BQ33" s="162"/>
      <c r="BR33" s="162"/>
      <c r="BS33" s="162"/>
      <c r="BT33" s="162"/>
      <c r="BU33" s="162"/>
      <c r="BV33" s="162"/>
      <c r="BW33" s="162"/>
    </row>
    <row r="34" s="360" customFormat="1" customHeight="1" spans="1:75">
      <c r="A34" s="536">
        <v>30</v>
      </c>
      <c r="B34" s="395"/>
      <c r="C34" s="293"/>
      <c r="D34" s="293"/>
      <c r="E34" s="293"/>
      <c r="F34" s="537"/>
      <c r="G34" s="526">
        <f t="shared" si="6"/>
        <v>0</v>
      </c>
      <c r="H34" s="190">
        <f t="shared" si="12"/>
        <v>0</v>
      </c>
      <c r="I34" s="191">
        <f t="shared" si="13"/>
        <v>0</v>
      </c>
      <c r="J34" s="190">
        <f>SUMIF($N$4:$BW$4,$J$4,N34:$BW34)</f>
        <v>0</v>
      </c>
      <c r="K34" s="191">
        <f t="shared" si="14"/>
        <v>0</v>
      </c>
      <c r="L34" s="190">
        <f t="shared" si="15"/>
        <v>0</v>
      </c>
      <c r="M34" s="191">
        <f t="shared" si="16"/>
        <v>0</v>
      </c>
      <c r="N34" s="293"/>
      <c r="O34" s="293"/>
      <c r="P34" s="293"/>
      <c r="Q34" s="293"/>
      <c r="R34" s="293"/>
      <c r="S34" s="293"/>
      <c r="T34" s="293"/>
      <c r="U34" s="293"/>
      <c r="V34" s="293"/>
      <c r="W34" s="365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2"/>
      <c r="BJ34" s="162"/>
      <c r="BK34" s="162"/>
      <c r="BL34" s="162"/>
      <c r="BM34" s="162"/>
      <c r="BN34" s="162"/>
      <c r="BO34" s="162"/>
      <c r="BP34" s="162"/>
      <c r="BQ34" s="162"/>
      <c r="BR34" s="162"/>
      <c r="BS34" s="162"/>
      <c r="BT34" s="162"/>
      <c r="BU34" s="162"/>
      <c r="BV34" s="162"/>
      <c r="BW34" s="162"/>
    </row>
    <row r="35" s="360" customFormat="1" customHeight="1" spans="1:75">
      <c r="A35" s="536">
        <v>31</v>
      </c>
      <c r="B35" s="395"/>
      <c r="C35" s="293"/>
      <c r="D35" s="293"/>
      <c r="E35" s="293"/>
      <c r="F35" s="537"/>
      <c r="G35" s="526">
        <f t="shared" si="6"/>
        <v>0</v>
      </c>
      <c r="H35" s="190">
        <f t="shared" si="12"/>
        <v>0</v>
      </c>
      <c r="I35" s="191">
        <f t="shared" si="13"/>
        <v>0</v>
      </c>
      <c r="J35" s="190">
        <f>SUMIF($N$4:$BW$4,$J$4,N35:$BW35)</f>
        <v>0</v>
      </c>
      <c r="K35" s="191">
        <f t="shared" si="14"/>
        <v>0</v>
      </c>
      <c r="L35" s="190">
        <f t="shared" si="15"/>
        <v>0</v>
      </c>
      <c r="M35" s="191">
        <f t="shared" si="16"/>
        <v>0</v>
      </c>
      <c r="N35" s="293"/>
      <c r="O35" s="293"/>
      <c r="P35" s="293"/>
      <c r="Q35" s="293"/>
      <c r="R35" s="293"/>
      <c r="S35" s="293"/>
      <c r="T35" s="293"/>
      <c r="U35" s="293"/>
      <c r="V35" s="293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2"/>
      <c r="BJ35" s="162"/>
      <c r="BK35" s="162"/>
      <c r="BL35" s="162"/>
      <c r="BM35" s="162"/>
      <c r="BN35" s="162"/>
      <c r="BO35" s="162"/>
      <c r="BP35" s="162"/>
      <c r="BQ35" s="162"/>
      <c r="BR35" s="162"/>
      <c r="BS35" s="162"/>
      <c r="BT35" s="162"/>
      <c r="BU35" s="162"/>
      <c r="BV35" s="162"/>
      <c r="BW35" s="162"/>
    </row>
    <row r="36" s="360" customFormat="1" customHeight="1" spans="1:75">
      <c r="A36" s="534">
        <v>32</v>
      </c>
      <c r="B36" s="143"/>
      <c r="C36" s="538"/>
      <c r="D36" s="538"/>
      <c r="E36" s="538"/>
      <c r="F36" s="539"/>
      <c r="G36" s="526">
        <f t="shared" ref="G36:G69" si="17">F36*E36</f>
        <v>0</v>
      </c>
      <c r="H36" s="190">
        <f t="shared" si="12"/>
        <v>0</v>
      </c>
      <c r="I36" s="191">
        <f t="shared" si="13"/>
        <v>0</v>
      </c>
      <c r="J36" s="190">
        <f>SUMIF($N$4:$BW$4,$J$4,N36:$BW36)</f>
        <v>0</v>
      </c>
      <c r="K36" s="191">
        <f t="shared" si="14"/>
        <v>0</v>
      </c>
      <c r="L36" s="190">
        <f t="shared" si="15"/>
        <v>0</v>
      </c>
      <c r="M36" s="191">
        <f t="shared" si="16"/>
        <v>0</v>
      </c>
      <c r="N36" s="538"/>
      <c r="O36" s="293"/>
      <c r="P36" s="293"/>
      <c r="Q36" s="293"/>
      <c r="R36" s="293"/>
      <c r="S36" s="293"/>
      <c r="T36" s="293"/>
      <c r="U36" s="293"/>
      <c r="V36" s="293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2"/>
      <c r="BJ36" s="162"/>
      <c r="BK36" s="162"/>
      <c r="BL36" s="162"/>
      <c r="BM36" s="162"/>
      <c r="BN36" s="162"/>
      <c r="BO36" s="162"/>
      <c r="BP36" s="162"/>
      <c r="BQ36" s="162"/>
      <c r="BR36" s="162"/>
      <c r="BS36" s="162"/>
      <c r="BT36" s="162"/>
      <c r="BU36" s="162"/>
      <c r="BV36" s="162"/>
      <c r="BW36" s="162"/>
    </row>
    <row r="37" s="360" customFormat="1" customHeight="1" spans="1:75">
      <c r="A37" s="293">
        <v>33</v>
      </c>
      <c r="B37" s="293"/>
      <c r="C37" s="293"/>
      <c r="D37" s="293"/>
      <c r="E37" s="293"/>
      <c r="F37" s="408"/>
      <c r="G37" s="526">
        <f t="shared" si="17"/>
        <v>0</v>
      </c>
      <c r="H37" s="190">
        <f t="shared" si="12"/>
        <v>0</v>
      </c>
      <c r="I37" s="191">
        <f t="shared" si="13"/>
        <v>0</v>
      </c>
      <c r="J37" s="190">
        <f>SUMIF($N$4:$BW$4,$J$4,N37:$BW37)</f>
        <v>0</v>
      </c>
      <c r="K37" s="191">
        <f t="shared" si="14"/>
        <v>0</v>
      </c>
      <c r="L37" s="190">
        <f t="shared" si="15"/>
        <v>0</v>
      </c>
      <c r="M37" s="191">
        <f t="shared" si="16"/>
        <v>0</v>
      </c>
      <c r="N37" s="293"/>
      <c r="O37" s="540"/>
      <c r="P37" s="538"/>
      <c r="Q37" s="538"/>
      <c r="R37" s="538"/>
      <c r="S37" s="538"/>
      <c r="T37" s="538"/>
      <c r="U37" s="538"/>
      <c r="V37" s="538"/>
      <c r="W37" s="534"/>
      <c r="X37" s="534"/>
      <c r="Y37" s="534"/>
      <c r="Z37" s="534"/>
      <c r="AA37" s="534"/>
      <c r="AB37" s="534"/>
      <c r="AC37" s="534"/>
      <c r="AD37" s="534"/>
      <c r="AE37" s="534"/>
      <c r="AF37" s="534"/>
      <c r="AG37" s="534"/>
      <c r="AH37" s="534"/>
      <c r="AI37" s="534"/>
      <c r="AJ37" s="534"/>
      <c r="AK37" s="534"/>
      <c r="AL37" s="534"/>
      <c r="AM37" s="534"/>
      <c r="AN37" s="534"/>
      <c r="AO37" s="534"/>
      <c r="AP37" s="534"/>
      <c r="AQ37" s="534"/>
      <c r="AR37" s="534"/>
      <c r="AS37" s="534"/>
      <c r="AT37" s="534"/>
      <c r="AU37" s="534"/>
      <c r="AV37" s="534"/>
      <c r="AW37" s="534"/>
      <c r="AX37" s="534"/>
      <c r="AY37" s="534"/>
      <c r="AZ37" s="534"/>
      <c r="BA37" s="534"/>
      <c r="BB37" s="534"/>
      <c r="BC37" s="534"/>
      <c r="BD37" s="534"/>
      <c r="BE37" s="534"/>
      <c r="BF37" s="534"/>
      <c r="BG37" s="534"/>
      <c r="BH37" s="534"/>
      <c r="BI37" s="534"/>
      <c r="BJ37" s="534"/>
      <c r="BK37" s="534"/>
      <c r="BL37" s="534"/>
      <c r="BM37" s="534"/>
      <c r="BN37" s="534"/>
      <c r="BO37" s="534"/>
      <c r="BP37" s="534"/>
      <c r="BQ37" s="534"/>
      <c r="BR37" s="534"/>
      <c r="BS37" s="534"/>
      <c r="BT37" s="534"/>
      <c r="BU37" s="534"/>
      <c r="BV37" s="534"/>
      <c r="BW37" s="534"/>
    </row>
    <row r="38" ht="16.5" spans="1:75">
      <c r="A38" s="534">
        <v>34</v>
      </c>
      <c r="B38" s="293"/>
      <c r="C38" s="293"/>
      <c r="D38" s="293"/>
      <c r="E38" s="293"/>
      <c r="F38" s="408"/>
      <c r="G38" s="526">
        <f t="shared" si="17"/>
        <v>0</v>
      </c>
      <c r="H38" s="190">
        <f t="shared" si="12"/>
        <v>0</v>
      </c>
      <c r="I38" s="191">
        <f t="shared" si="13"/>
        <v>0</v>
      </c>
      <c r="J38" s="190">
        <f>SUMIF($N$4:$BW$4,$J$4,N38:$BW38)</f>
        <v>0</v>
      </c>
      <c r="K38" s="191">
        <f t="shared" si="14"/>
        <v>0</v>
      </c>
      <c r="L38" s="190">
        <f t="shared" si="15"/>
        <v>0</v>
      </c>
      <c r="M38" s="191">
        <f t="shared" si="16"/>
        <v>0</v>
      </c>
      <c r="N38" s="293"/>
      <c r="O38" s="540"/>
      <c r="P38" s="538"/>
      <c r="Q38" s="538"/>
      <c r="R38" s="538"/>
      <c r="S38" s="538"/>
      <c r="T38" s="538"/>
      <c r="U38" s="538"/>
      <c r="V38" s="538"/>
      <c r="W38" s="534"/>
      <c r="X38" s="534"/>
      <c r="Y38" s="534"/>
      <c r="Z38" s="534"/>
      <c r="AA38" s="534"/>
      <c r="AB38" s="534"/>
      <c r="AC38" s="534"/>
      <c r="AD38" s="534"/>
      <c r="AE38" s="534"/>
      <c r="AF38" s="534"/>
      <c r="AG38" s="534"/>
      <c r="AH38" s="534"/>
      <c r="AI38" s="534"/>
      <c r="AJ38" s="534"/>
      <c r="AK38" s="534"/>
      <c r="AL38" s="534"/>
      <c r="AM38" s="534"/>
      <c r="AN38" s="534"/>
      <c r="AO38" s="534"/>
      <c r="AP38" s="534"/>
      <c r="AQ38" s="534"/>
      <c r="AR38" s="534"/>
      <c r="AS38" s="534"/>
      <c r="AT38" s="534"/>
      <c r="AU38" s="534"/>
      <c r="AV38" s="534"/>
      <c r="AW38" s="534"/>
      <c r="AX38" s="534"/>
      <c r="AY38" s="534"/>
      <c r="AZ38" s="534"/>
      <c r="BA38" s="534"/>
      <c r="BB38" s="534"/>
      <c r="BC38" s="534"/>
      <c r="BD38" s="534"/>
      <c r="BE38" s="534"/>
      <c r="BF38" s="534"/>
      <c r="BG38" s="534"/>
      <c r="BH38" s="534"/>
      <c r="BI38" s="534"/>
      <c r="BJ38" s="534"/>
      <c r="BK38" s="534"/>
      <c r="BL38" s="534"/>
      <c r="BM38" s="534"/>
      <c r="BN38" s="534"/>
      <c r="BO38" s="534"/>
      <c r="BP38" s="534"/>
      <c r="BQ38" s="534"/>
      <c r="BR38" s="534"/>
      <c r="BS38" s="534"/>
      <c r="BT38" s="534"/>
      <c r="BU38" s="534"/>
      <c r="BV38" s="534"/>
      <c r="BW38" s="534"/>
    </row>
    <row r="39" ht="16.5" spans="1:75">
      <c r="A39" s="293">
        <v>35</v>
      </c>
      <c r="B39" s="293"/>
      <c r="C39" s="293"/>
      <c r="D39" s="293"/>
      <c r="E39" s="293"/>
      <c r="F39" s="408"/>
      <c r="G39" s="526">
        <f t="shared" si="17"/>
        <v>0</v>
      </c>
      <c r="H39" s="190">
        <f t="shared" si="12"/>
        <v>0</v>
      </c>
      <c r="I39" s="191">
        <f t="shared" si="13"/>
        <v>0</v>
      </c>
      <c r="J39" s="190">
        <f>SUMIF($N$4:$BW$4,$J$4,N39:$BW39)</f>
        <v>0</v>
      </c>
      <c r="K39" s="191">
        <f t="shared" si="14"/>
        <v>0</v>
      </c>
      <c r="L39" s="190">
        <f t="shared" si="15"/>
        <v>0</v>
      </c>
      <c r="M39" s="191">
        <f t="shared" si="16"/>
        <v>0</v>
      </c>
      <c r="N39" s="293"/>
      <c r="O39" s="540"/>
      <c r="P39" s="538"/>
      <c r="Q39" s="538"/>
      <c r="R39" s="538"/>
      <c r="S39" s="538"/>
      <c r="T39" s="538"/>
      <c r="U39" s="538"/>
      <c r="V39" s="538"/>
      <c r="W39" s="534"/>
      <c r="X39" s="534"/>
      <c r="Y39" s="534"/>
      <c r="Z39" s="534"/>
      <c r="AA39" s="534"/>
      <c r="AB39" s="534"/>
      <c r="AC39" s="534"/>
      <c r="AD39" s="534"/>
      <c r="AE39" s="534"/>
      <c r="AF39" s="534"/>
      <c r="AG39" s="534"/>
      <c r="AH39" s="534"/>
      <c r="AI39" s="534"/>
      <c r="AJ39" s="534"/>
      <c r="AK39" s="534"/>
      <c r="AL39" s="534"/>
      <c r="AM39" s="534"/>
      <c r="AN39" s="534"/>
      <c r="AO39" s="534"/>
      <c r="AP39" s="534"/>
      <c r="AQ39" s="534"/>
      <c r="AR39" s="534"/>
      <c r="AS39" s="534"/>
      <c r="AT39" s="534"/>
      <c r="AU39" s="534"/>
      <c r="AV39" s="534"/>
      <c r="AW39" s="534"/>
      <c r="AX39" s="534"/>
      <c r="AY39" s="534"/>
      <c r="AZ39" s="534"/>
      <c r="BA39" s="534"/>
      <c r="BB39" s="534"/>
      <c r="BC39" s="534"/>
      <c r="BD39" s="534"/>
      <c r="BE39" s="534"/>
      <c r="BF39" s="534"/>
      <c r="BG39" s="534"/>
      <c r="BH39" s="534"/>
      <c r="BI39" s="534"/>
      <c r="BJ39" s="534"/>
      <c r="BK39" s="534"/>
      <c r="BL39" s="534"/>
      <c r="BM39" s="534"/>
      <c r="BN39" s="534"/>
      <c r="BO39" s="534"/>
      <c r="BP39" s="534"/>
      <c r="BQ39" s="534"/>
      <c r="BR39" s="534"/>
      <c r="BS39" s="534"/>
      <c r="BT39" s="534"/>
      <c r="BU39" s="534"/>
      <c r="BV39" s="534"/>
      <c r="BW39" s="534"/>
    </row>
    <row r="40" ht="16.5" spans="1:75">
      <c r="A40" s="534">
        <v>36</v>
      </c>
      <c r="B40" s="293"/>
      <c r="C40" s="293"/>
      <c r="D40" s="293"/>
      <c r="E40" s="293"/>
      <c r="F40" s="408"/>
      <c r="G40" s="526">
        <f t="shared" si="17"/>
        <v>0</v>
      </c>
      <c r="H40" s="190">
        <f t="shared" si="12"/>
        <v>0</v>
      </c>
      <c r="I40" s="191">
        <f t="shared" si="13"/>
        <v>0</v>
      </c>
      <c r="J40" s="190">
        <f>SUMIF($N$4:$BW$4,$J$4,N40:$BW40)</f>
        <v>0</v>
      </c>
      <c r="K40" s="191">
        <f t="shared" si="14"/>
        <v>0</v>
      </c>
      <c r="L40" s="190">
        <f t="shared" si="15"/>
        <v>0</v>
      </c>
      <c r="M40" s="191">
        <f t="shared" si="16"/>
        <v>0</v>
      </c>
      <c r="N40" s="293"/>
      <c r="O40" s="540"/>
      <c r="P40" s="538"/>
      <c r="Q40" s="538"/>
      <c r="R40" s="538"/>
      <c r="S40" s="538"/>
      <c r="T40" s="538"/>
      <c r="U40" s="538"/>
      <c r="V40" s="538"/>
      <c r="W40" s="534"/>
      <c r="X40" s="534"/>
      <c r="Y40" s="534"/>
      <c r="Z40" s="534"/>
      <c r="AA40" s="534"/>
      <c r="AB40" s="534"/>
      <c r="AC40" s="534"/>
      <c r="AD40" s="534"/>
      <c r="AE40" s="534"/>
      <c r="AF40" s="534"/>
      <c r="AG40" s="534"/>
      <c r="AH40" s="534"/>
      <c r="AI40" s="534"/>
      <c r="AJ40" s="534"/>
      <c r="AK40" s="534"/>
      <c r="AL40" s="534"/>
      <c r="AM40" s="534"/>
      <c r="AN40" s="534"/>
      <c r="AO40" s="534"/>
      <c r="AP40" s="534"/>
      <c r="AQ40" s="534"/>
      <c r="AR40" s="534"/>
      <c r="AS40" s="534"/>
      <c r="AT40" s="534"/>
      <c r="AU40" s="534"/>
      <c r="AV40" s="534"/>
      <c r="AW40" s="534"/>
      <c r="AX40" s="534"/>
      <c r="AY40" s="534"/>
      <c r="AZ40" s="534"/>
      <c r="BA40" s="534"/>
      <c r="BB40" s="534"/>
      <c r="BC40" s="534"/>
      <c r="BD40" s="534"/>
      <c r="BE40" s="534"/>
      <c r="BF40" s="534"/>
      <c r="BG40" s="534"/>
      <c r="BH40" s="534"/>
      <c r="BI40" s="534"/>
      <c r="BJ40" s="534"/>
      <c r="BK40" s="534"/>
      <c r="BL40" s="534"/>
      <c r="BM40" s="534"/>
      <c r="BN40" s="534"/>
      <c r="BO40" s="534"/>
      <c r="BP40" s="534"/>
      <c r="BQ40" s="534"/>
      <c r="BR40" s="534"/>
      <c r="BS40" s="534"/>
      <c r="BT40" s="534"/>
      <c r="BU40" s="534"/>
      <c r="BV40" s="534"/>
      <c r="BW40" s="534"/>
    </row>
    <row r="41" ht="16.5" spans="1:75">
      <c r="A41" s="293">
        <v>37</v>
      </c>
      <c r="B41" s="293"/>
      <c r="C41" s="293"/>
      <c r="D41" s="293"/>
      <c r="E41" s="293"/>
      <c r="F41" s="408"/>
      <c r="G41" s="526">
        <f t="shared" si="17"/>
        <v>0</v>
      </c>
      <c r="H41" s="190">
        <f t="shared" si="12"/>
        <v>0</v>
      </c>
      <c r="I41" s="191">
        <f t="shared" si="13"/>
        <v>0</v>
      </c>
      <c r="J41" s="190">
        <f>SUMIF($N$4:$BW$4,$J$4,N41:$BW41)</f>
        <v>0</v>
      </c>
      <c r="K41" s="191">
        <f t="shared" si="14"/>
        <v>0</v>
      </c>
      <c r="L41" s="190">
        <f t="shared" si="15"/>
        <v>0</v>
      </c>
      <c r="M41" s="191">
        <f t="shared" si="16"/>
        <v>0</v>
      </c>
      <c r="N41" s="293"/>
      <c r="O41" s="540"/>
      <c r="P41" s="538"/>
      <c r="Q41" s="538"/>
      <c r="R41" s="538"/>
      <c r="S41" s="538"/>
      <c r="T41" s="538"/>
      <c r="U41" s="538"/>
      <c r="V41" s="538"/>
      <c r="W41" s="534"/>
      <c r="X41" s="534"/>
      <c r="Y41" s="534"/>
      <c r="Z41" s="534"/>
      <c r="AA41" s="534"/>
      <c r="AB41" s="534"/>
      <c r="AC41" s="534"/>
      <c r="AD41" s="534"/>
      <c r="AE41" s="534"/>
      <c r="AF41" s="534"/>
      <c r="AG41" s="534"/>
      <c r="AH41" s="534"/>
      <c r="AO41" s="49"/>
      <c r="AR41" s="534"/>
      <c r="AS41" s="534"/>
      <c r="AT41" s="534"/>
      <c r="AU41" s="534"/>
      <c r="AV41" s="534"/>
      <c r="AW41" s="534"/>
      <c r="AX41" s="534"/>
      <c r="AY41" s="534"/>
      <c r="AZ41" s="534"/>
      <c r="BA41" s="534"/>
      <c r="BB41" s="534"/>
      <c r="BC41" s="534"/>
      <c r="BD41" s="534"/>
      <c r="BE41" s="534"/>
      <c r="BF41" s="534"/>
      <c r="BG41" s="534"/>
      <c r="BH41" s="534"/>
      <c r="BI41" s="534"/>
      <c r="BJ41" s="534"/>
      <c r="BK41" s="534"/>
      <c r="BL41" s="534"/>
      <c r="BM41" s="534"/>
      <c r="BN41" s="534"/>
      <c r="BO41" s="534"/>
      <c r="BP41" s="534"/>
      <c r="BQ41" s="534"/>
      <c r="BR41" s="534"/>
      <c r="BS41" s="534"/>
      <c r="BT41" s="534"/>
      <c r="BU41" s="534"/>
      <c r="BV41" s="534"/>
      <c r="BW41" s="534"/>
    </row>
    <row r="42" ht="16.5" spans="1:75">
      <c r="A42" s="534">
        <v>38</v>
      </c>
      <c r="B42" s="293"/>
      <c r="C42" s="293"/>
      <c r="D42" s="293"/>
      <c r="E42" s="293"/>
      <c r="F42" s="408"/>
      <c r="G42" s="526">
        <f t="shared" si="17"/>
        <v>0</v>
      </c>
      <c r="H42" s="190">
        <f t="shared" si="12"/>
        <v>0</v>
      </c>
      <c r="I42" s="191">
        <f t="shared" si="13"/>
        <v>0</v>
      </c>
      <c r="J42" s="190">
        <f>SUMIF($N$4:$BW$4,$J$4,N42:$BW42)</f>
        <v>0</v>
      </c>
      <c r="K42" s="191">
        <f t="shared" si="14"/>
        <v>0</v>
      </c>
      <c r="L42" s="190">
        <f t="shared" si="15"/>
        <v>0</v>
      </c>
      <c r="M42" s="191">
        <f t="shared" si="16"/>
        <v>0</v>
      </c>
      <c r="N42" s="293"/>
      <c r="O42" s="540"/>
      <c r="P42" s="538"/>
      <c r="Q42" s="538"/>
      <c r="R42" s="538"/>
      <c r="S42" s="538"/>
      <c r="T42" s="538"/>
      <c r="U42" s="538"/>
      <c r="V42" s="538"/>
      <c r="W42" s="534"/>
      <c r="X42" s="534"/>
      <c r="Y42" s="534"/>
      <c r="Z42" s="534"/>
      <c r="AA42" s="534"/>
      <c r="AB42" s="534"/>
      <c r="AC42" s="534"/>
      <c r="AD42" s="534"/>
      <c r="AE42" s="534"/>
      <c r="AF42" s="534"/>
      <c r="AG42" s="534"/>
      <c r="AH42" s="534"/>
      <c r="AR42" s="534"/>
      <c r="AS42" s="534"/>
      <c r="AT42" s="534"/>
      <c r="AU42" s="534"/>
      <c r="AV42" s="534"/>
      <c r="AW42" s="534"/>
      <c r="AX42" s="534"/>
      <c r="AY42" s="534"/>
      <c r="AZ42" s="534"/>
      <c r="BA42" s="534"/>
      <c r="BB42" s="534"/>
      <c r="BC42" s="534"/>
      <c r="BD42" s="534"/>
      <c r="BE42" s="534"/>
      <c r="BF42" s="534"/>
      <c r="BG42" s="534"/>
      <c r="BH42" s="534"/>
      <c r="BI42" s="534"/>
      <c r="BJ42" s="534"/>
      <c r="BK42" s="534"/>
      <c r="BL42" s="534"/>
      <c r="BM42" s="534"/>
      <c r="BN42" s="534"/>
      <c r="BO42" s="534"/>
      <c r="BP42" s="534"/>
      <c r="BQ42" s="534"/>
      <c r="BR42" s="534"/>
      <c r="BS42" s="534"/>
      <c r="BT42" s="534"/>
      <c r="BU42" s="534"/>
      <c r="BV42" s="534"/>
      <c r="BW42" s="534"/>
    </row>
    <row r="43" ht="16.5" spans="1:75">
      <c r="A43" s="293">
        <v>39</v>
      </c>
      <c r="B43" s="293"/>
      <c r="C43" s="293"/>
      <c r="D43" s="293"/>
      <c r="E43" s="293"/>
      <c r="F43" s="408"/>
      <c r="G43" s="526">
        <f t="shared" si="17"/>
        <v>0</v>
      </c>
      <c r="H43" s="190">
        <f t="shared" si="12"/>
        <v>0</v>
      </c>
      <c r="I43" s="191">
        <f t="shared" si="13"/>
        <v>0</v>
      </c>
      <c r="J43" s="190">
        <f>SUMIF($N$4:$BW$4,$J$4,N43:$BW43)</f>
        <v>0</v>
      </c>
      <c r="K43" s="191">
        <f t="shared" si="14"/>
        <v>0</v>
      </c>
      <c r="L43" s="190">
        <f t="shared" si="15"/>
        <v>0</v>
      </c>
      <c r="M43" s="191">
        <f t="shared" si="16"/>
        <v>0</v>
      </c>
      <c r="N43" s="293"/>
      <c r="O43" s="540"/>
      <c r="P43" s="538"/>
      <c r="Q43" s="538"/>
      <c r="R43" s="538"/>
      <c r="S43" s="538"/>
      <c r="T43" s="538"/>
      <c r="U43" s="538"/>
      <c r="V43" s="538"/>
      <c r="W43" s="534"/>
      <c r="X43" s="534"/>
      <c r="Y43" s="534"/>
      <c r="Z43" s="534"/>
      <c r="AA43" s="534"/>
      <c r="AB43" s="534"/>
      <c r="AC43" s="534"/>
      <c r="AD43" s="534"/>
      <c r="AE43" s="534"/>
      <c r="AF43" s="534"/>
      <c r="AG43" s="534"/>
      <c r="AH43" s="534"/>
      <c r="AR43" s="534"/>
      <c r="AS43" s="534"/>
      <c r="AT43" s="534"/>
      <c r="AU43" s="534"/>
      <c r="AV43" s="534"/>
      <c r="AW43" s="534"/>
      <c r="AX43" s="534"/>
      <c r="AY43" s="534"/>
      <c r="AZ43" s="534"/>
      <c r="BA43" s="534"/>
      <c r="BB43" s="534"/>
      <c r="BC43" s="534"/>
      <c r="BD43" s="534"/>
      <c r="BE43" s="534"/>
      <c r="BF43" s="534"/>
      <c r="BG43" s="534"/>
      <c r="BH43" s="534"/>
      <c r="BI43" s="534"/>
      <c r="BJ43" s="534"/>
      <c r="BK43" s="534"/>
      <c r="BL43" s="534"/>
      <c r="BM43" s="534"/>
      <c r="BN43" s="534"/>
      <c r="BO43" s="534"/>
      <c r="BP43" s="534"/>
      <c r="BQ43" s="534"/>
      <c r="BR43" s="534"/>
      <c r="BS43" s="534"/>
      <c r="BT43" s="534"/>
      <c r="BU43" s="534"/>
      <c r="BV43" s="534"/>
      <c r="BW43" s="534"/>
    </row>
    <row r="44" ht="16.5" spans="1:75">
      <c r="A44" s="534">
        <v>40</v>
      </c>
      <c r="B44" s="293"/>
      <c r="C44" s="293"/>
      <c r="D44" s="293"/>
      <c r="E44" s="293"/>
      <c r="F44" s="408"/>
      <c r="G44" s="526">
        <f t="shared" si="17"/>
        <v>0</v>
      </c>
      <c r="H44" s="190">
        <f t="shared" si="12"/>
        <v>0</v>
      </c>
      <c r="I44" s="191">
        <f t="shared" si="13"/>
        <v>0</v>
      </c>
      <c r="J44" s="190">
        <f>SUMIF($N$4:$BW$4,$J$4,N44:$BW44)</f>
        <v>0</v>
      </c>
      <c r="K44" s="191">
        <f t="shared" si="14"/>
        <v>0</v>
      </c>
      <c r="L44" s="190">
        <f t="shared" si="15"/>
        <v>0</v>
      </c>
      <c r="M44" s="191">
        <f t="shared" si="16"/>
        <v>0</v>
      </c>
      <c r="N44" s="293"/>
      <c r="O44" s="540"/>
      <c r="P44" s="538"/>
      <c r="Q44" s="538"/>
      <c r="R44" s="538"/>
      <c r="S44" s="538"/>
      <c r="T44" s="538"/>
      <c r="U44" s="538"/>
      <c r="V44" s="538"/>
      <c r="W44" s="534"/>
      <c r="X44" s="534"/>
      <c r="Y44" s="534"/>
      <c r="Z44" s="534"/>
      <c r="AA44" s="534"/>
      <c r="AB44" s="534"/>
      <c r="AC44" s="534"/>
      <c r="AD44" s="534"/>
      <c r="AE44" s="534"/>
      <c r="AF44" s="534"/>
      <c r="AG44" s="534"/>
      <c r="AH44" s="534"/>
      <c r="AR44" s="534"/>
      <c r="AS44" s="534"/>
      <c r="AT44" s="534"/>
      <c r="AU44" s="534"/>
      <c r="AV44" s="534"/>
      <c r="AW44" s="534"/>
      <c r="AX44" s="534"/>
      <c r="AY44" s="534"/>
      <c r="AZ44" s="534"/>
      <c r="BA44" s="534"/>
      <c r="BB44" s="534"/>
      <c r="BC44" s="534"/>
      <c r="BD44" s="534"/>
      <c r="BE44" s="534"/>
      <c r="BF44" s="534"/>
      <c r="BG44" s="534"/>
      <c r="BH44" s="534"/>
      <c r="BI44" s="534"/>
      <c r="BJ44" s="534"/>
      <c r="BK44" s="534"/>
      <c r="BL44" s="534"/>
      <c r="BM44" s="534"/>
      <c r="BN44" s="534"/>
      <c r="BO44" s="534"/>
      <c r="BP44" s="534"/>
      <c r="BQ44" s="534"/>
      <c r="BR44" s="534"/>
      <c r="BS44" s="534"/>
      <c r="BT44" s="534"/>
      <c r="BU44" s="534"/>
      <c r="BV44" s="534"/>
      <c r="BW44" s="534"/>
    </row>
    <row r="45" ht="16.5" spans="1:75">
      <c r="A45" s="534">
        <v>41</v>
      </c>
      <c r="B45" s="534"/>
      <c r="C45" s="534"/>
      <c r="D45" s="534"/>
      <c r="E45" s="534"/>
      <c r="F45" s="408"/>
      <c r="G45" s="526">
        <f t="shared" si="17"/>
        <v>0</v>
      </c>
      <c r="H45" s="190">
        <f t="shared" si="12"/>
        <v>0</v>
      </c>
      <c r="I45" s="191">
        <f t="shared" si="13"/>
        <v>0</v>
      </c>
      <c r="J45" s="190">
        <f>SUMIF($N$4:$BW$4,$J$4,N45:$BW45)</f>
        <v>0</v>
      </c>
      <c r="K45" s="191">
        <f t="shared" si="14"/>
        <v>0</v>
      </c>
      <c r="L45" s="190">
        <f t="shared" si="15"/>
        <v>0</v>
      </c>
      <c r="M45" s="191">
        <f t="shared" si="16"/>
        <v>0</v>
      </c>
      <c r="N45" s="293"/>
      <c r="O45" s="540"/>
      <c r="P45" s="538"/>
      <c r="Q45" s="538"/>
      <c r="R45" s="538"/>
      <c r="S45" s="538"/>
      <c r="T45" s="538"/>
      <c r="U45" s="538"/>
      <c r="V45" s="538"/>
      <c r="W45" s="534"/>
      <c r="X45" s="534"/>
      <c r="Y45" s="534"/>
      <c r="Z45" s="534"/>
      <c r="AA45" s="534"/>
      <c r="AB45" s="534"/>
      <c r="AC45" s="534"/>
      <c r="AD45" s="534"/>
      <c r="AE45" s="534"/>
      <c r="AF45" s="534"/>
      <c r="AG45" s="534"/>
      <c r="AH45" s="534"/>
      <c r="AJ45" s="49"/>
      <c r="AR45" s="534"/>
      <c r="AS45" s="534"/>
      <c r="AT45" s="534"/>
      <c r="AU45" s="534"/>
      <c r="AV45" s="534"/>
      <c r="AW45" s="534"/>
      <c r="AX45" s="534"/>
      <c r="AY45" s="534"/>
      <c r="AZ45" s="534"/>
      <c r="BA45" s="534"/>
      <c r="BB45" s="534"/>
      <c r="BC45" s="534"/>
      <c r="BD45" s="534"/>
      <c r="BE45" s="534"/>
      <c r="BF45" s="534"/>
      <c r="BG45" s="534"/>
      <c r="BH45" s="534"/>
      <c r="BI45" s="534"/>
      <c r="BJ45" s="534"/>
      <c r="BK45" s="534"/>
      <c r="BL45" s="534"/>
      <c r="BM45" s="534"/>
      <c r="BN45" s="534"/>
      <c r="BO45" s="534"/>
      <c r="BP45" s="534"/>
      <c r="BQ45" s="534"/>
      <c r="BR45" s="534"/>
      <c r="BS45" s="534"/>
      <c r="BT45" s="534"/>
      <c r="BU45" s="534"/>
      <c r="BV45" s="534"/>
      <c r="BW45" s="534"/>
    </row>
    <row r="46" ht="16.5" spans="1:75">
      <c r="A46" s="534">
        <v>42</v>
      </c>
      <c r="B46" s="534"/>
      <c r="C46" s="534"/>
      <c r="D46" s="534"/>
      <c r="E46" s="534"/>
      <c r="F46" s="408"/>
      <c r="G46" s="526">
        <f t="shared" si="17"/>
        <v>0</v>
      </c>
      <c r="H46" s="190">
        <f t="shared" si="12"/>
        <v>0</v>
      </c>
      <c r="I46" s="191">
        <f t="shared" si="13"/>
        <v>0</v>
      </c>
      <c r="J46" s="190">
        <f>SUMIF($N$4:$BW$4,$J$4,N46:$BW46)</f>
        <v>0</v>
      </c>
      <c r="K46" s="191">
        <f t="shared" si="14"/>
        <v>0</v>
      </c>
      <c r="L46" s="190">
        <f t="shared" si="15"/>
        <v>0</v>
      </c>
      <c r="M46" s="191">
        <f t="shared" si="16"/>
        <v>0</v>
      </c>
      <c r="N46" s="293"/>
      <c r="O46" s="540"/>
      <c r="P46" s="538"/>
      <c r="Q46" s="538"/>
      <c r="R46" s="538"/>
      <c r="S46" s="538"/>
      <c r="T46" s="538"/>
      <c r="U46" s="538"/>
      <c r="V46" s="538"/>
      <c r="W46" s="534"/>
      <c r="X46" s="534"/>
      <c r="Y46" s="534"/>
      <c r="Z46" s="534"/>
      <c r="AA46" s="534"/>
      <c r="AB46" s="534"/>
      <c r="AC46" s="534"/>
      <c r="AD46" s="534"/>
      <c r="AE46" s="534"/>
      <c r="AF46" s="534"/>
      <c r="AG46" s="534"/>
      <c r="AH46" s="534"/>
      <c r="AI46" s="49"/>
      <c r="AJ46" s="49"/>
      <c r="AO46" s="49"/>
      <c r="AR46" s="534"/>
      <c r="AS46" s="534"/>
      <c r="AT46" s="534"/>
      <c r="AU46" s="534"/>
      <c r="AV46" s="534"/>
      <c r="AW46" s="534"/>
      <c r="AX46" s="534"/>
      <c r="AY46" s="534"/>
      <c r="AZ46" s="534"/>
      <c r="BA46" s="534"/>
      <c r="BB46" s="534"/>
      <c r="BC46" s="534"/>
      <c r="BD46" s="534"/>
      <c r="BE46" s="534"/>
      <c r="BF46" s="534"/>
      <c r="BG46" s="534"/>
      <c r="BH46" s="534"/>
      <c r="BI46" s="534"/>
      <c r="BJ46" s="534"/>
      <c r="BK46" s="534"/>
      <c r="BL46" s="534"/>
      <c r="BM46" s="534"/>
      <c r="BN46" s="534"/>
      <c r="BO46" s="534"/>
      <c r="BP46" s="534"/>
      <c r="BQ46" s="534"/>
      <c r="BR46" s="534"/>
      <c r="BS46" s="534"/>
      <c r="BT46" s="534"/>
      <c r="BU46" s="534"/>
      <c r="BV46" s="534"/>
      <c r="BW46" s="534"/>
    </row>
    <row r="47" ht="16.5" spans="1:75">
      <c r="A47" s="534">
        <v>43</v>
      </c>
      <c r="B47" s="534"/>
      <c r="C47" s="534"/>
      <c r="D47" s="534"/>
      <c r="E47" s="534"/>
      <c r="F47" s="408"/>
      <c r="G47" s="526">
        <f t="shared" si="17"/>
        <v>0</v>
      </c>
      <c r="H47" s="190">
        <f t="shared" si="12"/>
        <v>0</v>
      </c>
      <c r="I47" s="191">
        <f t="shared" si="13"/>
        <v>0</v>
      </c>
      <c r="J47" s="190">
        <f>SUMIF($N$4:$BW$4,$J$4,N47:$BW47)</f>
        <v>0</v>
      </c>
      <c r="K47" s="191">
        <f t="shared" si="14"/>
        <v>0</v>
      </c>
      <c r="L47" s="190">
        <f t="shared" si="15"/>
        <v>0</v>
      </c>
      <c r="M47" s="191">
        <f t="shared" si="16"/>
        <v>0</v>
      </c>
      <c r="N47" s="293"/>
      <c r="O47" s="540"/>
      <c r="P47" s="538"/>
      <c r="Q47" s="538"/>
      <c r="R47" s="538"/>
      <c r="S47" s="538"/>
      <c r="T47" s="538"/>
      <c r="U47" s="538"/>
      <c r="V47" s="538"/>
      <c r="W47" s="534"/>
      <c r="X47" s="534"/>
      <c r="Y47" s="534"/>
      <c r="Z47" s="534"/>
      <c r="AA47" s="534"/>
      <c r="AB47" s="534"/>
      <c r="AC47" s="534"/>
      <c r="AD47" s="534"/>
      <c r="AE47" s="534"/>
      <c r="AF47" s="534"/>
      <c r="AG47" s="534"/>
      <c r="AH47" s="534"/>
      <c r="AR47" s="534"/>
      <c r="AS47" s="534"/>
      <c r="AT47" s="534"/>
      <c r="AU47" s="534"/>
      <c r="AV47" s="534"/>
      <c r="AW47" s="534"/>
      <c r="AX47" s="534"/>
      <c r="AY47" s="534"/>
      <c r="AZ47" s="534"/>
      <c r="BA47" s="534"/>
      <c r="BB47" s="534"/>
      <c r="BC47" s="534"/>
      <c r="BD47" s="534"/>
      <c r="BE47" s="534"/>
      <c r="BF47" s="534"/>
      <c r="BG47" s="534"/>
      <c r="BH47" s="534"/>
      <c r="BI47" s="534"/>
      <c r="BJ47" s="534"/>
      <c r="BK47" s="534"/>
      <c r="BL47" s="534"/>
      <c r="BM47" s="534"/>
      <c r="BN47" s="534"/>
      <c r="BO47" s="534"/>
      <c r="BP47" s="534"/>
      <c r="BQ47" s="534"/>
      <c r="BR47" s="534"/>
      <c r="BS47" s="534"/>
      <c r="BT47" s="534"/>
      <c r="BU47" s="534"/>
      <c r="BV47" s="534"/>
      <c r="BW47" s="534"/>
    </row>
    <row r="48" ht="16.5" spans="1:75">
      <c r="A48" s="534">
        <v>44</v>
      </c>
      <c r="B48" s="534"/>
      <c r="C48" s="534"/>
      <c r="D48" s="534"/>
      <c r="E48" s="534"/>
      <c r="F48" s="408"/>
      <c r="G48" s="526">
        <f t="shared" si="17"/>
        <v>0</v>
      </c>
      <c r="H48" s="190">
        <f t="shared" si="12"/>
        <v>0</v>
      </c>
      <c r="I48" s="191">
        <f t="shared" si="13"/>
        <v>0</v>
      </c>
      <c r="J48" s="190">
        <f>SUMIF($N$4:$BW$4,$J$4,N48:$BW48)</f>
        <v>0</v>
      </c>
      <c r="K48" s="191">
        <f t="shared" si="14"/>
        <v>0</v>
      </c>
      <c r="L48" s="190">
        <f t="shared" si="15"/>
        <v>0</v>
      </c>
      <c r="M48" s="191">
        <f t="shared" si="16"/>
        <v>0</v>
      </c>
      <c r="N48" s="293"/>
      <c r="O48" s="540"/>
      <c r="P48" s="538"/>
      <c r="Q48" s="538"/>
      <c r="R48" s="538"/>
      <c r="S48" s="538"/>
      <c r="T48" s="538"/>
      <c r="U48" s="538"/>
      <c r="V48" s="538"/>
      <c r="W48" s="534"/>
      <c r="X48" s="534"/>
      <c r="Y48" s="534"/>
      <c r="Z48" s="534"/>
      <c r="AA48" s="534"/>
      <c r="AB48" s="534"/>
      <c r="AC48" s="534"/>
      <c r="AD48" s="534"/>
      <c r="AE48" s="534"/>
      <c r="AF48" s="534"/>
      <c r="AG48" s="534"/>
      <c r="AH48" s="534"/>
      <c r="AR48" s="534"/>
      <c r="AS48" s="534"/>
      <c r="AT48" s="534"/>
      <c r="AU48" s="534"/>
      <c r="AV48" s="534"/>
      <c r="AW48" s="534"/>
      <c r="AX48" s="534"/>
      <c r="AY48" s="534"/>
      <c r="AZ48" s="534"/>
      <c r="BA48" s="534"/>
      <c r="BB48" s="534"/>
      <c r="BC48" s="534"/>
      <c r="BD48" s="534"/>
      <c r="BE48" s="534"/>
      <c r="BF48" s="534"/>
      <c r="BG48" s="534"/>
      <c r="BH48" s="534"/>
      <c r="BI48" s="534"/>
      <c r="BJ48" s="534"/>
      <c r="BK48" s="534"/>
      <c r="BL48" s="534"/>
      <c r="BM48" s="534"/>
      <c r="BN48" s="534"/>
      <c r="BO48" s="534"/>
      <c r="BP48" s="534"/>
      <c r="BQ48" s="534"/>
      <c r="BR48" s="534"/>
      <c r="BS48" s="534"/>
      <c r="BT48" s="534"/>
      <c r="BU48" s="534"/>
      <c r="BV48" s="534"/>
      <c r="BW48" s="534"/>
    </row>
    <row r="49" ht="16.5" spans="1:75">
      <c r="A49" s="538">
        <v>45</v>
      </c>
      <c r="B49" s="538"/>
      <c r="C49" s="538"/>
      <c r="D49" s="538"/>
      <c r="E49" s="538"/>
      <c r="F49" s="539"/>
      <c r="G49" s="526">
        <f t="shared" si="17"/>
        <v>0</v>
      </c>
      <c r="H49" s="190">
        <f t="shared" si="12"/>
        <v>0</v>
      </c>
      <c r="I49" s="191">
        <f t="shared" si="13"/>
        <v>0</v>
      </c>
      <c r="J49" s="190">
        <f>SUMIF($N$4:$BW$4,$J$4,N49:$BW49)</f>
        <v>0</v>
      </c>
      <c r="K49" s="191">
        <f t="shared" si="14"/>
        <v>0</v>
      </c>
      <c r="L49" s="190">
        <f t="shared" si="15"/>
        <v>0</v>
      </c>
      <c r="M49" s="191">
        <f t="shared" si="16"/>
        <v>0</v>
      </c>
      <c r="N49" s="538"/>
      <c r="O49" s="540"/>
      <c r="P49" s="538"/>
      <c r="Q49" s="538"/>
      <c r="R49" s="538"/>
      <c r="S49" s="538"/>
      <c r="T49" s="538"/>
      <c r="U49" s="538"/>
      <c r="V49" s="538"/>
      <c r="W49" s="534"/>
      <c r="X49" s="534"/>
      <c r="Y49" s="534"/>
      <c r="Z49" s="534"/>
      <c r="AA49" s="534"/>
      <c r="AB49" s="534"/>
      <c r="AC49" s="534"/>
      <c r="AD49" s="534"/>
      <c r="AE49" s="534"/>
      <c r="AF49" s="534"/>
      <c r="AG49" s="534"/>
      <c r="AH49" s="534"/>
      <c r="AI49" s="534"/>
      <c r="AJ49" s="534"/>
      <c r="AK49" s="534"/>
      <c r="AL49" s="534"/>
      <c r="AM49" s="534"/>
      <c r="AN49" s="534"/>
      <c r="AO49" s="534"/>
      <c r="AP49" s="534"/>
      <c r="AQ49" s="534"/>
      <c r="AR49" s="534"/>
      <c r="AS49" s="534"/>
      <c r="AT49" s="534"/>
      <c r="AU49" s="534"/>
      <c r="AV49" s="534"/>
      <c r="AW49" s="534"/>
      <c r="AX49" s="534"/>
      <c r="AY49" s="534"/>
      <c r="AZ49" s="534"/>
      <c r="BA49" s="534"/>
      <c r="BB49" s="534"/>
      <c r="BC49" s="534"/>
      <c r="BD49" s="534"/>
      <c r="BE49" s="534"/>
      <c r="BF49" s="534"/>
      <c r="BG49" s="534"/>
      <c r="BH49" s="534"/>
      <c r="BI49" s="534"/>
      <c r="BJ49" s="534"/>
      <c r="BK49" s="534"/>
      <c r="BL49" s="534"/>
      <c r="BM49" s="534"/>
      <c r="BN49" s="534"/>
      <c r="BO49" s="534"/>
      <c r="BP49" s="534"/>
      <c r="BQ49" s="534"/>
      <c r="BR49" s="534"/>
      <c r="BS49" s="534"/>
      <c r="BT49" s="534"/>
      <c r="BU49" s="534"/>
      <c r="BV49" s="534"/>
      <c r="BW49" s="534"/>
    </row>
    <row r="50" s="49" customFormat="1" customHeight="1" spans="1:75">
      <c r="A50" s="293">
        <v>46</v>
      </c>
      <c r="B50" s="293"/>
      <c r="C50" s="293"/>
      <c r="D50" s="293"/>
      <c r="E50" s="293"/>
      <c r="F50" s="408"/>
      <c r="G50" s="526">
        <f t="shared" si="17"/>
        <v>0</v>
      </c>
      <c r="H50" s="190">
        <f t="shared" si="12"/>
        <v>0</v>
      </c>
      <c r="I50" s="191">
        <f t="shared" si="13"/>
        <v>0</v>
      </c>
      <c r="J50" s="190">
        <f>SUMIF($N$4:$BW$4,$J$4,N50:$BW50)</f>
        <v>0</v>
      </c>
      <c r="K50" s="191">
        <f t="shared" si="14"/>
        <v>0</v>
      </c>
      <c r="L50" s="190">
        <f t="shared" si="15"/>
        <v>0</v>
      </c>
      <c r="M50" s="191">
        <f t="shared" si="16"/>
        <v>0</v>
      </c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93"/>
      <c r="AB50" s="293"/>
      <c r="AC50" s="293"/>
      <c r="AD50" s="293"/>
      <c r="AE50" s="293"/>
      <c r="AF50" s="293"/>
      <c r="AG50" s="293"/>
      <c r="AH50" s="293"/>
      <c r="AI50" s="293"/>
      <c r="AJ50" s="293"/>
      <c r="AK50" s="293"/>
      <c r="AL50" s="293"/>
      <c r="AM50" s="293"/>
      <c r="AN50" s="293"/>
      <c r="AO50" s="293"/>
      <c r="AP50" s="293"/>
      <c r="AQ50" s="293"/>
      <c r="AR50" s="293"/>
      <c r="AS50" s="293"/>
      <c r="AT50" s="293"/>
      <c r="AU50" s="293"/>
      <c r="AV50" s="293"/>
      <c r="AW50" s="293"/>
      <c r="AX50" s="293"/>
      <c r="AY50" s="293"/>
      <c r="AZ50" s="293"/>
      <c r="BA50" s="293"/>
      <c r="BB50" s="293"/>
      <c r="BC50" s="293"/>
      <c r="BD50" s="293"/>
      <c r="BE50" s="293"/>
      <c r="BF50" s="293"/>
      <c r="BG50" s="293"/>
      <c r="BH50" s="293"/>
      <c r="BI50" s="293"/>
      <c r="BJ50" s="293"/>
      <c r="BK50" s="293"/>
      <c r="BL50" s="293"/>
      <c r="BM50" s="293"/>
      <c r="BN50" s="293"/>
      <c r="BO50" s="293"/>
      <c r="BP50" s="293"/>
      <c r="BQ50" s="293"/>
      <c r="BR50" s="293"/>
      <c r="BS50" s="293"/>
      <c r="BT50" s="293"/>
      <c r="BU50" s="293"/>
      <c r="BV50" s="293"/>
      <c r="BW50" s="293"/>
    </row>
    <row r="51" s="360" customFormat="1" customHeight="1" spans="1:75">
      <c r="A51" s="293">
        <v>47</v>
      </c>
      <c r="B51" s="293"/>
      <c r="C51" s="293"/>
      <c r="D51" s="293"/>
      <c r="E51" s="293"/>
      <c r="F51" s="408"/>
      <c r="G51" s="526">
        <f t="shared" si="17"/>
        <v>0</v>
      </c>
      <c r="H51" s="190">
        <f t="shared" si="12"/>
        <v>0</v>
      </c>
      <c r="I51" s="191">
        <f t="shared" si="13"/>
        <v>0</v>
      </c>
      <c r="J51" s="190">
        <f>SUMIF($N$4:$BW$4,$J$4,N51:$BW51)</f>
        <v>0</v>
      </c>
      <c r="K51" s="191">
        <f t="shared" si="14"/>
        <v>0</v>
      </c>
      <c r="L51" s="190">
        <f t="shared" si="15"/>
        <v>0</v>
      </c>
      <c r="M51" s="191">
        <f t="shared" si="16"/>
        <v>0</v>
      </c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93"/>
      <c r="AB51" s="293"/>
      <c r="AC51" s="293"/>
      <c r="AD51" s="293"/>
      <c r="AE51" s="293"/>
      <c r="AF51" s="293"/>
      <c r="AG51" s="293"/>
      <c r="AH51" s="293"/>
      <c r="AI51" s="293"/>
      <c r="AJ51" s="293"/>
      <c r="AK51" s="293"/>
      <c r="AL51" s="293"/>
      <c r="AM51" s="293"/>
      <c r="AN51" s="293"/>
      <c r="AO51" s="293"/>
      <c r="AP51" s="293"/>
      <c r="AQ51" s="293"/>
      <c r="AR51" s="293"/>
      <c r="AS51" s="293"/>
      <c r="AT51" s="293"/>
      <c r="AU51" s="293"/>
      <c r="AV51" s="293"/>
      <c r="AW51" s="293"/>
      <c r="AX51" s="293"/>
      <c r="AY51" s="293"/>
      <c r="AZ51" s="293"/>
      <c r="BA51" s="293"/>
      <c r="BB51" s="293"/>
      <c r="BC51" s="293"/>
      <c r="BD51" s="293"/>
      <c r="BE51" s="293"/>
      <c r="BF51" s="293"/>
      <c r="BG51" s="293"/>
      <c r="BH51" s="293"/>
      <c r="BI51" s="293"/>
      <c r="BJ51" s="293"/>
      <c r="BK51" s="293"/>
      <c r="BL51" s="293"/>
      <c r="BM51" s="293"/>
      <c r="BN51" s="293"/>
      <c r="BO51" s="293"/>
      <c r="BP51" s="293"/>
      <c r="BQ51" s="293"/>
      <c r="BR51" s="293"/>
      <c r="BS51" s="293"/>
      <c r="BT51" s="293"/>
      <c r="BU51" s="293"/>
      <c r="BV51" s="293"/>
      <c r="BW51" s="293"/>
    </row>
    <row r="52" s="360" customFormat="1" customHeight="1" spans="1:75">
      <c r="A52" s="293">
        <v>48</v>
      </c>
      <c r="B52" s="293"/>
      <c r="C52" s="293"/>
      <c r="D52" s="293"/>
      <c r="E52" s="293"/>
      <c r="F52" s="408"/>
      <c r="G52" s="526">
        <f t="shared" si="17"/>
        <v>0</v>
      </c>
      <c r="H52" s="190">
        <f t="shared" si="12"/>
        <v>0</v>
      </c>
      <c r="I52" s="191">
        <f t="shared" si="13"/>
        <v>0</v>
      </c>
      <c r="J52" s="190">
        <f>SUMIF($N$4:$BW$4,$J$4,N52:$BW52)</f>
        <v>0</v>
      </c>
      <c r="K52" s="191">
        <f t="shared" si="14"/>
        <v>0</v>
      </c>
      <c r="L52" s="190">
        <f t="shared" si="15"/>
        <v>0</v>
      </c>
      <c r="M52" s="191">
        <f t="shared" si="16"/>
        <v>0</v>
      </c>
      <c r="N52" s="293"/>
      <c r="O52" s="293"/>
      <c r="P52" s="293"/>
      <c r="Q52" s="293"/>
      <c r="R52" s="293"/>
      <c r="S52" s="293"/>
      <c r="T52" s="293"/>
      <c r="U52" s="293"/>
      <c r="V52" s="293"/>
      <c r="W52" s="293"/>
      <c r="X52" s="293"/>
      <c r="Y52" s="293"/>
      <c r="Z52" s="293"/>
      <c r="AA52" s="293"/>
      <c r="AB52" s="293"/>
      <c r="AC52" s="293"/>
      <c r="AD52" s="293"/>
      <c r="AE52" s="293"/>
      <c r="AF52" s="293"/>
      <c r="AG52" s="293"/>
      <c r="AH52" s="293"/>
      <c r="AI52" s="293"/>
      <c r="AJ52" s="293"/>
      <c r="AK52" s="293"/>
      <c r="AL52" s="293"/>
      <c r="AM52" s="293"/>
      <c r="AN52" s="293"/>
      <c r="AO52" s="293"/>
      <c r="AP52" s="293"/>
      <c r="AQ52" s="293"/>
      <c r="AR52" s="293"/>
      <c r="AS52" s="293"/>
      <c r="AT52" s="293"/>
      <c r="AU52" s="293"/>
      <c r="AV52" s="293"/>
      <c r="AW52" s="293"/>
      <c r="AX52" s="293"/>
      <c r="AY52" s="293"/>
      <c r="AZ52" s="293"/>
      <c r="BA52" s="293"/>
      <c r="BB52" s="293"/>
      <c r="BC52" s="293"/>
      <c r="BD52" s="293"/>
      <c r="BE52" s="293"/>
      <c r="BF52" s="293"/>
      <c r="BG52" s="293"/>
      <c r="BH52" s="293"/>
      <c r="BI52" s="293"/>
      <c r="BJ52" s="293"/>
      <c r="BK52" s="293"/>
      <c r="BL52" s="293"/>
      <c r="BM52" s="293"/>
      <c r="BN52" s="293"/>
      <c r="BO52" s="293"/>
      <c r="BP52" s="293"/>
      <c r="BQ52" s="293"/>
      <c r="BR52" s="293"/>
      <c r="BS52" s="293"/>
      <c r="BT52" s="293"/>
      <c r="BU52" s="293"/>
      <c r="BV52" s="293"/>
      <c r="BW52" s="293"/>
    </row>
    <row r="53" s="360" customFormat="1" customHeight="1" spans="1:75">
      <c r="A53" s="293">
        <v>49</v>
      </c>
      <c r="B53" s="293"/>
      <c r="C53" s="293"/>
      <c r="D53" s="293"/>
      <c r="E53" s="293"/>
      <c r="F53" s="408"/>
      <c r="G53" s="526">
        <f t="shared" si="17"/>
        <v>0</v>
      </c>
      <c r="H53" s="190">
        <f t="shared" si="12"/>
        <v>0</v>
      </c>
      <c r="I53" s="191">
        <f t="shared" si="13"/>
        <v>0</v>
      </c>
      <c r="J53" s="190">
        <f>SUMIF($N$4:$BW$4,$J$4,N53:$BW53)</f>
        <v>0</v>
      </c>
      <c r="K53" s="191">
        <f t="shared" si="14"/>
        <v>0</v>
      </c>
      <c r="L53" s="190">
        <f t="shared" si="15"/>
        <v>0</v>
      </c>
      <c r="M53" s="191">
        <f t="shared" si="16"/>
        <v>0</v>
      </c>
      <c r="N53" s="293"/>
      <c r="O53" s="293"/>
      <c r="P53" s="293"/>
      <c r="Q53" s="293"/>
      <c r="R53" s="293"/>
      <c r="S53" s="293"/>
      <c r="T53" s="293"/>
      <c r="U53" s="293"/>
      <c r="V53" s="293"/>
      <c r="W53" s="293"/>
      <c r="X53" s="293"/>
      <c r="Y53" s="293"/>
      <c r="Z53" s="293"/>
      <c r="AA53" s="293"/>
      <c r="AB53" s="293"/>
      <c r="AC53" s="293"/>
      <c r="AD53" s="293"/>
      <c r="AE53" s="293"/>
      <c r="AF53" s="293"/>
      <c r="AG53" s="293"/>
      <c r="AH53" s="293"/>
      <c r="AI53" s="293"/>
      <c r="AJ53" s="293"/>
      <c r="AK53" s="293"/>
      <c r="AL53" s="293"/>
      <c r="AM53" s="293"/>
      <c r="AN53" s="293"/>
      <c r="AO53" s="293"/>
      <c r="AP53" s="293"/>
      <c r="AQ53" s="293"/>
      <c r="AR53" s="293"/>
      <c r="AS53" s="293"/>
      <c r="AT53" s="293"/>
      <c r="AU53" s="293"/>
      <c r="AV53" s="293"/>
      <c r="AW53" s="293"/>
      <c r="AX53" s="293"/>
      <c r="AY53" s="293"/>
      <c r="AZ53" s="293"/>
      <c r="BA53" s="293"/>
      <c r="BB53" s="293"/>
      <c r="BC53" s="293"/>
      <c r="BD53" s="293"/>
      <c r="BE53" s="293"/>
      <c r="BF53" s="293"/>
      <c r="BG53" s="293"/>
      <c r="BH53" s="293"/>
      <c r="BI53" s="293"/>
      <c r="BJ53" s="293"/>
      <c r="BK53" s="293"/>
      <c r="BL53" s="293"/>
      <c r="BM53" s="293"/>
      <c r="BN53" s="293"/>
      <c r="BO53" s="293"/>
      <c r="BP53" s="293"/>
      <c r="BQ53" s="293"/>
      <c r="BR53" s="293"/>
      <c r="BS53" s="293"/>
      <c r="BT53" s="293"/>
      <c r="BU53" s="293"/>
      <c r="BV53" s="293"/>
      <c r="BW53" s="293"/>
    </row>
    <row r="54" s="360" customFormat="1" customHeight="1" spans="1:75">
      <c r="A54" s="293">
        <v>50</v>
      </c>
      <c r="B54" s="293"/>
      <c r="C54" s="293"/>
      <c r="D54" s="293"/>
      <c r="E54" s="293"/>
      <c r="F54" s="408"/>
      <c r="G54" s="526">
        <f t="shared" si="17"/>
        <v>0</v>
      </c>
      <c r="H54" s="190">
        <f t="shared" si="12"/>
        <v>0</v>
      </c>
      <c r="I54" s="191">
        <f t="shared" si="13"/>
        <v>0</v>
      </c>
      <c r="J54" s="190">
        <f>SUMIF($N$4:$BW$4,$J$4,N54:$BW54)</f>
        <v>0</v>
      </c>
      <c r="K54" s="191">
        <f t="shared" si="14"/>
        <v>0</v>
      </c>
      <c r="L54" s="190">
        <f t="shared" si="15"/>
        <v>0</v>
      </c>
      <c r="M54" s="191">
        <f t="shared" si="16"/>
        <v>0</v>
      </c>
      <c r="N54" s="293"/>
      <c r="O54" s="293"/>
      <c r="P54" s="293"/>
      <c r="Q54" s="293"/>
      <c r="R54" s="293"/>
      <c r="S54" s="293"/>
      <c r="T54" s="293"/>
      <c r="U54" s="293"/>
      <c r="V54" s="293"/>
      <c r="W54" s="293"/>
      <c r="X54" s="293"/>
      <c r="Y54" s="293"/>
      <c r="Z54" s="293"/>
      <c r="AA54" s="293"/>
      <c r="AB54" s="293"/>
      <c r="AC54" s="293"/>
      <c r="AD54" s="293"/>
      <c r="AE54" s="293"/>
      <c r="AF54" s="293"/>
      <c r="AG54" s="293"/>
      <c r="AH54" s="293"/>
      <c r="AI54" s="293"/>
      <c r="AJ54" s="293"/>
      <c r="AK54" s="293"/>
      <c r="AL54" s="293"/>
      <c r="AM54" s="293"/>
      <c r="AN54" s="293"/>
      <c r="AO54" s="293"/>
      <c r="AP54" s="293"/>
      <c r="AQ54" s="293"/>
      <c r="AR54" s="293"/>
      <c r="AS54" s="293"/>
      <c r="AT54" s="293"/>
      <c r="AU54" s="293"/>
      <c r="AV54" s="293"/>
      <c r="AW54" s="293"/>
      <c r="AX54" s="293"/>
      <c r="AY54" s="293"/>
      <c r="AZ54" s="293"/>
      <c r="BA54" s="293"/>
      <c r="BB54" s="293"/>
      <c r="BC54" s="293"/>
      <c r="BD54" s="293"/>
      <c r="BE54" s="293"/>
      <c r="BF54" s="293"/>
      <c r="BG54" s="293"/>
      <c r="BH54" s="293"/>
      <c r="BI54" s="293"/>
      <c r="BJ54" s="293"/>
      <c r="BK54" s="293"/>
      <c r="BL54" s="293"/>
      <c r="BM54" s="293"/>
      <c r="BN54" s="293"/>
      <c r="BO54" s="293"/>
      <c r="BP54" s="293"/>
      <c r="BQ54" s="293"/>
      <c r="BR54" s="293"/>
      <c r="BS54" s="293"/>
      <c r="BT54" s="293"/>
      <c r="BU54" s="293"/>
      <c r="BV54" s="293"/>
      <c r="BW54" s="293"/>
    </row>
    <row r="55" s="360" customFormat="1" customHeight="1" spans="1:75">
      <c r="A55" s="293">
        <v>51</v>
      </c>
      <c r="B55" s="293"/>
      <c r="C55" s="293"/>
      <c r="D55" s="293"/>
      <c r="E55" s="293"/>
      <c r="F55" s="408"/>
      <c r="G55" s="526">
        <f t="shared" si="17"/>
        <v>0</v>
      </c>
      <c r="H55" s="190">
        <f t="shared" si="12"/>
        <v>0</v>
      </c>
      <c r="I55" s="191">
        <f t="shared" si="13"/>
        <v>0</v>
      </c>
      <c r="J55" s="190">
        <f>SUMIF($N$4:$BW$4,$J$4,N55:$BW55)</f>
        <v>0</v>
      </c>
      <c r="K55" s="191">
        <f t="shared" si="14"/>
        <v>0</v>
      </c>
      <c r="L55" s="190">
        <f t="shared" si="15"/>
        <v>0</v>
      </c>
      <c r="M55" s="191">
        <f t="shared" si="16"/>
        <v>0</v>
      </c>
      <c r="N55" s="293"/>
      <c r="O55" s="293"/>
      <c r="P55" s="293"/>
      <c r="Q55" s="293"/>
      <c r="R55" s="293"/>
      <c r="S55" s="293"/>
      <c r="T55" s="293"/>
      <c r="U55" s="293"/>
      <c r="V55" s="293"/>
      <c r="W55" s="293"/>
      <c r="X55" s="293"/>
      <c r="Y55" s="293"/>
      <c r="Z55" s="293"/>
      <c r="AA55" s="293"/>
      <c r="AB55" s="293"/>
      <c r="AC55" s="293"/>
      <c r="AD55" s="293"/>
      <c r="AE55" s="293"/>
      <c r="AF55" s="293"/>
      <c r="AG55" s="293"/>
      <c r="AH55" s="293"/>
      <c r="AI55" s="293"/>
      <c r="AJ55" s="293"/>
      <c r="AK55" s="293"/>
      <c r="AL55" s="293"/>
      <c r="AM55" s="293"/>
      <c r="AN55" s="293"/>
      <c r="AO55" s="293"/>
      <c r="AP55" s="293"/>
      <c r="AQ55" s="293"/>
      <c r="AR55" s="293"/>
      <c r="AS55" s="293"/>
      <c r="AT55" s="293"/>
      <c r="AU55" s="293"/>
      <c r="AV55" s="293"/>
      <c r="AW55" s="293"/>
      <c r="AX55" s="293"/>
      <c r="AY55" s="293"/>
      <c r="AZ55" s="293"/>
      <c r="BA55" s="293"/>
      <c r="BB55" s="293"/>
      <c r="BC55" s="293"/>
      <c r="BD55" s="293"/>
      <c r="BE55" s="293"/>
      <c r="BF55" s="293"/>
      <c r="BG55" s="293"/>
      <c r="BH55" s="293"/>
      <c r="BI55" s="293"/>
      <c r="BJ55" s="293"/>
      <c r="BK55" s="293"/>
      <c r="BL55" s="293"/>
      <c r="BM55" s="293"/>
      <c r="BN55" s="293"/>
      <c r="BO55" s="293"/>
      <c r="BP55" s="293"/>
      <c r="BQ55" s="293"/>
      <c r="BR55" s="293"/>
      <c r="BS55" s="293"/>
      <c r="BT55" s="293"/>
      <c r="BU55" s="293"/>
      <c r="BV55" s="293"/>
      <c r="BW55" s="293"/>
    </row>
    <row r="56" s="360" customFormat="1" customHeight="1" spans="1:75">
      <c r="A56" s="293">
        <v>52</v>
      </c>
      <c r="B56" s="293"/>
      <c r="C56" s="293"/>
      <c r="D56" s="293"/>
      <c r="E56" s="293"/>
      <c r="F56" s="408"/>
      <c r="G56" s="526">
        <f t="shared" si="17"/>
        <v>0</v>
      </c>
      <c r="H56" s="190">
        <f t="shared" si="12"/>
        <v>0</v>
      </c>
      <c r="I56" s="191">
        <f t="shared" si="13"/>
        <v>0</v>
      </c>
      <c r="J56" s="190">
        <f>SUMIF($N$4:$BW$4,$J$4,N56:$BW56)</f>
        <v>0</v>
      </c>
      <c r="K56" s="191">
        <f t="shared" si="14"/>
        <v>0</v>
      </c>
      <c r="L56" s="190">
        <f t="shared" si="15"/>
        <v>0</v>
      </c>
      <c r="M56" s="191">
        <f t="shared" si="16"/>
        <v>0</v>
      </c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3"/>
      <c r="AB56" s="293"/>
      <c r="AC56" s="293"/>
      <c r="AD56" s="293"/>
      <c r="AE56" s="293"/>
      <c r="AF56" s="293"/>
      <c r="AG56" s="293"/>
      <c r="AH56" s="293"/>
      <c r="AI56" s="293"/>
      <c r="AJ56" s="293"/>
      <c r="AK56" s="293"/>
      <c r="AL56" s="293"/>
      <c r="AM56" s="293"/>
      <c r="AN56" s="293"/>
      <c r="AO56" s="293"/>
      <c r="AP56" s="293"/>
      <c r="AQ56" s="293"/>
      <c r="AR56" s="293"/>
      <c r="AS56" s="293"/>
      <c r="AT56" s="293"/>
      <c r="AU56" s="293"/>
      <c r="AV56" s="293"/>
      <c r="AW56" s="293"/>
      <c r="AX56" s="293"/>
      <c r="AY56" s="293"/>
      <c r="AZ56" s="293"/>
      <c r="BA56" s="293"/>
      <c r="BB56" s="293"/>
      <c r="BC56" s="293"/>
      <c r="BD56" s="293"/>
      <c r="BE56" s="293"/>
      <c r="BF56" s="293"/>
      <c r="BG56" s="293"/>
      <c r="BH56" s="293"/>
      <c r="BI56" s="293"/>
      <c r="BJ56" s="293"/>
      <c r="BK56" s="293"/>
      <c r="BL56" s="293"/>
      <c r="BM56" s="293"/>
      <c r="BN56" s="293"/>
      <c r="BO56" s="293"/>
      <c r="BP56" s="293"/>
      <c r="BQ56" s="293"/>
      <c r="BR56" s="293"/>
      <c r="BS56" s="293"/>
      <c r="BT56" s="293"/>
      <c r="BU56" s="293"/>
      <c r="BV56" s="293"/>
      <c r="BW56" s="293"/>
    </row>
    <row r="57" s="360" customFormat="1" customHeight="1" spans="1:75">
      <c r="A57" s="293">
        <v>53</v>
      </c>
      <c r="B57" s="293"/>
      <c r="C57" s="293"/>
      <c r="D57" s="293"/>
      <c r="E57" s="293"/>
      <c r="F57" s="408"/>
      <c r="G57" s="526">
        <f t="shared" si="17"/>
        <v>0</v>
      </c>
      <c r="H57" s="190">
        <f t="shared" si="12"/>
        <v>0</v>
      </c>
      <c r="I57" s="191">
        <f t="shared" si="13"/>
        <v>0</v>
      </c>
      <c r="J57" s="190">
        <f>SUMIF($N$4:$BW$4,$J$4,N57:$BW57)</f>
        <v>0</v>
      </c>
      <c r="K57" s="191">
        <f t="shared" si="14"/>
        <v>0</v>
      </c>
      <c r="L57" s="190">
        <f t="shared" si="15"/>
        <v>0</v>
      </c>
      <c r="M57" s="191">
        <f t="shared" si="16"/>
        <v>0</v>
      </c>
      <c r="N57" s="293"/>
      <c r="O57" s="293"/>
      <c r="P57" s="293"/>
      <c r="Q57" s="293"/>
      <c r="R57" s="293"/>
      <c r="S57" s="293"/>
      <c r="T57" s="293"/>
      <c r="U57" s="293"/>
      <c r="V57" s="293"/>
      <c r="W57" s="293"/>
      <c r="X57" s="293"/>
      <c r="Y57" s="293"/>
      <c r="Z57" s="293"/>
      <c r="AA57" s="293"/>
      <c r="AB57" s="293"/>
      <c r="AC57" s="293"/>
      <c r="AD57" s="293"/>
      <c r="AE57" s="293"/>
      <c r="AF57" s="293"/>
      <c r="AG57" s="293"/>
      <c r="AH57" s="293"/>
      <c r="AI57" s="293"/>
      <c r="AJ57" s="293"/>
      <c r="AK57" s="293"/>
      <c r="AL57" s="293"/>
      <c r="AM57" s="293"/>
      <c r="AN57" s="293"/>
      <c r="AO57" s="293"/>
      <c r="AP57" s="293"/>
      <c r="AQ57" s="293"/>
      <c r="AR57" s="293"/>
      <c r="AS57" s="293"/>
      <c r="AT57" s="293"/>
      <c r="AU57" s="293"/>
      <c r="AV57" s="293"/>
      <c r="AW57" s="293"/>
      <c r="AX57" s="293"/>
      <c r="AY57" s="293"/>
      <c r="AZ57" s="293"/>
      <c r="BA57" s="293"/>
      <c r="BB57" s="293"/>
      <c r="BC57" s="293"/>
      <c r="BD57" s="293"/>
      <c r="BE57" s="293"/>
      <c r="BF57" s="293"/>
      <c r="BG57" s="293"/>
      <c r="BH57" s="293"/>
      <c r="BI57" s="293"/>
      <c r="BJ57" s="293"/>
      <c r="BK57" s="293"/>
      <c r="BL57" s="293"/>
      <c r="BM57" s="293"/>
      <c r="BN57" s="293"/>
      <c r="BO57" s="293"/>
      <c r="BP57" s="293"/>
      <c r="BQ57" s="293"/>
      <c r="BR57" s="293"/>
      <c r="BS57" s="293"/>
      <c r="BT57" s="293"/>
      <c r="BU57" s="293"/>
      <c r="BV57" s="293"/>
      <c r="BW57" s="293"/>
    </row>
    <row r="58" s="360" customFormat="1" customHeight="1" spans="1:75">
      <c r="A58" s="293">
        <v>54</v>
      </c>
      <c r="B58" s="293"/>
      <c r="C58" s="293"/>
      <c r="D58" s="293"/>
      <c r="E58" s="293"/>
      <c r="F58" s="408"/>
      <c r="G58" s="526">
        <f t="shared" si="17"/>
        <v>0</v>
      </c>
      <c r="H58" s="190">
        <f t="shared" si="12"/>
        <v>0</v>
      </c>
      <c r="I58" s="191">
        <f t="shared" si="13"/>
        <v>0</v>
      </c>
      <c r="J58" s="190">
        <f>SUMIF($N$4:$BW$4,$J$4,N58:$BW58)</f>
        <v>0</v>
      </c>
      <c r="K58" s="191">
        <f t="shared" si="14"/>
        <v>0</v>
      </c>
      <c r="L58" s="190">
        <f t="shared" si="15"/>
        <v>0</v>
      </c>
      <c r="M58" s="191">
        <f t="shared" si="16"/>
        <v>0</v>
      </c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93"/>
      <c r="AB58" s="293"/>
      <c r="AC58" s="293"/>
      <c r="AD58" s="293"/>
      <c r="AE58" s="293"/>
      <c r="AF58" s="293"/>
      <c r="AG58" s="293"/>
      <c r="AH58" s="293"/>
      <c r="AI58" s="293"/>
      <c r="AJ58" s="293"/>
      <c r="AK58" s="293"/>
      <c r="AL58" s="293"/>
      <c r="AM58" s="293"/>
      <c r="AN58" s="293"/>
      <c r="AO58" s="293"/>
      <c r="AP58" s="293"/>
      <c r="AQ58" s="293"/>
      <c r="AR58" s="293"/>
      <c r="AS58" s="293"/>
      <c r="AT58" s="293"/>
      <c r="AU58" s="293"/>
      <c r="AV58" s="293"/>
      <c r="AW58" s="293"/>
      <c r="AX58" s="293"/>
      <c r="AY58" s="293"/>
      <c r="AZ58" s="293"/>
      <c r="BA58" s="293"/>
      <c r="BB58" s="293"/>
      <c r="BC58" s="293"/>
      <c r="BD58" s="293"/>
      <c r="BE58" s="293"/>
      <c r="BF58" s="293"/>
      <c r="BG58" s="293"/>
      <c r="BH58" s="293"/>
      <c r="BI58" s="293"/>
      <c r="BJ58" s="293"/>
      <c r="BK58" s="293"/>
      <c r="BL58" s="293"/>
      <c r="BM58" s="293"/>
      <c r="BN58" s="293"/>
      <c r="BO58" s="293"/>
      <c r="BP58" s="293"/>
      <c r="BQ58" s="293"/>
      <c r="BR58" s="293"/>
      <c r="BS58" s="293"/>
      <c r="BT58" s="293"/>
      <c r="BU58" s="293"/>
      <c r="BV58" s="293"/>
      <c r="BW58" s="293"/>
    </row>
    <row r="59" s="360" customFormat="1" customHeight="1" spans="1:75">
      <c r="A59" s="293">
        <v>55</v>
      </c>
      <c r="B59" s="293"/>
      <c r="C59" s="293"/>
      <c r="D59" s="293"/>
      <c r="E59" s="293"/>
      <c r="F59" s="408"/>
      <c r="G59" s="526">
        <f t="shared" si="17"/>
        <v>0</v>
      </c>
      <c r="H59" s="190">
        <f t="shared" si="12"/>
        <v>0</v>
      </c>
      <c r="I59" s="191">
        <f t="shared" si="13"/>
        <v>0</v>
      </c>
      <c r="J59" s="190">
        <f>SUMIF($N$4:$BW$4,$J$4,N59:$BW59)</f>
        <v>0</v>
      </c>
      <c r="K59" s="191">
        <f t="shared" si="14"/>
        <v>0</v>
      </c>
      <c r="L59" s="190">
        <f t="shared" si="15"/>
        <v>0</v>
      </c>
      <c r="M59" s="191">
        <f t="shared" si="16"/>
        <v>0</v>
      </c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93"/>
      <c r="AB59" s="293"/>
      <c r="AC59" s="293"/>
      <c r="AD59" s="293"/>
      <c r="AE59" s="293"/>
      <c r="AF59" s="293"/>
      <c r="AG59" s="293"/>
      <c r="AH59" s="293"/>
      <c r="AI59" s="293"/>
      <c r="AJ59" s="293"/>
      <c r="AK59" s="293"/>
      <c r="AL59" s="293"/>
      <c r="AM59" s="293"/>
      <c r="AN59" s="293"/>
      <c r="AO59" s="293"/>
      <c r="AP59" s="293"/>
      <c r="AQ59" s="293"/>
      <c r="AR59" s="293"/>
      <c r="AS59" s="293"/>
      <c r="AT59" s="293"/>
      <c r="AU59" s="293"/>
      <c r="AV59" s="293"/>
      <c r="AW59" s="293"/>
      <c r="AX59" s="293"/>
      <c r="AY59" s="293"/>
      <c r="AZ59" s="293"/>
      <c r="BA59" s="293"/>
      <c r="BB59" s="293"/>
      <c r="BC59" s="293"/>
      <c r="BD59" s="293"/>
      <c r="BE59" s="293"/>
      <c r="BF59" s="293"/>
      <c r="BG59" s="293"/>
      <c r="BH59" s="293"/>
      <c r="BI59" s="293"/>
      <c r="BJ59" s="293"/>
      <c r="BK59" s="293"/>
      <c r="BL59" s="293"/>
      <c r="BM59" s="293"/>
      <c r="BN59" s="293"/>
      <c r="BO59" s="293"/>
      <c r="BP59" s="293"/>
      <c r="BQ59" s="293"/>
      <c r="BR59" s="293"/>
      <c r="BS59" s="293"/>
      <c r="BT59" s="293"/>
      <c r="BU59" s="293"/>
      <c r="BV59" s="293"/>
      <c r="BW59" s="293"/>
    </row>
    <row r="60" s="360" customFormat="1" customHeight="1" spans="1:75">
      <c r="A60" s="293">
        <v>56</v>
      </c>
      <c r="B60" s="293"/>
      <c r="C60" s="293"/>
      <c r="D60" s="293"/>
      <c r="E60" s="293"/>
      <c r="F60" s="408"/>
      <c r="G60" s="526">
        <f t="shared" si="17"/>
        <v>0</v>
      </c>
      <c r="H60" s="190">
        <f t="shared" si="12"/>
        <v>0</v>
      </c>
      <c r="I60" s="191">
        <f t="shared" si="13"/>
        <v>0</v>
      </c>
      <c r="J60" s="190">
        <f>SUMIF($N$4:$BW$4,$J$4,N60:$BW60)</f>
        <v>0</v>
      </c>
      <c r="K60" s="191">
        <f t="shared" si="14"/>
        <v>0</v>
      </c>
      <c r="L60" s="190">
        <f t="shared" si="15"/>
        <v>0</v>
      </c>
      <c r="M60" s="191">
        <f t="shared" si="16"/>
        <v>0</v>
      </c>
      <c r="N60" s="293"/>
      <c r="O60" s="293"/>
      <c r="P60" s="293"/>
      <c r="Q60" s="293"/>
      <c r="R60" s="293"/>
      <c r="S60" s="293"/>
      <c r="T60" s="293"/>
      <c r="U60" s="293"/>
      <c r="V60" s="293"/>
      <c r="W60" s="293"/>
      <c r="X60" s="293"/>
      <c r="Y60" s="293"/>
      <c r="Z60" s="293"/>
      <c r="AA60" s="293"/>
      <c r="AB60" s="293"/>
      <c r="AC60" s="293"/>
      <c r="AD60" s="293"/>
      <c r="AE60" s="293"/>
      <c r="AF60" s="293"/>
      <c r="AG60" s="293"/>
      <c r="AH60" s="293"/>
      <c r="AI60" s="293"/>
      <c r="AJ60" s="293"/>
      <c r="AK60" s="293"/>
      <c r="AL60" s="293"/>
      <c r="AM60" s="293"/>
      <c r="AN60" s="293"/>
      <c r="AO60" s="293"/>
      <c r="AP60" s="293"/>
      <c r="AQ60" s="293"/>
      <c r="AR60" s="293"/>
      <c r="AS60" s="293"/>
      <c r="AT60" s="293"/>
      <c r="AU60" s="293"/>
      <c r="AV60" s="293"/>
      <c r="AW60" s="293"/>
      <c r="AX60" s="293"/>
      <c r="AY60" s="293"/>
      <c r="AZ60" s="293"/>
      <c r="BA60" s="293"/>
      <c r="BB60" s="293"/>
      <c r="BC60" s="293"/>
      <c r="BD60" s="293"/>
      <c r="BE60" s="293"/>
      <c r="BF60" s="293"/>
      <c r="BG60" s="293"/>
      <c r="BH60" s="293"/>
      <c r="BI60" s="293"/>
      <c r="BJ60" s="293"/>
      <c r="BK60" s="293"/>
      <c r="BL60" s="293"/>
      <c r="BM60" s="293"/>
      <c r="BN60" s="293"/>
      <c r="BO60" s="293"/>
      <c r="BP60" s="293"/>
      <c r="BQ60" s="293"/>
      <c r="BR60" s="293"/>
      <c r="BS60" s="293"/>
      <c r="BT60" s="293"/>
      <c r="BU60" s="293"/>
      <c r="BV60" s="293"/>
      <c r="BW60" s="293"/>
    </row>
    <row r="61" s="360" customFormat="1" customHeight="1" spans="1:75">
      <c r="A61" s="293">
        <v>57</v>
      </c>
      <c r="B61" s="293"/>
      <c r="C61" s="293"/>
      <c r="D61" s="293"/>
      <c r="E61" s="293"/>
      <c r="F61" s="408"/>
      <c r="G61" s="526">
        <f t="shared" si="17"/>
        <v>0</v>
      </c>
      <c r="H61" s="190">
        <f t="shared" si="12"/>
        <v>0</v>
      </c>
      <c r="I61" s="191">
        <f t="shared" si="13"/>
        <v>0</v>
      </c>
      <c r="J61" s="190">
        <f>SUMIF($N$4:$BW$4,$J$4,N61:$BW61)</f>
        <v>0</v>
      </c>
      <c r="K61" s="191">
        <f t="shared" si="14"/>
        <v>0</v>
      </c>
      <c r="L61" s="190">
        <f t="shared" si="15"/>
        <v>0</v>
      </c>
      <c r="M61" s="191">
        <f t="shared" si="16"/>
        <v>0</v>
      </c>
      <c r="N61" s="293"/>
      <c r="O61" s="293"/>
      <c r="P61" s="293"/>
      <c r="Q61" s="293"/>
      <c r="R61" s="293"/>
      <c r="S61" s="293"/>
      <c r="T61" s="293"/>
      <c r="U61" s="293"/>
      <c r="V61" s="293"/>
      <c r="W61" s="293"/>
      <c r="X61" s="293"/>
      <c r="Y61" s="293"/>
      <c r="Z61" s="293"/>
      <c r="AA61" s="293"/>
      <c r="AB61" s="293"/>
      <c r="AC61" s="293"/>
      <c r="AD61" s="293"/>
      <c r="AE61" s="293"/>
      <c r="AF61" s="293"/>
      <c r="AG61" s="293"/>
      <c r="AH61" s="293"/>
      <c r="AI61" s="293"/>
      <c r="AJ61" s="293"/>
      <c r="AK61" s="293"/>
      <c r="AL61" s="293"/>
      <c r="AM61" s="293"/>
      <c r="AN61" s="293"/>
      <c r="AO61" s="293"/>
      <c r="AP61" s="293"/>
      <c r="AQ61" s="293"/>
      <c r="AR61" s="293"/>
      <c r="AS61" s="293"/>
      <c r="AT61" s="293"/>
      <c r="AU61" s="293"/>
      <c r="AV61" s="293"/>
      <c r="AW61" s="293"/>
      <c r="AX61" s="293"/>
      <c r="AY61" s="293"/>
      <c r="AZ61" s="293"/>
      <c r="BA61" s="293"/>
      <c r="BB61" s="293"/>
      <c r="BC61" s="293"/>
      <c r="BD61" s="293"/>
      <c r="BE61" s="293"/>
      <c r="BF61" s="293"/>
      <c r="BG61" s="293"/>
      <c r="BH61" s="293"/>
      <c r="BI61" s="293"/>
      <c r="BJ61" s="293"/>
      <c r="BK61" s="293"/>
      <c r="BL61" s="293"/>
      <c r="BM61" s="293"/>
      <c r="BN61" s="293"/>
      <c r="BO61" s="293"/>
      <c r="BP61" s="293"/>
      <c r="BQ61" s="293"/>
      <c r="BR61" s="293"/>
      <c r="BS61" s="293"/>
      <c r="BT61" s="293"/>
      <c r="BU61" s="293"/>
      <c r="BV61" s="293"/>
      <c r="BW61" s="293"/>
    </row>
    <row r="62" s="360" customFormat="1" customHeight="1" spans="1:75">
      <c r="A62" s="293">
        <v>58</v>
      </c>
      <c r="B62" s="293"/>
      <c r="C62" s="293"/>
      <c r="D62" s="293"/>
      <c r="E62" s="293"/>
      <c r="F62" s="408"/>
      <c r="G62" s="526">
        <f t="shared" si="17"/>
        <v>0</v>
      </c>
      <c r="H62" s="190">
        <f t="shared" si="12"/>
        <v>0</v>
      </c>
      <c r="I62" s="191">
        <f t="shared" si="13"/>
        <v>0</v>
      </c>
      <c r="J62" s="190">
        <f>SUMIF($N$4:$BW$4,$J$4,N62:$BW62)</f>
        <v>0</v>
      </c>
      <c r="K62" s="191">
        <f t="shared" si="14"/>
        <v>0</v>
      </c>
      <c r="L62" s="190">
        <f t="shared" si="15"/>
        <v>0</v>
      </c>
      <c r="M62" s="191">
        <f t="shared" si="16"/>
        <v>0</v>
      </c>
      <c r="N62" s="293"/>
      <c r="O62" s="293"/>
      <c r="P62" s="293"/>
      <c r="Q62" s="293"/>
      <c r="R62" s="293"/>
      <c r="S62" s="293"/>
      <c r="T62" s="293"/>
      <c r="U62" s="293"/>
      <c r="V62" s="293"/>
      <c r="W62" s="293"/>
      <c r="X62" s="293"/>
      <c r="Y62" s="293"/>
      <c r="Z62" s="293"/>
      <c r="AA62" s="293"/>
      <c r="AB62" s="293"/>
      <c r="AC62" s="293"/>
      <c r="AD62" s="293"/>
      <c r="AE62" s="293"/>
      <c r="AF62" s="293"/>
      <c r="AG62" s="293"/>
      <c r="AH62" s="293"/>
      <c r="AI62" s="293"/>
      <c r="AJ62" s="293"/>
      <c r="AK62" s="293"/>
      <c r="AL62" s="293"/>
      <c r="AM62" s="293"/>
      <c r="AN62" s="293"/>
      <c r="AO62" s="293"/>
      <c r="AP62" s="293"/>
      <c r="AQ62" s="293"/>
      <c r="AR62" s="293"/>
      <c r="AS62" s="293"/>
      <c r="AT62" s="293"/>
      <c r="AU62" s="293"/>
      <c r="AV62" s="293"/>
      <c r="AW62" s="293"/>
      <c r="AX62" s="293"/>
      <c r="AY62" s="293"/>
      <c r="AZ62" s="293"/>
      <c r="BA62" s="293"/>
      <c r="BB62" s="293"/>
      <c r="BC62" s="293"/>
      <c r="BD62" s="293"/>
      <c r="BE62" s="293"/>
      <c r="BF62" s="293"/>
      <c r="BG62" s="293"/>
      <c r="BH62" s="293"/>
      <c r="BI62" s="293"/>
      <c r="BJ62" s="293"/>
      <c r="BK62" s="293"/>
      <c r="BL62" s="293"/>
      <c r="BM62" s="293"/>
      <c r="BN62" s="293"/>
      <c r="BO62" s="293"/>
      <c r="BP62" s="293"/>
      <c r="BQ62" s="293"/>
      <c r="BR62" s="293"/>
      <c r="BS62" s="293"/>
      <c r="BT62" s="293"/>
      <c r="BU62" s="293"/>
      <c r="BV62" s="293"/>
      <c r="BW62" s="293"/>
    </row>
    <row r="63" s="360" customFormat="1" customHeight="1" spans="1:75">
      <c r="A63" s="293">
        <v>59</v>
      </c>
      <c r="B63" s="293"/>
      <c r="C63" s="293"/>
      <c r="D63" s="293"/>
      <c r="E63" s="293"/>
      <c r="F63" s="408"/>
      <c r="G63" s="526">
        <f t="shared" si="17"/>
        <v>0</v>
      </c>
      <c r="H63" s="190">
        <f t="shared" si="12"/>
        <v>0</v>
      </c>
      <c r="I63" s="191">
        <f t="shared" si="13"/>
        <v>0</v>
      </c>
      <c r="J63" s="190">
        <f>SUMIF($N$4:$BW$4,$J$4,N63:$BW63)</f>
        <v>0</v>
      </c>
      <c r="K63" s="191">
        <f t="shared" si="14"/>
        <v>0</v>
      </c>
      <c r="L63" s="190">
        <f t="shared" si="15"/>
        <v>0</v>
      </c>
      <c r="M63" s="191">
        <f t="shared" si="16"/>
        <v>0</v>
      </c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3"/>
      <c r="AL63" s="293"/>
      <c r="AM63" s="293"/>
      <c r="AN63" s="293"/>
      <c r="AO63" s="293"/>
      <c r="AP63" s="293"/>
      <c r="AQ63" s="293"/>
      <c r="AR63" s="293"/>
      <c r="AS63" s="293"/>
      <c r="AT63" s="293"/>
      <c r="AU63" s="293"/>
      <c r="AV63" s="293"/>
      <c r="AW63" s="293"/>
      <c r="AX63" s="293"/>
      <c r="AY63" s="293"/>
      <c r="AZ63" s="293"/>
      <c r="BA63" s="293"/>
      <c r="BB63" s="293"/>
      <c r="BC63" s="293"/>
      <c r="BD63" s="293"/>
      <c r="BE63" s="293"/>
      <c r="BF63" s="293"/>
      <c r="BG63" s="293"/>
      <c r="BH63" s="293"/>
      <c r="BI63" s="293"/>
      <c r="BJ63" s="293"/>
      <c r="BK63" s="293"/>
      <c r="BL63" s="293"/>
      <c r="BM63" s="293"/>
      <c r="BN63" s="293"/>
      <c r="BO63" s="293"/>
      <c r="BP63" s="293"/>
      <c r="BQ63" s="293"/>
      <c r="BR63" s="293"/>
      <c r="BS63" s="293"/>
      <c r="BT63" s="293"/>
      <c r="BU63" s="293"/>
      <c r="BV63" s="293"/>
      <c r="BW63" s="293"/>
    </row>
    <row r="64" s="360" customFormat="1" customHeight="1" spans="1:75">
      <c r="A64" s="293">
        <v>60</v>
      </c>
      <c r="B64" s="293"/>
      <c r="C64" s="293"/>
      <c r="D64" s="293"/>
      <c r="E64" s="293"/>
      <c r="F64" s="408"/>
      <c r="G64" s="526">
        <f t="shared" si="17"/>
        <v>0</v>
      </c>
      <c r="H64" s="190">
        <f t="shared" si="12"/>
        <v>0</v>
      </c>
      <c r="I64" s="191">
        <f t="shared" si="13"/>
        <v>0</v>
      </c>
      <c r="J64" s="190">
        <f>SUMIF($N$4:$BW$4,$J$4,N64:$BW64)</f>
        <v>0</v>
      </c>
      <c r="K64" s="191">
        <f t="shared" si="14"/>
        <v>0</v>
      </c>
      <c r="L64" s="190">
        <f t="shared" si="15"/>
        <v>0</v>
      </c>
      <c r="M64" s="191">
        <f t="shared" si="16"/>
        <v>0</v>
      </c>
      <c r="N64" s="293"/>
      <c r="O64" s="293"/>
      <c r="P64" s="293"/>
      <c r="Q64" s="293"/>
      <c r="R64" s="293"/>
      <c r="S64" s="293"/>
      <c r="T64" s="293"/>
      <c r="U64" s="293"/>
      <c r="V64" s="293"/>
      <c r="W64" s="293"/>
      <c r="X64" s="293"/>
      <c r="Y64" s="293"/>
      <c r="Z64" s="293"/>
      <c r="AA64" s="293"/>
      <c r="AB64" s="293"/>
      <c r="AC64" s="293"/>
      <c r="AD64" s="293"/>
      <c r="AE64" s="293"/>
      <c r="AF64" s="293"/>
      <c r="AG64" s="293"/>
      <c r="AH64" s="293"/>
      <c r="AI64" s="293"/>
      <c r="AJ64" s="293"/>
      <c r="AK64" s="293"/>
      <c r="AL64" s="293"/>
      <c r="AM64" s="293"/>
      <c r="AN64" s="293"/>
      <c r="AO64" s="293"/>
      <c r="AP64" s="293"/>
      <c r="AQ64" s="293"/>
      <c r="AR64" s="293"/>
      <c r="AS64" s="293"/>
      <c r="AT64" s="293"/>
      <c r="AU64" s="293"/>
      <c r="AV64" s="293"/>
      <c r="AW64" s="293"/>
      <c r="AX64" s="293"/>
      <c r="AY64" s="293"/>
      <c r="AZ64" s="293"/>
      <c r="BA64" s="293"/>
      <c r="BB64" s="293"/>
      <c r="BC64" s="293"/>
      <c r="BD64" s="293"/>
      <c r="BE64" s="293"/>
      <c r="BF64" s="293"/>
      <c r="BG64" s="293"/>
      <c r="BH64" s="293"/>
      <c r="BI64" s="293"/>
      <c r="BJ64" s="293"/>
      <c r="BK64" s="293"/>
      <c r="BL64" s="293"/>
      <c r="BM64" s="293"/>
      <c r="BN64" s="293"/>
      <c r="BO64" s="293"/>
      <c r="BP64" s="293"/>
      <c r="BQ64" s="293"/>
      <c r="BR64" s="293"/>
      <c r="BS64" s="293"/>
      <c r="BT64" s="293"/>
      <c r="BU64" s="293"/>
      <c r="BV64" s="293"/>
      <c r="BW64" s="293"/>
    </row>
    <row r="65" s="360" customFormat="1" customHeight="1" spans="1:75">
      <c r="A65" s="293">
        <v>61</v>
      </c>
      <c r="B65" s="293"/>
      <c r="C65" s="293"/>
      <c r="D65" s="293"/>
      <c r="E65" s="293"/>
      <c r="F65" s="408"/>
      <c r="G65" s="526">
        <f t="shared" si="17"/>
        <v>0</v>
      </c>
      <c r="H65" s="190">
        <f t="shared" si="12"/>
        <v>0</v>
      </c>
      <c r="I65" s="191">
        <f t="shared" si="13"/>
        <v>0</v>
      </c>
      <c r="J65" s="190">
        <f>SUMIF($N$4:$BW$4,$J$4,N65:$BW65)</f>
        <v>0</v>
      </c>
      <c r="K65" s="191">
        <f t="shared" si="14"/>
        <v>0</v>
      </c>
      <c r="L65" s="190">
        <f t="shared" si="15"/>
        <v>0</v>
      </c>
      <c r="M65" s="191">
        <f t="shared" si="16"/>
        <v>0</v>
      </c>
      <c r="N65" s="293"/>
      <c r="O65" s="293"/>
      <c r="P65" s="293"/>
      <c r="Q65" s="293"/>
      <c r="R65" s="293"/>
      <c r="S65" s="293"/>
      <c r="T65" s="293"/>
      <c r="U65" s="293"/>
      <c r="V65" s="293"/>
      <c r="W65" s="293"/>
      <c r="X65" s="293"/>
      <c r="Y65" s="293"/>
      <c r="Z65" s="293"/>
      <c r="AA65" s="293"/>
      <c r="AB65" s="293"/>
      <c r="AC65" s="293"/>
      <c r="AD65" s="293"/>
      <c r="AE65" s="293"/>
      <c r="AF65" s="293"/>
      <c r="AG65" s="293"/>
      <c r="AH65" s="293"/>
      <c r="AI65" s="293"/>
      <c r="AJ65" s="293"/>
      <c r="AK65" s="293"/>
      <c r="AL65" s="293"/>
      <c r="AM65" s="293"/>
      <c r="AN65" s="293"/>
      <c r="AO65" s="293"/>
      <c r="AP65" s="293"/>
      <c r="AQ65" s="293"/>
      <c r="AR65" s="293"/>
      <c r="AS65" s="293"/>
      <c r="AT65" s="293"/>
      <c r="AU65" s="293"/>
      <c r="AV65" s="293"/>
      <c r="AW65" s="293"/>
      <c r="AX65" s="293"/>
      <c r="AY65" s="293"/>
      <c r="AZ65" s="293"/>
      <c r="BA65" s="293"/>
      <c r="BB65" s="293"/>
      <c r="BC65" s="293"/>
      <c r="BD65" s="293"/>
      <c r="BE65" s="293"/>
      <c r="BF65" s="293"/>
      <c r="BG65" s="293"/>
      <c r="BH65" s="293"/>
      <c r="BI65" s="293"/>
      <c r="BJ65" s="293"/>
      <c r="BK65" s="293"/>
      <c r="BL65" s="293"/>
      <c r="BM65" s="293"/>
      <c r="BN65" s="293"/>
      <c r="BO65" s="293"/>
      <c r="BP65" s="293"/>
      <c r="BQ65" s="293"/>
      <c r="BR65" s="293"/>
      <c r="BS65" s="293"/>
      <c r="BT65" s="293"/>
      <c r="BU65" s="293"/>
      <c r="BV65" s="293"/>
      <c r="BW65" s="293"/>
    </row>
    <row r="66" s="360" customFormat="1" customHeight="1" spans="1:75">
      <c r="A66" s="293">
        <v>62</v>
      </c>
      <c r="B66" s="293"/>
      <c r="C66" s="293"/>
      <c r="D66" s="293"/>
      <c r="E66" s="293"/>
      <c r="F66" s="408"/>
      <c r="G66" s="526">
        <f t="shared" si="17"/>
        <v>0</v>
      </c>
      <c r="H66" s="190">
        <f t="shared" si="12"/>
        <v>0</v>
      </c>
      <c r="I66" s="191">
        <f t="shared" si="13"/>
        <v>0</v>
      </c>
      <c r="J66" s="190">
        <f>SUMIF($N$4:$BW$4,$J$4,N66:$BW66)</f>
        <v>0</v>
      </c>
      <c r="K66" s="191">
        <f t="shared" si="14"/>
        <v>0</v>
      </c>
      <c r="L66" s="190">
        <f t="shared" si="15"/>
        <v>0</v>
      </c>
      <c r="M66" s="191">
        <f t="shared" si="16"/>
        <v>0</v>
      </c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  <c r="AE66" s="293"/>
      <c r="AF66" s="293"/>
      <c r="AG66" s="293"/>
      <c r="AH66" s="293"/>
      <c r="AI66" s="293"/>
      <c r="AJ66" s="293"/>
      <c r="AK66" s="293"/>
      <c r="AL66" s="293"/>
      <c r="AM66" s="293"/>
      <c r="AN66" s="293"/>
      <c r="AO66" s="293"/>
      <c r="AP66" s="293"/>
      <c r="AQ66" s="293"/>
      <c r="AR66" s="293"/>
      <c r="AS66" s="293"/>
      <c r="AT66" s="293"/>
      <c r="AU66" s="293"/>
      <c r="AV66" s="293"/>
      <c r="AW66" s="293"/>
      <c r="AX66" s="293"/>
      <c r="AY66" s="293"/>
      <c r="AZ66" s="293"/>
      <c r="BA66" s="293"/>
      <c r="BB66" s="293"/>
      <c r="BC66" s="293"/>
      <c r="BD66" s="293"/>
      <c r="BE66" s="293"/>
      <c r="BF66" s="293"/>
      <c r="BG66" s="293"/>
      <c r="BH66" s="293"/>
      <c r="BI66" s="293"/>
      <c r="BJ66" s="293"/>
      <c r="BK66" s="293"/>
      <c r="BL66" s="293"/>
      <c r="BM66" s="293"/>
      <c r="BN66" s="293"/>
      <c r="BO66" s="293"/>
      <c r="BP66" s="293"/>
      <c r="BQ66" s="293"/>
      <c r="BR66" s="293"/>
      <c r="BS66" s="293"/>
      <c r="BT66" s="293"/>
      <c r="BU66" s="293"/>
      <c r="BV66" s="293"/>
      <c r="BW66" s="293"/>
    </row>
    <row r="67" s="360" customFormat="1" customHeight="1" spans="1:75">
      <c r="A67" s="293">
        <v>63</v>
      </c>
      <c r="B67" s="293"/>
      <c r="C67" s="293"/>
      <c r="D67" s="293"/>
      <c r="E67" s="293"/>
      <c r="F67" s="408"/>
      <c r="G67" s="526">
        <f t="shared" si="17"/>
        <v>0</v>
      </c>
      <c r="H67" s="190">
        <f t="shared" si="12"/>
        <v>0</v>
      </c>
      <c r="I67" s="191">
        <f t="shared" si="13"/>
        <v>0</v>
      </c>
      <c r="J67" s="190">
        <f>SUMIF($N$4:$BW$4,$J$4,N67:$BW67)</f>
        <v>0</v>
      </c>
      <c r="K67" s="191">
        <f t="shared" si="14"/>
        <v>0</v>
      </c>
      <c r="L67" s="190">
        <f t="shared" si="15"/>
        <v>0</v>
      </c>
      <c r="M67" s="191">
        <f t="shared" si="16"/>
        <v>0</v>
      </c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93"/>
      <c r="AB67" s="293"/>
      <c r="AC67" s="293"/>
      <c r="AD67" s="293"/>
      <c r="AE67" s="293"/>
      <c r="AF67" s="293"/>
      <c r="AG67" s="293"/>
      <c r="AH67" s="293"/>
      <c r="AI67" s="293"/>
      <c r="AJ67" s="293"/>
      <c r="AK67" s="293"/>
      <c r="AL67" s="293"/>
      <c r="AM67" s="293"/>
      <c r="AN67" s="293"/>
      <c r="AO67" s="293"/>
      <c r="AP67" s="293"/>
      <c r="AQ67" s="293"/>
      <c r="AR67" s="293"/>
      <c r="AS67" s="293"/>
      <c r="AT67" s="293"/>
      <c r="AU67" s="293"/>
      <c r="AV67" s="293"/>
      <c r="AW67" s="293"/>
      <c r="AX67" s="293"/>
      <c r="AY67" s="293"/>
      <c r="AZ67" s="293"/>
      <c r="BA67" s="293"/>
      <c r="BB67" s="293"/>
      <c r="BC67" s="293"/>
      <c r="BD67" s="293"/>
      <c r="BE67" s="293"/>
      <c r="BF67" s="293"/>
      <c r="BG67" s="293"/>
      <c r="BH67" s="293"/>
      <c r="BI67" s="293"/>
      <c r="BJ67" s="293"/>
      <c r="BK67" s="293"/>
      <c r="BL67" s="293"/>
      <c r="BM67" s="293"/>
      <c r="BN67" s="293"/>
      <c r="BO67" s="293"/>
      <c r="BP67" s="293"/>
      <c r="BQ67" s="293"/>
      <c r="BR67" s="293"/>
      <c r="BS67" s="293"/>
      <c r="BT67" s="293"/>
      <c r="BU67" s="293"/>
      <c r="BV67" s="293"/>
      <c r="BW67" s="293"/>
    </row>
    <row r="68" s="360" customFormat="1" customHeight="1" spans="1:75">
      <c r="A68" s="293">
        <v>64</v>
      </c>
      <c r="B68" s="293"/>
      <c r="C68" s="293"/>
      <c r="D68" s="293"/>
      <c r="E68" s="293"/>
      <c r="F68" s="408"/>
      <c r="G68" s="526">
        <f t="shared" si="17"/>
        <v>0</v>
      </c>
      <c r="H68" s="190">
        <f t="shared" si="12"/>
        <v>0</v>
      </c>
      <c r="I68" s="191">
        <f t="shared" si="13"/>
        <v>0</v>
      </c>
      <c r="J68" s="190">
        <f>SUMIF($N$4:$BW$4,$J$4,N68:$BW68)</f>
        <v>0</v>
      </c>
      <c r="K68" s="191">
        <f t="shared" si="14"/>
        <v>0</v>
      </c>
      <c r="L68" s="190">
        <f t="shared" si="15"/>
        <v>0</v>
      </c>
      <c r="M68" s="191">
        <f t="shared" si="16"/>
        <v>0</v>
      </c>
      <c r="N68" s="293"/>
      <c r="O68" s="293"/>
      <c r="P68" s="293"/>
      <c r="Q68" s="293"/>
      <c r="R68" s="293"/>
      <c r="S68" s="293"/>
      <c r="T68" s="293"/>
      <c r="U68" s="293"/>
      <c r="V68" s="293"/>
      <c r="W68" s="293"/>
      <c r="X68" s="293"/>
      <c r="Y68" s="293"/>
      <c r="Z68" s="293"/>
      <c r="AA68" s="293"/>
      <c r="AB68" s="293"/>
      <c r="AC68" s="293"/>
      <c r="AD68" s="293"/>
      <c r="AE68" s="293"/>
      <c r="AF68" s="293"/>
      <c r="AG68" s="293"/>
      <c r="AH68" s="293"/>
      <c r="AI68" s="293"/>
      <c r="AJ68" s="293"/>
      <c r="AK68" s="293"/>
      <c r="AL68" s="293"/>
      <c r="AM68" s="293"/>
      <c r="AN68" s="293"/>
      <c r="AO68" s="293"/>
      <c r="AP68" s="293"/>
      <c r="AQ68" s="293"/>
      <c r="AR68" s="293"/>
      <c r="AS68" s="293"/>
      <c r="AT68" s="293"/>
      <c r="AU68" s="293"/>
      <c r="AV68" s="293"/>
      <c r="AW68" s="293"/>
      <c r="AX68" s="293"/>
      <c r="AY68" s="293"/>
      <c r="AZ68" s="293"/>
      <c r="BA68" s="293"/>
      <c r="BB68" s="293"/>
      <c r="BC68" s="293"/>
      <c r="BD68" s="293"/>
      <c r="BE68" s="293"/>
      <c r="BF68" s="293"/>
      <c r="BG68" s="293"/>
      <c r="BH68" s="293"/>
      <c r="BI68" s="293"/>
      <c r="BJ68" s="293"/>
      <c r="BK68" s="293"/>
      <c r="BL68" s="293"/>
      <c r="BM68" s="293"/>
      <c r="BN68" s="293"/>
      <c r="BO68" s="293"/>
      <c r="BP68" s="293"/>
      <c r="BQ68" s="293"/>
      <c r="BR68" s="293"/>
      <c r="BS68" s="293"/>
      <c r="BT68" s="293"/>
      <c r="BU68" s="293"/>
      <c r="BV68" s="293"/>
      <c r="BW68" s="293"/>
    </row>
    <row r="69" s="360" customFormat="1" customHeight="1" spans="1:75">
      <c r="A69" s="293">
        <v>65</v>
      </c>
      <c r="B69" s="293"/>
      <c r="C69" s="293"/>
      <c r="D69" s="293"/>
      <c r="E69" s="293"/>
      <c r="F69" s="408"/>
      <c r="G69" s="526">
        <f t="shared" si="17"/>
        <v>0</v>
      </c>
      <c r="H69" s="190">
        <f t="shared" si="12"/>
        <v>0</v>
      </c>
      <c r="I69" s="191">
        <f t="shared" si="13"/>
        <v>0</v>
      </c>
      <c r="J69" s="190">
        <f>SUMIF($N$4:$BW$4,$J$4,N69:$BW69)</f>
        <v>0</v>
      </c>
      <c r="K69" s="191">
        <f t="shared" si="14"/>
        <v>0</v>
      </c>
      <c r="L69" s="190">
        <f t="shared" si="15"/>
        <v>0</v>
      </c>
      <c r="M69" s="191">
        <f t="shared" si="16"/>
        <v>0</v>
      </c>
      <c r="N69" s="293"/>
      <c r="O69" s="293"/>
      <c r="P69" s="293"/>
      <c r="Q69" s="293"/>
      <c r="R69" s="293"/>
      <c r="S69" s="293"/>
      <c r="T69" s="293"/>
      <c r="U69" s="293"/>
      <c r="V69" s="293"/>
      <c r="W69" s="293"/>
      <c r="X69" s="293"/>
      <c r="Y69" s="293"/>
      <c r="Z69" s="293"/>
      <c r="AA69" s="293"/>
      <c r="AB69" s="293"/>
      <c r="AC69" s="293"/>
      <c r="AD69" s="293"/>
      <c r="AE69" s="293"/>
      <c r="AF69" s="293"/>
      <c r="AG69" s="293"/>
      <c r="AH69" s="293"/>
      <c r="AI69" s="293"/>
      <c r="AJ69" s="293"/>
      <c r="AK69" s="293"/>
      <c r="AL69" s="293"/>
      <c r="AM69" s="293"/>
      <c r="AN69" s="293"/>
      <c r="AO69" s="293"/>
      <c r="AP69" s="293"/>
      <c r="AQ69" s="293"/>
      <c r="AR69" s="293"/>
      <c r="AS69" s="293"/>
      <c r="AT69" s="293"/>
      <c r="AU69" s="293"/>
      <c r="AV69" s="293"/>
      <c r="AW69" s="293"/>
      <c r="AX69" s="293"/>
      <c r="AY69" s="293"/>
      <c r="AZ69" s="293"/>
      <c r="BA69" s="293"/>
      <c r="BB69" s="293"/>
      <c r="BC69" s="293"/>
      <c r="BD69" s="293"/>
      <c r="BE69" s="293"/>
      <c r="BF69" s="293"/>
      <c r="BG69" s="293"/>
      <c r="BH69" s="293"/>
      <c r="BI69" s="293"/>
      <c r="BJ69" s="293"/>
      <c r="BK69" s="293"/>
      <c r="BL69" s="293"/>
      <c r="BM69" s="293"/>
      <c r="BN69" s="293"/>
      <c r="BO69" s="293"/>
      <c r="BP69" s="293"/>
      <c r="BQ69" s="293"/>
      <c r="BR69" s="293"/>
      <c r="BS69" s="293"/>
      <c r="BT69" s="293"/>
      <c r="BU69" s="293"/>
      <c r="BV69" s="293"/>
      <c r="BW69" s="293"/>
    </row>
    <row r="70" s="360" customFormat="1" customHeight="1" spans="1:75">
      <c r="A70" s="541"/>
      <c r="B70" s="541" t="s">
        <v>335</v>
      </c>
      <c r="C70" s="541"/>
      <c r="D70" s="541"/>
      <c r="E70" s="541"/>
      <c r="F70" s="542">
        <f>SUM(F5:F49)</f>
        <v>91230</v>
      </c>
      <c r="G70" s="372">
        <f>SUM(G5:G49)</f>
        <v>66857.786</v>
      </c>
      <c r="H70" s="541"/>
      <c r="I70" s="541"/>
      <c r="J70" s="541">
        <f>SUM(J5:J33)</f>
        <v>54658</v>
      </c>
      <c r="K70" s="541">
        <f>SUM(K5:K33)</f>
        <v>41603.928</v>
      </c>
      <c r="L70" s="542">
        <f>SUM(L5:L49)</f>
        <v>40172</v>
      </c>
      <c r="M70" s="372">
        <f>SUM(M5:M49)</f>
        <v>30653.858</v>
      </c>
      <c r="N70" s="372">
        <f>SUM(N5:N69)</f>
        <v>0</v>
      </c>
      <c r="O70" s="372">
        <f t="shared" ref="O70:AT70" si="18">SUM(O5:O69)</f>
        <v>1495</v>
      </c>
      <c r="P70" s="372">
        <f t="shared" si="18"/>
        <v>0</v>
      </c>
      <c r="Q70" s="372">
        <f t="shared" si="18"/>
        <v>1549</v>
      </c>
      <c r="R70" s="372">
        <f t="shared" si="18"/>
        <v>0</v>
      </c>
      <c r="S70" s="372">
        <f t="shared" si="18"/>
        <v>2492</v>
      </c>
      <c r="T70" s="372">
        <f t="shared" si="18"/>
        <v>0</v>
      </c>
      <c r="U70" s="372">
        <f t="shared" si="18"/>
        <v>1481</v>
      </c>
      <c r="V70" s="372">
        <f t="shared" si="18"/>
        <v>0</v>
      </c>
      <c r="W70" s="372">
        <f t="shared" si="18"/>
        <v>1598</v>
      </c>
      <c r="X70" s="372">
        <f t="shared" si="18"/>
        <v>0</v>
      </c>
      <c r="Y70" s="372">
        <f t="shared" si="18"/>
        <v>1585</v>
      </c>
      <c r="Z70" s="372">
        <f t="shared" si="18"/>
        <v>0</v>
      </c>
      <c r="AA70" s="372">
        <f t="shared" si="18"/>
        <v>1608</v>
      </c>
      <c r="AB70" s="372">
        <f t="shared" si="18"/>
        <v>0</v>
      </c>
      <c r="AC70" s="372">
        <f t="shared" si="18"/>
        <v>1636</v>
      </c>
      <c r="AD70" s="372">
        <f t="shared" si="18"/>
        <v>0</v>
      </c>
      <c r="AE70" s="372">
        <f t="shared" si="18"/>
        <v>1647</v>
      </c>
      <c r="AF70" s="372">
        <f t="shared" si="18"/>
        <v>0</v>
      </c>
      <c r="AG70" s="372">
        <f t="shared" si="18"/>
        <v>1703</v>
      </c>
      <c r="AH70" s="372">
        <f t="shared" si="18"/>
        <v>0</v>
      </c>
      <c r="AI70" s="372">
        <f t="shared" si="18"/>
        <v>1666</v>
      </c>
      <c r="AJ70" s="372">
        <f t="shared" si="18"/>
        <v>0</v>
      </c>
      <c r="AK70" s="372">
        <f t="shared" si="18"/>
        <v>1666</v>
      </c>
      <c r="AL70" s="372">
        <f t="shared" si="18"/>
        <v>1200</v>
      </c>
      <c r="AM70" s="372">
        <f t="shared" si="18"/>
        <v>1792</v>
      </c>
      <c r="AN70" s="372">
        <f t="shared" si="18"/>
        <v>0</v>
      </c>
      <c r="AO70" s="372">
        <f t="shared" si="18"/>
        <v>1650</v>
      </c>
      <c r="AP70" s="372">
        <f t="shared" si="18"/>
        <v>0</v>
      </c>
      <c r="AQ70" s="372">
        <f t="shared" si="18"/>
        <v>1711</v>
      </c>
      <c r="AR70" s="372">
        <f t="shared" si="18"/>
        <v>0</v>
      </c>
      <c r="AS70" s="372">
        <f t="shared" si="18"/>
        <v>1789</v>
      </c>
      <c r="AT70" s="372">
        <f t="shared" si="18"/>
        <v>0</v>
      </c>
      <c r="AU70" s="372">
        <f t="shared" ref="AU70:BW70" si="19">SUM(AU5:AU69)</f>
        <v>1665</v>
      </c>
      <c r="AV70" s="372">
        <f t="shared" si="19"/>
        <v>0</v>
      </c>
      <c r="AW70" s="372">
        <f t="shared" si="19"/>
        <v>1826</v>
      </c>
      <c r="AX70" s="372">
        <f t="shared" si="19"/>
        <v>0</v>
      </c>
      <c r="AY70" s="372">
        <f t="shared" si="19"/>
        <v>1769</v>
      </c>
      <c r="AZ70" s="372">
        <f t="shared" si="19"/>
        <v>2400</v>
      </c>
      <c r="BA70" s="372">
        <f t="shared" si="19"/>
        <v>1836</v>
      </c>
      <c r="BB70" s="372">
        <f t="shared" si="19"/>
        <v>0</v>
      </c>
      <c r="BC70" s="372">
        <f t="shared" si="19"/>
        <v>1828</v>
      </c>
      <c r="BD70" s="372">
        <f t="shared" si="19"/>
        <v>0</v>
      </c>
      <c r="BE70" s="372">
        <f t="shared" si="19"/>
        <v>1748</v>
      </c>
      <c r="BF70" s="372">
        <f t="shared" si="19"/>
        <v>0</v>
      </c>
      <c r="BG70" s="372">
        <f t="shared" si="19"/>
        <v>1814</v>
      </c>
      <c r="BH70" s="372">
        <f t="shared" si="19"/>
        <v>0</v>
      </c>
      <c r="BI70" s="372">
        <f t="shared" si="19"/>
        <v>1761</v>
      </c>
      <c r="BJ70" s="372">
        <f t="shared" si="19"/>
        <v>0</v>
      </c>
      <c r="BK70" s="372">
        <f t="shared" si="19"/>
        <v>1840</v>
      </c>
      <c r="BL70" s="372">
        <f t="shared" si="19"/>
        <v>0</v>
      </c>
      <c r="BM70" s="372">
        <f t="shared" si="19"/>
        <v>1727</v>
      </c>
      <c r="BN70" s="372">
        <f t="shared" si="19"/>
        <v>0</v>
      </c>
      <c r="BO70" s="372">
        <f t="shared" si="19"/>
        <v>1800</v>
      </c>
      <c r="BP70" s="372">
        <f t="shared" si="19"/>
        <v>0</v>
      </c>
      <c r="BQ70" s="372">
        <f t="shared" si="19"/>
        <v>1851</v>
      </c>
      <c r="BR70" s="372">
        <f t="shared" si="19"/>
        <v>0</v>
      </c>
      <c r="BS70" s="372">
        <f t="shared" si="19"/>
        <v>2009</v>
      </c>
      <c r="BT70" s="372">
        <f t="shared" si="19"/>
        <v>0</v>
      </c>
      <c r="BU70" s="372">
        <f t="shared" si="19"/>
        <v>2023</v>
      </c>
      <c r="BV70" s="372">
        <f t="shared" si="19"/>
        <v>0</v>
      </c>
      <c r="BW70" s="372">
        <f t="shared" si="19"/>
        <v>2093</v>
      </c>
    </row>
    <row r="71" ht="16.5" spans="1:75">
      <c r="G71" s="143"/>
      <c r="H71" s="143"/>
      <c r="I71" s="143"/>
      <c r="X71" s="3"/>
    </row>
  </sheetData>
  <sheetProtection formatCells="0" formatColumns="0" formatRows="0" insertRows="0" insertColumns="0" insertHyperlinks="0" deleteColumns="0" deleteRows="0" sort="0" autoFilter="0" pivotTables="0"/>
  <mergeCells count="12">
    <mergeCell ref="B1:G1"/>
    <mergeCell ref="A3:A4"/>
    <mergeCell ref="B3:B4"/>
    <mergeCell ref="C3:C4"/>
    <mergeCell ref="D3:D4"/>
    <mergeCell ref="E3:E4"/>
    <mergeCell ref="F3:F4"/>
    <mergeCell ref="G3:G4"/>
    <mergeCell ref="I3:I4"/>
    <mergeCell ref="K3:K4"/>
    <mergeCell ref="L3:L4"/>
    <mergeCell ref="M3:M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客房提成">
    <pageSetUpPr fitToPage="1"/>
  </sheetPr>
  <dimension ref="A1:Z783"/>
  <sheetViews>
    <sheetView showGridLines="0" workbookViewId="0">
      <pane xSplit="1" ySplit="3" topLeftCell="B651" activePane="bottomRight" state="frozen"/>
      <selection/>
      <selection pane="topRight"/>
      <selection pane="bottomLeft"/>
      <selection pane="bottomRight" activeCell="B651" sqref="B651"/>
    </sheetView>
  </sheetViews>
  <sheetFormatPr defaultColWidth="9" defaultRowHeight="21" customHeight="1"/>
  <cols>
    <col min="1" max="2" width="10.875" style="442"/>
    <col min="3" max="3" width="9.5" style="442"/>
    <col min="4" max="4" width="6" style="443"/>
    <col min="5" max="5" width="23" style="442" customWidth="1"/>
    <col min="6" max="6" width="6" style="442"/>
    <col min="7" max="7" width="8" style="442"/>
    <col min="8" max="12" width="6" style="442"/>
    <col min="13" max="13" width="9" style="442" customWidth="1"/>
    <col min="14" max="14" width="11" style="444"/>
    <col min="15" max="15" width="11.9166666666667" style="442" customWidth="1"/>
    <col min="16" max="16" width="9.625" style="444"/>
    <col min="17" max="17" width="9.625" style="442"/>
    <col min="18" max="18" width="17.5" style="443" customWidth="1"/>
    <col min="19" max="19" width="9.625" style="443"/>
    <col min="20" max="20" width="6.25833333333333" style="442"/>
    <col min="21" max="21" width="6.625" style="440"/>
    <col min="22" max="22" width="10" style="440"/>
    <col min="23" max="23" width="14.5" style="445"/>
    <col min="24" max="24" width="14.5" style="446"/>
    <col min="25" max="26" width="14.5" style="440"/>
  </cols>
  <sheetData>
    <row r="1" s="440" customFormat="1" ht="29.25" customHeight="1" spans="1:26">
      <c r="A1" s="447"/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8"/>
      <c r="O1" s="447"/>
      <c r="P1" s="448"/>
      <c r="Q1" s="447"/>
      <c r="R1" s="447"/>
      <c r="S1" s="447"/>
      <c r="T1" s="449"/>
      <c r="U1" s="441" t="s">
        <v>336</v>
      </c>
      <c r="W1" s="450"/>
      <c r="X1" s="446"/>
    </row>
    <row r="2" s="440" customFormat="1" ht="15.75" customHeight="1" spans="1:26">
      <c r="A2" s="451"/>
      <c r="B2" s="443"/>
      <c r="C2" s="443"/>
      <c r="D2" s="443"/>
      <c r="E2" s="443"/>
      <c r="F2" s="443" t="s">
        <v>337</v>
      </c>
      <c r="G2" s="449">
        <v>1</v>
      </c>
      <c r="H2" s="449">
        <v>1.2</v>
      </c>
      <c r="I2" s="449">
        <v>1.5</v>
      </c>
      <c r="J2" s="449">
        <v>2</v>
      </c>
      <c r="K2" s="449">
        <v>2</v>
      </c>
      <c r="L2" s="449">
        <v>2</v>
      </c>
      <c r="M2" s="449">
        <v>1</v>
      </c>
      <c r="N2" s="444"/>
      <c r="O2" s="442"/>
      <c r="P2" s="444"/>
      <c r="Q2" s="443"/>
      <c r="R2" s="443"/>
      <c r="S2" s="443"/>
      <c r="T2" s="443"/>
      <c r="U2" s="441" t="s">
        <v>338</v>
      </c>
      <c r="W2" s="450"/>
      <c r="X2" s="446"/>
    </row>
    <row r="3" s="440" customFormat="1" ht="15.75" customHeight="1" spans="1:26">
      <c r="A3" s="443" t="s">
        <v>339</v>
      </c>
      <c r="B3" s="443" t="s">
        <v>76</v>
      </c>
      <c r="C3" s="452" t="s">
        <v>78</v>
      </c>
      <c r="D3" s="452" t="s">
        <v>81</v>
      </c>
      <c r="E3" s="452" t="s">
        <v>340</v>
      </c>
      <c r="F3" s="452" t="s">
        <v>341</v>
      </c>
      <c r="G3" s="452" t="s">
        <v>342</v>
      </c>
      <c r="H3" s="452" t="s">
        <v>343</v>
      </c>
      <c r="I3" s="452" t="s">
        <v>344</v>
      </c>
      <c r="J3" s="452" t="s">
        <v>345</v>
      </c>
      <c r="K3" s="453" t="s">
        <v>346</v>
      </c>
      <c r="L3" s="452" t="s">
        <v>347</v>
      </c>
      <c r="M3" s="452" t="s">
        <v>348</v>
      </c>
      <c r="N3" s="454" t="s">
        <v>349</v>
      </c>
      <c r="O3" s="452" t="s">
        <v>350</v>
      </c>
      <c r="P3" s="455" t="s">
        <v>351</v>
      </c>
      <c r="Q3" s="456" t="s">
        <v>352</v>
      </c>
      <c r="R3" s="456" t="s">
        <v>353</v>
      </c>
      <c r="S3" s="456" t="s">
        <v>354</v>
      </c>
      <c r="T3" s="457" t="s">
        <v>355</v>
      </c>
      <c r="U3" s="441" t="s">
        <v>356</v>
      </c>
      <c r="W3" s="450"/>
      <c r="X3" s="446"/>
    </row>
    <row r="4" s="129" customFormat="1" ht="15.75" customHeight="1" spans="1:26">
      <c r="A4" s="458">
        <v>46204</v>
      </c>
      <c r="B4" s="459" t="s">
        <v>357</v>
      </c>
      <c r="C4" s="459" t="s">
        <v>358</v>
      </c>
      <c r="D4" s="460"/>
      <c r="E4" s="461">
        <v>5</v>
      </c>
      <c r="F4" s="462" t="s">
        <v>359</v>
      </c>
      <c r="G4" s="463"/>
      <c r="H4" s="463"/>
      <c r="I4" s="463"/>
      <c r="J4" s="463"/>
      <c r="K4" s="327"/>
      <c r="L4" s="463"/>
      <c r="M4" s="458"/>
      <c r="N4" s="464">
        <f t="shared" ref="N4:N64" si="0">SUMPRODUCT($G$2:$M$2,G4:M4)</f>
        <v>0</v>
      </c>
      <c r="O4" s="465">
        <v>0</v>
      </c>
      <c r="P4" s="466">
        <f t="shared" ref="P4:P64" si="1">IFERROR(IF((N4*E4-O4*E4)&lt;0,0,(N4*E4-O4*E4)),"")</f>
        <v>0</v>
      </c>
      <c r="Q4" s="467"/>
      <c r="R4" s="467">
        <f>IF(Q4="",0,Q4*5)</f>
        <v>0</v>
      </c>
      <c r="S4" s="467">
        <f t="shared" ref="S4:S64" si="2">IF(B4="","",P4+R4)</f>
        <v>0</v>
      </c>
      <c r="T4" s="468"/>
      <c r="U4" s="441"/>
      <c r="W4" s="450"/>
      <c r="X4" s="446"/>
    </row>
    <row r="5" s="440" customFormat="1" ht="15.75" customHeight="1" spans="1:26">
      <c r="A5" s="458">
        <v>46205</v>
      </c>
      <c r="B5" s="459" t="s">
        <v>357</v>
      </c>
      <c r="C5" s="459" t="s">
        <v>358</v>
      </c>
      <c r="D5" s="460"/>
      <c r="E5" s="461">
        <v>5</v>
      </c>
      <c r="F5" s="469"/>
      <c r="G5" s="463"/>
      <c r="H5" s="470"/>
      <c r="I5" s="470"/>
      <c r="J5" s="470"/>
      <c r="K5" s="470"/>
      <c r="L5" s="470"/>
      <c r="M5" s="470"/>
      <c r="N5" s="464">
        <f t="shared" si="0"/>
        <v>0</v>
      </c>
      <c r="O5" s="465">
        <v>0</v>
      </c>
      <c r="P5" s="466">
        <f t="shared" si="1"/>
        <v>0</v>
      </c>
      <c r="Q5" s="467"/>
      <c r="R5" s="467">
        <f t="shared" ref="R5:R33" si="3">IF(Q5="",0,Q5*5)</f>
        <v>0</v>
      </c>
      <c r="S5" s="467">
        <f t="shared" si="2"/>
        <v>0</v>
      </c>
      <c r="T5" s="467"/>
      <c r="W5" s="450"/>
      <c r="X5" s="446"/>
    </row>
    <row r="6" s="440" customFormat="1" ht="15.75" customHeight="1" spans="1:26">
      <c r="A6" s="458">
        <v>46206</v>
      </c>
      <c r="B6" s="459" t="s">
        <v>357</v>
      </c>
      <c r="C6" s="459" t="s">
        <v>358</v>
      </c>
      <c r="D6" s="460"/>
      <c r="E6" s="461">
        <v>5</v>
      </c>
      <c r="F6" s="471"/>
      <c r="G6" s="463"/>
      <c r="H6" s="470"/>
      <c r="I6" s="470"/>
      <c r="J6" s="470"/>
      <c r="K6" s="470"/>
      <c r="L6" s="470"/>
      <c r="M6" s="470"/>
      <c r="N6" s="464">
        <f t="shared" si="0"/>
        <v>0</v>
      </c>
      <c r="O6" s="465">
        <v>0</v>
      </c>
      <c r="P6" s="466">
        <f t="shared" si="1"/>
        <v>0</v>
      </c>
      <c r="Q6" s="467"/>
      <c r="R6" s="467">
        <f t="shared" si="3"/>
        <v>0</v>
      </c>
      <c r="S6" s="467">
        <f t="shared" si="2"/>
        <v>0</v>
      </c>
      <c r="T6" s="467"/>
      <c r="U6" s="441" t="s">
        <v>360</v>
      </c>
      <c r="W6" s="450"/>
      <c r="X6" s="446"/>
    </row>
    <row r="7" s="440" customFormat="1" ht="15.75" customHeight="1" spans="1:26">
      <c r="A7" s="458">
        <v>46207</v>
      </c>
      <c r="B7" s="459" t="s">
        <v>357</v>
      </c>
      <c r="C7" s="459" t="s">
        <v>358</v>
      </c>
      <c r="D7" s="460"/>
      <c r="E7" s="461">
        <v>5</v>
      </c>
      <c r="F7" s="471"/>
      <c r="G7" s="463"/>
      <c r="H7" s="470"/>
      <c r="I7" s="470"/>
      <c r="J7" s="470"/>
      <c r="K7" s="470"/>
      <c r="L7" s="470"/>
      <c r="M7" s="472"/>
      <c r="N7" s="464">
        <f t="shared" si="0"/>
        <v>0</v>
      </c>
      <c r="O7" s="465">
        <v>0</v>
      </c>
      <c r="P7" s="466">
        <f t="shared" si="1"/>
        <v>0</v>
      </c>
      <c r="Q7" s="467"/>
      <c r="R7" s="467">
        <f t="shared" si="3"/>
        <v>0</v>
      </c>
      <c r="S7" s="467">
        <f t="shared" si="2"/>
        <v>0</v>
      </c>
      <c r="T7" s="467"/>
      <c r="U7" s="441" t="s">
        <v>361</v>
      </c>
      <c r="W7" s="450"/>
      <c r="X7" s="446"/>
    </row>
    <row r="8" s="440" customFormat="1" ht="15.75" customHeight="1" spans="1:26">
      <c r="A8" s="458">
        <v>46208</v>
      </c>
      <c r="B8" s="459" t="s">
        <v>357</v>
      </c>
      <c r="C8" s="459" t="s">
        <v>358</v>
      </c>
      <c r="D8" s="460"/>
      <c r="E8" s="461">
        <v>5</v>
      </c>
      <c r="F8" s="469"/>
      <c r="G8" s="463"/>
      <c r="H8" s="470"/>
      <c r="I8" s="470"/>
      <c r="J8" s="470"/>
      <c r="K8" s="470"/>
      <c r="L8" s="470"/>
      <c r="M8" s="473"/>
      <c r="N8" s="474">
        <f t="shared" si="0"/>
        <v>0</v>
      </c>
      <c r="O8" s="465">
        <v>0</v>
      </c>
      <c r="P8" s="466">
        <f t="shared" si="1"/>
        <v>0</v>
      </c>
      <c r="Q8" s="467"/>
      <c r="R8" s="467">
        <f t="shared" si="3"/>
        <v>0</v>
      </c>
      <c r="S8" s="467">
        <f t="shared" si="2"/>
        <v>0</v>
      </c>
      <c r="T8" s="467"/>
      <c r="W8" s="450"/>
      <c r="X8" s="446"/>
    </row>
    <row r="9" s="440" customFormat="1" ht="15.75" customHeight="1" spans="1:26">
      <c r="A9" s="458">
        <v>46209</v>
      </c>
      <c r="B9" s="459" t="s">
        <v>357</v>
      </c>
      <c r="C9" s="459" t="s">
        <v>358</v>
      </c>
      <c r="D9" s="460"/>
      <c r="E9" s="461">
        <v>5</v>
      </c>
      <c r="F9" s="469"/>
      <c r="G9" s="463"/>
      <c r="H9" s="470"/>
      <c r="I9" s="470"/>
      <c r="J9" s="470"/>
      <c r="K9" s="470"/>
      <c r="L9" s="470"/>
      <c r="M9" s="472"/>
      <c r="N9" s="474">
        <f t="shared" si="0"/>
        <v>0</v>
      </c>
      <c r="O9" s="465">
        <v>0</v>
      </c>
      <c r="P9" s="466">
        <f t="shared" si="1"/>
        <v>0</v>
      </c>
      <c r="Q9" s="467"/>
      <c r="R9" s="467">
        <f t="shared" si="3"/>
        <v>0</v>
      </c>
      <c r="S9" s="467">
        <f t="shared" si="2"/>
        <v>0</v>
      </c>
      <c r="T9" s="467"/>
      <c r="V9" s="475" t="s">
        <v>362</v>
      </c>
      <c r="W9" s="450"/>
      <c r="X9" s="446"/>
    </row>
    <row r="10" s="440" customFormat="1" ht="15.75" customHeight="1" spans="1:26">
      <c r="A10" s="458">
        <v>46210</v>
      </c>
      <c r="B10" s="459" t="s">
        <v>357</v>
      </c>
      <c r="C10" s="459" t="s">
        <v>358</v>
      </c>
      <c r="D10" s="460"/>
      <c r="E10" s="461">
        <v>5</v>
      </c>
      <c r="F10" s="469"/>
      <c r="G10" s="463"/>
      <c r="H10" s="470"/>
      <c r="I10" s="470"/>
      <c r="J10" s="470"/>
      <c r="K10" s="470"/>
      <c r="L10" s="470"/>
      <c r="M10" s="472"/>
      <c r="N10" s="474">
        <f t="shared" si="0"/>
        <v>0</v>
      </c>
      <c r="O10" s="465">
        <v>0</v>
      </c>
      <c r="P10" s="466">
        <f t="shared" si="1"/>
        <v>0</v>
      </c>
      <c r="Q10" s="467"/>
      <c r="R10" s="467">
        <f t="shared" si="3"/>
        <v>0</v>
      </c>
      <c r="S10" s="467">
        <f t="shared" si="2"/>
        <v>0</v>
      </c>
      <c r="T10" s="467"/>
      <c r="V10" s="476" t="s">
        <v>3</v>
      </c>
      <c r="W10" s="477" t="s">
        <v>363</v>
      </c>
      <c r="X10" s="477" t="s">
        <v>364</v>
      </c>
    </row>
    <row r="11" s="440" customFormat="1" ht="15.75" customHeight="1" spans="1:26">
      <c r="A11" s="458">
        <v>46211</v>
      </c>
      <c r="B11" s="459" t="s">
        <v>357</v>
      </c>
      <c r="C11" s="459" t="s">
        <v>358</v>
      </c>
      <c r="D11" s="460"/>
      <c r="E11" s="461">
        <v>5</v>
      </c>
      <c r="F11" s="471"/>
      <c r="G11" s="463"/>
      <c r="H11" s="470"/>
      <c r="I11" s="470"/>
      <c r="J11" s="470"/>
      <c r="K11" s="470"/>
      <c r="L11" s="470"/>
      <c r="M11" s="472"/>
      <c r="N11" s="474">
        <f t="shared" si="0"/>
        <v>0</v>
      </c>
      <c r="O11" s="465">
        <v>0</v>
      </c>
      <c r="P11" s="466">
        <f t="shared" si="1"/>
        <v>0</v>
      </c>
      <c r="Q11" s="467"/>
      <c r="R11" s="467">
        <f t="shared" si="3"/>
        <v>0</v>
      </c>
      <c r="S11" s="467">
        <f t="shared" si="2"/>
        <v>0</v>
      </c>
      <c r="T11" s="467"/>
      <c r="V11" s="478">
        <v>1</v>
      </c>
      <c r="W11" s="479" t="s">
        <v>357</v>
      </c>
      <c r="X11" s="480">
        <f t="shared" ref="X11:X24" si="4">SUMIF($B:$B,$W11,$S:$S)</f>
        <v>55</v>
      </c>
    </row>
    <row r="12" s="440" customFormat="1" ht="15.75" customHeight="1" spans="1:26">
      <c r="A12" s="458">
        <v>46212</v>
      </c>
      <c r="B12" s="459" t="s">
        <v>357</v>
      </c>
      <c r="C12" s="459" t="s">
        <v>358</v>
      </c>
      <c r="D12" s="460"/>
      <c r="E12" s="461">
        <v>5</v>
      </c>
      <c r="F12" s="469"/>
      <c r="G12" s="463"/>
      <c r="H12" s="470"/>
      <c r="I12" s="470"/>
      <c r="J12" s="470"/>
      <c r="K12" s="470"/>
      <c r="L12" s="470"/>
      <c r="M12" s="472"/>
      <c r="N12" s="474">
        <f t="shared" si="0"/>
        <v>0</v>
      </c>
      <c r="O12" s="465">
        <v>0</v>
      </c>
      <c r="P12" s="466">
        <f t="shared" si="1"/>
        <v>0</v>
      </c>
      <c r="Q12" s="467"/>
      <c r="R12" s="467">
        <f t="shared" si="3"/>
        <v>0</v>
      </c>
      <c r="S12" s="467">
        <f t="shared" si="2"/>
        <v>0</v>
      </c>
      <c r="T12" s="467"/>
      <c r="V12" s="478">
        <v>2</v>
      </c>
      <c r="W12" s="479" t="s">
        <v>365</v>
      </c>
      <c r="X12" s="480">
        <f t="shared" si="4"/>
        <v>580</v>
      </c>
      <c r="Z12" s="441">
        <v>292</v>
      </c>
    </row>
    <row r="13" s="440" customFormat="1" ht="15.75" customHeight="1" spans="1:26">
      <c r="A13" s="458">
        <v>46213</v>
      </c>
      <c r="B13" s="459" t="s">
        <v>357</v>
      </c>
      <c r="C13" s="459" t="s">
        <v>358</v>
      </c>
      <c r="D13" s="460"/>
      <c r="E13" s="461">
        <v>5</v>
      </c>
      <c r="F13" s="469"/>
      <c r="G13" s="463"/>
      <c r="H13" s="470"/>
      <c r="I13" s="470"/>
      <c r="J13" s="470"/>
      <c r="K13" s="470"/>
      <c r="L13" s="470"/>
      <c r="M13" s="472"/>
      <c r="N13" s="474">
        <f t="shared" si="0"/>
        <v>0</v>
      </c>
      <c r="O13" s="465">
        <v>0</v>
      </c>
      <c r="P13" s="466">
        <f t="shared" si="1"/>
        <v>0</v>
      </c>
      <c r="Q13" s="467"/>
      <c r="R13" s="467">
        <f t="shared" si="3"/>
        <v>0</v>
      </c>
      <c r="S13" s="467">
        <f t="shared" si="2"/>
        <v>0</v>
      </c>
      <c r="T13" s="467"/>
      <c r="V13" s="478">
        <v>3</v>
      </c>
      <c r="W13" s="479" t="s">
        <v>366</v>
      </c>
      <c r="X13" s="480">
        <f t="shared" si="4"/>
        <v>985</v>
      </c>
      <c r="Z13" s="441">
        <v>1550</v>
      </c>
    </row>
    <row r="14" s="440" customFormat="1" ht="15.75" customHeight="1" spans="1:26">
      <c r="A14" s="458">
        <v>46214</v>
      </c>
      <c r="B14" s="459" t="s">
        <v>357</v>
      </c>
      <c r="C14" s="459" t="s">
        <v>358</v>
      </c>
      <c r="D14" s="460"/>
      <c r="E14" s="461">
        <v>5</v>
      </c>
      <c r="F14" s="469"/>
      <c r="G14" s="463"/>
      <c r="H14" s="470"/>
      <c r="I14" s="470"/>
      <c r="J14" s="470"/>
      <c r="K14" s="470"/>
      <c r="L14" s="470"/>
      <c r="M14" s="472"/>
      <c r="N14" s="474">
        <f t="shared" si="0"/>
        <v>0</v>
      </c>
      <c r="O14" s="465">
        <v>0</v>
      </c>
      <c r="P14" s="466">
        <f t="shared" si="1"/>
        <v>0</v>
      </c>
      <c r="Q14" s="467"/>
      <c r="R14" s="467">
        <f t="shared" si="3"/>
        <v>0</v>
      </c>
      <c r="S14" s="467">
        <f t="shared" si="2"/>
        <v>0</v>
      </c>
      <c r="T14" s="467"/>
      <c r="V14" s="478">
        <v>4</v>
      </c>
      <c r="W14" s="479" t="s">
        <v>367</v>
      </c>
      <c r="X14" s="480">
        <f t="shared" si="4"/>
        <v>940</v>
      </c>
      <c r="Z14" s="441">
        <v>1774</v>
      </c>
    </row>
    <row r="15" s="440" customFormat="1" ht="15.75" customHeight="1" spans="1:26">
      <c r="A15" s="458">
        <v>46215</v>
      </c>
      <c r="B15" s="459" t="s">
        <v>357</v>
      </c>
      <c r="C15" s="459" t="s">
        <v>358</v>
      </c>
      <c r="D15" s="460"/>
      <c r="E15" s="461">
        <v>5</v>
      </c>
      <c r="F15" s="469"/>
      <c r="G15" s="463"/>
      <c r="H15" s="470"/>
      <c r="I15" s="470"/>
      <c r="J15" s="470"/>
      <c r="K15" s="470"/>
      <c r="L15" s="470"/>
      <c r="M15" s="472"/>
      <c r="N15" s="474">
        <f t="shared" si="0"/>
        <v>0</v>
      </c>
      <c r="O15" s="465">
        <v>0</v>
      </c>
      <c r="P15" s="466">
        <f t="shared" si="1"/>
        <v>0</v>
      </c>
      <c r="Q15" s="467"/>
      <c r="R15" s="467">
        <f t="shared" si="3"/>
        <v>0</v>
      </c>
      <c r="S15" s="467">
        <f t="shared" si="2"/>
        <v>0</v>
      </c>
      <c r="T15" s="467"/>
      <c r="V15" s="478">
        <v>5</v>
      </c>
      <c r="W15" s="479" t="s">
        <v>368</v>
      </c>
      <c r="X15" s="480">
        <f t="shared" si="4"/>
        <v>1895</v>
      </c>
      <c r="Z15" s="441">
        <v>1025</v>
      </c>
    </row>
    <row r="16" s="440" customFormat="1" ht="15.75" customHeight="1" spans="1:26">
      <c r="A16" s="458">
        <v>46216</v>
      </c>
      <c r="B16" s="459" t="s">
        <v>357</v>
      </c>
      <c r="C16" s="459" t="s">
        <v>358</v>
      </c>
      <c r="D16" s="460"/>
      <c r="E16" s="461">
        <v>5</v>
      </c>
      <c r="F16" s="469"/>
      <c r="G16" s="463"/>
      <c r="H16" s="470"/>
      <c r="I16" s="470"/>
      <c r="J16" s="470"/>
      <c r="K16" s="470"/>
      <c r="L16" s="470"/>
      <c r="M16" s="472"/>
      <c r="N16" s="474">
        <f t="shared" si="0"/>
        <v>0</v>
      </c>
      <c r="O16" s="465">
        <v>0</v>
      </c>
      <c r="P16" s="466">
        <f t="shared" si="1"/>
        <v>0</v>
      </c>
      <c r="Q16" s="467"/>
      <c r="R16" s="467">
        <f t="shared" si="3"/>
        <v>0</v>
      </c>
      <c r="S16" s="467">
        <f t="shared" si="2"/>
        <v>0</v>
      </c>
      <c r="T16" s="467"/>
      <c r="V16" s="478">
        <v>6</v>
      </c>
      <c r="W16" s="479" t="s">
        <v>369</v>
      </c>
      <c r="X16" s="480">
        <f t="shared" si="4"/>
        <v>1210</v>
      </c>
      <c r="Z16" s="441">
        <v>1167</v>
      </c>
    </row>
    <row r="17" s="440" customFormat="1" ht="15.75" customHeight="1" spans="1:26">
      <c r="A17" s="458">
        <v>46217</v>
      </c>
      <c r="B17" s="459" t="s">
        <v>357</v>
      </c>
      <c r="C17" s="459" t="s">
        <v>358</v>
      </c>
      <c r="D17" s="460"/>
      <c r="E17" s="461">
        <v>5</v>
      </c>
      <c r="F17" s="469"/>
      <c r="G17" s="463"/>
      <c r="H17" s="470"/>
      <c r="I17" s="470"/>
      <c r="J17" s="470"/>
      <c r="K17" s="470"/>
      <c r="L17" s="470"/>
      <c r="M17" s="472"/>
      <c r="N17" s="474">
        <f t="shared" si="0"/>
        <v>0</v>
      </c>
      <c r="O17" s="465">
        <v>0</v>
      </c>
      <c r="P17" s="466">
        <f t="shared" si="1"/>
        <v>0</v>
      </c>
      <c r="Q17" s="467"/>
      <c r="R17" s="467">
        <f t="shared" si="3"/>
        <v>0</v>
      </c>
      <c r="S17" s="467">
        <f t="shared" si="2"/>
        <v>0</v>
      </c>
      <c r="T17" s="467"/>
      <c r="V17" s="478">
        <v>7</v>
      </c>
      <c r="W17" s="479" t="s">
        <v>370</v>
      </c>
      <c r="X17" s="480">
        <f t="shared" si="4"/>
        <v>1250</v>
      </c>
      <c r="Z17" s="441">
        <v>785</v>
      </c>
    </row>
    <row r="18" s="440" customFormat="1" ht="15.75" customHeight="1" spans="1:26">
      <c r="A18" s="458">
        <v>46218</v>
      </c>
      <c r="B18" s="459" t="s">
        <v>357</v>
      </c>
      <c r="C18" s="459" t="s">
        <v>358</v>
      </c>
      <c r="D18" s="460"/>
      <c r="E18" s="461">
        <v>5</v>
      </c>
      <c r="F18" s="469"/>
      <c r="G18" s="463"/>
      <c r="H18" s="470"/>
      <c r="I18" s="470"/>
      <c r="J18" s="470"/>
      <c r="K18" s="470"/>
      <c r="L18" s="470"/>
      <c r="M18" s="472"/>
      <c r="N18" s="474">
        <f t="shared" si="0"/>
        <v>0</v>
      </c>
      <c r="O18" s="465">
        <v>0</v>
      </c>
      <c r="P18" s="466">
        <f t="shared" si="1"/>
        <v>0</v>
      </c>
      <c r="Q18" s="467"/>
      <c r="R18" s="467">
        <f t="shared" si="3"/>
        <v>0</v>
      </c>
      <c r="S18" s="467">
        <f t="shared" si="2"/>
        <v>0</v>
      </c>
      <c r="T18" s="467"/>
      <c r="V18" s="478">
        <v>8</v>
      </c>
      <c r="W18" s="479" t="s">
        <v>371</v>
      </c>
      <c r="X18" s="480">
        <f t="shared" si="4"/>
        <v>710</v>
      </c>
      <c r="Z18" s="441">
        <v>1116</v>
      </c>
    </row>
    <row r="19" s="440" customFormat="1" ht="15.75" customHeight="1" spans="1:26">
      <c r="A19" s="481">
        <v>46219</v>
      </c>
      <c r="B19" s="459" t="s">
        <v>357</v>
      </c>
      <c r="C19" s="459" t="s">
        <v>358</v>
      </c>
      <c r="D19" s="460"/>
      <c r="E19" s="461">
        <v>5</v>
      </c>
      <c r="F19" s="469"/>
      <c r="G19" s="463"/>
      <c r="H19" s="470"/>
      <c r="I19" s="470"/>
      <c r="J19" s="470"/>
      <c r="K19" s="470"/>
      <c r="L19" s="470"/>
      <c r="M19" s="472"/>
      <c r="N19" s="474">
        <f t="shared" si="0"/>
        <v>0</v>
      </c>
      <c r="O19" s="465">
        <v>0</v>
      </c>
      <c r="P19" s="466">
        <f t="shared" si="1"/>
        <v>0</v>
      </c>
      <c r="Q19" s="467"/>
      <c r="R19" s="467">
        <f t="shared" si="3"/>
        <v>0</v>
      </c>
      <c r="S19" s="467">
        <f t="shared" si="2"/>
        <v>0</v>
      </c>
      <c r="T19" s="467"/>
      <c r="V19" s="478">
        <v>9</v>
      </c>
      <c r="W19" s="479" t="s">
        <v>372</v>
      </c>
      <c r="X19" s="480">
        <f t="shared" si="4"/>
        <v>1030</v>
      </c>
    </row>
    <row r="20" s="440" customFormat="1" ht="15.75" customHeight="1" spans="1:26">
      <c r="A20" s="458">
        <v>46220</v>
      </c>
      <c r="B20" s="459" t="s">
        <v>357</v>
      </c>
      <c r="C20" s="459" t="s">
        <v>358</v>
      </c>
      <c r="D20" s="460"/>
      <c r="E20" s="461">
        <v>5</v>
      </c>
      <c r="F20" s="469"/>
      <c r="G20" s="463"/>
      <c r="H20" s="470"/>
      <c r="I20" s="470"/>
      <c r="J20" s="470"/>
      <c r="K20" s="470"/>
      <c r="L20" s="470"/>
      <c r="M20" s="472"/>
      <c r="N20" s="474">
        <f t="shared" si="0"/>
        <v>0</v>
      </c>
      <c r="O20" s="465">
        <v>0</v>
      </c>
      <c r="P20" s="466">
        <f t="shared" si="1"/>
        <v>0</v>
      </c>
      <c r="Q20" s="467"/>
      <c r="R20" s="467">
        <f t="shared" si="3"/>
        <v>0</v>
      </c>
      <c r="S20" s="467">
        <f t="shared" si="2"/>
        <v>0</v>
      </c>
      <c r="T20" s="467"/>
      <c r="V20" s="478">
        <v>10</v>
      </c>
      <c r="W20" s="479" t="s">
        <v>373</v>
      </c>
      <c r="X20" s="480">
        <f t="shared" si="4"/>
        <v>870</v>
      </c>
    </row>
    <row r="21" s="440" customFormat="1" ht="15.75" customHeight="1" spans="1:26">
      <c r="A21" s="458">
        <v>46221</v>
      </c>
      <c r="B21" s="459" t="s">
        <v>357</v>
      </c>
      <c r="C21" s="459" t="s">
        <v>358</v>
      </c>
      <c r="D21" s="460"/>
      <c r="E21" s="461">
        <v>5</v>
      </c>
      <c r="F21" s="469"/>
      <c r="G21" s="463"/>
      <c r="H21" s="470"/>
      <c r="I21" s="470"/>
      <c r="J21" s="470"/>
      <c r="K21" s="470"/>
      <c r="L21" s="470"/>
      <c r="M21" s="472"/>
      <c r="N21" s="474">
        <f t="shared" si="0"/>
        <v>0</v>
      </c>
      <c r="O21" s="465">
        <v>0</v>
      </c>
      <c r="P21" s="466">
        <f t="shared" si="1"/>
        <v>0</v>
      </c>
      <c r="Q21" s="467"/>
      <c r="R21" s="467">
        <f t="shared" si="3"/>
        <v>0</v>
      </c>
      <c r="S21" s="467">
        <f t="shared" si="2"/>
        <v>0</v>
      </c>
      <c r="T21" s="467"/>
      <c r="V21" s="478">
        <v>11</v>
      </c>
      <c r="W21" s="479" t="s">
        <v>374</v>
      </c>
      <c r="X21" s="480">
        <f t="shared" si="4"/>
        <v>355</v>
      </c>
    </row>
    <row r="22" s="440" customFormat="1" ht="15.75" customHeight="1" spans="1:26">
      <c r="A22" s="458">
        <v>46222</v>
      </c>
      <c r="B22" s="459" t="s">
        <v>357</v>
      </c>
      <c r="C22" s="459" t="s">
        <v>358</v>
      </c>
      <c r="D22" s="460"/>
      <c r="E22" s="461">
        <v>5</v>
      </c>
      <c r="F22" s="469"/>
      <c r="G22" s="463"/>
      <c r="H22" s="470"/>
      <c r="I22" s="470"/>
      <c r="J22" s="470"/>
      <c r="K22" s="470"/>
      <c r="L22" s="470"/>
      <c r="M22" s="472"/>
      <c r="N22" s="474">
        <f t="shared" si="0"/>
        <v>0</v>
      </c>
      <c r="O22" s="465">
        <v>0</v>
      </c>
      <c r="P22" s="466">
        <f t="shared" si="1"/>
        <v>0</v>
      </c>
      <c r="Q22" s="467"/>
      <c r="R22" s="467">
        <f t="shared" si="3"/>
        <v>0</v>
      </c>
      <c r="S22" s="467">
        <f t="shared" si="2"/>
        <v>0</v>
      </c>
      <c r="T22" s="467"/>
      <c r="V22" s="478">
        <v>12</v>
      </c>
      <c r="W22" s="479"/>
      <c r="X22" s="480">
        <f t="shared" si="4"/>
        <v>0</v>
      </c>
    </row>
    <row r="23" s="440" customFormat="1" ht="15.75" customHeight="1" spans="1:26">
      <c r="A23" s="458">
        <v>46223</v>
      </c>
      <c r="B23" s="459" t="s">
        <v>357</v>
      </c>
      <c r="C23" s="459" t="s">
        <v>358</v>
      </c>
      <c r="D23" s="460"/>
      <c r="E23" s="461">
        <v>5</v>
      </c>
      <c r="F23" s="469"/>
      <c r="G23" s="463"/>
      <c r="H23" s="470"/>
      <c r="I23" s="470"/>
      <c r="J23" s="470"/>
      <c r="K23" s="470"/>
      <c r="L23" s="470"/>
      <c r="M23" s="472"/>
      <c r="N23" s="474">
        <f t="shared" si="0"/>
        <v>0</v>
      </c>
      <c r="O23" s="465">
        <v>0</v>
      </c>
      <c r="P23" s="466">
        <f t="shared" si="1"/>
        <v>0</v>
      </c>
      <c r="Q23" s="442"/>
      <c r="R23" s="467">
        <f t="shared" si="3"/>
        <v>0</v>
      </c>
      <c r="S23" s="467">
        <f t="shared" si="2"/>
        <v>0</v>
      </c>
      <c r="T23" s="467"/>
      <c r="V23" s="478">
        <v>13</v>
      </c>
      <c r="W23" s="479"/>
      <c r="X23" s="480">
        <f t="shared" si="4"/>
        <v>0</v>
      </c>
    </row>
    <row r="24" s="440" customFormat="1" ht="15.75" customHeight="1" spans="1:26">
      <c r="A24" s="458">
        <v>46224</v>
      </c>
      <c r="B24" s="459" t="s">
        <v>357</v>
      </c>
      <c r="C24" s="459" t="s">
        <v>358</v>
      </c>
      <c r="D24" s="460"/>
      <c r="E24" s="461">
        <v>5</v>
      </c>
      <c r="F24" s="469"/>
      <c r="G24" s="463"/>
      <c r="H24" s="470"/>
      <c r="I24" s="470"/>
      <c r="J24" s="470"/>
      <c r="K24" s="470"/>
      <c r="L24" s="470"/>
      <c r="M24" s="472"/>
      <c r="N24" s="474">
        <f t="shared" si="0"/>
        <v>0</v>
      </c>
      <c r="O24" s="465">
        <v>0</v>
      </c>
      <c r="P24" s="466">
        <f t="shared" si="1"/>
        <v>0</v>
      </c>
      <c r="Q24" s="467"/>
      <c r="R24" s="467">
        <f t="shared" si="3"/>
        <v>0</v>
      </c>
      <c r="S24" s="467">
        <f t="shared" si="2"/>
        <v>0</v>
      </c>
      <c r="T24" s="467"/>
      <c r="V24" s="478">
        <v>14</v>
      </c>
      <c r="W24" s="479"/>
      <c r="X24" s="480">
        <f t="shared" si="4"/>
        <v>0</v>
      </c>
    </row>
    <row r="25" s="440" customFormat="1" ht="15.75" customHeight="1" spans="1:26">
      <c r="A25" s="458">
        <v>46225</v>
      </c>
      <c r="B25" s="459" t="s">
        <v>357</v>
      </c>
      <c r="C25" s="459" t="s">
        <v>358</v>
      </c>
      <c r="D25" s="460"/>
      <c r="E25" s="461">
        <v>5</v>
      </c>
      <c r="F25" s="469"/>
      <c r="G25" s="463"/>
      <c r="H25" s="470"/>
      <c r="I25" s="470"/>
      <c r="J25" s="470"/>
      <c r="K25" s="470"/>
      <c r="L25" s="470"/>
      <c r="M25" s="472"/>
      <c r="N25" s="474">
        <f t="shared" si="0"/>
        <v>0</v>
      </c>
      <c r="O25" s="465">
        <v>0</v>
      </c>
      <c r="P25" s="466">
        <f t="shared" si="1"/>
        <v>0</v>
      </c>
      <c r="Q25" s="467"/>
      <c r="R25" s="467">
        <f t="shared" si="3"/>
        <v>0</v>
      </c>
      <c r="S25" s="467">
        <f t="shared" si="2"/>
        <v>0</v>
      </c>
      <c r="T25" s="467"/>
      <c r="V25" s="482"/>
      <c r="W25" s="483" t="s">
        <v>335</v>
      </c>
      <c r="X25" s="480">
        <f>SUM(X11:X24)</f>
        <v>9880</v>
      </c>
    </row>
    <row r="26" s="440" customFormat="1" ht="15.75" customHeight="1" spans="1:26">
      <c r="A26" s="458">
        <v>46226</v>
      </c>
      <c r="B26" s="459" t="s">
        <v>357</v>
      </c>
      <c r="C26" s="459" t="s">
        <v>358</v>
      </c>
      <c r="D26" s="460"/>
      <c r="E26" s="461">
        <v>5</v>
      </c>
      <c r="F26" s="469"/>
      <c r="G26" s="463">
        <v>4</v>
      </c>
      <c r="H26" s="470"/>
      <c r="I26" s="470"/>
      <c r="J26" s="470"/>
      <c r="K26" s="470"/>
      <c r="L26" s="470"/>
      <c r="M26" s="472"/>
      <c r="N26" s="474">
        <f t="shared" si="0"/>
        <v>4</v>
      </c>
      <c r="O26" s="465">
        <v>0</v>
      </c>
      <c r="P26" s="466">
        <f t="shared" si="1"/>
        <v>20</v>
      </c>
      <c r="Q26" s="467"/>
      <c r="R26" s="467">
        <f t="shared" si="3"/>
        <v>0</v>
      </c>
      <c r="S26" s="467">
        <f t="shared" si="2"/>
        <v>20</v>
      </c>
      <c r="T26" s="467"/>
      <c r="W26" s="450"/>
      <c r="X26" s="446"/>
    </row>
    <row r="27" s="440" customFormat="1" ht="15.75" customHeight="1" spans="1:26">
      <c r="A27" s="458">
        <v>46227</v>
      </c>
      <c r="B27" s="459" t="s">
        <v>357</v>
      </c>
      <c r="C27" s="459" t="s">
        <v>358</v>
      </c>
      <c r="D27" s="460"/>
      <c r="E27" s="461">
        <v>5</v>
      </c>
      <c r="F27" s="469"/>
      <c r="G27" s="463">
        <v>7</v>
      </c>
      <c r="H27" s="470"/>
      <c r="I27" s="470"/>
      <c r="J27" s="470"/>
      <c r="K27" s="470"/>
      <c r="L27" s="470"/>
      <c r="M27" s="366"/>
      <c r="N27" s="474">
        <f t="shared" si="0"/>
        <v>7</v>
      </c>
      <c r="O27" s="465">
        <v>0</v>
      </c>
      <c r="P27" s="466">
        <f t="shared" si="1"/>
        <v>35</v>
      </c>
      <c r="Q27" s="467"/>
      <c r="R27" s="467">
        <f t="shared" si="3"/>
        <v>0</v>
      </c>
      <c r="S27" s="467">
        <f t="shared" si="2"/>
        <v>35</v>
      </c>
      <c r="T27" s="467"/>
      <c r="V27" s="484" t="s">
        <v>375</v>
      </c>
      <c r="W27" s="485" t="s">
        <v>376</v>
      </c>
      <c r="X27" s="486"/>
    </row>
    <row r="28" s="440" customFormat="1" ht="15.75" customHeight="1" spans="1:26">
      <c r="A28" s="458">
        <v>46228</v>
      </c>
      <c r="B28" s="459" t="s">
        <v>357</v>
      </c>
      <c r="C28" s="459" t="s">
        <v>358</v>
      </c>
      <c r="D28" s="460"/>
      <c r="E28" s="461">
        <v>5</v>
      </c>
      <c r="F28" s="469"/>
      <c r="G28" s="463"/>
      <c r="H28" s="470"/>
      <c r="I28" s="470"/>
      <c r="J28" s="470"/>
      <c r="K28" s="470"/>
      <c r="L28" s="470"/>
      <c r="M28" s="366"/>
      <c r="N28" s="464">
        <f t="shared" si="0"/>
        <v>0</v>
      </c>
      <c r="O28" s="465">
        <v>0</v>
      </c>
      <c r="P28" s="466">
        <f t="shared" si="1"/>
        <v>0</v>
      </c>
      <c r="Q28" s="467"/>
      <c r="R28" s="467">
        <f t="shared" si="3"/>
        <v>0</v>
      </c>
      <c r="S28" s="467">
        <f t="shared" si="2"/>
        <v>0</v>
      </c>
      <c r="T28" s="467"/>
      <c r="V28" s="487">
        <f>SUM(G4:M803,Q4:Q93)</f>
        <v>3739</v>
      </c>
      <c r="W28" s="488">
        <v>3709</v>
      </c>
      <c r="X28" s="446"/>
    </row>
    <row r="29" s="440" customFormat="1" ht="15.75" customHeight="1" spans="1:26">
      <c r="A29" s="458">
        <v>46229</v>
      </c>
      <c r="B29" s="459" t="s">
        <v>357</v>
      </c>
      <c r="C29" s="459" t="s">
        <v>358</v>
      </c>
      <c r="D29" s="460"/>
      <c r="E29" s="461">
        <v>5</v>
      </c>
      <c r="F29" s="469"/>
      <c r="G29" s="463"/>
      <c r="H29" s="470"/>
      <c r="I29" s="470"/>
      <c r="J29" s="470"/>
      <c r="K29" s="470"/>
      <c r="L29" s="470"/>
      <c r="M29" s="366"/>
      <c r="N29" s="464">
        <f t="shared" si="0"/>
        <v>0</v>
      </c>
      <c r="O29" s="465">
        <v>0</v>
      </c>
      <c r="P29" s="466">
        <f t="shared" si="1"/>
        <v>0</v>
      </c>
      <c r="Q29" s="467"/>
      <c r="R29" s="467">
        <f t="shared" si="3"/>
        <v>0</v>
      </c>
      <c r="S29" s="467">
        <f t="shared" si="2"/>
        <v>0</v>
      </c>
      <c r="T29" s="467"/>
      <c r="V29" s="489" t="s">
        <v>377</v>
      </c>
      <c r="W29" s="490">
        <f>+W28-V28</f>
        <v>-30</v>
      </c>
      <c r="X29" s="446"/>
    </row>
    <row r="30" s="440" customFormat="1" ht="15.75" customHeight="1" spans="1:26">
      <c r="A30" s="458">
        <v>46230</v>
      </c>
      <c r="B30" s="459" t="s">
        <v>357</v>
      </c>
      <c r="C30" s="459" t="s">
        <v>358</v>
      </c>
      <c r="D30" s="460"/>
      <c r="E30" s="461">
        <v>5</v>
      </c>
      <c r="F30" s="469"/>
      <c r="G30" s="463"/>
      <c r="H30" s="470"/>
      <c r="I30" s="470"/>
      <c r="J30" s="470"/>
      <c r="K30" s="470"/>
      <c r="L30" s="470"/>
      <c r="M30" s="366"/>
      <c r="N30" s="464">
        <f t="shared" si="0"/>
        <v>0</v>
      </c>
      <c r="O30" s="465">
        <v>0</v>
      </c>
      <c r="P30" s="466">
        <f t="shared" si="1"/>
        <v>0</v>
      </c>
      <c r="Q30" s="467"/>
      <c r="R30" s="467">
        <f t="shared" si="3"/>
        <v>0</v>
      </c>
      <c r="S30" s="467">
        <f t="shared" si="2"/>
        <v>0</v>
      </c>
      <c r="T30" s="467"/>
      <c r="V30" s="443"/>
      <c r="W30" s="450"/>
      <c r="X30" s="446"/>
    </row>
    <row r="31" s="440" customFormat="1" ht="15.75" customHeight="1" spans="1:26">
      <c r="A31" s="458">
        <v>46231</v>
      </c>
      <c r="B31" s="459" t="s">
        <v>357</v>
      </c>
      <c r="C31" s="459" t="s">
        <v>358</v>
      </c>
      <c r="D31" s="460"/>
      <c r="E31" s="461">
        <v>5</v>
      </c>
      <c r="F31" s="469"/>
      <c r="G31" s="463"/>
      <c r="H31" s="470"/>
      <c r="I31" s="470"/>
      <c r="J31" s="470"/>
      <c r="K31" s="470"/>
      <c r="L31" s="470"/>
      <c r="M31" s="426"/>
      <c r="N31" s="464">
        <f t="shared" si="0"/>
        <v>0</v>
      </c>
      <c r="O31" s="465">
        <v>0</v>
      </c>
      <c r="P31" s="466">
        <f t="shared" si="1"/>
        <v>0</v>
      </c>
      <c r="Q31" s="467"/>
      <c r="R31" s="467">
        <f t="shared" si="3"/>
        <v>0</v>
      </c>
      <c r="S31" s="467">
        <f t="shared" si="2"/>
        <v>0</v>
      </c>
      <c r="T31" s="467"/>
      <c r="V31" s="336" t="s">
        <v>339</v>
      </c>
      <c r="W31" s="207" t="s">
        <v>8</v>
      </c>
      <c r="X31" s="446"/>
    </row>
    <row r="32" s="440" customFormat="1" ht="15.75" customHeight="1" spans="1:26">
      <c r="A32" s="458">
        <v>46232</v>
      </c>
      <c r="B32" s="459" t="s">
        <v>357</v>
      </c>
      <c r="C32" s="459" t="s">
        <v>358</v>
      </c>
      <c r="D32" s="460"/>
      <c r="E32" s="461">
        <v>5</v>
      </c>
      <c r="F32" s="471"/>
      <c r="G32" s="463"/>
      <c r="H32" s="470"/>
      <c r="I32" s="470"/>
      <c r="J32" s="470"/>
      <c r="K32" s="470"/>
      <c r="L32" s="470"/>
      <c r="M32" s="366"/>
      <c r="N32" s="464">
        <f t="shared" si="0"/>
        <v>0</v>
      </c>
      <c r="O32" s="465">
        <v>0</v>
      </c>
      <c r="P32" s="466">
        <f t="shared" si="1"/>
        <v>0</v>
      </c>
      <c r="Q32" s="467"/>
      <c r="R32" s="467">
        <f t="shared" si="3"/>
        <v>0</v>
      </c>
      <c r="S32" s="467">
        <f t="shared" si="2"/>
        <v>0</v>
      </c>
      <c r="T32" s="467"/>
      <c r="V32" s="491">
        <v>46204</v>
      </c>
      <c r="W32" s="492">
        <f>SUMIF(A:A,V32,S:S)</f>
        <v>165</v>
      </c>
      <c r="X32" s="446"/>
    </row>
    <row r="33" s="440" customFormat="1" ht="15.75" customHeight="1" spans="1:25">
      <c r="A33" s="458">
        <v>46233</v>
      </c>
      <c r="B33" s="459" t="s">
        <v>357</v>
      </c>
      <c r="C33" s="459" t="s">
        <v>358</v>
      </c>
      <c r="D33" s="460"/>
      <c r="E33" s="461">
        <v>5</v>
      </c>
      <c r="F33" s="471"/>
      <c r="G33" s="463"/>
      <c r="H33" s="470"/>
      <c r="I33" s="470"/>
      <c r="J33" s="470"/>
      <c r="K33" s="470"/>
      <c r="L33" s="470"/>
      <c r="M33" s="472"/>
      <c r="N33" s="464">
        <f t="shared" si="0"/>
        <v>0</v>
      </c>
      <c r="O33" s="465">
        <v>0</v>
      </c>
      <c r="P33" s="466">
        <f t="shared" si="1"/>
        <v>0</v>
      </c>
      <c r="Q33" s="467"/>
      <c r="R33" s="467">
        <f t="shared" si="3"/>
        <v>0</v>
      </c>
      <c r="S33" s="467">
        <f t="shared" si="2"/>
        <v>0</v>
      </c>
      <c r="T33" s="467"/>
      <c r="V33" s="491">
        <v>46205</v>
      </c>
      <c r="W33" s="492">
        <f t="shared" ref="W33:W38" si="5">SUMIF(A:A,V33,S:S)</f>
        <v>220</v>
      </c>
      <c r="X33" s="446"/>
    </row>
    <row r="34" s="441" customFormat="1" ht="15.75" customHeight="1" spans="1:25">
      <c r="A34" s="458">
        <v>46234</v>
      </c>
      <c r="B34" s="459" t="s">
        <v>357</v>
      </c>
      <c r="C34" s="459" t="s">
        <v>358</v>
      </c>
      <c r="D34" s="460"/>
      <c r="E34" s="461">
        <v>5</v>
      </c>
      <c r="F34" s="471"/>
      <c r="G34" s="493"/>
      <c r="H34" s="470"/>
      <c r="I34" s="470"/>
      <c r="J34" s="470"/>
      <c r="K34" s="470"/>
      <c r="L34" s="470"/>
      <c r="M34" s="472"/>
      <c r="N34" s="464">
        <f t="shared" si="0"/>
        <v>0</v>
      </c>
      <c r="O34" s="465">
        <v>0</v>
      </c>
      <c r="P34" s="466">
        <f t="shared" si="1"/>
        <v>0</v>
      </c>
      <c r="Q34" s="467"/>
      <c r="R34" s="467">
        <v>0</v>
      </c>
      <c r="S34" s="467">
        <f t="shared" si="2"/>
        <v>0</v>
      </c>
      <c r="T34" s="467"/>
      <c r="V34" s="491">
        <v>46206</v>
      </c>
      <c r="W34" s="492">
        <f t="shared" si="5"/>
        <v>250</v>
      </c>
      <c r="X34" s="446"/>
    </row>
    <row r="35" s="440" customFormat="1" ht="15.75" customHeight="1" spans="1:25">
      <c r="A35" s="458">
        <v>46204</v>
      </c>
      <c r="B35" s="459" t="s">
        <v>365</v>
      </c>
      <c r="C35" s="459" t="s">
        <v>378</v>
      </c>
      <c r="D35" s="460"/>
      <c r="E35" s="461">
        <v>5</v>
      </c>
      <c r="F35" s="471"/>
      <c r="G35" s="319"/>
      <c r="H35" s="319"/>
      <c r="I35" s="319"/>
      <c r="J35" s="319"/>
      <c r="K35" s="319"/>
      <c r="L35" s="319"/>
      <c r="M35" s="319"/>
      <c r="N35" s="464">
        <f t="shared" si="0"/>
        <v>0</v>
      </c>
      <c r="O35" s="465">
        <v>0</v>
      </c>
      <c r="P35" s="466">
        <f t="shared" si="1"/>
        <v>0</v>
      </c>
      <c r="Q35" s="467"/>
      <c r="R35" s="467">
        <f t="shared" ref="R35:R64" si="6">IF(Q35="",0,Q35*5)</f>
        <v>0</v>
      </c>
      <c r="S35" s="467">
        <f t="shared" si="2"/>
        <v>0</v>
      </c>
      <c r="T35" s="467"/>
      <c r="V35" s="491">
        <v>46207</v>
      </c>
      <c r="W35" s="492">
        <f t="shared" si="5"/>
        <v>335</v>
      </c>
      <c r="X35" s="446"/>
    </row>
    <row r="36" s="440" customFormat="1" ht="15.75" customHeight="1" spans="1:25">
      <c r="A36" s="458">
        <v>46205</v>
      </c>
      <c r="B36" s="459" t="s">
        <v>365</v>
      </c>
      <c r="C36" s="459" t="s">
        <v>378</v>
      </c>
      <c r="D36" s="460"/>
      <c r="E36" s="461">
        <v>5</v>
      </c>
      <c r="F36" s="471"/>
      <c r="G36" s="493"/>
      <c r="H36" s="472"/>
      <c r="I36" s="493"/>
      <c r="J36" s="472"/>
      <c r="K36" s="472"/>
      <c r="L36" s="472"/>
      <c r="M36" s="472"/>
      <c r="N36" s="464">
        <f t="shared" si="0"/>
        <v>0</v>
      </c>
      <c r="O36" s="465">
        <v>0</v>
      </c>
      <c r="P36" s="466">
        <f t="shared" si="1"/>
        <v>0</v>
      </c>
      <c r="Q36" s="467"/>
      <c r="R36" s="467">
        <f t="shared" si="6"/>
        <v>0</v>
      </c>
      <c r="S36" s="467">
        <f t="shared" si="2"/>
        <v>0</v>
      </c>
      <c r="T36" s="467"/>
      <c r="V36" s="491">
        <v>46208</v>
      </c>
      <c r="W36" s="492">
        <f t="shared" si="5"/>
        <v>355</v>
      </c>
      <c r="X36" s="446"/>
    </row>
    <row r="37" s="440" customFormat="1" ht="15.75" customHeight="1" spans="1:25">
      <c r="A37" s="458">
        <v>46206</v>
      </c>
      <c r="B37" s="459" t="s">
        <v>365</v>
      </c>
      <c r="C37" s="459" t="s">
        <v>378</v>
      </c>
      <c r="D37" s="460"/>
      <c r="E37" s="461">
        <v>5</v>
      </c>
      <c r="F37" s="469"/>
      <c r="G37" s="494"/>
      <c r="H37" s="473"/>
      <c r="I37" s="494"/>
      <c r="J37" s="473"/>
      <c r="K37" s="473"/>
      <c r="L37" s="473"/>
      <c r="M37" s="473"/>
      <c r="N37" s="474">
        <f t="shared" si="0"/>
        <v>0</v>
      </c>
      <c r="O37" s="465">
        <v>0</v>
      </c>
      <c r="P37" s="466">
        <f t="shared" si="1"/>
        <v>0</v>
      </c>
      <c r="Q37" s="467"/>
      <c r="R37" s="467">
        <f t="shared" si="6"/>
        <v>0</v>
      </c>
      <c r="S37" s="467">
        <f t="shared" si="2"/>
        <v>0</v>
      </c>
      <c r="T37" s="467"/>
      <c r="V37" s="491">
        <v>46209</v>
      </c>
      <c r="W37" s="492">
        <f t="shared" si="5"/>
        <v>330</v>
      </c>
      <c r="X37" s="446"/>
    </row>
    <row r="38" s="440" customFormat="1" ht="15.75" customHeight="1" spans="1:25">
      <c r="A38" s="458">
        <v>46207</v>
      </c>
      <c r="B38" s="459" t="s">
        <v>365</v>
      </c>
      <c r="C38" s="459" t="s">
        <v>378</v>
      </c>
      <c r="D38" s="460"/>
      <c r="E38" s="461">
        <v>5</v>
      </c>
      <c r="F38" s="469"/>
      <c r="G38" s="493"/>
      <c r="H38" s="472"/>
      <c r="I38" s="493"/>
      <c r="J38" s="472"/>
      <c r="K38" s="472"/>
      <c r="L38" s="472"/>
      <c r="M38" s="472"/>
      <c r="N38" s="474">
        <f t="shared" si="0"/>
        <v>0</v>
      </c>
      <c r="O38" s="465">
        <v>0</v>
      </c>
      <c r="P38" s="466">
        <f t="shared" si="1"/>
        <v>0</v>
      </c>
      <c r="Q38" s="467"/>
      <c r="R38" s="467">
        <f t="shared" si="6"/>
        <v>0</v>
      </c>
      <c r="S38" s="467">
        <f t="shared" si="2"/>
        <v>0</v>
      </c>
      <c r="T38" s="467"/>
      <c r="V38" s="491">
        <v>46210</v>
      </c>
      <c r="W38" s="492">
        <f t="shared" si="5"/>
        <v>280</v>
      </c>
      <c r="X38" s="446"/>
    </row>
    <row r="39" s="440" customFormat="1" ht="15.75" customHeight="1" spans="1:25">
      <c r="A39" s="458">
        <v>46208</v>
      </c>
      <c r="B39" s="459" t="s">
        <v>365</v>
      </c>
      <c r="C39" s="459" t="s">
        <v>378</v>
      </c>
      <c r="D39" s="460"/>
      <c r="E39" s="461">
        <v>5</v>
      </c>
      <c r="F39" s="469"/>
      <c r="G39" s="493"/>
      <c r="H39" s="472"/>
      <c r="I39" s="493"/>
      <c r="J39" s="472"/>
      <c r="K39" s="472"/>
      <c r="L39" s="472"/>
      <c r="M39" s="472"/>
      <c r="N39" s="474">
        <f t="shared" si="0"/>
        <v>0</v>
      </c>
      <c r="O39" s="465">
        <v>0</v>
      </c>
      <c r="P39" s="466">
        <f t="shared" si="1"/>
        <v>0</v>
      </c>
      <c r="Q39" s="467"/>
      <c r="R39" s="467">
        <f t="shared" si="6"/>
        <v>0</v>
      </c>
      <c r="S39" s="467">
        <f t="shared" si="2"/>
        <v>0</v>
      </c>
      <c r="T39" s="467"/>
      <c r="V39" s="491">
        <v>46211</v>
      </c>
      <c r="W39" s="492">
        <f t="shared" ref="W33:W62" si="7">SUMIF($A:$A,V39,$S:$S)</f>
        <v>445</v>
      </c>
      <c r="X39" s="446"/>
    </row>
    <row r="40" s="440" customFormat="1" ht="15.75" customHeight="1" spans="1:25">
      <c r="A40" s="458">
        <v>46209</v>
      </c>
      <c r="B40" s="459" t="s">
        <v>365</v>
      </c>
      <c r="C40" s="459" t="s">
        <v>378</v>
      </c>
      <c r="D40" s="460"/>
      <c r="E40" s="461">
        <v>5</v>
      </c>
      <c r="F40" s="469"/>
      <c r="G40" s="493"/>
      <c r="H40" s="472"/>
      <c r="I40" s="493"/>
      <c r="J40" s="472"/>
      <c r="K40" s="472"/>
      <c r="L40" s="472"/>
      <c r="M40" s="472"/>
      <c r="N40" s="474">
        <f t="shared" si="0"/>
        <v>0</v>
      </c>
      <c r="O40" s="465">
        <v>0</v>
      </c>
      <c r="P40" s="466">
        <f t="shared" si="1"/>
        <v>0</v>
      </c>
      <c r="Q40" s="467"/>
      <c r="R40" s="467">
        <f t="shared" si="6"/>
        <v>0</v>
      </c>
      <c r="S40" s="467">
        <f t="shared" si="2"/>
        <v>0</v>
      </c>
      <c r="T40" s="467"/>
      <c r="V40" s="458">
        <v>46212</v>
      </c>
      <c r="W40" s="492">
        <f t="shared" si="7"/>
        <v>400</v>
      </c>
      <c r="X40" s="446"/>
    </row>
    <row r="41" s="440" customFormat="1" ht="15.75" customHeight="1" spans="1:25">
      <c r="A41" s="458">
        <v>46210</v>
      </c>
      <c r="B41" s="459" t="s">
        <v>365</v>
      </c>
      <c r="C41" s="459" t="s">
        <v>378</v>
      </c>
      <c r="D41" s="460"/>
      <c r="E41" s="461">
        <v>5</v>
      </c>
      <c r="F41" s="471"/>
      <c r="G41" s="319"/>
      <c r="H41" s="472"/>
      <c r="I41" s="493"/>
      <c r="J41" s="472"/>
      <c r="K41" s="472"/>
      <c r="L41" s="472"/>
      <c r="M41" s="472"/>
      <c r="N41" s="474">
        <f t="shared" si="0"/>
        <v>0</v>
      </c>
      <c r="O41" s="465">
        <v>0</v>
      </c>
      <c r="P41" s="466">
        <f t="shared" si="1"/>
        <v>0</v>
      </c>
      <c r="Q41" s="467"/>
      <c r="R41" s="467">
        <f t="shared" si="6"/>
        <v>0</v>
      </c>
      <c r="S41" s="467">
        <f t="shared" si="2"/>
        <v>0</v>
      </c>
      <c r="T41" s="467"/>
      <c r="V41" s="458">
        <v>46213</v>
      </c>
      <c r="W41" s="492">
        <f t="shared" si="7"/>
        <v>450</v>
      </c>
      <c r="X41" s="446"/>
      <c r="Y41" s="441"/>
    </row>
    <row r="42" s="440" customFormat="1" ht="15.75" customHeight="1" spans="1:25">
      <c r="A42" s="458">
        <v>46211</v>
      </c>
      <c r="B42" s="459" t="s">
        <v>365</v>
      </c>
      <c r="C42" s="459" t="s">
        <v>378</v>
      </c>
      <c r="D42" s="460"/>
      <c r="E42" s="461">
        <v>5</v>
      </c>
      <c r="F42" s="471"/>
      <c r="G42" s="319"/>
      <c r="H42" s="472"/>
      <c r="I42" s="493"/>
      <c r="J42" s="472"/>
      <c r="K42" s="472"/>
      <c r="L42" s="472"/>
      <c r="M42" s="472"/>
      <c r="N42" s="474">
        <f t="shared" si="0"/>
        <v>0</v>
      </c>
      <c r="O42" s="465">
        <v>0</v>
      </c>
      <c r="P42" s="466">
        <f t="shared" si="1"/>
        <v>0</v>
      </c>
      <c r="Q42" s="467"/>
      <c r="R42" s="467">
        <f t="shared" si="6"/>
        <v>0</v>
      </c>
      <c r="S42" s="467">
        <f t="shared" si="2"/>
        <v>0</v>
      </c>
      <c r="T42" s="467"/>
      <c r="V42" s="458">
        <v>46214</v>
      </c>
      <c r="W42" s="492">
        <f t="shared" si="7"/>
        <v>485</v>
      </c>
      <c r="X42" s="446"/>
    </row>
    <row r="43" s="440" customFormat="1" ht="15.75" customHeight="1" spans="1:25">
      <c r="A43" s="458">
        <v>46212</v>
      </c>
      <c r="B43" s="459" t="s">
        <v>365</v>
      </c>
      <c r="C43" s="459" t="s">
        <v>378</v>
      </c>
      <c r="D43" s="460"/>
      <c r="E43" s="461">
        <v>5</v>
      </c>
      <c r="F43" s="469"/>
      <c r="G43" s="493"/>
      <c r="H43" s="472"/>
      <c r="I43" s="493"/>
      <c r="J43" s="472"/>
      <c r="K43" s="472"/>
      <c r="L43" s="472"/>
      <c r="M43" s="472"/>
      <c r="N43" s="474">
        <f t="shared" si="0"/>
        <v>0</v>
      </c>
      <c r="O43" s="465">
        <v>0</v>
      </c>
      <c r="P43" s="466">
        <f t="shared" si="1"/>
        <v>0</v>
      </c>
      <c r="Q43" s="467"/>
      <c r="R43" s="467">
        <f t="shared" si="6"/>
        <v>0</v>
      </c>
      <c r="S43" s="467">
        <f t="shared" si="2"/>
        <v>0</v>
      </c>
      <c r="T43" s="467"/>
      <c r="V43" s="458">
        <v>46215</v>
      </c>
      <c r="W43" s="492">
        <f t="shared" si="7"/>
        <v>320</v>
      </c>
      <c r="X43" s="446"/>
    </row>
    <row r="44" s="440" customFormat="1" ht="15.75" customHeight="1" spans="1:25">
      <c r="A44" s="458">
        <v>46213</v>
      </c>
      <c r="B44" s="459" t="s">
        <v>365</v>
      </c>
      <c r="C44" s="459" t="s">
        <v>378</v>
      </c>
      <c r="D44" s="460"/>
      <c r="E44" s="461">
        <v>5</v>
      </c>
      <c r="F44" s="469"/>
      <c r="G44" s="493"/>
      <c r="H44" s="472"/>
      <c r="I44" s="493"/>
      <c r="J44" s="472"/>
      <c r="K44" s="472"/>
      <c r="L44" s="472"/>
      <c r="M44" s="472"/>
      <c r="N44" s="474">
        <f t="shared" si="0"/>
        <v>0</v>
      </c>
      <c r="O44" s="465">
        <v>0</v>
      </c>
      <c r="P44" s="466">
        <f t="shared" si="1"/>
        <v>0</v>
      </c>
      <c r="Q44" s="467"/>
      <c r="R44" s="467">
        <f t="shared" si="6"/>
        <v>0</v>
      </c>
      <c r="S44" s="467">
        <f t="shared" si="2"/>
        <v>0</v>
      </c>
      <c r="T44" s="467"/>
      <c r="V44" s="458">
        <v>46216</v>
      </c>
      <c r="W44" s="492">
        <f t="shared" si="7"/>
        <v>240</v>
      </c>
      <c r="X44" s="446"/>
    </row>
    <row r="45" s="440" customFormat="1" ht="15.75" customHeight="1" spans="1:25">
      <c r="A45" s="458">
        <v>46214</v>
      </c>
      <c r="B45" s="459" t="s">
        <v>365</v>
      </c>
      <c r="C45" s="459" t="s">
        <v>378</v>
      </c>
      <c r="D45" s="460"/>
      <c r="E45" s="461">
        <v>5</v>
      </c>
      <c r="F45" s="469"/>
      <c r="G45" s="493"/>
      <c r="H45" s="472"/>
      <c r="I45" s="493"/>
      <c r="J45" s="472"/>
      <c r="K45" s="472"/>
      <c r="L45" s="472"/>
      <c r="M45" s="472"/>
      <c r="N45" s="474">
        <f t="shared" si="0"/>
        <v>0</v>
      </c>
      <c r="O45" s="465">
        <v>0</v>
      </c>
      <c r="P45" s="466">
        <f t="shared" si="1"/>
        <v>0</v>
      </c>
      <c r="Q45" s="467"/>
      <c r="R45" s="467">
        <f t="shared" si="6"/>
        <v>0</v>
      </c>
      <c r="S45" s="467">
        <f t="shared" si="2"/>
        <v>0</v>
      </c>
      <c r="T45" s="467"/>
      <c r="V45" s="458">
        <v>46217</v>
      </c>
      <c r="W45" s="492">
        <f t="shared" si="7"/>
        <v>210</v>
      </c>
      <c r="X45" s="446"/>
    </row>
    <row r="46" s="440" customFormat="1" ht="15.75" customHeight="1" spans="1:25">
      <c r="A46" s="458">
        <v>46215</v>
      </c>
      <c r="B46" s="459" t="s">
        <v>365</v>
      </c>
      <c r="C46" s="459" t="s">
        <v>378</v>
      </c>
      <c r="D46" s="460"/>
      <c r="E46" s="461">
        <v>5</v>
      </c>
      <c r="F46" s="469"/>
      <c r="G46" s="493"/>
      <c r="H46" s="472"/>
      <c r="I46" s="493"/>
      <c r="J46" s="472"/>
      <c r="K46" s="472"/>
      <c r="L46" s="472"/>
      <c r="M46" s="472"/>
      <c r="N46" s="474">
        <f t="shared" si="0"/>
        <v>0</v>
      </c>
      <c r="O46" s="465">
        <v>0</v>
      </c>
      <c r="P46" s="466">
        <f t="shared" si="1"/>
        <v>0</v>
      </c>
      <c r="Q46" s="467"/>
      <c r="R46" s="467">
        <f t="shared" si="6"/>
        <v>0</v>
      </c>
      <c r="S46" s="467">
        <f t="shared" si="2"/>
        <v>0</v>
      </c>
      <c r="T46" s="467"/>
      <c r="V46" s="458">
        <v>46218</v>
      </c>
      <c r="W46" s="492">
        <f t="shared" si="7"/>
        <v>300</v>
      </c>
      <c r="X46" s="446"/>
    </row>
    <row r="47" s="440" customFormat="1" ht="15.75" customHeight="1" spans="1:25">
      <c r="A47" s="458">
        <v>46216</v>
      </c>
      <c r="B47" s="459" t="s">
        <v>365</v>
      </c>
      <c r="C47" s="459" t="s">
        <v>378</v>
      </c>
      <c r="D47" s="460"/>
      <c r="E47" s="461">
        <v>5</v>
      </c>
      <c r="F47" s="469"/>
      <c r="G47" s="493"/>
      <c r="H47" s="472"/>
      <c r="I47" s="493"/>
      <c r="J47" s="472"/>
      <c r="K47" s="472"/>
      <c r="L47" s="472"/>
      <c r="M47" s="472"/>
      <c r="N47" s="474">
        <f t="shared" si="0"/>
        <v>0</v>
      </c>
      <c r="O47" s="465">
        <v>0</v>
      </c>
      <c r="P47" s="466">
        <f t="shared" si="1"/>
        <v>0</v>
      </c>
      <c r="Q47" s="467"/>
      <c r="R47" s="467">
        <f t="shared" si="6"/>
        <v>0</v>
      </c>
      <c r="S47" s="467">
        <f t="shared" si="2"/>
        <v>0</v>
      </c>
      <c r="T47" s="467"/>
      <c r="V47" s="481">
        <v>46219</v>
      </c>
      <c r="W47" s="492">
        <f t="shared" si="7"/>
        <v>375</v>
      </c>
      <c r="X47" s="446"/>
    </row>
    <row r="48" s="440" customFormat="1" ht="15.75" customHeight="1" spans="1:25">
      <c r="A48" s="458">
        <v>46217</v>
      </c>
      <c r="B48" s="459" t="s">
        <v>365</v>
      </c>
      <c r="C48" s="459" t="s">
        <v>378</v>
      </c>
      <c r="D48" s="460"/>
      <c r="E48" s="461">
        <v>5</v>
      </c>
      <c r="F48" s="469"/>
      <c r="G48" s="493"/>
      <c r="H48" s="472"/>
      <c r="I48" s="493"/>
      <c r="J48" s="472"/>
      <c r="K48" s="472"/>
      <c r="L48" s="472"/>
      <c r="M48" s="472"/>
      <c r="N48" s="474">
        <f t="shared" si="0"/>
        <v>0</v>
      </c>
      <c r="O48" s="465">
        <v>0</v>
      </c>
      <c r="P48" s="466">
        <f t="shared" si="1"/>
        <v>0</v>
      </c>
      <c r="Q48" s="467"/>
      <c r="R48" s="467">
        <f t="shared" si="6"/>
        <v>0</v>
      </c>
      <c r="S48" s="467">
        <f t="shared" si="2"/>
        <v>0</v>
      </c>
      <c r="T48" s="467"/>
      <c r="V48" s="458">
        <v>46220</v>
      </c>
      <c r="W48" s="492">
        <f t="shared" si="7"/>
        <v>295</v>
      </c>
      <c r="X48" s="446"/>
    </row>
    <row r="49" s="440" customFormat="1" ht="15.75" customHeight="1" spans="1:24">
      <c r="A49" s="458">
        <v>46218</v>
      </c>
      <c r="B49" s="459" t="s">
        <v>365</v>
      </c>
      <c r="C49" s="459" t="s">
        <v>378</v>
      </c>
      <c r="D49" s="460"/>
      <c r="E49" s="461">
        <v>5</v>
      </c>
      <c r="F49" s="469"/>
      <c r="G49" s="493"/>
      <c r="H49" s="472"/>
      <c r="I49" s="493"/>
      <c r="J49" s="472"/>
      <c r="K49" s="472"/>
      <c r="L49" s="472"/>
      <c r="M49" s="472"/>
      <c r="N49" s="474">
        <f t="shared" si="0"/>
        <v>0</v>
      </c>
      <c r="O49" s="465">
        <v>0</v>
      </c>
      <c r="P49" s="466">
        <f t="shared" si="1"/>
        <v>0</v>
      </c>
      <c r="Q49" s="467"/>
      <c r="R49" s="467">
        <f t="shared" si="6"/>
        <v>0</v>
      </c>
      <c r="S49" s="467">
        <f t="shared" si="2"/>
        <v>0</v>
      </c>
      <c r="T49" s="467"/>
      <c r="V49" s="458">
        <v>46221</v>
      </c>
      <c r="W49" s="492">
        <f t="shared" si="7"/>
        <v>295</v>
      </c>
      <c r="X49" s="446"/>
    </row>
    <row r="50" s="440" customFormat="1" ht="15.75" customHeight="1" spans="1:24">
      <c r="A50" s="481">
        <v>46219</v>
      </c>
      <c r="B50" s="459" t="s">
        <v>365</v>
      </c>
      <c r="C50" s="459" t="s">
        <v>378</v>
      </c>
      <c r="D50" s="460"/>
      <c r="E50" s="461">
        <v>5</v>
      </c>
      <c r="F50" s="469"/>
      <c r="G50" s="493"/>
      <c r="H50" s="472"/>
      <c r="I50" s="493"/>
      <c r="J50" s="472"/>
      <c r="K50" s="472"/>
      <c r="L50" s="472"/>
      <c r="M50" s="472"/>
      <c r="N50" s="474">
        <f t="shared" si="0"/>
        <v>0</v>
      </c>
      <c r="O50" s="465">
        <v>0</v>
      </c>
      <c r="P50" s="466">
        <f t="shared" si="1"/>
        <v>0</v>
      </c>
      <c r="Q50" s="467"/>
      <c r="R50" s="467">
        <f t="shared" si="6"/>
        <v>0</v>
      </c>
      <c r="S50" s="467">
        <f t="shared" si="2"/>
        <v>0</v>
      </c>
      <c r="T50" s="467"/>
      <c r="V50" s="458">
        <v>46222</v>
      </c>
      <c r="W50" s="492">
        <f t="shared" si="7"/>
        <v>265</v>
      </c>
      <c r="X50" s="446"/>
    </row>
    <row r="51" s="440" customFormat="1" ht="15.75" customHeight="1" spans="1:24">
      <c r="A51" s="458">
        <v>46220</v>
      </c>
      <c r="B51" s="459" t="s">
        <v>365</v>
      </c>
      <c r="C51" s="459" t="s">
        <v>378</v>
      </c>
      <c r="D51" s="460"/>
      <c r="E51" s="461">
        <v>5</v>
      </c>
      <c r="F51" s="469"/>
      <c r="G51" s="493"/>
      <c r="H51" s="472"/>
      <c r="I51" s="493"/>
      <c r="J51" s="472"/>
      <c r="K51" s="472"/>
      <c r="L51" s="472"/>
      <c r="M51" s="472"/>
      <c r="N51" s="474">
        <f t="shared" si="0"/>
        <v>0</v>
      </c>
      <c r="O51" s="465">
        <v>0</v>
      </c>
      <c r="P51" s="466">
        <f t="shared" si="1"/>
        <v>0</v>
      </c>
      <c r="Q51" s="467"/>
      <c r="R51" s="467">
        <f t="shared" si="6"/>
        <v>0</v>
      </c>
      <c r="S51" s="467">
        <f t="shared" si="2"/>
        <v>0</v>
      </c>
      <c r="T51" s="467"/>
      <c r="V51" s="458">
        <v>46223</v>
      </c>
      <c r="W51" s="492">
        <f t="shared" si="7"/>
        <v>215</v>
      </c>
      <c r="X51" s="446"/>
    </row>
    <row r="52" s="440" customFormat="1" ht="15.75" customHeight="1" spans="1:24">
      <c r="A52" s="458">
        <v>46221</v>
      </c>
      <c r="B52" s="459" t="s">
        <v>365</v>
      </c>
      <c r="C52" s="459" t="s">
        <v>378</v>
      </c>
      <c r="D52" s="460"/>
      <c r="E52" s="461">
        <v>5</v>
      </c>
      <c r="F52" s="469"/>
      <c r="G52" s="493"/>
      <c r="H52" s="472"/>
      <c r="I52" s="493"/>
      <c r="J52" s="472"/>
      <c r="K52" s="472"/>
      <c r="L52" s="472"/>
      <c r="M52" s="472"/>
      <c r="N52" s="474">
        <f t="shared" si="0"/>
        <v>0</v>
      </c>
      <c r="O52" s="465">
        <v>0</v>
      </c>
      <c r="P52" s="466">
        <f t="shared" si="1"/>
        <v>0</v>
      </c>
      <c r="Q52" s="467"/>
      <c r="R52" s="467">
        <f t="shared" si="6"/>
        <v>0</v>
      </c>
      <c r="S52" s="467">
        <f t="shared" si="2"/>
        <v>0</v>
      </c>
      <c r="T52" s="467"/>
      <c r="V52" s="458">
        <v>46224</v>
      </c>
      <c r="W52" s="492">
        <f t="shared" si="7"/>
        <v>260</v>
      </c>
      <c r="X52" s="446"/>
    </row>
    <row r="53" s="440" customFormat="1" ht="15.75" customHeight="1" spans="1:24">
      <c r="A53" s="458">
        <v>46222</v>
      </c>
      <c r="B53" s="459" t="s">
        <v>365</v>
      </c>
      <c r="C53" s="459" t="s">
        <v>378</v>
      </c>
      <c r="D53" s="460"/>
      <c r="E53" s="461">
        <v>5</v>
      </c>
      <c r="F53" s="469"/>
      <c r="G53" s="493">
        <v>16</v>
      </c>
      <c r="H53" s="472"/>
      <c r="I53" s="493"/>
      <c r="J53" s="472"/>
      <c r="K53" s="472"/>
      <c r="L53" s="472"/>
      <c r="M53" s="472"/>
      <c r="N53" s="474">
        <f t="shared" si="0"/>
        <v>16</v>
      </c>
      <c r="O53" s="465">
        <v>0</v>
      </c>
      <c r="P53" s="466">
        <f t="shared" si="1"/>
        <v>80</v>
      </c>
      <c r="Q53" s="467"/>
      <c r="R53" s="467">
        <f t="shared" si="6"/>
        <v>0</v>
      </c>
      <c r="S53" s="467">
        <f t="shared" si="2"/>
        <v>80</v>
      </c>
      <c r="T53" s="467"/>
      <c r="V53" s="458">
        <v>46225</v>
      </c>
      <c r="W53" s="492">
        <f t="shared" si="7"/>
        <v>365</v>
      </c>
      <c r="X53" s="446"/>
    </row>
    <row r="54" s="440" customFormat="1" ht="15.75" customHeight="1" spans="1:24">
      <c r="A54" s="458">
        <v>46223</v>
      </c>
      <c r="B54" s="459" t="s">
        <v>365</v>
      </c>
      <c r="C54" s="459" t="s">
        <v>378</v>
      </c>
      <c r="D54" s="460"/>
      <c r="E54" s="461">
        <v>5</v>
      </c>
      <c r="F54" s="469"/>
      <c r="G54" s="493">
        <v>8</v>
      </c>
      <c r="H54" s="472"/>
      <c r="I54" s="493"/>
      <c r="J54" s="472"/>
      <c r="K54" s="472"/>
      <c r="L54" s="472"/>
      <c r="M54" s="472"/>
      <c r="N54" s="474">
        <f t="shared" si="0"/>
        <v>8</v>
      </c>
      <c r="O54" s="465">
        <v>0</v>
      </c>
      <c r="P54" s="466">
        <f t="shared" si="1"/>
        <v>40</v>
      </c>
      <c r="Q54" s="467"/>
      <c r="R54" s="467">
        <f t="shared" si="6"/>
        <v>0</v>
      </c>
      <c r="S54" s="467">
        <f t="shared" si="2"/>
        <v>40</v>
      </c>
      <c r="T54" s="467"/>
      <c r="V54" s="458">
        <v>46226</v>
      </c>
      <c r="W54" s="492">
        <f t="shared" si="7"/>
        <v>345</v>
      </c>
      <c r="X54" s="446"/>
    </row>
    <row r="55" s="440" customFormat="1" ht="15.75" customHeight="1" spans="1:24">
      <c r="A55" s="458">
        <v>46224</v>
      </c>
      <c r="B55" s="459" t="s">
        <v>365</v>
      </c>
      <c r="C55" s="459" t="s">
        <v>378</v>
      </c>
      <c r="D55" s="460"/>
      <c r="E55" s="461">
        <v>5</v>
      </c>
      <c r="F55" s="469"/>
      <c r="G55" s="493">
        <v>8</v>
      </c>
      <c r="H55" s="472"/>
      <c r="I55" s="493"/>
      <c r="J55" s="472"/>
      <c r="K55" s="472"/>
      <c r="L55" s="472"/>
      <c r="M55" s="472"/>
      <c r="N55" s="474">
        <f t="shared" si="0"/>
        <v>8</v>
      </c>
      <c r="O55" s="465">
        <v>0</v>
      </c>
      <c r="P55" s="466">
        <f t="shared" si="1"/>
        <v>40</v>
      </c>
      <c r="Q55" s="467"/>
      <c r="R55" s="467">
        <f t="shared" si="6"/>
        <v>0</v>
      </c>
      <c r="S55" s="467">
        <f t="shared" si="2"/>
        <v>40</v>
      </c>
      <c r="T55" s="467"/>
      <c r="V55" s="458">
        <v>46227</v>
      </c>
      <c r="W55" s="492">
        <f t="shared" si="7"/>
        <v>375</v>
      </c>
      <c r="X55" s="446"/>
    </row>
    <row r="56" s="440" customFormat="1" ht="15.75" customHeight="1" spans="1:24">
      <c r="A56" s="458">
        <v>46225</v>
      </c>
      <c r="B56" s="459" t="s">
        <v>365</v>
      </c>
      <c r="C56" s="459" t="s">
        <v>378</v>
      </c>
      <c r="D56" s="460"/>
      <c r="E56" s="461">
        <v>5</v>
      </c>
      <c r="F56" s="469"/>
      <c r="G56" s="493">
        <v>13</v>
      </c>
      <c r="H56" s="472"/>
      <c r="I56" s="493"/>
      <c r="J56" s="472"/>
      <c r="K56" s="472"/>
      <c r="L56" s="472"/>
      <c r="M56" s="472"/>
      <c r="N56" s="474">
        <f t="shared" si="0"/>
        <v>13</v>
      </c>
      <c r="O56" s="465">
        <v>0</v>
      </c>
      <c r="P56" s="466">
        <f t="shared" si="1"/>
        <v>65</v>
      </c>
      <c r="Q56" s="467"/>
      <c r="R56" s="467">
        <f t="shared" si="6"/>
        <v>0</v>
      </c>
      <c r="S56" s="467">
        <f t="shared" si="2"/>
        <v>65</v>
      </c>
      <c r="T56" s="467"/>
      <c r="V56" s="458">
        <v>46228</v>
      </c>
      <c r="W56" s="492">
        <f t="shared" si="7"/>
        <v>320</v>
      </c>
      <c r="X56" s="446"/>
    </row>
    <row r="57" s="440" customFormat="1" ht="15.75" customHeight="1" spans="1:24">
      <c r="A57" s="458">
        <v>46226</v>
      </c>
      <c r="B57" s="459" t="s">
        <v>365</v>
      </c>
      <c r="C57" s="459" t="s">
        <v>378</v>
      </c>
      <c r="D57" s="460"/>
      <c r="E57" s="461">
        <v>5</v>
      </c>
      <c r="F57" s="469"/>
      <c r="G57" s="493">
        <v>7</v>
      </c>
      <c r="H57" s="472"/>
      <c r="I57" s="493"/>
      <c r="J57" s="472"/>
      <c r="K57" s="472"/>
      <c r="L57" s="472"/>
      <c r="M57" s="472"/>
      <c r="N57" s="474">
        <f t="shared" si="0"/>
        <v>7</v>
      </c>
      <c r="O57" s="465">
        <v>0</v>
      </c>
      <c r="P57" s="466">
        <f t="shared" si="1"/>
        <v>35</v>
      </c>
      <c r="Q57" s="467"/>
      <c r="R57" s="467">
        <f t="shared" si="6"/>
        <v>0</v>
      </c>
      <c r="S57" s="467">
        <f t="shared" si="2"/>
        <v>35</v>
      </c>
      <c r="T57" s="467"/>
      <c r="V57" s="458">
        <v>46229</v>
      </c>
      <c r="W57" s="492">
        <f t="shared" si="7"/>
        <v>380</v>
      </c>
      <c r="X57" s="446"/>
    </row>
    <row r="58" s="440" customFormat="1" ht="15.75" customHeight="1" spans="1:24">
      <c r="A58" s="458">
        <v>46227</v>
      </c>
      <c r="B58" s="459" t="s">
        <v>365</v>
      </c>
      <c r="C58" s="459" t="s">
        <v>378</v>
      </c>
      <c r="D58" s="460"/>
      <c r="E58" s="461">
        <v>5</v>
      </c>
      <c r="F58" s="469"/>
      <c r="G58" s="493">
        <v>11</v>
      </c>
      <c r="H58" s="472"/>
      <c r="I58" s="493"/>
      <c r="J58" s="472"/>
      <c r="K58" s="472"/>
      <c r="L58" s="472"/>
      <c r="M58" s="472"/>
      <c r="N58" s="474">
        <f t="shared" si="0"/>
        <v>11</v>
      </c>
      <c r="O58" s="465">
        <v>0</v>
      </c>
      <c r="P58" s="466">
        <f t="shared" si="1"/>
        <v>55</v>
      </c>
      <c r="Q58" s="467"/>
      <c r="R58" s="467">
        <f t="shared" si="6"/>
        <v>0</v>
      </c>
      <c r="S58" s="467">
        <f t="shared" si="2"/>
        <v>55</v>
      </c>
      <c r="T58" s="467"/>
      <c r="V58" s="458">
        <v>46230</v>
      </c>
      <c r="W58" s="492">
        <f t="shared" si="7"/>
        <v>245</v>
      </c>
      <c r="X58" s="446"/>
    </row>
    <row r="59" s="440" customFormat="1" ht="15.75" customHeight="1" spans="1:24">
      <c r="A59" s="458">
        <v>46228</v>
      </c>
      <c r="B59" s="459" t="s">
        <v>365</v>
      </c>
      <c r="C59" s="459" t="s">
        <v>378</v>
      </c>
      <c r="D59" s="460"/>
      <c r="E59" s="461">
        <v>5</v>
      </c>
      <c r="F59" s="469"/>
      <c r="G59" s="493">
        <v>8</v>
      </c>
      <c r="H59" s="472"/>
      <c r="I59" s="493"/>
      <c r="J59" s="472"/>
      <c r="K59" s="472"/>
      <c r="L59" s="472"/>
      <c r="M59" s="472"/>
      <c r="N59" s="474">
        <f t="shared" si="0"/>
        <v>8</v>
      </c>
      <c r="O59" s="465">
        <v>0</v>
      </c>
      <c r="P59" s="466">
        <f t="shared" si="1"/>
        <v>40</v>
      </c>
      <c r="Q59" s="467"/>
      <c r="R59" s="467">
        <f t="shared" si="6"/>
        <v>0</v>
      </c>
      <c r="S59" s="467">
        <f t="shared" si="2"/>
        <v>40</v>
      </c>
      <c r="T59" s="467"/>
      <c r="V59" s="458">
        <v>46231</v>
      </c>
      <c r="W59" s="492">
        <f t="shared" si="7"/>
        <v>265</v>
      </c>
      <c r="X59" s="446"/>
    </row>
    <row r="60" s="440" customFormat="1" ht="15.75" customHeight="1" spans="1:24">
      <c r="A60" s="458">
        <v>46229</v>
      </c>
      <c r="B60" s="459" t="s">
        <v>365</v>
      </c>
      <c r="C60" s="459" t="s">
        <v>378</v>
      </c>
      <c r="D60" s="460"/>
      <c r="E60" s="461">
        <v>5</v>
      </c>
      <c r="F60" s="471"/>
      <c r="G60" s="319">
        <v>8</v>
      </c>
      <c r="H60" s="472"/>
      <c r="I60" s="493"/>
      <c r="J60" s="472"/>
      <c r="K60" s="472"/>
      <c r="L60" s="472"/>
      <c r="M60" s="472"/>
      <c r="N60" s="474">
        <f t="shared" si="0"/>
        <v>8</v>
      </c>
      <c r="O60" s="465">
        <v>0</v>
      </c>
      <c r="P60" s="466">
        <f t="shared" si="1"/>
        <v>40</v>
      </c>
      <c r="Q60" s="467"/>
      <c r="R60" s="467">
        <f t="shared" si="6"/>
        <v>0</v>
      </c>
      <c r="S60" s="467">
        <f t="shared" si="2"/>
        <v>40</v>
      </c>
      <c r="T60" s="467"/>
      <c r="V60" s="458">
        <v>46232</v>
      </c>
      <c r="W60" s="492">
        <f t="shared" si="7"/>
        <v>390</v>
      </c>
      <c r="X60" s="446"/>
    </row>
    <row r="61" s="440" customFormat="1" ht="15.75" customHeight="1" spans="1:24">
      <c r="A61" s="458">
        <v>46230</v>
      </c>
      <c r="B61" s="459" t="s">
        <v>365</v>
      </c>
      <c r="C61" s="459" t="s">
        <v>378</v>
      </c>
      <c r="D61" s="460"/>
      <c r="E61" s="461">
        <v>5</v>
      </c>
      <c r="F61" s="469"/>
      <c r="G61" s="493"/>
      <c r="H61" s="472"/>
      <c r="I61" s="493"/>
      <c r="J61" s="472"/>
      <c r="K61" s="472"/>
      <c r="L61" s="472"/>
      <c r="M61" s="472"/>
      <c r="N61" s="474">
        <f t="shared" si="0"/>
        <v>0</v>
      </c>
      <c r="O61" s="465">
        <v>0</v>
      </c>
      <c r="P61" s="466">
        <f t="shared" si="1"/>
        <v>0</v>
      </c>
      <c r="Q61" s="467"/>
      <c r="R61" s="467">
        <f t="shared" si="6"/>
        <v>0</v>
      </c>
      <c r="S61" s="467">
        <f t="shared" si="2"/>
        <v>0</v>
      </c>
      <c r="T61" s="467"/>
      <c r="V61" s="458">
        <v>46233</v>
      </c>
      <c r="W61" s="492">
        <f t="shared" si="7"/>
        <v>365</v>
      </c>
      <c r="X61" s="446"/>
    </row>
    <row r="62" s="440" customFormat="1" ht="15.75" customHeight="1" spans="1:24">
      <c r="A62" s="458">
        <v>46231</v>
      </c>
      <c r="B62" s="459" t="s">
        <v>365</v>
      </c>
      <c r="C62" s="459" t="s">
        <v>378</v>
      </c>
      <c r="D62" s="460"/>
      <c r="E62" s="461">
        <v>5</v>
      </c>
      <c r="F62" s="469"/>
      <c r="G62" s="493">
        <v>13</v>
      </c>
      <c r="H62" s="472"/>
      <c r="I62" s="493"/>
      <c r="J62" s="472"/>
      <c r="K62" s="472"/>
      <c r="L62" s="472"/>
      <c r="M62" s="472"/>
      <c r="N62" s="474">
        <f t="shared" si="0"/>
        <v>13</v>
      </c>
      <c r="O62" s="465">
        <v>0</v>
      </c>
      <c r="P62" s="466">
        <f t="shared" si="1"/>
        <v>65</v>
      </c>
      <c r="Q62" s="467"/>
      <c r="R62" s="467">
        <f t="shared" si="6"/>
        <v>0</v>
      </c>
      <c r="S62" s="467">
        <f t="shared" si="2"/>
        <v>65</v>
      </c>
      <c r="T62" s="467"/>
      <c r="V62" s="458">
        <v>46234</v>
      </c>
      <c r="W62" s="492">
        <f t="shared" si="7"/>
        <v>340</v>
      </c>
      <c r="X62" s="446"/>
    </row>
    <row r="63" s="440" customFormat="1" ht="15.75" customHeight="1" spans="1:24">
      <c r="A63" s="458">
        <v>46232</v>
      </c>
      <c r="B63" s="459" t="s">
        <v>365</v>
      </c>
      <c r="C63" s="459" t="s">
        <v>378</v>
      </c>
      <c r="D63" s="460"/>
      <c r="E63" s="461">
        <v>5</v>
      </c>
      <c r="F63" s="471"/>
      <c r="G63" s="319">
        <v>8</v>
      </c>
      <c r="H63" s="472"/>
      <c r="I63" s="493"/>
      <c r="J63" s="472"/>
      <c r="K63" s="472"/>
      <c r="L63" s="472"/>
      <c r="M63" s="472"/>
      <c r="N63" s="474">
        <f t="shared" si="0"/>
        <v>8</v>
      </c>
      <c r="O63" s="465">
        <v>0</v>
      </c>
      <c r="P63" s="466">
        <f t="shared" si="1"/>
        <v>40</v>
      </c>
      <c r="Q63" s="467"/>
      <c r="R63" s="467">
        <f t="shared" si="6"/>
        <v>0</v>
      </c>
      <c r="S63" s="467">
        <f t="shared" si="2"/>
        <v>40</v>
      </c>
      <c r="T63" s="467"/>
      <c r="V63" s="491"/>
      <c r="W63" s="492"/>
      <c r="X63" s="446"/>
    </row>
    <row r="64" s="440" customFormat="1" ht="15.75" customHeight="1" spans="1:24">
      <c r="A64" s="458">
        <v>46233</v>
      </c>
      <c r="B64" s="459" t="s">
        <v>365</v>
      </c>
      <c r="C64" s="459" t="s">
        <v>378</v>
      </c>
      <c r="D64" s="460"/>
      <c r="E64" s="461">
        <v>5</v>
      </c>
      <c r="F64" s="469"/>
      <c r="G64" s="493">
        <v>16</v>
      </c>
      <c r="H64" s="472"/>
      <c r="I64" s="493"/>
      <c r="J64" s="472"/>
      <c r="K64" s="472"/>
      <c r="L64" s="472"/>
      <c r="M64" s="472"/>
      <c r="N64" s="474">
        <f t="shared" si="0"/>
        <v>16</v>
      </c>
      <c r="O64" s="465">
        <v>0</v>
      </c>
      <c r="P64" s="466">
        <f t="shared" si="1"/>
        <v>80</v>
      </c>
      <c r="Q64" s="467"/>
      <c r="R64" s="467">
        <f t="shared" si="6"/>
        <v>0</v>
      </c>
      <c r="S64" s="467">
        <f t="shared" si="2"/>
        <v>80</v>
      </c>
      <c r="T64" s="467"/>
      <c r="V64" s="491"/>
      <c r="W64" s="207">
        <f>SUM(W32:W63)</f>
        <v>9880</v>
      </c>
      <c r="X64" s="446"/>
    </row>
    <row r="65" s="441" customFormat="1" ht="15.75" customHeight="1" spans="1:24">
      <c r="A65" s="458">
        <v>46234</v>
      </c>
      <c r="B65" s="459" t="s">
        <v>365</v>
      </c>
      <c r="C65" s="459" t="s">
        <v>378</v>
      </c>
      <c r="D65" s="460"/>
      <c r="E65" s="461">
        <v>5</v>
      </c>
      <c r="F65" s="469"/>
      <c r="G65" s="493">
        <v>8</v>
      </c>
      <c r="H65" s="472"/>
      <c r="I65" s="493"/>
      <c r="J65" s="472"/>
      <c r="K65" s="472"/>
      <c r="L65" s="472">
        <v>1</v>
      </c>
      <c r="M65" s="472"/>
      <c r="N65" s="474">
        <v>0</v>
      </c>
      <c r="O65" s="465">
        <v>0</v>
      </c>
      <c r="P65" s="466">
        <v>0</v>
      </c>
      <c r="Q65" s="467"/>
      <c r="R65" s="467">
        <v>0</v>
      </c>
      <c r="S65" s="467">
        <v>0</v>
      </c>
      <c r="T65" s="467"/>
      <c r="V65" s="495"/>
      <c r="W65" s="450"/>
      <c r="X65" s="446"/>
    </row>
    <row r="66" s="440" customFormat="1" ht="15.75" customHeight="1" spans="1:24">
      <c r="A66" s="458">
        <v>46204</v>
      </c>
      <c r="B66" s="459" t="s">
        <v>366</v>
      </c>
      <c r="C66" s="459" t="s">
        <v>379</v>
      </c>
      <c r="D66" s="460"/>
      <c r="E66" s="461">
        <v>5</v>
      </c>
      <c r="F66" s="469"/>
      <c r="G66" s="493">
        <v>14</v>
      </c>
      <c r="H66" s="472"/>
      <c r="I66" s="493"/>
      <c r="J66" s="472"/>
      <c r="K66" s="472"/>
      <c r="L66" s="472"/>
      <c r="M66" s="472"/>
      <c r="N66" s="474">
        <f t="shared" ref="N66:N71" si="8">SUMPRODUCT($G$2:$M$2,G66:M66)</f>
        <v>14</v>
      </c>
      <c r="O66" s="465">
        <v>8</v>
      </c>
      <c r="P66" s="466">
        <f t="shared" ref="P66:P71" si="9">IFERROR(IF((N66*E66-O66*E66)&lt;0,0,(N66*E66-O66*E66)),"")</f>
        <v>30</v>
      </c>
      <c r="Q66" s="467"/>
      <c r="R66" s="467">
        <f t="shared" ref="R66:R71" si="10">IF(Q66="",0,Q66*5)</f>
        <v>0</v>
      </c>
      <c r="S66" s="467">
        <f t="shared" ref="S66:S71" si="11">IF(B66="","",P66+R66)</f>
        <v>30</v>
      </c>
      <c r="T66" s="467"/>
      <c r="W66" s="450"/>
      <c r="X66" s="446"/>
    </row>
    <row r="67" s="440" customFormat="1" ht="15.75" customHeight="1" spans="1:24">
      <c r="A67" s="458">
        <v>46205</v>
      </c>
      <c r="B67" s="459" t="s">
        <v>366</v>
      </c>
      <c r="C67" s="459" t="s">
        <v>379</v>
      </c>
      <c r="D67" s="460"/>
      <c r="E67" s="461">
        <v>5</v>
      </c>
      <c r="F67" s="469"/>
      <c r="G67" s="493">
        <v>12</v>
      </c>
      <c r="H67" s="472"/>
      <c r="I67" s="493"/>
      <c r="J67" s="472"/>
      <c r="K67" s="472"/>
      <c r="L67" s="472"/>
      <c r="M67" s="472"/>
      <c r="N67" s="474">
        <f t="shared" si="8"/>
        <v>12</v>
      </c>
      <c r="O67" s="465">
        <v>8</v>
      </c>
      <c r="P67" s="466">
        <f t="shared" si="9"/>
        <v>20</v>
      </c>
      <c r="Q67" s="467"/>
      <c r="R67" s="467">
        <f t="shared" si="10"/>
        <v>0</v>
      </c>
      <c r="S67" s="467">
        <f t="shared" si="11"/>
        <v>20</v>
      </c>
      <c r="T67" s="467"/>
      <c r="W67" s="450"/>
      <c r="X67" s="446"/>
    </row>
    <row r="68" s="440" customFormat="1" ht="15.75" customHeight="1" spans="1:24">
      <c r="A68" s="458">
        <v>46206</v>
      </c>
      <c r="B68" s="459" t="s">
        <v>366</v>
      </c>
      <c r="C68" s="459" t="s">
        <v>379</v>
      </c>
      <c r="D68" s="460"/>
      <c r="E68" s="461">
        <v>5</v>
      </c>
      <c r="F68" s="469"/>
      <c r="G68" s="493"/>
      <c r="H68" s="472"/>
      <c r="I68" s="493"/>
      <c r="J68" s="472"/>
      <c r="K68" s="472"/>
      <c r="L68" s="472"/>
      <c r="M68" s="472"/>
      <c r="N68" s="474">
        <f t="shared" si="8"/>
        <v>0</v>
      </c>
      <c r="O68" s="465">
        <v>8</v>
      </c>
      <c r="P68" s="466">
        <f t="shared" si="9"/>
        <v>0</v>
      </c>
      <c r="Q68" s="467"/>
      <c r="R68" s="467">
        <f t="shared" si="10"/>
        <v>0</v>
      </c>
      <c r="S68" s="467">
        <f t="shared" si="11"/>
        <v>0</v>
      </c>
      <c r="T68" s="467"/>
      <c r="W68" s="450"/>
      <c r="X68" s="446"/>
    </row>
    <row r="69" s="440" customFormat="1" ht="15.75" customHeight="1" spans="1:24">
      <c r="A69" s="458">
        <v>46207</v>
      </c>
      <c r="B69" s="459" t="s">
        <v>366</v>
      </c>
      <c r="C69" s="459" t="s">
        <v>379</v>
      </c>
      <c r="D69" s="460"/>
      <c r="E69" s="461">
        <v>5</v>
      </c>
      <c r="F69" s="469"/>
      <c r="G69" s="493">
        <v>16</v>
      </c>
      <c r="H69" s="472"/>
      <c r="I69" s="493"/>
      <c r="J69" s="472"/>
      <c r="K69" s="472"/>
      <c r="L69" s="472"/>
      <c r="M69" s="472"/>
      <c r="N69" s="474">
        <f t="shared" si="8"/>
        <v>16</v>
      </c>
      <c r="O69" s="465">
        <v>8</v>
      </c>
      <c r="P69" s="466">
        <f t="shared" si="9"/>
        <v>40</v>
      </c>
      <c r="Q69" s="467"/>
      <c r="R69" s="467">
        <f t="shared" si="10"/>
        <v>0</v>
      </c>
      <c r="S69" s="467">
        <f t="shared" si="11"/>
        <v>40</v>
      </c>
      <c r="T69" s="467"/>
      <c r="W69" s="450"/>
      <c r="X69" s="446"/>
    </row>
    <row r="70" s="440" customFormat="1" ht="15.75" customHeight="1" spans="1:24">
      <c r="A70" s="458">
        <v>46208</v>
      </c>
      <c r="B70" s="459" t="s">
        <v>366</v>
      </c>
      <c r="C70" s="459" t="s">
        <v>379</v>
      </c>
      <c r="D70" s="460"/>
      <c r="E70" s="461">
        <v>5</v>
      </c>
      <c r="F70" s="469"/>
      <c r="G70" s="493">
        <v>18</v>
      </c>
      <c r="H70" s="472"/>
      <c r="I70" s="493"/>
      <c r="J70" s="472"/>
      <c r="K70" s="472"/>
      <c r="L70" s="472"/>
      <c r="M70" s="472"/>
      <c r="N70" s="474">
        <f t="shared" si="8"/>
        <v>18</v>
      </c>
      <c r="O70" s="465">
        <v>8</v>
      </c>
      <c r="P70" s="466">
        <f t="shared" si="9"/>
        <v>50</v>
      </c>
      <c r="Q70" s="467"/>
      <c r="R70" s="467">
        <f t="shared" si="10"/>
        <v>0</v>
      </c>
      <c r="S70" s="467">
        <f t="shared" si="11"/>
        <v>50</v>
      </c>
      <c r="T70" s="467"/>
      <c r="W70" s="450"/>
      <c r="X70" s="446"/>
    </row>
    <row r="71" s="440" customFormat="1" ht="15.75" customHeight="1" spans="1:24">
      <c r="A71" s="458">
        <v>46209</v>
      </c>
      <c r="B71" s="459" t="s">
        <v>366</v>
      </c>
      <c r="C71" s="459" t="s">
        <v>379</v>
      </c>
      <c r="D71" s="460"/>
      <c r="E71" s="461">
        <v>5</v>
      </c>
      <c r="F71" s="469"/>
      <c r="G71" s="493">
        <v>18</v>
      </c>
      <c r="H71" s="472"/>
      <c r="I71" s="493"/>
      <c r="J71" s="472"/>
      <c r="K71" s="472"/>
      <c r="L71" s="472"/>
      <c r="M71" s="472"/>
      <c r="N71" s="474">
        <f t="shared" si="8"/>
        <v>18</v>
      </c>
      <c r="O71" s="465">
        <v>8</v>
      </c>
      <c r="P71" s="466">
        <f t="shared" si="9"/>
        <v>50</v>
      </c>
      <c r="Q71" s="467"/>
      <c r="R71" s="467">
        <f t="shared" si="10"/>
        <v>0</v>
      </c>
      <c r="S71" s="467">
        <f t="shared" si="11"/>
        <v>50</v>
      </c>
      <c r="T71" s="467"/>
      <c r="W71" s="450"/>
      <c r="X71" s="446"/>
    </row>
    <row r="72" s="440" customFormat="1" ht="15.75" customHeight="1" spans="1:24">
      <c r="A72" s="458">
        <v>46210</v>
      </c>
      <c r="B72" s="459" t="s">
        <v>366</v>
      </c>
      <c r="C72" s="459" t="s">
        <v>379</v>
      </c>
      <c r="D72" s="460"/>
      <c r="E72" s="461">
        <v>5</v>
      </c>
      <c r="F72" s="469"/>
      <c r="G72" s="496">
        <v>18</v>
      </c>
      <c r="H72" s="470"/>
      <c r="I72" s="496"/>
      <c r="J72" s="470"/>
      <c r="K72" s="470"/>
      <c r="L72" s="472"/>
      <c r="M72" s="472"/>
      <c r="N72" s="474">
        <f t="shared" ref="N72:N93" si="12">SUMPRODUCT($G$2:$M$2,G72:M72)</f>
        <v>18</v>
      </c>
      <c r="O72" s="465">
        <v>8</v>
      </c>
      <c r="P72" s="466">
        <f t="shared" ref="P72:P93" si="13">IFERROR(IF((N72*E72-O72*E72)&lt;0,0,(N72*E72-O72*E72)),"")</f>
        <v>50</v>
      </c>
      <c r="Q72" s="467"/>
      <c r="R72" s="467">
        <f t="shared" ref="R72:R93" si="14">IF(Q72="",0,Q72*5)</f>
        <v>0</v>
      </c>
      <c r="S72" s="467">
        <f t="shared" ref="S72:S93" si="15">IF(B72="","",P72+R72)</f>
        <v>50</v>
      </c>
      <c r="T72" s="467"/>
      <c r="W72" s="450"/>
      <c r="X72" s="446"/>
    </row>
    <row r="73" s="440" customFormat="1" ht="15.75" customHeight="1" spans="1:24">
      <c r="A73" s="458">
        <v>46211</v>
      </c>
      <c r="B73" s="459" t="s">
        <v>366</v>
      </c>
      <c r="C73" s="459" t="s">
        <v>379</v>
      </c>
      <c r="D73" s="460"/>
      <c r="E73" s="461">
        <v>5</v>
      </c>
      <c r="F73" s="471"/>
      <c r="G73" s="493">
        <v>18</v>
      </c>
      <c r="H73" s="472"/>
      <c r="I73" s="493"/>
      <c r="J73" s="472"/>
      <c r="K73" s="472"/>
      <c r="L73" s="497"/>
      <c r="M73" s="472"/>
      <c r="N73" s="474">
        <f t="shared" si="12"/>
        <v>18</v>
      </c>
      <c r="O73" s="465">
        <v>8</v>
      </c>
      <c r="P73" s="466">
        <f t="shared" si="13"/>
        <v>50</v>
      </c>
      <c r="Q73" s="467"/>
      <c r="R73" s="467">
        <f t="shared" si="14"/>
        <v>0</v>
      </c>
      <c r="S73" s="467">
        <f t="shared" si="15"/>
        <v>50</v>
      </c>
      <c r="T73" s="467"/>
      <c r="W73" s="450"/>
      <c r="X73" s="446"/>
    </row>
    <row r="74" s="440" customFormat="1" ht="15.75" customHeight="1" spans="1:24">
      <c r="A74" s="458">
        <v>46212</v>
      </c>
      <c r="B74" s="459" t="s">
        <v>366</v>
      </c>
      <c r="C74" s="459" t="s">
        <v>379</v>
      </c>
      <c r="D74" s="460"/>
      <c r="E74" s="461">
        <v>5</v>
      </c>
      <c r="F74" s="471"/>
      <c r="G74" s="319">
        <v>18</v>
      </c>
      <c r="H74" s="319"/>
      <c r="I74" s="319"/>
      <c r="J74" s="319"/>
      <c r="K74" s="472"/>
      <c r="L74" s="497">
        <v>1</v>
      </c>
      <c r="M74" s="472"/>
      <c r="N74" s="474">
        <f t="shared" si="12"/>
        <v>20</v>
      </c>
      <c r="O74" s="465">
        <v>8</v>
      </c>
      <c r="P74" s="466">
        <f t="shared" si="13"/>
        <v>60</v>
      </c>
      <c r="Q74" s="467"/>
      <c r="R74" s="467">
        <f t="shared" si="14"/>
        <v>0</v>
      </c>
      <c r="S74" s="467">
        <f t="shared" si="15"/>
        <v>60</v>
      </c>
      <c r="T74" s="467"/>
      <c r="W74" s="450"/>
      <c r="X74" s="446"/>
    </row>
    <row r="75" s="440" customFormat="1" ht="15.75" customHeight="1" spans="1:24">
      <c r="A75" s="458">
        <v>46213</v>
      </c>
      <c r="B75" s="459" t="s">
        <v>366</v>
      </c>
      <c r="C75" s="459" t="s">
        <v>379</v>
      </c>
      <c r="D75" s="460"/>
      <c r="E75" s="461">
        <v>5</v>
      </c>
      <c r="F75" s="469"/>
      <c r="G75" s="494">
        <v>17</v>
      </c>
      <c r="H75" s="473"/>
      <c r="I75" s="494"/>
      <c r="J75" s="473"/>
      <c r="K75" s="473"/>
      <c r="L75" s="472"/>
      <c r="M75" s="472"/>
      <c r="N75" s="474">
        <f t="shared" si="12"/>
        <v>17</v>
      </c>
      <c r="O75" s="465">
        <v>8</v>
      </c>
      <c r="P75" s="466">
        <f t="shared" si="13"/>
        <v>45</v>
      </c>
      <c r="Q75" s="467"/>
      <c r="R75" s="467">
        <f t="shared" si="14"/>
        <v>0</v>
      </c>
      <c r="S75" s="467">
        <f t="shared" si="15"/>
        <v>45</v>
      </c>
      <c r="T75" s="467"/>
      <c r="W75" s="450"/>
      <c r="X75" s="446"/>
    </row>
    <row r="76" s="440" customFormat="1" ht="15.75" customHeight="1" spans="1:24">
      <c r="A76" s="458">
        <v>46214</v>
      </c>
      <c r="B76" s="459" t="s">
        <v>366</v>
      </c>
      <c r="C76" s="459" t="s">
        <v>379</v>
      </c>
      <c r="D76" s="460"/>
      <c r="E76" s="461">
        <v>5</v>
      </c>
      <c r="F76" s="469"/>
      <c r="G76" s="493"/>
      <c r="H76" s="472"/>
      <c r="I76" s="493"/>
      <c r="J76" s="472"/>
      <c r="K76" s="472"/>
      <c r="L76" s="472"/>
      <c r="M76" s="472"/>
      <c r="N76" s="474">
        <f t="shared" si="12"/>
        <v>0</v>
      </c>
      <c r="O76" s="465">
        <v>8</v>
      </c>
      <c r="P76" s="466">
        <f t="shared" si="13"/>
        <v>0</v>
      </c>
      <c r="Q76" s="467"/>
      <c r="R76" s="467">
        <f t="shared" si="14"/>
        <v>0</v>
      </c>
      <c r="S76" s="467">
        <f t="shared" si="15"/>
        <v>0</v>
      </c>
      <c r="T76" s="467"/>
      <c r="W76" s="450"/>
      <c r="X76" s="446"/>
    </row>
    <row r="77" s="440" customFormat="1" ht="15.75" customHeight="1" spans="1:24">
      <c r="A77" s="458">
        <v>46215</v>
      </c>
      <c r="B77" s="459" t="s">
        <v>366</v>
      </c>
      <c r="C77" s="459" t="s">
        <v>379</v>
      </c>
      <c r="D77" s="460"/>
      <c r="E77" s="461">
        <v>5</v>
      </c>
      <c r="F77" s="469"/>
      <c r="G77" s="493"/>
      <c r="H77" s="472"/>
      <c r="I77" s="493"/>
      <c r="J77" s="472"/>
      <c r="K77" s="472"/>
      <c r="L77" s="472"/>
      <c r="M77" s="472"/>
      <c r="N77" s="474">
        <f t="shared" si="12"/>
        <v>0</v>
      </c>
      <c r="O77" s="465">
        <v>8</v>
      </c>
      <c r="P77" s="466">
        <f t="shared" si="13"/>
        <v>0</v>
      </c>
      <c r="Q77" s="467"/>
      <c r="R77" s="467">
        <f t="shared" si="14"/>
        <v>0</v>
      </c>
      <c r="S77" s="467">
        <f t="shared" si="15"/>
        <v>0</v>
      </c>
      <c r="T77" s="467"/>
      <c r="W77" s="450"/>
      <c r="X77" s="446"/>
    </row>
    <row r="78" s="440" customFormat="1" ht="15.75" customHeight="1" spans="1:24">
      <c r="A78" s="458">
        <v>46216</v>
      </c>
      <c r="B78" s="459" t="s">
        <v>366</v>
      </c>
      <c r="C78" s="459" t="s">
        <v>379</v>
      </c>
      <c r="D78" s="460"/>
      <c r="E78" s="461">
        <v>5</v>
      </c>
      <c r="F78" s="469"/>
      <c r="G78" s="493"/>
      <c r="H78" s="472"/>
      <c r="I78" s="493"/>
      <c r="J78" s="472"/>
      <c r="K78" s="472"/>
      <c r="L78" s="472"/>
      <c r="M78" s="472"/>
      <c r="N78" s="474">
        <f t="shared" si="12"/>
        <v>0</v>
      </c>
      <c r="O78" s="465">
        <v>8</v>
      </c>
      <c r="P78" s="466">
        <f t="shared" si="13"/>
        <v>0</v>
      </c>
      <c r="Q78" s="467"/>
      <c r="R78" s="467">
        <f t="shared" si="14"/>
        <v>0</v>
      </c>
      <c r="S78" s="467">
        <f t="shared" si="15"/>
        <v>0</v>
      </c>
      <c r="T78" s="467"/>
      <c r="W78" s="450"/>
      <c r="X78" s="446"/>
    </row>
    <row r="79" s="440" customFormat="1" ht="15.75" customHeight="1" spans="1:24">
      <c r="A79" s="458">
        <v>46217</v>
      </c>
      <c r="B79" s="459" t="s">
        <v>366</v>
      </c>
      <c r="C79" s="459" t="s">
        <v>379</v>
      </c>
      <c r="D79" s="460"/>
      <c r="E79" s="461">
        <v>5</v>
      </c>
      <c r="F79" s="469"/>
      <c r="G79" s="493"/>
      <c r="H79" s="472"/>
      <c r="I79" s="493"/>
      <c r="J79" s="472"/>
      <c r="K79" s="472"/>
      <c r="L79" s="472"/>
      <c r="M79" s="472"/>
      <c r="N79" s="474">
        <f t="shared" si="12"/>
        <v>0</v>
      </c>
      <c r="O79" s="465">
        <v>8</v>
      </c>
      <c r="P79" s="466">
        <f t="shared" si="13"/>
        <v>0</v>
      </c>
      <c r="Q79" s="467"/>
      <c r="R79" s="467">
        <f t="shared" si="14"/>
        <v>0</v>
      </c>
      <c r="S79" s="467">
        <f t="shared" si="15"/>
        <v>0</v>
      </c>
      <c r="T79" s="467"/>
      <c r="W79" s="450"/>
      <c r="X79" s="446"/>
    </row>
    <row r="80" s="440" customFormat="1" ht="15.75" customHeight="1" spans="1:24">
      <c r="A80" s="458">
        <v>46218</v>
      </c>
      <c r="B80" s="459" t="s">
        <v>366</v>
      </c>
      <c r="C80" s="459" t="s">
        <v>379</v>
      </c>
      <c r="D80" s="460"/>
      <c r="E80" s="461">
        <v>5</v>
      </c>
      <c r="F80" s="469"/>
      <c r="G80" s="493">
        <v>18</v>
      </c>
      <c r="H80" s="472"/>
      <c r="I80" s="493"/>
      <c r="J80" s="472"/>
      <c r="K80" s="472"/>
      <c r="L80" s="472"/>
      <c r="M80" s="472"/>
      <c r="N80" s="474">
        <f t="shared" si="12"/>
        <v>18</v>
      </c>
      <c r="O80" s="465">
        <v>8</v>
      </c>
      <c r="P80" s="466">
        <f t="shared" si="13"/>
        <v>50</v>
      </c>
      <c r="Q80" s="467"/>
      <c r="R80" s="467">
        <f t="shared" si="14"/>
        <v>0</v>
      </c>
      <c r="S80" s="467">
        <f t="shared" si="15"/>
        <v>50</v>
      </c>
      <c r="T80" s="467"/>
      <c r="W80" s="450"/>
      <c r="X80" s="446"/>
    </row>
    <row r="81" s="440" customFormat="1" ht="15.75" customHeight="1" spans="1:24">
      <c r="A81" s="481">
        <v>46219</v>
      </c>
      <c r="B81" s="459" t="s">
        <v>366</v>
      </c>
      <c r="C81" s="459" t="s">
        <v>379</v>
      </c>
      <c r="D81" s="460"/>
      <c r="E81" s="461">
        <v>5</v>
      </c>
      <c r="F81" s="469"/>
      <c r="G81" s="493">
        <v>17</v>
      </c>
      <c r="H81" s="472"/>
      <c r="I81" s="493"/>
      <c r="J81" s="472"/>
      <c r="K81" s="472"/>
      <c r="L81" s="472">
        <v>1</v>
      </c>
      <c r="M81" s="472"/>
      <c r="N81" s="474">
        <f t="shared" si="12"/>
        <v>19</v>
      </c>
      <c r="O81" s="465">
        <v>8</v>
      </c>
      <c r="P81" s="466">
        <f t="shared" si="13"/>
        <v>55</v>
      </c>
      <c r="Q81" s="467"/>
      <c r="R81" s="467">
        <f t="shared" si="14"/>
        <v>0</v>
      </c>
      <c r="S81" s="467">
        <f t="shared" si="15"/>
        <v>55</v>
      </c>
      <c r="T81" s="467"/>
      <c r="W81" s="450"/>
      <c r="X81" s="446"/>
    </row>
    <row r="82" s="440" customFormat="1" ht="15.75" customHeight="1" spans="1:24">
      <c r="A82" s="458">
        <v>46220</v>
      </c>
      <c r="B82" s="459" t="s">
        <v>366</v>
      </c>
      <c r="C82" s="459" t="s">
        <v>379</v>
      </c>
      <c r="D82" s="460"/>
      <c r="E82" s="461">
        <v>5</v>
      </c>
      <c r="F82" s="469"/>
      <c r="G82" s="493">
        <v>17</v>
      </c>
      <c r="H82" s="472"/>
      <c r="I82" s="493"/>
      <c r="J82" s="472"/>
      <c r="K82" s="472"/>
      <c r="L82" s="472">
        <v>1</v>
      </c>
      <c r="M82" s="472"/>
      <c r="N82" s="474">
        <f t="shared" si="12"/>
        <v>19</v>
      </c>
      <c r="O82" s="465">
        <v>8</v>
      </c>
      <c r="P82" s="466">
        <f t="shared" si="13"/>
        <v>55</v>
      </c>
      <c r="Q82" s="467"/>
      <c r="R82" s="467">
        <f t="shared" si="14"/>
        <v>0</v>
      </c>
      <c r="S82" s="467">
        <f t="shared" si="15"/>
        <v>55</v>
      </c>
      <c r="T82" s="467"/>
      <c r="W82" s="450"/>
      <c r="X82" s="446"/>
    </row>
    <row r="83" s="440" customFormat="1" ht="15.75" customHeight="1" spans="1:24">
      <c r="A83" s="458">
        <v>46221</v>
      </c>
      <c r="B83" s="459" t="s">
        <v>366</v>
      </c>
      <c r="C83" s="459" t="s">
        <v>379</v>
      </c>
      <c r="D83" s="460"/>
      <c r="E83" s="461">
        <v>5</v>
      </c>
      <c r="F83" s="469"/>
      <c r="G83" s="493">
        <v>8</v>
      </c>
      <c r="H83" s="472"/>
      <c r="I83" s="493"/>
      <c r="J83" s="472"/>
      <c r="K83" s="472"/>
      <c r="L83" s="472">
        <v>1</v>
      </c>
      <c r="M83" s="472"/>
      <c r="N83" s="474">
        <f t="shared" si="12"/>
        <v>10</v>
      </c>
      <c r="O83" s="465">
        <v>8</v>
      </c>
      <c r="P83" s="466">
        <f t="shared" si="13"/>
        <v>10</v>
      </c>
      <c r="Q83" s="467"/>
      <c r="R83" s="467">
        <f t="shared" si="14"/>
        <v>0</v>
      </c>
      <c r="S83" s="467">
        <f t="shared" si="15"/>
        <v>10</v>
      </c>
      <c r="T83" s="467"/>
      <c r="W83" s="450"/>
      <c r="X83" s="446"/>
    </row>
    <row r="84" s="440" customFormat="1" ht="15.75" customHeight="1" spans="1:24">
      <c r="A84" s="458">
        <v>46222</v>
      </c>
      <c r="B84" s="459" t="s">
        <v>366</v>
      </c>
      <c r="C84" s="459" t="s">
        <v>379</v>
      </c>
      <c r="D84" s="460"/>
      <c r="E84" s="461">
        <v>5</v>
      </c>
      <c r="F84" s="469"/>
      <c r="G84" s="493"/>
      <c r="H84" s="472"/>
      <c r="I84" s="493"/>
      <c r="J84" s="472"/>
      <c r="K84" s="472"/>
      <c r="L84" s="472"/>
      <c r="M84" s="472"/>
      <c r="N84" s="474">
        <f t="shared" si="12"/>
        <v>0</v>
      </c>
      <c r="O84" s="465">
        <v>8</v>
      </c>
      <c r="P84" s="466">
        <f t="shared" si="13"/>
        <v>0</v>
      </c>
      <c r="Q84" s="467"/>
      <c r="R84" s="467">
        <f t="shared" si="14"/>
        <v>0</v>
      </c>
      <c r="S84" s="467">
        <f t="shared" si="15"/>
        <v>0</v>
      </c>
      <c r="T84" s="467"/>
      <c r="W84" s="450"/>
      <c r="X84" s="446"/>
    </row>
    <row r="85" s="440" customFormat="1" ht="15.75" customHeight="1" spans="1:24">
      <c r="A85" s="458">
        <v>46223</v>
      </c>
      <c r="B85" s="459" t="s">
        <v>366</v>
      </c>
      <c r="C85" s="459" t="s">
        <v>379</v>
      </c>
      <c r="D85" s="460"/>
      <c r="E85" s="461">
        <v>5</v>
      </c>
      <c r="F85" s="469"/>
      <c r="G85" s="493">
        <v>13</v>
      </c>
      <c r="H85" s="472"/>
      <c r="I85" s="493"/>
      <c r="J85" s="472"/>
      <c r="K85" s="472"/>
      <c r="L85" s="472">
        <v>1</v>
      </c>
      <c r="M85" s="472"/>
      <c r="N85" s="474">
        <v>0</v>
      </c>
      <c r="O85" s="465">
        <v>8</v>
      </c>
      <c r="P85" s="466">
        <v>0</v>
      </c>
      <c r="Q85" s="467"/>
      <c r="R85" s="467">
        <f t="shared" si="14"/>
        <v>0</v>
      </c>
      <c r="S85" s="467">
        <f t="shared" si="15"/>
        <v>0</v>
      </c>
      <c r="T85" s="467"/>
      <c r="W85" s="450"/>
      <c r="X85" s="446"/>
    </row>
    <row r="86" s="440" customFormat="1" ht="15.75" customHeight="1" spans="1:24">
      <c r="A86" s="458">
        <v>46224</v>
      </c>
      <c r="B86" s="459" t="s">
        <v>366</v>
      </c>
      <c r="C86" s="459" t="s">
        <v>379</v>
      </c>
      <c r="D86" s="460"/>
      <c r="E86" s="461">
        <v>5</v>
      </c>
      <c r="F86" s="469"/>
      <c r="G86" s="493">
        <v>16</v>
      </c>
      <c r="H86" s="472"/>
      <c r="I86" s="493"/>
      <c r="J86" s="472"/>
      <c r="K86" s="472"/>
      <c r="L86" s="472"/>
      <c r="M86" s="472"/>
      <c r="N86" s="474">
        <f t="shared" ref="N86:N93" si="16">SUMPRODUCT($G$2:$M$2,G86:M86)</f>
        <v>16</v>
      </c>
      <c r="O86" s="465">
        <v>8</v>
      </c>
      <c r="P86" s="466">
        <f t="shared" ref="P86:P93" si="17">IFERROR(IF((N86*E86-O86*E86)&lt;0,0,(N86*E86-O86*E86)),"")</f>
        <v>40</v>
      </c>
      <c r="Q86" s="467"/>
      <c r="R86" s="467">
        <f t="shared" si="14"/>
        <v>0</v>
      </c>
      <c r="S86" s="467">
        <f t="shared" si="15"/>
        <v>40</v>
      </c>
      <c r="T86" s="467"/>
      <c r="W86" s="450"/>
      <c r="X86" s="446"/>
    </row>
    <row r="87" s="440" customFormat="1" ht="15.75" customHeight="1" spans="1:24">
      <c r="A87" s="458">
        <v>46225</v>
      </c>
      <c r="B87" s="459" t="s">
        <v>366</v>
      </c>
      <c r="C87" s="459" t="s">
        <v>379</v>
      </c>
      <c r="D87" s="460"/>
      <c r="E87" s="461">
        <v>5</v>
      </c>
      <c r="F87" s="469"/>
      <c r="G87" s="493">
        <v>18</v>
      </c>
      <c r="H87" s="472"/>
      <c r="I87" s="493"/>
      <c r="J87" s="472"/>
      <c r="K87" s="472"/>
      <c r="L87" s="472">
        <v>1</v>
      </c>
      <c r="M87" s="472"/>
      <c r="N87" s="474">
        <f t="shared" si="16"/>
        <v>20</v>
      </c>
      <c r="O87" s="465">
        <v>8</v>
      </c>
      <c r="P87" s="466">
        <f t="shared" si="17"/>
        <v>60</v>
      </c>
      <c r="Q87" s="467"/>
      <c r="R87" s="467">
        <f t="shared" si="14"/>
        <v>0</v>
      </c>
      <c r="S87" s="467">
        <f t="shared" si="15"/>
        <v>60</v>
      </c>
      <c r="T87" s="467"/>
      <c r="W87" s="450"/>
      <c r="X87" s="446"/>
    </row>
    <row r="88" s="440" customFormat="1" ht="15.75" customHeight="1" spans="1:24">
      <c r="A88" s="458">
        <v>46226</v>
      </c>
      <c r="B88" s="459" t="s">
        <v>366</v>
      </c>
      <c r="C88" s="459" t="s">
        <v>379</v>
      </c>
      <c r="D88" s="460"/>
      <c r="E88" s="461">
        <v>5</v>
      </c>
      <c r="F88" s="469"/>
      <c r="G88" s="493">
        <v>17</v>
      </c>
      <c r="H88" s="472"/>
      <c r="I88" s="493"/>
      <c r="J88" s="472"/>
      <c r="K88" s="472"/>
      <c r="L88" s="472">
        <v>1</v>
      </c>
      <c r="M88" s="472"/>
      <c r="N88" s="474">
        <f t="shared" si="16"/>
        <v>19</v>
      </c>
      <c r="O88" s="465">
        <v>8</v>
      </c>
      <c r="P88" s="466">
        <f t="shared" si="17"/>
        <v>55</v>
      </c>
      <c r="Q88" s="467"/>
      <c r="R88" s="467">
        <f t="shared" si="14"/>
        <v>0</v>
      </c>
      <c r="S88" s="467">
        <f t="shared" si="15"/>
        <v>55</v>
      </c>
      <c r="T88" s="467"/>
      <c r="W88" s="450"/>
      <c r="X88" s="446"/>
    </row>
    <row r="89" s="440" customFormat="1" ht="15.75" customHeight="1" spans="1:24">
      <c r="A89" s="458">
        <v>46227</v>
      </c>
      <c r="B89" s="459" t="s">
        <v>366</v>
      </c>
      <c r="C89" s="459" t="s">
        <v>379</v>
      </c>
      <c r="D89" s="460"/>
      <c r="E89" s="461">
        <v>5</v>
      </c>
      <c r="F89" s="469"/>
      <c r="G89" s="493">
        <v>15</v>
      </c>
      <c r="H89" s="472"/>
      <c r="I89" s="493"/>
      <c r="J89" s="472"/>
      <c r="K89" s="472"/>
      <c r="L89" s="472">
        <v>1</v>
      </c>
      <c r="M89" s="472"/>
      <c r="N89" s="474">
        <f t="shared" si="16"/>
        <v>17</v>
      </c>
      <c r="O89" s="465">
        <v>8</v>
      </c>
      <c r="P89" s="466">
        <f t="shared" si="17"/>
        <v>45</v>
      </c>
      <c r="Q89" s="467"/>
      <c r="R89" s="467">
        <f t="shared" si="14"/>
        <v>0</v>
      </c>
      <c r="S89" s="467">
        <f t="shared" si="15"/>
        <v>45</v>
      </c>
      <c r="T89" s="467"/>
      <c r="W89" s="450"/>
      <c r="X89" s="446"/>
    </row>
    <row r="90" s="440" customFormat="1" ht="15.75" customHeight="1" spans="1:24">
      <c r="A90" s="458">
        <v>46228</v>
      </c>
      <c r="B90" s="459" t="s">
        <v>366</v>
      </c>
      <c r="C90" s="459" t="s">
        <v>379</v>
      </c>
      <c r="D90" s="460"/>
      <c r="E90" s="461">
        <v>5</v>
      </c>
      <c r="F90" s="469"/>
      <c r="G90" s="493">
        <v>17</v>
      </c>
      <c r="H90" s="472"/>
      <c r="I90" s="493"/>
      <c r="J90" s="472"/>
      <c r="K90" s="472"/>
      <c r="L90" s="472"/>
      <c r="M90" s="472"/>
      <c r="N90" s="474">
        <f t="shared" si="16"/>
        <v>17</v>
      </c>
      <c r="O90" s="465">
        <v>8</v>
      </c>
      <c r="P90" s="466">
        <f t="shared" si="17"/>
        <v>45</v>
      </c>
      <c r="Q90" s="467"/>
      <c r="R90" s="467">
        <f t="shared" si="14"/>
        <v>0</v>
      </c>
      <c r="S90" s="467">
        <f t="shared" si="15"/>
        <v>45</v>
      </c>
      <c r="T90" s="467"/>
      <c r="W90" s="450"/>
      <c r="X90" s="446"/>
    </row>
    <row r="91" s="440" customFormat="1" ht="15.75" customHeight="1" spans="1:24">
      <c r="A91" s="458">
        <v>46229</v>
      </c>
      <c r="B91" s="459" t="s">
        <v>366</v>
      </c>
      <c r="C91" s="459" t="s">
        <v>379</v>
      </c>
      <c r="D91" s="460"/>
      <c r="E91" s="461">
        <v>5</v>
      </c>
      <c r="F91" s="469"/>
      <c r="G91" s="493">
        <v>15</v>
      </c>
      <c r="H91" s="472"/>
      <c r="I91" s="493"/>
      <c r="J91" s="472"/>
      <c r="K91" s="472"/>
      <c r="L91" s="472"/>
      <c r="M91" s="472"/>
      <c r="N91" s="474">
        <f t="shared" si="16"/>
        <v>15</v>
      </c>
      <c r="O91" s="465">
        <v>8</v>
      </c>
      <c r="P91" s="466">
        <f t="shared" si="17"/>
        <v>35</v>
      </c>
      <c r="Q91" s="467"/>
      <c r="R91" s="467">
        <f t="shared" si="14"/>
        <v>0</v>
      </c>
      <c r="S91" s="467">
        <f t="shared" si="15"/>
        <v>35</v>
      </c>
      <c r="T91" s="467"/>
      <c r="W91" s="450"/>
      <c r="X91" s="446"/>
    </row>
    <row r="92" s="440" customFormat="1" ht="15.75" customHeight="1" spans="1:24">
      <c r="A92" s="458">
        <v>46230</v>
      </c>
      <c r="B92" s="459" t="s">
        <v>366</v>
      </c>
      <c r="C92" s="459" t="s">
        <v>379</v>
      </c>
      <c r="D92" s="460"/>
      <c r="E92" s="461">
        <v>5</v>
      </c>
      <c r="F92" s="469"/>
      <c r="G92" s="493"/>
      <c r="H92" s="472"/>
      <c r="I92" s="493"/>
      <c r="J92" s="472"/>
      <c r="K92" s="472"/>
      <c r="L92" s="472"/>
      <c r="M92" s="472"/>
      <c r="N92" s="474">
        <f t="shared" si="16"/>
        <v>0</v>
      </c>
      <c r="O92" s="465">
        <v>8</v>
      </c>
      <c r="P92" s="466">
        <f t="shared" si="17"/>
        <v>0</v>
      </c>
      <c r="Q92" s="467"/>
      <c r="R92" s="467">
        <f t="shared" si="14"/>
        <v>0</v>
      </c>
      <c r="S92" s="467">
        <f t="shared" si="15"/>
        <v>0</v>
      </c>
      <c r="T92" s="467"/>
      <c r="W92" s="450"/>
      <c r="X92" s="446"/>
    </row>
    <row r="93" s="440" customFormat="1" ht="15.75" customHeight="1" spans="1:24">
      <c r="A93" s="458">
        <v>46231</v>
      </c>
      <c r="B93" s="459" t="s">
        <v>366</v>
      </c>
      <c r="C93" s="459" t="s">
        <v>379</v>
      </c>
      <c r="D93" s="460"/>
      <c r="E93" s="461">
        <v>5</v>
      </c>
      <c r="F93" s="469"/>
      <c r="G93" s="493"/>
      <c r="H93" s="472"/>
      <c r="I93" s="493"/>
      <c r="J93" s="472"/>
      <c r="K93" s="472"/>
      <c r="L93" s="472"/>
      <c r="M93" s="472"/>
      <c r="N93" s="474">
        <f t="shared" si="16"/>
        <v>0</v>
      </c>
      <c r="O93" s="465">
        <v>8</v>
      </c>
      <c r="P93" s="466">
        <f t="shared" si="17"/>
        <v>0</v>
      </c>
      <c r="Q93" s="467"/>
      <c r="R93" s="467">
        <f t="shared" si="14"/>
        <v>0</v>
      </c>
      <c r="S93" s="467">
        <f t="shared" si="15"/>
        <v>0</v>
      </c>
      <c r="T93" s="467"/>
      <c r="W93" s="450"/>
      <c r="X93" s="446"/>
    </row>
    <row r="94" s="440" customFormat="1" ht="15.75" hidden="1" customHeight="1" spans="1:24">
      <c r="A94" s="498"/>
      <c r="B94" s="499"/>
      <c r="C94" s="499">
        <v>29</v>
      </c>
      <c r="D94" s="500"/>
      <c r="E94" s="501">
        <v>8</v>
      </c>
      <c r="F94" s="502"/>
      <c r="G94" s="503"/>
      <c r="H94" s="504"/>
      <c r="I94" s="503"/>
      <c r="J94" s="504"/>
      <c r="K94" s="504"/>
      <c r="L94" s="503"/>
      <c r="M94" s="504"/>
      <c r="N94" s="505">
        <f t="shared" ref="N94:N126" si="18">SUMPRODUCT($G$2:$M$2,G94:M94)</f>
        <v>0</v>
      </c>
      <c r="O94" s="465">
        <v>8</v>
      </c>
      <c r="P94" s="467">
        <f t="shared" ref="P94:P126" si="19">IFERROR(IF((N94*E94-O94*E94)&lt;0,0,(N94*E94-O94*E94)),"")</f>
        <v>0</v>
      </c>
      <c r="Q94" s="467"/>
      <c r="R94" s="467">
        <f t="shared" ref="R94:R126" si="20">IF(Q94="",0,Q94*5)</f>
        <v>0</v>
      </c>
      <c r="S94" s="467" t="str">
        <f t="shared" ref="S94:S126" si="21">IF(B94="","",P94+R94)</f>
        <v/>
      </c>
      <c r="T94" s="467"/>
      <c r="W94" s="450"/>
      <c r="X94" s="446"/>
    </row>
    <row r="95" s="440" customFormat="1" ht="15.75" hidden="1" customHeight="1" spans="1:24">
      <c r="A95" s="498"/>
      <c r="B95" s="499"/>
      <c r="C95" s="499"/>
      <c r="D95" s="500"/>
      <c r="E95" s="501">
        <v>8</v>
      </c>
      <c r="F95" s="502"/>
      <c r="G95" s="503"/>
      <c r="H95" s="504"/>
      <c r="I95" s="503"/>
      <c r="J95" s="504"/>
      <c r="K95" s="504"/>
      <c r="L95" s="503"/>
      <c r="M95" s="504"/>
      <c r="N95" s="505">
        <f t="shared" si="18"/>
        <v>0</v>
      </c>
      <c r="O95" s="465">
        <v>8</v>
      </c>
      <c r="P95" s="467">
        <f t="shared" si="19"/>
        <v>0</v>
      </c>
      <c r="Q95" s="467"/>
      <c r="R95" s="467">
        <f t="shared" si="20"/>
        <v>0</v>
      </c>
      <c r="S95" s="467" t="str">
        <f t="shared" si="21"/>
        <v/>
      </c>
      <c r="T95" s="467"/>
      <c r="W95" s="450"/>
      <c r="X95" s="446"/>
    </row>
    <row r="96" s="440" customFormat="1" ht="15.75" hidden="1" customHeight="1" spans="1:24">
      <c r="A96" s="498"/>
      <c r="B96" s="499"/>
      <c r="C96" s="499"/>
      <c r="D96" s="500"/>
      <c r="E96" s="501">
        <v>8</v>
      </c>
      <c r="F96" s="502"/>
      <c r="G96" s="503"/>
      <c r="H96" s="504"/>
      <c r="I96" s="503"/>
      <c r="J96" s="504"/>
      <c r="K96" s="504"/>
      <c r="L96" s="503"/>
      <c r="M96" s="504"/>
      <c r="N96" s="505">
        <f t="shared" si="18"/>
        <v>0</v>
      </c>
      <c r="O96" s="465">
        <v>8</v>
      </c>
      <c r="P96" s="467">
        <f t="shared" si="19"/>
        <v>0</v>
      </c>
      <c r="Q96" s="467"/>
      <c r="R96" s="467">
        <f t="shared" si="20"/>
        <v>0</v>
      </c>
      <c r="S96" s="467" t="str">
        <f t="shared" si="21"/>
        <v/>
      </c>
      <c r="T96" s="467"/>
      <c r="W96" s="450"/>
      <c r="X96" s="446"/>
    </row>
    <row r="97" s="440" customFormat="1" ht="15.75" hidden="1" customHeight="1" spans="1:24">
      <c r="A97" s="498"/>
      <c r="B97" s="499"/>
      <c r="C97" s="499"/>
      <c r="D97" s="500"/>
      <c r="E97" s="501">
        <v>8</v>
      </c>
      <c r="F97" s="502"/>
      <c r="G97" s="503"/>
      <c r="H97" s="504"/>
      <c r="I97" s="503"/>
      <c r="J97" s="504"/>
      <c r="K97" s="504"/>
      <c r="L97" s="503"/>
      <c r="M97" s="504"/>
      <c r="N97" s="505">
        <f t="shared" si="18"/>
        <v>0</v>
      </c>
      <c r="O97" s="465">
        <v>8</v>
      </c>
      <c r="P97" s="467">
        <f t="shared" si="19"/>
        <v>0</v>
      </c>
      <c r="Q97" s="467"/>
      <c r="R97" s="467">
        <f t="shared" si="20"/>
        <v>0</v>
      </c>
      <c r="S97" s="467" t="str">
        <f t="shared" si="21"/>
        <v/>
      </c>
      <c r="T97" s="467"/>
      <c r="W97" s="450"/>
      <c r="X97" s="446"/>
    </row>
    <row r="98" s="440" customFormat="1" ht="15.75" hidden="1" customHeight="1" spans="1:24">
      <c r="A98" s="498"/>
      <c r="B98" s="499"/>
      <c r="C98" s="499"/>
      <c r="D98" s="500"/>
      <c r="E98" s="501">
        <v>8</v>
      </c>
      <c r="F98" s="502"/>
      <c r="G98" s="503"/>
      <c r="H98" s="504"/>
      <c r="I98" s="503"/>
      <c r="J98" s="504"/>
      <c r="K98" s="504"/>
      <c r="L98" s="503"/>
      <c r="M98" s="504"/>
      <c r="N98" s="505">
        <f t="shared" si="18"/>
        <v>0</v>
      </c>
      <c r="O98" s="465">
        <v>8</v>
      </c>
      <c r="P98" s="467">
        <f t="shared" si="19"/>
        <v>0</v>
      </c>
      <c r="Q98" s="467"/>
      <c r="R98" s="467">
        <f t="shared" si="20"/>
        <v>0</v>
      </c>
      <c r="S98" s="467" t="str">
        <f t="shared" si="21"/>
        <v/>
      </c>
      <c r="T98" s="467"/>
      <c r="W98" s="450"/>
      <c r="X98" s="446"/>
    </row>
    <row r="99" s="440" customFormat="1" ht="15.75" hidden="1" customHeight="1" spans="1:24">
      <c r="A99" s="498"/>
      <c r="B99" s="499"/>
      <c r="C99" s="499"/>
      <c r="D99" s="500"/>
      <c r="E99" s="501">
        <v>8</v>
      </c>
      <c r="F99" s="502"/>
      <c r="G99" s="503"/>
      <c r="H99" s="504"/>
      <c r="I99" s="503"/>
      <c r="J99" s="504"/>
      <c r="K99" s="504"/>
      <c r="L99" s="503"/>
      <c r="M99" s="504"/>
      <c r="N99" s="505">
        <f t="shared" si="18"/>
        <v>0</v>
      </c>
      <c r="O99" s="465">
        <v>8</v>
      </c>
      <c r="P99" s="467">
        <f t="shared" si="19"/>
        <v>0</v>
      </c>
      <c r="Q99" s="467"/>
      <c r="R99" s="467">
        <f t="shared" si="20"/>
        <v>0</v>
      </c>
      <c r="S99" s="467" t="str">
        <f t="shared" si="21"/>
        <v/>
      </c>
      <c r="T99" s="467"/>
      <c r="W99" s="450"/>
      <c r="X99" s="446"/>
    </row>
    <row r="100" s="440" customFormat="1" ht="15.75" hidden="1" customHeight="1" spans="1:24">
      <c r="A100" s="498"/>
      <c r="B100" s="499"/>
      <c r="C100" s="499"/>
      <c r="D100" s="500"/>
      <c r="E100" s="501">
        <v>8</v>
      </c>
      <c r="F100" s="502"/>
      <c r="G100" s="503"/>
      <c r="H100" s="504"/>
      <c r="I100" s="503"/>
      <c r="J100" s="504"/>
      <c r="K100" s="504"/>
      <c r="L100" s="503"/>
      <c r="M100" s="504"/>
      <c r="N100" s="505">
        <f t="shared" si="18"/>
        <v>0</v>
      </c>
      <c r="O100" s="465">
        <v>8</v>
      </c>
      <c r="P100" s="467">
        <f t="shared" si="19"/>
        <v>0</v>
      </c>
      <c r="Q100" s="467"/>
      <c r="R100" s="467">
        <f t="shared" si="20"/>
        <v>0</v>
      </c>
      <c r="S100" s="467" t="str">
        <f t="shared" si="21"/>
        <v/>
      </c>
      <c r="T100" s="467"/>
      <c r="W100" s="450"/>
      <c r="X100" s="446"/>
    </row>
    <row r="101" s="440" customFormat="1" ht="15.75" hidden="1" customHeight="1" spans="1:24">
      <c r="A101" s="498"/>
      <c r="B101" s="499"/>
      <c r="C101" s="499"/>
      <c r="D101" s="500"/>
      <c r="E101" s="501">
        <v>8</v>
      </c>
      <c r="F101" s="502"/>
      <c r="G101" s="503"/>
      <c r="H101" s="504"/>
      <c r="I101" s="503"/>
      <c r="J101" s="504"/>
      <c r="K101" s="504"/>
      <c r="L101" s="503"/>
      <c r="M101" s="504"/>
      <c r="N101" s="505">
        <f t="shared" si="18"/>
        <v>0</v>
      </c>
      <c r="O101" s="465">
        <v>8</v>
      </c>
      <c r="P101" s="467">
        <f t="shared" si="19"/>
        <v>0</v>
      </c>
      <c r="Q101" s="467"/>
      <c r="R101" s="467">
        <f t="shared" si="20"/>
        <v>0</v>
      </c>
      <c r="S101" s="467" t="str">
        <f t="shared" si="21"/>
        <v/>
      </c>
      <c r="T101" s="467"/>
      <c r="W101" s="450"/>
      <c r="X101" s="446"/>
    </row>
    <row r="102" s="440" customFormat="1" ht="15.75" hidden="1" customHeight="1" spans="1:24">
      <c r="A102" s="498"/>
      <c r="B102" s="499"/>
      <c r="C102" s="499"/>
      <c r="D102" s="500"/>
      <c r="E102" s="501">
        <v>8</v>
      </c>
      <c r="F102" s="502"/>
      <c r="G102" s="503"/>
      <c r="H102" s="504"/>
      <c r="I102" s="503"/>
      <c r="J102" s="504"/>
      <c r="K102" s="504"/>
      <c r="L102" s="503"/>
      <c r="M102" s="504"/>
      <c r="N102" s="505">
        <f t="shared" si="18"/>
        <v>0</v>
      </c>
      <c r="O102" s="465">
        <v>8</v>
      </c>
      <c r="P102" s="467">
        <f t="shared" si="19"/>
        <v>0</v>
      </c>
      <c r="Q102" s="467"/>
      <c r="R102" s="467">
        <f t="shared" si="20"/>
        <v>0</v>
      </c>
      <c r="S102" s="467" t="str">
        <f t="shared" si="21"/>
        <v/>
      </c>
      <c r="T102" s="467"/>
      <c r="W102" s="450"/>
      <c r="X102" s="446"/>
    </row>
    <row r="103" s="440" customFormat="1" ht="15.75" hidden="1" customHeight="1" spans="1:24">
      <c r="A103" s="498"/>
      <c r="B103" s="499"/>
      <c r="C103" s="499"/>
      <c r="D103" s="500"/>
      <c r="E103" s="501">
        <v>8</v>
      </c>
      <c r="F103" s="502"/>
      <c r="G103" s="503"/>
      <c r="H103" s="504"/>
      <c r="I103" s="503"/>
      <c r="J103" s="504"/>
      <c r="K103" s="504"/>
      <c r="L103" s="503"/>
      <c r="M103" s="504"/>
      <c r="N103" s="505">
        <f t="shared" si="18"/>
        <v>0</v>
      </c>
      <c r="O103" s="465">
        <v>8</v>
      </c>
      <c r="P103" s="467">
        <f t="shared" si="19"/>
        <v>0</v>
      </c>
      <c r="Q103" s="467"/>
      <c r="R103" s="467">
        <f t="shared" si="20"/>
        <v>0</v>
      </c>
      <c r="S103" s="467" t="str">
        <f t="shared" si="21"/>
        <v/>
      </c>
      <c r="T103" s="467"/>
      <c r="W103" s="450"/>
      <c r="X103" s="446"/>
    </row>
    <row r="104" s="440" customFormat="1" ht="15.75" hidden="1" customHeight="1" spans="1:24">
      <c r="A104" s="498"/>
      <c r="B104" s="499"/>
      <c r="C104" s="499"/>
      <c r="D104" s="500"/>
      <c r="E104" s="501">
        <v>8</v>
      </c>
      <c r="F104" s="502"/>
      <c r="G104" s="503"/>
      <c r="H104" s="504"/>
      <c r="I104" s="503"/>
      <c r="J104" s="504"/>
      <c r="K104" s="504"/>
      <c r="L104" s="503"/>
      <c r="M104" s="504"/>
      <c r="N104" s="505">
        <f t="shared" si="18"/>
        <v>0</v>
      </c>
      <c r="O104" s="465">
        <v>8</v>
      </c>
      <c r="P104" s="467">
        <f t="shared" si="19"/>
        <v>0</v>
      </c>
      <c r="Q104" s="467"/>
      <c r="R104" s="467">
        <f t="shared" si="20"/>
        <v>0</v>
      </c>
      <c r="S104" s="467" t="str">
        <f t="shared" si="21"/>
        <v/>
      </c>
      <c r="T104" s="467"/>
      <c r="W104" s="450"/>
      <c r="X104" s="446"/>
    </row>
    <row r="105" s="440" customFormat="1" ht="15.75" hidden="1" customHeight="1" spans="1:24">
      <c r="A105" s="498"/>
      <c r="B105" s="499"/>
      <c r="C105" s="499"/>
      <c r="D105" s="500"/>
      <c r="E105" s="501">
        <v>8</v>
      </c>
      <c r="F105" s="502"/>
      <c r="G105" s="503"/>
      <c r="H105" s="504"/>
      <c r="I105" s="503"/>
      <c r="J105" s="504"/>
      <c r="K105" s="504"/>
      <c r="L105" s="503"/>
      <c r="M105" s="504"/>
      <c r="N105" s="505">
        <f t="shared" si="18"/>
        <v>0</v>
      </c>
      <c r="O105" s="465">
        <v>8</v>
      </c>
      <c r="P105" s="467">
        <f t="shared" si="19"/>
        <v>0</v>
      </c>
      <c r="Q105" s="467"/>
      <c r="R105" s="467">
        <f t="shared" si="20"/>
        <v>0</v>
      </c>
      <c r="S105" s="467" t="str">
        <f t="shared" si="21"/>
        <v/>
      </c>
      <c r="T105" s="467"/>
      <c r="W105" s="450"/>
      <c r="X105" s="446"/>
    </row>
    <row r="106" s="440" customFormat="1" ht="15.75" hidden="1" customHeight="1" spans="1:24">
      <c r="A106" s="498"/>
      <c r="B106" s="499"/>
      <c r="C106" s="499"/>
      <c r="D106" s="500"/>
      <c r="E106" s="501">
        <v>8</v>
      </c>
      <c r="F106" s="502"/>
      <c r="G106" s="503"/>
      <c r="H106" s="504"/>
      <c r="I106" s="503"/>
      <c r="J106" s="504"/>
      <c r="K106" s="504"/>
      <c r="L106" s="503"/>
      <c r="M106" s="504"/>
      <c r="N106" s="505">
        <f t="shared" si="18"/>
        <v>0</v>
      </c>
      <c r="O106" s="465">
        <v>8</v>
      </c>
      <c r="P106" s="467">
        <f t="shared" si="19"/>
        <v>0</v>
      </c>
      <c r="Q106" s="467"/>
      <c r="R106" s="467">
        <f t="shared" si="20"/>
        <v>0</v>
      </c>
      <c r="S106" s="467" t="str">
        <f t="shared" si="21"/>
        <v/>
      </c>
      <c r="T106" s="467"/>
      <c r="W106" s="450"/>
      <c r="X106" s="446"/>
    </row>
    <row r="107" s="440" customFormat="1" ht="15.75" hidden="1" customHeight="1" spans="1:24">
      <c r="A107" s="498"/>
      <c r="B107" s="499"/>
      <c r="C107" s="499"/>
      <c r="D107" s="500"/>
      <c r="E107" s="501">
        <v>8</v>
      </c>
      <c r="F107" s="502"/>
      <c r="G107" s="503"/>
      <c r="H107" s="504"/>
      <c r="I107" s="503"/>
      <c r="J107" s="504"/>
      <c r="K107" s="504"/>
      <c r="L107" s="503"/>
      <c r="M107" s="504"/>
      <c r="N107" s="505">
        <f t="shared" si="18"/>
        <v>0</v>
      </c>
      <c r="O107" s="465">
        <v>8</v>
      </c>
      <c r="P107" s="467">
        <f t="shared" si="19"/>
        <v>0</v>
      </c>
      <c r="Q107" s="467"/>
      <c r="R107" s="467">
        <f t="shared" si="20"/>
        <v>0</v>
      </c>
      <c r="S107" s="467" t="str">
        <f t="shared" si="21"/>
        <v/>
      </c>
      <c r="T107" s="467"/>
      <c r="W107" s="450"/>
      <c r="X107" s="446"/>
    </row>
    <row r="108" s="440" customFormat="1" ht="15.75" hidden="1" customHeight="1" spans="1:24">
      <c r="A108" s="498"/>
      <c r="B108" s="499"/>
      <c r="C108" s="499"/>
      <c r="D108" s="500"/>
      <c r="E108" s="501">
        <v>8</v>
      </c>
      <c r="F108" s="502"/>
      <c r="G108" s="503"/>
      <c r="H108" s="504"/>
      <c r="I108" s="503"/>
      <c r="J108" s="504"/>
      <c r="K108" s="504"/>
      <c r="L108" s="503"/>
      <c r="M108" s="504"/>
      <c r="N108" s="505">
        <f t="shared" si="18"/>
        <v>0</v>
      </c>
      <c r="O108" s="465">
        <v>8</v>
      </c>
      <c r="P108" s="467">
        <f t="shared" si="19"/>
        <v>0</v>
      </c>
      <c r="Q108" s="467"/>
      <c r="R108" s="467">
        <f t="shared" si="20"/>
        <v>0</v>
      </c>
      <c r="S108" s="467" t="str">
        <f t="shared" si="21"/>
        <v/>
      </c>
      <c r="T108" s="467"/>
      <c r="W108" s="450"/>
      <c r="X108" s="446"/>
    </row>
    <row r="109" s="440" customFormat="1" ht="15.75" hidden="1" customHeight="1" spans="1:24">
      <c r="A109" s="498"/>
      <c r="B109" s="499"/>
      <c r="C109" s="499"/>
      <c r="D109" s="500"/>
      <c r="E109" s="501">
        <v>8</v>
      </c>
      <c r="F109" s="502"/>
      <c r="G109" s="503"/>
      <c r="H109" s="504"/>
      <c r="I109" s="503"/>
      <c r="J109" s="504"/>
      <c r="K109" s="504"/>
      <c r="L109" s="503"/>
      <c r="M109" s="504"/>
      <c r="N109" s="505">
        <f t="shared" si="18"/>
        <v>0</v>
      </c>
      <c r="O109" s="465">
        <v>8</v>
      </c>
      <c r="P109" s="467">
        <f t="shared" si="19"/>
        <v>0</v>
      </c>
      <c r="Q109" s="467"/>
      <c r="R109" s="467">
        <f t="shared" si="20"/>
        <v>0</v>
      </c>
      <c r="S109" s="467" t="str">
        <f t="shared" si="21"/>
        <v/>
      </c>
      <c r="T109" s="467"/>
      <c r="W109" s="450"/>
      <c r="X109" s="446"/>
    </row>
    <row r="110" s="440" customFormat="1" ht="15.75" hidden="1" customHeight="1" spans="1:24">
      <c r="A110" s="498"/>
      <c r="B110" s="499"/>
      <c r="C110" s="499"/>
      <c r="D110" s="500"/>
      <c r="E110" s="501">
        <v>8</v>
      </c>
      <c r="F110" s="502"/>
      <c r="G110" s="503"/>
      <c r="H110" s="504"/>
      <c r="I110" s="503"/>
      <c r="J110" s="504"/>
      <c r="K110" s="504"/>
      <c r="L110" s="503"/>
      <c r="M110" s="504"/>
      <c r="N110" s="505">
        <f t="shared" si="18"/>
        <v>0</v>
      </c>
      <c r="O110" s="465">
        <v>8</v>
      </c>
      <c r="P110" s="467">
        <f t="shared" si="19"/>
        <v>0</v>
      </c>
      <c r="Q110" s="467"/>
      <c r="R110" s="467">
        <f t="shared" si="20"/>
        <v>0</v>
      </c>
      <c r="S110" s="467" t="str">
        <f t="shared" si="21"/>
        <v/>
      </c>
      <c r="T110" s="467"/>
      <c r="W110" s="450"/>
      <c r="X110" s="446"/>
    </row>
    <row r="111" s="440" customFormat="1" ht="15.75" hidden="1" customHeight="1" spans="1:24">
      <c r="A111" s="498"/>
      <c r="B111" s="499"/>
      <c r="C111" s="499"/>
      <c r="D111" s="500"/>
      <c r="E111" s="501">
        <v>8</v>
      </c>
      <c r="F111" s="502"/>
      <c r="G111" s="503"/>
      <c r="H111" s="504"/>
      <c r="I111" s="503"/>
      <c r="J111" s="504"/>
      <c r="K111" s="504"/>
      <c r="L111" s="503"/>
      <c r="M111" s="504"/>
      <c r="N111" s="505">
        <f t="shared" si="18"/>
        <v>0</v>
      </c>
      <c r="O111" s="465">
        <v>8</v>
      </c>
      <c r="P111" s="467">
        <f t="shared" si="19"/>
        <v>0</v>
      </c>
      <c r="Q111" s="467"/>
      <c r="R111" s="467">
        <f t="shared" si="20"/>
        <v>0</v>
      </c>
      <c r="S111" s="467" t="str">
        <f t="shared" si="21"/>
        <v/>
      </c>
      <c r="T111" s="467"/>
      <c r="W111" s="450"/>
      <c r="X111" s="446"/>
    </row>
    <row r="112" s="440" customFormat="1" ht="15.75" hidden="1" customHeight="1" spans="1:24">
      <c r="A112" s="498"/>
      <c r="B112" s="499"/>
      <c r="C112" s="499"/>
      <c r="D112" s="500"/>
      <c r="E112" s="501">
        <v>8</v>
      </c>
      <c r="F112" s="502"/>
      <c r="G112" s="503"/>
      <c r="H112" s="504"/>
      <c r="I112" s="503"/>
      <c r="J112" s="504"/>
      <c r="K112" s="504"/>
      <c r="L112" s="503"/>
      <c r="M112" s="504"/>
      <c r="N112" s="505">
        <f t="shared" si="18"/>
        <v>0</v>
      </c>
      <c r="O112" s="465">
        <v>8</v>
      </c>
      <c r="P112" s="467">
        <f t="shared" si="19"/>
        <v>0</v>
      </c>
      <c r="Q112" s="467"/>
      <c r="R112" s="467">
        <f t="shared" si="20"/>
        <v>0</v>
      </c>
      <c r="S112" s="467" t="str">
        <f t="shared" si="21"/>
        <v/>
      </c>
      <c r="T112" s="467"/>
      <c r="W112" s="450"/>
      <c r="X112" s="446"/>
    </row>
    <row r="113" s="440" customFormat="1" ht="15.75" hidden="1" customHeight="1" spans="1:24">
      <c r="A113" s="498"/>
      <c r="B113" s="499"/>
      <c r="C113" s="499"/>
      <c r="D113" s="500"/>
      <c r="E113" s="501">
        <v>8</v>
      </c>
      <c r="F113" s="502"/>
      <c r="G113" s="503"/>
      <c r="H113" s="504"/>
      <c r="I113" s="503"/>
      <c r="J113" s="504"/>
      <c r="K113" s="504"/>
      <c r="L113" s="503"/>
      <c r="M113" s="504"/>
      <c r="N113" s="505">
        <f t="shared" si="18"/>
        <v>0</v>
      </c>
      <c r="O113" s="465">
        <v>8</v>
      </c>
      <c r="P113" s="467">
        <f t="shared" si="19"/>
        <v>0</v>
      </c>
      <c r="Q113" s="467"/>
      <c r="R113" s="467">
        <f t="shared" si="20"/>
        <v>0</v>
      </c>
      <c r="S113" s="467" t="str">
        <f t="shared" si="21"/>
        <v/>
      </c>
      <c r="T113" s="467"/>
      <c r="W113" s="450"/>
      <c r="X113" s="446"/>
    </row>
    <row r="114" s="440" customFormat="1" ht="15.75" hidden="1" customHeight="1" spans="1:24">
      <c r="A114" s="498"/>
      <c r="B114" s="499"/>
      <c r="C114" s="499"/>
      <c r="D114" s="500"/>
      <c r="E114" s="501">
        <v>8</v>
      </c>
      <c r="F114" s="502"/>
      <c r="G114" s="503"/>
      <c r="H114" s="504"/>
      <c r="I114" s="503"/>
      <c r="J114" s="504"/>
      <c r="K114" s="504"/>
      <c r="L114" s="503"/>
      <c r="M114" s="504"/>
      <c r="N114" s="505">
        <f t="shared" si="18"/>
        <v>0</v>
      </c>
      <c r="O114" s="465">
        <v>8</v>
      </c>
      <c r="P114" s="467">
        <f t="shared" si="19"/>
        <v>0</v>
      </c>
      <c r="Q114" s="467"/>
      <c r="R114" s="467">
        <f t="shared" si="20"/>
        <v>0</v>
      </c>
      <c r="S114" s="467" t="str">
        <f t="shared" si="21"/>
        <v/>
      </c>
      <c r="T114" s="467"/>
      <c r="W114" s="450"/>
      <c r="X114" s="446"/>
    </row>
    <row r="115" s="440" customFormat="1" ht="15.75" hidden="1" customHeight="1" spans="1:24">
      <c r="A115" s="498"/>
      <c r="B115" s="499"/>
      <c r="C115" s="499"/>
      <c r="D115" s="500"/>
      <c r="E115" s="501">
        <v>8</v>
      </c>
      <c r="F115" s="502"/>
      <c r="G115" s="503"/>
      <c r="H115" s="504"/>
      <c r="I115" s="503"/>
      <c r="J115" s="504"/>
      <c r="K115" s="504"/>
      <c r="L115" s="503"/>
      <c r="M115" s="504"/>
      <c r="N115" s="505">
        <f t="shared" si="18"/>
        <v>0</v>
      </c>
      <c r="O115" s="465">
        <v>8</v>
      </c>
      <c r="P115" s="467">
        <f t="shared" si="19"/>
        <v>0</v>
      </c>
      <c r="Q115" s="467"/>
      <c r="R115" s="467">
        <f t="shared" si="20"/>
        <v>0</v>
      </c>
      <c r="S115" s="467" t="str">
        <f t="shared" si="21"/>
        <v/>
      </c>
      <c r="T115" s="467"/>
      <c r="W115" s="450"/>
      <c r="X115" s="446"/>
    </row>
    <row r="116" s="440" customFormat="1" ht="15.75" hidden="1" customHeight="1" spans="1:24">
      <c r="A116" s="498"/>
      <c r="B116" s="499"/>
      <c r="C116" s="499"/>
      <c r="D116" s="500"/>
      <c r="E116" s="501">
        <v>8</v>
      </c>
      <c r="F116" s="502"/>
      <c r="G116" s="503"/>
      <c r="H116" s="504"/>
      <c r="I116" s="503"/>
      <c r="J116" s="504"/>
      <c r="K116" s="504"/>
      <c r="L116" s="503"/>
      <c r="M116" s="504"/>
      <c r="N116" s="505">
        <f t="shared" si="18"/>
        <v>0</v>
      </c>
      <c r="O116" s="465">
        <v>8</v>
      </c>
      <c r="P116" s="467">
        <f t="shared" si="19"/>
        <v>0</v>
      </c>
      <c r="Q116" s="467"/>
      <c r="R116" s="467">
        <f t="shared" si="20"/>
        <v>0</v>
      </c>
      <c r="S116" s="467" t="str">
        <f t="shared" si="21"/>
        <v/>
      </c>
      <c r="T116" s="467"/>
      <c r="W116" s="450"/>
      <c r="X116" s="446"/>
    </row>
    <row r="117" s="440" customFormat="1" ht="15.75" hidden="1" customHeight="1" spans="1:24">
      <c r="A117" s="498"/>
      <c r="B117" s="499"/>
      <c r="C117" s="499"/>
      <c r="D117" s="500"/>
      <c r="E117" s="501">
        <v>8</v>
      </c>
      <c r="F117" s="502"/>
      <c r="G117" s="503"/>
      <c r="H117" s="504"/>
      <c r="I117" s="503"/>
      <c r="J117" s="504"/>
      <c r="K117" s="504"/>
      <c r="L117" s="503"/>
      <c r="M117" s="504"/>
      <c r="N117" s="505">
        <f t="shared" si="18"/>
        <v>0</v>
      </c>
      <c r="O117" s="465">
        <v>8</v>
      </c>
      <c r="P117" s="467">
        <f t="shared" si="19"/>
        <v>0</v>
      </c>
      <c r="Q117" s="467"/>
      <c r="R117" s="467">
        <f t="shared" si="20"/>
        <v>0</v>
      </c>
      <c r="S117" s="467" t="str">
        <f t="shared" si="21"/>
        <v/>
      </c>
      <c r="T117" s="467"/>
      <c r="W117" s="450"/>
      <c r="X117" s="446"/>
    </row>
    <row r="118" s="440" customFormat="1" ht="15.75" hidden="1" customHeight="1" spans="1:24">
      <c r="A118" s="498"/>
      <c r="B118" s="499"/>
      <c r="C118" s="499"/>
      <c r="D118" s="500"/>
      <c r="E118" s="501">
        <v>8</v>
      </c>
      <c r="F118" s="502"/>
      <c r="G118" s="503"/>
      <c r="H118" s="504"/>
      <c r="I118" s="503"/>
      <c r="J118" s="504"/>
      <c r="K118" s="504"/>
      <c r="L118" s="503"/>
      <c r="M118" s="504"/>
      <c r="N118" s="505">
        <f t="shared" si="18"/>
        <v>0</v>
      </c>
      <c r="O118" s="465">
        <v>8</v>
      </c>
      <c r="P118" s="467">
        <f t="shared" si="19"/>
        <v>0</v>
      </c>
      <c r="Q118" s="467"/>
      <c r="R118" s="467">
        <f t="shared" si="20"/>
        <v>0</v>
      </c>
      <c r="S118" s="467" t="str">
        <f t="shared" si="21"/>
        <v/>
      </c>
      <c r="T118" s="467"/>
      <c r="W118" s="450"/>
      <c r="X118" s="446"/>
    </row>
    <row r="119" s="440" customFormat="1" ht="15.75" hidden="1" customHeight="1" spans="1:24">
      <c r="A119" s="498"/>
      <c r="B119" s="499"/>
      <c r="C119" s="499"/>
      <c r="D119" s="500"/>
      <c r="E119" s="501">
        <v>8</v>
      </c>
      <c r="F119" s="502"/>
      <c r="G119" s="503"/>
      <c r="H119" s="504"/>
      <c r="I119" s="503"/>
      <c r="J119" s="504"/>
      <c r="K119" s="504"/>
      <c r="L119" s="503"/>
      <c r="M119" s="504"/>
      <c r="N119" s="505">
        <f t="shared" si="18"/>
        <v>0</v>
      </c>
      <c r="O119" s="465">
        <v>8</v>
      </c>
      <c r="P119" s="467">
        <f t="shared" si="19"/>
        <v>0</v>
      </c>
      <c r="Q119" s="467"/>
      <c r="R119" s="467">
        <f t="shared" si="20"/>
        <v>0</v>
      </c>
      <c r="S119" s="467" t="str">
        <f t="shared" si="21"/>
        <v/>
      </c>
      <c r="T119" s="467"/>
      <c r="W119" s="450"/>
      <c r="X119" s="446"/>
    </row>
    <row r="120" s="440" customFormat="1" ht="15.75" hidden="1" customHeight="1" spans="1:24">
      <c r="A120" s="498"/>
      <c r="B120" s="499"/>
      <c r="C120" s="499"/>
      <c r="D120" s="500"/>
      <c r="E120" s="501">
        <v>8</v>
      </c>
      <c r="F120" s="502"/>
      <c r="G120" s="503"/>
      <c r="H120" s="504"/>
      <c r="I120" s="503"/>
      <c r="J120" s="504"/>
      <c r="K120" s="504"/>
      <c r="L120" s="503"/>
      <c r="M120" s="504"/>
      <c r="N120" s="505">
        <f t="shared" si="18"/>
        <v>0</v>
      </c>
      <c r="O120" s="465">
        <v>8</v>
      </c>
      <c r="P120" s="467">
        <f t="shared" si="19"/>
        <v>0</v>
      </c>
      <c r="Q120" s="467"/>
      <c r="R120" s="467">
        <f t="shared" si="20"/>
        <v>0</v>
      </c>
      <c r="S120" s="467" t="str">
        <f t="shared" si="21"/>
        <v/>
      </c>
      <c r="T120" s="467"/>
      <c r="W120" s="450"/>
      <c r="X120" s="446"/>
    </row>
    <row r="121" s="440" customFormat="1" ht="15.75" hidden="1" customHeight="1" spans="1:24">
      <c r="A121" s="498"/>
      <c r="B121" s="499"/>
      <c r="C121" s="499"/>
      <c r="D121" s="500"/>
      <c r="E121" s="501">
        <v>8</v>
      </c>
      <c r="F121" s="502"/>
      <c r="G121" s="503"/>
      <c r="H121" s="504"/>
      <c r="I121" s="503"/>
      <c r="J121" s="504"/>
      <c r="K121" s="504"/>
      <c r="L121" s="503"/>
      <c r="M121" s="504"/>
      <c r="N121" s="505">
        <f t="shared" si="18"/>
        <v>0</v>
      </c>
      <c r="O121" s="465">
        <v>8</v>
      </c>
      <c r="P121" s="467">
        <f t="shared" si="19"/>
        <v>0</v>
      </c>
      <c r="Q121" s="467"/>
      <c r="R121" s="467">
        <f t="shared" si="20"/>
        <v>0</v>
      </c>
      <c r="S121" s="467" t="str">
        <f t="shared" si="21"/>
        <v/>
      </c>
      <c r="T121" s="467"/>
      <c r="W121" s="450"/>
      <c r="X121" s="446"/>
    </row>
    <row r="122" s="440" customFormat="1" ht="15.75" hidden="1" customHeight="1" spans="1:24">
      <c r="A122" s="498"/>
      <c r="B122" s="499"/>
      <c r="C122" s="499"/>
      <c r="D122" s="500"/>
      <c r="E122" s="501">
        <v>8</v>
      </c>
      <c r="F122" s="502"/>
      <c r="G122" s="503"/>
      <c r="H122" s="504"/>
      <c r="I122" s="503"/>
      <c r="J122" s="504"/>
      <c r="K122" s="504"/>
      <c r="L122" s="503"/>
      <c r="M122" s="504"/>
      <c r="N122" s="505">
        <f t="shared" si="18"/>
        <v>0</v>
      </c>
      <c r="O122" s="465">
        <v>8</v>
      </c>
      <c r="P122" s="467">
        <f t="shared" si="19"/>
        <v>0</v>
      </c>
      <c r="Q122" s="467"/>
      <c r="R122" s="467">
        <f t="shared" si="20"/>
        <v>0</v>
      </c>
      <c r="S122" s="467" t="str">
        <f t="shared" si="21"/>
        <v/>
      </c>
      <c r="T122" s="467"/>
      <c r="W122" s="450"/>
      <c r="X122" s="446"/>
    </row>
    <row r="123" s="440" customFormat="1" ht="15.75" hidden="1" customHeight="1" spans="1:24">
      <c r="A123" s="498"/>
      <c r="B123" s="499"/>
      <c r="C123" s="499"/>
      <c r="D123" s="500"/>
      <c r="E123" s="501">
        <v>8</v>
      </c>
      <c r="F123" s="502"/>
      <c r="G123" s="503"/>
      <c r="H123" s="504"/>
      <c r="I123" s="503"/>
      <c r="J123" s="504"/>
      <c r="K123" s="504"/>
      <c r="L123" s="503"/>
      <c r="M123" s="504"/>
      <c r="N123" s="505">
        <f t="shared" si="18"/>
        <v>0</v>
      </c>
      <c r="O123" s="465">
        <v>8</v>
      </c>
      <c r="P123" s="467">
        <f t="shared" si="19"/>
        <v>0</v>
      </c>
      <c r="Q123" s="467"/>
      <c r="R123" s="467">
        <f t="shared" si="20"/>
        <v>0</v>
      </c>
      <c r="S123" s="467" t="str">
        <f t="shared" si="21"/>
        <v/>
      </c>
      <c r="T123" s="467"/>
      <c r="W123" s="450"/>
      <c r="X123" s="446"/>
    </row>
    <row r="124" s="440" customFormat="1" ht="15.75" hidden="1" customHeight="1" spans="1:24">
      <c r="A124" s="498"/>
      <c r="B124" s="499"/>
      <c r="C124" s="499"/>
      <c r="D124" s="500"/>
      <c r="E124" s="501">
        <v>8</v>
      </c>
      <c r="F124" s="502"/>
      <c r="G124" s="503"/>
      <c r="H124" s="504"/>
      <c r="I124" s="503"/>
      <c r="J124" s="504"/>
      <c r="K124" s="504"/>
      <c r="L124" s="504"/>
      <c r="M124" s="504"/>
      <c r="N124" s="505">
        <f t="shared" si="18"/>
        <v>0</v>
      </c>
      <c r="O124" s="465">
        <v>8</v>
      </c>
      <c r="P124" s="467">
        <f t="shared" si="19"/>
        <v>0</v>
      </c>
      <c r="Q124" s="467"/>
      <c r="R124" s="467">
        <f t="shared" si="20"/>
        <v>0</v>
      </c>
      <c r="S124" s="467" t="str">
        <f t="shared" si="21"/>
        <v/>
      </c>
      <c r="T124" s="467"/>
      <c r="W124" s="450"/>
      <c r="X124" s="446"/>
    </row>
    <row r="125" s="440" customFormat="1" ht="15.75" hidden="1" customHeight="1" spans="1:24">
      <c r="A125" s="498"/>
      <c r="B125" s="499"/>
      <c r="C125" s="499"/>
      <c r="D125" s="500"/>
      <c r="E125" s="501">
        <v>8</v>
      </c>
      <c r="F125" s="502"/>
      <c r="G125" s="503"/>
      <c r="H125" s="504"/>
      <c r="I125" s="503"/>
      <c r="J125" s="504"/>
      <c r="K125" s="504"/>
      <c r="L125" s="504"/>
      <c r="M125" s="504"/>
      <c r="N125" s="505">
        <f t="shared" si="18"/>
        <v>0</v>
      </c>
      <c r="O125" s="465">
        <v>8</v>
      </c>
      <c r="P125" s="467">
        <f t="shared" si="19"/>
        <v>0</v>
      </c>
      <c r="Q125" s="467"/>
      <c r="R125" s="467">
        <f t="shared" si="20"/>
        <v>0</v>
      </c>
      <c r="S125" s="467" t="str">
        <f t="shared" si="21"/>
        <v/>
      </c>
      <c r="T125" s="467"/>
      <c r="W125" s="450"/>
      <c r="X125" s="446"/>
    </row>
    <row r="126" s="440" customFormat="1" ht="15.75" hidden="1" customHeight="1" spans="1:24">
      <c r="A126" s="498"/>
      <c r="B126" s="499"/>
      <c r="C126" s="499"/>
      <c r="D126" s="500"/>
      <c r="E126" s="501">
        <v>8</v>
      </c>
      <c r="F126" s="502"/>
      <c r="G126" s="503"/>
      <c r="H126" s="504"/>
      <c r="I126" s="503"/>
      <c r="J126" s="504"/>
      <c r="K126" s="504"/>
      <c r="L126" s="504"/>
      <c r="M126" s="504"/>
      <c r="N126" s="505">
        <f t="shared" si="18"/>
        <v>0</v>
      </c>
      <c r="O126" s="465">
        <v>8</v>
      </c>
      <c r="P126" s="467">
        <f t="shared" si="19"/>
        <v>0</v>
      </c>
      <c r="Q126" s="467"/>
      <c r="R126" s="467">
        <f t="shared" si="20"/>
        <v>0</v>
      </c>
      <c r="S126" s="467" t="str">
        <f t="shared" si="21"/>
        <v/>
      </c>
      <c r="T126" s="467"/>
      <c r="W126" s="450"/>
      <c r="X126" s="446"/>
    </row>
    <row r="127" s="440" customFormat="1" ht="15.75" hidden="1" customHeight="1" spans="1:24">
      <c r="A127" s="498"/>
      <c r="B127" s="499"/>
      <c r="C127" s="499"/>
      <c r="D127" s="500"/>
      <c r="E127" s="501">
        <v>8</v>
      </c>
      <c r="F127" s="502"/>
      <c r="G127" s="503"/>
      <c r="H127" s="504"/>
      <c r="I127" s="503"/>
      <c r="J127" s="504"/>
      <c r="K127" s="504"/>
      <c r="L127" s="504"/>
      <c r="M127" s="504"/>
      <c r="N127" s="505">
        <f t="shared" ref="N127:N190" si="22">SUMPRODUCT($G$2:$M$2,G127:M127)</f>
        <v>0</v>
      </c>
      <c r="O127" s="465">
        <v>8</v>
      </c>
      <c r="P127" s="467">
        <f t="shared" ref="P127:P190" si="23">IFERROR(IF((N127*E127-O127*E127)&lt;0,0,(N127*E127-O127*E127)),"")</f>
        <v>0</v>
      </c>
      <c r="Q127" s="467"/>
      <c r="R127" s="467">
        <f t="shared" ref="R127:R190" si="24">IF(Q127="",0,Q127*5)</f>
        <v>0</v>
      </c>
      <c r="S127" s="467" t="str">
        <f t="shared" ref="S127:S190" si="25">IF(B127="","",P127+R127)</f>
        <v/>
      </c>
      <c r="T127" s="467"/>
      <c r="W127" s="450"/>
      <c r="X127" s="446"/>
    </row>
    <row r="128" s="440" customFormat="1" ht="15.75" hidden="1" customHeight="1" spans="1:24">
      <c r="A128" s="498"/>
      <c r="B128" s="499"/>
      <c r="C128" s="499"/>
      <c r="D128" s="500"/>
      <c r="E128" s="501">
        <v>8</v>
      </c>
      <c r="F128" s="502"/>
      <c r="G128" s="503"/>
      <c r="H128" s="504"/>
      <c r="I128" s="503"/>
      <c r="J128" s="504"/>
      <c r="K128" s="504"/>
      <c r="L128" s="504"/>
      <c r="M128" s="504"/>
      <c r="N128" s="505">
        <f t="shared" si="22"/>
        <v>0</v>
      </c>
      <c r="O128" s="465">
        <v>8</v>
      </c>
      <c r="P128" s="467">
        <f t="shared" si="23"/>
        <v>0</v>
      </c>
      <c r="Q128" s="467"/>
      <c r="R128" s="467">
        <f t="shared" si="24"/>
        <v>0</v>
      </c>
      <c r="S128" s="467" t="str">
        <f t="shared" si="25"/>
        <v/>
      </c>
      <c r="T128" s="467"/>
      <c r="W128" s="450"/>
      <c r="X128" s="446"/>
    </row>
    <row r="129" s="440" customFormat="1" ht="15.75" hidden="1" customHeight="1" spans="1:24">
      <c r="A129" s="498"/>
      <c r="B129" s="499"/>
      <c r="C129" s="499"/>
      <c r="D129" s="500"/>
      <c r="E129" s="501">
        <v>8</v>
      </c>
      <c r="F129" s="502"/>
      <c r="G129" s="503"/>
      <c r="H129" s="504"/>
      <c r="I129" s="503"/>
      <c r="J129" s="504"/>
      <c r="K129" s="504"/>
      <c r="L129" s="504"/>
      <c r="M129" s="504"/>
      <c r="N129" s="505">
        <f t="shared" si="22"/>
        <v>0</v>
      </c>
      <c r="O129" s="465">
        <v>8</v>
      </c>
      <c r="P129" s="467">
        <f t="shared" si="23"/>
        <v>0</v>
      </c>
      <c r="Q129" s="467"/>
      <c r="R129" s="467">
        <f t="shared" si="24"/>
        <v>0</v>
      </c>
      <c r="S129" s="467" t="str">
        <f t="shared" si="25"/>
        <v/>
      </c>
      <c r="T129" s="467"/>
      <c r="W129" s="450"/>
      <c r="X129" s="446"/>
    </row>
    <row r="130" s="440" customFormat="1" ht="15.75" hidden="1" customHeight="1" spans="1:24">
      <c r="A130" s="498"/>
      <c r="B130" s="499"/>
      <c r="C130" s="499"/>
      <c r="D130" s="500"/>
      <c r="E130" s="501">
        <v>8</v>
      </c>
      <c r="F130" s="502"/>
      <c r="G130" s="503"/>
      <c r="H130" s="504"/>
      <c r="I130" s="503"/>
      <c r="J130" s="504"/>
      <c r="K130" s="504"/>
      <c r="L130" s="504"/>
      <c r="M130" s="504"/>
      <c r="N130" s="505">
        <f t="shared" si="22"/>
        <v>0</v>
      </c>
      <c r="O130" s="465">
        <v>8</v>
      </c>
      <c r="P130" s="467">
        <f t="shared" si="23"/>
        <v>0</v>
      </c>
      <c r="Q130" s="467"/>
      <c r="R130" s="467">
        <f t="shared" si="24"/>
        <v>0</v>
      </c>
      <c r="S130" s="467" t="str">
        <f t="shared" si="25"/>
        <v/>
      </c>
      <c r="T130" s="467"/>
      <c r="W130" s="450"/>
      <c r="X130" s="446"/>
    </row>
    <row r="131" s="440" customFormat="1" ht="15.75" hidden="1" customHeight="1" spans="1:24">
      <c r="A131" s="498"/>
      <c r="B131" s="499"/>
      <c r="C131" s="499"/>
      <c r="D131" s="500"/>
      <c r="E131" s="501">
        <v>8</v>
      </c>
      <c r="F131" s="502"/>
      <c r="G131" s="503"/>
      <c r="H131" s="504"/>
      <c r="I131" s="503"/>
      <c r="J131" s="504"/>
      <c r="K131" s="504"/>
      <c r="L131" s="504"/>
      <c r="M131" s="504"/>
      <c r="N131" s="505">
        <f t="shared" si="22"/>
        <v>0</v>
      </c>
      <c r="O131" s="465">
        <v>8</v>
      </c>
      <c r="P131" s="467">
        <f t="shared" si="23"/>
        <v>0</v>
      </c>
      <c r="Q131" s="467"/>
      <c r="R131" s="467">
        <f t="shared" si="24"/>
        <v>0</v>
      </c>
      <c r="S131" s="467" t="str">
        <f t="shared" si="25"/>
        <v/>
      </c>
      <c r="T131" s="467"/>
      <c r="W131" s="450"/>
      <c r="X131" s="446"/>
    </row>
    <row r="132" s="440" customFormat="1" ht="15.75" hidden="1" customHeight="1" spans="1:24">
      <c r="A132" s="498"/>
      <c r="B132" s="499"/>
      <c r="C132" s="499"/>
      <c r="D132" s="500"/>
      <c r="E132" s="501">
        <v>8</v>
      </c>
      <c r="F132" s="502"/>
      <c r="G132" s="503"/>
      <c r="H132" s="504"/>
      <c r="I132" s="503"/>
      <c r="J132" s="504"/>
      <c r="K132" s="504"/>
      <c r="L132" s="504"/>
      <c r="M132" s="504"/>
      <c r="N132" s="505">
        <f t="shared" si="22"/>
        <v>0</v>
      </c>
      <c r="O132" s="465">
        <v>8</v>
      </c>
      <c r="P132" s="467">
        <f t="shared" si="23"/>
        <v>0</v>
      </c>
      <c r="Q132" s="467"/>
      <c r="R132" s="467">
        <f t="shared" si="24"/>
        <v>0</v>
      </c>
      <c r="S132" s="467" t="str">
        <f t="shared" si="25"/>
        <v/>
      </c>
      <c r="T132" s="467"/>
      <c r="W132" s="450"/>
      <c r="X132" s="446"/>
    </row>
    <row r="133" s="440" customFormat="1" ht="15.75" hidden="1" customHeight="1" spans="1:24">
      <c r="A133" s="498"/>
      <c r="B133" s="499"/>
      <c r="C133" s="499"/>
      <c r="D133" s="500"/>
      <c r="E133" s="501">
        <v>8</v>
      </c>
      <c r="F133" s="502"/>
      <c r="G133" s="503"/>
      <c r="H133" s="504"/>
      <c r="I133" s="503"/>
      <c r="J133" s="504"/>
      <c r="K133" s="504"/>
      <c r="L133" s="504"/>
      <c r="M133" s="504"/>
      <c r="N133" s="505">
        <f t="shared" si="22"/>
        <v>0</v>
      </c>
      <c r="O133" s="465">
        <v>8</v>
      </c>
      <c r="P133" s="467">
        <f t="shared" si="23"/>
        <v>0</v>
      </c>
      <c r="Q133" s="467"/>
      <c r="R133" s="467">
        <f t="shared" si="24"/>
        <v>0</v>
      </c>
      <c r="S133" s="467" t="str">
        <f t="shared" si="25"/>
        <v/>
      </c>
      <c r="T133" s="467"/>
      <c r="W133" s="450"/>
      <c r="X133" s="446"/>
    </row>
    <row r="134" s="440" customFormat="1" ht="15.75" hidden="1" customHeight="1" spans="1:24">
      <c r="A134" s="498"/>
      <c r="B134" s="499"/>
      <c r="C134" s="499"/>
      <c r="D134" s="500"/>
      <c r="E134" s="501">
        <v>8</v>
      </c>
      <c r="F134" s="502"/>
      <c r="G134" s="503"/>
      <c r="H134" s="504"/>
      <c r="I134" s="503"/>
      <c r="J134" s="504"/>
      <c r="K134" s="504"/>
      <c r="L134" s="504"/>
      <c r="M134" s="504"/>
      <c r="N134" s="505">
        <f t="shared" si="22"/>
        <v>0</v>
      </c>
      <c r="O134" s="465">
        <v>8</v>
      </c>
      <c r="P134" s="467">
        <f t="shared" si="23"/>
        <v>0</v>
      </c>
      <c r="Q134" s="467"/>
      <c r="R134" s="467">
        <f t="shared" si="24"/>
        <v>0</v>
      </c>
      <c r="S134" s="467" t="str">
        <f t="shared" si="25"/>
        <v/>
      </c>
      <c r="T134" s="467"/>
      <c r="W134" s="450"/>
      <c r="X134" s="446"/>
    </row>
    <row r="135" s="440" customFormat="1" ht="15.75" hidden="1" customHeight="1" spans="1:24">
      <c r="A135" s="498"/>
      <c r="B135" s="499"/>
      <c r="C135" s="499"/>
      <c r="D135" s="500"/>
      <c r="E135" s="501">
        <v>8</v>
      </c>
      <c r="F135" s="502"/>
      <c r="G135" s="503"/>
      <c r="H135" s="504"/>
      <c r="I135" s="503"/>
      <c r="J135" s="504"/>
      <c r="K135" s="504"/>
      <c r="L135" s="504"/>
      <c r="M135" s="504"/>
      <c r="N135" s="505">
        <f t="shared" si="22"/>
        <v>0</v>
      </c>
      <c r="O135" s="465">
        <v>8</v>
      </c>
      <c r="P135" s="467">
        <f t="shared" si="23"/>
        <v>0</v>
      </c>
      <c r="Q135" s="467"/>
      <c r="R135" s="467">
        <f t="shared" si="24"/>
        <v>0</v>
      </c>
      <c r="S135" s="467" t="str">
        <f t="shared" si="25"/>
        <v/>
      </c>
      <c r="T135" s="467"/>
      <c r="W135" s="450"/>
      <c r="X135" s="446"/>
    </row>
    <row r="136" s="440" customFormat="1" ht="15.75" hidden="1" customHeight="1" spans="1:24">
      <c r="A136" s="498"/>
      <c r="B136" s="499"/>
      <c r="C136" s="499"/>
      <c r="D136" s="500"/>
      <c r="E136" s="501">
        <v>8</v>
      </c>
      <c r="F136" s="502"/>
      <c r="G136" s="503"/>
      <c r="H136" s="504"/>
      <c r="I136" s="503"/>
      <c r="J136" s="504"/>
      <c r="K136" s="504"/>
      <c r="L136" s="504"/>
      <c r="M136" s="504"/>
      <c r="N136" s="505">
        <f t="shared" si="22"/>
        <v>0</v>
      </c>
      <c r="O136" s="465">
        <v>8</v>
      </c>
      <c r="P136" s="467">
        <f t="shared" si="23"/>
        <v>0</v>
      </c>
      <c r="Q136" s="467"/>
      <c r="R136" s="467">
        <f t="shared" si="24"/>
        <v>0</v>
      </c>
      <c r="S136" s="467" t="str">
        <f t="shared" si="25"/>
        <v/>
      </c>
      <c r="T136" s="467"/>
      <c r="W136" s="450"/>
      <c r="X136" s="446"/>
    </row>
    <row r="137" s="440" customFormat="1" ht="15.75" hidden="1" customHeight="1" spans="1:24">
      <c r="A137" s="498"/>
      <c r="B137" s="499"/>
      <c r="C137" s="499"/>
      <c r="D137" s="500"/>
      <c r="E137" s="501">
        <v>8</v>
      </c>
      <c r="F137" s="502"/>
      <c r="G137" s="503"/>
      <c r="H137" s="504"/>
      <c r="I137" s="503"/>
      <c r="J137" s="504"/>
      <c r="K137" s="504"/>
      <c r="L137" s="504"/>
      <c r="M137" s="504"/>
      <c r="N137" s="505">
        <f t="shared" si="22"/>
        <v>0</v>
      </c>
      <c r="O137" s="465">
        <v>8</v>
      </c>
      <c r="P137" s="467">
        <f t="shared" si="23"/>
        <v>0</v>
      </c>
      <c r="Q137" s="467"/>
      <c r="R137" s="467">
        <f t="shared" si="24"/>
        <v>0</v>
      </c>
      <c r="S137" s="467" t="str">
        <f t="shared" si="25"/>
        <v/>
      </c>
      <c r="T137" s="467"/>
      <c r="W137" s="450"/>
      <c r="X137" s="446"/>
    </row>
    <row r="138" s="440" customFormat="1" ht="15.75" hidden="1" customHeight="1" spans="1:24">
      <c r="A138" s="498"/>
      <c r="B138" s="499"/>
      <c r="C138" s="499"/>
      <c r="D138" s="500"/>
      <c r="E138" s="501">
        <v>8</v>
      </c>
      <c r="F138" s="502"/>
      <c r="G138" s="503"/>
      <c r="H138" s="504"/>
      <c r="I138" s="503"/>
      <c r="J138" s="504"/>
      <c r="K138" s="504"/>
      <c r="L138" s="504"/>
      <c r="M138" s="504"/>
      <c r="N138" s="505">
        <f t="shared" si="22"/>
        <v>0</v>
      </c>
      <c r="O138" s="465">
        <v>8</v>
      </c>
      <c r="P138" s="467">
        <f t="shared" si="23"/>
        <v>0</v>
      </c>
      <c r="Q138" s="467"/>
      <c r="R138" s="467">
        <f t="shared" si="24"/>
        <v>0</v>
      </c>
      <c r="S138" s="467" t="str">
        <f t="shared" si="25"/>
        <v/>
      </c>
      <c r="T138" s="467"/>
      <c r="W138" s="450"/>
      <c r="X138" s="446"/>
    </row>
    <row r="139" s="440" customFormat="1" ht="15.75" hidden="1" customHeight="1" spans="1:24">
      <c r="A139" s="498"/>
      <c r="B139" s="499"/>
      <c r="C139" s="499"/>
      <c r="D139" s="500"/>
      <c r="E139" s="501">
        <v>8</v>
      </c>
      <c r="F139" s="502"/>
      <c r="G139" s="503"/>
      <c r="H139" s="504"/>
      <c r="I139" s="503"/>
      <c r="J139" s="504"/>
      <c r="K139" s="504"/>
      <c r="L139" s="504"/>
      <c r="M139" s="504"/>
      <c r="N139" s="505">
        <f t="shared" si="22"/>
        <v>0</v>
      </c>
      <c r="O139" s="465">
        <v>8</v>
      </c>
      <c r="P139" s="467">
        <f t="shared" si="23"/>
        <v>0</v>
      </c>
      <c r="Q139" s="467"/>
      <c r="R139" s="467">
        <f t="shared" si="24"/>
        <v>0</v>
      </c>
      <c r="S139" s="467" t="str">
        <f t="shared" si="25"/>
        <v/>
      </c>
      <c r="T139" s="467"/>
      <c r="W139" s="450"/>
      <c r="X139" s="446"/>
    </row>
    <row r="140" s="440" customFormat="1" ht="15.75" hidden="1" customHeight="1" spans="1:24">
      <c r="A140" s="498"/>
      <c r="B140" s="499"/>
      <c r="C140" s="499"/>
      <c r="D140" s="500"/>
      <c r="E140" s="501">
        <v>8</v>
      </c>
      <c r="F140" s="502"/>
      <c r="G140" s="503"/>
      <c r="H140" s="504"/>
      <c r="I140" s="503"/>
      <c r="J140" s="504"/>
      <c r="K140" s="504"/>
      <c r="L140" s="504"/>
      <c r="M140" s="504"/>
      <c r="N140" s="505">
        <f t="shared" si="22"/>
        <v>0</v>
      </c>
      <c r="O140" s="465">
        <v>8</v>
      </c>
      <c r="P140" s="467">
        <f t="shared" si="23"/>
        <v>0</v>
      </c>
      <c r="Q140" s="467"/>
      <c r="R140" s="467">
        <f t="shared" si="24"/>
        <v>0</v>
      </c>
      <c r="S140" s="467" t="str">
        <f t="shared" si="25"/>
        <v/>
      </c>
      <c r="T140" s="467"/>
      <c r="W140" s="450"/>
      <c r="X140" s="446"/>
    </row>
    <row r="141" s="440" customFormat="1" ht="15.75" hidden="1" customHeight="1" spans="1:24">
      <c r="A141" s="498"/>
      <c r="B141" s="499"/>
      <c r="C141" s="499"/>
      <c r="D141" s="500"/>
      <c r="E141" s="501">
        <v>8</v>
      </c>
      <c r="F141" s="502"/>
      <c r="G141" s="503"/>
      <c r="H141" s="504"/>
      <c r="I141" s="503"/>
      <c r="J141" s="504"/>
      <c r="K141" s="504"/>
      <c r="L141" s="504"/>
      <c r="M141" s="504"/>
      <c r="N141" s="505">
        <f t="shared" si="22"/>
        <v>0</v>
      </c>
      <c r="O141" s="465">
        <v>8</v>
      </c>
      <c r="P141" s="467">
        <f t="shared" si="23"/>
        <v>0</v>
      </c>
      <c r="Q141" s="467"/>
      <c r="R141" s="467">
        <f t="shared" si="24"/>
        <v>0</v>
      </c>
      <c r="S141" s="467" t="str">
        <f t="shared" si="25"/>
        <v/>
      </c>
      <c r="T141" s="467"/>
      <c r="W141" s="450"/>
      <c r="X141" s="446"/>
    </row>
    <row r="142" s="440" customFormat="1" ht="15.75" hidden="1" customHeight="1" spans="1:24">
      <c r="A142" s="498"/>
      <c r="B142" s="499"/>
      <c r="C142" s="499"/>
      <c r="D142" s="500"/>
      <c r="E142" s="501">
        <v>8</v>
      </c>
      <c r="F142" s="502"/>
      <c r="G142" s="503"/>
      <c r="H142" s="504"/>
      <c r="I142" s="503"/>
      <c r="J142" s="504"/>
      <c r="K142" s="504"/>
      <c r="L142" s="504"/>
      <c r="M142" s="504"/>
      <c r="N142" s="505">
        <f t="shared" si="22"/>
        <v>0</v>
      </c>
      <c r="O142" s="465">
        <v>8</v>
      </c>
      <c r="P142" s="467">
        <f t="shared" si="23"/>
        <v>0</v>
      </c>
      <c r="Q142" s="467"/>
      <c r="R142" s="467">
        <f t="shared" si="24"/>
        <v>0</v>
      </c>
      <c r="S142" s="467" t="str">
        <f t="shared" si="25"/>
        <v/>
      </c>
      <c r="T142" s="467"/>
      <c r="W142" s="450"/>
      <c r="X142" s="446"/>
    </row>
    <row r="143" s="440" customFormat="1" ht="15.75" hidden="1" customHeight="1" spans="1:24">
      <c r="A143" s="498"/>
      <c r="B143" s="499"/>
      <c r="C143" s="499"/>
      <c r="D143" s="500"/>
      <c r="E143" s="501">
        <v>8</v>
      </c>
      <c r="F143" s="502"/>
      <c r="G143" s="503"/>
      <c r="H143" s="504"/>
      <c r="I143" s="503"/>
      <c r="J143" s="504"/>
      <c r="K143" s="504"/>
      <c r="L143" s="504"/>
      <c r="M143" s="504"/>
      <c r="N143" s="505">
        <f t="shared" si="22"/>
        <v>0</v>
      </c>
      <c r="O143" s="465">
        <v>8</v>
      </c>
      <c r="P143" s="467">
        <f t="shared" si="23"/>
        <v>0</v>
      </c>
      <c r="Q143" s="467"/>
      <c r="R143" s="467">
        <f t="shared" si="24"/>
        <v>0</v>
      </c>
      <c r="S143" s="467" t="str">
        <f t="shared" si="25"/>
        <v/>
      </c>
      <c r="T143" s="467"/>
      <c r="W143" s="450"/>
      <c r="X143" s="446"/>
    </row>
    <row r="144" s="440" customFormat="1" ht="15.75" hidden="1" customHeight="1" spans="1:24">
      <c r="A144" s="498"/>
      <c r="B144" s="499"/>
      <c r="C144" s="499"/>
      <c r="D144" s="500"/>
      <c r="E144" s="501">
        <v>8</v>
      </c>
      <c r="F144" s="502"/>
      <c r="G144" s="503"/>
      <c r="H144" s="504"/>
      <c r="I144" s="503"/>
      <c r="J144" s="504"/>
      <c r="K144" s="504"/>
      <c r="L144" s="504"/>
      <c r="M144" s="504"/>
      <c r="N144" s="505">
        <f t="shared" si="22"/>
        <v>0</v>
      </c>
      <c r="O144" s="465">
        <v>8</v>
      </c>
      <c r="P144" s="467">
        <f t="shared" si="23"/>
        <v>0</v>
      </c>
      <c r="Q144" s="467"/>
      <c r="R144" s="467">
        <f t="shared" si="24"/>
        <v>0</v>
      </c>
      <c r="S144" s="467" t="str">
        <f t="shared" si="25"/>
        <v/>
      </c>
      <c r="T144" s="467"/>
      <c r="W144" s="450"/>
      <c r="X144" s="446"/>
    </row>
    <row r="145" s="440" customFormat="1" ht="15.75" hidden="1" customHeight="1" spans="1:24">
      <c r="A145" s="498"/>
      <c r="B145" s="499"/>
      <c r="C145" s="499"/>
      <c r="D145" s="500"/>
      <c r="E145" s="501">
        <v>8</v>
      </c>
      <c r="F145" s="502"/>
      <c r="G145" s="503"/>
      <c r="H145" s="504"/>
      <c r="I145" s="503"/>
      <c r="J145" s="504"/>
      <c r="K145" s="504"/>
      <c r="L145" s="504"/>
      <c r="M145" s="504"/>
      <c r="N145" s="505">
        <f t="shared" si="22"/>
        <v>0</v>
      </c>
      <c r="O145" s="465">
        <v>8</v>
      </c>
      <c r="P145" s="467">
        <f t="shared" si="23"/>
        <v>0</v>
      </c>
      <c r="Q145" s="467"/>
      <c r="R145" s="467">
        <f t="shared" si="24"/>
        <v>0</v>
      </c>
      <c r="S145" s="467" t="str">
        <f t="shared" si="25"/>
        <v/>
      </c>
      <c r="T145" s="467"/>
      <c r="W145" s="450"/>
      <c r="X145" s="446"/>
    </row>
    <row r="146" s="440" customFormat="1" ht="15.75" hidden="1" customHeight="1" spans="1:24">
      <c r="A146" s="498"/>
      <c r="B146" s="499"/>
      <c r="C146" s="499"/>
      <c r="D146" s="500"/>
      <c r="E146" s="501">
        <v>8</v>
      </c>
      <c r="F146" s="502"/>
      <c r="G146" s="503"/>
      <c r="H146" s="504"/>
      <c r="I146" s="503"/>
      <c r="J146" s="504"/>
      <c r="K146" s="504"/>
      <c r="L146" s="504"/>
      <c r="M146" s="504"/>
      <c r="N146" s="505">
        <f t="shared" si="22"/>
        <v>0</v>
      </c>
      <c r="O146" s="465">
        <v>8</v>
      </c>
      <c r="P146" s="467">
        <f t="shared" si="23"/>
        <v>0</v>
      </c>
      <c r="Q146" s="467"/>
      <c r="R146" s="467">
        <f t="shared" si="24"/>
        <v>0</v>
      </c>
      <c r="S146" s="467" t="str">
        <f t="shared" si="25"/>
        <v/>
      </c>
      <c r="T146" s="467"/>
      <c r="W146" s="450"/>
      <c r="X146" s="446"/>
    </row>
    <row r="147" s="440" customFormat="1" ht="15.75" hidden="1" customHeight="1" spans="1:24">
      <c r="A147" s="498"/>
      <c r="B147" s="499"/>
      <c r="C147" s="499"/>
      <c r="D147" s="500"/>
      <c r="E147" s="501">
        <v>8</v>
      </c>
      <c r="F147" s="502"/>
      <c r="G147" s="503"/>
      <c r="H147" s="504"/>
      <c r="I147" s="503"/>
      <c r="J147" s="504"/>
      <c r="K147" s="504"/>
      <c r="L147" s="504"/>
      <c r="M147" s="504"/>
      <c r="N147" s="505">
        <f t="shared" si="22"/>
        <v>0</v>
      </c>
      <c r="O147" s="465">
        <v>8</v>
      </c>
      <c r="P147" s="467">
        <f t="shared" si="23"/>
        <v>0</v>
      </c>
      <c r="Q147" s="467"/>
      <c r="R147" s="467">
        <f t="shared" si="24"/>
        <v>0</v>
      </c>
      <c r="S147" s="467" t="str">
        <f t="shared" si="25"/>
        <v/>
      </c>
      <c r="T147" s="467"/>
      <c r="W147" s="450"/>
      <c r="X147" s="446"/>
    </row>
    <row r="148" s="440" customFormat="1" ht="15.75" hidden="1" customHeight="1" spans="1:24">
      <c r="A148" s="498"/>
      <c r="B148" s="499"/>
      <c r="C148" s="499"/>
      <c r="D148" s="500"/>
      <c r="E148" s="501">
        <v>8</v>
      </c>
      <c r="F148" s="506"/>
      <c r="G148" s="507"/>
      <c r="H148" s="504"/>
      <c r="I148" s="503"/>
      <c r="J148" s="504"/>
      <c r="K148" s="504"/>
      <c r="L148" s="504"/>
      <c r="M148" s="504"/>
      <c r="N148" s="505">
        <f t="shared" si="22"/>
        <v>0</v>
      </c>
      <c r="O148" s="465">
        <v>8</v>
      </c>
      <c r="P148" s="467">
        <f t="shared" si="23"/>
        <v>0</v>
      </c>
      <c r="Q148" s="467"/>
      <c r="R148" s="467">
        <f t="shared" si="24"/>
        <v>0</v>
      </c>
      <c r="S148" s="467" t="str">
        <f t="shared" si="25"/>
        <v/>
      </c>
      <c r="T148" s="467"/>
      <c r="W148" s="450"/>
      <c r="X148" s="446"/>
    </row>
    <row r="149" s="440" customFormat="1" ht="15.75" hidden="1" customHeight="1" spans="1:24">
      <c r="A149" s="498"/>
      <c r="B149" s="499"/>
      <c r="C149" s="499"/>
      <c r="D149" s="500"/>
      <c r="E149" s="501">
        <v>8</v>
      </c>
      <c r="F149" s="502"/>
      <c r="G149" s="503"/>
      <c r="H149" s="504"/>
      <c r="I149" s="503"/>
      <c r="J149" s="504"/>
      <c r="K149" s="504"/>
      <c r="L149" s="504"/>
      <c r="M149" s="504"/>
      <c r="N149" s="505">
        <f t="shared" si="22"/>
        <v>0</v>
      </c>
      <c r="O149" s="465">
        <v>8</v>
      </c>
      <c r="P149" s="467">
        <f t="shared" si="23"/>
        <v>0</v>
      </c>
      <c r="Q149" s="467"/>
      <c r="R149" s="467">
        <f t="shared" si="24"/>
        <v>0</v>
      </c>
      <c r="S149" s="467" t="str">
        <f t="shared" si="25"/>
        <v/>
      </c>
      <c r="T149" s="467"/>
      <c r="W149" s="450"/>
      <c r="X149" s="446"/>
    </row>
    <row r="150" s="440" customFormat="1" ht="15.75" hidden="1" customHeight="1" spans="1:24">
      <c r="A150" s="498"/>
      <c r="B150" s="499"/>
      <c r="C150" s="499"/>
      <c r="D150" s="500"/>
      <c r="E150" s="501">
        <v>8</v>
      </c>
      <c r="F150" s="502"/>
      <c r="G150" s="503"/>
      <c r="H150" s="504"/>
      <c r="I150" s="503"/>
      <c r="J150" s="504"/>
      <c r="K150" s="504"/>
      <c r="L150" s="504"/>
      <c r="M150" s="504"/>
      <c r="N150" s="505">
        <f t="shared" si="22"/>
        <v>0</v>
      </c>
      <c r="O150" s="465">
        <v>8</v>
      </c>
      <c r="P150" s="467">
        <f t="shared" si="23"/>
        <v>0</v>
      </c>
      <c r="Q150" s="467"/>
      <c r="R150" s="467">
        <f t="shared" si="24"/>
        <v>0</v>
      </c>
      <c r="S150" s="467" t="str">
        <f t="shared" si="25"/>
        <v/>
      </c>
      <c r="T150" s="467"/>
      <c r="W150" s="450"/>
      <c r="X150" s="446"/>
    </row>
    <row r="151" s="440" customFormat="1" ht="15.75" hidden="1" customHeight="1" spans="1:24">
      <c r="A151" s="498"/>
      <c r="B151" s="499"/>
      <c r="C151" s="499"/>
      <c r="D151" s="500"/>
      <c r="E151" s="501">
        <v>8</v>
      </c>
      <c r="F151" s="502"/>
      <c r="G151" s="503"/>
      <c r="H151" s="504"/>
      <c r="I151" s="503"/>
      <c r="J151" s="504"/>
      <c r="K151" s="504"/>
      <c r="L151" s="504"/>
      <c r="M151" s="504"/>
      <c r="N151" s="505">
        <f t="shared" si="22"/>
        <v>0</v>
      </c>
      <c r="O151" s="465">
        <v>8</v>
      </c>
      <c r="P151" s="467">
        <f t="shared" si="23"/>
        <v>0</v>
      </c>
      <c r="Q151" s="467"/>
      <c r="R151" s="467">
        <f t="shared" si="24"/>
        <v>0</v>
      </c>
      <c r="S151" s="467" t="str">
        <f t="shared" si="25"/>
        <v/>
      </c>
      <c r="T151" s="467"/>
      <c r="W151" s="450"/>
      <c r="X151" s="446"/>
    </row>
    <row r="152" s="440" customFormat="1" ht="15.75" hidden="1" customHeight="1" spans="1:24">
      <c r="A152" s="498"/>
      <c r="B152" s="499"/>
      <c r="C152" s="499"/>
      <c r="D152" s="500"/>
      <c r="E152" s="501">
        <v>8</v>
      </c>
      <c r="F152" s="502"/>
      <c r="G152" s="503"/>
      <c r="H152" s="504"/>
      <c r="I152" s="503"/>
      <c r="J152" s="504"/>
      <c r="K152" s="504"/>
      <c r="L152" s="504"/>
      <c r="M152" s="504"/>
      <c r="N152" s="505">
        <f t="shared" si="22"/>
        <v>0</v>
      </c>
      <c r="O152" s="465">
        <v>8</v>
      </c>
      <c r="P152" s="467">
        <f t="shared" si="23"/>
        <v>0</v>
      </c>
      <c r="Q152" s="467"/>
      <c r="R152" s="467">
        <f t="shared" si="24"/>
        <v>0</v>
      </c>
      <c r="S152" s="467" t="str">
        <f t="shared" si="25"/>
        <v/>
      </c>
      <c r="T152" s="467"/>
      <c r="W152" s="450"/>
      <c r="X152" s="446"/>
    </row>
    <row r="153" s="440" customFormat="1" ht="15.75" hidden="1" customHeight="1" spans="1:24">
      <c r="A153" s="498"/>
      <c r="B153" s="499"/>
      <c r="C153" s="499"/>
      <c r="D153" s="500"/>
      <c r="E153" s="501">
        <v>8</v>
      </c>
      <c r="F153" s="502"/>
      <c r="G153" s="503"/>
      <c r="H153" s="504"/>
      <c r="I153" s="503"/>
      <c r="J153" s="504"/>
      <c r="K153" s="504"/>
      <c r="L153" s="504"/>
      <c r="M153" s="504"/>
      <c r="N153" s="505">
        <f t="shared" si="22"/>
        <v>0</v>
      </c>
      <c r="O153" s="465">
        <v>8</v>
      </c>
      <c r="P153" s="467">
        <f t="shared" si="23"/>
        <v>0</v>
      </c>
      <c r="Q153" s="467"/>
      <c r="R153" s="467">
        <f t="shared" si="24"/>
        <v>0</v>
      </c>
      <c r="S153" s="467" t="str">
        <f t="shared" si="25"/>
        <v/>
      </c>
      <c r="T153" s="467"/>
      <c r="W153" s="450"/>
      <c r="X153" s="446"/>
    </row>
    <row r="154" s="440" customFormat="1" ht="15.75" hidden="1" customHeight="1" spans="1:24">
      <c r="A154" s="498"/>
      <c r="B154" s="499"/>
      <c r="C154" s="499"/>
      <c r="D154" s="500"/>
      <c r="E154" s="501">
        <v>8</v>
      </c>
      <c r="F154" s="502"/>
      <c r="G154" s="503"/>
      <c r="H154" s="504"/>
      <c r="I154" s="503"/>
      <c r="J154" s="504"/>
      <c r="K154" s="504"/>
      <c r="L154" s="504"/>
      <c r="M154" s="504"/>
      <c r="N154" s="505">
        <f t="shared" si="22"/>
        <v>0</v>
      </c>
      <c r="O154" s="465">
        <v>8</v>
      </c>
      <c r="P154" s="467">
        <f t="shared" si="23"/>
        <v>0</v>
      </c>
      <c r="Q154" s="467"/>
      <c r="R154" s="467">
        <f t="shared" si="24"/>
        <v>0</v>
      </c>
      <c r="S154" s="467" t="str">
        <f t="shared" si="25"/>
        <v/>
      </c>
      <c r="T154" s="467"/>
      <c r="W154" s="450"/>
      <c r="X154" s="446"/>
    </row>
    <row r="155" s="440" customFormat="1" ht="15.75" hidden="1" customHeight="1" spans="1:24">
      <c r="A155" s="498"/>
      <c r="B155" s="499"/>
      <c r="C155" s="508"/>
      <c r="D155" s="500"/>
      <c r="E155" s="501">
        <v>8</v>
      </c>
      <c r="F155" s="502"/>
      <c r="G155" s="503"/>
      <c r="H155" s="504"/>
      <c r="I155" s="503"/>
      <c r="J155" s="504"/>
      <c r="K155" s="504"/>
      <c r="L155" s="504"/>
      <c r="M155" s="504"/>
      <c r="N155" s="505">
        <f t="shared" si="22"/>
        <v>0</v>
      </c>
      <c r="O155" s="465">
        <v>8</v>
      </c>
      <c r="P155" s="467">
        <f t="shared" si="23"/>
        <v>0</v>
      </c>
      <c r="Q155" s="467"/>
      <c r="R155" s="467">
        <f t="shared" si="24"/>
        <v>0</v>
      </c>
      <c r="S155" s="467" t="str">
        <f t="shared" si="25"/>
        <v/>
      </c>
      <c r="T155" s="467"/>
      <c r="W155" s="450"/>
      <c r="X155" s="446"/>
    </row>
    <row r="156" s="440" customFormat="1" ht="15.75" hidden="1" customHeight="1" spans="1:24">
      <c r="A156" s="498"/>
      <c r="B156" s="508"/>
      <c r="C156" s="508"/>
      <c r="D156" s="500"/>
      <c r="E156" s="501">
        <v>8</v>
      </c>
      <c r="F156" s="502"/>
      <c r="G156" s="503"/>
      <c r="H156" s="504"/>
      <c r="I156" s="503"/>
      <c r="J156" s="504"/>
      <c r="K156" s="504"/>
      <c r="L156" s="504"/>
      <c r="M156" s="504"/>
      <c r="N156" s="505">
        <f t="shared" si="22"/>
        <v>0</v>
      </c>
      <c r="O156" s="465">
        <v>8</v>
      </c>
      <c r="P156" s="467">
        <f t="shared" si="23"/>
        <v>0</v>
      </c>
      <c r="Q156" s="467"/>
      <c r="R156" s="467">
        <f t="shared" si="24"/>
        <v>0</v>
      </c>
      <c r="S156" s="467" t="str">
        <f t="shared" si="25"/>
        <v/>
      </c>
      <c r="T156" s="467"/>
      <c r="W156" s="450"/>
      <c r="X156" s="446"/>
    </row>
    <row r="157" s="440" customFormat="1" ht="15.75" hidden="1" customHeight="1" spans="1:24">
      <c r="A157" s="498"/>
      <c r="B157" s="508"/>
      <c r="C157" s="508"/>
      <c r="D157" s="500"/>
      <c r="E157" s="501">
        <v>8</v>
      </c>
      <c r="F157" s="502"/>
      <c r="G157" s="503"/>
      <c r="H157" s="504"/>
      <c r="I157" s="503"/>
      <c r="J157" s="504"/>
      <c r="K157" s="504"/>
      <c r="L157" s="504"/>
      <c r="M157" s="504"/>
      <c r="N157" s="505">
        <f t="shared" si="22"/>
        <v>0</v>
      </c>
      <c r="O157" s="465">
        <v>8</v>
      </c>
      <c r="P157" s="467">
        <f t="shared" si="23"/>
        <v>0</v>
      </c>
      <c r="Q157" s="467"/>
      <c r="R157" s="467">
        <f t="shared" si="24"/>
        <v>0</v>
      </c>
      <c r="S157" s="467" t="str">
        <f t="shared" si="25"/>
        <v/>
      </c>
      <c r="T157" s="467"/>
      <c r="W157" s="450"/>
      <c r="X157" s="446"/>
    </row>
    <row r="158" s="440" customFormat="1" ht="15.75" hidden="1" customHeight="1" spans="1:24">
      <c r="A158" s="509"/>
      <c r="B158" s="508"/>
      <c r="C158" s="508"/>
      <c r="D158" s="500"/>
      <c r="E158" s="501">
        <v>8</v>
      </c>
      <c r="F158" s="502"/>
      <c r="G158" s="503"/>
      <c r="H158" s="504"/>
      <c r="I158" s="503"/>
      <c r="J158" s="504"/>
      <c r="K158" s="504"/>
      <c r="L158" s="504"/>
      <c r="M158" s="504"/>
      <c r="N158" s="505">
        <f t="shared" si="22"/>
        <v>0</v>
      </c>
      <c r="O158" s="465">
        <v>8</v>
      </c>
      <c r="P158" s="467">
        <f t="shared" si="23"/>
        <v>0</v>
      </c>
      <c r="Q158" s="467"/>
      <c r="R158" s="467">
        <f t="shared" si="24"/>
        <v>0</v>
      </c>
      <c r="S158" s="467" t="str">
        <f t="shared" si="25"/>
        <v/>
      </c>
      <c r="T158" s="467"/>
      <c r="W158" s="450"/>
      <c r="X158" s="446"/>
    </row>
    <row r="159" s="440" customFormat="1" ht="15.75" hidden="1" customHeight="1" spans="1:24">
      <c r="A159" s="509"/>
      <c r="B159" s="508"/>
      <c r="C159" s="508"/>
      <c r="D159" s="500"/>
      <c r="E159" s="501">
        <v>8</v>
      </c>
      <c r="F159" s="502"/>
      <c r="G159" s="503"/>
      <c r="H159" s="504"/>
      <c r="I159" s="503"/>
      <c r="J159" s="504"/>
      <c r="K159" s="504"/>
      <c r="L159" s="504"/>
      <c r="M159" s="504"/>
      <c r="N159" s="505">
        <f t="shared" si="22"/>
        <v>0</v>
      </c>
      <c r="O159" s="465">
        <v>8</v>
      </c>
      <c r="P159" s="467">
        <f t="shared" si="23"/>
        <v>0</v>
      </c>
      <c r="Q159" s="467"/>
      <c r="R159" s="467">
        <f t="shared" si="24"/>
        <v>0</v>
      </c>
      <c r="S159" s="467" t="str">
        <f t="shared" si="25"/>
        <v/>
      </c>
      <c r="T159" s="467"/>
      <c r="W159" s="450"/>
      <c r="X159" s="446"/>
    </row>
    <row r="160" s="440" customFormat="1" ht="15.75" hidden="1" customHeight="1" spans="1:24">
      <c r="A160" s="509"/>
      <c r="B160" s="508"/>
      <c r="C160" s="508"/>
      <c r="D160" s="500"/>
      <c r="E160" s="501">
        <v>8</v>
      </c>
      <c r="F160" s="502"/>
      <c r="G160" s="503"/>
      <c r="H160" s="504"/>
      <c r="I160" s="503"/>
      <c r="J160" s="504"/>
      <c r="K160" s="504"/>
      <c r="L160" s="504"/>
      <c r="M160" s="504"/>
      <c r="N160" s="505">
        <f t="shared" si="22"/>
        <v>0</v>
      </c>
      <c r="O160" s="465">
        <v>8</v>
      </c>
      <c r="P160" s="467">
        <f t="shared" si="23"/>
        <v>0</v>
      </c>
      <c r="Q160" s="467"/>
      <c r="R160" s="467">
        <f t="shared" si="24"/>
        <v>0</v>
      </c>
      <c r="S160" s="467" t="str">
        <f t="shared" si="25"/>
        <v/>
      </c>
      <c r="T160" s="467"/>
      <c r="W160" s="450"/>
      <c r="X160" s="446"/>
    </row>
    <row r="161" s="440" customFormat="1" ht="15.75" hidden="1" customHeight="1" spans="1:24">
      <c r="A161" s="509"/>
      <c r="B161" s="508"/>
      <c r="C161" s="508"/>
      <c r="D161" s="500"/>
      <c r="E161" s="501">
        <v>8</v>
      </c>
      <c r="F161" s="502"/>
      <c r="G161" s="503"/>
      <c r="H161" s="504"/>
      <c r="I161" s="503"/>
      <c r="J161" s="504"/>
      <c r="K161" s="504"/>
      <c r="L161" s="504"/>
      <c r="M161" s="504"/>
      <c r="N161" s="505">
        <f t="shared" si="22"/>
        <v>0</v>
      </c>
      <c r="O161" s="465">
        <v>8</v>
      </c>
      <c r="P161" s="467">
        <f t="shared" si="23"/>
        <v>0</v>
      </c>
      <c r="Q161" s="467"/>
      <c r="R161" s="467">
        <f t="shared" si="24"/>
        <v>0</v>
      </c>
      <c r="S161" s="467" t="str">
        <f t="shared" si="25"/>
        <v/>
      </c>
      <c r="T161" s="467"/>
      <c r="W161" s="450"/>
      <c r="X161" s="446"/>
    </row>
    <row r="162" s="440" customFormat="1" ht="15.75" hidden="1" customHeight="1" spans="1:24">
      <c r="A162" s="509"/>
      <c r="B162" s="508"/>
      <c r="C162" s="508"/>
      <c r="D162" s="500"/>
      <c r="E162" s="501">
        <v>8</v>
      </c>
      <c r="F162" s="502"/>
      <c r="G162" s="503"/>
      <c r="H162" s="504"/>
      <c r="I162" s="503"/>
      <c r="J162" s="504"/>
      <c r="K162" s="504"/>
      <c r="L162" s="504"/>
      <c r="M162" s="504"/>
      <c r="N162" s="505">
        <f t="shared" si="22"/>
        <v>0</v>
      </c>
      <c r="O162" s="465">
        <v>8</v>
      </c>
      <c r="P162" s="467">
        <f t="shared" si="23"/>
        <v>0</v>
      </c>
      <c r="Q162" s="467"/>
      <c r="R162" s="467">
        <f t="shared" si="24"/>
        <v>0</v>
      </c>
      <c r="S162" s="467" t="str">
        <f t="shared" si="25"/>
        <v/>
      </c>
      <c r="T162" s="467"/>
      <c r="W162" s="450"/>
      <c r="X162" s="446"/>
    </row>
    <row r="163" s="440" customFormat="1" ht="15.75" hidden="1" customHeight="1" spans="1:24">
      <c r="A163" s="509"/>
      <c r="B163" s="508"/>
      <c r="C163" s="508"/>
      <c r="D163" s="500"/>
      <c r="E163" s="501">
        <v>8</v>
      </c>
      <c r="F163" s="502"/>
      <c r="G163" s="503"/>
      <c r="H163" s="504"/>
      <c r="I163" s="503"/>
      <c r="J163" s="504"/>
      <c r="K163" s="504"/>
      <c r="L163" s="504"/>
      <c r="M163" s="504"/>
      <c r="N163" s="505">
        <f t="shared" si="22"/>
        <v>0</v>
      </c>
      <c r="O163" s="465">
        <v>8</v>
      </c>
      <c r="P163" s="467">
        <f t="shared" si="23"/>
        <v>0</v>
      </c>
      <c r="Q163" s="467"/>
      <c r="R163" s="467">
        <f t="shared" si="24"/>
        <v>0</v>
      </c>
      <c r="S163" s="467" t="str">
        <f t="shared" si="25"/>
        <v/>
      </c>
      <c r="T163" s="467"/>
      <c r="W163" s="450"/>
      <c r="X163" s="446"/>
    </row>
    <row r="164" s="440" customFormat="1" ht="15.75" hidden="1" customHeight="1" spans="1:24">
      <c r="A164" s="509"/>
      <c r="B164" s="508"/>
      <c r="C164" s="508"/>
      <c r="D164" s="500"/>
      <c r="E164" s="501">
        <v>8</v>
      </c>
      <c r="F164" s="502"/>
      <c r="G164" s="503"/>
      <c r="H164" s="504"/>
      <c r="I164" s="503"/>
      <c r="J164" s="504"/>
      <c r="K164" s="504"/>
      <c r="L164" s="504"/>
      <c r="M164" s="504"/>
      <c r="N164" s="505">
        <f t="shared" si="22"/>
        <v>0</v>
      </c>
      <c r="O164" s="465">
        <v>8</v>
      </c>
      <c r="P164" s="467">
        <f t="shared" si="23"/>
        <v>0</v>
      </c>
      <c r="Q164" s="467"/>
      <c r="R164" s="467">
        <f t="shared" si="24"/>
        <v>0</v>
      </c>
      <c r="S164" s="467" t="str">
        <f t="shared" si="25"/>
        <v/>
      </c>
      <c r="T164" s="467"/>
      <c r="W164" s="450"/>
      <c r="X164" s="446"/>
    </row>
    <row r="165" s="440" customFormat="1" ht="15.75" hidden="1" customHeight="1" spans="1:24">
      <c r="A165" s="509"/>
      <c r="B165" s="508"/>
      <c r="C165" s="508"/>
      <c r="D165" s="500"/>
      <c r="E165" s="501">
        <v>8</v>
      </c>
      <c r="F165" s="502"/>
      <c r="G165" s="503"/>
      <c r="H165" s="504"/>
      <c r="I165" s="503"/>
      <c r="J165" s="504"/>
      <c r="K165" s="504"/>
      <c r="L165" s="504"/>
      <c r="M165" s="504"/>
      <c r="N165" s="505">
        <f t="shared" si="22"/>
        <v>0</v>
      </c>
      <c r="O165" s="465">
        <v>8</v>
      </c>
      <c r="P165" s="467">
        <f t="shared" si="23"/>
        <v>0</v>
      </c>
      <c r="Q165" s="467"/>
      <c r="R165" s="467">
        <f t="shared" si="24"/>
        <v>0</v>
      </c>
      <c r="S165" s="467" t="str">
        <f t="shared" si="25"/>
        <v/>
      </c>
      <c r="T165" s="467"/>
      <c r="W165" s="450"/>
      <c r="X165" s="446"/>
    </row>
    <row r="166" s="440" customFormat="1" ht="15.75" hidden="1" customHeight="1" spans="1:24">
      <c r="A166" s="509"/>
      <c r="B166" s="508"/>
      <c r="C166" s="508"/>
      <c r="D166" s="500"/>
      <c r="E166" s="501">
        <v>8</v>
      </c>
      <c r="F166" s="502"/>
      <c r="G166" s="503"/>
      <c r="H166" s="504"/>
      <c r="I166" s="503"/>
      <c r="J166" s="504"/>
      <c r="K166" s="504"/>
      <c r="L166" s="504"/>
      <c r="M166" s="504"/>
      <c r="N166" s="505">
        <f t="shared" si="22"/>
        <v>0</v>
      </c>
      <c r="O166" s="465">
        <v>8</v>
      </c>
      <c r="P166" s="467">
        <f t="shared" si="23"/>
        <v>0</v>
      </c>
      <c r="Q166" s="467"/>
      <c r="R166" s="467">
        <f t="shared" si="24"/>
        <v>0</v>
      </c>
      <c r="S166" s="467" t="str">
        <f t="shared" si="25"/>
        <v/>
      </c>
      <c r="T166" s="467"/>
      <c r="W166" s="450"/>
      <c r="X166" s="446"/>
    </row>
    <row r="167" s="440" customFormat="1" ht="15.75" hidden="1" customHeight="1" spans="1:24">
      <c r="A167" s="509"/>
      <c r="B167" s="508"/>
      <c r="C167" s="508"/>
      <c r="D167" s="500"/>
      <c r="E167" s="501">
        <v>8</v>
      </c>
      <c r="F167" s="502"/>
      <c r="G167" s="503"/>
      <c r="H167" s="504"/>
      <c r="I167" s="503"/>
      <c r="J167" s="504"/>
      <c r="K167" s="504"/>
      <c r="L167" s="504"/>
      <c r="M167" s="504"/>
      <c r="N167" s="505">
        <f t="shared" si="22"/>
        <v>0</v>
      </c>
      <c r="O167" s="465">
        <v>8</v>
      </c>
      <c r="P167" s="467">
        <f t="shared" si="23"/>
        <v>0</v>
      </c>
      <c r="Q167" s="467"/>
      <c r="R167" s="467">
        <f t="shared" si="24"/>
        <v>0</v>
      </c>
      <c r="S167" s="467" t="str">
        <f t="shared" si="25"/>
        <v/>
      </c>
      <c r="T167" s="467"/>
      <c r="W167" s="450"/>
      <c r="X167" s="446"/>
    </row>
    <row r="168" s="440" customFormat="1" ht="15.75" hidden="1" customHeight="1" spans="1:24">
      <c r="A168" s="509"/>
      <c r="B168" s="508"/>
      <c r="C168" s="508"/>
      <c r="D168" s="500"/>
      <c r="E168" s="501">
        <v>8</v>
      </c>
      <c r="F168" s="502"/>
      <c r="G168" s="503"/>
      <c r="H168" s="504"/>
      <c r="I168" s="503"/>
      <c r="J168" s="504"/>
      <c r="K168" s="504"/>
      <c r="L168" s="504"/>
      <c r="M168" s="504"/>
      <c r="N168" s="505">
        <f t="shared" si="22"/>
        <v>0</v>
      </c>
      <c r="O168" s="465">
        <v>8</v>
      </c>
      <c r="P168" s="467">
        <f t="shared" si="23"/>
        <v>0</v>
      </c>
      <c r="Q168" s="467"/>
      <c r="R168" s="467">
        <f t="shared" si="24"/>
        <v>0</v>
      </c>
      <c r="S168" s="467" t="str">
        <f t="shared" si="25"/>
        <v/>
      </c>
      <c r="T168" s="467"/>
      <c r="W168" s="450"/>
      <c r="X168" s="446"/>
    </row>
    <row r="169" s="440" customFormat="1" ht="15.75" hidden="1" customHeight="1" spans="1:24">
      <c r="A169" s="509"/>
      <c r="B169" s="508"/>
      <c r="C169" s="508"/>
      <c r="D169" s="500"/>
      <c r="E169" s="501">
        <v>8</v>
      </c>
      <c r="F169" s="502"/>
      <c r="G169" s="503"/>
      <c r="H169" s="504"/>
      <c r="I169" s="503"/>
      <c r="J169" s="504"/>
      <c r="K169" s="504"/>
      <c r="L169" s="504"/>
      <c r="M169" s="504"/>
      <c r="N169" s="505">
        <f t="shared" si="22"/>
        <v>0</v>
      </c>
      <c r="O169" s="465">
        <v>8</v>
      </c>
      <c r="P169" s="467">
        <f t="shared" si="23"/>
        <v>0</v>
      </c>
      <c r="Q169" s="467"/>
      <c r="R169" s="467">
        <f t="shared" si="24"/>
        <v>0</v>
      </c>
      <c r="S169" s="467" t="str">
        <f t="shared" si="25"/>
        <v/>
      </c>
      <c r="T169" s="467"/>
      <c r="W169" s="450"/>
      <c r="X169" s="446"/>
    </row>
    <row r="170" s="440" customFormat="1" ht="15.75" hidden="1" customHeight="1" spans="1:24">
      <c r="A170" s="509"/>
      <c r="B170" s="508"/>
      <c r="C170" s="508"/>
      <c r="D170" s="500"/>
      <c r="E170" s="501">
        <v>8</v>
      </c>
      <c r="F170" s="502"/>
      <c r="G170" s="503"/>
      <c r="H170" s="504"/>
      <c r="I170" s="503"/>
      <c r="J170" s="504"/>
      <c r="K170" s="504"/>
      <c r="L170" s="504"/>
      <c r="M170" s="504"/>
      <c r="N170" s="505">
        <f t="shared" si="22"/>
        <v>0</v>
      </c>
      <c r="O170" s="465">
        <v>8</v>
      </c>
      <c r="P170" s="467">
        <f t="shared" si="23"/>
        <v>0</v>
      </c>
      <c r="Q170" s="467"/>
      <c r="R170" s="467">
        <f t="shared" si="24"/>
        <v>0</v>
      </c>
      <c r="S170" s="467" t="str">
        <f t="shared" si="25"/>
        <v/>
      </c>
      <c r="T170" s="467"/>
      <c r="W170" s="450"/>
      <c r="X170" s="446"/>
    </row>
    <row r="171" s="440" customFormat="1" ht="15.75" hidden="1" customHeight="1" spans="1:24">
      <c r="A171" s="509"/>
      <c r="B171" s="508"/>
      <c r="C171" s="508"/>
      <c r="D171" s="500"/>
      <c r="E171" s="501">
        <v>8</v>
      </c>
      <c r="F171" s="502"/>
      <c r="G171" s="503"/>
      <c r="H171" s="504"/>
      <c r="I171" s="503"/>
      <c r="J171" s="504"/>
      <c r="K171" s="504"/>
      <c r="L171" s="504"/>
      <c r="M171" s="504"/>
      <c r="N171" s="505">
        <f t="shared" si="22"/>
        <v>0</v>
      </c>
      <c r="O171" s="465">
        <v>8</v>
      </c>
      <c r="P171" s="467">
        <f t="shared" si="23"/>
        <v>0</v>
      </c>
      <c r="Q171" s="467"/>
      <c r="R171" s="467">
        <f t="shared" si="24"/>
        <v>0</v>
      </c>
      <c r="S171" s="467" t="str">
        <f t="shared" si="25"/>
        <v/>
      </c>
      <c r="T171" s="467"/>
      <c r="W171" s="450"/>
      <c r="X171" s="446"/>
    </row>
    <row r="172" s="440" customFormat="1" ht="15.75" hidden="1" customHeight="1" spans="1:24">
      <c r="A172" s="509"/>
      <c r="B172" s="508"/>
      <c r="C172" s="508"/>
      <c r="D172" s="500"/>
      <c r="E172" s="501">
        <v>8</v>
      </c>
      <c r="F172" s="502"/>
      <c r="G172" s="503"/>
      <c r="H172" s="504"/>
      <c r="I172" s="503"/>
      <c r="J172" s="504"/>
      <c r="K172" s="504"/>
      <c r="L172" s="504"/>
      <c r="M172" s="504"/>
      <c r="N172" s="505">
        <f t="shared" si="22"/>
        <v>0</v>
      </c>
      <c r="O172" s="465">
        <v>8</v>
      </c>
      <c r="P172" s="467">
        <f t="shared" si="23"/>
        <v>0</v>
      </c>
      <c r="Q172" s="467"/>
      <c r="R172" s="467">
        <f t="shared" si="24"/>
        <v>0</v>
      </c>
      <c r="S172" s="467" t="str">
        <f t="shared" si="25"/>
        <v/>
      </c>
      <c r="T172" s="467"/>
      <c r="W172" s="450"/>
      <c r="X172" s="446"/>
    </row>
    <row r="173" s="440" customFormat="1" ht="15.75" hidden="1" customHeight="1" spans="1:24">
      <c r="A173" s="509"/>
      <c r="B173" s="508"/>
      <c r="C173" s="508"/>
      <c r="D173" s="500"/>
      <c r="E173" s="501">
        <v>8</v>
      </c>
      <c r="F173" s="502"/>
      <c r="G173" s="503"/>
      <c r="H173" s="504"/>
      <c r="I173" s="503"/>
      <c r="J173" s="504"/>
      <c r="K173" s="504"/>
      <c r="L173" s="504"/>
      <c r="M173" s="504"/>
      <c r="N173" s="505">
        <f t="shared" si="22"/>
        <v>0</v>
      </c>
      <c r="O173" s="465">
        <v>8</v>
      </c>
      <c r="P173" s="467">
        <f t="shared" si="23"/>
        <v>0</v>
      </c>
      <c r="Q173" s="467"/>
      <c r="R173" s="467">
        <f t="shared" si="24"/>
        <v>0</v>
      </c>
      <c r="S173" s="467" t="str">
        <f t="shared" si="25"/>
        <v/>
      </c>
      <c r="T173" s="467"/>
      <c r="W173" s="450"/>
      <c r="X173" s="446"/>
    </row>
    <row r="174" s="440" customFormat="1" ht="15.75" hidden="1" customHeight="1" spans="1:24">
      <c r="A174" s="509"/>
      <c r="B174" s="508"/>
      <c r="C174" s="508"/>
      <c r="D174" s="500"/>
      <c r="E174" s="501">
        <v>8</v>
      </c>
      <c r="F174" s="502"/>
      <c r="G174" s="503"/>
      <c r="H174" s="504"/>
      <c r="I174" s="503"/>
      <c r="J174" s="504"/>
      <c r="K174" s="504"/>
      <c r="L174" s="504"/>
      <c r="M174" s="504"/>
      <c r="N174" s="505">
        <f t="shared" si="22"/>
        <v>0</v>
      </c>
      <c r="O174" s="465">
        <v>8</v>
      </c>
      <c r="P174" s="467">
        <f t="shared" si="23"/>
        <v>0</v>
      </c>
      <c r="Q174" s="467"/>
      <c r="R174" s="467">
        <f t="shared" si="24"/>
        <v>0</v>
      </c>
      <c r="S174" s="467" t="str">
        <f t="shared" si="25"/>
        <v/>
      </c>
      <c r="T174" s="467"/>
      <c r="W174" s="450"/>
      <c r="X174" s="446"/>
    </row>
    <row r="175" s="440" customFormat="1" ht="15.75" hidden="1" customHeight="1" spans="1:24">
      <c r="A175" s="509"/>
      <c r="B175" s="508"/>
      <c r="C175" s="508"/>
      <c r="D175" s="500"/>
      <c r="E175" s="501">
        <v>8</v>
      </c>
      <c r="F175" s="502"/>
      <c r="G175" s="503"/>
      <c r="H175" s="504"/>
      <c r="I175" s="503"/>
      <c r="J175" s="504"/>
      <c r="K175" s="504"/>
      <c r="L175" s="504"/>
      <c r="M175" s="504"/>
      <c r="N175" s="505">
        <f t="shared" si="22"/>
        <v>0</v>
      </c>
      <c r="O175" s="465">
        <v>8</v>
      </c>
      <c r="P175" s="467">
        <f t="shared" si="23"/>
        <v>0</v>
      </c>
      <c r="Q175" s="467"/>
      <c r="R175" s="467">
        <f t="shared" si="24"/>
        <v>0</v>
      </c>
      <c r="S175" s="467" t="str">
        <f t="shared" si="25"/>
        <v/>
      </c>
      <c r="T175" s="467"/>
      <c r="W175" s="450"/>
      <c r="X175" s="446"/>
    </row>
    <row r="176" s="440" customFormat="1" ht="15.75" hidden="1" customHeight="1" spans="1:24">
      <c r="A176" s="509"/>
      <c r="B176" s="508"/>
      <c r="C176" s="508"/>
      <c r="D176" s="500"/>
      <c r="E176" s="501">
        <v>8</v>
      </c>
      <c r="F176" s="502"/>
      <c r="G176" s="503"/>
      <c r="H176" s="504"/>
      <c r="I176" s="503"/>
      <c r="J176" s="504"/>
      <c r="K176" s="504"/>
      <c r="L176" s="504"/>
      <c r="M176" s="504"/>
      <c r="N176" s="505">
        <f t="shared" si="22"/>
        <v>0</v>
      </c>
      <c r="O176" s="465">
        <v>8</v>
      </c>
      <c r="P176" s="467">
        <f t="shared" si="23"/>
        <v>0</v>
      </c>
      <c r="Q176" s="467"/>
      <c r="R176" s="467">
        <f t="shared" si="24"/>
        <v>0</v>
      </c>
      <c r="S176" s="467" t="str">
        <f t="shared" si="25"/>
        <v/>
      </c>
      <c r="T176" s="467"/>
      <c r="W176" s="450"/>
      <c r="X176" s="446"/>
    </row>
    <row r="177" s="440" customFormat="1" ht="15.75" hidden="1" customHeight="1" spans="1:24">
      <c r="A177" s="509"/>
      <c r="B177" s="508"/>
      <c r="C177" s="508"/>
      <c r="D177" s="500"/>
      <c r="E177" s="501">
        <v>8</v>
      </c>
      <c r="F177" s="502"/>
      <c r="G177" s="503"/>
      <c r="H177" s="504"/>
      <c r="I177" s="503"/>
      <c r="J177" s="504"/>
      <c r="K177" s="504"/>
      <c r="L177" s="504"/>
      <c r="M177" s="504"/>
      <c r="N177" s="505">
        <f t="shared" si="22"/>
        <v>0</v>
      </c>
      <c r="O177" s="465">
        <v>8</v>
      </c>
      <c r="P177" s="467">
        <f t="shared" si="23"/>
        <v>0</v>
      </c>
      <c r="Q177" s="467"/>
      <c r="R177" s="467">
        <f t="shared" si="24"/>
        <v>0</v>
      </c>
      <c r="S177" s="467" t="str">
        <f t="shared" si="25"/>
        <v/>
      </c>
      <c r="T177" s="467"/>
      <c r="W177" s="450"/>
      <c r="X177" s="446"/>
    </row>
    <row r="178" s="440" customFormat="1" ht="15.75" hidden="1" customHeight="1" spans="1:24">
      <c r="A178" s="509"/>
      <c r="B178" s="508"/>
      <c r="C178" s="508"/>
      <c r="D178" s="500"/>
      <c r="E178" s="501">
        <v>8</v>
      </c>
      <c r="F178" s="502"/>
      <c r="G178" s="503"/>
      <c r="H178" s="504"/>
      <c r="I178" s="503"/>
      <c r="J178" s="504"/>
      <c r="K178" s="504"/>
      <c r="L178" s="504"/>
      <c r="M178" s="504"/>
      <c r="N178" s="505">
        <f t="shared" si="22"/>
        <v>0</v>
      </c>
      <c r="O178" s="465">
        <v>8</v>
      </c>
      <c r="P178" s="467">
        <f t="shared" si="23"/>
        <v>0</v>
      </c>
      <c r="Q178" s="467"/>
      <c r="R178" s="467">
        <f t="shared" si="24"/>
        <v>0</v>
      </c>
      <c r="S178" s="467" t="str">
        <f t="shared" si="25"/>
        <v/>
      </c>
      <c r="T178" s="467"/>
      <c r="W178" s="450"/>
      <c r="X178" s="446"/>
    </row>
    <row r="179" s="440" customFormat="1" ht="15.75" hidden="1" customHeight="1" spans="1:24">
      <c r="A179" s="509"/>
      <c r="B179" s="508"/>
      <c r="C179" s="508"/>
      <c r="D179" s="500"/>
      <c r="E179" s="501">
        <v>8</v>
      </c>
      <c r="F179" s="502"/>
      <c r="G179" s="503"/>
      <c r="H179" s="504"/>
      <c r="I179" s="503"/>
      <c r="J179" s="504"/>
      <c r="K179" s="504"/>
      <c r="L179" s="504"/>
      <c r="M179" s="504"/>
      <c r="N179" s="505">
        <f t="shared" si="22"/>
        <v>0</v>
      </c>
      <c r="O179" s="465">
        <v>8</v>
      </c>
      <c r="P179" s="467">
        <f t="shared" si="23"/>
        <v>0</v>
      </c>
      <c r="Q179" s="467"/>
      <c r="R179" s="467">
        <f t="shared" si="24"/>
        <v>0</v>
      </c>
      <c r="S179" s="467" t="str">
        <f t="shared" si="25"/>
        <v/>
      </c>
      <c r="T179" s="467"/>
      <c r="W179" s="450"/>
      <c r="X179" s="446"/>
    </row>
    <row r="180" s="440" customFormat="1" ht="15.75" hidden="1" customHeight="1" spans="1:24">
      <c r="A180" s="509"/>
      <c r="B180" s="508"/>
      <c r="C180" s="508"/>
      <c r="D180" s="500"/>
      <c r="E180" s="501">
        <v>8</v>
      </c>
      <c r="F180" s="502"/>
      <c r="G180" s="503"/>
      <c r="H180" s="504"/>
      <c r="I180" s="503"/>
      <c r="J180" s="504"/>
      <c r="K180" s="504"/>
      <c r="L180" s="504"/>
      <c r="M180" s="504"/>
      <c r="N180" s="505">
        <f t="shared" si="22"/>
        <v>0</v>
      </c>
      <c r="O180" s="465">
        <v>8</v>
      </c>
      <c r="P180" s="467">
        <f t="shared" si="23"/>
        <v>0</v>
      </c>
      <c r="Q180" s="467"/>
      <c r="R180" s="467">
        <f t="shared" si="24"/>
        <v>0</v>
      </c>
      <c r="S180" s="467" t="str">
        <f t="shared" si="25"/>
        <v/>
      </c>
      <c r="T180" s="467"/>
      <c r="W180" s="450"/>
      <c r="X180" s="446"/>
    </row>
    <row r="181" s="440" customFormat="1" ht="15.75" hidden="1" customHeight="1" spans="1:24">
      <c r="A181" s="509"/>
      <c r="B181" s="508"/>
      <c r="C181" s="508"/>
      <c r="D181" s="500"/>
      <c r="E181" s="501">
        <v>8</v>
      </c>
      <c r="F181" s="502"/>
      <c r="G181" s="503"/>
      <c r="H181" s="504"/>
      <c r="I181" s="503"/>
      <c r="J181" s="504"/>
      <c r="K181" s="504"/>
      <c r="L181" s="504"/>
      <c r="M181" s="504"/>
      <c r="N181" s="505">
        <f t="shared" si="22"/>
        <v>0</v>
      </c>
      <c r="O181" s="465">
        <v>8</v>
      </c>
      <c r="P181" s="467">
        <f t="shared" si="23"/>
        <v>0</v>
      </c>
      <c r="Q181" s="467"/>
      <c r="R181" s="467">
        <f t="shared" si="24"/>
        <v>0</v>
      </c>
      <c r="S181" s="467" t="str">
        <f t="shared" si="25"/>
        <v/>
      </c>
      <c r="T181" s="467"/>
      <c r="W181" s="450"/>
      <c r="X181" s="446"/>
    </row>
    <row r="182" s="440" customFormat="1" ht="15.75" hidden="1" customHeight="1" spans="1:24">
      <c r="A182" s="509"/>
      <c r="B182" s="508"/>
      <c r="C182" s="508"/>
      <c r="D182" s="500"/>
      <c r="E182" s="501">
        <v>8</v>
      </c>
      <c r="F182" s="502"/>
      <c r="G182" s="503"/>
      <c r="H182" s="504"/>
      <c r="I182" s="503"/>
      <c r="J182" s="504"/>
      <c r="K182" s="504"/>
      <c r="L182" s="504"/>
      <c r="M182" s="504"/>
      <c r="N182" s="505">
        <f t="shared" si="22"/>
        <v>0</v>
      </c>
      <c r="O182" s="465">
        <v>8</v>
      </c>
      <c r="P182" s="467">
        <f t="shared" si="23"/>
        <v>0</v>
      </c>
      <c r="Q182" s="467"/>
      <c r="R182" s="467">
        <f t="shared" si="24"/>
        <v>0</v>
      </c>
      <c r="S182" s="467" t="str">
        <f t="shared" si="25"/>
        <v/>
      </c>
      <c r="T182" s="467"/>
      <c r="W182" s="450"/>
      <c r="X182" s="446"/>
    </row>
    <row r="183" s="440" customFormat="1" ht="15.75" hidden="1" customHeight="1" spans="1:24">
      <c r="A183" s="509"/>
      <c r="B183" s="499"/>
      <c r="C183" s="508"/>
      <c r="D183" s="500"/>
      <c r="E183" s="501">
        <v>8</v>
      </c>
      <c r="F183" s="502"/>
      <c r="G183" s="503"/>
      <c r="H183" s="504"/>
      <c r="I183" s="503"/>
      <c r="J183" s="504"/>
      <c r="K183" s="504"/>
      <c r="L183" s="504"/>
      <c r="M183" s="504"/>
      <c r="N183" s="505">
        <f t="shared" si="22"/>
        <v>0</v>
      </c>
      <c r="O183" s="465">
        <v>8</v>
      </c>
      <c r="P183" s="467">
        <f t="shared" si="23"/>
        <v>0</v>
      </c>
      <c r="Q183" s="467"/>
      <c r="R183" s="467">
        <f t="shared" si="24"/>
        <v>0</v>
      </c>
      <c r="S183" s="467" t="str">
        <f t="shared" si="25"/>
        <v/>
      </c>
      <c r="T183" s="467"/>
      <c r="W183" s="450"/>
      <c r="X183" s="446"/>
    </row>
    <row r="184" s="440" customFormat="1" ht="15.75" hidden="1" customHeight="1" spans="1:24">
      <c r="A184" s="509"/>
      <c r="B184" s="499"/>
      <c r="C184" s="508"/>
      <c r="D184" s="500"/>
      <c r="E184" s="501">
        <v>8</v>
      </c>
      <c r="F184" s="502"/>
      <c r="G184" s="504"/>
      <c r="H184" s="504"/>
      <c r="I184" s="504"/>
      <c r="J184" s="504"/>
      <c r="K184" s="504"/>
      <c r="L184" s="504"/>
      <c r="M184" s="504"/>
      <c r="N184" s="505">
        <f t="shared" si="22"/>
        <v>0</v>
      </c>
      <c r="O184" s="465">
        <v>8</v>
      </c>
      <c r="P184" s="467">
        <f t="shared" si="23"/>
        <v>0</v>
      </c>
      <c r="Q184" s="467"/>
      <c r="R184" s="467">
        <f t="shared" si="24"/>
        <v>0</v>
      </c>
      <c r="S184" s="467" t="str">
        <f t="shared" si="25"/>
        <v/>
      </c>
      <c r="T184" s="467"/>
      <c r="W184" s="450"/>
      <c r="X184" s="446"/>
    </row>
    <row r="185" s="440" customFormat="1" ht="15.75" hidden="1" customHeight="1" spans="1:24">
      <c r="A185" s="509"/>
      <c r="B185" s="499"/>
      <c r="C185" s="508"/>
      <c r="D185" s="500"/>
      <c r="E185" s="501">
        <v>8</v>
      </c>
      <c r="F185" s="502"/>
      <c r="G185" s="504"/>
      <c r="H185" s="504"/>
      <c r="I185" s="504"/>
      <c r="J185" s="504"/>
      <c r="K185" s="504"/>
      <c r="L185" s="504"/>
      <c r="M185" s="504"/>
      <c r="N185" s="505">
        <f t="shared" si="22"/>
        <v>0</v>
      </c>
      <c r="O185" s="465">
        <v>8</v>
      </c>
      <c r="P185" s="467">
        <f t="shared" si="23"/>
        <v>0</v>
      </c>
      <c r="Q185" s="467"/>
      <c r="R185" s="467">
        <f t="shared" si="24"/>
        <v>0</v>
      </c>
      <c r="S185" s="467" t="str">
        <f t="shared" si="25"/>
        <v/>
      </c>
      <c r="T185" s="467"/>
      <c r="W185" s="450"/>
      <c r="X185" s="446"/>
    </row>
    <row r="186" s="440" customFormat="1" ht="15.75" hidden="1" customHeight="1" spans="1:24">
      <c r="A186" s="509"/>
      <c r="B186" s="499"/>
      <c r="C186" s="508"/>
      <c r="D186" s="500"/>
      <c r="E186" s="501">
        <v>8</v>
      </c>
      <c r="F186" s="502"/>
      <c r="G186" s="504"/>
      <c r="H186" s="504"/>
      <c r="I186" s="504"/>
      <c r="J186" s="504"/>
      <c r="K186" s="504"/>
      <c r="L186" s="504"/>
      <c r="M186" s="504"/>
      <c r="N186" s="505">
        <f t="shared" si="22"/>
        <v>0</v>
      </c>
      <c r="O186" s="465">
        <v>8</v>
      </c>
      <c r="P186" s="467">
        <f t="shared" si="23"/>
        <v>0</v>
      </c>
      <c r="Q186" s="467"/>
      <c r="R186" s="467">
        <f t="shared" si="24"/>
        <v>0</v>
      </c>
      <c r="S186" s="467" t="str">
        <f t="shared" si="25"/>
        <v/>
      </c>
      <c r="T186" s="467"/>
      <c r="W186" s="450"/>
      <c r="X186" s="446"/>
    </row>
    <row r="187" s="440" customFormat="1" ht="15.75" hidden="1" customHeight="1" spans="1:24">
      <c r="A187" s="509"/>
      <c r="B187" s="499"/>
      <c r="C187" s="508"/>
      <c r="D187" s="500"/>
      <c r="E187" s="501">
        <v>8</v>
      </c>
      <c r="F187" s="502"/>
      <c r="G187" s="504"/>
      <c r="H187" s="504"/>
      <c r="I187" s="504"/>
      <c r="J187" s="504"/>
      <c r="K187" s="504"/>
      <c r="L187" s="504"/>
      <c r="M187" s="504"/>
      <c r="N187" s="505">
        <f t="shared" si="22"/>
        <v>0</v>
      </c>
      <c r="O187" s="465">
        <v>8</v>
      </c>
      <c r="P187" s="467">
        <f t="shared" si="23"/>
        <v>0</v>
      </c>
      <c r="Q187" s="467"/>
      <c r="R187" s="467">
        <f t="shared" si="24"/>
        <v>0</v>
      </c>
      <c r="S187" s="467" t="str">
        <f t="shared" si="25"/>
        <v/>
      </c>
      <c r="T187" s="467"/>
      <c r="W187" s="450" t="s">
        <v>0</v>
      </c>
      <c r="X187" s="446"/>
    </row>
    <row r="188" s="440" customFormat="1" ht="15.75" hidden="1" customHeight="1" spans="1:24">
      <c r="A188" s="509"/>
      <c r="B188" s="499"/>
      <c r="C188" s="508"/>
      <c r="D188" s="500"/>
      <c r="E188" s="501">
        <v>8</v>
      </c>
      <c r="F188" s="502"/>
      <c r="G188" s="504"/>
      <c r="H188" s="504"/>
      <c r="I188" s="504"/>
      <c r="J188" s="504"/>
      <c r="K188" s="504"/>
      <c r="L188" s="504"/>
      <c r="M188" s="504"/>
      <c r="N188" s="505">
        <f t="shared" si="22"/>
        <v>0</v>
      </c>
      <c r="O188" s="465">
        <v>8</v>
      </c>
      <c r="P188" s="467">
        <f t="shared" si="23"/>
        <v>0</v>
      </c>
      <c r="Q188" s="467"/>
      <c r="R188" s="467">
        <f t="shared" si="24"/>
        <v>0</v>
      </c>
      <c r="S188" s="467" t="str">
        <f t="shared" si="25"/>
        <v/>
      </c>
      <c r="T188" s="467"/>
      <c r="W188" s="450"/>
      <c r="X188" s="446"/>
    </row>
    <row r="189" s="440" customFormat="1" ht="15.75" hidden="1" customHeight="1" spans="1:24">
      <c r="A189" s="509"/>
      <c r="B189" s="499"/>
      <c r="C189" s="508"/>
      <c r="D189" s="500"/>
      <c r="E189" s="501">
        <v>8</v>
      </c>
      <c r="F189" s="502"/>
      <c r="G189" s="504"/>
      <c r="H189" s="504"/>
      <c r="I189" s="510"/>
      <c r="J189" s="504"/>
      <c r="K189" s="504"/>
      <c r="L189" s="504"/>
      <c r="M189" s="504"/>
      <c r="N189" s="505">
        <f t="shared" si="22"/>
        <v>0</v>
      </c>
      <c r="O189" s="465">
        <v>8</v>
      </c>
      <c r="P189" s="467">
        <f t="shared" si="23"/>
        <v>0</v>
      </c>
      <c r="Q189" s="467"/>
      <c r="R189" s="467">
        <f t="shared" si="24"/>
        <v>0</v>
      </c>
      <c r="S189" s="467" t="str">
        <f t="shared" si="25"/>
        <v/>
      </c>
      <c r="T189" s="467"/>
      <c r="W189" s="450"/>
      <c r="X189" s="446"/>
    </row>
    <row r="190" s="440" customFormat="1" ht="15.75" hidden="1" customHeight="1" spans="1:24">
      <c r="A190" s="509"/>
      <c r="B190" s="499"/>
      <c r="C190" s="508"/>
      <c r="D190" s="500"/>
      <c r="E190" s="501">
        <v>8</v>
      </c>
      <c r="F190" s="502"/>
      <c r="G190" s="504"/>
      <c r="H190" s="504"/>
      <c r="I190" s="504"/>
      <c r="J190" s="504"/>
      <c r="K190" s="504"/>
      <c r="L190" s="504"/>
      <c r="M190" s="504"/>
      <c r="N190" s="505">
        <f t="shared" si="22"/>
        <v>0</v>
      </c>
      <c r="O190" s="465">
        <v>8</v>
      </c>
      <c r="P190" s="467">
        <f t="shared" si="23"/>
        <v>0</v>
      </c>
      <c r="Q190" s="467"/>
      <c r="R190" s="467">
        <f t="shared" si="24"/>
        <v>0</v>
      </c>
      <c r="S190" s="467" t="str">
        <f t="shared" si="25"/>
        <v/>
      </c>
      <c r="T190" s="467"/>
      <c r="W190" s="450"/>
      <c r="X190" s="446"/>
    </row>
    <row r="191" s="440" customFormat="1" ht="15.75" hidden="1" customHeight="1" spans="1:24">
      <c r="A191" s="509"/>
      <c r="B191" s="499"/>
      <c r="C191" s="508"/>
      <c r="D191" s="500"/>
      <c r="E191" s="501">
        <v>8</v>
      </c>
      <c r="F191" s="502"/>
      <c r="G191" s="504"/>
      <c r="H191" s="504"/>
      <c r="I191" s="504"/>
      <c r="J191" s="504"/>
      <c r="K191" s="504"/>
      <c r="L191" s="504"/>
      <c r="M191" s="504"/>
      <c r="N191" s="505">
        <f t="shared" ref="N191:N254" si="26">SUMPRODUCT($G$2:$M$2,G191:M191)</f>
        <v>0</v>
      </c>
      <c r="O191" s="465">
        <v>8</v>
      </c>
      <c r="P191" s="467">
        <f t="shared" ref="P191:P254" si="27">IFERROR(IF((N191*E191-O191*E191)&lt;0,0,(N191*E191-O191*E191)),"")</f>
        <v>0</v>
      </c>
      <c r="Q191" s="467"/>
      <c r="R191" s="467">
        <f t="shared" ref="R191:R254" si="28">IF(Q191="",0,Q191*5)</f>
        <v>0</v>
      </c>
      <c r="S191" s="467" t="str">
        <f t="shared" ref="S191:S254" si="29">IF(B191="","",P191+R191)</f>
        <v/>
      </c>
      <c r="T191" s="467"/>
      <c r="W191" s="450"/>
      <c r="X191" s="446"/>
    </row>
    <row r="192" s="440" customFormat="1" ht="15.75" hidden="1" customHeight="1" spans="1:24">
      <c r="A192" s="509"/>
      <c r="B192" s="499"/>
      <c r="C192" s="508"/>
      <c r="D192" s="500"/>
      <c r="E192" s="501">
        <v>8</v>
      </c>
      <c r="F192" s="502"/>
      <c r="G192" s="504"/>
      <c r="H192" s="504"/>
      <c r="I192" s="504"/>
      <c r="J192" s="504"/>
      <c r="K192" s="504"/>
      <c r="L192" s="504"/>
      <c r="M192" s="504"/>
      <c r="N192" s="505">
        <f t="shared" si="26"/>
        <v>0</v>
      </c>
      <c r="O192" s="465">
        <v>8</v>
      </c>
      <c r="P192" s="467">
        <f t="shared" si="27"/>
        <v>0</v>
      </c>
      <c r="Q192" s="467"/>
      <c r="R192" s="467">
        <f t="shared" si="28"/>
        <v>0</v>
      </c>
      <c r="S192" s="467" t="str">
        <f t="shared" si="29"/>
        <v/>
      </c>
      <c r="T192" s="467"/>
      <c r="W192" s="450"/>
      <c r="X192" s="446"/>
    </row>
    <row r="193" s="440" customFormat="1" ht="15.75" hidden="1" customHeight="1" spans="1:24">
      <c r="A193" s="509"/>
      <c r="B193" s="499"/>
      <c r="C193" s="508"/>
      <c r="D193" s="500"/>
      <c r="E193" s="501">
        <v>8</v>
      </c>
      <c r="F193" s="502"/>
      <c r="G193" s="504"/>
      <c r="H193" s="504"/>
      <c r="I193" s="504"/>
      <c r="J193" s="504"/>
      <c r="K193" s="504"/>
      <c r="L193" s="504"/>
      <c r="M193" s="504"/>
      <c r="N193" s="505">
        <f t="shared" si="26"/>
        <v>0</v>
      </c>
      <c r="O193" s="465">
        <v>8</v>
      </c>
      <c r="P193" s="467">
        <f t="shared" si="27"/>
        <v>0</v>
      </c>
      <c r="Q193" s="467"/>
      <c r="R193" s="467">
        <f t="shared" si="28"/>
        <v>0</v>
      </c>
      <c r="S193" s="467" t="str">
        <f t="shared" si="29"/>
        <v/>
      </c>
      <c r="T193" s="467"/>
      <c r="W193" s="450"/>
      <c r="X193" s="446"/>
    </row>
    <row r="194" s="440" customFormat="1" ht="15.75" hidden="1" customHeight="1" spans="1:24">
      <c r="A194" s="509"/>
      <c r="B194" s="499"/>
      <c r="C194" s="508"/>
      <c r="D194" s="500"/>
      <c r="E194" s="501">
        <v>8</v>
      </c>
      <c r="F194" s="502"/>
      <c r="G194" s="504"/>
      <c r="H194" s="504"/>
      <c r="I194" s="504"/>
      <c r="J194" s="504"/>
      <c r="K194" s="504"/>
      <c r="L194" s="504"/>
      <c r="M194" s="504"/>
      <c r="N194" s="505">
        <f t="shared" si="26"/>
        <v>0</v>
      </c>
      <c r="O194" s="465">
        <v>8</v>
      </c>
      <c r="P194" s="467">
        <f t="shared" si="27"/>
        <v>0</v>
      </c>
      <c r="Q194" s="467"/>
      <c r="R194" s="467">
        <f t="shared" si="28"/>
        <v>0</v>
      </c>
      <c r="S194" s="467" t="str">
        <f t="shared" si="29"/>
        <v/>
      </c>
      <c r="T194" s="467"/>
      <c r="W194" s="450"/>
      <c r="X194" s="446"/>
    </row>
    <row r="195" s="440" customFormat="1" ht="15.75" hidden="1" customHeight="1" spans="1:24">
      <c r="A195" s="509"/>
      <c r="B195" s="499"/>
      <c r="C195" s="508"/>
      <c r="D195" s="500"/>
      <c r="E195" s="501">
        <v>8</v>
      </c>
      <c r="F195" s="502"/>
      <c r="G195" s="504"/>
      <c r="H195" s="504"/>
      <c r="I195" s="504"/>
      <c r="J195" s="504"/>
      <c r="K195" s="504"/>
      <c r="L195" s="504"/>
      <c r="M195" s="504"/>
      <c r="N195" s="505">
        <f t="shared" si="26"/>
        <v>0</v>
      </c>
      <c r="O195" s="465">
        <v>8</v>
      </c>
      <c r="P195" s="467">
        <f t="shared" si="27"/>
        <v>0</v>
      </c>
      <c r="Q195" s="467"/>
      <c r="R195" s="467">
        <f t="shared" si="28"/>
        <v>0</v>
      </c>
      <c r="S195" s="467" t="str">
        <f t="shared" si="29"/>
        <v/>
      </c>
      <c r="T195" s="467"/>
      <c r="W195" s="450"/>
      <c r="X195" s="446"/>
    </row>
    <row r="196" s="440" customFormat="1" ht="15.75" hidden="1" customHeight="1" spans="1:24">
      <c r="A196" s="509"/>
      <c r="B196" s="499"/>
      <c r="C196" s="508"/>
      <c r="D196" s="500"/>
      <c r="E196" s="501">
        <v>8</v>
      </c>
      <c r="F196" s="502"/>
      <c r="G196" s="504"/>
      <c r="H196" s="504"/>
      <c r="I196" s="504"/>
      <c r="J196" s="504"/>
      <c r="K196" s="504"/>
      <c r="L196" s="504"/>
      <c r="M196" s="504"/>
      <c r="N196" s="505">
        <f t="shared" si="26"/>
        <v>0</v>
      </c>
      <c r="O196" s="465">
        <v>8</v>
      </c>
      <c r="P196" s="467">
        <f t="shared" si="27"/>
        <v>0</v>
      </c>
      <c r="Q196" s="467"/>
      <c r="R196" s="467">
        <f t="shared" si="28"/>
        <v>0</v>
      </c>
      <c r="S196" s="467" t="str">
        <f t="shared" si="29"/>
        <v/>
      </c>
      <c r="T196" s="467"/>
      <c r="W196" s="450"/>
      <c r="X196" s="446"/>
    </row>
    <row r="197" s="440" customFormat="1" ht="15.75" hidden="1" customHeight="1" spans="1:24">
      <c r="A197" s="509"/>
      <c r="B197" s="499"/>
      <c r="C197" s="508"/>
      <c r="D197" s="500"/>
      <c r="E197" s="501">
        <v>8</v>
      </c>
      <c r="F197" s="502"/>
      <c r="G197" s="504"/>
      <c r="H197" s="504"/>
      <c r="I197" s="504"/>
      <c r="J197" s="504"/>
      <c r="K197" s="504"/>
      <c r="L197" s="504"/>
      <c r="M197" s="504"/>
      <c r="N197" s="505">
        <f t="shared" si="26"/>
        <v>0</v>
      </c>
      <c r="O197" s="465">
        <v>8</v>
      </c>
      <c r="P197" s="467">
        <f t="shared" si="27"/>
        <v>0</v>
      </c>
      <c r="Q197" s="467"/>
      <c r="R197" s="467">
        <f t="shared" si="28"/>
        <v>0</v>
      </c>
      <c r="S197" s="467" t="str">
        <f t="shared" si="29"/>
        <v/>
      </c>
      <c r="T197" s="467"/>
      <c r="W197" s="450"/>
      <c r="X197" s="446"/>
    </row>
    <row r="198" s="440" customFormat="1" ht="15.75" hidden="1" customHeight="1" spans="1:24">
      <c r="A198" s="509"/>
      <c r="B198" s="499"/>
      <c r="C198" s="508"/>
      <c r="D198" s="500"/>
      <c r="E198" s="501">
        <v>8</v>
      </c>
      <c r="F198" s="502"/>
      <c r="G198" s="504"/>
      <c r="H198" s="504"/>
      <c r="I198" s="504"/>
      <c r="J198" s="504"/>
      <c r="K198" s="504"/>
      <c r="L198" s="504"/>
      <c r="M198" s="504"/>
      <c r="N198" s="505">
        <f t="shared" si="26"/>
        <v>0</v>
      </c>
      <c r="O198" s="465">
        <v>8</v>
      </c>
      <c r="P198" s="467">
        <f t="shared" si="27"/>
        <v>0</v>
      </c>
      <c r="Q198" s="467"/>
      <c r="R198" s="467">
        <f t="shared" si="28"/>
        <v>0</v>
      </c>
      <c r="S198" s="467" t="str">
        <f t="shared" si="29"/>
        <v/>
      </c>
      <c r="T198" s="467"/>
      <c r="W198" s="450"/>
      <c r="X198" s="446"/>
    </row>
    <row r="199" s="440" customFormat="1" ht="15.75" hidden="1" customHeight="1" spans="1:24">
      <c r="A199" s="509"/>
      <c r="B199" s="499"/>
      <c r="C199" s="508"/>
      <c r="D199" s="500"/>
      <c r="E199" s="501">
        <v>8</v>
      </c>
      <c r="F199" s="502"/>
      <c r="G199" s="504"/>
      <c r="H199" s="504"/>
      <c r="I199" s="504"/>
      <c r="J199" s="504"/>
      <c r="K199" s="504"/>
      <c r="L199" s="504"/>
      <c r="M199" s="504"/>
      <c r="N199" s="505">
        <f t="shared" si="26"/>
        <v>0</v>
      </c>
      <c r="O199" s="465">
        <v>8</v>
      </c>
      <c r="P199" s="467">
        <f t="shared" si="27"/>
        <v>0</v>
      </c>
      <c r="Q199" s="467"/>
      <c r="R199" s="467">
        <f t="shared" si="28"/>
        <v>0</v>
      </c>
      <c r="S199" s="467" t="str">
        <f t="shared" si="29"/>
        <v/>
      </c>
      <c r="T199" s="467"/>
      <c r="W199" s="450"/>
      <c r="X199" s="446"/>
    </row>
    <row r="200" s="440" customFormat="1" ht="15.75" hidden="1" customHeight="1" spans="1:24">
      <c r="A200" s="509"/>
      <c r="B200" s="499"/>
      <c r="C200" s="508"/>
      <c r="D200" s="500"/>
      <c r="E200" s="501">
        <v>8</v>
      </c>
      <c r="F200" s="502"/>
      <c r="G200" s="504"/>
      <c r="H200" s="504"/>
      <c r="I200" s="504"/>
      <c r="J200" s="504"/>
      <c r="K200" s="504"/>
      <c r="L200" s="504"/>
      <c r="M200" s="504"/>
      <c r="N200" s="505">
        <f t="shared" si="26"/>
        <v>0</v>
      </c>
      <c r="O200" s="465">
        <v>8</v>
      </c>
      <c r="P200" s="467">
        <f t="shared" si="27"/>
        <v>0</v>
      </c>
      <c r="Q200" s="467"/>
      <c r="R200" s="467">
        <f t="shared" si="28"/>
        <v>0</v>
      </c>
      <c r="S200" s="467" t="str">
        <f t="shared" si="29"/>
        <v/>
      </c>
      <c r="T200" s="467"/>
      <c r="W200" s="450"/>
      <c r="X200" s="446"/>
    </row>
    <row r="201" s="440" customFormat="1" ht="15.75" hidden="1" customHeight="1" spans="1:24">
      <c r="A201" s="509"/>
      <c r="B201" s="499"/>
      <c r="C201" s="508"/>
      <c r="D201" s="500"/>
      <c r="E201" s="501">
        <v>8</v>
      </c>
      <c r="F201" s="502"/>
      <c r="G201" s="504"/>
      <c r="H201" s="504"/>
      <c r="I201" s="504"/>
      <c r="J201" s="504"/>
      <c r="K201" s="504"/>
      <c r="L201" s="504"/>
      <c r="M201" s="504"/>
      <c r="N201" s="505">
        <f t="shared" si="26"/>
        <v>0</v>
      </c>
      <c r="O201" s="465">
        <v>8</v>
      </c>
      <c r="P201" s="467">
        <f t="shared" si="27"/>
        <v>0</v>
      </c>
      <c r="Q201" s="467"/>
      <c r="R201" s="467">
        <f t="shared" si="28"/>
        <v>0</v>
      </c>
      <c r="S201" s="467" t="str">
        <f t="shared" si="29"/>
        <v/>
      </c>
      <c r="T201" s="467"/>
      <c r="W201" s="450"/>
      <c r="X201" s="446"/>
    </row>
    <row r="202" s="440" customFormat="1" ht="15.75" hidden="1" customHeight="1" spans="1:24">
      <c r="A202" s="509"/>
      <c r="B202" s="499"/>
      <c r="C202" s="508"/>
      <c r="D202" s="500"/>
      <c r="E202" s="501">
        <v>8</v>
      </c>
      <c r="F202" s="502"/>
      <c r="G202" s="504"/>
      <c r="H202" s="504"/>
      <c r="I202" s="504"/>
      <c r="J202" s="504"/>
      <c r="K202" s="504"/>
      <c r="L202" s="504"/>
      <c r="M202" s="504"/>
      <c r="N202" s="505">
        <f t="shared" si="26"/>
        <v>0</v>
      </c>
      <c r="O202" s="465">
        <v>8</v>
      </c>
      <c r="P202" s="467">
        <f t="shared" si="27"/>
        <v>0</v>
      </c>
      <c r="Q202" s="467"/>
      <c r="R202" s="467">
        <f t="shared" si="28"/>
        <v>0</v>
      </c>
      <c r="S202" s="467" t="str">
        <f t="shared" si="29"/>
        <v/>
      </c>
      <c r="T202" s="467"/>
      <c r="W202" s="450"/>
      <c r="X202" s="446"/>
    </row>
    <row r="203" s="440" customFormat="1" ht="15.75" hidden="1" customHeight="1" spans="1:24">
      <c r="A203" s="509"/>
      <c r="B203" s="499"/>
      <c r="C203" s="508"/>
      <c r="D203" s="500"/>
      <c r="E203" s="501">
        <v>8</v>
      </c>
      <c r="F203" s="502"/>
      <c r="G203" s="504"/>
      <c r="H203" s="504"/>
      <c r="I203" s="504"/>
      <c r="J203" s="504"/>
      <c r="K203" s="504"/>
      <c r="L203" s="504"/>
      <c r="M203" s="504"/>
      <c r="N203" s="505">
        <f t="shared" si="26"/>
        <v>0</v>
      </c>
      <c r="O203" s="465">
        <v>8</v>
      </c>
      <c r="P203" s="467">
        <f t="shared" si="27"/>
        <v>0</v>
      </c>
      <c r="Q203" s="467"/>
      <c r="R203" s="467">
        <f t="shared" si="28"/>
        <v>0</v>
      </c>
      <c r="S203" s="467" t="str">
        <f t="shared" si="29"/>
        <v/>
      </c>
      <c r="T203" s="467"/>
      <c r="W203" s="450"/>
      <c r="X203" s="446"/>
    </row>
    <row r="204" s="440" customFormat="1" ht="15.75" hidden="1" customHeight="1" spans="1:24">
      <c r="A204" s="509"/>
      <c r="B204" s="499"/>
      <c r="C204" s="508"/>
      <c r="D204" s="500"/>
      <c r="E204" s="501">
        <v>8</v>
      </c>
      <c r="F204" s="502"/>
      <c r="G204" s="504"/>
      <c r="H204" s="504"/>
      <c r="I204" s="504"/>
      <c r="J204" s="504"/>
      <c r="K204" s="504"/>
      <c r="L204" s="504"/>
      <c r="M204" s="504"/>
      <c r="N204" s="505">
        <f t="shared" si="26"/>
        <v>0</v>
      </c>
      <c r="O204" s="465">
        <v>8</v>
      </c>
      <c r="P204" s="467">
        <f t="shared" si="27"/>
        <v>0</v>
      </c>
      <c r="Q204" s="467"/>
      <c r="R204" s="467">
        <f t="shared" si="28"/>
        <v>0</v>
      </c>
      <c r="S204" s="467" t="str">
        <f t="shared" si="29"/>
        <v/>
      </c>
      <c r="T204" s="467"/>
      <c r="W204" s="450"/>
      <c r="X204" s="446"/>
    </row>
    <row r="205" s="440" customFormat="1" ht="15.75" hidden="1" customHeight="1" spans="1:24">
      <c r="A205" s="509"/>
      <c r="B205" s="499"/>
      <c r="C205" s="508"/>
      <c r="D205" s="500"/>
      <c r="E205" s="501">
        <v>8</v>
      </c>
      <c r="F205" s="502"/>
      <c r="G205" s="504"/>
      <c r="H205" s="504"/>
      <c r="I205" s="504"/>
      <c r="J205" s="504"/>
      <c r="K205" s="504"/>
      <c r="L205" s="504"/>
      <c r="M205" s="504"/>
      <c r="N205" s="505">
        <f t="shared" si="26"/>
        <v>0</v>
      </c>
      <c r="O205" s="465">
        <v>8</v>
      </c>
      <c r="P205" s="467">
        <f t="shared" si="27"/>
        <v>0</v>
      </c>
      <c r="Q205" s="467"/>
      <c r="R205" s="467">
        <f t="shared" si="28"/>
        <v>0</v>
      </c>
      <c r="S205" s="467" t="str">
        <f t="shared" si="29"/>
        <v/>
      </c>
      <c r="T205" s="467"/>
      <c r="W205" s="450"/>
      <c r="X205" s="446"/>
    </row>
    <row r="206" s="440" customFormat="1" ht="15.75" hidden="1" customHeight="1" spans="1:24">
      <c r="A206" s="509"/>
      <c r="B206" s="499"/>
      <c r="C206" s="508"/>
      <c r="D206" s="500"/>
      <c r="E206" s="501">
        <v>8</v>
      </c>
      <c r="F206" s="502"/>
      <c r="G206" s="504"/>
      <c r="H206" s="504"/>
      <c r="I206" s="504"/>
      <c r="J206" s="504"/>
      <c r="K206" s="504"/>
      <c r="L206" s="504"/>
      <c r="M206" s="504"/>
      <c r="N206" s="505">
        <f t="shared" si="26"/>
        <v>0</v>
      </c>
      <c r="O206" s="465">
        <v>8</v>
      </c>
      <c r="P206" s="467">
        <f t="shared" si="27"/>
        <v>0</v>
      </c>
      <c r="Q206" s="467"/>
      <c r="R206" s="467">
        <f t="shared" si="28"/>
        <v>0</v>
      </c>
      <c r="S206" s="467" t="str">
        <f t="shared" si="29"/>
        <v/>
      </c>
      <c r="T206" s="467"/>
      <c r="W206" s="450"/>
      <c r="X206" s="446"/>
    </row>
    <row r="207" s="440" customFormat="1" ht="15.75" hidden="1" customHeight="1" spans="1:24">
      <c r="A207" s="509"/>
      <c r="B207" s="499"/>
      <c r="C207" s="508"/>
      <c r="D207" s="500"/>
      <c r="E207" s="501">
        <v>8</v>
      </c>
      <c r="F207" s="502"/>
      <c r="G207" s="504"/>
      <c r="H207" s="504"/>
      <c r="I207" s="504"/>
      <c r="J207" s="504"/>
      <c r="K207" s="504"/>
      <c r="L207" s="504"/>
      <c r="M207" s="504"/>
      <c r="N207" s="505">
        <f t="shared" si="26"/>
        <v>0</v>
      </c>
      <c r="O207" s="465">
        <v>8</v>
      </c>
      <c r="P207" s="467">
        <f t="shared" si="27"/>
        <v>0</v>
      </c>
      <c r="Q207" s="467"/>
      <c r="R207" s="467">
        <f t="shared" si="28"/>
        <v>0</v>
      </c>
      <c r="S207" s="467" t="str">
        <f t="shared" si="29"/>
        <v/>
      </c>
      <c r="T207" s="467"/>
      <c r="W207" s="450"/>
      <c r="X207" s="446"/>
    </row>
    <row r="208" s="440" customFormat="1" ht="15.75" hidden="1" customHeight="1" spans="1:24">
      <c r="A208" s="509"/>
      <c r="B208" s="499"/>
      <c r="C208" s="508"/>
      <c r="D208" s="500"/>
      <c r="E208" s="501">
        <v>8</v>
      </c>
      <c r="F208" s="502"/>
      <c r="G208" s="504"/>
      <c r="H208" s="504"/>
      <c r="I208" s="504"/>
      <c r="J208" s="504"/>
      <c r="K208" s="504"/>
      <c r="L208" s="504"/>
      <c r="M208" s="504"/>
      <c r="N208" s="505">
        <f t="shared" si="26"/>
        <v>0</v>
      </c>
      <c r="O208" s="465">
        <v>8</v>
      </c>
      <c r="P208" s="467">
        <f t="shared" si="27"/>
        <v>0</v>
      </c>
      <c r="Q208" s="467"/>
      <c r="R208" s="467">
        <f t="shared" si="28"/>
        <v>0</v>
      </c>
      <c r="S208" s="467" t="str">
        <f t="shared" si="29"/>
        <v/>
      </c>
      <c r="T208" s="467"/>
      <c r="W208" s="450"/>
      <c r="X208" s="446"/>
    </row>
    <row r="209" s="440" customFormat="1" ht="15.75" hidden="1" customHeight="1" spans="1:24">
      <c r="A209" s="509"/>
      <c r="B209" s="499"/>
      <c r="C209" s="508"/>
      <c r="D209" s="500"/>
      <c r="E209" s="501">
        <v>8</v>
      </c>
      <c r="F209" s="502"/>
      <c r="G209" s="504"/>
      <c r="H209" s="504"/>
      <c r="I209" s="504"/>
      <c r="J209" s="504"/>
      <c r="K209" s="504"/>
      <c r="L209" s="504"/>
      <c r="M209" s="504"/>
      <c r="N209" s="505">
        <f t="shared" si="26"/>
        <v>0</v>
      </c>
      <c r="O209" s="465">
        <v>8</v>
      </c>
      <c r="P209" s="467">
        <f t="shared" si="27"/>
        <v>0</v>
      </c>
      <c r="Q209" s="467"/>
      <c r="R209" s="467">
        <f t="shared" si="28"/>
        <v>0</v>
      </c>
      <c r="S209" s="467" t="str">
        <f t="shared" si="29"/>
        <v/>
      </c>
      <c r="T209" s="467"/>
      <c r="W209" s="450"/>
      <c r="X209" s="446"/>
    </row>
    <row r="210" s="440" customFormat="1" ht="15.75" hidden="1" customHeight="1" spans="1:24">
      <c r="A210" s="509"/>
      <c r="B210" s="499"/>
      <c r="C210" s="508"/>
      <c r="D210" s="500"/>
      <c r="E210" s="501">
        <v>8</v>
      </c>
      <c r="F210" s="502"/>
      <c r="G210" s="504"/>
      <c r="H210" s="504"/>
      <c r="I210" s="504"/>
      <c r="J210" s="504"/>
      <c r="K210" s="504"/>
      <c r="L210" s="504"/>
      <c r="M210" s="504"/>
      <c r="N210" s="505">
        <f t="shared" si="26"/>
        <v>0</v>
      </c>
      <c r="O210" s="465">
        <v>8</v>
      </c>
      <c r="P210" s="467">
        <f t="shared" si="27"/>
        <v>0</v>
      </c>
      <c r="Q210" s="467"/>
      <c r="R210" s="467">
        <f t="shared" si="28"/>
        <v>0</v>
      </c>
      <c r="S210" s="467" t="str">
        <f t="shared" si="29"/>
        <v/>
      </c>
      <c r="T210" s="511"/>
      <c r="W210" s="450"/>
      <c r="X210" s="446"/>
    </row>
    <row r="211" s="440" customFormat="1" ht="15.75" hidden="1" customHeight="1" spans="1:24">
      <c r="A211" s="509"/>
      <c r="B211" s="499"/>
      <c r="C211" s="508"/>
      <c r="D211" s="500"/>
      <c r="E211" s="501">
        <v>8</v>
      </c>
      <c r="F211" s="502"/>
      <c r="G211" s="504"/>
      <c r="H211" s="504"/>
      <c r="I211" s="504"/>
      <c r="J211" s="504"/>
      <c r="K211" s="504"/>
      <c r="L211" s="504"/>
      <c r="M211" s="504"/>
      <c r="N211" s="505">
        <f t="shared" si="26"/>
        <v>0</v>
      </c>
      <c r="O211" s="465">
        <v>8</v>
      </c>
      <c r="P211" s="467">
        <f t="shared" si="27"/>
        <v>0</v>
      </c>
      <c r="Q211" s="467"/>
      <c r="R211" s="467">
        <f t="shared" si="28"/>
        <v>0</v>
      </c>
      <c r="S211" s="467" t="str">
        <f t="shared" si="29"/>
        <v/>
      </c>
      <c r="T211" s="467"/>
      <c r="W211" s="450"/>
      <c r="X211" s="446"/>
    </row>
    <row r="212" s="440" customFormat="1" ht="15.75" hidden="1" customHeight="1" spans="1:24">
      <c r="A212" s="509"/>
      <c r="B212" s="499"/>
      <c r="C212" s="508"/>
      <c r="D212" s="500"/>
      <c r="E212" s="501">
        <v>8</v>
      </c>
      <c r="F212" s="502"/>
      <c r="G212" s="504"/>
      <c r="H212" s="504"/>
      <c r="I212" s="504"/>
      <c r="J212" s="504"/>
      <c r="K212" s="504"/>
      <c r="L212" s="504"/>
      <c r="M212" s="504"/>
      <c r="N212" s="505">
        <f t="shared" si="26"/>
        <v>0</v>
      </c>
      <c r="O212" s="465">
        <v>8</v>
      </c>
      <c r="P212" s="467">
        <f t="shared" si="27"/>
        <v>0</v>
      </c>
      <c r="Q212" s="467"/>
      <c r="R212" s="467">
        <f t="shared" si="28"/>
        <v>0</v>
      </c>
      <c r="S212" s="467" t="str">
        <f t="shared" si="29"/>
        <v/>
      </c>
      <c r="T212" s="467"/>
      <c r="W212" s="450"/>
      <c r="X212" s="446"/>
    </row>
    <row r="213" s="440" customFormat="1" ht="15.75" hidden="1" customHeight="1" spans="1:24">
      <c r="A213" s="509"/>
      <c r="B213" s="499"/>
      <c r="C213" s="508"/>
      <c r="D213" s="500"/>
      <c r="E213" s="501"/>
      <c r="F213" s="502"/>
      <c r="G213" s="504"/>
      <c r="H213" s="504"/>
      <c r="I213" s="504"/>
      <c r="J213" s="504"/>
      <c r="K213" s="504"/>
      <c r="L213" s="504"/>
      <c r="M213" s="504"/>
      <c r="N213" s="505">
        <f t="shared" si="26"/>
        <v>0</v>
      </c>
      <c r="O213" s="465">
        <v>8</v>
      </c>
      <c r="P213" s="467">
        <f t="shared" si="27"/>
        <v>0</v>
      </c>
      <c r="Q213" s="467"/>
      <c r="R213" s="467">
        <f t="shared" si="28"/>
        <v>0</v>
      </c>
      <c r="S213" s="467" t="str">
        <f t="shared" si="29"/>
        <v/>
      </c>
      <c r="T213" s="511"/>
      <c r="W213" s="450"/>
      <c r="X213" s="446"/>
    </row>
    <row r="214" s="440" customFormat="1" ht="15.75" hidden="1" customHeight="1" spans="1:24">
      <c r="A214" s="498"/>
      <c r="B214" s="499"/>
      <c r="C214" s="508"/>
      <c r="D214" s="500"/>
      <c r="E214" s="501"/>
      <c r="F214" s="502"/>
      <c r="G214" s="504"/>
      <c r="H214" s="504"/>
      <c r="I214" s="504"/>
      <c r="J214" s="504"/>
      <c r="K214" s="504"/>
      <c r="L214" s="504"/>
      <c r="M214" s="504"/>
      <c r="N214" s="505">
        <f t="shared" si="26"/>
        <v>0</v>
      </c>
      <c r="O214" s="465">
        <v>8</v>
      </c>
      <c r="P214" s="467">
        <f t="shared" si="27"/>
        <v>0</v>
      </c>
      <c r="Q214" s="467"/>
      <c r="R214" s="467">
        <f t="shared" si="28"/>
        <v>0</v>
      </c>
      <c r="S214" s="467" t="str">
        <f t="shared" si="29"/>
        <v/>
      </c>
      <c r="T214" s="467"/>
      <c r="W214" s="450"/>
      <c r="X214" s="446"/>
    </row>
    <row r="215" s="440" customFormat="1" ht="15.75" hidden="1" customHeight="1" spans="1:24">
      <c r="A215" s="498"/>
      <c r="B215" s="499"/>
      <c r="C215" s="508"/>
      <c r="D215" s="500"/>
      <c r="E215" s="501"/>
      <c r="F215" s="502"/>
      <c r="G215" s="504"/>
      <c r="H215" s="504"/>
      <c r="I215" s="504"/>
      <c r="J215" s="504"/>
      <c r="K215" s="504"/>
      <c r="L215" s="504"/>
      <c r="M215" s="504"/>
      <c r="N215" s="505">
        <f t="shared" si="26"/>
        <v>0</v>
      </c>
      <c r="O215" s="465">
        <v>8</v>
      </c>
      <c r="P215" s="467">
        <f t="shared" si="27"/>
        <v>0</v>
      </c>
      <c r="Q215" s="467"/>
      <c r="R215" s="467">
        <f t="shared" si="28"/>
        <v>0</v>
      </c>
      <c r="S215" s="467" t="str">
        <f t="shared" si="29"/>
        <v/>
      </c>
      <c r="T215" s="467"/>
      <c r="W215" s="450"/>
      <c r="X215" s="446"/>
    </row>
    <row r="216" s="440" customFormat="1" ht="15.75" hidden="1" customHeight="1" spans="1:24">
      <c r="A216" s="498"/>
      <c r="B216" s="499"/>
      <c r="C216" s="508"/>
      <c r="D216" s="500"/>
      <c r="E216" s="501"/>
      <c r="F216" s="502"/>
      <c r="G216" s="504"/>
      <c r="H216" s="504"/>
      <c r="I216" s="504"/>
      <c r="J216" s="504"/>
      <c r="K216" s="504"/>
      <c r="L216" s="504"/>
      <c r="M216" s="504"/>
      <c r="N216" s="505">
        <f t="shared" si="26"/>
        <v>0</v>
      </c>
      <c r="O216" s="465">
        <v>8</v>
      </c>
      <c r="P216" s="467">
        <f t="shared" si="27"/>
        <v>0</v>
      </c>
      <c r="Q216" s="467"/>
      <c r="R216" s="467">
        <f t="shared" si="28"/>
        <v>0</v>
      </c>
      <c r="S216" s="467" t="str">
        <f t="shared" si="29"/>
        <v/>
      </c>
      <c r="T216" s="467"/>
      <c r="W216" s="450"/>
      <c r="X216" s="446"/>
    </row>
    <row r="217" s="440" customFormat="1" ht="15.75" hidden="1" customHeight="1" spans="1:24">
      <c r="A217" s="498"/>
      <c r="B217" s="499"/>
      <c r="C217" s="508"/>
      <c r="D217" s="500"/>
      <c r="E217" s="501"/>
      <c r="F217" s="502"/>
      <c r="G217" s="504"/>
      <c r="H217" s="504"/>
      <c r="I217" s="504"/>
      <c r="J217" s="504"/>
      <c r="K217" s="504"/>
      <c r="L217" s="504"/>
      <c r="M217" s="504"/>
      <c r="N217" s="505">
        <f t="shared" si="26"/>
        <v>0</v>
      </c>
      <c r="O217" s="465">
        <v>8</v>
      </c>
      <c r="P217" s="467">
        <f t="shared" si="27"/>
        <v>0</v>
      </c>
      <c r="Q217" s="467"/>
      <c r="R217" s="467">
        <f t="shared" si="28"/>
        <v>0</v>
      </c>
      <c r="S217" s="467" t="str">
        <f t="shared" si="29"/>
        <v/>
      </c>
      <c r="T217" s="467"/>
      <c r="W217" s="450"/>
      <c r="X217" s="446"/>
    </row>
    <row r="218" s="440" customFormat="1" ht="15.75" hidden="1" customHeight="1" spans="1:24">
      <c r="A218" s="498"/>
      <c r="B218" s="499"/>
      <c r="C218" s="508"/>
      <c r="D218" s="500"/>
      <c r="E218" s="501"/>
      <c r="F218" s="502"/>
      <c r="G218" s="504"/>
      <c r="H218" s="504"/>
      <c r="I218" s="504"/>
      <c r="J218" s="504"/>
      <c r="K218" s="504"/>
      <c r="L218" s="504"/>
      <c r="M218" s="504"/>
      <c r="N218" s="505">
        <f t="shared" si="26"/>
        <v>0</v>
      </c>
      <c r="O218" s="465">
        <v>8</v>
      </c>
      <c r="P218" s="467">
        <f t="shared" si="27"/>
        <v>0</v>
      </c>
      <c r="Q218" s="467"/>
      <c r="R218" s="467">
        <f t="shared" si="28"/>
        <v>0</v>
      </c>
      <c r="S218" s="467" t="str">
        <f t="shared" si="29"/>
        <v/>
      </c>
      <c r="T218" s="467"/>
      <c r="W218" s="450"/>
      <c r="X218" s="446"/>
    </row>
    <row r="219" s="440" customFormat="1" ht="15.75" hidden="1" customHeight="1" spans="1:24">
      <c r="A219" s="498"/>
      <c r="B219" s="499"/>
      <c r="C219" s="508"/>
      <c r="D219" s="500"/>
      <c r="E219" s="501"/>
      <c r="F219" s="502"/>
      <c r="G219" s="504"/>
      <c r="H219" s="504"/>
      <c r="I219" s="504"/>
      <c r="J219" s="504"/>
      <c r="K219" s="504"/>
      <c r="L219" s="504"/>
      <c r="M219" s="504"/>
      <c r="N219" s="505">
        <f t="shared" si="26"/>
        <v>0</v>
      </c>
      <c r="O219" s="465">
        <v>8</v>
      </c>
      <c r="P219" s="467">
        <f t="shared" si="27"/>
        <v>0</v>
      </c>
      <c r="Q219" s="467"/>
      <c r="R219" s="467">
        <f t="shared" si="28"/>
        <v>0</v>
      </c>
      <c r="S219" s="467" t="str">
        <f t="shared" si="29"/>
        <v/>
      </c>
      <c r="T219" s="467"/>
      <c r="W219" s="450"/>
      <c r="X219" s="446"/>
    </row>
    <row r="220" s="440" customFormat="1" ht="15.75" hidden="1" customHeight="1" spans="1:24">
      <c r="A220" s="498"/>
      <c r="B220" s="512"/>
      <c r="C220" s="502"/>
      <c r="D220" s="505"/>
      <c r="E220" s="513"/>
      <c r="F220" s="502"/>
      <c r="G220" s="504"/>
      <c r="H220" s="504"/>
      <c r="I220" s="504"/>
      <c r="J220" s="504"/>
      <c r="K220" s="504"/>
      <c r="L220" s="504"/>
      <c r="M220" s="504"/>
      <c r="N220" s="505">
        <f t="shared" si="26"/>
        <v>0</v>
      </c>
      <c r="O220" s="465">
        <v>8</v>
      </c>
      <c r="P220" s="467">
        <f t="shared" si="27"/>
        <v>0</v>
      </c>
      <c r="Q220" s="467"/>
      <c r="R220" s="467">
        <f t="shared" si="28"/>
        <v>0</v>
      </c>
      <c r="S220" s="467" t="str">
        <f t="shared" si="29"/>
        <v/>
      </c>
      <c r="T220" s="467"/>
      <c r="W220" s="450"/>
      <c r="X220" s="446"/>
    </row>
    <row r="221" s="440" customFormat="1" ht="15.75" hidden="1" customHeight="1" spans="1:24">
      <c r="A221" s="498"/>
      <c r="B221" s="512"/>
      <c r="C221" s="502"/>
      <c r="D221" s="505"/>
      <c r="E221" s="513"/>
      <c r="F221" s="502"/>
      <c r="G221" s="505"/>
      <c r="H221" s="505"/>
      <c r="I221" s="505"/>
      <c r="J221" s="505"/>
      <c r="K221" s="505"/>
      <c r="L221" s="505"/>
      <c r="M221" s="505"/>
      <c r="N221" s="505">
        <f t="shared" si="26"/>
        <v>0</v>
      </c>
      <c r="O221" s="465">
        <v>8</v>
      </c>
      <c r="P221" s="467">
        <f t="shared" si="27"/>
        <v>0</v>
      </c>
      <c r="Q221" s="467"/>
      <c r="R221" s="467">
        <f t="shared" si="28"/>
        <v>0</v>
      </c>
      <c r="S221" s="467" t="str">
        <f t="shared" si="29"/>
        <v/>
      </c>
      <c r="T221" s="467"/>
      <c r="W221" s="450"/>
      <c r="X221" s="446"/>
    </row>
    <row r="222" s="440" customFormat="1" ht="15.75" hidden="1" customHeight="1" spans="1:24">
      <c r="A222" s="498"/>
      <c r="B222" s="512"/>
      <c r="C222" s="502"/>
      <c r="D222" s="505"/>
      <c r="E222" s="513"/>
      <c r="F222" s="502"/>
      <c r="G222" s="505"/>
      <c r="H222" s="505"/>
      <c r="I222" s="505"/>
      <c r="J222" s="505"/>
      <c r="K222" s="505"/>
      <c r="L222" s="505"/>
      <c r="M222" s="505"/>
      <c r="N222" s="505">
        <f t="shared" si="26"/>
        <v>0</v>
      </c>
      <c r="O222" s="465">
        <v>8</v>
      </c>
      <c r="P222" s="467">
        <f t="shared" si="27"/>
        <v>0</v>
      </c>
      <c r="Q222" s="467"/>
      <c r="R222" s="467">
        <f t="shared" si="28"/>
        <v>0</v>
      </c>
      <c r="S222" s="467" t="str">
        <f t="shared" si="29"/>
        <v/>
      </c>
      <c r="T222" s="467"/>
      <c r="W222" s="450"/>
      <c r="X222" s="446"/>
    </row>
    <row r="223" s="440" customFormat="1" ht="15.75" hidden="1" customHeight="1" spans="1:24">
      <c r="A223" s="498"/>
      <c r="B223" s="512"/>
      <c r="C223" s="502"/>
      <c r="D223" s="505"/>
      <c r="E223" s="513"/>
      <c r="F223" s="502"/>
      <c r="G223" s="505"/>
      <c r="H223" s="505"/>
      <c r="I223" s="505"/>
      <c r="J223" s="505"/>
      <c r="K223" s="505"/>
      <c r="L223" s="505"/>
      <c r="M223" s="505"/>
      <c r="N223" s="505">
        <f t="shared" si="26"/>
        <v>0</v>
      </c>
      <c r="O223" s="465">
        <v>8</v>
      </c>
      <c r="P223" s="467">
        <f t="shared" si="27"/>
        <v>0</v>
      </c>
      <c r="Q223" s="467"/>
      <c r="R223" s="467">
        <f t="shared" si="28"/>
        <v>0</v>
      </c>
      <c r="S223" s="467" t="str">
        <f t="shared" si="29"/>
        <v/>
      </c>
      <c r="T223" s="467"/>
      <c r="W223" s="450"/>
      <c r="X223" s="446"/>
    </row>
    <row r="224" s="440" customFormat="1" ht="15.75" hidden="1" customHeight="1" spans="1:24">
      <c r="A224" s="498"/>
      <c r="B224" s="512"/>
      <c r="C224" s="502"/>
      <c r="D224" s="505"/>
      <c r="E224" s="513"/>
      <c r="F224" s="502"/>
      <c r="G224" s="505"/>
      <c r="H224" s="505"/>
      <c r="I224" s="505"/>
      <c r="J224" s="505"/>
      <c r="K224" s="505"/>
      <c r="L224" s="505"/>
      <c r="M224" s="505"/>
      <c r="N224" s="505">
        <f t="shared" si="26"/>
        <v>0</v>
      </c>
      <c r="O224" s="465">
        <v>8</v>
      </c>
      <c r="P224" s="467">
        <f t="shared" si="27"/>
        <v>0</v>
      </c>
      <c r="Q224" s="467"/>
      <c r="R224" s="467">
        <f t="shared" si="28"/>
        <v>0</v>
      </c>
      <c r="S224" s="467" t="str">
        <f t="shared" si="29"/>
        <v/>
      </c>
      <c r="T224" s="467"/>
      <c r="W224" s="450"/>
      <c r="X224" s="446"/>
    </row>
    <row r="225" s="440" customFormat="1" ht="15.75" hidden="1" customHeight="1" spans="1:24">
      <c r="A225" s="498"/>
      <c r="B225" s="512"/>
      <c r="C225" s="502"/>
      <c r="D225" s="505"/>
      <c r="E225" s="513"/>
      <c r="F225" s="502"/>
      <c r="G225" s="513"/>
      <c r="H225" s="513"/>
      <c r="I225" s="513"/>
      <c r="J225" s="505"/>
      <c r="K225" s="505"/>
      <c r="L225" s="505"/>
      <c r="M225" s="505"/>
      <c r="N225" s="505">
        <f t="shared" si="26"/>
        <v>0</v>
      </c>
      <c r="O225" s="465">
        <v>8</v>
      </c>
      <c r="P225" s="467">
        <f t="shared" si="27"/>
        <v>0</v>
      </c>
      <c r="Q225" s="467"/>
      <c r="R225" s="467">
        <f t="shared" si="28"/>
        <v>0</v>
      </c>
      <c r="S225" s="467" t="str">
        <f t="shared" si="29"/>
        <v/>
      </c>
      <c r="T225" s="467"/>
      <c r="W225" s="450"/>
      <c r="X225" s="446"/>
    </row>
    <row r="226" s="440" customFormat="1" ht="15.75" hidden="1" customHeight="1" spans="1:24">
      <c r="A226" s="498"/>
      <c r="B226" s="512"/>
      <c r="C226" s="502"/>
      <c r="D226" s="505"/>
      <c r="E226" s="513"/>
      <c r="F226" s="502"/>
      <c r="G226" s="513"/>
      <c r="H226" s="513"/>
      <c r="I226" s="513"/>
      <c r="J226" s="505"/>
      <c r="K226" s="505"/>
      <c r="L226" s="505"/>
      <c r="M226" s="505"/>
      <c r="N226" s="505">
        <f t="shared" si="26"/>
        <v>0</v>
      </c>
      <c r="O226" s="465">
        <v>8</v>
      </c>
      <c r="P226" s="467">
        <f t="shared" si="27"/>
        <v>0</v>
      </c>
      <c r="Q226" s="467"/>
      <c r="R226" s="467">
        <f t="shared" si="28"/>
        <v>0</v>
      </c>
      <c r="S226" s="467" t="str">
        <f t="shared" si="29"/>
        <v/>
      </c>
      <c r="T226" s="467"/>
      <c r="W226" s="450"/>
      <c r="X226" s="446"/>
    </row>
    <row r="227" s="440" customFormat="1" ht="15.75" hidden="1" customHeight="1" spans="1:24">
      <c r="A227" s="498"/>
      <c r="B227" s="512"/>
      <c r="C227" s="502"/>
      <c r="D227" s="505"/>
      <c r="E227" s="513"/>
      <c r="F227" s="502"/>
      <c r="G227" s="513"/>
      <c r="H227" s="513"/>
      <c r="I227" s="513"/>
      <c r="J227" s="505"/>
      <c r="K227" s="505"/>
      <c r="L227" s="505"/>
      <c r="M227" s="505"/>
      <c r="N227" s="505">
        <f t="shared" si="26"/>
        <v>0</v>
      </c>
      <c r="O227" s="465">
        <v>8</v>
      </c>
      <c r="P227" s="467">
        <f t="shared" si="27"/>
        <v>0</v>
      </c>
      <c r="Q227" s="467"/>
      <c r="R227" s="467">
        <f t="shared" si="28"/>
        <v>0</v>
      </c>
      <c r="S227" s="467" t="str">
        <f t="shared" si="29"/>
        <v/>
      </c>
      <c r="T227" s="467"/>
      <c r="W227" s="450"/>
      <c r="X227" s="446"/>
    </row>
    <row r="228" s="440" customFormat="1" ht="15.75" hidden="1" customHeight="1" spans="1:24">
      <c r="A228" s="498"/>
      <c r="B228" s="512"/>
      <c r="C228" s="502"/>
      <c r="D228" s="505"/>
      <c r="E228" s="513"/>
      <c r="F228" s="502"/>
      <c r="G228" s="513"/>
      <c r="H228" s="513"/>
      <c r="I228" s="513"/>
      <c r="J228" s="505"/>
      <c r="K228" s="505"/>
      <c r="L228" s="505"/>
      <c r="M228" s="505"/>
      <c r="N228" s="505">
        <f t="shared" si="26"/>
        <v>0</v>
      </c>
      <c r="O228" s="465">
        <v>8</v>
      </c>
      <c r="P228" s="467">
        <f t="shared" si="27"/>
        <v>0</v>
      </c>
      <c r="Q228" s="467"/>
      <c r="R228" s="467">
        <f t="shared" si="28"/>
        <v>0</v>
      </c>
      <c r="S228" s="467" t="str">
        <f t="shared" si="29"/>
        <v/>
      </c>
      <c r="T228" s="467"/>
      <c r="W228" s="450"/>
      <c r="X228" s="446"/>
    </row>
    <row r="229" s="440" customFormat="1" ht="15.75" hidden="1" customHeight="1" spans="1:24">
      <c r="A229" s="498"/>
      <c r="B229" s="512"/>
      <c r="C229" s="502"/>
      <c r="D229" s="505"/>
      <c r="E229" s="513"/>
      <c r="F229" s="502"/>
      <c r="G229" s="513"/>
      <c r="H229" s="513"/>
      <c r="I229" s="513"/>
      <c r="J229" s="505"/>
      <c r="K229" s="505"/>
      <c r="L229" s="505"/>
      <c r="M229" s="505"/>
      <c r="N229" s="505">
        <f t="shared" si="26"/>
        <v>0</v>
      </c>
      <c r="O229" s="465">
        <v>8</v>
      </c>
      <c r="P229" s="467">
        <f t="shared" si="27"/>
        <v>0</v>
      </c>
      <c r="Q229" s="467"/>
      <c r="R229" s="467">
        <f t="shared" si="28"/>
        <v>0</v>
      </c>
      <c r="S229" s="467" t="str">
        <f t="shared" si="29"/>
        <v/>
      </c>
      <c r="T229" s="467"/>
      <c r="W229" s="450"/>
      <c r="X229" s="446"/>
    </row>
    <row r="230" s="440" customFormat="1" ht="15.75" hidden="1" customHeight="1" spans="1:24">
      <c r="A230" s="498"/>
      <c r="B230" s="512"/>
      <c r="C230" s="502"/>
      <c r="D230" s="505"/>
      <c r="E230" s="513"/>
      <c r="F230" s="502"/>
      <c r="G230" s="513"/>
      <c r="H230" s="513"/>
      <c r="I230" s="513"/>
      <c r="J230" s="505"/>
      <c r="K230" s="505"/>
      <c r="L230" s="505"/>
      <c r="M230" s="505"/>
      <c r="N230" s="505">
        <f t="shared" si="26"/>
        <v>0</v>
      </c>
      <c r="O230" s="465">
        <v>8</v>
      </c>
      <c r="P230" s="467">
        <f t="shared" si="27"/>
        <v>0</v>
      </c>
      <c r="Q230" s="467"/>
      <c r="R230" s="467">
        <f t="shared" si="28"/>
        <v>0</v>
      </c>
      <c r="S230" s="467" t="str">
        <f t="shared" si="29"/>
        <v/>
      </c>
      <c r="T230" s="467"/>
      <c r="W230" s="450"/>
      <c r="X230" s="446"/>
    </row>
    <row r="231" s="440" customFormat="1" ht="15.75" hidden="1" customHeight="1" spans="1:24">
      <c r="A231" s="498"/>
      <c r="B231" s="512"/>
      <c r="C231" s="502"/>
      <c r="D231" s="505"/>
      <c r="E231" s="513"/>
      <c r="F231" s="502"/>
      <c r="G231" s="513"/>
      <c r="H231" s="513"/>
      <c r="I231" s="513"/>
      <c r="J231" s="505"/>
      <c r="K231" s="505"/>
      <c r="L231" s="505"/>
      <c r="M231" s="505"/>
      <c r="N231" s="505">
        <f t="shared" si="26"/>
        <v>0</v>
      </c>
      <c r="O231" s="465">
        <v>8</v>
      </c>
      <c r="P231" s="467">
        <f t="shared" si="27"/>
        <v>0</v>
      </c>
      <c r="Q231" s="467"/>
      <c r="R231" s="467">
        <f t="shared" si="28"/>
        <v>0</v>
      </c>
      <c r="S231" s="467" t="str">
        <f t="shared" si="29"/>
        <v/>
      </c>
      <c r="T231" s="467"/>
      <c r="W231" s="450"/>
      <c r="X231" s="446"/>
    </row>
    <row r="232" s="440" customFormat="1" ht="15.75" hidden="1" customHeight="1" spans="1:24">
      <c r="A232" s="498"/>
      <c r="B232" s="512"/>
      <c r="C232" s="502"/>
      <c r="D232" s="505"/>
      <c r="E232" s="513"/>
      <c r="F232" s="502"/>
      <c r="G232" s="513"/>
      <c r="H232" s="513"/>
      <c r="I232" s="513"/>
      <c r="J232" s="505"/>
      <c r="K232" s="505"/>
      <c r="L232" s="505"/>
      <c r="M232" s="505"/>
      <c r="N232" s="505">
        <f t="shared" si="26"/>
        <v>0</v>
      </c>
      <c r="O232" s="465">
        <v>8</v>
      </c>
      <c r="P232" s="467">
        <f t="shared" si="27"/>
        <v>0</v>
      </c>
      <c r="Q232" s="467"/>
      <c r="R232" s="467">
        <f t="shared" si="28"/>
        <v>0</v>
      </c>
      <c r="S232" s="467" t="str">
        <f t="shared" si="29"/>
        <v/>
      </c>
      <c r="T232" s="467"/>
      <c r="W232" s="450"/>
      <c r="X232" s="446"/>
    </row>
    <row r="233" s="440" customFormat="1" ht="15.75" hidden="1" customHeight="1" spans="1:24">
      <c r="A233" s="498"/>
      <c r="B233" s="512"/>
      <c r="C233" s="502"/>
      <c r="D233" s="505"/>
      <c r="E233" s="513"/>
      <c r="F233" s="502"/>
      <c r="G233" s="513"/>
      <c r="H233" s="513"/>
      <c r="I233" s="513"/>
      <c r="J233" s="505"/>
      <c r="K233" s="505"/>
      <c r="L233" s="505"/>
      <c r="M233" s="505"/>
      <c r="N233" s="505">
        <f t="shared" si="26"/>
        <v>0</v>
      </c>
      <c r="O233" s="465">
        <v>8</v>
      </c>
      <c r="P233" s="467">
        <f t="shared" si="27"/>
        <v>0</v>
      </c>
      <c r="Q233" s="467"/>
      <c r="R233" s="467">
        <f t="shared" si="28"/>
        <v>0</v>
      </c>
      <c r="S233" s="467" t="str">
        <f t="shared" si="29"/>
        <v/>
      </c>
      <c r="T233" s="467"/>
      <c r="W233" s="450"/>
      <c r="X233" s="446"/>
    </row>
    <row r="234" s="440" customFormat="1" ht="15.75" hidden="1" customHeight="1" spans="1:24">
      <c r="A234" s="498"/>
      <c r="B234" s="512"/>
      <c r="C234" s="502"/>
      <c r="D234" s="505"/>
      <c r="E234" s="513"/>
      <c r="F234" s="502"/>
      <c r="G234" s="513"/>
      <c r="H234" s="513"/>
      <c r="I234" s="513"/>
      <c r="J234" s="505"/>
      <c r="K234" s="505"/>
      <c r="L234" s="505"/>
      <c r="M234" s="505"/>
      <c r="N234" s="505">
        <f t="shared" si="26"/>
        <v>0</v>
      </c>
      <c r="O234" s="465">
        <v>8</v>
      </c>
      <c r="P234" s="467">
        <f t="shared" si="27"/>
        <v>0</v>
      </c>
      <c r="Q234" s="467"/>
      <c r="R234" s="467">
        <f t="shared" si="28"/>
        <v>0</v>
      </c>
      <c r="S234" s="467" t="str">
        <f t="shared" si="29"/>
        <v/>
      </c>
      <c r="T234" s="467"/>
      <c r="W234" s="450"/>
      <c r="X234" s="446"/>
    </row>
    <row r="235" s="440" customFormat="1" ht="15.75" hidden="1" customHeight="1" spans="1:24">
      <c r="A235" s="498"/>
      <c r="B235" s="512"/>
      <c r="C235" s="502"/>
      <c r="D235" s="505"/>
      <c r="E235" s="513"/>
      <c r="F235" s="502"/>
      <c r="G235" s="513"/>
      <c r="H235" s="513"/>
      <c r="I235" s="513"/>
      <c r="J235" s="505"/>
      <c r="K235" s="505"/>
      <c r="L235" s="505"/>
      <c r="M235" s="505"/>
      <c r="N235" s="505">
        <f t="shared" si="26"/>
        <v>0</v>
      </c>
      <c r="O235" s="465">
        <v>8</v>
      </c>
      <c r="P235" s="467">
        <f t="shared" si="27"/>
        <v>0</v>
      </c>
      <c r="Q235" s="467"/>
      <c r="R235" s="467">
        <f t="shared" si="28"/>
        <v>0</v>
      </c>
      <c r="S235" s="467" t="str">
        <f t="shared" si="29"/>
        <v/>
      </c>
      <c r="T235" s="467"/>
      <c r="W235" s="450"/>
      <c r="X235" s="446"/>
    </row>
    <row r="236" s="440" customFormat="1" ht="15.75" hidden="1" customHeight="1" spans="1:24">
      <c r="A236" s="498"/>
      <c r="B236" s="512"/>
      <c r="C236" s="502"/>
      <c r="D236" s="505"/>
      <c r="E236" s="513"/>
      <c r="F236" s="502"/>
      <c r="G236" s="513"/>
      <c r="H236" s="513"/>
      <c r="I236" s="513"/>
      <c r="J236" s="505"/>
      <c r="K236" s="505"/>
      <c r="L236" s="505"/>
      <c r="M236" s="505"/>
      <c r="N236" s="505">
        <f t="shared" si="26"/>
        <v>0</v>
      </c>
      <c r="O236" s="465">
        <v>8</v>
      </c>
      <c r="P236" s="467">
        <f t="shared" si="27"/>
        <v>0</v>
      </c>
      <c r="Q236" s="467"/>
      <c r="R236" s="467">
        <f t="shared" si="28"/>
        <v>0</v>
      </c>
      <c r="S236" s="467" t="str">
        <f t="shared" si="29"/>
        <v/>
      </c>
      <c r="T236" s="467"/>
      <c r="W236" s="450"/>
      <c r="X236" s="446"/>
    </row>
    <row r="237" s="440" customFormat="1" ht="15.75" hidden="1" customHeight="1" spans="1:24">
      <c r="A237" s="498"/>
      <c r="B237" s="512"/>
      <c r="C237" s="502"/>
      <c r="D237" s="505"/>
      <c r="E237" s="513"/>
      <c r="F237" s="502"/>
      <c r="G237" s="513"/>
      <c r="H237" s="513"/>
      <c r="I237" s="513"/>
      <c r="J237" s="505"/>
      <c r="K237" s="505"/>
      <c r="L237" s="505"/>
      <c r="M237" s="505"/>
      <c r="N237" s="505">
        <f t="shared" si="26"/>
        <v>0</v>
      </c>
      <c r="O237" s="465">
        <v>8</v>
      </c>
      <c r="P237" s="467">
        <f t="shared" si="27"/>
        <v>0</v>
      </c>
      <c r="Q237" s="467"/>
      <c r="R237" s="467">
        <f t="shared" si="28"/>
        <v>0</v>
      </c>
      <c r="S237" s="467" t="str">
        <f t="shared" si="29"/>
        <v/>
      </c>
      <c r="T237" s="467"/>
      <c r="W237" s="450"/>
      <c r="X237" s="446"/>
    </row>
    <row r="238" s="440" customFormat="1" ht="15.75" hidden="1" customHeight="1" spans="1:24">
      <c r="A238" s="498"/>
      <c r="B238" s="512"/>
      <c r="C238" s="502"/>
      <c r="D238" s="505"/>
      <c r="E238" s="513"/>
      <c r="F238" s="502"/>
      <c r="G238" s="513"/>
      <c r="H238" s="513"/>
      <c r="I238" s="513"/>
      <c r="J238" s="505"/>
      <c r="K238" s="505"/>
      <c r="L238" s="505"/>
      <c r="M238" s="505"/>
      <c r="N238" s="505">
        <f t="shared" si="26"/>
        <v>0</v>
      </c>
      <c r="O238" s="465">
        <v>8</v>
      </c>
      <c r="P238" s="467">
        <f t="shared" si="27"/>
        <v>0</v>
      </c>
      <c r="Q238" s="467"/>
      <c r="R238" s="467">
        <f t="shared" si="28"/>
        <v>0</v>
      </c>
      <c r="S238" s="467" t="str">
        <f t="shared" si="29"/>
        <v/>
      </c>
      <c r="T238" s="467"/>
      <c r="W238" s="450"/>
      <c r="X238" s="446"/>
    </row>
    <row r="239" s="440" customFormat="1" ht="15.75" hidden="1" customHeight="1" spans="1:24">
      <c r="A239" s="498"/>
      <c r="B239" s="512"/>
      <c r="C239" s="502"/>
      <c r="D239" s="505"/>
      <c r="E239" s="513"/>
      <c r="F239" s="502"/>
      <c r="G239" s="513"/>
      <c r="H239" s="513"/>
      <c r="I239" s="513"/>
      <c r="J239" s="505"/>
      <c r="K239" s="505"/>
      <c r="L239" s="505"/>
      <c r="M239" s="505"/>
      <c r="N239" s="505">
        <f t="shared" si="26"/>
        <v>0</v>
      </c>
      <c r="O239" s="465">
        <v>8</v>
      </c>
      <c r="P239" s="467">
        <f t="shared" si="27"/>
        <v>0</v>
      </c>
      <c r="Q239" s="467"/>
      <c r="R239" s="467">
        <f t="shared" si="28"/>
        <v>0</v>
      </c>
      <c r="S239" s="467" t="str">
        <f t="shared" si="29"/>
        <v/>
      </c>
      <c r="T239" s="467"/>
      <c r="W239" s="450"/>
      <c r="X239" s="446"/>
    </row>
    <row r="240" s="440" customFormat="1" ht="15.75" hidden="1" customHeight="1" spans="1:24">
      <c r="A240" s="498"/>
      <c r="B240" s="512"/>
      <c r="C240" s="502"/>
      <c r="D240" s="505"/>
      <c r="E240" s="513"/>
      <c r="F240" s="502"/>
      <c r="G240" s="513"/>
      <c r="H240" s="513"/>
      <c r="I240" s="513"/>
      <c r="J240" s="505"/>
      <c r="K240" s="505"/>
      <c r="L240" s="505"/>
      <c r="M240" s="505"/>
      <c r="N240" s="505">
        <f t="shared" si="26"/>
        <v>0</v>
      </c>
      <c r="O240" s="465">
        <v>8</v>
      </c>
      <c r="P240" s="467">
        <f t="shared" si="27"/>
        <v>0</v>
      </c>
      <c r="Q240" s="467"/>
      <c r="R240" s="467">
        <f t="shared" si="28"/>
        <v>0</v>
      </c>
      <c r="S240" s="467" t="str">
        <f t="shared" si="29"/>
        <v/>
      </c>
      <c r="T240" s="467"/>
      <c r="W240" s="450"/>
      <c r="X240" s="446"/>
    </row>
    <row r="241" s="440" customFormat="1" ht="15.75" hidden="1" customHeight="1" spans="1:24">
      <c r="A241" s="498"/>
      <c r="B241" s="512"/>
      <c r="C241" s="502"/>
      <c r="D241" s="505"/>
      <c r="E241" s="513"/>
      <c r="F241" s="502"/>
      <c r="G241" s="513"/>
      <c r="H241" s="513"/>
      <c r="I241" s="513"/>
      <c r="J241" s="505"/>
      <c r="K241" s="505"/>
      <c r="L241" s="505"/>
      <c r="M241" s="505"/>
      <c r="N241" s="505">
        <f t="shared" si="26"/>
        <v>0</v>
      </c>
      <c r="O241" s="465">
        <v>8</v>
      </c>
      <c r="P241" s="467">
        <f t="shared" si="27"/>
        <v>0</v>
      </c>
      <c r="Q241" s="467"/>
      <c r="R241" s="467">
        <f t="shared" si="28"/>
        <v>0</v>
      </c>
      <c r="S241" s="467" t="str">
        <f t="shared" si="29"/>
        <v/>
      </c>
      <c r="T241" s="467"/>
      <c r="W241" s="450"/>
      <c r="X241" s="446"/>
    </row>
    <row r="242" s="440" customFormat="1" ht="15.75" hidden="1" customHeight="1" spans="1:24">
      <c r="A242" s="498"/>
      <c r="B242" s="512"/>
      <c r="C242" s="502"/>
      <c r="D242" s="505"/>
      <c r="E242" s="513"/>
      <c r="F242" s="502"/>
      <c r="G242" s="513"/>
      <c r="H242" s="513"/>
      <c r="I242" s="513"/>
      <c r="J242" s="505"/>
      <c r="K242" s="505"/>
      <c r="L242" s="505"/>
      <c r="M242" s="505"/>
      <c r="N242" s="505">
        <f t="shared" si="26"/>
        <v>0</v>
      </c>
      <c r="O242" s="465">
        <v>8</v>
      </c>
      <c r="P242" s="467">
        <f t="shared" si="27"/>
        <v>0</v>
      </c>
      <c r="Q242" s="467"/>
      <c r="R242" s="467">
        <f t="shared" si="28"/>
        <v>0</v>
      </c>
      <c r="S242" s="467" t="str">
        <f t="shared" si="29"/>
        <v/>
      </c>
      <c r="T242" s="467"/>
      <c r="W242" s="450"/>
      <c r="X242" s="446"/>
    </row>
    <row r="243" s="440" customFormat="1" ht="15.75" hidden="1" customHeight="1" spans="1:24">
      <c r="A243" s="498"/>
      <c r="B243" s="512"/>
      <c r="C243" s="502"/>
      <c r="D243" s="505"/>
      <c r="E243" s="513"/>
      <c r="F243" s="502"/>
      <c r="G243" s="513"/>
      <c r="H243" s="513"/>
      <c r="I243" s="513"/>
      <c r="J243" s="505"/>
      <c r="K243" s="505"/>
      <c r="L243" s="505"/>
      <c r="M243" s="505"/>
      <c r="N243" s="505">
        <f t="shared" si="26"/>
        <v>0</v>
      </c>
      <c r="O243" s="465">
        <v>8</v>
      </c>
      <c r="P243" s="467">
        <f t="shared" si="27"/>
        <v>0</v>
      </c>
      <c r="Q243" s="467"/>
      <c r="R243" s="467">
        <f t="shared" si="28"/>
        <v>0</v>
      </c>
      <c r="S243" s="467" t="str">
        <f t="shared" si="29"/>
        <v/>
      </c>
      <c r="T243" s="467"/>
      <c r="W243" s="450"/>
      <c r="X243" s="446"/>
    </row>
    <row r="244" s="440" customFormat="1" ht="15.75" hidden="1" customHeight="1" spans="1:24">
      <c r="A244" s="498"/>
      <c r="B244" s="512"/>
      <c r="C244" s="502"/>
      <c r="D244" s="505"/>
      <c r="E244" s="513"/>
      <c r="F244" s="502"/>
      <c r="G244" s="513"/>
      <c r="H244" s="513"/>
      <c r="I244" s="513"/>
      <c r="J244" s="505"/>
      <c r="K244" s="505"/>
      <c r="L244" s="505"/>
      <c r="M244" s="505"/>
      <c r="N244" s="505">
        <f t="shared" si="26"/>
        <v>0</v>
      </c>
      <c r="O244" s="465">
        <v>8</v>
      </c>
      <c r="P244" s="467">
        <f t="shared" si="27"/>
        <v>0</v>
      </c>
      <c r="Q244" s="467"/>
      <c r="R244" s="467">
        <f t="shared" si="28"/>
        <v>0</v>
      </c>
      <c r="S244" s="467" t="str">
        <f t="shared" si="29"/>
        <v/>
      </c>
      <c r="T244" s="467"/>
      <c r="W244" s="450"/>
      <c r="X244" s="446"/>
    </row>
    <row r="245" s="440" customFormat="1" ht="15.75" hidden="1" customHeight="1" spans="1:24">
      <c r="A245" s="498"/>
      <c r="B245" s="512"/>
      <c r="C245" s="502"/>
      <c r="D245" s="505"/>
      <c r="E245" s="513"/>
      <c r="F245" s="502"/>
      <c r="G245" s="513"/>
      <c r="H245" s="513"/>
      <c r="I245" s="513"/>
      <c r="J245" s="505"/>
      <c r="K245" s="505"/>
      <c r="L245" s="505"/>
      <c r="M245" s="505"/>
      <c r="N245" s="505">
        <f t="shared" si="26"/>
        <v>0</v>
      </c>
      <c r="O245" s="465">
        <v>8</v>
      </c>
      <c r="P245" s="467">
        <f t="shared" si="27"/>
        <v>0</v>
      </c>
      <c r="Q245" s="467"/>
      <c r="R245" s="467">
        <f t="shared" si="28"/>
        <v>0</v>
      </c>
      <c r="S245" s="467" t="str">
        <f t="shared" si="29"/>
        <v/>
      </c>
      <c r="T245" s="467"/>
      <c r="W245" s="450"/>
      <c r="X245" s="446"/>
    </row>
    <row r="246" s="440" customFormat="1" ht="15.75" hidden="1" customHeight="1" spans="1:24">
      <c r="A246" s="498"/>
      <c r="B246" s="512"/>
      <c r="C246" s="502"/>
      <c r="D246" s="505"/>
      <c r="E246" s="513"/>
      <c r="F246" s="502"/>
      <c r="G246" s="513"/>
      <c r="H246" s="513"/>
      <c r="I246" s="513"/>
      <c r="J246" s="505"/>
      <c r="K246" s="505"/>
      <c r="L246" s="505"/>
      <c r="M246" s="505"/>
      <c r="N246" s="505">
        <f t="shared" si="26"/>
        <v>0</v>
      </c>
      <c r="O246" s="465">
        <v>8</v>
      </c>
      <c r="P246" s="467">
        <f t="shared" si="27"/>
        <v>0</v>
      </c>
      <c r="Q246" s="467"/>
      <c r="R246" s="467">
        <f t="shared" si="28"/>
        <v>0</v>
      </c>
      <c r="S246" s="467" t="str">
        <f t="shared" si="29"/>
        <v/>
      </c>
      <c r="T246" s="467"/>
      <c r="W246" s="450"/>
      <c r="X246" s="446"/>
    </row>
    <row r="247" s="440" customFormat="1" ht="15.75" hidden="1" customHeight="1" spans="1:24">
      <c r="A247" s="498"/>
      <c r="B247" s="512"/>
      <c r="C247" s="502"/>
      <c r="D247" s="505"/>
      <c r="E247" s="513"/>
      <c r="F247" s="502"/>
      <c r="G247" s="513"/>
      <c r="H247" s="513"/>
      <c r="I247" s="513"/>
      <c r="J247" s="505"/>
      <c r="K247" s="505"/>
      <c r="L247" s="505"/>
      <c r="M247" s="505"/>
      <c r="N247" s="505">
        <f t="shared" si="26"/>
        <v>0</v>
      </c>
      <c r="O247" s="465">
        <v>8</v>
      </c>
      <c r="P247" s="467">
        <f t="shared" si="27"/>
        <v>0</v>
      </c>
      <c r="Q247" s="467"/>
      <c r="R247" s="467">
        <f t="shared" si="28"/>
        <v>0</v>
      </c>
      <c r="S247" s="467" t="str">
        <f t="shared" si="29"/>
        <v/>
      </c>
      <c r="T247" s="467"/>
      <c r="W247" s="450"/>
      <c r="X247" s="446"/>
    </row>
    <row r="248" s="440" customFormat="1" ht="15.75" hidden="1" customHeight="1" spans="1:24">
      <c r="A248" s="498"/>
      <c r="B248" s="512"/>
      <c r="C248" s="502"/>
      <c r="D248" s="505"/>
      <c r="E248" s="513"/>
      <c r="F248" s="502"/>
      <c r="G248" s="513"/>
      <c r="H248" s="513"/>
      <c r="I248" s="513"/>
      <c r="J248" s="505"/>
      <c r="K248" s="505"/>
      <c r="L248" s="505"/>
      <c r="M248" s="505"/>
      <c r="N248" s="505">
        <f t="shared" si="26"/>
        <v>0</v>
      </c>
      <c r="O248" s="465">
        <v>8</v>
      </c>
      <c r="P248" s="467">
        <f t="shared" si="27"/>
        <v>0</v>
      </c>
      <c r="Q248" s="467"/>
      <c r="R248" s="467">
        <f t="shared" si="28"/>
        <v>0</v>
      </c>
      <c r="S248" s="467" t="str">
        <f t="shared" si="29"/>
        <v/>
      </c>
      <c r="T248" s="467"/>
      <c r="W248" s="450"/>
      <c r="X248" s="446"/>
    </row>
    <row r="249" s="440" customFormat="1" ht="15.75" hidden="1" customHeight="1" spans="1:24">
      <c r="A249" s="498"/>
      <c r="B249" s="512"/>
      <c r="C249" s="502"/>
      <c r="D249" s="505"/>
      <c r="E249" s="513"/>
      <c r="F249" s="502"/>
      <c r="G249" s="513"/>
      <c r="H249" s="513"/>
      <c r="I249" s="513"/>
      <c r="J249" s="505"/>
      <c r="K249" s="505"/>
      <c r="L249" s="505"/>
      <c r="M249" s="505"/>
      <c r="N249" s="505">
        <f t="shared" si="26"/>
        <v>0</v>
      </c>
      <c r="O249" s="465">
        <v>8</v>
      </c>
      <c r="P249" s="467">
        <f t="shared" si="27"/>
        <v>0</v>
      </c>
      <c r="Q249" s="467"/>
      <c r="R249" s="467">
        <f t="shared" si="28"/>
        <v>0</v>
      </c>
      <c r="S249" s="467" t="str">
        <f t="shared" si="29"/>
        <v/>
      </c>
      <c r="T249" s="467"/>
      <c r="W249" s="450"/>
      <c r="X249" s="446"/>
    </row>
    <row r="250" s="440" customFormat="1" ht="15.75" hidden="1" customHeight="1" spans="1:24">
      <c r="A250" s="498"/>
      <c r="B250" s="512"/>
      <c r="C250" s="502"/>
      <c r="D250" s="505"/>
      <c r="E250" s="513"/>
      <c r="F250" s="502"/>
      <c r="G250" s="513"/>
      <c r="H250" s="513"/>
      <c r="I250" s="513"/>
      <c r="J250" s="505"/>
      <c r="K250" s="505"/>
      <c r="L250" s="505"/>
      <c r="M250" s="505"/>
      <c r="N250" s="505">
        <f t="shared" si="26"/>
        <v>0</v>
      </c>
      <c r="O250" s="465">
        <v>8</v>
      </c>
      <c r="P250" s="467">
        <f t="shared" si="27"/>
        <v>0</v>
      </c>
      <c r="Q250" s="467"/>
      <c r="R250" s="467">
        <f t="shared" si="28"/>
        <v>0</v>
      </c>
      <c r="S250" s="467" t="str">
        <f t="shared" si="29"/>
        <v/>
      </c>
      <c r="T250" s="467"/>
      <c r="W250" s="450"/>
      <c r="X250" s="446"/>
    </row>
    <row r="251" s="440" customFormat="1" ht="15.75" hidden="1" customHeight="1" spans="1:24">
      <c r="A251" s="514"/>
      <c r="B251" s="512"/>
      <c r="C251" s="502"/>
      <c r="D251" s="505"/>
      <c r="E251" s="513"/>
      <c r="F251" s="502"/>
      <c r="G251" s="515"/>
      <c r="H251" s="516"/>
      <c r="I251" s="517"/>
      <c r="J251" s="518"/>
      <c r="K251" s="505"/>
      <c r="L251" s="505"/>
      <c r="M251" s="505"/>
      <c r="N251" s="505">
        <f t="shared" si="26"/>
        <v>0</v>
      </c>
      <c r="O251" s="465">
        <v>8</v>
      </c>
      <c r="P251" s="467">
        <f t="shared" si="27"/>
        <v>0</v>
      </c>
      <c r="Q251" s="467"/>
      <c r="R251" s="467">
        <f t="shared" si="28"/>
        <v>0</v>
      </c>
      <c r="S251" s="467" t="str">
        <f t="shared" si="29"/>
        <v/>
      </c>
      <c r="T251" s="467"/>
      <c r="W251" s="450"/>
      <c r="X251" s="446"/>
    </row>
    <row r="252" s="440" customFormat="1" ht="15.75" hidden="1" customHeight="1" spans="1:24">
      <c r="A252" s="514"/>
      <c r="B252" s="512"/>
      <c r="C252" s="502"/>
      <c r="D252" s="505"/>
      <c r="E252" s="513"/>
      <c r="F252" s="502"/>
      <c r="G252" s="515"/>
      <c r="H252" s="516"/>
      <c r="I252" s="517"/>
      <c r="J252" s="518"/>
      <c r="K252" s="505"/>
      <c r="L252" s="505"/>
      <c r="M252" s="505"/>
      <c r="N252" s="505">
        <f t="shared" si="26"/>
        <v>0</v>
      </c>
      <c r="O252" s="465">
        <v>8</v>
      </c>
      <c r="P252" s="467">
        <f t="shared" si="27"/>
        <v>0</v>
      </c>
      <c r="Q252" s="467"/>
      <c r="R252" s="467">
        <f t="shared" si="28"/>
        <v>0</v>
      </c>
      <c r="S252" s="467" t="str">
        <f t="shared" si="29"/>
        <v/>
      </c>
      <c r="T252" s="467"/>
      <c r="W252" s="450"/>
      <c r="X252" s="446"/>
    </row>
    <row r="253" s="440" customFormat="1" ht="15.75" hidden="1" customHeight="1" spans="1:24">
      <c r="A253" s="514"/>
      <c r="B253" s="512"/>
      <c r="C253" s="502"/>
      <c r="D253" s="505"/>
      <c r="E253" s="513"/>
      <c r="F253" s="502"/>
      <c r="G253" s="515"/>
      <c r="H253" s="516"/>
      <c r="I253" s="517"/>
      <c r="J253" s="518"/>
      <c r="K253" s="505"/>
      <c r="L253" s="505"/>
      <c r="M253" s="505"/>
      <c r="N253" s="505">
        <f t="shared" si="26"/>
        <v>0</v>
      </c>
      <c r="O253" s="465">
        <v>8</v>
      </c>
      <c r="P253" s="467">
        <f t="shared" si="27"/>
        <v>0</v>
      </c>
      <c r="Q253" s="467"/>
      <c r="R253" s="467">
        <f t="shared" si="28"/>
        <v>0</v>
      </c>
      <c r="S253" s="467" t="str">
        <f t="shared" si="29"/>
        <v/>
      </c>
      <c r="T253" s="467"/>
      <c r="W253" s="450"/>
      <c r="X253" s="446"/>
    </row>
    <row r="254" s="440" customFormat="1" ht="15.75" hidden="1" customHeight="1" spans="1:24">
      <c r="A254" s="514"/>
      <c r="B254" s="512"/>
      <c r="C254" s="502"/>
      <c r="D254" s="505"/>
      <c r="E254" s="513"/>
      <c r="F254" s="502"/>
      <c r="G254" s="515"/>
      <c r="H254" s="516"/>
      <c r="I254" s="517"/>
      <c r="J254" s="518"/>
      <c r="K254" s="505"/>
      <c r="L254" s="505"/>
      <c r="M254" s="505"/>
      <c r="N254" s="505">
        <f t="shared" si="26"/>
        <v>0</v>
      </c>
      <c r="O254" s="465">
        <v>8</v>
      </c>
      <c r="P254" s="467">
        <f t="shared" si="27"/>
        <v>0</v>
      </c>
      <c r="Q254" s="467"/>
      <c r="R254" s="467">
        <f t="shared" si="28"/>
        <v>0</v>
      </c>
      <c r="S254" s="467" t="str">
        <f t="shared" si="29"/>
        <v/>
      </c>
      <c r="T254" s="467"/>
      <c r="W254" s="450"/>
      <c r="X254" s="446"/>
    </row>
    <row r="255" s="440" customFormat="1" ht="15.75" hidden="1" customHeight="1" spans="1:24">
      <c r="A255" s="514"/>
      <c r="B255" s="512"/>
      <c r="C255" s="502"/>
      <c r="D255" s="505"/>
      <c r="E255" s="513"/>
      <c r="F255" s="502"/>
      <c r="G255" s="515"/>
      <c r="H255" s="516"/>
      <c r="I255" s="517"/>
      <c r="J255" s="518"/>
      <c r="K255" s="505"/>
      <c r="L255" s="505"/>
      <c r="M255" s="505"/>
      <c r="N255" s="505">
        <f t="shared" ref="N255:N318" si="30">SUMPRODUCT($G$2:$M$2,G255:M255)</f>
        <v>0</v>
      </c>
      <c r="O255" s="465">
        <v>8</v>
      </c>
      <c r="P255" s="467">
        <f t="shared" ref="P255:P318" si="31">IFERROR(IF((N255*E255-O255*E255)&lt;0,0,(N255*E255-O255*E255)),"")</f>
        <v>0</v>
      </c>
      <c r="Q255" s="467"/>
      <c r="R255" s="467">
        <f t="shared" ref="R255:R318" si="32">IF(Q255="",0,Q255*5)</f>
        <v>0</v>
      </c>
      <c r="S255" s="467" t="str">
        <f t="shared" ref="S255:S318" si="33">IF(B255="","",P255+R255)</f>
        <v/>
      </c>
      <c r="T255" s="467"/>
      <c r="W255" s="450"/>
      <c r="X255" s="446"/>
    </row>
    <row r="256" s="440" customFormat="1" ht="15.75" hidden="1" customHeight="1" spans="1:24">
      <c r="A256" s="514"/>
      <c r="B256" s="512"/>
      <c r="C256" s="502"/>
      <c r="D256" s="505"/>
      <c r="E256" s="513"/>
      <c r="F256" s="502"/>
      <c r="G256" s="515"/>
      <c r="H256" s="516"/>
      <c r="I256" s="517"/>
      <c r="J256" s="518"/>
      <c r="K256" s="505"/>
      <c r="L256" s="505"/>
      <c r="M256" s="505"/>
      <c r="N256" s="505">
        <f t="shared" si="30"/>
        <v>0</v>
      </c>
      <c r="O256" s="465">
        <v>8</v>
      </c>
      <c r="P256" s="467">
        <f t="shared" si="31"/>
        <v>0</v>
      </c>
      <c r="Q256" s="467"/>
      <c r="R256" s="467">
        <f t="shared" si="32"/>
        <v>0</v>
      </c>
      <c r="S256" s="467" t="str">
        <f t="shared" si="33"/>
        <v/>
      </c>
      <c r="T256" s="467"/>
      <c r="W256" s="450"/>
      <c r="X256" s="446"/>
    </row>
    <row r="257" s="440" customFormat="1" ht="15.75" hidden="1" customHeight="1" spans="1:24">
      <c r="A257" s="514"/>
      <c r="B257" s="512"/>
      <c r="C257" s="502"/>
      <c r="D257" s="505"/>
      <c r="E257" s="513"/>
      <c r="F257" s="502"/>
      <c r="G257" s="515"/>
      <c r="H257" s="516"/>
      <c r="I257" s="517"/>
      <c r="J257" s="518"/>
      <c r="K257" s="505"/>
      <c r="L257" s="505"/>
      <c r="M257" s="505"/>
      <c r="N257" s="505">
        <f t="shared" si="30"/>
        <v>0</v>
      </c>
      <c r="O257" s="465">
        <v>8</v>
      </c>
      <c r="P257" s="467">
        <f t="shared" si="31"/>
        <v>0</v>
      </c>
      <c r="Q257" s="467"/>
      <c r="R257" s="467">
        <f t="shared" si="32"/>
        <v>0</v>
      </c>
      <c r="S257" s="467" t="str">
        <f t="shared" si="33"/>
        <v/>
      </c>
      <c r="T257" s="467"/>
      <c r="W257" s="450"/>
      <c r="X257" s="446"/>
    </row>
    <row r="258" s="440" customFormat="1" ht="15.75" hidden="1" customHeight="1" spans="1:24">
      <c r="A258" s="514"/>
      <c r="B258" s="512"/>
      <c r="C258" s="502"/>
      <c r="D258" s="505"/>
      <c r="E258" s="513"/>
      <c r="F258" s="502"/>
      <c r="G258" s="515"/>
      <c r="H258" s="516"/>
      <c r="I258" s="517"/>
      <c r="J258" s="518"/>
      <c r="K258" s="505"/>
      <c r="L258" s="505"/>
      <c r="M258" s="505"/>
      <c r="N258" s="505">
        <f t="shared" si="30"/>
        <v>0</v>
      </c>
      <c r="O258" s="465">
        <v>8</v>
      </c>
      <c r="P258" s="467">
        <f t="shared" si="31"/>
        <v>0</v>
      </c>
      <c r="Q258" s="467"/>
      <c r="R258" s="467">
        <f t="shared" si="32"/>
        <v>0</v>
      </c>
      <c r="S258" s="467" t="str">
        <f t="shared" si="33"/>
        <v/>
      </c>
      <c r="T258" s="467"/>
      <c r="W258" s="450"/>
      <c r="X258" s="446"/>
    </row>
    <row r="259" s="440" customFormat="1" ht="15.75" hidden="1" customHeight="1" spans="1:24">
      <c r="A259" s="514"/>
      <c r="B259" s="512"/>
      <c r="C259" s="502"/>
      <c r="D259" s="505"/>
      <c r="E259" s="513"/>
      <c r="F259" s="502"/>
      <c r="G259" s="515"/>
      <c r="H259" s="516"/>
      <c r="I259" s="517"/>
      <c r="J259" s="518"/>
      <c r="K259" s="505"/>
      <c r="L259" s="505"/>
      <c r="M259" s="505"/>
      <c r="N259" s="505">
        <f t="shared" si="30"/>
        <v>0</v>
      </c>
      <c r="O259" s="465">
        <v>8</v>
      </c>
      <c r="P259" s="467">
        <f t="shared" si="31"/>
        <v>0</v>
      </c>
      <c r="Q259" s="467"/>
      <c r="R259" s="467">
        <f t="shared" si="32"/>
        <v>0</v>
      </c>
      <c r="S259" s="467" t="str">
        <f t="shared" si="33"/>
        <v/>
      </c>
      <c r="T259" s="467"/>
      <c r="W259" s="450"/>
      <c r="X259" s="446"/>
    </row>
    <row r="260" s="440" customFormat="1" ht="15.75" hidden="1" customHeight="1" spans="1:24">
      <c r="A260" s="514"/>
      <c r="B260" s="512"/>
      <c r="C260" s="502"/>
      <c r="D260" s="505"/>
      <c r="E260" s="513"/>
      <c r="F260" s="502"/>
      <c r="G260" s="515"/>
      <c r="H260" s="516"/>
      <c r="I260" s="517"/>
      <c r="J260" s="518"/>
      <c r="K260" s="505"/>
      <c r="L260" s="505"/>
      <c r="M260" s="505"/>
      <c r="N260" s="505">
        <f t="shared" si="30"/>
        <v>0</v>
      </c>
      <c r="O260" s="465">
        <v>8</v>
      </c>
      <c r="P260" s="467">
        <f t="shared" si="31"/>
        <v>0</v>
      </c>
      <c r="Q260" s="467"/>
      <c r="R260" s="467">
        <f t="shared" si="32"/>
        <v>0</v>
      </c>
      <c r="S260" s="467" t="str">
        <f t="shared" si="33"/>
        <v/>
      </c>
      <c r="T260" s="467"/>
      <c r="W260" s="450"/>
      <c r="X260" s="446"/>
    </row>
    <row r="261" s="440" customFormat="1" ht="15.75" hidden="1" customHeight="1" spans="1:24">
      <c r="A261" s="514"/>
      <c r="B261" s="512"/>
      <c r="C261" s="502"/>
      <c r="D261" s="505"/>
      <c r="E261" s="513"/>
      <c r="F261" s="502"/>
      <c r="G261" s="515"/>
      <c r="H261" s="516"/>
      <c r="I261" s="517"/>
      <c r="J261" s="518"/>
      <c r="K261" s="505"/>
      <c r="L261" s="505"/>
      <c r="M261" s="505"/>
      <c r="N261" s="505">
        <f t="shared" si="30"/>
        <v>0</v>
      </c>
      <c r="O261" s="465">
        <v>8</v>
      </c>
      <c r="P261" s="467">
        <f t="shared" si="31"/>
        <v>0</v>
      </c>
      <c r="Q261" s="467"/>
      <c r="R261" s="467">
        <f t="shared" si="32"/>
        <v>0</v>
      </c>
      <c r="S261" s="467" t="str">
        <f t="shared" si="33"/>
        <v/>
      </c>
      <c r="T261" s="467"/>
      <c r="W261" s="450"/>
      <c r="X261" s="446"/>
    </row>
    <row r="262" s="440" customFormat="1" ht="15.75" hidden="1" customHeight="1" spans="1:24">
      <c r="A262" s="514"/>
      <c r="B262" s="512"/>
      <c r="C262" s="502"/>
      <c r="D262" s="505"/>
      <c r="E262" s="513"/>
      <c r="F262" s="502"/>
      <c r="G262" s="515"/>
      <c r="H262" s="516"/>
      <c r="I262" s="517"/>
      <c r="J262" s="518"/>
      <c r="K262" s="505"/>
      <c r="L262" s="505"/>
      <c r="M262" s="505"/>
      <c r="N262" s="505">
        <f t="shared" si="30"/>
        <v>0</v>
      </c>
      <c r="O262" s="465">
        <v>8</v>
      </c>
      <c r="P262" s="467">
        <f t="shared" si="31"/>
        <v>0</v>
      </c>
      <c r="Q262" s="467"/>
      <c r="R262" s="467">
        <f t="shared" si="32"/>
        <v>0</v>
      </c>
      <c r="S262" s="467" t="str">
        <f t="shared" si="33"/>
        <v/>
      </c>
      <c r="T262" s="467"/>
      <c r="W262" s="450"/>
      <c r="X262" s="446"/>
    </row>
    <row r="263" s="440" customFormat="1" ht="15.75" hidden="1" customHeight="1" spans="1:24">
      <c r="A263" s="514"/>
      <c r="B263" s="512"/>
      <c r="C263" s="502"/>
      <c r="D263" s="505"/>
      <c r="E263" s="513"/>
      <c r="F263" s="502"/>
      <c r="G263" s="515"/>
      <c r="H263" s="516"/>
      <c r="I263" s="517"/>
      <c r="J263" s="518"/>
      <c r="K263" s="505"/>
      <c r="L263" s="505"/>
      <c r="M263" s="505"/>
      <c r="N263" s="505">
        <f t="shared" si="30"/>
        <v>0</v>
      </c>
      <c r="O263" s="465">
        <v>8</v>
      </c>
      <c r="P263" s="467">
        <f t="shared" si="31"/>
        <v>0</v>
      </c>
      <c r="Q263" s="467"/>
      <c r="R263" s="467">
        <f t="shared" si="32"/>
        <v>0</v>
      </c>
      <c r="S263" s="467" t="str">
        <f t="shared" si="33"/>
        <v/>
      </c>
      <c r="T263" s="467"/>
      <c r="W263" s="450"/>
      <c r="X263" s="446"/>
    </row>
    <row r="264" s="440" customFormat="1" ht="15.75" hidden="1" customHeight="1" spans="1:24">
      <c r="A264" s="514"/>
      <c r="B264" s="512"/>
      <c r="C264" s="502"/>
      <c r="D264" s="505"/>
      <c r="E264" s="513"/>
      <c r="F264" s="502"/>
      <c r="G264" s="515"/>
      <c r="H264" s="516"/>
      <c r="I264" s="517"/>
      <c r="J264" s="518"/>
      <c r="K264" s="505"/>
      <c r="L264" s="505"/>
      <c r="M264" s="505"/>
      <c r="N264" s="505">
        <f t="shared" si="30"/>
        <v>0</v>
      </c>
      <c r="O264" s="465">
        <v>8</v>
      </c>
      <c r="P264" s="467">
        <f t="shared" si="31"/>
        <v>0</v>
      </c>
      <c r="Q264" s="467"/>
      <c r="R264" s="467">
        <f t="shared" si="32"/>
        <v>0</v>
      </c>
      <c r="S264" s="467" t="str">
        <f t="shared" si="33"/>
        <v/>
      </c>
      <c r="T264" s="467"/>
      <c r="W264" s="450"/>
      <c r="X264" s="446"/>
    </row>
    <row r="265" s="440" customFormat="1" ht="15.75" hidden="1" customHeight="1" spans="1:24">
      <c r="A265" s="514"/>
      <c r="B265" s="512"/>
      <c r="C265" s="502"/>
      <c r="D265" s="505"/>
      <c r="E265" s="513"/>
      <c r="F265" s="502"/>
      <c r="G265" s="515"/>
      <c r="H265" s="516"/>
      <c r="I265" s="517"/>
      <c r="J265" s="518"/>
      <c r="K265" s="505"/>
      <c r="L265" s="505"/>
      <c r="M265" s="505"/>
      <c r="N265" s="505">
        <f t="shared" si="30"/>
        <v>0</v>
      </c>
      <c r="O265" s="465">
        <v>8</v>
      </c>
      <c r="P265" s="467">
        <f t="shared" si="31"/>
        <v>0</v>
      </c>
      <c r="Q265" s="467"/>
      <c r="R265" s="467">
        <f t="shared" si="32"/>
        <v>0</v>
      </c>
      <c r="S265" s="467" t="str">
        <f t="shared" si="33"/>
        <v/>
      </c>
      <c r="T265" s="467"/>
      <c r="W265" s="450"/>
      <c r="X265" s="446"/>
    </row>
    <row r="266" s="440" customFormat="1" ht="15.75" hidden="1" customHeight="1" spans="1:24">
      <c r="A266" s="514"/>
      <c r="B266" s="512"/>
      <c r="C266" s="502"/>
      <c r="D266" s="505"/>
      <c r="E266" s="513"/>
      <c r="F266" s="502"/>
      <c r="G266" s="515"/>
      <c r="H266" s="516"/>
      <c r="I266" s="517"/>
      <c r="J266" s="518"/>
      <c r="K266" s="505"/>
      <c r="L266" s="505"/>
      <c r="M266" s="505"/>
      <c r="N266" s="505">
        <f t="shared" si="30"/>
        <v>0</v>
      </c>
      <c r="O266" s="465">
        <v>8</v>
      </c>
      <c r="P266" s="467">
        <f t="shared" si="31"/>
        <v>0</v>
      </c>
      <c r="Q266" s="467"/>
      <c r="R266" s="467">
        <f t="shared" si="32"/>
        <v>0</v>
      </c>
      <c r="S266" s="467" t="str">
        <f t="shared" si="33"/>
        <v/>
      </c>
      <c r="T266" s="467"/>
      <c r="W266" s="450"/>
      <c r="X266" s="446"/>
    </row>
    <row r="267" s="440" customFormat="1" ht="15.75" hidden="1" customHeight="1" spans="1:24">
      <c r="A267" s="514"/>
      <c r="B267" s="512"/>
      <c r="C267" s="502"/>
      <c r="D267" s="505"/>
      <c r="E267" s="513"/>
      <c r="F267" s="502"/>
      <c r="G267" s="515"/>
      <c r="H267" s="516"/>
      <c r="I267" s="517"/>
      <c r="J267" s="518"/>
      <c r="K267" s="505"/>
      <c r="L267" s="505"/>
      <c r="M267" s="505"/>
      <c r="N267" s="505">
        <f t="shared" si="30"/>
        <v>0</v>
      </c>
      <c r="O267" s="465">
        <v>8</v>
      </c>
      <c r="P267" s="467">
        <f t="shared" si="31"/>
        <v>0</v>
      </c>
      <c r="Q267" s="467"/>
      <c r="R267" s="467">
        <f t="shared" si="32"/>
        <v>0</v>
      </c>
      <c r="S267" s="467" t="str">
        <f t="shared" si="33"/>
        <v/>
      </c>
      <c r="T267" s="467"/>
      <c r="W267" s="450"/>
      <c r="X267" s="446"/>
    </row>
    <row r="268" s="440" customFormat="1" ht="15.75" hidden="1" customHeight="1" spans="1:24">
      <c r="A268" s="514"/>
      <c r="B268" s="512"/>
      <c r="C268" s="502"/>
      <c r="D268" s="505"/>
      <c r="E268" s="513"/>
      <c r="F268" s="502"/>
      <c r="G268" s="515"/>
      <c r="H268" s="516"/>
      <c r="I268" s="517"/>
      <c r="J268" s="518"/>
      <c r="K268" s="505"/>
      <c r="L268" s="505"/>
      <c r="M268" s="505"/>
      <c r="N268" s="505">
        <f t="shared" si="30"/>
        <v>0</v>
      </c>
      <c r="O268" s="465">
        <v>8</v>
      </c>
      <c r="P268" s="467">
        <f t="shared" si="31"/>
        <v>0</v>
      </c>
      <c r="Q268" s="467"/>
      <c r="R268" s="467">
        <f t="shared" si="32"/>
        <v>0</v>
      </c>
      <c r="S268" s="467" t="str">
        <f t="shared" si="33"/>
        <v/>
      </c>
      <c r="T268" s="467"/>
      <c r="W268" s="450"/>
      <c r="X268" s="446"/>
    </row>
    <row r="269" s="440" customFormat="1" ht="15.75" hidden="1" customHeight="1" spans="1:24">
      <c r="A269" s="514"/>
      <c r="B269" s="512"/>
      <c r="C269" s="502"/>
      <c r="D269" s="505"/>
      <c r="E269" s="513"/>
      <c r="F269" s="502"/>
      <c r="G269" s="515"/>
      <c r="H269" s="516"/>
      <c r="I269" s="517"/>
      <c r="J269" s="518"/>
      <c r="K269" s="505"/>
      <c r="L269" s="505"/>
      <c r="M269" s="505"/>
      <c r="N269" s="505">
        <f t="shared" si="30"/>
        <v>0</v>
      </c>
      <c r="O269" s="465">
        <v>8</v>
      </c>
      <c r="P269" s="467">
        <f t="shared" si="31"/>
        <v>0</v>
      </c>
      <c r="Q269" s="467"/>
      <c r="R269" s="467">
        <f t="shared" si="32"/>
        <v>0</v>
      </c>
      <c r="S269" s="467" t="str">
        <f t="shared" si="33"/>
        <v/>
      </c>
      <c r="T269" s="467"/>
      <c r="W269" s="450"/>
      <c r="X269" s="446"/>
    </row>
    <row r="270" s="440" customFormat="1" ht="15.75" hidden="1" customHeight="1" spans="1:24">
      <c r="A270" s="514"/>
      <c r="B270" s="512"/>
      <c r="C270" s="502"/>
      <c r="D270" s="505"/>
      <c r="E270" s="513"/>
      <c r="F270" s="502"/>
      <c r="G270" s="515"/>
      <c r="H270" s="516"/>
      <c r="I270" s="517"/>
      <c r="J270" s="518"/>
      <c r="K270" s="505"/>
      <c r="L270" s="505"/>
      <c r="M270" s="505"/>
      <c r="N270" s="505">
        <f t="shared" si="30"/>
        <v>0</v>
      </c>
      <c r="O270" s="465">
        <v>8</v>
      </c>
      <c r="P270" s="467">
        <f t="shared" si="31"/>
        <v>0</v>
      </c>
      <c r="Q270" s="467"/>
      <c r="R270" s="467">
        <f t="shared" si="32"/>
        <v>0</v>
      </c>
      <c r="S270" s="467" t="str">
        <f t="shared" si="33"/>
        <v/>
      </c>
      <c r="T270" s="467"/>
      <c r="W270" s="450"/>
      <c r="X270" s="446"/>
    </row>
    <row r="271" s="440" customFormat="1" ht="15.75" hidden="1" customHeight="1" spans="1:24">
      <c r="A271" s="514"/>
      <c r="B271" s="512"/>
      <c r="C271" s="502"/>
      <c r="D271" s="505"/>
      <c r="E271" s="513"/>
      <c r="F271" s="502"/>
      <c r="G271" s="515"/>
      <c r="H271" s="516"/>
      <c r="I271" s="517"/>
      <c r="J271" s="518"/>
      <c r="K271" s="505"/>
      <c r="L271" s="505"/>
      <c r="M271" s="505"/>
      <c r="N271" s="505">
        <f t="shared" si="30"/>
        <v>0</v>
      </c>
      <c r="O271" s="465">
        <v>8</v>
      </c>
      <c r="P271" s="467">
        <f t="shared" si="31"/>
        <v>0</v>
      </c>
      <c r="Q271" s="467"/>
      <c r="R271" s="467">
        <f t="shared" si="32"/>
        <v>0</v>
      </c>
      <c r="S271" s="467" t="str">
        <f t="shared" si="33"/>
        <v/>
      </c>
      <c r="T271" s="467"/>
      <c r="W271" s="450"/>
      <c r="X271" s="446"/>
    </row>
    <row r="272" s="440" customFormat="1" ht="15.75" hidden="1" customHeight="1" spans="1:24">
      <c r="A272" s="514"/>
      <c r="B272" s="512"/>
      <c r="C272" s="502"/>
      <c r="D272" s="505"/>
      <c r="E272" s="513"/>
      <c r="F272" s="502"/>
      <c r="G272" s="515"/>
      <c r="H272" s="516"/>
      <c r="I272" s="517"/>
      <c r="J272" s="518"/>
      <c r="K272" s="505"/>
      <c r="L272" s="505"/>
      <c r="M272" s="505"/>
      <c r="N272" s="505">
        <f t="shared" si="30"/>
        <v>0</v>
      </c>
      <c r="O272" s="465">
        <v>8</v>
      </c>
      <c r="P272" s="467">
        <f t="shared" si="31"/>
        <v>0</v>
      </c>
      <c r="Q272" s="467"/>
      <c r="R272" s="467">
        <f t="shared" si="32"/>
        <v>0</v>
      </c>
      <c r="S272" s="467" t="str">
        <f t="shared" si="33"/>
        <v/>
      </c>
      <c r="T272" s="467"/>
      <c r="W272" s="450"/>
      <c r="X272" s="446"/>
    </row>
    <row r="273" s="440" customFormat="1" ht="15.75" hidden="1" customHeight="1" spans="1:24">
      <c r="A273" s="514"/>
      <c r="B273" s="512"/>
      <c r="C273" s="502"/>
      <c r="D273" s="505"/>
      <c r="E273" s="513"/>
      <c r="F273" s="502"/>
      <c r="G273" s="515"/>
      <c r="H273" s="516"/>
      <c r="I273" s="517"/>
      <c r="J273" s="518"/>
      <c r="K273" s="505"/>
      <c r="L273" s="505"/>
      <c r="M273" s="505"/>
      <c r="N273" s="505">
        <f t="shared" si="30"/>
        <v>0</v>
      </c>
      <c r="O273" s="465">
        <v>8</v>
      </c>
      <c r="P273" s="467">
        <f t="shared" si="31"/>
        <v>0</v>
      </c>
      <c r="Q273" s="467"/>
      <c r="R273" s="467">
        <f t="shared" si="32"/>
        <v>0</v>
      </c>
      <c r="S273" s="467" t="str">
        <f t="shared" si="33"/>
        <v/>
      </c>
      <c r="T273" s="467"/>
      <c r="W273" s="450"/>
      <c r="X273" s="446"/>
    </row>
    <row r="274" s="440" customFormat="1" ht="15.75" hidden="1" customHeight="1" spans="1:24">
      <c r="A274" s="514"/>
      <c r="B274" s="512"/>
      <c r="C274" s="502"/>
      <c r="D274" s="505"/>
      <c r="E274" s="513"/>
      <c r="F274" s="502"/>
      <c r="G274" s="515"/>
      <c r="H274" s="516"/>
      <c r="I274" s="517"/>
      <c r="J274" s="518"/>
      <c r="K274" s="505"/>
      <c r="L274" s="505"/>
      <c r="M274" s="505"/>
      <c r="N274" s="505">
        <f t="shared" si="30"/>
        <v>0</v>
      </c>
      <c r="O274" s="465">
        <v>8</v>
      </c>
      <c r="P274" s="467">
        <f t="shared" si="31"/>
        <v>0</v>
      </c>
      <c r="Q274" s="467"/>
      <c r="R274" s="467">
        <f t="shared" si="32"/>
        <v>0</v>
      </c>
      <c r="S274" s="467" t="str">
        <f t="shared" si="33"/>
        <v/>
      </c>
      <c r="T274" s="467"/>
      <c r="W274" s="450"/>
      <c r="X274" s="446"/>
    </row>
    <row r="275" s="440" customFormat="1" ht="15.75" hidden="1" customHeight="1" spans="1:24">
      <c r="A275" s="514"/>
      <c r="B275" s="512"/>
      <c r="C275" s="502"/>
      <c r="D275" s="505"/>
      <c r="E275" s="513"/>
      <c r="F275" s="502"/>
      <c r="G275" s="519"/>
      <c r="H275" s="520"/>
      <c r="I275" s="517"/>
      <c r="J275" s="505"/>
      <c r="K275" s="505"/>
      <c r="L275" s="505"/>
      <c r="M275" s="505"/>
      <c r="N275" s="505">
        <f t="shared" si="30"/>
        <v>0</v>
      </c>
      <c r="O275" s="465">
        <v>8</v>
      </c>
      <c r="P275" s="467">
        <f t="shared" si="31"/>
        <v>0</v>
      </c>
      <c r="Q275" s="467"/>
      <c r="R275" s="467">
        <f t="shared" si="32"/>
        <v>0</v>
      </c>
      <c r="S275" s="467" t="str">
        <f t="shared" si="33"/>
        <v/>
      </c>
      <c r="T275" s="467"/>
      <c r="W275" s="450"/>
      <c r="X275" s="446"/>
    </row>
    <row r="276" s="440" customFormat="1" ht="15.75" hidden="1" customHeight="1" spans="1:24">
      <c r="A276" s="514"/>
      <c r="B276" s="512"/>
      <c r="C276" s="502"/>
      <c r="D276" s="505"/>
      <c r="E276" s="513"/>
      <c r="F276" s="502"/>
      <c r="G276" s="518"/>
      <c r="H276" s="505"/>
      <c r="I276" s="517"/>
      <c r="J276" s="505"/>
      <c r="K276" s="505"/>
      <c r="L276" s="505"/>
      <c r="M276" s="505"/>
      <c r="N276" s="505">
        <f t="shared" si="30"/>
        <v>0</v>
      </c>
      <c r="O276" s="465">
        <v>8</v>
      </c>
      <c r="P276" s="467">
        <f t="shared" si="31"/>
        <v>0</v>
      </c>
      <c r="Q276" s="467"/>
      <c r="R276" s="467">
        <f t="shared" si="32"/>
        <v>0</v>
      </c>
      <c r="S276" s="467" t="str">
        <f t="shared" si="33"/>
        <v/>
      </c>
      <c r="T276" s="467"/>
      <c r="W276" s="450"/>
      <c r="X276" s="446"/>
    </row>
    <row r="277" s="440" customFormat="1" ht="15.75" hidden="1" customHeight="1" spans="1:24">
      <c r="A277" s="514"/>
      <c r="B277" s="512"/>
      <c r="C277" s="502"/>
      <c r="D277" s="505"/>
      <c r="E277" s="513"/>
      <c r="F277" s="502"/>
      <c r="G277" s="518"/>
      <c r="H277" s="505"/>
      <c r="I277" s="517"/>
      <c r="J277" s="505"/>
      <c r="K277" s="505"/>
      <c r="L277" s="505"/>
      <c r="M277" s="505"/>
      <c r="N277" s="505">
        <f t="shared" si="30"/>
        <v>0</v>
      </c>
      <c r="O277" s="465">
        <v>8</v>
      </c>
      <c r="P277" s="467">
        <f t="shared" si="31"/>
        <v>0</v>
      </c>
      <c r="Q277" s="467"/>
      <c r="R277" s="467">
        <f t="shared" si="32"/>
        <v>0</v>
      </c>
      <c r="S277" s="467" t="str">
        <f t="shared" si="33"/>
        <v/>
      </c>
      <c r="T277" s="467"/>
      <c r="W277" s="450"/>
      <c r="X277" s="446"/>
    </row>
    <row r="278" s="440" customFormat="1" ht="15.75" hidden="1" customHeight="1" spans="1:24">
      <c r="A278" s="514"/>
      <c r="B278" s="512"/>
      <c r="C278" s="502"/>
      <c r="D278" s="505"/>
      <c r="E278" s="513"/>
      <c r="F278" s="502"/>
      <c r="G278" s="518"/>
      <c r="H278" s="505"/>
      <c r="I278" s="517"/>
      <c r="J278" s="505"/>
      <c r="K278" s="505"/>
      <c r="L278" s="505"/>
      <c r="M278" s="505"/>
      <c r="N278" s="505">
        <f t="shared" si="30"/>
        <v>0</v>
      </c>
      <c r="O278" s="465">
        <v>8</v>
      </c>
      <c r="P278" s="467">
        <f t="shared" si="31"/>
        <v>0</v>
      </c>
      <c r="Q278" s="467"/>
      <c r="R278" s="467">
        <f t="shared" si="32"/>
        <v>0</v>
      </c>
      <c r="S278" s="467" t="str">
        <f t="shared" si="33"/>
        <v/>
      </c>
      <c r="T278" s="467"/>
      <c r="W278" s="450"/>
      <c r="X278" s="446"/>
    </row>
    <row r="279" s="440" customFormat="1" ht="15.75" hidden="1" customHeight="1" spans="1:24">
      <c r="A279" s="514"/>
      <c r="B279" s="512"/>
      <c r="C279" s="502"/>
      <c r="D279" s="505"/>
      <c r="E279" s="513"/>
      <c r="F279" s="502"/>
      <c r="G279" s="518"/>
      <c r="H279" s="505"/>
      <c r="I279" s="517"/>
      <c r="J279" s="505"/>
      <c r="K279" s="505"/>
      <c r="L279" s="505"/>
      <c r="M279" s="505"/>
      <c r="N279" s="505">
        <f t="shared" si="30"/>
        <v>0</v>
      </c>
      <c r="O279" s="465">
        <v>8</v>
      </c>
      <c r="P279" s="467">
        <f t="shared" si="31"/>
        <v>0</v>
      </c>
      <c r="Q279" s="467"/>
      <c r="R279" s="467">
        <f t="shared" si="32"/>
        <v>0</v>
      </c>
      <c r="S279" s="467" t="str">
        <f t="shared" si="33"/>
        <v/>
      </c>
      <c r="T279" s="467"/>
      <c r="W279" s="450"/>
      <c r="X279" s="446"/>
    </row>
    <row r="280" s="440" customFormat="1" ht="15.75" hidden="1" customHeight="1" spans="1:24">
      <c r="A280" s="514"/>
      <c r="B280" s="512"/>
      <c r="C280" s="502"/>
      <c r="D280" s="505"/>
      <c r="E280" s="513"/>
      <c r="F280" s="502"/>
      <c r="G280" s="518"/>
      <c r="H280" s="505"/>
      <c r="I280" s="517"/>
      <c r="J280" s="505"/>
      <c r="K280" s="505"/>
      <c r="L280" s="505"/>
      <c r="M280" s="505"/>
      <c r="N280" s="505">
        <f t="shared" si="30"/>
        <v>0</v>
      </c>
      <c r="O280" s="465">
        <v>8</v>
      </c>
      <c r="P280" s="467">
        <f t="shared" si="31"/>
        <v>0</v>
      </c>
      <c r="Q280" s="467"/>
      <c r="R280" s="467">
        <f t="shared" si="32"/>
        <v>0</v>
      </c>
      <c r="S280" s="467" t="str">
        <f t="shared" si="33"/>
        <v/>
      </c>
      <c r="T280" s="467"/>
      <c r="W280" s="450"/>
      <c r="X280" s="446"/>
    </row>
    <row r="281" s="440" customFormat="1" ht="15.75" hidden="1" customHeight="1" spans="1:24">
      <c r="A281" s="514"/>
      <c r="B281" s="512"/>
      <c r="C281" s="502"/>
      <c r="D281" s="505"/>
      <c r="E281" s="513"/>
      <c r="F281" s="502"/>
      <c r="G281" s="518"/>
      <c r="H281" s="505"/>
      <c r="I281" s="517"/>
      <c r="J281" s="505"/>
      <c r="K281" s="505"/>
      <c r="L281" s="505"/>
      <c r="M281" s="505"/>
      <c r="N281" s="505">
        <f t="shared" si="30"/>
        <v>0</v>
      </c>
      <c r="O281" s="465">
        <v>8</v>
      </c>
      <c r="P281" s="467">
        <f t="shared" si="31"/>
        <v>0</v>
      </c>
      <c r="Q281" s="467"/>
      <c r="R281" s="467">
        <f t="shared" si="32"/>
        <v>0</v>
      </c>
      <c r="S281" s="467" t="str">
        <f t="shared" si="33"/>
        <v/>
      </c>
      <c r="T281" s="467"/>
      <c r="W281" s="450"/>
      <c r="X281" s="446"/>
    </row>
    <row r="282" s="440" customFormat="1" ht="15.75" hidden="1" customHeight="1" spans="1:24">
      <c r="A282" s="514"/>
      <c r="B282" s="512"/>
      <c r="C282" s="502"/>
      <c r="D282" s="505"/>
      <c r="E282" s="513"/>
      <c r="F282" s="502"/>
      <c r="G282" s="505"/>
      <c r="H282" s="505"/>
      <c r="I282" s="517"/>
      <c r="J282" s="505"/>
      <c r="K282" s="505"/>
      <c r="L282" s="505"/>
      <c r="M282" s="505"/>
      <c r="N282" s="505">
        <f t="shared" si="30"/>
        <v>0</v>
      </c>
      <c r="O282" s="465">
        <v>8</v>
      </c>
      <c r="P282" s="467">
        <f t="shared" si="31"/>
        <v>0</v>
      </c>
      <c r="Q282" s="467"/>
      <c r="R282" s="467">
        <f t="shared" si="32"/>
        <v>0</v>
      </c>
      <c r="S282" s="467" t="str">
        <f t="shared" si="33"/>
        <v/>
      </c>
      <c r="T282" s="467"/>
      <c r="W282" s="450"/>
      <c r="X282" s="446"/>
    </row>
    <row r="283" s="440" customFormat="1" ht="15.75" hidden="1" customHeight="1" spans="1:24">
      <c r="A283" s="514"/>
      <c r="B283" s="512"/>
      <c r="C283" s="502"/>
      <c r="D283" s="505"/>
      <c r="E283" s="513"/>
      <c r="F283" s="502"/>
      <c r="G283" s="505"/>
      <c r="H283" s="505"/>
      <c r="I283" s="517"/>
      <c r="J283" s="505"/>
      <c r="K283" s="505"/>
      <c r="L283" s="505"/>
      <c r="M283" s="505"/>
      <c r="N283" s="505">
        <f t="shared" si="30"/>
        <v>0</v>
      </c>
      <c r="O283" s="465">
        <v>8</v>
      </c>
      <c r="P283" s="467">
        <f t="shared" si="31"/>
        <v>0</v>
      </c>
      <c r="Q283" s="467"/>
      <c r="R283" s="467">
        <f t="shared" si="32"/>
        <v>0</v>
      </c>
      <c r="S283" s="467" t="str">
        <f t="shared" si="33"/>
        <v/>
      </c>
      <c r="T283" s="467"/>
      <c r="W283" s="450"/>
      <c r="X283" s="446"/>
    </row>
    <row r="284" s="440" customFormat="1" ht="15.75" hidden="1" customHeight="1" spans="1:24">
      <c r="A284" s="514"/>
      <c r="B284" s="512"/>
      <c r="C284" s="502"/>
      <c r="D284" s="505"/>
      <c r="E284" s="513"/>
      <c r="F284" s="502"/>
      <c r="G284" s="505"/>
      <c r="H284" s="505"/>
      <c r="I284" s="517"/>
      <c r="J284" s="505"/>
      <c r="K284" s="505"/>
      <c r="L284" s="505"/>
      <c r="M284" s="505"/>
      <c r="N284" s="505">
        <f t="shared" si="30"/>
        <v>0</v>
      </c>
      <c r="O284" s="465">
        <v>8</v>
      </c>
      <c r="P284" s="467">
        <f t="shared" si="31"/>
        <v>0</v>
      </c>
      <c r="Q284" s="467"/>
      <c r="R284" s="467">
        <f t="shared" si="32"/>
        <v>0</v>
      </c>
      <c r="S284" s="467" t="str">
        <f t="shared" si="33"/>
        <v/>
      </c>
      <c r="T284" s="467"/>
      <c r="W284" s="450"/>
      <c r="X284" s="446"/>
    </row>
    <row r="285" s="440" customFormat="1" ht="15.75" hidden="1" customHeight="1" spans="1:24">
      <c r="A285" s="514"/>
      <c r="B285" s="512"/>
      <c r="C285" s="502"/>
      <c r="D285" s="505"/>
      <c r="E285" s="513"/>
      <c r="F285" s="502"/>
      <c r="G285" s="505"/>
      <c r="H285" s="505"/>
      <c r="I285" s="517"/>
      <c r="J285" s="505"/>
      <c r="K285" s="505"/>
      <c r="L285" s="505"/>
      <c r="M285" s="505"/>
      <c r="N285" s="505">
        <f t="shared" si="30"/>
        <v>0</v>
      </c>
      <c r="O285" s="465">
        <v>8</v>
      </c>
      <c r="P285" s="467">
        <f t="shared" si="31"/>
        <v>0</v>
      </c>
      <c r="Q285" s="467"/>
      <c r="R285" s="467">
        <f t="shared" si="32"/>
        <v>0</v>
      </c>
      <c r="S285" s="467" t="str">
        <f t="shared" si="33"/>
        <v/>
      </c>
      <c r="T285" s="467"/>
      <c r="W285" s="450"/>
      <c r="X285" s="446"/>
    </row>
    <row r="286" s="440" customFormat="1" ht="15.75" hidden="1" customHeight="1" spans="1:24">
      <c r="A286" s="514"/>
      <c r="B286" s="512"/>
      <c r="C286" s="502"/>
      <c r="D286" s="505"/>
      <c r="E286" s="513"/>
      <c r="F286" s="502"/>
      <c r="G286" s="505"/>
      <c r="H286" s="505"/>
      <c r="I286" s="517"/>
      <c r="J286" s="505"/>
      <c r="K286" s="505"/>
      <c r="L286" s="505"/>
      <c r="M286" s="505"/>
      <c r="N286" s="505">
        <f t="shared" si="30"/>
        <v>0</v>
      </c>
      <c r="O286" s="465">
        <v>8</v>
      </c>
      <c r="P286" s="467">
        <f t="shared" si="31"/>
        <v>0</v>
      </c>
      <c r="Q286" s="467"/>
      <c r="R286" s="467">
        <f t="shared" si="32"/>
        <v>0</v>
      </c>
      <c r="S286" s="467" t="str">
        <f t="shared" si="33"/>
        <v/>
      </c>
      <c r="T286" s="467"/>
      <c r="W286" s="450"/>
      <c r="X286" s="446"/>
    </row>
    <row r="287" s="440" customFormat="1" ht="15.75" hidden="1" customHeight="1" spans="1:24">
      <c r="A287" s="514"/>
      <c r="B287" s="512"/>
      <c r="C287" s="502"/>
      <c r="D287" s="505"/>
      <c r="E287" s="513"/>
      <c r="F287" s="502"/>
      <c r="G287" s="505"/>
      <c r="H287" s="505"/>
      <c r="I287" s="517"/>
      <c r="J287" s="505"/>
      <c r="K287" s="505"/>
      <c r="L287" s="505"/>
      <c r="M287" s="505"/>
      <c r="N287" s="505">
        <f t="shared" si="30"/>
        <v>0</v>
      </c>
      <c r="O287" s="465">
        <v>8</v>
      </c>
      <c r="P287" s="467">
        <f t="shared" si="31"/>
        <v>0</v>
      </c>
      <c r="Q287" s="467"/>
      <c r="R287" s="467">
        <f t="shared" si="32"/>
        <v>0</v>
      </c>
      <c r="S287" s="467" t="str">
        <f t="shared" si="33"/>
        <v/>
      </c>
      <c r="T287" s="467"/>
      <c r="W287" s="450"/>
      <c r="X287" s="446"/>
    </row>
    <row r="288" s="440" customFormat="1" ht="15.75" hidden="1" customHeight="1" spans="1:24">
      <c r="A288" s="514"/>
      <c r="B288" s="512"/>
      <c r="C288" s="502"/>
      <c r="D288" s="505"/>
      <c r="E288" s="513"/>
      <c r="F288" s="502"/>
      <c r="G288" s="505"/>
      <c r="H288" s="505"/>
      <c r="I288" s="517"/>
      <c r="J288" s="505"/>
      <c r="K288" s="505"/>
      <c r="L288" s="505"/>
      <c r="M288" s="505"/>
      <c r="N288" s="505">
        <f t="shared" si="30"/>
        <v>0</v>
      </c>
      <c r="O288" s="465">
        <v>8</v>
      </c>
      <c r="P288" s="467">
        <f t="shared" si="31"/>
        <v>0</v>
      </c>
      <c r="Q288" s="467"/>
      <c r="R288" s="467">
        <f t="shared" si="32"/>
        <v>0</v>
      </c>
      <c r="S288" s="467" t="str">
        <f t="shared" si="33"/>
        <v/>
      </c>
      <c r="T288" s="467"/>
      <c r="W288" s="450"/>
      <c r="X288" s="446"/>
    </row>
    <row r="289" s="440" customFormat="1" ht="15.75" hidden="1" customHeight="1" spans="1:24">
      <c r="A289" s="514"/>
      <c r="B289" s="512"/>
      <c r="C289" s="502"/>
      <c r="D289" s="505"/>
      <c r="E289" s="513"/>
      <c r="F289" s="502"/>
      <c r="G289" s="505"/>
      <c r="H289" s="505"/>
      <c r="I289" s="517"/>
      <c r="J289" s="505"/>
      <c r="K289" s="505"/>
      <c r="L289" s="505"/>
      <c r="M289" s="505"/>
      <c r="N289" s="505">
        <f t="shared" si="30"/>
        <v>0</v>
      </c>
      <c r="O289" s="465">
        <v>8</v>
      </c>
      <c r="P289" s="467">
        <f t="shared" si="31"/>
        <v>0</v>
      </c>
      <c r="Q289" s="467"/>
      <c r="R289" s="467">
        <f t="shared" si="32"/>
        <v>0</v>
      </c>
      <c r="S289" s="467" t="str">
        <f t="shared" si="33"/>
        <v/>
      </c>
      <c r="T289" s="467"/>
      <c r="W289" s="450"/>
      <c r="X289" s="446"/>
    </row>
    <row r="290" s="440" customFormat="1" ht="15.75" hidden="1" customHeight="1" spans="1:24">
      <c r="A290" s="514"/>
      <c r="B290" s="512"/>
      <c r="C290" s="502"/>
      <c r="D290" s="505"/>
      <c r="E290" s="513"/>
      <c r="F290" s="502"/>
      <c r="G290" s="505"/>
      <c r="H290" s="505"/>
      <c r="I290" s="517"/>
      <c r="J290" s="505"/>
      <c r="K290" s="505"/>
      <c r="L290" s="505"/>
      <c r="M290" s="505"/>
      <c r="N290" s="505">
        <f t="shared" si="30"/>
        <v>0</v>
      </c>
      <c r="O290" s="465">
        <v>8</v>
      </c>
      <c r="P290" s="467">
        <f t="shared" si="31"/>
        <v>0</v>
      </c>
      <c r="Q290" s="467"/>
      <c r="R290" s="467">
        <f t="shared" si="32"/>
        <v>0</v>
      </c>
      <c r="S290" s="467" t="str">
        <f t="shared" si="33"/>
        <v/>
      </c>
      <c r="T290" s="467"/>
      <c r="W290" s="450"/>
      <c r="X290" s="446"/>
    </row>
    <row r="291" s="440" customFormat="1" ht="15.75" hidden="1" customHeight="1" spans="1:24">
      <c r="A291" s="514"/>
      <c r="B291" s="512"/>
      <c r="C291" s="502"/>
      <c r="D291" s="505"/>
      <c r="E291" s="513"/>
      <c r="F291" s="502"/>
      <c r="G291" s="505"/>
      <c r="H291" s="505"/>
      <c r="I291" s="517"/>
      <c r="J291" s="505"/>
      <c r="K291" s="505"/>
      <c r="L291" s="505"/>
      <c r="M291" s="505"/>
      <c r="N291" s="505">
        <f t="shared" si="30"/>
        <v>0</v>
      </c>
      <c r="O291" s="465">
        <v>8</v>
      </c>
      <c r="P291" s="467">
        <f t="shared" si="31"/>
        <v>0</v>
      </c>
      <c r="Q291" s="467"/>
      <c r="R291" s="467">
        <f t="shared" si="32"/>
        <v>0</v>
      </c>
      <c r="S291" s="467" t="str">
        <f t="shared" si="33"/>
        <v/>
      </c>
      <c r="T291" s="467"/>
      <c r="W291" s="450"/>
      <c r="X291" s="446"/>
    </row>
    <row r="292" s="440" customFormat="1" ht="15.75" hidden="1" customHeight="1" spans="1:24">
      <c r="A292" s="514"/>
      <c r="B292" s="512"/>
      <c r="C292" s="502"/>
      <c r="D292" s="505"/>
      <c r="E292" s="513"/>
      <c r="F292" s="502"/>
      <c r="G292" s="505"/>
      <c r="H292" s="505"/>
      <c r="I292" s="505"/>
      <c r="J292" s="505"/>
      <c r="K292" s="505"/>
      <c r="L292" s="505"/>
      <c r="M292" s="505"/>
      <c r="N292" s="505">
        <f t="shared" si="30"/>
        <v>0</v>
      </c>
      <c r="O292" s="465">
        <v>8</v>
      </c>
      <c r="P292" s="467">
        <f t="shared" si="31"/>
        <v>0</v>
      </c>
      <c r="Q292" s="467"/>
      <c r="R292" s="467">
        <f t="shared" si="32"/>
        <v>0</v>
      </c>
      <c r="S292" s="467" t="str">
        <f t="shared" si="33"/>
        <v/>
      </c>
      <c r="T292" s="467"/>
      <c r="W292" s="450"/>
      <c r="X292" s="446"/>
    </row>
    <row r="293" s="440" customFormat="1" ht="15.75" hidden="1" customHeight="1" spans="1:24">
      <c r="A293" s="514"/>
      <c r="B293" s="512"/>
      <c r="C293" s="502"/>
      <c r="D293" s="505"/>
      <c r="E293" s="513"/>
      <c r="F293" s="502"/>
      <c r="G293" s="505"/>
      <c r="H293" s="505"/>
      <c r="I293" s="505"/>
      <c r="J293" s="505"/>
      <c r="K293" s="505"/>
      <c r="L293" s="505"/>
      <c r="M293" s="505"/>
      <c r="N293" s="505">
        <f t="shared" si="30"/>
        <v>0</v>
      </c>
      <c r="O293" s="465">
        <v>8</v>
      </c>
      <c r="P293" s="467">
        <f t="shared" si="31"/>
        <v>0</v>
      </c>
      <c r="Q293" s="467"/>
      <c r="R293" s="467">
        <f t="shared" si="32"/>
        <v>0</v>
      </c>
      <c r="S293" s="467" t="str">
        <f t="shared" si="33"/>
        <v/>
      </c>
      <c r="T293" s="467"/>
      <c r="W293" s="450"/>
      <c r="X293" s="446"/>
    </row>
    <row r="294" s="440" customFormat="1" ht="15.75" hidden="1" customHeight="1" spans="1:24">
      <c r="A294" s="514"/>
      <c r="B294" s="512"/>
      <c r="C294" s="502"/>
      <c r="D294" s="505"/>
      <c r="E294" s="513"/>
      <c r="F294" s="502"/>
      <c r="G294" s="505"/>
      <c r="H294" s="505"/>
      <c r="I294" s="505"/>
      <c r="J294" s="505"/>
      <c r="K294" s="505"/>
      <c r="L294" s="505"/>
      <c r="M294" s="505"/>
      <c r="N294" s="505">
        <f t="shared" si="30"/>
        <v>0</v>
      </c>
      <c r="O294" s="465">
        <v>8</v>
      </c>
      <c r="P294" s="467">
        <f t="shared" si="31"/>
        <v>0</v>
      </c>
      <c r="Q294" s="467"/>
      <c r="R294" s="467">
        <f t="shared" si="32"/>
        <v>0</v>
      </c>
      <c r="S294" s="467" t="str">
        <f t="shared" si="33"/>
        <v/>
      </c>
      <c r="T294" s="467"/>
      <c r="W294" s="450"/>
      <c r="X294" s="446"/>
    </row>
    <row r="295" s="440" customFormat="1" ht="15.75" hidden="1" customHeight="1" spans="1:24">
      <c r="A295" s="514"/>
      <c r="B295" s="512"/>
      <c r="C295" s="502"/>
      <c r="D295" s="505"/>
      <c r="E295" s="513"/>
      <c r="F295" s="502"/>
      <c r="G295" s="505"/>
      <c r="H295" s="505"/>
      <c r="I295" s="505"/>
      <c r="J295" s="505"/>
      <c r="K295" s="505"/>
      <c r="L295" s="505"/>
      <c r="M295" s="505"/>
      <c r="N295" s="505">
        <f t="shared" si="30"/>
        <v>0</v>
      </c>
      <c r="O295" s="465">
        <v>8</v>
      </c>
      <c r="P295" s="467">
        <f t="shared" si="31"/>
        <v>0</v>
      </c>
      <c r="Q295" s="467"/>
      <c r="R295" s="467">
        <f t="shared" si="32"/>
        <v>0</v>
      </c>
      <c r="S295" s="467" t="str">
        <f t="shared" si="33"/>
        <v/>
      </c>
      <c r="T295" s="467"/>
      <c r="W295" s="450"/>
      <c r="X295" s="446"/>
    </row>
    <row r="296" s="440" customFormat="1" ht="15.75" hidden="1" customHeight="1" spans="1:24">
      <c r="A296" s="514"/>
      <c r="B296" s="512"/>
      <c r="C296" s="502"/>
      <c r="D296" s="505"/>
      <c r="E296" s="513"/>
      <c r="F296" s="502"/>
      <c r="G296" s="505"/>
      <c r="H296" s="505"/>
      <c r="I296" s="505"/>
      <c r="J296" s="505"/>
      <c r="K296" s="505"/>
      <c r="L296" s="505"/>
      <c r="M296" s="505"/>
      <c r="N296" s="505">
        <f t="shared" si="30"/>
        <v>0</v>
      </c>
      <c r="O296" s="465">
        <v>8</v>
      </c>
      <c r="P296" s="467">
        <f t="shared" si="31"/>
        <v>0</v>
      </c>
      <c r="Q296" s="467"/>
      <c r="R296" s="467">
        <f t="shared" si="32"/>
        <v>0</v>
      </c>
      <c r="S296" s="467" t="str">
        <f t="shared" si="33"/>
        <v/>
      </c>
      <c r="T296" s="467"/>
      <c r="W296" s="450"/>
      <c r="X296" s="446"/>
    </row>
    <row r="297" s="440" customFormat="1" ht="15.75" hidden="1" customHeight="1" spans="1:24">
      <c r="A297" s="514"/>
      <c r="B297" s="512"/>
      <c r="C297" s="502"/>
      <c r="D297" s="505"/>
      <c r="E297" s="513"/>
      <c r="F297" s="502"/>
      <c r="G297" s="505"/>
      <c r="H297" s="505"/>
      <c r="I297" s="505"/>
      <c r="J297" s="505"/>
      <c r="K297" s="505"/>
      <c r="L297" s="505"/>
      <c r="M297" s="505"/>
      <c r="N297" s="505">
        <f t="shared" si="30"/>
        <v>0</v>
      </c>
      <c r="O297" s="465">
        <v>8</v>
      </c>
      <c r="P297" s="467">
        <f t="shared" si="31"/>
        <v>0</v>
      </c>
      <c r="Q297" s="467"/>
      <c r="R297" s="467">
        <f t="shared" si="32"/>
        <v>0</v>
      </c>
      <c r="S297" s="467" t="str">
        <f t="shared" si="33"/>
        <v/>
      </c>
      <c r="T297" s="467"/>
      <c r="W297" s="450"/>
      <c r="X297" s="446"/>
    </row>
    <row r="298" s="440" customFormat="1" ht="15.75" hidden="1" customHeight="1" spans="1:24">
      <c r="A298" s="514"/>
      <c r="B298" s="512"/>
      <c r="C298" s="502"/>
      <c r="D298" s="505"/>
      <c r="E298" s="513"/>
      <c r="F298" s="502"/>
      <c r="G298" s="505"/>
      <c r="H298" s="505"/>
      <c r="I298" s="505"/>
      <c r="J298" s="505"/>
      <c r="K298" s="505"/>
      <c r="L298" s="505"/>
      <c r="M298" s="505"/>
      <c r="N298" s="505">
        <f t="shared" si="30"/>
        <v>0</v>
      </c>
      <c r="O298" s="465">
        <v>8</v>
      </c>
      <c r="P298" s="467">
        <f t="shared" si="31"/>
        <v>0</v>
      </c>
      <c r="Q298" s="467"/>
      <c r="R298" s="467">
        <f t="shared" si="32"/>
        <v>0</v>
      </c>
      <c r="S298" s="467" t="str">
        <f t="shared" si="33"/>
        <v/>
      </c>
      <c r="T298" s="467"/>
      <c r="W298" s="450"/>
      <c r="X298" s="446"/>
    </row>
    <row r="299" s="440" customFormat="1" ht="15.75" hidden="1" customHeight="1" spans="1:24">
      <c r="A299" s="514"/>
      <c r="B299" s="512"/>
      <c r="C299" s="502"/>
      <c r="D299" s="505"/>
      <c r="E299" s="513"/>
      <c r="F299" s="502"/>
      <c r="G299" s="505"/>
      <c r="H299" s="505"/>
      <c r="I299" s="505"/>
      <c r="J299" s="505"/>
      <c r="K299" s="505"/>
      <c r="L299" s="505"/>
      <c r="M299" s="505"/>
      <c r="N299" s="505">
        <f t="shared" si="30"/>
        <v>0</v>
      </c>
      <c r="O299" s="465">
        <v>8</v>
      </c>
      <c r="P299" s="467">
        <f t="shared" si="31"/>
        <v>0</v>
      </c>
      <c r="Q299" s="467"/>
      <c r="R299" s="467">
        <f t="shared" si="32"/>
        <v>0</v>
      </c>
      <c r="S299" s="467" t="str">
        <f t="shared" si="33"/>
        <v/>
      </c>
      <c r="T299" s="467"/>
      <c r="W299" s="450"/>
      <c r="X299" s="446"/>
    </row>
    <row r="300" s="440" customFormat="1" ht="15.75" hidden="1" customHeight="1" spans="1:24">
      <c r="A300" s="514"/>
      <c r="B300" s="512"/>
      <c r="C300" s="502"/>
      <c r="D300" s="505"/>
      <c r="E300" s="513"/>
      <c r="F300" s="502"/>
      <c r="G300" s="505"/>
      <c r="H300" s="505"/>
      <c r="I300" s="505"/>
      <c r="J300" s="505"/>
      <c r="K300" s="505"/>
      <c r="L300" s="505"/>
      <c r="M300" s="505"/>
      <c r="N300" s="505">
        <f t="shared" si="30"/>
        <v>0</v>
      </c>
      <c r="O300" s="465">
        <v>8</v>
      </c>
      <c r="P300" s="467">
        <f t="shared" si="31"/>
        <v>0</v>
      </c>
      <c r="Q300" s="467"/>
      <c r="R300" s="467">
        <f t="shared" si="32"/>
        <v>0</v>
      </c>
      <c r="S300" s="467" t="str">
        <f t="shared" si="33"/>
        <v/>
      </c>
      <c r="T300" s="467"/>
      <c r="W300" s="450"/>
      <c r="X300" s="446"/>
    </row>
    <row r="301" s="440" customFormat="1" ht="15.75" hidden="1" customHeight="1" spans="1:24">
      <c r="A301" s="514"/>
      <c r="B301" s="512"/>
      <c r="C301" s="502"/>
      <c r="D301" s="505"/>
      <c r="E301" s="513"/>
      <c r="F301" s="502"/>
      <c r="G301" s="505"/>
      <c r="H301" s="505"/>
      <c r="I301" s="505"/>
      <c r="J301" s="505"/>
      <c r="K301" s="505"/>
      <c r="L301" s="505"/>
      <c r="M301" s="505"/>
      <c r="N301" s="505">
        <f t="shared" si="30"/>
        <v>0</v>
      </c>
      <c r="O301" s="465">
        <v>8</v>
      </c>
      <c r="P301" s="467">
        <f t="shared" si="31"/>
        <v>0</v>
      </c>
      <c r="Q301" s="467"/>
      <c r="R301" s="467">
        <f t="shared" si="32"/>
        <v>0</v>
      </c>
      <c r="S301" s="467" t="str">
        <f t="shared" si="33"/>
        <v/>
      </c>
      <c r="T301" s="467"/>
      <c r="W301" s="450"/>
      <c r="X301" s="446"/>
    </row>
    <row r="302" s="440" customFormat="1" ht="15.75" hidden="1" customHeight="1" spans="1:24">
      <c r="A302" s="514"/>
      <c r="B302" s="512"/>
      <c r="C302" s="502"/>
      <c r="D302" s="505"/>
      <c r="E302" s="513"/>
      <c r="F302" s="502"/>
      <c r="G302" s="505"/>
      <c r="H302" s="505"/>
      <c r="I302" s="505"/>
      <c r="J302" s="505"/>
      <c r="K302" s="505"/>
      <c r="L302" s="505"/>
      <c r="M302" s="505"/>
      <c r="N302" s="505">
        <f t="shared" si="30"/>
        <v>0</v>
      </c>
      <c r="O302" s="465">
        <v>8</v>
      </c>
      <c r="P302" s="467">
        <f t="shared" si="31"/>
        <v>0</v>
      </c>
      <c r="Q302" s="467"/>
      <c r="R302" s="467">
        <f t="shared" si="32"/>
        <v>0</v>
      </c>
      <c r="S302" s="467" t="str">
        <f t="shared" si="33"/>
        <v/>
      </c>
      <c r="T302" s="467"/>
      <c r="W302" s="450"/>
      <c r="X302" s="446"/>
    </row>
    <row r="303" s="440" customFormat="1" ht="15.75" hidden="1" customHeight="1" spans="1:24">
      <c r="A303" s="514"/>
      <c r="B303" s="512"/>
      <c r="C303" s="502"/>
      <c r="D303" s="505"/>
      <c r="E303" s="513"/>
      <c r="F303" s="502"/>
      <c r="G303" s="505"/>
      <c r="H303" s="505"/>
      <c r="I303" s="505"/>
      <c r="J303" s="505"/>
      <c r="K303" s="505"/>
      <c r="L303" s="505"/>
      <c r="M303" s="505"/>
      <c r="N303" s="505">
        <f t="shared" si="30"/>
        <v>0</v>
      </c>
      <c r="O303" s="465">
        <v>8</v>
      </c>
      <c r="P303" s="467">
        <f t="shared" si="31"/>
        <v>0</v>
      </c>
      <c r="Q303" s="467"/>
      <c r="R303" s="467">
        <f t="shared" si="32"/>
        <v>0</v>
      </c>
      <c r="S303" s="467" t="str">
        <f t="shared" si="33"/>
        <v/>
      </c>
      <c r="T303" s="467"/>
      <c r="W303" s="450"/>
      <c r="X303" s="446"/>
    </row>
    <row r="304" s="440" customFormat="1" ht="15.75" hidden="1" customHeight="1" spans="1:24">
      <c r="A304" s="514"/>
      <c r="B304" s="512"/>
      <c r="C304" s="502"/>
      <c r="D304" s="505"/>
      <c r="E304" s="513"/>
      <c r="F304" s="502"/>
      <c r="G304" s="505"/>
      <c r="H304" s="505"/>
      <c r="I304" s="505"/>
      <c r="J304" s="505"/>
      <c r="K304" s="505"/>
      <c r="L304" s="505"/>
      <c r="M304" s="505"/>
      <c r="N304" s="505">
        <f t="shared" si="30"/>
        <v>0</v>
      </c>
      <c r="O304" s="465">
        <v>8</v>
      </c>
      <c r="P304" s="467">
        <f t="shared" si="31"/>
        <v>0</v>
      </c>
      <c r="Q304" s="467"/>
      <c r="R304" s="467">
        <f t="shared" si="32"/>
        <v>0</v>
      </c>
      <c r="S304" s="467" t="str">
        <f t="shared" si="33"/>
        <v/>
      </c>
      <c r="T304" s="467"/>
      <c r="W304" s="450"/>
      <c r="X304" s="446"/>
    </row>
    <row r="305" s="440" customFormat="1" ht="15.75" hidden="1" customHeight="1" spans="1:24">
      <c r="A305" s="514"/>
      <c r="B305" s="512"/>
      <c r="C305" s="502"/>
      <c r="D305" s="505"/>
      <c r="E305" s="513"/>
      <c r="F305" s="502"/>
      <c r="G305" s="505"/>
      <c r="H305" s="505"/>
      <c r="I305" s="505"/>
      <c r="J305" s="505"/>
      <c r="K305" s="505"/>
      <c r="L305" s="505"/>
      <c r="M305" s="505"/>
      <c r="N305" s="505">
        <f t="shared" si="30"/>
        <v>0</v>
      </c>
      <c r="O305" s="465">
        <v>8</v>
      </c>
      <c r="P305" s="467">
        <f t="shared" si="31"/>
        <v>0</v>
      </c>
      <c r="Q305" s="467"/>
      <c r="R305" s="467">
        <f t="shared" si="32"/>
        <v>0</v>
      </c>
      <c r="S305" s="467" t="str">
        <f t="shared" si="33"/>
        <v/>
      </c>
      <c r="T305" s="467"/>
      <c r="W305" s="450"/>
      <c r="X305" s="446"/>
    </row>
    <row r="306" s="440" customFormat="1" ht="15.75" hidden="1" customHeight="1" spans="1:24">
      <c r="A306" s="514"/>
      <c r="B306" s="512"/>
      <c r="C306" s="502"/>
      <c r="D306" s="505"/>
      <c r="E306" s="513"/>
      <c r="F306" s="502"/>
      <c r="G306" s="505"/>
      <c r="H306" s="505"/>
      <c r="I306" s="505"/>
      <c r="J306" s="505"/>
      <c r="K306" s="505"/>
      <c r="L306" s="505"/>
      <c r="M306" s="505"/>
      <c r="N306" s="505">
        <f t="shared" si="30"/>
        <v>0</v>
      </c>
      <c r="O306" s="465">
        <v>8</v>
      </c>
      <c r="P306" s="467">
        <f t="shared" si="31"/>
        <v>0</v>
      </c>
      <c r="Q306" s="467"/>
      <c r="R306" s="467">
        <f t="shared" si="32"/>
        <v>0</v>
      </c>
      <c r="S306" s="467" t="str">
        <f t="shared" si="33"/>
        <v/>
      </c>
      <c r="T306" s="467"/>
      <c r="W306" s="450"/>
      <c r="X306" s="446"/>
    </row>
    <row r="307" s="440" customFormat="1" ht="15.75" hidden="1" customHeight="1" spans="1:24">
      <c r="A307" s="514"/>
      <c r="B307" s="512"/>
      <c r="C307" s="502"/>
      <c r="D307" s="505"/>
      <c r="E307" s="513"/>
      <c r="F307" s="502"/>
      <c r="G307" s="505"/>
      <c r="H307" s="505"/>
      <c r="I307" s="505"/>
      <c r="J307" s="505"/>
      <c r="K307" s="505"/>
      <c r="L307" s="505"/>
      <c r="M307" s="505"/>
      <c r="N307" s="505">
        <f t="shared" si="30"/>
        <v>0</v>
      </c>
      <c r="O307" s="465">
        <v>8</v>
      </c>
      <c r="P307" s="467">
        <f t="shared" si="31"/>
        <v>0</v>
      </c>
      <c r="Q307" s="467"/>
      <c r="R307" s="467">
        <f t="shared" si="32"/>
        <v>0</v>
      </c>
      <c r="S307" s="467" t="str">
        <f t="shared" si="33"/>
        <v/>
      </c>
      <c r="T307" s="467"/>
      <c r="W307" s="450"/>
      <c r="X307" s="446"/>
    </row>
    <row r="308" s="440" customFormat="1" ht="15.75" hidden="1" customHeight="1" spans="1:24">
      <c r="A308" s="514"/>
      <c r="B308" s="512"/>
      <c r="C308" s="502"/>
      <c r="D308" s="505"/>
      <c r="E308" s="513"/>
      <c r="F308" s="502"/>
      <c r="G308" s="505"/>
      <c r="H308" s="505"/>
      <c r="I308" s="505"/>
      <c r="J308" s="505"/>
      <c r="K308" s="505"/>
      <c r="L308" s="505"/>
      <c r="M308" s="505"/>
      <c r="N308" s="505">
        <f t="shared" si="30"/>
        <v>0</v>
      </c>
      <c r="O308" s="465">
        <v>8</v>
      </c>
      <c r="P308" s="467">
        <f t="shared" si="31"/>
        <v>0</v>
      </c>
      <c r="Q308" s="467"/>
      <c r="R308" s="467">
        <f t="shared" si="32"/>
        <v>0</v>
      </c>
      <c r="S308" s="467" t="str">
        <f t="shared" si="33"/>
        <v/>
      </c>
      <c r="T308" s="467"/>
      <c r="W308" s="450"/>
      <c r="X308" s="446"/>
    </row>
    <row r="309" s="440" customFormat="1" ht="15.75" hidden="1" customHeight="1" spans="1:24">
      <c r="A309" s="514"/>
      <c r="B309" s="512"/>
      <c r="C309" s="502"/>
      <c r="D309" s="505"/>
      <c r="E309" s="513"/>
      <c r="F309" s="502"/>
      <c r="G309" s="505"/>
      <c r="H309" s="505"/>
      <c r="I309" s="505"/>
      <c r="J309" s="505"/>
      <c r="K309" s="505"/>
      <c r="L309" s="505"/>
      <c r="M309" s="505"/>
      <c r="N309" s="505">
        <f t="shared" si="30"/>
        <v>0</v>
      </c>
      <c r="O309" s="465">
        <v>8</v>
      </c>
      <c r="P309" s="467">
        <f t="shared" si="31"/>
        <v>0</v>
      </c>
      <c r="Q309" s="467"/>
      <c r="R309" s="467">
        <f t="shared" si="32"/>
        <v>0</v>
      </c>
      <c r="S309" s="467" t="str">
        <f t="shared" si="33"/>
        <v/>
      </c>
      <c r="T309" s="467"/>
      <c r="W309" s="450"/>
      <c r="X309" s="446"/>
    </row>
    <row r="310" s="440" customFormat="1" ht="15.75" hidden="1" customHeight="1" spans="1:24">
      <c r="A310" s="514"/>
      <c r="B310" s="512"/>
      <c r="C310" s="502"/>
      <c r="D310" s="505"/>
      <c r="E310" s="513"/>
      <c r="F310" s="502"/>
      <c r="G310" s="505"/>
      <c r="H310" s="505"/>
      <c r="I310" s="505"/>
      <c r="J310" s="505"/>
      <c r="K310" s="505"/>
      <c r="L310" s="505"/>
      <c r="M310" s="505"/>
      <c r="N310" s="505">
        <f t="shared" si="30"/>
        <v>0</v>
      </c>
      <c r="O310" s="465">
        <v>8</v>
      </c>
      <c r="P310" s="467">
        <f t="shared" si="31"/>
        <v>0</v>
      </c>
      <c r="Q310" s="467"/>
      <c r="R310" s="467">
        <f t="shared" si="32"/>
        <v>0</v>
      </c>
      <c r="S310" s="467" t="str">
        <f t="shared" si="33"/>
        <v/>
      </c>
      <c r="T310" s="467"/>
      <c r="W310" s="450"/>
      <c r="X310" s="446"/>
    </row>
    <row r="311" s="440" customFormat="1" ht="15.75" hidden="1" customHeight="1" spans="1:24">
      <c r="A311" s="514"/>
      <c r="B311" s="512"/>
      <c r="C311" s="502"/>
      <c r="D311" s="505"/>
      <c r="E311" s="513"/>
      <c r="F311" s="502"/>
      <c r="G311" s="505"/>
      <c r="H311" s="505"/>
      <c r="I311" s="505"/>
      <c r="J311" s="505"/>
      <c r="K311" s="505"/>
      <c r="L311" s="505"/>
      <c r="M311" s="505"/>
      <c r="N311" s="505">
        <f t="shared" si="30"/>
        <v>0</v>
      </c>
      <c r="O311" s="465">
        <v>8</v>
      </c>
      <c r="P311" s="467">
        <f t="shared" si="31"/>
        <v>0</v>
      </c>
      <c r="Q311" s="467"/>
      <c r="R311" s="467">
        <f t="shared" si="32"/>
        <v>0</v>
      </c>
      <c r="S311" s="467" t="str">
        <f t="shared" si="33"/>
        <v/>
      </c>
      <c r="T311" s="467"/>
      <c r="W311" s="450"/>
      <c r="X311" s="446"/>
    </row>
    <row r="312" s="440" customFormat="1" ht="15.75" hidden="1" customHeight="1" spans="1:24">
      <c r="A312" s="514"/>
      <c r="B312" s="512"/>
      <c r="C312" s="502"/>
      <c r="D312" s="505"/>
      <c r="E312" s="513"/>
      <c r="F312" s="502"/>
      <c r="G312" s="505"/>
      <c r="H312" s="505"/>
      <c r="I312" s="505"/>
      <c r="J312" s="505"/>
      <c r="K312" s="505"/>
      <c r="L312" s="505"/>
      <c r="M312" s="505"/>
      <c r="N312" s="505">
        <f t="shared" si="30"/>
        <v>0</v>
      </c>
      <c r="O312" s="465">
        <v>8</v>
      </c>
      <c r="P312" s="467">
        <f t="shared" si="31"/>
        <v>0</v>
      </c>
      <c r="Q312" s="467"/>
      <c r="R312" s="467">
        <f t="shared" si="32"/>
        <v>0</v>
      </c>
      <c r="S312" s="467" t="str">
        <f t="shared" si="33"/>
        <v/>
      </c>
      <c r="T312" s="467"/>
      <c r="W312" s="450"/>
      <c r="X312" s="446"/>
    </row>
    <row r="313" s="440" customFormat="1" ht="15.75" hidden="1" customHeight="1" spans="1:24">
      <c r="A313" s="514"/>
      <c r="B313" s="512"/>
      <c r="C313" s="502"/>
      <c r="D313" s="505"/>
      <c r="E313" s="513"/>
      <c r="F313" s="502"/>
      <c r="G313" s="505"/>
      <c r="H313" s="505"/>
      <c r="I313" s="505"/>
      <c r="J313" s="505"/>
      <c r="K313" s="505"/>
      <c r="L313" s="505"/>
      <c r="M313" s="505"/>
      <c r="N313" s="505">
        <f t="shared" si="30"/>
        <v>0</v>
      </c>
      <c r="O313" s="465">
        <v>8</v>
      </c>
      <c r="P313" s="467">
        <f t="shared" si="31"/>
        <v>0</v>
      </c>
      <c r="Q313" s="467"/>
      <c r="R313" s="467">
        <f t="shared" si="32"/>
        <v>0</v>
      </c>
      <c r="S313" s="467" t="str">
        <f t="shared" si="33"/>
        <v/>
      </c>
      <c r="T313" s="467"/>
      <c r="W313" s="450"/>
      <c r="X313" s="446"/>
    </row>
    <row r="314" s="440" customFormat="1" ht="15.75" hidden="1" customHeight="1" spans="1:24">
      <c r="A314" s="514"/>
      <c r="B314" s="512"/>
      <c r="C314" s="502"/>
      <c r="D314" s="505"/>
      <c r="E314" s="513"/>
      <c r="F314" s="502"/>
      <c r="G314" s="505"/>
      <c r="H314" s="505"/>
      <c r="I314" s="505"/>
      <c r="J314" s="505"/>
      <c r="K314" s="505"/>
      <c r="L314" s="505"/>
      <c r="M314" s="505"/>
      <c r="N314" s="505">
        <f t="shared" si="30"/>
        <v>0</v>
      </c>
      <c r="O314" s="465">
        <v>8</v>
      </c>
      <c r="P314" s="467">
        <f t="shared" si="31"/>
        <v>0</v>
      </c>
      <c r="Q314" s="467"/>
      <c r="R314" s="467">
        <f t="shared" si="32"/>
        <v>0</v>
      </c>
      <c r="S314" s="467" t="str">
        <f t="shared" si="33"/>
        <v/>
      </c>
      <c r="T314" s="467"/>
      <c r="W314" s="450"/>
      <c r="X314" s="446"/>
    </row>
    <row r="315" s="440" customFormat="1" ht="15.75" hidden="1" customHeight="1" spans="1:24">
      <c r="A315" s="514"/>
      <c r="B315" s="512"/>
      <c r="C315" s="502"/>
      <c r="D315" s="505"/>
      <c r="E315" s="513"/>
      <c r="F315" s="502"/>
      <c r="G315" s="505"/>
      <c r="H315" s="505"/>
      <c r="I315" s="505"/>
      <c r="J315" s="505"/>
      <c r="K315" s="505"/>
      <c r="L315" s="505"/>
      <c r="M315" s="505"/>
      <c r="N315" s="505">
        <f t="shared" si="30"/>
        <v>0</v>
      </c>
      <c r="O315" s="465">
        <v>8</v>
      </c>
      <c r="P315" s="467">
        <f t="shared" si="31"/>
        <v>0</v>
      </c>
      <c r="Q315" s="467"/>
      <c r="R315" s="467">
        <f t="shared" si="32"/>
        <v>0</v>
      </c>
      <c r="S315" s="467" t="str">
        <f t="shared" si="33"/>
        <v/>
      </c>
      <c r="T315" s="467"/>
      <c r="W315" s="450"/>
      <c r="X315" s="446"/>
    </row>
    <row r="316" s="440" customFormat="1" ht="15.75" hidden="1" customHeight="1" spans="1:24">
      <c r="A316" s="514"/>
      <c r="B316" s="512"/>
      <c r="C316" s="502"/>
      <c r="D316" s="505"/>
      <c r="E316" s="513"/>
      <c r="F316" s="502"/>
      <c r="G316" s="505"/>
      <c r="H316" s="505"/>
      <c r="I316" s="505"/>
      <c r="J316" s="505"/>
      <c r="K316" s="505"/>
      <c r="L316" s="505"/>
      <c r="M316" s="505"/>
      <c r="N316" s="505">
        <f t="shared" si="30"/>
        <v>0</v>
      </c>
      <c r="O316" s="465">
        <v>8</v>
      </c>
      <c r="P316" s="467">
        <f t="shared" si="31"/>
        <v>0</v>
      </c>
      <c r="Q316" s="467"/>
      <c r="R316" s="467">
        <f t="shared" si="32"/>
        <v>0</v>
      </c>
      <c r="S316" s="467" t="str">
        <f t="shared" si="33"/>
        <v/>
      </c>
      <c r="T316" s="467"/>
      <c r="W316" s="450"/>
      <c r="X316" s="446"/>
    </row>
    <row r="317" s="440" customFormat="1" ht="15.75" hidden="1" customHeight="1" spans="1:24">
      <c r="A317" s="514"/>
      <c r="B317" s="512"/>
      <c r="C317" s="502"/>
      <c r="D317" s="505"/>
      <c r="E317" s="513"/>
      <c r="F317" s="502"/>
      <c r="G317" s="505"/>
      <c r="H317" s="505"/>
      <c r="I317" s="505"/>
      <c r="J317" s="505"/>
      <c r="K317" s="505"/>
      <c r="L317" s="505"/>
      <c r="M317" s="505"/>
      <c r="N317" s="505">
        <f t="shared" si="30"/>
        <v>0</v>
      </c>
      <c r="O317" s="465">
        <v>8</v>
      </c>
      <c r="P317" s="467">
        <f t="shared" si="31"/>
        <v>0</v>
      </c>
      <c r="Q317" s="467"/>
      <c r="R317" s="467">
        <f t="shared" si="32"/>
        <v>0</v>
      </c>
      <c r="S317" s="467" t="str">
        <f t="shared" si="33"/>
        <v/>
      </c>
      <c r="T317" s="467"/>
      <c r="W317" s="450"/>
      <c r="X317" s="446"/>
    </row>
    <row r="318" s="440" customFormat="1" ht="15.75" hidden="1" customHeight="1" spans="1:24">
      <c r="A318" s="514"/>
      <c r="B318" s="512"/>
      <c r="C318" s="502"/>
      <c r="D318" s="505"/>
      <c r="E318" s="513"/>
      <c r="F318" s="502"/>
      <c r="G318" s="505"/>
      <c r="H318" s="505"/>
      <c r="I318" s="505"/>
      <c r="J318" s="505"/>
      <c r="K318" s="505"/>
      <c r="L318" s="505"/>
      <c r="M318" s="505"/>
      <c r="N318" s="505">
        <f t="shared" si="30"/>
        <v>0</v>
      </c>
      <c r="O318" s="465">
        <v>8</v>
      </c>
      <c r="P318" s="467">
        <f t="shared" si="31"/>
        <v>0</v>
      </c>
      <c r="Q318" s="467"/>
      <c r="R318" s="467">
        <f t="shared" si="32"/>
        <v>0</v>
      </c>
      <c r="S318" s="467" t="str">
        <f t="shared" si="33"/>
        <v/>
      </c>
      <c r="T318" s="467"/>
      <c r="W318" s="450"/>
      <c r="X318" s="446"/>
    </row>
    <row r="319" s="440" customFormat="1" ht="15.75" hidden="1" customHeight="1" spans="1:24">
      <c r="A319" s="514"/>
      <c r="B319" s="512"/>
      <c r="C319" s="502"/>
      <c r="D319" s="505"/>
      <c r="E319" s="513"/>
      <c r="F319" s="502"/>
      <c r="G319" s="505"/>
      <c r="H319" s="505"/>
      <c r="I319" s="505"/>
      <c r="J319" s="505"/>
      <c r="K319" s="505"/>
      <c r="L319" s="505"/>
      <c r="M319" s="505"/>
      <c r="N319" s="505">
        <f t="shared" ref="N319:N382" si="34">SUMPRODUCT($G$2:$M$2,G319:M319)</f>
        <v>0</v>
      </c>
      <c r="O319" s="465">
        <v>8</v>
      </c>
      <c r="P319" s="467">
        <f t="shared" ref="P319:P382" si="35">IFERROR(IF((N319*E319-O319*E319)&lt;0,0,(N319*E319-O319*E319)),"")</f>
        <v>0</v>
      </c>
      <c r="Q319" s="467"/>
      <c r="R319" s="467">
        <f t="shared" ref="R319:R382" si="36">IF(Q319="",0,Q319*5)</f>
        <v>0</v>
      </c>
      <c r="S319" s="467" t="str">
        <f t="shared" ref="S319:S382" si="37">IF(B319="","",P319+R319)</f>
        <v/>
      </c>
      <c r="T319" s="467"/>
      <c r="W319" s="450"/>
      <c r="X319" s="446"/>
    </row>
    <row r="320" s="440" customFormat="1" ht="15.75" hidden="1" customHeight="1" spans="1:24">
      <c r="A320" s="514"/>
      <c r="B320" s="512"/>
      <c r="C320" s="502"/>
      <c r="D320" s="505"/>
      <c r="E320" s="513"/>
      <c r="F320" s="502"/>
      <c r="G320" s="505"/>
      <c r="H320" s="505"/>
      <c r="I320" s="505"/>
      <c r="J320" s="505"/>
      <c r="K320" s="505"/>
      <c r="L320" s="505"/>
      <c r="M320" s="505"/>
      <c r="N320" s="505">
        <f t="shared" si="34"/>
        <v>0</v>
      </c>
      <c r="O320" s="465">
        <v>8</v>
      </c>
      <c r="P320" s="467">
        <f t="shared" si="35"/>
        <v>0</v>
      </c>
      <c r="Q320" s="467"/>
      <c r="R320" s="467">
        <f t="shared" si="36"/>
        <v>0</v>
      </c>
      <c r="S320" s="467" t="str">
        <f t="shared" si="37"/>
        <v/>
      </c>
      <c r="T320" s="467"/>
      <c r="W320" s="450"/>
      <c r="X320" s="446"/>
    </row>
    <row r="321" s="440" customFormat="1" ht="15.75" hidden="1" customHeight="1" spans="1:24">
      <c r="A321" s="514"/>
      <c r="B321" s="512"/>
      <c r="C321" s="502"/>
      <c r="D321" s="505"/>
      <c r="E321" s="513"/>
      <c r="F321" s="502"/>
      <c r="G321" s="505"/>
      <c r="H321" s="505"/>
      <c r="I321" s="505"/>
      <c r="J321" s="505"/>
      <c r="K321" s="505"/>
      <c r="L321" s="505"/>
      <c r="M321" s="505"/>
      <c r="N321" s="505">
        <f t="shared" si="34"/>
        <v>0</v>
      </c>
      <c r="O321" s="465">
        <v>8</v>
      </c>
      <c r="P321" s="467">
        <f t="shared" si="35"/>
        <v>0</v>
      </c>
      <c r="Q321" s="467"/>
      <c r="R321" s="467">
        <f t="shared" si="36"/>
        <v>0</v>
      </c>
      <c r="S321" s="467" t="str">
        <f t="shared" si="37"/>
        <v/>
      </c>
      <c r="T321" s="467"/>
      <c r="W321" s="450"/>
      <c r="X321" s="446"/>
    </row>
    <row r="322" s="440" customFormat="1" ht="15.75" hidden="1" customHeight="1" spans="1:24">
      <c r="A322" s="514"/>
      <c r="B322" s="512"/>
      <c r="C322" s="502"/>
      <c r="D322" s="505"/>
      <c r="E322" s="513"/>
      <c r="F322" s="502"/>
      <c r="G322" s="505"/>
      <c r="H322" s="505"/>
      <c r="I322" s="505"/>
      <c r="J322" s="505"/>
      <c r="K322" s="505"/>
      <c r="L322" s="505"/>
      <c r="M322" s="505"/>
      <c r="N322" s="505">
        <f t="shared" si="34"/>
        <v>0</v>
      </c>
      <c r="O322" s="465">
        <v>8</v>
      </c>
      <c r="P322" s="467">
        <f t="shared" si="35"/>
        <v>0</v>
      </c>
      <c r="Q322" s="467"/>
      <c r="R322" s="467">
        <f t="shared" si="36"/>
        <v>0</v>
      </c>
      <c r="S322" s="467" t="str">
        <f t="shared" si="37"/>
        <v/>
      </c>
      <c r="T322" s="467"/>
      <c r="W322" s="450"/>
      <c r="X322" s="446"/>
    </row>
    <row r="323" s="440" customFormat="1" ht="15.75" hidden="1" customHeight="1" spans="1:24">
      <c r="A323" s="514"/>
      <c r="B323" s="512"/>
      <c r="C323" s="502"/>
      <c r="D323" s="505"/>
      <c r="E323" s="513"/>
      <c r="F323" s="502"/>
      <c r="G323" s="505"/>
      <c r="H323" s="505"/>
      <c r="I323" s="505"/>
      <c r="J323" s="505"/>
      <c r="K323" s="505"/>
      <c r="L323" s="505"/>
      <c r="M323" s="505"/>
      <c r="N323" s="505">
        <f t="shared" si="34"/>
        <v>0</v>
      </c>
      <c r="O323" s="465">
        <v>8</v>
      </c>
      <c r="P323" s="467">
        <f t="shared" si="35"/>
        <v>0</v>
      </c>
      <c r="Q323" s="467"/>
      <c r="R323" s="467">
        <f t="shared" si="36"/>
        <v>0</v>
      </c>
      <c r="S323" s="467" t="str">
        <f t="shared" si="37"/>
        <v/>
      </c>
      <c r="T323" s="467"/>
      <c r="W323" s="450"/>
      <c r="X323" s="446"/>
    </row>
    <row r="324" s="440" customFormat="1" ht="15.75" hidden="1" customHeight="1" spans="1:24">
      <c r="A324" s="514"/>
      <c r="B324" s="512"/>
      <c r="C324" s="502"/>
      <c r="D324" s="505"/>
      <c r="E324" s="513"/>
      <c r="F324" s="502"/>
      <c r="G324" s="505"/>
      <c r="H324" s="505"/>
      <c r="I324" s="505"/>
      <c r="J324" s="505"/>
      <c r="K324" s="505"/>
      <c r="L324" s="505"/>
      <c r="M324" s="505"/>
      <c r="N324" s="505">
        <f t="shared" si="34"/>
        <v>0</v>
      </c>
      <c r="O324" s="465">
        <v>8</v>
      </c>
      <c r="P324" s="467">
        <f t="shared" si="35"/>
        <v>0</v>
      </c>
      <c r="Q324" s="467"/>
      <c r="R324" s="467">
        <f t="shared" si="36"/>
        <v>0</v>
      </c>
      <c r="S324" s="467" t="str">
        <f t="shared" si="37"/>
        <v/>
      </c>
      <c r="T324" s="467"/>
      <c r="W324" s="450"/>
      <c r="X324" s="446"/>
    </row>
    <row r="325" s="440" customFormat="1" ht="15.75" hidden="1" customHeight="1" spans="1:24">
      <c r="A325" s="514"/>
      <c r="B325" s="512"/>
      <c r="C325" s="502"/>
      <c r="D325" s="505"/>
      <c r="E325" s="513"/>
      <c r="F325" s="502"/>
      <c r="G325" s="505"/>
      <c r="H325" s="505"/>
      <c r="I325" s="505"/>
      <c r="J325" s="505"/>
      <c r="K325" s="505"/>
      <c r="L325" s="505"/>
      <c r="M325" s="505"/>
      <c r="N325" s="505">
        <f t="shared" si="34"/>
        <v>0</v>
      </c>
      <c r="O325" s="465">
        <v>8</v>
      </c>
      <c r="P325" s="467">
        <f t="shared" si="35"/>
        <v>0</v>
      </c>
      <c r="Q325" s="467"/>
      <c r="R325" s="467">
        <f t="shared" si="36"/>
        <v>0</v>
      </c>
      <c r="S325" s="467" t="str">
        <f t="shared" si="37"/>
        <v/>
      </c>
      <c r="T325" s="467"/>
      <c r="W325" s="450"/>
      <c r="X325" s="446"/>
    </row>
    <row r="326" s="440" customFormat="1" ht="15.75" hidden="1" customHeight="1" spans="1:24">
      <c r="A326" s="514"/>
      <c r="B326" s="512"/>
      <c r="C326" s="502"/>
      <c r="D326" s="505"/>
      <c r="E326" s="513"/>
      <c r="F326" s="502"/>
      <c r="G326" s="505"/>
      <c r="H326" s="505"/>
      <c r="I326" s="505"/>
      <c r="J326" s="505"/>
      <c r="K326" s="505"/>
      <c r="L326" s="505"/>
      <c r="M326" s="505"/>
      <c r="N326" s="505">
        <f t="shared" si="34"/>
        <v>0</v>
      </c>
      <c r="O326" s="465">
        <v>8</v>
      </c>
      <c r="P326" s="467">
        <f t="shared" si="35"/>
        <v>0</v>
      </c>
      <c r="Q326" s="467"/>
      <c r="R326" s="467">
        <f t="shared" si="36"/>
        <v>0</v>
      </c>
      <c r="S326" s="467" t="str">
        <f t="shared" si="37"/>
        <v/>
      </c>
      <c r="T326" s="467"/>
      <c r="W326" s="450"/>
      <c r="X326" s="446"/>
    </row>
    <row r="327" s="440" customFormat="1" ht="15.75" hidden="1" customHeight="1" spans="1:24">
      <c r="A327" s="514"/>
      <c r="B327" s="512"/>
      <c r="C327" s="502"/>
      <c r="D327" s="505"/>
      <c r="E327" s="513"/>
      <c r="F327" s="502"/>
      <c r="G327" s="505"/>
      <c r="H327" s="505"/>
      <c r="I327" s="505"/>
      <c r="J327" s="505"/>
      <c r="K327" s="505"/>
      <c r="L327" s="505"/>
      <c r="M327" s="505"/>
      <c r="N327" s="505">
        <f t="shared" si="34"/>
        <v>0</v>
      </c>
      <c r="O327" s="465">
        <v>8</v>
      </c>
      <c r="P327" s="467">
        <f t="shared" si="35"/>
        <v>0</v>
      </c>
      <c r="Q327" s="467"/>
      <c r="R327" s="467">
        <f t="shared" si="36"/>
        <v>0</v>
      </c>
      <c r="S327" s="467" t="str">
        <f t="shared" si="37"/>
        <v/>
      </c>
      <c r="T327" s="467"/>
      <c r="W327" s="450"/>
      <c r="X327" s="446"/>
    </row>
    <row r="328" s="440" customFormat="1" ht="15.75" hidden="1" customHeight="1" spans="1:24">
      <c r="A328" s="514"/>
      <c r="B328" s="512"/>
      <c r="C328" s="502"/>
      <c r="D328" s="505"/>
      <c r="E328" s="513"/>
      <c r="F328" s="502"/>
      <c r="G328" s="505"/>
      <c r="H328" s="505"/>
      <c r="I328" s="505"/>
      <c r="J328" s="505"/>
      <c r="K328" s="505"/>
      <c r="L328" s="505"/>
      <c r="M328" s="505"/>
      <c r="N328" s="505">
        <f t="shared" si="34"/>
        <v>0</v>
      </c>
      <c r="O328" s="465">
        <v>8</v>
      </c>
      <c r="P328" s="467">
        <f t="shared" si="35"/>
        <v>0</v>
      </c>
      <c r="Q328" s="467"/>
      <c r="R328" s="467">
        <f t="shared" si="36"/>
        <v>0</v>
      </c>
      <c r="S328" s="467" t="str">
        <f t="shared" si="37"/>
        <v/>
      </c>
      <c r="T328" s="467"/>
      <c r="W328" s="450"/>
      <c r="X328" s="446"/>
    </row>
    <row r="329" s="440" customFormat="1" ht="15.75" hidden="1" customHeight="1" spans="1:24">
      <c r="A329" s="514"/>
      <c r="B329" s="512"/>
      <c r="C329" s="502"/>
      <c r="D329" s="505"/>
      <c r="E329" s="513"/>
      <c r="F329" s="502"/>
      <c r="G329" s="505"/>
      <c r="H329" s="505"/>
      <c r="I329" s="505"/>
      <c r="J329" s="505"/>
      <c r="K329" s="505"/>
      <c r="L329" s="505"/>
      <c r="M329" s="505"/>
      <c r="N329" s="505">
        <f t="shared" si="34"/>
        <v>0</v>
      </c>
      <c r="O329" s="465">
        <v>8</v>
      </c>
      <c r="P329" s="467">
        <f t="shared" si="35"/>
        <v>0</v>
      </c>
      <c r="Q329" s="467"/>
      <c r="R329" s="467">
        <f t="shared" si="36"/>
        <v>0</v>
      </c>
      <c r="S329" s="467" t="str">
        <f t="shared" si="37"/>
        <v/>
      </c>
      <c r="T329" s="467"/>
      <c r="W329" s="450"/>
      <c r="X329" s="446"/>
    </row>
    <row r="330" s="440" customFormat="1" ht="15.75" hidden="1" customHeight="1" spans="1:24">
      <c r="A330" s="514"/>
      <c r="B330" s="512"/>
      <c r="C330" s="502"/>
      <c r="D330" s="505"/>
      <c r="E330" s="513"/>
      <c r="F330" s="502"/>
      <c r="G330" s="505"/>
      <c r="H330" s="505"/>
      <c r="I330" s="505"/>
      <c r="J330" s="505"/>
      <c r="K330" s="505"/>
      <c r="L330" s="505"/>
      <c r="M330" s="505"/>
      <c r="N330" s="505">
        <f t="shared" si="34"/>
        <v>0</v>
      </c>
      <c r="O330" s="465">
        <v>8</v>
      </c>
      <c r="P330" s="467">
        <f t="shared" si="35"/>
        <v>0</v>
      </c>
      <c r="Q330" s="467"/>
      <c r="R330" s="467">
        <f t="shared" si="36"/>
        <v>0</v>
      </c>
      <c r="S330" s="467" t="str">
        <f t="shared" si="37"/>
        <v/>
      </c>
      <c r="T330" s="467"/>
      <c r="W330" s="450"/>
      <c r="X330" s="446"/>
    </row>
    <row r="331" s="440" customFormat="1" ht="15.75" hidden="1" customHeight="1" spans="1:24">
      <c r="A331" s="514"/>
      <c r="B331" s="512"/>
      <c r="C331" s="502"/>
      <c r="D331" s="505"/>
      <c r="E331" s="513"/>
      <c r="F331" s="502"/>
      <c r="G331" s="505"/>
      <c r="H331" s="505"/>
      <c r="I331" s="505"/>
      <c r="J331" s="505"/>
      <c r="K331" s="505"/>
      <c r="L331" s="505"/>
      <c r="M331" s="505"/>
      <c r="N331" s="505">
        <f t="shared" si="34"/>
        <v>0</v>
      </c>
      <c r="O331" s="465">
        <v>8</v>
      </c>
      <c r="P331" s="467">
        <f t="shared" si="35"/>
        <v>0</v>
      </c>
      <c r="Q331" s="467"/>
      <c r="R331" s="467">
        <f t="shared" si="36"/>
        <v>0</v>
      </c>
      <c r="S331" s="467" t="str">
        <f t="shared" si="37"/>
        <v/>
      </c>
      <c r="T331" s="467"/>
      <c r="W331" s="450"/>
      <c r="X331" s="446"/>
    </row>
    <row r="332" s="440" customFormat="1" ht="15.75" hidden="1" customHeight="1" spans="1:24">
      <c r="A332" s="514"/>
      <c r="B332" s="512"/>
      <c r="C332" s="502"/>
      <c r="D332" s="505"/>
      <c r="E332" s="513"/>
      <c r="F332" s="502"/>
      <c r="G332" s="505"/>
      <c r="H332" s="505"/>
      <c r="I332" s="505"/>
      <c r="J332" s="505"/>
      <c r="K332" s="505"/>
      <c r="L332" s="505"/>
      <c r="M332" s="505"/>
      <c r="N332" s="505">
        <f t="shared" si="34"/>
        <v>0</v>
      </c>
      <c r="O332" s="465">
        <v>8</v>
      </c>
      <c r="P332" s="467">
        <f t="shared" si="35"/>
        <v>0</v>
      </c>
      <c r="Q332" s="467"/>
      <c r="R332" s="467">
        <f t="shared" si="36"/>
        <v>0</v>
      </c>
      <c r="S332" s="467" t="str">
        <f t="shared" si="37"/>
        <v/>
      </c>
      <c r="T332" s="467"/>
      <c r="W332" s="450"/>
      <c r="X332" s="446"/>
    </row>
    <row r="333" s="440" customFormat="1" ht="15.75" hidden="1" customHeight="1" spans="1:24">
      <c r="A333" s="514"/>
      <c r="B333" s="512"/>
      <c r="C333" s="502"/>
      <c r="D333" s="505"/>
      <c r="E333" s="513"/>
      <c r="F333" s="502"/>
      <c r="G333" s="505"/>
      <c r="H333" s="505"/>
      <c r="I333" s="505"/>
      <c r="J333" s="505"/>
      <c r="K333" s="505"/>
      <c r="L333" s="505"/>
      <c r="M333" s="505"/>
      <c r="N333" s="505">
        <f t="shared" si="34"/>
        <v>0</v>
      </c>
      <c r="O333" s="465">
        <v>8</v>
      </c>
      <c r="P333" s="467">
        <f t="shared" si="35"/>
        <v>0</v>
      </c>
      <c r="Q333" s="467"/>
      <c r="R333" s="467">
        <f t="shared" si="36"/>
        <v>0</v>
      </c>
      <c r="S333" s="467" t="str">
        <f t="shared" si="37"/>
        <v/>
      </c>
      <c r="T333" s="467"/>
      <c r="W333" s="450"/>
      <c r="X333" s="446"/>
    </row>
    <row r="334" s="440" customFormat="1" ht="15.75" hidden="1" customHeight="1" spans="1:24">
      <c r="A334" s="514"/>
      <c r="B334" s="512"/>
      <c r="C334" s="502"/>
      <c r="D334" s="505"/>
      <c r="E334" s="513"/>
      <c r="F334" s="502"/>
      <c r="G334" s="505"/>
      <c r="H334" s="505"/>
      <c r="I334" s="505"/>
      <c r="J334" s="505"/>
      <c r="K334" s="505"/>
      <c r="L334" s="505"/>
      <c r="M334" s="505"/>
      <c r="N334" s="505">
        <f t="shared" si="34"/>
        <v>0</v>
      </c>
      <c r="O334" s="465">
        <v>8</v>
      </c>
      <c r="P334" s="467">
        <f t="shared" si="35"/>
        <v>0</v>
      </c>
      <c r="Q334" s="467"/>
      <c r="R334" s="467">
        <f t="shared" si="36"/>
        <v>0</v>
      </c>
      <c r="S334" s="467" t="str">
        <f t="shared" si="37"/>
        <v/>
      </c>
      <c r="T334" s="467"/>
      <c r="W334" s="450"/>
      <c r="X334" s="446"/>
    </row>
    <row r="335" s="440" customFormat="1" ht="15.75" hidden="1" customHeight="1" spans="1:24">
      <c r="A335" s="514"/>
      <c r="B335" s="512"/>
      <c r="C335" s="502"/>
      <c r="D335" s="505"/>
      <c r="E335" s="513"/>
      <c r="F335" s="502"/>
      <c r="G335" s="505"/>
      <c r="H335" s="505"/>
      <c r="I335" s="505"/>
      <c r="J335" s="505"/>
      <c r="K335" s="505"/>
      <c r="L335" s="505"/>
      <c r="M335" s="505"/>
      <c r="N335" s="505">
        <f t="shared" si="34"/>
        <v>0</v>
      </c>
      <c r="O335" s="465">
        <v>8</v>
      </c>
      <c r="P335" s="467">
        <f t="shared" si="35"/>
        <v>0</v>
      </c>
      <c r="Q335" s="467"/>
      <c r="R335" s="467">
        <f t="shared" si="36"/>
        <v>0</v>
      </c>
      <c r="S335" s="467" t="str">
        <f t="shared" si="37"/>
        <v/>
      </c>
      <c r="T335" s="467"/>
      <c r="W335" s="450"/>
      <c r="X335" s="446"/>
    </row>
    <row r="336" s="440" customFormat="1" ht="15.75" hidden="1" customHeight="1" spans="1:24">
      <c r="A336" s="514"/>
      <c r="B336" s="512"/>
      <c r="C336" s="502"/>
      <c r="D336" s="505"/>
      <c r="E336" s="513"/>
      <c r="F336" s="502"/>
      <c r="G336" s="505"/>
      <c r="H336" s="505"/>
      <c r="I336" s="505"/>
      <c r="J336" s="505"/>
      <c r="K336" s="505"/>
      <c r="L336" s="505"/>
      <c r="M336" s="505"/>
      <c r="N336" s="505">
        <f t="shared" si="34"/>
        <v>0</v>
      </c>
      <c r="O336" s="465">
        <v>8</v>
      </c>
      <c r="P336" s="467">
        <f t="shared" si="35"/>
        <v>0</v>
      </c>
      <c r="Q336" s="467"/>
      <c r="R336" s="467">
        <f t="shared" si="36"/>
        <v>0</v>
      </c>
      <c r="S336" s="467" t="str">
        <f t="shared" si="37"/>
        <v/>
      </c>
      <c r="T336" s="467"/>
      <c r="W336" s="450"/>
      <c r="X336" s="446"/>
    </row>
    <row r="337" s="440" customFormat="1" ht="15.75" hidden="1" customHeight="1" spans="1:24">
      <c r="A337" s="514"/>
      <c r="B337" s="512"/>
      <c r="C337" s="502"/>
      <c r="D337" s="505"/>
      <c r="E337" s="513"/>
      <c r="F337" s="502"/>
      <c r="G337" s="505"/>
      <c r="H337" s="505"/>
      <c r="I337" s="505"/>
      <c r="J337" s="505"/>
      <c r="K337" s="505"/>
      <c r="L337" s="505"/>
      <c r="M337" s="505"/>
      <c r="N337" s="505">
        <f t="shared" si="34"/>
        <v>0</v>
      </c>
      <c r="O337" s="465">
        <v>8</v>
      </c>
      <c r="P337" s="467">
        <f t="shared" si="35"/>
        <v>0</v>
      </c>
      <c r="Q337" s="467"/>
      <c r="R337" s="467">
        <f t="shared" si="36"/>
        <v>0</v>
      </c>
      <c r="S337" s="467" t="str">
        <f t="shared" si="37"/>
        <v/>
      </c>
      <c r="T337" s="467"/>
      <c r="W337" s="450"/>
      <c r="X337" s="446"/>
    </row>
    <row r="338" s="440" customFormat="1" ht="15.75" hidden="1" customHeight="1" spans="1:24">
      <c r="A338" s="514"/>
      <c r="B338" s="512"/>
      <c r="C338" s="502"/>
      <c r="D338" s="505"/>
      <c r="E338" s="513"/>
      <c r="F338" s="502"/>
      <c r="G338" s="505"/>
      <c r="H338" s="505"/>
      <c r="I338" s="505"/>
      <c r="J338" s="505"/>
      <c r="K338" s="505"/>
      <c r="L338" s="505"/>
      <c r="M338" s="505"/>
      <c r="N338" s="505">
        <f t="shared" si="34"/>
        <v>0</v>
      </c>
      <c r="O338" s="465">
        <v>8</v>
      </c>
      <c r="P338" s="467">
        <f t="shared" si="35"/>
        <v>0</v>
      </c>
      <c r="Q338" s="467"/>
      <c r="R338" s="467">
        <f t="shared" si="36"/>
        <v>0</v>
      </c>
      <c r="S338" s="467" t="str">
        <f t="shared" si="37"/>
        <v/>
      </c>
      <c r="T338" s="467"/>
      <c r="W338" s="450"/>
      <c r="X338" s="446"/>
    </row>
    <row r="339" s="440" customFormat="1" ht="15.75" hidden="1" customHeight="1" spans="1:24">
      <c r="A339" s="514"/>
      <c r="B339" s="512"/>
      <c r="C339" s="502"/>
      <c r="D339" s="505"/>
      <c r="E339" s="513"/>
      <c r="F339" s="502"/>
      <c r="G339" s="505"/>
      <c r="H339" s="505"/>
      <c r="I339" s="505"/>
      <c r="J339" s="505"/>
      <c r="K339" s="505"/>
      <c r="L339" s="505"/>
      <c r="M339" s="505"/>
      <c r="N339" s="505">
        <f t="shared" si="34"/>
        <v>0</v>
      </c>
      <c r="O339" s="465">
        <v>8</v>
      </c>
      <c r="P339" s="467">
        <f t="shared" si="35"/>
        <v>0</v>
      </c>
      <c r="Q339" s="467"/>
      <c r="R339" s="467">
        <f t="shared" si="36"/>
        <v>0</v>
      </c>
      <c r="S339" s="467" t="str">
        <f t="shared" si="37"/>
        <v/>
      </c>
      <c r="T339" s="467"/>
      <c r="W339" s="450"/>
      <c r="X339" s="446"/>
    </row>
    <row r="340" s="440" customFormat="1" ht="15.75" hidden="1" customHeight="1" spans="1:24">
      <c r="A340" s="514"/>
      <c r="B340" s="512"/>
      <c r="C340" s="502"/>
      <c r="D340" s="505"/>
      <c r="E340" s="513"/>
      <c r="F340" s="502"/>
      <c r="G340" s="505"/>
      <c r="H340" s="505"/>
      <c r="I340" s="505"/>
      <c r="J340" s="505"/>
      <c r="K340" s="505"/>
      <c r="L340" s="505"/>
      <c r="M340" s="505"/>
      <c r="N340" s="505">
        <f t="shared" si="34"/>
        <v>0</v>
      </c>
      <c r="O340" s="465">
        <v>8</v>
      </c>
      <c r="P340" s="467">
        <f t="shared" si="35"/>
        <v>0</v>
      </c>
      <c r="Q340" s="467"/>
      <c r="R340" s="467">
        <f t="shared" si="36"/>
        <v>0</v>
      </c>
      <c r="S340" s="467" t="str">
        <f t="shared" si="37"/>
        <v/>
      </c>
      <c r="T340" s="467"/>
      <c r="W340" s="450"/>
      <c r="X340" s="446"/>
    </row>
    <row r="341" s="440" customFormat="1" ht="15.75" hidden="1" customHeight="1" spans="1:24">
      <c r="A341" s="514"/>
      <c r="B341" s="512"/>
      <c r="C341" s="502"/>
      <c r="D341" s="505"/>
      <c r="E341" s="513"/>
      <c r="F341" s="502"/>
      <c r="G341" s="505"/>
      <c r="H341" s="505"/>
      <c r="I341" s="505"/>
      <c r="J341" s="505"/>
      <c r="K341" s="505"/>
      <c r="L341" s="505"/>
      <c r="M341" s="505"/>
      <c r="N341" s="505">
        <f t="shared" si="34"/>
        <v>0</v>
      </c>
      <c r="O341" s="465">
        <v>8</v>
      </c>
      <c r="P341" s="467">
        <f t="shared" si="35"/>
        <v>0</v>
      </c>
      <c r="Q341" s="467"/>
      <c r="R341" s="467">
        <f t="shared" si="36"/>
        <v>0</v>
      </c>
      <c r="S341" s="467" t="str">
        <f t="shared" si="37"/>
        <v/>
      </c>
      <c r="T341" s="467"/>
      <c r="W341" s="450"/>
      <c r="X341" s="446"/>
    </row>
    <row r="342" s="440" customFormat="1" ht="15.75" hidden="1" customHeight="1" spans="1:24">
      <c r="A342" s="514"/>
      <c r="B342" s="512"/>
      <c r="C342" s="502"/>
      <c r="D342" s="505"/>
      <c r="E342" s="513"/>
      <c r="F342" s="502"/>
      <c r="G342" s="505"/>
      <c r="H342" s="505"/>
      <c r="I342" s="505"/>
      <c r="J342" s="505"/>
      <c r="K342" s="505"/>
      <c r="L342" s="505"/>
      <c r="M342" s="505"/>
      <c r="N342" s="505">
        <f t="shared" si="34"/>
        <v>0</v>
      </c>
      <c r="O342" s="465">
        <v>8</v>
      </c>
      <c r="P342" s="467">
        <f t="shared" si="35"/>
        <v>0</v>
      </c>
      <c r="Q342" s="467"/>
      <c r="R342" s="467">
        <f t="shared" si="36"/>
        <v>0</v>
      </c>
      <c r="S342" s="467" t="str">
        <f t="shared" si="37"/>
        <v/>
      </c>
      <c r="T342" s="467"/>
      <c r="W342" s="450"/>
      <c r="X342" s="446"/>
    </row>
    <row r="343" s="440" customFormat="1" ht="15.75" hidden="1" customHeight="1" spans="1:24">
      <c r="A343" s="514"/>
      <c r="B343" s="512"/>
      <c r="C343" s="502"/>
      <c r="D343" s="505"/>
      <c r="E343" s="513"/>
      <c r="F343" s="502"/>
      <c r="G343" s="505"/>
      <c r="H343" s="505"/>
      <c r="I343" s="505"/>
      <c r="J343" s="505"/>
      <c r="K343" s="505"/>
      <c r="L343" s="505"/>
      <c r="M343" s="505"/>
      <c r="N343" s="505">
        <f t="shared" si="34"/>
        <v>0</v>
      </c>
      <c r="O343" s="465">
        <v>8</v>
      </c>
      <c r="P343" s="467">
        <f t="shared" si="35"/>
        <v>0</v>
      </c>
      <c r="Q343" s="467"/>
      <c r="R343" s="467">
        <f t="shared" si="36"/>
        <v>0</v>
      </c>
      <c r="S343" s="467" t="str">
        <f t="shared" si="37"/>
        <v/>
      </c>
      <c r="T343" s="467"/>
      <c r="W343" s="450"/>
      <c r="X343" s="446"/>
    </row>
    <row r="344" s="440" customFormat="1" ht="15.75" hidden="1" customHeight="1" spans="1:24">
      <c r="A344" s="514"/>
      <c r="B344" s="512"/>
      <c r="C344" s="502"/>
      <c r="D344" s="505"/>
      <c r="E344" s="513"/>
      <c r="F344" s="502"/>
      <c r="G344" s="505"/>
      <c r="H344" s="505"/>
      <c r="I344" s="505"/>
      <c r="J344" s="505"/>
      <c r="K344" s="505"/>
      <c r="L344" s="505"/>
      <c r="M344" s="505"/>
      <c r="N344" s="505">
        <f t="shared" si="34"/>
        <v>0</v>
      </c>
      <c r="O344" s="465">
        <v>8</v>
      </c>
      <c r="P344" s="467">
        <f t="shared" si="35"/>
        <v>0</v>
      </c>
      <c r="Q344" s="467"/>
      <c r="R344" s="467">
        <f t="shared" si="36"/>
        <v>0</v>
      </c>
      <c r="S344" s="467" t="str">
        <f t="shared" si="37"/>
        <v/>
      </c>
      <c r="T344" s="467"/>
      <c r="W344" s="450"/>
      <c r="X344" s="446"/>
    </row>
    <row r="345" s="440" customFormat="1" ht="15.75" hidden="1" customHeight="1" spans="1:24">
      <c r="A345" s="514"/>
      <c r="B345" s="512"/>
      <c r="C345" s="502"/>
      <c r="D345" s="505"/>
      <c r="E345" s="513"/>
      <c r="F345" s="502"/>
      <c r="G345" s="505"/>
      <c r="H345" s="505"/>
      <c r="I345" s="505"/>
      <c r="J345" s="505"/>
      <c r="K345" s="505"/>
      <c r="L345" s="505"/>
      <c r="M345" s="505"/>
      <c r="N345" s="505">
        <f t="shared" si="34"/>
        <v>0</v>
      </c>
      <c r="O345" s="465">
        <v>8</v>
      </c>
      <c r="P345" s="467">
        <f t="shared" si="35"/>
        <v>0</v>
      </c>
      <c r="Q345" s="467"/>
      <c r="R345" s="467">
        <f t="shared" si="36"/>
        <v>0</v>
      </c>
      <c r="S345" s="467" t="str">
        <f t="shared" si="37"/>
        <v/>
      </c>
      <c r="T345" s="467"/>
      <c r="W345" s="450"/>
      <c r="X345" s="446"/>
    </row>
    <row r="346" s="440" customFormat="1" ht="15.75" hidden="1" customHeight="1" spans="1:24">
      <c r="A346" s="514"/>
      <c r="B346" s="512"/>
      <c r="C346" s="502"/>
      <c r="D346" s="505"/>
      <c r="E346" s="513"/>
      <c r="F346" s="502"/>
      <c r="G346" s="505"/>
      <c r="H346" s="505"/>
      <c r="I346" s="505"/>
      <c r="J346" s="505"/>
      <c r="K346" s="505"/>
      <c r="L346" s="505"/>
      <c r="M346" s="505"/>
      <c r="N346" s="505">
        <f t="shared" si="34"/>
        <v>0</v>
      </c>
      <c r="O346" s="465">
        <v>8</v>
      </c>
      <c r="P346" s="467">
        <f t="shared" si="35"/>
        <v>0</v>
      </c>
      <c r="Q346" s="467"/>
      <c r="R346" s="467">
        <f t="shared" si="36"/>
        <v>0</v>
      </c>
      <c r="S346" s="467" t="str">
        <f t="shared" si="37"/>
        <v/>
      </c>
      <c r="T346" s="467"/>
      <c r="W346" s="450"/>
      <c r="X346" s="446"/>
    </row>
    <row r="347" s="440" customFormat="1" ht="15.75" hidden="1" customHeight="1" spans="1:24">
      <c r="A347" s="514"/>
      <c r="B347" s="512"/>
      <c r="C347" s="502"/>
      <c r="D347" s="505"/>
      <c r="E347" s="513"/>
      <c r="F347" s="502"/>
      <c r="G347" s="505"/>
      <c r="H347" s="505"/>
      <c r="I347" s="505"/>
      <c r="J347" s="505"/>
      <c r="K347" s="505"/>
      <c r="L347" s="505"/>
      <c r="M347" s="505"/>
      <c r="N347" s="505">
        <f t="shared" si="34"/>
        <v>0</v>
      </c>
      <c r="O347" s="465">
        <v>8</v>
      </c>
      <c r="P347" s="467">
        <f t="shared" si="35"/>
        <v>0</v>
      </c>
      <c r="Q347" s="467"/>
      <c r="R347" s="467">
        <f t="shared" si="36"/>
        <v>0</v>
      </c>
      <c r="S347" s="467" t="str">
        <f t="shared" si="37"/>
        <v/>
      </c>
      <c r="T347" s="467"/>
      <c r="W347" s="450"/>
      <c r="X347" s="446"/>
    </row>
    <row r="348" s="440" customFormat="1" ht="15.75" hidden="1" customHeight="1" spans="1:24">
      <c r="A348" s="514"/>
      <c r="B348" s="512"/>
      <c r="C348" s="502"/>
      <c r="D348" s="505"/>
      <c r="E348" s="513"/>
      <c r="F348" s="502"/>
      <c r="G348" s="505"/>
      <c r="H348" s="505"/>
      <c r="I348" s="505"/>
      <c r="J348" s="505"/>
      <c r="K348" s="505"/>
      <c r="L348" s="505"/>
      <c r="M348" s="505"/>
      <c r="N348" s="505">
        <f t="shared" si="34"/>
        <v>0</v>
      </c>
      <c r="O348" s="465">
        <v>8</v>
      </c>
      <c r="P348" s="467">
        <f t="shared" si="35"/>
        <v>0</v>
      </c>
      <c r="Q348" s="467"/>
      <c r="R348" s="467">
        <f t="shared" si="36"/>
        <v>0</v>
      </c>
      <c r="S348" s="467" t="str">
        <f t="shared" si="37"/>
        <v/>
      </c>
      <c r="T348" s="467"/>
      <c r="W348" s="450"/>
      <c r="X348" s="446"/>
    </row>
    <row r="349" s="440" customFormat="1" ht="15.75" hidden="1" customHeight="1" spans="1:24">
      <c r="A349" s="514"/>
      <c r="B349" s="512"/>
      <c r="C349" s="502"/>
      <c r="D349" s="505"/>
      <c r="E349" s="513"/>
      <c r="F349" s="502"/>
      <c r="G349" s="505"/>
      <c r="H349" s="505"/>
      <c r="I349" s="505"/>
      <c r="J349" s="505"/>
      <c r="K349" s="505"/>
      <c r="L349" s="505"/>
      <c r="M349" s="505"/>
      <c r="N349" s="505">
        <f t="shared" si="34"/>
        <v>0</v>
      </c>
      <c r="O349" s="465">
        <v>8</v>
      </c>
      <c r="P349" s="467">
        <f t="shared" si="35"/>
        <v>0</v>
      </c>
      <c r="Q349" s="467"/>
      <c r="R349" s="467">
        <f t="shared" si="36"/>
        <v>0</v>
      </c>
      <c r="S349" s="467" t="str">
        <f t="shared" si="37"/>
        <v/>
      </c>
      <c r="T349" s="467"/>
      <c r="W349" s="450"/>
      <c r="X349" s="446"/>
    </row>
    <row r="350" s="440" customFormat="1" ht="15.75" hidden="1" customHeight="1" spans="1:24">
      <c r="A350" s="514"/>
      <c r="B350" s="512"/>
      <c r="C350" s="502"/>
      <c r="D350" s="505"/>
      <c r="E350" s="513"/>
      <c r="F350" s="502"/>
      <c r="G350" s="505"/>
      <c r="H350" s="505"/>
      <c r="I350" s="505"/>
      <c r="J350" s="505"/>
      <c r="K350" s="505"/>
      <c r="L350" s="505"/>
      <c r="M350" s="505"/>
      <c r="N350" s="505">
        <f t="shared" si="34"/>
        <v>0</v>
      </c>
      <c r="O350" s="465">
        <v>8</v>
      </c>
      <c r="P350" s="467">
        <f t="shared" si="35"/>
        <v>0</v>
      </c>
      <c r="Q350" s="467"/>
      <c r="R350" s="467">
        <f t="shared" si="36"/>
        <v>0</v>
      </c>
      <c r="S350" s="467" t="str">
        <f t="shared" si="37"/>
        <v/>
      </c>
      <c r="T350" s="467"/>
      <c r="W350" s="450"/>
      <c r="X350" s="446"/>
    </row>
    <row r="351" s="440" customFormat="1" ht="15.75" hidden="1" customHeight="1" spans="1:24">
      <c r="A351" s="514"/>
      <c r="B351" s="512"/>
      <c r="C351" s="502"/>
      <c r="D351" s="505"/>
      <c r="E351" s="513"/>
      <c r="F351" s="502"/>
      <c r="G351" s="505"/>
      <c r="H351" s="505"/>
      <c r="I351" s="505"/>
      <c r="J351" s="505"/>
      <c r="K351" s="505"/>
      <c r="L351" s="505"/>
      <c r="M351" s="505"/>
      <c r="N351" s="505">
        <f t="shared" si="34"/>
        <v>0</v>
      </c>
      <c r="O351" s="465">
        <v>8</v>
      </c>
      <c r="P351" s="467">
        <f t="shared" si="35"/>
        <v>0</v>
      </c>
      <c r="Q351" s="467"/>
      <c r="R351" s="467">
        <f t="shared" si="36"/>
        <v>0</v>
      </c>
      <c r="S351" s="467" t="str">
        <f t="shared" si="37"/>
        <v/>
      </c>
      <c r="T351" s="467"/>
      <c r="W351" s="450"/>
      <c r="X351" s="446"/>
    </row>
    <row r="352" s="440" customFormat="1" ht="15.75" hidden="1" customHeight="1" spans="1:24">
      <c r="A352" s="514"/>
      <c r="B352" s="512"/>
      <c r="C352" s="502"/>
      <c r="D352" s="505"/>
      <c r="E352" s="513"/>
      <c r="F352" s="502"/>
      <c r="G352" s="505"/>
      <c r="H352" s="505"/>
      <c r="I352" s="505"/>
      <c r="J352" s="505"/>
      <c r="K352" s="505"/>
      <c r="L352" s="505"/>
      <c r="M352" s="505"/>
      <c r="N352" s="505">
        <f t="shared" si="34"/>
        <v>0</v>
      </c>
      <c r="O352" s="465">
        <v>8</v>
      </c>
      <c r="P352" s="467">
        <f t="shared" si="35"/>
        <v>0</v>
      </c>
      <c r="Q352" s="467"/>
      <c r="R352" s="467">
        <f t="shared" si="36"/>
        <v>0</v>
      </c>
      <c r="S352" s="467" t="str">
        <f t="shared" si="37"/>
        <v/>
      </c>
      <c r="T352" s="467"/>
      <c r="W352" s="450"/>
      <c r="X352" s="446"/>
    </row>
    <row r="353" s="440" customFormat="1" ht="15.75" hidden="1" customHeight="1" spans="1:24">
      <c r="A353" s="514"/>
      <c r="B353" s="512"/>
      <c r="C353" s="502"/>
      <c r="D353" s="505"/>
      <c r="E353" s="513"/>
      <c r="F353" s="502"/>
      <c r="G353" s="505"/>
      <c r="H353" s="505"/>
      <c r="I353" s="505"/>
      <c r="J353" s="505"/>
      <c r="K353" s="505"/>
      <c r="L353" s="505"/>
      <c r="M353" s="505"/>
      <c r="N353" s="505">
        <f t="shared" si="34"/>
        <v>0</v>
      </c>
      <c r="O353" s="465">
        <v>8</v>
      </c>
      <c r="P353" s="467">
        <f t="shared" si="35"/>
        <v>0</v>
      </c>
      <c r="Q353" s="467"/>
      <c r="R353" s="467">
        <f t="shared" si="36"/>
        <v>0</v>
      </c>
      <c r="S353" s="467" t="str">
        <f t="shared" si="37"/>
        <v/>
      </c>
      <c r="T353" s="467"/>
      <c r="W353" s="450"/>
      <c r="X353" s="446"/>
    </row>
    <row r="354" s="440" customFormat="1" ht="15.75" hidden="1" customHeight="1" spans="1:24">
      <c r="A354" s="514"/>
      <c r="B354" s="512"/>
      <c r="C354" s="502"/>
      <c r="D354" s="505"/>
      <c r="E354" s="513"/>
      <c r="F354" s="502"/>
      <c r="G354" s="505"/>
      <c r="H354" s="505"/>
      <c r="I354" s="505"/>
      <c r="J354" s="505"/>
      <c r="K354" s="505"/>
      <c r="L354" s="505"/>
      <c r="M354" s="505"/>
      <c r="N354" s="505">
        <f t="shared" si="34"/>
        <v>0</v>
      </c>
      <c r="O354" s="465">
        <v>8</v>
      </c>
      <c r="P354" s="467">
        <f t="shared" si="35"/>
        <v>0</v>
      </c>
      <c r="Q354" s="467"/>
      <c r="R354" s="467">
        <f t="shared" si="36"/>
        <v>0</v>
      </c>
      <c r="S354" s="467" t="str">
        <f t="shared" si="37"/>
        <v/>
      </c>
      <c r="T354" s="467"/>
      <c r="W354" s="450"/>
      <c r="X354" s="446"/>
    </row>
    <row r="355" s="440" customFormat="1" ht="15.75" hidden="1" customHeight="1" spans="1:24">
      <c r="A355" s="514"/>
      <c r="B355" s="512"/>
      <c r="C355" s="502"/>
      <c r="D355" s="505"/>
      <c r="E355" s="513"/>
      <c r="F355" s="502"/>
      <c r="G355" s="505"/>
      <c r="H355" s="505"/>
      <c r="I355" s="505"/>
      <c r="J355" s="505"/>
      <c r="K355" s="505"/>
      <c r="L355" s="505"/>
      <c r="M355" s="505"/>
      <c r="N355" s="505">
        <f t="shared" si="34"/>
        <v>0</v>
      </c>
      <c r="O355" s="465">
        <v>8</v>
      </c>
      <c r="P355" s="467">
        <f t="shared" si="35"/>
        <v>0</v>
      </c>
      <c r="Q355" s="467"/>
      <c r="R355" s="467">
        <f t="shared" si="36"/>
        <v>0</v>
      </c>
      <c r="S355" s="467" t="str">
        <f t="shared" si="37"/>
        <v/>
      </c>
      <c r="T355" s="467"/>
      <c r="W355" s="450"/>
      <c r="X355" s="446"/>
    </row>
    <row r="356" s="440" customFormat="1" ht="15.75" hidden="1" customHeight="1" spans="1:24">
      <c r="A356" s="514"/>
      <c r="B356" s="512"/>
      <c r="C356" s="502"/>
      <c r="D356" s="505"/>
      <c r="E356" s="513"/>
      <c r="F356" s="502"/>
      <c r="G356" s="505"/>
      <c r="H356" s="505"/>
      <c r="I356" s="505"/>
      <c r="J356" s="505"/>
      <c r="K356" s="505"/>
      <c r="L356" s="505"/>
      <c r="M356" s="505"/>
      <c r="N356" s="505">
        <f t="shared" si="34"/>
        <v>0</v>
      </c>
      <c r="O356" s="465">
        <v>8</v>
      </c>
      <c r="P356" s="467">
        <f t="shared" si="35"/>
        <v>0</v>
      </c>
      <c r="Q356" s="467"/>
      <c r="R356" s="467">
        <f t="shared" si="36"/>
        <v>0</v>
      </c>
      <c r="S356" s="467" t="str">
        <f t="shared" si="37"/>
        <v/>
      </c>
      <c r="T356" s="467"/>
      <c r="W356" s="450"/>
      <c r="X356" s="446"/>
    </row>
    <row r="357" s="440" customFormat="1" ht="15.75" hidden="1" customHeight="1" spans="1:24">
      <c r="A357" s="514"/>
      <c r="B357" s="512"/>
      <c r="C357" s="502"/>
      <c r="D357" s="505"/>
      <c r="E357" s="513"/>
      <c r="F357" s="502"/>
      <c r="G357" s="505"/>
      <c r="H357" s="505"/>
      <c r="I357" s="505"/>
      <c r="J357" s="505"/>
      <c r="K357" s="505"/>
      <c r="L357" s="505"/>
      <c r="M357" s="505"/>
      <c r="N357" s="505">
        <f t="shared" si="34"/>
        <v>0</v>
      </c>
      <c r="O357" s="465">
        <v>8</v>
      </c>
      <c r="P357" s="467">
        <f t="shared" si="35"/>
        <v>0</v>
      </c>
      <c r="Q357" s="467"/>
      <c r="R357" s="467">
        <f t="shared" si="36"/>
        <v>0</v>
      </c>
      <c r="S357" s="467" t="str">
        <f t="shared" si="37"/>
        <v/>
      </c>
      <c r="T357" s="467"/>
      <c r="W357" s="450"/>
      <c r="X357" s="446"/>
    </row>
    <row r="358" s="440" customFormat="1" ht="15.75" hidden="1" customHeight="1" spans="1:24">
      <c r="A358" s="514"/>
      <c r="B358" s="512"/>
      <c r="C358" s="502"/>
      <c r="D358" s="505"/>
      <c r="E358" s="513"/>
      <c r="F358" s="502"/>
      <c r="G358" s="505"/>
      <c r="H358" s="505"/>
      <c r="I358" s="505"/>
      <c r="J358" s="505"/>
      <c r="K358" s="505"/>
      <c r="L358" s="505"/>
      <c r="M358" s="505"/>
      <c r="N358" s="505">
        <f t="shared" si="34"/>
        <v>0</v>
      </c>
      <c r="O358" s="465">
        <v>8</v>
      </c>
      <c r="P358" s="467">
        <f t="shared" si="35"/>
        <v>0</v>
      </c>
      <c r="Q358" s="467"/>
      <c r="R358" s="467">
        <f t="shared" si="36"/>
        <v>0</v>
      </c>
      <c r="S358" s="467" t="str">
        <f t="shared" si="37"/>
        <v/>
      </c>
      <c r="T358" s="467"/>
      <c r="W358" s="450"/>
      <c r="X358" s="446"/>
    </row>
    <row r="359" s="440" customFormat="1" ht="15.75" hidden="1" customHeight="1" spans="1:24">
      <c r="A359" s="514"/>
      <c r="B359" s="512"/>
      <c r="C359" s="502"/>
      <c r="D359" s="505"/>
      <c r="E359" s="513"/>
      <c r="F359" s="502"/>
      <c r="G359" s="505"/>
      <c r="H359" s="505"/>
      <c r="I359" s="505"/>
      <c r="J359" s="505"/>
      <c r="K359" s="505"/>
      <c r="L359" s="505"/>
      <c r="M359" s="505"/>
      <c r="N359" s="505">
        <f t="shared" si="34"/>
        <v>0</v>
      </c>
      <c r="O359" s="465">
        <v>8</v>
      </c>
      <c r="P359" s="467">
        <f t="shared" si="35"/>
        <v>0</v>
      </c>
      <c r="Q359" s="467"/>
      <c r="R359" s="467">
        <f t="shared" si="36"/>
        <v>0</v>
      </c>
      <c r="S359" s="467" t="str">
        <f t="shared" si="37"/>
        <v/>
      </c>
      <c r="T359" s="467"/>
      <c r="W359" s="450"/>
      <c r="X359" s="446"/>
    </row>
    <row r="360" s="440" customFormat="1" ht="15.75" hidden="1" customHeight="1" spans="1:24">
      <c r="A360" s="514"/>
      <c r="B360" s="512"/>
      <c r="C360" s="502"/>
      <c r="D360" s="505"/>
      <c r="E360" s="513"/>
      <c r="F360" s="502"/>
      <c r="G360" s="505"/>
      <c r="H360" s="505"/>
      <c r="I360" s="505"/>
      <c r="J360" s="505"/>
      <c r="K360" s="505"/>
      <c r="L360" s="505"/>
      <c r="M360" s="505"/>
      <c r="N360" s="505">
        <f t="shared" si="34"/>
        <v>0</v>
      </c>
      <c r="O360" s="465">
        <v>8</v>
      </c>
      <c r="P360" s="467">
        <f t="shared" si="35"/>
        <v>0</v>
      </c>
      <c r="Q360" s="467"/>
      <c r="R360" s="467">
        <f t="shared" si="36"/>
        <v>0</v>
      </c>
      <c r="S360" s="467" t="str">
        <f t="shared" si="37"/>
        <v/>
      </c>
      <c r="T360" s="467"/>
      <c r="W360" s="450"/>
      <c r="X360" s="446"/>
    </row>
    <row r="361" s="440" customFormat="1" ht="15.75" hidden="1" customHeight="1" spans="1:24">
      <c r="A361" s="514"/>
      <c r="B361" s="512"/>
      <c r="C361" s="502"/>
      <c r="D361" s="505"/>
      <c r="E361" s="513"/>
      <c r="F361" s="502"/>
      <c r="G361" s="505"/>
      <c r="H361" s="505"/>
      <c r="I361" s="505"/>
      <c r="J361" s="505"/>
      <c r="K361" s="505"/>
      <c r="L361" s="505"/>
      <c r="M361" s="505"/>
      <c r="N361" s="505">
        <f t="shared" si="34"/>
        <v>0</v>
      </c>
      <c r="O361" s="465">
        <v>8</v>
      </c>
      <c r="P361" s="467">
        <f t="shared" si="35"/>
        <v>0</v>
      </c>
      <c r="Q361" s="467"/>
      <c r="R361" s="467">
        <f t="shared" si="36"/>
        <v>0</v>
      </c>
      <c r="S361" s="467" t="str">
        <f t="shared" si="37"/>
        <v/>
      </c>
      <c r="T361" s="467"/>
      <c r="W361" s="450"/>
      <c r="X361" s="446"/>
    </row>
    <row r="362" s="440" customFormat="1" ht="15.75" hidden="1" customHeight="1" spans="1:24">
      <c r="A362" s="514"/>
      <c r="B362" s="512"/>
      <c r="C362" s="502"/>
      <c r="D362" s="505"/>
      <c r="E362" s="513"/>
      <c r="F362" s="502"/>
      <c r="G362" s="505"/>
      <c r="H362" s="505"/>
      <c r="I362" s="505"/>
      <c r="J362" s="505"/>
      <c r="K362" s="505"/>
      <c r="L362" s="505"/>
      <c r="M362" s="505"/>
      <c r="N362" s="505">
        <f t="shared" si="34"/>
        <v>0</v>
      </c>
      <c r="O362" s="465">
        <v>8</v>
      </c>
      <c r="P362" s="467">
        <f t="shared" si="35"/>
        <v>0</v>
      </c>
      <c r="Q362" s="467"/>
      <c r="R362" s="467">
        <f t="shared" si="36"/>
        <v>0</v>
      </c>
      <c r="S362" s="467" t="str">
        <f t="shared" si="37"/>
        <v/>
      </c>
      <c r="T362" s="467"/>
      <c r="W362" s="450"/>
      <c r="X362" s="446"/>
    </row>
    <row r="363" s="440" customFormat="1" ht="15.75" hidden="1" customHeight="1" spans="1:24">
      <c r="A363" s="514"/>
      <c r="B363" s="512"/>
      <c r="C363" s="502"/>
      <c r="D363" s="505"/>
      <c r="E363" s="513"/>
      <c r="F363" s="502"/>
      <c r="G363" s="505"/>
      <c r="H363" s="505"/>
      <c r="I363" s="505"/>
      <c r="J363" s="505"/>
      <c r="K363" s="505"/>
      <c r="L363" s="505"/>
      <c r="M363" s="505"/>
      <c r="N363" s="505">
        <f t="shared" si="34"/>
        <v>0</v>
      </c>
      <c r="O363" s="465">
        <v>8</v>
      </c>
      <c r="P363" s="467">
        <f t="shared" si="35"/>
        <v>0</v>
      </c>
      <c r="Q363" s="467"/>
      <c r="R363" s="467">
        <f t="shared" si="36"/>
        <v>0</v>
      </c>
      <c r="S363" s="467" t="str">
        <f t="shared" si="37"/>
        <v/>
      </c>
      <c r="T363" s="467"/>
      <c r="W363" s="450"/>
      <c r="X363" s="446"/>
    </row>
    <row r="364" s="440" customFormat="1" ht="15.75" hidden="1" customHeight="1" spans="1:24">
      <c r="A364" s="514"/>
      <c r="B364" s="512"/>
      <c r="C364" s="502"/>
      <c r="D364" s="505"/>
      <c r="E364" s="513"/>
      <c r="F364" s="502"/>
      <c r="G364" s="505"/>
      <c r="H364" s="505"/>
      <c r="I364" s="505"/>
      <c r="J364" s="505"/>
      <c r="K364" s="505"/>
      <c r="L364" s="505"/>
      <c r="M364" s="505"/>
      <c r="N364" s="505">
        <f t="shared" si="34"/>
        <v>0</v>
      </c>
      <c r="O364" s="465">
        <v>8</v>
      </c>
      <c r="P364" s="467">
        <f t="shared" si="35"/>
        <v>0</v>
      </c>
      <c r="Q364" s="467"/>
      <c r="R364" s="467">
        <f t="shared" si="36"/>
        <v>0</v>
      </c>
      <c r="S364" s="467" t="str">
        <f t="shared" si="37"/>
        <v/>
      </c>
      <c r="T364" s="467"/>
      <c r="W364" s="450"/>
      <c r="X364" s="446"/>
    </row>
    <row r="365" s="440" customFormat="1" ht="15.75" hidden="1" customHeight="1" spans="1:24">
      <c r="A365" s="514"/>
      <c r="B365" s="512"/>
      <c r="C365" s="502"/>
      <c r="D365" s="505"/>
      <c r="E365" s="513"/>
      <c r="F365" s="502"/>
      <c r="G365" s="505"/>
      <c r="H365" s="505"/>
      <c r="I365" s="505"/>
      <c r="J365" s="505"/>
      <c r="K365" s="505"/>
      <c r="L365" s="505"/>
      <c r="M365" s="505"/>
      <c r="N365" s="505">
        <f t="shared" si="34"/>
        <v>0</v>
      </c>
      <c r="O365" s="465">
        <v>8</v>
      </c>
      <c r="P365" s="467">
        <f t="shared" si="35"/>
        <v>0</v>
      </c>
      <c r="Q365" s="467"/>
      <c r="R365" s="467">
        <f t="shared" si="36"/>
        <v>0</v>
      </c>
      <c r="S365" s="467" t="str">
        <f t="shared" si="37"/>
        <v/>
      </c>
      <c r="T365" s="467"/>
      <c r="W365" s="450"/>
      <c r="X365" s="446"/>
    </row>
    <row r="366" s="440" customFormat="1" ht="15.75" hidden="1" customHeight="1" spans="1:24">
      <c r="A366" s="514"/>
      <c r="B366" s="512"/>
      <c r="C366" s="502"/>
      <c r="D366" s="505"/>
      <c r="E366" s="513"/>
      <c r="F366" s="502"/>
      <c r="G366" s="505"/>
      <c r="H366" s="505"/>
      <c r="I366" s="505"/>
      <c r="J366" s="505"/>
      <c r="K366" s="505"/>
      <c r="L366" s="505"/>
      <c r="M366" s="505"/>
      <c r="N366" s="505">
        <f t="shared" si="34"/>
        <v>0</v>
      </c>
      <c r="O366" s="465">
        <v>8</v>
      </c>
      <c r="P366" s="467">
        <f t="shared" si="35"/>
        <v>0</v>
      </c>
      <c r="Q366" s="467"/>
      <c r="R366" s="467">
        <f t="shared" si="36"/>
        <v>0</v>
      </c>
      <c r="S366" s="467" t="str">
        <f t="shared" si="37"/>
        <v/>
      </c>
      <c r="T366" s="467"/>
      <c r="W366" s="450"/>
      <c r="X366" s="446"/>
    </row>
    <row r="367" s="440" customFormat="1" ht="15.75" hidden="1" customHeight="1" spans="1:24">
      <c r="A367" s="514"/>
      <c r="B367" s="512"/>
      <c r="C367" s="502"/>
      <c r="D367" s="505"/>
      <c r="E367" s="513"/>
      <c r="F367" s="502"/>
      <c r="G367" s="505"/>
      <c r="H367" s="505"/>
      <c r="I367" s="505"/>
      <c r="J367" s="505"/>
      <c r="K367" s="505"/>
      <c r="L367" s="505"/>
      <c r="M367" s="505"/>
      <c r="N367" s="505">
        <f t="shared" si="34"/>
        <v>0</v>
      </c>
      <c r="O367" s="465">
        <v>8</v>
      </c>
      <c r="P367" s="467">
        <f t="shared" si="35"/>
        <v>0</v>
      </c>
      <c r="Q367" s="467"/>
      <c r="R367" s="467">
        <f t="shared" si="36"/>
        <v>0</v>
      </c>
      <c r="S367" s="467" t="str">
        <f t="shared" si="37"/>
        <v/>
      </c>
      <c r="T367" s="467"/>
      <c r="W367" s="450"/>
      <c r="X367" s="446"/>
    </row>
    <row r="368" s="440" customFormat="1" ht="15.75" hidden="1" customHeight="1" spans="1:24">
      <c r="A368" s="514"/>
      <c r="B368" s="512"/>
      <c r="C368" s="502"/>
      <c r="D368" s="505"/>
      <c r="E368" s="513"/>
      <c r="F368" s="502"/>
      <c r="G368" s="505"/>
      <c r="H368" s="505"/>
      <c r="I368" s="505"/>
      <c r="J368" s="505"/>
      <c r="K368" s="505"/>
      <c r="L368" s="505"/>
      <c r="M368" s="505"/>
      <c r="N368" s="505">
        <f t="shared" si="34"/>
        <v>0</v>
      </c>
      <c r="O368" s="465">
        <v>8</v>
      </c>
      <c r="P368" s="467">
        <f t="shared" si="35"/>
        <v>0</v>
      </c>
      <c r="Q368" s="467"/>
      <c r="R368" s="467">
        <f t="shared" si="36"/>
        <v>0</v>
      </c>
      <c r="S368" s="467" t="str">
        <f t="shared" si="37"/>
        <v/>
      </c>
      <c r="T368" s="467"/>
      <c r="W368" s="450"/>
      <c r="X368" s="446"/>
    </row>
    <row r="369" s="440" customFormat="1" ht="15.75" hidden="1" customHeight="1" spans="1:24">
      <c r="A369" s="514"/>
      <c r="B369" s="512"/>
      <c r="C369" s="502"/>
      <c r="D369" s="505"/>
      <c r="E369" s="513"/>
      <c r="F369" s="502"/>
      <c r="G369" s="505"/>
      <c r="H369" s="505"/>
      <c r="I369" s="505"/>
      <c r="J369" s="505"/>
      <c r="K369" s="505"/>
      <c r="L369" s="505"/>
      <c r="M369" s="505"/>
      <c r="N369" s="505">
        <f t="shared" si="34"/>
        <v>0</v>
      </c>
      <c r="O369" s="465">
        <v>8</v>
      </c>
      <c r="P369" s="467">
        <f t="shared" si="35"/>
        <v>0</v>
      </c>
      <c r="Q369" s="467"/>
      <c r="R369" s="467">
        <f t="shared" si="36"/>
        <v>0</v>
      </c>
      <c r="S369" s="467" t="str">
        <f t="shared" si="37"/>
        <v/>
      </c>
      <c r="T369" s="467"/>
      <c r="W369" s="450"/>
      <c r="X369" s="446"/>
    </row>
    <row r="370" s="440" customFormat="1" ht="15.75" hidden="1" customHeight="1" spans="1:24">
      <c r="A370" s="514"/>
      <c r="B370" s="512"/>
      <c r="C370" s="502"/>
      <c r="D370" s="505"/>
      <c r="E370" s="513"/>
      <c r="F370" s="502"/>
      <c r="G370" s="505"/>
      <c r="H370" s="505"/>
      <c r="I370" s="505"/>
      <c r="J370" s="505"/>
      <c r="K370" s="505"/>
      <c r="L370" s="505"/>
      <c r="M370" s="505"/>
      <c r="N370" s="505">
        <f t="shared" si="34"/>
        <v>0</v>
      </c>
      <c r="O370" s="465">
        <v>8</v>
      </c>
      <c r="P370" s="467">
        <f t="shared" si="35"/>
        <v>0</v>
      </c>
      <c r="Q370" s="467"/>
      <c r="R370" s="467">
        <f t="shared" si="36"/>
        <v>0</v>
      </c>
      <c r="S370" s="467" t="str">
        <f t="shared" si="37"/>
        <v/>
      </c>
      <c r="T370" s="467"/>
      <c r="W370" s="450"/>
      <c r="X370" s="446"/>
    </row>
    <row r="371" s="440" customFormat="1" ht="15.75" hidden="1" customHeight="1" spans="1:24">
      <c r="A371" s="514"/>
      <c r="B371" s="512"/>
      <c r="C371" s="502"/>
      <c r="D371" s="505"/>
      <c r="E371" s="513"/>
      <c r="F371" s="502"/>
      <c r="G371" s="505"/>
      <c r="H371" s="505"/>
      <c r="I371" s="505"/>
      <c r="J371" s="505"/>
      <c r="K371" s="505"/>
      <c r="L371" s="505"/>
      <c r="M371" s="505"/>
      <c r="N371" s="505">
        <f t="shared" si="34"/>
        <v>0</v>
      </c>
      <c r="O371" s="465">
        <v>8</v>
      </c>
      <c r="P371" s="467">
        <f t="shared" si="35"/>
        <v>0</v>
      </c>
      <c r="Q371" s="467"/>
      <c r="R371" s="467">
        <f t="shared" si="36"/>
        <v>0</v>
      </c>
      <c r="S371" s="467" t="str">
        <f t="shared" si="37"/>
        <v/>
      </c>
      <c r="T371" s="467"/>
      <c r="W371" s="450"/>
      <c r="X371" s="446"/>
    </row>
    <row r="372" s="440" customFormat="1" ht="15.75" hidden="1" customHeight="1" spans="1:24">
      <c r="A372" s="514"/>
      <c r="B372" s="512"/>
      <c r="C372" s="502"/>
      <c r="D372" s="505"/>
      <c r="E372" s="513"/>
      <c r="F372" s="502"/>
      <c r="G372" s="505"/>
      <c r="H372" s="505"/>
      <c r="I372" s="505"/>
      <c r="J372" s="505"/>
      <c r="K372" s="505"/>
      <c r="L372" s="505"/>
      <c r="M372" s="505"/>
      <c r="N372" s="505">
        <f t="shared" si="34"/>
        <v>0</v>
      </c>
      <c r="O372" s="465">
        <v>8</v>
      </c>
      <c r="P372" s="467">
        <f t="shared" si="35"/>
        <v>0</v>
      </c>
      <c r="Q372" s="467"/>
      <c r="R372" s="467">
        <f t="shared" si="36"/>
        <v>0</v>
      </c>
      <c r="S372" s="467" t="str">
        <f t="shared" si="37"/>
        <v/>
      </c>
      <c r="T372" s="467"/>
      <c r="W372" s="450"/>
      <c r="X372" s="446"/>
    </row>
    <row r="373" s="440" customFormat="1" ht="15.75" hidden="1" customHeight="1" spans="1:24">
      <c r="A373" s="514"/>
      <c r="B373" s="512"/>
      <c r="C373" s="502"/>
      <c r="D373" s="505"/>
      <c r="E373" s="513"/>
      <c r="F373" s="502"/>
      <c r="G373" s="505"/>
      <c r="H373" s="505"/>
      <c r="I373" s="505"/>
      <c r="J373" s="505"/>
      <c r="K373" s="505"/>
      <c r="L373" s="505"/>
      <c r="M373" s="505"/>
      <c r="N373" s="505">
        <f t="shared" si="34"/>
        <v>0</v>
      </c>
      <c r="O373" s="465">
        <v>8</v>
      </c>
      <c r="P373" s="467">
        <f t="shared" si="35"/>
        <v>0</v>
      </c>
      <c r="Q373" s="467"/>
      <c r="R373" s="467">
        <f t="shared" si="36"/>
        <v>0</v>
      </c>
      <c r="S373" s="467" t="str">
        <f t="shared" si="37"/>
        <v/>
      </c>
      <c r="T373" s="467"/>
      <c r="W373" s="450"/>
      <c r="X373" s="446"/>
    </row>
    <row r="374" s="440" customFormat="1" ht="15.75" hidden="1" customHeight="1" spans="1:24">
      <c r="A374" s="514"/>
      <c r="B374" s="512"/>
      <c r="C374" s="502"/>
      <c r="D374" s="505"/>
      <c r="E374" s="513"/>
      <c r="F374" s="502"/>
      <c r="G374" s="505"/>
      <c r="H374" s="505"/>
      <c r="I374" s="505"/>
      <c r="J374" s="505"/>
      <c r="K374" s="505"/>
      <c r="L374" s="505"/>
      <c r="M374" s="505"/>
      <c r="N374" s="505">
        <f t="shared" si="34"/>
        <v>0</v>
      </c>
      <c r="O374" s="465">
        <v>8</v>
      </c>
      <c r="P374" s="467">
        <f t="shared" si="35"/>
        <v>0</v>
      </c>
      <c r="Q374" s="467"/>
      <c r="R374" s="467">
        <f t="shared" si="36"/>
        <v>0</v>
      </c>
      <c r="S374" s="467" t="str">
        <f t="shared" si="37"/>
        <v/>
      </c>
      <c r="T374" s="467"/>
      <c r="W374" s="450"/>
      <c r="X374" s="446"/>
    </row>
    <row r="375" s="440" customFormat="1" ht="15.75" hidden="1" customHeight="1" spans="1:24">
      <c r="A375" s="514"/>
      <c r="B375" s="512"/>
      <c r="C375" s="502"/>
      <c r="D375" s="505"/>
      <c r="E375" s="513"/>
      <c r="F375" s="502"/>
      <c r="G375" s="505"/>
      <c r="H375" s="505"/>
      <c r="I375" s="505"/>
      <c r="J375" s="505"/>
      <c r="K375" s="505"/>
      <c r="L375" s="505"/>
      <c r="M375" s="505"/>
      <c r="N375" s="505">
        <f t="shared" si="34"/>
        <v>0</v>
      </c>
      <c r="O375" s="465">
        <v>8</v>
      </c>
      <c r="P375" s="467">
        <f t="shared" si="35"/>
        <v>0</v>
      </c>
      <c r="Q375" s="467"/>
      <c r="R375" s="467">
        <f t="shared" si="36"/>
        <v>0</v>
      </c>
      <c r="S375" s="467" t="str">
        <f t="shared" si="37"/>
        <v/>
      </c>
      <c r="T375" s="467"/>
      <c r="W375" s="450"/>
      <c r="X375" s="446"/>
    </row>
    <row r="376" s="440" customFormat="1" ht="15.75" hidden="1" customHeight="1" spans="1:24">
      <c r="A376" s="514"/>
      <c r="B376" s="512"/>
      <c r="C376" s="502"/>
      <c r="D376" s="505"/>
      <c r="E376" s="513"/>
      <c r="F376" s="502"/>
      <c r="G376" s="505"/>
      <c r="H376" s="505"/>
      <c r="I376" s="505"/>
      <c r="J376" s="505"/>
      <c r="K376" s="505"/>
      <c r="L376" s="505"/>
      <c r="M376" s="505"/>
      <c r="N376" s="505">
        <f t="shared" si="34"/>
        <v>0</v>
      </c>
      <c r="O376" s="465">
        <v>8</v>
      </c>
      <c r="P376" s="467">
        <f t="shared" si="35"/>
        <v>0</v>
      </c>
      <c r="Q376" s="467"/>
      <c r="R376" s="467">
        <f t="shared" si="36"/>
        <v>0</v>
      </c>
      <c r="S376" s="467" t="str">
        <f t="shared" si="37"/>
        <v/>
      </c>
      <c r="T376" s="467"/>
      <c r="W376" s="450"/>
      <c r="X376" s="446"/>
    </row>
    <row r="377" s="440" customFormat="1" ht="15.75" hidden="1" customHeight="1" spans="1:24">
      <c r="A377" s="514"/>
      <c r="B377" s="512"/>
      <c r="C377" s="502"/>
      <c r="D377" s="505"/>
      <c r="E377" s="513"/>
      <c r="F377" s="502"/>
      <c r="G377" s="505"/>
      <c r="H377" s="505"/>
      <c r="I377" s="505"/>
      <c r="J377" s="505"/>
      <c r="K377" s="505"/>
      <c r="L377" s="505"/>
      <c r="M377" s="505"/>
      <c r="N377" s="505">
        <f t="shared" si="34"/>
        <v>0</v>
      </c>
      <c r="O377" s="465">
        <v>8</v>
      </c>
      <c r="P377" s="467">
        <f t="shared" si="35"/>
        <v>0</v>
      </c>
      <c r="Q377" s="467"/>
      <c r="R377" s="467">
        <f t="shared" si="36"/>
        <v>0</v>
      </c>
      <c r="S377" s="467" t="str">
        <f t="shared" si="37"/>
        <v/>
      </c>
      <c r="T377" s="467"/>
      <c r="W377" s="450"/>
      <c r="X377" s="446"/>
    </row>
    <row r="378" s="440" customFormat="1" ht="15.75" hidden="1" customHeight="1" spans="1:24">
      <c r="A378" s="514"/>
      <c r="B378" s="512"/>
      <c r="C378" s="502"/>
      <c r="D378" s="505"/>
      <c r="E378" s="513"/>
      <c r="F378" s="502"/>
      <c r="G378" s="505"/>
      <c r="H378" s="505"/>
      <c r="I378" s="505"/>
      <c r="J378" s="505"/>
      <c r="K378" s="505"/>
      <c r="L378" s="505"/>
      <c r="M378" s="505"/>
      <c r="N378" s="505">
        <f t="shared" si="34"/>
        <v>0</v>
      </c>
      <c r="O378" s="465">
        <v>8</v>
      </c>
      <c r="P378" s="467">
        <f t="shared" si="35"/>
        <v>0</v>
      </c>
      <c r="Q378" s="467"/>
      <c r="R378" s="467">
        <f t="shared" si="36"/>
        <v>0</v>
      </c>
      <c r="S378" s="467" t="str">
        <f t="shared" si="37"/>
        <v/>
      </c>
      <c r="T378" s="467"/>
      <c r="W378" s="450"/>
      <c r="X378" s="446"/>
    </row>
    <row r="379" s="440" customFormat="1" ht="15.75" hidden="1" customHeight="1" spans="1:24">
      <c r="A379" s="514"/>
      <c r="B379" s="512"/>
      <c r="C379" s="502"/>
      <c r="D379" s="505"/>
      <c r="E379" s="513"/>
      <c r="F379" s="502"/>
      <c r="G379" s="505"/>
      <c r="H379" s="505"/>
      <c r="I379" s="505"/>
      <c r="J379" s="505"/>
      <c r="K379" s="505"/>
      <c r="L379" s="505"/>
      <c r="M379" s="505"/>
      <c r="N379" s="505">
        <f t="shared" si="34"/>
        <v>0</v>
      </c>
      <c r="O379" s="465">
        <v>8</v>
      </c>
      <c r="P379" s="467">
        <f t="shared" si="35"/>
        <v>0</v>
      </c>
      <c r="Q379" s="467"/>
      <c r="R379" s="467">
        <f t="shared" si="36"/>
        <v>0</v>
      </c>
      <c r="S379" s="467" t="str">
        <f t="shared" si="37"/>
        <v/>
      </c>
      <c r="T379" s="467"/>
      <c r="W379" s="450"/>
      <c r="X379" s="446"/>
    </row>
    <row r="380" s="440" customFormat="1" ht="15.75" hidden="1" customHeight="1" spans="1:24">
      <c r="A380" s="514"/>
      <c r="B380" s="512"/>
      <c r="C380" s="502"/>
      <c r="D380" s="505"/>
      <c r="E380" s="513"/>
      <c r="F380" s="502"/>
      <c r="G380" s="505"/>
      <c r="H380" s="505"/>
      <c r="I380" s="505"/>
      <c r="J380" s="505"/>
      <c r="K380" s="505"/>
      <c r="L380" s="505"/>
      <c r="M380" s="505"/>
      <c r="N380" s="505">
        <f t="shared" si="34"/>
        <v>0</v>
      </c>
      <c r="O380" s="465">
        <v>8</v>
      </c>
      <c r="P380" s="467">
        <f t="shared" si="35"/>
        <v>0</v>
      </c>
      <c r="Q380" s="467"/>
      <c r="R380" s="467">
        <f t="shared" si="36"/>
        <v>0</v>
      </c>
      <c r="S380" s="467" t="str">
        <f t="shared" si="37"/>
        <v/>
      </c>
      <c r="T380" s="467"/>
      <c r="W380" s="450"/>
      <c r="X380" s="446"/>
    </row>
    <row r="381" s="440" customFormat="1" ht="15.75" hidden="1" customHeight="1" spans="1:24">
      <c r="A381" s="514"/>
      <c r="B381" s="512"/>
      <c r="C381" s="502"/>
      <c r="D381" s="505"/>
      <c r="E381" s="513"/>
      <c r="F381" s="502"/>
      <c r="G381" s="505"/>
      <c r="H381" s="505"/>
      <c r="I381" s="505"/>
      <c r="J381" s="505"/>
      <c r="K381" s="505"/>
      <c r="L381" s="505"/>
      <c r="M381" s="505"/>
      <c r="N381" s="505">
        <f t="shared" si="34"/>
        <v>0</v>
      </c>
      <c r="O381" s="465">
        <v>8</v>
      </c>
      <c r="P381" s="467">
        <f t="shared" si="35"/>
        <v>0</v>
      </c>
      <c r="Q381" s="467"/>
      <c r="R381" s="467">
        <f t="shared" si="36"/>
        <v>0</v>
      </c>
      <c r="S381" s="467" t="str">
        <f t="shared" si="37"/>
        <v/>
      </c>
      <c r="T381" s="467"/>
      <c r="W381" s="450"/>
      <c r="X381" s="446"/>
    </row>
    <row r="382" s="440" customFormat="1" ht="15.75" hidden="1" customHeight="1" spans="1:24">
      <c r="A382" s="514"/>
      <c r="B382" s="512"/>
      <c r="C382" s="502"/>
      <c r="D382" s="505"/>
      <c r="E382" s="513"/>
      <c r="F382" s="502"/>
      <c r="G382" s="505"/>
      <c r="H382" s="505"/>
      <c r="I382" s="505"/>
      <c r="J382" s="505"/>
      <c r="K382" s="505"/>
      <c r="L382" s="505"/>
      <c r="M382" s="505"/>
      <c r="N382" s="505">
        <f t="shared" si="34"/>
        <v>0</v>
      </c>
      <c r="O382" s="465">
        <v>8</v>
      </c>
      <c r="P382" s="467">
        <f t="shared" si="35"/>
        <v>0</v>
      </c>
      <c r="Q382" s="467"/>
      <c r="R382" s="467">
        <f t="shared" si="36"/>
        <v>0</v>
      </c>
      <c r="S382" s="467" t="str">
        <f t="shared" si="37"/>
        <v/>
      </c>
      <c r="T382" s="467"/>
      <c r="W382" s="450"/>
      <c r="X382" s="446"/>
    </row>
    <row r="383" s="440" customFormat="1" ht="15.75" hidden="1" customHeight="1" spans="1:24">
      <c r="A383" s="514"/>
      <c r="B383" s="512"/>
      <c r="C383" s="502"/>
      <c r="D383" s="505"/>
      <c r="E383" s="513"/>
      <c r="F383" s="502"/>
      <c r="G383" s="505"/>
      <c r="H383" s="505"/>
      <c r="I383" s="505"/>
      <c r="J383" s="505"/>
      <c r="K383" s="505"/>
      <c r="L383" s="505"/>
      <c r="M383" s="505"/>
      <c r="N383" s="505">
        <f t="shared" ref="N383:N412" si="38">SUMPRODUCT($G$2:$M$2,G383:M383)</f>
        <v>0</v>
      </c>
      <c r="O383" s="465">
        <v>8</v>
      </c>
      <c r="P383" s="467">
        <f t="shared" ref="P383:P412" si="39">IFERROR(IF((N383*E383-O383*E383)&lt;0,0,(N383*E383-O383*E383)),"")</f>
        <v>0</v>
      </c>
      <c r="Q383" s="467"/>
      <c r="R383" s="467">
        <f t="shared" ref="R383:R400" si="40">IF(Q383="",0,Q383*5)</f>
        <v>0</v>
      </c>
      <c r="S383" s="467" t="str">
        <f t="shared" ref="S383:S408" si="41">IF(B383="","",P383+R383)</f>
        <v/>
      </c>
      <c r="T383" s="467"/>
      <c r="W383" s="450"/>
      <c r="X383" s="446"/>
    </row>
    <row r="384" s="440" customFormat="1" ht="15.75" hidden="1" customHeight="1" spans="1:24">
      <c r="A384" s="514"/>
      <c r="B384" s="512"/>
      <c r="C384" s="502"/>
      <c r="D384" s="505"/>
      <c r="E384" s="513"/>
      <c r="F384" s="502"/>
      <c r="G384" s="505"/>
      <c r="H384" s="505"/>
      <c r="I384" s="505"/>
      <c r="J384" s="505"/>
      <c r="K384" s="505"/>
      <c r="L384" s="505"/>
      <c r="M384" s="505"/>
      <c r="N384" s="505">
        <f t="shared" si="38"/>
        <v>0</v>
      </c>
      <c r="O384" s="465">
        <v>8</v>
      </c>
      <c r="P384" s="467">
        <f t="shared" si="39"/>
        <v>0</v>
      </c>
      <c r="Q384" s="467"/>
      <c r="R384" s="467">
        <f t="shared" si="40"/>
        <v>0</v>
      </c>
      <c r="S384" s="467" t="str">
        <f t="shared" si="41"/>
        <v/>
      </c>
      <c r="T384" s="467"/>
      <c r="W384" s="450"/>
      <c r="X384" s="446"/>
    </row>
    <row r="385" s="440" customFormat="1" ht="15.75" hidden="1" customHeight="1" spans="1:24">
      <c r="A385" s="514"/>
      <c r="B385" s="512"/>
      <c r="C385" s="502"/>
      <c r="D385" s="505"/>
      <c r="E385" s="513"/>
      <c r="F385" s="502"/>
      <c r="G385" s="505"/>
      <c r="H385" s="505"/>
      <c r="I385" s="505"/>
      <c r="J385" s="505"/>
      <c r="K385" s="505"/>
      <c r="L385" s="505"/>
      <c r="M385" s="505"/>
      <c r="N385" s="505">
        <f t="shared" si="38"/>
        <v>0</v>
      </c>
      <c r="O385" s="465">
        <v>8</v>
      </c>
      <c r="P385" s="467">
        <f t="shared" si="39"/>
        <v>0</v>
      </c>
      <c r="Q385" s="467"/>
      <c r="R385" s="467">
        <f t="shared" si="40"/>
        <v>0</v>
      </c>
      <c r="S385" s="467" t="str">
        <f t="shared" si="41"/>
        <v/>
      </c>
      <c r="T385" s="467"/>
      <c r="W385" s="450"/>
      <c r="X385" s="446"/>
    </row>
    <row r="386" s="440" customFormat="1" ht="15.75" hidden="1" customHeight="1" spans="1:24">
      <c r="A386" s="514"/>
      <c r="B386" s="512"/>
      <c r="C386" s="502"/>
      <c r="D386" s="505"/>
      <c r="E386" s="513"/>
      <c r="F386" s="502"/>
      <c r="G386" s="505"/>
      <c r="H386" s="505"/>
      <c r="I386" s="505"/>
      <c r="J386" s="505"/>
      <c r="K386" s="505"/>
      <c r="L386" s="505"/>
      <c r="M386" s="505"/>
      <c r="N386" s="505">
        <f t="shared" si="38"/>
        <v>0</v>
      </c>
      <c r="O386" s="465">
        <v>8</v>
      </c>
      <c r="P386" s="467">
        <f t="shared" si="39"/>
        <v>0</v>
      </c>
      <c r="Q386" s="467"/>
      <c r="R386" s="467">
        <f t="shared" si="40"/>
        <v>0</v>
      </c>
      <c r="S386" s="467" t="str">
        <f t="shared" si="41"/>
        <v/>
      </c>
      <c r="T386" s="467"/>
      <c r="W386" s="450"/>
      <c r="X386" s="446"/>
    </row>
    <row r="387" s="440" customFormat="1" ht="15.75" hidden="1" customHeight="1" spans="1:24">
      <c r="A387" s="514"/>
      <c r="B387" s="512"/>
      <c r="C387" s="502"/>
      <c r="D387" s="505"/>
      <c r="E387" s="513"/>
      <c r="F387" s="502"/>
      <c r="G387" s="505"/>
      <c r="H387" s="505"/>
      <c r="I387" s="505"/>
      <c r="J387" s="505"/>
      <c r="K387" s="505"/>
      <c r="L387" s="505"/>
      <c r="M387" s="505"/>
      <c r="N387" s="505">
        <f t="shared" si="38"/>
        <v>0</v>
      </c>
      <c r="O387" s="465">
        <v>8</v>
      </c>
      <c r="P387" s="467">
        <f t="shared" si="39"/>
        <v>0</v>
      </c>
      <c r="Q387" s="467"/>
      <c r="R387" s="467">
        <f t="shared" si="40"/>
        <v>0</v>
      </c>
      <c r="S387" s="467" t="str">
        <f t="shared" si="41"/>
        <v/>
      </c>
      <c r="T387" s="467"/>
      <c r="W387" s="450"/>
      <c r="X387" s="446"/>
    </row>
    <row r="388" s="440" customFormat="1" ht="15.75" hidden="1" customHeight="1" spans="1:24">
      <c r="A388" s="514"/>
      <c r="B388" s="512"/>
      <c r="C388" s="502"/>
      <c r="D388" s="505"/>
      <c r="E388" s="513"/>
      <c r="F388" s="502"/>
      <c r="G388" s="505"/>
      <c r="H388" s="505"/>
      <c r="I388" s="505"/>
      <c r="J388" s="505"/>
      <c r="K388" s="505"/>
      <c r="L388" s="505"/>
      <c r="M388" s="505"/>
      <c r="N388" s="505">
        <f t="shared" si="38"/>
        <v>0</v>
      </c>
      <c r="O388" s="465">
        <v>8</v>
      </c>
      <c r="P388" s="467">
        <f t="shared" si="39"/>
        <v>0</v>
      </c>
      <c r="Q388" s="467"/>
      <c r="R388" s="467">
        <f t="shared" si="40"/>
        <v>0</v>
      </c>
      <c r="S388" s="467" t="str">
        <f t="shared" si="41"/>
        <v/>
      </c>
      <c r="T388" s="467"/>
      <c r="W388" s="450"/>
      <c r="X388" s="446"/>
    </row>
    <row r="389" s="440" customFormat="1" ht="15.75" hidden="1" customHeight="1" spans="1:24">
      <c r="A389" s="514"/>
      <c r="B389" s="512"/>
      <c r="C389" s="502"/>
      <c r="D389" s="505"/>
      <c r="E389" s="513"/>
      <c r="F389" s="502"/>
      <c r="G389" s="505"/>
      <c r="H389" s="505"/>
      <c r="I389" s="505"/>
      <c r="J389" s="505"/>
      <c r="K389" s="505"/>
      <c r="L389" s="505"/>
      <c r="M389" s="505"/>
      <c r="N389" s="505">
        <f t="shared" si="38"/>
        <v>0</v>
      </c>
      <c r="O389" s="465">
        <v>8</v>
      </c>
      <c r="P389" s="467">
        <f t="shared" si="39"/>
        <v>0</v>
      </c>
      <c r="Q389" s="467"/>
      <c r="R389" s="467">
        <f t="shared" si="40"/>
        <v>0</v>
      </c>
      <c r="S389" s="467" t="str">
        <f t="shared" si="41"/>
        <v/>
      </c>
      <c r="T389" s="467"/>
      <c r="W389" s="450"/>
      <c r="X389" s="446"/>
    </row>
    <row r="390" s="440" customFormat="1" ht="15.75" hidden="1" customHeight="1" spans="1:24">
      <c r="A390" s="514"/>
      <c r="B390" s="512"/>
      <c r="C390" s="502"/>
      <c r="D390" s="505"/>
      <c r="E390" s="513"/>
      <c r="F390" s="502"/>
      <c r="G390" s="505"/>
      <c r="H390" s="505"/>
      <c r="I390" s="505"/>
      <c r="J390" s="505"/>
      <c r="K390" s="505"/>
      <c r="L390" s="505"/>
      <c r="M390" s="505"/>
      <c r="N390" s="505">
        <f t="shared" si="38"/>
        <v>0</v>
      </c>
      <c r="O390" s="465">
        <v>8</v>
      </c>
      <c r="P390" s="467">
        <f t="shared" si="39"/>
        <v>0</v>
      </c>
      <c r="Q390" s="467"/>
      <c r="R390" s="467">
        <f t="shared" si="40"/>
        <v>0</v>
      </c>
      <c r="S390" s="467" t="str">
        <f t="shared" si="41"/>
        <v/>
      </c>
      <c r="T390" s="467"/>
      <c r="W390" s="450"/>
      <c r="X390" s="446"/>
    </row>
    <row r="391" s="440" customFormat="1" ht="15.75" hidden="1" customHeight="1" spans="1:24">
      <c r="A391" s="514"/>
      <c r="B391" s="512"/>
      <c r="C391" s="502"/>
      <c r="D391" s="505"/>
      <c r="E391" s="513"/>
      <c r="F391" s="502"/>
      <c r="G391" s="505"/>
      <c r="H391" s="505"/>
      <c r="I391" s="505"/>
      <c r="J391" s="505"/>
      <c r="K391" s="505"/>
      <c r="L391" s="505"/>
      <c r="M391" s="505"/>
      <c r="N391" s="505">
        <f t="shared" si="38"/>
        <v>0</v>
      </c>
      <c r="O391" s="465">
        <v>8</v>
      </c>
      <c r="P391" s="467">
        <f t="shared" si="39"/>
        <v>0</v>
      </c>
      <c r="Q391" s="467"/>
      <c r="R391" s="467">
        <f t="shared" si="40"/>
        <v>0</v>
      </c>
      <c r="S391" s="467" t="str">
        <f t="shared" si="41"/>
        <v/>
      </c>
      <c r="T391" s="467"/>
      <c r="W391" s="450"/>
      <c r="X391" s="446"/>
    </row>
    <row r="392" s="440" customFormat="1" ht="15.75" hidden="1" customHeight="1" spans="1:24">
      <c r="A392" s="514"/>
      <c r="B392" s="512"/>
      <c r="C392" s="502"/>
      <c r="D392" s="505"/>
      <c r="E392" s="513"/>
      <c r="F392" s="502"/>
      <c r="G392" s="505"/>
      <c r="H392" s="505"/>
      <c r="I392" s="505"/>
      <c r="J392" s="505"/>
      <c r="K392" s="505"/>
      <c r="L392" s="505"/>
      <c r="M392" s="505"/>
      <c r="N392" s="505">
        <f t="shared" si="38"/>
        <v>0</v>
      </c>
      <c r="O392" s="465">
        <v>8</v>
      </c>
      <c r="P392" s="467">
        <f t="shared" si="39"/>
        <v>0</v>
      </c>
      <c r="Q392" s="467"/>
      <c r="R392" s="467">
        <f t="shared" si="40"/>
        <v>0</v>
      </c>
      <c r="S392" s="467" t="str">
        <f t="shared" si="41"/>
        <v/>
      </c>
      <c r="T392" s="467"/>
      <c r="W392" s="450"/>
      <c r="X392" s="446"/>
    </row>
    <row r="393" s="440" customFormat="1" ht="15.75" hidden="1" customHeight="1" spans="1:24">
      <c r="A393" s="514"/>
      <c r="B393" s="512"/>
      <c r="C393" s="502"/>
      <c r="D393" s="505"/>
      <c r="E393" s="513"/>
      <c r="F393" s="502"/>
      <c r="G393" s="505"/>
      <c r="H393" s="505"/>
      <c r="I393" s="505"/>
      <c r="J393" s="505"/>
      <c r="K393" s="505"/>
      <c r="L393" s="505"/>
      <c r="M393" s="505"/>
      <c r="N393" s="505">
        <f t="shared" si="38"/>
        <v>0</v>
      </c>
      <c r="O393" s="465">
        <v>8</v>
      </c>
      <c r="P393" s="467">
        <f t="shared" si="39"/>
        <v>0</v>
      </c>
      <c r="Q393" s="467"/>
      <c r="R393" s="467">
        <f t="shared" si="40"/>
        <v>0</v>
      </c>
      <c r="S393" s="467" t="str">
        <f t="shared" si="41"/>
        <v/>
      </c>
      <c r="T393" s="467"/>
      <c r="W393" s="450"/>
      <c r="X393" s="446"/>
    </row>
    <row r="394" s="440" customFormat="1" ht="15.75" hidden="1" customHeight="1" spans="1:24">
      <c r="A394" s="514"/>
      <c r="B394" s="512"/>
      <c r="C394" s="502"/>
      <c r="D394" s="505"/>
      <c r="E394" s="513"/>
      <c r="F394" s="502"/>
      <c r="G394" s="505"/>
      <c r="H394" s="505"/>
      <c r="I394" s="505"/>
      <c r="J394" s="505"/>
      <c r="K394" s="505"/>
      <c r="L394" s="505"/>
      <c r="M394" s="505"/>
      <c r="N394" s="505">
        <f t="shared" si="38"/>
        <v>0</v>
      </c>
      <c r="O394" s="465">
        <v>8</v>
      </c>
      <c r="P394" s="467">
        <f t="shared" si="39"/>
        <v>0</v>
      </c>
      <c r="Q394" s="467"/>
      <c r="R394" s="467">
        <f t="shared" si="40"/>
        <v>0</v>
      </c>
      <c r="S394" s="467" t="str">
        <f t="shared" si="41"/>
        <v/>
      </c>
      <c r="T394" s="467"/>
      <c r="W394" s="450"/>
      <c r="X394" s="446"/>
    </row>
    <row r="395" s="440" customFormat="1" ht="15.75" hidden="1" customHeight="1" spans="1:24">
      <c r="A395" s="514"/>
      <c r="B395" s="512"/>
      <c r="C395" s="502"/>
      <c r="D395" s="505"/>
      <c r="E395" s="513"/>
      <c r="F395" s="502"/>
      <c r="G395" s="505"/>
      <c r="H395" s="505"/>
      <c r="I395" s="505"/>
      <c r="J395" s="505"/>
      <c r="K395" s="505"/>
      <c r="L395" s="505"/>
      <c r="M395" s="505"/>
      <c r="N395" s="505">
        <f t="shared" si="38"/>
        <v>0</v>
      </c>
      <c r="O395" s="465">
        <v>8</v>
      </c>
      <c r="P395" s="467">
        <f t="shared" si="39"/>
        <v>0</v>
      </c>
      <c r="Q395" s="467"/>
      <c r="R395" s="467">
        <f t="shared" si="40"/>
        <v>0</v>
      </c>
      <c r="S395" s="467" t="str">
        <f t="shared" si="41"/>
        <v/>
      </c>
      <c r="T395" s="467"/>
      <c r="W395" s="450"/>
      <c r="X395" s="446"/>
    </row>
    <row r="396" s="440" customFormat="1" ht="15.75" hidden="1" customHeight="1" spans="1:24">
      <c r="A396" s="514"/>
      <c r="B396" s="512"/>
      <c r="C396" s="502"/>
      <c r="D396" s="505"/>
      <c r="E396" s="513"/>
      <c r="F396" s="502"/>
      <c r="G396" s="505"/>
      <c r="H396" s="505"/>
      <c r="I396" s="505"/>
      <c r="J396" s="505"/>
      <c r="K396" s="505"/>
      <c r="L396" s="505"/>
      <c r="M396" s="505"/>
      <c r="N396" s="505">
        <f t="shared" si="38"/>
        <v>0</v>
      </c>
      <c r="O396" s="465">
        <v>8</v>
      </c>
      <c r="P396" s="467">
        <f t="shared" si="39"/>
        <v>0</v>
      </c>
      <c r="Q396" s="467"/>
      <c r="R396" s="467">
        <f t="shared" si="40"/>
        <v>0</v>
      </c>
      <c r="S396" s="467" t="str">
        <f t="shared" si="41"/>
        <v/>
      </c>
      <c r="T396" s="467"/>
      <c r="W396" s="450"/>
      <c r="X396" s="446"/>
    </row>
    <row r="397" s="440" customFormat="1" ht="15.75" hidden="1" customHeight="1" spans="1:24">
      <c r="A397" s="514"/>
      <c r="B397" s="512"/>
      <c r="C397" s="502"/>
      <c r="D397" s="505"/>
      <c r="E397" s="513"/>
      <c r="F397" s="502"/>
      <c r="G397" s="505"/>
      <c r="H397" s="505"/>
      <c r="I397" s="505"/>
      <c r="J397" s="505"/>
      <c r="K397" s="505"/>
      <c r="L397" s="505"/>
      <c r="M397" s="505"/>
      <c r="N397" s="505">
        <f t="shared" si="38"/>
        <v>0</v>
      </c>
      <c r="O397" s="465">
        <v>8</v>
      </c>
      <c r="P397" s="467">
        <f t="shared" si="39"/>
        <v>0</v>
      </c>
      <c r="Q397" s="467"/>
      <c r="R397" s="467">
        <f t="shared" si="40"/>
        <v>0</v>
      </c>
      <c r="S397" s="467" t="str">
        <f t="shared" si="41"/>
        <v/>
      </c>
      <c r="T397" s="467"/>
      <c r="W397" s="450"/>
      <c r="X397" s="446"/>
    </row>
    <row r="398" s="440" customFormat="1" ht="15.75" hidden="1" customHeight="1" spans="1:24">
      <c r="A398" s="514"/>
      <c r="B398" s="512"/>
      <c r="C398" s="502"/>
      <c r="D398" s="505"/>
      <c r="E398" s="513"/>
      <c r="F398" s="502"/>
      <c r="G398" s="505"/>
      <c r="H398" s="505"/>
      <c r="I398" s="505"/>
      <c r="J398" s="505"/>
      <c r="K398" s="505"/>
      <c r="L398" s="505"/>
      <c r="M398" s="505"/>
      <c r="N398" s="505">
        <f t="shared" si="38"/>
        <v>0</v>
      </c>
      <c r="O398" s="465">
        <v>8</v>
      </c>
      <c r="P398" s="467">
        <f t="shared" si="39"/>
        <v>0</v>
      </c>
      <c r="Q398" s="467"/>
      <c r="R398" s="467">
        <f t="shared" si="40"/>
        <v>0</v>
      </c>
      <c r="S398" s="467" t="str">
        <f t="shared" si="41"/>
        <v/>
      </c>
      <c r="T398" s="467"/>
      <c r="W398" s="450"/>
      <c r="X398" s="446"/>
    </row>
    <row r="399" s="440" customFormat="1" ht="15.75" hidden="1" customHeight="1" spans="1:24">
      <c r="A399" s="514"/>
      <c r="B399" s="512"/>
      <c r="C399" s="502"/>
      <c r="D399" s="505"/>
      <c r="E399" s="513"/>
      <c r="F399" s="502"/>
      <c r="G399" s="505"/>
      <c r="H399" s="505"/>
      <c r="I399" s="505"/>
      <c r="J399" s="505"/>
      <c r="K399" s="505"/>
      <c r="L399" s="505"/>
      <c r="M399" s="505"/>
      <c r="N399" s="505">
        <f t="shared" si="38"/>
        <v>0</v>
      </c>
      <c r="O399" s="465">
        <v>8</v>
      </c>
      <c r="P399" s="467">
        <f t="shared" si="39"/>
        <v>0</v>
      </c>
      <c r="Q399" s="467"/>
      <c r="R399" s="467">
        <f t="shared" si="40"/>
        <v>0</v>
      </c>
      <c r="S399" s="467" t="str">
        <f t="shared" si="41"/>
        <v/>
      </c>
      <c r="T399" s="467"/>
      <c r="W399" s="450"/>
      <c r="X399" s="446"/>
    </row>
    <row r="400" s="440" customFormat="1" ht="15.75" hidden="1" customHeight="1" spans="1:24">
      <c r="A400" s="514"/>
      <c r="B400" s="512"/>
      <c r="C400" s="502"/>
      <c r="D400" s="505"/>
      <c r="E400" s="513"/>
      <c r="F400" s="502"/>
      <c r="G400" s="505"/>
      <c r="H400" s="505"/>
      <c r="I400" s="505"/>
      <c r="J400" s="505"/>
      <c r="K400" s="505"/>
      <c r="L400" s="505"/>
      <c r="M400" s="505"/>
      <c r="N400" s="505">
        <f t="shared" si="38"/>
        <v>0</v>
      </c>
      <c r="O400" s="465">
        <v>8</v>
      </c>
      <c r="P400" s="467">
        <f t="shared" si="39"/>
        <v>0</v>
      </c>
      <c r="Q400" s="467"/>
      <c r="R400" s="467">
        <f t="shared" si="40"/>
        <v>0</v>
      </c>
      <c r="S400" s="467" t="str">
        <f t="shared" si="41"/>
        <v/>
      </c>
      <c r="T400" s="467"/>
      <c r="W400" s="450"/>
      <c r="X400" s="446"/>
    </row>
    <row r="401" customHeight="1" spans="1:19">
      <c r="A401" s="458">
        <v>46232</v>
      </c>
      <c r="B401" s="459" t="s">
        <v>366</v>
      </c>
      <c r="C401" s="459" t="s">
        <v>379</v>
      </c>
      <c r="D401" s="460"/>
      <c r="E401" s="461">
        <v>5</v>
      </c>
      <c r="F401" s="469"/>
      <c r="G401" s="493">
        <v>18</v>
      </c>
      <c r="H401" s="472"/>
      <c r="I401" s="472"/>
      <c r="J401" s="472"/>
      <c r="K401" s="472"/>
      <c r="L401" s="472"/>
      <c r="M401" s="472"/>
      <c r="N401" s="474">
        <f t="shared" si="38"/>
        <v>18</v>
      </c>
      <c r="O401" s="465">
        <v>8</v>
      </c>
      <c r="P401" s="466">
        <f t="shared" si="39"/>
        <v>50</v>
      </c>
      <c r="S401" s="467">
        <f t="shared" si="41"/>
        <v>50</v>
      </c>
    </row>
    <row r="402" customHeight="1" spans="1:19">
      <c r="A402" s="458">
        <v>46233</v>
      </c>
      <c r="B402" s="459" t="s">
        <v>366</v>
      </c>
      <c r="C402" s="459" t="s">
        <v>379</v>
      </c>
      <c r="D402" s="460"/>
      <c r="E402" s="461">
        <v>5</v>
      </c>
      <c r="F402" s="469"/>
      <c r="G402" s="493">
        <v>16</v>
      </c>
      <c r="H402" s="472"/>
      <c r="I402" s="472"/>
      <c r="J402" s="472"/>
      <c r="K402" s="472"/>
      <c r="L402" s="472"/>
      <c r="M402" s="472"/>
      <c r="N402" s="474">
        <f t="shared" si="38"/>
        <v>16</v>
      </c>
      <c r="O402" s="465">
        <v>8</v>
      </c>
      <c r="P402" s="466">
        <f t="shared" si="39"/>
        <v>40</v>
      </c>
      <c r="S402" s="467">
        <f t="shared" si="41"/>
        <v>40</v>
      </c>
    </row>
    <row r="403" customHeight="1" spans="1:19">
      <c r="A403" s="458">
        <v>46234</v>
      </c>
      <c r="B403" s="481" t="s">
        <v>366</v>
      </c>
      <c r="C403" s="459" t="s">
        <v>379</v>
      </c>
      <c r="D403" s="460"/>
      <c r="E403" s="461">
        <v>5</v>
      </c>
      <c r="F403" s="469"/>
      <c r="G403" s="493">
        <v>16</v>
      </c>
      <c r="H403" s="472"/>
      <c r="I403" s="472"/>
      <c r="J403" s="472"/>
      <c r="K403" s="472"/>
      <c r="L403" s="472">
        <v>1</v>
      </c>
      <c r="M403" s="472"/>
      <c r="N403" s="474">
        <f t="shared" si="38"/>
        <v>18</v>
      </c>
      <c r="O403" s="465">
        <v>8</v>
      </c>
      <c r="P403" s="466">
        <f t="shared" si="39"/>
        <v>50</v>
      </c>
      <c r="S403" s="467">
        <f t="shared" si="41"/>
        <v>50</v>
      </c>
    </row>
    <row r="404" customHeight="1" spans="1:19">
      <c r="A404" s="458">
        <v>46204</v>
      </c>
      <c r="B404" s="458" t="s">
        <v>367</v>
      </c>
      <c r="C404" s="459" t="s">
        <v>379</v>
      </c>
      <c r="D404" s="460"/>
      <c r="E404" s="461">
        <v>5</v>
      </c>
      <c r="F404" s="469"/>
      <c r="G404" s="493">
        <v>8</v>
      </c>
      <c r="H404" s="472"/>
      <c r="I404" s="472"/>
      <c r="J404" s="472"/>
      <c r="K404" s="472"/>
      <c r="L404" s="472"/>
      <c r="M404" s="472"/>
      <c r="N404" s="474">
        <f t="shared" si="38"/>
        <v>8</v>
      </c>
      <c r="O404" s="465">
        <v>8</v>
      </c>
      <c r="P404" s="466">
        <f t="shared" si="39"/>
        <v>0</v>
      </c>
      <c r="S404" s="467">
        <f t="shared" si="41"/>
        <v>0</v>
      </c>
    </row>
    <row r="405" customHeight="1" spans="1:19">
      <c r="A405" s="458">
        <v>46205</v>
      </c>
      <c r="B405" s="458" t="s">
        <v>367</v>
      </c>
      <c r="C405" s="459" t="s">
        <v>379</v>
      </c>
      <c r="D405" s="460"/>
      <c r="E405" s="461">
        <v>5</v>
      </c>
      <c r="F405" s="469"/>
      <c r="G405" s="493"/>
      <c r="H405" s="472"/>
      <c r="I405" s="472"/>
      <c r="J405" s="472"/>
      <c r="K405" s="472"/>
      <c r="L405" s="472"/>
      <c r="M405" s="472"/>
      <c r="N405" s="474">
        <f t="shared" si="38"/>
        <v>0</v>
      </c>
      <c r="O405" s="465">
        <v>8</v>
      </c>
      <c r="P405" s="466">
        <f t="shared" si="39"/>
        <v>0</v>
      </c>
      <c r="S405" s="467">
        <f t="shared" si="41"/>
        <v>0</v>
      </c>
    </row>
    <row r="406" customHeight="1" spans="1:19">
      <c r="A406" s="458">
        <v>46206</v>
      </c>
      <c r="B406" s="458" t="s">
        <v>367</v>
      </c>
      <c r="C406" s="459" t="s">
        <v>379</v>
      </c>
      <c r="D406" s="460"/>
      <c r="E406" s="461">
        <v>5</v>
      </c>
      <c r="F406" s="469"/>
      <c r="G406" s="493">
        <v>17</v>
      </c>
      <c r="H406" s="472"/>
      <c r="I406" s="472"/>
      <c r="J406" s="472"/>
      <c r="K406" s="472"/>
      <c r="L406" s="472"/>
      <c r="M406" s="472"/>
      <c r="N406" s="474">
        <f t="shared" si="38"/>
        <v>17</v>
      </c>
      <c r="O406" s="465">
        <v>8</v>
      </c>
      <c r="P406" s="466">
        <f t="shared" si="39"/>
        <v>45</v>
      </c>
      <c r="S406" s="467">
        <f t="shared" si="41"/>
        <v>45</v>
      </c>
    </row>
    <row r="407" customHeight="1" spans="1:19">
      <c r="A407" s="458">
        <v>46207</v>
      </c>
      <c r="B407" s="458" t="s">
        <v>367</v>
      </c>
      <c r="C407" s="459" t="s">
        <v>379</v>
      </c>
      <c r="D407" s="460"/>
      <c r="E407" s="461">
        <v>5</v>
      </c>
      <c r="F407" s="469"/>
      <c r="G407" s="493">
        <v>15</v>
      </c>
      <c r="H407" s="472"/>
      <c r="I407" s="472"/>
      <c r="J407" s="472"/>
      <c r="K407" s="472"/>
      <c r="L407" s="472"/>
      <c r="M407" s="472"/>
      <c r="N407" s="474">
        <f t="shared" si="38"/>
        <v>15</v>
      </c>
      <c r="O407" s="465">
        <v>8</v>
      </c>
      <c r="P407" s="466">
        <f t="shared" si="39"/>
        <v>35</v>
      </c>
      <c r="S407" s="467">
        <f t="shared" si="41"/>
        <v>35</v>
      </c>
    </row>
    <row r="408" customHeight="1" spans="1:19">
      <c r="A408" s="458">
        <v>46208</v>
      </c>
      <c r="B408" s="458" t="s">
        <v>367</v>
      </c>
      <c r="C408" s="459" t="s">
        <v>379</v>
      </c>
      <c r="D408" s="460"/>
      <c r="E408" s="461">
        <v>5</v>
      </c>
      <c r="F408" s="469"/>
      <c r="G408" s="493">
        <v>17</v>
      </c>
      <c r="H408" s="472"/>
      <c r="I408" s="472"/>
      <c r="J408" s="472"/>
      <c r="K408" s="472"/>
      <c r="L408" s="472"/>
      <c r="M408" s="472"/>
      <c r="N408" s="474">
        <f t="shared" si="38"/>
        <v>17</v>
      </c>
      <c r="O408" s="465">
        <v>8</v>
      </c>
      <c r="P408" s="466">
        <f t="shared" si="39"/>
        <v>45</v>
      </c>
      <c r="S408" s="467">
        <f t="shared" si="41"/>
        <v>45</v>
      </c>
    </row>
    <row r="409" customHeight="1" spans="1:19">
      <c r="A409" s="458">
        <v>46209</v>
      </c>
      <c r="B409" s="458" t="s">
        <v>367</v>
      </c>
      <c r="C409" s="459" t="s">
        <v>379</v>
      </c>
      <c r="D409" s="460"/>
      <c r="E409" s="461">
        <v>5</v>
      </c>
      <c r="F409" s="469"/>
      <c r="G409" s="493">
        <v>18</v>
      </c>
      <c r="H409" s="472"/>
      <c r="I409" s="472"/>
      <c r="J409" s="472"/>
      <c r="K409" s="472"/>
      <c r="L409" s="472"/>
      <c r="M409" s="472"/>
      <c r="N409" s="474">
        <f t="shared" si="38"/>
        <v>18</v>
      </c>
      <c r="O409" s="465">
        <v>8</v>
      </c>
      <c r="P409" s="466">
        <f t="shared" si="39"/>
        <v>50</v>
      </c>
      <c r="S409" s="467">
        <f t="shared" ref="S409:S438" si="42">IF(B409="","",P409+R409)</f>
        <v>50</v>
      </c>
    </row>
    <row r="410" customHeight="1" spans="1:19">
      <c r="A410" s="458">
        <v>46210</v>
      </c>
      <c r="B410" s="458" t="s">
        <v>367</v>
      </c>
      <c r="C410" s="459" t="s">
        <v>379</v>
      </c>
      <c r="D410" s="460"/>
      <c r="E410" s="461">
        <v>5</v>
      </c>
      <c r="F410" s="469"/>
      <c r="G410" s="493">
        <v>19</v>
      </c>
      <c r="H410" s="472"/>
      <c r="I410" s="472"/>
      <c r="J410" s="472"/>
      <c r="K410" s="472"/>
      <c r="L410" s="472"/>
      <c r="M410" s="472"/>
      <c r="N410" s="474">
        <f t="shared" si="38"/>
        <v>19</v>
      </c>
      <c r="O410" s="465">
        <v>8</v>
      </c>
      <c r="P410" s="466">
        <f t="shared" si="39"/>
        <v>55</v>
      </c>
      <c r="S410" s="467">
        <f t="shared" si="42"/>
        <v>55</v>
      </c>
    </row>
    <row r="411" customHeight="1" spans="1:19">
      <c r="A411" s="458">
        <v>46211</v>
      </c>
      <c r="B411" s="458" t="s">
        <v>367</v>
      </c>
      <c r="C411" s="459" t="s">
        <v>379</v>
      </c>
      <c r="D411" s="460"/>
      <c r="E411" s="461">
        <v>5</v>
      </c>
      <c r="F411" s="469"/>
      <c r="G411" s="493"/>
      <c r="H411" s="472"/>
      <c r="I411" s="472"/>
      <c r="J411" s="472"/>
      <c r="K411" s="472"/>
      <c r="L411" s="472"/>
      <c r="M411" s="472"/>
      <c r="N411" s="474">
        <f t="shared" si="38"/>
        <v>0</v>
      </c>
      <c r="O411" s="465">
        <v>8</v>
      </c>
      <c r="P411" s="466">
        <f t="shared" si="39"/>
        <v>0</v>
      </c>
      <c r="S411" s="467">
        <f t="shared" si="42"/>
        <v>0</v>
      </c>
    </row>
    <row r="412" customHeight="1" spans="1:19">
      <c r="A412" s="458">
        <v>46212</v>
      </c>
      <c r="B412" s="458" t="s">
        <v>367</v>
      </c>
      <c r="C412" s="459" t="s">
        <v>379</v>
      </c>
      <c r="D412" s="460"/>
      <c r="E412" s="461">
        <v>5</v>
      </c>
      <c r="F412" s="469"/>
      <c r="G412" s="493">
        <v>7</v>
      </c>
      <c r="H412" s="472"/>
      <c r="I412" s="472"/>
      <c r="J412" s="472"/>
      <c r="K412" s="472"/>
      <c r="L412" s="472"/>
      <c r="M412" s="472"/>
      <c r="N412" s="474">
        <v>0</v>
      </c>
      <c r="O412" s="465">
        <v>8</v>
      </c>
      <c r="P412" s="466">
        <v>0</v>
      </c>
      <c r="S412" s="467">
        <f t="shared" si="42"/>
        <v>0</v>
      </c>
    </row>
    <row r="413" customHeight="1" spans="1:19">
      <c r="A413" s="458">
        <v>46213</v>
      </c>
      <c r="B413" s="458" t="s">
        <v>367</v>
      </c>
      <c r="C413" s="459" t="s">
        <v>379</v>
      </c>
      <c r="D413" s="460"/>
      <c r="E413" s="461">
        <v>5</v>
      </c>
      <c r="F413" s="469"/>
      <c r="G413" s="493"/>
      <c r="H413" s="472"/>
      <c r="I413" s="472"/>
      <c r="J413" s="472"/>
      <c r="K413" s="472"/>
      <c r="L413" s="472"/>
      <c r="M413" s="472"/>
      <c r="N413" s="474">
        <f t="shared" ref="N413:N432" si="43">SUMPRODUCT($G$2:$M$2,G413:M413)</f>
        <v>0</v>
      </c>
      <c r="O413" s="465">
        <v>8</v>
      </c>
      <c r="P413" s="466">
        <f t="shared" ref="P413:P432" si="44">IFERROR(IF((N413*E413-O413*E413)&lt;0,0,(N413*E413-O413*E413)),"")</f>
        <v>0</v>
      </c>
      <c r="S413" s="467">
        <f t="shared" si="42"/>
        <v>0</v>
      </c>
    </row>
    <row r="414" customHeight="1" spans="1:19">
      <c r="A414" s="458">
        <v>46214</v>
      </c>
      <c r="B414" s="458" t="s">
        <v>367</v>
      </c>
      <c r="C414" s="459" t="s">
        <v>379</v>
      </c>
      <c r="D414" s="460"/>
      <c r="E414" s="461">
        <v>5</v>
      </c>
      <c r="F414" s="469"/>
      <c r="G414" s="493">
        <v>20</v>
      </c>
      <c r="H414" s="472"/>
      <c r="I414" s="472"/>
      <c r="J414" s="472"/>
      <c r="K414" s="472"/>
      <c r="L414" s="472"/>
      <c r="M414" s="472"/>
      <c r="N414" s="474">
        <f t="shared" si="43"/>
        <v>20</v>
      </c>
      <c r="O414" s="465">
        <v>8</v>
      </c>
      <c r="P414" s="466">
        <f t="shared" si="44"/>
        <v>60</v>
      </c>
      <c r="S414" s="467">
        <f t="shared" si="42"/>
        <v>60</v>
      </c>
    </row>
    <row r="415" customHeight="1" spans="1:19">
      <c r="A415" s="458">
        <v>46215</v>
      </c>
      <c r="B415" s="458" t="s">
        <v>367</v>
      </c>
      <c r="C415" s="459" t="s">
        <v>379</v>
      </c>
      <c r="D415" s="460"/>
      <c r="E415" s="461">
        <v>5</v>
      </c>
      <c r="F415" s="469"/>
      <c r="G415" s="493">
        <v>14</v>
      </c>
      <c r="H415" s="472"/>
      <c r="I415" s="472"/>
      <c r="J415" s="472"/>
      <c r="K415" s="472"/>
      <c r="L415" s="472"/>
      <c r="M415" s="472"/>
      <c r="N415" s="474">
        <f t="shared" si="43"/>
        <v>14</v>
      </c>
      <c r="O415" s="465">
        <v>8</v>
      </c>
      <c r="P415" s="466">
        <f t="shared" si="44"/>
        <v>30</v>
      </c>
      <c r="S415" s="467">
        <f t="shared" si="42"/>
        <v>30</v>
      </c>
    </row>
    <row r="416" customHeight="1" spans="1:19">
      <c r="A416" s="458">
        <v>46216</v>
      </c>
      <c r="B416" s="458" t="s">
        <v>367</v>
      </c>
      <c r="C416" s="459" t="s">
        <v>379</v>
      </c>
      <c r="D416" s="460"/>
      <c r="E416" s="461">
        <v>5</v>
      </c>
      <c r="F416" s="469"/>
      <c r="G416" s="493">
        <v>15</v>
      </c>
      <c r="H416" s="472"/>
      <c r="I416" s="472"/>
      <c r="J416" s="472"/>
      <c r="K416" s="472"/>
      <c r="L416" s="472"/>
      <c r="M416" s="472"/>
      <c r="N416" s="474">
        <f t="shared" si="43"/>
        <v>15</v>
      </c>
      <c r="O416" s="465">
        <v>8</v>
      </c>
      <c r="P416" s="466">
        <f t="shared" si="44"/>
        <v>35</v>
      </c>
      <c r="S416" s="467">
        <f t="shared" si="42"/>
        <v>35</v>
      </c>
    </row>
    <row r="417" customHeight="1" spans="1:19">
      <c r="A417" s="458">
        <v>46217</v>
      </c>
      <c r="B417" s="458" t="s">
        <v>367</v>
      </c>
      <c r="C417" s="459" t="s">
        <v>379</v>
      </c>
      <c r="D417" s="460"/>
      <c r="E417" s="461">
        <v>5</v>
      </c>
      <c r="F417" s="469"/>
      <c r="G417" s="493">
        <v>14</v>
      </c>
      <c r="H417" s="472"/>
      <c r="I417" s="472"/>
      <c r="J417" s="472"/>
      <c r="K417" s="472"/>
      <c r="L417" s="472"/>
      <c r="M417" s="472"/>
      <c r="N417" s="474">
        <f t="shared" si="43"/>
        <v>14</v>
      </c>
      <c r="O417" s="465">
        <v>8</v>
      </c>
      <c r="P417" s="466">
        <f t="shared" si="44"/>
        <v>30</v>
      </c>
      <c r="S417" s="467">
        <f t="shared" si="42"/>
        <v>30</v>
      </c>
    </row>
    <row r="418" customHeight="1" spans="1:19">
      <c r="A418" s="458">
        <v>46218</v>
      </c>
      <c r="B418" s="458" t="s">
        <v>367</v>
      </c>
      <c r="C418" s="459" t="s">
        <v>379</v>
      </c>
      <c r="D418" s="460"/>
      <c r="E418" s="461">
        <v>5</v>
      </c>
      <c r="F418" s="469"/>
      <c r="G418" s="493">
        <v>16</v>
      </c>
      <c r="H418" s="472"/>
      <c r="I418" s="472"/>
      <c r="J418" s="472"/>
      <c r="K418" s="472"/>
      <c r="L418" s="472"/>
      <c r="M418" s="472"/>
      <c r="N418" s="474">
        <f t="shared" si="43"/>
        <v>16</v>
      </c>
      <c r="O418" s="465">
        <v>8</v>
      </c>
      <c r="P418" s="466">
        <f t="shared" si="44"/>
        <v>40</v>
      </c>
      <c r="S418" s="467">
        <f t="shared" si="42"/>
        <v>40</v>
      </c>
    </row>
    <row r="419" customHeight="1" spans="1:19">
      <c r="A419" s="481">
        <v>46219</v>
      </c>
      <c r="B419" s="458" t="s">
        <v>367</v>
      </c>
      <c r="C419" s="459" t="s">
        <v>379</v>
      </c>
      <c r="D419" s="460"/>
      <c r="E419" s="461">
        <v>5</v>
      </c>
      <c r="F419" s="469"/>
      <c r="G419" s="493">
        <v>18</v>
      </c>
      <c r="H419" s="472"/>
      <c r="I419" s="472"/>
      <c r="J419" s="472"/>
      <c r="K419" s="472"/>
      <c r="L419" s="472"/>
      <c r="M419" s="472"/>
      <c r="N419" s="474">
        <f t="shared" si="43"/>
        <v>18</v>
      </c>
      <c r="O419" s="465">
        <v>8</v>
      </c>
      <c r="P419" s="466">
        <f t="shared" si="44"/>
        <v>50</v>
      </c>
      <c r="S419" s="467">
        <f t="shared" si="42"/>
        <v>50</v>
      </c>
    </row>
    <row r="420" customHeight="1" spans="1:19">
      <c r="A420" s="458">
        <v>46220</v>
      </c>
      <c r="B420" s="458" t="s">
        <v>367</v>
      </c>
      <c r="C420" s="459" t="s">
        <v>379</v>
      </c>
      <c r="D420" s="460"/>
      <c r="E420" s="461">
        <v>5</v>
      </c>
      <c r="F420" s="469"/>
      <c r="G420" s="493">
        <v>16</v>
      </c>
      <c r="H420" s="472"/>
      <c r="I420" s="472"/>
      <c r="J420" s="472"/>
      <c r="K420" s="472"/>
      <c r="L420" s="472"/>
      <c r="M420" s="472"/>
      <c r="N420" s="474">
        <f t="shared" si="43"/>
        <v>16</v>
      </c>
      <c r="O420" s="465">
        <v>8</v>
      </c>
      <c r="P420" s="466">
        <f t="shared" si="44"/>
        <v>40</v>
      </c>
      <c r="S420" s="467">
        <f t="shared" si="42"/>
        <v>40</v>
      </c>
    </row>
    <row r="421" customHeight="1" spans="1:19">
      <c r="A421" s="458">
        <v>46221</v>
      </c>
      <c r="B421" s="458" t="s">
        <v>367</v>
      </c>
      <c r="C421" s="459" t="s">
        <v>379</v>
      </c>
      <c r="D421" s="460"/>
      <c r="E421" s="461">
        <v>5</v>
      </c>
      <c r="F421" s="469"/>
      <c r="G421" s="493">
        <v>16</v>
      </c>
      <c r="H421" s="472"/>
      <c r="I421" s="472"/>
      <c r="J421" s="472"/>
      <c r="K421" s="472"/>
      <c r="L421" s="472"/>
      <c r="M421" s="472"/>
      <c r="N421" s="474">
        <f t="shared" si="43"/>
        <v>16</v>
      </c>
      <c r="O421" s="465">
        <v>8</v>
      </c>
      <c r="P421" s="466">
        <f t="shared" si="44"/>
        <v>40</v>
      </c>
      <c r="S421" s="467">
        <f t="shared" si="42"/>
        <v>40</v>
      </c>
    </row>
    <row r="422" customHeight="1" spans="1:19">
      <c r="A422" s="458">
        <v>46222</v>
      </c>
      <c r="B422" s="458" t="s">
        <v>367</v>
      </c>
      <c r="C422" s="459" t="s">
        <v>379</v>
      </c>
      <c r="D422" s="460"/>
      <c r="E422" s="461">
        <v>5</v>
      </c>
      <c r="F422" s="469"/>
      <c r="G422" s="493">
        <v>14</v>
      </c>
      <c r="H422" s="472"/>
      <c r="I422" s="472"/>
      <c r="J422" s="472"/>
      <c r="K422" s="472"/>
      <c r="L422" s="472"/>
      <c r="M422" s="472"/>
      <c r="N422" s="474">
        <f t="shared" si="43"/>
        <v>14</v>
      </c>
      <c r="O422" s="465">
        <v>8</v>
      </c>
      <c r="P422" s="466">
        <f t="shared" si="44"/>
        <v>30</v>
      </c>
      <c r="S422" s="467">
        <f t="shared" si="42"/>
        <v>30</v>
      </c>
    </row>
    <row r="423" customHeight="1" spans="1:19">
      <c r="A423" s="458">
        <v>46223</v>
      </c>
      <c r="B423" s="458" t="s">
        <v>367</v>
      </c>
      <c r="C423" s="459" t="s">
        <v>379</v>
      </c>
      <c r="D423" s="460"/>
      <c r="E423" s="461">
        <v>5</v>
      </c>
      <c r="F423" s="469"/>
      <c r="G423" s="493">
        <v>14</v>
      </c>
      <c r="H423" s="472"/>
      <c r="I423" s="472"/>
      <c r="J423" s="472"/>
      <c r="K423" s="472"/>
      <c r="L423" s="472"/>
      <c r="M423" s="472"/>
      <c r="N423" s="474">
        <f t="shared" si="43"/>
        <v>14</v>
      </c>
      <c r="O423" s="465">
        <v>8</v>
      </c>
      <c r="P423" s="466">
        <f t="shared" si="44"/>
        <v>30</v>
      </c>
      <c r="S423" s="467">
        <f t="shared" si="42"/>
        <v>30</v>
      </c>
    </row>
    <row r="424" customHeight="1" spans="1:19">
      <c r="A424" s="458">
        <v>46224</v>
      </c>
      <c r="B424" s="458" t="s">
        <v>367</v>
      </c>
      <c r="C424" s="459" t="s">
        <v>379</v>
      </c>
      <c r="D424" s="460"/>
      <c r="E424" s="461">
        <v>5</v>
      </c>
      <c r="F424" s="469"/>
      <c r="G424" s="493">
        <v>15</v>
      </c>
      <c r="H424" s="472"/>
      <c r="I424" s="472"/>
      <c r="J424" s="472"/>
      <c r="K424" s="472"/>
      <c r="L424" s="472"/>
      <c r="M424" s="472"/>
      <c r="N424" s="474">
        <f t="shared" si="43"/>
        <v>15</v>
      </c>
      <c r="O424" s="465">
        <v>8</v>
      </c>
      <c r="P424" s="466">
        <f t="shared" si="44"/>
        <v>35</v>
      </c>
      <c r="S424" s="467">
        <f t="shared" si="42"/>
        <v>35</v>
      </c>
    </row>
    <row r="425" customHeight="1" spans="1:19">
      <c r="A425" s="458">
        <v>46225</v>
      </c>
      <c r="B425" s="458" t="s">
        <v>367</v>
      </c>
      <c r="C425" s="459" t="s">
        <v>379</v>
      </c>
      <c r="D425" s="460"/>
      <c r="E425" s="461">
        <v>5</v>
      </c>
      <c r="F425" s="469"/>
      <c r="G425" s="493">
        <v>14</v>
      </c>
      <c r="H425" s="472"/>
      <c r="I425" s="472"/>
      <c r="J425" s="472"/>
      <c r="K425" s="472"/>
      <c r="L425" s="472"/>
      <c r="M425" s="472"/>
      <c r="N425" s="474">
        <f t="shared" si="43"/>
        <v>14</v>
      </c>
      <c r="O425" s="465">
        <v>8</v>
      </c>
      <c r="P425" s="466">
        <f t="shared" si="44"/>
        <v>30</v>
      </c>
      <c r="S425" s="467">
        <f t="shared" si="42"/>
        <v>30</v>
      </c>
    </row>
    <row r="426" customHeight="1" spans="1:19">
      <c r="A426" s="458">
        <v>46226</v>
      </c>
      <c r="B426" s="458" t="s">
        <v>367</v>
      </c>
      <c r="C426" s="459" t="s">
        <v>379</v>
      </c>
      <c r="D426" s="460"/>
      <c r="E426" s="461">
        <v>5</v>
      </c>
      <c r="F426" s="469"/>
      <c r="G426" s="493"/>
      <c r="H426" s="472"/>
      <c r="I426" s="472"/>
      <c r="J426" s="472"/>
      <c r="K426" s="472"/>
      <c r="L426" s="472"/>
      <c r="M426" s="472"/>
      <c r="N426" s="474">
        <f t="shared" si="43"/>
        <v>0</v>
      </c>
      <c r="O426" s="465">
        <v>8</v>
      </c>
      <c r="P426" s="466">
        <f t="shared" si="44"/>
        <v>0</v>
      </c>
      <c r="S426" s="467">
        <f t="shared" si="42"/>
        <v>0</v>
      </c>
    </row>
    <row r="427" customHeight="1" spans="1:19">
      <c r="A427" s="458">
        <v>46227</v>
      </c>
      <c r="B427" s="458" t="s">
        <v>367</v>
      </c>
      <c r="C427" s="459" t="s">
        <v>379</v>
      </c>
      <c r="D427" s="460"/>
      <c r="E427" s="461">
        <v>5</v>
      </c>
      <c r="F427" s="469"/>
      <c r="G427" s="493"/>
      <c r="H427" s="472"/>
      <c r="I427" s="472"/>
      <c r="J427" s="472"/>
      <c r="K427" s="472"/>
      <c r="L427" s="472"/>
      <c r="M427" s="472"/>
      <c r="N427" s="474">
        <f t="shared" si="43"/>
        <v>0</v>
      </c>
      <c r="O427" s="465">
        <v>8</v>
      </c>
      <c r="P427" s="466">
        <f t="shared" si="44"/>
        <v>0</v>
      </c>
      <c r="S427" s="467">
        <f t="shared" si="42"/>
        <v>0</v>
      </c>
    </row>
    <row r="428" customHeight="1" spans="1:19">
      <c r="A428" s="458">
        <v>46228</v>
      </c>
      <c r="B428" s="458" t="s">
        <v>367</v>
      </c>
      <c r="C428" s="459" t="s">
        <v>379</v>
      </c>
      <c r="D428" s="460"/>
      <c r="E428" s="461">
        <v>5</v>
      </c>
      <c r="F428" s="469"/>
      <c r="G428" s="493">
        <v>18</v>
      </c>
      <c r="H428" s="472"/>
      <c r="I428" s="472"/>
      <c r="J428" s="472"/>
      <c r="K428" s="472"/>
      <c r="L428" s="472"/>
      <c r="M428" s="472"/>
      <c r="N428" s="474">
        <f t="shared" si="43"/>
        <v>18</v>
      </c>
      <c r="O428" s="465">
        <v>8</v>
      </c>
      <c r="P428" s="466">
        <f t="shared" si="44"/>
        <v>50</v>
      </c>
      <c r="S428" s="467">
        <f t="shared" si="42"/>
        <v>50</v>
      </c>
    </row>
    <row r="429" customHeight="1" spans="1:19">
      <c r="A429" s="458">
        <v>46229</v>
      </c>
      <c r="B429" s="458" t="s">
        <v>367</v>
      </c>
      <c r="C429" s="459" t="s">
        <v>379</v>
      </c>
      <c r="D429" s="460"/>
      <c r="E429" s="461">
        <v>5</v>
      </c>
      <c r="F429" s="469"/>
      <c r="G429" s="493">
        <v>14</v>
      </c>
      <c r="H429" s="472"/>
      <c r="I429" s="472"/>
      <c r="J429" s="472"/>
      <c r="K429" s="472"/>
      <c r="L429" s="472"/>
      <c r="M429" s="472"/>
      <c r="N429" s="474">
        <f t="shared" si="43"/>
        <v>14</v>
      </c>
      <c r="O429" s="465">
        <v>8</v>
      </c>
      <c r="P429" s="466">
        <f t="shared" si="44"/>
        <v>30</v>
      </c>
      <c r="S429" s="467">
        <f t="shared" si="42"/>
        <v>30</v>
      </c>
    </row>
    <row r="430" customHeight="1" spans="1:19">
      <c r="A430" s="458">
        <v>46230</v>
      </c>
      <c r="B430" s="458" t="s">
        <v>367</v>
      </c>
      <c r="C430" s="459" t="s">
        <v>379</v>
      </c>
      <c r="D430" s="460"/>
      <c r="E430" s="461">
        <v>5</v>
      </c>
      <c r="F430" s="469"/>
      <c r="G430" s="493">
        <v>15</v>
      </c>
      <c r="H430" s="472"/>
      <c r="I430" s="472"/>
      <c r="J430" s="472"/>
      <c r="K430" s="472"/>
      <c r="L430" s="472"/>
      <c r="M430" s="472"/>
      <c r="N430" s="474">
        <f t="shared" si="43"/>
        <v>15</v>
      </c>
      <c r="O430" s="465">
        <v>8</v>
      </c>
      <c r="P430" s="466">
        <f t="shared" si="44"/>
        <v>35</v>
      </c>
      <c r="S430" s="467">
        <f t="shared" si="42"/>
        <v>35</v>
      </c>
    </row>
    <row r="431" customHeight="1" spans="1:19">
      <c r="A431" s="458">
        <v>46231</v>
      </c>
      <c r="B431" s="458" t="s">
        <v>367</v>
      </c>
      <c r="C431" s="459" t="s">
        <v>379</v>
      </c>
      <c r="D431" s="460"/>
      <c r="E431" s="461">
        <v>5</v>
      </c>
      <c r="F431" s="469"/>
      <c r="G431" s="493">
        <v>17</v>
      </c>
      <c r="H431" s="472"/>
      <c r="I431" s="472"/>
      <c r="J431" s="472"/>
      <c r="K431" s="472"/>
      <c r="L431" s="472"/>
      <c r="M431" s="472"/>
      <c r="N431" s="474">
        <f t="shared" si="43"/>
        <v>17</v>
      </c>
      <c r="O431" s="465">
        <v>8</v>
      </c>
      <c r="P431" s="466">
        <f t="shared" si="44"/>
        <v>45</v>
      </c>
      <c r="S431" s="467">
        <f t="shared" si="42"/>
        <v>45</v>
      </c>
    </row>
    <row r="432" customHeight="1" spans="1:19">
      <c r="A432" s="458">
        <v>46232</v>
      </c>
      <c r="B432" s="458" t="s">
        <v>367</v>
      </c>
      <c r="C432" s="459" t="s">
        <v>379</v>
      </c>
      <c r="D432" s="460"/>
      <c r="E432" s="461">
        <v>5</v>
      </c>
      <c r="F432" s="469"/>
      <c r="G432" s="493">
        <v>19</v>
      </c>
      <c r="H432" s="472"/>
      <c r="I432" s="472"/>
      <c r="J432" s="472"/>
      <c r="K432" s="472"/>
      <c r="L432" s="472"/>
      <c r="M432" s="472"/>
      <c r="N432" s="474">
        <f t="shared" si="43"/>
        <v>19</v>
      </c>
      <c r="O432" s="465">
        <v>8</v>
      </c>
      <c r="P432" s="466">
        <f t="shared" si="44"/>
        <v>55</v>
      </c>
      <c r="S432" s="467">
        <f t="shared" si="42"/>
        <v>55</v>
      </c>
    </row>
    <row r="433" customHeight="1" spans="1:19">
      <c r="A433" s="458">
        <v>46233</v>
      </c>
      <c r="B433" s="521" t="s">
        <v>367</v>
      </c>
      <c r="C433" s="459" t="s">
        <v>379</v>
      </c>
      <c r="D433" s="460"/>
      <c r="E433" s="461">
        <v>5</v>
      </c>
      <c r="F433" s="469"/>
      <c r="G433" s="493">
        <v>19</v>
      </c>
      <c r="H433" s="472"/>
      <c r="I433" s="472"/>
      <c r="J433" s="472"/>
      <c r="K433" s="472"/>
      <c r="L433" s="472"/>
      <c r="M433" s="472"/>
      <c r="N433" s="474">
        <v>0</v>
      </c>
      <c r="O433" s="465">
        <v>8</v>
      </c>
      <c r="P433" s="466">
        <v>0</v>
      </c>
      <c r="S433" s="467">
        <f>IF(B434="","",P433+R433)</f>
        <v>0</v>
      </c>
    </row>
    <row r="434" customHeight="1" spans="1:19">
      <c r="A434" s="458">
        <v>46234</v>
      </c>
      <c r="B434" s="522" t="s">
        <v>367</v>
      </c>
      <c r="C434" s="459" t="s">
        <v>379</v>
      </c>
      <c r="D434" s="460"/>
      <c r="E434" s="461">
        <v>5</v>
      </c>
      <c r="F434" s="469"/>
      <c r="G434" s="493">
        <v>17</v>
      </c>
      <c r="H434" s="472"/>
      <c r="I434" s="472"/>
      <c r="J434" s="472"/>
      <c r="K434" s="472"/>
      <c r="L434" s="472"/>
      <c r="M434" s="472"/>
      <c r="N434" s="474">
        <f>SUMPRODUCT($G$2:$M$2,G434:M434)</f>
        <v>17</v>
      </c>
      <c r="O434" s="465">
        <v>8</v>
      </c>
      <c r="P434" s="466">
        <f>IFERROR(IF((N434*E434-O434*E434)&lt;0,0,(N434*E434-O434*E434)),"")</f>
        <v>45</v>
      </c>
      <c r="S434" s="467">
        <f>IF(B435="","",P434+R434)</f>
        <v>45</v>
      </c>
    </row>
    <row r="435" customHeight="1" spans="1:19">
      <c r="A435" s="458">
        <v>46204</v>
      </c>
      <c r="B435" s="522" t="s">
        <v>368</v>
      </c>
      <c r="C435" s="459" t="s">
        <v>379</v>
      </c>
      <c r="D435" s="460"/>
      <c r="E435" s="461">
        <v>5</v>
      </c>
      <c r="F435" s="469"/>
      <c r="G435" s="493">
        <v>17</v>
      </c>
      <c r="H435" s="472"/>
      <c r="I435" s="472"/>
      <c r="J435" s="472"/>
      <c r="K435" s="472"/>
      <c r="L435" s="472"/>
      <c r="M435" s="472"/>
      <c r="N435" s="474">
        <f>SUMPRODUCT($G$2:$M$2,G435:M435)</f>
        <v>17</v>
      </c>
      <c r="O435" s="465">
        <v>8</v>
      </c>
      <c r="P435" s="466">
        <f>IFERROR(IF((N435*E435-O435*E435)&lt;0,0,(N435*E435-O435*E435)),"")</f>
        <v>45</v>
      </c>
      <c r="S435" s="467">
        <f t="shared" si="42"/>
        <v>45</v>
      </c>
    </row>
    <row r="436" customHeight="1" spans="1:19">
      <c r="A436" s="458">
        <v>46205</v>
      </c>
      <c r="B436" s="522" t="s">
        <v>368</v>
      </c>
      <c r="C436" s="459" t="s">
        <v>379</v>
      </c>
      <c r="D436" s="460"/>
      <c r="E436" s="461">
        <v>5</v>
      </c>
      <c r="F436" s="469"/>
      <c r="G436" s="493">
        <v>19</v>
      </c>
      <c r="H436" s="472"/>
      <c r="I436" s="472"/>
      <c r="J436" s="472"/>
      <c r="K436" s="472"/>
      <c r="L436" s="472"/>
      <c r="M436" s="472"/>
      <c r="N436" s="474">
        <f>SUMPRODUCT($G$2:$M$2,G436:M436)</f>
        <v>19</v>
      </c>
      <c r="O436" s="465">
        <v>8</v>
      </c>
      <c r="P436" s="466">
        <f>IFERROR(IF((N436*E436-O436*E436)&lt;0,0,(N436*E436-O436*E436)),"")</f>
        <v>55</v>
      </c>
      <c r="S436" s="467">
        <f t="shared" si="42"/>
        <v>55</v>
      </c>
    </row>
    <row r="437" customHeight="1" spans="1:19">
      <c r="A437" s="458">
        <v>46206</v>
      </c>
      <c r="B437" s="522" t="s">
        <v>368</v>
      </c>
      <c r="C437" s="459" t="s">
        <v>379</v>
      </c>
      <c r="D437" s="460"/>
      <c r="E437" s="461">
        <v>5</v>
      </c>
      <c r="F437" s="469"/>
      <c r="G437" s="493">
        <v>17</v>
      </c>
      <c r="H437" s="472"/>
      <c r="I437" s="472"/>
      <c r="J437" s="472"/>
      <c r="K437" s="472"/>
      <c r="L437" s="472"/>
      <c r="M437" s="472"/>
      <c r="N437" s="474">
        <f>SUMPRODUCT($G$2:$M$2,G437:M437)</f>
        <v>17</v>
      </c>
      <c r="O437" s="465">
        <v>8</v>
      </c>
      <c r="P437" s="466">
        <f>IFERROR(IF((N437*E437-O437*E437)&lt;0,0,(N437*E437-O437*E437)),"")</f>
        <v>45</v>
      </c>
      <c r="S437" s="467">
        <f t="shared" si="42"/>
        <v>45</v>
      </c>
    </row>
    <row r="438" customHeight="1" spans="1:19">
      <c r="A438" s="458">
        <v>46207</v>
      </c>
      <c r="B438" s="522" t="s">
        <v>368</v>
      </c>
      <c r="C438" s="459" t="s">
        <v>379</v>
      </c>
      <c r="D438" s="460"/>
      <c r="E438" s="461">
        <v>5</v>
      </c>
      <c r="F438" s="469"/>
      <c r="G438" s="493">
        <v>28</v>
      </c>
      <c r="H438" s="472"/>
      <c r="I438" s="472"/>
      <c r="J438" s="472"/>
      <c r="K438" s="472"/>
      <c r="L438" s="472"/>
      <c r="M438" s="472"/>
      <c r="N438" s="474">
        <f>SUMPRODUCT($G$2:$M$2,G438:M438)</f>
        <v>28</v>
      </c>
      <c r="O438" s="465">
        <v>8</v>
      </c>
      <c r="P438" s="466">
        <f>IFERROR(IF((N438*E438-O438*E438)&lt;0,0,(N438*E438-O438*E438)),"")</f>
        <v>100</v>
      </c>
      <c r="S438" s="467">
        <f t="shared" si="42"/>
        <v>100</v>
      </c>
    </row>
    <row r="439" customHeight="1" spans="1:19">
      <c r="A439" s="458">
        <v>46208</v>
      </c>
      <c r="B439" s="522" t="s">
        <v>368</v>
      </c>
      <c r="C439" s="459" t="s">
        <v>379</v>
      </c>
      <c r="D439" s="460"/>
      <c r="E439" s="461">
        <v>5</v>
      </c>
      <c r="F439" s="469"/>
      <c r="G439" s="493">
        <v>16</v>
      </c>
      <c r="H439" s="472"/>
      <c r="I439" s="472"/>
      <c r="J439" s="472"/>
      <c r="K439" s="472"/>
      <c r="L439" s="472"/>
      <c r="M439" s="472"/>
      <c r="N439" s="474">
        <f t="shared" ref="N439:N452" si="45">SUMPRODUCT($G$2:$M$2,G439:M439)</f>
        <v>16</v>
      </c>
      <c r="O439" s="465">
        <v>8</v>
      </c>
      <c r="P439" s="466">
        <f t="shared" ref="P439:P452" si="46">IFERROR(IF((N439*E439-O439*E439)&lt;0,0,(N439*E439-O439*E439)),"")</f>
        <v>40</v>
      </c>
      <c r="S439" s="467">
        <f t="shared" ref="S439:S468" si="47">IF(B439="","",P439+R439)</f>
        <v>40</v>
      </c>
    </row>
    <row r="440" customHeight="1" spans="1:19">
      <c r="A440" s="458">
        <v>46209</v>
      </c>
      <c r="B440" s="522" t="s">
        <v>368</v>
      </c>
      <c r="C440" s="459" t="s">
        <v>379</v>
      </c>
      <c r="D440" s="460"/>
      <c r="E440" s="461">
        <v>5</v>
      </c>
      <c r="F440" s="469"/>
      <c r="G440" s="493">
        <v>19</v>
      </c>
      <c r="H440" s="472"/>
      <c r="I440" s="472"/>
      <c r="J440" s="472"/>
      <c r="K440" s="472"/>
      <c r="L440" s="472"/>
      <c r="M440" s="472"/>
      <c r="N440" s="474">
        <f t="shared" si="45"/>
        <v>19</v>
      </c>
      <c r="O440" s="465">
        <v>8</v>
      </c>
      <c r="P440" s="466">
        <f t="shared" si="46"/>
        <v>55</v>
      </c>
      <c r="S440" s="467">
        <f t="shared" si="47"/>
        <v>55</v>
      </c>
    </row>
    <row r="441" customHeight="1" spans="1:19">
      <c r="A441" s="458">
        <v>46210</v>
      </c>
      <c r="B441" s="522" t="s">
        <v>368</v>
      </c>
      <c r="C441" s="459" t="s">
        <v>379</v>
      </c>
      <c r="D441" s="460"/>
      <c r="E441" s="461">
        <v>5</v>
      </c>
      <c r="F441" s="469"/>
      <c r="G441" s="493">
        <v>24</v>
      </c>
      <c r="H441" s="472"/>
      <c r="I441" s="472"/>
      <c r="J441" s="472"/>
      <c r="K441" s="472"/>
      <c r="L441" s="472"/>
      <c r="M441" s="472"/>
      <c r="N441" s="474">
        <f t="shared" si="45"/>
        <v>24</v>
      </c>
      <c r="O441" s="465">
        <v>8</v>
      </c>
      <c r="P441" s="466">
        <f t="shared" si="46"/>
        <v>80</v>
      </c>
      <c r="S441" s="467">
        <f t="shared" si="47"/>
        <v>80</v>
      </c>
    </row>
    <row r="442" customHeight="1" spans="1:19">
      <c r="A442" s="458">
        <v>46211</v>
      </c>
      <c r="B442" s="522" t="s">
        <v>368</v>
      </c>
      <c r="C442" s="459" t="s">
        <v>379</v>
      </c>
      <c r="D442" s="460"/>
      <c r="E442" s="461">
        <v>5</v>
      </c>
      <c r="F442" s="469"/>
      <c r="G442" s="493">
        <v>26</v>
      </c>
      <c r="H442" s="472"/>
      <c r="I442" s="472"/>
      <c r="J442" s="472"/>
      <c r="K442" s="472"/>
      <c r="L442" s="472"/>
      <c r="M442" s="472"/>
      <c r="N442" s="474">
        <f t="shared" si="45"/>
        <v>26</v>
      </c>
      <c r="O442" s="465">
        <v>8</v>
      </c>
      <c r="P442" s="466">
        <f t="shared" si="46"/>
        <v>90</v>
      </c>
      <c r="S442" s="467">
        <f t="shared" si="47"/>
        <v>90</v>
      </c>
    </row>
    <row r="443" customHeight="1" spans="1:19">
      <c r="A443" s="458">
        <v>46212</v>
      </c>
      <c r="B443" s="522" t="s">
        <v>368</v>
      </c>
      <c r="C443" s="459" t="s">
        <v>379</v>
      </c>
      <c r="D443" s="460"/>
      <c r="E443" s="461">
        <v>5</v>
      </c>
      <c r="F443" s="469"/>
      <c r="G443" s="493">
        <v>21</v>
      </c>
      <c r="H443" s="472"/>
      <c r="I443" s="472"/>
      <c r="J443" s="472"/>
      <c r="K443" s="472"/>
      <c r="L443" s="472">
        <v>1</v>
      </c>
      <c r="M443" s="472"/>
      <c r="N443" s="474">
        <f t="shared" si="45"/>
        <v>23</v>
      </c>
      <c r="O443" s="465">
        <v>8</v>
      </c>
      <c r="P443" s="466">
        <f t="shared" si="46"/>
        <v>75</v>
      </c>
      <c r="S443" s="467">
        <f t="shared" si="47"/>
        <v>75</v>
      </c>
    </row>
    <row r="444" customHeight="1" spans="1:19">
      <c r="A444" s="458">
        <v>46213</v>
      </c>
      <c r="B444" s="522" t="s">
        <v>368</v>
      </c>
      <c r="C444" s="459" t="s">
        <v>379</v>
      </c>
      <c r="D444" s="460"/>
      <c r="E444" s="461">
        <v>5</v>
      </c>
      <c r="F444" s="469"/>
      <c r="G444" s="493">
        <v>19</v>
      </c>
      <c r="H444" s="472"/>
      <c r="I444" s="472"/>
      <c r="J444" s="472"/>
      <c r="K444" s="472"/>
      <c r="L444" s="472">
        <v>1</v>
      </c>
      <c r="M444" s="472"/>
      <c r="N444" s="474">
        <f t="shared" si="45"/>
        <v>21</v>
      </c>
      <c r="O444" s="465">
        <v>8</v>
      </c>
      <c r="P444" s="466">
        <f t="shared" si="46"/>
        <v>65</v>
      </c>
      <c r="S444" s="467">
        <f t="shared" si="47"/>
        <v>65</v>
      </c>
    </row>
    <row r="445" customHeight="1" spans="1:19">
      <c r="A445" s="458">
        <v>46214</v>
      </c>
      <c r="B445" s="522" t="s">
        <v>368</v>
      </c>
      <c r="C445" s="459" t="s">
        <v>379</v>
      </c>
      <c r="D445" s="460"/>
      <c r="E445" s="461">
        <v>5</v>
      </c>
      <c r="F445" s="469"/>
      <c r="G445" s="493">
        <v>20</v>
      </c>
      <c r="H445" s="472"/>
      <c r="I445" s="472"/>
      <c r="J445" s="472"/>
      <c r="K445" s="472"/>
      <c r="L445" s="472">
        <v>1</v>
      </c>
      <c r="M445" s="472"/>
      <c r="N445" s="474">
        <f t="shared" si="45"/>
        <v>22</v>
      </c>
      <c r="O445" s="465">
        <v>8</v>
      </c>
      <c r="P445" s="466">
        <f t="shared" si="46"/>
        <v>70</v>
      </c>
      <c r="S445" s="467">
        <f t="shared" si="47"/>
        <v>70</v>
      </c>
    </row>
    <row r="446" customHeight="1" spans="1:19">
      <c r="A446" s="458">
        <v>46215</v>
      </c>
      <c r="B446" s="522" t="s">
        <v>368</v>
      </c>
      <c r="C446" s="459" t="s">
        <v>379</v>
      </c>
      <c r="D446" s="460"/>
      <c r="E446" s="461">
        <v>5</v>
      </c>
      <c r="F446" s="469"/>
      <c r="G446" s="493">
        <v>17</v>
      </c>
      <c r="H446" s="472"/>
      <c r="I446" s="472"/>
      <c r="J446" s="472"/>
      <c r="K446" s="472"/>
      <c r="L446" s="472"/>
      <c r="M446" s="472"/>
      <c r="N446" s="474">
        <f t="shared" si="45"/>
        <v>17</v>
      </c>
      <c r="O446" s="465">
        <v>8</v>
      </c>
      <c r="P446" s="466">
        <f t="shared" si="46"/>
        <v>45</v>
      </c>
      <c r="S446" s="467">
        <f t="shared" si="47"/>
        <v>45</v>
      </c>
    </row>
    <row r="447" customHeight="1" spans="1:19">
      <c r="A447" s="458">
        <v>46216</v>
      </c>
      <c r="B447" s="522" t="s">
        <v>368</v>
      </c>
      <c r="C447" s="459" t="s">
        <v>379</v>
      </c>
      <c r="D447" s="460"/>
      <c r="E447" s="461">
        <v>5</v>
      </c>
      <c r="F447" s="469"/>
      <c r="G447" s="493"/>
      <c r="H447" s="472"/>
      <c r="I447" s="472"/>
      <c r="J447" s="472"/>
      <c r="K447" s="472"/>
      <c r="L447" s="472"/>
      <c r="M447" s="472"/>
      <c r="N447" s="474">
        <f t="shared" si="45"/>
        <v>0</v>
      </c>
      <c r="O447" s="465">
        <v>8</v>
      </c>
      <c r="P447" s="466">
        <f t="shared" si="46"/>
        <v>0</v>
      </c>
      <c r="S447" s="467">
        <f t="shared" si="47"/>
        <v>0</v>
      </c>
    </row>
    <row r="448" customHeight="1" spans="1:19">
      <c r="A448" s="458">
        <v>46217</v>
      </c>
      <c r="B448" s="522" t="s">
        <v>368</v>
      </c>
      <c r="C448" s="459" t="s">
        <v>379</v>
      </c>
      <c r="D448" s="460"/>
      <c r="E448" s="461">
        <v>5</v>
      </c>
      <c r="F448" s="469"/>
      <c r="G448" s="493">
        <v>16</v>
      </c>
      <c r="H448" s="472"/>
      <c r="I448" s="472"/>
      <c r="J448" s="472"/>
      <c r="K448" s="472"/>
      <c r="L448" s="472">
        <v>1</v>
      </c>
      <c r="M448" s="472"/>
      <c r="N448" s="474">
        <f t="shared" si="45"/>
        <v>18</v>
      </c>
      <c r="O448" s="465">
        <v>8</v>
      </c>
      <c r="P448" s="466">
        <f t="shared" si="46"/>
        <v>50</v>
      </c>
      <c r="S448" s="467">
        <f t="shared" si="47"/>
        <v>50</v>
      </c>
    </row>
    <row r="449" customHeight="1" spans="1:19">
      <c r="A449" s="458">
        <v>46218</v>
      </c>
      <c r="B449" s="522" t="s">
        <v>368</v>
      </c>
      <c r="C449" s="459" t="s">
        <v>379</v>
      </c>
      <c r="D449" s="460"/>
      <c r="E449" s="461">
        <v>5</v>
      </c>
      <c r="F449" s="469"/>
      <c r="G449" s="493">
        <v>19</v>
      </c>
      <c r="H449" s="472"/>
      <c r="I449" s="472"/>
      <c r="J449" s="472"/>
      <c r="K449" s="472"/>
      <c r="L449" s="472"/>
      <c r="M449" s="472"/>
      <c r="N449" s="474">
        <f t="shared" si="45"/>
        <v>19</v>
      </c>
      <c r="O449" s="465">
        <v>8</v>
      </c>
      <c r="P449" s="466">
        <f t="shared" si="46"/>
        <v>55</v>
      </c>
      <c r="S449" s="467">
        <f t="shared" si="47"/>
        <v>55</v>
      </c>
    </row>
    <row r="450" customHeight="1" spans="1:19">
      <c r="A450" s="481">
        <v>46219</v>
      </c>
      <c r="B450" s="522" t="s">
        <v>368</v>
      </c>
      <c r="C450" s="459" t="s">
        <v>379</v>
      </c>
      <c r="D450" s="460"/>
      <c r="E450" s="461">
        <v>5</v>
      </c>
      <c r="F450" s="469"/>
      <c r="G450" s="493">
        <v>23</v>
      </c>
      <c r="H450" s="472"/>
      <c r="I450" s="472"/>
      <c r="J450" s="472"/>
      <c r="K450" s="472"/>
      <c r="L450" s="472"/>
      <c r="M450" s="472"/>
      <c r="N450" s="474">
        <f t="shared" si="45"/>
        <v>23</v>
      </c>
      <c r="O450" s="465">
        <v>8</v>
      </c>
      <c r="P450" s="466">
        <f t="shared" si="46"/>
        <v>75</v>
      </c>
      <c r="S450" s="467">
        <f t="shared" si="47"/>
        <v>75</v>
      </c>
    </row>
    <row r="451" customHeight="1" spans="1:19">
      <c r="A451" s="458">
        <v>46220</v>
      </c>
      <c r="B451" s="522" t="s">
        <v>368</v>
      </c>
      <c r="C451" s="459" t="s">
        <v>379</v>
      </c>
      <c r="D451" s="460"/>
      <c r="E451" s="461">
        <v>5</v>
      </c>
      <c r="F451" s="469"/>
      <c r="G451" s="493">
        <v>22</v>
      </c>
      <c r="H451" s="472"/>
      <c r="I451" s="472"/>
      <c r="J451" s="472"/>
      <c r="K451" s="472"/>
      <c r="L451" s="472"/>
      <c r="M451" s="472"/>
      <c r="N451" s="474">
        <f t="shared" si="45"/>
        <v>22</v>
      </c>
      <c r="O451" s="465">
        <v>8</v>
      </c>
      <c r="P451" s="466">
        <f t="shared" si="46"/>
        <v>70</v>
      </c>
      <c r="S451" s="467">
        <f t="shared" si="47"/>
        <v>70</v>
      </c>
    </row>
    <row r="452" customHeight="1" spans="1:19">
      <c r="A452" s="458">
        <v>46221</v>
      </c>
      <c r="B452" s="522" t="s">
        <v>368</v>
      </c>
      <c r="C452" s="459" t="s">
        <v>379</v>
      </c>
      <c r="D452" s="460"/>
      <c r="E452" s="461">
        <v>5</v>
      </c>
      <c r="F452" s="469"/>
      <c r="G452" s="493">
        <v>22</v>
      </c>
      <c r="H452" s="472"/>
      <c r="I452" s="472"/>
      <c r="J452" s="472"/>
      <c r="K452" s="472"/>
      <c r="L452" s="472"/>
      <c r="M452" s="472"/>
      <c r="N452" s="474">
        <f t="shared" si="45"/>
        <v>22</v>
      </c>
      <c r="O452" s="465">
        <v>8</v>
      </c>
      <c r="P452" s="466">
        <f t="shared" si="46"/>
        <v>70</v>
      </c>
      <c r="S452" s="467">
        <f t="shared" si="47"/>
        <v>70</v>
      </c>
    </row>
    <row r="453" customHeight="1" spans="1:19">
      <c r="A453" s="458">
        <v>46222</v>
      </c>
      <c r="B453" s="522" t="s">
        <v>368</v>
      </c>
      <c r="C453" s="459" t="s">
        <v>379</v>
      </c>
      <c r="D453" s="460"/>
      <c r="E453" s="461">
        <v>5</v>
      </c>
      <c r="F453" s="469"/>
      <c r="G453" s="493">
        <v>20</v>
      </c>
      <c r="H453" s="472"/>
      <c r="I453" s="472"/>
      <c r="J453" s="472"/>
      <c r="K453" s="472"/>
      <c r="L453" s="472"/>
      <c r="M453" s="472"/>
      <c r="N453" s="474">
        <v>0</v>
      </c>
      <c r="O453" s="465">
        <v>8</v>
      </c>
      <c r="P453" s="466">
        <v>0</v>
      </c>
      <c r="S453" s="467">
        <f t="shared" si="47"/>
        <v>0</v>
      </c>
    </row>
    <row r="454" customHeight="1" spans="1:19">
      <c r="A454" s="458">
        <v>46223</v>
      </c>
      <c r="B454" s="522" t="s">
        <v>368</v>
      </c>
      <c r="C454" s="459" t="s">
        <v>379</v>
      </c>
      <c r="D454" s="460"/>
      <c r="E454" s="461">
        <v>5</v>
      </c>
      <c r="F454" s="469"/>
      <c r="G454" s="493">
        <v>13</v>
      </c>
      <c r="H454" s="472"/>
      <c r="I454" s="472"/>
      <c r="J454" s="472"/>
      <c r="K454" s="472"/>
      <c r="L454" s="472"/>
      <c r="M454" s="472"/>
      <c r="N454" s="474">
        <f t="shared" ref="N454:N473" si="48">SUMPRODUCT($G$2:$M$2,G454:M454)</f>
        <v>13</v>
      </c>
      <c r="O454" s="465">
        <v>8</v>
      </c>
      <c r="P454" s="466">
        <f t="shared" ref="P454:P473" si="49">IFERROR(IF((N454*E454-O454*E454)&lt;0,0,(N454*E454-O454*E454)),"")</f>
        <v>25</v>
      </c>
      <c r="S454" s="467">
        <f t="shared" si="47"/>
        <v>25</v>
      </c>
    </row>
    <row r="455" customHeight="1" spans="1:19">
      <c r="A455" s="458">
        <v>46224</v>
      </c>
      <c r="B455" s="522" t="s">
        <v>368</v>
      </c>
      <c r="C455" s="459" t="s">
        <v>379</v>
      </c>
      <c r="D455" s="460"/>
      <c r="E455" s="461">
        <v>5</v>
      </c>
      <c r="F455" s="469"/>
      <c r="G455" s="493"/>
      <c r="H455" s="472"/>
      <c r="I455" s="472"/>
      <c r="J455" s="472"/>
      <c r="K455" s="472"/>
      <c r="L455" s="472"/>
      <c r="M455" s="472"/>
      <c r="N455" s="474">
        <f t="shared" si="48"/>
        <v>0</v>
      </c>
      <c r="O455" s="465">
        <v>8</v>
      </c>
      <c r="P455" s="466">
        <f t="shared" si="49"/>
        <v>0</v>
      </c>
      <c r="S455" s="467">
        <f t="shared" si="47"/>
        <v>0</v>
      </c>
    </row>
    <row r="456" customHeight="1" spans="1:19">
      <c r="A456" s="458">
        <v>46225</v>
      </c>
      <c r="B456" s="522" t="s">
        <v>368</v>
      </c>
      <c r="C456" s="459" t="s">
        <v>379</v>
      </c>
      <c r="D456" s="460"/>
      <c r="E456" s="461">
        <v>5</v>
      </c>
      <c r="F456" s="469"/>
      <c r="G456" s="493">
        <v>20</v>
      </c>
      <c r="H456" s="472"/>
      <c r="I456" s="472"/>
      <c r="J456" s="472"/>
      <c r="K456" s="472"/>
      <c r="L456" s="472">
        <v>1</v>
      </c>
      <c r="M456" s="472"/>
      <c r="N456" s="474">
        <f t="shared" si="48"/>
        <v>22</v>
      </c>
      <c r="O456" s="465">
        <v>8</v>
      </c>
      <c r="P456" s="466">
        <f t="shared" si="49"/>
        <v>70</v>
      </c>
      <c r="S456" s="467">
        <f t="shared" si="47"/>
        <v>70</v>
      </c>
    </row>
    <row r="457" customHeight="1" spans="1:19">
      <c r="A457" s="458">
        <v>46226</v>
      </c>
      <c r="B457" s="522" t="s">
        <v>368</v>
      </c>
      <c r="C457" s="459" t="s">
        <v>379</v>
      </c>
      <c r="D457" s="460"/>
      <c r="E457" s="461">
        <v>5</v>
      </c>
      <c r="F457" s="469"/>
      <c r="G457" s="493">
        <v>24</v>
      </c>
      <c r="H457" s="472"/>
      <c r="I457" s="472"/>
      <c r="J457" s="472"/>
      <c r="K457" s="472"/>
      <c r="L457" s="472"/>
      <c r="M457" s="472"/>
      <c r="N457" s="474">
        <f t="shared" si="48"/>
        <v>24</v>
      </c>
      <c r="O457" s="465">
        <v>8</v>
      </c>
      <c r="P457" s="466">
        <f t="shared" si="49"/>
        <v>80</v>
      </c>
      <c r="S457" s="467">
        <f t="shared" si="47"/>
        <v>80</v>
      </c>
    </row>
    <row r="458" customHeight="1" spans="1:19">
      <c r="A458" s="458">
        <v>46227</v>
      </c>
      <c r="B458" s="522" t="s">
        <v>368</v>
      </c>
      <c r="C458" s="459" t="s">
        <v>379</v>
      </c>
      <c r="D458" s="460"/>
      <c r="E458" s="461">
        <v>5</v>
      </c>
      <c r="F458" s="469"/>
      <c r="G458" s="493">
        <v>24</v>
      </c>
      <c r="H458" s="472"/>
      <c r="I458" s="472"/>
      <c r="J458" s="472"/>
      <c r="K458" s="472"/>
      <c r="L458" s="472">
        <v>1</v>
      </c>
      <c r="M458" s="472"/>
      <c r="N458" s="474">
        <f t="shared" si="48"/>
        <v>26</v>
      </c>
      <c r="O458" s="465">
        <v>8</v>
      </c>
      <c r="P458" s="466">
        <f t="shared" si="49"/>
        <v>90</v>
      </c>
      <c r="S458" s="467">
        <f t="shared" si="47"/>
        <v>90</v>
      </c>
    </row>
    <row r="459" customHeight="1" spans="1:19">
      <c r="A459" s="458">
        <v>46228</v>
      </c>
      <c r="B459" s="522" t="s">
        <v>368</v>
      </c>
      <c r="C459" s="459" t="s">
        <v>379</v>
      </c>
      <c r="D459" s="460"/>
      <c r="E459" s="461">
        <v>5</v>
      </c>
      <c r="F459" s="469"/>
      <c r="G459" s="493">
        <v>20</v>
      </c>
      <c r="H459" s="472"/>
      <c r="I459" s="472"/>
      <c r="J459" s="472"/>
      <c r="K459" s="472"/>
      <c r="L459" s="472">
        <v>1</v>
      </c>
      <c r="M459" s="472"/>
      <c r="N459" s="474">
        <f t="shared" si="48"/>
        <v>22</v>
      </c>
      <c r="O459" s="465">
        <v>8</v>
      </c>
      <c r="P459" s="466">
        <f t="shared" si="49"/>
        <v>70</v>
      </c>
      <c r="S459" s="467">
        <f t="shared" si="47"/>
        <v>70</v>
      </c>
    </row>
    <row r="460" customHeight="1" spans="1:19">
      <c r="A460" s="458">
        <v>46229</v>
      </c>
      <c r="B460" s="522" t="s">
        <v>368</v>
      </c>
      <c r="C460" s="459" t="s">
        <v>379</v>
      </c>
      <c r="D460" s="460"/>
      <c r="E460" s="461">
        <v>5</v>
      </c>
      <c r="F460" s="469"/>
      <c r="G460" s="493">
        <v>33</v>
      </c>
      <c r="H460" s="472"/>
      <c r="I460" s="472"/>
      <c r="J460" s="472"/>
      <c r="K460" s="472"/>
      <c r="L460" s="472"/>
      <c r="M460" s="472"/>
      <c r="N460" s="474">
        <f t="shared" si="48"/>
        <v>33</v>
      </c>
      <c r="O460" s="465">
        <v>8</v>
      </c>
      <c r="P460" s="466">
        <f t="shared" si="49"/>
        <v>125</v>
      </c>
      <c r="S460" s="467">
        <f t="shared" si="47"/>
        <v>125</v>
      </c>
    </row>
    <row r="461" customHeight="1" spans="1:19">
      <c r="A461" s="458">
        <v>46230</v>
      </c>
      <c r="B461" s="522" t="s">
        <v>368</v>
      </c>
      <c r="C461" s="459" t="s">
        <v>379</v>
      </c>
      <c r="D461" s="460"/>
      <c r="E461" s="461">
        <v>5</v>
      </c>
      <c r="F461" s="469"/>
      <c r="G461" s="493">
        <v>19</v>
      </c>
      <c r="H461" s="472"/>
      <c r="I461" s="472"/>
      <c r="J461" s="472"/>
      <c r="K461" s="472"/>
      <c r="L461" s="472"/>
      <c r="M461" s="472"/>
      <c r="N461" s="474">
        <f t="shared" si="48"/>
        <v>19</v>
      </c>
      <c r="O461" s="465">
        <v>8</v>
      </c>
      <c r="P461" s="466">
        <f t="shared" si="49"/>
        <v>55</v>
      </c>
      <c r="S461" s="467">
        <f t="shared" si="47"/>
        <v>55</v>
      </c>
    </row>
    <row r="462" customHeight="1" spans="1:19">
      <c r="A462" s="458">
        <v>46231</v>
      </c>
      <c r="B462" s="522" t="s">
        <v>368</v>
      </c>
      <c r="C462" s="459" t="s">
        <v>379</v>
      </c>
      <c r="D462" s="460"/>
      <c r="E462" s="461">
        <v>5</v>
      </c>
      <c r="F462" s="469"/>
      <c r="G462" s="493">
        <v>25</v>
      </c>
      <c r="H462" s="472"/>
      <c r="I462" s="472"/>
      <c r="J462" s="472"/>
      <c r="K462" s="472"/>
      <c r="L462" s="472"/>
      <c r="M462" s="472"/>
      <c r="N462" s="474">
        <f t="shared" si="48"/>
        <v>25</v>
      </c>
      <c r="O462" s="465">
        <v>8</v>
      </c>
      <c r="P462" s="466">
        <f t="shared" si="49"/>
        <v>85</v>
      </c>
      <c r="S462" s="467">
        <f t="shared" si="47"/>
        <v>85</v>
      </c>
    </row>
    <row r="463" customHeight="1" spans="1:19">
      <c r="A463" s="458">
        <v>46232</v>
      </c>
      <c r="B463" s="522" t="s">
        <v>368</v>
      </c>
      <c r="C463" s="522" t="s">
        <v>379</v>
      </c>
      <c r="D463" s="460"/>
      <c r="E463" s="461">
        <v>5</v>
      </c>
      <c r="F463" s="469"/>
      <c r="G463" s="493">
        <v>20</v>
      </c>
      <c r="H463" s="472"/>
      <c r="I463" s="472"/>
      <c r="J463" s="472"/>
      <c r="K463" s="472"/>
      <c r="L463" s="472">
        <v>1</v>
      </c>
      <c r="M463" s="472"/>
      <c r="N463" s="474">
        <f t="shared" si="48"/>
        <v>22</v>
      </c>
      <c r="O463" s="465">
        <v>8</v>
      </c>
      <c r="P463" s="466">
        <f t="shared" si="49"/>
        <v>70</v>
      </c>
      <c r="S463" s="467">
        <f t="shared" si="47"/>
        <v>70</v>
      </c>
    </row>
    <row r="464" customHeight="1" spans="1:19">
      <c r="A464" s="458">
        <v>46233</v>
      </c>
      <c r="B464" s="522" t="s">
        <v>368</v>
      </c>
      <c r="C464" s="522" t="s">
        <v>379</v>
      </c>
      <c r="D464" s="460"/>
      <c r="E464" s="461">
        <v>5</v>
      </c>
      <c r="F464" s="469"/>
      <c r="G464" s="493">
        <v>24</v>
      </c>
      <c r="H464" s="472"/>
      <c r="I464" s="472"/>
      <c r="J464" s="472"/>
      <c r="K464" s="472"/>
      <c r="L464" s="472"/>
      <c r="M464" s="472"/>
      <c r="N464" s="474">
        <f t="shared" si="48"/>
        <v>24</v>
      </c>
      <c r="O464" s="465">
        <v>8</v>
      </c>
      <c r="P464" s="466">
        <f t="shared" si="49"/>
        <v>80</v>
      </c>
      <c r="S464" s="467">
        <f t="shared" si="47"/>
        <v>80</v>
      </c>
    </row>
    <row r="465" customHeight="1" spans="1:19">
      <c r="A465" s="458">
        <v>46234</v>
      </c>
      <c r="B465" s="522" t="s">
        <v>368</v>
      </c>
      <c r="C465" s="522" t="s">
        <v>379</v>
      </c>
      <c r="D465" s="460"/>
      <c r="E465" s="461">
        <v>5</v>
      </c>
      <c r="F465" s="469"/>
      <c r="G465" s="493">
        <v>20</v>
      </c>
      <c r="H465" s="472"/>
      <c r="I465" s="472"/>
      <c r="J465" s="472"/>
      <c r="K465" s="472"/>
      <c r="L465" s="472"/>
      <c r="M465" s="472"/>
      <c r="N465" s="474">
        <f t="shared" si="48"/>
        <v>20</v>
      </c>
      <c r="O465" s="465">
        <v>8</v>
      </c>
      <c r="P465" s="466">
        <f t="shared" si="49"/>
        <v>60</v>
      </c>
      <c r="S465" s="467">
        <f t="shared" si="47"/>
        <v>60</v>
      </c>
    </row>
    <row r="466" customHeight="1" spans="1:19">
      <c r="A466" s="458">
        <v>46204</v>
      </c>
      <c r="B466" s="522" t="s">
        <v>369</v>
      </c>
      <c r="C466" s="522" t="s">
        <v>379</v>
      </c>
      <c r="D466" s="460"/>
      <c r="E466" s="461">
        <v>5</v>
      </c>
      <c r="F466" s="469"/>
      <c r="G466" s="493"/>
      <c r="H466" s="472"/>
      <c r="I466" s="472"/>
      <c r="J466" s="472"/>
      <c r="K466" s="472"/>
      <c r="L466" s="472"/>
      <c r="M466" s="472"/>
      <c r="N466" s="474">
        <f t="shared" si="48"/>
        <v>0</v>
      </c>
      <c r="O466" s="465">
        <v>8</v>
      </c>
      <c r="P466" s="466">
        <f t="shared" si="49"/>
        <v>0</v>
      </c>
      <c r="S466" s="467">
        <f t="shared" si="47"/>
        <v>0</v>
      </c>
    </row>
    <row r="467" customHeight="1" spans="1:19">
      <c r="A467" s="458">
        <v>46205</v>
      </c>
      <c r="B467" s="522" t="s">
        <v>369</v>
      </c>
      <c r="C467" s="522" t="s">
        <v>379</v>
      </c>
      <c r="D467" s="460"/>
      <c r="E467" s="461">
        <v>5</v>
      </c>
      <c r="F467" s="469"/>
      <c r="G467" s="493">
        <v>15</v>
      </c>
      <c r="H467" s="472"/>
      <c r="I467" s="472"/>
      <c r="J467" s="472"/>
      <c r="K467" s="472"/>
      <c r="L467" s="472"/>
      <c r="M467" s="472"/>
      <c r="N467" s="474">
        <f t="shared" si="48"/>
        <v>15</v>
      </c>
      <c r="O467" s="465">
        <v>8</v>
      </c>
      <c r="P467" s="466">
        <f t="shared" si="49"/>
        <v>35</v>
      </c>
      <c r="S467" s="467">
        <f t="shared" si="47"/>
        <v>35</v>
      </c>
    </row>
    <row r="468" customHeight="1" spans="1:19">
      <c r="A468" s="458">
        <v>46206</v>
      </c>
      <c r="B468" s="522" t="s">
        <v>369</v>
      </c>
      <c r="C468" s="522" t="s">
        <v>379</v>
      </c>
      <c r="D468" s="460"/>
      <c r="E468" s="461">
        <v>5</v>
      </c>
      <c r="F468" s="469"/>
      <c r="G468" s="493">
        <v>17</v>
      </c>
      <c r="H468" s="472"/>
      <c r="I468" s="472"/>
      <c r="J468" s="472"/>
      <c r="K468" s="472"/>
      <c r="L468" s="472"/>
      <c r="M468" s="472"/>
      <c r="N468" s="474">
        <f t="shared" si="48"/>
        <v>17</v>
      </c>
      <c r="O468" s="465">
        <v>8</v>
      </c>
      <c r="P468" s="466">
        <f t="shared" si="49"/>
        <v>45</v>
      </c>
      <c r="S468" s="467">
        <f t="shared" ref="S468:S497" si="50">IF(B468="","",P468+R468)</f>
        <v>45</v>
      </c>
    </row>
    <row r="469" customHeight="1" spans="1:19">
      <c r="A469" s="458">
        <v>46207</v>
      </c>
      <c r="B469" s="522" t="s">
        <v>369</v>
      </c>
      <c r="C469" s="522" t="s">
        <v>379</v>
      </c>
      <c r="D469" s="460"/>
      <c r="E469" s="461">
        <v>5</v>
      </c>
      <c r="F469" s="469"/>
      <c r="G469" s="493">
        <v>14</v>
      </c>
      <c r="H469" s="472"/>
      <c r="I469" s="472"/>
      <c r="J469" s="472"/>
      <c r="K469" s="472"/>
      <c r="L469" s="472">
        <v>1</v>
      </c>
      <c r="M469" s="472"/>
      <c r="N469" s="474">
        <f t="shared" si="48"/>
        <v>16</v>
      </c>
      <c r="O469" s="465">
        <v>8</v>
      </c>
      <c r="P469" s="466">
        <f t="shared" si="49"/>
        <v>40</v>
      </c>
      <c r="S469" s="467">
        <f t="shared" si="50"/>
        <v>40</v>
      </c>
    </row>
    <row r="470" customHeight="1" spans="1:19">
      <c r="A470" s="458">
        <v>46208</v>
      </c>
      <c r="B470" s="522" t="s">
        <v>369</v>
      </c>
      <c r="C470" s="522" t="s">
        <v>379</v>
      </c>
      <c r="D470" s="460"/>
      <c r="E470" s="461">
        <v>5</v>
      </c>
      <c r="F470" s="469"/>
      <c r="G470" s="493">
        <v>18</v>
      </c>
      <c r="H470" s="472"/>
      <c r="I470" s="472"/>
      <c r="J470" s="472"/>
      <c r="K470" s="472"/>
      <c r="L470" s="472"/>
      <c r="M470" s="472"/>
      <c r="N470" s="474">
        <f t="shared" si="48"/>
        <v>18</v>
      </c>
      <c r="O470" s="465">
        <v>8</v>
      </c>
      <c r="P470" s="466">
        <f t="shared" si="49"/>
        <v>50</v>
      </c>
      <c r="S470" s="467">
        <f t="shared" si="50"/>
        <v>50</v>
      </c>
    </row>
    <row r="471" customHeight="1" spans="1:19">
      <c r="A471" s="458">
        <v>46209</v>
      </c>
      <c r="B471" s="522" t="s">
        <v>369</v>
      </c>
      <c r="C471" s="522" t="s">
        <v>379</v>
      </c>
      <c r="D471" s="460"/>
      <c r="E471" s="461">
        <v>5</v>
      </c>
      <c r="F471" s="469"/>
      <c r="G471" s="493">
        <v>17</v>
      </c>
      <c r="H471" s="472"/>
      <c r="I471" s="472"/>
      <c r="J471" s="472"/>
      <c r="K471" s="472"/>
      <c r="L471" s="472"/>
      <c r="M471" s="472"/>
      <c r="N471" s="474">
        <f t="shared" si="48"/>
        <v>17</v>
      </c>
      <c r="O471" s="465">
        <v>8</v>
      </c>
      <c r="P471" s="466">
        <f t="shared" si="49"/>
        <v>45</v>
      </c>
      <c r="S471" s="467">
        <f t="shared" si="50"/>
        <v>45</v>
      </c>
    </row>
    <row r="472" customHeight="1" spans="1:19">
      <c r="A472" s="458">
        <v>46210</v>
      </c>
      <c r="B472" s="522" t="s">
        <v>369</v>
      </c>
      <c r="C472" s="522" t="s">
        <v>379</v>
      </c>
      <c r="D472" s="460"/>
      <c r="E472" s="461">
        <v>5</v>
      </c>
      <c r="F472" s="469"/>
      <c r="G472" s="493">
        <v>19</v>
      </c>
      <c r="H472" s="472"/>
      <c r="I472" s="472"/>
      <c r="J472" s="472"/>
      <c r="K472" s="472"/>
      <c r="L472" s="472"/>
      <c r="M472" s="472"/>
      <c r="N472" s="474">
        <v>0</v>
      </c>
      <c r="O472" s="465">
        <v>8</v>
      </c>
      <c r="P472" s="466">
        <v>0</v>
      </c>
      <c r="S472" s="467">
        <f t="shared" si="50"/>
        <v>0</v>
      </c>
    </row>
    <row r="473" customHeight="1" spans="1:19">
      <c r="A473" s="458">
        <v>46211</v>
      </c>
      <c r="B473" s="522" t="s">
        <v>369</v>
      </c>
      <c r="C473" s="522" t="s">
        <v>379</v>
      </c>
      <c r="D473" s="460"/>
      <c r="E473" s="461">
        <v>5</v>
      </c>
      <c r="F473" s="469"/>
      <c r="G473" s="493">
        <v>27</v>
      </c>
      <c r="H473" s="472"/>
      <c r="I473" s="472"/>
      <c r="J473" s="472"/>
      <c r="K473" s="472"/>
      <c r="L473" s="472"/>
      <c r="M473" s="472"/>
      <c r="N473" s="474">
        <f t="shared" ref="N473:N492" si="51">SUMPRODUCT($G$2:$M$2,G473:M473)</f>
        <v>27</v>
      </c>
      <c r="O473" s="465">
        <v>8</v>
      </c>
      <c r="P473" s="466">
        <f t="shared" ref="P473:P492" si="52">IFERROR(IF((N473*E473-O473*E473)&lt;0,0,(N473*E473-O473*E473)),"")</f>
        <v>95</v>
      </c>
      <c r="S473" s="467">
        <f t="shared" si="50"/>
        <v>95</v>
      </c>
    </row>
    <row r="474" customHeight="1" spans="1:19">
      <c r="A474" s="458">
        <v>46212</v>
      </c>
      <c r="B474" s="522" t="s">
        <v>369</v>
      </c>
      <c r="C474" s="522" t="s">
        <v>379</v>
      </c>
      <c r="D474" s="460"/>
      <c r="E474" s="461">
        <v>5</v>
      </c>
      <c r="F474" s="469"/>
      <c r="G474" s="493"/>
      <c r="H474" s="472"/>
      <c r="I474" s="472"/>
      <c r="J474" s="472"/>
      <c r="K474" s="472"/>
      <c r="L474" s="472"/>
      <c r="M474" s="472"/>
      <c r="N474" s="474">
        <f t="shared" si="51"/>
        <v>0</v>
      </c>
      <c r="O474" s="465">
        <v>8</v>
      </c>
      <c r="P474" s="466">
        <f t="shared" si="52"/>
        <v>0</v>
      </c>
      <c r="S474" s="467">
        <f t="shared" si="50"/>
        <v>0</v>
      </c>
    </row>
    <row r="475" customHeight="1" spans="1:19">
      <c r="A475" s="458">
        <v>46213</v>
      </c>
      <c r="B475" s="522" t="s">
        <v>369</v>
      </c>
      <c r="C475" s="522" t="s">
        <v>379</v>
      </c>
      <c r="D475" s="460"/>
      <c r="E475" s="461">
        <v>5</v>
      </c>
      <c r="F475" s="469"/>
      <c r="G475" s="493">
        <v>19</v>
      </c>
      <c r="H475" s="472"/>
      <c r="I475" s="472"/>
      <c r="J475" s="472"/>
      <c r="K475" s="472"/>
      <c r="L475" s="472">
        <v>1</v>
      </c>
      <c r="M475" s="472"/>
      <c r="N475" s="474">
        <f t="shared" si="51"/>
        <v>21</v>
      </c>
      <c r="O475" s="465">
        <v>8</v>
      </c>
      <c r="P475" s="466">
        <f t="shared" si="52"/>
        <v>65</v>
      </c>
      <c r="S475" s="467">
        <f t="shared" si="50"/>
        <v>65</v>
      </c>
    </row>
    <row r="476" customHeight="1" spans="1:19">
      <c r="A476" s="458">
        <v>46214</v>
      </c>
      <c r="B476" s="522" t="s">
        <v>369</v>
      </c>
      <c r="C476" s="522" t="s">
        <v>379</v>
      </c>
      <c r="D476" s="460"/>
      <c r="E476" s="461">
        <v>5</v>
      </c>
      <c r="F476" s="469"/>
      <c r="G476" s="493">
        <v>18</v>
      </c>
      <c r="H476" s="472"/>
      <c r="I476" s="472"/>
      <c r="J476" s="472"/>
      <c r="K476" s="472"/>
      <c r="L476" s="472">
        <v>1</v>
      </c>
      <c r="M476" s="472"/>
      <c r="N476" s="474">
        <f t="shared" si="51"/>
        <v>20</v>
      </c>
      <c r="O476" s="465">
        <v>8</v>
      </c>
      <c r="P476" s="466">
        <f t="shared" si="52"/>
        <v>60</v>
      </c>
      <c r="S476" s="467">
        <f t="shared" si="50"/>
        <v>60</v>
      </c>
    </row>
    <row r="477" customHeight="1" spans="1:19">
      <c r="A477" s="458">
        <v>46215</v>
      </c>
      <c r="B477" s="522" t="s">
        <v>369</v>
      </c>
      <c r="C477" s="522" t="s">
        <v>379</v>
      </c>
      <c r="D477" s="460"/>
      <c r="E477" s="461">
        <v>5</v>
      </c>
      <c r="F477" s="469"/>
      <c r="G477" s="493">
        <v>16</v>
      </c>
      <c r="H477" s="472"/>
      <c r="I477" s="472"/>
      <c r="J477" s="472"/>
      <c r="K477" s="472"/>
      <c r="L477" s="472"/>
      <c r="M477" s="472"/>
      <c r="N477" s="474">
        <f t="shared" si="51"/>
        <v>16</v>
      </c>
      <c r="O477" s="465">
        <v>8</v>
      </c>
      <c r="P477" s="466">
        <f t="shared" si="52"/>
        <v>40</v>
      </c>
      <c r="S477" s="467">
        <f t="shared" si="50"/>
        <v>40</v>
      </c>
    </row>
    <row r="478" customHeight="1" spans="1:19">
      <c r="A478" s="458">
        <v>46216</v>
      </c>
      <c r="B478" s="522" t="s">
        <v>369</v>
      </c>
      <c r="C478" s="522" t="s">
        <v>379</v>
      </c>
      <c r="D478" s="460"/>
      <c r="E478" s="461">
        <v>5</v>
      </c>
      <c r="F478" s="469"/>
      <c r="G478" s="493">
        <v>16</v>
      </c>
      <c r="H478" s="472"/>
      <c r="I478" s="472"/>
      <c r="J478" s="472"/>
      <c r="K478" s="472"/>
      <c r="L478" s="472"/>
      <c r="M478" s="472"/>
      <c r="N478" s="474">
        <f t="shared" si="51"/>
        <v>16</v>
      </c>
      <c r="O478" s="465">
        <v>8</v>
      </c>
      <c r="P478" s="466">
        <f t="shared" si="52"/>
        <v>40</v>
      </c>
      <c r="S478" s="467">
        <f t="shared" si="50"/>
        <v>40</v>
      </c>
    </row>
    <row r="479" customHeight="1" spans="1:19">
      <c r="A479" s="458">
        <v>46217</v>
      </c>
      <c r="B479" s="522" t="s">
        <v>369</v>
      </c>
      <c r="C479" s="522" t="s">
        <v>379</v>
      </c>
      <c r="D479" s="460"/>
      <c r="E479" s="461">
        <v>5</v>
      </c>
      <c r="F479" s="469"/>
      <c r="G479" s="493">
        <v>15</v>
      </c>
      <c r="H479" s="472"/>
      <c r="I479" s="472"/>
      <c r="J479" s="472"/>
      <c r="K479" s="472"/>
      <c r="L479" s="472"/>
      <c r="M479" s="472"/>
      <c r="N479" s="474">
        <f t="shared" si="51"/>
        <v>15</v>
      </c>
      <c r="O479" s="465">
        <v>8</v>
      </c>
      <c r="P479" s="466">
        <f t="shared" si="52"/>
        <v>35</v>
      </c>
      <c r="S479" s="467">
        <f t="shared" si="50"/>
        <v>35</v>
      </c>
    </row>
    <row r="480" customHeight="1" spans="1:19">
      <c r="A480" s="458">
        <v>46218</v>
      </c>
      <c r="B480" s="522" t="s">
        <v>369</v>
      </c>
      <c r="C480" s="522" t="s">
        <v>379</v>
      </c>
      <c r="D480" s="460"/>
      <c r="E480" s="461">
        <v>5</v>
      </c>
      <c r="F480" s="469"/>
      <c r="G480" s="493">
        <v>17</v>
      </c>
      <c r="H480" s="472"/>
      <c r="I480" s="472"/>
      <c r="J480" s="472"/>
      <c r="K480" s="472"/>
      <c r="L480" s="472"/>
      <c r="M480" s="472"/>
      <c r="N480" s="474">
        <f t="shared" si="51"/>
        <v>17</v>
      </c>
      <c r="O480" s="465">
        <v>8</v>
      </c>
      <c r="P480" s="466">
        <f t="shared" si="52"/>
        <v>45</v>
      </c>
      <c r="S480" s="467">
        <f t="shared" si="50"/>
        <v>45</v>
      </c>
    </row>
    <row r="481" customHeight="1" spans="1:19">
      <c r="A481" s="481">
        <v>46219</v>
      </c>
      <c r="B481" s="522" t="s">
        <v>369</v>
      </c>
      <c r="C481" s="522" t="s">
        <v>379</v>
      </c>
      <c r="D481" s="460"/>
      <c r="E481" s="461">
        <v>5</v>
      </c>
      <c r="F481" s="469"/>
      <c r="G481" s="493">
        <v>15</v>
      </c>
      <c r="H481" s="472"/>
      <c r="I481" s="472"/>
      <c r="J481" s="472"/>
      <c r="K481" s="472"/>
      <c r="L481" s="472"/>
      <c r="M481" s="472"/>
      <c r="N481" s="474">
        <f t="shared" si="51"/>
        <v>15</v>
      </c>
      <c r="O481" s="465">
        <v>8</v>
      </c>
      <c r="P481" s="466">
        <f t="shared" si="52"/>
        <v>35</v>
      </c>
      <c r="S481" s="467">
        <f t="shared" si="50"/>
        <v>35</v>
      </c>
    </row>
    <row r="482" customHeight="1" spans="1:19">
      <c r="A482" s="458">
        <v>46220</v>
      </c>
      <c r="B482" s="522" t="s">
        <v>369</v>
      </c>
      <c r="C482" s="522" t="s">
        <v>379</v>
      </c>
      <c r="D482" s="460"/>
      <c r="E482" s="461">
        <v>5</v>
      </c>
      <c r="F482" s="469"/>
      <c r="G482" s="493"/>
      <c r="H482" s="472"/>
      <c r="I482" s="472"/>
      <c r="J482" s="472"/>
      <c r="K482" s="472"/>
      <c r="L482" s="472"/>
      <c r="M482" s="472"/>
      <c r="N482" s="474">
        <f t="shared" si="51"/>
        <v>0</v>
      </c>
      <c r="O482" s="465">
        <v>8</v>
      </c>
      <c r="P482" s="466">
        <f t="shared" si="52"/>
        <v>0</v>
      </c>
      <c r="S482" s="467">
        <f t="shared" si="50"/>
        <v>0</v>
      </c>
    </row>
    <row r="483" customHeight="1" spans="1:19">
      <c r="A483" s="458">
        <v>46221</v>
      </c>
      <c r="B483" s="522" t="s">
        <v>369</v>
      </c>
      <c r="C483" s="522" t="s">
        <v>379</v>
      </c>
      <c r="D483" s="460"/>
      <c r="E483" s="461">
        <v>5</v>
      </c>
      <c r="F483" s="469"/>
      <c r="G483" s="493">
        <v>17</v>
      </c>
      <c r="H483" s="472"/>
      <c r="I483" s="472"/>
      <c r="J483" s="472"/>
      <c r="K483" s="472"/>
      <c r="L483" s="472"/>
      <c r="M483" s="472"/>
      <c r="N483" s="474">
        <f t="shared" si="51"/>
        <v>17</v>
      </c>
      <c r="O483" s="465">
        <v>8</v>
      </c>
      <c r="P483" s="466">
        <f t="shared" si="52"/>
        <v>45</v>
      </c>
      <c r="S483" s="467">
        <f t="shared" si="50"/>
        <v>45</v>
      </c>
    </row>
    <row r="484" customHeight="1" spans="1:19">
      <c r="A484" s="458">
        <v>46222</v>
      </c>
      <c r="B484" s="522" t="s">
        <v>369</v>
      </c>
      <c r="C484" s="522" t="s">
        <v>379</v>
      </c>
      <c r="D484" s="460"/>
      <c r="E484" s="461">
        <v>5</v>
      </c>
      <c r="F484" s="469"/>
      <c r="G484" s="493">
        <v>18</v>
      </c>
      <c r="H484" s="472"/>
      <c r="I484" s="472"/>
      <c r="J484" s="472"/>
      <c r="K484" s="472"/>
      <c r="L484" s="472"/>
      <c r="M484" s="472"/>
      <c r="N484" s="474">
        <f t="shared" si="51"/>
        <v>18</v>
      </c>
      <c r="O484" s="465">
        <v>8</v>
      </c>
      <c r="P484" s="466">
        <f t="shared" si="52"/>
        <v>50</v>
      </c>
      <c r="S484" s="467">
        <f t="shared" si="50"/>
        <v>50</v>
      </c>
    </row>
    <row r="485" customHeight="1" spans="1:19">
      <c r="A485" s="458">
        <v>46223</v>
      </c>
      <c r="B485" s="522" t="s">
        <v>369</v>
      </c>
      <c r="C485" s="522" t="s">
        <v>379</v>
      </c>
      <c r="D485" s="460"/>
      <c r="E485" s="461">
        <v>5</v>
      </c>
      <c r="F485" s="469"/>
      <c r="G485" s="493">
        <v>14</v>
      </c>
      <c r="H485" s="472"/>
      <c r="I485" s="472"/>
      <c r="J485" s="472"/>
      <c r="K485" s="472"/>
      <c r="L485" s="472"/>
      <c r="M485" s="472"/>
      <c r="N485" s="474">
        <f t="shared" si="51"/>
        <v>14</v>
      </c>
      <c r="O485" s="465">
        <v>8</v>
      </c>
      <c r="P485" s="466">
        <f t="shared" si="52"/>
        <v>30</v>
      </c>
      <c r="S485" s="467">
        <f t="shared" si="50"/>
        <v>30</v>
      </c>
    </row>
    <row r="486" customHeight="1" spans="1:19">
      <c r="A486" s="458">
        <v>46224</v>
      </c>
      <c r="B486" s="522" t="s">
        <v>369</v>
      </c>
      <c r="C486" s="522" t="s">
        <v>379</v>
      </c>
      <c r="D486" s="460"/>
      <c r="E486" s="461">
        <v>5</v>
      </c>
      <c r="F486" s="469"/>
      <c r="G486" s="493">
        <v>15</v>
      </c>
      <c r="H486" s="472"/>
      <c r="I486" s="472"/>
      <c r="J486" s="472"/>
      <c r="K486" s="472"/>
      <c r="L486" s="472"/>
      <c r="M486" s="472"/>
      <c r="N486" s="474">
        <f t="shared" si="51"/>
        <v>15</v>
      </c>
      <c r="O486" s="465">
        <v>8</v>
      </c>
      <c r="P486" s="466">
        <f t="shared" si="52"/>
        <v>35</v>
      </c>
      <c r="S486" s="467">
        <f t="shared" si="50"/>
        <v>35</v>
      </c>
    </row>
    <row r="487" customHeight="1" spans="1:19">
      <c r="A487" s="458">
        <v>46225</v>
      </c>
      <c r="B487" s="522" t="s">
        <v>369</v>
      </c>
      <c r="C487" s="522" t="s">
        <v>379</v>
      </c>
      <c r="D487" s="460"/>
      <c r="E487" s="461">
        <v>5</v>
      </c>
      <c r="F487" s="469"/>
      <c r="G487" s="493">
        <v>18</v>
      </c>
      <c r="H487" s="472"/>
      <c r="I487" s="472"/>
      <c r="J487" s="472"/>
      <c r="K487" s="472"/>
      <c r="L487" s="472">
        <v>1</v>
      </c>
      <c r="M487" s="472"/>
      <c r="N487" s="474">
        <f t="shared" si="51"/>
        <v>20</v>
      </c>
      <c r="O487" s="465">
        <v>8</v>
      </c>
      <c r="P487" s="466">
        <f t="shared" si="52"/>
        <v>60</v>
      </c>
      <c r="S487" s="467">
        <f t="shared" si="50"/>
        <v>60</v>
      </c>
    </row>
    <row r="488" customHeight="1" spans="1:19">
      <c r="A488" s="458">
        <v>46226</v>
      </c>
      <c r="B488" s="522" t="s">
        <v>369</v>
      </c>
      <c r="C488" s="522" t="s">
        <v>379</v>
      </c>
      <c r="D488" s="460"/>
      <c r="E488" s="461">
        <v>5</v>
      </c>
      <c r="F488" s="469"/>
      <c r="G488" s="493">
        <v>17</v>
      </c>
      <c r="H488" s="472"/>
      <c r="I488" s="472"/>
      <c r="J488" s="472"/>
      <c r="K488" s="472"/>
      <c r="L488" s="472">
        <v>1</v>
      </c>
      <c r="M488" s="472"/>
      <c r="N488" s="474">
        <f t="shared" si="51"/>
        <v>19</v>
      </c>
      <c r="O488" s="465">
        <v>8</v>
      </c>
      <c r="P488" s="466">
        <f t="shared" si="52"/>
        <v>55</v>
      </c>
      <c r="S488" s="467">
        <f t="shared" si="50"/>
        <v>55</v>
      </c>
    </row>
    <row r="489" customHeight="1" spans="1:19">
      <c r="A489" s="458">
        <v>46227</v>
      </c>
      <c r="B489" s="522" t="s">
        <v>369</v>
      </c>
      <c r="C489" s="522" t="s">
        <v>379</v>
      </c>
      <c r="D489" s="460"/>
      <c r="E489" s="461">
        <v>5</v>
      </c>
      <c r="F489" s="469"/>
      <c r="G489" s="493">
        <v>18</v>
      </c>
      <c r="H489" s="472"/>
      <c r="I489" s="472"/>
      <c r="J489" s="472"/>
      <c r="K489" s="472"/>
      <c r="L489" s="472"/>
      <c r="M489" s="472"/>
      <c r="N489" s="474">
        <f t="shared" si="51"/>
        <v>18</v>
      </c>
      <c r="O489" s="465">
        <v>8</v>
      </c>
      <c r="P489" s="466">
        <f t="shared" si="52"/>
        <v>50</v>
      </c>
      <c r="S489" s="467">
        <f t="shared" si="50"/>
        <v>50</v>
      </c>
    </row>
    <row r="490" customHeight="1" spans="1:19">
      <c r="A490" s="458">
        <v>46228</v>
      </c>
      <c r="B490" s="522" t="s">
        <v>369</v>
      </c>
      <c r="C490" s="522" t="s">
        <v>379</v>
      </c>
      <c r="D490" s="460"/>
      <c r="E490" s="461">
        <v>5</v>
      </c>
      <c r="F490" s="469"/>
      <c r="G490" s="493"/>
      <c r="H490" s="472"/>
      <c r="I490" s="472"/>
      <c r="J490" s="472"/>
      <c r="K490" s="472"/>
      <c r="L490" s="472"/>
      <c r="M490" s="472"/>
      <c r="N490" s="474">
        <f t="shared" si="51"/>
        <v>0</v>
      </c>
      <c r="O490" s="465">
        <v>8</v>
      </c>
      <c r="P490" s="466">
        <f t="shared" si="52"/>
        <v>0</v>
      </c>
      <c r="S490" s="467">
        <f t="shared" si="50"/>
        <v>0</v>
      </c>
    </row>
    <row r="491" customHeight="1" spans="1:19">
      <c r="A491" s="458">
        <v>46229</v>
      </c>
      <c r="B491" s="522" t="s">
        <v>369</v>
      </c>
      <c r="C491" s="522" t="s">
        <v>379</v>
      </c>
      <c r="D491" s="460"/>
      <c r="E491" s="461">
        <v>5</v>
      </c>
      <c r="F491" s="469"/>
      <c r="G491" s="493">
        <v>16</v>
      </c>
      <c r="H491" s="472"/>
      <c r="I491" s="472"/>
      <c r="J491" s="472"/>
      <c r="K491" s="472"/>
      <c r="L491" s="472"/>
      <c r="M491" s="472"/>
      <c r="N491" s="474">
        <f t="shared" si="51"/>
        <v>16</v>
      </c>
      <c r="O491" s="465">
        <v>8</v>
      </c>
      <c r="P491" s="466">
        <f t="shared" si="52"/>
        <v>40</v>
      </c>
      <c r="S491" s="467">
        <f t="shared" si="50"/>
        <v>40</v>
      </c>
    </row>
    <row r="492" customHeight="1" spans="1:19">
      <c r="A492" s="458">
        <v>46230</v>
      </c>
      <c r="B492" s="522" t="s">
        <v>369</v>
      </c>
      <c r="C492" s="458" t="s">
        <v>379</v>
      </c>
      <c r="D492" s="460"/>
      <c r="E492" s="461">
        <v>5</v>
      </c>
      <c r="F492" s="469"/>
      <c r="G492" s="493">
        <v>16</v>
      </c>
      <c r="H492" s="472"/>
      <c r="I492" s="472"/>
      <c r="J492" s="472"/>
      <c r="K492" s="472"/>
      <c r="L492" s="472"/>
      <c r="M492" s="472"/>
      <c r="N492" s="474">
        <f t="shared" si="51"/>
        <v>16</v>
      </c>
      <c r="O492" s="465">
        <v>8</v>
      </c>
      <c r="P492" s="466">
        <f t="shared" si="52"/>
        <v>40</v>
      </c>
      <c r="S492" s="467">
        <f t="shared" si="50"/>
        <v>40</v>
      </c>
    </row>
    <row r="493" customHeight="1" spans="1:19">
      <c r="A493" s="458">
        <v>46231</v>
      </c>
      <c r="B493" s="522" t="s">
        <v>369</v>
      </c>
      <c r="C493" s="458" t="s">
        <v>379</v>
      </c>
      <c r="D493" s="460"/>
      <c r="E493" s="461">
        <v>5</v>
      </c>
      <c r="F493" s="469"/>
      <c r="G493" s="493">
        <v>17</v>
      </c>
      <c r="H493" s="472"/>
      <c r="I493" s="472"/>
      <c r="J493" s="472"/>
      <c r="K493" s="472"/>
      <c r="L493" s="472"/>
      <c r="M493" s="472"/>
      <c r="N493" s="474">
        <v>0</v>
      </c>
      <c r="O493" s="465">
        <v>8</v>
      </c>
      <c r="P493" s="466">
        <v>0</v>
      </c>
      <c r="S493" s="467">
        <f t="shared" si="50"/>
        <v>0</v>
      </c>
    </row>
    <row r="494" customHeight="1" spans="1:19">
      <c r="A494" s="458">
        <v>46232</v>
      </c>
      <c r="B494" s="522" t="s">
        <v>369</v>
      </c>
      <c r="C494" s="458" t="s">
        <v>379</v>
      </c>
      <c r="D494" s="460"/>
      <c r="E494" s="461">
        <v>5</v>
      </c>
      <c r="F494" s="469"/>
      <c r="G494" s="493">
        <v>16</v>
      </c>
      <c r="H494" s="472"/>
      <c r="I494" s="472"/>
      <c r="J494" s="472"/>
      <c r="K494" s="472"/>
      <c r="L494" s="472"/>
      <c r="M494" s="472"/>
      <c r="N494" s="474">
        <f>SUMPRODUCT($G$2:$M$2,G494:M494)</f>
        <v>16</v>
      </c>
      <c r="O494" s="465">
        <v>8</v>
      </c>
      <c r="P494" s="466">
        <f>IFERROR(IF((N494*E494-O494*E494)&lt;0,0,(N494*E494-O494*E494)),"")</f>
        <v>40</v>
      </c>
      <c r="S494" s="467">
        <f t="shared" si="50"/>
        <v>40</v>
      </c>
    </row>
    <row r="495" customHeight="1" spans="1:19">
      <c r="A495" s="458">
        <v>46233</v>
      </c>
      <c r="B495" s="522" t="s">
        <v>369</v>
      </c>
      <c r="C495" s="458" t="s">
        <v>379</v>
      </c>
      <c r="D495" s="460"/>
      <c r="E495" s="461">
        <v>5</v>
      </c>
      <c r="F495" s="469"/>
      <c r="G495" s="493">
        <v>25</v>
      </c>
      <c r="H495" s="472"/>
      <c r="I495" s="472"/>
      <c r="J495" s="472"/>
      <c r="K495" s="472"/>
      <c r="L495" s="472"/>
      <c r="M495" s="472"/>
      <c r="N495" s="474">
        <f>SUMPRODUCT($G$2:$M$2,G495:M495)</f>
        <v>25</v>
      </c>
      <c r="O495" s="465">
        <v>8</v>
      </c>
      <c r="P495" s="466">
        <f>IFERROR(IF((N495*E495-O495*E495)&lt;0,0,(N495*E495-O495*E495)),"")</f>
        <v>85</v>
      </c>
      <c r="S495" s="467">
        <f t="shared" si="50"/>
        <v>85</v>
      </c>
    </row>
    <row r="496" customHeight="1" spans="1:19">
      <c r="A496" s="458">
        <v>46234</v>
      </c>
      <c r="B496" s="522" t="s">
        <v>369</v>
      </c>
      <c r="C496" s="458" t="s">
        <v>379</v>
      </c>
      <c r="D496" s="460"/>
      <c r="E496" s="461">
        <v>5</v>
      </c>
      <c r="F496" s="469"/>
      <c r="G496" s="493">
        <v>18</v>
      </c>
      <c r="H496" s="472"/>
      <c r="I496" s="472"/>
      <c r="J496" s="472"/>
      <c r="K496" s="472"/>
      <c r="L496" s="472"/>
      <c r="M496" s="472"/>
      <c r="N496" s="474">
        <f>SUMPRODUCT($G$2:$M$2,G496:M496)</f>
        <v>18</v>
      </c>
      <c r="O496" s="465">
        <v>8</v>
      </c>
      <c r="P496" s="466">
        <f>IFERROR(IF((N496*E496-O496*E496)&lt;0,0,(N496*E496-O496*E496)),"")</f>
        <v>50</v>
      </c>
      <c r="S496" s="467">
        <f t="shared" si="50"/>
        <v>50</v>
      </c>
    </row>
    <row r="497" customHeight="1" spans="1:19">
      <c r="A497" s="458">
        <v>46204</v>
      </c>
      <c r="B497" s="522" t="s">
        <v>370</v>
      </c>
      <c r="C497" s="458" t="s">
        <v>379</v>
      </c>
      <c r="D497" s="460"/>
      <c r="E497" s="461">
        <v>5</v>
      </c>
      <c r="F497" s="469"/>
      <c r="G497" s="493">
        <v>16</v>
      </c>
      <c r="H497" s="472"/>
      <c r="I497" s="472"/>
      <c r="J497" s="472"/>
      <c r="K497" s="472"/>
      <c r="L497" s="472"/>
      <c r="M497" s="472"/>
      <c r="N497" s="474">
        <f>SUMPRODUCT($G$2:$M$2,G497:M497)</f>
        <v>16</v>
      </c>
      <c r="O497" s="465">
        <v>8</v>
      </c>
      <c r="P497" s="466">
        <f>IFERROR(IF((N497*E497-O497*E497)&lt;0,0,(N497*E497-O497*E497)),"")</f>
        <v>40</v>
      </c>
      <c r="S497" s="467">
        <f t="shared" si="50"/>
        <v>40</v>
      </c>
    </row>
    <row r="498" customHeight="1" spans="1:19">
      <c r="A498" s="458">
        <v>46205</v>
      </c>
      <c r="B498" s="522" t="s">
        <v>370</v>
      </c>
      <c r="C498" s="458" t="s">
        <v>379</v>
      </c>
      <c r="D498" s="460"/>
      <c r="E498" s="461">
        <v>5</v>
      </c>
      <c r="F498" s="469"/>
      <c r="G498" s="493"/>
      <c r="H498" s="472"/>
      <c r="I498" s="472"/>
      <c r="J498" s="472"/>
      <c r="K498" s="472"/>
      <c r="L498" s="472"/>
      <c r="M498" s="472"/>
      <c r="N498" s="474">
        <f t="shared" ref="N498:N512" si="53">SUMPRODUCT($G$2:$M$2,G498:M498)</f>
        <v>0</v>
      </c>
      <c r="O498" s="465">
        <v>8</v>
      </c>
      <c r="P498" s="466">
        <f t="shared" ref="P498:P512" si="54">IFERROR(IF((N498*E498-O498*E498)&lt;0,0,(N498*E498-O498*E498)),"")</f>
        <v>0</v>
      </c>
      <c r="S498" s="467">
        <f t="shared" ref="S498:S523" si="55">IF(B498="","",P498+R498)</f>
        <v>0</v>
      </c>
    </row>
    <row r="499" customHeight="1" spans="1:19">
      <c r="A499" s="458">
        <v>46206</v>
      </c>
      <c r="B499" s="522" t="s">
        <v>370</v>
      </c>
      <c r="C499" s="458" t="s">
        <v>379</v>
      </c>
      <c r="D499" s="460"/>
      <c r="E499" s="461">
        <v>5</v>
      </c>
      <c r="F499" s="469"/>
      <c r="G499" s="493">
        <v>14</v>
      </c>
      <c r="H499" s="472"/>
      <c r="I499" s="472"/>
      <c r="J499" s="472"/>
      <c r="K499" s="472"/>
      <c r="L499" s="472"/>
      <c r="M499" s="472"/>
      <c r="N499" s="474">
        <f t="shared" si="53"/>
        <v>14</v>
      </c>
      <c r="O499" s="465">
        <v>8</v>
      </c>
      <c r="P499" s="466">
        <f t="shared" si="54"/>
        <v>30</v>
      </c>
      <c r="S499" s="467">
        <f t="shared" si="55"/>
        <v>30</v>
      </c>
    </row>
    <row r="500" customHeight="1" spans="1:19">
      <c r="A500" s="458">
        <v>46207</v>
      </c>
      <c r="B500" s="522" t="s">
        <v>370</v>
      </c>
      <c r="C500" s="458" t="s">
        <v>379</v>
      </c>
      <c r="D500" s="460"/>
      <c r="E500" s="461">
        <v>5</v>
      </c>
      <c r="F500" s="469"/>
      <c r="G500" s="493"/>
      <c r="H500" s="472"/>
      <c r="I500" s="472"/>
      <c r="J500" s="472"/>
      <c r="K500" s="472"/>
      <c r="L500" s="472"/>
      <c r="M500" s="472"/>
      <c r="N500" s="474">
        <f t="shared" si="53"/>
        <v>0</v>
      </c>
      <c r="O500" s="465">
        <v>8</v>
      </c>
      <c r="P500" s="466">
        <f t="shared" si="54"/>
        <v>0</v>
      </c>
      <c r="S500" s="467">
        <f t="shared" si="55"/>
        <v>0</v>
      </c>
    </row>
    <row r="501" customHeight="1" spans="1:19">
      <c r="A501" s="458">
        <v>46208</v>
      </c>
      <c r="B501" s="522" t="s">
        <v>370</v>
      </c>
      <c r="C501" s="458" t="s">
        <v>379</v>
      </c>
      <c r="D501" s="460"/>
      <c r="E501" s="461">
        <v>5</v>
      </c>
      <c r="F501" s="469"/>
      <c r="G501" s="493"/>
      <c r="H501" s="472"/>
      <c r="I501" s="472"/>
      <c r="J501" s="472"/>
      <c r="K501" s="472"/>
      <c r="L501" s="472"/>
      <c r="M501" s="472"/>
      <c r="N501" s="474">
        <f t="shared" si="53"/>
        <v>0</v>
      </c>
      <c r="O501" s="465">
        <v>8</v>
      </c>
      <c r="P501" s="466">
        <f t="shared" si="54"/>
        <v>0</v>
      </c>
      <c r="S501" s="467">
        <f t="shared" si="55"/>
        <v>0</v>
      </c>
    </row>
    <row r="502" customHeight="1" spans="1:19">
      <c r="A502" s="458">
        <v>46209</v>
      </c>
      <c r="B502" s="522" t="s">
        <v>370</v>
      </c>
      <c r="C502" s="458" t="s">
        <v>379</v>
      </c>
      <c r="D502" s="460"/>
      <c r="E502" s="461">
        <v>5</v>
      </c>
      <c r="F502" s="469"/>
      <c r="G502" s="493">
        <v>19</v>
      </c>
      <c r="H502" s="472"/>
      <c r="I502" s="472"/>
      <c r="J502" s="472"/>
      <c r="K502" s="472"/>
      <c r="L502" s="472"/>
      <c r="M502" s="472"/>
      <c r="N502" s="474">
        <f t="shared" si="53"/>
        <v>19</v>
      </c>
      <c r="O502" s="465">
        <v>8</v>
      </c>
      <c r="P502" s="466">
        <f t="shared" si="54"/>
        <v>55</v>
      </c>
      <c r="S502" s="467">
        <f t="shared" si="55"/>
        <v>55</v>
      </c>
    </row>
    <row r="503" customHeight="1" spans="1:19">
      <c r="A503" s="458">
        <v>46210</v>
      </c>
      <c r="B503" s="522" t="s">
        <v>370</v>
      </c>
      <c r="C503" s="458" t="s">
        <v>379</v>
      </c>
      <c r="D503" s="460"/>
      <c r="E503" s="461">
        <v>5</v>
      </c>
      <c r="F503" s="469"/>
      <c r="G503" s="493">
        <v>19</v>
      </c>
      <c r="H503" s="472"/>
      <c r="I503" s="472"/>
      <c r="J503" s="472"/>
      <c r="K503" s="472"/>
      <c r="L503" s="472"/>
      <c r="M503" s="472"/>
      <c r="N503" s="474">
        <f t="shared" si="53"/>
        <v>19</v>
      </c>
      <c r="O503" s="465">
        <v>8</v>
      </c>
      <c r="P503" s="466">
        <f t="shared" si="54"/>
        <v>55</v>
      </c>
      <c r="S503" s="467">
        <f t="shared" si="55"/>
        <v>55</v>
      </c>
    </row>
    <row r="504" customHeight="1" spans="1:19">
      <c r="A504" s="458">
        <v>46211</v>
      </c>
      <c r="B504" s="522" t="s">
        <v>370</v>
      </c>
      <c r="C504" s="458" t="s">
        <v>379</v>
      </c>
      <c r="D504" s="460"/>
      <c r="E504" s="461">
        <v>5</v>
      </c>
      <c r="F504" s="469"/>
      <c r="G504" s="493">
        <v>18</v>
      </c>
      <c r="H504" s="472"/>
      <c r="I504" s="472"/>
      <c r="J504" s="472"/>
      <c r="K504" s="472"/>
      <c r="L504" s="472">
        <v>1</v>
      </c>
      <c r="M504" s="472"/>
      <c r="N504" s="474">
        <f t="shared" si="53"/>
        <v>20</v>
      </c>
      <c r="O504" s="465">
        <v>8</v>
      </c>
      <c r="P504" s="466">
        <f t="shared" si="54"/>
        <v>60</v>
      </c>
      <c r="S504" s="467">
        <f t="shared" si="55"/>
        <v>60</v>
      </c>
    </row>
    <row r="505" customHeight="1" spans="1:19">
      <c r="A505" s="458">
        <v>46212</v>
      </c>
      <c r="B505" s="522" t="s">
        <v>370</v>
      </c>
      <c r="C505" s="458" t="s">
        <v>379</v>
      </c>
      <c r="D505" s="460"/>
      <c r="E505" s="461">
        <v>5</v>
      </c>
      <c r="F505" s="469"/>
      <c r="G505" s="493">
        <v>18</v>
      </c>
      <c r="H505" s="472"/>
      <c r="I505" s="472"/>
      <c r="J505" s="472"/>
      <c r="K505" s="472"/>
      <c r="L505" s="472">
        <v>1</v>
      </c>
      <c r="M505" s="472"/>
      <c r="N505" s="474">
        <f t="shared" si="53"/>
        <v>20</v>
      </c>
      <c r="O505" s="465">
        <v>8</v>
      </c>
      <c r="P505" s="466">
        <f t="shared" si="54"/>
        <v>60</v>
      </c>
      <c r="S505" s="467">
        <f t="shared" si="55"/>
        <v>60</v>
      </c>
    </row>
    <row r="506" customHeight="1" spans="1:19">
      <c r="A506" s="458">
        <v>46213</v>
      </c>
      <c r="B506" s="522" t="s">
        <v>370</v>
      </c>
      <c r="C506" s="458" t="s">
        <v>379</v>
      </c>
      <c r="D506" s="460"/>
      <c r="E506" s="461">
        <v>5</v>
      </c>
      <c r="F506" s="469"/>
      <c r="G506" s="493">
        <v>18</v>
      </c>
      <c r="H506" s="472"/>
      <c r="I506" s="472"/>
      <c r="J506" s="472"/>
      <c r="K506" s="472"/>
      <c r="L506" s="472">
        <v>1</v>
      </c>
      <c r="M506" s="472"/>
      <c r="N506" s="474">
        <f t="shared" si="53"/>
        <v>20</v>
      </c>
      <c r="O506" s="465">
        <v>8</v>
      </c>
      <c r="P506" s="466">
        <f t="shared" si="54"/>
        <v>60</v>
      </c>
      <c r="S506" s="467">
        <f t="shared" si="55"/>
        <v>60</v>
      </c>
    </row>
    <row r="507" customHeight="1" spans="1:19">
      <c r="A507" s="458">
        <v>46214</v>
      </c>
      <c r="B507" s="522" t="s">
        <v>370</v>
      </c>
      <c r="C507" s="458" t="s">
        <v>379</v>
      </c>
      <c r="D507" s="460"/>
      <c r="E507" s="461">
        <v>5</v>
      </c>
      <c r="F507" s="469"/>
      <c r="G507" s="493">
        <v>24</v>
      </c>
      <c r="H507" s="472"/>
      <c r="I507" s="472"/>
      <c r="J507" s="472"/>
      <c r="K507" s="472"/>
      <c r="L507" s="472"/>
      <c r="M507" s="472"/>
      <c r="N507" s="474">
        <f t="shared" si="53"/>
        <v>24</v>
      </c>
      <c r="O507" s="465">
        <v>8</v>
      </c>
      <c r="P507" s="466">
        <f t="shared" si="54"/>
        <v>80</v>
      </c>
      <c r="S507" s="467">
        <f t="shared" si="55"/>
        <v>80</v>
      </c>
    </row>
    <row r="508" customHeight="1" spans="1:19">
      <c r="A508" s="458">
        <v>46215</v>
      </c>
      <c r="B508" s="522" t="s">
        <v>370</v>
      </c>
      <c r="C508" s="458" t="s">
        <v>379</v>
      </c>
      <c r="D508" s="460"/>
      <c r="E508" s="461">
        <v>5</v>
      </c>
      <c r="F508" s="469"/>
      <c r="G508" s="493">
        <v>16</v>
      </c>
      <c r="H508" s="472"/>
      <c r="I508" s="472"/>
      <c r="J508" s="472"/>
      <c r="K508" s="472"/>
      <c r="L508" s="472">
        <v>1</v>
      </c>
      <c r="M508" s="472"/>
      <c r="N508" s="474">
        <f t="shared" si="53"/>
        <v>18</v>
      </c>
      <c r="O508" s="465">
        <v>8</v>
      </c>
      <c r="P508" s="466">
        <f t="shared" si="54"/>
        <v>50</v>
      </c>
      <c r="S508" s="467">
        <f t="shared" si="55"/>
        <v>50</v>
      </c>
    </row>
    <row r="509" customHeight="1" spans="1:19">
      <c r="A509" s="458">
        <v>46216</v>
      </c>
      <c r="B509" s="522" t="s">
        <v>370</v>
      </c>
      <c r="C509" s="458" t="s">
        <v>379</v>
      </c>
      <c r="D509" s="460"/>
      <c r="E509" s="461">
        <v>5</v>
      </c>
      <c r="F509" s="469"/>
      <c r="G509" s="493">
        <v>16</v>
      </c>
      <c r="H509" s="472"/>
      <c r="I509" s="472"/>
      <c r="J509" s="472"/>
      <c r="K509" s="472"/>
      <c r="L509" s="472"/>
      <c r="M509" s="472"/>
      <c r="N509" s="474">
        <f t="shared" si="53"/>
        <v>16</v>
      </c>
      <c r="O509" s="465">
        <v>8</v>
      </c>
      <c r="P509" s="466">
        <f t="shared" si="54"/>
        <v>40</v>
      </c>
      <c r="S509" s="467">
        <f t="shared" si="55"/>
        <v>40</v>
      </c>
    </row>
    <row r="510" customHeight="1" spans="1:19">
      <c r="A510" s="458">
        <v>46217</v>
      </c>
      <c r="B510" s="522" t="s">
        <v>370</v>
      </c>
      <c r="C510" s="458" t="s">
        <v>379</v>
      </c>
      <c r="D510" s="460"/>
      <c r="E510" s="461">
        <v>5</v>
      </c>
      <c r="F510" s="469"/>
      <c r="G510" s="493">
        <v>14</v>
      </c>
      <c r="H510" s="472"/>
      <c r="I510" s="472"/>
      <c r="J510" s="472"/>
      <c r="K510" s="472"/>
      <c r="L510" s="472">
        <v>1</v>
      </c>
      <c r="M510" s="472"/>
      <c r="N510" s="474">
        <f t="shared" si="53"/>
        <v>16</v>
      </c>
      <c r="O510" s="465">
        <v>8</v>
      </c>
      <c r="P510" s="466">
        <f t="shared" si="54"/>
        <v>40</v>
      </c>
      <c r="S510" s="467">
        <f t="shared" si="55"/>
        <v>40</v>
      </c>
    </row>
    <row r="511" customHeight="1" spans="1:19">
      <c r="A511" s="458">
        <v>46218</v>
      </c>
      <c r="B511" s="522" t="s">
        <v>370</v>
      </c>
      <c r="C511" s="458" t="s">
        <v>379</v>
      </c>
      <c r="D511" s="460"/>
      <c r="E511" s="461">
        <v>5</v>
      </c>
      <c r="F511" s="469"/>
      <c r="G511" s="493">
        <v>16</v>
      </c>
      <c r="H511" s="472"/>
      <c r="I511" s="472"/>
      <c r="J511" s="472"/>
      <c r="K511" s="472"/>
      <c r="L511" s="472"/>
      <c r="M511" s="472"/>
      <c r="N511" s="474">
        <f t="shared" si="53"/>
        <v>16</v>
      </c>
      <c r="O511" s="465">
        <v>8</v>
      </c>
      <c r="P511" s="466">
        <f t="shared" si="54"/>
        <v>40</v>
      </c>
      <c r="S511" s="467">
        <f t="shared" si="55"/>
        <v>40</v>
      </c>
    </row>
    <row r="512" customHeight="1" spans="1:19">
      <c r="A512" s="481">
        <v>46219</v>
      </c>
      <c r="B512" s="522" t="s">
        <v>370</v>
      </c>
      <c r="C512" s="458" t="s">
        <v>379</v>
      </c>
      <c r="D512" s="460"/>
      <c r="E512" s="461">
        <v>5</v>
      </c>
      <c r="F512" s="469"/>
      <c r="G512" s="493">
        <v>21</v>
      </c>
      <c r="H512" s="472"/>
      <c r="I512" s="472"/>
      <c r="J512" s="472"/>
      <c r="K512" s="472"/>
      <c r="L512" s="472"/>
      <c r="M512" s="472"/>
      <c r="N512" s="474">
        <f t="shared" si="53"/>
        <v>21</v>
      </c>
      <c r="O512" s="465">
        <v>8</v>
      </c>
      <c r="P512" s="466">
        <f t="shared" si="54"/>
        <v>65</v>
      </c>
      <c r="S512" s="467">
        <f t="shared" si="55"/>
        <v>65</v>
      </c>
    </row>
    <row r="513" customHeight="1" spans="1:19">
      <c r="A513" s="458">
        <v>46220</v>
      </c>
      <c r="B513" s="522" t="s">
        <v>370</v>
      </c>
      <c r="C513" s="458" t="s">
        <v>379</v>
      </c>
      <c r="D513" s="460"/>
      <c r="E513" s="461">
        <v>5</v>
      </c>
      <c r="F513" s="469"/>
      <c r="G513" s="493">
        <v>18</v>
      </c>
      <c r="H513" s="472"/>
      <c r="I513" s="472"/>
      <c r="J513" s="472"/>
      <c r="K513" s="472"/>
      <c r="L513" s="472">
        <v>1</v>
      </c>
      <c r="M513" s="472"/>
      <c r="N513" s="474">
        <v>0</v>
      </c>
      <c r="O513" s="465">
        <v>8</v>
      </c>
      <c r="P513" s="466">
        <v>0</v>
      </c>
      <c r="S513" s="467">
        <f t="shared" si="55"/>
        <v>0</v>
      </c>
    </row>
    <row r="514" customHeight="1" spans="1:19">
      <c r="A514" s="458">
        <v>46221</v>
      </c>
      <c r="B514" s="522" t="s">
        <v>370</v>
      </c>
      <c r="C514" s="458" t="s">
        <v>379</v>
      </c>
      <c r="D514" s="460"/>
      <c r="E514" s="461">
        <v>5</v>
      </c>
      <c r="F514" s="469"/>
      <c r="G514" s="493">
        <v>18</v>
      </c>
      <c r="H514" s="472"/>
      <c r="I514" s="472"/>
      <c r="J514" s="472"/>
      <c r="K514" s="472"/>
      <c r="L514" s="472">
        <v>1</v>
      </c>
      <c r="M514" s="472"/>
      <c r="N514" s="474">
        <f t="shared" ref="N514:N533" si="56">SUMPRODUCT($G$2:$M$2,G514:M514)</f>
        <v>20</v>
      </c>
      <c r="O514" s="465">
        <v>8</v>
      </c>
      <c r="P514" s="466">
        <f t="shared" ref="P514:P533" si="57">IFERROR(IF((N514*E514-O514*E514)&lt;0,0,(N514*E514-O514*E514)),"")</f>
        <v>60</v>
      </c>
      <c r="S514" s="467">
        <f t="shared" si="55"/>
        <v>60</v>
      </c>
    </row>
    <row r="515" customHeight="1" spans="1:19">
      <c r="A515" s="458">
        <v>46222</v>
      </c>
      <c r="B515" s="522" t="s">
        <v>370</v>
      </c>
      <c r="C515" s="458" t="s">
        <v>379</v>
      </c>
      <c r="D515" s="460"/>
      <c r="E515" s="461">
        <v>5</v>
      </c>
      <c r="F515" s="469"/>
      <c r="G515" s="493">
        <v>10</v>
      </c>
      <c r="H515" s="472"/>
      <c r="I515" s="472"/>
      <c r="J515" s="472"/>
      <c r="K515" s="472"/>
      <c r="L515" s="472"/>
      <c r="M515" s="472"/>
      <c r="N515" s="474">
        <f t="shared" si="56"/>
        <v>10</v>
      </c>
      <c r="O515" s="465">
        <v>8</v>
      </c>
      <c r="P515" s="466">
        <f t="shared" si="57"/>
        <v>10</v>
      </c>
      <c r="S515" s="467">
        <f t="shared" si="55"/>
        <v>10</v>
      </c>
    </row>
    <row r="516" customHeight="1" spans="1:19">
      <c r="A516" s="458">
        <v>46223</v>
      </c>
      <c r="B516" s="522" t="s">
        <v>370</v>
      </c>
      <c r="C516" s="458" t="s">
        <v>379</v>
      </c>
      <c r="D516" s="460"/>
      <c r="E516" s="461">
        <v>5</v>
      </c>
      <c r="F516" s="469"/>
      <c r="G516" s="493"/>
      <c r="H516" s="472"/>
      <c r="I516" s="472"/>
      <c r="J516" s="472"/>
      <c r="K516" s="472"/>
      <c r="L516" s="472"/>
      <c r="M516" s="472"/>
      <c r="N516" s="474">
        <f t="shared" si="56"/>
        <v>0</v>
      </c>
      <c r="O516" s="465">
        <v>8</v>
      </c>
      <c r="P516" s="466">
        <f t="shared" si="57"/>
        <v>0</v>
      </c>
      <c r="S516" s="467">
        <f t="shared" si="55"/>
        <v>0</v>
      </c>
    </row>
    <row r="517" customHeight="1" spans="1:19">
      <c r="A517" s="458">
        <v>46224</v>
      </c>
      <c r="B517" s="522" t="s">
        <v>370</v>
      </c>
      <c r="C517" s="458" t="s">
        <v>379</v>
      </c>
      <c r="D517" s="460"/>
      <c r="E517" s="461">
        <v>5</v>
      </c>
      <c r="F517" s="469"/>
      <c r="G517" s="493">
        <v>16</v>
      </c>
      <c r="H517" s="472"/>
      <c r="I517" s="472"/>
      <c r="J517" s="472"/>
      <c r="K517" s="472"/>
      <c r="L517" s="472"/>
      <c r="M517" s="472"/>
      <c r="N517" s="474">
        <f t="shared" si="56"/>
        <v>16</v>
      </c>
      <c r="O517" s="465">
        <v>8</v>
      </c>
      <c r="P517" s="466">
        <f t="shared" si="57"/>
        <v>40</v>
      </c>
      <c r="S517" s="467">
        <f t="shared" si="55"/>
        <v>40</v>
      </c>
    </row>
    <row r="518" customHeight="1" spans="1:19">
      <c r="A518" s="458">
        <v>46225</v>
      </c>
      <c r="B518" s="522" t="s">
        <v>370</v>
      </c>
      <c r="C518" s="458" t="s">
        <v>379</v>
      </c>
      <c r="D518" s="460"/>
      <c r="E518" s="461">
        <v>5</v>
      </c>
      <c r="F518" s="469"/>
      <c r="G518" s="493">
        <v>17</v>
      </c>
      <c r="H518" s="472"/>
      <c r="I518" s="472"/>
      <c r="J518" s="472"/>
      <c r="K518" s="472"/>
      <c r="L518" s="472">
        <v>1</v>
      </c>
      <c r="M518" s="472"/>
      <c r="N518" s="474">
        <f t="shared" si="56"/>
        <v>19</v>
      </c>
      <c r="O518" s="465">
        <v>8</v>
      </c>
      <c r="P518" s="466">
        <f t="shared" si="57"/>
        <v>55</v>
      </c>
      <c r="S518" s="467">
        <f t="shared" si="55"/>
        <v>55</v>
      </c>
    </row>
    <row r="519" customHeight="1" spans="1:19">
      <c r="A519" s="458">
        <v>46226</v>
      </c>
      <c r="B519" s="522" t="s">
        <v>370</v>
      </c>
      <c r="C519" s="458" t="s">
        <v>379</v>
      </c>
      <c r="D519" s="460"/>
      <c r="E519" s="461">
        <v>5</v>
      </c>
      <c r="F519" s="469"/>
      <c r="G519" s="493">
        <v>16</v>
      </c>
      <c r="H519" s="472"/>
      <c r="I519" s="472"/>
      <c r="J519" s="472"/>
      <c r="K519" s="472"/>
      <c r="L519" s="472">
        <v>1</v>
      </c>
      <c r="M519" s="472"/>
      <c r="N519" s="474">
        <f t="shared" si="56"/>
        <v>18</v>
      </c>
      <c r="O519" s="465">
        <v>8</v>
      </c>
      <c r="P519" s="466">
        <f t="shared" si="57"/>
        <v>50</v>
      </c>
      <c r="S519" s="467">
        <f t="shared" si="55"/>
        <v>50</v>
      </c>
    </row>
    <row r="520" customHeight="1" spans="1:19">
      <c r="A520" s="458">
        <v>46227</v>
      </c>
      <c r="B520" s="522" t="s">
        <v>370</v>
      </c>
      <c r="C520" s="458" t="s">
        <v>379</v>
      </c>
      <c r="D520" s="460"/>
      <c r="E520" s="461">
        <v>5</v>
      </c>
      <c r="F520" s="469"/>
      <c r="G520" s="493">
        <v>17</v>
      </c>
      <c r="H520" s="472"/>
      <c r="I520" s="472"/>
      <c r="J520" s="472"/>
      <c r="K520" s="472"/>
      <c r="L520" s="472">
        <v>1</v>
      </c>
      <c r="M520" s="472"/>
      <c r="N520" s="474">
        <f t="shared" si="56"/>
        <v>19</v>
      </c>
      <c r="O520" s="465">
        <v>8</v>
      </c>
      <c r="P520" s="466">
        <f t="shared" si="57"/>
        <v>55</v>
      </c>
      <c r="S520" s="467">
        <f t="shared" si="55"/>
        <v>55</v>
      </c>
    </row>
    <row r="521" customHeight="1" spans="1:19">
      <c r="A521" s="458">
        <v>46228</v>
      </c>
      <c r="B521" s="522" t="s">
        <v>370</v>
      </c>
      <c r="C521" s="458" t="s">
        <v>379</v>
      </c>
      <c r="D521" s="460"/>
      <c r="E521" s="461">
        <v>5</v>
      </c>
      <c r="F521" s="469"/>
      <c r="G521" s="493">
        <v>16</v>
      </c>
      <c r="H521" s="472"/>
      <c r="I521" s="472"/>
      <c r="J521" s="472"/>
      <c r="K521" s="472"/>
      <c r="L521" s="472"/>
      <c r="M521" s="472"/>
      <c r="N521" s="474">
        <f t="shared" si="56"/>
        <v>16</v>
      </c>
      <c r="O521" s="465">
        <v>8</v>
      </c>
      <c r="P521" s="466">
        <f t="shared" si="57"/>
        <v>40</v>
      </c>
      <c r="S521" s="467">
        <f t="shared" si="55"/>
        <v>40</v>
      </c>
    </row>
    <row r="522" customHeight="1" spans="1:19">
      <c r="A522" s="458">
        <v>46229</v>
      </c>
      <c r="B522" s="522" t="s">
        <v>370</v>
      </c>
      <c r="C522" s="458" t="s">
        <v>379</v>
      </c>
      <c r="D522" s="460"/>
      <c r="E522" s="461">
        <v>5</v>
      </c>
      <c r="F522" s="469"/>
      <c r="G522" s="493">
        <v>16</v>
      </c>
      <c r="H522" s="472"/>
      <c r="I522" s="472"/>
      <c r="J522" s="472"/>
      <c r="K522" s="472"/>
      <c r="L522" s="472"/>
      <c r="M522" s="472"/>
      <c r="N522" s="474">
        <f t="shared" si="56"/>
        <v>16</v>
      </c>
      <c r="O522" s="465">
        <v>8</v>
      </c>
      <c r="P522" s="466">
        <f t="shared" si="57"/>
        <v>40</v>
      </c>
      <c r="S522" s="467">
        <f>IF(B527="","",P522+R522)</f>
        <v>40</v>
      </c>
    </row>
    <row r="523" customHeight="1" spans="1:19">
      <c r="A523" s="458">
        <v>46230</v>
      </c>
      <c r="B523" s="522" t="s">
        <v>370</v>
      </c>
      <c r="C523" s="458" t="s">
        <v>379</v>
      </c>
      <c r="D523" s="460"/>
      <c r="E523" s="461">
        <v>5</v>
      </c>
      <c r="F523" s="469"/>
      <c r="G523" s="493">
        <v>16</v>
      </c>
      <c r="H523" s="472"/>
      <c r="I523" s="472"/>
      <c r="J523" s="472"/>
      <c r="K523" s="472"/>
      <c r="L523" s="472">
        <v>1</v>
      </c>
      <c r="M523" s="472"/>
      <c r="N523" s="474">
        <f t="shared" si="56"/>
        <v>18</v>
      </c>
      <c r="O523" s="465">
        <v>8</v>
      </c>
      <c r="P523" s="466">
        <f t="shared" si="57"/>
        <v>50</v>
      </c>
      <c r="S523" s="467">
        <f t="shared" si="55"/>
        <v>50</v>
      </c>
    </row>
    <row r="524" customHeight="1" spans="1:19">
      <c r="A524" s="458">
        <v>46231</v>
      </c>
      <c r="B524" s="522" t="s">
        <v>370</v>
      </c>
      <c r="C524" s="458" t="s">
        <v>379</v>
      </c>
      <c r="D524" s="460"/>
      <c r="E524" s="461">
        <v>5</v>
      </c>
      <c r="F524" s="469"/>
      <c r="G524" s="493"/>
      <c r="H524" s="472"/>
      <c r="I524" s="472"/>
      <c r="J524" s="472"/>
      <c r="K524" s="472"/>
      <c r="L524" s="472"/>
      <c r="M524" s="472"/>
      <c r="N524" s="474">
        <f t="shared" si="56"/>
        <v>0</v>
      </c>
      <c r="O524" s="465">
        <v>8</v>
      </c>
      <c r="P524" s="466">
        <f t="shared" si="57"/>
        <v>0</v>
      </c>
      <c r="S524" s="467">
        <f t="shared" ref="S524:S555" si="58">IF(B524="","",P524+R524)</f>
        <v>0</v>
      </c>
    </row>
    <row r="525" customHeight="1" spans="1:19">
      <c r="A525" s="458">
        <v>46232</v>
      </c>
      <c r="B525" s="522" t="s">
        <v>370</v>
      </c>
      <c r="C525" s="458" t="s">
        <v>379</v>
      </c>
      <c r="D525" s="460"/>
      <c r="E525" s="461">
        <v>5</v>
      </c>
      <c r="F525" s="469"/>
      <c r="G525" s="493">
        <v>18</v>
      </c>
      <c r="H525" s="472"/>
      <c r="I525" s="472"/>
      <c r="J525" s="472"/>
      <c r="K525" s="472"/>
      <c r="L525" s="472"/>
      <c r="M525" s="472"/>
      <c r="N525" s="474">
        <f t="shared" si="56"/>
        <v>18</v>
      </c>
      <c r="O525" s="465">
        <v>8</v>
      </c>
      <c r="P525" s="466">
        <f t="shared" si="57"/>
        <v>50</v>
      </c>
      <c r="S525" s="467">
        <f t="shared" si="58"/>
        <v>50</v>
      </c>
    </row>
    <row r="526" customHeight="1" spans="1:19">
      <c r="A526" s="458">
        <v>46233</v>
      </c>
      <c r="B526" s="522" t="s">
        <v>370</v>
      </c>
      <c r="C526" s="458" t="s">
        <v>379</v>
      </c>
      <c r="D526" s="460"/>
      <c r="E526" s="461">
        <v>5</v>
      </c>
      <c r="F526" s="469"/>
      <c r="G526" s="493">
        <v>21</v>
      </c>
      <c r="H526" s="472"/>
      <c r="I526" s="472"/>
      <c r="J526" s="472"/>
      <c r="K526" s="472"/>
      <c r="L526" s="472"/>
      <c r="M526" s="472"/>
      <c r="N526" s="474">
        <f t="shared" si="56"/>
        <v>21</v>
      </c>
      <c r="O526" s="465">
        <v>8</v>
      </c>
      <c r="P526" s="466">
        <f t="shared" si="57"/>
        <v>65</v>
      </c>
      <c r="S526" s="467">
        <f t="shared" si="58"/>
        <v>65</v>
      </c>
    </row>
    <row r="527" customHeight="1" spans="1:19">
      <c r="A527" s="458">
        <v>46234</v>
      </c>
      <c r="B527" s="522" t="s">
        <v>370</v>
      </c>
      <c r="C527" s="458" t="s">
        <v>379</v>
      </c>
      <c r="D527" s="460"/>
      <c r="E527" s="461">
        <v>5</v>
      </c>
      <c r="F527" s="469"/>
      <c r="G527" s="493">
        <v>18</v>
      </c>
      <c r="H527" s="472"/>
      <c r="I527" s="472"/>
      <c r="J527" s="472"/>
      <c r="K527" s="472"/>
      <c r="L527" s="472">
        <v>1</v>
      </c>
      <c r="M527" s="472"/>
      <c r="N527" s="474">
        <f t="shared" si="56"/>
        <v>20</v>
      </c>
      <c r="O527" s="465">
        <v>8</v>
      </c>
      <c r="P527" s="466">
        <f t="shared" si="57"/>
        <v>60</v>
      </c>
      <c r="S527" s="467">
        <f t="shared" si="58"/>
        <v>60</v>
      </c>
    </row>
    <row r="528" customHeight="1" spans="1:19">
      <c r="A528" s="458">
        <v>46204</v>
      </c>
      <c r="B528" s="522" t="s">
        <v>371</v>
      </c>
      <c r="C528" s="458" t="s">
        <v>379</v>
      </c>
      <c r="D528" s="460"/>
      <c r="E528" s="461">
        <v>5</v>
      </c>
      <c r="F528" s="469"/>
      <c r="G528" s="493">
        <v>13</v>
      </c>
      <c r="H528" s="472"/>
      <c r="I528" s="472"/>
      <c r="J528" s="472"/>
      <c r="K528" s="472"/>
      <c r="L528" s="472">
        <v>1</v>
      </c>
      <c r="M528" s="472"/>
      <c r="N528" s="474">
        <f t="shared" si="56"/>
        <v>15</v>
      </c>
      <c r="O528" s="465">
        <v>8</v>
      </c>
      <c r="P528" s="466">
        <f t="shared" si="57"/>
        <v>35</v>
      </c>
      <c r="S528" s="467">
        <f t="shared" si="58"/>
        <v>35</v>
      </c>
    </row>
    <row r="529" customHeight="1" spans="1:19">
      <c r="A529" s="458">
        <v>46205</v>
      </c>
      <c r="B529" s="522" t="s">
        <v>371</v>
      </c>
      <c r="C529" s="458" t="s">
        <v>379</v>
      </c>
      <c r="D529" s="460"/>
      <c r="E529" s="461">
        <v>5</v>
      </c>
      <c r="F529" s="469"/>
      <c r="G529" s="493">
        <v>15</v>
      </c>
      <c r="H529" s="472"/>
      <c r="I529" s="472"/>
      <c r="J529" s="472"/>
      <c r="K529" s="472"/>
      <c r="L529" s="472"/>
      <c r="M529" s="472"/>
      <c r="N529" s="474">
        <f t="shared" si="56"/>
        <v>15</v>
      </c>
      <c r="O529" s="465">
        <v>8</v>
      </c>
      <c r="P529" s="466">
        <f t="shared" si="57"/>
        <v>35</v>
      </c>
      <c r="S529" s="467">
        <f t="shared" si="58"/>
        <v>35</v>
      </c>
    </row>
    <row r="530" customHeight="1" spans="1:19">
      <c r="A530" s="458">
        <v>46206</v>
      </c>
      <c r="B530" s="522" t="s">
        <v>371</v>
      </c>
      <c r="C530" s="458" t="s">
        <v>379</v>
      </c>
      <c r="D530" s="460"/>
      <c r="E530" s="461">
        <v>5</v>
      </c>
      <c r="F530" s="469"/>
      <c r="G530" s="493"/>
      <c r="H530" s="472"/>
      <c r="I530" s="472"/>
      <c r="J530" s="472"/>
      <c r="K530" s="472"/>
      <c r="L530" s="472"/>
      <c r="M530" s="472"/>
      <c r="N530" s="474">
        <f t="shared" si="56"/>
        <v>0</v>
      </c>
      <c r="O530" s="465">
        <v>8</v>
      </c>
      <c r="P530" s="466">
        <f t="shared" si="57"/>
        <v>0</v>
      </c>
      <c r="S530" s="467">
        <f t="shared" si="58"/>
        <v>0</v>
      </c>
    </row>
    <row r="531" customHeight="1" spans="1:19">
      <c r="A531" s="458">
        <v>46207</v>
      </c>
      <c r="B531" s="522" t="s">
        <v>371</v>
      </c>
      <c r="C531" s="458" t="s">
        <v>379</v>
      </c>
      <c r="D531" s="460"/>
      <c r="E531" s="461">
        <v>5</v>
      </c>
      <c r="F531" s="469"/>
      <c r="G531" s="493">
        <v>14</v>
      </c>
      <c r="H531" s="472"/>
      <c r="I531" s="472"/>
      <c r="J531" s="472"/>
      <c r="K531" s="472"/>
      <c r="L531" s="472">
        <v>1</v>
      </c>
      <c r="M531" s="472"/>
      <c r="N531" s="474">
        <f t="shared" si="56"/>
        <v>16</v>
      </c>
      <c r="O531" s="465">
        <v>8</v>
      </c>
      <c r="P531" s="466">
        <f t="shared" si="57"/>
        <v>40</v>
      </c>
      <c r="S531" s="467">
        <f t="shared" si="58"/>
        <v>40</v>
      </c>
    </row>
    <row r="532" customHeight="1" spans="1:19">
      <c r="A532" s="458">
        <v>46208</v>
      </c>
      <c r="B532" s="522" t="s">
        <v>371</v>
      </c>
      <c r="C532" s="458" t="s">
        <v>379</v>
      </c>
      <c r="D532" s="460"/>
      <c r="E532" s="461">
        <v>5</v>
      </c>
      <c r="F532" s="469"/>
      <c r="G532" s="493">
        <v>17</v>
      </c>
      <c r="H532" s="472"/>
      <c r="I532" s="472"/>
      <c r="J532" s="472"/>
      <c r="K532" s="472"/>
      <c r="L532" s="472">
        <v>1</v>
      </c>
      <c r="M532" s="472"/>
      <c r="N532" s="474">
        <f t="shared" si="56"/>
        <v>19</v>
      </c>
      <c r="O532" s="465">
        <v>8</v>
      </c>
      <c r="P532" s="466">
        <f t="shared" si="57"/>
        <v>55</v>
      </c>
      <c r="S532" s="467">
        <f t="shared" si="58"/>
        <v>55</v>
      </c>
    </row>
    <row r="533" customHeight="1" spans="1:19">
      <c r="A533" s="458">
        <v>46209</v>
      </c>
      <c r="B533" s="522" t="s">
        <v>371</v>
      </c>
      <c r="C533" s="458" t="s">
        <v>379</v>
      </c>
      <c r="D533" s="460"/>
      <c r="E533" s="461">
        <v>5</v>
      </c>
      <c r="F533" s="469"/>
      <c r="G533" s="493"/>
      <c r="H533" s="472"/>
      <c r="I533" s="472"/>
      <c r="J533" s="472"/>
      <c r="K533" s="472"/>
      <c r="L533" s="472"/>
      <c r="M533" s="472"/>
      <c r="N533" s="474">
        <f t="shared" si="56"/>
        <v>0</v>
      </c>
      <c r="O533" s="465">
        <v>8</v>
      </c>
      <c r="P533" s="466">
        <f t="shared" si="57"/>
        <v>0</v>
      </c>
      <c r="S533" s="467">
        <f t="shared" si="58"/>
        <v>0</v>
      </c>
    </row>
    <row r="534" customHeight="1" spans="1:19">
      <c r="A534" s="458">
        <v>46210</v>
      </c>
      <c r="B534" s="522" t="s">
        <v>371</v>
      </c>
      <c r="C534" s="458" t="s">
        <v>379</v>
      </c>
      <c r="D534" s="460"/>
      <c r="E534" s="461">
        <v>5</v>
      </c>
      <c r="F534" s="469"/>
      <c r="G534" s="493">
        <v>18</v>
      </c>
      <c r="H534" s="472"/>
      <c r="I534" s="472"/>
      <c r="J534" s="472"/>
      <c r="K534" s="472"/>
      <c r="L534" s="472"/>
      <c r="M534" s="472"/>
      <c r="N534" s="474">
        <v>0</v>
      </c>
      <c r="O534" s="465">
        <v>8</v>
      </c>
      <c r="P534" s="466">
        <v>0</v>
      </c>
      <c r="S534" s="467">
        <f t="shared" si="58"/>
        <v>0</v>
      </c>
    </row>
    <row r="535" customHeight="1" spans="1:19">
      <c r="A535" s="458">
        <v>46211</v>
      </c>
      <c r="B535" s="522" t="s">
        <v>371</v>
      </c>
      <c r="C535" s="458" t="s">
        <v>379</v>
      </c>
      <c r="D535" s="460"/>
      <c r="E535" s="461">
        <v>5</v>
      </c>
      <c r="F535" s="469"/>
      <c r="G535" s="493">
        <v>18</v>
      </c>
      <c r="H535" s="472"/>
      <c r="I535" s="472"/>
      <c r="J535" s="472"/>
      <c r="K535" s="472"/>
      <c r="L535" s="472"/>
      <c r="M535" s="472"/>
      <c r="N535" s="474">
        <f t="shared" ref="N535:N554" si="59">SUMPRODUCT($G$2:$M$2,G535:M535)</f>
        <v>18</v>
      </c>
      <c r="O535" s="465">
        <v>8</v>
      </c>
      <c r="P535" s="466">
        <f t="shared" ref="P535:P554" si="60">IFERROR(IF((N535*E535-O535*E535)&lt;0,0,(N535*E535-O535*E535)),"")</f>
        <v>50</v>
      </c>
      <c r="S535" s="467">
        <f t="shared" si="58"/>
        <v>50</v>
      </c>
    </row>
    <row r="536" customHeight="1" spans="1:19">
      <c r="A536" s="458">
        <v>46212</v>
      </c>
      <c r="B536" s="522" t="s">
        <v>371</v>
      </c>
      <c r="C536" s="458" t="s">
        <v>379</v>
      </c>
      <c r="D536" s="460"/>
      <c r="E536" s="461">
        <v>5</v>
      </c>
      <c r="F536" s="469"/>
      <c r="G536" s="493">
        <v>18</v>
      </c>
      <c r="H536" s="472"/>
      <c r="I536" s="472"/>
      <c r="J536" s="472"/>
      <c r="K536" s="472"/>
      <c r="L536" s="472">
        <v>1</v>
      </c>
      <c r="M536" s="472"/>
      <c r="N536" s="474">
        <f t="shared" si="59"/>
        <v>20</v>
      </c>
      <c r="O536" s="465">
        <v>8</v>
      </c>
      <c r="P536" s="466">
        <f t="shared" si="60"/>
        <v>60</v>
      </c>
      <c r="S536" s="467">
        <f t="shared" si="58"/>
        <v>60</v>
      </c>
    </row>
    <row r="537" customHeight="1" spans="1:19">
      <c r="A537" s="458">
        <v>46213</v>
      </c>
      <c r="B537" s="522" t="s">
        <v>371</v>
      </c>
      <c r="C537" s="458" t="s">
        <v>379</v>
      </c>
      <c r="D537" s="460"/>
      <c r="E537" s="461">
        <v>5</v>
      </c>
      <c r="F537" s="469"/>
      <c r="G537" s="493">
        <v>18</v>
      </c>
      <c r="H537" s="472"/>
      <c r="I537" s="472"/>
      <c r="J537" s="472"/>
      <c r="K537" s="472"/>
      <c r="L537" s="472">
        <v>1</v>
      </c>
      <c r="M537" s="472"/>
      <c r="N537" s="474">
        <f t="shared" si="59"/>
        <v>20</v>
      </c>
      <c r="O537" s="465">
        <v>8</v>
      </c>
      <c r="P537" s="466">
        <f t="shared" si="60"/>
        <v>60</v>
      </c>
      <c r="S537" s="467">
        <f t="shared" si="58"/>
        <v>60</v>
      </c>
    </row>
    <row r="538" customHeight="1" spans="1:19">
      <c r="A538" s="458">
        <v>46214</v>
      </c>
      <c r="B538" s="522" t="s">
        <v>371</v>
      </c>
      <c r="C538" s="458" t="s">
        <v>379</v>
      </c>
      <c r="D538" s="460"/>
      <c r="E538" s="461">
        <v>5</v>
      </c>
      <c r="F538" s="469"/>
      <c r="G538" s="493">
        <v>17</v>
      </c>
      <c r="H538" s="472"/>
      <c r="I538" s="472"/>
      <c r="J538" s="472"/>
      <c r="K538" s="472"/>
      <c r="L538" s="472">
        <v>1</v>
      </c>
      <c r="M538" s="472"/>
      <c r="N538" s="474">
        <f t="shared" si="59"/>
        <v>19</v>
      </c>
      <c r="O538" s="465">
        <v>8</v>
      </c>
      <c r="P538" s="466">
        <f t="shared" si="60"/>
        <v>55</v>
      </c>
      <c r="S538" s="467">
        <f t="shared" si="58"/>
        <v>55</v>
      </c>
    </row>
    <row r="539" customHeight="1" spans="1:19">
      <c r="A539" s="458">
        <v>46215</v>
      </c>
      <c r="B539" s="522" t="s">
        <v>371</v>
      </c>
      <c r="C539" s="458" t="s">
        <v>379</v>
      </c>
      <c r="D539" s="460"/>
      <c r="E539" s="461">
        <v>5</v>
      </c>
      <c r="F539" s="469"/>
      <c r="G539" s="493">
        <v>16</v>
      </c>
      <c r="H539" s="472"/>
      <c r="I539" s="472"/>
      <c r="J539" s="472"/>
      <c r="K539" s="472"/>
      <c r="L539" s="472"/>
      <c r="M539" s="472"/>
      <c r="N539" s="474">
        <f t="shared" si="59"/>
        <v>16</v>
      </c>
      <c r="O539" s="465">
        <v>8</v>
      </c>
      <c r="P539" s="466">
        <f t="shared" si="60"/>
        <v>40</v>
      </c>
      <c r="S539" s="467">
        <f t="shared" si="58"/>
        <v>40</v>
      </c>
    </row>
    <row r="540" customHeight="1" spans="1:19">
      <c r="A540" s="458">
        <v>46216</v>
      </c>
      <c r="B540" s="522" t="s">
        <v>371</v>
      </c>
      <c r="C540" s="458" t="s">
        <v>379</v>
      </c>
      <c r="D540" s="460"/>
      <c r="E540" s="461">
        <v>5</v>
      </c>
      <c r="F540" s="469"/>
      <c r="G540" s="493">
        <v>11</v>
      </c>
      <c r="H540" s="472"/>
      <c r="I540" s="472"/>
      <c r="J540" s="472"/>
      <c r="K540" s="472"/>
      <c r="L540" s="472"/>
      <c r="M540" s="472"/>
      <c r="N540" s="474">
        <f t="shared" si="59"/>
        <v>11</v>
      </c>
      <c r="O540" s="465">
        <v>8</v>
      </c>
      <c r="P540" s="466">
        <f t="shared" si="60"/>
        <v>15</v>
      </c>
      <c r="S540" s="467">
        <f t="shared" si="58"/>
        <v>15</v>
      </c>
    </row>
    <row r="541" customHeight="1" spans="1:19">
      <c r="A541" s="458">
        <v>46217</v>
      </c>
      <c r="B541" s="522" t="s">
        <v>371</v>
      </c>
      <c r="C541" s="458" t="s">
        <v>379</v>
      </c>
      <c r="D541" s="460"/>
      <c r="E541" s="461">
        <v>5</v>
      </c>
      <c r="F541" s="469"/>
      <c r="G541" s="493"/>
      <c r="H541" s="472"/>
      <c r="I541" s="472"/>
      <c r="J541" s="472"/>
      <c r="K541" s="472"/>
      <c r="L541" s="472"/>
      <c r="M541" s="472"/>
      <c r="N541" s="474">
        <f t="shared" si="59"/>
        <v>0</v>
      </c>
      <c r="O541" s="465">
        <v>8</v>
      </c>
      <c r="P541" s="466">
        <f t="shared" si="60"/>
        <v>0</v>
      </c>
      <c r="S541" s="467">
        <f t="shared" si="58"/>
        <v>0</v>
      </c>
    </row>
    <row r="542" customHeight="1" spans="1:19">
      <c r="A542" s="458">
        <v>46218</v>
      </c>
      <c r="B542" s="522" t="s">
        <v>371</v>
      </c>
      <c r="C542" s="458" t="s">
        <v>379</v>
      </c>
      <c r="D542" s="460"/>
      <c r="E542" s="461">
        <v>5</v>
      </c>
      <c r="F542" s="469"/>
      <c r="G542" s="493">
        <v>17</v>
      </c>
      <c r="H542" s="472"/>
      <c r="I542" s="472"/>
      <c r="J542" s="472"/>
      <c r="K542" s="472"/>
      <c r="L542" s="472">
        <v>1</v>
      </c>
      <c r="M542" s="472"/>
      <c r="N542" s="474">
        <f t="shared" si="59"/>
        <v>19</v>
      </c>
      <c r="O542" s="465">
        <v>8</v>
      </c>
      <c r="P542" s="466">
        <f t="shared" si="60"/>
        <v>55</v>
      </c>
      <c r="S542" s="467">
        <f t="shared" si="58"/>
        <v>55</v>
      </c>
    </row>
    <row r="543" customHeight="1" spans="1:19">
      <c r="A543" s="481">
        <v>46219</v>
      </c>
      <c r="B543" s="522" t="s">
        <v>371</v>
      </c>
      <c r="C543" s="458" t="s">
        <v>379</v>
      </c>
      <c r="D543" s="460"/>
      <c r="E543" s="461">
        <v>5</v>
      </c>
      <c r="F543" s="469"/>
      <c r="G543" s="493">
        <v>19</v>
      </c>
      <c r="H543" s="472"/>
      <c r="I543" s="472"/>
      <c r="J543" s="472"/>
      <c r="K543" s="472"/>
      <c r="L543" s="472"/>
      <c r="M543" s="472"/>
      <c r="N543" s="474">
        <f t="shared" si="59"/>
        <v>19</v>
      </c>
      <c r="O543" s="465">
        <v>8</v>
      </c>
      <c r="P543" s="466">
        <f t="shared" si="60"/>
        <v>55</v>
      </c>
      <c r="S543" s="467">
        <f t="shared" si="58"/>
        <v>55</v>
      </c>
    </row>
    <row r="544" customHeight="1" spans="1:19">
      <c r="A544" s="458">
        <v>46220</v>
      </c>
      <c r="B544" s="522" t="s">
        <v>371</v>
      </c>
      <c r="C544" s="458" t="s">
        <v>379</v>
      </c>
      <c r="D544" s="460"/>
      <c r="E544" s="461">
        <v>5</v>
      </c>
      <c r="F544" s="469"/>
      <c r="G544" s="493">
        <v>18</v>
      </c>
      <c r="H544" s="472"/>
      <c r="I544" s="472"/>
      <c r="J544" s="472"/>
      <c r="K544" s="472"/>
      <c r="L544" s="472"/>
      <c r="M544" s="472"/>
      <c r="N544" s="474">
        <f t="shared" si="59"/>
        <v>18</v>
      </c>
      <c r="O544" s="465">
        <v>8</v>
      </c>
      <c r="P544" s="466">
        <f t="shared" si="60"/>
        <v>50</v>
      </c>
      <c r="S544" s="467">
        <f t="shared" si="58"/>
        <v>50</v>
      </c>
    </row>
    <row r="545" customHeight="1" spans="1:19">
      <c r="A545" s="458">
        <v>46221</v>
      </c>
      <c r="B545" s="522" t="s">
        <v>371</v>
      </c>
      <c r="C545" s="458" t="s">
        <v>379</v>
      </c>
      <c r="D545" s="460"/>
      <c r="E545" s="461">
        <v>5</v>
      </c>
      <c r="F545" s="469"/>
      <c r="G545" s="493">
        <v>16</v>
      </c>
      <c r="H545" s="472"/>
      <c r="I545" s="472"/>
      <c r="J545" s="472"/>
      <c r="K545" s="472"/>
      <c r="L545" s="472"/>
      <c r="M545" s="472"/>
      <c r="N545" s="474">
        <f t="shared" si="59"/>
        <v>16</v>
      </c>
      <c r="O545" s="465">
        <v>8</v>
      </c>
      <c r="P545" s="466">
        <f t="shared" si="60"/>
        <v>40</v>
      </c>
      <c r="S545" s="467">
        <f t="shared" si="58"/>
        <v>40</v>
      </c>
    </row>
    <row r="546" customHeight="1" spans="1:19">
      <c r="A546" s="458">
        <v>46222</v>
      </c>
      <c r="B546" s="522" t="s">
        <v>371</v>
      </c>
      <c r="C546" s="458" t="s">
        <v>379</v>
      </c>
      <c r="D546" s="460"/>
      <c r="E546" s="461">
        <v>5</v>
      </c>
      <c r="F546" s="469"/>
      <c r="G546" s="493">
        <v>14</v>
      </c>
      <c r="H546" s="472"/>
      <c r="I546" s="472"/>
      <c r="J546" s="472"/>
      <c r="K546" s="472"/>
      <c r="L546" s="472"/>
      <c r="M546" s="472"/>
      <c r="N546" s="474">
        <f t="shared" si="59"/>
        <v>14</v>
      </c>
      <c r="O546" s="465">
        <v>8</v>
      </c>
      <c r="P546" s="466">
        <f t="shared" si="60"/>
        <v>30</v>
      </c>
      <c r="S546" s="467">
        <f t="shared" si="58"/>
        <v>30</v>
      </c>
    </row>
    <row r="547" customHeight="1" spans="1:19">
      <c r="A547" s="458">
        <v>46223</v>
      </c>
      <c r="B547" s="522" t="s">
        <v>371</v>
      </c>
      <c r="C547" s="458" t="s">
        <v>379</v>
      </c>
      <c r="D547" s="460"/>
      <c r="E547" s="461">
        <v>5</v>
      </c>
      <c r="F547" s="469"/>
      <c r="G547" s="493">
        <v>14</v>
      </c>
      <c r="H547" s="472"/>
      <c r="I547" s="472"/>
      <c r="J547" s="472"/>
      <c r="K547" s="472"/>
      <c r="L547" s="472"/>
      <c r="M547" s="472"/>
      <c r="N547" s="474">
        <f t="shared" si="59"/>
        <v>14</v>
      </c>
      <c r="O547" s="465">
        <v>8</v>
      </c>
      <c r="P547" s="466">
        <f t="shared" si="60"/>
        <v>30</v>
      </c>
      <c r="S547" s="467">
        <f t="shared" si="58"/>
        <v>30</v>
      </c>
    </row>
    <row r="548" customHeight="1" spans="1:19">
      <c r="A548" s="458">
        <v>46224</v>
      </c>
      <c r="B548" s="522" t="s">
        <v>371</v>
      </c>
      <c r="C548" s="458" t="s">
        <v>379</v>
      </c>
      <c r="D548" s="460"/>
      <c r="E548" s="461">
        <v>5</v>
      </c>
      <c r="F548" s="469"/>
      <c r="G548" s="493">
        <v>9</v>
      </c>
      <c r="H548" s="472"/>
      <c r="I548" s="472"/>
      <c r="J548" s="472"/>
      <c r="K548" s="472"/>
      <c r="L548" s="472"/>
      <c r="M548" s="472"/>
      <c r="N548" s="474">
        <f t="shared" si="59"/>
        <v>9</v>
      </c>
      <c r="O548" s="465">
        <v>8</v>
      </c>
      <c r="P548" s="466">
        <f t="shared" si="60"/>
        <v>5</v>
      </c>
      <c r="S548" s="467">
        <f t="shared" si="58"/>
        <v>5</v>
      </c>
    </row>
    <row r="549" customHeight="1" spans="1:19">
      <c r="A549" s="458">
        <v>46225</v>
      </c>
      <c r="B549" s="522" t="s">
        <v>371</v>
      </c>
      <c r="C549" s="458" t="s">
        <v>379</v>
      </c>
      <c r="D549" s="460"/>
      <c r="E549" s="461">
        <v>5</v>
      </c>
      <c r="F549" s="469"/>
      <c r="G549" s="493"/>
      <c r="H549" s="472"/>
      <c r="I549" s="472"/>
      <c r="J549" s="472"/>
      <c r="K549" s="472"/>
      <c r="L549" s="472"/>
      <c r="M549" s="472"/>
      <c r="N549" s="474">
        <f t="shared" si="59"/>
        <v>0</v>
      </c>
      <c r="O549" s="465">
        <v>8</v>
      </c>
      <c r="P549" s="466">
        <f t="shared" si="60"/>
        <v>0</v>
      </c>
      <c r="S549" s="467">
        <f t="shared" si="58"/>
        <v>0</v>
      </c>
    </row>
    <row r="550" customHeight="1" spans="1:19">
      <c r="A550" s="458">
        <v>46226</v>
      </c>
      <c r="B550" s="522" t="s">
        <v>371</v>
      </c>
      <c r="C550" s="458" t="s">
        <v>379</v>
      </c>
      <c r="D550" s="460"/>
      <c r="E550" s="461">
        <v>5</v>
      </c>
      <c r="F550" s="469"/>
      <c r="G550" s="493"/>
      <c r="H550" s="472"/>
      <c r="I550" s="472"/>
      <c r="J550" s="472"/>
      <c r="K550" s="472"/>
      <c r="L550" s="472"/>
      <c r="M550" s="472"/>
      <c r="N550" s="474">
        <f t="shared" si="59"/>
        <v>0</v>
      </c>
      <c r="O550" s="465">
        <v>8</v>
      </c>
      <c r="P550" s="466">
        <f t="shared" si="60"/>
        <v>0</v>
      </c>
      <c r="S550" s="467">
        <f t="shared" si="58"/>
        <v>0</v>
      </c>
    </row>
    <row r="551" customHeight="1" spans="1:19">
      <c r="A551" s="458">
        <v>46227</v>
      </c>
      <c r="B551" s="522" t="s">
        <v>371</v>
      </c>
      <c r="C551" s="458" t="s">
        <v>379</v>
      </c>
      <c r="D551" s="460"/>
      <c r="E551" s="461">
        <v>5</v>
      </c>
      <c r="F551" s="469"/>
      <c r="G551" s="493"/>
      <c r="H551" s="472"/>
      <c r="I551" s="472"/>
      <c r="J551" s="472"/>
      <c r="K551" s="472"/>
      <c r="L551" s="472"/>
      <c r="M551" s="472"/>
      <c r="N551" s="474">
        <f t="shared" si="59"/>
        <v>0</v>
      </c>
      <c r="O551" s="465">
        <v>8</v>
      </c>
      <c r="P551" s="466">
        <f t="shared" si="60"/>
        <v>0</v>
      </c>
      <c r="S551" s="467">
        <f t="shared" si="58"/>
        <v>0</v>
      </c>
    </row>
    <row r="552" customHeight="1" spans="1:19">
      <c r="A552" s="458">
        <v>46228</v>
      </c>
      <c r="B552" s="522" t="s">
        <v>371</v>
      </c>
      <c r="C552" s="458" t="s">
        <v>379</v>
      </c>
      <c r="D552" s="460"/>
      <c r="E552" s="461">
        <v>5</v>
      </c>
      <c r="F552" s="469"/>
      <c r="G552" s="493"/>
      <c r="H552" s="472"/>
      <c r="I552" s="472"/>
      <c r="J552" s="472"/>
      <c r="K552" s="472"/>
      <c r="L552" s="472"/>
      <c r="M552" s="472"/>
      <c r="N552" s="474">
        <f t="shared" si="59"/>
        <v>0</v>
      </c>
      <c r="O552" s="465">
        <v>8</v>
      </c>
      <c r="P552" s="466">
        <f t="shared" si="60"/>
        <v>0</v>
      </c>
      <c r="S552" s="467">
        <f t="shared" si="58"/>
        <v>0</v>
      </c>
    </row>
    <row r="553" customHeight="1" spans="1:19">
      <c r="A553" s="458">
        <v>46229</v>
      </c>
      <c r="B553" s="522" t="s">
        <v>371</v>
      </c>
      <c r="C553" s="458" t="s">
        <v>379</v>
      </c>
      <c r="D553" s="460"/>
      <c r="E553" s="461">
        <v>5</v>
      </c>
      <c r="F553" s="469"/>
      <c r="G553" s="493"/>
      <c r="H553" s="472"/>
      <c r="I553" s="472"/>
      <c r="J553" s="472"/>
      <c r="K553" s="472"/>
      <c r="L553" s="472"/>
      <c r="M553" s="472"/>
      <c r="N553" s="474">
        <f t="shared" si="59"/>
        <v>0</v>
      </c>
      <c r="O553" s="465">
        <v>8</v>
      </c>
      <c r="P553" s="466">
        <f t="shared" si="60"/>
        <v>0</v>
      </c>
      <c r="S553" s="467">
        <f t="shared" si="58"/>
        <v>0</v>
      </c>
    </row>
    <row r="554" customHeight="1" spans="1:19">
      <c r="A554" s="458">
        <v>46230</v>
      </c>
      <c r="B554" s="522" t="s">
        <v>371</v>
      </c>
      <c r="C554" s="458" t="s">
        <v>379</v>
      </c>
      <c r="D554" s="460"/>
      <c r="E554" s="461">
        <v>5</v>
      </c>
      <c r="F554" s="469"/>
      <c r="G554" s="493"/>
      <c r="H554" s="472"/>
      <c r="I554" s="472"/>
      <c r="J554" s="472"/>
      <c r="K554" s="472"/>
      <c r="L554" s="472"/>
      <c r="M554" s="472"/>
      <c r="N554" s="474">
        <f t="shared" si="59"/>
        <v>0</v>
      </c>
      <c r="O554" s="465">
        <v>8</v>
      </c>
      <c r="P554" s="466">
        <f t="shared" si="60"/>
        <v>0</v>
      </c>
      <c r="S554" s="467">
        <f t="shared" si="58"/>
        <v>0</v>
      </c>
    </row>
    <row r="555" customHeight="1" spans="1:19">
      <c r="A555" s="458">
        <v>46231</v>
      </c>
      <c r="B555" s="522" t="s">
        <v>371</v>
      </c>
      <c r="C555" s="458" t="s">
        <v>379</v>
      </c>
      <c r="D555" s="460"/>
      <c r="E555" s="461">
        <v>5</v>
      </c>
      <c r="F555" s="469"/>
      <c r="G555" s="493"/>
      <c r="H555" s="472"/>
      <c r="I555" s="472"/>
      <c r="J555" s="472"/>
      <c r="K555" s="472"/>
      <c r="L555" s="472"/>
      <c r="M555" s="472"/>
      <c r="N555" s="474">
        <v>0</v>
      </c>
      <c r="O555" s="465">
        <v>8</v>
      </c>
      <c r="P555" s="466">
        <v>0</v>
      </c>
      <c r="S555" s="467">
        <f t="shared" si="58"/>
        <v>0</v>
      </c>
    </row>
    <row r="556" customHeight="1" spans="1:19">
      <c r="A556" s="458">
        <v>46232</v>
      </c>
      <c r="B556" s="522" t="s">
        <v>371</v>
      </c>
      <c r="C556" s="458" t="s">
        <v>379</v>
      </c>
      <c r="D556" s="460"/>
      <c r="E556" s="461">
        <v>5</v>
      </c>
      <c r="F556" s="469"/>
      <c r="G556" s="493"/>
      <c r="H556" s="472"/>
      <c r="I556" s="472"/>
      <c r="J556" s="472"/>
      <c r="K556" s="472"/>
      <c r="L556" s="472"/>
      <c r="M556" s="472"/>
      <c r="N556" s="474">
        <f t="shared" ref="N556:N575" si="61">SUMPRODUCT($G$2:$M$2,G556:M556)</f>
        <v>0</v>
      </c>
      <c r="O556" s="465">
        <v>8</v>
      </c>
      <c r="P556" s="466">
        <f t="shared" ref="P556:P575" si="62">IFERROR(IF((N556*E556-O556*E556)&lt;0,0,(N556*E556-O556*E556)),"")</f>
        <v>0</v>
      </c>
      <c r="S556" s="467">
        <f t="shared" ref="S556:S591" si="63">IF(B556="","",P556+R556)</f>
        <v>0</v>
      </c>
    </row>
    <row r="557" customHeight="1" spans="1:19">
      <c r="A557" s="458">
        <v>46233</v>
      </c>
      <c r="B557" s="522" t="s">
        <v>371</v>
      </c>
      <c r="C557" s="458" t="s">
        <v>379</v>
      </c>
      <c r="D557" s="460"/>
      <c r="E557" s="461">
        <v>5</v>
      </c>
      <c r="F557" s="469"/>
      <c r="G557" s="493"/>
      <c r="H557" s="472"/>
      <c r="I557" s="472"/>
      <c r="J557" s="472"/>
      <c r="K557" s="472"/>
      <c r="L557" s="472"/>
      <c r="M557" s="472"/>
      <c r="N557" s="474">
        <f t="shared" si="61"/>
        <v>0</v>
      </c>
      <c r="O557" s="465">
        <v>8</v>
      </c>
      <c r="P557" s="466">
        <f t="shared" si="62"/>
        <v>0</v>
      </c>
      <c r="S557" s="467">
        <f t="shared" si="63"/>
        <v>0</v>
      </c>
    </row>
    <row r="558" customHeight="1" spans="1:19">
      <c r="A558" s="458">
        <v>46234</v>
      </c>
      <c r="B558" s="522" t="s">
        <v>371</v>
      </c>
      <c r="C558" s="458" t="s">
        <v>379</v>
      </c>
      <c r="D558" s="460"/>
      <c r="E558" s="461">
        <v>5</v>
      </c>
      <c r="F558" s="469"/>
      <c r="G558" s="493"/>
      <c r="H558" s="472"/>
      <c r="I558" s="472"/>
      <c r="J558" s="472"/>
      <c r="K558" s="472"/>
      <c r="L558" s="472"/>
      <c r="M558" s="472"/>
      <c r="N558" s="474">
        <f t="shared" si="61"/>
        <v>0</v>
      </c>
      <c r="O558" s="465">
        <v>8</v>
      </c>
      <c r="P558" s="466">
        <f t="shared" si="62"/>
        <v>0</v>
      </c>
      <c r="S558" s="467">
        <f t="shared" si="63"/>
        <v>0</v>
      </c>
    </row>
    <row r="559" customHeight="1" spans="1:19">
      <c r="A559" s="458">
        <v>46204</v>
      </c>
      <c r="B559" s="522" t="s">
        <v>372</v>
      </c>
      <c r="C559" s="458" t="s">
        <v>379</v>
      </c>
      <c r="D559" s="460"/>
      <c r="E559" s="461">
        <v>5</v>
      </c>
      <c r="F559" s="469"/>
      <c r="G559" s="493"/>
      <c r="H559" s="472"/>
      <c r="I559" s="472"/>
      <c r="J559" s="472"/>
      <c r="K559" s="472"/>
      <c r="L559" s="472"/>
      <c r="M559" s="472"/>
      <c r="N559" s="474">
        <f t="shared" si="61"/>
        <v>0</v>
      </c>
      <c r="O559" s="465">
        <v>8</v>
      </c>
      <c r="P559" s="466">
        <f t="shared" si="62"/>
        <v>0</v>
      </c>
      <c r="S559" s="467">
        <f t="shared" si="63"/>
        <v>0</v>
      </c>
    </row>
    <row r="560" customHeight="1" spans="1:19">
      <c r="A560" s="458">
        <v>46205</v>
      </c>
      <c r="B560" s="522" t="s">
        <v>372</v>
      </c>
      <c r="C560" s="458" t="s">
        <v>379</v>
      </c>
      <c r="D560" s="460"/>
      <c r="E560" s="461">
        <v>5</v>
      </c>
      <c r="F560" s="469"/>
      <c r="G560" s="493">
        <v>14</v>
      </c>
      <c r="H560" s="472"/>
      <c r="I560" s="472"/>
      <c r="J560" s="472"/>
      <c r="K560" s="472"/>
      <c r="L560" s="472"/>
      <c r="M560" s="472"/>
      <c r="N560" s="474">
        <f t="shared" si="61"/>
        <v>14</v>
      </c>
      <c r="O560" s="465">
        <v>8</v>
      </c>
      <c r="P560" s="466">
        <f t="shared" si="62"/>
        <v>30</v>
      </c>
      <c r="S560" s="467">
        <f t="shared" si="63"/>
        <v>30</v>
      </c>
    </row>
    <row r="561" customHeight="1" spans="1:19">
      <c r="A561" s="458">
        <v>46206</v>
      </c>
      <c r="B561" s="522" t="s">
        <v>372</v>
      </c>
      <c r="C561" s="458" t="s">
        <v>379</v>
      </c>
      <c r="D561" s="460"/>
      <c r="E561" s="461">
        <v>5</v>
      </c>
      <c r="F561" s="469"/>
      <c r="G561" s="493">
        <v>16</v>
      </c>
      <c r="H561" s="472"/>
      <c r="I561" s="472"/>
      <c r="J561" s="472"/>
      <c r="K561" s="472"/>
      <c r="L561" s="472"/>
      <c r="M561" s="472"/>
      <c r="N561" s="474">
        <f t="shared" si="61"/>
        <v>16</v>
      </c>
      <c r="O561" s="465">
        <v>8</v>
      </c>
      <c r="P561" s="466">
        <f t="shared" si="62"/>
        <v>40</v>
      </c>
      <c r="S561" s="467">
        <f t="shared" si="63"/>
        <v>40</v>
      </c>
    </row>
    <row r="562" customHeight="1" spans="1:19">
      <c r="A562" s="458">
        <v>46207</v>
      </c>
      <c r="B562" s="522" t="s">
        <v>372</v>
      </c>
      <c r="C562" s="458" t="s">
        <v>379</v>
      </c>
      <c r="D562" s="460"/>
      <c r="E562" s="461">
        <v>5</v>
      </c>
      <c r="F562" s="469"/>
      <c r="G562" s="493">
        <v>14</v>
      </c>
      <c r="H562" s="472"/>
      <c r="I562" s="472"/>
      <c r="J562" s="472"/>
      <c r="K562" s="472"/>
      <c r="L562" s="472"/>
      <c r="M562" s="472"/>
      <c r="N562" s="474">
        <f t="shared" si="61"/>
        <v>14</v>
      </c>
      <c r="O562" s="465">
        <v>8</v>
      </c>
      <c r="P562" s="466">
        <f t="shared" si="62"/>
        <v>30</v>
      </c>
      <c r="S562" s="467">
        <f t="shared" si="63"/>
        <v>30</v>
      </c>
    </row>
    <row r="563" customHeight="1" spans="1:19">
      <c r="A563" s="458">
        <v>46208</v>
      </c>
      <c r="B563" s="522" t="s">
        <v>372</v>
      </c>
      <c r="C563" s="458" t="s">
        <v>379</v>
      </c>
      <c r="D563" s="460"/>
      <c r="E563" s="461">
        <v>5</v>
      </c>
      <c r="F563" s="469"/>
      <c r="G563" s="493">
        <v>16</v>
      </c>
      <c r="H563" s="472"/>
      <c r="I563" s="472"/>
      <c r="J563" s="472"/>
      <c r="K563" s="472"/>
      <c r="L563" s="472"/>
      <c r="M563" s="472"/>
      <c r="N563" s="474">
        <f t="shared" si="61"/>
        <v>16</v>
      </c>
      <c r="O563" s="465">
        <v>8</v>
      </c>
      <c r="P563" s="466">
        <f t="shared" si="62"/>
        <v>40</v>
      </c>
      <c r="S563" s="467">
        <f t="shared" si="63"/>
        <v>40</v>
      </c>
    </row>
    <row r="564" customHeight="1" spans="1:19">
      <c r="A564" s="458">
        <v>46209</v>
      </c>
      <c r="B564" s="522" t="s">
        <v>372</v>
      </c>
      <c r="C564" s="458" t="s">
        <v>379</v>
      </c>
      <c r="D564" s="460"/>
      <c r="E564" s="461">
        <v>5</v>
      </c>
      <c r="F564" s="469"/>
      <c r="G564" s="493">
        <v>16</v>
      </c>
      <c r="H564" s="472"/>
      <c r="I564" s="472"/>
      <c r="J564" s="472"/>
      <c r="K564" s="472"/>
      <c r="L564" s="472"/>
      <c r="M564" s="472"/>
      <c r="N564" s="474">
        <f t="shared" si="61"/>
        <v>16</v>
      </c>
      <c r="O564" s="465">
        <v>8</v>
      </c>
      <c r="P564" s="466">
        <f t="shared" si="62"/>
        <v>40</v>
      </c>
      <c r="S564" s="467">
        <f t="shared" si="63"/>
        <v>40</v>
      </c>
    </row>
    <row r="565" customHeight="1" spans="1:19">
      <c r="A565" s="458">
        <v>46210</v>
      </c>
      <c r="B565" s="522" t="s">
        <v>372</v>
      </c>
      <c r="C565" s="458" t="s">
        <v>379</v>
      </c>
      <c r="D565" s="460"/>
      <c r="E565" s="461">
        <v>5</v>
      </c>
      <c r="F565" s="469"/>
      <c r="G565" s="493">
        <v>16</v>
      </c>
      <c r="H565" s="472"/>
      <c r="I565" s="472"/>
      <c r="J565" s="472"/>
      <c r="K565" s="472"/>
      <c r="L565" s="472"/>
      <c r="M565" s="472"/>
      <c r="N565" s="474">
        <f t="shared" si="61"/>
        <v>16</v>
      </c>
      <c r="O565" s="465">
        <v>8</v>
      </c>
      <c r="P565" s="466">
        <f t="shared" si="62"/>
        <v>40</v>
      </c>
      <c r="S565" s="467">
        <f t="shared" si="63"/>
        <v>40</v>
      </c>
    </row>
    <row r="566" customHeight="1" spans="1:19">
      <c r="A566" s="458">
        <v>46211</v>
      </c>
      <c r="B566" s="522" t="s">
        <v>372</v>
      </c>
      <c r="C566" s="458" t="s">
        <v>379</v>
      </c>
      <c r="D566" s="460"/>
      <c r="E566" s="461">
        <v>5</v>
      </c>
      <c r="F566" s="469"/>
      <c r="G566" s="493">
        <v>18</v>
      </c>
      <c r="H566" s="472"/>
      <c r="I566" s="472"/>
      <c r="J566" s="472"/>
      <c r="K566" s="472"/>
      <c r="L566" s="472"/>
      <c r="M566" s="472"/>
      <c r="N566" s="474">
        <f t="shared" si="61"/>
        <v>18</v>
      </c>
      <c r="O566" s="465">
        <v>8</v>
      </c>
      <c r="P566" s="466">
        <f t="shared" si="62"/>
        <v>50</v>
      </c>
      <c r="S566" s="467">
        <f t="shared" si="63"/>
        <v>50</v>
      </c>
    </row>
    <row r="567" customHeight="1" spans="1:19">
      <c r="A567" s="458">
        <v>46212</v>
      </c>
      <c r="B567" s="522" t="s">
        <v>372</v>
      </c>
      <c r="C567" s="458" t="s">
        <v>379</v>
      </c>
      <c r="D567" s="460"/>
      <c r="E567" s="461">
        <v>5</v>
      </c>
      <c r="F567" s="469"/>
      <c r="G567" s="493">
        <v>18</v>
      </c>
      <c r="H567" s="472"/>
      <c r="I567" s="472"/>
      <c r="J567" s="472"/>
      <c r="K567" s="472"/>
      <c r="L567" s="472"/>
      <c r="M567" s="472"/>
      <c r="N567" s="474">
        <f t="shared" si="61"/>
        <v>18</v>
      </c>
      <c r="O567" s="465">
        <v>8</v>
      </c>
      <c r="P567" s="466">
        <f t="shared" si="62"/>
        <v>50</v>
      </c>
      <c r="S567" s="467">
        <f t="shared" si="63"/>
        <v>50</v>
      </c>
    </row>
    <row r="568" customHeight="1" spans="1:19">
      <c r="A568" s="458">
        <v>46213</v>
      </c>
      <c r="B568" s="522" t="s">
        <v>372</v>
      </c>
      <c r="C568" s="458" t="s">
        <v>379</v>
      </c>
      <c r="D568" s="460"/>
      <c r="E568" s="461">
        <v>5</v>
      </c>
      <c r="F568" s="469"/>
      <c r="G568" s="493">
        <v>18</v>
      </c>
      <c r="H568" s="472"/>
      <c r="I568" s="472"/>
      <c r="J568" s="472"/>
      <c r="K568" s="472"/>
      <c r="L568" s="472"/>
      <c r="M568" s="472"/>
      <c r="N568" s="474">
        <f t="shared" si="61"/>
        <v>18</v>
      </c>
      <c r="O568" s="465">
        <v>8</v>
      </c>
      <c r="P568" s="466">
        <f t="shared" si="62"/>
        <v>50</v>
      </c>
      <c r="S568" s="467">
        <f t="shared" si="63"/>
        <v>50</v>
      </c>
    </row>
    <row r="569" customHeight="1" spans="1:19">
      <c r="A569" s="458">
        <v>46214</v>
      </c>
      <c r="B569" s="522" t="s">
        <v>372</v>
      </c>
      <c r="C569" s="458" t="s">
        <v>379</v>
      </c>
      <c r="D569" s="460"/>
      <c r="E569" s="461">
        <v>5</v>
      </c>
      <c r="F569" s="469"/>
      <c r="G569" s="493">
        <v>18</v>
      </c>
      <c r="H569" s="472"/>
      <c r="I569" s="472"/>
      <c r="J569" s="472"/>
      <c r="K569" s="472"/>
      <c r="L569" s="472"/>
      <c r="M569" s="472"/>
      <c r="N569" s="474">
        <f t="shared" si="61"/>
        <v>18</v>
      </c>
      <c r="O569" s="465">
        <v>8</v>
      </c>
      <c r="P569" s="466">
        <f t="shared" si="62"/>
        <v>50</v>
      </c>
      <c r="S569" s="467">
        <f t="shared" si="63"/>
        <v>50</v>
      </c>
    </row>
    <row r="570" customHeight="1" spans="1:19">
      <c r="A570" s="458">
        <v>46215</v>
      </c>
      <c r="B570" s="522" t="s">
        <v>372</v>
      </c>
      <c r="C570" s="458" t="s">
        <v>379</v>
      </c>
      <c r="D570" s="460"/>
      <c r="E570" s="461">
        <v>5</v>
      </c>
      <c r="F570" s="469"/>
      <c r="G570" s="493">
        <v>16</v>
      </c>
      <c r="H570" s="472"/>
      <c r="I570" s="472"/>
      <c r="J570" s="472"/>
      <c r="K570" s="472"/>
      <c r="L570" s="472"/>
      <c r="M570" s="472"/>
      <c r="N570" s="474">
        <f t="shared" si="61"/>
        <v>16</v>
      </c>
      <c r="O570" s="465">
        <v>8</v>
      </c>
      <c r="P570" s="466">
        <f t="shared" si="62"/>
        <v>40</v>
      </c>
      <c r="S570" s="467">
        <f t="shared" si="63"/>
        <v>40</v>
      </c>
    </row>
    <row r="571" customHeight="1" spans="1:19">
      <c r="A571" s="458">
        <v>46216</v>
      </c>
      <c r="B571" s="522" t="s">
        <v>372</v>
      </c>
      <c r="C571" s="458" t="s">
        <v>379</v>
      </c>
      <c r="D571" s="460"/>
      <c r="E571" s="461">
        <v>5</v>
      </c>
      <c r="F571" s="469"/>
      <c r="G571" s="493">
        <v>16</v>
      </c>
      <c r="H571" s="472"/>
      <c r="I571" s="472"/>
      <c r="J571" s="472"/>
      <c r="K571" s="472"/>
      <c r="L571" s="472"/>
      <c r="M571" s="472"/>
      <c r="N571" s="474">
        <f t="shared" si="61"/>
        <v>16</v>
      </c>
      <c r="O571" s="465">
        <v>8</v>
      </c>
      <c r="P571" s="466">
        <f t="shared" si="62"/>
        <v>40</v>
      </c>
      <c r="S571" s="467">
        <f t="shared" si="63"/>
        <v>40</v>
      </c>
    </row>
    <row r="572" customHeight="1" spans="1:19">
      <c r="A572" s="458">
        <v>46217</v>
      </c>
      <c r="B572" s="522" t="s">
        <v>372</v>
      </c>
      <c r="C572" s="458" t="s">
        <v>379</v>
      </c>
      <c r="D572" s="460"/>
      <c r="E572" s="461">
        <v>5</v>
      </c>
      <c r="F572" s="469"/>
      <c r="G572" s="493">
        <v>13</v>
      </c>
      <c r="H572" s="472"/>
      <c r="I572" s="472"/>
      <c r="J572" s="472"/>
      <c r="K572" s="472"/>
      <c r="L572" s="472"/>
      <c r="M572" s="472"/>
      <c r="N572" s="474">
        <f t="shared" si="61"/>
        <v>13</v>
      </c>
      <c r="O572" s="465">
        <v>8</v>
      </c>
      <c r="P572" s="466">
        <f t="shared" si="62"/>
        <v>25</v>
      </c>
      <c r="S572" s="467">
        <f t="shared" si="63"/>
        <v>25</v>
      </c>
    </row>
    <row r="573" customHeight="1" spans="1:19">
      <c r="A573" s="458">
        <v>46218</v>
      </c>
      <c r="B573" s="522" t="s">
        <v>372</v>
      </c>
      <c r="C573" s="458" t="s">
        <v>379</v>
      </c>
      <c r="D573" s="460"/>
      <c r="E573" s="461">
        <v>5</v>
      </c>
      <c r="F573" s="469"/>
      <c r="G573" s="493">
        <v>11</v>
      </c>
      <c r="H573" s="472"/>
      <c r="I573" s="472"/>
      <c r="J573" s="472"/>
      <c r="K573" s="472"/>
      <c r="L573" s="472"/>
      <c r="M573" s="472"/>
      <c r="N573" s="474">
        <f t="shared" si="61"/>
        <v>11</v>
      </c>
      <c r="O573" s="465">
        <v>8</v>
      </c>
      <c r="P573" s="466">
        <f t="shared" si="62"/>
        <v>15</v>
      </c>
      <c r="S573" s="467">
        <f t="shared" si="63"/>
        <v>15</v>
      </c>
    </row>
    <row r="574" customHeight="1" spans="1:19">
      <c r="A574" s="481">
        <v>46219</v>
      </c>
      <c r="B574" s="522" t="s">
        <v>372</v>
      </c>
      <c r="C574" s="458" t="s">
        <v>379</v>
      </c>
      <c r="D574" s="460"/>
      <c r="E574" s="461">
        <v>5</v>
      </c>
      <c r="F574" s="469"/>
      <c r="G574" s="493"/>
      <c r="H574" s="472"/>
      <c r="I574" s="472"/>
      <c r="J574" s="472"/>
      <c r="K574" s="472"/>
      <c r="L574" s="472"/>
      <c r="M574" s="472"/>
      <c r="N574" s="474">
        <f t="shared" si="61"/>
        <v>0</v>
      </c>
      <c r="O574" s="465">
        <v>8</v>
      </c>
      <c r="P574" s="466">
        <f t="shared" si="62"/>
        <v>0</v>
      </c>
      <c r="S574" s="467">
        <f t="shared" si="63"/>
        <v>0</v>
      </c>
    </row>
    <row r="575" customHeight="1" spans="1:19">
      <c r="A575" s="458">
        <v>46220</v>
      </c>
      <c r="B575" s="522" t="s">
        <v>372</v>
      </c>
      <c r="C575" s="458" t="s">
        <v>379</v>
      </c>
      <c r="D575" s="460"/>
      <c r="E575" s="461">
        <v>5</v>
      </c>
      <c r="F575" s="469"/>
      <c r="G575" s="493">
        <v>18</v>
      </c>
      <c r="H575" s="472"/>
      <c r="I575" s="472"/>
      <c r="J575" s="472"/>
      <c r="K575" s="472"/>
      <c r="L575" s="472"/>
      <c r="M575" s="472"/>
      <c r="N575" s="474">
        <f t="shared" si="61"/>
        <v>18</v>
      </c>
      <c r="O575" s="465">
        <v>8</v>
      </c>
      <c r="P575" s="466">
        <f t="shared" si="62"/>
        <v>50</v>
      </c>
      <c r="S575" s="467">
        <f t="shared" si="63"/>
        <v>50</v>
      </c>
    </row>
    <row r="576" customHeight="1" spans="1:19">
      <c r="A576" s="458">
        <v>46221</v>
      </c>
      <c r="B576" s="522" t="s">
        <v>372</v>
      </c>
      <c r="C576" s="458" t="s">
        <v>379</v>
      </c>
      <c r="D576" s="460"/>
      <c r="E576" s="461">
        <v>5</v>
      </c>
      <c r="F576" s="469"/>
      <c r="G576" s="493">
        <v>17</v>
      </c>
      <c r="H576" s="472"/>
      <c r="I576" s="472"/>
      <c r="J576" s="472"/>
      <c r="K576" s="472"/>
      <c r="L576" s="472"/>
      <c r="M576" s="472"/>
      <c r="N576" s="474">
        <v>0</v>
      </c>
      <c r="O576" s="465">
        <v>8</v>
      </c>
      <c r="P576" s="466">
        <v>0</v>
      </c>
      <c r="S576" s="467">
        <f t="shared" si="63"/>
        <v>0</v>
      </c>
    </row>
    <row r="577" customHeight="1" spans="1:19">
      <c r="A577" s="458">
        <v>46222</v>
      </c>
      <c r="B577" s="522" t="s">
        <v>372</v>
      </c>
      <c r="C577" s="458" t="s">
        <v>379</v>
      </c>
      <c r="D577" s="460"/>
      <c r="E577" s="461">
        <v>5</v>
      </c>
      <c r="F577" s="469"/>
      <c r="G577" s="493">
        <v>16</v>
      </c>
      <c r="H577" s="472"/>
      <c r="I577" s="472"/>
      <c r="J577" s="472"/>
      <c r="K577" s="472"/>
      <c r="L577" s="472"/>
      <c r="M577" s="472"/>
      <c r="N577" s="474">
        <f t="shared" ref="N577:N584" si="64">SUMPRODUCT($G$2:$M$2,G577:M577)</f>
        <v>16</v>
      </c>
      <c r="O577" s="465">
        <v>8</v>
      </c>
      <c r="P577" s="466">
        <f t="shared" ref="P577:P584" si="65">IFERROR(IF((N577*E577-O577*E577)&lt;0,0,(N577*E577-O577*E577)),"")</f>
        <v>40</v>
      </c>
      <c r="S577" s="467">
        <f t="shared" si="63"/>
        <v>40</v>
      </c>
    </row>
    <row r="578" customHeight="1" spans="1:19">
      <c r="A578" s="458">
        <v>46223</v>
      </c>
      <c r="B578" s="522" t="s">
        <v>372</v>
      </c>
      <c r="C578" s="458" t="s">
        <v>379</v>
      </c>
      <c r="D578" s="460"/>
      <c r="E578" s="461">
        <v>5</v>
      </c>
      <c r="F578" s="469"/>
      <c r="G578" s="493">
        <v>14</v>
      </c>
      <c r="H578" s="472"/>
      <c r="I578" s="472"/>
      <c r="J578" s="472"/>
      <c r="K578" s="472"/>
      <c r="L578" s="472"/>
      <c r="M578" s="472"/>
      <c r="N578" s="474">
        <f t="shared" si="64"/>
        <v>14</v>
      </c>
      <c r="O578" s="465">
        <v>8</v>
      </c>
      <c r="P578" s="466">
        <f t="shared" si="65"/>
        <v>30</v>
      </c>
      <c r="S578" s="467">
        <f t="shared" si="63"/>
        <v>30</v>
      </c>
    </row>
    <row r="579" customHeight="1" spans="1:19">
      <c r="A579" s="458">
        <v>46224</v>
      </c>
      <c r="B579" s="522" t="s">
        <v>372</v>
      </c>
      <c r="C579" s="458" t="s">
        <v>379</v>
      </c>
      <c r="D579" s="460"/>
      <c r="E579" s="461">
        <v>5</v>
      </c>
      <c r="F579" s="469"/>
      <c r="G579" s="493">
        <v>15</v>
      </c>
      <c r="H579" s="472"/>
      <c r="I579" s="472"/>
      <c r="J579" s="472"/>
      <c r="K579" s="472"/>
      <c r="L579" s="472"/>
      <c r="M579" s="472"/>
      <c r="N579" s="474">
        <f t="shared" si="64"/>
        <v>15</v>
      </c>
      <c r="O579" s="465">
        <v>8</v>
      </c>
      <c r="P579" s="466">
        <f t="shared" si="65"/>
        <v>35</v>
      </c>
      <c r="S579" s="467">
        <f t="shared" si="63"/>
        <v>35</v>
      </c>
    </row>
    <row r="580" customHeight="1" spans="1:19">
      <c r="A580" s="458">
        <v>46225</v>
      </c>
      <c r="B580" s="522" t="s">
        <v>372</v>
      </c>
      <c r="C580" s="458" t="s">
        <v>379</v>
      </c>
      <c r="D580" s="460"/>
      <c r="E580" s="461">
        <v>5</v>
      </c>
      <c r="F580" s="469"/>
      <c r="G580" s="493">
        <v>13</v>
      </c>
      <c r="H580" s="472"/>
      <c r="I580" s="472"/>
      <c r="J580" s="472"/>
      <c r="K580" s="472"/>
      <c r="L580" s="472"/>
      <c r="M580" s="472"/>
      <c r="N580" s="474">
        <f t="shared" si="64"/>
        <v>13</v>
      </c>
      <c r="O580" s="465">
        <v>8</v>
      </c>
      <c r="P580" s="466">
        <f t="shared" si="65"/>
        <v>25</v>
      </c>
      <c r="S580" s="467">
        <f t="shared" si="63"/>
        <v>25</v>
      </c>
    </row>
    <row r="581" customHeight="1" spans="1:19">
      <c r="A581" s="458">
        <v>46226</v>
      </c>
      <c r="B581" s="522" t="s">
        <v>372</v>
      </c>
      <c r="C581" s="458" t="s">
        <v>379</v>
      </c>
      <c r="D581" s="460"/>
      <c r="E581" s="461">
        <v>5</v>
      </c>
      <c r="F581" s="469"/>
      <c r="G581" s="493">
        <v>18</v>
      </c>
      <c r="H581" s="472"/>
      <c r="I581" s="472"/>
      <c r="J581" s="472"/>
      <c r="K581" s="472"/>
      <c r="L581" s="472"/>
      <c r="M581" s="472"/>
      <c r="N581" s="474">
        <f t="shared" si="64"/>
        <v>18</v>
      </c>
      <c r="O581" s="465">
        <v>8</v>
      </c>
      <c r="P581" s="466">
        <f t="shared" si="65"/>
        <v>50</v>
      </c>
      <c r="S581" s="467">
        <f t="shared" si="63"/>
        <v>50</v>
      </c>
    </row>
    <row r="582" customHeight="1" spans="1:19">
      <c r="A582" s="458">
        <v>46227</v>
      </c>
      <c r="B582" s="522" t="s">
        <v>372</v>
      </c>
      <c r="C582" s="458" t="s">
        <v>379</v>
      </c>
      <c r="D582" s="460"/>
      <c r="E582" s="461">
        <v>5</v>
      </c>
      <c r="F582" s="469"/>
      <c r="G582" s="493"/>
      <c r="H582" s="472"/>
      <c r="I582" s="472"/>
      <c r="J582" s="472"/>
      <c r="K582" s="472"/>
      <c r="L582" s="472"/>
      <c r="M582" s="472"/>
      <c r="N582" s="474">
        <f t="shared" si="64"/>
        <v>0</v>
      </c>
      <c r="O582" s="465">
        <v>8</v>
      </c>
      <c r="P582" s="466">
        <f t="shared" si="65"/>
        <v>0</v>
      </c>
      <c r="S582" s="467">
        <f t="shared" si="63"/>
        <v>0</v>
      </c>
    </row>
    <row r="583" customHeight="1" spans="1:19">
      <c r="A583" s="458">
        <v>46228</v>
      </c>
      <c r="B583" s="522" t="s">
        <v>372</v>
      </c>
      <c r="C583" s="458" t="s">
        <v>379</v>
      </c>
      <c r="D583" s="460"/>
      <c r="E583" s="461">
        <v>5</v>
      </c>
      <c r="F583" s="469"/>
      <c r="G583" s="493">
        <v>16</v>
      </c>
      <c r="H583" s="472"/>
      <c r="I583" s="472"/>
      <c r="J583" s="472"/>
      <c r="K583" s="472"/>
      <c r="L583" s="472"/>
      <c r="M583" s="472"/>
      <c r="N583" s="474">
        <f t="shared" si="64"/>
        <v>16</v>
      </c>
      <c r="O583" s="465">
        <v>8</v>
      </c>
      <c r="P583" s="466">
        <f t="shared" si="65"/>
        <v>40</v>
      </c>
      <c r="S583" s="467">
        <f t="shared" si="63"/>
        <v>40</v>
      </c>
    </row>
    <row r="584" customHeight="1" spans="1:19">
      <c r="A584" s="458">
        <v>46229</v>
      </c>
      <c r="B584" s="522" t="s">
        <v>372</v>
      </c>
      <c r="C584" s="458" t="s">
        <v>379</v>
      </c>
      <c r="D584" s="460"/>
      <c r="E584" s="461">
        <v>5</v>
      </c>
      <c r="F584" s="469"/>
      <c r="G584" s="493">
        <v>16</v>
      </c>
      <c r="H584" s="472"/>
      <c r="I584" s="472"/>
      <c r="J584" s="472"/>
      <c r="K584" s="472"/>
      <c r="L584" s="472"/>
      <c r="N584" s="474">
        <f t="shared" si="64"/>
        <v>16</v>
      </c>
      <c r="O584" s="465">
        <v>8</v>
      </c>
      <c r="P584" s="466">
        <f t="shared" si="65"/>
        <v>40</v>
      </c>
      <c r="S584" s="467">
        <f t="shared" si="63"/>
        <v>40</v>
      </c>
    </row>
    <row r="585" customHeight="1" spans="1:19">
      <c r="A585" s="458">
        <v>46230</v>
      </c>
      <c r="B585" s="522" t="s">
        <v>372</v>
      </c>
      <c r="C585" s="458" t="s">
        <v>379</v>
      </c>
      <c r="D585" s="460"/>
      <c r="E585" s="461">
        <v>5</v>
      </c>
      <c r="F585" s="469"/>
      <c r="G585" s="493">
        <v>16</v>
      </c>
      <c r="H585" s="472"/>
      <c r="I585" s="472"/>
      <c r="J585" s="472"/>
      <c r="K585" s="472"/>
      <c r="L585" s="472"/>
      <c r="N585" s="474">
        <f t="shared" ref="N585:N616" si="66">SUMPRODUCT($G$2:$M$2,G585:M585)</f>
        <v>16</v>
      </c>
      <c r="O585" s="465">
        <v>8</v>
      </c>
      <c r="P585" s="466">
        <f t="shared" ref="P585:P616" si="67">IFERROR(IF((N585*E585-O585*E585)&lt;0,0,(N585*E585-O585*E585)),"")</f>
        <v>40</v>
      </c>
      <c r="S585" s="467">
        <f t="shared" ref="S585:S616" si="68">IF(B585="","",P585+R585)</f>
        <v>40</v>
      </c>
    </row>
    <row r="586" customHeight="1" spans="1:19">
      <c r="A586" s="458">
        <v>46231</v>
      </c>
      <c r="B586" s="522" t="s">
        <v>372</v>
      </c>
      <c r="C586" s="458" t="s">
        <v>379</v>
      </c>
      <c r="D586" s="460"/>
      <c r="E586" s="461">
        <v>5</v>
      </c>
      <c r="F586" s="469"/>
      <c r="G586" s="493">
        <v>16</v>
      </c>
      <c r="H586" s="472"/>
      <c r="I586" s="472"/>
      <c r="J586" s="472"/>
      <c r="K586" s="472"/>
      <c r="L586" s="472"/>
      <c r="N586" s="474">
        <f t="shared" si="66"/>
        <v>16</v>
      </c>
      <c r="O586" s="465">
        <v>8</v>
      </c>
      <c r="P586" s="466">
        <f t="shared" si="67"/>
        <v>40</v>
      </c>
      <c r="S586" s="467">
        <f t="shared" si="68"/>
        <v>40</v>
      </c>
    </row>
    <row r="587" customHeight="1" spans="1:19">
      <c r="A587" s="458">
        <v>46232</v>
      </c>
      <c r="B587" s="522" t="s">
        <v>372</v>
      </c>
      <c r="C587" s="458" t="s">
        <v>379</v>
      </c>
      <c r="D587" s="460"/>
      <c r="E587" s="461">
        <v>5</v>
      </c>
      <c r="F587" s="469"/>
      <c r="G587" s="493">
        <v>17</v>
      </c>
      <c r="H587" s="472"/>
      <c r="I587" s="472"/>
      <c r="J587" s="472"/>
      <c r="K587" s="472"/>
      <c r="L587" s="472"/>
      <c r="N587" s="474">
        <f t="shared" si="66"/>
        <v>17</v>
      </c>
      <c r="O587" s="465">
        <v>8</v>
      </c>
      <c r="P587" s="466">
        <f t="shared" si="67"/>
        <v>45</v>
      </c>
      <c r="S587" s="467">
        <f t="shared" si="68"/>
        <v>45</v>
      </c>
    </row>
    <row r="588" customHeight="1" spans="1:19">
      <c r="A588" s="458">
        <v>46233</v>
      </c>
      <c r="B588" s="522" t="s">
        <v>372</v>
      </c>
      <c r="C588" s="458" t="s">
        <v>379</v>
      </c>
      <c r="D588" s="460"/>
      <c r="E588" s="461">
        <v>5</v>
      </c>
      <c r="F588" s="469"/>
      <c r="G588" s="493">
        <v>11</v>
      </c>
      <c r="H588" s="472"/>
      <c r="I588" s="472"/>
      <c r="J588" s="472"/>
      <c r="K588" s="472"/>
      <c r="L588" s="472"/>
      <c r="N588" s="474">
        <f t="shared" si="66"/>
        <v>11</v>
      </c>
      <c r="O588" s="465">
        <v>8</v>
      </c>
      <c r="P588" s="466">
        <f t="shared" si="67"/>
        <v>15</v>
      </c>
      <c r="S588" s="467">
        <f t="shared" si="68"/>
        <v>15</v>
      </c>
    </row>
    <row r="589" customHeight="1" spans="1:19">
      <c r="A589" s="458">
        <v>46234</v>
      </c>
      <c r="B589" s="522" t="s">
        <v>372</v>
      </c>
      <c r="C589" s="458" t="s">
        <v>379</v>
      </c>
      <c r="D589" s="460"/>
      <c r="E589" s="461">
        <v>5</v>
      </c>
      <c r="F589" s="469"/>
      <c r="G589" s="493">
        <v>16</v>
      </c>
      <c r="H589" s="472"/>
      <c r="I589" s="472"/>
      <c r="J589" s="472"/>
      <c r="K589" s="472"/>
      <c r="L589" s="472"/>
      <c r="N589" s="474">
        <f t="shared" si="66"/>
        <v>16</v>
      </c>
      <c r="O589" s="465">
        <v>8</v>
      </c>
      <c r="P589" s="466">
        <f t="shared" si="67"/>
        <v>40</v>
      </c>
      <c r="S589" s="467">
        <f t="shared" si="68"/>
        <v>40</v>
      </c>
    </row>
    <row r="590" customHeight="1" spans="1:19">
      <c r="A590" s="458">
        <v>46204</v>
      </c>
      <c r="B590" s="522" t="s">
        <v>373</v>
      </c>
      <c r="C590" s="458" t="s">
        <v>379</v>
      </c>
      <c r="D590" s="460"/>
      <c r="E590" s="461">
        <v>5</v>
      </c>
      <c r="F590" s="469"/>
      <c r="G590" s="493">
        <v>11</v>
      </c>
      <c r="H590" s="472"/>
      <c r="I590" s="472"/>
      <c r="J590" s="472"/>
      <c r="K590" s="472"/>
      <c r="L590" s="472"/>
      <c r="N590" s="474">
        <f t="shared" si="66"/>
        <v>11</v>
      </c>
      <c r="O590" s="465">
        <v>8</v>
      </c>
      <c r="P590" s="466">
        <f t="shared" si="67"/>
        <v>15</v>
      </c>
      <c r="S590" s="467">
        <f t="shared" si="68"/>
        <v>15</v>
      </c>
    </row>
    <row r="591" customHeight="1" spans="1:19">
      <c r="A591" s="458">
        <v>46205</v>
      </c>
      <c r="B591" s="522" t="s">
        <v>373</v>
      </c>
      <c r="C591" s="458" t="s">
        <v>379</v>
      </c>
      <c r="D591" s="460"/>
      <c r="E591" s="461">
        <v>5</v>
      </c>
      <c r="F591" s="469"/>
      <c r="G591" s="493">
        <v>12</v>
      </c>
      <c r="H591" s="472"/>
      <c r="I591" s="472"/>
      <c r="J591" s="472"/>
      <c r="K591" s="472"/>
      <c r="L591" s="472">
        <v>1</v>
      </c>
      <c r="N591" s="474">
        <f t="shared" si="66"/>
        <v>14</v>
      </c>
      <c r="O591" s="465">
        <v>8</v>
      </c>
      <c r="P591" s="466">
        <f t="shared" si="67"/>
        <v>30</v>
      </c>
      <c r="S591" s="467">
        <f t="shared" si="68"/>
        <v>30</v>
      </c>
    </row>
    <row r="592" customHeight="1" spans="1:19">
      <c r="A592" s="458">
        <v>46206</v>
      </c>
      <c r="B592" s="522" t="s">
        <v>373</v>
      </c>
      <c r="C592" s="458" t="s">
        <v>379</v>
      </c>
      <c r="D592" s="460"/>
      <c r="E592" s="461">
        <v>5</v>
      </c>
      <c r="F592" s="469"/>
      <c r="G592" s="493">
        <v>13</v>
      </c>
      <c r="H592" s="472"/>
      <c r="I592" s="472"/>
      <c r="J592" s="472"/>
      <c r="K592" s="472"/>
      <c r="L592" s="472"/>
      <c r="N592" s="474">
        <f t="shared" si="66"/>
        <v>13</v>
      </c>
      <c r="O592" s="465">
        <v>8</v>
      </c>
      <c r="P592" s="466">
        <f t="shared" si="67"/>
        <v>25</v>
      </c>
      <c r="S592" s="467">
        <f t="shared" si="68"/>
        <v>25</v>
      </c>
    </row>
    <row r="593" customHeight="1" spans="1:19">
      <c r="A593" s="458">
        <v>46207</v>
      </c>
      <c r="B593" s="522" t="s">
        <v>373</v>
      </c>
      <c r="C593" s="458" t="s">
        <v>379</v>
      </c>
      <c r="D593" s="460"/>
      <c r="E593" s="461">
        <v>5</v>
      </c>
      <c r="F593" s="469"/>
      <c r="G593" s="493">
        <v>13</v>
      </c>
      <c r="H593" s="472"/>
      <c r="I593" s="472"/>
      <c r="J593" s="472"/>
      <c r="K593" s="472"/>
      <c r="L593" s="472">
        <v>1</v>
      </c>
      <c r="N593" s="474">
        <f t="shared" si="66"/>
        <v>15</v>
      </c>
      <c r="O593" s="465">
        <v>8</v>
      </c>
      <c r="P593" s="466">
        <f t="shared" si="67"/>
        <v>35</v>
      </c>
      <c r="S593" s="467">
        <f t="shared" si="68"/>
        <v>35</v>
      </c>
    </row>
    <row r="594" customHeight="1" spans="1:19">
      <c r="A594" s="458">
        <v>46208</v>
      </c>
      <c r="B594" s="522" t="s">
        <v>373</v>
      </c>
      <c r="C594" s="458" t="s">
        <v>379</v>
      </c>
      <c r="D594" s="460"/>
      <c r="E594" s="461">
        <v>5</v>
      </c>
      <c r="F594" s="469"/>
      <c r="G594" s="493">
        <v>15</v>
      </c>
      <c r="H594" s="472"/>
      <c r="I594" s="472"/>
      <c r="J594" s="472"/>
      <c r="K594" s="472"/>
      <c r="L594" s="472">
        <v>1</v>
      </c>
      <c r="N594" s="474">
        <f t="shared" si="66"/>
        <v>17</v>
      </c>
      <c r="O594" s="465">
        <v>8</v>
      </c>
      <c r="P594" s="466">
        <f t="shared" si="67"/>
        <v>45</v>
      </c>
      <c r="S594" s="467">
        <f t="shared" si="68"/>
        <v>45</v>
      </c>
    </row>
    <row r="595" customHeight="1" spans="1:19">
      <c r="A595" s="458">
        <v>46209</v>
      </c>
      <c r="B595" s="522" t="s">
        <v>373</v>
      </c>
      <c r="C595" s="458" t="s">
        <v>379</v>
      </c>
      <c r="D595" s="460"/>
      <c r="E595" s="461">
        <v>5</v>
      </c>
      <c r="F595" s="469"/>
      <c r="G595" s="493">
        <v>15</v>
      </c>
      <c r="H595" s="472"/>
      <c r="I595" s="472"/>
      <c r="J595" s="472"/>
      <c r="K595" s="472"/>
      <c r="L595" s="472"/>
      <c r="N595" s="474">
        <f t="shared" si="66"/>
        <v>15</v>
      </c>
      <c r="O595" s="465">
        <v>8</v>
      </c>
      <c r="P595" s="466">
        <f t="shared" si="67"/>
        <v>35</v>
      </c>
      <c r="S595" s="467">
        <f t="shared" si="68"/>
        <v>35</v>
      </c>
    </row>
    <row r="596" customHeight="1" spans="1:19">
      <c r="A596" s="458">
        <v>46210</v>
      </c>
      <c r="B596" s="522" t="s">
        <v>373</v>
      </c>
      <c r="C596" s="458" t="s">
        <v>379</v>
      </c>
      <c r="D596" s="460"/>
      <c r="E596" s="461">
        <v>5</v>
      </c>
      <c r="F596" s="469"/>
      <c r="G596" s="493"/>
      <c r="H596" s="472"/>
      <c r="I596" s="472"/>
      <c r="J596" s="472"/>
      <c r="K596" s="472"/>
      <c r="L596" s="472"/>
      <c r="N596" s="474">
        <f t="shared" si="66"/>
        <v>0</v>
      </c>
      <c r="O596" s="465">
        <v>8</v>
      </c>
      <c r="P596" s="466">
        <f t="shared" si="67"/>
        <v>0</v>
      </c>
      <c r="S596" s="467">
        <f t="shared" si="68"/>
        <v>0</v>
      </c>
    </row>
    <row r="597" customHeight="1" spans="1:19">
      <c r="A597" s="458">
        <v>46211</v>
      </c>
      <c r="B597" s="522" t="s">
        <v>373</v>
      </c>
      <c r="C597" s="458" t="s">
        <v>379</v>
      </c>
      <c r="D597" s="460"/>
      <c r="E597" s="461">
        <v>5</v>
      </c>
      <c r="F597" s="469"/>
      <c r="G597" s="493">
        <v>18</v>
      </c>
      <c r="H597" s="472"/>
      <c r="I597" s="472"/>
      <c r="J597" s="472"/>
      <c r="K597" s="472"/>
      <c r="L597" s="472"/>
      <c r="N597" s="474">
        <f t="shared" si="66"/>
        <v>18</v>
      </c>
      <c r="O597" s="465">
        <v>8</v>
      </c>
      <c r="P597" s="466">
        <f t="shared" si="67"/>
        <v>50</v>
      </c>
      <c r="S597" s="467">
        <f t="shared" si="68"/>
        <v>50</v>
      </c>
    </row>
    <row r="598" customHeight="1" spans="1:19">
      <c r="A598" s="458">
        <v>46212</v>
      </c>
      <c r="B598" s="522" t="s">
        <v>373</v>
      </c>
      <c r="C598" s="458" t="s">
        <v>379</v>
      </c>
      <c r="D598" s="460"/>
      <c r="E598" s="461">
        <v>5</v>
      </c>
      <c r="F598" s="469"/>
      <c r="G598" s="493">
        <v>16</v>
      </c>
      <c r="H598" s="472"/>
      <c r="I598" s="472"/>
      <c r="J598" s="472"/>
      <c r="K598" s="472"/>
      <c r="L598" s="472">
        <v>1</v>
      </c>
      <c r="N598" s="474">
        <f t="shared" si="66"/>
        <v>18</v>
      </c>
      <c r="O598" s="465">
        <v>8</v>
      </c>
      <c r="P598" s="466">
        <f t="shared" si="67"/>
        <v>50</v>
      </c>
      <c r="S598" s="467">
        <f t="shared" si="68"/>
        <v>50</v>
      </c>
    </row>
    <row r="599" customHeight="1" spans="1:19">
      <c r="A599" s="458">
        <v>46213</v>
      </c>
      <c r="B599" s="522" t="s">
        <v>373</v>
      </c>
      <c r="C599" s="458" t="s">
        <v>379</v>
      </c>
      <c r="D599" s="460"/>
      <c r="E599" s="461">
        <v>5</v>
      </c>
      <c r="F599" s="469"/>
      <c r="G599" s="493">
        <v>18</v>
      </c>
      <c r="H599" s="472"/>
      <c r="I599" s="472"/>
      <c r="J599" s="472"/>
      <c r="K599" s="472"/>
      <c r="L599" s="472">
        <v>1</v>
      </c>
      <c r="N599" s="474">
        <f t="shared" si="66"/>
        <v>20</v>
      </c>
      <c r="O599" s="465">
        <v>8</v>
      </c>
      <c r="P599" s="466">
        <f t="shared" si="67"/>
        <v>60</v>
      </c>
      <c r="S599" s="467">
        <f t="shared" si="68"/>
        <v>60</v>
      </c>
    </row>
    <row r="600" customHeight="1" spans="1:19">
      <c r="A600" s="458">
        <v>46214</v>
      </c>
      <c r="B600" s="522" t="s">
        <v>373</v>
      </c>
      <c r="C600" s="458" t="s">
        <v>379</v>
      </c>
      <c r="D600" s="460"/>
      <c r="E600" s="461">
        <v>5</v>
      </c>
      <c r="F600" s="469"/>
      <c r="G600" s="493">
        <v>16</v>
      </c>
      <c r="H600" s="472"/>
      <c r="I600" s="472"/>
      <c r="J600" s="472"/>
      <c r="K600" s="472"/>
      <c r="L600" s="472">
        <v>1</v>
      </c>
      <c r="N600" s="474">
        <f t="shared" si="66"/>
        <v>18</v>
      </c>
      <c r="O600" s="465">
        <v>8</v>
      </c>
      <c r="P600" s="466">
        <f t="shared" si="67"/>
        <v>50</v>
      </c>
      <c r="S600" s="467">
        <f t="shared" si="68"/>
        <v>50</v>
      </c>
    </row>
    <row r="601" customHeight="1" spans="1:19">
      <c r="A601" s="458">
        <v>46215</v>
      </c>
      <c r="B601" s="522" t="s">
        <v>373</v>
      </c>
      <c r="C601" s="458" t="s">
        <v>379</v>
      </c>
      <c r="D601" s="460"/>
      <c r="E601" s="461">
        <v>5</v>
      </c>
      <c r="F601" s="469"/>
      <c r="G601" s="493">
        <v>14</v>
      </c>
      <c r="H601" s="472"/>
      <c r="I601" s="472"/>
      <c r="J601" s="472"/>
      <c r="K601" s="472"/>
      <c r="L601" s="472"/>
      <c r="N601" s="474">
        <f t="shared" si="66"/>
        <v>14</v>
      </c>
      <c r="O601" s="465">
        <v>8</v>
      </c>
      <c r="P601" s="466">
        <f t="shared" si="67"/>
        <v>30</v>
      </c>
      <c r="S601" s="467">
        <f t="shared" si="68"/>
        <v>30</v>
      </c>
    </row>
    <row r="602" customHeight="1" spans="1:19">
      <c r="A602" s="458">
        <v>46216</v>
      </c>
      <c r="B602" s="522" t="s">
        <v>373</v>
      </c>
      <c r="C602" s="458" t="s">
        <v>379</v>
      </c>
      <c r="D602" s="460"/>
      <c r="E602" s="461">
        <v>5</v>
      </c>
      <c r="F602" s="469"/>
      <c r="G602" s="493">
        <v>14</v>
      </c>
      <c r="H602" s="472"/>
      <c r="I602" s="472"/>
      <c r="J602" s="472"/>
      <c r="K602" s="472"/>
      <c r="L602" s="472"/>
      <c r="N602" s="474">
        <f t="shared" si="66"/>
        <v>14</v>
      </c>
      <c r="O602" s="465">
        <v>8</v>
      </c>
      <c r="P602" s="466">
        <f t="shared" si="67"/>
        <v>30</v>
      </c>
      <c r="S602" s="467">
        <f t="shared" si="68"/>
        <v>30</v>
      </c>
    </row>
    <row r="603" customHeight="1" spans="1:19">
      <c r="A603" s="458">
        <v>46217</v>
      </c>
      <c r="B603" s="522" t="s">
        <v>373</v>
      </c>
      <c r="C603" s="458" t="s">
        <v>379</v>
      </c>
      <c r="D603" s="460"/>
      <c r="E603" s="461">
        <v>5</v>
      </c>
      <c r="F603" s="469"/>
      <c r="G603" s="493">
        <v>9</v>
      </c>
      <c r="H603" s="472"/>
      <c r="I603" s="472"/>
      <c r="J603" s="472"/>
      <c r="K603" s="472"/>
      <c r="L603" s="472"/>
      <c r="N603" s="474">
        <f t="shared" si="66"/>
        <v>9</v>
      </c>
      <c r="O603" s="465">
        <v>8</v>
      </c>
      <c r="P603" s="466">
        <f t="shared" si="67"/>
        <v>5</v>
      </c>
      <c r="S603" s="467">
        <f t="shared" si="68"/>
        <v>5</v>
      </c>
    </row>
    <row r="604" customHeight="1" spans="1:19">
      <c r="A604" s="458">
        <v>46218</v>
      </c>
      <c r="B604" s="522" t="s">
        <v>373</v>
      </c>
      <c r="C604" s="458" t="s">
        <v>379</v>
      </c>
      <c r="D604" s="460"/>
      <c r="E604" s="461">
        <v>5</v>
      </c>
      <c r="F604" s="469"/>
      <c r="G604" s="493"/>
      <c r="H604" s="472"/>
      <c r="I604" s="472"/>
      <c r="J604" s="472"/>
      <c r="K604" s="472"/>
      <c r="L604" s="472"/>
      <c r="N604" s="474">
        <f t="shared" si="66"/>
        <v>0</v>
      </c>
      <c r="O604" s="465">
        <v>8</v>
      </c>
      <c r="P604" s="466">
        <f t="shared" si="67"/>
        <v>0</v>
      </c>
      <c r="S604" s="467">
        <f t="shared" si="68"/>
        <v>0</v>
      </c>
    </row>
    <row r="605" customHeight="1" spans="1:19">
      <c r="A605" s="481">
        <v>46219</v>
      </c>
      <c r="B605" s="522" t="s">
        <v>373</v>
      </c>
      <c r="C605" s="458" t="s">
        <v>379</v>
      </c>
      <c r="D605" s="460"/>
      <c r="E605" s="461">
        <v>5</v>
      </c>
      <c r="F605" s="469"/>
      <c r="G605" s="493">
        <v>16</v>
      </c>
      <c r="H605" s="472"/>
      <c r="I605" s="472"/>
      <c r="J605" s="472"/>
      <c r="K605" s="472"/>
      <c r="L605" s="472"/>
      <c r="N605" s="474">
        <f t="shared" si="66"/>
        <v>16</v>
      </c>
      <c r="O605" s="465">
        <v>8</v>
      </c>
      <c r="P605" s="466">
        <f t="shared" si="67"/>
        <v>40</v>
      </c>
      <c r="S605" s="467">
        <f t="shared" si="68"/>
        <v>40</v>
      </c>
    </row>
    <row r="606" customHeight="1" spans="1:19">
      <c r="A606" s="458">
        <v>46220</v>
      </c>
      <c r="B606" s="522" t="s">
        <v>373</v>
      </c>
      <c r="C606" s="458" t="s">
        <v>379</v>
      </c>
      <c r="D606" s="460"/>
      <c r="E606" s="461">
        <v>5</v>
      </c>
      <c r="F606" s="469"/>
      <c r="G606" s="493">
        <v>14</v>
      </c>
      <c r="H606" s="472"/>
      <c r="I606" s="472"/>
      <c r="J606" s="472"/>
      <c r="K606" s="472"/>
      <c r="L606" s="472"/>
      <c r="N606" s="474">
        <f t="shared" si="66"/>
        <v>14</v>
      </c>
      <c r="O606" s="465">
        <v>8</v>
      </c>
      <c r="P606" s="466">
        <f t="shared" si="67"/>
        <v>30</v>
      </c>
      <c r="S606" s="467">
        <f t="shared" si="68"/>
        <v>30</v>
      </c>
    </row>
    <row r="607" customHeight="1" spans="1:19">
      <c r="A607" s="458">
        <v>46221</v>
      </c>
      <c r="B607" s="522" t="s">
        <v>373</v>
      </c>
      <c r="C607" s="458" t="s">
        <v>379</v>
      </c>
      <c r="D607" s="460"/>
      <c r="E607" s="461">
        <v>5</v>
      </c>
      <c r="F607" s="469"/>
      <c r="G607" s="493">
        <v>14</v>
      </c>
      <c r="H607" s="472"/>
      <c r="I607" s="472"/>
      <c r="J607" s="472"/>
      <c r="K607" s="472"/>
      <c r="L607" s="472"/>
      <c r="N607" s="474">
        <f t="shared" si="66"/>
        <v>14</v>
      </c>
      <c r="O607" s="465">
        <v>8</v>
      </c>
      <c r="P607" s="466">
        <f t="shared" si="67"/>
        <v>30</v>
      </c>
      <c r="S607" s="467">
        <f t="shared" si="68"/>
        <v>30</v>
      </c>
    </row>
    <row r="608" customHeight="1" spans="1:19">
      <c r="A608" s="458">
        <v>46222</v>
      </c>
      <c r="B608" s="522" t="s">
        <v>373</v>
      </c>
      <c r="C608" s="458" t="s">
        <v>379</v>
      </c>
      <c r="D608" s="460"/>
      <c r="E608" s="461">
        <v>5</v>
      </c>
      <c r="F608" s="469"/>
      <c r="G608" s="493">
        <v>13</v>
      </c>
      <c r="H608" s="472"/>
      <c r="I608" s="472"/>
      <c r="J608" s="472"/>
      <c r="K608" s="472"/>
      <c r="L608" s="472"/>
      <c r="N608" s="474">
        <f t="shared" si="66"/>
        <v>13</v>
      </c>
      <c r="O608" s="465">
        <v>8</v>
      </c>
      <c r="P608" s="466">
        <f t="shared" si="67"/>
        <v>25</v>
      </c>
      <c r="S608" s="467">
        <f t="shared" si="68"/>
        <v>25</v>
      </c>
    </row>
    <row r="609" customHeight="1" spans="1:19">
      <c r="A609" s="458">
        <v>46223</v>
      </c>
      <c r="B609" s="522" t="s">
        <v>373</v>
      </c>
      <c r="C609" s="458" t="s">
        <v>379</v>
      </c>
      <c r="D609" s="460"/>
      <c r="E609" s="461">
        <v>5</v>
      </c>
      <c r="F609" s="469"/>
      <c r="G609" s="493">
        <v>14</v>
      </c>
      <c r="H609" s="472"/>
      <c r="I609" s="472"/>
      <c r="J609" s="472"/>
      <c r="K609" s="472"/>
      <c r="L609" s="472"/>
      <c r="N609" s="474">
        <f t="shared" si="66"/>
        <v>14</v>
      </c>
      <c r="O609" s="465">
        <v>8</v>
      </c>
      <c r="P609" s="466">
        <f t="shared" si="67"/>
        <v>30</v>
      </c>
      <c r="S609" s="467">
        <f t="shared" si="68"/>
        <v>30</v>
      </c>
    </row>
    <row r="610" customHeight="1" spans="1:19">
      <c r="A610" s="458">
        <v>46224</v>
      </c>
      <c r="B610" s="522" t="s">
        <v>373</v>
      </c>
      <c r="C610" s="458" t="s">
        <v>379</v>
      </c>
      <c r="D610" s="460"/>
      <c r="E610" s="461">
        <v>5</v>
      </c>
      <c r="F610" s="469"/>
      <c r="G610" s="493">
        <v>14</v>
      </c>
      <c r="H610" s="472"/>
      <c r="I610" s="472"/>
      <c r="J610" s="472"/>
      <c r="K610" s="472"/>
      <c r="L610" s="472"/>
      <c r="N610" s="474">
        <f t="shared" si="66"/>
        <v>14</v>
      </c>
      <c r="O610" s="465">
        <v>8</v>
      </c>
      <c r="P610" s="466">
        <f t="shared" si="67"/>
        <v>30</v>
      </c>
      <c r="S610" s="467">
        <f t="shared" si="68"/>
        <v>30</v>
      </c>
    </row>
    <row r="611" customHeight="1" spans="1:19">
      <c r="A611" s="458">
        <v>46225</v>
      </c>
      <c r="B611" s="522" t="s">
        <v>373</v>
      </c>
      <c r="C611" s="458" t="s">
        <v>379</v>
      </c>
      <c r="D611" s="460"/>
      <c r="E611" s="461">
        <v>5</v>
      </c>
      <c r="F611" s="469"/>
      <c r="G611" s="493">
        <v>6</v>
      </c>
      <c r="H611" s="472"/>
      <c r="I611" s="472"/>
      <c r="J611" s="472"/>
      <c r="K611" s="472"/>
      <c r="L611" s="472"/>
      <c r="N611" s="474">
        <f t="shared" si="66"/>
        <v>6</v>
      </c>
      <c r="O611" s="465">
        <v>8</v>
      </c>
      <c r="P611" s="466">
        <f t="shared" si="67"/>
        <v>0</v>
      </c>
      <c r="S611" s="467">
        <f t="shared" si="68"/>
        <v>0</v>
      </c>
    </row>
    <row r="612" customHeight="1" spans="1:19">
      <c r="A612" s="458">
        <v>46226</v>
      </c>
      <c r="B612" s="522" t="s">
        <v>373</v>
      </c>
      <c r="C612" s="458" t="s">
        <v>379</v>
      </c>
      <c r="D612" s="460"/>
      <c r="E612" s="461">
        <v>5</v>
      </c>
      <c r="F612" s="469"/>
      <c r="G612" s="493"/>
      <c r="H612" s="472"/>
      <c r="I612" s="472"/>
      <c r="J612" s="472"/>
      <c r="K612" s="472"/>
      <c r="L612" s="472"/>
      <c r="N612" s="474">
        <f t="shared" si="66"/>
        <v>0</v>
      </c>
      <c r="O612" s="465">
        <v>8</v>
      </c>
      <c r="P612" s="466">
        <f t="shared" si="67"/>
        <v>0</v>
      </c>
      <c r="S612" s="467">
        <f t="shared" si="68"/>
        <v>0</v>
      </c>
    </row>
    <row r="613" customHeight="1" spans="1:19">
      <c r="A613" s="458">
        <v>46227</v>
      </c>
      <c r="B613" s="522" t="s">
        <v>373</v>
      </c>
      <c r="C613" s="458" t="s">
        <v>379</v>
      </c>
      <c r="D613" s="460"/>
      <c r="E613" s="461">
        <v>5</v>
      </c>
      <c r="F613" s="469"/>
      <c r="G613" s="493">
        <v>14</v>
      </c>
      <c r="H613" s="472"/>
      <c r="I613" s="472"/>
      <c r="J613" s="472"/>
      <c r="K613" s="472"/>
      <c r="L613" s="472"/>
      <c r="N613" s="474">
        <f t="shared" si="66"/>
        <v>14</v>
      </c>
      <c r="O613" s="465">
        <v>8</v>
      </c>
      <c r="P613" s="466">
        <f t="shared" si="67"/>
        <v>30</v>
      </c>
      <c r="S613" s="467">
        <f t="shared" si="68"/>
        <v>30</v>
      </c>
    </row>
    <row r="614" customHeight="1" spans="1:19">
      <c r="A614" s="458">
        <v>46228</v>
      </c>
      <c r="B614" s="522" t="s">
        <v>373</v>
      </c>
      <c r="C614" s="458" t="s">
        <v>379</v>
      </c>
      <c r="D614" s="460"/>
      <c r="E614" s="461">
        <v>5</v>
      </c>
      <c r="F614" s="469"/>
      <c r="G614" s="493">
        <v>15</v>
      </c>
      <c r="H614" s="472"/>
      <c r="I614" s="472"/>
      <c r="J614" s="472"/>
      <c r="K614" s="472"/>
      <c r="L614" s="472"/>
      <c r="N614" s="474">
        <f t="shared" si="66"/>
        <v>15</v>
      </c>
      <c r="O614" s="465">
        <v>8</v>
      </c>
      <c r="P614" s="466">
        <f t="shared" si="67"/>
        <v>35</v>
      </c>
      <c r="S614" s="467">
        <f t="shared" si="68"/>
        <v>35</v>
      </c>
    </row>
    <row r="615" customHeight="1" spans="1:19">
      <c r="A615" s="458">
        <v>46229</v>
      </c>
      <c r="B615" s="522" t="s">
        <v>373</v>
      </c>
      <c r="C615" s="458" t="s">
        <v>379</v>
      </c>
      <c r="D615" s="460"/>
      <c r="E615" s="461">
        <v>5</v>
      </c>
      <c r="F615" s="469"/>
      <c r="G615" s="493">
        <v>14</v>
      </c>
      <c r="H615" s="472"/>
      <c r="I615" s="472"/>
      <c r="J615" s="472"/>
      <c r="K615" s="472"/>
      <c r="L615" s="472"/>
      <c r="N615" s="474">
        <f t="shared" si="66"/>
        <v>14</v>
      </c>
      <c r="O615" s="465">
        <v>8</v>
      </c>
      <c r="P615" s="466">
        <f t="shared" si="67"/>
        <v>30</v>
      </c>
      <c r="S615" s="467">
        <f t="shared" si="68"/>
        <v>30</v>
      </c>
    </row>
    <row r="616" customHeight="1" spans="1:19">
      <c r="A616" s="458">
        <v>46230</v>
      </c>
      <c r="B616" s="522" t="s">
        <v>373</v>
      </c>
      <c r="C616" s="458" t="s">
        <v>379</v>
      </c>
      <c r="D616" s="460"/>
      <c r="E616" s="461">
        <v>5</v>
      </c>
      <c r="F616" s="469"/>
      <c r="G616" s="493">
        <v>13</v>
      </c>
      <c r="H616" s="472"/>
      <c r="I616" s="472"/>
      <c r="J616" s="472"/>
      <c r="K616" s="472"/>
      <c r="L616" s="472"/>
      <c r="N616" s="474">
        <f t="shared" si="66"/>
        <v>13</v>
      </c>
      <c r="O616" s="465">
        <v>8</v>
      </c>
      <c r="P616" s="466">
        <f t="shared" si="67"/>
        <v>25</v>
      </c>
      <c r="S616" s="467">
        <f t="shared" si="68"/>
        <v>25</v>
      </c>
    </row>
    <row r="617" customHeight="1" spans="1:19">
      <c r="A617" s="458">
        <v>46231</v>
      </c>
      <c r="B617" s="522" t="s">
        <v>373</v>
      </c>
      <c r="C617" s="458" t="s">
        <v>379</v>
      </c>
      <c r="D617" s="460"/>
      <c r="E617" s="461">
        <v>5</v>
      </c>
      <c r="F617" s="469"/>
      <c r="G617" s="493">
        <v>14</v>
      </c>
      <c r="H617" s="472"/>
      <c r="I617" s="472"/>
      <c r="J617" s="472"/>
      <c r="K617" s="472"/>
      <c r="L617" s="472"/>
      <c r="N617" s="474">
        <f t="shared" ref="N617:N663" si="69">SUMPRODUCT($G$2:$M$2,G617:M617)</f>
        <v>14</v>
      </c>
      <c r="O617" s="465">
        <v>8</v>
      </c>
      <c r="P617" s="466">
        <f t="shared" ref="P617:P663" si="70">IFERROR(IF((N617*E617-O617*E617)&lt;0,0,(N617*E617-O617*E617)),"")</f>
        <v>30</v>
      </c>
      <c r="S617" s="467">
        <f t="shared" ref="S617:S663" si="71">IF(B617="","",P617+R617)</f>
        <v>30</v>
      </c>
    </row>
    <row r="618" customHeight="1" spans="1:19">
      <c r="A618" s="458">
        <v>46232</v>
      </c>
      <c r="B618" s="522" t="s">
        <v>373</v>
      </c>
      <c r="C618" s="458" t="s">
        <v>379</v>
      </c>
      <c r="D618" s="460"/>
      <c r="E618" s="461">
        <v>5</v>
      </c>
      <c r="F618" s="469"/>
      <c r="G618" s="493">
        <v>16</v>
      </c>
      <c r="H618" s="472"/>
      <c r="I618" s="472"/>
      <c r="J618" s="472"/>
      <c r="K618" s="472"/>
      <c r="L618" s="472"/>
      <c r="N618" s="474">
        <f t="shared" si="69"/>
        <v>16</v>
      </c>
      <c r="O618" s="465">
        <v>8</v>
      </c>
      <c r="P618" s="466">
        <f t="shared" si="70"/>
        <v>40</v>
      </c>
      <c r="S618" s="467">
        <f t="shared" si="71"/>
        <v>40</v>
      </c>
    </row>
    <row r="619" customHeight="1" spans="1:19">
      <c r="A619" s="458">
        <v>46233</v>
      </c>
      <c r="B619" s="522" t="s">
        <v>373</v>
      </c>
      <c r="C619" s="458" t="s">
        <v>379</v>
      </c>
      <c r="D619" s="460"/>
      <c r="E619" s="461">
        <v>5</v>
      </c>
      <c r="F619" s="469"/>
      <c r="G619" s="493"/>
      <c r="H619" s="472"/>
      <c r="I619" s="472"/>
      <c r="J619" s="472"/>
      <c r="K619" s="472"/>
      <c r="L619" s="472"/>
      <c r="N619" s="474">
        <f t="shared" si="69"/>
        <v>0</v>
      </c>
      <c r="O619" s="465">
        <v>8</v>
      </c>
      <c r="P619" s="466">
        <f t="shared" si="70"/>
        <v>0</v>
      </c>
      <c r="S619" s="467">
        <f t="shared" si="71"/>
        <v>0</v>
      </c>
    </row>
    <row r="620" customHeight="1" spans="1:19">
      <c r="A620" s="458">
        <v>46234</v>
      </c>
      <c r="B620" s="522" t="s">
        <v>373</v>
      </c>
      <c r="C620" s="458" t="s">
        <v>379</v>
      </c>
      <c r="D620" s="460"/>
      <c r="E620" s="461">
        <v>5</v>
      </c>
      <c r="F620" s="469"/>
      <c r="G620" s="493">
        <v>15</v>
      </c>
      <c r="H620" s="472"/>
      <c r="I620" s="472"/>
      <c r="J620" s="472"/>
      <c r="K620" s="472"/>
      <c r="L620" s="472"/>
      <c r="N620" s="474">
        <f t="shared" si="69"/>
        <v>15</v>
      </c>
      <c r="O620" s="465">
        <v>8</v>
      </c>
      <c r="P620" s="466">
        <f t="shared" si="70"/>
        <v>35</v>
      </c>
      <c r="S620" s="467">
        <f t="shared" si="71"/>
        <v>35</v>
      </c>
    </row>
    <row r="621" customHeight="1" spans="1:19">
      <c r="A621" s="458">
        <v>46204</v>
      </c>
      <c r="B621" s="522" t="s">
        <v>374</v>
      </c>
      <c r="C621" s="458" t="s">
        <v>379</v>
      </c>
      <c r="D621" s="460"/>
      <c r="E621" s="461">
        <v>5</v>
      </c>
      <c r="F621" s="469"/>
      <c r="G621" s="493"/>
      <c r="H621" s="472"/>
      <c r="I621" s="472"/>
      <c r="J621" s="472"/>
      <c r="K621" s="472"/>
      <c r="L621" s="472"/>
      <c r="N621" s="474">
        <f t="shared" si="69"/>
        <v>0</v>
      </c>
      <c r="O621" s="465">
        <v>8</v>
      </c>
      <c r="P621" s="466">
        <f t="shared" si="70"/>
        <v>0</v>
      </c>
      <c r="S621" s="467">
        <f t="shared" si="71"/>
        <v>0</v>
      </c>
    </row>
    <row r="622" customHeight="1" spans="1:19">
      <c r="A622" s="458">
        <v>46205</v>
      </c>
      <c r="B622" s="522" t="s">
        <v>374</v>
      </c>
      <c r="C622" s="458" t="s">
        <v>379</v>
      </c>
      <c r="D622" s="460"/>
      <c r="E622" s="461">
        <v>5</v>
      </c>
      <c r="F622" s="469"/>
      <c r="G622" s="493">
        <v>11</v>
      </c>
      <c r="H622" s="472"/>
      <c r="I622" s="472"/>
      <c r="J622" s="472"/>
      <c r="K622" s="472"/>
      <c r="L622" s="472"/>
      <c r="N622" s="474">
        <f t="shared" si="69"/>
        <v>11</v>
      </c>
      <c r="O622" s="465">
        <v>8</v>
      </c>
      <c r="P622" s="466">
        <f t="shared" si="70"/>
        <v>15</v>
      </c>
      <c r="S622" s="467">
        <f t="shared" si="71"/>
        <v>15</v>
      </c>
    </row>
    <row r="623" customHeight="1" spans="1:19">
      <c r="A623" s="458">
        <v>46206</v>
      </c>
      <c r="B623" s="522" t="s">
        <v>374</v>
      </c>
      <c r="C623" s="458" t="s">
        <v>379</v>
      </c>
      <c r="D623" s="460"/>
      <c r="E623" s="461">
        <v>5</v>
      </c>
      <c r="F623" s="469"/>
      <c r="G623" s="493">
        <v>12</v>
      </c>
      <c r="H623" s="472"/>
      <c r="I623" s="472"/>
      <c r="J623" s="472"/>
      <c r="K623" s="472"/>
      <c r="L623" s="472"/>
      <c r="N623" s="474">
        <f t="shared" si="69"/>
        <v>12</v>
      </c>
      <c r="O623" s="465">
        <v>8</v>
      </c>
      <c r="P623" s="466">
        <f t="shared" si="70"/>
        <v>20</v>
      </c>
      <c r="S623" s="467">
        <f t="shared" si="71"/>
        <v>20</v>
      </c>
    </row>
    <row r="624" customHeight="1" spans="1:19">
      <c r="A624" s="458">
        <v>46207</v>
      </c>
      <c r="B624" s="522" t="s">
        <v>374</v>
      </c>
      <c r="C624" s="458" t="s">
        <v>379</v>
      </c>
      <c r="D624" s="460"/>
      <c r="E624" s="461">
        <v>5</v>
      </c>
      <c r="F624" s="469"/>
      <c r="G624" s="493">
        <v>9</v>
      </c>
      <c r="H624" s="472"/>
      <c r="I624" s="472"/>
      <c r="J624" s="472"/>
      <c r="K624" s="472"/>
      <c r="L624" s="472">
        <v>1</v>
      </c>
      <c r="N624" s="474">
        <f t="shared" si="69"/>
        <v>11</v>
      </c>
      <c r="O624" s="465">
        <v>8</v>
      </c>
      <c r="P624" s="466">
        <f t="shared" si="70"/>
        <v>15</v>
      </c>
      <c r="S624" s="467">
        <f t="shared" si="71"/>
        <v>15</v>
      </c>
    </row>
    <row r="625" customHeight="1" spans="1:19">
      <c r="A625" s="458">
        <v>46208</v>
      </c>
      <c r="B625" s="522" t="s">
        <v>374</v>
      </c>
      <c r="C625" s="458" t="s">
        <v>379</v>
      </c>
      <c r="D625" s="460"/>
      <c r="E625" s="461">
        <v>5</v>
      </c>
      <c r="F625" s="469"/>
      <c r="G625" s="493">
        <v>14</v>
      </c>
      <c r="H625" s="472"/>
      <c r="I625" s="472"/>
      <c r="J625" s="472"/>
      <c r="K625" s="472"/>
      <c r="L625" s="472"/>
      <c r="N625" s="474">
        <f t="shared" si="69"/>
        <v>14</v>
      </c>
      <c r="O625" s="465">
        <v>8</v>
      </c>
      <c r="P625" s="466">
        <f t="shared" si="70"/>
        <v>30</v>
      </c>
      <c r="S625" s="467">
        <f t="shared" si="71"/>
        <v>30</v>
      </c>
    </row>
    <row r="626" customHeight="1" spans="1:19">
      <c r="A626" s="458">
        <v>46209</v>
      </c>
      <c r="B626" s="522" t="s">
        <v>374</v>
      </c>
      <c r="C626" s="458" t="s">
        <v>379</v>
      </c>
      <c r="D626" s="460"/>
      <c r="E626" s="461">
        <v>5</v>
      </c>
      <c r="F626" s="469"/>
      <c r="G626" s="493"/>
      <c r="H626" s="472"/>
      <c r="I626" s="472"/>
      <c r="J626" s="472"/>
      <c r="K626" s="472"/>
      <c r="L626" s="472"/>
      <c r="N626" s="474">
        <f t="shared" si="69"/>
        <v>0</v>
      </c>
      <c r="O626" s="465">
        <v>8</v>
      </c>
      <c r="P626" s="466">
        <f t="shared" si="70"/>
        <v>0</v>
      </c>
      <c r="S626" s="467">
        <f t="shared" si="71"/>
        <v>0</v>
      </c>
    </row>
    <row r="627" customHeight="1" spans="1:19">
      <c r="A627" s="458">
        <v>46210</v>
      </c>
      <c r="B627" s="522" t="s">
        <v>374</v>
      </c>
      <c r="C627" s="458" t="s">
        <v>379</v>
      </c>
      <c r="D627" s="460"/>
      <c r="E627" s="461">
        <v>5</v>
      </c>
      <c r="F627" s="469"/>
      <c r="G627" s="493"/>
      <c r="H627" s="472"/>
      <c r="I627" s="472"/>
      <c r="J627" s="472"/>
      <c r="K627" s="472"/>
      <c r="L627" s="472"/>
      <c r="N627" s="474">
        <f t="shared" si="69"/>
        <v>0</v>
      </c>
      <c r="O627" s="465">
        <v>8</v>
      </c>
      <c r="P627" s="466">
        <f t="shared" si="70"/>
        <v>0</v>
      </c>
      <c r="S627" s="467">
        <f t="shared" si="71"/>
        <v>0</v>
      </c>
    </row>
    <row r="628" customHeight="1" spans="1:19">
      <c r="A628" s="458">
        <v>46211</v>
      </c>
      <c r="B628" s="522" t="s">
        <v>374</v>
      </c>
      <c r="C628" s="458" t="s">
        <v>379</v>
      </c>
      <c r="D628" s="460"/>
      <c r="E628" s="461">
        <v>5</v>
      </c>
      <c r="F628" s="469"/>
      <c r="G628" s="493"/>
      <c r="H628" s="472"/>
      <c r="I628" s="472"/>
      <c r="J628" s="472"/>
      <c r="K628" s="472"/>
      <c r="L628" s="472"/>
      <c r="N628" s="474">
        <f t="shared" si="69"/>
        <v>0</v>
      </c>
      <c r="O628" s="465">
        <v>8</v>
      </c>
      <c r="P628" s="466">
        <f t="shared" si="70"/>
        <v>0</v>
      </c>
      <c r="S628" s="467">
        <f t="shared" si="71"/>
        <v>0</v>
      </c>
    </row>
    <row r="629" customHeight="1" spans="1:19">
      <c r="A629" s="458">
        <v>46212</v>
      </c>
      <c r="B629" s="522" t="s">
        <v>374</v>
      </c>
      <c r="C629" s="458" t="s">
        <v>379</v>
      </c>
      <c r="D629" s="460"/>
      <c r="E629" s="461">
        <v>5</v>
      </c>
      <c r="F629" s="469"/>
      <c r="G629" s="493">
        <v>17</v>
      </c>
      <c r="H629" s="472"/>
      <c r="I629" s="472"/>
      <c r="J629" s="472"/>
      <c r="K629" s="472"/>
      <c r="L629" s="472"/>
      <c r="N629" s="474">
        <f t="shared" si="69"/>
        <v>17</v>
      </c>
      <c r="O629" s="465">
        <v>8</v>
      </c>
      <c r="P629" s="466">
        <f t="shared" si="70"/>
        <v>45</v>
      </c>
      <c r="S629" s="467">
        <f t="shared" si="71"/>
        <v>45</v>
      </c>
    </row>
    <row r="630" customHeight="1" spans="1:19">
      <c r="A630" s="458">
        <v>46213</v>
      </c>
      <c r="B630" s="522" t="s">
        <v>374</v>
      </c>
      <c r="C630" s="458" t="s">
        <v>379</v>
      </c>
      <c r="D630" s="460"/>
      <c r="E630" s="461">
        <v>5</v>
      </c>
      <c r="F630" s="469"/>
      <c r="G630" s="493">
        <v>17</v>
      </c>
      <c r="H630" s="472"/>
      <c r="I630" s="472"/>
      <c r="J630" s="472"/>
      <c r="K630" s="472"/>
      <c r="L630" s="472"/>
      <c r="N630" s="474">
        <f t="shared" si="69"/>
        <v>17</v>
      </c>
      <c r="O630" s="465">
        <v>8</v>
      </c>
      <c r="P630" s="466">
        <f t="shared" si="70"/>
        <v>45</v>
      </c>
      <c r="S630" s="467">
        <f t="shared" si="71"/>
        <v>45</v>
      </c>
    </row>
    <row r="631" customHeight="1" spans="1:19">
      <c r="A631" s="458">
        <v>46214</v>
      </c>
      <c r="B631" s="522" t="s">
        <v>374</v>
      </c>
      <c r="C631" s="458" t="s">
        <v>379</v>
      </c>
      <c r="D631" s="460"/>
      <c r="E631" s="461">
        <v>5</v>
      </c>
      <c r="F631" s="469"/>
      <c r="G631" s="493">
        <v>18</v>
      </c>
      <c r="H631" s="472"/>
      <c r="I631" s="472"/>
      <c r="J631" s="472"/>
      <c r="K631" s="472"/>
      <c r="L631" s="472">
        <v>1</v>
      </c>
      <c r="N631" s="474">
        <f t="shared" si="69"/>
        <v>20</v>
      </c>
      <c r="O631" s="465">
        <v>8</v>
      </c>
      <c r="P631" s="466">
        <f t="shared" si="70"/>
        <v>60</v>
      </c>
      <c r="S631" s="467">
        <f t="shared" si="71"/>
        <v>60</v>
      </c>
    </row>
    <row r="632" customHeight="1" spans="1:19">
      <c r="A632" s="458">
        <v>46215</v>
      </c>
      <c r="B632" s="522" t="s">
        <v>374</v>
      </c>
      <c r="C632" s="458" t="s">
        <v>379</v>
      </c>
      <c r="D632" s="460"/>
      <c r="E632" s="461">
        <v>5</v>
      </c>
      <c r="F632" s="469"/>
      <c r="G632" s="493">
        <v>17</v>
      </c>
      <c r="H632" s="472"/>
      <c r="I632" s="472"/>
      <c r="J632" s="472"/>
      <c r="K632" s="472"/>
      <c r="L632" s="472"/>
      <c r="N632" s="474">
        <f t="shared" si="69"/>
        <v>17</v>
      </c>
      <c r="O632" s="465">
        <v>8</v>
      </c>
      <c r="P632" s="466">
        <f t="shared" si="70"/>
        <v>45</v>
      </c>
      <c r="S632" s="467">
        <f t="shared" si="71"/>
        <v>45</v>
      </c>
    </row>
    <row r="633" customHeight="1" spans="1:19">
      <c r="A633" s="458">
        <v>46216</v>
      </c>
      <c r="B633" s="522" t="s">
        <v>374</v>
      </c>
      <c r="C633" s="458" t="s">
        <v>379</v>
      </c>
      <c r="D633" s="460"/>
      <c r="E633" s="461">
        <v>5</v>
      </c>
      <c r="F633" s="469"/>
      <c r="G633" s="493">
        <v>16</v>
      </c>
      <c r="H633" s="472"/>
      <c r="I633" s="472"/>
      <c r="J633" s="472"/>
      <c r="K633" s="472"/>
      <c r="L633" s="472"/>
      <c r="N633" s="474">
        <f t="shared" si="69"/>
        <v>16</v>
      </c>
      <c r="O633" s="465">
        <v>8</v>
      </c>
      <c r="P633" s="466">
        <f t="shared" si="70"/>
        <v>40</v>
      </c>
      <c r="S633" s="467">
        <f t="shared" si="71"/>
        <v>40</v>
      </c>
    </row>
    <row r="634" customHeight="1" spans="1:19">
      <c r="A634" s="458">
        <v>46217</v>
      </c>
      <c r="B634" s="522" t="s">
        <v>374</v>
      </c>
      <c r="C634" s="458" t="s">
        <v>379</v>
      </c>
      <c r="D634" s="460"/>
      <c r="E634" s="461">
        <v>5</v>
      </c>
      <c r="F634" s="469"/>
      <c r="G634" s="493">
        <v>13</v>
      </c>
      <c r="H634" s="472"/>
      <c r="I634" s="472"/>
      <c r="J634" s="472"/>
      <c r="K634" s="472"/>
      <c r="L634" s="472"/>
      <c r="N634" s="474">
        <f t="shared" si="69"/>
        <v>13</v>
      </c>
      <c r="O634" s="465">
        <v>8</v>
      </c>
      <c r="P634" s="466">
        <f t="shared" si="70"/>
        <v>25</v>
      </c>
      <c r="S634" s="467">
        <f t="shared" si="71"/>
        <v>25</v>
      </c>
    </row>
    <row r="635" customHeight="1" spans="1:19">
      <c r="A635" s="458">
        <v>46218</v>
      </c>
      <c r="B635" s="522" t="s">
        <v>374</v>
      </c>
      <c r="C635" s="458" t="s">
        <v>379</v>
      </c>
      <c r="D635" s="460"/>
      <c r="E635" s="461">
        <v>5</v>
      </c>
      <c r="F635" s="469"/>
      <c r="G635" s="493"/>
      <c r="H635" s="472"/>
      <c r="I635" s="472"/>
      <c r="J635" s="472"/>
      <c r="K635" s="472"/>
      <c r="L635" s="472"/>
      <c r="N635" s="474">
        <f t="shared" si="69"/>
        <v>0</v>
      </c>
      <c r="O635" s="465">
        <v>8</v>
      </c>
      <c r="P635" s="466">
        <f t="shared" si="70"/>
        <v>0</v>
      </c>
      <c r="S635" s="467">
        <f t="shared" si="71"/>
        <v>0</v>
      </c>
    </row>
    <row r="636" customHeight="1" spans="1:19">
      <c r="A636" s="481">
        <v>46219</v>
      </c>
      <c r="B636" s="522" t="s">
        <v>374</v>
      </c>
      <c r="C636" s="458" t="s">
        <v>379</v>
      </c>
      <c r="D636" s="460"/>
      <c r="E636" s="461">
        <v>5</v>
      </c>
      <c r="F636" s="469"/>
      <c r="G636" s="493"/>
      <c r="H636" s="472"/>
      <c r="I636" s="472"/>
      <c r="J636" s="472"/>
      <c r="K636" s="472"/>
      <c r="L636" s="472"/>
      <c r="N636" s="474">
        <f t="shared" si="69"/>
        <v>0</v>
      </c>
      <c r="O636" s="465">
        <v>8</v>
      </c>
      <c r="P636" s="466">
        <f t="shared" si="70"/>
        <v>0</v>
      </c>
      <c r="S636" s="467">
        <f t="shared" si="71"/>
        <v>0</v>
      </c>
    </row>
    <row r="637" customHeight="1" spans="1:19">
      <c r="A637" s="458">
        <v>46220</v>
      </c>
      <c r="B637" s="522" t="s">
        <v>374</v>
      </c>
      <c r="C637" s="458" t="s">
        <v>379</v>
      </c>
      <c r="D637" s="460"/>
      <c r="E637" s="461">
        <v>5</v>
      </c>
      <c r="F637" s="469"/>
      <c r="G637" s="493"/>
      <c r="H637" s="472"/>
      <c r="I637" s="472"/>
      <c r="J637" s="472"/>
      <c r="K637" s="472"/>
      <c r="L637" s="472"/>
      <c r="N637" s="474">
        <f t="shared" si="69"/>
        <v>0</v>
      </c>
      <c r="O637" s="465">
        <v>8</v>
      </c>
      <c r="P637" s="466">
        <f t="shared" si="70"/>
        <v>0</v>
      </c>
      <c r="S637" s="467">
        <f t="shared" si="71"/>
        <v>0</v>
      </c>
    </row>
    <row r="638" customHeight="1" spans="1:19">
      <c r="A638" s="458">
        <v>46221</v>
      </c>
      <c r="B638" s="522" t="s">
        <v>374</v>
      </c>
      <c r="C638" s="458" t="s">
        <v>379</v>
      </c>
      <c r="D638" s="460"/>
      <c r="E638" s="461">
        <v>5</v>
      </c>
      <c r="F638" s="469"/>
      <c r="G638" s="493"/>
      <c r="H638" s="472"/>
      <c r="I638" s="472"/>
      <c r="J638" s="472"/>
      <c r="K638" s="472"/>
      <c r="L638" s="472"/>
      <c r="N638" s="474">
        <f t="shared" si="69"/>
        <v>0</v>
      </c>
      <c r="O638" s="465">
        <v>8</v>
      </c>
      <c r="P638" s="466">
        <f t="shared" si="70"/>
        <v>0</v>
      </c>
      <c r="S638" s="467">
        <f t="shared" si="71"/>
        <v>0</v>
      </c>
    </row>
    <row r="639" customHeight="1" spans="1:19">
      <c r="A639" s="458">
        <v>46222</v>
      </c>
      <c r="B639" s="522" t="s">
        <v>374</v>
      </c>
      <c r="C639" s="458" t="s">
        <v>379</v>
      </c>
      <c r="D639" s="460"/>
      <c r="E639" s="461">
        <v>5</v>
      </c>
      <c r="F639" s="469"/>
      <c r="G639" s="493"/>
      <c r="H639" s="472"/>
      <c r="I639" s="472"/>
      <c r="J639" s="472"/>
      <c r="K639" s="472"/>
      <c r="L639" s="472"/>
      <c r="N639" s="474">
        <f t="shared" si="69"/>
        <v>0</v>
      </c>
      <c r="O639" s="465">
        <v>8</v>
      </c>
      <c r="P639" s="466">
        <f t="shared" si="70"/>
        <v>0</v>
      </c>
      <c r="S639" s="467">
        <f t="shared" si="71"/>
        <v>0</v>
      </c>
    </row>
    <row r="640" customHeight="1" spans="1:19">
      <c r="A640" s="458">
        <v>46223</v>
      </c>
      <c r="B640" s="522" t="s">
        <v>374</v>
      </c>
      <c r="C640" s="458" t="s">
        <v>379</v>
      </c>
      <c r="D640" s="460"/>
      <c r="E640" s="461">
        <v>5</v>
      </c>
      <c r="F640" s="469"/>
      <c r="G640" s="493"/>
      <c r="H640" s="472"/>
      <c r="I640" s="472"/>
      <c r="J640" s="472"/>
      <c r="K640" s="472"/>
      <c r="L640" s="472"/>
      <c r="N640" s="474">
        <f t="shared" si="69"/>
        <v>0</v>
      </c>
      <c r="O640" s="465">
        <v>8</v>
      </c>
      <c r="P640" s="466">
        <f t="shared" si="70"/>
        <v>0</v>
      </c>
      <c r="S640" s="467">
        <f t="shared" si="71"/>
        <v>0</v>
      </c>
    </row>
    <row r="641" customHeight="1" spans="1:19">
      <c r="A641" s="458">
        <v>46224</v>
      </c>
      <c r="B641" s="522" t="s">
        <v>374</v>
      </c>
      <c r="C641" s="458" t="s">
        <v>379</v>
      </c>
      <c r="D641" s="460"/>
      <c r="E641" s="461">
        <v>5</v>
      </c>
      <c r="F641" s="469"/>
      <c r="G641" s="493"/>
      <c r="H641" s="472"/>
      <c r="I641" s="472"/>
      <c r="J641" s="472"/>
      <c r="K641" s="472"/>
      <c r="L641" s="472"/>
      <c r="N641" s="474">
        <f t="shared" si="69"/>
        <v>0</v>
      </c>
      <c r="O641" s="465">
        <v>8</v>
      </c>
      <c r="P641" s="466">
        <f t="shared" si="70"/>
        <v>0</v>
      </c>
      <c r="S641" s="467">
        <f t="shared" si="71"/>
        <v>0</v>
      </c>
    </row>
    <row r="642" customHeight="1" spans="1:19">
      <c r="A642" s="458">
        <v>46225</v>
      </c>
      <c r="B642" s="522" t="s">
        <v>374</v>
      </c>
      <c r="C642" s="458" t="s">
        <v>379</v>
      </c>
      <c r="D642" s="460"/>
      <c r="E642" s="461">
        <v>5</v>
      </c>
      <c r="F642" s="469"/>
      <c r="G642" s="493"/>
      <c r="H642" s="472"/>
      <c r="I642" s="472"/>
      <c r="J642" s="472"/>
      <c r="K642" s="472"/>
      <c r="L642" s="472"/>
      <c r="N642" s="474">
        <f t="shared" si="69"/>
        <v>0</v>
      </c>
      <c r="O642" s="465">
        <v>8</v>
      </c>
      <c r="P642" s="466">
        <f t="shared" si="70"/>
        <v>0</v>
      </c>
      <c r="S642" s="467">
        <f t="shared" si="71"/>
        <v>0</v>
      </c>
    </row>
    <row r="643" customHeight="1" spans="1:19">
      <c r="A643" s="458">
        <v>46226</v>
      </c>
      <c r="B643" s="522" t="s">
        <v>374</v>
      </c>
      <c r="C643" s="458" t="s">
        <v>379</v>
      </c>
      <c r="D643" s="460"/>
      <c r="E643" s="461">
        <v>5</v>
      </c>
      <c r="F643" s="469"/>
      <c r="G643" s="493">
        <v>5</v>
      </c>
      <c r="H643" s="472"/>
      <c r="I643" s="472"/>
      <c r="J643" s="472"/>
      <c r="K643" s="472"/>
      <c r="L643" s="472"/>
      <c r="N643" s="474">
        <f t="shared" si="69"/>
        <v>5</v>
      </c>
      <c r="O643" s="465">
        <v>8</v>
      </c>
      <c r="P643" s="466">
        <f t="shared" si="70"/>
        <v>0</v>
      </c>
      <c r="S643" s="467">
        <f t="shared" si="71"/>
        <v>0</v>
      </c>
    </row>
    <row r="644" customHeight="1" spans="1:19">
      <c r="A644" s="458">
        <v>46227</v>
      </c>
      <c r="B644" s="522" t="s">
        <v>374</v>
      </c>
      <c r="C644" s="458" t="s">
        <v>379</v>
      </c>
      <c r="D644" s="460"/>
      <c r="E644" s="461">
        <v>5</v>
      </c>
      <c r="F644" s="469"/>
      <c r="G644" s="493">
        <v>11</v>
      </c>
      <c r="H644" s="472"/>
      <c r="I644" s="472"/>
      <c r="J644" s="472"/>
      <c r="K644" s="472"/>
      <c r="L644" s="472"/>
      <c r="N644" s="474">
        <f t="shared" si="69"/>
        <v>11</v>
      </c>
      <c r="O644" s="465">
        <v>8</v>
      </c>
      <c r="P644" s="466">
        <f t="shared" si="70"/>
        <v>15</v>
      </c>
      <c r="S644" s="467">
        <f>IF(B651="","",P644+R644)</f>
        <v>15</v>
      </c>
    </row>
    <row r="645" customHeight="1" spans="1:19">
      <c r="A645" s="458">
        <v>46228</v>
      </c>
      <c r="B645" s="522" t="s">
        <v>374</v>
      </c>
      <c r="C645" s="458" t="s">
        <v>379</v>
      </c>
      <c r="D645" s="460"/>
      <c r="E645" s="461">
        <v>5</v>
      </c>
      <c r="F645" s="469"/>
      <c r="G645" s="493"/>
      <c r="H645" s="472"/>
      <c r="I645" s="472"/>
      <c r="J645" s="472"/>
      <c r="K645" s="472"/>
      <c r="L645" s="472"/>
      <c r="N645" s="474">
        <f t="shared" si="69"/>
        <v>0</v>
      </c>
      <c r="O645" s="465">
        <v>8</v>
      </c>
      <c r="P645" s="466">
        <f t="shared" si="70"/>
        <v>0</v>
      </c>
      <c r="S645" s="467">
        <f t="shared" si="71"/>
        <v>0</v>
      </c>
    </row>
    <row r="646" customHeight="1" spans="1:19">
      <c r="A646" s="458">
        <v>46229</v>
      </c>
      <c r="B646" s="522" t="s">
        <v>374</v>
      </c>
      <c r="C646" s="458" t="s">
        <v>379</v>
      </c>
      <c r="D646" s="460"/>
      <c r="E646" s="461">
        <v>5</v>
      </c>
      <c r="F646" s="469"/>
      <c r="G646" s="493"/>
      <c r="H646" s="472"/>
      <c r="I646" s="472"/>
      <c r="J646" s="472"/>
      <c r="K646" s="472"/>
      <c r="L646" s="472"/>
      <c r="N646" s="474">
        <f t="shared" si="69"/>
        <v>0</v>
      </c>
      <c r="O646" s="465">
        <v>8</v>
      </c>
      <c r="P646" s="466">
        <f t="shared" si="70"/>
        <v>0</v>
      </c>
      <c r="S646" s="467">
        <f t="shared" si="71"/>
        <v>0</v>
      </c>
    </row>
    <row r="647" customHeight="1" spans="1:19">
      <c r="A647" s="458">
        <v>46230</v>
      </c>
      <c r="B647" s="522" t="s">
        <v>374</v>
      </c>
      <c r="C647" s="458" t="s">
        <v>379</v>
      </c>
      <c r="D647" s="460"/>
      <c r="E647" s="461">
        <v>5</v>
      </c>
      <c r="F647" s="469"/>
      <c r="G647" s="493"/>
      <c r="H647" s="472"/>
      <c r="I647" s="472"/>
      <c r="J647" s="472"/>
      <c r="K647" s="472"/>
      <c r="L647" s="472"/>
      <c r="N647" s="474">
        <f t="shared" si="69"/>
        <v>0</v>
      </c>
      <c r="O647" s="465">
        <v>8</v>
      </c>
      <c r="P647" s="466">
        <f t="shared" si="70"/>
        <v>0</v>
      </c>
      <c r="S647" s="467">
        <f t="shared" si="71"/>
        <v>0</v>
      </c>
    </row>
    <row r="648" customHeight="1" spans="1:19">
      <c r="A648" s="458">
        <v>46231</v>
      </c>
      <c r="B648" s="522" t="s">
        <v>374</v>
      </c>
      <c r="C648" s="458" t="s">
        <v>379</v>
      </c>
      <c r="D648" s="460"/>
      <c r="E648" s="461">
        <v>5</v>
      </c>
      <c r="F648" s="469"/>
      <c r="G648" s="493"/>
      <c r="H648" s="472"/>
      <c r="I648" s="472"/>
      <c r="J648" s="472"/>
      <c r="K648" s="472"/>
      <c r="L648" s="472"/>
      <c r="N648" s="474">
        <f t="shared" si="69"/>
        <v>0</v>
      </c>
      <c r="O648" s="465">
        <v>8</v>
      </c>
      <c r="P648" s="466">
        <f t="shared" si="70"/>
        <v>0</v>
      </c>
      <c r="S648" s="467">
        <f t="shared" si="71"/>
        <v>0</v>
      </c>
    </row>
    <row r="649" customHeight="1" spans="1:19">
      <c r="A649" s="458">
        <v>46232</v>
      </c>
      <c r="B649" s="522" t="s">
        <v>374</v>
      </c>
      <c r="C649" s="458" t="s">
        <v>379</v>
      </c>
      <c r="D649" s="460"/>
      <c r="E649" s="461">
        <v>5</v>
      </c>
      <c r="F649" s="469"/>
      <c r="G649" s="493"/>
      <c r="H649" s="472"/>
      <c r="I649" s="472"/>
      <c r="J649" s="472"/>
      <c r="K649" s="472"/>
      <c r="L649" s="472"/>
      <c r="N649" s="474">
        <f t="shared" si="69"/>
        <v>0</v>
      </c>
      <c r="O649" s="465">
        <v>8</v>
      </c>
      <c r="P649" s="466">
        <f t="shared" si="70"/>
        <v>0</v>
      </c>
      <c r="S649" s="467">
        <f t="shared" si="71"/>
        <v>0</v>
      </c>
    </row>
    <row r="650" customHeight="1" spans="1:19">
      <c r="A650" s="458">
        <v>46233</v>
      </c>
      <c r="B650" s="522" t="s">
        <v>374</v>
      </c>
      <c r="C650" s="458" t="s">
        <v>379</v>
      </c>
      <c r="D650" s="460"/>
      <c r="E650" s="461">
        <v>5</v>
      </c>
      <c r="F650" s="469"/>
      <c r="G650" s="493"/>
      <c r="H650" s="472"/>
      <c r="I650" s="472"/>
      <c r="J650" s="472"/>
      <c r="K650" s="472"/>
      <c r="L650" s="472"/>
      <c r="N650" s="474">
        <f t="shared" si="69"/>
        <v>0</v>
      </c>
      <c r="O650" s="465">
        <v>8</v>
      </c>
      <c r="P650" s="466">
        <f t="shared" si="70"/>
        <v>0</v>
      </c>
      <c r="S650" s="467">
        <f t="shared" si="71"/>
        <v>0</v>
      </c>
    </row>
    <row r="651" customHeight="1" spans="1:19">
      <c r="A651" s="458">
        <v>46234</v>
      </c>
      <c r="B651" s="522" t="s">
        <v>374</v>
      </c>
      <c r="C651" s="458" t="s">
        <v>379</v>
      </c>
      <c r="D651" s="460"/>
      <c r="E651" s="461">
        <v>5</v>
      </c>
      <c r="F651" s="469"/>
      <c r="G651" s="493"/>
      <c r="H651" s="472"/>
      <c r="I651" s="472"/>
      <c r="J651" s="472"/>
      <c r="K651" s="472"/>
      <c r="L651" s="472"/>
      <c r="N651" s="474">
        <f t="shared" si="69"/>
        <v>0</v>
      </c>
      <c r="O651" s="465">
        <v>8</v>
      </c>
      <c r="P651" s="466">
        <f t="shared" si="70"/>
        <v>0</v>
      </c>
      <c r="S651" s="467">
        <f t="shared" si="71"/>
        <v>0</v>
      </c>
    </row>
    <row r="652" customHeight="1" spans="1:19">
      <c r="A652" s="481"/>
      <c r="B652" s="522"/>
      <c r="C652" s="458" t="s">
        <v>379</v>
      </c>
      <c r="D652" s="460"/>
      <c r="E652" s="461">
        <v>5</v>
      </c>
      <c r="F652" s="469"/>
      <c r="G652" s="493"/>
      <c r="H652" s="472"/>
      <c r="I652" s="472"/>
      <c r="J652" s="472"/>
      <c r="K652" s="472"/>
      <c r="L652" s="472"/>
      <c r="N652" s="474">
        <f t="shared" si="69"/>
        <v>0</v>
      </c>
      <c r="O652" s="465">
        <v>8</v>
      </c>
      <c r="P652" s="466">
        <f t="shared" si="70"/>
        <v>0</v>
      </c>
      <c r="S652" s="467" t="str">
        <f t="shared" si="71"/>
        <v/>
      </c>
    </row>
    <row r="653" customHeight="1" spans="1:19">
      <c r="A653" s="481"/>
      <c r="B653" s="522"/>
      <c r="C653" s="458" t="s">
        <v>379</v>
      </c>
      <c r="D653" s="460"/>
      <c r="E653" s="461">
        <v>5</v>
      </c>
      <c r="F653" s="469"/>
      <c r="G653" s="493"/>
      <c r="H653" s="472"/>
      <c r="I653" s="472"/>
      <c r="J653" s="472"/>
      <c r="K653" s="472"/>
      <c r="L653" s="472"/>
      <c r="N653" s="474">
        <f t="shared" si="69"/>
        <v>0</v>
      </c>
      <c r="O653" s="465">
        <v>8</v>
      </c>
      <c r="P653" s="466">
        <f t="shared" si="70"/>
        <v>0</v>
      </c>
      <c r="S653" s="467" t="str">
        <f t="shared" si="71"/>
        <v/>
      </c>
    </row>
    <row r="654" customHeight="1" spans="1:19">
      <c r="A654" s="481"/>
      <c r="B654" s="522"/>
      <c r="C654" s="458" t="s">
        <v>379</v>
      </c>
      <c r="D654" s="460"/>
      <c r="E654" s="461">
        <v>5</v>
      </c>
      <c r="F654" s="469"/>
      <c r="G654" s="493"/>
      <c r="H654" s="472"/>
      <c r="I654" s="472"/>
      <c r="J654" s="472"/>
      <c r="K654" s="472"/>
      <c r="L654" s="472"/>
      <c r="N654" s="474">
        <f t="shared" si="69"/>
        <v>0</v>
      </c>
      <c r="O654" s="465">
        <v>8</v>
      </c>
      <c r="P654" s="466">
        <f t="shared" si="70"/>
        <v>0</v>
      </c>
      <c r="S654" s="467" t="str">
        <f t="shared" si="71"/>
        <v/>
      </c>
    </row>
    <row r="655" customHeight="1" spans="1:19">
      <c r="A655" s="481"/>
      <c r="B655" s="522"/>
      <c r="C655" s="458" t="s">
        <v>379</v>
      </c>
      <c r="D655" s="460"/>
      <c r="E655" s="461">
        <v>5</v>
      </c>
      <c r="F655" s="469"/>
      <c r="G655" s="493"/>
      <c r="H655" s="472"/>
      <c r="I655" s="472"/>
      <c r="J655" s="472"/>
      <c r="K655" s="472"/>
      <c r="L655" s="472"/>
      <c r="N655" s="474">
        <f t="shared" si="69"/>
        <v>0</v>
      </c>
      <c r="O655" s="465">
        <v>8</v>
      </c>
      <c r="P655" s="466">
        <f t="shared" si="70"/>
        <v>0</v>
      </c>
      <c r="S655" s="467" t="str">
        <f t="shared" si="71"/>
        <v/>
      </c>
    </row>
    <row r="656" customHeight="1" spans="1:19">
      <c r="A656" s="481"/>
      <c r="B656" s="522"/>
      <c r="C656" s="458" t="s">
        <v>379</v>
      </c>
      <c r="D656" s="460"/>
      <c r="E656" s="461">
        <v>5</v>
      </c>
      <c r="F656" s="469"/>
      <c r="G656" s="493"/>
      <c r="H656" s="472"/>
      <c r="I656" s="472"/>
      <c r="J656" s="472"/>
      <c r="K656" s="472"/>
      <c r="L656" s="472"/>
      <c r="N656" s="474">
        <f t="shared" si="69"/>
        <v>0</v>
      </c>
      <c r="O656" s="465">
        <v>8</v>
      </c>
      <c r="P656" s="466">
        <f t="shared" si="70"/>
        <v>0</v>
      </c>
      <c r="S656" s="467" t="str">
        <f t="shared" si="71"/>
        <v/>
      </c>
    </row>
    <row r="657" customHeight="1" spans="1:19">
      <c r="A657" s="481"/>
      <c r="B657" s="522"/>
      <c r="C657" s="458" t="s">
        <v>379</v>
      </c>
      <c r="D657" s="460"/>
      <c r="E657" s="461">
        <v>5</v>
      </c>
      <c r="F657" s="469"/>
      <c r="G657" s="493"/>
      <c r="H657" s="472"/>
      <c r="I657" s="472"/>
      <c r="J657" s="472"/>
      <c r="K657" s="472"/>
      <c r="L657" s="472"/>
      <c r="N657" s="474">
        <f t="shared" si="69"/>
        <v>0</v>
      </c>
      <c r="O657" s="465">
        <v>8</v>
      </c>
      <c r="P657" s="466">
        <f t="shared" si="70"/>
        <v>0</v>
      </c>
      <c r="S657" s="467" t="str">
        <f t="shared" si="71"/>
        <v/>
      </c>
    </row>
    <row r="658" customHeight="1" spans="1:19">
      <c r="A658" s="481"/>
      <c r="B658" s="522"/>
      <c r="C658" s="458" t="s">
        <v>379</v>
      </c>
      <c r="D658" s="460"/>
      <c r="E658" s="461">
        <v>5</v>
      </c>
      <c r="F658" s="469"/>
      <c r="G658" s="493"/>
      <c r="H658" s="472"/>
      <c r="I658" s="472"/>
      <c r="J658" s="472"/>
      <c r="K658" s="472"/>
      <c r="L658" s="472"/>
      <c r="N658" s="474">
        <f t="shared" si="69"/>
        <v>0</v>
      </c>
      <c r="O658" s="465">
        <v>8</v>
      </c>
      <c r="P658" s="466">
        <f t="shared" si="70"/>
        <v>0</v>
      </c>
      <c r="S658" s="467" t="str">
        <f t="shared" si="71"/>
        <v/>
      </c>
    </row>
    <row r="659" customHeight="1" spans="1:19">
      <c r="A659" s="481"/>
      <c r="B659" s="522"/>
      <c r="C659" s="458" t="s">
        <v>379</v>
      </c>
      <c r="D659" s="460"/>
      <c r="E659" s="461">
        <v>5</v>
      </c>
      <c r="F659" s="469"/>
      <c r="G659" s="493"/>
      <c r="H659" s="472"/>
      <c r="I659" s="472"/>
      <c r="J659" s="472"/>
      <c r="K659" s="472"/>
      <c r="L659" s="472"/>
      <c r="N659" s="474">
        <f t="shared" si="69"/>
        <v>0</v>
      </c>
      <c r="O659" s="465">
        <v>8</v>
      </c>
      <c r="P659" s="466">
        <f t="shared" si="70"/>
        <v>0</v>
      </c>
      <c r="S659" s="467" t="str">
        <f t="shared" si="71"/>
        <v/>
      </c>
    </row>
    <row r="660" customHeight="1" spans="1:19">
      <c r="A660" s="481"/>
      <c r="B660" s="522"/>
      <c r="C660" s="458" t="s">
        <v>379</v>
      </c>
      <c r="D660" s="460"/>
      <c r="E660" s="461">
        <v>5</v>
      </c>
      <c r="F660" s="469"/>
      <c r="G660" s="493"/>
      <c r="H660" s="472"/>
      <c r="I660" s="472"/>
      <c r="J660" s="472"/>
      <c r="K660" s="472"/>
      <c r="L660" s="472"/>
      <c r="N660" s="474">
        <f t="shared" si="69"/>
        <v>0</v>
      </c>
      <c r="O660" s="465">
        <v>8</v>
      </c>
      <c r="P660" s="466">
        <f t="shared" si="70"/>
        <v>0</v>
      </c>
      <c r="S660" s="467" t="str">
        <f t="shared" si="71"/>
        <v/>
      </c>
    </row>
    <row r="661" customHeight="1" spans="1:19">
      <c r="A661" s="481"/>
      <c r="B661" s="522"/>
      <c r="C661" s="458" t="s">
        <v>379</v>
      </c>
      <c r="D661" s="460"/>
      <c r="E661" s="461">
        <v>5</v>
      </c>
      <c r="F661" s="469"/>
      <c r="G661" s="493"/>
      <c r="H661" s="472"/>
      <c r="I661" s="472"/>
      <c r="J661" s="472"/>
      <c r="K661" s="472"/>
      <c r="L661" s="472"/>
      <c r="N661" s="474">
        <f t="shared" si="69"/>
        <v>0</v>
      </c>
      <c r="O661" s="465">
        <v>8</v>
      </c>
      <c r="P661" s="466">
        <f t="shared" si="70"/>
        <v>0</v>
      </c>
      <c r="S661" s="467" t="str">
        <f t="shared" si="71"/>
        <v/>
      </c>
    </row>
    <row r="662" customHeight="1" spans="1:19">
      <c r="A662" s="481"/>
      <c r="B662" s="522"/>
      <c r="C662" s="458" t="s">
        <v>379</v>
      </c>
      <c r="D662" s="460"/>
      <c r="E662" s="461">
        <v>5</v>
      </c>
      <c r="F662" s="469"/>
      <c r="G662" s="493"/>
      <c r="H662" s="472"/>
      <c r="I662" s="472"/>
      <c r="J662" s="472"/>
      <c r="K662" s="472"/>
      <c r="L662" s="472"/>
      <c r="N662" s="474">
        <f t="shared" si="69"/>
        <v>0</v>
      </c>
      <c r="O662" s="465">
        <v>8</v>
      </c>
      <c r="P662" s="466">
        <f t="shared" si="70"/>
        <v>0</v>
      </c>
      <c r="S662" s="467" t="str">
        <f t="shared" si="71"/>
        <v/>
      </c>
    </row>
    <row r="663" customHeight="1" spans="1:19">
      <c r="A663" s="481"/>
      <c r="B663" s="522"/>
      <c r="C663" s="458" t="s">
        <v>379</v>
      </c>
      <c r="D663" s="460"/>
      <c r="E663" s="461">
        <v>5</v>
      </c>
      <c r="F663" s="469"/>
      <c r="G663" s="493"/>
      <c r="H663" s="472"/>
      <c r="I663" s="472"/>
      <c r="J663" s="472"/>
      <c r="K663" s="472"/>
      <c r="L663" s="472"/>
      <c r="N663" s="474">
        <f t="shared" si="69"/>
        <v>0</v>
      </c>
      <c r="O663" s="465">
        <v>8</v>
      </c>
      <c r="P663" s="466">
        <f t="shared" si="70"/>
        <v>0</v>
      </c>
      <c r="S663" s="467" t="str">
        <f t="shared" si="71"/>
        <v/>
      </c>
    </row>
    <row r="664" customHeight="1" spans="1:19">
      <c r="A664" s="481"/>
      <c r="B664" s="522"/>
      <c r="C664" s="458" t="s">
        <v>379</v>
      </c>
      <c r="D664" s="460"/>
      <c r="E664" s="461">
        <v>5</v>
      </c>
      <c r="F664" s="469"/>
      <c r="G664" s="493"/>
      <c r="H664" s="472"/>
      <c r="I664" s="472"/>
      <c r="J664" s="472"/>
      <c r="K664" s="472"/>
      <c r="L664" s="472"/>
      <c r="N664" s="474">
        <f t="shared" ref="N664:N683" si="72">SUMPRODUCT($G$2:$M$2,G664:M664)</f>
        <v>0</v>
      </c>
      <c r="O664" s="465">
        <v>8</v>
      </c>
      <c r="P664" s="466">
        <f t="shared" ref="P664:P683" si="73">IFERROR(IF((N664*E664-O664*E664)&lt;0,0,(N664*E664-O664*E664)),"")</f>
        <v>0</v>
      </c>
      <c r="S664" s="467" t="str">
        <f t="shared" ref="S664:S683" si="74">IF(B664="","",P664+R664)</f>
        <v/>
      </c>
    </row>
    <row r="665" customHeight="1" spans="1:19">
      <c r="A665" s="481"/>
      <c r="B665" s="522"/>
      <c r="C665" s="458" t="s">
        <v>379</v>
      </c>
      <c r="D665" s="460"/>
      <c r="E665" s="461">
        <v>5</v>
      </c>
      <c r="F665" s="469"/>
      <c r="G665" s="493"/>
      <c r="H665" s="472"/>
      <c r="I665" s="472"/>
      <c r="J665" s="472"/>
      <c r="K665" s="472"/>
      <c r="L665" s="472"/>
      <c r="N665" s="474">
        <f t="shared" si="72"/>
        <v>0</v>
      </c>
      <c r="O665" s="465">
        <v>8</v>
      </c>
      <c r="P665" s="466">
        <f t="shared" si="73"/>
        <v>0</v>
      </c>
      <c r="S665" s="467" t="str">
        <f t="shared" si="74"/>
        <v/>
      </c>
    </row>
    <row r="666" customHeight="1" spans="1:19">
      <c r="A666" s="481"/>
      <c r="B666" s="522"/>
      <c r="C666" s="458" t="s">
        <v>379</v>
      </c>
      <c r="D666" s="460"/>
      <c r="E666" s="461">
        <v>5</v>
      </c>
      <c r="F666" s="469"/>
      <c r="G666" s="493"/>
      <c r="H666" s="472"/>
      <c r="I666" s="472"/>
      <c r="J666" s="472"/>
      <c r="K666" s="472"/>
      <c r="L666" s="472"/>
      <c r="N666" s="474">
        <f t="shared" si="72"/>
        <v>0</v>
      </c>
      <c r="O666" s="465">
        <v>8</v>
      </c>
      <c r="P666" s="466">
        <f t="shared" si="73"/>
        <v>0</v>
      </c>
      <c r="S666" s="467" t="str">
        <f t="shared" si="74"/>
        <v/>
      </c>
    </row>
    <row r="667" customHeight="1" spans="1:19">
      <c r="A667" s="481"/>
      <c r="B667" s="522"/>
      <c r="C667" s="458" t="s">
        <v>379</v>
      </c>
      <c r="D667" s="460"/>
      <c r="E667" s="461">
        <v>5</v>
      </c>
      <c r="F667" s="469"/>
      <c r="G667" s="493"/>
      <c r="H667" s="472"/>
      <c r="I667" s="472"/>
      <c r="J667" s="472"/>
      <c r="K667" s="472"/>
      <c r="L667" s="472"/>
      <c r="N667" s="474">
        <f t="shared" si="72"/>
        <v>0</v>
      </c>
      <c r="O667" s="465">
        <v>8</v>
      </c>
      <c r="P667" s="466">
        <f t="shared" si="73"/>
        <v>0</v>
      </c>
      <c r="S667" s="467" t="str">
        <f t="shared" si="74"/>
        <v/>
      </c>
    </row>
    <row r="668" customHeight="1" spans="1:19">
      <c r="A668" s="481"/>
      <c r="B668" s="522"/>
      <c r="C668" s="458" t="s">
        <v>379</v>
      </c>
      <c r="D668" s="460"/>
      <c r="E668" s="461">
        <v>5</v>
      </c>
      <c r="F668" s="469"/>
      <c r="G668" s="493"/>
      <c r="H668" s="472"/>
      <c r="I668" s="472"/>
      <c r="J668" s="472"/>
      <c r="K668" s="472"/>
      <c r="L668" s="472"/>
      <c r="N668" s="474">
        <f t="shared" si="72"/>
        <v>0</v>
      </c>
      <c r="O668" s="465">
        <v>8</v>
      </c>
      <c r="P668" s="466">
        <f t="shared" si="73"/>
        <v>0</v>
      </c>
      <c r="S668" s="467" t="str">
        <f t="shared" si="74"/>
        <v/>
      </c>
    </row>
    <row r="669" customHeight="1" spans="1:19">
      <c r="A669" s="481"/>
      <c r="B669" s="522"/>
      <c r="C669" s="458" t="s">
        <v>379</v>
      </c>
      <c r="D669" s="460"/>
      <c r="E669" s="461">
        <v>5</v>
      </c>
      <c r="F669" s="469"/>
      <c r="G669" s="493"/>
      <c r="H669" s="472"/>
      <c r="I669" s="472"/>
      <c r="J669" s="472"/>
      <c r="K669" s="472"/>
      <c r="L669" s="472"/>
      <c r="N669" s="474">
        <f t="shared" si="72"/>
        <v>0</v>
      </c>
      <c r="O669" s="465">
        <v>8</v>
      </c>
      <c r="P669" s="466">
        <f t="shared" si="73"/>
        <v>0</v>
      </c>
      <c r="S669" s="467" t="str">
        <f t="shared" si="74"/>
        <v/>
      </c>
    </row>
    <row r="670" customHeight="1" spans="1:19">
      <c r="A670" s="481"/>
      <c r="B670" s="522"/>
      <c r="C670" s="458" t="s">
        <v>379</v>
      </c>
      <c r="D670" s="460"/>
      <c r="E670" s="461">
        <v>5</v>
      </c>
      <c r="F670" s="469"/>
      <c r="G670" s="493"/>
      <c r="H670" s="472"/>
      <c r="I670" s="472"/>
      <c r="J670" s="472"/>
      <c r="K670" s="472"/>
      <c r="L670" s="472"/>
      <c r="N670" s="474">
        <f t="shared" si="72"/>
        <v>0</v>
      </c>
      <c r="O670" s="465">
        <v>8</v>
      </c>
      <c r="P670" s="466">
        <f t="shared" si="73"/>
        <v>0</v>
      </c>
      <c r="S670" s="467" t="str">
        <f t="shared" si="74"/>
        <v/>
      </c>
    </row>
    <row r="671" customHeight="1" spans="1:19">
      <c r="A671" s="481"/>
      <c r="B671" s="522"/>
      <c r="C671" s="458" t="s">
        <v>379</v>
      </c>
      <c r="D671" s="460"/>
      <c r="E671" s="461">
        <v>5</v>
      </c>
      <c r="F671" s="469"/>
      <c r="G671" s="493"/>
      <c r="H671" s="472"/>
      <c r="I671" s="472"/>
      <c r="J671" s="472"/>
      <c r="K671" s="472"/>
      <c r="L671" s="472"/>
      <c r="N671" s="474">
        <f t="shared" si="72"/>
        <v>0</v>
      </c>
      <c r="O671" s="465">
        <v>8</v>
      </c>
      <c r="P671" s="466">
        <f t="shared" si="73"/>
        <v>0</v>
      </c>
      <c r="S671" s="467" t="str">
        <f t="shared" si="74"/>
        <v/>
      </c>
    </row>
    <row r="672" customHeight="1" spans="1:19">
      <c r="A672" s="481"/>
      <c r="B672" s="522"/>
      <c r="C672" s="458" t="s">
        <v>379</v>
      </c>
      <c r="D672" s="460"/>
      <c r="E672" s="461">
        <v>5</v>
      </c>
      <c r="F672" s="469"/>
      <c r="G672" s="493"/>
      <c r="H672" s="472"/>
      <c r="I672" s="472"/>
      <c r="J672" s="472"/>
      <c r="K672" s="472"/>
      <c r="L672" s="472"/>
      <c r="N672" s="474">
        <f t="shared" si="72"/>
        <v>0</v>
      </c>
      <c r="O672" s="465">
        <v>8</v>
      </c>
      <c r="P672" s="466">
        <f t="shared" si="73"/>
        <v>0</v>
      </c>
      <c r="S672" s="467" t="str">
        <f t="shared" si="74"/>
        <v/>
      </c>
    </row>
    <row r="673" customHeight="1" spans="1:19">
      <c r="A673" s="481"/>
      <c r="B673" s="522"/>
      <c r="C673" s="458" t="s">
        <v>379</v>
      </c>
      <c r="D673" s="460"/>
      <c r="E673" s="461">
        <v>5</v>
      </c>
      <c r="F673" s="469"/>
      <c r="G673" s="493"/>
      <c r="H673" s="472"/>
      <c r="I673" s="472"/>
      <c r="J673" s="472"/>
      <c r="K673" s="472"/>
      <c r="L673" s="472"/>
      <c r="N673" s="474">
        <f t="shared" si="72"/>
        <v>0</v>
      </c>
      <c r="O673" s="465">
        <v>8</v>
      </c>
      <c r="P673" s="466">
        <f t="shared" si="73"/>
        <v>0</v>
      </c>
      <c r="S673" s="467" t="str">
        <f t="shared" si="74"/>
        <v/>
      </c>
    </row>
    <row r="674" customHeight="1" spans="1:19">
      <c r="A674" s="481"/>
      <c r="B674" s="522"/>
      <c r="C674" s="458" t="s">
        <v>379</v>
      </c>
      <c r="D674" s="460"/>
      <c r="E674" s="461">
        <v>5</v>
      </c>
      <c r="F674" s="469"/>
      <c r="G674" s="493"/>
      <c r="H674" s="472"/>
      <c r="I674" s="472"/>
      <c r="J674" s="472"/>
      <c r="K674" s="472"/>
      <c r="L674" s="472"/>
      <c r="N674" s="474">
        <f t="shared" si="72"/>
        <v>0</v>
      </c>
      <c r="O674" s="465">
        <v>8</v>
      </c>
      <c r="P674" s="466">
        <f t="shared" si="73"/>
        <v>0</v>
      </c>
      <c r="S674" s="467" t="str">
        <f t="shared" si="74"/>
        <v/>
      </c>
    </row>
    <row r="675" customHeight="1" spans="1:19">
      <c r="A675" s="481"/>
      <c r="B675" s="522"/>
      <c r="C675" s="458" t="s">
        <v>379</v>
      </c>
      <c r="D675" s="460"/>
      <c r="E675" s="461">
        <v>5</v>
      </c>
      <c r="F675" s="469"/>
      <c r="G675" s="493"/>
      <c r="H675" s="472"/>
      <c r="I675" s="472"/>
      <c r="J675" s="472"/>
      <c r="K675" s="472"/>
      <c r="L675" s="472"/>
      <c r="N675" s="474">
        <f t="shared" si="72"/>
        <v>0</v>
      </c>
      <c r="O675" s="465">
        <v>8</v>
      </c>
      <c r="P675" s="466">
        <f t="shared" si="73"/>
        <v>0</v>
      </c>
      <c r="S675" s="467" t="str">
        <f t="shared" si="74"/>
        <v/>
      </c>
    </row>
    <row r="676" customHeight="1" spans="1:19">
      <c r="A676" s="481"/>
      <c r="B676" s="522"/>
      <c r="C676" s="458" t="s">
        <v>379</v>
      </c>
      <c r="D676" s="460"/>
      <c r="E676" s="461">
        <v>5</v>
      </c>
      <c r="F676" s="469"/>
      <c r="G676" s="493"/>
      <c r="H676" s="472"/>
      <c r="I676" s="472"/>
      <c r="J676" s="472"/>
      <c r="K676" s="472"/>
      <c r="L676" s="472"/>
      <c r="N676" s="474">
        <f t="shared" si="72"/>
        <v>0</v>
      </c>
      <c r="O676" s="465">
        <v>8</v>
      </c>
      <c r="P676" s="466">
        <f t="shared" si="73"/>
        <v>0</v>
      </c>
      <c r="S676" s="467" t="str">
        <f t="shared" si="74"/>
        <v/>
      </c>
    </row>
    <row r="677" customHeight="1" spans="1:19">
      <c r="A677" s="481"/>
      <c r="B677" s="522"/>
      <c r="C677" s="458" t="s">
        <v>379</v>
      </c>
      <c r="D677" s="460"/>
      <c r="E677" s="461">
        <v>5</v>
      </c>
      <c r="F677" s="469"/>
      <c r="G677" s="493"/>
      <c r="H677" s="472"/>
      <c r="I677" s="472"/>
      <c r="J677" s="472"/>
      <c r="K677" s="472"/>
      <c r="L677" s="472"/>
      <c r="N677" s="474">
        <f t="shared" si="72"/>
        <v>0</v>
      </c>
      <c r="O677" s="465">
        <v>8</v>
      </c>
      <c r="P677" s="466">
        <f t="shared" si="73"/>
        <v>0</v>
      </c>
      <c r="S677" s="467" t="str">
        <f t="shared" si="74"/>
        <v/>
      </c>
    </row>
    <row r="678" customHeight="1" spans="1:19">
      <c r="A678" s="481"/>
      <c r="B678" s="522"/>
      <c r="C678" s="458" t="s">
        <v>379</v>
      </c>
      <c r="D678" s="460"/>
      <c r="E678" s="461">
        <v>5</v>
      </c>
      <c r="F678" s="469"/>
      <c r="G678" s="493"/>
      <c r="H678" s="472"/>
      <c r="I678" s="472"/>
      <c r="J678" s="472"/>
      <c r="K678" s="472"/>
      <c r="L678" s="472"/>
      <c r="N678" s="474">
        <f t="shared" si="72"/>
        <v>0</v>
      </c>
      <c r="O678" s="465">
        <v>8</v>
      </c>
      <c r="P678" s="466">
        <f t="shared" si="73"/>
        <v>0</v>
      </c>
      <c r="S678" s="467" t="str">
        <f t="shared" si="74"/>
        <v/>
      </c>
    </row>
    <row r="679" customHeight="1" spans="1:19">
      <c r="A679" s="481"/>
      <c r="B679" s="522"/>
      <c r="C679" s="458" t="s">
        <v>379</v>
      </c>
      <c r="D679" s="460"/>
      <c r="E679" s="461">
        <v>5</v>
      </c>
      <c r="F679" s="469"/>
      <c r="G679" s="493"/>
      <c r="H679" s="472"/>
      <c r="I679" s="472"/>
      <c r="J679" s="472"/>
      <c r="K679" s="472"/>
      <c r="L679" s="472"/>
      <c r="N679" s="474">
        <f t="shared" si="72"/>
        <v>0</v>
      </c>
      <c r="O679" s="465">
        <v>8</v>
      </c>
      <c r="P679" s="466">
        <f t="shared" si="73"/>
        <v>0</v>
      </c>
      <c r="S679" s="467" t="str">
        <f t="shared" si="74"/>
        <v/>
      </c>
    </row>
    <row r="680" customHeight="1" spans="1:19">
      <c r="A680" s="481"/>
      <c r="B680" s="522"/>
      <c r="C680" s="458" t="s">
        <v>379</v>
      </c>
      <c r="D680" s="460"/>
      <c r="E680" s="461">
        <v>5</v>
      </c>
      <c r="F680" s="469"/>
      <c r="G680" s="493"/>
      <c r="H680" s="472"/>
      <c r="I680" s="472"/>
      <c r="J680" s="472"/>
      <c r="K680" s="472"/>
      <c r="L680" s="472"/>
      <c r="N680" s="474">
        <f t="shared" si="72"/>
        <v>0</v>
      </c>
      <c r="O680" s="465">
        <v>8</v>
      </c>
      <c r="P680" s="466">
        <f t="shared" si="73"/>
        <v>0</v>
      </c>
      <c r="S680" s="467" t="str">
        <f t="shared" si="74"/>
        <v/>
      </c>
    </row>
    <row r="681" customHeight="1" spans="1:19">
      <c r="A681" s="481"/>
      <c r="B681" s="522"/>
      <c r="C681" s="458" t="s">
        <v>379</v>
      </c>
      <c r="D681" s="460"/>
      <c r="E681" s="461">
        <v>5</v>
      </c>
      <c r="F681" s="469"/>
      <c r="G681" s="493"/>
      <c r="H681" s="472"/>
      <c r="I681" s="472"/>
      <c r="J681" s="472"/>
      <c r="K681" s="472"/>
      <c r="L681" s="472"/>
      <c r="N681" s="474">
        <f t="shared" si="72"/>
        <v>0</v>
      </c>
      <c r="O681" s="465">
        <v>8</v>
      </c>
      <c r="P681" s="466">
        <f t="shared" si="73"/>
        <v>0</v>
      </c>
      <c r="S681" s="467" t="str">
        <f t="shared" si="74"/>
        <v/>
      </c>
    </row>
    <row r="682" customHeight="1" spans="1:19">
      <c r="A682" s="481"/>
      <c r="B682" s="522"/>
      <c r="C682" s="458" t="s">
        <v>379</v>
      </c>
      <c r="D682" s="460"/>
      <c r="E682" s="461">
        <v>5</v>
      </c>
      <c r="F682" s="469"/>
      <c r="G682" s="493"/>
      <c r="H682" s="472"/>
      <c r="I682" s="472"/>
      <c r="J682" s="472"/>
      <c r="K682" s="472"/>
      <c r="L682" s="472"/>
      <c r="N682" s="474">
        <f t="shared" si="72"/>
        <v>0</v>
      </c>
      <c r="O682" s="465">
        <v>8</v>
      </c>
      <c r="P682" s="466">
        <f t="shared" si="73"/>
        <v>0</v>
      </c>
      <c r="S682" s="467" t="str">
        <f t="shared" si="74"/>
        <v/>
      </c>
    </row>
    <row r="683" customHeight="1" spans="1:19">
      <c r="A683" s="481"/>
      <c r="B683" s="522"/>
      <c r="C683" s="458" t="s">
        <v>379</v>
      </c>
      <c r="D683" s="460"/>
      <c r="E683" s="461">
        <v>5</v>
      </c>
      <c r="F683" s="469"/>
      <c r="G683" s="493"/>
      <c r="H683" s="472"/>
      <c r="I683" s="472"/>
      <c r="J683" s="472"/>
      <c r="K683" s="472"/>
      <c r="L683" s="472"/>
      <c r="N683" s="474">
        <f t="shared" si="72"/>
        <v>0</v>
      </c>
      <c r="O683" s="465">
        <v>8</v>
      </c>
      <c r="P683" s="466">
        <f t="shared" si="73"/>
        <v>0</v>
      </c>
      <c r="S683" s="467" t="str">
        <f t="shared" si="74"/>
        <v/>
      </c>
    </row>
    <row r="684" customHeight="1" spans="1:19">
      <c r="E684" s="461">
        <v>5</v>
      </c>
      <c r="N684" s="474"/>
      <c r="O684" s="465"/>
      <c r="S684" s="467"/>
    </row>
    <row r="685" customHeight="1" spans="1:19">
      <c r="E685" s="461">
        <v>5</v>
      </c>
      <c r="N685" s="474"/>
      <c r="O685" s="465"/>
      <c r="S685" s="467"/>
    </row>
    <row r="686" customHeight="1" spans="1:19">
      <c r="E686" s="461">
        <v>5</v>
      </c>
      <c r="N686" s="474"/>
      <c r="O686" s="465"/>
      <c r="S686" s="467"/>
    </row>
    <row r="687" customHeight="1" spans="1:19">
      <c r="E687" s="461">
        <v>5</v>
      </c>
      <c r="N687" s="474"/>
      <c r="O687" s="465"/>
      <c r="S687" s="467"/>
    </row>
    <row r="688" customHeight="1" spans="1:19">
      <c r="E688" s="461">
        <v>5</v>
      </c>
      <c r="N688" s="474"/>
      <c r="O688" s="465"/>
      <c r="S688" s="467"/>
    </row>
    <row r="689" customHeight="1" spans="5:19">
      <c r="E689" s="461">
        <v>5</v>
      </c>
      <c r="N689" s="474"/>
      <c r="O689" s="465"/>
      <c r="S689" s="467"/>
    </row>
    <row r="690" customHeight="1" spans="5:19">
      <c r="N690" s="474"/>
      <c r="O690" s="465"/>
      <c r="S690" s="467"/>
    </row>
    <row r="691" customHeight="1" spans="5:19">
      <c r="N691" s="474"/>
      <c r="O691" s="465"/>
      <c r="S691" s="467"/>
    </row>
    <row r="692" customHeight="1" spans="5:19">
      <c r="N692" s="474"/>
      <c r="O692" s="465"/>
      <c r="S692" s="467"/>
    </row>
    <row r="693" customHeight="1" spans="5:19">
      <c r="N693" s="474"/>
      <c r="O693" s="465"/>
      <c r="S693" s="467"/>
    </row>
    <row r="694" customHeight="1" spans="5:19">
      <c r="N694" s="474"/>
      <c r="O694" s="465"/>
      <c r="S694" s="467"/>
    </row>
    <row r="695" customHeight="1" spans="5:19">
      <c r="N695" s="474"/>
      <c r="O695" s="465"/>
      <c r="S695" s="467"/>
    </row>
    <row r="696" customHeight="1" spans="5:19">
      <c r="N696" s="474"/>
      <c r="O696" s="465"/>
      <c r="S696" s="467"/>
    </row>
    <row r="697" customHeight="1" spans="5:19">
      <c r="N697" s="474"/>
      <c r="O697" s="465"/>
      <c r="S697" s="467"/>
    </row>
    <row r="698" customHeight="1" spans="5:19">
      <c r="N698" s="474"/>
      <c r="O698" s="465"/>
      <c r="S698" s="467"/>
    </row>
    <row r="699" customHeight="1" spans="5:19">
      <c r="N699" s="474"/>
      <c r="O699" s="465"/>
      <c r="S699" s="467"/>
    </row>
    <row r="700" customHeight="1" spans="5:19">
      <c r="N700" s="474"/>
      <c r="O700" s="465"/>
      <c r="S700" s="467"/>
    </row>
    <row r="701" customHeight="1" spans="5:19">
      <c r="N701" s="474"/>
      <c r="O701" s="465"/>
      <c r="S701" s="467"/>
    </row>
    <row r="702" customHeight="1" spans="5:19">
      <c r="N702" s="474"/>
      <c r="O702" s="465"/>
      <c r="S702" s="467"/>
    </row>
    <row r="703" customHeight="1" spans="5:19">
      <c r="N703" s="474"/>
      <c r="O703" s="465"/>
      <c r="S703" s="467"/>
    </row>
    <row r="704" customHeight="1" spans="5:19">
      <c r="N704" s="474"/>
      <c r="O704" s="465"/>
      <c r="S704" s="467"/>
    </row>
    <row r="705" customHeight="1" spans="14:19">
      <c r="N705" s="474"/>
      <c r="O705" s="465"/>
      <c r="S705" s="467"/>
    </row>
    <row r="706" customHeight="1" spans="14:19">
      <c r="N706" s="474"/>
      <c r="O706" s="465"/>
      <c r="S706" s="467"/>
    </row>
    <row r="707" customHeight="1" spans="14:19">
      <c r="N707" s="474"/>
      <c r="O707" s="465"/>
      <c r="S707" s="467"/>
    </row>
    <row r="708" customHeight="1" spans="14:19">
      <c r="N708" s="474"/>
      <c r="O708" s="465"/>
      <c r="S708" s="467"/>
    </row>
    <row r="709" customHeight="1" spans="14:19">
      <c r="N709" s="474"/>
      <c r="O709" s="465"/>
      <c r="S709" s="467"/>
    </row>
    <row r="710" customHeight="1" spans="14:19">
      <c r="N710" s="474"/>
      <c r="O710" s="465"/>
      <c r="S710" s="467"/>
    </row>
    <row r="711" customHeight="1" spans="14:19">
      <c r="N711" s="474"/>
      <c r="O711" s="465"/>
      <c r="S711" s="467"/>
    </row>
    <row r="712" customHeight="1" spans="14:19">
      <c r="N712" s="474"/>
      <c r="O712" s="465"/>
      <c r="S712" s="467"/>
    </row>
    <row r="713" customHeight="1" spans="14:19">
      <c r="N713" s="474"/>
      <c r="O713" s="465"/>
      <c r="S713" s="467"/>
    </row>
    <row r="714" customHeight="1" spans="14:19">
      <c r="N714" s="474"/>
      <c r="O714" s="465"/>
      <c r="S714" s="467"/>
    </row>
    <row r="715" customHeight="1" spans="14:19">
      <c r="N715" s="474"/>
      <c r="O715" s="465"/>
      <c r="S715" s="467"/>
    </row>
    <row r="716" customHeight="1" spans="14:19">
      <c r="N716" s="474"/>
      <c r="O716" s="465"/>
      <c r="S716" s="467"/>
    </row>
    <row r="717" customHeight="1" spans="14:19">
      <c r="N717" s="474"/>
      <c r="O717" s="465"/>
      <c r="S717" s="467"/>
    </row>
    <row r="718" customHeight="1" spans="14:19">
      <c r="N718" s="474"/>
      <c r="O718" s="465"/>
      <c r="S718" s="467"/>
    </row>
    <row r="719" customHeight="1" spans="14:19">
      <c r="N719" s="474"/>
      <c r="O719" s="465"/>
      <c r="S719" s="467"/>
    </row>
    <row r="720" customHeight="1" spans="14:19">
      <c r="N720" s="474"/>
      <c r="O720" s="465"/>
      <c r="S720" s="467"/>
    </row>
    <row r="721" customHeight="1" spans="14:19">
      <c r="N721" s="474"/>
      <c r="O721" s="465"/>
      <c r="S721" s="467"/>
    </row>
    <row r="722" customHeight="1" spans="14:19">
      <c r="N722" s="474"/>
      <c r="O722" s="465"/>
      <c r="S722" s="467"/>
    </row>
    <row r="723" customHeight="1" spans="14:19">
      <c r="N723" s="474"/>
      <c r="O723" s="465"/>
      <c r="S723" s="467"/>
    </row>
    <row r="724" customHeight="1" spans="14:19">
      <c r="N724" s="474"/>
      <c r="O724" s="465"/>
      <c r="S724" s="467"/>
    </row>
    <row r="725" customHeight="1" spans="14:19">
      <c r="N725" s="474"/>
      <c r="O725" s="465"/>
      <c r="S725" s="467"/>
    </row>
    <row r="726" customHeight="1" spans="14:19">
      <c r="N726" s="474"/>
      <c r="O726" s="465"/>
      <c r="S726" s="467"/>
    </row>
    <row r="727" customHeight="1" spans="14:19">
      <c r="N727" s="474"/>
      <c r="O727" s="465"/>
      <c r="S727" s="467"/>
    </row>
    <row r="728" customHeight="1" spans="14:19">
      <c r="N728" s="474"/>
      <c r="O728" s="465"/>
      <c r="S728" s="467"/>
    </row>
    <row r="729" customHeight="1" spans="14:19">
      <c r="N729" s="474"/>
      <c r="O729" s="465"/>
      <c r="S729" s="467"/>
    </row>
    <row r="730" customHeight="1" spans="14:19">
      <c r="N730" s="474"/>
      <c r="O730" s="465"/>
      <c r="S730" s="467"/>
    </row>
    <row r="731" customHeight="1" spans="14:19">
      <c r="N731" s="474"/>
      <c r="O731" s="465"/>
      <c r="S731" s="467"/>
    </row>
    <row r="732" customHeight="1" spans="14:19">
      <c r="N732" s="474"/>
      <c r="O732" s="465"/>
      <c r="S732" s="467"/>
    </row>
    <row r="733" customHeight="1" spans="14:19">
      <c r="N733" s="474"/>
      <c r="O733" s="465"/>
      <c r="S733" s="467"/>
    </row>
    <row r="734" customHeight="1" spans="14:19">
      <c r="N734" s="474"/>
      <c r="O734" s="465"/>
      <c r="S734" s="467"/>
    </row>
    <row r="735" customHeight="1" spans="14:19">
      <c r="N735" s="474"/>
      <c r="O735" s="465"/>
      <c r="S735" s="467"/>
    </row>
    <row r="736" customHeight="1" spans="14:19">
      <c r="N736" s="474"/>
      <c r="O736" s="465"/>
      <c r="S736" s="467"/>
    </row>
    <row r="737" customHeight="1" spans="14:19">
      <c r="N737" s="474"/>
      <c r="O737" s="465"/>
      <c r="S737" s="467"/>
    </row>
    <row r="738" customHeight="1" spans="14:19">
      <c r="N738" s="474"/>
      <c r="O738" s="465"/>
      <c r="S738" s="467"/>
    </row>
    <row r="739" customHeight="1" spans="14:19">
      <c r="N739" s="474"/>
      <c r="O739" s="465"/>
      <c r="S739" s="467"/>
    </row>
    <row r="740" customHeight="1" spans="14:19">
      <c r="N740" s="474"/>
      <c r="O740" s="465"/>
      <c r="S740" s="467"/>
    </row>
    <row r="741" customHeight="1" spans="14:19">
      <c r="N741" s="474"/>
      <c r="O741" s="465"/>
      <c r="S741" s="467"/>
    </row>
    <row r="742" customHeight="1" spans="14:19">
      <c r="N742" s="474"/>
      <c r="O742" s="465"/>
      <c r="S742" s="467"/>
    </row>
    <row r="743" customHeight="1" spans="14:19">
      <c r="N743" s="474"/>
      <c r="O743" s="465"/>
      <c r="S743" s="467"/>
    </row>
    <row r="744" customHeight="1" spans="14:19">
      <c r="N744" s="474"/>
      <c r="O744" s="465"/>
      <c r="S744" s="467"/>
    </row>
    <row r="745" customHeight="1" spans="14:19">
      <c r="N745" s="474"/>
      <c r="O745" s="465"/>
      <c r="S745" s="467"/>
    </row>
    <row r="746" customHeight="1" spans="14:19">
      <c r="N746" s="474"/>
      <c r="O746" s="465"/>
      <c r="S746" s="467"/>
    </row>
    <row r="747" customHeight="1" spans="14:19">
      <c r="N747" s="474"/>
      <c r="O747" s="465"/>
      <c r="S747" s="467"/>
    </row>
    <row r="748" customHeight="1" spans="14:19">
      <c r="N748" s="474"/>
      <c r="O748" s="465"/>
      <c r="S748" s="467"/>
    </row>
    <row r="749" customHeight="1" spans="14:19">
      <c r="N749" s="474"/>
      <c r="O749" s="465"/>
      <c r="S749" s="467"/>
    </row>
    <row r="750" customHeight="1" spans="14:19">
      <c r="N750" s="474"/>
      <c r="O750" s="465"/>
      <c r="S750" s="467"/>
    </row>
    <row r="751" customHeight="1" spans="14:19">
      <c r="N751" s="474"/>
      <c r="O751" s="465"/>
      <c r="S751" s="467"/>
    </row>
    <row r="752" customHeight="1" spans="14:19">
      <c r="N752" s="474"/>
      <c r="O752" s="465"/>
      <c r="S752" s="467"/>
    </row>
    <row r="753" customHeight="1" spans="14:19">
      <c r="N753" s="474"/>
      <c r="O753" s="465"/>
      <c r="S753" s="467"/>
    </row>
    <row r="754" customHeight="1" spans="14:19">
      <c r="N754" s="474"/>
      <c r="O754" s="465"/>
      <c r="S754" s="467"/>
    </row>
    <row r="755" customHeight="1" spans="14:19">
      <c r="N755" s="474"/>
      <c r="O755" s="465"/>
      <c r="S755" s="467"/>
    </row>
    <row r="756" customHeight="1" spans="14:19">
      <c r="N756" s="474"/>
      <c r="O756" s="465"/>
      <c r="S756" s="467"/>
    </row>
    <row r="757" customHeight="1" spans="14:19">
      <c r="N757" s="474"/>
      <c r="O757" s="465"/>
      <c r="S757" s="467"/>
    </row>
    <row r="758" customHeight="1" spans="14:19">
      <c r="N758" s="474"/>
      <c r="O758" s="465"/>
      <c r="S758" s="467"/>
    </row>
    <row r="759" customHeight="1" spans="14:19">
      <c r="N759" s="474"/>
      <c r="O759" s="465"/>
      <c r="S759" s="467"/>
    </row>
    <row r="760" customHeight="1" spans="14:19">
      <c r="N760" s="474"/>
      <c r="O760" s="465"/>
      <c r="S760" s="467"/>
    </row>
    <row r="761" customHeight="1" spans="14:19">
      <c r="N761" s="474"/>
      <c r="O761" s="465"/>
      <c r="S761" s="467"/>
    </row>
    <row r="762" customHeight="1" spans="14:19">
      <c r="N762" s="474"/>
      <c r="O762" s="465"/>
      <c r="S762" s="467"/>
    </row>
    <row r="763" customHeight="1" spans="14:19">
      <c r="N763" s="474"/>
      <c r="O763" s="465"/>
      <c r="S763" s="467"/>
    </row>
    <row r="764" customHeight="1" spans="14:19">
      <c r="N764" s="474"/>
      <c r="O764" s="465"/>
      <c r="S764" s="467"/>
    </row>
    <row r="765" customHeight="1" spans="14:19">
      <c r="N765" s="474"/>
      <c r="O765" s="465"/>
      <c r="S765" s="467"/>
    </row>
    <row r="766" customHeight="1" spans="14:19">
      <c r="N766" s="474"/>
      <c r="O766" s="465"/>
      <c r="S766" s="467"/>
    </row>
    <row r="767" customHeight="1" spans="14:19">
      <c r="N767" s="474"/>
      <c r="O767" s="465"/>
      <c r="S767" s="467"/>
    </row>
    <row r="768" customHeight="1" spans="14:19">
      <c r="N768" s="474"/>
      <c r="O768" s="465"/>
      <c r="S768" s="467"/>
    </row>
    <row r="769" customHeight="1" spans="14:19">
      <c r="N769" s="474"/>
      <c r="O769" s="465"/>
      <c r="S769" s="467"/>
    </row>
    <row r="770" customHeight="1" spans="14:19">
      <c r="N770" s="474"/>
      <c r="O770" s="465"/>
      <c r="S770" s="467"/>
    </row>
    <row r="771" customHeight="1" spans="14:19">
      <c r="N771" s="474"/>
      <c r="O771" s="465"/>
      <c r="S771" s="467"/>
    </row>
    <row r="772" customHeight="1" spans="14:19">
      <c r="N772" s="474"/>
      <c r="O772" s="465"/>
      <c r="S772" s="467"/>
    </row>
    <row r="773" customHeight="1" spans="14:19">
      <c r="N773" s="474"/>
      <c r="O773" s="465"/>
      <c r="S773" s="467"/>
    </row>
    <row r="774" customHeight="1" spans="14:19">
      <c r="N774" s="474"/>
      <c r="O774" s="465"/>
      <c r="S774" s="467"/>
    </row>
    <row r="775" customHeight="1" spans="14:19">
      <c r="N775" s="474"/>
      <c r="O775" s="465"/>
      <c r="S775" s="467"/>
    </row>
    <row r="776" customHeight="1" spans="14:19">
      <c r="N776" s="474"/>
      <c r="O776" s="465"/>
      <c r="S776" s="467"/>
    </row>
    <row r="777" customHeight="1" spans="14:19">
      <c r="N777" s="474">
        <f>SUMPRODUCT($G$2:$M$2,G777:M777)</f>
        <v>0</v>
      </c>
      <c r="O777" s="465">
        <v>8</v>
      </c>
      <c r="S777" s="467" t="str">
        <f t="shared" ref="S777:S783" si="75">IF(B777="","",P777+R777)</f>
        <v/>
      </c>
    </row>
    <row r="778" customHeight="1" spans="14:19">
      <c r="N778" s="474">
        <f>SUMPRODUCT($G$2:$M$2,G778:M778)</f>
        <v>0</v>
      </c>
      <c r="O778" s="465">
        <v>8</v>
      </c>
      <c r="S778" s="467" t="str">
        <f t="shared" si="75"/>
        <v/>
      </c>
    </row>
    <row r="779" customHeight="1" spans="14:19">
      <c r="N779" s="474">
        <f>SUMPRODUCT($G$2:$M$2,G779:M779)</f>
        <v>0</v>
      </c>
      <c r="O779" s="465">
        <v>8</v>
      </c>
      <c r="S779" s="467" t="str">
        <f t="shared" si="75"/>
        <v/>
      </c>
    </row>
    <row r="780" customHeight="1" spans="14:19">
      <c r="N780" s="474">
        <f>SUMPRODUCT($G$2:$M$2,G780:M780)</f>
        <v>0</v>
      </c>
      <c r="O780" s="465">
        <v>8</v>
      </c>
      <c r="S780" s="467" t="str">
        <f t="shared" si="75"/>
        <v/>
      </c>
    </row>
    <row r="781" customHeight="1" spans="14:19">
      <c r="N781" s="474">
        <f>SUMPRODUCT($G$2:$M$2,G781:M781)</f>
        <v>0</v>
      </c>
      <c r="O781" s="465">
        <v>8</v>
      </c>
      <c r="S781" s="467" t="str">
        <f t="shared" si="75"/>
        <v/>
      </c>
    </row>
    <row r="782" customHeight="1" spans="14:19">
      <c r="S782" s="467" t="str">
        <f t="shared" si="75"/>
        <v/>
      </c>
    </row>
    <row r="783" customHeight="1" spans="14:19">
      <c r="S783" s="467" t="str">
        <f t="shared" si="75"/>
        <v/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3:Z783" etc:filterBottomFollowUsedRange="0">
    <filterColumn colId="0">
      <filters>
        <dateGroupItem year="2026" dateTimeGrouping="year"/>
      </filters>
    </filterColumn>
    <extLst/>
  </autoFilter>
  <mergeCells count="1">
    <mergeCell ref="A1:P1"/>
  </mergeCells>
  <dataValidations count="2">
    <dataValidation type="list" allowBlank="1" showInputMessage="1" showErrorMessage="1" sqref="F94:F400">
      <formula1>#REF!</formula1>
    </dataValidation>
    <dataValidation type="list" allowBlank="1" showInputMessage="1" showErrorMessage="1" sqref="W11:W24">
      <formula1>$B:$B</formula1>
    </dataValidation>
  </dataValidation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洗涤费"/>
  <dimension ref="A1:AL200"/>
  <sheetViews>
    <sheetView topLeftCell="A14" workbookViewId="0">
      <pane xSplit="2" topLeftCell="F1" activePane="topRight" state="frozen"/>
      <selection/>
      <selection pane="topRight" activeCell="A12" sqref="A12"/>
    </sheetView>
  </sheetViews>
  <sheetFormatPr defaultColWidth="9" defaultRowHeight="25" customHeight="1"/>
  <cols>
    <col min="1" max="1" width="4.75" style="143"/>
    <col min="2" max="2" width="17.625" style="143"/>
    <col min="3" max="3" width="8.25833333333333" style="143"/>
    <col min="4" max="4" width="5.125" style="143"/>
    <col min="5" max="5" width="10.775" style="143" customWidth="1"/>
    <col min="6" max="6" width="9" style="144" customWidth="1"/>
    <col min="7" max="7" width="11.6666666666667" style="416" customWidth="1"/>
    <col min="8" max="9" width="7.375" style="143"/>
    <col min="10" max="16384" width="9" style="360"/>
  </cols>
  <sheetData>
    <row r="1" s="18" customFormat="1" ht="19.5" customHeight="1" spans="1:38">
      <c r="A1" s="148"/>
      <c r="B1" s="148" t="s">
        <v>380</v>
      </c>
      <c r="C1" s="148"/>
      <c r="D1" s="148"/>
      <c r="E1" s="148"/>
      <c r="F1" s="149"/>
      <c r="G1" s="417"/>
      <c r="H1" s="148"/>
      <c r="I1" s="148"/>
    </row>
    <row r="2" s="18" customFormat="1" ht="19.5" customHeight="1" spans="1:38">
      <c r="A2" s="148"/>
      <c r="B2" s="153" t="s">
        <v>2</v>
      </c>
      <c r="C2" s="148"/>
      <c r="D2" s="148"/>
      <c r="E2" s="148"/>
      <c r="F2" s="149"/>
      <c r="G2" s="417"/>
      <c r="H2" s="215"/>
      <c r="I2" s="148"/>
    </row>
    <row r="3" s="18" customFormat="1" ht="19.5" customHeight="1" spans="1:38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7</v>
      </c>
      <c r="F3" s="20" t="s">
        <v>381</v>
      </c>
      <c r="G3" s="211" t="s">
        <v>65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20" t="s">
        <v>18</v>
      </c>
      <c r="R3" s="20" t="s">
        <v>19</v>
      </c>
      <c r="S3" s="20" t="s">
        <v>20</v>
      </c>
      <c r="T3" s="20" t="s">
        <v>21</v>
      </c>
      <c r="U3" s="20" t="s">
        <v>22</v>
      </c>
      <c r="V3" s="20" t="s">
        <v>23</v>
      </c>
      <c r="W3" s="20" t="s">
        <v>24</v>
      </c>
      <c r="X3" s="20" t="s">
        <v>25</v>
      </c>
      <c r="Y3" s="20" t="s">
        <v>26</v>
      </c>
      <c r="Z3" s="20" t="s">
        <v>27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32</v>
      </c>
      <c r="AF3" s="20" t="s">
        <v>33</v>
      </c>
      <c r="AG3" s="20" t="s">
        <v>34</v>
      </c>
      <c r="AH3" s="20" t="s">
        <v>35</v>
      </c>
      <c r="AI3" s="20" t="s">
        <v>36</v>
      </c>
      <c r="AJ3" s="20" t="s">
        <v>37</v>
      </c>
      <c r="AK3" s="20" t="s">
        <v>38</v>
      </c>
      <c r="AL3" s="20" t="s">
        <v>39</v>
      </c>
    </row>
    <row r="4" s="18" customFormat="1" ht="19.5" customHeight="1" spans="1:38">
      <c r="A4" s="210"/>
      <c r="B4" s="210"/>
      <c r="C4" s="210"/>
      <c r="D4" s="210"/>
      <c r="E4" s="210"/>
      <c r="F4" s="20" t="s">
        <v>135</v>
      </c>
      <c r="G4" s="20"/>
      <c r="H4" s="20" t="s">
        <v>135</v>
      </c>
      <c r="I4" s="20" t="s">
        <v>135</v>
      </c>
      <c r="J4" s="20" t="s">
        <v>135</v>
      </c>
      <c r="K4" s="20" t="s">
        <v>135</v>
      </c>
      <c r="L4" s="20" t="s">
        <v>135</v>
      </c>
      <c r="M4" s="20" t="s">
        <v>135</v>
      </c>
      <c r="N4" s="20" t="s">
        <v>135</v>
      </c>
      <c r="O4" s="20" t="s">
        <v>135</v>
      </c>
      <c r="P4" s="20" t="s">
        <v>135</v>
      </c>
      <c r="Q4" s="20" t="s">
        <v>135</v>
      </c>
      <c r="R4" s="20" t="s">
        <v>135</v>
      </c>
      <c r="S4" s="20" t="s">
        <v>135</v>
      </c>
      <c r="T4" s="20" t="s">
        <v>135</v>
      </c>
      <c r="U4" s="20" t="s">
        <v>135</v>
      </c>
      <c r="V4" s="20" t="s">
        <v>135</v>
      </c>
      <c r="W4" s="20" t="s">
        <v>135</v>
      </c>
      <c r="X4" s="20" t="s">
        <v>135</v>
      </c>
      <c r="Y4" s="20" t="s">
        <v>135</v>
      </c>
      <c r="Z4" s="418" t="s">
        <v>135</v>
      </c>
      <c r="AA4" s="20" t="s">
        <v>135</v>
      </c>
      <c r="AB4" s="20" t="s">
        <v>135</v>
      </c>
      <c r="AC4" s="20" t="s">
        <v>135</v>
      </c>
      <c r="AD4" s="20" t="s">
        <v>135</v>
      </c>
      <c r="AE4" s="20" t="s">
        <v>135</v>
      </c>
      <c r="AF4" s="20" t="s">
        <v>135</v>
      </c>
      <c r="AG4" s="20" t="s">
        <v>135</v>
      </c>
      <c r="AH4" s="20" t="s">
        <v>135</v>
      </c>
      <c r="AI4" s="20" t="s">
        <v>135</v>
      </c>
      <c r="AJ4" s="20" t="s">
        <v>135</v>
      </c>
      <c r="AK4" s="20" t="s">
        <v>135</v>
      </c>
      <c r="AL4" s="20" t="s">
        <v>135</v>
      </c>
    </row>
    <row r="5" s="140" customFormat="1" ht="19.5" customHeight="1" spans="1:38">
      <c r="A5" s="161">
        <v>1</v>
      </c>
      <c r="B5" s="419" t="s">
        <v>382</v>
      </c>
      <c r="C5" s="420"/>
      <c r="D5" s="421"/>
      <c r="E5" s="421">
        <v>1.43</v>
      </c>
      <c r="F5" s="422">
        <f>SUMIF($H$4:$BQ$4,$F$4,$H5:$BQ5)</f>
        <v>3496</v>
      </c>
      <c r="G5" s="423">
        <f t="shared" ref="G5:G17" si="0">+E5*F5</f>
        <v>4999.28</v>
      </c>
      <c r="H5" s="424">
        <v>104</v>
      </c>
      <c r="I5" s="424">
        <v>77</v>
      </c>
      <c r="J5" s="424">
        <v>73</v>
      </c>
      <c r="K5" s="424">
        <v>93</v>
      </c>
      <c r="L5" s="424">
        <v>128</v>
      </c>
      <c r="M5" s="366">
        <v>148</v>
      </c>
      <c r="N5" s="366">
        <v>105</v>
      </c>
      <c r="O5" s="366">
        <v>109</v>
      </c>
      <c r="P5" s="366">
        <v>130</v>
      </c>
      <c r="Q5" s="366">
        <v>110</v>
      </c>
      <c r="R5" s="366">
        <v>146</v>
      </c>
      <c r="S5" s="379">
        <v>151</v>
      </c>
      <c r="T5" s="366">
        <v>117</v>
      </c>
      <c r="U5" s="366">
        <v>105</v>
      </c>
      <c r="V5" s="162">
        <v>89</v>
      </c>
      <c r="W5" s="162">
        <v>85</v>
      </c>
      <c r="X5" s="162">
        <v>127</v>
      </c>
      <c r="Y5" s="162">
        <v>145</v>
      </c>
      <c r="Z5" s="162">
        <v>124</v>
      </c>
      <c r="AA5" s="162">
        <v>139</v>
      </c>
      <c r="AB5" s="357">
        <v>113</v>
      </c>
      <c r="AC5" s="357">
        <v>87</v>
      </c>
      <c r="AD5" s="357">
        <v>97</v>
      </c>
      <c r="AE5" s="357">
        <v>88</v>
      </c>
      <c r="AF5" s="357">
        <v>121</v>
      </c>
      <c r="AG5" s="357">
        <v>104</v>
      </c>
      <c r="AH5" s="357">
        <v>152</v>
      </c>
      <c r="AI5" s="357">
        <v>78</v>
      </c>
      <c r="AJ5" s="357">
        <v>98</v>
      </c>
      <c r="AK5" s="357">
        <v>138</v>
      </c>
      <c r="AL5" s="162">
        <v>115</v>
      </c>
    </row>
    <row r="6" s="140" customFormat="1" ht="19.5" customHeight="1" spans="1:38">
      <c r="A6" s="161">
        <v>2</v>
      </c>
      <c r="B6" s="425" t="s">
        <v>383</v>
      </c>
      <c r="C6" s="420"/>
      <c r="D6" s="421"/>
      <c r="E6" s="421">
        <v>1.69</v>
      </c>
      <c r="F6" s="422">
        <f t="shared" ref="F6:F15" si="1">SUMIF($H$4:$BQ$4,$F$4,$H6:$BQ6)</f>
        <v>3589</v>
      </c>
      <c r="G6" s="423">
        <f t="shared" si="0"/>
        <v>6065.41</v>
      </c>
      <c r="H6" s="424">
        <v>112</v>
      </c>
      <c r="I6" s="424">
        <v>75</v>
      </c>
      <c r="J6" s="424">
        <v>77</v>
      </c>
      <c r="K6" s="424">
        <v>96</v>
      </c>
      <c r="L6" s="424">
        <v>134</v>
      </c>
      <c r="M6" s="366">
        <v>143</v>
      </c>
      <c r="N6" s="366">
        <v>107</v>
      </c>
      <c r="O6" s="366">
        <v>113</v>
      </c>
      <c r="P6" s="366">
        <v>134</v>
      </c>
      <c r="Q6" s="366">
        <v>117</v>
      </c>
      <c r="R6" s="426">
        <v>146</v>
      </c>
      <c r="S6" s="366">
        <v>155</v>
      </c>
      <c r="T6" s="366">
        <v>121</v>
      </c>
      <c r="U6" s="366">
        <v>105</v>
      </c>
      <c r="V6" s="162">
        <v>88</v>
      </c>
      <c r="W6" s="162">
        <v>87</v>
      </c>
      <c r="X6" s="162">
        <v>135</v>
      </c>
      <c r="Y6" s="162">
        <v>153</v>
      </c>
      <c r="Z6" s="162">
        <v>131</v>
      </c>
      <c r="AA6" s="162">
        <v>142</v>
      </c>
      <c r="AB6" s="357">
        <v>119</v>
      </c>
      <c r="AC6" s="357">
        <v>93</v>
      </c>
      <c r="AD6" s="357">
        <v>100</v>
      </c>
      <c r="AE6" s="357">
        <v>90</v>
      </c>
      <c r="AF6" s="357">
        <v>116</v>
      </c>
      <c r="AG6" s="357">
        <v>103</v>
      </c>
      <c r="AH6" s="357">
        <v>150</v>
      </c>
      <c r="AI6" s="357">
        <v>74</v>
      </c>
      <c r="AJ6" s="357">
        <v>95</v>
      </c>
      <c r="AK6" s="357">
        <v>154</v>
      </c>
      <c r="AL6" s="162">
        <v>124</v>
      </c>
    </row>
    <row r="7" s="140" customFormat="1" ht="19.5" customHeight="1" spans="1:38">
      <c r="A7" s="161">
        <v>3</v>
      </c>
      <c r="B7" s="419" t="s">
        <v>384</v>
      </c>
      <c r="C7" s="420"/>
      <c r="D7" s="421"/>
      <c r="E7" s="421">
        <v>0.71</v>
      </c>
      <c r="F7" s="422">
        <f t="shared" si="1"/>
        <v>10169</v>
      </c>
      <c r="G7" s="423">
        <f t="shared" si="0"/>
        <v>7219.99</v>
      </c>
      <c r="H7" s="424">
        <v>430</v>
      </c>
      <c r="I7" s="424">
        <v>220</v>
      </c>
      <c r="J7" s="424">
        <v>270</v>
      </c>
      <c r="K7" s="424">
        <v>267</v>
      </c>
      <c r="L7" s="424">
        <v>370</v>
      </c>
      <c r="M7" s="366">
        <v>403</v>
      </c>
      <c r="N7" s="366">
        <v>380</v>
      </c>
      <c r="O7" s="366">
        <v>311</v>
      </c>
      <c r="P7" s="366">
        <v>373</v>
      </c>
      <c r="Q7" s="427">
        <v>308</v>
      </c>
      <c r="R7" s="366">
        <v>430</v>
      </c>
      <c r="S7" s="428">
        <v>404</v>
      </c>
      <c r="T7" s="366">
        <v>345</v>
      </c>
      <c r="U7" s="366">
        <v>317</v>
      </c>
      <c r="V7" s="162">
        <v>257</v>
      </c>
      <c r="W7" s="162">
        <v>286</v>
      </c>
      <c r="X7" s="162">
        <v>390</v>
      </c>
      <c r="Y7" s="162">
        <v>422</v>
      </c>
      <c r="Z7" s="162">
        <v>377</v>
      </c>
      <c r="AA7" s="162">
        <v>361</v>
      </c>
      <c r="AB7" s="357">
        <v>287</v>
      </c>
      <c r="AC7" s="357">
        <v>270</v>
      </c>
      <c r="AD7" s="357">
        <v>270</v>
      </c>
      <c r="AE7" s="357">
        <v>265</v>
      </c>
      <c r="AF7" s="357">
        <v>326</v>
      </c>
      <c r="AG7" s="357">
        <v>266</v>
      </c>
      <c r="AH7" s="357">
        <v>395</v>
      </c>
      <c r="AI7" s="357">
        <v>223</v>
      </c>
      <c r="AJ7" s="357">
        <v>266</v>
      </c>
      <c r="AK7" s="357">
        <v>343</v>
      </c>
      <c r="AL7" s="162">
        <v>337</v>
      </c>
    </row>
    <row r="8" s="140" customFormat="1" ht="19.5" customHeight="1" spans="1:38">
      <c r="A8" s="161">
        <v>4</v>
      </c>
      <c r="B8" s="419" t="s">
        <v>385</v>
      </c>
      <c r="C8" s="420"/>
      <c r="D8" s="421"/>
      <c r="E8" s="421">
        <v>0.98</v>
      </c>
      <c r="F8" s="422">
        <f t="shared" si="1"/>
        <v>4754</v>
      </c>
      <c r="G8" s="423">
        <f t="shared" si="0"/>
        <v>4658.92</v>
      </c>
      <c r="H8" s="424">
        <v>101</v>
      </c>
      <c r="I8" s="424">
        <v>112</v>
      </c>
      <c r="J8" s="424">
        <v>124</v>
      </c>
      <c r="K8" s="424">
        <v>134</v>
      </c>
      <c r="L8" s="424">
        <v>174</v>
      </c>
      <c r="M8" s="366">
        <v>164</v>
      </c>
      <c r="N8" s="366">
        <v>137</v>
      </c>
      <c r="O8" s="366">
        <v>152</v>
      </c>
      <c r="P8" s="366">
        <v>172</v>
      </c>
      <c r="Q8" s="427">
        <v>141</v>
      </c>
      <c r="R8" s="366">
        <v>158</v>
      </c>
      <c r="S8" s="428">
        <v>191</v>
      </c>
      <c r="T8" s="366">
        <v>185</v>
      </c>
      <c r="U8" s="366">
        <v>148</v>
      </c>
      <c r="V8" s="162">
        <v>131</v>
      </c>
      <c r="W8" s="162">
        <v>131</v>
      </c>
      <c r="X8" s="162">
        <v>172</v>
      </c>
      <c r="Y8" s="162">
        <v>207</v>
      </c>
      <c r="Z8" s="162">
        <v>179</v>
      </c>
      <c r="AA8" s="162">
        <v>209</v>
      </c>
      <c r="AB8" s="357">
        <v>180</v>
      </c>
      <c r="AC8" s="357">
        <v>163</v>
      </c>
      <c r="AD8" s="357">
        <v>147</v>
      </c>
      <c r="AE8" s="357">
        <v>128</v>
      </c>
      <c r="AF8" s="357">
        <v>150</v>
      </c>
      <c r="AG8" s="357">
        <v>158</v>
      </c>
      <c r="AH8" s="357">
        <v>176</v>
      </c>
      <c r="AI8" s="357">
        <v>115</v>
      </c>
      <c r="AJ8" s="357">
        <v>113</v>
      </c>
      <c r="AK8" s="357">
        <v>153</v>
      </c>
      <c r="AL8" s="162">
        <v>149</v>
      </c>
    </row>
    <row r="9" s="140" customFormat="1" ht="19.5" customHeight="1" spans="1:38">
      <c r="A9" s="161">
        <v>5</v>
      </c>
      <c r="B9" s="419" t="s">
        <v>386</v>
      </c>
      <c r="C9" s="420"/>
      <c r="D9" s="421"/>
      <c r="E9" s="421">
        <v>0.62</v>
      </c>
      <c r="F9" s="422">
        <f t="shared" si="1"/>
        <v>4005</v>
      </c>
      <c r="G9" s="423">
        <f t="shared" si="0"/>
        <v>2483.1</v>
      </c>
      <c r="H9" s="424">
        <v>103</v>
      </c>
      <c r="I9" s="424">
        <v>92</v>
      </c>
      <c r="J9" s="424">
        <v>110</v>
      </c>
      <c r="K9" s="424">
        <v>114</v>
      </c>
      <c r="L9" s="424">
        <v>124</v>
      </c>
      <c r="M9" s="366">
        <v>122</v>
      </c>
      <c r="N9" s="366">
        <v>123</v>
      </c>
      <c r="O9" s="366">
        <v>142</v>
      </c>
      <c r="P9" s="366">
        <v>149</v>
      </c>
      <c r="Q9" s="366">
        <v>131</v>
      </c>
      <c r="R9" s="429">
        <v>142</v>
      </c>
      <c r="S9" s="366">
        <v>140</v>
      </c>
      <c r="T9" s="366">
        <v>167</v>
      </c>
      <c r="U9" s="366">
        <v>138</v>
      </c>
      <c r="V9" s="162">
        <v>128</v>
      </c>
      <c r="W9" s="162">
        <v>109</v>
      </c>
      <c r="X9" s="162">
        <v>181</v>
      </c>
      <c r="Y9" s="162">
        <v>115</v>
      </c>
      <c r="Z9" s="162">
        <v>158</v>
      </c>
      <c r="AA9" s="162">
        <v>162</v>
      </c>
      <c r="AB9" s="357">
        <v>162</v>
      </c>
      <c r="AC9" s="357">
        <v>151</v>
      </c>
      <c r="AD9" s="357">
        <v>135</v>
      </c>
      <c r="AE9" s="357">
        <v>119</v>
      </c>
      <c r="AF9" s="357">
        <v>100</v>
      </c>
      <c r="AG9" s="357">
        <v>139</v>
      </c>
      <c r="AH9" s="357">
        <v>130</v>
      </c>
      <c r="AI9" s="357">
        <v>87</v>
      </c>
      <c r="AJ9" s="357">
        <v>100</v>
      </c>
      <c r="AK9" s="357">
        <v>113</v>
      </c>
      <c r="AL9" s="162">
        <v>119</v>
      </c>
    </row>
    <row r="10" s="140" customFormat="1" ht="19.5" customHeight="1" spans="1:38">
      <c r="A10" s="161">
        <v>6</v>
      </c>
      <c r="B10" s="419" t="s">
        <v>387</v>
      </c>
      <c r="C10" s="430"/>
      <c r="D10" s="431"/>
      <c r="E10" s="421">
        <v>0.4</v>
      </c>
      <c r="F10" s="422">
        <f t="shared" si="1"/>
        <v>3689</v>
      </c>
      <c r="G10" s="423">
        <f t="shared" si="0"/>
        <v>1475.6</v>
      </c>
      <c r="H10" s="424">
        <v>117</v>
      </c>
      <c r="I10" s="424">
        <v>94</v>
      </c>
      <c r="J10" s="424">
        <v>104</v>
      </c>
      <c r="K10" s="424">
        <v>116</v>
      </c>
      <c r="L10" s="424">
        <v>134</v>
      </c>
      <c r="M10" s="366">
        <v>127</v>
      </c>
      <c r="N10" s="366">
        <v>113</v>
      </c>
      <c r="O10" s="366">
        <v>131</v>
      </c>
      <c r="P10" s="366">
        <v>123</v>
      </c>
      <c r="Q10" s="366">
        <v>145</v>
      </c>
      <c r="R10" s="366">
        <v>122</v>
      </c>
      <c r="S10" s="366">
        <v>116</v>
      </c>
      <c r="T10" s="366">
        <v>133</v>
      </c>
      <c r="U10" s="366">
        <v>102</v>
      </c>
      <c r="V10" s="162">
        <v>95</v>
      </c>
      <c r="W10" s="162">
        <v>103</v>
      </c>
      <c r="X10" s="162">
        <v>144</v>
      </c>
      <c r="Y10" s="162">
        <v>112</v>
      </c>
      <c r="Z10" s="162">
        <v>135</v>
      </c>
      <c r="AA10" s="162">
        <v>143</v>
      </c>
      <c r="AB10" s="357">
        <v>119</v>
      </c>
      <c r="AC10" s="357">
        <v>120</v>
      </c>
      <c r="AD10" s="357">
        <v>123</v>
      </c>
      <c r="AE10" s="357">
        <v>118</v>
      </c>
      <c r="AF10" s="357">
        <v>94</v>
      </c>
      <c r="AG10" s="357">
        <v>106</v>
      </c>
      <c r="AH10" s="357">
        <v>152</v>
      </c>
      <c r="AI10" s="357">
        <v>96</v>
      </c>
      <c r="AJ10" s="357">
        <v>101</v>
      </c>
      <c r="AK10" s="357">
        <v>141</v>
      </c>
      <c r="AL10" s="162">
        <v>110</v>
      </c>
    </row>
    <row r="11" s="140" customFormat="1" ht="19.5" customHeight="1" spans="1:38">
      <c r="A11" s="161">
        <v>7</v>
      </c>
      <c r="B11" s="419" t="s">
        <v>388</v>
      </c>
      <c r="C11" s="420"/>
      <c r="D11" s="421"/>
      <c r="E11" s="421">
        <v>0.44</v>
      </c>
      <c r="F11" s="422">
        <f t="shared" si="1"/>
        <v>2585</v>
      </c>
      <c r="G11" s="423">
        <f t="shared" si="0"/>
        <v>1137.4</v>
      </c>
      <c r="H11" s="424">
        <v>66</v>
      </c>
      <c r="I11" s="424">
        <v>65</v>
      </c>
      <c r="J11" s="424">
        <v>63</v>
      </c>
      <c r="K11" s="424">
        <v>75</v>
      </c>
      <c r="L11" s="424">
        <v>96</v>
      </c>
      <c r="M11" s="366">
        <v>94</v>
      </c>
      <c r="N11" s="366">
        <v>73</v>
      </c>
      <c r="O11" s="366">
        <v>95</v>
      </c>
      <c r="P11" s="366">
        <v>98</v>
      </c>
      <c r="Q11" s="366">
        <v>101</v>
      </c>
      <c r="R11" s="366">
        <v>94</v>
      </c>
      <c r="S11" s="366">
        <v>110</v>
      </c>
      <c r="T11" s="379">
        <v>101</v>
      </c>
      <c r="U11" s="366">
        <v>78</v>
      </c>
      <c r="V11" s="162">
        <v>73</v>
      </c>
      <c r="W11" s="162">
        <v>88</v>
      </c>
      <c r="X11" s="162">
        <v>98</v>
      </c>
      <c r="Y11" s="162">
        <v>82</v>
      </c>
      <c r="Z11" s="162">
        <v>88</v>
      </c>
      <c r="AA11" s="162">
        <v>81</v>
      </c>
      <c r="AB11" s="357">
        <v>78</v>
      </c>
      <c r="AC11" s="357">
        <v>76</v>
      </c>
      <c r="AD11" s="357">
        <v>88</v>
      </c>
      <c r="AE11" s="357">
        <v>78</v>
      </c>
      <c r="AF11" s="357">
        <v>79</v>
      </c>
      <c r="AG11" s="357">
        <v>76</v>
      </c>
      <c r="AH11" s="357">
        <v>91</v>
      </c>
      <c r="AI11" s="357">
        <v>55</v>
      </c>
      <c r="AJ11" s="357">
        <v>73</v>
      </c>
      <c r="AK11" s="357">
        <v>87</v>
      </c>
      <c r="AL11" s="162">
        <v>85</v>
      </c>
    </row>
    <row r="12" s="140" customFormat="1" ht="19.5" customHeight="1" spans="1:38">
      <c r="A12" s="161">
        <v>8</v>
      </c>
      <c r="B12" s="419" t="s">
        <v>389</v>
      </c>
      <c r="C12" s="420"/>
      <c r="D12" s="421"/>
      <c r="E12" s="421">
        <v>3</v>
      </c>
      <c r="F12" s="422">
        <f t="shared" si="1"/>
        <v>926</v>
      </c>
      <c r="G12" s="432">
        <f t="shared" si="0"/>
        <v>2778</v>
      </c>
      <c r="H12" s="424">
        <v>28</v>
      </c>
      <c r="I12" s="424">
        <v>25</v>
      </c>
      <c r="J12" s="424">
        <v>27</v>
      </c>
      <c r="K12" s="424">
        <v>24</v>
      </c>
      <c r="L12" s="424">
        <v>30</v>
      </c>
      <c r="M12" s="366">
        <v>34</v>
      </c>
      <c r="N12" s="366">
        <v>28</v>
      </c>
      <c r="O12" s="366">
        <v>29</v>
      </c>
      <c r="P12" s="366">
        <v>28</v>
      </c>
      <c r="Q12" s="366">
        <v>22</v>
      </c>
      <c r="R12" s="366">
        <v>27</v>
      </c>
      <c r="S12" s="366">
        <v>25</v>
      </c>
      <c r="T12" s="366">
        <v>43</v>
      </c>
      <c r="U12" s="366">
        <v>27</v>
      </c>
      <c r="V12" s="162">
        <v>22</v>
      </c>
      <c r="W12" s="162">
        <v>23</v>
      </c>
      <c r="X12" s="162">
        <v>44</v>
      </c>
      <c r="Y12" s="162">
        <v>48</v>
      </c>
      <c r="Z12" s="162">
        <v>39</v>
      </c>
      <c r="AA12" s="162">
        <v>37</v>
      </c>
      <c r="AB12" s="357">
        <v>45</v>
      </c>
      <c r="AC12" s="357">
        <v>25</v>
      </c>
      <c r="AD12" s="357">
        <v>19</v>
      </c>
      <c r="AE12" s="357">
        <v>27</v>
      </c>
      <c r="AF12" s="357">
        <v>31</v>
      </c>
      <c r="AG12" s="357">
        <v>35</v>
      </c>
      <c r="AH12" s="357">
        <v>34</v>
      </c>
      <c r="AI12" s="357">
        <v>23</v>
      </c>
      <c r="AJ12" s="357">
        <v>28</v>
      </c>
      <c r="AK12" s="357">
        <v>26</v>
      </c>
      <c r="AL12" s="162">
        <v>23</v>
      </c>
    </row>
    <row r="13" s="140" customFormat="1" ht="19.5" customHeight="1" spans="1:38">
      <c r="A13" s="161">
        <v>9</v>
      </c>
      <c r="B13" s="419" t="s">
        <v>390</v>
      </c>
      <c r="C13" s="420"/>
      <c r="D13" s="421"/>
      <c r="E13" s="421">
        <v>7.2</v>
      </c>
      <c r="F13" s="422">
        <f t="shared" si="1"/>
        <v>26</v>
      </c>
      <c r="G13" s="432">
        <f t="shared" si="0"/>
        <v>187.2</v>
      </c>
      <c r="H13" s="354"/>
      <c r="I13" s="354">
        <v>2</v>
      </c>
      <c r="J13" s="354">
        <v>1</v>
      </c>
      <c r="K13" s="354">
        <v>1</v>
      </c>
      <c r="L13" s="354">
        <v>2</v>
      </c>
      <c r="M13" s="366">
        <v>3</v>
      </c>
      <c r="N13" s="366">
        <v>2</v>
      </c>
      <c r="O13" s="366"/>
      <c r="P13" s="366">
        <v>2</v>
      </c>
      <c r="Q13" s="366">
        <v>1</v>
      </c>
      <c r="R13" s="366"/>
      <c r="S13" s="366"/>
      <c r="T13" s="366"/>
      <c r="U13" s="366">
        <v>2</v>
      </c>
      <c r="V13" s="162"/>
      <c r="W13" s="162">
        <v>2</v>
      </c>
      <c r="X13" s="162"/>
      <c r="Y13" s="162"/>
      <c r="Z13" s="162">
        <v>1</v>
      </c>
      <c r="AA13" s="162">
        <v>1</v>
      </c>
      <c r="AB13" s="357">
        <v>2</v>
      </c>
      <c r="AC13" s="357"/>
      <c r="AD13" s="357">
        <v>2</v>
      </c>
      <c r="AE13" s="357"/>
      <c r="AF13" s="357">
        <v>1</v>
      </c>
      <c r="AG13" s="357">
        <v>1</v>
      </c>
      <c r="AH13" s="357"/>
      <c r="AI13" s="357"/>
      <c r="AJ13" s="357"/>
      <c r="AK13" s="357"/>
      <c r="AL13" s="162"/>
    </row>
    <row r="14" s="140" customFormat="1" ht="19.5" customHeight="1" spans="1:38">
      <c r="A14" s="161">
        <v>10</v>
      </c>
      <c r="B14" s="419" t="s">
        <v>391</v>
      </c>
      <c r="C14" s="420"/>
      <c r="D14" s="421"/>
      <c r="E14" s="421">
        <v>9</v>
      </c>
      <c r="F14" s="422">
        <f t="shared" si="1"/>
        <v>4</v>
      </c>
      <c r="G14" s="432">
        <f t="shared" si="0"/>
        <v>36</v>
      </c>
      <c r="H14" s="354"/>
      <c r="I14" s="354"/>
      <c r="J14" s="354"/>
      <c r="K14" s="354"/>
      <c r="L14" s="354"/>
      <c r="M14" s="366"/>
      <c r="N14" s="366"/>
      <c r="O14" s="366"/>
      <c r="P14" s="366"/>
      <c r="Q14" s="366"/>
      <c r="R14" s="366"/>
      <c r="S14" s="366"/>
      <c r="T14" s="366"/>
      <c r="U14" s="366"/>
      <c r="V14" s="162"/>
      <c r="W14" s="162"/>
      <c r="X14" s="162"/>
      <c r="Y14" s="162"/>
      <c r="Z14" s="162"/>
      <c r="AA14" s="162"/>
      <c r="AB14" s="162">
        <v>4</v>
      </c>
      <c r="AC14" s="162"/>
      <c r="AD14" s="162"/>
      <c r="AE14" s="162"/>
      <c r="AF14" s="162"/>
      <c r="AG14" s="162"/>
      <c r="AH14" s="162"/>
      <c r="AI14" s="162"/>
      <c r="AJ14" s="162"/>
      <c r="AK14" s="162"/>
      <c r="AL14" s="162"/>
    </row>
    <row r="15" s="140" customFormat="1" ht="19.5" customHeight="1" spans="1:38">
      <c r="A15" s="161">
        <v>11</v>
      </c>
      <c r="B15" s="419" t="s">
        <v>392</v>
      </c>
      <c r="C15" s="420"/>
      <c r="D15" s="421"/>
      <c r="E15" s="421">
        <v>2.7</v>
      </c>
      <c r="F15" s="422">
        <f t="shared" si="1"/>
        <v>0</v>
      </c>
      <c r="G15" s="432">
        <f t="shared" si="0"/>
        <v>0</v>
      </c>
      <c r="H15" s="354"/>
      <c r="I15" s="354"/>
      <c r="J15" s="354"/>
      <c r="K15" s="354"/>
      <c r="L15" s="354"/>
      <c r="M15" s="366"/>
      <c r="N15" s="366"/>
      <c r="O15" s="366"/>
      <c r="P15" s="366"/>
      <c r="Q15" s="366"/>
      <c r="R15" s="366"/>
      <c r="S15" s="366"/>
      <c r="T15" s="366"/>
      <c r="U15" s="366"/>
      <c r="V15" s="162"/>
      <c r="W15" s="162"/>
      <c r="X15" s="162"/>
      <c r="Y15" s="162"/>
      <c r="Z15" s="162"/>
      <c r="AA15" s="162"/>
      <c r="AB15" s="162"/>
      <c r="AC15" s="162"/>
      <c r="AD15" s="162"/>
      <c r="AE15" s="162"/>
      <c r="AF15" s="162"/>
      <c r="AG15" s="162"/>
      <c r="AH15" s="162"/>
      <c r="AI15" s="162"/>
      <c r="AJ15" s="162"/>
      <c r="AK15" s="162"/>
      <c r="AL15" s="162"/>
    </row>
    <row r="16" s="140" customFormat="1" ht="19.5" customHeight="1" spans="1:38">
      <c r="A16" s="161">
        <v>12</v>
      </c>
      <c r="B16" s="419" t="s">
        <v>393</v>
      </c>
      <c r="C16" s="433"/>
      <c r="D16" s="434"/>
      <c r="E16" s="421">
        <v>10</v>
      </c>
      <c r="F16" s="422">
        <f t="shared" ref="F6:F25" si="2">SUMIF($H$4:$BQ$4,$F$4,$H16:$BQ16)</f>
        <v>8</v>
      </c>
      <c r="G16" s="432">
        <f t="shared" si="0"/>
        <v>80</v>
      </c>
      <c r="H16" s="354"/>
      <c r="I16" s="354">
        <v>1</v>
      </c>
      <c r="J16" s="354"/>
      <c r="K16" s="354"/>
      <c r="L16" s="354"/>
      <c r="M16" s="366">
        <v>2</v>
      </c>
      <c r="N16" s="366">
        <v>1</v>
      </c>
      <c r="O16" s="366"/>
      <c r="P16" s="366"/>
      <c r="Q16" s="366"/>
      <c r="R16" s="366"/>
      <c r="S16" s="366"/>
      <c r="T16" s="366"/>
      <c r="U16" s="366">
        <v>1</v>
      </c>
      <c r="V16" s="162"/>
      <c r="W16" s="162"/>
      <c r="X16" s="162"/>
      <c r="Y16" s="162"/>
      <c r="Z16" s="162"/>
      <c r="AA16" s="162"/>
      <c r="AB16" s="162">
        <v>2</v>
      </c>
      <c r="AC16" s="162"/>
      <c r="AD16" s="162"/>
      <c r="AE16" s="162"/>
      <c r="AF16" s="162">
        <v>1</v>
      </c>
      <c r="AG16" s="162"/>
      <c r="AH16" s="162"/>
      <c r="AI16" s="162"/>
      <c r="AJ16" s="162"/>
      <c r="AK16" s="162"/>
      <c r="AL16" s="162"/>
    </row>
    <row r="17" s="140" customFormat="1" ht="19.5" customHeight="1" spans="1:38">
      <c r="A17" s="161">
        <v>13</v>
      </c>
      <c r="B17" s="419"/>
      <c r="C17" s="433"/>
      <c r="D17" s="434"/>
      <c r="E17" s="421"/>
      <c r="F17" s="422">
        <f t="shared" si="2"/>
        <v>0</v>
      </c>
      <c r="G17" s="432">
        <f t="shared" si="0"/>
        <v>0</v>
      </c>
      <c r="H17" s="435"/>
      <c r="I17" s="435"/>
      <c r="J17" s="433"/>
      <c r="K17" s="430"/>
      <c r="L17" s="436"/>
      <c r="M17" s="366"/>
      <c r="N17" s="366"/>
      <c r="O17" s="366"/>
      <c r="P17" s="366"/>
      <c r="Q17" s="366"/>
      <c r="R17" s="366"/>
      <c r="S17" s="366"/>
      <c r="T17" s="366"/>
      <c r="U17" s="366"/>
      <c r="V17" s="162"/>
      <c r="W17" s="162"/>
      <c r="X17" s="162"/>
      <c r="Y17" s="162"/>
      <c r="Z17" s="162"/>
      <c r="AA17" s="162"/>
      <c r="AB17" s="162"/>
      <c r="AC17" s="162"/>
      <c r="AD17" s="162"/>
      <c r="AE17" s="162"/>
      <c r="AF17" s="162"/>
      <c r="AG17" s="162"/>
      <c r="AH17" s="162"/>
      <c r="AI17" s="162"/>
      <c r="AJ17" s="162"/>
      <c r="AK17" s="162"/>
      <c r="AL17" s="162"/>
    </row>
    <row r="18" s="140" customFormat="1" ht="19.5" customHeight="1" spans="1:38">
      <c r="A18" s="161">
        <v>14</v>
      </c>
      <c r="B18" s="437"/>
      <c r="C18" s="100"/>
      <c r="D18" s="100"/>
      <c r="E18" s="100"/>
      <c r="F18" s="422">
        <f t="shared" si="2"/>
        <v>0</v>
      </c>
      <c r="G18" s="423">
        <f t="shared" ref="G5:G44" si="3">+E18*F18</f>
        <v>0</v>
      </c>
      <c r="H18" s="133"/>
      <c r="I18" s="133"/>
      <c r="J18" s="438"/>
      <c r="K18" s="438"/>
      <c r="L18" s="162"/>
      <c r="M18" s="162"/>
      <c r="N18" s="162"/>
      <c r="O18" s="162"/>
      <c r="P18" s="162"/>
      <c r="Q18" s="162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2"/>
      <c r="AF18" s="162"/>
      <c r="AG18" s="162"/>
      <c r="AH18" s="162"/>
      <c r="AI18" s="162"/>
      <c r="AJ18" s="162"/>
      <c r="AK18" s="162"/>
      <c r="AL18" s="162"/>
    </row>
    <row r="19" s="140" customFormat="1" ht="19.5" customHeight="1" spans="1:38">
      <c r="A19" s="161">
        <v>15</v>
      </c>
      <c r="B19" s="437"/>
      <c r="C19" s="100"/>
      <c r="D19" s="100"/>
      <c r="E19" s="100"/>
      <c r="F19" s="422">
        <f t="shared" si="2"/>
        <v>0</v>
      </c>
      <c r="G19" s="423">
        <f t="shared" si="3"/>
        <v>0</v>
      </c>
      <c r="H19" s="133"/>
      <c r="I19" s="133"/>
      <c r="J19" s="438"/>
      <c r="K19" s="438"/>
      <c r="L19" s="162"/>
      <c r="M19" s="162"/>
      <c r="N19" s="162"/>
      <c r="O19" s="162"/>
      <c r="P19" s="162"/>
      <c r="Q19" s="162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62"/>
      <c r="AG19" s="162"/>
      <c r="AH19" s="162"/>
      <c r="AI19" s="162"/>
      <c r="AJ19" s="162"/>
      <c r="AK19" s="162"/>
      <c r="AL19" s="162"/>
    </row>
    <row r="20" s="140" customFormat="1" ht="19.5" customHeight="1" spans="1:38">
      <c r="A20" s="161">
        <v>16</v>
      </c>
      <c r="B20" s="437"/>
      <c r="C20" s="100"/>
      <c r="D20" s="100"/>
      <c r="E20" s="100"/>
      <c r="F20" s="422">
        <f t="shared" si="2"/>
        <v>0</v>
      </c>
      <c r="G20" s="423">
        <f t="shared" si="3"/>
        <v>0</v>
      </c>
      <c r="H20" s="133"/>
      <c r="I20" s="133"/>
      <c r="J20" s="438"/>
      <c r="K20" s="438"/>
      <c r="L20" s="162"/>
      <c r="M20" s="162"/>
      <c r="N20" s="162"/>
      <c r="O20" s="162"/>
      <c r="P20" s="162"/>
      <c r="Q20" s="162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2"/>
      <c r="AF20" s="162"/>
      <c r="AG20" s="162"/>
      <c r="AH20" s="162"/>
      <c r="AI20" s="162"/>
      <c r="AJ20" s="162"/>
      <c r="AK20" s="162"/>
      <c r="AL20" s="162"/>
    </row>
    <row r="21" s="140" customFormat="1" ht="19.5" customHeight="1" spans="1:38">
      <c r="A21" s="161">
        <v>17</v>
      </c>
      <c r="B21" s="437"/>
      <c r="C21" s="100"/>
      <c r="D21" s="100"/>
      <c r="E21" s="100"/>
      <c r="F21" s="422">
        <f t="shared" si="2"/>
        <v>0</v>
      </c>
      <c r="G21" s="423">
        <f t="shared" si="3"/>
        <v>0</v>
      </c>
      <c r="H21" s="133"/>
      <c r="I21" s="133"/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</row>
    <row r="22" s="140" customFormat="1" ht="19.5" customHeight="1" spans="1:38">
      <c r="A22" s="161">
        <v>18</v>
      </c>
      <c r="B22" s="437"/>
      <c r="C22" s="100"/>
      <c r="D22" s="100"/>
      <c r="E22" s="100"/>
      <c r="F22" s="422">
        <f t="shared" si="2"/>
        <v>0</v>
      </c>
      <c r="G22" s="423">
        <f t="shared" si="3"/>
        <v>0</v>
      </c>
      <c r="H22" s="133"/>
      <c r="I22" s="133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</row>
    <row r="23" s="140" customFormat="1" ht="19.5" customHeight="1" spans="1:38">
      <c r="A23" s="161">
        <v>19</v>
      </c>
      <c r="B23" s="437"/>
      <c r="C23" s="100"/>
      <c r="D23" s="100"/>
      <c r="E23" s="100"/>
      <c r="F23" s="422">
        <f t="shared" si="2"/>
        <v>0</v>
      </c>
      <c r="G23" s="423">
        <f t="shared" si="3"/>
        <v>0</v>
      </c>
      <c r="H23" s="133"/>
      <c r="I23" s="133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</row>
    <row r="24" s="140" customFormat="1" ht="19.5" customHeight="1" spans="1:38">
      <c r="A24" s="161">
        <v>20</v>
      </c>
      <c r="B24" s="437"/>
      <c r="C24" s="100"/>
      <c r="D24" s="100"/>
      <c r="E24" s="100"/>
      <c r="F24" s="422">
        <f t="shared" si="2"/>
        <v>0</v>
      </c>
      <c r="G24" s="423">
        <f t="shared" si="3"/>
        <v>0</v>
      </c>
      <c r="H24" s="133"/>
      <c r="I24" s="133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</row>
    <row r="25" s="140" customFormat="1" ht="19.5" customHeight="1" spans="1:38">
      <c r="A25" s="161">
        <v>21</v>
      </c>
      <c r="B25" s="162"/>
      <c r="C25" s="162"/>
      <c r="D25" s="162"/>
      <c r="E25" s="162"/>
      <c r="F25" s="422">
        <f t="shared" si="2"/>
        <v>0</v>
      </c>
      <c r="G25" s="432">
        <f t="shared" si="3"/>
        <v>0</v>
      </c>
      <c r="H25" s="133"/>
      <c r="I25" s="133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</row>
    <row r="26" s="140" customFormat="1" ht="19.5" customHeight="1" spans="1:38">
      <c r="A26" s="161">
        <v>22</v>
      </c>
      <c r="B26" s="162"/>
      <c r="C26" s="162"/>
      <c r="D26" s="162"/>
      <c r="E26" s="162"/>
      <c r="F26" s="439">
        <f t="shared" ref="F25:F44" si="4">SUMIF($H$4:$I$4,$F$4,$H26:$I26)</f>
        <v>0</v>
      </c>
      <c r="G26" s="432">
        <f t="shared" si="3"/>
        <v>0</v>
      </c>
      <c r="H26" s="133"/>
      <c r="I26" s="133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</row>
    <row r="27" s="140" customFormat="1" ht="19.5" customHeight="1" spans="1:38">
      <c r="A27" s="161">
        <v>23</v>
      </c>
      <c r="B27" s="162"/>
      <c r="C27" s="162"/>
      <c r="D27" s="162"/>
      <c r="E27" s="162"/>
      <c r="F27" s="439">
        <f t="shared" si="4"/>
        <v>0</v>
      </c>
      <c r="G27" s="432">
        <f t="shared" si="3"/>
        <v>0</v>
      </c>
      <c r="H27" s="133"/>
      <c r="I27" s="133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</row>
    <row r="28" s="140" customFormat="1" ht="19.5" customHeight="1" spans="1:38">
      <c r="A28" s="161">
        <v>24</v>
      </c>
      <c r="B28" s="162"/>
      <c r="C28" s="162"/>
      <c r="D28" s="162"/>
      <c r="E28" s="162"/>
      <c r="F28" s="439">
        <f t="shared" si="4"/>
        <v>0</v>
      </c>
      <c r="G28" s="432">
        <f t="shared" si="3"/>
        <v>0</v>
      </c>
      <c r="H28" s="133"/>
      <c r="I28" s="133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</row>
    <row r="29" s="140" customFormat="1" ht="19.5" customHeight="1" spans="1:38">
      <c r="A29" s="161">
        <v>25</v>
      </c>
      <c r="B29" s="162"/>
      <c r="C29" s="162"/>
      <c r="D29" s="162"/>
      <c r="E29" s="162"/>
      <c r="F29" s="439">
        <f t="shared" si="4"/>
        <v>0</v>
      </c>
      <c r="G29" s="432">
        <f t="shared" si="3"/>
        <v>0</v>
      </c>
      <c r="H29" s="133"/>
      <c r="I29" s="133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</row>
    <row r="30" s="140" customFormat="1" ht="19.5" customHeight="1" spans="1:38">
      <c r="A30" s="161">
        <v>26</v>
      </c>
      <c r="B30" s="162"/>
      <c r="C30" s="162"/>
      <c r="D30" s="162"/>
      <c r="E30" s="162"/>
      <c r="F30" s="439">
        <f t="shared" si="4"/>
        <v>0</v>
      </c>
      <c r="G30" s="432">
        <f t="shared" si="3"/>
        <v>0</v>
      </c>
      <c r="H30" s="133"/>
      <c r="I30" s="133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</row>
    <row r="31" s="140" customFormat="1" ht="19.5" customHeight="1" spans="1:38">
      <c r="A31" s="161">
        <v>27</v>
      </c>
      <c r="B31" s="162"/>
      <c r="C31" s="162"/>
      <c r="D31" s="162"/>
      <c r="E31" s="162"/>
      <c r="F31" s="439">
        <f t="shared" si="4"/>
        <v>0</v>
      </c>
      <c r="G31" s="432">
        <f t="shared" si="3"/>
        <v>0</v>
      </c>
      <c r="H31" s="133"/>
      <c r="I31" s="133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</row>
    <row r="32" s="140" customFormat="1" ht="19.5" customHeight="1" spans="1:38">
      <c r="A32" s="161">
        <v>28</v>
      </c>
      <c r="B32" s="162"/>
      <c r="C32" s="162"/>
      <c r="D32" s="162"/>
      <c r="E32" s="162"/>
      <c r="F32" s="439">
        <f t="shared" si="4"/>
        <v>0</v>
      </c>
      <c r="G32" s="432">
        <f t="shared" si="3"/>
        <v>0</v>
      </c>
      <c r="H32" s="133"/>
      <c r="I32" s="133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</row>
    <row r="33" s="140" customFormat="1" ht="19.5" customHeight="1" spans="1:38">
      <c r="A33" s="161">
        <v>29</v>
      </c>
      <c r="B33" s="162"/>
      <c r="C33" s="162"/>
      <c r="D33" s="162"/>
      <c r="E33" s="162"/>
      <c r="F33" s="439">
        <f t="shared" si="4"/>
        <v>0</v>
      </c>
      <c r="G33" s="432">
        <f t="shared" si="3"/>
        <v>0</v>
      </c>
      <c r="H33" s="133"/>
      <c r="I33" s="133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</row>
    <row r="34" s="140" customFormat="1" ht="19.5" customHeight="1" spans="1:38">
      <c r="A34" s="161">
        <v>30</v>
      </c>
      <c r="B34" s="162"/>
      <c r="C34" s="162"/>
      <c r="D34" s="162"/>
      <c r="E34" s="162"/>
      <c r="F34" s="439">
        <f t="shared" si="4"/>
        <v>0</v>
      </c>
      <c r="G34" s="432">
        <f t="shared" si="3"/>
        <v>0</v>
      </c>
      <c r="H34" s="133"/>
      <c r="I34" s="133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</row>
    <row r="35" s="140" customFormat="1" ht="19.5" customHeight="1" spans="1:38">
      <c r="A35" s="161">
        <v>31</v>
      </c>
      <c r="B35" s="162"/>
      <c r="C35" s="162"/>
      <c r="D35" s="162"/>
      <c r="E35" s="162"/>
      <c r="F35" s="439">
        <f t="shared" si="4"/>
        <v>0</v>
      </c>
      <c r="G35" s="432">
        <f t="shared" si="3"/>
        <v>0</v>
      </c>
      <c r="H35" s="133"/>
      <c r="I35" s="133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</row>
    <row r="36" s="140" customFormat="1" ht="19.5" customHeight="1" spans="1:38">
      <c r="A36" s="161">
        <v>32</v>
      </c>
      <c r="B36" s="162"/>
      <c r="C36" s="162"/>
      <c r="D36" s="162"/>
      <c r="E36" s="162"/>
      <c r="F36" s="439">
        <f t="shared" si="4"/>
        <v>0</v>
      </c>
      <c r="G36" s="432">
        <f t="shared" si="3"/>
        <v>0</v>
      </c>
      <c r="H36" s="133"/>
      <c r="I36" s="133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</row>
    <row r="37" s="140" customFormat="1" ht="19.5" customHeight="1" spans="1:38">
      <c r="A37" s="161">
        <v>33</v>
      </c>
      <c r="B37" s="162"/>
      <c r="C37" s="162"/>
      <c r="D37" s="162"/>
      <c r="E37" s="162"/>
      <c r="F37" s="439">
        <f t="shared" si="4"/>
        <v>0</v>
      </c>
      <c r="G37" s="432">
        <f t="shared" si="3"/>
        <v>0</v>
      </c>
      <c r="H37" s="133"/>
      <c r="I37" s="133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</row>
    <row r="38" s="140" customFormat="1" ht="19.5" customHeight="1" spans="1:38">
      <c r="A38" s="161">
        <v>34</v>
      </c>
      <c r="B38" s="162"/>
      <c r="C38" s="162"/>
      <c r="D38" s="162"/>
      <c r="E38" s="162"/>
      <c r="F38" s="439">
        <f t="shared" si="4"/>
        <v>0</v>
      </c>
      <c r="G38" s="432">
        <f t="shared" si="3"/>
        <v>0</v>
      </c>
      <c r="H38" s="133"/>
      <c r="I38" s="133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</row>
    <row r="39" s="140" customFormat="1" ht="19.5" customHeight="1" spans="1:38">
      <c r="A39" s="161">
        <v>35</v>
      </c>
      <c r="B39" s="162"/>
      <c r="C39" s="162"/>
      <c r="D39" s="162"/>
      <c r="E39" s="162"/>
      <c r="F39" s="439">
        <f t="shared" si="4"/>
        <v>0</v>
      </c>
      <c r="G39" s="432">
        <f t="shared" si="3"/>
        <v>0</v>
      </c>
      <c r="H39" s="133"/>
      <c r="I39" s="133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</row>
    <row r="40" s="140" customFormat="1" ht="19.5" customHeight="1" spans="1:38">
      <c r="A40" s="161">
        <v>36</v>
      </c>
      <c r="B40" s="162"/>
      <c r="C40" s="162"/>
      <c r="D40" s="162"/>
      <c r="E40" s="162"/>
      <c r="F40" s="439">
        <f t="shared" si="4"/>
        <v>0</v>
      </c>
      <c r="G40" s="432">
        <f t="shared" si="3"/>
        <v>0</v>
      </c>
      <c r="H40" s="133"/>
      <c r="I40" s="133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</row>
    <row r="41" s="140" customFormat="1" ht="19.5" customHeight="1" spans="1:38">
      <c r="A41" s="161">
        <v>37</v>
      </c>
      <c r="B41" s="162"/>
      <c r="C41" s="162"/>
      <c r="D41" s="162"/>
      <c r="E41" s="162"/>
      <c r="F41" s="439">
        <f t="shared" si="4"/>
        <v>0</v>
      </c>
      <c r="G41" s="432">
        <f t="shared" si="3"/>
        <v>0</v>
      </c>
      <c r="H41" s="133"/>
      <c r="I41" s="133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</row>
    <row r="42" s="140" customFormat="1" ht="19.5" customHeight="1" spans="1:38">
      <c r="A42" s="161">
        <v>38</v>
      </c>
      <c r="B42" s="162"/>
      <c r="C42" s="162"/>
      <c r="D42" s="162"/>
      <c r="E42" s="162"/>
      <c r="F42" s="439">
        <f t="shared" si="4"/>
        <v>0</v>
      </c>
      <c r="G42" s="432">
        <f t="shared" si="3"/>
        <v>0</v>
      </c>
      <c r="H42" s="133"/>
      <c r="I42" s="133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</row>
    <row r="43" s="140" customFormat="1" ht="19.5" customHeight="1" spans="1:38">
      <c r="A43" s="161">
        <v>39</v>
      </c>
      <c r="B43" s="162"/>
      <c r="C43" s="162"/>
      <c r="D43" s="162"/>
      <c r="E43" s="162"/>
      <c r="F43" s="439">
        <f t="shared" si="4"/>
        <v>0</v>
      </c>
      <c r="G43" s="432">
        <f t="shared" si="3"/>
        <v>0</v>
      </c>
      <c r="H43" s="133"/>
      <c r="I43" s="133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</row>
    <row r="44" s="140" customFormat="1" ht="19.5" customHeight="1" spans="1:38">
      <c r="A44" s="161">
        <v>40</v>
      </c>
      <c r="B44" s="162"/>
      <c r="C44" s="162"/>
      <c r="D44" s="162"/>
      <c r="E44" s="162"/>
      <c r="F44" s="439">
        <f t="shared" si="4"/>
        <v>0</v>
      </c>
      <c r="G44" s="432">
        <f t="shared" si="3"/>
        <v>0</v>
      </c>
      <c r="H44" s="133"/>
      <c r="I44" s="133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</row>
    <row r="45" ht="19.5" customHeight="1" spans="1:38">
      <c r="A45" s="162"/>
      <c r="B45" s="6" t="s">
        <v>394</v>
      </c>
      <c r="C45" s="162"/>
      <c r="D45" s="162"/>
      <c r="E45" s="162"/>
      <c r="F45" s="171">
        <f t="shared" ref="F45:AL45" si="5">SUM(F5:F44)</f>
        <v>33251</v>
      </c>
      <c r="G45" s="202">
        <f t="shared" si="5"/>
        <v>31120.9</v>
      </c>
      <c r="H45" s="171">
        <f t="shared" si="5"/>
        <v>1061</v>
      </c>
      <c r="I45" s="171">
        <f t="shared" si="5"/>
        <v>763</v>
      </c>
      <c r="J45" s="171">
        <f t="shared" si="5"/>
        <v>849</v>
      </c>
      <c r="K45" s="171">
        <f t="shared" si="5"/>
        <v>920</v>
      </c>
      <c r="L45" s="171">
        <f t="shared" si="5"/>
        <v>1192</v>
      </c>
      <c r="M45" s="171">
        <f t="shared" si="5"/>
        <v>1240</v>
      </c>
      <c r="N45" s="171">
        <f t="shared" si="5"/>
        <v>1069</v>
      </c>
      <c r="O45" s="171">
        <f t="shared" si="5"/>
        <v>1082</v>
      </c>
      <c r="P45" s="171">
        <f t="shared" si="5"/>
        <v>1209</v>
      </c>
      <c r="Q45" s="171">
        <f t="shared" si="5"/>
        <v>1076</v>
      </c>
      <c r="R45" s="171">
        <f t="shared" si="5"/>
        <v>1265</v>
      </c>
      <c r="S45" s="171">
        <f t="shared" si="5"/>
        <v>1292</v>
      </c>
      <c r="T45" s="171">
        <f t="shared" si="5"/>
        <v>1212</v>
      </c>
      <c r="U45" s="171">
        <f t="shared" si="5"/>
        <v>1023</v>
      </c>
      <c r="V45" s="171">
        <f t="shared" si="5"/>
        <v>883</v>
      </c>
      <c r="W45" s="171">
        <f t="shared" si="5"/>
        <v>914</v>
      </c>
      <c r="X45" s="171">
        <f t="shared" si="5"/>
        <v>1291</v>
      </c>
      <c r="Y45" s="171">
        <f t="shared" si="5"/>
        <v>1284</v>
      </c>
      <c r="Z45" s="171">
        <f t="shared" si="5"/>
        <v>1232</v>
      </c>
      <c r="AA45" s="171">
        <f t="shared" si="5"/>
        <v>1275</v>
      </c>
      <c r="AB45" s="171">
        <f t="shared" si="5"/>
        <v>1111</v>
      </c>
      <c r="AC45" s="171">
        <f t="shared" si="5"/>
        <v>985</v>
      </c>
      <c r="AD45" s="171">
        <f t="shared" si="5"/>
        <v>981</v>
      </c>
      <c r="AE45" s="171">
        <f t="shared" si="5"/>
        <v>913</v>
      </c>
      <c r="AF45" s="171">
        <f t="shared" si="5"/>
        <v>1019</v>
      </c>
      <c r="AG45" s="171">
        <f t="shared" si="5"/>
        <v>988</v>
      </c>
      <c r="AH45" s="171">
        <f t="shared" si="5"/>
        <v>1280</v>
      </c>
      <c r="AI45" s="171">
        <f t="shared" si="5"/>
        <v>751</v>
      </c>
      <c r="AJ45" s="171">
        <f t="shared" si="5"/>
        <v>874</v>
      </c>
      <c r="AK45" s="171">
        <f t="shared" si="5"/>
        <v>1155</v>
      </c>
      <c r="AL45" s="171">
        <f t="shared" si="5"/>
        <v>1062</v>
      </c>
    </row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</sheetData>
  <sheetProtection formatCells="0" formatColumns="0" formatRows="0" insertRows="0" insertColumns="0" insertHyperlinks="0" deleteColumns="0" deleteRows="0" sort="0" autoFilter="0" pivotTables="0"/>
  <mergeCells count="7">
    <mergeCell ref="A3:A4"/>
    <mergeCell ref="B3:B4"/>
    <mergeCell ref="C3:C4"/>
    <mergeCell ref="D3:D4"/>
    <mergeCell ref="E3:E4"/>
    <mergeCell ref="F3:F4"/>
    <mergeCell ref="G3:G4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客房工资"/>
  <dimension ref="A1:AP19"/>
  <sheetViews>
    <sheetView topLeftCell="A588" workbookViewId="0">
      <pane xSplit="11" topLeftCell="L1" activePane="topRight" state="frozen"/>
      <selection/>
      <selection pane="topRight" activeCell="H588" sqref="H588"/>
    </sheetView>
  </sheetViews>
  <sheetFormatPr defaultColWidth="8.275" defaultRowHeight="20" customHeight="1"/>
  <cols>
    <col min="1" max="2" width="8.275" style="132" customWidth="1"/>
    <col min="3" max="3" width="11.275" style="132" customWidth="1"/>
    <col min="4" max="6" width="8.275" style="132" customWidth="1"/>
    <col min="7" max="9" width="11.6666666666667" style="132" customWidth="1"/>
    <col min="10" max="42" width="8.275" style="132" customWidth="1"/>
  </cols>
  <sheetData>
    <row r="1" s="129" customFormat="1" ht="27" customHeight="1" spans="1:42">
      <c r="A1" s="387" t="s">
        <v>76</v>
      </c>
      <c r="B1" s="387" t="s">
        <v>77</v>
      </c>
      <c r="C1" s="133" t="s">
        <v>78</v>
      </c>
      <c r="D1" s="133" t="s">
        <v>79</v>
      </c>
      <c r="E1" s="133" t="s">
        <v>80</v>
      </c>
      <c r="F1" s="133" t="s">
        <v>81</v>
      </c>
      <c r="G1" s="133" t="s">
        <v>82</v>
      </c>
      <c r="H1" s="133" t="s">
        <v>83</v>
      </c>
      <c r="I1" s="133" t="s">
        <v>84</v>
      </c>
      <c r="J1" s="133" t="s">
        <v>85</v>
      </c>
      <c r="K1" s="134" t="s">
        <v>86</v>
      </c>
      <c r="L1" s="15" t="s">
        <v>87</v>
      </c>
      <c r="M1" s="15" t="s">
        <v>88</v>
      </c>
      <c r="N1" s="15" t="s">
        <v>89</v>
      </c>
      <c r="O1" s="15" t="s">
        <v>90</v>
      </c>
      <c r="P1" s="15" t="s">
        <v>91</v>
      </c>
      <c r="Q1" s="15" t="s">
        <v>92</v>
      </c>
      <c r="R1" s="23" t="s">
        <v>93</v>
      </c>
      <c r="S1" s="23" t="s">
        <v>94</v>
      </c>
      <c r="T1" s="15" t="s">
        <v>95</v>
      </c>
      <c r="U1" s="136" t="s">
        <v>96</v>
      </c>
      <c r="V1" s="15" t="s">
        <v>97</v>
      </c>
      <c r="W1" s="15" t="s">
        <v>98</v>
      </c>
      <c r="X1" s="15" t="s">
        <v>99</v>
      </c>
      <c r="Y1" s="15" t="s">
        <v>100</v>
      </c>
      <c r="Z1" s="15" t="s">
        <v>101</v>
      </c>
      <c r="AA1" s="15" t="s">
        <v>102</v>
      </c>
      <c r="AB1" s="15" t="s">
        <v>103</v>
      </c>
      <c r="AC1" s="15" t="s">
        <v>104</v>
      </c>
      <c r="AD1" s="15" t="s">
        <v>105</v>
      </c>
      <c r="AE1" s="15" t="s">
        <v>106</v>
      </c>
      <c r="AF1" s="15" t="s">
        <v>107</v>
      </c>
      <c r="AG1" s="15" t="s">
        <v>108</v>
      </c>
      <c r="AH1" s="15" t="s">
        <v>109</v>
      </c>
      <c r="AI1" s="15" t="s">
        <v>110</v>
      </c>
      <c r="AJ1" s="15" t="s">
        <v>111</v>
      </c>
      <c r="AK1" s="15" t="s">
        <v>112</v>
      </c>
      <c r="AL1" s="15" t="s">
        <v>113</v>
      </c>
      <c r="AM1" s="15" t="s">
        <v>114</v>
      </c>
      <c r="AN1" s="258" t="s">
        <v>115</v>
      </c>
      <c r="AO1" s="15" t="s">
        <v>116</v>
      </c>
      <c r="AP1" s="15" t="s">
        <v>117</v>
      </c>
    </row>
    <row r="2" s="130" customFormat="1" customHeight="1" spans="1:42">
      <c r="A2" s="96" t="s">
        <v>357</v>
      </c>
      <c r="B2" s="412" t="s">
        <v>395</v>
      </c>
      <c r="C2" s="365" t="s">
        <v>396</v>
      </c>
      <c r="D2" s="162" t="s">
        <v>120</v>
      </c>
      <c r="E2" s="162"/>
      <c r="F2" s="162"/>
      <c r="G2" s="412">
        <v>5500</v>
      </c>
      <c r="H2" s="412">
        <v>4950</v>
      </c>
      <c r="I2" s="412"/>
      <c r="J2" s="412">
        <v>550</v>
      </c>
      <c r="K2" s="412">
        <v>25</v>
      </c>
      <c r="L2" s="412">
        <v>0</v>
      </c>
      <c r="M2" s="412">
        <v>8</v>
      </c>
      <c r="N2" s="412">
        <v>8</v>
      </c>
      <c r="O2" s="412">
        <v>8</v>
      </c>
      <c r="P2" s="412">
        <v>0</v>
      </c>
      <c r="Q2" s="412">
        <v>0</v>
      </c>
      <c r="R2" s="412">
        <v>0</v>
      </c>
      <c r="S2" s="412">
        <v>0</v>
      </c>
      <c r="T2" s="412">
        <v>8</v>
      </c>
      <c r="U2" s="412">
        <v>8</v>
      </c>
      <c r="V2" s="412">
        <v>8</v>
      </c>
      <c r="W2" s="412">
        <v>8</v>
      </c>
      <c r="X2" s="412">
        <v>8</v>
      </c>
      <c r="Y2" s="412">
        <v>8</v>
      </c>
      <c r="Z2" s="412">
        <v>8</v>
      </c>
      <c r="AA2" s="412">
        <v>8</v>
      </c>
      <c r="AB2" s="412">
        <v>8</v>
      </c>
      <c r="AC2" s="413">
        <v>8</v>
      </c>
      <c r="AD2" s="412">
        <v>8</v>
      </c>
      <c r="AE2" s="412">
        <v>8</v>
      </c>
      <c r="AF2" s="412">
        <v>8</v>
      </c>
      <c r="AG2" s="412">
        <v>8</v>
      </c>
      <c r="AH2" s="412">
        <v>8</v>
      </c>
      <c r="AI2" s="412">
        <v>8</v>
      </c>
      <c r="AJ2" s="412">
        <v>8</v>
      </c>
      <c r="AK2" s="412">
        <v>8</v>
      </c>
      <c r="AL2" s="412">
        <v>8</v>
      </c>
      <c r="AM2" s="413">
        <v>8</v>
      </c>
      <c r="AN2" s="412">
        <v>8</v>
      </c>
      <c r="AO2" s="412">
        <v>8</v>
      </c>
      <c r="AP2" s="412">
        <v>8</v>
      </c>
    </row>
    <row r="3" s="130" customFormat="1" customHeight="1" spans="1:42">
      <c r="A3" s="96" t="s">
        <v>365</v>
      </c>
      <c r="B3" s="412" t="s">
        <v>395</v>
      </c>
      <c r="C3" s="365" t="s">
        <v>397</v>
      </c>
      <c r="D3" s="162" t="s">
        <v>120</v>
      </c>
      <c r="E3" s="162"/>
      <c r="F3" s="162"/>
      <c r="G3" s="412">
        <v>4000</v>
      </c>
      <c r="H3" s="412">
        <v>4600</v>
      </c>
      <c r="I3" s="412"/>
      <c r="J3" s="412">
        <v>400</v>
      </c>
      <c r="K3" s="412">
        <v>25</v>
      </c>
      <c r="L3" s="412">
        <v>8</v>
      </c>
      <c r="M3" s="412">
        <v>8</v>
      </c>
      <c r="N3" s="412">
        <v>0</v>
      </c>
      <c r="O3" s="412">
        <v>8</v>
      </c>
      <c r="P3" s="412">
        <v>9</v>
      </c>
      <c r="Q3" s="412">
        <v>8</v>
      </c>
      <c r="R3" s="412">
        <v>8</v>
      </c>
      <c r="S3" s="412">
        <v>8</v>
      </c>
      <c r="T3" s="412">
        <v>0</v>
      </c>
      <c r="U3" s="412">
        <v>8</v>
      </c>
      <c r="V3" s="412">
        <v>8</v>
      </c>
      <c r="W3" s="412">
        <v>8</v>
      </c>
      <c r="X3" s="412">
        <v>8</v>
      </c>
      <c r="Y3" s="412">
        <v>8</v>
      </c>
      <c r="Z3" s="412">
        <v>0</v>
      </c>
      <c r="AA3" s="412">
        <v>8</v>
      </c>
      <c r="AB3" s="412">
        <v>8</v>
      </c>
      <c r="AC3" s="412">
        <v>8</v>
      </c>
      <c r="AD3" s="412">
        <v>8</v>
      </c>
      <c r="AE3" s="412">
        <v>8</v>
      </c>
      <c r="AF3" s="412">
        <v>8</v>
      </c>
      <c r="AG3" s="412">
        <v>8</v>
      </c>
      <c r="AH3" s="412">
        <v>8</v>
      </c>
      <c r="AI3" s="412">
        <v>8</v>
      </c>
      <c r="AJ3" s="412">
        <v>8</v>
      </c>
      <c r="AK3" s="412">
        <v>8</v>
      </c>
      <c r="AL3" s="412">
        <v>8</v>
      </c>
      <c r="AM3" s="412">
        <v>8</v>
      </c>
      <c r="AN3" s="412">
        <v>8</v>
      </c>
      <c r="AO3" s="412">
        <v>8</v>
      </c>
      <c r="AP3" s="412">
        <v>8</v>
      </c>
    </row>
    <row r="4" s="130" customFormat="1" customHeight="1" spans="1:42">
      <c r="A4" s="365" t="s">
        <v>366</v>
      </c>
      <c r="B4" s="412" t="s">
        <v>395</v>
      </c>
      <c r="C4" s="365" t="s">
        <v>379</v>
      </c>
      <c r="D4" s="162" t="s">
        <v>120</v>
      </c>
      <c r="E4" s="162"/>
      <c r="F4" s="162"/>
      <c r="G4" s="412">
        <v>3200</v>
      </c>
      <c r="H4" s="412">
        <v>2200</v>
      </c>
      <c r="I4" s="412">
        <v>1000</v>
      </c>
      <c r="J4" s="412"/>
      <c r="K4" s="412">
        <v>25</v>
      </c>
      <c r="L4" s="412">
        <v>8</v>
      </c>
      <c r="M4" s="412">
        <v>0</v>
      </c>
      <c r="N4" s="412">
        <v>8</v>
      </c>
      <c r="O4" s="412">
        <v>8</v>
      </c>
      <c r="P4" s="412">
        <v>8</v>
      </c>
      <c r="Q4" s="412">
        <v>8</v>
      </c>
      <c r="R4" s="412">
        <v>8</v>
      </c>
      <c r="S4" s="413">
        <v>8</v>
      </c>
      <c r="T4" s="412">
        <v>8</v>
      </c>
      <c r="U4" s="412">
        <v>8</v>
      </c>
      <c r="V4" s="412">
        <v>0</v>
      </c>
      <c r="W4" s="412">
        <v>0</v>
      </c>
      <c r="X4" s="412">
        <v>0</v>
      </c>
      <c r="Y4" s="412">
        <v>0</v>
      </c>
      <c r="Z4" s="412">
        <v>8</v>
      </c>
      <c r="AA4" s="412">
        <v>8</v>
      </c>
      <c r="AB4" s="412">
        <v>8</v>
      </c>
      <c r="AC4" s="412">
        <v>8</v>
      </c>
      <c r="AD4" s="412">
        <v>0</v>
      </c>
      <c r="AE4" s="412">
        <v>8</v>
      </c>
      <c r="AF4" s="412">
        <v>8</v>
      </c>
      <c r="AG4" s="412">
        <v>8</v>
      </c>
      <c r="AH4" s="412">
        <v>8</v>
      </c>
      <c r="AI4" s="412">
        <v>8</v>
      </c>
      <c r="AJ4" s="412">
        <v>8</v>
      </c>
      <c r="AK4" s="412">
        <v>8</v>
      </c>
      <c r="AL4" s="412">
        <v>0</v>
      </c>
      <c r="AM4" s="412">
        <v>0</v>
      </c>
      <c r="AN4" s="412">
        <v>8</v>
      </c>
      <c r="AO4" s="412">
        <v>8</v>
      </c>
      <c r="AP4" s="412">
        <v>8</v>
      </c>
    </row>
    <row r="5" s="130" customFormat="1" customHeight="1" spans="1:42">
      <c r="A5" s="96" t="s">
        <v>368</v>
      </c>
      <c r="B5" s="412" t="s">
        <v>395</v>
      </c>
      <c r="C5" s="365" t="s">
        <v>379</v>
      </c>
      <c r="D5" s="162" t="s">
        <v>120</v>
      </c>
      <c r="E5" s="162"/>
      <c r="F5" s="162"/>
      <c r="G5" s="412">
        <v>3200</v>
      </c>
      <c r="H5" s="412">
        <v>2200</v>
      </c>
      <c r="I5" s="412">
        <v>1000</v>
      </c>
      <c r="J5" s="412"/>
      <c r="K5" s="412">
        <v>25</v>
      </c>
      <c r="L5" s="412">
        <v>8</v>
      </c>
      <c r="M5" s="412">
        <v>8</v>
      </c>
      <c r="N5" s="412">
        <v>8</v>
      </c>
      <c r="O5" s="412">
        <v>10.5</v>
      </c>
      <c r="P5" s="412">
        <v>7.5</v>
      </c>
      <c r="Q5" s="412">
        <v>8</v>
      </c>
      <c r="R5" s="412">
        <v>8</v>
      </c>
      <c r="S5" s="412">
        <v>8</v>
      </c>
      <c r="T5" s="412">
        <v>8</v>
      </c>
      <c r="U5" s="412">
        <v>8</v>
      </c>
      <c r="V5" s="412">
        <v>8</v>
      </c>
      <c r="W5" s="412">
        <v>8.5</v>
      </c>
      <c r="X5" s="412">
        <v>0</v>
      </c>
      <c r="Y5" s="412">
        <v>8</v>
      </c>
      <c r="Z5" s="412">
        <v>8</v>
      </c>
      <c r="AA5" s="412">
        <v>8</v>
      </c>
      <c r="AB5" s="412">
        <v>8</v>
      </c>
      <c r="AC5" s="412">
        <v>8</v>
      </c>
      <c r="AD5" s="412">
        <v>8</v>
      </c>
      <c r="AE5" s="412">
        <v>8</v>
      </c>
      <c r="AF5" s="412">
        <v>0</v>
      </c>
      <c r="AG5" s="412">
        <v>8</v>
      </c>
      <c r="AH5" s="412">
        <v>8</v>
      </c>
      <c r="AI5" s="412">
        <v>8</v>
      </c>
      <c r="AJ5" s="412">
        <v>8</v>
      </c>
      <c r="AK5" s="412">
        <v>13</v>
      </c>
      <c r="AL5" s="412">
        <v>8</v>
      </c>
      <c r="AM5" s="412">
        <v>13.5</v>
      </c>
      <c r="AN5" s="412">
        <v>8</v>
      </c>
      <c r="AO5" s="412">
        <v>8</v>
      </c>
      <c r="AP5" s="412">
        <v>8</v>
      </c>
    </row>
    <row r="6" s="130" customFormat="1" customHeight="1" spans="1:42">
      <c r="A6" s="96" t="s">
        <v>369</v>
      </c>
      <c r="B6" s="412" t="s">
        <v>395</v>
      </c>
      <c r="C6" s="365" t="s">
        <v>379</v>
      </c>
      <c r="D6" s="162" t="s">
        <v>120</v>
      </c>
      <c r="E6" s="162"/>
      <c r="F6" s="162"/>
      <c r="G6" s="412">
        <v>3200</v>
      </c>
      <c r="H6" s="412">
        <v>2200</v>
      </c>
      <c r="I6" s="412">
        <v>1000</v>
      </c>
      <c r="J6" s="412"/>
      <c r="K6" s="412">
        <v>25</v>
      </c>
      <c r="L6" s="412">
        <v>0</v>
      </c>
      <c r="M6" s="412">
        <v>8</v>
      </c>
      <c r="N6" s="412">
        <v>8</v>
      </c>
      <c r="O6" s="412">
        <v>8</v>
      </c>
      <c r="P6" s="412">
        <v>8</v>
      </c>
      <c r="Q6" s="412">
        <v>8</v>
      </c>
      <c r="R6" s="412">
        <v>8</v>
      </c>
      <c r="S6" s="412">
        <v>16</v>
      </c>
      <c r="T6" s="412">
        <v>0</v>
      </c>
      <c r="U6" s="412">
        <v>8</v>
      </c>
      <c r="V6" s="412">
        <v>8</v>
      </c>
      <c r="W6" s="412">
        <v>8</v>
      </c>
      <c r="X6" s="412">
        <v>8</v>
      </c>
      <c r="Y6" s="412">
        <v>8</v>
      </c>
      <c r="Z6" s="412">
        <v>8</v>
      </c>
      <c r="AA6" s="412">
        <v>9.5</v>
      </c>
      <c r="AB6" s="412">
        <v>0</v>
      </c>
      <c r="AC6" s="412">
        <v>8</v>
      </c>
      <c r="AD6" s="412">
        <v>8</v>
      </c>
      <c r="AE6" s="412">
        <v>8</v>
      </c>
      <c r="AF6" s="412">
        <v>8</v>
      </c>
      <c r="AG6" s="412">
        <v>8</v>
      </c>
      <c r="AH6" s="412">
        <v>8</v>
      </c>
      <c r="AI6" s="412">
        <v>9</v>
      </c>
      <c r="AJ6" s="412">
        <v>0</v>
      </c>
      <c r="AK6" s="412">
        <v>8</v>
      </c>
      <c r="AL6" s="412">
        <v>8</v>
      </c>
      <c r="AM6" s="412">
        <v>8</v>
      </c>
      <c r="AN6" s="412">
        <v>8</v>
      </c>
      <c r="AO6" s="412">
        <v>11.5</v>
      </c>
      <c r="AP6" s="412">
        <v>9.5</v>
      </c>
    </row>
    <row r="7" s="130" customFormat="1" customHeight="1" spans="1:42">
      <c r="A7" s="96" t="s">
        <v>367</v>
      </c>
      <c r="B7" s="412" t="s">
        <v>395</v>
      </c>
      <c r="C7" s="365" t="s">
        <v>379</v>
      </c>
      <c r="D7" s="162" t="s">
        <v>120</v>
      </c>
      <c r="E7" s="162"/>
      <c r="F7" s="162"/>
      <c r="G7" s="412">
        <v>3200</v>
      </c>
      <c r="H7" s="412">
        <v>2200</v>
      </c>
      <c r="I7" s="412">
        <v>1000</v>
      </c>
      <c r="J7" s="412"/>
      <c r="K7" s="412">
        <v>25</v>
      </c>
      <c r="L7" s="412">
        <v>8</v>
      </c>
      <c r="M7" s="412">
        <v>0</v>
      </c>
      <c r="N7" s="412">
        <v>8</v>
      </c>
      <c r="O7" s="412">
        <v>8</v>
      </c>
      <c r="P7" s="412">
        <v>8</v>
      </c>
      <c r="Q7" s="412">
        <v>8</v>
      </c>
      <c r="R7" s="412">
        <v>8</v>
      </c>
      <c r="S7" s="412">
        <v>0</v>
      </c>
      <c r="T7" s="412">
        <v>8</v>
      </c>
      <c r="U7" s="412">
        <v>0</v>
      </c>
      <c r="V7" s="412">
        <v>8</v>
      </c>
      <c r="W7" s="412">
        <v>8</v>
      </c>
      <c r="X7" s="412">
        <v>8</v>
      </c>
      <c r="Y7" s="412">
        <v>8</v>
      </c>
      <c r="Z7" s="412">
        <v>8</v>
      </c>
      <c r="AA7" s="412">
        <v>8</v>
      </c>
      <c r="AB7" s="412">
        <v>9</v>
      </c>
      <c r="AC7" s="412">
        <v>8</v>
      </c>
      <c r="AD7" s="412">
        <v>8</v>
      </c>
      <c r="AE7" s="412">
        <v>8</v>
      </c>
      <c r="AF7" s="412">
        <v>8</v>
      </c>
      <c r="AG7" s="412">
        <v>8</v>
      </c>
      <c r="AH7" s="412">
        <v>0</v>
      </c>
      <c r="AI7" s="412">
        <v>0</v>
      </c>
      <c r="AJ7" s="412">
        <v>8</v>
      </c>
      <c r="AK7" s="412">
        <v>8</v>
      </c>
      <c r="AL7" s="412">
        <v>8</v>
      </c>
      <c r="AM7" s="412">
        <v>8</v>
      </c>
      <c r="AN7" s="412">
        <v>8</v>
      </c>
      <c r="AO7" s="412">
        <v>8</v>
      </c>
      <c r="AP7" s="412">
        <v>8</v>
      </c>
    </row>
    <row r="8" s="130" customFormat="1" customHeight="1" spans="1:42">
      <c r="A8" s="96" t="s">
        <v>370</v>
      </c>
      <c r="B8" s="412" t="s">
        <v>395</v>
      </c>
      <c r="C8" s="365" t="s">
        <v>379</v>
      </c>
      <c r="D8" s="162" t="s">
        <v>120</v>
      </c>
      <c r="E8" s="162"/>
      <c r="F8" s="162"/>
      <c r="G8" s="412">
        <v>3200</v>
      </c>
      <c r="H8" s="412">
        <v>2200</v>
      </c>
      <c r="I8" s="412">
        <v>1000</v>
      </c>
      <c r="J8" s="412"/>
      <c r="K8" s="412">
        <v>25</v>
      </c>
      <c r="L8" s="412">
        <v>8</v>
      </c>
      <c r="M8" s="412">
        <v>0</v>
      </c>
      <c r="N8" s="412">
        <v>8</v>
      </c>
      <c r="O8" s="412">
        <v>0</v>
      </c>
      <c r="P8" s="412">
        <v>0</v>
      </c>
      <c r="Q8" s="412">
        <v>8</v>
      </c>
      <c r="R8" s="412">
        <v>8</v>
      </c>
      <c r="S8" s="412">
        <v>8</v>
      </c>
      <c r="T8" s="412">
        <v>8</v>
      </c>
      <c r="U8" s="412">
        <v>8</v>
      </c>
      <c r="V8" s="412">
        <v>9</v>
      </c>
      <c r="W8" s="412">
        <v>8</v>
      </c>
      <c r="X8" s="412">
        <v>8</v>
      </c>
      <c r="Y8" s="412">
        <v>8</v>
      </c>
      <c r="Z8" s="412">
        <v>8</v>
      </c>
      <c r="AA8" s="412">
        <v>8</v>
      </c>
      <c r="AB8" s="412">
        <v>8</v>
      </c>
      <c r="AC8" s="412">
        <v>8</v>
      </c>
      <c r="AD8" s="412">
        <v>8</v>
      </c>
      <c r="AE8" s="412">
        <v>0</v>
      </c>
      <c r="AF8" s="412">
        <v>8</v>
      </c>
      <c r="AG8" s="412">
        <v>8</v>
      </c>
      <c r="AH8" s="412">
        <v>8</v>
      </c>
      <c r="AI8" s="412">
        <v>8</v>
      </c>
      <c r="AJ8" s="412">
        <v>8</v>
      </c>
      <c r="AK8" s="412">
        <v>8</v>
      </c>
      <c r="AL8" s="412">
        <v>8</v>
      </c>
      <c r="AM8" s="413">
        <v>0</v>
      </c>
      <c r="AN8" s="412">
        <v>8</v>
      </c>
      <c r="AO8" s="412">
        <v>8</v>
      </c>
      <c r="AP8" s="412">
        <v>8</v>
      </c>
    </row>
    <row r="9" s="130" customFormat="1" customHeight="1" spans="1:42">
      <c r="A9" s="96" t="s">
        <v>371</v>
      </c>
      <c r="B9" s="412" t="s">
        <v>395</v>
      </c>
      <c r="C9" s="365" t="s">
        <v>379</v>
      </c>
      <c r="D9" s="162" t="s">
        <v>120</v>
      </c>
      <c r="E9" s="162"/>
      <c r="F9" s="162"/>
      <c r="G9" s="412">
        <v>3200</v>
      </c>
      <c r="H9" s="412">
        <v>2200</v>
      </c>
      <c r="I9" s="412">
        <v>1000</v>
      </c>
      <c r="J9" s="412"/>
      <c r="K9" s="412">
        <v>25</v>
      </c>
      <c r="L9" s="412">
        <v>8</v>
      </c>
      <c r="M9" s="412">
        <v>8</v>
      </c>
      <c r="N9" s="412">
        <v>0</v>
      </c>
      <c r="O9" s="412">
        <v>8</v>
      </c>
      <c r="P9" s="412">
        <v>8</v>
      </c>
      <c r="Q9" s="412">
        <v>0</v>
      </c>
      <c r="R9" s="412">
        <v>8</v>
      </c>
      <c r="S9" s="412">
        <v>8</v>
      </c>
      <c r="T9" s="412">
        <v>8</v>
      </c>
      <c r="U9" s="412">
        <v>8</v>
      </c>
      <c r="V9" s="412">
        <v>8</v>
      </c>
      <c r="W9" s="412">
        <v>8</v>
      </c>
      <c r="X9" s="412">
        <v>8</v>
      </c>
      <c r="Y9" s="412">
        <v>0</v>
      </c>
      <c r="Z9" s="412">
        <v>8</v>
      </c>
      <c r="AA9" s="412">
        <v>8</v>
      </c>
      <c r="AB9" s="412">
        <v>8</v>
      </c>
      <c r="AC9" s="412">
        <v>8</v>
      </c>
      <c r="AD9" s="412">
        <v>8</v>
      </c>
      <c r="AE9" s="412">
        <v>8</v>
      </c>
      <c r="AF9" s="412">
        <v>8</v>
      </c>
      <c r="AG9" s="412">
        <v>0</v>
      </c>
      <c r="AH9" s="412">
        <v>0</v>
      </c>
      <c r="AI9" s="412">
        <v>0</v>
      </c>
      <c r="AJ9" s="412">
        <v>0</v>
      </c>
      <c r="AK9" s="412">
        <v>8</v>
      </c>
      <c r="AL9" s="412">
        <v>0</v>
      </c>
      <c r="AM9" s="412">
        <v>0</v>
      </c>
      <c r="AN9" s="412">
        <v>0</v>
      </c>
      <c r="AO9" s="412">
        <v>0</v>
      </c>
      <c r="AP9" s="412">
        <v>0</v>
      </c>
    </row>
    <row r="10" s="130" customFormat="1" customHeight="1" spans="1:42">
      <c r="A10" s="412" t="s">
        <v>372</v>
      </c>
      <c r="B10" s="412" t="s">
        <v>395</v>
      </c>
      <c r="C10" s="365" t="s">
        <v>379</v>
      </c>
      <c r="D10" s="162" t="s">
        <v>120</v>
      </c>
      <c r="E10" s="162"/>
      <c r="F10" s="162"/>
      <c r="G10" s="412">
        <v>3200</v>
      </c>
      <c r="H10" s="412">
        <v>2200</v>
      </c>
      <c r="I10" s="412">
        <v>1000</v>
      </c>
      <c r="J10" s="412"/>
      <c r="K10" s="412">
        <v>25</v>
      </c>
      <c r="L10" s="412">
        <v>0</v>
      </c>
      <c r="M10" s="412">
        <v>8</v>
      </c>
      <c r="N10" s="412">
        <v>8</v>
      </c>
      <c r="O10" s="412">
        <v>8</v>
      </c>
      <c r="P10" s="412">
        <v>8</v>
      </c>
      <c r="Q10" s="412">
        <v>8</v>
      </c>
      <c r="R10" s="412">
        <v>10</v>
      </c>
      <c r="S10" s="412">
        <v>8</v>
      </c>
      <c r="T10" s="412">
        <v>8</v>
      </c>
      <c r="U10" s="412">
        <v>8</v>
      </c>
      <c r="V10" s="412">
        <v>8</v>
      </c>
      <c r="W10" s="412">
        <v>8</v>
      </c>
      <c r="X10" s="412">
        <v>8</v>
      </c>
      <c r="Y10" s="412">
        <v>8</v>
      </c>
      <c r="Z10" s="412">
        <v>8</v>
      </c>
      <c r="AA10" s="412">
        <v>0</v>
      </c>
      <c r="AB10" s="412">
        <v>8</v>
      </c>
      <c r="AC10" s="412">
        <v>8</v>
      </c>
      <c r="AD10" s="412">
        <v>8</v>
      </c>
      <c r="AE10" s="412">
        <v>8</v>
      </c>
      <c r="AF10" s="412">
        <v>8</v>
      </c>
      <c r="AG10" s="412">
        <v>8</v>
      </c>
      <c r="AH10" s="412">
        <v>10</v>
      </c>
      <c r="AI10" s="412">
        <v>0</v>
      </c>
      <c r="AJ10" s="412">
        <v>8</v>
      </c>
      <c r="AK10" s="412">
        <v>8</v>
      </c>
      <c r="AL10" s="412">
        <v>8</v>
      </c>
      <c r="AM10" s="412">
        <v>8</v>
      </c>
      <c r="AN10" s="412">
        <v>8</v>
      </c>
      <c r="AO10" s="412">
        <v>8.5</v>
      </c>
      <c r="AP10" s="412">
        <v>8</v>
      </c>
    </row>
    <row r="11" s="200" customFormat="1" customHeight="1" spans="1:42">
      <c r="A11" s="40" t="s">
        <v>398</v>
      </c>
      <c r="B11" s="162" t="s">
        <v>395</v>
      </c>
      <c r="C11" s="162" t="s">
        <v>399</v>
      </c>
      <c r="D11" s="162" t="s">
        <v>120</v>
      </c>
      <c r="E11" s="162"/>
      <c r="F11" s="162"/>
      <c r="G11" s="162">
        <v>3800</v>
      </c>
      <c r="H11" s="162">
        <v>3800</v>
      </c>
      <c r="I11" s="162"/>
      <c r="J11" s="162"/>
      <c r="K11" s="412">
        <v>25</v>
      </c>
      <c r="L11" s="412">
        <v>8</v>
      </c>
      <c r="M11" s="412">
        <v>8</v>
      </c>
      <c r="N11" s="412">
        <v>8</v>
      </c>
      <c r="O11" s="412">
        <v>8</v>
      </c>
      <c r="P11" s="412">
        <v>8</v>
      </c>
      <c r="Q11" s="412">
        <v>8</v>
      </c>
      <c r="R11" s="412">
        <v>0</v>
      </c>
      <c r="S11" s="412">
        <v>8</v>
      </c>
      <c r="T11" s="412">
        <v>0</v>
      </c>
      <c r="U11" s="412">
        <v>8</v>
      </c>
      <c r="V11" s="412">
        <v>8</v>
      </c>
      <c r="W11" s="412">
        <v>8</v>
      </c>
      <c r="X11" s="412">
        <v>8</v>
      </c>
      <c r="Y11" s="412">
        <v>0</v>
      </c>
      <c r="Z11" s="412">
        <v>8</v>
      </c>
      <c r="AA11" s="412">
        <v>8</v>
      </c>
      <c r="AB11" s="412">
        <v>8</v>
      </c>
      <c r="AC11" s="413">
        <v>8</v>
      </c>
      <c r="AD11" s="412">
        <v>8</v>
      </c>
      <c r="AE11" s="412">
        <v>8</v>
      </c>
      <c r="AF11" s="412">
        <v>8</v>
      </c>
      <c r="AG11" s="412">
        <v>8</v>
      </c>
      <c r="AH11" s="412">
        <v>8</v>
      </c>
      <c r="AI11" s="412">
        <v>8</v>
      </c>
      <c r="AJ11" s="412">
        <v>8</v>
      </c>
      <c r="AK11" s="412">
        <v>8</v>
      </c>
      <c r="AL11" s="412">
        <v>8</v>
      </c>
      <c r="AM11" s="412">
        <v>0</v>
      </c>
      <c r="AN11" s="412">
        <v>8</v>
      </c>
      <c r="AO11" s="412">
        <v>8</v>
      </c>
      <c r="AP11" s="412"/>
    </row>
    <row r="12" s="200" customFormat="1" customHeight="1" spans="1:42">
      <c r="A12" s="39" t="s">
        <v>373</v>
      </c>
      <c r="B12" s="357" t="s">
        <v>395</v>
      </c>
      <c r="C12" s="357" t="s">
        <v>379</v>
      </c>
      <c r="D12" s="162"/>
      <c r="E12" s="162"/>
      <c r="F12" s="162"/>
      <c r="G12" s="412">
        <v>3200</v>
      </c>
      <c r="H12" s="412">
        <v>2200</v>
      </c>
      <c r="I12" s="412">
        <v>1000</v>
      </c>
      <c r="J12" s="162"/>
      <c r="K12" s="412">
        <v>25</v>
      </c>
      <c r="L12" s="412">
        <v>8</v>
      </c>
      <c r="M12" s="412">
        <v>8</v>
      </c>
      <c r="N12" s="412">
        <v>8</v>
      </c>
      <c r="O12" s="412">
        <v>8</v>
      </c>
      <c r="P12" s="412">
        <v>13</v>
      </c>
      <c r="Q12" s="412">
        <v>8</v>
      </c>
      <c r="R12" s="412">
        <v>0</v>
      </c>
      <c r="S12" s="412">
        <v>8</v>
      </c>
      <c r="T12" s="412">
        <v>8</v>
      </c>
      <c r="U12" s="412">
        <v>8</v>
      </c>
      <c r="V12" s="412">
        <v>8</v>
      </c>
      <c r="W12" s="412">
        <v>8</v>
      </c>
      <c r="X12" s="412">
        <v>8</v>
      </c>
      <c r="Y12" s="412">
        <v>8</v>
      </c>
      <c r="Z12" s="412">
        <v>0</v>
      </c>
      <c r="AA12" s="412">
        <v>8</v>
      </c>
      <c r="AB12" s="412">
        <v>8</v>
      </c>
      <c r="AC12" s="412">
        <v>8</v>
      </c>
      <c r="AD12" s="412">
        <v>8</v>
      </c>
      <c r="AE12" s="412">
        <v>8</v>
      </c>
      <c r="AF12" s="412">
        <v>8</v>
      </c>
      <c r="AG12" s="412">
        <v>8</v>
      </c>
      <c r="AH12" s="412">
        <v>0</v>
      </c>
      <c r="AI12" s="412">
        <v>8</v>
      </c>
      <c r="AJ12" s="412">
        <v>8</v>
      </c>
      <c r="AK12" s="412">
        <v>8</v>
      </c>
      <c r="AL12" s="412">
        <v>8</v>
      </c>
      <c r="AM12" s="413">
        <v>8</v>
      </c>
      <c r="AN12" s="412">
        <v>8</v>
      </c>
      <c r="AO12" s="412">
        <v>0</v>
      </c>
      <c r="AP12" s="412">
        <v>8</v>
      </c>
    </row>
    <row r="13" s="200" customFormat="1" customHeight="1" spans="1:42">
      <c r="A13" s="39" t="s">
        <v>374</v>
      </c>
      <c r="B13" s="357" t="s">
        <v>395</v>
      </c>
      <c r="C13" s="357" t="s">
        <v>379</v>
      </c>
      <c r="D13" s="162" t="s">
        <v>120</v>
      </c>
      <c r="E13" s="162"/>
      <c r="F13" s="162"/>
      <c r="G13" s="412">
        <v>3200</v>
      </c>
      <c r="H13" s="412">
        <v>2200</v>
      </c>
      <c r="I13" s="412">
        <v>1000</v>
      </c>
      <c r="J13" s="162"/>
      <c r="K13" s="412">
        <v>25</v>
      </c>
      <c r="L13" s="412">
        <v>0</v>
      </c>
      <c r="M13" s="412">
        <v>8</v>
      </c>
      <c r="N13" s="412">
        <v>8</v>
      </c>
      <c r="O13" s="412">
        <v>8</v>
      </c>
      <c r="P13" s="412">
        <v>8</v>
      </c>
      <c r="Q13" s="412">
        <v>0</v>
      </c>
      <c r="R13" s="412">
        <v>0</v>
      </c>
      <c r="S13" s="412">
        <v>0</v>
      </c>
      <c r="T13" s="412">
        <v>8</v>
      </c>
      <c r="U13" s="412">
        <v>8</v>
      </c>
      <c r="V13" s="412">
        <v>8</v>
      </c>
      <c r="W13" s="412">
        <v>8</v>
      </c>
      <c r="X13" s="412">
        <v>8</v>
      </c>
      <c r="Y13" s="412">
        <v>8</v>
      </c>
      <c r="Z13" s="412">
        <v>8</v>
      </c>
      <c r="AA13" s="412">
        <v>8</v>
      </c>
      <c r="AB13" s="412">
        <v>8</v>
      </c>
      <c r="AC13" s="412">
        <v>8</v>
      </c>
      <c r="AD13" s="412">
        <v>8</v>
      </c>
      <c r="AE13" s="412">
        <v>8</v>
      </c>
      <c r="AF13" s="412">
        <v>8</v>
      </c>
      <c r="AG13" s="412">
        <v>8</v>
      </c>
      <c r="AH13" s="412">
        <v>8</v>
      </c>
      <c r="AI13" s="412">
        <v>8</v>
      </c>
      <c r="AJ13" s="412">
        <v>8</v>
      </c>
      <c r="AK13" s="412">
        <v>8</v>
      </c>
      <c r="AL13" s="412">
        <v>8</v>
      </c>
      <c r="AM13" s="412">
        <v>8</v>
      </c>
      <c r="AN13" s="412">
        <v>8</v>
      </c>
      <c r="AO13" s="412">
        <v>8</v>
      </c>
      <c r="AP13" s="412">
        <v>8</v>
      </c>
    </row>
    <row r="14" s="200" customFormat="1" customHeight="1" spans="1:42">
      <c r="A14" s="40"/>
      <c r="B14" s="162"/>
      <c r="C14" s="162"/>
      <c r="D14" s="162"/>
      <c r="E14" s="162"/>
      <c r="F14" s="162"/>
      <c r="G14" s="162"/>
      <c r="H14" s="162"/>
      <c r="I14" s="162"/>
      <c r="J14" s="162"/>
      <c r="K14" s="203"/>
      <c r="L14" s="412"/>
      <c r="M14" s="412"/>
      <c r="N14" s="412"/>
      <c r="O14" s="412"/>
      <c r="P14" s="412"/>
      <c r="Q14" s="412"/>
      <c r="R14" s="412"/>
      <c r="S14" s="412"/>
      <c r="T14" s="412"/>
      <c r="U14" s="412"/>
      <c r="V14" s="412"/>
      <c r="W14" s="412"/>
      <c r="X14" s="412"/>
      <c r="Y14" s="412"/>
      <c r="Z14" s="412"/>
      <c r="AA14" s="412"/>
      <c r="AB14" s="412"/>
      <c r="AC14" s="412"/>
      <c r="AD14" s="412"/>
      <c r="AE14" s="412"/>
      <c r="AF14" s="412"/>
      <c r="AG14" s="412"/>
      <c r="AH14" s="412"/>
      <c r="AI14" s="412"/>
      <c r="AJ14" s="412"/>
      <c r="AK14" s="412"/>
      <c r="AL14" s="412"/>
      <c r="AM14" s="412"/>
      <c r="AN14" s="412"/>
      <c r="AO14" s="412"/>
      <c r="AP14" s="412"/>
    </row>
    <row r="15" s="131" customFormat="1" customHeight="1" spans="1:42">
      <c r="A15" s="136" t="s">
        <v>335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>
        <f t="shared" ref="L15:AP15" si="0">SUM(L2:L14)</f>
        <v>64</v>
      </c>
      <c r="M15" s="136">
        <f t="shared" si="0"/>
        <v>72</v>
      </c>
      <c r="N15" s="136">
        <f t="shared" si="0"/>
        <v>80</v>
      </c>
      <c r="O15" s="136">
        <f t="shared" si="0"/>
        <v>90.5</v>
      </c>
      <c r="P15" s="136">
        <f t="shared" si="0"/>
        <v>85.5</v>
      </c>
      <c r="Q15" s="136">
        <f t="shared" si="0"/>
        <v>72</v>
      </c>
      <c r="R15" s="136">
        <f t="shared" si="0"/>
        <v>66</v>
      </c>
      <c r="S15" s="136">
        <f t="shared" si="0"/>
        <v>80</v>
      </c>
      <c r="T15" s="136">
        <f t="shared" si="0"/>
        <v>72</v>
      </c>
      <c r="U15" s="136">
        <f t="shared" si="0"/>
        <v>88</v>
      </c>
      <c r="V15" s="136">
        <f t="shared" si="0"/>
        <v>89</v>
      </c>
      <c r="W15" s="136">
        <f t="shared" si="0"/>
        <v>88.5</v>
      </c>
      <c r="X15" s="136">
        <f t="shared" si="0"/>
        <v>80</v>
      </c>
      <c r="Y15" s="136">
        <f t="shared" si="0"/>
        <v>72</v>
      </c>
      <c r="Z15" s="136">
        <f t="shared" si="0"/>
        <v>80</v>
      </c>
      <c r="AA15" s="136">
        <f t="shared" si="0"/>
        <v>89.5</v>
      </c>
      <c r="AB15" s="136">
        <f t="shared" si="0"/>
        <v>89</v>
      </c>
      <c r="AC15" s="136">
        <f t="shared" si="0"/>
        <v>96</v>
      </c>
      <c r="AD15" s="136">
        <f t="shared" si="0"/>
        <v>88</v>
      </c>
      <c r="AE15" s="136">
        <f t="shared" si="0"/>
        <v>88</v>
      </c>
      <c r="AF15" s="136">
        <f t="shared" si="0"/>
        <v>88</v>
      </c>
      <c r="AG15" s="136">
        <f t="shared" si="0"/>
        <v>88</v>
      </c>
      <c r="AH15" s="136">
        <f t="shared" si="0"/>
        <v>74</v>
      </c>
      <c r="AI15" s="136">
        <f t="shared" si="0"/>
        <v>73</v>
      </c>
      <c r="AJ15" s="136">
        <f t="shared" si="0"/>
        <v>80</v>
      </c>
      <c r="AK15" s="136">
        <f t="shared" si="0"/>
        <v>101</v>
      </c>
      <c r="AL15" s="136">
        <f t="shared" si="0"/>
        <v>80</v>
      </c>
      <c r="AM15" s="136">
        <f t="shared" si="0"/>
        <v>69.5</v>
      </c>
      <c r="AN15" s="136">
        <f t="shared" si="0"/>
        <v>88</v>
      </c>
      <c r="AO15" s="136">
        <f t="shared" si="0"/>
        <v>84</v>
      </c>
      <c r="AP15" s="136">
        <f t="shared" si="0"/>
        <v>81.5</v>
      </c>
    </row>
    <row r="16" ht="13.5" spans="1:42">
      <c r="AC16" s="414"/>
    </row>
    <row r="17" ht="13.5" spans="17:19">
      <c r="S17" s="415"/>
    </row>
    <row r="19" ht="13.5" spans="17:19">
      <c r="Q19" s="415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W227"/>
  <sheetViews>
    <sheetView showGridLines="0" workbookViewId="0">
      <pane xSplit="5" ySplit="4" topLeftCell="F5" activePane="bottomRight" state="frozen"/>
      <selection/>
      <selection pane="topRight"/>
      <selection pane="bottomLeft"/>
      <selection pane="bottomRight" activeCell="O9" sqref="O9"/>
    </sheetView>
  </sheetViews>
  <sheetFormatPr defaultColWidth="9" defaultRowHeight="25" customHeight="1"/>
  <cols>
    <col min="1" max="1" width="4.81666666666667" style="143"/>
    <col min="2" max="2" width="14.3583333333333" style="143" customWidth="1"/>
    <col min="3" max="3" width="10.55" style="143" customWidth="1"/>
    <col min="4" max="4" width="5.125" style="143" customWidth="1"/>
    <col min="5" max="5" width="8.95" style="143" customWidth="1"/>
    <col min="6" max="6" width="8.875" style="144" customWidth="1"/>
    <col min="7" max="7" width="8.875" style="145"/>
    <col min="8" max="8" width="8.875" style="144"/>
    <col min="9" max="9" width="10.125" style="145" customWidth="1"/>
    <col min="10" max="10" width="8.875" style="144"/>
    <col min="11" max="11" width="10.1833333333333" style="145"/>
    <col min="12" max="12" width="8.875" style="144"/>
    <col min="13" max="13" width="8.875" style="145"/>
    <col min="14" max="19" width="7.375" style="143"/>
    <col min="20" max="20" width="7.10833333333333" style="143" customWidth="1"/>
    <col min="21" max="21" width="6.61666666666667" style="143" customWidth="1"/>
    <col min="22" max="22" width="7.375" style="143"/>
    <col min="23" max="23" width="6.875" style="143" customWidth="1"/>
    <col min="24" max="25" width="7.375" style="143"/>
    <col min="26" max="26" width="6.375" style="143" customWidth="1"/>
    <col min="27" max="28" width="7.375" style="143"/>
    <col min="29" max="29" width="6.375" style="143" customWidth="1"/>
    <col min="30" max="31" width="7.375" style="143"/>
    <col min="32" max="32" width="9" style="143"/>
    <col min="33" max="34" width="7.375" style="143"/>
    <col min="35" max="35" width="7.23333333333333" style="143" customWidth="1"/>
    <col min="36" max="36" width="7.10833333333333" style="143" customWidth="1"/>
    <col min="37" max="37" width="7.375" style="143"/>
    <col min="38" max="38" width="6.125" style="143" customWidth="1"/>
    <col min="39" max="40" width="7.375" style="143"/>
    <col min="41" max="41" width="7.725" style="143" customWidth="1"/>
    <col min="42" max="43" width="7.375" style="143"/>
    <col min="44" max="44" width="6.375" style="143" customWidth="1"/>
    <col min="45" max="45" width="6.5" style="143" customWidth="1"/>
    <col min="46" max="46" width="6.875" style="143" customWidth="1"/>
    <col min="47" max="47" width="6.61666666666667" style="143" customWidth="1"/>
    <col min="48" max="49" width="7.375" style="143"/>
    <col min="50" max="50" width="9" style="143"/>
    <col min="51" max="52" width="7.375" style="143"/>
    <col min="53" max="53" width="7.48333333333333" style="143" customWidth="1"/>
    <col min="54" max="55" width="7.375" style="143"/>
    <col min="56" max="56" width="6.5" style="143" customWidth="1"/>
    <col min="57" max="58" width="7.375" style="143"/>
    <col min="59" max="59" width="6.61666666666667" style="143" customWidth="1"/>
    <col min="60" max="61" width="7.375" style="143"/>
    <col min="62" max="62" width="6.875" style="143" customWidth="1"/>
    <col min="63" max="64" width="7.375" style="143"/>
    <col min="65" max="65" width="9" style="143"/>
    <col min="66" max="66" width="6.99166666666667" style="143" customWidth="1"/>
    <col min="67" max="67" width="6.25833333333333" style="143" customWidth="1"/>
    <col min="68" max="68" width="7.725" style="143" customWidth="1"/>
    <col min="69" max="70" width="7.375" style="143"/>
    <col min="71" max="71" width="7.85833333333333" style="143" customWidth="1"/>
    <col min="72" max="73" width="7.375" style="143"/>
    <col min="74" max="74" width="9" style="143"/>
    <col min="75" max="75" width="7.375" style="143"/>
    <col min="76" max="16384" width="9" style="360"/>
  </cols>
  <sheetData>
    <row r="1" s="18" customFormat="1" ht="40" customHeight="1" spans="1:75">
      <c r="A1" s="148"/>
      <c r="B1" s="148" t="s">
        <v>400</v>
      </c>
      <c r="C1" s="148"/>
      <c r="D1" s="148"/>
      <c r="E1" s="148"/>
      <c r="F1" s="148"/>
      <c r="G1" s="150"/>
      <c r="H1" s="149"/>
      <c r="I1" s="150"/>
      <c r="J1" s="149"/>
      <c r="K1" s="150"/>
      <c r="L1" s="149"/>
      <c r="M1" s="150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148"/>
      <c r="BT1" s="148"/>
      <c r="BU1" s="148"/>
      <c r="BV1" s="148"/>
      <c r="BW1" s="148" t="s">
        <v>0</v>
      </c>
    </row>
    <row r="2" s="18" customFormat="1" ht="15" customHeight="1" spans="1:75">
      <c r="A2" s="148"/>
      <c r="B2" s="15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362" t="s">
        <v>125</v>
      </c>
      <c r="O2" s="362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148"/>
      <c r="BT2" s="148"/>
      <c r="BU2" s="148"/>
      <c r="BV2" s="148"/>
      <c r="BW2" s="148"/>
    </row>
    <row r="3" s="18" customFormat="1" customHeight="1" spans="1:75">
      <c r="A3" s="155" t="s">
        <v>3</v>
      </c>
      <c r="B3" s="155" t="s">
        <v>126</v>
      </c>
      <c r="C3" s="155" t="s">
        <v>127</v>
      </c>
      <c r="D3" s="155" t="s">
        <v>6</v>
      </c>
      <c r="E3" s="155" t="s">
        <v>64</v>
      </c>
      <c r="F3" s="156" t="s">
        <v>133</v>
      </c>
      <c r="G3" s="156" t="s">
        <v>129</v>
      </c>
      <c r="H3" s="156" t="s">
        <v>130</v>
      </c>
      <c r="I3" s="156" t="s">
        <v>131</v>
      </c>
      <c r="J3" s="156" t="s">
        <v>132</v>
      </c>
      <c r="K3" s="156" t="s">
        <v>65</v>
      </c>
      <c r="L3" s="156" t="s">
        <v>133</v>
      </c>
      <c r="M3" s="156" t="s">
        <v>129</v>
      </c>
      <c r="N3" s="363" t="s">
        <v>9</v>
      </c>
      <c r="O3" s="363"/>
      <c r="P3" s="363" t="s">
        <v>10</v>
      </c>
      <c r="Q3" s="363"/>
      <c r="R3" s="363" t="s">
        <v>11</v>
      </c>
      <c r="S3" s="363"/>
      <c r="T3" s="363" t="s">
        <v>12</v>
      </c>
      <c r="U3" s="363"/>
      <c r="V3" s="363" t="s">
        <v>13</v>
      </c>
      <c r="W3" s="363"/>
      <c r="X3" s="363" t="s">
        <v>14</v>
      </c>
      <c r="Y3" s="363"/>
      <c r="Z3" s="363" t="s">
        <v>15</v>
      </c>
      <c r="AA3" s="363"/>
      <c r="AB3" s="363" t="s">
        <v>16</v>
      </c>
      <c r="AC3" s="363"/>
      <c r="AD3" s="363" t="s">
        <v>17</v>
      </c>
      <c r="AE3" s="363"/>
      <c r="AF3" s="363" t="s">
        <v>18</v>
      </c>
      <c r="AG3" s="363"/>
      <c r="AH3" s="363" t="s">
        <v>19</v>
      </c>
      <c r="AI3" s="363"/>
      <c r="AJ3" s="363" t="s">
        <v>20</v>
      </c>
      <c r="AK3" s="363"/>
      <c r="AL3" s="363" t="s">
        <v>21</v>
      </c>
      <c r="AM3" s="363"/>
      <c r="AN3" s="20" t="s">
        <v>22</v>
      </c>
      <c r="AO3" s="20"/>
      <c r="AP3" s="20" t="s">
        <v>23</v>
      </c>
      <c r="AQ3" s="20"/>
      <c r="AR3" s="20" t="s">
        <v>24</v>
      </c>
      <c r="AS3" s="20"/>
      <c r="AT3" s="20" t="s">
        <v>25</v>
      </c>
      <c r="AU3" s="20"/>
      <c r="AV3" s="20" t="s">
        <v>26</v>
      </c>
      <c r="AW3" s="20"/>
      <c r="AX3" s="20" t="s">
        <v>27</v>
      </c>
      <c r="AY3" s="20"/>
      <c r="AZ3" s="20" t="s">
        <v>28</v>
      </c>
      <c r="BA3" s="20"/>
      <c r="BB3" s="20" t="s">
        <v>29</v>
      </c>
      <c r="BC3" s="20"/>
      <c r="BD3" s="20" t="s">
        <v>30</v>
      </c>
      <c r="BE3" s="20"/>
      <c r="BF3" s="20" t="s">
        <v>31</v>
      </c>
      <c r="BG3" s="20"/>
      <c r="BH3" s="20" t="s">
        <v>32</v>
      </c>
      <c r="BI3" s="20"/>
      <c r="BJ3" s="20" t="s">
        <v>33</v>
      </c>
      <c r="BK3" s="20"/>
      <c r="BL3" s="20" t="s">
        <v>34</v>
      </c>
      <c r="BM3" s="20"/>
      <c r="BN3" s="20" t="s">
        <v>35</v>
      </c>
      <c r="BO3" s="20"/>
      <c r="BP3" s="20" t="s">
        <v>36</v>
      </c>
      <c r="BQ3" s="20"/>
      <c r="BR3" s="20" t="s">
        <v>37</v>
      </c>
      <c r="BS3" s="20"/>
      <c r="BT3" s="20" t="s">
        <v>38</v>
      </c>
      <c r="BU3" s="20"/>
      <c r="BV3" s="20" t="s">
        <v>39</v>
      </c>
      <c r="BW3" s="20"/>
    </row>
    <row r="4" s="18" customFormat="1" customHeight="1" spans="1:75">
      <c r="A4" s="158"/>
      <c r="B4" s="158"/>
      <c r="C4" s="155"/>
      <c r="D4" s="158"/>
      <c r="E4" s="158"/>
      <c r="F4" s="159" t="s">
        <v>305</v>
      </c>
      <c r="G4" s="159"/>
      <c r="H4" s="159" t="s">
        <v>134</v>
      </c>
      <c r="I4" s="159" t="s">
        <v>8</v>
      </c>
      <c r="J4" s="159" t="s">
        <v>135</v>
      </c>
      <c r="K4" s="159"/>
      <c r="L4" s="159" t="s">
        <v>305</v>
      </c>
      <c r="M4" s="159"/>
      <c r="N4" s="363" t="s">
        <v>134</v>
      </c>
      <c r="O4" s="363" t="s">
        <v>135</v>
      </c>
      <c r="P4" s="363" t="s">
        <v>134</v>
      </c>
      <c r="Q4" s="363" t="s">
        <v>135</v>
      </c>
      <c r="R4" s="363" t="s">
        <v>134</v>
      </c>
      <c r="S4" s="363" t="s">
        <v>135</v>
      </c>
      <c r="T4" s="363" t="s">
        <v>134</v>
      </c>
      <c r="U4" s="363" t="s">
        <v>135</v>
      </c>
      <c r="V4" s="363" t="s">
        <v>134</v>
      </c>
      <c r="W4" s="363" t="s">
        <v>135</v>
      </c>
      <c r="X4" s="363" t="s">
        <v>134</v>
      </c>
      <c r="Y4" s="363" t="s">
        <v>135</v>
      </c>
      <c r="Z4" s="363" t="s">
        <v>134</v>
      </c>
      <c r="AA4" s="363" t="s">
        <v>135</v>
      </c>
      <c r="AB4" s="363" t="s">
        <v>134</v>
      </c>
      <c r="AC4" s="363" t="s">
        <v>135</v>
      </c>
      <c r="AD4" s="363" t="s">
        <v>134</v>
      </c>
      <c r="AE4" s="363" t="s">
        <v>135</v>
      </c>
      <c r="AF4" s="363" t="s">
        <v>134</v>
      </c>
      <c r="AG4" s="363" t="s">
        <v>135</v>
      </c>
      <c r="AH4" s="363" t="s">
        <v>134</v>
      </c>
      <c r="AI4" s="363" t="s">
        <v>135</v>
      </c>
      <c r="AJ4" s="363" t="s">
        <v>134</v>
      </c>
      <c r="AK4" s="363" t="s">
        <v>135</v>
      </c>
      <c r="AL4" s="363" t="s">
        <v>134</v>
      </c>
      <c r="AM4" s="363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40" customFormat="1" customHeight="1" spans="1:75">
      <c r="A5" s="161">
        <v>1</v>
      </c>
      <c r="B5" s="364" t="s">
        <v>401</v>
      </c>
      <c r="C5" s="293"/>
      <c r="D5" s="365" t="s">
        <v>402</v>
      </c>
      <c r="E5" s="366">
        <v>1.8</v>
      </c>
      <c r="F5" s="367"/>
      <c r="G5" s="191">
        <f>+E5*F5</f>
        <v>0</v>
      </c>
      <c r="H5" s="190">
        <f>SUMIF($N$4:$BW$4,$H$4,$N5:$BW5)</f>
        <v>71.4</v>
      </c>
      <c r="I5" s="191">
        <f>+E5*H5</f>
        <v>128.52</v>
      </c>
      <c r="J5" s="190">
        <f>SUMIF($N$4:$BW$4,$J$4,$N5:$BW5)</f>
        <v>71.4</v>
      </c>
      <c r="K5" s="191">
        <f>+E5*J5</f>
        <v>128.52</v>
      </c>
      <c r="L5" s="190">
        <f>+F5+H5-J5</f>
        <v>0</v>
      </c>
      <c r="M5" s="191">
        <f>+E5*L5</f>
        <v>0</v>
      </c>
      <c r="N5" s="368"/>
      <c r="O5" s="368"/>
      <c r="P5" s="368">
        <v>10</v>
      </c>
      <c r="Q5" s="368">
        <v>10</v>
      </c>
      <c r="R5" s="368"/>
      <c r="S5" s="368"/>
      <c r="T5" s="368"/>
      <c r="U5" s="368"/>
      <c r="V5" s="368">
        <v>9.9</v>
      </c>
      <c r="W5" s="368">
        <v>9.9</v>
      </c>
      <c r="X5" s="368"/>
      <c r="Y5" s="368"/>
      <c r="Z5" s="368"/>
      <c r="AA5" s="368"/>
      <c r="AB5" s="368"/>
      <c r="AC5" s="368"/>
      <c r="AD5" s="368"/>
      <c r="AE5" s="368"/>
      <c r="AF5" s="368"/>
      <c r="AG5" s="368"/>
      <c r="AH5" s="368">
        <v>10</v>
      </c>
      <c r="AI5" s="368">
        <v>10</v>
      </c>
      <c r="AJ5" s="368"/>
      <c r="AK5" s="368"/>
      <c r="AL5" s="368"/>
      <c r="AM5" s="368"/>
      <c r="AN5" s="369"/>
      <c r="AO5" s="369"/>
      <c r="AP5" s="369">
        <v>20</v>
      </c>
      <c r="AQ5" s="369">
        <v>20</v>
      </c>
      <c r="AR5" s="369"/>
      <c r="AS5" s="369"/>
      <c r="AT5" s="369">
        <v>10.7</v>
      </c>
      <c r="AU5" s="369">
        <v>10.7</v>
      </c>
      <c r="AV5" s="369"/>
      <c r="AW5" s="369"/>
      <c r="AX5" s="369">
        <v>10.8</v>
      </c>
      <c r="AY5" s="369">
        <v>10.8</v>
      </c>
      <c r="AZ5" s="369"/>
      <c r="BA5" s="369"/>
      <c r="BB5" s="369"/>
      <c r="BC5" s="369"/>
      <c r="BD5" s="369"/>
      <c r="BE5" s="369"/>
      <c r="BF5" s="369"/>
      <c r="BG5" s="369"/>
      <c r="BH5" s="369"/>
      <c r="BI5" s="369"/>
      <c r="BJ5" s="369"/>
      <c r="BK5" s="369"/>
      <c r="BL5" s="369"/>
      <c r="BM5" s="369"/>
      <c r="BN5" s="369"/>
      <c r="BO5" s="369"/>
      <c r="BP5" s="369"/>
      <c r="BQ5" s="369"/>
      <c r="BR5" s="369"/>
      <c r="BS5" s="369"/>
      <c r="BT5" s="369"/>
      <c r="BU5" s="369"/>
      <c r="BV5" s="369"/>
      <c r="BW5" s="369"/>
    </row>
    <row r="6" s="140" customFormat="1" customHeight="1" spans="1:75">
      <c r="A6" s="161">
        <v>2</v>
      </c>
      <c r="B6" s="364" t="s">
        <v>403</v>
      </c>
      <c r="C6" s="293"/>
      <c r="D6" s="365"/>
      <c r="E6" s="366">
        <v>3.8</v>
      </c>
      <c r="F6" s="367"/>
      <c r="G6" s="191">
        <f t="shared" ref="G6:G69" si="0">+E6*F6</f>
        <v>0</v>
      </c>
      <c r="H6" s="190">
        <f t="shared" ref="H6:H69" si="1">SUMIF($N$4:$BW$4,$H$4,$N6:$BW6)</f>
        <v>49.7</v>
      </c>
      <c r="I6" s="191">
        <f t="shared" ref="I6:I69" si="2">+E6*H6</f>
        <v>188.86</v>
      </c>
      <c r="J6" s="190">
        <f t="shared" ref="J6:J69" si="3">SUMIF($N$4:$BW$4,$J$4,$N6:$BW6)</f>
        <v>49.7</v>
      </c>
      <c r="K6" s="191">
        <f t="shared" ref="K6:K69" si="4">+E6*J6</f>
        <v>188.86</v>
      </c>
      <c r="L6" s="190">
        <f t="shared" ref="L6:L69" si="5">+F6+H6-J6</f>
        <v>0</v>
      </c>
      <c r="M6" s="191">
        <f t="shared" ref="M6:M69" si="6">+E6*L6</f>
        <v>0</v>
      </c>
      <c r="N6" s="368"/>
      <c r="O6" s="368"/>
      <c r="P6" s="368">
        <v>6</v>
      </c>
      <c r="Q6" s="368">
        <v>6</v>
      </c>
      <c r="R6" s="370"/>
      <c r="S6" s="370"/>
      <c r="T6" s="370"/>
      <c r="U6" s="370"/>
      <c r="V6" s="370">
        <v>6</v>
      </c>
      <c r="W6" s="370">
        <v>6</v>
      </c>
      <c r="X6" s="370"/>
      <c r="Y6" s="370"/>
      <c r="Z6" s="370"/>
      <c r="AA6" s="370"/>
      <c r="AB6" s="370">
        <v>6</v>
      </c>
      <c r="AC6" s="370">
        <v>6</v>
      </c>
      <c r="AD6" s="370"/>
      <c r="AE6" s="370"/>
      <c r="AF6" s="370"/>
      <c r="AG6" s="370"/>
      <c r="AH6" s="370">
        <v>6.2</v>
      </c>
      <c r="AI6" s="370">
        <v>6.2</v>
      </c>
      <c r="AJ6" s="370"/>
      <c r="AK6" s="370"/>
      <c r="AL6" s="370">
        <v>6.2</v>
      </c>
      <c r="AM6" s="370">
        <v>6.2</v>
      </c>
      <c r="AN6" s="133"/>
      <c r="AO6" s="133"/>
      <c r="AP6" s="133">
        <v>6.2</v>
      </c>
      <c r="AQ6" s="133">
        <v>6.2</v>
      </c>
      <c r="AR6" s="133"/>
      <c r="AS6" s="133"/>
      <c r="AT6" s="133">
        <v>6.8</v>
      </c>
      <c r="AU6" s="133">
        <v>6.8</v>
      </c>
      <c r="AV6" s="133"/>
      <c r="AW6" s="133"/>
      <c r="AX6" s="133"/>
      <c r="AY6" s="133"/>
      <c r="AZ6" s="133"/>
      <c r="BA6" s="133"/>
      <c r="BB6" s="133">
        <v>6.3</v>
      </c>
      <c r="BC6" s="133">
        <v>6.3</v>
      </c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</row>
    <row r="7" s="140" customFormat="1" customHeight="1" spans="1:75">
      <c r="A7" s="161">
        <v>3</v>
      </c>
      <c r="B7" s="371" t="s">
        <v>404</v>
      </c>
      <c r="C7" s="293"/>
      <c r="D7" s="365"/>
      <c r="E7" s="366">
        <v>1</v>
      </c>
      <c r="F7" s="367"/>
      <c r="G7" s="191">
        <f t="shared" si="0"/>
        <v>0</v>
      </c>
      <c r="H7" s="190">
        <f t="shared" si="1"/>
        <v>50.3</v>
      </c>
      <c r="I7" s="191">
        <f t="shared" si="2"/>
        <v>50.3</v>
      </c>
      <c r="J7" s="190">
        <f t="shared" si="3"/>
        <v>50.3</v>
      </c>
      <c r="K7" s="191">
        <f t="shared" si="4"/>
        <v>50.3</v>
      </c>
      <c r="L7" s="190">
        <f t="shared" si="5"/>
        <v>0</v>
      </c>
      <c r="M7" s="191">
        <f t="shared" si="6"/>
        <v>0</v>
      </c>
      <c r="N7" s="368"/>
      <c r="O7" s="368"/>
      <c r="P7" s="368">
        <v>15.1</v>
      </c>
      <c r="Q7" s="368">
        <v>15.1</v>
      </c>
      <c r="R7" s="370"/>
      <c r="S7" s="370"/>
      <c r="T7" s="370"/>
      <c r="U7" s="370"/>
      <c r="V7" s="370"/>
      <c r="W7" s="370"/>
      <c r="X7" s="370"/>
      <c r="Y7" s="370"/>
      <c r="Z7" s="370"/>
      <c r="AA7" s="370"/>
      <c r="AB7" s="370">
        <v>18.5</v>
      </c>
      <c r="AC7" s="370">
        <v>18.5</v>
      </c>
      <c r="AD7" s="370"/>
      <c r="AE7" s="370"/>
      <c r="AF7" s="370"/>
      <c r="AG7" s="370"/>
      <c r="AH7" s="370"/>
      <c r="AI7" s="370"/>
      <c r="AJ7" s="370"/>
      <c r="AK7" s="370"/>
      <c r="AL7" s="370"/>
      <c r="AM7" s="370"/>
      <c r="AN7" s="133"/>
      <c r="AO7" s="133"/>
      <c r="AP7" s="133">
        <v>16.7</v>
      </c>
      <c r="AQ7" s="133">
        <v>16.7</v>
      </c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</row>
    <row r="8" s="140" customFormat="1" customHeight="1" spans="1:75">
      <c r="A8" s="161">
        <v>4</v>
      </c>
      <c r="B8" s="162" t="s">
        <v>405</v>
      </c>
      <c r="C8" s="372"/>
      <c r="D8" s="162"/>
      <c r="E8" s="366">
        <v>2.5</v>
      </c>
      <c r="F8" s="367"/>
      <c r="G8" s="191">
        <f t="shared" si="0"/>
        <v>0</v>
      </c>
      <c r="H8" s="190">
        <f t="shared" si="1"/>
        <v>40.2</v>
      </c>
      <c r="I8" s="191">
        <f t="shared" si="2"/>
        <v>100.5</v>
      </c>
      <c r="J8" s="190">
        <f t="shared" si="3"/>
        <v>40.2</v>
      </c>
      <c r="K8" s="191">
        <f t="shared" si="4"/>
        <v>100.5</v>
      </c>
      <c r="L8" s="190">
        <f t="shared" si="5"/>
        <v>0</v>
      </c>
      <c r="M8" s="191">
        <f t="shared" si="6"/>
        <v>0</v>
      </c>
      <c r="N8" s="368"/>
      <c r="O8" s="368"/>
      <c r="P8" s="368"/>
      <c r="Q8" s="368"/>
      <c r="R8" s="370"/>
      <c r="S8" s="370"/>
      <c r="T8" s="370"/>
      <c r="U8" s="370"/>
      <c r="V8" s="370">
        <v>6.5</v>
      </c>
      <c r="W8" s="370">
        <v>6.5</v>
      </c>
      <c r="X8" s="370"/>
      <c r="Y8" s="370"/>
      <c r="Z8" s="370"/>
      <c r="AA8" s="370"/>
      <c r="AB8" s="370">
        <v>7</v>
      </c>
      <c r="AC8" s="370">
        <v>7</v>
      </c>
      <c r="AD8" s="370"/>
      <c r="AE8" s="370"/>
      <c r="AF8" s="370"/>
      <c r="AG8" s="370"/>
      <c r="AH8" s="370"/>
      <c r="AI8" s="370"/>
      <c r="AJ8" s="370"/>
      <c r="AK8" s="370"/>
      <c r="AL8" s="370"/>
      <c r="AM8" s="370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>
        <v>6.7</v>
      </c>
      <c r="BC8" s="133">
        <v>6.7</v>
      </c>
      <c r="BD8" s="133"/>
      <c r="BE8" s="133"/>
      <c r="BF8" s="133"/>
      <c r="BG8" s="133"/>
      <c r="BH8" s="133">
        <v>6</v>
      </c>
      <c r="BI8" s="133">
        <v>6</v>
      </c>
      <c r="BJ8" s="133"/>
      <c r="BK8" s="133"/>
      <c r="BL8" s="133"/>
      <c r="BM8" s="133"/>
      <c r="BN8" s="133">
        <v>14</v>
      </c>
      <c r="BO8" s="133">
        <v>14</v>
      </c>
      <c r="BP8" s="133"/>
      <c r="BQ8" s="133"/>
      <c r="BR8" s="133"/>
      <c r="BS8" s="133"/>
      <c r="BT8" s="133"/>
      <c r="BU8" s="133"/>
      <c r="BV8" s="133"/>
      <c r="BW8" s="133"/>
    </row>
    <row r="9" s="140" customFormat="1" customHeight="1" spans="1:75">
      <c r="A9" s="161">
        <v>5</v>
      </c>
      <c r="B9" s="162" t="s">
        <v>406</v>
      </c>
      <c r="C9" s="162"/>
      <c r="D9" s="162"/>
      <c r="E9" s="366">
        <v>3.8</v>
      </c>
      <c r="F9" s="367"/>
      <c r="G9" s="191">
        <f t="shared" si="0"/>
        <v>0</v>
      </c>
      <c r="H9" s="190">
        <f t="shared" si="1"/>
        <v>38.2</v>
      </c>
      <c r="I9" s="191">
        <f t="shared" si="2"/>
        <v>145.16</v>
      </c>
      <c r="J9" s="190">
        <f t="shared" si="3"/>
        <v>38.2</v>
      </c>
      <c r="K9" s="191">
        <f t="shared" si="4"/>
        <v>145.16</v>
      </c>
      <c r="L9" s="190">
        <f t="shared" si="5"/>
        <v>0</v>
      </c>
      <c r="M9" s="191">
        <f t="shared" si="6"/>
        <v>0</v>
      </c>
      <c r="N9" s="368"/>
      <c r="O9" s="373"/>
      <c r="P9" s="368"/>
      <c r="Q9" s="368"/>
      <c r="R9" s="370"/>
      <c r="S9" s="370"/>
      <c r="T9" s="370"/>
      <c r="U9" s="370"/>
      <c r="V9" s="370">
        <v>6.4</v>
      </c>
      <c r="W9" s="370">
        <v>6.4</v>
      </c>
      <c r="X9" s="370"/>
      <c r="Y9" s="370"/>
      <c r="Z9" s="370"/>
      <c r="AA9" s="370"/>
      <c r="AB9" s="370">
        <v>6.2</v>
      </c>
      <c r="AC9" s="370">
        <v>6.2</v>
      </c>
      <c r="AD9" s="370"/>
      <c r="AE9" s="370"/>
      <c r="AF9" s="370"/>
      <c r="AG9" s="370"/>
      <c r="AH9" s="370"/>
      <c r="AI9" s="370"/>
      <c r="AJ9" s="370"/>
      <c r="AK9" s="370"/>
      <c r="AL9" s="370"/>
      <c r="AM9" s="370"/>
      <c r="AN9" s="133"/>
      <c r="AO9" s="133"/>
      <c r="AP9" s="133">
        <v>6.4</v>
      </c>
      <c r="AQ9" s="133">
        <v>6.4</v>
      </c>
      <c r="AR9" s="133"/>
      <c r="AS9" s="133"/>
      <c r="AT9" s="133">
        <v>6.8</v>
      </c>
      <c r="AU9" s="133">
        <v>6.8</v>
      </c>
      <c r="AV9" s="133"/>
      <c r="AW9" s="143"/>
      <c r="AX9" s="133"/>
      <c r="AY9" s="133"/>
      <c r="AZ9" s="133"/>
      <c r="BA9" s="133"/>
      <c r="BB9" s="133">
        <v>6.4</v>
      </c>
      <c r="BC9" s="133">
        <v>6.4</v>
      </c>
      <c r="BD9" s="133"/>
      <c r="BE9" s="133"/>
      <c r="BF9" s="133"/>
      <c r="BG9" s="133"/>
      <c r="BH9" s="133">
        <v>6</v>
      </c>
      <c r="BI9" s="133">
        <v>6</v>
      </c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</row>
    <row r="10" s="140" customFormat="1" customHeight="1" spans="1:75">
      <c r="A10" s="161">
        <v>6</v>
      </c>
      <c r="B10" s="374" t="s">
        <v>407</v>
      </c>
      <c r="C10" s="162"/>
      <c r="D10" s="162"/>
      <c r="E10" s="366">
        <v>1.5</v>
      </c>
      <c r="F10" s="367"/>
      <c r="G10" s="191">
        <f t="shared" si="0"/>
        <v>0</v>
      </c>
      <c r="H10" s="190">
        <f t="shared" si="1"/>
        <v>81.1</v>
      </c>
      <c r="I10" s="191">
        <f t="shared" si="2"/>
        <v>121.65</v>
      </c>
      <c r="J10" s="190">
        <f t="shared" si="3"/>
        <v>81.1</v>
      </c>
      <c r="K10" s="191">
        <f t="shared" si="4"/>
        <v>121.65</v>
      </c>
      <c r="L10" s="190">
        <f t="shared" si="5"/>
        <v>0</v>
      </c>
      <c r="M10" s="191">
        <f t="shared" si="6"/>
        <v>0</v>
      </c>
      <c r="N10" s="368"/>
      <c r="O10" s="368"/>
      <c r="P10" s="368">
        <v>10</v>
      </c>
      <c r="Q10" s="368">
        <v>10</v>
      </c>
      <c r="R10" s="370"/>
      <c r="S10" s="370"/>
      <c r="T10" s="370"/>
      <c r="U10" s="370"/>
      <c r="V10" s="370">
        <v>9.9</v>
      </c>
      <c r="W10" s="370">
        <v>9.9</v>
      </c>
      <c r="X10" s="370"/>
      <c r="Y10" s="370"/>
      <c r="Z10" s="370"/>
      <c r="AA10" s="370"/>
      <c r="AB10" s="370">
        <v>10</v>
      </c>
      <c r="AC10" s="370">
        <v>10</v>
      </c>
      <c r="AD10" s="370"/>
      <c r="AE10" s="370"/>
      <c r="AF10" s="370"/>
      <c r="AG10" s="370"/>
      <c r="AH10" s="370">
        <v>10.1</v>
      </c>
      <c r="AI10" s="370">
        <v>10.1</v>
      </c>
      <c r="AJ10" s="370"/>
      <c r="AK10" s="370"/>
      <c r="AL10" s="370">
        <v>10.2</v>
      </c>
      <c r="AM10" s="370">
        <v>10.2</v>
      </c>
      <c r="AN10" s="133"/>
      <c r="AO10" s="133"/>
      <c r="AP10" s="133">
        <v>10.3</v>
      </c>
      <c r="AQ10" s="133">
        <v>10.3</v>
      </c>
      <c r="AR10" s="133"/>
      <c r="AS10" s="133"/>
      <c r="AT10" s="133">
        <v>10.6</v>
      </c>
      <c r="AU10" s="133">
        <v>10.6</v>
      </c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>
        <v>10</v>
      </c>
      <c r="BI10" s="133">
        <v>10</v>
      </c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</row>
    <row r="11" s="140" customFormat="1" customHeight="1" spans="1:75">
      <c r="A11" s="161">
        <v>7</v>
      </c>
      <c r="B11" s="375" t="s">
        <v>408</v>
      </c>
      <c r="C11" s="162"/>
      <c r="D11" s="162"/>
      <c r="E11" s="366">
        <v>3</v>
      </c>
      <c r="F11" s="367"/>
      <c r="G11" s="191">
        <f t="shared" si="0"/>
        <v>0</v>
      </c>
      <c r="H11" s="190">
        <f t="shared" si="1"/>
        <v>102.1</v>
      </c>
      <c r="I11" s="191">
        <f t="shared" si="2"/>
        <v>306.3</v>
      </c>
      <c r="J11" s="190">
        <f t="shared" si="3"/>
        <v>102.1</v>
      </c>
      <c r="K11" s="191">
        <f t="shared" si="4"/>
        <v>306.3</v>
      </c>
      <c r="L11" s="190">
        <f t="shared" si="5"/>
        <v>0</v>
      </c>
      <c r="M11" s="191">
        <f t="shared" si="6"/>
        <v>0</v>
      </c>
      <c r="N11" s="368"/>
      <c r="O11" s="368"/>
      <c r="P11" s="368">
        <v>10</v>
      </c>
      <c r="Q11" s="368">
        <v>10</v>
      </c>
      <c r="R11" s="370"/>
      <c r="S11" s="370"/>
      <c r="T11" s="370"/>
      <c r="U11" s="370"/>
      <c r="V11" s="370">
        <v>10</v>
      </c>
      <c r="W11" s="370">
        <v>10</v>
      </c>
      <c r="X11" s="370"/>
      <c r="Y11" s="370"/>
      <c r="Z11" s="370"/>
      <c r="AA11" s="370"/>
      <c r="AB11" s="370">
        <v>10</v>
      </c>
      <c r="AC11" s="370">
        <v>10</v>
      </c>
      <c r="AD11" s="370"/>
      <c r="AE11" s="370"/>
      <c r="AF11" s="370"/>
      <c r="AG11" s="370"/>
      <c r="AH11" s="370">
        <v>10</v>
      </c>
      <c r="AI11" s="370">
        <v>10</v>
      </c>
      <c r="AJ11" s="370"/>
      <c r="AK11" s="370"/>
      <c r="AL11" s="370">
        <v>10.3</v>
      </c>
      <c r="AM11" s="370">
        <v>10.3</v>
      </c>
      <c r="AN11" s="133"/>
      <c r="AO11" s="133"/>
      <c r="AP11" s="133">
        <v>10.1</v>
      </c>
      <c r="AQ11" s="133">
        <v>10.1</v>
      </c>
      <c r="AR11" s="133"/>
      <c r="AS11" s="133"/>
      <c r="AT11" s="133">
        <v>21</v>
      </c>
      <c r="AU11" s="133">
        <v>21</v>
      </c>
      <c r="AV11" s="133"/>
      <c r="AW11" s="133"/>
      <c r="AX11" s="133"/>
      <c r="AY11" s="133"/>
      <c r="AZ11" s="133"/>
      <c r="BA11" s="133"/>
      <c r="BB11" s="133">
        <v>10.7</v>
      </c>
      <c r="BC11" s="133">
        <v>10.7</v>
      </c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>
        <v>10</v>
      </c>
      <c r="BO11" s="133">
        <v>10</v>
      </c>
      <c r="BP11" s="133"/>
      <c r="BQ11" s="143"/>
      <c r="BR11" s="133"/>
      <c r="BS11" s="133"/>
      <c r="BT11" s="133"/>
      <c r="BU11" s="133"/>
      <c r="BV11" s="133"/>
      <c r="BW11" s="133"/>
    </row>
    <row r="12" s="359" customFormat="1" customHeight="1" spans="1:75">
      <c r="A12" s="357">
        <v>8</v>
      </c>
      <c r="B12" s="376" t="s">
        <v>409</v>
      </c>
      <c r="C12" s="357"/>
      <c r="D12" s="357"/>
      <c r="E12" s="366">
        <v>8.5</v>
      </c>
      <c r="F12" s="377"/>
      <c r="G12" s="191">
        <f t="shared" si="0"/>
        <v>0</v>
      </c>
      <c r="H12" s="190">
        <f t="shared" si="1"/>
        <v>31.7</v>
      </c>
      <c r="I12" s="191">
        <f t="shared" si="2"/>
        <v>269.45</v>
      </c>
      <c r="J12" s="190">
        <f t="shared" si="3"/>
        <v>31.7</v>
      </c>
      <c r="K12" s="191">
        <f t="shared" si="4"/>
        <v>269.45</v>
      </c>
      <c r="L12" s="190">
        <f t="shared" si="5"/>
        <v>0</v>
      </c>
      <c r="M12" s="191">
        <f t="shared" si="6"/>
        <v>0</v>
      </c>
      <c r="N12" s="368"/>
      <c r="O12" s="368"/>
      <c r="P12" s="368">
        <v>5.2</v>
      </c>
      <c r="Q12" s="368">
        <v>5.2</v>
      </c>
      <c r="R12" s="370"/>
      <c r="S12" s="370"/>
      <c r="T12" s="370"/>
      <c r="U12" s="370"/>
      <c r="V12" s="370"/>
      <c r="W12" s="370"/>
      <c r="X12" s="370"/>
      <c r="Y12" s="370"/>
      <c r="Z12" s="370"/>
      <c r="AA12" s="370"/>
      <c r="AB12" s="370">
        <v>5.4</v>
      </c>
      <c r="AC12" s="370">
        <v>5.4</v>
      </c>
      <c r="AD12" s="370"/>
      <c r="AE12" s="370"/>
      <c r="AF12" s="370"/>
      <c r="AG12" s="370"/>
      <c r="AH12" s="370"/>
      <c r="AI12" s="370"/>
      <c r="AJ12" s="370"/>
      <c r="AK12" s="370"/>
      <c r="AL12" s="370"/>
      <c r="AM12" s="370"/>
      <c r="AN12" s="291"/>
      <c r="AO12" s="291"/>
      <c r="AP12" s="291">
        <v>5.3</v>
      </c>
      <c r="AQ12" s="291">
        <v>5.3</v>
      </c>
      <c r="AR12" s="291"/>
      <c r="AS12" s="291"/>
      <c r="AT12" s="291"/>
      <c r="AU12" s="291"/>
      <c r="AV12" s="291"/>
      <c r="AW12" s="291"/>
      <c r="AX12" s="291"/>
      <c r="AY12" s="291"/>
      <c r="AZ12" s="291"/>
      <c r="BA12" s="291"/>
      <c r="BB12" s="291">
        <v>5.1</v>
      </c>
      <c r="BC12" s="291">
        <v>5.1</v>
      </c>
      <c r="BD12" s="291"/>
      <c r="BE12" s="291"/>
      <c r="BF12" s="291"/>
      <c r="BG12" s="291"/>
      <c r="BH12" s="291">
        <v>2</v>
      </c>
      <c r="BI12" s="291">
        <v>2</v>
      </c>
      <c r="BJ12" s="291"/>
      <c r="BK12" s="291"/>
      <c r="BL12" s="291"/>
      <c r="BM12" s="291"/>
      <c r="BN12" s="291">
        <v>8.7</v>
      </c>
      <c r="BO12" s="291">
        <v>8.7</v>
      </c>
      <c r="BP12" s="291"/>
      <c r="BQ12" s="291"/>
      <c r="BR12" s="291"/>
      <c r="BS12" s="291"/>
      <c r="BT12" s="291"/>
      <c r="BU12" s="291"/>
      <c r="BV12" s="291"/>
      <c r="BW12" s="291"/>
    </row>
    <row r="13" s="140" customFormat="1" customHeight="1" spans="1:75">
      <c r="A13" s="161">
        <v>9</v>
      </c>
      <c r="B13" s="374" t="s">
        <v>410</v>
      </c>
      <c r="C13" s="162"/>
      <c r="D13" s="162"/>
      <c r="E13" s="366">
        <v>4.5</v>
      </c>
      <c r="F13" s="367"/>
      <c r="G13" s="191">
        <f t="shared" si="0"/>
        <v>0</v>
      </c>
      <c r="H13" s="190">
        <f t="shared" si="1"/>
        <v>35.8</v>
      </c>
      <c r="I13" s="191">
        <f t="shared" si="2"/>
        <v>161.1</v>
      </c>
      <c r="J13" s="190">
        <f t="shared" si="3"/>
        <v>35.8</v>
      </c>
      <c r="K13" s="191">
        <f t="shared" si="4"/>
        <v>161.1</v>
      </c>
      <c r="L13" s="190">
        <f t="shared" si="5"/>
        <v>0</v>
      </c>
      <c r="M13" s="191">
        <f t="shared" si="6"/>
        <v>0</v>
      </c>
      <c r="N13" s="368"/>
      <c r="O13" s="368"/>
      <c r="P13" s="368">
        <v>8</v>
      </c>
      <c r="Q13" s="378">
        <v>8</v>
      </c>
      <c r="R13" s="379"/>
      <c r="S13" s="370"/>
      <c r="T13" s="370"/>
      <c r="U13" s="370"/>
      <c r="V13" s="370"/>
      <c r="W13" s="370"/>
      <c r="X13" s="370"/>
      <c r="Y13" s="370"/>
      <c r="Z13" s="370"/>
      <c r="AA13" s="370"/>
      <c r="AB13" s="370">
        <v>8.2</v>
      </c>
      <c r="AC13" s="370">
        <v>8.2</v>
      </c>
      <c r="AD13" s="370"/>
      <c r="AE13" s="370"/>
      <c r="AF13" s="370"/>
      <c r="AG13" s="370"/>
      <c r="AH13" s="370"/>
      <c r="AI13" s="370"/>
      <c r="AJ13" s="370"/>
      <c r="AK13" s="370"/>
      <c r="AL13" s="370"/>
      <c r="AM13" s="370"/>
      <c r="AN13" s="133"/>
      <c r="AO13" s="133"/>
      <c r="AP13" s="133">
        <v>7.6</v>
      </c>
      <c r="AQ13" s="133">
        <v>7.6</v>
      </c>
      <c r="AR13" s="133"/>
      <c r="AS13" s="133"/>
      <c r="AT13" s="133"/>
      <c r="AU13" s="133"/>
      <c r="AV13" s="133"/>
      <c r="AW13" s="133"/>
      <c r="AX13" s="143"/>
      <c r="AY13" s="293"/>
      <c r="AZ13" s="380"/>
      <c r="BA13" s="133"/>
      <c r="BB13" s="133"/>
      <c r="BC13" s="133"/>
      <c r="BD13" s="133"/>
      <c r="BE13" s="133"/>
      <c r="BF13" s="133"/>
      <c r="BG13" s="133"/>
      <c r="BH13" s="133">
        <v>2</v>
      </c>
      <c r="BI13" s="133">
        <v>2</v>
      </c>
      <c r="BJ13" s="133"/>
      <c r="BK13" s="133"/>
      <c r="BL13" s="133"/>
      <c r="BM13" s="133"/>
      <c r="BN13" s="133">
        <v>10</v>
      </c>
      <c r="BO13" s="133">
        <v>10</v>
      </c>
      <c r="BP13" s="133"/>
      <c r="BQ13" s="133"/>
      <c r="BR13" s="133"/>
      <c r="BS13" s="133"/>
      <c r="BT13" s="133"/>
      <c r="BU13" s="133"/>
      <c r="BV13" s="133"/>
      <c r="BW13" s="133"/>
    </row>
    <row r="14" s="140" customFormat="1" customHeight="1" spans="1:75">
      <c r="A14" s="161">
        <v>10</v>
      </c>
      <c r="B14" s="381" t="s">
        <v>411</v>
      </c>
      <c r="C14" s="162"/>
      <c r="D14" s="162"/>
      <c r="E14" s="366">
        <v>2.8</v>
      </c>
      <c r="F14" s="367"/>
      <c r="G14" s="191">
        <f t="shared" si="0"/>
        <v>0</v>
      </c>
      <c r="H14" s="190">
        <f t="shared" si="1"/>
        <v>48</v>
      </c>
      <c r="I14" s="191">
        <f t="shared" si="2"/>
        <v>134.4</v>
      </c>
      <c r="J14" s="190">
        <f t="shared" si="3"/>
        <v>48</v>
      </c>
      <c r="K14" s="191">
        <f t="shared" si="4"/>
        <v>134.4</v>
      </c>
      <c r="L14" s="190">
        <f t="shared" si="5"/>
        <v>0</v>
      </c>
      <c r="M14" s="191">
        <f t="shared" si="6"/>
        <v>0</v>
      </c>
      <c r="N14" s="368"/>
      <c r="O14" s="368"/>
      <c r="P14" s="368">
        <v>9.9</v>
      </c>
      <c r="Q14" s="368">
        <v>9.9</v>
      </c>
      <c r="R14" s="370"/>
      <c r="S14" s="370"/>
      <c r="T14" s="370"/>
      <c r="U14" s="370"/>
      <c r="V14" s="370"/>
      <c r="W14" s="370"/>
      <c r="X14" s="370"/>
      <c r="Y14" s="370"/>
      <c r="Z14" s="370"/>
      <c r="AA14" s="370"/>
      <c r="AB14" s="370"/>
      <c r="AC14" s="370"/>
      <c r="AD14" s="370"/>
      <c r="AE14" s="370"/>
      <c r="AF14" s="370"/>
      <c r="AG14" s="370"/>
      <c r="AH14" s="370">
        <v>8.5</v>
      </c>
      <c r="AI14" s="370">
        <v>8.5</v>
      </c>
      <c r="AJ14" s="370"/>
      <c r="AK14" s="370"/>
      <c r="AL14" s="370"/>
      <c r="AM14" s="370"/>
      <c r="AN14" s="133"/>
      <c r="AO14" s="133"/>
      <c r="AP14" s="133">
        <v>10.2</v>
      </c>
      <c r="AQ14" s="133">
        <v>10.2</v>
      </c>
      <c r="AR14" s="133"/>
      <c r="AS14" s="133"/>
      <c r="AT14" s="133">
        <v>8.4</v>
      </c>
      <c r="AU14" s="133">
        <v>8.4</v>
      </c>
      <c r="AV14" s="133"/>
      <c r="AW14" s="133"/>
      <c r="AX14" s="133"/>
      <c r="AY14" s="273"/>
      <c r="AZ14" s="133"/>
      <c r="BA14" s="133"/>
      <c r="BB14" s="133">
        <v>11</v>
      </c>
      <c r="BC14" s="133">
        <v>11</v>
      </c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</row>
    <row r="15" s="140" customFormat="1" customHeight="1" spans="1:75">
      <c r="A15" s="161">
        <v>11</v>
      </c>
      <c r="B15" s="382" t="s">
        <v>412</v>
      </c>
      <c r="C15" s="162"/>
      <c r="D15" s="162"/>
      <c r="E15" s="366">
        <v>3.5</v>
      </c>
      <c r="F15" s="367"/>
      <c r="G15" s="191">
        <f t="shared" si="0"/>
        <v>0</v>
      </c>
      <c r="H15" s="190">
        <f t="shared" si="1"/>
        <v>21.9</v>
      </c>
      <c r="I15" s="191">
        <f t="shared" si="2"/>
        <v>76.65</v>
      </c>
      <c r="J15" s="190">
        <f t="shared" si="3"/>
        <v>21.9</v>
      </c>
      <c r="K15" s="191">
        <f t="shared" si="4"/>
        <v>76.65</v>
      </c>
      <c r="L15" s="190">
        <f t="shared" si="5"/>
        <v>0</v>
      </c>
      <c r="M15" s="191">
        <f t="shared" si="6"/>
        <v>0</v>
      </c>
      <c r="N15" s="368"/>
      <c r="O15" s="368"/>
      <c r="P15" s="368"/>
      <c r="Q15" s="368"/>
      <c r="R15" s="370"/>
      <c r="S15" s="370"/>
      <c r="T15" s="370"/>
      <c r="U15" s="370"/>
      <c r="V15" s="370"/>
      <c r="W15" s="370"/>
      <c r="X15" s="370"/>
      <c r="Y15" s="370"/>
      <c r="Z15" s="370"/>
      <c r="AA15" s="370"/>
      <c r="AB15" s="370"/>
      <c r="AC15" s="370"/>
      <c r="AD15" s="370"/>
      <c r="AE15" s="370"/>
      <c r="AF15" s="370"/>
      <c r="AG15" s="370"/>
      <c r="AH15" s="370">
        <v>3</v>
      </c>
      <c r="AI15" s="370">
        <v>3</v>
      </c>
      <c r="AJ15" s="370"/>
      <c r="AK15" s="370"/>
      <c r="AL15" s="370"/>
      <c r="AM15" s="370"/>
      <c r="AN15" s="133"/>
      <c r="AO15" s="133"/>
      <c r="AP15" s="133">
        <v>6.2</v>
      </c>
      <c r="AQ15" s="133">
        <v>6.2</v>
      </c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>
        <v>6</v>
      </c>
      <c r="BI15" s="133">
        <v>6</v>
      </c>
      <c r="BJ15" s="133"/>
      <c r="BK15" s="133"/>
      <c r="BL15" s="133"/>
      <c r="BM15" s="133"/>
      <c r="BN15" s="133">
        <v>6.7</v>
      </c>
      <c r="BO15" s="133">
        <v>6.7</v>
      </c>
      <c r="BP15" s="133"/>
      <c r="BQ15" s="133"/>
      <c r="BR15" s="133"/>
      <c r="BS15" s="133"/>
      <c r="BT15" s="133"/>
      <c r="BU15" s="133"/>
      <c r="BV15" s="133"/>
      <c r="BW15" s="133"/>
    </row>
    <row r="16" s="140" customFormat="1" customHeight="1" spans="1:75">
      <c r="A16" s="161">
        <v>12</v>
      </c>
      <c r="B16" s="382" t="s">
        <v>413</v>
      </c>
      <c r="C16" s="162"/>
      <c r="D16" s="162"/>
      <c r="E16" s="366">
        <v>1.5</v>
      </c>
      <c r="F16" s="367"/>
      <c r="G16" s="191">
        <f t="shared" si="0"/>
        <v>0</v>
      </c>
      <c r="H16" s="190">
        <f t="shared" si="1"/>
        <v>30.7</v>
      </c>
      <c r="I16" s="191">
        <f t="shared" si="2"/>
        <v>46.05</v>
      </c>
      <c r="J16" s="190">
        <f t="shared" si="3"/>
        <v>30.7</v>
      </c>
      <c r="K16" s="191">
        <f t="shared" si="4"/>
        <v>46.05</v>
      </c>
      <c r="L16" s="190">
        <f t="shared" si="5"/>
        <v>0</v>
      </c>
      <c r="M16" s="191">
        <f t="shared" si="6"/>
        <v>0</v>
      </c>
      <c r="N16" s="368"/>
      <c r="O16" s="368"/>
      <c r="P16" s="368">
        <v>6</v>
      </c>
      <c r="Q16" s="368">
        <v>6</v>
      </c>
      <c r="R16" s="370"/>
      <c r="S16" s="370"/>
      <c r="T16" s="370"/>
      <c r="U16" s="370"/>
      <c r="V16" s="370"/>
      <c r="W16" s="370"/>
      <c r="X16" s="370"/>
      <c r="Y16" s="370"/>
      <c r="Z16" s="370"/>
      <c r="AA16" s="370"/>
      <c r="AB16" s="370"/>
      <c r="AC16" s="370"/>
      <c r="AD16" s="370"/>
      <c r="AE16" s="370"/>
      <c r="AF16" s="370"/>
      <c r="AG16" s="370"/>
      <c r="AH16" s="370"/>
      <c r="AI16" s="370"/>
      <c r="AJ16" s="370"/>
      <c r="AK16" s="370"/>
      <c r="AL16" s="370">
        <v>6.1</v>
      </c>
      <c r="AM16" s="370">
        <v>6.1</v>
      </c>
      <c r="AN16" s="133"/>
      <c r="AO16" s="133"/>
      <c r="AP16" s="133">
        <v>6.1</v>
      </c>
      <c r="AQ16" s="133">
        <v>6.1</v>
      </c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>
        <v>6.5</v>
      </c>
      <c r="BC16" s="133">
        <v>6.5</v>
      </c>
      <c r="BD16" s="133"/>
      <c r="BE16" s="133"/>
      <c r="BF16" s="133"/>
      <c r="BG16" s="133"/>
      <c r="BH16" s="133">
        <v>6</v>
      </c>
      <c r="BI16" s="133">
        <v>6</v>
      </c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</row>
    <row r="17" s="140" customFormat="1" customHeight="1" spans="1:75">
      <c r="A17" s="161">
        <v>13</v>
      </c>
      <c r="B17" s="383" t="s">
        <v>414</v>
      </c>
      <c r="C17" s="162"/>
      <c r="D17" s="162"/>
      <c r="E17" s="366">
        <v>1</v>
      </c>
      <c r="F17" s="367"/>
      <c r="G17" s="191">
        <f t="shared" si="0"/>
        <v>0</v>
      </c>
      <c r="H17" s="190">
        <f t="shared" si="1"/>
        <v>0</v>
      </c>
      <c r="I17" s="191">
        <f t="shared" si="2"/>
        <v>0</v>
      </c>
      <c r="J17" s="190">
        <f t="shared" si="3"/>
        <v>0</v>
      </c>
      <c r="K17" s="191">
        <f t="shared" si="4"/>
        <v>0</v>
      </c>
      <c r="L17" s="190">
        <f t="shared" si="5"/>
        <v>0</v>
      </c>
      <c r="M17" s="191">
        <f t="shared" si="6"/>
        <v>0</v>
      </c>
      <c r="N17" s="368"/>
      <c r="O17" s="368"/>
      <c r="P17" s="368"/>
      <c r="Q17" s="368"/>
      <c r="R17" s="370"/>
      <c r="S17" s="370"/>
      <c r="T17" s="370"/>
      <c r="U17" s="370"/>
      <c r="V17" s="370"/>
      <c r="W17" s="370"/>
      <c r="X17" s="370"/>
      <c r="Y17" s="370"/>
      <c r="Z17" s="370"/>
      <c r="AA17" s="370"/>
      <c r="AB17" s="370"/>
      <c r="AC17" s="370"/>
      <c r="AD17" s="370"/>
      <c r="AE17" s="370"/>
      <c r="AF17" s="370"/>
      <c r="AG17" s="370"/>
      <c r="AH17" s="370"/>
      <c r="AI17" s="370"/>
      <c r="AJ17" s="370"/>
      <c r="AK17" s="370"/>
      <c r="AL17" s="370"/>
      <c r="AM17" s="370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4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</row>
    <row r="18" s="140" customFormat="1" customHeight="1" spans="1:75">
      <c r="A18" s="161">
        <v>14</v>
      </c>
      <c r="B18" s="382" t="s">
        <v>415</v>
      </c>
      <c r="C18" s="162"/>
      <c r="D18" s="162"/>
      <c r="E18" s="366">
        <v>1</v>
      </c>
      <c r="F18" s="367"/>
      <c r="G18" s="191">
        <f t="shared" si="0"/>
        <v>0</v>
      </c>
      <c r="H18" s="190">
        <f t="shared" si="1"/>
        <v>25.4</v>
      </c>
      <c r="I18" s="191">
        <f t="shared" si="2"/>
        <v>25.4</v>
      </c>
      <c r="J18" s="190">
        <f t="shared" si="3"/>
        <v>25.4</v>
      </c>
      <c r="K18" s="191">
        <f t="shared" si="4"/>
        <v>25.4</v>
      </c>
      <c r="L18" s="190">
        <f t="shared" si="5"/>
        <v>0</v>
      </c>
      <c r="M18" s="191">
        <f t="shared" si="6"/>
        <v>0</v>
      </c>
      <c r="N18" s="368"/>
      <c r="O18" s="368"/>
      <c r="P18" s="368"/>
      <c r="Q18" s="368"/>
      <c r="R18" s="370"/>
      <c r="S18" s="373"/>
      <c r="T18" s="370"/>
      <c r="U18" s="370"/>
      <c r="V18" s="370"/>
      <c r="W18" s="370"/>
      <c r="X18" s="370"/>
      <c r="Y18" s="370"/>
      <c r="Z18" s="370"/>
      <c r="AA18" s="370"/>
      <c r="AB18" s="370"/>
      <c r="AC18" s="370"/>
      <c r="AD18" s="370"/>
      <c r="AE18" s="370"/>
      <c r="AF18" s="370"/>
      <c r="AG18" s="370"/>
      <c r="AH18" s="370"/>
      <c r="AI18" s="373"/>
      <c r="AJ18" s="370"/>
      <c r="AK18" s="370"/>
      <c r="AL18" s="370">
        <v>6</v>
      </c>
      <c r="AM18" s="370">
        <v>6</v>
      </c>
      <c r="AN18" s="133"/>
      <c r="AO18" s="133"/>
      <c r="AP18" s="133">
        <v>6.1</v>
      </c>
      <c r="AQ18" s="133">
        <v>6.1</v>
      </c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>
        <v>7.3</v>
      </c>
      <c r="BC18" s="133">
        <v>7.3</v>
      </c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>
        <v>6</v>
      </c>
      <c r="BO18" s="133">
        <v>6</v>
      </c>
      <c r="BP18" s="133"/>
      <c r="BQ18" s="133"/>
      <c r="BR18" s="133"/>
      <c r="BS18" s="133"/>
      <c r="BT18" s="133"/>
      <c r="BU18" s="133"/>
      <c r="BV18" s="133"/>
      <c r="BW18" s="133"/>
    </row>
    <row r="19" s="140" customFormat="1" customHeight="1" spans="1:75">
      <c r="A19" s="161">
        <v>15</v>
      </c>
      <c r="B19" s="382" t="s">
        <v>416</v>
      </c>
      <c r="C19" s="162"/>
      <c r="D19" s="162"/>
      <c r="E19" s="366">
        <v>4</v>
      </c>
      <c r="F19" s="367"/>
      <c r="G19" s="191">
        <f t="shared" si="0"/>
        <v>0</v>
      </c>
      <c r="H19" s="190">
        <f t="shared" si="1"/>
        <v>48.8</v>
      </c>
      <c r="I19" s="191">
        <f t="shared" si="2"/>
        <v>195.2</v>
      </c>
      <c r="J19" s="190">
        <f t="shared" si="3"/>
        <v>48.8</v>
      </c>
      <c r="K19" s="191">
        <f t="shared" si="4"/>
        <v>195.2</v>
      </c>
      <c r="L19" s="190">
        <f t="shared" si="5"/>
        <v>0</v>
      </c>
      <c r="M19" s="191">
        <f t="shared" si="6"/>
        <v>0</v>
      </c>
      <c r="N19" s="368"/>
      <c r="O19" s="368"/>
      <c r="P19" s="368">
        <v>6</v>
      </c>
      <c r="Q19" s="368">
        <v>6</v>
      </c>
      <c r="R19" s="370"/>
      <c r="S19" s="370"/>
      <c r="T19" s="370"/>
      <c r="U19" s="370"/>
      <c r="V19" s="370">
        <v>6</v>
      </c>
      <c r="W19" s="370">
        <v>6</v>
      </c>
      <c r="X19" s="370"/>
      <c r="Y19" s="370"/>
      <c r="Z19" s="370"/>
      <c r="AA19" s="370"/>
      <c r="AB19" s="370">
        <v>6</v>
      </c>
      <c r="AC19" s="370">
        <v>6</v>
      </c>
      <c r="AD19" s="370"/>
      <c r="AE19" s="370"/>
      <c r="AF19" s="370"/>
      <c r="AG19" s="370"/>
      <c r="AH19" s="370">
        <v>6</v>
      </c>
      <c r="AI19" s="370">
        <v>6</v>
      </c>
      <c r="AJ19" s="370"/>
      <c r="AK19" s="370"/>
      <c r="AL19" s="370">
        <v>6</v>
      </c>
      <c r="AM19" s="370">
        <v>6</v>
      </c>
      <c r="AN19" s="133"/>
      <c r="AO19" s="133"/>
      <c r="AP19" s="133">
        <v>6</v>
      </c>
      <c r="AQ19" s="133">
        <v>6</v>
      </c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>
        <v>6</v>
      </c>
      <c r="BC19" s="133">
        <v>6</v>
      </c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>
        <v>6.8</v>
      </c>
      <c r="BO19" s="133">
        <v>6.8</v>
      </c>
      <c r="BP19" s="133"/>
      <c r="BQ19" s="133"/>
      <c r="BR19" s="133"/>
      <c r="BS19" s="133"/>
      <c r="BT19" s="133"/>
      <c r="BU19" s="133"/>
      <c r="BV19" s="133"/>
      <c r="BW19" s="133"/>
    </row>
    <row r="20" s="140" customFormat="1" customHeight="1" spans="1:75">
      <c r="A20" s="161">
        <v>16</v>
      </c>
      <c r="B20" s="382" t="s">
        <v>417</v>
      </c>
      <c r="C20" s="162"/>
      <c r="D20" s="162"/>
      <c r="E20" s="366">
        <v>4</v>
      </c>
      <c r="F20" s="367"/>
      <c r="G20" s="191">
        <f t="shared" si="0"/>
        <v>0</v>
      </c>
      <c r="H20" s="190">
        <f t="shared" si="1"/>
        <v>30</v>
      </c>
      <c r="I20" s="191">
        <f t="shared" si="2"/>
        <v>120</v>
      </c>
      <c r="J20" s="190">
        <f t="shared" si="3"/>
        <v>30</v>
      </c>
      <c r="K20" s="191">
        <f t="shared" si="4"/>
        <v>120</v>
      </c>
      <c r="L20" s="190">
        <f t="shared" si="5"/>
        <v>0</v>
      </c>
      <c r="M20" s="191">
        <f t="shared" si="6"/>
        <v>0</v>
      </c>
      <c r="N20" s="368"/>
      <c r="O20" s="368"/>
      <c r="P20" s="368">
        <v>6</v>
      </c>
      <c r="Q20" s="368">
        <v>6</v>
      </c>
      <c r="R20" s="370"/>
      <c r="S20" s="370"/>
      <c r="T20" s="370"/>
      <c r="U20" s="370"/>
      <c r="V20" s="370"/>
      <c r="W20" s="370"/>
      <c r="X20" s="370"/>
      <c r="Y20" s="370"/>
      <c r="Z20" s="370"/>
      <c r="AA20" s="370"/>
      <c r="AB20" s="370">
        <v>6</v>
      </c>
      <c r="AC20" s="370">
        <v>6</v>
      </c>
      <c r="AD20" s="370"/>
      <c r="AE20" s="370"/>
      <c r="AF20" s="379"/>
      <c r="AG20" s="370"/>
      <c r="AH20" s="370">
        <v>6</v>
      </c>
      <c r="AI20" s="370">
        <v>6</v>
      </c>
      <c r="AJ20" s="370"/>
      <c r="AK20" s="370"/>
      <c r="AL20" s="370">
        <v>6</v>
      </c>
      <c r="AM20" s="370">
        <v>6</v>
      </c>
      <c r="AN20" s="133"/>
      <c r="AO20" s="133"/>
      <c r="AP20" s="133">
        <v>6</v>
      </c>
      <c r="AQ20" s="133">
        <v>6</v>
      </c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</row>
    <row r="21" s="140" customFormat="1" customHeight="1" spans="1:75">
      <c r="A21" s="161">
        <v>17</v>
      </c>
      <c r="B21" s="374" t="s">
        <v>418</v>
      </c>
      <c r="C21" s="162"/>
      <c r="D21" s="162"/>
      <c r="E21" s="366">
        <v>5</v>
      </c>
      <c r="F21" s="367"/>
      <c r="G21" s="191">
        <f t="shared" si="0"/>
        <v>0</v>
      </c>
      <c r="H21" s="190">
        <f t="shared" si="1"/>
        <v>27.1</v>
      </c>
      <c r="I21" s="191">
        <f t="shared" si="2"/>
        <v>135.5</v>
      </c>
      <c r="J21" s="190">
        <f t="shared" si="3"/>
        <v>27.1</v>
      </c>
      <c r="K21" s="191">
        <f t="shared" si="4"/>
        <v>135.5</v>
      </c>
      <c r="L21" s="190">
        <f t="shared" si="5"/>
        <v>0</v>
      </c>
      <c r="M21" s="191">
        <f t="shared" si="6"/>
        <v>0</v>
      </c>
      <c r="N21" s="368"/>
      <c r="O21" s="368"/>
      <c r="P21" s="368">
        <v>3.3</v>
      </c>
      <c r="Q21" s="368">
        <v>3.3</v>
      </c>
      <c r="R21" s="370"/>
      <c r="S21" s="370"/>
      <c r="T21" s="370"/>
      <c r="U21" s="370"/>
      <c r="V21" s="370">
        <v>10.3</v>
      </c>
      <c r="W21" s="370">
        <v>10.3</v>
      </c>
      <c r="X21" s="370"/>
      <c r="Y21" s="370"/>
      <c r="Z21" s="370"/>
      <c r="AA21" s="370"/>
      <c r="AB21" s="370"/>
      <c r="AC21" s="370"/>
      <c r="AD21" s="370"/>
      <c r="AE21" s="370"/>
      <c r="AF21" s="370"/>
      <c r="AG21" s="370"/>
      <c r="AH21" s="370">
        <v>6.3</v>
      </c>
      <c r="AI21" s="370">
        <v>6.3</v>
      </c>
      <c r="AJ21" s="370"/>
      <c r="AK21" s="370"/>
      <c r="AL21" s="370"/>
      <c r="AM21" s="370"/>
      <c r="AN21" s="133"/>
      <c r="AO21" s="133"/>
      <c r="AP21" s="133">
        <v>3.2</v>
      </c>
      <c r="AQ21" s="133">
        <v>3.2</v>
      </c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>
        <v>2</v>
      </c>
      <c r="BI21" s="133">
        <v>2</v>
      </c>
      <c r="BK21" s="133"/>
      <c r="BL21" s="133"/>
      <c r="BM21" s="133"/>
      <c r="BN21" s="133">
        <v>2</v>
      </c>
      <c r="BO21" s="133">
        <v>2</v>
      </c>
      <c r="BP21" s="133"/>
      <c r="BQ21" s="133"/>
      <c r="BR21" s="133"/>
      <c r="BS21" s="133"/>
      <c r="BT21" s="133"/>
      <c r="BU21" s="133"/>
      <c r="BV21" s="133"/>
      <c r="BW21" s="133"/>
    </row>
    <row r="22" s="140" customFormat="1" customHeight="1" spans="1:75">
      <c r="A22" s="161">
        <v>18</v>
      </c>
      <c r="B22" s="382" t="s">
        <v>419</v>
      </c>
      <c r="C22" s="162"/>
      <c r="D22" s="162"/>
      <c r="E22" s="366">
        <v>4</v>
      </c>
      <c r="F22" s="367"/>
      <c r="G22" s="191">
        <f t="shared" si="0"/>
        <v>0</v>
      </c>
      <c r="H22" s="190">
        <f t="shared" si="1"/>
        <v>3.1</v>
      </c>
      <c r="I22" s="191">
        <f t="shared" si="2"/>
        <v>12.4</v>
      </c>
      <c r="J22" s="190">
        <f t="shared" si="3"/>
        <v>3.1</v>
      </c>
      <c r="K22" s="191">
        <f t="shared" si="4"/>
        <v>12.4</v>
      </c>
      <c r="L22" s="190">
        <f t="shared" si="5"/>
        <v>0</v>
      </c>
      <c r="M22" s="191">
        <f t="shared" si="6"/>
        <v>0</v>
      </c>
      <c r="N22" s="368"/>
      <c r="O22" s="368"/>
      <c r="P22" s="368"/>
      <c r="Q22" s="368"/>
      <c r="R22" s="370"/>
      <c r="S22" s="370"/>
      <c r="T22" s="370"/>
      <c r="U22" s="370"/>
      <c r="V22" s="370"/>
      <c r="W22" s="370"/>
      <c r="X22" s="370"/>
      <c r="Y22" s="370"/>
      <c r="Z22" s="370"/>
      <c r="AA22" s="370"/>
      <c r="AB22" s="370"/>
      <c r="AC22" s="370"/>
      <c r="AD22" s="370"/>
      <c r="AE22" s="370"/>
      <c r="AF22" s="370"/>
      <c r="AG22" s="370"/>
      <c r="AH22" s="370">
        <v>3.1</v>
      </c>
      <c r="AI22" s="370">
        <v>3.1</v>
      </c>
      <c r="AJ22" s="370"/>
      <c r="AK22" s="370"/>
      <c r="AL22" s="370"/>
      <c r="AM22" s="370"/>
      <c r="AN22" s="133"/>
      <c r="AO22" s="133"/>
      <c r="AP22" s="133"/>
      <c r="AQ22" s="133"/>
      <c r="AR22" s="133"/>
      <c r="AS22" s="133"/>
      <c r="AT22" s="133"/>
      <c r="AU22" s="133"/>
      <c r="AV22" s="133"/>
      <c r="AW22" s="133"/>
      <c r="AX22" s="133"/>
      <c r="AY22" s="133"/>
      <c r="AZ22" s="133"/>
      <c r="BA22" s="133"/>
      <c r="BB22" s="133"/>
      <c r="BC22" s="133"/>
      <c r="BD22" s="133"/>
      <c r="BE22" s="133"/>
      <c r="BF22" s="133"/>
      <c r="BG22" s="133"/>
      <c r="BH22" s="133"/>
      <c r="BI22" s="133"/>
      <c r="BJ22" s="133"/>
      <c r="BK22" s="133"/>
      <c r="BL22" s="133"/>
      <c r="BM22" s="133"/>
      <c r="BN22" s="133"/>
      <c r="BO22" s="133"/>
      <c r="BP22" s="133"/>
      <c r="BQ22" s="133"/>
      <c r="BR22" s="133"/>
      <c r="BS22" s="133"/>
      <c r="BT22" s="133"/>
      <c r="BU22" s="133"/>
      <c r="BV22" s="133"/>
      <c r="BW22" s="133"/>
    </row>
    <row r="23" s="140" customFormat="1" customHeight="1" spans="1:75">
      <c r="A23" s="161">
        <v>19</v>
      </c>
      <c r="B23" s="162" t="s">
        <v>420</v>
      </c>
      <c r="C23" s="162"/>
      <c r="D23" s="162"/>
      <c r="E23" s="366">
        <v>3.5</v>
      </c>
      <c r="F23" s="367"/>
      <c r="G23" s="191">
        <f t="shared" si="0"/>
        <v>0</v>
      </c>
      <c r="H23" s="190">
        <f t="shared" si="1"/>
        <v>11.8</v>
      </c>
      <c r="I23" s="191">
        <f t="shared" si="2"/>
        <v>41.3</v>
      </c>
      <c r="J23" s="190">
        <f t="shared" si="3"/>
        <v>11.8</v>
      </c>
      <c r="K23" s="191">
        <f t="shared" si="4"/>
        <v>41.3</v>
      </c>
      <c r="L23" s="190">
        <f t="shared" si="5"/>
        <v>0</v>
      </c>
      <c r="M23" s="191">
        <f t="shared" si="6"/>
        <v>0</v>
      </c>
      <c r="N23" s="368"/>
      <c r="O23" s="368"/>
      <c r="P23" s="368">
        <v>3</v>
      </c>
      <c r="Q23" s="368">
        <v>3</v>
      </c>
      <c r="R23" s="370"/>
      <c r="S23" s="368"/>
      <c r="T23" s="370"/>
      <c r="U23" s="368"/>
      <c r="V23" s="370"/>
      <c r="W23" s="368"/>
      <c r="X23" s="370"/>
      <c r="Y23" s="368"/>
      <c r="Z23" s="370"/>
      <c r="AA23" s="368"/>
      <c r="AB23" s="370">
        <v>3</v>
      </c>
      <c r="AC23" s="368">
        <v>3</v>
      </c>
      <c r="AD23" s="370"/>
      <c r="AE23" s="370"/>
      <c r="AF23" s="370"/>
      <c r="AG23" s="370"/>
      <c r="AH23" s="370"/>
      <c r="AI23" s="370"/>
      <c r="AJ23" s="370"/>
      <c r="AK23" s="370"/>
      <c r="AL23" s="384"/>
      <c r="AM23" s="384"/>
      <c r="AN23" s="133"/>
      <c r="AO23" s="133"/>
      <c r="AP23" s="133">
        <v>3.2</v>
      </c>
      <c r="AQ23" s="133">
        <v>3.2</v>
      </c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>
        <v>2.6</v>
      </c>
      <c r="BC23" s="133">
        <v>2.6</v>
      </c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3"/>
      <c r="BQ23" s="133"/>
      <c r="BR23" s="133"/>
      <c r="BS23" s="133"/>
      <c r="BT23" s="133"/>
      <c r="BU23" s="133"/>
      <c r="BV23" s="133"/>
      <c r="BW23" s="133"/>
    </row>
    <row r="24" s="140" customFormat="1" customHeight="1" spans="1:75">
      <c r="A24" s="161">
        <v>20</v>
      </c>
      <c r="B24" s="383" t="s">
        <v>421</v>
      </c>
      <c r="C24" s="162"/>
      <c r="D24" s="162"/>
      <c r="E24" s="366">
        <v>6</v>
      </c>
      <c r="F24" s="367"/>
      <c r="G24" s="191">
        <f t="shared" si="0"/>
        <v>0</v>
      </c>
      <c r="H24" s="190">
        <f t="shared" si="1"/>
        <v>12.1</v>
      </c>
      <c r="I24" s="191">
        <f t="shared" si="2"/>
        <v>72.6</v>
      </c>
      <c r="J24" s="190">
        <f t="shared" si="3"/>
        <v>12.1</v>
      </c>
      <c r="K24" s="191">
        <f t="shared" si="4"/>
        <v>72.6</v>
      </c>
      <c r="L24" s="190">
        <f t="shared" si="5"/>
        <v>0</v>
      </c>
      <c r="M24" s="191">
        <f t="shared" si="6"/>
        <v>0</v>
      </c>
      <c r="N24" s="368"/>
      <c r="O24" s="368"/>
      <c r="P24" s="368">
        <v>3</v>
      </c>
      <c r="Q24" s="368">
        <v>3</v>
      </c>
      <c r="R24" s="370"/>
      <c r="S24" s="368"/>
      <c r="T24" s="370"/>
      <c r="U24" s="368"/>
      <c r="V24" s="370"/>
      <c r="W24" s="368"/>
      <c r="X24" s="370"/>
      <c r="Y24" s="368"/>
      <c r="Z24" s="370"/>
      <c r="AA24" s="368"/>
      <c r="AB24" s="370">
        <v>3</v>
      </c>
      <c r="AC24" s="368">
        <v>3</v>
      </c>
      <c r="AD24" s="370"/>
      <c r="AE24" s="370"/>
      <c r="AF24" s="370"/>
      <c r="AG24" s="370"/>
      <c r="AH24" s="370"/>
      <c r="AI24" s="370"/>
      <c r="AJ24" s="370"/>
      <c r="AK24" s="385"/>
      <c r="AL24" s="366">
        <v>3.1</v>
      </c>
      <c r="AM24" s="366">
        <v>3.1</v>
      </c>
      <c r="AN24" s="380"/>
      <c r="AO24" s="133"/>
      <c r="AP24" s="133">
        <v>3</v>
      </c>
      <c r="AQ24" s="133">
        <v>3</v>
      </c>
      <c r="AR24" s="133"/>
      <c r="AS24" s="133"/>
      <c r="AT24" s="133"/>
      <c r="AU24" s="133"/>
      <c r="AV24" s="133"/>
      <c r="AW24" s="133"/>
      <c r="AX24" s="133"/>
      <c r="AY24" s="133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3"/>
      <c r="BQ24" s="133"/>
      <c r="BR24" s="133"/>
      <c r="BS24" s="133"/>
      <c r="BT24" s="133"/>
      <c r="BU24" s="133"/>
      <c r="BV24" s="133"/>
      <c r="BW24" s="133"/>
    </row>
    <row r="25" s="140" customFormat="1" customHeight="1" spans="1:75">
      <c r="A25" s="161">
        <v>21</v>
      </c>
      <c r="B25" s="382" t="s">
        <v>422</v>
      </c>
      <c r="C25" s="162"/>
      <c r="D25" s="162"/>
      <c r="E25" s="366">
        <v>1</v>
      </c>
      <c r="F25" s="367"/>
      <c r="G25" s="191">
        <f t="shared" si="0"/>
        <v>0</v>
      </c>
      <c r="H25" s="190">
        <f t="shared" si="1"/>
        <v>47.1</v>
      </c>
      <c r="I25" s="191">
        <f t="shared" si="2"/>
        <v>47.1</v>
      </c>
      <c r="J25" s="190">
        <f t="shared" si="3"/>
        <v>47.1</v>
      </c>
      <c r="K25" s="191">
        <f t="shared" si="4"/>
        <v>47.1</v>
      </c>
      <c r="L25" s="190">
        <f t="shared" si="5"/>
        <v>0</v>
      </c>
      <c r="M25" s="191">
        <f t="shared" si="6"/>
        <v>0</v>
      </c>
      <c r="N25" s="368"/>
      <c r="O25" s="368"/>
      <c r="P25" s="368"/>
      <c r="Q25" s="368"/>
      <c r="R25" s="370"/>
      <c r="S25" s="368"/>
      <c r="T25" s="370"/>
      <c r="U25" s="368"/>
      <c r="V25" s="370"/>
      <c r="W25" s="368"/>
      <c r="X25" s="370"/>
      <c r="Y25" s="368"/>
      <c r="Z25" s="370"/>
      <c r="AA25" s="368"/>
      <c r="AB25" s="370"/>
      <c r="AC25" s="368"/>
      <c r="AD25" s="370"/>
      <c r="AE25" s="368"/>
      <c r="AF25" s="370"/>
      <c r="AG25" s="370"/>
      <c r="AH25" s="370">
        <v>31.6</v>
      </c>
      <c r="AI25" s="370">
        <v>31.6</v>
      </c>
      <c r="AJ25" s="370"/>
      <c r="AK25" s="385"/>
      <c r="AL25" s="366"/>
      <c r="AM25" s="366"/>
      <c r="AN25" s="380"/>
      <c r="AO25" s="133"/>
      <c r="AP25" s="133"/>
      <c r="AQ25" s="133"/>
      <c r="AR25" s="133"/>
      <c r="AS25" s="133"/>
      <c r="AT25" s="133"/>
      <c r="AU25" s="133"/>
      <c r="AV25" s="133"/>
      <c r="AW25" s="133"/>
      <c r="AX25" s="133"/>
      <c r="AY25" s="133"/>
      <c r="AZ25" s="133"/>
      <c r="BA25" s="143"/>
      <c r="BB25" s="133">
        <v>5.5</v>
      </c>
      <c r="BC25" s="133">
        <v>5.5</v>
      </c>
      <c r="BD25" s="133"/>
      <c r="BE25" s="133"/>
      <c r="BF25" s="133">
        <v>10</v>
      </c>
      <c r="BG25" s="133">
        <v>10</v>
      </c>
      <c r="BH25" s="133"/>
      <c r="BI25" s="133"/>
      <c r="BJ25" s="133"/>
      <c r="BK25" s="133"/>
      <c r="BL25" s="133"/>
      <c r="BM25" s="133"/>
      <c r="BN25" s="133"/>
      <c r="BO25" s="133"/>
      <c r="BP25" s="133"/>
      <c r="BQ25" s="133"/>
      <c r="BR25" s="133"/>
      <c r="BS25" s="133"/>
      <c r="BT25" s="133"/>
      <c r="BU25" s="133"/>
      <c r="BV25" s="133"/>
      <c r="BW25" s="133"/>
    </row>
    <row r="26" s="140" customFormat="1" customHeight="1" spans="1:75">
      <c r="A26" s="161">
        <v>22</v>
      </c>
      <c r="B26" s="382" t="s">
        <v>423</v>
      </c>
      <c r="C26" s="162"/>
      <c r="D26" s="162"/>
      <c r="E26" s="366">
        <v>1.8</v>
      </c>
      <c r="F26" s="367"/>
      <c r="G26" s="191">
        <f t="shared" si="0"/>
        <v>0</v>
      </c>
      <c r="H26" s="190">
        <f t="shared" si="1"/>
        <v>33.4</v>
      </c>
      <c r="I26" s="191">
        <f t="shared" si="2"/>
        <v>60.12</v>
      </c>
      <c r="J26" s="190">
        <f t="shared" si="3"/>
        <v>33.4</v>
      </c>
      <c r="K26" s="191">
        <f t="shared" si="4"/>
        <v>60.12</v>
      </c>
      <c r="L26" s="190">
        <f t="shared" si="5"/>
        <v>0</v>
      </c>
      <c r="M26" s="191">
        <f t="shared" si="6"/>
        <v>0</v>
      </c>
      <c r="N26" s="368"/>
      <c r="O26" s="368"/>
      <c r="P26" s="368">
        <v>6</v>
      </c>
      <c r="Q26" s="368">
        <v>6</v>
      </c>
      <c r="R26" s="370"/>
      <c r="S26" s="368"/>
      <c r="T26" s="370"/>
      <c r="U26" s="368"/>
      <c r="V26" s="370">
        <v>6</v>
      </c>
      <c r="W26" s="368">
        <v>6</v>
      </c>
      <c r="X26" s="370"/>
      <c r="Y26" s="368"/>
      <c r="Z26" s="370"/>
      <c r="AA26" s="368"/>
      <c r="AB26" s="370">
        <v>6.1</v>
      </c>
      <c r="AC26" s="368">
        <v>6.1</v>
      </c>
      <c r="AD26" s="370"/>
      <c r="AE26" s="368"/>
      <c r="AF26" s="370"/>
      <c r="AG26" s="370"/>
      <c r="AH26" s="370">
        <v>3.2</v>
      </c>
      <c r="AI26" s="370">
        <v>3.2</v>
      </c>
      <c r="AJ26" s="370"/>
      <c r="AK26" s="385"/>
      <c r="AL26" s="366">
        <v>3.1</v>
      </c>
      <c r="AM26" s="366">
        <v>3.1</v>
      </c>
      <c r="AN26" s="380"/>
      <c r="AO26" s="133"/>
      <c r="AP26" s="133">
        <v>3</v>
      </c>
      <c r="AQ26" s="133">
        <v>3</v>
      </c>
      <c r="AR26" s="133"/>
      <c r="AS26" s="133"/>
      <c r="AT26" s="133"/>
      <c r="AU26" s="133"/>
      <c r="AV26" s="133"/>
      <c r="AW26" s="133"/>
      <c r="AX26" s="133"/>
      <c r="AY26" s="386"/>
      <c r="AZ26" s="387"/>
      <c r="BA26" s="133"/>
      <c r="BB26" s="133"/>
      <c r="BC26" s="133"/>
      <c r="BD26" s="133"/>
      <c r="BE26" s="133"/>
      <c r="BF26" s="133">
        <v>6</v>
      </c>
      <c r="BG26" s="133">
        <v>6</v>
      </c>
      <c r="BH26" s="133"/>
      <c r="BI26" s="133"/>
      <c r="BJ26" s="133"/>
      <c r="BK26" s="133"/>
      <c r="BL26" s="133"/>
      <c r="BM26" s="133"/>
      <c r="BN26" s="133"/>
      <c r="BO26" s="133"/>
      <c r="BP26" s="133"/>
      <c r="BQ26" s="133"/>
      <c r="BR26" s="133"/>
      <c r="BS26" s="133"/>
      <c r="BT26" s="133"/>
      <c r="BU26" s="133"/>
      <c r="BV26" s="133"/>
      <c r="BW26" s="133"/>
    </row>
    <row r="27" s="140" customFormat="1" customHeight="1" spans="1:75">
      <c r="A27" s="161">
        <v>23</v>
      </c>
      <c r="B27" s="374" t="s">
        <v>424</v>
      </c>
      <c r="C27" s="162"/>
      <c r="D27" s="162"/>
      <c r="E27" s="366">
        <v>6.1</v>
      </c>
      <c r="F27" s="367"/>
      <c r="G27" s="191">
        <f t="shared" si="0"/>
        <v>0</v>
      </c>
      <c r="H27" s="190">
        <f t="shared" si="1"/>
        <v>24.8</v>
      </c>
      <c r="I27" s="191">
        <f t="shared" si="2"/>
        <v>151.28</v>
      </c>
      <c r="J27" s="190">
        <f t="shared" si="3"/>
        <v>24.8</v>
      </c>
      <c r="K27" s="191">
        <f t="shared" si="4"/>
        <v>151.28</v>
      </c>
      <c r="L27" s="190">
        <f t="shared" si="5"/>
        <v>0</v>
      </c>
      <c r="M27" s="191">
        <f t="shared" si="6"/>
        <v>0</v>
      </c>
      <c r="N27" s="318"/>
      <c r="O27" s="368"/>
      <c r="P27" s="368"/>
      <c r="Q27" s="368"/>
      <c r="R27" s="370"/>
      <c r="S27" s="368"/>
      <c r="T27" s="370"/>
      <c r="U27" s="368"/>
      <c r="V27" s="370"/>
      <c r="W27" s="368"/>
      <c r="X27" s="370"/>
      <c r="Y27" s="368"/>
      <c r="Z27" s="370"/>
      <c r="AA27" s="368"/>
      <c r="AB27" s="370">
        <v>6.1</v>
      </c>
      <c r="AC27" s="368">
        <v>6.1</v>
      </c>
      <c r="AD27" s="370"/>
      <c r="AE27" s="368"/>
      <c r="AF27" s="370"/>
      <c r="AG27" s="370"/>
      <c r="AH27" s="370"/>
      <c r="AI27" s="370"/>
      <c r="AJ27" s="370"/>
      <c r="AK27" s="385"/>
      <c r="AL27" s="366"/>
      <c r="AM27" s="366"/>
      <c r="AN27" s="380"/>
      <c r="AO27" s="133"/>
      <c r="AP27" s="133">
        <v>6.2</v>
      </c>
      <c r="AQ27" s="133">
        <v>6.2</v>
      </c>
      <c r="AR27" s="133"/>
      <c r="AS27" s="133"/>
      <c r="AT27" s="133"/>
      <c r="AU27" s="133"/>
      <c r="AV27" s="133"/>
      <c r="AW27" s="133"/>
      <c r="AX27" s="133"/>
      <c r="AY27" s="143"/>
      <c r="AZ27" s="293"/>
      <c r="BA27" s="380"/>
      <c r="BB27" s="133">
        <v>6.5</v>
      </c>
      <c r="BC27" s="133">
        <v>6.5</v>
      </c>
      <c r="BD27" s="133"/>
      <c r="BE27" s="133"/>
      <c r="BF27" s="133">
        <v>6</v>
      </c>
      <c r="BG27" s="133">
        <v>6</v>
      </c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</row>
    <row r="28" s="140" customFormat="1" customHeight="1" spans="1:75">
      <c r="A28" s="161">
        <v>24</v>
      </c>
      <c r="B28" s="382" t="s">
        <v>425</v>
      </c>
      <c r="C28" s="162"/>
      <c r="D28" s="162"/>
      <c r="E28" s="366">
        <v>3.5</v>
      </c>
      <c r="F28" s="367"/>
      <c r="G28" s="191">
        <f t="shared" si="0"/>
        <v>0</v>
      </c>
      <c r="H28" s="190">
        <f t="shared" si="1"/>
        <v>18</v>
      </c>
      <c r="I28" s="191">
        <f t="shared" si="2"/>
        <v>63</v>
      </c>
      <c r="J28" s="190">
        <f t="shared" si="3"/>
        <v>18</v>
      </c>
      <c r="K28" s="191">
        <f t="shared" si="4"/>
        <v>63</v>
      </c>
      <c r="L28" s="190">
        <f t="shared" si="5"/>
        <v>0</v>
      </c>
      <c r="M28" s="191">
        <f t="shared" si="6"/>
        <v>0</v>
      </c>
      <c r="N28" s="318"/>
      <c r="O28" s="368"/>
      <c r="P28" s="368">
        <v>6</v>
      </c>
      <c r="Q28" s="368">
        <v>6</v>
      </c>
      <c r="R28" s="370"/>
      <c r="S28" s="368"/>
      <c r="T28" s="370"/>
      <c r="U28" s="368"/>
      <c r="V28" s="370"/>
      <c r="W28" s="368"/>
      <c r="X28" s="370"/>
      <c r="Y28" s="368"/>
      <c r="Z28" s="370"/>
      <c r="AA28" s="368"/>
      <c r="AB28" s="370"/>
      <c r="AC28" s="368"/>
      <c r="AD28" s="370"/>
      <c r="AE28" s="368"/>
      <c r="AF28" s="370"/>
      <c r="AG28" s="370"/>
      <c r="AH28" s="370">
        <v>6</v>
      </c>
      <c r="AI28" s="370">
        <v>6</v>
      </c>
      <c r="AJ28" s="370"/>
      <c r="AK28" s="385"/>
      <c r="AL28" s="366">
        <v>6</v>
      </c>
      <c r="AM28" s="366">
        <v>6</v>
      </c>
      <c r="AN28" s="380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386"/>
      <c r="AZ28" s="293"/>
      <c r="BA28" s="380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</row>
    <row r="29" s="140" customFormat="1" customHeight="1" spans="1:75">
      <c r="A29" s="161">
        <v>25</v>
      </c>
      <c r="B29" s="162" t="s">
        <v>426</v>
      </c>
      <c r="C29" s="162"/>
      <c r="D29" s="162"/>
      <c r="E29" s="366">
        <v>5</v>
      </c>
      <c r="F29" s="367"/>
      <c r="G29" s="191">
        <f t="shared" si="0"/>
        <v>0</v>
      </c>
      <c r="H29" s="190">
        <f t="shared" si="1"/>
        <v>18</v>
      </c>
      <c r="I29" s="191">
        <f t="shared" si="2"/>
        <v>90</v>
      </c>
      <c r="J29" s="190">
        <f t="shared" si="3"/>
        <v>18</v>
      </c>
      <c r="K29" s="191">
        <f t="shared" si="4"/>
        <v>90</v>
      </c>
      <c r="L29" s="190">
        <f t="shared" si="5"/>
        <v>0</v>
      </c>
      <c r="M29" s="191">
        <f t="shared" si="6"/>
        <v>0</v>
      </c>
      <c r="N29" s="388"/>
      <c r="O29" s="368"/>
      <c r="P29" s="368"/>
      <c r="Q29" s="368"/>
      <c r="R29" s="370"/>
      <c r="S29" s="368"/>
      <c r="T29" s="370"/>
      <c r="U29" s="368"/>
      <c r="V29" s="370">
        <v>6</v>
      </c>
      <c r="W29" s="368">
        <v>6</v>
      </c>
      <c r="X29" s="370"/>
      <c r="Y29" s="368"/>
      <c r="Z29" s="370"/>
      <c r="AA29" s="368"/>
      <c r="AB29" s="370"/>
      <c r="AC29" s="368"/>
      <c r="AD29" s="370"/>
      <c r="AE29" s="368"/>
      <c r="AF29" s="370"/>
      <c r="AG29" s="370"/>
      <c r="AH29" s="370"/>
      <c r="AI29" s="370"/>
      <c r="AJ29" s="370"/>
      <c r="AK29" s="385"/>
      <c r="AL29" s="366">
        <v>6</v>
      </c>
      <c r="AM29" s="366">
        <v>6</v>
      </c>
      <c r="AN29" s="380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386"/>
      <c r="AZ29" s="293"/>
      <c r="BA29" s="380"/>
      <c r="BB29" s="133"/>
      <c r="BC29" s="133"/>
      <c r="BD29" s="133"/>
      <c r="BE29" s="133"/>
      <c r="BF29" s="133">
        <v>6</v>
      </c>
      <c r="BG29" s="133">
        <v>6</v>
      </c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</row>
    <row r="30" s="140" customFormat="1" customHeight="1" spans="1:75">
      <c r="A30" s="161">
        <v>26</v>
      </c>
      <c r="B30" s="162" t="s">
        <v>427</v>
      </c>
      <c r="C30" s="162"/>
      <c r="D30" s="162"/>
      <c r="E30" s="366">
        <v>4</v>
      </c>
      <c r="F30" s="367"/>
      <c r="G30" s="191">
        <f t="shared" si="0"/>
        <v>0</v>
      </c>
      <c r="H30" s="190">
        <f t="shared" si="1"/>
        <v>0</v>
      </c>
      <c r="I30" s="191">
        <f t="shared" si="2"/>
        <v>0</v>
      </c>
      <c r="J30" s="190">
        <f t="shared" si="3"/>
        <v>0</v>
      </c>
      <c r="K30" s="191">
        <f t="shared" si="4"/>
        <v>0</v>
      </c>
      <c r="L30" s="190">
        <f t="shared" si="5"/>
        <v>0</v>
      </c>
      <c r="M30" s="191">
        <f t="shared" si="6"/>
        <v>0</v>
      </c>
      <c r="N30" s="368"/>
      <c r="O30" s="368"/>
      <c r="P30" s="368"/>
      <c r="Q30" s="368"/>
      <c r="R30" s="370"/>
      <c r="S30" s="370"/>
      <c r="T30" s="370"/>
      <c r="U30" s="370"/>
      <c r="V30" s="370"/>
      <c r="W30" s="370"/>
      <c r="X30" s="370"/>
      <c r="Y30" s="370"/>
      <c r="Z30" s="370"/>
      <c r="AA30" s="370"/>
      <c r="AB30" s="370"/>
      <c r="AC30" s="370"/>
      <c r="AD30" s="370"/>
      <c r="AE30" s="370"/>
      <c r="AF30" s="370"/>
      <c r="AG30" s="370"/>
      <c r="AH30" s="370"/>
      <c r="AI30" s="370"/>
      <c r="AJ30" s="370"/>
      <c r="AK30" s="370"/>
      <c r="AL30" s="389"/>
      <c r="AM30" s="389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386"/>
      <c r="AZ30" s="293"/>
      <c r="BA30" s="380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</row>
    <row r="31" s="140" customFormat="1" customHeight="1" spans="1:75">
      <c r="A31" s="161">
        <v>27</v>
      </c>
      <c r="B31" s="382" t="s">
        <v>428</v>
      </c>
      <c r="C31" s="162"/>
      <c r="D31" s="162"/>
      <c r="E31" s="366">
        <v>2.8</v>
      </c>
      <c r="F31" s="367"/>
      <c r="G31" s="191">
        <f t="shared" si="0"/>
        <v>0</v>
      </c>
      <c r="H31" s="190">
        <f t="shared" si="1"/>
        <v>31.5</v>
      </c>
      <c r="I31" s="191">
        <f t="shared" si="2"/>
        <v>88.2</v>
      </c>
      <c r="J31" s="190">
        <f t="shared" si="3"/>
        <v>31.5</v>
      </c>
      <c r="K31" s="191">
        <f t="shared" si="4"/>
        <v>88.2</v>
      </c>
      <c r="L31" s="190">
        <f t="shared" si="5"/>
        <v>0</v>
      </c>
      <c r="M31" s="191">
        <f t="shared" si="6"/>
        <v>0</v>
      </c>
      <c r="N31" s="368"/>
      <c r="O31" s="368"/>
      <c r="P31" s="368">
        <v>6</v>
      </c>
      <c r="Q31" s="368">
        <v>6</v>
      </c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F31" s="370"/>
      <c r="AG31" s="370"/>
      <c r="AH31" s="370">
        <v>6.3</v>
      </c>
      <c r="AI31" s="370">
        <v>6.3</v>
      </c>
      <c r="AJ31" s="370"/>
      <c r="AK31" s="370"/>
      <c r="AL31" s="370"/>
      <c r="AM31" s="370"/>
      <c r="AN31" s="133"/>
      <c r="AO31" s="133"/>
      <c r="AP31" s="133"/>
      <c r="AQ31" s="133"/>
      <c r="AR31" s="133"/>
      <c r="AS31" s="133"/>
      <c r="AT31" s="133"/>
      <c r="AU31" s="291"/>
      <c r="AV31" s="133"/>
      <c r="AW31" s="133"/>
      <c r="AX31" s="133">
        <v>6.5</v>
      </c>
      <c r="AY31" s="386">
        <v>6.5</v>
      </c>
      <c r="AZ31" s="293"/>
      <c r="BA31" s="380"/>
      <c r="BB31" s="133">
        <v>6.7</v>
      </c>
      <c r="BC31" s="133">
        <v>6.7</v>
      </c>
      <c r="BD31" s="133"/>
      <c r="BE31" s="133"/>
      <c r="BF31" s="133">
        <v>6</v>
      </c>
      <c r="BG31" s="133">
        <v>6</v>
      </c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</row>
    <row r="32" s="140" customFormat="1" customHeight="1" spans="1:75">
      <c r="A32" s="161">
        <v>28</v>
      </c>
      <c r="B32" s="375" t="s">
        <v>429</v>
      </c>
      <c r="C32" s="162"/>
      <c r="D32" s="162"/>
      <c r="E32" s="366">
        <v>4.5</v>
      </c>
      <c r="F32" s="367"/>
      <c r="G32" s="191">
        <f t="shared" si="0"/>
        <v>0</v>
      </c>
      <c r="H32" s="190">
        <f t="shared" si="1"/>
        <v>21.2</v>
      </c>
      <c r="I32" s="191">
        <f t="shared" si="2"/>
        <v>95.4</v>
      </c>
      <c r="J32" s="190">
        <f t="shared" si="3"/>
        <v>21.2</v>
      </c>
      <c r="K32" s="191">
        <f t="shared" si="4"/>
        <v>95.4</v>
      </c>
      <c r="L32" s="190">
        <f t="shared" si="5"/>
        <v>0</v>
      </c>
      <c r="M32" s="191">
        <f t="shared" si="6"/>
        <v>0</v>
      </c>
      <c r="N32" s="368"/>
      <c r="O32" s="368"/>
      <c r="P32" s="368">
        <v>3.1</v>
      </c>
      <c r="Q32" s="368">
        <v>3.1</v>
      </c>
      <c r="R32" s="370"/>
      <c r="S32" s="370"/>
      <c r="T32" s="370"/>
      <c r="U32" s="370"/>
      <c r="V32" s="370">
        <v>3</v>
      </c>
      <c r="W32" s="370">
        <v>3</v>
      </c>
      <c r="X32" s="370"/>
      <c r="Y32" s="370"/>
      <c r="Z32" s="370"/>
      <c r="AA32" s="370"/>
      <c r="AB32" s="370">
        <v>3.1</v>
      </c>
      <c r="AC32" s="370">
        <v>3.1</v>
      </c>
      <c r="AD32" s="370"/>
      <c r="AE32" s="370"/>
      <c r="AF32" s="370"/>
      <c r="AG32" s="370"/>
      <c r="AH32" s="370"/>
      <c r="AI32" s="370"/>
      <c r="AJ32" s="370"/>
      <c r="AK32" s="370"/>
      <c r="AL32" s="370">
        <v>3</v>
      </c>
      <c r="AM32" s="370">
        <v>3</v>
      </c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386"/>
      <c r="AZ32" s="293"/>
      <c r="BA32" s="380"/>
      <c r="BB32" s="133"/>
      <c r="BC32" s="133"/>
      <c r="BD32" s="133"/>
      <c r="BE32" s="133"/>
      <c r="BF32" s="133">
        <v>3</v>
      </c>
      <c r="BG32" s="133">
        <v>3</v>
      </c>
      <c r="BH32" s="133"/>
      <c r="BI32" s="133"/>
      <c r="BJ32" s="133"/>
      <c r="BK32" s="133"/>
      <c r="BL32" s="133">
        <v>6</v>
      </c>
      <c r="BM32" s="133">
        <v>6</v>
      </c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</row>
    <row r="33" s="140" customFormat="1" customHeight="1" spans="1:75">
      <c r="A33" s="161">
        <v>29</v>
      </c>
      <c r="B33" s="162" t="s">
        <v>430</v>
      </c>
      <c r="C33" s="162"/>
      <c r="D33" s="162"/>
      <c r="E33" s="366">
        <v>3.3</v>
      </c>
      <c r="F33" s="367"/>
      <c r="G33" s="191">
        <f t="shared" si="0"/>
        <v>0</v>
      </c>
      <c r="H33" s="190">
        <f t="shared" si="1"/>
        <v>15</v>
      </c>
      <c r="I33" s="191">
        <f t="shared" si="2"/>
        <v>49.5</v>
      </c>
      <c r="J33" s="190">
        <f t="shared" si="3"/>
        <v>15</v>
      </c>
      <c r="K33" s="191">
        <f t="shared" si="4"/>
        <v>49.5</v>
      </c>
      <c r="L33" s="190">
        <f t="shared" si="5"/>
        <v>0</v>
      </c>
      <c r="M33" s="191">
        <f t="shared" si="6"/>
        <v>0</v>
      </c>
      <c r="N33" s="368"/>
      <c r="O33" s="368"/>
      <c r="P33" s="368"/>
      <c r="Q33" s="368"/>
      <c r="R33" s="370"/>
      <c r="S33" s="370"/>
      <c r="T33" s="370"/>
      <c r="U33" s="370"/>
      <c r="V33" s="370"/>
      <c r="W33" s="370"/>
      <c r="X33" s="370"/>
      <c r="Y33" s="370"/>
      <c r="Z33" s="370"/>
      <c r="AA33" s="370"/>
      <c r="AB33" s="370">
        <v>6</v>
      </c>
      <c r="AC33" s="370">
        <v>6</v>
      </c>
      <c r="AD33" s="370"/>
      <c r="AE33" s="370"/>
      <c r="AF33" s="370"/>
      <c r="AG33" s="370"/>
      <c r="AH33" s="370"/>
      <c r="AI33" s="370"/>
      <c r="AJ33" s="370"/>
      <c r="AK33" s="370"/>
      <c r="AL33" s="370"/>
      <c r="AM33" s="370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386"/>
      <c r="AZ33" s="267"/>
      <c r="BA33" s="380"/>
      <c r="BB33" s="133">
        <v>3</v>
      </c>
      <c r="BC33" s="133">
        <v>3</v>
      </c>
      <c r="BD33" s="133"/>
      <c r="BE33" s="133"/>
      <c r="BF33" s="133">
        <v>6</v>
      </c>
      <c r="BG33" s="133">
        <v>6</v>
      </c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</row>
    <row r="34" s="140" customFormat="1" customHeight="1" spans="1:75">
      <c r="A34" s="161">
        <v>30</v>
      </c>
      <c r="B34" s="374" t="s">
        <v>431</v>
      </c>
      <c r="C34" s="162"/>
      <c r="D34" s="162"/>
      <c r="E34" s="366"/>
      <c r="F34" s="367"/>
      <c r="G34" s="191">
        <f t="shared" si="0"/>
        <v>0</v>
      </c>
      <c r="H34" s="190">
        <f t="shared" si="1"/>
        <v>12.1</v>
      </c>
      <c r="I34" s="191">
        <f t="shared" si="2"/>
        <v>0</v>
      </c>
      <c r="J34" s="190">
        <f t="shared" si="3"/>
        <v>12.1</v>
      </c>
      <c r="K34" s="191">
        <f t="shared" si="4"/>
        <v>0</v>
      </c>
      <c r="L34" s="190">
        <f t="shared" si="5"/>
        <v>0</v>
      </c>
      <c r="M34" s="191">
        <f t="shared" si="6"/>
        <v>0</v>
      </c>
      <c r="N34" s="368"/>
      <c r="O34" s="368"/>
      <c r="P34" s="368"/>
      <c r="Q34" s="368"/>
      <c r="R34" s="370"/>
      <c r="S34" s="370"/>
      <c r="T34" s="370"/>
      <c r="U34" s="370"/>
      <c r="V34" s="370"/>
      <c r="W34" s="370"/>
      <c r="X34" s="370"/>
      <c r="Y34" s="370"/>
      <c r="Z34" s="370"/>
      <c r="AA34" s="370"/>
      <c r="AB34" s="370"/>
      <c r="AC34" s="370"/>
      <c r="AD34" s="370"/>
      <c r="AE34" s="370"/>
      <c r="AF34" s="370"/>
      <c r="AG34" s="370"/>
      <c r="AH34" s="370"/>
      <c r="AI34" s="370"/>
      <c r="AJ34" s="370"/>
      <c r="AK34" s="370"/>
      <c r="AL34" s="370"/>
      <c r="AM34" s="370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>
        <v>6.1</v>
      </c>
      <c r="AY34" s="133">
        <v>6.1</v>
      </c>
      <c r="AZ34" s="273"/>
      <c r="BA34" s="133"/>
      <c r="BB34" s="133"/>
      <c r="BC34" s="133"/>
      <c r="BD34" s="133"/>
      <c r="BE34" s="133"/>
      <c r="BF34" s="133">
        <v>6</v>
      </c>
      <c r="BG34" s="133">
        <v>6</v>
      </c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</row>
    <row r="35" s="140" customFormat="1" customHeight="1" spans="1:75">
      <c r="A35" s="161">
        <v>31</v>
      </c>
      <c r="B35" s="162" t="s">
        <v>432</v>
      </c>
      <c r="C35" s="162"/>
      <c r="D35" s="162"/>
      <c r="E35" s="366">
        <v>5.5</v>
      </c>
      <c r="F35" s="367"/>
      <c r="G35" s="191">
        <f t="shared" si="0"/>
        <v>0</v>
      </c>
      <c r="H35" s="190">
        <f t="shared" si="1"/>
        <v>43</v>
      </c>
      <c r="I35" s="191">
        <f t="shared" si="2"/>
        <v>236.5</v>
      </c>
      <c r="J35" s="190">
        <f t="shared" si="3"/>
        <v>43</v>
      </c>
      <c r="K35" s="191">
        <f t="shared" si="4"/>
        <v>236.5</v>
      </c>
      <c r="L35" s="190">
        <f t="shared" si="5"/>
        <v>0</v>
      </c>
      <c r="M35" s="191">
        <f t="shared" si="6"/>
        <v>0</v>
      </c>
      <c r="N35" s="368"/>
      <c r="O35" s="368"/>
      <c r="P35" s="368">
        <v>6</v>
      </c>
      <c r="Q35" s="368">
        <v>6</v>
      </c>
      <c r="R35" s="370"/>
      <c r="S35" s="370"/>
      <c r="T35" s="370"/>
      <c r="U35" s="370"/>
      <c r="V35" s="370">
        <v>6</v>
      </c>
      <c r="W35" s="370">
        <v>6</v>
      </c>
      <c r="X35" s="370"/>
      <c r="Y35" s="370"/>
      <c r="Z35" s="370"/>
      <c r="AA35" s="370"/>
      <c r="AB35" s="370">
        <v>6</v>
      </c>
      <c r="AC35" s="370">
        <v>6</v>
      </c>
      <c r="AD35" s="370"/>
      <c r="AE35" s="370"/>
      <c r="AF35" s="370"/>
      <c r="AG35" s="370"/>
      <c r="AH35" s="370">
        <v>6.2</v>
      </c>
      <c r="AI35" s="370">
        <v>6.2</v>
      </c>
      <c r="AJ35" s="370"/>
      <c r="AK35" s="370"/>
      <c r="AL35" s="370">
        <v>6.2</v>
      </c>
      <c r="AM35" s="370">
        <v>6.2</v>
      </c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>
        <v>6.6</v>
      </c>
      <c r="BC35" s="133">
        <v>6.6</v>
      </c>
      <c r="BD35" s="133"/>
      <c r="BE35" s="133"/>
      <c r="BF35" s="133">
        <v>6</v>
      </c>
      <c r="BG35" s="133">
        <v>6</v>
      </c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</row>
    <row r="36" s="140" customFormat="1" customHeight="1" spans="1:75">
      <c r="A36" s="161">
        <v>32</v>
      </c>
      <c r="B36" s="162" t="s">
        <v>433</v>
      </c>
      <c r="C36" s="162"/>
      <c r="D36" s="162"/>
      <c r="E36" s="366">
        <v>5</v>
      </c>
      <c r="F36" s="367"/>
      <c r="G36" s="191">
        <f t="shared" si="0"/>
        <v>0</v>
      </c>
      <c r="H36" s="190">
        <f t="shared" si="1"/>
        <v>27</v>
      </c>
      <c r="I36" s="191">
        <f t="shared" si="2"/>
        <v>135</v>
      </c>
      <c r="J36" s="190">
        <f t="shared" si="3"/>
        <v>27</v>
      </c>
      <c r="K36" s="191">
        <f t="shared" si="4"/>
        <v>135</v>
      </c>
      <c r="L36" s="190">
        <f t="shared" si="5"/>
        <v>0</v>
      </c>
      <c r="M36" s="191">
        <f t="shared" si="6"/>
        <v>0</v>
      </c>
      <c r="N36" s="368"/>
      <c r="O36" s="368"/>
      <c r="P36" s="368"/>
      <c r="Q36" s="368"/>
      <c r="R36" s="370"/>
      <c r="S36" s="370"/>
      <c r="T36" s="370"/>
      <c r="U36" s="370"/>
      <c r="V36" s="370"/>
      <c r="W36" s="370"/>
      <c r="X36" s="370"/>
      <c r="Y36" s="370"/>
      <c r="Z36" s="370"/>
      <c r="AA36" s="370"/>
      <c r="AB36" s="370"/>
      <c r="AC36" s="370"/>
      <c r="AD36" s="370"/>
      <c r="AE36" s="370"/>
      <c r="AF36" s="370"/>
      <c r="AG36" s="370"/>
      <c r="AH36" s="370"/>
      <c r="AI36" s="370"/>
      <c r="AJ36" s="370"/>
      <c r="AK36" s="370"/>
      <c r="AL36" s="370">
        <v>6</v>
      </c>
      <c r="AM36" s="370">
        <v>6</v>
      </c>
      <c r="AN36" s="133"/>
      <c r="AO36" s="133"/>
      <c r="AP36" s="133"/>
      <c r="AQ36" s="133"/>
      <c r="AR36" s="133"/>
      <c r="AS36" s="133"/>
      <c r="AT36" s="133">
        <v>3</v>
      </c>
      <c r="AU36" s="133">
        <v>3</v>
      </c>
      <c r="AV36" s="133"/>
      <c r="AW36" s="133"/>
      <c r="AX36" s="133">
        <v>6</v>
      </c>
      <c r="AY36" s="133">
        <v>6</v>
      </c>
      <c r="AZ36" s="133"/>
      <c r="BA36" s="133"/>
      <c r="BB36" s="133"/>
      <c r="BC36" s="133"/>
      <c r="BD36" s="133"/>
      <c r="BE36" s="133"/>
      <c r="BF36" s="133">
        <v>6</v>
      </c>
      <c r="BG36" s="133">
        <v>6</v>
      </c>
      <c r="BH36" s="133"/>
      <c r="BI36" s="133"/>
      <c r="BJ36" s="133"/>
      <c r="BK36" s="133"/>
      <c r="BL36" s="133">
        <v>6</v>
      </c>
      <c r="BM36" s="133">
        <v>6</v>
      </c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</row>
    <row r="37" s="140" customFormat="1" customHeight="1" spans="1:75">
      <c r="A37" s="161">
        <v>33</v>
      </c>
      <c r="B37" s="162" t="s">
        <v>434</v>
      </c>
      <c r="C37" s="162"/>
      <c r="D37" s="162"/>
      <c r="E37" s="366">
        <v>3</v>
      </c>
      <c r="F37" s="367"/>
      <c r="G37" s="191">
        <f t="shared" si="0"/>
        <v>0</v>
      </c>
      <c r="H37" s="190">
        <f t="shared" si="1"/>
        <v>9.4</v>
      </c>
      <c r="I37" s="191">
        <f t="shared" si="2"/>
        <v>28.2</v>
      </c>
      <c r="J37" s="190">
        <f t="shared" si="3"/>
        <v>9.4</v>
      </c>
      <c r="K37" s="191">
        <f t="shared" si="4"/>
        <v>28.2</v>
      </c>
      <c r="L37" s="190">
        <f t="shared" si="5"/>
        <v>0</v>
      </c>
      <c r="M37" s="191">
        <f t="shared" si="6"/>
        <v>0</v>
      </c>
      <c r="N37" s="368"/>
      <c r="O37" s="368"/>
      <c r="P37" s="368"/>
      <c r="Q37" s="368"/>
      <c r="R37" s="370"/>
      <c r="S37" s="370"/>
      <c r="T37" s="370"/>
      <c r="U37" s="370"/>
      <c r="V37" s="370">
        <v>3</v>
      </c>
      <c r="W37" s="370">
        <v>3</v>
      </c>
      <c r="X37" s="370"/>
      <c r="Y37" s="370"/>
      <c r="Z37" s="370"/>
      <c r="AA37" s="370"/>
      <c r="AB37" s="370"/>
      <c r="AC37" s="370"/>
      <c r="AD37" s="370"/>
      <c r="AE37" s="370"/>
      <c r="AF37" s="370"/>
      <c r="AG37" s="370"/>
      <c r="AH37" s="370"/>
      <c r="AI37" s="370"/>
      <c r="AJ37" s="370"/>
      <c r="AK37" s="370"/>
      <c r="AL37" s="370"/>
      <c r="AM37" s="370"/>
      <c r="AN37" s="133"/>
      <c r="AO37" s="133"/>
      <c r="AP37" s="133"/>
      <c r="AQ37" s="133"/>
      <c r="AR37" s="133"/>
      <c r="AS37" s="133"/>
      <c r="AT37" s="133">
        <v>2.4</v>
      </c>
      <c r="AU37" s="133">
        <v>2.4</v>
      </c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>
        <v>2</v>
      </c>
      <c r="BG37" s="133">
        <v>2</v>
      </c>
      <c r="BH37" s="133"/>
      <c r="BI37" s="133"/>
      <c r="BJ37" s="133"/>
      <c r="BK37" s="133"/>
      <c r="BL37" s="133">
        <v>2</v>
      </c>
      <c r="BM37" s="133">
        <v>2</v>
      </c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</row>
    <row r="38" s="140" customFormat="1" customHeight="1" spans="1:75">
      <c r="A38" s="161">
        <v>34</v>
      </c>
      <c r="B38" s="162" t="s">
        <v>435</v>
      </c>
      <c r="C38" s="162"/>
      <c r="D38" s="162"/>
      <c r="E38" s="366"/>
      <c r="F38" s="367"/>
      <c r="G38" s="191">
        <f t="shared" si="0"/>
        <v>0</v>
      </c>
      <c r="H38" s="190">
        <f t="shared" si="1"/>
        <v>16</v>
      </c>
      <c r="I38" s="191">
        <f t="shared" si="2"/>
        <v>0</v>
      </c>
      <c r="J38" s="190">
        <f t="shared" si="3"/>
        <v>16</v>
      </c>
      <c r="K38" s="191">
        <f t="shared" si="4"/>
        <v>0</v>
      </c>
      <c r="L38" s="190">
        <f t="shared" si="5"/>
        <v>0</v>
      </c>
      <c r="M38" s="191">
        <f t="shared" si="6"/>
        <v>0</v>
      </c>
      <c r="N38" s="368"/>
      <c r="O38" s="368"/>
      <c r="P38" s="368"/>
      <c r="Q38" s="368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70"/>
      <c r="AE38" s="370"/>
      <c r="AF38" s="370"/>
      <c r="AG38" s="370"/>
      <c r="AH38" s="370"/>
      <c r="AI38" s="370"/>
      <c r="AJ38" s="370"/>
      <c r="AK38" s="370"/>
      <c r="AL38" s="370"/>
      <c r="AM38" s="370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>
        <v>16</v>
      </c>
      <c r="AY38" s="133">
        <v>16</v>
      </c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</row>
    <row r="39" s="140" customFormat="1" customHeight="1" spans="1:75">
      <c r="A39" s="161">
        <v>35</v>
      </c>
      <c r="B39" s="162" t="s">
        <v>436</v>
      </c>
      <c r="C39" s="162"/>
      <c r="D39" s="162"/>
      <c r="E39" s="366"/>
      <c r="F39" s="367"/>
      <c r="G39" s="191">
        <f t="shared" si="0"/>
        <v>0</v>
      </c>
      <c r="H39" s="190">
        <f t="shared" si="1"/>
        <v>0</v>
      </c>
      <c r="I39" s="191">
        <f t="shared" si="2"/>
        <v>0</v>
      </c>
      <c r="J39" s="190">
        <f t="shared" si="3"/>
        <v>0</v>
      </c>
      <c r="K39" s="191">
        <f t="shared" si="4"/>
        <v>0</v>
      </c>
      <c r="L39" s="190">
        <f t="shared" si="5"/>
        <v>0</v>
      </c>
      <c r="M39" s="191">
        <f t="shared" si="6"/>
        <v>0</v>
      </c>
      <c r="N39" s="368"/>
      <c r="O39" s="368"/>
      <c r="P39" s="368"/>
      <c r="Q39" s="368"/>
      <c r="R39" s="370"/>
      <c r="S39" s="370"/>
      <c r="T39" s="370"/>
      <c r="U39" s="370"/>
      <c r="V39" s="370"/>
      <c r="W39" s="370"/>
      <c r="X39" s="370"/>
      <c r="Y39" s="370"/>
      <c r="Z39" s="370"/>
      <c r="AA39" s="370"/>
      <c r="AB39" s="370"/>
      <c r="AC39" s="370"/>
      <c r="AD39" s="370"/>
      <c r="AE39" s="370"/>
      <c r="AF39" s="370"/>
      <c r="AG39" s="370"/>
      <c r="AH39" s="370"/>
      <c r="AI39" s="370"/>
      <c r="AJ39" s="370"/>
      <c r="AK39" s="370"/>
      <c r="AL39" s="370"/>
      <c r="AM39" s="370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M39" s="133"/>
      <c r="BN39" s="133"/>
      <c r="BO39" s="133"/>
      <c r="BP39" s="133"/>
      <c r="BQ39" s="133"/>
      <c r="BR39" s="133"/>
      <c r="BS39" s="387"/>
      <c r="BT39" s="133"/>
      <c r="BU39" s="133"/>
      <c r="BV39" s="133"/>
      <c r="BW39" s="133"/>
    </row>
    <row r="40" s="143" customFormat="1" customHeight="1" spans="1:75">
      <c r="A40" s="161">
        <v>36</v>
      </c>
      <c r="B40" s="382" t="s">
        <v>437</v>
      </c>
      <c r="C40" s="162"/>
      <c r="D40" s="162"/>
      <c r="E40" s="366"/>
      <c r="F40" s="367"/>
      <c r="G40" s="191">
        <f t="shared" si="0"/>
        <v>0</v>
      </c>
      <c r="H40" s="190">
        <f t="shared" si="1"/>
        <v>3.1</v>
      </c>
      <c r="I40" s="191">
        <f t="shared" si="2"/>
        <v>0</v>
      </c>
      <c r="J40" s="190">
        <f t="shared" si="3"/>
        <v>3.1</v>
      </c>
      <c r="K40" s="191">
        <f t="shared" si="4"/>
        <v>0</v>
      </c>
      <c r="L40" s="190">
        <f t="shared" si="5"/>
        <v>0</v>
      </c>
      <c r="M40" s="191">
        <f t="shared" si="6"/>
        <v>0</v>
      </c>
      <c r="N40" s="390"/>
      <c r="O40" s="368"/>
      <c r="P40" s="368"/>
      <c r="Q40" s="368"/>
      <c r="R40" s="370"/>
      <c r="S40" s="370"/>
      <c r="T40" s="370"/>
      <c r="U40" s="370"/>
      <c r="V40" s="370"/>
      <c r="W40" s="370"/>
      <c r="X40" s="370"/>
      <c r="Y40" s="370"/>
      <c r="Z40" s="370"/>
      <c r="AA40" s="370"/>
      <c r="AB40" s="370"/>
      <c r="AC40" s="370"/>
      <c r="AD40" s="370"/>
      <c r="AE40" s="370"/>
      <c r="AF40" s="370"/>
      <c r="AG40" s="370"/>
      <c r="AH40" s="370">
        <v>3.1</v>
      </c>
      <c r="AI40" s="370">
        <v>3.1</v>
      </c>
      <c r="AJ40" s="370"/>
      <c r="AK40" s="370"/>
      <c r="AL40" s="370"/>
      <c r="AM40" s="370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386"/>
      <c r="BS40" s="293"/>
      <c r="BT40" s="380"/>
      <c r="BU40" s="133"/>
      <c r="BV40" s="133"/>
      <c r="BW40" s="133"/>
    </row>
    <row r="41" s="140" customFormat="1" customHeight="1" spans="1:75">
      <c r="A41" s="161">
        <v>37</v>
      </c>
      <c r="B41" s="382" t="s">
        <v>438</v>
      </c>
      <c r="C41" s="162"/>
      <c r="D41" s="162"/>
      <c r="E41" s="366">
        <v>8</v>
      </c>
      <c r="F41" s="367"/>
      <c r="G41" s="191">
        <f t="shared" si="0"/>
        <v>0</v>
      </c>
      <c r="H41" s="190">
        <f t="shared" si="1"/>
        <v>6.3</v>
      </c>
      <c r="I41" s="191">
        <f t="shared" si="2"/>
        <v>50.4</v>
      </c>
      <c r="J41" s="190">
        <f t="shared" si="3"/>
        <v>6.3</v>
      </c>
      <c r="K41" s="191">
        <f t="shared" si="4"/>
        <v>50.4</v>
      </c>
      <c r="L41" s="190">
        <f t="shared" si="5"/>
        <v>0</v>
      </c>
      <c r="M41" s="191">
        <f t="shared" si="6"/>
        <v>0</v>
      </c>
      <c r="N41" s="390"/>
      <c r="O41" s="368"/>
      <c r="P41" s="368">
        <v>3.1</v>
      </c>
      <c r="Q41" s="368">
        <v>3.1</v>
      </c>
      <c r="R41" s="370"/>
      <c r="S41" s="370"/>
      <c r="T41" s="370"/>
      <c r="U41" s="370"/>
      <c r="V41" s="379"/>
      <c r="W41" s="370"/>
      <c r="X41" s="370"/>
      <c r="Y41" s="370"/>
      <c r="Z41" s="370"/>
      <c r="AA41" s="370"/>
      <c r="AB41" s="370"/>
      <c r="AC41" s="370"/>
      <c r="AD41" s="370"/>
      <c r="AE41" s="370"/>
      <c r="AF41" s="370"/>
      <c r="AG41" s="370"/>
      <c r="AH41" s="370">
        <v>3.2</v>
      </c>
      <c r="AI41" s="370">
        <v>3.2</v>
      </c>
      <c r="AJ41" s="370"/>
      <c r="AK41" s="370"/>
      <c r="AL41" s="370"/>
      <c r="AM41" s="370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33"/>
      <c r="BQ41" s="133"/>
      <c r="BR41" s="133"/>
      <c r="BS41" s="143"/>
      <c r="BT41" s="133"/>
      <c r="BU41" s="133"/>
      <c r="BV41" s="133"/>
      <c r="BW41" s="133"/>
    </row>
    <row r="42" s="140" customFormat="1" customHeight="1" spans="1:75">
      <c r="A42" s="161">
        <v>38</v>
      </c>
      <c r="B42" s="162" t="s">
        <v>439</v>
      </c>
      <c r="C42" s="162"/>
      <c r="D42" s="162"/>
      <c r="E42" s="366">
        <v>2</v>
      </c>
      <c r="F42" s="367"/>
      <c r="G42" s="191">
        <f t="shared" si="0"/>
        <v>0</v>
      </c>
      <c r="H42" s="190">
        <f t="shared" si="1"/>
        <v>15.5</v>
      </c>
      <c r="I42" s="191">
        <f t="shared" si="2"/>
        <v>31</v>
      </c>
      <c r="J42" s="190">
        <f t="shared" si="3"/>
        <v>15.5</v>
      </c>
      <c r="K42" s="191">
        <f t="shared" si="4"/>
        <v>31</v>
      </c>
      <c r="L42" s="190">
        <f t="shared" si="5"/>
        <v>0</v>
      </c>
      <c r="M42" s="191">
        <f t="shared" si="6"/>
        <v>0</v>
      </c>
      <c r="N42" s="390"/>
      <c r="O42" s="368"/>
      <c r="P42" s="368"/>
      <c r="Q42" s="368"/>
      <c r="R42" s="370"/>
      <c r="S42" s="370"/>
      <c r="T42" s="370"/>
      <c r="U42" s="370"/>
      <c r="V42" s="370">
        <v>5</v>
      </c>
      <c r="W42" s="370">
        <v>5</v>
      </c>
      <c r="X42" s="370"/>
      <c r="Y42" s="370"/>
      <c r="Z42" s="370"/>
      <c r="AA42" s="370"/>
      <c r="AB42" s="370"/>
      <c r="AC42" s="370"/>
      <c r="AD42" s="370"/>
      <c r="AE42" s="370"/>
      <c r="AF42" s="370"/>
      <c r="AG42" s="370"/>
      <c r="AH42" s="370">
        <v>6.5</v>
      </c>
      <c r="AI42" s="370">
        <v>6.5</v>
      </c>
      <c r="AJ42" s="370"/>
      <c r="AK42" s="370"/>
      <c r="AL42" s="370"/>
      <c r="AM42" s="370"/>
      <c r="AN42" s="133"/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3"/>
      <c r="BB42" s="133"/>
      <c r="BC42" s="133"/>
      <c r="BD42" s="133"/>
      <c r="BE42" s="133"/>
      <c r="BF42" s="133">
        <v>2</v>
      </c>
      <c r="BG42" s="133">
        <v>2</v>
      </c>
      <c r="BH42" s="133"/>
      <c r="BI42" s="133"/>
      <c r="BJ42" s="133"/>
      <c r="BK42" s="133"/>
      <c r="BL42" s="133">
        <v>2</v>
      </c>
      <c r="BM42" s="133">
        <v>2</v>
      </c>
      <c r="BN42" s="133"/>
      <c r="BO42" s="133"/>
      <c r="BP42" s="133"/>
      <c r="BQ42" s="133"/>
      <c r="BR42" s="133"/>
      <c r="BS42" s="133"/>
      <c r="BT42" s="133"/>
      <c r="BU42" s="133"/>
      <c r="BV42" s="133"/>
      <c r="BW42" s="133"/>
    </row>
    <row r="43" s="140" customFormat="1" customHeight="1" spans="1:75">
      <c r="A43" s="161">
        <v>39</v>
      </c>
      <c r="B43" s="375" t="s">
        <v>440</v>
      </c>
      <c r="C43" s="162"/>
      <c r="D43" s="162"/>
      <c r="E43" s="366">
        <v>8</v>
      </c>
      <c r="F43" s="367"/>
      <c r="G43" s="191">
        <f t="shared" si="0"/>
        <v>0</v>
      </c>
      <c r="H43" s="190">
        <f t="shared" si="1"/>
        <v>3</v>
      </c>
      <c r="I43" s="191">
        <f t="shared" si="2"/>
        <v>24</v>
      </c>
      <c r="J43" s="190">
        <f t="shared" si="3"/>
        <v>3</v>
      </c>
      <c r="K43" s="191">
        <f t="shared" si="4"/>
        <v>24</v>
      </c>
      <c r="L43" s="190">
        <f t="shared" si="5"/>
        <v>0</v>
      </c>
      <c r="M43" s="191">
        <f t="shared" si="6"/>
        <v>0</v>
      </c>
      <c r="N43" s="390"/>
      <c r="O43" s="368"/>
      <c r="P43" s="368">
        <v>3</v>
      </c>
      <c r="Q43" s="368">
        <v>3</v>
      </c>
      <c r="R43" s="370"/>
      <c r="S43" s="370"/>
      <c r="T43" s="370"/>
      <c r="U43" s="370"/>
      <c r="V43" s="370"/>
      <c r="W43" s="370"/>
      <c r="X43" s="370"/>
      <c r="Y43" s="370"/>
      <c r="Z43" s="370"/>
      <c r="AA43" s="370"/>
      <c r="AB43" s="370"/>
      <c r="AC43" s="370"/>
      <c r="AD43" s="370"/>
      <c r="AE43" s="370"/>
      <c r="AF43" s="370"/>
      <c r="AG43" s="370"/>
      <c r="AH43" s="370"/>
      <c r="AI43" s="370"/>
      <c r="AJ43" s="370"/>
      <c r="AK43" s="370"/>
      <c r="AL43" s="370"/>
      <c r="AM43" s="370"/>
      <c r="AN43" s="133"/>
      <c r="AO43" s="133"/>
      <c r="AP43" s="133"/>
      <c r="AQ43" s="133"/>
      <c r="AS43" s="133"/>
      <c r="AT43" s="133"/>
      <c r="AU43" s="133"/>
      <c r="AV43" s="133"/>
      <c r="AW43" s="133"/>
      <c r="AX43" s="133"/>
      <c r="AY43" s="133"/>
      <c r="AZ43" s="133"/>
      <c r="BA43" s="133"/>
      <c r="BB43" s="133"/>
      <c r="BC43" s="133"/>
      <c r="BD43" s="133"/>
      <c r="BE43" s="133"/>
      <c r="BF43" s="133"/>
      <c r="BG43" s="133"/>
      <c r="BH43" s="133"/>
      <c r="BI43" s="133"/>
      <c r="BJ43" s="133"/>
      <c r="BK43" s="133"/>
      <c r="BL43" s="133"/>
      <c r="BM43" s="133"/>
      <c r="BN43" s="133"/>
      <c r="BO43" s="133"/>
      <c r="BP43" s="133"/>
      <c r="BQ43" s="133"/>
      <c r="BR43" s="133"/>
      <c r="BS43" s="133"/>
      <c r="BT43" s="133"/>
      <c r="BU43" s="133"/>
      <c r="BV43" s="133"/>
      <c r="BW43" s="133"/>
    </row>
    <row r="44" s="140" customFormat="1" customHeight="1" spans="1:75">
      <c r="A44" s="161">
        <v>40</v>
      </c>
      <c r="B44" s="391" t="s">
        <v>441</v>
      </c>
      <c r="C44" s="162"/>
      <c r="D44" s="162"/>
      <c r="E44" s="366">
        <v>1.2</v>
      </c>
      <c r="F44" s="367"/>
      <c r="G44" s="191">
        <f t="shared" si="0"/>
        <v>0</v>
      </c>
      <c r="H44" s="190">
        <f t="shared" si="1"/>
        <v>40.3</v>
      </c>
      <c r="I44" s="191">
        <f t="shared" si="2"/>
        <v>48.36</v>
      </c>
      <c r="J44" s="190">
        <f t="shared" si="3"/>
        <v>40.3</v>
      </c>
      <c r="K44" s="191">
        <f t="shared" si="4"/>
        <v>48.36</v>
      </c>
      <c r="L44" s="190">
        <f t="shared" si="5"/>
        <v>0</v>
      </c>
      <c r="M44" s="191">
        <f t="shared" si="6"/>
        <v>0</v>
      </c>
      <c r="N44" s="390"/>
      <c r="O44" s="368"/>
      <c r="P44" s="368">
        <v>10.3</v>
      </c>
      <c r="Q44" s="368">
        <v>10.3</v>
      </c>
      <c r="R44" s="370"/>
      <c r="S44" s="370"/>
      <c r="T44" s="370"/>
      <c r="U44" s="370"/>
      <c r="V44" s="370"/>
      <c r="W44" s="370"/>
      <c r="X44" s="370"/>
      <c r="Y44" s="370"/>
      <c r="Z44" s="370"/>
      <c r="AA44" s="370"/>
      <c r="AB44" s="370">
        <v>10</v>
      </c>
      <c r="AC44" s="370">
        <v>10</v>
      </c>
      <c r="AD44" s="370"/>
      <c r="AE44" s="370"/>
      <c r="AF44" s="370"/>
      <c r="AG44" s="370"/>
      <c r="AH44" s="370"/>
      <c r="AI44" s="370"/>
      <c r="AJ44" s="370"/>
      <c r="AK44" s="370"/>
      <c r="AL44" s="370"/>
      <c r="AM44" s="370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3"/>
      <c r="BB44" s="133"/>
      <c r="BC44" s="133"/>
      <c r="BD44" s="133"/>
      <c r="BE44" s="133"/>
      <c r="BF44" s="133">
        <v>10</v>
      </c>
      <c r="BG44" s="133">
        <v>10</v>
      </c>
      <c r="BH44" s="133"/>
      <c r="BI44" s="133"/>
      <c r="BJ44" s="133"/>
      <c r="BK44" s="133"/>
      <c r="BL44" s="133">
        <v>10</v>
      </c>
      <c r="BM44" s="133">
        <v>10</v>
      </c>
      <c r="BN44" s="133"/>
      <c r="BO44" s="133"/>
      <c r="BP44" s="133"/>
      <c r="BQ44" s="133"/>
      <c r="BR44" s="133"/>
      <c r="BS44" s="133"/>
      <c r="BT44" s="133"/>
      <c r="BU44" s="133"/>
      <c r="BV44" s="133"/>
      <c r="BW44" s="133"/>
    </row>
    <row r="45" s="140" customFormat="1" customHeight="1" spans="1:75">
      <c r="A45" s="161">
        <v>41</v>
      </c>
      <c r="B45" s="162" t="s">
        <v>442</v>
      </c>
      <c r="C45" s="162"/>
      <c r="D45" s="162"/>
      <c r="E45" s="366"/>
      <c r="F45" s="367"/>
      <c r="G45" s="191">
        <f t="shared" si="0"/>
        <v>0</v>
      </c>
      <c r="H45" s="190">
        <f t="shared" si="1"/>
        <v>0</v>
      </c>
      <c r="I45" s="191">
        <f t="shared" si="2"/>
        <v>0</v>
      </c>
      <c r="J45" s="190">
        <f t="shared" si="3"/>
        <v>0</v>
      </c>
      <c r="K45" s="191">
        <f t="shared" si="4"/>
        <v>0</v>
      </c>
      <c r="L45" s="190">
        <f t="shared" si="5"/>
        <v>0</v>
      </c>
      <c r="M45" s="191">
        <f t="shared" si="6"/>
        <v>0</v>
      </c>
      <c r="N45" s="390"/>
      <c r="O45" s="368"/>
      <c r="P45" s="368"/>
      <c r="Q45" s="368"/>
      <c r="R45" s="370"/>
      <c r="S45" s="370"/>
      <c r="T45" s="370"/>
      <c r="U45" s="370"/>
      <c r="V45" s="370"/>
      <c r="W45" s="370"/>
      <c r="X45" s="370"/>
      <c r="Y45" s="370"/>
      <c r="Z45" s="370"/>
      <c r="AA45" s="370"/>
      <c r="AB45" s="370"/>
      <c r="AC45" s="370"/>
      <c r="AD45" s="370"/>
      <c r="AE45" s="370"/>
      <c r="AF45" s="370"/>
      <c r="AG45" s="370"/>
      <c r="AH45" s="370"/>
      <c r="AI45" s="370"/>
      <c r="AJ45" s="370"/>
      <c r="AK45" s="370"/>
      <c r="AL45" s="370"/>
      <c r="AM45" s="370"/>
      <c r="AN45" s="133"/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3"/>
      <c r="BB45" s="133"/>
      <c r="BC45" s="133"/>
      <c r="BD45" s="133"/>
      <c r="BE45" s="133"/>
      <c r="BF45" s="133"/>
      <c r="BG45" s="133"/>
      <c r="BH45" s="133"/>
      <c r="BI45" s="133"/>
      <c r="BJ45" s="133"/>
      <c r="BK45" s="133"/>
      <c r="BL45" s="133"/>
      <c r="BM45" s="133"/>
      <c r="BN45" s="133"/>
      <c r="BO45" s="133"/>
      <c r="BP45" s="133"/>
      <c r="BQ45" s="133"/>
      <c r="BR45" s="133"/>
      <c r="BS45" s="133"/>
      <c r="BT45" s="133"/>
      <c r="BU45" s="133"/>
      <c r="BV45" s="133"/>
      <c r="BW45" s="133"/>
    </row>
    <row r="46" s="140" customFormat="1" customHeight="1" spans="1:75">
      <c r="A46" s="161">
        <v>42</v>
      </c>
      <c r="B46" s="382" t="s">
        <v>443</v>
      </c>
      <c r="C46" s="162"/>
      <c r="D46" s="162"/>
      <c r="E46" s="366">
        <v>3</v>
      </c>
      <c r="F46" s="367"/>
      <c r="G46" s="191">
        <f t="shared" si="0"/>
        <v>0</v>
      </c>
      <c r="H46" s="190">
        <f t="shared" si="1"/>
        <v>6.3</v>
      </c>
      <c r="I46" s="191">
        <f t="shared" si="2"/>
        <v>18.9</v>
      </c>
      <c r="J46" s="190">
        <f t="shared" si="3"/>
        <v>6.3</v>
      </c>
      <c r="K46" s="191">
        <f t="shared" si="4"/>
        <v>18.9</v>
      </c>
      <c r="L46" s="190">
        <f t="shared" si="5"/>
        <v>0</v>
      </c>
      <c r="M46" s="191">
        <f t="shared" si="6"/>
        <v>0</v>
      </c>
      <c r="N46" s="368"/>
      <c r="O46" s="368"/>
      <c r="P46" s="368"/>
      <c r="Q46" s="368"/>
      <c r="R46" s="370"/>
      <c r="S46" s="370"/>
      <c r="T46" s="370"/>
      <c r="U46" s="370"/>
      <c r="V46" s="370"/>
      <c r="W46" s="370"/>
      <c r="X46" s="370"/>
      <c r="Y46" s="370"/>
      <c r="Z46" s="370"/>
      <c r="AA46" s="370"/>
      <c r="AB46" s="370">
        <v>6.3</v>
      </c>
      <c r="AC46" s="370">
        <v>6.3</v>
      </c>
      <c r="AD46" s="370"/>
      <c r="AE46" s="370"/>
      <c r="AF46" s="370"/>
      <c r="AG46" s="370"/>
      <c r="AH46" s="370"/>
      <c r="AI46" s="370"/>
      <c r="AJ46" s="370"/>
      <c r="AK46" s="370"/>
      <c r="AL46" s="370"/>
      <c r="AM46" s="370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4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</row>
    <row r="47" s="140" customFormat="1" customHeight="1" spans="1:75">
      <c r="A47" s="161">
        <v>43</v>
      </c>
      <c r="B47" s="162" t="s">
        <v>444</v>
      </c>
      <c r="C47" s="162"/>
      <c r="D47" s="162"/>
      <c r="E47" s="366">
        <v>1.5</v>
      </c>
      <c r="F47" s="367"/>
      <c r="G47" s="191">
        <f t="shared" si="0"/>
        <v>0</v>
      </c>
      <c r="H47" s="190">
        <f t="shared" si="1"/>
        <v>18.1</v>
      </c>
      <c r="I47" s="191">
        <f t="shared" si="2"/>
        <v>27.15</v>
      </c>
      <c r="J47" s="190">
        <f t="shared" si="3"/>
        <v>18.1</v>
      </c>
      <c r="K47" s="191">
        <f t="shared" si="4"/>
        <v>27.15</v>
      </c>
      <c r="L47" s="190">
        <f t="shared" si="5"/>
        <v>0</v>
      </c>
      <c r="M47" s="191">
        <f t="shared" si="6"/>
        <v>0</v>
      </c>
      <c r="N47" s="368"/>
      <c r="O47" s="368"/>
      <c r="P47" s="368">
        <v>6.1</v>
      </c>
      <c r="Q47" s="368">
        <v>6.1</v>
      </c>
      <c r="R47" s="370"/>
      <c r="S47" s="370"/>
      <c r="T47" s="370"/>
      <c r="U47" s="370"/>
      <c r="V47" s="370"/>
      <c r="W47" s="370"/>
      <c r="X47" s="370"/>
      <c r="Y47" s="370"/>
      <c r="Z47" s="370"/>
      <c r="AA47" s="370"/>
      <c r="AB47" s="370">
        <v>6</v>
      </c>
      <c r="AC47" s="370">
        <v>6</v>
      </c>
      <c r="AD47" s="370"/>
      <c r="AE47" s="370"/>
      <c r="AF47" s="370"/>
      <c r="AG47" s="370"/>
      <c r="AH47" s="370"/>
      <c r="AI47" s="370"/>
      <c r="AJ47" s="370"/>
      <c r="AK47" s="370"/>
      <c r="AL47" s="370"/>
      <c r="AM47" s="370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>
        <v>6</v>
      </c>
      <c r="BM47" s="133">
        <v>6</v>
      </c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</row>
    <row r="48" s="140" customFormat="1" customHeight="1" spans="1:75">
      <c r="A48" s="161">
        <v>44</v>
      </c>
      <c r="B48" s="382" t="s">
        <v>445</v>
      </c>
      <c r="C48" s="162"/>
      <c r="D48" s="162"/>
      <c r="E48" s="366">
        <v>15</v>
      </c>
      <c r="F48" s="367"/>
      <c r="G48" s="191">
        <f t="shared" si="0"/>
        <v>0</v>
      </c>
      <c r="H48" s="190">
        <f t="shared" si="1"/>
        <v>4</v>
      </c>
      <c r="I48" s="191">
        <f t="shared" si="2"/>
        <v>60</v>
      </c>
      <c r="J48" s="190">
        <f t="shared" si="3"/>
        <v>4</v>
      </c>
      <c r="K48" s="191">
        <f t="shared" si="4"/>
        <v>60</v>
      </c>
      <c r="L48" s="190">
        <f t="shared" si="5"/>
        <v>0</v>
      </c>
      <c r="M48" s="191">
        <f t="shared" si="6"/>
        <v>0</v>
      </c>
      <c r="N48" s="392"/>
      <c r="O48" s="392"/>
      <c r="P48" s="368">
        <v>4</v>
      </c>
      <c r="Q48" s="368">
        <v>4</v>
      </c>
      <c r="R48" s="370"/>
      <c r="S48" s="370"/>
      <c r="T48" s="370"/>
      <c r="U48" s="370"/>
      <c r="V48" s="370"/>
      <c r="W48" s="370"/>
      <c r="X48" s="370"/>
      <c r="Y48" s="370"/>
      <c r="Z48" s="370"/>
      <c r="AA48" s="370"/>
      <c r="AB48" s="370"/>
      <c r="AC48" s="370"/>
      <c r="AD48" s="370"/>
      <c r="AE48" s="370"/>
      <c r="AF48" s="370"/>
      <c r="AG48" s="370"/>
      <c r="AH48" s="370"/>
      <c r="AI48" s="370"/>
      <c r="AJ48" s="370"/>
      <c r="AK48" s="370"/>
      <c r="AL48" s="370"/>
      <c r="AM48" s="370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</row>
    <row r="49" s="140" customFormat="1" customHeight="1" spans="1:75">
      <c r="A49" s="161">
        <v>45</v>
      </c>
      <c r="B49" s="382" t="s">
        <v>446</v>
      </c>
      <c r="C49" s="162"/>
      <c r="D49" s="162"/>
      <c r="E49" s="366">
        <v>3</v>
      </c>
      <c r="F49" s="367"/>
      <c r="G49" s="191">
        <f t="shared" si="0"/>
        <v>0</v>
      </c>
      <c r="H49" s="190">
        <f t="shared" si="1"/>
        <v>3</v>
      </c>
      <c r="I49" s="191">
        <f t="shared" si="2"/>
        <v>9</v>
      </c>
      <c r="J49" s="190">
        <f t="shared" si="3"/>
        <v>3</v>
      </c>
      <c r="K49" s="191">
        <f t="shared" si="4"/>
        <v>9</v>
      </c>
      <c r="L49" s="190">
        <f t="shared" si="5"/>
        <v>0</v>
      </c>
      <c r="M49" s="191">
        <f t="shared" si="6"/>
        <v>0</v>
      </c>
      <c r="N49" s="366"/>
      <c r="O49" s="366"/>
      <c r="P49" s="390"/>
      <c r="Q49" s="368"/>
      <c r="R49" s="370"/>
      <c r="S49" s="370"/>
      <c r="T49" s="370"/>
      <c r="U49" s="370"/>
      <c r="V49" s="370">
        <v>3</v>
      </c>
      <c r="W49" s="370">
        <v>3</v>
      </c>
      <c r="X49" s="370"/>
      <c r="Y49" s="370"/>
      <c r="Z49" s="370"/>
      <c r="AA49" s="370"/>
      <c r="AB49" s="370"/>
      <c r="AC49" s="370"/>
      <c r="AD49" s="370"/>
      <c r="AE49" s="370"/>
      <c r="AF49" s="370"/>
      <c r="AG49" s="370"/>
      <c r="AH49" s="370"/>
      <c r="AI49" s="370"/>
      <c r="AJ49" s="370"/>
      <c r="AK49" s="370"/>
      <c r="AL49" s="370"/>
      <c r="AM49" s="370"/>
      <c r="AN49" s="133"/>
      <c r="AO49" s="133"/>
      <c r="AP49" s="133"/>
      <c r="AQ49" s="133"/>
      <c r="AR49" s="133"/>
      <c r="AS49" s="133"/>
      <c r="AT49" s="14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</row>
    <row r="50" s="140" customFormat="1" customHeight="1" spans="1:75">
      <c r="A50" s="161">
        <v>46</v>
      </c>
      <c r="B50" s="162" t="s">
        <v>447</v>
      </c>
      <c r="C50" s="162"/>
      <c r="D50" s="162"/>
      <c r="E50" s="366"/>
      <c r="F50" s="367"/>
      <c r="G50" s="191">
        <f t="shared" si="0"/>
        <v>0</v>
      </c>
      <c r="H50" s="190">
        <f t="shared" si="1"/>
        <v>0</v>
      </c>
      <c r="I50" s="191">
        <f t="shared" si="2"/>
        <v>0</v>
      </c>
      <c r="J50" s="190">
        <f t="shared" si="3"/>
        <v>0</v>
      </c>
      <c r="K50" s="191">
        <f t="shared" si="4"/>
        <v>0</v>
      </c>
      <c r="L50" s="190">
        <f t="shared" si="5"/>
        <v>0</v>
      </c>
      <c r="M50" s="191">
        <f t="shared" si="6"/>
        <v>0</v>
      </c>
      <c r="N50" s="366"/>
      <c r="O50" s="366"/>
      <c r="P50" s="390"/>
      <c r="Q50" s="368"/>
      <c r="R50" s="370"/>
      <c r="S50" s="370"/>
      <c r="T50" s="370"/>
      <c r="U50" s="370"/>
      <c r="V50" s="370"/>
      <c r="W50" s="370"/>
      <c r="X50" s="370"/>
      <c r="Y50" s="370"/>
      <c r="Z50" s="370"/>
      <c r="AA50" s="370"/>
      <c r="AB50" s="370"/>
      <c r="AC50" s="370"/>
      <c r="AD50" s="370"/>
      <c r="AE50" s="370"/>
      <c r="AF50" s="370"/>
      <c r="AG50" s="370"/>
      <c r="AH50" s="370"/>
      <c r="AI50" s="370"/>
      <c r="AJ50" s="370"/>
      <c r="AK50" s="370"/>
      <c r="AL50" s="370"/>
      <c r="AM50" s="370"/>
      <c r="AN50" s="133"/>
      <c r="AO50" s="133"/>
      <c r="AP50" s="133"/>
      <c r="AQ50" s="133"/>
      <c r="AR50" s="133"/>
      <c r="AS50" s="386"/>
      <c r="AT50" s="293"/>
      <c r="AU50" s="380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</row>
    <row r="51" s="140" customFormat="1" customHeight="1" spans="1:75">
      <c r="A51" s="161">
        <v>47</v>
      </c>
      <c r="B51" s="382" t="s">
        <v>448</v>
      </c>
      <c r="C51" s="162"/>
      <c r="D51" s="162"/>
      <c r="E51" s="366"/>
      <c r="F51" s="367"/>
      <c r="G51" s="191">
        <f t="shared" si="0"/>
        <v>0</v>
      </c>
      <c r="H51" s="190">
        <f t="shared" si="1"/>
        <v>0</v>
      </c>
      <c r="I51" s="191">
        <f t="shared" si="2"/>
        <v>0</v>
      </c>
      <c r="J51" s="190">
        <f t="shared" si="3"/>
        <v>0</v>
      </c>
      <c r="K51" s="191">
        <f t="shared" si="4"/>
        <v>0</v>
      </c>
      <c r="L51" s="190">
        <f t="shared" si="5"/>
        <v>0</v>
      </c>
      <c r="M51" s="191">
        <f t="shared" si="6"/>
        <v>0</v>
      </c>
      <c r="N51" s="366"/>
      <c r="O51" s="366"/>
      <c r="P51" s="390"/>
      <c r="Q51" s="368"/>
      <c r="R51" s="370"/>
      <c r="S51" s="370"/>
      <c r="T51" s="370"/>
      <c r="U51" s="370"/>
      <c r="V51" s="370"/>
      <c r="W51" s="370"/>
      <c r="X51" s="370"/>
      <c r="Y51" s="370"/>
      <c r="Z51" s="370"/>
      <c r="AA51" s="370"/>
      <c r="AB51" s="370"/>
      <c r="AC51" s="370"/>
      <c r="AD51" s="370"/>
      <c r="AE51" s="370"/>
      <c r="AF51" s="370"/>
      <c r="AG51" s="370"/>
      <c r="AH51" s="370"/>
      <c r="AI51" s="370"/>
      <c r="AJ51" s="370"/>
      <c r="AK51" s="370"/>
      <c r="AL51" s="370"/>
      <c r="AM51" s="370"/>
      <c r="AN51" s="133"/>
      <c r="AO51" s="133"/>
      <c r="AP51" s="133"/>
      <c r="AQ51" s="133"/>
      <c r="AR51" s="133"/>
      <c r="AS51" s="133"/>
      <c r="AT51" s="27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</row>
    <row r="52" s="140" customFormat="1" customHeight="1" spans="1:75">
      <c r="A52" s="161">
        <v>48</v>
      </c>
      <c r="B52" s="162" t="s">
        <v>449</v>
      </c>
      <c r="C52" s="162"/>
      <c r="D52" s="162"/>
      <c r="E52" s="366"/>
      <c r="F52" s="367"/>
      <c r="G52" s="191">
        <f t="shared" si="0"/>
        <v>0</v>
      </c>
      <c r="H52" s="190">
        <f t="shared" si="1"/>
        <v>0</v>
      </c>
      <c r="I52" s="191">
        <f t="shared" si="2"/>
        <v>0</v>
      </c>
      <c r="J52" s="190">
        <f t="shared" si="3"/>
        <v>0</v>
      </c>
      <c r="K52" s="191">
        <f t="shared" si="4"/>
        <v>0</v>
      </c>
      <c r="L52" s="190">
        <f t="shared" si="5"/>
        <v>0</v>
      </c>
      <c r="M52" s="191">
        <f t="shared" si="6"/>
        <v>0</v>
      </c>
      <c r="N52" s="366"/>
      <c r="O52" s="366"/>
      <c r="P52" s="390"/>
      <c r="Q52" s="368"/>
      <c r="R52" s="370"/>
      <c r="S52" s="370"/>
      <c r="T52" s="370"/>
      <c r="U52" s="370"/>
      <c r="V52" s="370"/>
      <c r="W52" s="370"/>
      <c r="X52" s="370"/>
      <c r="Y52" s="370"/>
      <c r="Z52" s="370"/>
      <c r="AA52" s="370"/>
      <c r="AB52" s="370"/>
      <c r="AC52" s="370"/>
      <c r="AD52" s="370"/>
      <c r="AE52" s="370"/>
      <c r="AF52" s="370"/>
      <c r="AG52" s="370"/>
      <c r="AH52" s="370"/>
      <c r="AI52" s="370"/>
      <c r="AJ52" s="370"/>
      <c r="AK52" s="370"/>
      <c r="AL52" s="370"/>
      <c r="AM52" s="370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</row>
    <row r="53" s="140" customFormat="1" customHeight="1" spans="1:75">
      <c r="A53" s="161">
        <v>49</v>
      </c>
      <c r="B53" s="382" t="s">
        <v>450</v>
      </c>
      <c r="C53" s="162"/>
      <c r="D53" s="162"/>
      <c r="E53" s="366"/>
      <c r="F53" s="367"/>
      <c r="G53" s="191">
        <f t="shared" si="0"/>
        <v>0</v>
      </c>
      <c r="H53" s="190">
        <f t="shared" si="1"/>
        <v>0</v>
      </c>
      <c r="I53" s="191">
        <f t="shared" si="2"/>
        <v>0</v>
      </c>
      <c r="J53" s="190">
        <f t="shared" si="3"/>
        <v>0</v>
      </c>
      <c r="K53" s="191">
        <f t="shared" si="4"/>
        <v>0</v>
      </c>
      <c r="L53" s="190">
        <f t="shared" si="5"/>
        <v>0</v>
      </c>
      <c r="M53" s="191">
        <f t="shared" si="6"/>
        <v>0</v>
      </c>
      <c r="N53" s="366"/>
      <c r="O53" s="366"/>
      <c r="P53" s="390"/>
      <c r="Q53" s="368"/>
      <c r="R53" s="370"/>
      <c r="S53" s="370"/>
      <c r="T53" s="370"/>
      <c r="U53" s="370"/>
      <c r="V53" s="370"/>
      <c r="W53" s="370"/>
      <c r="X53" s="370"/>
      <c r="Y53" s="370"/>
      <c r="Z53" s="370"/>
      <c r="AA53" s="370"/>
      <c r="AB53" s="370"/>
      <c r="AC53" s="370"/>
      <c r="AD53" s="370"/>
      <c r="AE53" s="370"/>
      <c r="AF53" s="370"/>
      <c r="AG53" s="370"/>
      <c r="AH53" s="370"/>
      <c r="AI53" s="370"/>
      <c r="AJ53" s="370"/>
      <c r="AK53" s="370"/>
      <c r="AL53" s="370"/>
      <c r="AM53" s="370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</row>
    <row r="54" s="140" customFormat="1" customHeight="1" spans="1:75">
      <c r="A54" s="161">
        <v>50</v>
      </c>
      <c r="B54" s="393" t="s">
        <v>451</v>
      </c>
      <c r="C54" s="162"/>
      <c r="D54" s="162"/>
      <c r="E54" s="366"/>
      <c r="F54" s="367"/>
      <c r="G54" s="191">
        <f t="shared" si="0"/>
        <v>0</v>
      </c>
      <c r="H54" s="190">
        <f t="shared" si="1"/>
        <v>0</v>
      </c>
      <c r="I54" s="191">
        <f t="shared" si="2"/>
        <v>0</v>
      </c>
      <c r="J54" s="190">
        <f t="shared" si="3"/>
        <v>0</v>
      </c>
      <c r="K54" s="191">
        <f t="shared" si="4"/>
        <v>0</v>
      </c>
      <c r="L54" s="190">
        <f t="shared" si="5"/>
        <v>0</v>
      </c>
      <c r="M54" s="191">
        <f t="shared" si="6"/>
        <v>0</v>
      </c>
      <c r="N54" s="366"/>
      <c r="O54" s="366"/>
      <c r="P54" s="390"/>
      <c r="Q54" s="368"/>
      <c r="R54" s="370"/>
      <c r="S54" s="370"/>
      <c r="T54" s="370"/>
      <c r="U54" s="370"/>
      <c r="V54" s="370"/>
      <c r="W54" s="370"/>
      <c r="X54" s="370"/>
      <c r="Y54" s="370"/>
      <c r="Z54" s="370"/>
      <c r="AA54" s="370"/>
      <c r="AB54" s="370"/>
      <c r="AC54" s="370"/>
      <c r="AD54" s="370"/>
      <c r="AE54" s="370"/>
      <c r="AF54" s="370"/>
      <c r="AG54" s="370"/>
      <c r="AH54" s="370"/>
      <c r="AI54" s="370"/>
      <c r="AJ54" s="370"/>
      <c r="AK54" s="370"/>
      <c r="AL54" s="370"/>
      <c r="AM54" s="370"/>
      <c r="AN54" s="133"/>
      <c r="AO54" s="133"/>
      <c r="AP54" s="133"/>
      <c r="AQ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</row>
    <row r="55" s="140" customFormat="1" customHeight="1" spans="1:75">
      <c r="A55" s="161">
        <v>51</v>
      </c>
      <c r="B55" s="382"/>
      <c r="C55" s="162"/>
      <c r="D55" s="162"/>
      <c r="E55" s="162"/>
      <c r="F55" s="367"/>
      <c r="G55" s="191">
        <f t="shared" si="0"/>
        <v>0</v>
      </c>
      <c r="H55" s="190">
        <f t="shared" si="1"/>
        <v>0</v>
      </c>
      <c r="I55" s="191">
        <f t="shared" si="2"/>
        <v>0</v>
      </c>
      <c r="J55" s="190">
        <f t="shared" si="3"/>
        <v>0</v>
      </c>
      <c r="K55" s="191">
        <f t="shared" si="4"/>
        <v>0</v>
      </c>
      <c r="L55" s="190">
        <f t="shared" si="5"/>
        <v>0</v>
      </c>
      <c r="M55" s="191">
        <f t="shared" si="6"/>
        <v>0</v>
      </c>
      <c r="N55" s="366"/>
      <c r="O55" s="366"/>
      <c r="P55" s="390"/>
      <c r="Q55" s="368"/>
      <c r="R55" s="370"/>
      <c r="S55" s="370"/>
      <c r="T55" s="370"/>
      <c r="U55" s="370"/>
      <c r="V55" s="370"/>
      <c r="W55" s="370"/>
      <c r="X55" s="370"/>
      <c r="Y55" s="370"/>
      <c r="Z55" s="370"/>
      <c r="AA55" s="370"/>
      <c r="AB55" s="370"/>
      <c r="AC55" s="370"/>
      <c r="AD55" s="370"/>
      <c r="AE55" s="370"/>
      <c r="AF55" s="370"/>
      <c r="AG55" s="370"/>
      <c r="AH55" s="370"/>
      <c r="AI55" s="370"/>
      <c r="AJ55" s="370"/>
      <c r="AK55" s="370"/>
      <c r="AL55" s="370"/>
      <c r="AM55" s="370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</row>
    <row r="56" s="140" customFormat="1" customHeight="1" spans="1:75">
      <c r="A56" s="161">
        <v>52</v>
      </c>
      <c r="B56" s="382"/>
      <c r="C56" s="162"/>
      <c r="D56" s="162"/>
      <c r="E56" s="162"/>
      <c r="F56" s="367"/>
      <c r="G56" s="191">
        <f t="shared" si="0"/>
        <v>0</v>
      </c>
      <c r="H56" s="190">
        <f t="shared" si="1"/>
        <v>0</v>
      </c>
      <c r="I56" s="191">
        <f t="shared" si="2"/>
        <v>0</v>
      </c>
      <c r="J56" s="190">
        <f t="shared" si="3"/>
        <v>0</v>
      </c>
      <c r="K56" s="191">
        <f t="shared" si="4"/>
        <v>0</v>
      </c>
      <c r="L56" s="190">
        <f t="shared" si="5"/>
        <v>0</v>
      </c>
      <c r="M56" s="191">
        <f t="shared" si="6"/>
        <v>0</v>
      </c>
      <c r="N56" s="394"/>
      <c r="O56" s="394"/>
      <c r="P56" s="368"/>
      <c r="Q56" s="368"/>
      <c r="R56" s="370"/>
      <c r="S56" s="370"/>
      <c r="T56" s="370"/>
      <c r="U56" s="370"/>
      <c r="V56" s="370"/>
      <c r="W56" s="370"/>
      <c r="X56" s="370"/>
      <c r="Y56" s="370"/>
      <c r="Z56" s="370"/>
      <c r="AA56" s="370"/>
      <c r="AB56" s="370"/>
      <c r="AC56" s="370"/>
      <c r="AD56" s="370"/>
      <c r="AE56" s="370"/>
      <c r="AF56" s="370"/>
      <c r="AG56" s="370"/>
      <c r="AH56" s="370"/>
      <c r="AI56" s="370"/>
      <c r="AJ56" s="370"/>
      <c r="AK56" s="370"/>
      <c r="AL56" s="370"/>
      <c r="AM56" s="370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</row>
    <row r="57" s="140" customFormat="1" customHeight="1" spans="1:75">
      <c r="A57" s="161">
        <v>53</v>
      </c>
      <c r="B57" s="382"/>
      <c r="C57" s="162"/>
      <c r="D57" s="162"/>
      <c r="E57" s="162"/>
      <c r="F57" s="367"/>
      <c r="G57" s="191">
        <f t="shared" si="0"/>
        <v>0</v>
      </c>
      <c r="H57" s="190">
        <f t="shared" si="1"/>
        <v>0</v>
      </c>
      <c r="I57" s="191">
        <f t="shared" si="2"/>
        <v>0</v>
      </c>
      <c r="J57" s="190">
        <f t="shared" si="3"/>
        <v>0</v>
      </c>
      <c r="K57" s="191">
        <f t="shared" si="4"/>
        <v>0</v>
      </c>
      <c r="L57" s="190">
        <f t="shared" si="5"/>
        <v>0</v>
      </c>
      <c r="M57" s="191">
        <f t="shared" si="6"/>
        <v>0</v>
      </c>
      <c r="N57" s="368"/>
      <c r="O57" s="368"/>
      <c r="P57" s="368"/>
      <c r="Q57" s="368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  <c r="AC57" s="370"/>
      <c r="AD57" s="370"/>
      <c r="AE57" s="370"/>
      <c r="AF57" s="370"/>
      <c r="AG57" s="370"/>
      <c r="AH57" s="370"/>
      <c r="AI57" s="370"/>
      <c r="AJ57" s="370"/>
      <c r="AK57" s="370"/>
      <c r="AL57" s="370"/>
      <c r="AM57" s="370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4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</row>
    <row r="58" s="140" customFormat="1" customHeight="1" spans="1:75">
      <c r="A58" s="161">
        <v>54</v>
      </c>
      <c r="B58" s="375"/>
      <c r="C58" s="162"/>
      <c r="D58" s="162"/>
      <c r="E58" s="162"/>
      <c r="F58" s="367"/>
      <c r="G58" s="191">
        <f t="shared" si="0"/>
        <v>0</v>
      </c>
      <c r="H58" s="190">
        <f t="shared" si="1"/>
        <v>0</v>
      </c>
      <c r="I58" s="191">
        <f t="shared" si="2"/>
        <v>0</v>
      </c>
      <c r="J58" s="190">
        <f t="shared" si="3"/>
        <v>0</v>
      </c>
      <c r="K58" s="191">
        <f t="shared" si="4"/>
        <v>0</v>
      </c>
      <c r="L58" s="190">
        <f t="shared" si="5"/>
        <v>0</v>
      </c>
      <c r="M58" s="191">
        <f t="shared" si="6"/>
        <v>0</v>
      </c>
      <c r="N58" s="368"/>
      <c r="O58" s="368"/>
      <c r="P58" s="368"/>
      <c r="Q58" s="368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70"/>
      <c r="AC58" s="370"/>
      <c r="AD58" s="370"/>
      <c r="AE58" s="370"/>
      <c r="AF58" s="370"/>
      <c r="AG58" s="370"/>
      <c r="AH58" s="370"/>
      <c r="AI58" s="370"/>
      <c r="AJ58" s="370"/>
      <c r="AK58" s="370"/>
      <c r="AL58" s="370"/>
      <c r="AM58" s="370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387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</row>
    <row r="59" s="140" customFormat="1" customHeight="1" spans="1:75">
      <c r="A59" s="161">
        <v>55</v>
      </c>
      <c r="B59" s="374"/>
      <c r="C59" s="162"/>
      <c r="D59" s="162"/>
      <c r="E59" s="162"/>
      <c r="F59" s="367"/>
      <c r="G59" s="191">
        <f t="shared" si="0"/>
        <v>0</v>
      </c>
      <c r="H59" s="190">
        <f t="shared" si="1"/>
        <v>0</v>
      </c>
      <c r="I59" s="191">
        <f t="shared" si="2"/>
        <v>0</v>
      </c>
      <c r="J59" s="190">
        <f t="shared" si="3"/>
        <v>0</v>
      </c>
      <c r="K59" s="191">
        <f t="shared" si="4"/>
        <v>0</v>
      </c>
      <c r="L59" s="190">
        <f t="shared" si="5"/>
        <v>0</v>
      </c>
      <c r="M59" s="191">
        <f t="shared" si="6"/>
        <v>0</v>
      </c>
      <c r="N59" s="368"/>
      <c r="O59" s="368"/>
      <c r="P59" s="368"/>
      <c r="Q59" s="368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  <c r="AC59" s="370"/>
      <c r="AD59" s="370"/>
      <c r="AE59" s="370"/>
      <c r="AF59" s="370"/>
      <c r="AG59" s="370"/>
      <c r="AH59" s="370"/>
      <c r="AI59" s="370"/>
      <c r="AJ59" s="370"/>
      <c r="AK59" s="370"/>
      <c r="AL59" s="370"/>
      <c r="AM59" s="370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43"/>
      <c r="AZ59" s="293"/>
      <c r="BA59" s="380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</row>
    <row r="60" s="140" customFormat="1" customHeight="1" spans="1:75">
      <c r="A60" s="161">
        <v>56</v>
      </c>
      <c r="B60" s="162"/>
      <c r="C60" s="162"/>
      <c r="D60" s="162"/>
      <c r="E60" s="162"/>
      <c r="F60" s="367"/>
      <c r="G60" s="191">
        <f t="shared" si="0"/>
        <v>0</v>
      </c>
      <c r="H60" s="190">
        <f t="shared" si="1"/>
        <v>0</v>
      </c>
      <c r="I60" s="191">
        <f t="shared" si="2"/>
        <v>0</v>
      </c>
      <c r="J60" s="190">
        <f t="shared" si="3"/>
        <v>0</v>
      </c>
      <c r="K60" s="191">
        <f t="shared" si="4"/>
        <v>0</v>
      </c>
      <c r="L60" s="190">
        <f t="shared" si="5"/>
        <v>0</v>
      </c>
      <c r="M60" s="191">
        <f t="shared" si="6"/>
        <v>0</v>
      </c>
      <c r="N60" s="318"/>
      <c r="O60" s="368"/>
      <c r="P60" s="318"/>
      <c r="Q60" s="368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  <c r="AC60" s="370"/>
      <c r="AD60" s="370"/>
      <c r="AE60" s="370"/>
      <c r="AF60" s="370"/>
      <c r="AG60" s="370"/>
      <c r="AH60" s="370"/>
      <c r="AI60" s="370"/>
      <c r="AJ60" s="370"/>
      <c r="AK60" s="370"/>
      <c r="AL60" s="370"/>
      <c r="AM60" s="370"/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386"/>
      <c r="AY60" s="395"/>
      <c r="AZ60" s="293"/>
      <c r="BA60" s="380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3"/>
      <c r="BQ60" s="133"/>
      <c r="BR60" s="133"/>
      <c r="BS60" s="133"/>
      <c r="BT60" s="133"/>
      <c r="BU60" s="133"/>
      <c r="BV60" s="133"/>
      <c r="BW60" s="133"/>
    </row>
    <row r="61" s="140" customFormat="1" customHeight="1" spans="1:75">
      <c r="A61" s="161">
        <v>57</v>
      </c>
      <c r="B61" s="396"/>
      <c r="C61" s="162"/>
      <c r="D61" s="162"/>
      <c r="E61" s="162"/>
      <c r="F61" s="367"/>
      <c r="G61" s="191">
        <f t="shared" si="0"/>
        <v>0</v>
      </c>
      <c r="H61" s="190">
        <f t="shared" si="1"/>
        <v>0</v>
      </c>
      <c r="I61" s="191">
        <f t="shared" si="2"/>
        <v>0</v>
      </c>
      <c r="J61" s="190">
        <f t="shared" si="3"/>
        <v>0</v>
      </c>
      <c r="K61" s="191">
        <f t="shared" si="4"/>
        <v>0</v>
      </c>
      <c r="L61" s="190">
        <f t="shared" si="5"/>
        <v>0</v>
      </c>
      <c r="M61" s="191">
        <f t="shared" si="6"/>
        <v>0</v>
      </c>
      <c r="N61" s="318"/>
      <c r="O61" s="368"/>
      <c r="P61" s="318"/>
      <c r="Q61" s="368"/>
      <c r="R61" s="370"/>
      <c r="S61" s="370"/>
      <c r="T61" s="370"/>
      <c r="U61" s="370"/>
      <c r="V61" s="370"/>
      <c r="W61" s="370"/>
      <c r="X61" s="370"/>
      <c r="Y61" s="370"/>
      <c r="Z61" s="370"/>
      <c r="AA61" s="370"/>
      <c r="AB61" s="370"/>
      <c r="AC61" s="370"/>
      <c r="AD61" s="370"/>
      <c r="AE61" s="370"/>
      <c r="AF61" s="370"/>
      <c r="AG61" s="370"/>
      <c r="AH61" s="370"/>
      <c r="AI61" s="370"/>
      <c r="AJ61" s="370"/>
      <c r="AK61" s="370"/>
      <c r="AL61" s="370"/>
      <c r="AM61" s="370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386"/>
      <c r="AY61" s="395"/>
      <c r="AZ61" s="293"/>
      <c r="BA61" s="380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3"/>
      <c r="BQ61" s="133"/>
      <c r="BR61" s="133"/>
      <c r="BS61" s="133"/>
      <c r="BT61" s="133"/>
      <c r="BU61" s="133"/>
      <c r="BV61" s="133"/>
      <c r="BW61" s="133"/>
    </row>
    <row r="62" s="140" customFormat="1" customHeight="1" spans="1:75">
      <c r="A62" s="161">
        <v>58</v>
      </c>
      <c r="B62" s="382"/>
      <c r="C62" s="162"/>
      <c r="D62" s="162"/>
      <c r="E62" s="162"/>
      <c r="F62" s="367"/>
      <c r="G62" s="191">
        <f t="shared" si="0"/>
        <v>0</v>
      </c>
      <c r="H62" s="190">
        <f t="shared" si="1"/>
        <v>0</v>
      </c>
      <c r="I62" s="191">
        <f t="shared" si="2"/>
        <v>0</v>
      </c>
      <c r="J62" s="190">
        <f t="shared" si="3"/>
        <v>0</v>
      </c>
      <c r="K62" s="191">
        <f t="shared" si="4"/>
        <v>0</v>
      </c>
      <c r="L62" s="190">
        <f t="shared" si="5"/>
        <v>0</v>
      </c>
      <c r="M62" s="191">
        <f t="shared" si="6"/>
        <v>0</v>
      </c>
      <c r="N62" s="318"/>
      <c r="O62" s="368"/>
      <c r="P62" s="318"/>
      <c r="Q62" s="368"/>
      <c r="R62" s="370"/>
      <c r="S62" s="370"/>
      <c r="T62" s="370"/>
      <c r="U62" s="370"/>
      <c r="V62" s="370"/>
      <c r="W62" s="370"/>
      <c r="X62" s="370"/>
      <c r="Y62" s="370"/>
      <c r="Z62" s="370"/>
      <c r="AA62" s="370"/>
      <c r="AB62" s="370"/>
      <c r="AC62" s="370"/>
      <c r="AD62" s="370"/>
      <c r="AE62" s="370"/>
      <c r="AF62" s="370"/>
      <c r="AG62" s="370"/>
      <c r="AH62" s="370"/>
      <c r="AI62" s="370"/>
      <c r="AJ62" s="370"/>
      <c r="AK62" s="370"/>
      <c r="AL62" s="370"/>
      <c r="AM62" s="370"/>
      <c r="AN62" s="133"/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273"/>
      <c r="AZ62" s="27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3"/>
      <c r="BQ62" s="133"/>
      <c r="BR62" s="133"/>
      <c r="BS62" s="133"/>
      <c r="BT62" s="133"/>
      <c r="BU62" s="133"/>
      <c r="BV62" s="133"/>
      <c r="BW62" s="133"/>
    </row>
    <row r="63" s="140" customFormat="1" customHeight="1" spans="1:75">
      <c r="A63" s="161">
        <v>59</v>
      </c>
      <c r="B63" s="382"/>
      <c r="C63" s="162"/>
      <c r="D63" s="162"/>
      <c r="E63" s="162"/>
      <c r="F63" s="367"/>
      <c r="G63" s="191">
        <f t="shared" si="0"/>
        <v>0</v>
      </c>
      <c r="H63" s="190">
        <f t="shared" si="1"/>
        <v>0</v>
      </c>
      <c r="I63" s="191">
        <f t="shared" si="2"/>
        <v>0</v>
      </c>
      <c r="J63" s="190">
        <f t="shared" si="3"/>
        <v>0</v>
      </c>
      <c r="K63" s="191">
        <f t="shared" si="4"/>
        <v>0</v>
      </c>
      <c r="L63" s="190">
        <f t="shared" si="5"/>
        <v>0</v>
      </c>
      <c r="M63" s="191">
        <f t="shared" si="6"/>
        <v>0</v>
      </c>
      <c r="N63" s="368"/>
      <c r="O63" s="368"/>
      <c r="P63" s="368"/>
      <c r="Q63" s="368"/>
      <c r="R63" s="370"/>
      <c r="S63" s="370"/>
      <c r="T63" s="370"/>
      <c r="U63" s="370"/>
      <c r="V63" s="370"/>
      <c r="W63" s="370"/>
      <c r="X63" s="370"/>
      <c r="Y63" s="370"/>
      <c r="Z63" s="370"/>
      <c r="AA63" s="370"/>
      <c r="AB63" s="370"/>
      <c r="AC63" s="370"/>
      <c r="AD63" s="370"/>
      <c r="AE63" s="370"/>
      <c r="AF63" s="370"/>
      <c r="AG63" s="370"/>
      <c r="AH63" s="370"/>
      <c r="AI63" s="370"/>
      <c r="AJ63" s="370"/>
      <c r="AK63" s="370"/>
      <c r="AL63" s="370"/>
      <c r="AM63" s="370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3"/>
      <c r="BB63" s="133"/>
      <c r="BC63" s="133"/>
      <c r="BD63" s="133"/>
      <c r="BE63" s="133"/>
      <c r="BF63" s="143"/>
      <c r="BG63" s="133"/>
      <c r="BH63" s="133"/>
      <c r="BI63" s="133"/>
      <c r="BJ63" s="133"/>
      <c r="BK63" s="133"/>
      <c r="BL63" s="133"/>
      <c r="BM63" s="133"/>
      <c r="BN63" s="133"/>
      <c r="BO63" s="133"/>
      <c r="BP63" s="133"/>
      <c r="BQ63" s="133"/>
      <c r="BR63" s="133"/>
      <c r="BS63" s="133"/>
      <c r="BT63" s="133"/>
      <c r="BU63" s="133"/>
      <c r="BV63" s="133"/>
      <c r="BW63" s="133"/>
    </row>
    <row r="64" s="140" customFormat="1" customHeight="1" spans="1:75">
      <c r="A64" s="161">
        <v>60</v>
      </c>
      <c r="B64" s="162"/>
      <c r="C64" s="162"/>
      <c r="D64" s="162"/>
      <c r="E64" s="162"/>
      <c r="F64" s="367"/>
      <c r="G64" s="191">
        <f t="shared" si="0"/>
        <v>0</v>
      </c>
      <c r="H64" s="190">
        <f t="shared" si="1"/>
        <v>0</v>
      </c>
      <c r="I64" s="191">
        <f t="shared" si="2"/>
        <v>0</v>
      </c>
      <c r="J64" s="190">
        <f t="shared" si="3"/>
        <v>0</v>
      </c>
      <c r="K64" s="191">
        <f t="shared" si="4"/>
        <v>0</v>
      </c>
      <c r="L64" s="190">
        <f t="shared" si="5"/>
        <v>0</v>
      </c>
      <c r="M64" s="191">
        <f t="shared" si="6"/>
        <v>0</v>
      </c>
      <c r="N64" s="368"/>
      <c r="O64" s="368"/>
      <c r="P64" s="368"/>
      <c r="Q64" s="368"/>
      <c r="R64" s="370"/>
      <c r="S64" s="370"/>
      <c r="T64" s="370"/>
      <c r="U64" s="370"/>
      <c r="V64" s="370"/>
      <c r="W64" s="370"/>
      <c r="X64" s="370"/>
      <c r="Y64" s="370"/>
      <c r="Z64" s="370"/>
      <c r="AA64" s="370"/>
      <c r="AB64" s="370"/>
      <c r="AC64" s="370"/>
      <c r="AD64" s="370"/>
      <c r="AE64" s="370"/>
      <c r="AF64" s="370"/>
      <c r="AG64" s="370"/>
      <c r="AH64" s="370"/>
      <c r="AI64" s="370"/>
      <c r="AJ64" s="370"/>
      <c r="AK64" s="370"/>
      <c r="AL64" s="370"/>
      <c r="AM64" s="370"/>
      <c r="AN64" s="133"/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33"/>
      <c r="BQ64" s="133"/>
      <c r="BR64" s="133"/>
      <c r="BS64" s="133"/>
      <c r="BT64" s="133"/>
      <c r="BU64" s="133"/>
      <c r="BV64" s="133"/>
      <c r="BW64" s="133"/>
    </row>
    <row r="65" s="140" customFormat="1" customHeight="1" spans="1:75">
      <c r="A65" s="161">
        <v>61</v>
      </c>
      <c r="B65" s="357" t="s">
        <v>452</v>
      </c>
      <c r="C65" s="162"/>
      <c r="D65" s="357" t="s">
        <v>453</v>
      </c>
      <c r="E65" s="162">
        <v>60</v>
      </c>
      <c r="F65" s="367"/>
      <c r="G65" s="191">
        <f t="shared" si="0"/>
        <v>0</v>
      </c>
      <c r="H65" s="190">
        <f t="shared" si="1"/>
        <v>8</v>
      </c>
      <c r="I65" s="191">
        <f t="shared" si="2"/>
        <v>480</v>
      </c>
      <c r="J65" s="190">
        <f t="shared" si="3"/>
        <v>8</v>
      </c>
      <c r="K65" s="191">
        <f t="shared" si="4"/>
        <v>480</v>
      </c>
      <c r="L65" s="190">
        <f t="shared" si="5"/>
        <v>0</v>
      </c>
      <c r="M65" s="191">
        <f t="shared" si="6"/>
        <v>0</v>
      </c>
      <c r="N65" s="368">
        <v>1</v>
      </c>
      <c r="O65" s="368">
        <v>1</v>
      </c>
      <c r="P65" s="368"/>
      <c r="Q65" s="368"/>
      <c r="R65" s="370"/>
      <c r="S65" s="370"/>
      <c r="T65" s="370"/>
      <c r="U65" s="370"/>
      <c r="V65" s="370">
        <v>1</v>
      </c>
      <c r="W65" s="370">
        <v>1</v>
      </c>
      <c r="X65" s="370"/>
      <c r="Y65" s="370"/>
      <c r="Z65" s="370"/>
      <c r="AA65" s="370"/>
      <c r="AB65" s="370"/>
      <c r="AC65" s="370"/>
      <c r="AD65" s="370"/>
      <c r="AE65" s="370"/>
      <c r="AF65" s="384">
        <v>1</v>
      </c>
      <c r="AG65" s="370">
        <v>1</v>
      </c>
      <c r="AH65" s="370"/>
      <c r="AI65" s="370"/>
      <c r="AJ65" s="370"/>
      <c r="AK65" s="370"/>
      <c r="AL65" s="370">
        <v>1</v>
      </c>
      <c r="AM65" s="370">
        <v>1</v>
      </c>
      <c r="AN65" s="133"/>
      <c r="AO65" s="133"/>
      <c r="AP65" s="133">
        <v>1</v>
      </c>
      <c r="AQ65" s="133">
        <v>1</v>
      </c>
      <c r="AR65" s="133"/>
      <c r="AS65" s="133"/>
      <c r="AT65" s="133">
        <v>1</v>
      </c>
      <c r="AU65" s="133">
        <v>1</v>
      </c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>
        <v>1</v>
      </c>
      <c r="BG65" s="133">
        <v>1</v>
      </c>
      <c r="BH65" s="133"/>
      <c r="BI65" s="133"/>
      <c r="BJ65" s="133"/>
      <c r="BK65" s="133"/>
      <c r="BL65" s="133">
        <v>1</v>
      </c>
      <c r="BM65" s="133">
        <v>1</v>
      </c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</row>
    <row r="66" s="140" customFormat="1" customHeight="1" spans="1:75">
      <c r="A66" s="161">
        <v>62</v>
      </c>
      <c r="B66" s="397" t="s">
        <v>454</v>
      </c>
      <c r="C66" s="162"/>
      <c r="D66" s="357" t="s">
        <v>453</v>
      </c>
      <c r="E66" s="162">
        <v>260</v>
      </c>
      <c r="F66" s="367"/>
      <c r="G66" s="191">
        <f t="shared" si="0"/>
        <v>0</v>
      </c>
      <c r="H66" s="190">
        <f t="shared" si="1"/>
        <v>3</v>
      </c>
      <c r="I66" s="191">
        <f t="shared" si="2"/>
        <v>780</v>
      </c>
      <c r="J66" s="190">
        <f t="shared" si="3"/>
        <v>3</v>
      </c>
      <c r="K66" s="191">
        <f t="shared" si="4"/>
        <v>780</v>
      </c>
      <c r="L66" s="190">
        <f t="shared" si="5"/>
        <v>0</v>
      </c>
      <c r="M66" s="191">
        <f t="shared" si="6"/>
        <v>0</v>
      </c>
      <c r="N66" s="368"/>
      <c r="O66" s="368"/>
      <c r="P66" s="368"/>
      <c r="Q66" s="368"/>
      <c r="R66" s="370">
        <v>1</v>
      </c>
      <c r="S66" s="370">
        <v>1</v>
      </c>
      <c r="T66" s="370"/>
      <c r="U66" s="370"/>
      <c r="V66" s="370"/>
      <c r="W66" s="370"/>
      <c r="X66" s="370"/>
      <c r="Y66" s="370"/>
      <c r="Z66" s="370"/>
      <c r="AA66" s="370"/>
      <c r="AB66" s="370"/>
      <c r="AC66" s="370"/>
      <c r="AD66" s="370"/>
      <c r="AE66" s="385"/>
      <c r="AF66" s="398">
        <v>1</v>
      </c>
      <c r="AG66" s="399">
        <v>1</v>
      </c>
      <c r="AH66" s="370"/>
      <c r="AI66" s="370"/>
      <c r="AJ66" s="370"/>
      <c r="AK66" s="370"/>
      <c r="AL66" s="370"/>
      <c r="AM66" s="370"/>
      <c r="AN66" s="133"/>
      <c r="AO66" s="133"/>
      <c r="AP66" s="133">
        <v>1</v>
      </c>
      <c r="AQ66" s="133">
        <v>1</v>
      </c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</row>
    <row r="67" s="140" customFormat="1" customHeight="1" spans="1:75">
      <c r="A67" s="161">
        <v>63</v>
      </c>
      <c r="B67" s="357" t="s">
        <v>455</v>
      </c>
      <c r="C67" s="162"/>
      <c r="D67" s="357" t="s">
        <v>209</v>
      </c>
      <c r="E67" s="162">
        <v>25</v>
      </c>
      <c r="F67" s="367"/>
      <c r="G67" s="191">
        <f t="shared" si="0"/>
        <v>0</v>
      </c>
      <c r="H67" s="190">
        <f t="shared" si="1"/>
        <v>1</v>
      </c>
      <c r="I67" s="191">
        <f t="shared" si="2"/>
        <v>25</v>
      </c>
      <c r="J67" s="190">
        <f t="shared" si="3"/>
        <v>1</v>
      </c>
      <c r="K67" s="191">
        <f t="shared" si="4"/>
        <v>25</v>
      </c>
      <c r="L67" s="190">
        <f t="shared" si="5"/>
        <v>0</v>
      </c>
      <c r="M67" s="191">
        <f t="shared" si="6"/>
        <v>0</v>
      </c>
      <c r="N67" s="368"/>
      <c r="O67" s="368"/>
      <c r="P67" s="368"/>
      <c r="Q67" s="368"/>
      <c r="R67" s="370"/>
      <c r="S67" s="370"/>
      <c r="T67" s="370"/>
      <c r="U67" s="370"/>
      <c r="V67" s="370"/>
      <c r="W67" s="370"/>
      <c r="X67" s="370"/>
      <c r="Y67" s="370"/>
      <c r="Z67" s="370"/>
      <c r="AA67" s="370"/>
      <c r="AB67" s="370"/>
      <c r="AC67" s="370"/>
      <c r="AD67" s="370"/>
      <c r="AE67" s="385"/>
      <c r="AF67" s="398">
        <v>1</v>
      </c>
      <c r="AG67" s="399">
        <v>1</v>
      </c>
      <c r="AH67" s="370"/>
      <c r="AI67" s="370"/>
      <c r="AJ67" s="370"/>
      <c r="AK67" s="370"/>
      <c r="AL67" s="370"/>
      <c r="AM67" s="370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</row>
    <row r="68" s="140" customFormat="1" customHeight="1" spans="1:75">
      <c r="A68" s="161">
        <v>64</v>
      </c>
      <c r="B68" s="357" t="s">
        <v>456</v>
      </c>
      <c r="C68" s="162"/>
      <c r="D68" s="357" t="s">
        <v>209</v>
      </c>
      <c r="E68" s="162">
        <v>17.6</v>
      </c>
      <c r="F68" s="367"/>
      <c r="G68" s="191">
        <f t="shared" si="0"/>
        <v>0</v>
      </c>
      <c r="H68" s="190">
        <f t="shared" si="1"/>
        <v>1</v>
      </c>
      <c r="I68" s="191">
        <f t="shared" si="2"/>
        <v>17.6</v>
      </c>
      <c r="J68" s="190">
        <f t="shared" si="3"/>
        <v>1</v>
      </c>
      <c r="K68" s="191">
        <f t="shared" si="4"/>
        <v>17.6</v>
      </c>
      <c r="L68" s="190">
        <f t="shared" si="5"/>
        <v>0</v>
      </c>
      <c r="M68" s="191">
        <f t="shared" si="6"/>
        <v>0</v>
      </c>
      <c r="N68" s="368"/>
      <c r="O68" s="368"/>
      <c r="P68" s="368"/>
      <c r="Q68" s="368"/>
      <c r="R68" s="370"/>
      <c r="S68" s="370"/>
      <c r="T68" s="370"/>
      <c r="U68" s="370"/>
      <c r="V68" s="370"/>
      <c r="W68" s="370"/>
      <c r="X68" s="370"/>
      <c r="Y68" s="370"/>
      <c r="Z68" s="370"/>
      <c r="AA68" s="370"/>
      <c r="AB68" s="370"/>
      <c r="AC68" s="370"/>
      <c r="AD68" s="370"/>
      <c r="AE68" s="370"/>
      <c r="AF68" s="389">
        <v>1</v>
      </c>
      <c r="AG68" s="370">
        <v>1</v>
      </c>
      <c r="AH68" s="370"/>
      <c r="AI68" s="370"/>
      <c r="AJ68" s="370"/>
      <c r="AK68" s="370"/>
      <c r="AL68" s="370"/>
      <c r="AM68" s="370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</row>
    <row r="69" s="140" customFormat="1" customHeight="1" spans="1:75">
      <c r="A69" s="161">
        <v>65</v>
      </c>
      <c r="B69" s="400" t="s">
        <v>457</v>
      </c>
      <c r="C69" s="162"/>
      <c r="D69" s="357" t="s">
        <v>209</v>
      </c>
      <c r="E69" s="162">
        <v>21</v>
      </c>
      <c r="F69" s="367"/>
      <c r="G69" s="191">
        <f t="shared" si="0"/>
        <v>0</v>
      </c>
      <c r="H69" s="190">
        <f t="shared" si="1"/>
        <v>1</v>
      </c>
      <c r="I69" s="191">
        <f t="shared" si="2"/>
        <v>21</v>
      </c>
      <c r="J69" s="190">
        <f t="shared" si="3"/>
        <v>1</v>
      </c>
      <c r="K69" s="191">
        <f t="shared" si="4"/>
        <v>21</v>
      </c>
      <c r="L69" s="190">
        <f t="shared" si="5"/>
        <v>0</v>
      </c>
      <c r="M69" s="191">
        <f t="shared" si="6"/>
        <v>0</v>
      </c>
      <c r="N69" s="368"/>
      <c r="O69" s="368"/>
      <c r="P69" s="368"/>
      <c r="Q69" s="368"/>
      <c r="R69" s="370"/>
      <c r="S69" s="370"/>
      <c r="T69" s="370"/>
      <c r="U69" s="370"/>
      <c r="V69" s="370"/>
      <c r="W69" s="370"/>
      <c r="X69" s="370"/>
      <c r="Y69" s="370"/>
      <c r="Z69" s="370"/>
      <c r="AA69" s="370"/>
      <c r="AB69" s="370"/>
      <c r="AC69" s="370"/>
      <c r="AD69" s="370"/>
      <c r="AE69" s="370"/>
      <c r="AF69" s="370">
        <v>1</v>
      </c>
      <c r="AG69" s="370">
        <v>1</v>
      </c>
      <c r="AH69" s="370"/>
      <c r="AI69" s="370"/>
      <c r="AJ69" s="370"/>
      <c r="AK69" s="370"/>
      <c r="AL69" s="370"/>
      <c r="AM69" s="370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</row>
    <row r="70" s="140" customFormat="1" customHeight="1" spans="1:75">
      <c r="A70" s="161">
        <v>66</v>
      </c>
      <c r="B70" s="357" t="s">
        <v>458</v>
      </c>
      <c r="C70" s="162"/>
      <c r="D70" s="357" t="s">
        <v>209</v>
      </c>
      <c r="E70" s="162">
        <v>35</v>
      </c>
      <c r="F70" s="367"/>
      <c r="G70" s="191">
        <f t="shared" ref="G70:G133" si="7">+E70*F70</f>
        <v>0</v>
      </c>
      <c r="H70" s="190">
        <f t="shared" ref="H70:H133" si="8">SUMIF($N$4:$BW$4,$H$4,$N70:$BW70)</f>
        <v>1</v>
      </c>
      <c r="I70" s="191">
        <f t="shared" ref="I70:I133" si="9">+E70*H70</f>
        <v>35</v>
      </c>
      <c r="J70" s="190">
        <f t="shared" ref="J70:J133" si="10">SUMIF($N$4:$BW$4,$J$4,$N70:$BW70)</f>
        <v>1</v>
      </c>
      <c r="K70" s="191">
        <f t="shared" ref="K70:K133" si="11">+E70*J70</f>
        <v>35</v>
      </c>
      <c r="L70" s="190">
        <f t="shared" ref="L70:L133" si="12">+F70+H70-J70</f>
        <v>0</v>
      </c>
      <c r="M70" s="191">
        <f t="shared" ref="M70:M133" si="13">+E70*L70</f>
        <v>0</v>
      </c>
      <c r="N70" s="368"/>
      <c r="O70" s="368"/>
      <c r="P70" s="368"/>
      <c r="Q70" s="368"/>
      <c r="R70" s="370"/>
      <c r="S70" s="370"/>
      <c r="T70" s="370"/>
      <c r="U70" s="370"/>
      <c r="V70" s="370"/>
      <c r="W70" s="370"/>
      <c r="X70" s="370"/>
      <c r="Y70" s="370"/>
      <c r="Z70" s="370"/>
      <c r="AA70" s="370"/>
      <c r="AB70" s="370"/>
      <c r="AC70" s="370"/>
      <c r="AD70" s="370"/>
      <c r="AE70" s="370"/>
      <c r="AF70" s="370">
        <v>1</v>
      </c>
      <c r="AG70" s="370">
        <v>1</v>
      </c>
      <c r="AH70" s="370"/>
      <c r="AI70" s="370"/>
      <c r="AJ70" s="370"/>
      <c r="AK70" s="370"/>
      <c r="AL70" s="370"/>
      <c r="AM70" s="37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</row>
    <row r="71" s="140" customFormat="1" customHeight="1" spans="1:75">
      <c r="A71" s="161">
        <v>67</v>
      </c>
      <c r="B71" s="397" t="s">
        <v>459</v>
      </c>
      <c r="C71" s="162"/>
      <c r="D71" s="357" t="s">
        <v>209</v>
      </c>
      <c r="E71" s="162">
        <v>25</v>
      </c>
      <c r="F71" s="367"/>
      <c r="G71" s="191">
        <f t="shared" si="7"/>
        <v>0</v>
      </c>
      <c r="H71" s="190">
        <f t="shared" si="8"/>
        <v>1</v>
      </c>
      <c r="I71" s="191">
        <f t="shared" si="9"/>
        <v>25</v>
      </c>
      <c r="J71" s="190">
        <f t="shared" si="10"/>
        <v>1</v>
      </c>
      <c r="K71" s="191">
        <f t="shared" si="11"/>
        <v>25</v>
      </c>
      <c r="L71" s="190">
        <f t="shared" si="12"/>
        <v>0</v>
      </c>
      <c r="M71" s="191">
        <f t="shared" si="13"/>
        <v>0</v>
      </c>
      <c r="N71" s="368"/>
      <c r="O71" s="368"/>
      <c r="P71" s="368"/>
      <c r="Q71" s="368"/>
      <c r="R71" s="370"/>
      <c r="S71" s="370"/>
      <c r="T71" s="370"/>
      <c r="U71" s="370"/>
      <c r="V71" s="370"/>
      <c r="W71" s="370"/>
      <c r="X71" s="370"/>
      <c r="Y71" s="370"/>
      <c r="Z71" s="370"/>
      <c r="AA71" s="370"/>
      <c r="AB71" s="370"/>
      <c r="AC71" s="370"/>
      <c r="AD71" s="370"/>
      <c r="AE71" s="370"/>
      <c r="AF71" s="370">
        <v>1</v>
      </c>
      <c r="AG71" s="370">
        <v>1</v>
      </c>
      <c r="AH71" s="370"/>
      <c r="AI71" s="370"/>
      <c r="AJ71" s="370"/>
      <c r="AK71" s="370"/>
      <c r="AL71" s="370"/>
      <c r="AM71" s="370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</row>
    <row r="72" s="140" customFormat="1" customHeight="1" spans="1:75">
      <c r="A72" s="161">
        <v>68</v>
      </c>
      <c r="B72" s="357" t="s">
        <v>460</v>
      </c>
      <c r="C72" s="162"/>
      <c r="D72" s="357" t="s">
        <v>453</v>
      </c>
      <c r="E72" s="162">
        <v>110</v>
      </c>
      <c r="F72" s="367"/>
      <c r="G72" s="191">
        <f t="shared" si="7"/>
        <v>0</v>
      </c>
      <c r="H72" s="190">
        <f t="shared" si="8"/>
        <v>3</v>
      </c>
      <c r="I72" s="191">
        <f t="shared" si="9"/>
        <v>330</v>
      </c>
      <c r="J72" s="190">
        <f t="shared" si="10"/>
        <v>3</v>
      </c>
      <c r="K72" s="191">
        <f t="shared" si="11"/>
        <v>330</v>
      </c>
      <c r="L72" s="190">
        <f t="shared" si="12"/>
        <v>0</v>
      </c>
      <c r="M72" s="191">
        <f t="shared" si="13"/>
        <v>0</v>
      </c>
      <c r="N72" s="368"/>
      <c r="O72" s="368"/>
      <c r="P72" s="368"/>
      <c r="Q72" s="368"/>
      <c r="R72" s="370">
        <v>1</v>
      </c>
      <c r="S72" s="370">
        <v>1</v>
      </c>
      <c r="T72" s="370"/>
      <c r="U72" s="370"/>
      <c r="V72" s="370"/>
      <c r="W72" s="370"/>
      <c r="X72" s="370"/>
      <c r="Y72" s="370"/>
      <c r="Z72" s="370"/>
      <c r="AA72" s="370"/>
      <c r="AB72" s="370"/>
      <c r="AC72" s="370"/>
      <c r="AD72" s="370"/>
      <c r="AE72" s="370"/>
      <c r="AF72" s="370">
        <v>1</v>
      </c>
      <c r="AG72" s="370">
        <v>1</v>
      </c>
      <c r="AH72" s="370"/>
      <c r="AI72" s="370"/>
      <c r="AJ72" s="370"/>
      <c r="AK72" s="370"/>
      <c r="AL72" s="370"/>
      <c r="AM72" s="370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>
        <v>1</v>
      </c>
      <c r="BG72" s="133">
        <v>1</v>
      </c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</row>
    <row r="73" s="140" customFormat="1" customHeight="1" spans="1:75">
      <c r="A73" s="161">
        <v>69</v>
      </c>
      <c r="B73" s="397" t="s">
        <v>461</v>
      </c>
      <c r="C73" s="162"/>
      <c r="D73" s="162"/>
      <c r="E73" s="162">
        <v>117</v>
      </c>
      <c r="F73" s="367"/>
      <c r="G73" s="191">
        <f t="shared" si="7"/>
        <v>0</v>
      </c>
      <c r="H73" s="190">
        <f t="shared" si="8"/>
        <v>1</v>
      </c>
      <c r="I73" s="191">
        <f t="shared" si="9"/>
        <v>117</v>
      </c>
      <c r="J73" s="190">
        <f t="shared" si="10"/>
        <v>1</v>
      </c>
      <c r="K73" s="191">
        <f t="shared" si="11"/>
        <v>117</v>
      </c>
      <c r="L73" s="190">
        <f t="shared" si="12"/>
        <v>0</v>
      </c>
      <c r="M73" s="191">
        <f t="shared" si="13"/>
        <v>0</v>
      </c>
      <c r="N73" s="368"/>
      <c r="O73" s="368"/>
      <c r="P73" s="368"/>
      <c r="Q73" s="368"/>
      <c r="R73" s="370"/>
      <c r="S73" s="370"/>
      <c r="T73" s="370"/>
      <c r="U73" s="370"/>
      <c r="V73" s="370"/>
      <c r="W73" s="370"/>
      <c r="X73" s="370"/>
      <c r="Y73" s="370"/>
      <c r="Z73" s="370"/>
      <c r="AA73" s="370"/>
      <c r="AB73" s="370"/>
      <c r="AC73" s="370"/>
      <c r="AD73" s="370"/>
      <c r="AE73" s="370"/>
      <c r="AF73" s="370"/>
      <c r="AG73" s="370"/>
      <c r="AH73" s="370"/>
      <c r="AI73" s="370"/>
      <c r="AJ73" s="370"/>
      <c r="AK73" s="370"/>
      <c r="AL73" s="370"/>
      <c r="AM73" s="370"/>
      <c r="AN73" s="133"/>
      <c r="AO73" s="133"/>
      <c r="AP73" s="133">
        <v>1</v>
      </c>
      <c r="AQ73" s="133">
        <v>1</v>
      </c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</row>
    <row r="74" s="140" customFormat="1" customHeight="1" spans="1:75">
      <c r="A74" s="161">
        <v>70</v>
      </c>
      <c r="B74" s="401" t="s">
        <v>462</v>
      </c>
      <c r="C74" s="162"/>
      <c r="D74" s="162"/>
      <c r="E74" s="162">
        <v>140</v>
      </c>
      <c r="F74" s="367"/>
      <c r="G74" s="191">
        <f t="shared" si="7"/>
        <v>0</v>
      </c>
      <c r="H74" s="190">
        <f t="shared" si="8"/>
        <v>2</v>
      </c>
      <c r="I74" s="191">
        <f t="shared" si="9"/>
        <v>280</v>
      </c>
      <c r="J74" s="190">
        <f t="shared" si="10"/>
        <v>2</v>
      </c>
      <c r="K74" s="191">
        <f t="shared" si="11"/>
        <v>280</v>
      </c>
      <c r="L74" s="190">
        <f t="shared" si="12"/>
        <v>0</v>
      </c>
      <c r="M74" s="191">
        <f t="shared" si="13"/>
        <v>0</v>
      </c>
      <c r="N74" s="368"/>
      <c r="O74" s="368"/>
      <c r="P74" s="368"/>
      <c r="Q74" s="368"/>
      <c r="R74" s="384"/>
      <c r="S74" s="370"/>
      <c r="T74" s="370"/>
      <c r="U74" s="370"/>
      <c r="V74" s="370">
        <v>1</v>
      </c>
      <c r="W74" s="370">
        <v>1</v>
      </c>
      <c r="X74" s="370"/>
      <c r="Y74" s="370"/>
      <c r="Z74" s="370"/>
      <c r="AA74" s="370"/>
      <c r="AB74" s="370"/>
      <c r="AC74" s="370"/>
      <c r="AD74" s="370"/>
      <c r="AE74" s="370"/>
      <c r="AF74" s="370"/>
      <c r="AG74" s="370"/>
      <c r="AH74" s="370"/>
      <c r="AI74" s="370"/>
      <c r="AJ74" s="370"/>
      <c r="AK74" s="370"/>
      <c r="AL74" s="370"/>
      <c r="AM74" s="370"/>
      <c r="AN74" s="133"/>
      <c r="AO74" s="133"/>
      <c r="AP74" s="133">
        <v>1</v>
      </c>
      <c r="AQ74" s="133">
        <v>1</v>
      </c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</row>
    <row r="75" s="140" customFormat="1" customHeight="1" spans="1:75">
      <c r="A75" s="161">
        <v>71</v>
      </c>
      <c r="B75" s="357" t="s">
        <v>463</v>
      </c>
      <c r="C75" s="162"/>
      <c r="D75" s="162"/>
      <c r="E75" s="162">
        <v>115</v>
      </c>
      <c r="F75" s="367"/>
      <c r="G75" s="191">
        <f t="shared" si="7"/>
        <v>0</v>
      </c>
      <c r="H75" s="190">
        <f t="shared" si="8"/>
        <v>4</v>
      </c>
      <c r="I75" s="191">
        <f t="shared" si="9"/>
        <v>460</v>
      </c>
      <c r="J75" s="190">
        <f t="shared" si="10"/>
        <v>4</v>
      </c>
      <c r="K75" s="191">
        <f t="shared" si="11"/>
        <v>460</v>
      </c>
      <c r="L75" s="190">
        <f t="shared" si="12"/>
        <v>0</v>
      </c>
      <c r="M75" s="191">
        <f t="shared" si="13"/>
        <v>0</v>
      </c>
      <c r="N75" s="368"/>
      <c r="O75" s="368"/>
      <c r="P75" s="368"/>
      <c r="Q75" s="402"/>
      <c r="R75" s="366">
        <v>1</v>
      </c>
      <c r="S75" s="378">
        <v>1</v>
      </c>
      <c r="T75" s="370"/>
      <c r="U75" s="378"/>
      <c r="V75" s="370"/>
      <c r="W75" s="378"/>
      <c r="X75" s="370"/>
      <c r="Y75" s="378"/>
      <c r="Z75" s="370"/>
      <c r="AA75" s="378"/>
      <c r="AB75" s="370"/>
      <c r="AC75" s="378"/>
      <c r="AD75" s="370"/>
      <c r="AE75" s="370"/>
      <c r="AF75" s="370"/>
      <c r="AG75" s="370"/>
      <c r="AH75" s="370"/>
      <c r="AI75" s="370"/>
      <c r="AJ75" s="370"/>
      <c r="AK75" s="370"/>
      <c r="AL75" s="370"/>
      <c r="AM75" s="370"/>
      <c r="AN75" s="133"/>
      <c r="AO75" s="133"/>
      <c r="AP75" s="133">
        <v>1</v>
      </c>
      <c r="AQ75" s="133">
        <v>1</v>
      </c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>
        <v>1</v>
      </c>
      <c r="BC75" s="133">
        <v>1</v>
      </c>
      <c r="BD75" s="133"/>
      <c r="BE75" s="133"/>
      <c r="BF75" s="133">
        <v>1</v>
      </c>
      <c r="BG75" s="133">
        <v>1</v>
      </c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</row>
    <row r="76" s="140" customFormat="1" customHeight="1" spans="1:75">
      <c r="A76" s="161">
        <v>72</v>
      </c>
      <c r="B76" s="403" t="s">
        <v>464</v>
      </c>
      <c r="C76" s="162"/>
      <c r="D76" s="162"/>
      <c r="E76" s="162">
        <v>75</v>
      </c>
      <c r="F76" s="367"/>
      <c r="G76" s="191">
        <f t="shared" si="7"/>
        <v>0</v>
      </c>
      <c r="H76" s="190">
        <f t="shared" si="8"/>
        <v>1</v>
      </c>
      <c r="I76" s="191">
        <f t="shared" si="9"/>
        <v>75</v>
      </c>
      <c r="J76" s="190">
        <f t="shared" si="10"/>
        <v>1</v>
      </c>
      <c r="K76" s="191">
        <f t="shared" si="11"/>
        <v>75</v>
      </c>
      <c r="L76" s="190">
        <f t="shared" si="12"/>
        <v>0</v>
      </c>
      <c r="M76" s="191">
        <f t="shared" si="13"/>
        <v>0</v>
      </c>
      <c r="N76" s="368"/>
      <c r="O76" s="368"/>
      <c r="P76" s="368"/>
      <c r="Q76" s="402"/>
      <c r="R76" s="366"/>
      <c r="S76" s="378"/>
      <c r="T76" s="370"/>
      <c r="U76" s="378"/>
      <c r="V76" s="370"/>
      <c r="W76" s="378"/>
      <c r="X76" s="370"/>
      <c r="Y76" s="378"/>
      <c r="Z76" s="370"/>
      <c r="AA76" s="378"/>
      <c r="AB76" s="370"/>
      <c r="AC76" s="378"/>
      <c r="AD76" s="370"/>
      <c r="AE76" s="370"/>
      <c r="AF76" s="370"/>
      <c r="AG76" s="370"/>
      <c r="AH76" s="370"/>
      <c r="AI76" s="370"/>
      <c r="AJ76" s="370"/>
      <c r="AK76" s="370"/>
      <c r="AL76" s="370"/>
      <c r="AM76" s="370"/>
      <c r="AN76" s="133"/>
      <c r="AO76" s="133"/>
      <c r="AP76" s="133">
        <v>1</v>
      </c>
      <c r="AQ76" s="133">
        <v>1</v>
      </c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</row>
    <row r="77" s="140" customFormat="1" customHeight="1" spans="1:75">
      <c r="A77" s="161">
        <v>73</v>
      </c>
      <c r="B77" s="397" t="s">
        <v>465</v>
      </c>
      <c r="C77" s="162"/>
      <c r="D77" s="162"/>
      <c r="E77" s="162">
        <v>98</v>
      </c>
      <c r="F77" s="367"/>
      <c r="G77" s="191">
        <f t="shared" si="7"/>
        <v>0</v>
      </c>
      <c r="H77" s="190">
        <f t="shared" si="8"/>
        <v>4</v>
      </c>
      <c r="I77" s="191">
        <f t="shared" si="9"/>
        <v>392</v>
      </c>
      <c r="J77" s="190">
        <f t="shared" si="10"/>
        <v>4</v>
      </c>
      <c r="K77" s="191">
        <f t="shared" si="11"/>
        <v>392</v>
      </c>
      <c r="L77" s="190">
        <f t="shared" si="12"/>
        <v>0</v>
      </c>
      <c r="M77" s="191">
        <f t="shared" si="13"/>
        <v>0</v>
      </c>
      <c r="N77" s="368"/>
      <c r="O77" s="368"/>
      <c r="P77" s="368"/>
      <c r="Q77" s="402"/>
      <c r="R77" s="366">
        <v>1</v>
      </c>
      <c r="S77" s="378">
        <v>1</v>
      </c>
      <c r="T77" s="370"/>
      <c r="U77" s="378"/>
      <c r="V77" s="370"/>
      <c r="W77" s="378"/>
      <c r="X77" s="370"/>
      <c r="Y77" s="378"/>
      <c r="Z77" s="378"/>
      <c r="AA77" s="373"/>
      <c r="AB77" s="370"/>
      <c r="AC77" s="378"/>
      <c r="AD77" s="370"/>
      <c r="AE77" s="370"/>
      <c r="AF77" s="370"/>
      <c r="AG77" s="370"/>
      <c r="AH77" s="370"/>
      <c r="AI77" s="370"/>
      <c r="AJ77" s="370"/>
      <c r="AK77" s="370"/>
      <c r="AL77" s="370"/>
      <c r="AM77" s="370"/>
      <c r="AN77" s="133"/>
      <c r="AO77" s="133"/>
      <c r="AP77" s="133">
        <v>1</v>
      </c>
      <c r="AQ77" s="133">
        <v>1</v>
      </c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>
        <v>1</v>
      </c>
      <c r="BM77" s="133">
        <v>1</v>
      </c>
      <c r="BN77" s="133"/>
      <c r="BO77" s="133"/>
      <c r="BP77" s="133">
        <v>1</v>
      </c>
      <c r="BQ77" s="133">
        <v>1</v>
      </c>
      <c r="BR77" s="133"/>
      <c r="BS77" s="133"/>
      <c r="BT77" s="133"/>
      <c r="BU77" s="133"/>
      <c r="BV77" s="133"/>
      <c r="BW77" s="133"/>
    </row>
    <row r="78" s="359" customFormat="1" customHeight="1" spans="1:75">
      <c r="A78" s="357">
        <v>74</v>
      </c>
      <c r="B78" s="376" t="s">
        <v>466</v>
      </c>
      <c r="C78" s="357"/>
      <c r="D78" s="162"/>
      <c r="E78" s="357">
        <v>80</v>
      </c>
      <c r="F78" s="377"/>
      <c r="G78" s="191">
        <f t="shared" si="7"/>
        <v>0</v>
      </c>
      <c r="H78" s="190">
        <f t="shared" si="8"/>
        <v>5</v>
      </c>
      <c r="I78" s="191">
        <f t="shared" si="9"/>
        <v>400</v>
      </c>
      <c r="J78" s="190">
        <f t="shared" si="10"/>
        <v>5</v>
      </c>
      <c r="K78" s="191">
        <f t="shared" si="11"/>
        <v>400</v>
      </c>
      <c r="L78" s="190">
        <f t="shared" si="12"/>
        <v>0</v>
      </c>
      <c r="M78" s="191">
        <f t="shared" si="13"/>
        <v>0</v>
      </c>
      <c r="N78" s="368"/>
      <c r="O78" s="368"/>
      <c r="P78" s="368"/>
      <c r="Q78" s="402"/>
      <c r="R78" s="366">
        <v>1</v>
      </c>
      <c r="S78" s="378">
        <v>1</v>
      </c>
      <c r="T78" s="370"/>
      <c r="U78" s="378"/>
      <c r="V78" s="370">
        <v>1</v>
      </c>
      <c r="W78" s="378">
        <v>1</v>
      </c>
      <c r="X78" s="370"/>
      <c r="Y78" s="378"/>
      <c r="Z78" s="370"/>
      <c r="AA78" s="378"/>
      <c r="AB78" s="370"/>
      <c r="AC78" s="378"/>
      <c r="AD78" s="370"/>
      <c r="AE78" s="370"/>
      <c r="AF78" s="370"/>
      <c r="AG78" s="370"/>
      <c r="AH78" s="370"/>
      <c r="AI78" s="370"/>
      <c r="AJ78" s="370"/>
      <c r="AK78" s="370"/>
      <c r="AL78" s="370"/>
      <c r="AM78" s="370"/>
      <c r="AN78" s="291"/>
      <c r="AO78" s="291"/>
      <c r="AP78" s="291">
        <v>1</v>
      </c>
      <c r="AQ78" s="291">
        <v>1</v>
      </c>
      <c r="AR78" s="291"/>
      <c r="AS78" s="291"/>
      <c r="AT78" s="291">
        <v>1</v>
      </c>
      <c r="AU78" s="291">
        <v>1</v>
      </c>
      <c r="AV78" s="291"/>
      <c r="AW78" s="291"/>
      <c r="AX78" s="291"/>
      <c r="AY78" s="291"/>
      <c r="AZ78" s="291"/>
      <c r="BA78" s="291"/>
      <c r="BB78" s="291"/>
      <c r="BC78" s="291"/>
      <c r="BD78" s="291"/>
      <c r="BE78" s="291"/>
      <c r="BF78" s="291"/>
      <c r="BG78" s="291"/>
      <c r="BH78" s="291"/>
      <c r="BI78" s="291"/>
      <c r="BJ78" s="291"/>
      <c r="BK78" s="291"/>
      <c r="BL78" s="291">
        <v>1</v>
      </c>
      <c r="BM78" s="291">
        <v>1</v>
      </c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</row>
    <row r="79" s="140" customFormat="1" customHeight="1" spans="1:75">
      <c r="A79" s="161">
        <v>75</v>
      </c>
      <c r="B79" s="357" t="s">
        <v>467</v>
      </c>
      <c r="C79" s="162"/>
      <c r="D79" s="162"/>
      <c r="E79" s="162">
        <v>48</v>
      </c>
      <c r="F79" s="367"/>
      <c r="G79" s="191">
        <f t="shared" si="7"/>
        <v>0</v>
      </c>
      <c r="H79" s="190">
        <f t="shared" si="8"/>
        <v>4</v>
      </c>
      <c r="I79" s="191">
        <f t="shared" si="9"/>
        <v>192</v>
      </c>
      <c r="J79" s="190">
        <f t="shared" si="10"/>
        <v>4</v>
      </c>
      <c r="K79" s="191">
        <f t="shared" si="11"/>
        <v>192</v>
      </c>
      <c r="L79" s="190">
        <f t="shared" si="12"/>
        <v>0</v>
      </c>
      <c r="M79" s="191">
        <f t="shared" si="13"/>
        <v>0</v>
      </c>
      <c r="N79" s="368">
        <v>1</v>
      </c>
      <c r="O79" s="368">
        <v>1</v>
      </c>
      <c r="P79" s="368"/>
      <c r="Q79" s="404"/>
      <c r="R79" s="366"/>
      <c r="S79" s="378"/>
      <c r="T79" s="370"/>
      <c r="U79" s="378"/>
      <c r="V79" s="370"/>
      <c r="W79" s="378"/>
      <c r="X79" s="370"/>
      <c r="Y79" s="378"/>
      <c r="Z79" s="370"/>
      <c r="AA79" s="378"/>
      <c r="AB79" s="370"/>
      <c r="AC79" s="378"/>
      <c r="AD79" s="370"/>
      <c r="AE79" s="370"/>
      <c r="AF79" s="370"/>
      <c r="AG79" s="370"/>
      <c r="AH79" s="370"/>
      <c r="AI79" s="370"/>
      <c r="AJ79" s="370"/>
      <c r="AK79" s="370"/>
      <c r="AL79" s="370"/>
      <c r="AM79" s="370"/>
      <c r="AN79" s="133"/>
      <c r="AO79" s="133"/>
      <c r="AP79" s="133">
        <v>1</v>
      </c>
      <c r="AQ79" s="133">
        <v>1</v>
      </c>
      <c r="AR79" s="133"/>
      <c r="AS79" s="133"/>
      <c r="AT79" s="133"/>
      <c r="AU79" s="133"/>
      <c r="AV79" s="133"/>
      <c r="AW79" s="133"/>
      <c r="AX79" s="133"/>
      <c r="AY79" s="133"/>
      <c r="AZ79" s="133"/>
      <c r="BA79" s="133"/>
      <c r="BB79" s="133">
        <v>1</v>
      </c>
      <c r="BC79" s="133">
        <v>1</v>
      </c>
      <c r="BD79" s="133"/>
      <c r="BE79" s="133"/>
      <c r="BF79" s="133"/>
      <c r="BG79" s="133"/>
      <c r="BH79" s="133"/>
      <c r="BI79" s="133"/>
      <c r="BJ79" s="133"/>
      <c r="BK79" s="133"/>
      <c r="BL79" s="133">
        <v>1</v>
      </c>
      <c r="BM79" s="133">
        <v>1</v>
      </c>
      <c r="BN79" s="133"/>
      <c r="BO79" s="133"/>
      <c r="BP79" s="133"/>
      <c r="BQ79" s="133"/>
      <c r="BR79" s="133"/>
      <c r="BS79" s="133"/>
      <c r="BT79" s="133"/>
      <c r="BU79" s="133"/>
      <c r="BV79" s="133"/>
      <c r="BW79" s="133"/>
    </row>
    <row r="80" s="140" customFormat="1" customHeight="1" spans="1:75">
      <c r="A80" s="161">
        <v>76</v>
      </c>
      <c r="B80" s="357" t="s">
        <v>468</v>
      </c>
      <c r="C80" s="162"/>
      <c r="D80" s="162"/>
      <c r="E80" s="162">
        <v>75</v>
      </c>
      <c r="F80" s="367"/>
      <c r="G80" s="191">
        <f t="shared" si="7"/>
        <v>0</v>
      </c>
      <c r="H80" s="190">
        <f t="shared" si="8"/>
        <v>4</v>
      </c>
      <c r="I80" s="191">
        <f t="shared" si="9"/>
        <v>300</v>
      </c>
      <c r="J80" s="190">
        <f t="shared" si="10"/>
        <v>4</v>
      </c>
      <c r="K80" s="191">
        <f t="shared" si="11"/>
        <v>300</v>
      </c>
      <c r="L80" s="190">
        <f t="shared" si="12"/>
        <v>0</v>
      </c>
      <c r="M80" s="191">
        <f t="shared" si="13"/>
        <v>0</v>
      </c>
      <c r="N80" s="368"/>
      <c r="O80" s="368"/>
      <c r="P80" s="402"/>
      <c r="Q80" s="366"/>
      <c r="R80" s="366"/>
      <c r="S80" s="378"/>
      <c r="T80" s="370"/>
      <c r="U80" s="378"/>
      <c r="V80" s="370">
        <v>1</v>
      </c>
      <c r="W80" s="378">
        <v>1</v>
      </c>
      <c r="X80" s="370"/>
      <c r="Y80" s="378"/>
      <c r="Z80" s="370"/>
      <c r="AA80" s="378"/>
      <c r="AB80" s="370"/>
      <c r="AC80" s="378"/>
      <c r="AD80" s="370"/>
      <c r="AE80" s="370"/>
      <c r="AF80" s="370"/>
      <c r="AG80" s="370"/>
      <c r="AH80" s="370"/>
      <c r="AI80" s="370"/>
      <c r="AJ80" s="370"/>
      <c r="AK80" s="370"/>
      <c r="AL80" s="370"/>
      <c r="AM80" s="370"/>
      <c r="AN80" s="133"/>
      <c r="AO80" s="133"/>
      <c r="AP80" s="133">
        <v>1</v>
      </c>
      <c r="AQ80" s="133">
        <v>1</v>
      </c>
      <c r="AR80" s="133"/>
      <c r="AS80" s="133"/>
      <c r="AT80" s="133"/>
      <c r="AU80" s="133"/>
      <c r="AV80" s="133"/>
      <c r="AW80" s="133"/>
      <c r="AX80" s="133"/>
      <c r="AY80" s="133"/>
      <c r="AZ80" s="133"/>
      <c r="BA80" s="133"/>
      <c r="BB80" s="133"/>
      <c r="BC80" s="133"/>
      <c r="BD80" s="133"/>
      <c r="BE80" s="133"/>
      <c r="BF80" s="133"/>
      <c r="BG80" s="133"/>
      <c r="BH80" s="133"/>
      <c r="BI80" s="133"/>
      <c r="BJ80" s="133"/>
      <c r="BK80" s="133"/>
      <c r="BL80" s="133"/>
      <c r="BM80" s="133"/>
      <c r="BN80" s="133"/>
      <c r="BO80" s="133"/>
      <c r="BP80" s="133">
        <v>1</v>
      </c>
      <c r="BQ80" s="133">
        <v>1</v>
      </c>
      <c r="BR80" s="133"/>
      <c r="BS80" s="133"/>
      <c r="BT80" s="133">
        <v>1</v>
      </c>
      <c r="BU80" s="133">
        <v>1</v>
      </c>
      <c r="BV80" s="133"/>
      <c r="BW80" s="133"/>
    </row>
    <row r="81" s="140" customFormat="1" customHeight="1" spans="1:75">
      <c r="A81" s="161">
        <v>77</v>
      </c>
      <c r="B81" s="357" t="s">
        <v>469</v>
      </c>
      <c r="C81" s="162"/>
      <c r="D81" s="162"/>
      <c r="E81" s="162">
        <v>116</v>
      </c>
      <c r="F81" s="367"/>
      <c r="G81" s="191">
        <f t="shared" si="7"/>
        <v>0</v>
      </c>
      <c r="H81" s="190">
        <f t="shared" si="8"/>
        <v>7</v>
      </c>
      <c r="I81" s="191">
        <f t="shared" si="9"/>
        <v>812</v>
      </c>
      <c r="J81" s="190">
        <f t="shared" si="10"/>
        <v>7</v>
      </c>
      <c r="K81" s="191">
        <f t="shared" si="11"/>
        <v>812</v>
      </c>
      <c r="L81" s="190">
        <f t="shared" si="12"/>
        <v>0</v>
      </c>
      <c r="M81" s="191">
        <f t="shared" si="13"/>
        <v>0</v>
      </c>
      <c r="N81" s="368"/>
      <c r="O81" s="368"/>
      <c r="P81" s="368"/>
      <c r="Q81" s="405"/>
      <c r="R81" s="366">
        <v>1</v>
      </c>
      <c r="S81" s="378">
        <v>1</v>
      </c>
      <c r="T81" s="370"/>
      <c r="U81" s="378"/>
      <c r="V81" s="370"/>
      <c r="W81" s="378"/>
      <c r="X81" s="370">
        <v>1</v>
      </c>
      <c r="Y81" s="378">
        <v>1</v>
      </c>
      <c r="Z81" s="370"/>
      <c r="AA81" s="378"/>
      <c r="AB81" s="370"/>
      <c r="AC81" s="378"/>
      <c r="AD81" s="370"/>
      <c r="AE81" s="370"/>
      <c r="AF81" s="370"/>
      <c r="AG81" s="370"/>
      <c r="AH81" s="370"/>
      <c r="AI81" s="370"/>
      <c r="AJ81" s="370"/>
      <c r="AK81" s="370"/>
      <c r="AL81" s="370">
        <v>1</v>
      </c>
      <c r="AM81" s="370">
        <v>1</v>
      </c>
      <c r="AN81" s="133"/>
      <c r="AO81" s="133"/>
      <c r="AP81" s="133"/>
      <c r="AQ81" s="133"/>
      <c r="AR81" s="133"/>
      <c r="AS81" s="133"/>
      <c r="AT81" s="133">
        <v>1</v>
      </c>
      <c r="AU81" s="133">
        <v>1</v>
      </c>
      <c r="AV81" s="133"/>
      <c r="AW81" s="133"/>
      <c r="AX81" s="133"/>
      <c r="AY81" s="133"/>
      <c r="AZ81" s="133"/>
      <c r="BA81" s="133"/>
      <c r="BB81" s="133"/>
      <c r="BC81" s="133"/>
      <c r="BD81" s="133"/>
      <c r="BE81" s="133"/>
      <c r="BF81" s="133"/>
      <c r="BG81" s="133"/>
      <c r="BH81" s="133"/>
      <c r="BI81" s="133"/>
      <c r="BJ81" s="133"/>
      <c r="BK81" s="133"/>
      <c r="BL81" s="133">
        <v>1</v>
      </c>
      <c r="BM81" s="133">
        <v>1</v>
      </c>
      <c r="BN81" s="133"/>
      <c r="BO81" s="133"/>
      <c r="BP81" s="133">
        <v>1</v>
      </c>
      <c r="BQ81" s="133">
        <v>1</v>
      </c>
      <c r="BR81" s="133"/>
      <c r="BS81" s="133"/>
      <c r="BT81" s="133">
        <v>1</v>
      </c>
      <c r="BU81" s="133">
        <v>1</v>
      </c>
      <c r="BV81" s="133"/>
      <c r="BW81" s="133"/>
    </row>
    <row r="82" s="140" customFormat="1" customHeight="1" spans="1:75">
      <c r="A82" s="161">
        <v>78</v>
      </c>
      <c r="B82" s="376" t="s">
        <v>470</v>
      </c>
      <c r="C82" s="162"/>
      <c r="D82" s="162"/>
      <c r="E82" s="162">
        <v>160</v>
      </c>
      <c r="F82" s="367"/>
      <c r="G82" s="191">
        <f t="shared" si="7"/>
        <v>0</v>
      </c>
      <c r="H82" s="190">
        <f t="shared" si="8"/>
        <v>3</v>
      </c>
      <c r="I82" s="191">
        <f t="shared" si="9"/>
        <v>480</v>
      </c>
      <c r="J82" s="190">
        <f t="shared" si="10"/>
        <v>3</v>
      </c>
      <c r="K82" s="191">
        <f t="shared" si="11"/>
        <v>480</v>
      </c>
      <c r="L82" s="190">
        <f t="shared" si="12"/>
        <v>0</v>
      </c>
      <c r="M82" s="191">
        <f t="shared" si="13"/>
        <v>0</v>
      </c>
      <c r="N82" s="368"/>
      <c r="O82" s="368"/>
      <c r="P82" s="368"/>
      <c r="Q82" s="373"/>
      <c r="R82" s="389">
        <v>1</v>
      </c>
      <c r="S82" s="370">
        <v>1</v>
      </c>
      <c r="T82" s="370"/>
      <c r="U82" s="370"/>
      <c r="V82" s="370"/>
      <c r="W82" s="370"/>
      <c r="X82" s="370"/>
      <c r="Y82" s="370"/>
      <c r="Z82" s="370"/>
      <c r="AA82" s="370"/>
      <c r="AB82" s="370"/>
      <c r="AC82" s="370"/>
      <c r="AD82" s="370"/>
      <c r="AE82" s="370"/>
      <c r="AF82" s="370"/>
      <c r="AG82" s="370"/>
      <c r="AH82" s="370"/>
      <c r="AI82" s="370"/>
      <c r="AJ82" s="370"/>
      <c r="AK82" s="370"/>
      <c r="AL82" s="370"/>
      <c r="AM82" s="370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>
        <v>1</v>
      </c>
      <c r="BG82" s="133">
        <v>1</v>
      </c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133">
        <v>1</v>
      </c>
      <c r="BU82" s="133">
        <v>1</v>
      </c>
      <c r="BV82" s="133"/>
      <c r="BW82" s="133"/>
    </row>
    <row r="83" s="140" customFormat="1" customHeight="1" spans="1:75">
      <c r="A83" s="161">
        <v>79</v>
      </c>
      <c r="B83" s="376" t="s">
        <v>471</v>
      </c>
      <c r="C83" s="162"/>
      <c r="D83" s="162"/>
      <c r="E83" s="162">
        <v>190</v>
      </c>
      <c r="F83" s="367"/>
      <c r="G83" s="191">
        <f t="shared" si="7"/>
        <v>0</v>
      </c>
      <c r="H83" s="190">
        <f t="shared" si="8"/>
        <v>1</v>
      </c>
      <c r="I83" s="191">
        <f t="shared" si="9"/>
        <v>190</v>
      </c>
      <c r="J83" s="190">
        <f t="shared" si="10"/>
        <v>1</v>
      </c>
      <c r="K83" s="191">
        <f t="shared" si="11"/>
        <v>190</v>
      </c>
      <c r="L83" s="190">
        <f t="shared" si="12"/>
        <v>0</v>
      </c>
      <c r="M83" s="191">
        <f t="shared" si="13"/>
        <v>0</v>
      </c>
      <c r="N83" s="368"/>
      <c r="O83" s="368"/>
      <c r="P83" s="368"/>
      <c r="Q83" s="368"/>
      <c r="R83" s="370"/>
      <c r="S83" s="370"/>
      <c r="T83" s="370"/>
      <c r="U83" s="370"/>
      <c r="V83" s="370"/>
      <c r="W83" s="370"/>
      <c r="X83" s="370"/>
      <c r="Y83" s="370"/>
      <c r="Z83" s="370"/>
      <c r="AA83" s="370"/>
      <c r="AB83" s="370"/>
      <c r="AC83" s="370"/>
      <c r="AD83" s="370"/>
      <c r="AE83" s="370"/>
      <c r="AF83" s="370"/>
      <c r="AG83" s="370"/>
      <c r="AH83" s="370"/>
      <c r="AI83" s="370"/>
      <c r="AJ83" s="370"/>
      <c r="AK83" s="370"/>
      <c r="AL83" s="370"/>
      <c r="AM83" s="370"/>
      <c r="AN83" s="133"/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3"/>
      <c r="BQ83" s="133"/>
      <c r="BR83" s="133"/>
      <c r="BS83" s="133"/>
      <c r="BT83" s="133">
        <v>1</v>
      </c>
      <c r="BU83" s="133">
        <v>1</v>
      </c>
      <c r="BV83" s="133"/>
      <c r="BW83" s="133"/>
    </row>
    <row r="84" s="140" customFormat="1" customHeight="1" spans="1:75">
      <c r="A84" s="161">
        <v>80</v>
      </c>
      <c r="B84" s="357" t="s">
        <v>472</v>
      </c>
      <c r="C84" s="162"/>
      <c r="D84" s="162"/>
      <c r="E84" s="162">
        <v>120</v>
      </c>
      <c r="F84" s="367"/>
      <c r="G84" s="191">
        <f t="shared" si="7"/>
        <v>0</v>
      </c>
      <c r="H84" s="190">
        <f t="shared" si="8"/>
        <v>3</v>
      </c>
      <c r="I84" s="191">
        <f t="shared" si="9"/>
        <v>360</v>
      </c>
      <c r="J84" s="190">
        <f t="shared" si="10"/>
        <v>3</v>
      </c>
      <c r="K84" s="191">
        <f t="shared" si="11"/>
        <v>360</v>
      </c>
      <c r="L84" s="190">
        <f t="shared" si="12"/>
        <v>0</v>
      </c>
      <c r="M84" s="191">
        <f t="shared" si="13"/>
        <v>0</v>
      </c>
      <c r="N84" s="368"/>
      <c r="O84" s="368"/>
      <c r="P84" s="368"/>
      <c r="Q84" s="368"/>
      <c r="R84" s="370">
        <v>1</v>
      </c>
      <c r="S84" s="370">
        <v>1</v>
      </c>
      <c r="T84" s="370"/>
      <c r="U84" s="370"/>
      <c r="V84" s="370"/>
      <c r="W84" s="370"/>
      <c r="X84" s="370"/>
      <c r="Y84" s="370"/>
      <c r="Z84" s="370"/>
      <c r="AA84" s="370"/>
      <c r="AB84" s="370"/>
      <c r="AC84" s="370"/>
      <c r="AD84" s="370"/>
      <c r="AE84" s="370"/>
      <c r="AF84" s="370"/>
      <c r="AG84" s="370"/>
      <c r="AH84" s="370"/>
      <c r="AI84" s="370"/>
      <c r="AJ84" s="370"/>
      <c r="AK84" s="370"/>
      <c r="AL84" s="370"/>
      <c r="AM84" s="370"/>
      <c r="AN84" s="133"/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3"/>
      <c r="BB84" s="133">
        <v>1</v>
      </c>
      <c r="BC84" s="133">
        <v>1</v>
      </c>
      <c r="BD84" s="133"/>
      <c r="BE84" s="133"/>
      <c r="BF84" s="133"/>
      <c r="BG84" s="133"/>
      <c r="BH84" s="133"/>
      <c r="BI84" s="133"/>
      <c r="BJ84" s="133"/>
      <c r="BK84" s="133"/>
      <c r="BL84" s="133">
        <v>1</v>
      </c>
      <c r="BM84" s="133">
        <v>1</v>
      </c>
      <c r="BN84" s="133"/>
      <c r="BO84" s="133"/>
      <c r="BP84" s="133"/>
      <c r="BQ84" s="133"/>
      <c r="BR84" s="133"/>
      <c r="BS84" s="133"/>
      <c r="BT84" s="133"/>
      <c r="BU84" s="133"/>
      <c r="BV84" s="133"/>
      <c r="BW84" s="133"/>
    </row>
    <row r="85" s="140" customFormat="1" customHeight="1" spans="1:75">
      <c r="A85" s="161">
        <v>81</v>
      </c>
      <c r="B85" s="397" t="s">
        <v>473</v>
      </c>
      <c r="C85" s="162"/>
      <c r="D85" s="162"/>
      <c r="E85" s="162">
        <v>145</v>
      </c>
      <c r="F85" s="367"/>
      <c r="G85" s="191">
        <f t="shared" si="7"/>
        <v>0</v>
      </c>
      <c r="H85" s="190">
        <f t="shared" si="8"/>
        <v>2</v>
      </c>
      <c r="I85" s="191">
        <f t="shared" si="9"/>
        <v>290</v>
      </c>
      <c r="J85" s="190">
        <f t="shared" si="10"/>
        <v>2</v>
      </c>
      <c r="K85" s="191">
        <f t="shared" si="11"/>
        <v>290</v>
      </c>
      <c r="L85" s="190">
        <f t="shared" si="12"/>
        <v>0</v>
      </c>
      <c r="M85" s="191">
        <f t="shared" si="13"/>
        <v>0</v>
      </c>
      <c r="N85" s="368"/>
      <c r="O85" s="368"/>
      <c r="P85" s="368"/>
      <c r="Q85" s="368"/>
      <c r="R85" s="370">
        <v>1</v>
      </c>
      <c r="S85" s="370">
        <v>1</v>
      </c>
      <c r="T85" s="370"/>
      <c r="U85" s="370"/>
      <c r="V85" s="370"/>
      <c r="W85" s="370"/>
      <c r="X85" s="370"/>
      <c r="Y85" s="370"/>
      <c r="Z85" s="370"/>
      <c r="AA85" s="370"/>
      <c r="AB85" s="370"/>
      <c r="AC85" s="370"/>
      <c r="AD85" s="370"/>
      <c r="AE85" s="370"/>
      <c r="AF85" s="370"/>
      <c r="AG85" s="370"/>
      <c r="AH85" s="370"/>
      <c r="AI85" s="370"/>
      <c r="AJ85" s="370"/>
      <c r="AK85" s="370"/>
      <c r="AL85" s="370"/>
      <c r="AM85" s="370"/>
      <c r="AN85" s="133"/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>
        <v>1</v>
      </c>
      <c r="BC85" s="133">
        <v>1</v>
      </c>
      <c r="BD85" s="133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3"/>
      <c r="BQ85" s="133"/>
      <c r="BR85" s="133"/>
      <c r="BS85" s="133"/>
      <c r="BT85" s="133"/>
      <c r="BU85" s="133"/>
      <c r="BV85" s="133"/>
      <c r="BW85" s="133"/>
    </row>
    <row r="86" s="140" customFormat="1" customHeight="1" spans="1:75">
      <c r="A86" s="161">
        <v>82</v>
      </c>
      <c r="B86" s="357" t="s">
        <v>474</v>
      </c>
      <c r="C86" s="162"/>
      <c r="D86" s="162"/>
      <c r="E86" s="162">
        <v>150</v>
      </c>
      <c r="F86" s="367"/>
      <c r="G86" s="191">
        <f t="shared" si="7"/>
        <v>0</v>
      </c>
      <c r="H86" s="190">
        <f t="shared" si="8"/>
        <v>3</v>
      </c>
      <c r="I86" s="191">
        <f t="shared" si="9"/>
        <v>450</v>
      </c>
      <c r="J86" s="190">
        <f t="shared" si="10"/>
        <v>3</v>
      </c>
      <c r="K86" s="191">
        <f t="shared" si="11"/>
        <v>450</v>
      </c>
      <c r="L86" s="190">
        <f t="shared" si="12"/>
        <v>0</v>
      </c>
      <c r="M86" s="191">
        <f t="shared" si="13"/>
        <v>0</v>
      </c>
      <c r="N86" s="318"/>
      <c r="O86" s="368"/>
      <c r="P86" s="368"/>
      <c r="Q86" s="368"/>
      <c r="R86" s="370">
        <v>1</v>
      </c>
      <c r="S86" s="370">
        <v>1</v>
      </c>
      <c r="T86" s="370"/>
      <c r="U86" s="370"/>
      <c r="V86" s="370"/>
      <c r="W86" s="370"/>
      <c r="X86" s="370"/>
      <c r="Y86" s="370"/>
      <c r="Z86" s="370"/>
      <c r="AA86" s="370"/>
      <c r="AB86" s="370"/>
      <c r="AC86" s="370"/>
      <c r="AD86" s="370"/>
      <c r="AE86" s="370"/>
      <c r="AF86" s="370"/>
      <c r="AG86" s="370"/>
      <c r="AH86" s="370"/>
      <c r="AI86" s="370"/>
      <c r="AJ86" s="370"/>
      <c r="AK86" s="370"/>
      <c r="AL86" s="370"/>
      <c r="AM86" s="370"/>
      <c r="AN86" s="133"/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3"/>
      <c r="BB86" s="133"/>
      <c r="BC86" s="133"/>
      <c r="BD86" s="133"/>
      <c r="BE86" s="133"/>
      <c r="BF86" s="133"/>
      <c r="BG86" s="133"/>
      <c r="BH86" s="133">
        <v>1</v>
      </c>
      <c r="BI86" s="133">
        <v>1</v>
      </c>
      <c r="BJ86" s="133"/>
      <c r="BK86" s="133"/>
      <c r="BL86" s="133"/>
      <c r="BM86" s="133"/>
      <c r="BN86" s="133"/>
      <c r="BO86" s="133"/>
      <c r="BP86" s="133"/>
      <c r="BQ86" s="133"/>
      <c r="BR86" s="133"/>
      <c r="BS86" s="133"/>
      <c r="BT86" s="143">
        <v>1</v>
      </c>
      <c r="BU86" s="133">
        <v>1</v>
      </c>
      <c r="BV86" s="133"/>
      <c r="BW86" s="133"/>
    </row>
    <row r="87" s="140" customFormat="1" customHeight="1" spans="1:75">
      <c r="A87" s="161">
        <v>83</v>
      </c>
      <c r="B87" s="357" t="s">
        <v>475</v>
      </c>
      <c r="C87" s="162"/>
      <c r="D87" s="162"/>
      <c r="E87" s="162">
        <v>90</v>
      </c>
      <c r="F87" s="367"/>
      <c r="G87" s="191">
        <f t="shared" si="7"/>
        <v>0</v>
      </c>
      <c r="H87" s="190">
        <f t="shared" si="8"/>
        <v>6</v>
      </c>
      <c r="I87" s="191">
        <f t="shared" si="9"/>
        <v>540</v>
      </c>
      <c r="J87" s="190">
        <f t="shared" si="10"/>
        <v>6</v>
      </c>
      <c r="K87" s="191">
        <f t="shared" si="11"/>
        <v>540</v>
      </c>
      <c r="L87" s="190">
        <f t="shared" si="12"/>
        <v>0</v>
      </c>
      <c r="M87" s="191">
        <f t="shared" si="13"/>
        <v>0</v>
      </c>
      <c r="N87" s="318"/>
      <c r="O87" s="368"/>
      <c r="P87" s="368"/>
      <c r="Q87" s="368"/>
      <c r="R87" s="370"/>
      <c r="S87" s="370"/>
      <c r="T87" s="370"/>
      <c r="U87" s="370"/>
      <c r="V87" s="370">
        <v>1</v>
      </c>
      <c r="W87" s="370">
        <v>1</v>
      </c>
      <c r="X87" s="370"/>
      <c r="Y87" s="370"/>
      <c r="Z87" s="370"/>
      <c r="AA87" s="370"/>
      <c r="AB87" s="370"/>
      <c r="AC87" s="370"/>
      <c r="AD87" s="370"/>
      <c r="AE87" s="370"/>
      <c r="AF87" s="370"/>
      <c r="AG87" s="370"/>
      <c r="AH87" s="370"/>
      <c r="AI87" s="370"/>
      <c r="AJ87" s="370"/>
      <c r="AK87" s="370"/>
      <c r="AL87" s="370">
        <v>1</v>
      </c>
      <c r="AM87" s="370">
        <v>1</v>
      </c>
      <c r="AN87" s="133"/>
      <c r="AO87" s="133"/>
      <c r="AP87" s="133"/>
      <c r="AQ87" s="133"/>
      <c r="AR87" s="133"/>
      <c r="AS87" s="133"/>
      <c r="AT87" s="133">
        <v>1</v>
      </c>
      <c r="AU87" s="133">
        <v>1</v>
      </c>
      <c r="AV87" s="133"/>
      <c r="AW87" s="133"/>
      <c r="AX87" s="133"/>
      <c r="AY87" s="133"/>
      <c r="AZ87" s="133"/>
      <c r="BA87" s="133"/>
      <c r="BB87" s="133"/>
      <c r="BC87" s="133"/>
      <c r="BD87" s="133"/>
      <c r="BE87" s="133"/>
      <c r="BF87" s="133"/>
      <c r="BG87" s="133"/>
      <c r="BH87" s="133">
        <v>1</v>
      </c>
      <c r="BI87" s="133">
        <v>1</v>
      </c>
      <c r="BJ87" s="133"/>
      <c r="BK87" s="133"/>
      <c r="BL87" s="133">
        <v>1</v>
      </c>
      <c r="BM87" s="133">
        <v>1</v>
      </c>
      <c r="BN87" s="133"/>
      <c r="BO87" s="133"/>
      <c r="BP87" s="133"/>
      <c r="BQ87" s="133"/>
      <c r="BR87" s="133"/>
      <c r="BS87" s="133"/>
      <c r="BT87" s="133">
        <v>1</v>
      </c>
      <c r="BU87" s="133">
        <v>1</v>
      </c>
      <c r="BV87" s="133"/>
      <c r="BW87" s="133"/>
    </row>
    <row r="88" s="140" customFormat="1" customHeight="1" spans="1:75">
      <c r="A88" s="161">
        <v>84</v>
      </c>
      <c r="B88" s="357" t="s">
        <v>476</v>
      </c>
      <c r="C88" s="162"/>
      <c r="D88" s="162"/>
      <c r="E88" s="162">
        <v>55</v>
      </c>
      <c r="F88" s="367"/>
      <c r="G88" s="191">
        <f t="shared" si="7"/>
        <v>0</v>
      </c>
      <c r="H88" s="190">
        <f t="shared" si="8"/>
        <v>3</v>
      </c>
      <c r="I88" s="191">
        <f t="shared" si="9"/>
        <v>165</v>
      </c>
      <c r="J88" s="190">
        <f t="shared" si="10"/>
        <v>3</v>
      </c>
      <c r="K88" s="191">
        <f t="shared" si="11"/>
        <v>165</v>
      </c>
      <c r="L88" s="190">
        <f t="shared" si="12"/>
        <v>0</v>
      </c>
      <c r="M88" s="191">
        <f t="shared" si="13"/>
        <v>0</v>
      </c>
      <c r="N88" s="406"/>
      <c r="O88" s="368"/>
      <c r="P88" s="368"/>
      <c r="Q88" s="368"/>
      <c r="R88" s="370"/>
      <c r="S88" s="370"/>
      <c r="T88" s="370"/>
      <c r="U88" s="370"/>
      <c r="V88" s="370">
        <v>1</v>
      </c>
      <c r="W88" s="370">
        <v>1</v>
      </c>
      <c r="X88" s="370"/>
      <c r="Y88" s="370"/>
      <c r="Z88" s="370"/>
      <c r="AA88" s="370"/>
      <c r="AB88" s="370"/>
      <c r="AC88" s="370"/>
      <c r="AD88" s="370"/>
      <c r="AE88" s="370"/>
      <c r="AF88" s="370"/>
      <c r="AG88" s="370"/>
      <c r="AH88" s="370"/>
      <c r="AI88" s="370"/>
      <c r="AJ88" s="370"/>
      <c r="AK88" s="370"/>
      <c r="AL88" s="370"/>
      <c r="AM88" s="370"/>
      <c r="AN88" s="133"/>
      <c r="AO88" s="133"/>
      <c r="AP88" s="133"/>
      <c r="AQ88" s="133"/>
      <c r="AR88" s="133"/>
      <c r="AS88" s="133"/>
      <c r="AT88" s="133">
        <v>1</v>
      </c>
      <c r="AU88" s="133">
        <v>1</v>
      </c>
      <c r="AV88" s="133"/>
      <c r="AW88" s="133"/>
      <c r="AX88" s="133"/>
      <c r="AY88" s="133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>
        <v>1</v>
      </c>
      <c r="BM88" s="133">
        <v>1</v>
      </c>
      <c r="BN88" s="133"/>
      <c r="BO88" s="133"/>
      <c r="BP88" s="133"/>
      <c r="BQ88" s="133"/>
      <c r="BR88" s="133"/>
      <c r="BS88" s="133"/>
      <c r="BT88" s="133"/>
      <c r="BU88" s="133"/>
      <c r="BV88" s="133"/>
      <c r="BW88" s="133"/>
    </row>
    <row r="89" s="140" customFormat="1" customHeight="1" spans="1:75">
      <c r="A89" s="161">
        <v>85</v>
      </c>
      <c r="B89" s="397" t="s">
        <v>477</v>
      </c>
      <c r="C89" s="162"/>
      <c r="D89" s="162"/>
      <c r="E89" s="162">
        <v>96</v>
      </c>
      <c r="F89" s="367"/>
      <c r="G89" s="191">
        <f t="shared" si="7"/>
        <v>0</v>
      </c>
      <c r="H89" s="190">
        <f t="shared" si="8"/>
        <v>2</v>
      </c>
      <c r="I89" s="191">
        <f t="shared" si="9"/>
        <v>192</v>
      </c>
      <c r="J89" s="190">
        <f t="shared" si="10"/>
        <v>2</v>
      </c>
      <c r="K89" s="191">
        <f t="shared" si="11"/>
        <v>192</v>
      </c>
      <c r="L89" s="190">
        <f t="shared" si="12"/>
        <v>0</v>
      </c>
      <c r="M89" s="191">
        <f t="shared" si="13"/>
        <v>0</v>
      </c>
      <c r="N89" s="388">
        <v>1</v>
      </c>
      <c r="O89" s="368">
        <v>1</v>
      </c>
      <c r="P89" s="368"/>
      <c r="Q89" s="368"/>
      <c r="R89" s="370"/>
      <c r="S89" s="370"/>
      <c r="T89" s="370"/>
      <c r="U89" s="370"/>
      <c r="V89" s="370">
        <v>1</v>
      </c>
      <c r="W89" s="370">
        <v>1</v>
      </c>
      <c r="X89" s="370"/>
      <c r="Y89" s="370"/>
      <c r="Z89" s="370"/>
      <c r="AA89" s="370"/>
      <c r="AB89" s="370"/>
      <c r="AC89" s="370"/>
      <c r="AD89" s="370"/>
      <c r="AE89" s="370"/>
      <c r="AF89" s="370"/>
      <c r="AG89" s="370"/>
      <c r="AH89" s="370"/>
      <c r="AI89" s="370"/>
      <c r="AJ89" s="370"/>
      <c r="AK89" s="370"/>
      <c r="AL89" s="370"/>
      <c r="AM89" s="370"/>
      <c r="AN89" s="133"/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33"/>
      <c r="BQ89" s="133"/>
      <c r="BR89" s="133"/>
      <c r="BS89" s="133"/>
      <c r="BT89" s="133"/>
      <c r="BU89" s="133"/>
      <c r="BV89" s="133"/>
      <c r="BW89" s="133"/>
    </row>
    <row r="90" s="140" customFormat="1" customHeight="1" spans="1:75">
      <c r="A90" s="161">
        <v>86</v>
      </c>
      <c r="B90" s="397" t="s">
        <v>478</v>
      </c>
      <c r="C90" s="162"/>
      <c r="D90" s="162"/>
      <c r="E90" s="162">
        <v>80</v>
      </c>
      <c r="F90" s="367"/>
      <c r="G90" s="191">
        <f t="shared" si="7"/>
        <v>0</v>
      </c>
      <c r="H90" s="190">
        <f t="shared" si="8"/>
        <v>1</v>
      </c>
      <c r="I90" s="191">
        <f t="shared" si="9"/>
        <v>80</v>
      </c>
      <c r="J90" s="190">
        <f t="shared" si="10"/>
        <v>1</v>
      </c>
      <c r="K90" s="191">
        <f t="shared" si="11"/>
        <v>80</v>
      </c>
      <c r="L90" s="190">
        <f t="shared" si="12"/>
        <v>0</v>
      </c>
      <c r="M90" s="191">
        <f t="shared" si="13"/>
        <v>0</v>
      </c>
      <c r="N90" s="407"/>
      <c r="O90" s="378"/>
      <c r="P90" s="378"/>
      <c r="Q90" s="378"/>
      <c r="R90" s="370"/>
      <c r="S90" s="370"/>
      <c r="T90" s="370"/>
      <c r="U90" s="370"/>
      <c r="V90" s="370">
        <v>1</v>
      </c>
      <c r="W90" s="370">
        <v>1</v>
      </c>
      <c r="X90" s="370"/>
      <c r="Y90" s="370"/>
      <c r="Z90" s="370"/>
      <c r="AA90" s="370"/>
      <c r="AB90" s="370"/>
      <c r="AC90" s="370"/>
      <c r="AD90" s="370"/>
      <c r="AE90" s="370"/>
      <c r="AF90" s="370"/>
      <c r="AG90" s="370"/>
      <c r="AH90" s="370"/>
      <c r="AI90" s="370"/>
      <c r="AJ90" s="370"/>
      <c r="AK90" s="370"/>
      <c r="AL90" s="370"/>
      <c r="AM90" s="370"/>
      <c r="AN90" s="133"/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33"/>
      <c r="BQ90" s="133"/>
      <c r="BR90" s="133"/>
      <c r="BS90" s="133"/>
      <c r="BT90" s="133"/>
      <c r="BU90" s="133"/>
      <c r="BV90" s="133"/>
      <c r="BW90" s="133"/>
    </row>
    <row r="91" s="140" customFormat="1" customHeight="1" spans="1:75">
      <c r="A91" s="161">
        <v>87</v>
      </c>
      <c r="B91" s="397" t="s">
        <v>479</v>
      </c>
      <c r="C91" s="162"/>
      <c r="D91" s="162"/>
      <c r="E91" s="162">
        <v>370</v>
      </c>
      <c r="F91" s="367"/>
      <c r="G91" s="191">
        <f t="shared" si="7"/>
        <v>0</v>
      </c>
      <c r="H91" s="190">
        <f t="shared" si="8"/>
        <v>1</v>
      </c>
      <c r="I91" s="191">
        <f t="shared" si="9"/>
        <v>370</v>
      </c>
      <c r="J91" s="190">
        <f t="shared" si="10"/>
        <v>1</v>
      </c>
      <c r="K91" s="191">
        <f t="shared" si="11"/>
        <v>370</v>
      </c>
      <c r="L91" s="190">
        <f t="shared" si="12"/>
        <v>0</v>
      </c>
      <c r="M91" s="191">
        <f t="shared" si="13"/>
        <v>0</v>
      </c>
      <c r="N91" s="399">
        <v>1</v>
      </c>
      <c r="O91" s="370">
        <v>1</v>
      </c>
      <c r="P91" s="370"/>
      <c r="Q91" s="370"/>
      <c r="R91" s="370"/>
      <c r="S91" s="370"/>
      <c r="T91" s="370"/>
      <c r="U91" s="370"/>
      <c r="V91" s="370"/>
      <c r="W91" s="370"/>
      <c r="X91" s="370"/>
      <c r="Y91" s="370"/>
      <c r="Z91" s="370"/>
      <c r="AA91" s="370"/>
      <c r="AB91" s="370"/>
      <c r="AC91" s="370"/>
      <c r="AD91" s="370"/>
      <c r="AE91" s="370"/>
      <c r="AF91" s="370"/>
      <c r="AG91" s="370"/>
      <c r="AH91" s="370"/>
      <c r="AI91" s="370"/>
      <c r="AJ91" s="370"/>
      <c r="AK91" s="370"/>
      <c r="AL91" s="370"/>
      <c r="AM91" s="370"/>
      <c r="AN91" s="133"/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3"/>
      <c r="BB91" s="133"/>
      <c r="BC91" s="133"/>
      <c r="BD91" s="133"/>
      <c r="BE91" s="133"/>
      <c r="BF91" s="133"/>
      <c r="BG91" s="133"/>
      <c r="BH91" s="133"/>
      <c r="BI91" s="133"/>
      <c r="BJ91" s="133"/>
      <c r="BK91" s="133"/>
      <c r="BL91" s="133"/>
      <c r="BM91" s="133"/>
      <c r="BN91" s="133"/>
      <c r="BO91" s="133"/>
      <c r="BP91" s="133"/>
      <c r="BQ91" s="133"/>
      <c r="BR91" s="133"/>
      <c r="BS91" s="133"/>
      <c r="BT91" s="133"/>
      <c r="BU91" s="133"/>
      <c r="BV91" s="133"/>
      <c r="BW91" s="133"/>
    </row>
    <row r="92" s="140" customFormat="1" customHeight="1" spans="1:75">
      <c r="A92" s="161">
        <v>88</v>
      </c>
      <c r="B92" s="357" t="s">
        <v>480</v>
      </c>
      <c r="C92" s="162"/>
      <c r="D92" s="162"/>
      <c r="E92" s="162">
        <v>260</v>
      </c>
      <c r="F92" s="367"/>
      <c r="G92" s="191">
        <f t="shared" si="7"/>
        <v>0</v>
      </c>
      <c r="H92" s="190">
        <f t="shared" si="8"/>
        <v>2</v>
      </c>
      <c r="I92" s="191">
        <f t="shared" si="9"/>
        <v>520</v>
      </c>
      <c r="J92" s="190">
        <f t="shared" si="10"/>
        <v>2</v>
      </c>
      <c r="K92" s="191">
        <f t="shared" si="11"/>
        <v>520</v>
      </c>
      <c r="L92" s="190">
        <f t="shared" si="12"/>
        <v>0</v>
      </c>
      <c r="M92" s="191">
        <f t="shared" si="13"/>
        <v>0</v>
      </c>
      <c r="N92" s="399"/>
      <c r="O92" s="370"/>
      <c r="P92" s="370"/>
      <c r="Q92" s="370"/>
      <c r="R92" s="370"/>
      <c r="S92" s="370"/>
      <c r="T92" s="370"/>
      <c r="U92" s="370"/>
      <c r="V92" s="370"/>
      <c r="W92" s="370"/>
      <c r="X92" s="370"/>
      <c r="Y92" s="370"/>
      <c r="Z92" s="370"/>
      <c r="AA92" s="370"/>
      <c r="AB92" s="370"/>
      <c r="AC92" s="370"/>
      <c r="AD92" s="370"/>
      <c r="AE92" s="370"/>
      <c r="AF92" s="370"/>
      <c r="AG92" s="370"/>
      <c r="AH92" s="370"/>
      <c r="AI92" s="370"/>
      <c r="AJ92" s="370"/>
      <c r="AK92" s="370"/>
      <c r="AL92" s="370">
        <v>1</v>
      </c>
      <c r="AM92" s="370">
        <v>1</v>
      </c>
      <c r="AN92" s="133"/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3"/>
      <c r="BB92" s="133"/>
      <c r="BC92" s="133"/>
      <c r="BD92" s="133"/>
      <c r="BE92" s="133"/>
      <c r="BF92" s="133"/>
      <c r="BG92" s="133"/>
      <c r="BH92" s="133"/>
      <c r="BI92" s="133"/>
      <c r="BJ92" s="133"/>
      <c r="BK92" s="133"/>
      <c r="BL92" s="133">
        <v>1</v>
      </c>
      <c r="BM92" s="133">
        <v>1</v>
      </c>
      <c r="BN92" s="133"/>
      <c r="BO92" s="133"/>
      <c r="BP92" s="133"/>
      <c r="BQ92" s="133"/>
      <c r="BR92" s="133"/>
      <c r="BS92" s="133"/>
      <c r="BT92" s="133"/>
      <c r="BU92" s="133"/>
      <c r="BV92" s="133"/>
      <c r="BW92" s="133"/>
    </row>
    <row r="93" s="140" customFormat="1" customHeight="1" spans="1:75">
      <c r="A93" s="161">
        <v>89</v>
      </c>
      <c r="B93" s="357" t="s">
        <v>481</v>
      </c>
      <c r="C93" s="162"/>
      <c r="D93" s="162"/>
      <c r="E93" s="162">
        <v>104</v>
      </c>
      <c r="F93" s="367"/>
      <c r="G93" s="191">
        <f t="shared" si="7"/>
        <v>0</v>
      </c>
      <c r="H93" s="190">
        <f t="shared" si="8"/>
        <v>2</v>
      </c>
      <c r="I93" s="191">
        <f t="shared" si="9"/>
        <v>208</v>
      </c>
      <c r="J93" s="190">
        <f t="shared" si="10"/>
        <v>2</v>
      </c>
      <c r="K93" s="191">
        <f t="shared" si="11"/>
        <v>208</v>
      </c>
      <c r="L93" s="190">
        <f t="shared" si="12"/>
        <v>0</v>
      </c>
      <c r="M93" s="191">
        <f t="shared" si="13"/>
        <v>0</v>
      </c>
      <c r="N93" s="399"/>
      <c r="O93" s="370"/>
      <c r="P93" s="370"/>
      <c r="Q93" s="370"/>
      <c r="R93" s="370">
        <v>1</v>
      </c>
      <c r="S93" s="370">
        <v>1</v>
      </c>
      <c r="T93" s="370"/>
      <c r="U93" s="370"/>
      <c r="V93" s="370"/>
      <c r="W93" s="370"/>
      <c r="X93" s="370"/>
      <c r="Y93" s="370"/>
      <c r="Z93" s="370"/>
      <c r="AA93" s="370"/>
      <c r="AB93" s="370"/>
      <c r="AC93" s="370"/>
      <c r="AD93" s="370"/>
      <c r="AE93" s="370"/>
      <c r="AF93" s="370"/>
      <c r="AG93" s="370"/>
      <c r="AH93" s="370"/>
      <c r="AI93" s="370"/>
      <c r="AJ93" s="370"/>
      <c r="AK93" s="370"/>
      <c r="AL93" s="370"/>
      <c r="AM93" s="370"/>
      <c r="AN93" s="133"/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43"/>
      <c r="AZ93" s="133"/>
      <c r="BA93" s="133"/>
      <c r="BB93" s="133"/>
      <c r="BC93" s="133"/>
      <c r="BD93" s="133"/>
      <c r="BE93" s="133"/>
      <c r="BF93" s="133"/>
      <c r="BG93" s="133"/>
      <c r="BH93" s="133"/>
      <c r="BI93" s="133"/>
      <c r="BJ93" s="133"/>
      <c r="BK93" s="133"/>
      <c r="BL93" s="133">
        <v>1</v>
      </c>
      <c r="BM93" s="133">
        <v>1</v>
      </c>
      <c r="BN93" s="133"/>
      <c r="BO93" s="133"/>
      <c r="BP93" s="133"/>
      <c r="BQ93" s="133"/>
      <c r="BR93" s="133"/>
      <c r="BS93" s="133"/>
      <c r="BT93" s="133"/>
      <c r="BU93" s="133"/>
      <c r="BV93" s="133"/>
      <c r="BW93" s="133"/>
    </row>
    <row r="94" s="140" customFormat="1" customHeight="1" spans="1:75">
      <c r="A94" s="161">
        <v>90</v>
      </c>
      <c r="B94" s="397" t="s">
        <v>482</v>
      </c>
      <c r="C94" s="162"/>
      <c r="D94" s="162"/>
      <c r="E94" s="162">
        <v>45</v>
      </c>
      <c r="F94" s="367"/>
      <c r="G94" s="191">
        <f t="shared" si="7"/>
        <v>0</v>
      </c>
      <c r="H94" s="190">
        <f t="shared" si="8"/>
        <v>2</v>
      </c>
      <c r="I94" s="191">
        <f t="shared" si="9"/>
        <v>90</v>
      </c>
      <c r="J94" s="190">
        <f t="shared" si="10"/>
        <v>2</v>
      </c>
      <c r="K94" s="191">
        <f t="shared" si="11"/>
        <v>90</v>
      </c>
      <c r="L94" s="190">
        <f t="shared" si="12"/>
        <v>0</v>
      </c>
      <c r="M94" s="191">
        <f t="shared" si="13"/>
        <v>0</v>
      </c>
      <c r="N94" s="399"/>
      <c r="O94" s="370"/>
      <c r="P94" s="370"/>
      <c r="Q94" s="370"/>
      <c r="R94" s="370"/>
      <c r="S94" s="370"/>
      <c r="T94" s="370"/>
      <c r="U94" s="370"/>
      <c r="V94" s="370">
        <v>1</v>
      </c>
      <c r="W94" s="370">
        <v>1</v>
      </c>
      <c r="X94" s="370"/>
      <c r="Y94" s="370"/>
      <c r="Z94" s="370"/>
      <c r="AA94" s="370"/>
      <c r="AB94" s="370"/>
      <c r="AC94" s="370"/>
      <c r="AD94" s="370"/>
      <c r="AE94" s="370"/>
      <c r="AF94" s="370"/>
      <c r="AG94" s="370"/>
      <c r="AH94" s="370"/>
      <c r="AI94" s="370"/>
      <c r="AJ94" s="370"/>
      <c r="AK94" s="370"/>
      <c r="AL94" s="370"/>
      <c r="AM94" s="370"/>
      <c r="AN94" s="133"/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3"/>
      <c r="BB94" s="133"/>
      <c r="BC94" s="133"/>
      <c r="BD94" s="133"/>
      <c r="BE94" s="133"/>
      <c r="BF94" s="133"/>
      <c r="BG94" s="133"/>
      <c r="BH94" s="133"/>
      <c r="BI94" s="133"/>
      <c r="BJ94" s="133"/>
      <c r="BK94" s="133"/>
      <c r="BL94" s="133"/>
      <c r="BM94" s="133"/>
      <c r="BN94" s="133"/>
      <c r="BO94" s="133"/>
      <c r="BP94" s="133"/>
      <c r="BQ94" s="133"/>
      <c r="BR94" s="133">
        <v>1</v>
      </c>
      <c r="BS94" s="133">
        <v>1</v>
      </c>
      <c r="BT94" s="133"/>
      <c r="BU94" s="133"/>
      <c r="BV94" s="133"/>
      <c r="BW94" s="133"/>
    </row>
    <row r="95" s="140" customFormat="1" customHeight="1" spans="1:75">
      <c r="A95" s="161">
        <v>91</v>
      </c>
      <c r="B95" s="397" t="s">
        <v>483</v>
      </c>
      <c r="C95" s="162"/>
      <c r="D95" s="162"/>
      <c r="E95" s="162">
        <v>112</v>
      </c>
      <c r="F95" s="367"/>
      <c r="G95" s="191">
        <f t="shared" si="7"/>
        <v>0</v>
      </c>
      <c r="H95" s="190">
        <f t="shared" si="8"/>
        <v>2</v>
      </c>
      <c r="I95" s="191">
        <f t="shared" si="9"/>
        <v>224</v>
      </c>
      <c r="J95" s="190">
        <f t="shared" si="10"/>
        <v>2</v>
      </c>
      <c r="K95" s="191">
        <f t="shared" si="11"/>
        <v>224</v>
      </c>
      <c r="L95" s="190">
        <f t="shared" si="12"/>
        <v>0</v>
      </c>
      <c r="M95" s="191">
        <f t="shared" si="13"/>
        <v>0</v>
      </c>
      <c r="N95" s="370"/>
      <c r="O95" s="370"/>
      <c r="P95" s="370"/>
      <c r="Q95" s="370"/>
      <c r="R95" s="370"/>
      <c r="S95" s="370"/>
      <c r="T95" s="370"/>
      <c r="U95" s="370"/>
      <c r="V95" s="370">
        <v>1</v>
      </c>
      <c r="W95" s="370">
        <v>1</v>
      </c>
      <c r="X95" s="370"/>
      <c r="Y95" s="370"/>
      <c r="Z95" s="370"/>
      <c r="AA95" s="370"/>
      <c r="AB95" s="370"/>
      <c r="AC95" s="370"/>
      <c r="AD95" s="370"/>
      <c r="AE95" s="370"/>
      <c r="AF95" s="370"/>
      <c r="AG95" s="370"/>
      <c r="AH95" s="370"/>
      <c r="AI95" s="370"/>
      <c r="AJ95" s="370"/>
      <c r="AK95" s="370"/>
      <c r="AL95" s="370"/>
      <c r="AM95" s="370"/>
      <c r="AN95" s="133"/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3"/>
      <c r="BB95" s="133"/>
      <c r="BC95" s="133"/>
      <c r="BD95" s="133"/>
      <c r="BE95" s="133"/>
      <c r="BF95" s="133"/>
      <c r="BG95" s="133"/>
      <c r="BH95" s="133"/>
      <c r="BI95" s="133"/>
      <c r="BJ95" s="133"/>
      <c r="BK95" s="133"/>
      <c r="BL95" s="133"/>
      <c r="BM95" s="133"/>
      <c r="BN95" s="133"/>
      <c r="BO95" s="133"/>
      <c r="BP95" s="133"/>
      <c r="BQ95" s="133"/>
      <c r="BR95" s="133">
        <v>1</v>
      </c>
      <c r="BS95" s="133">
        <v>1</v>
      </c>
      <c r="BT95" s="133"/>
      <c r="BU95" s="133"/>
      <c r="BV95" s="133"/>
      <c r="BW95" s="133"/>
    </row>
    <row r="96" s="140" customFormat="1" customHeight="1" spans="1:75">
      <c r="A96" s="161">
        <v>92</v>
      </c>
      <c r="B96" s="397" t="s">
        <v>484</v>
      </c>
      <c r="C96" s="162"/>
      <c r="D96" s="162"/>
      <c r="E96" s="162">
        <v>75</v>
      </c>
      <c r="F96" s="367"/>
      <c r="G96" s="191">
        <f t="shared" si="7"/>
        <v>0</v>
      </c>
      <c r="H96" s="190">
        <f t="shared" si="8"/>
        <v>2</v>
      </c>
      <c r="I96" s="191">
        <f t="shared" si="9"/>
        <v>150</v>
      </c>
      <c r="J96" s="190">
        <f t="shared" si="10"/>
        <v>2</v>
      </c>
      <c r="K96" s="191">
        <f t="shared" si="11"/>
        <v>150</v>
      </c>
      <c r="L96" s="190">
        <f t="shared" si="12"/>
        <v>0</v>
      </c>
      <c r="M96" s="191">
        <f t="shared" si="13"/>
        <v>0</v>
      </c>
      <c r="N96" s="370"/>
      <c r="O96" s="370"/>
      <c r="P96" s="370"/>
      <c r="Q96" s="373"/>
      <c r="R96" s="370"/>
      <c r="S96" s="370"/>
      <c r="T96" s="370"/>
      <c r="U96" s="370"/>
      <c r="V96" s="370"/>
      <c r="W96" s="370"/>
      <c r="X96" s="370"/>
      <c r="Y96" s="370"/>
      <c r="Z96" s="370"/>
      <c r="AA96" s="370"/>
      <c r="AB96" s="370"/>
      <c r="AC96" s="370"/>
      <c r="AD96" s="370"/>
      <c r="AE96" s="370"/>
      <c r="AF96" s="370"/>
      <c r="AG96" s="370"/>
      <c r="AH96" s="370"/>
      <c r="AI96" s="370"/>
      <c r="AJ96" s="370"/>
      <c r="AK96" s="370"/>
      <c r="AL96" s="370">
        <v>1</v>
      </c>
      <c r="AM96" s="370">
        <v>1</v>
      </c>
      <c r="AN96" s="133"/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3"/>
      <c r="BB96" s="133"/>
      <c r="BC96" s="133"/>
      <c r="BD96" s="133"/>
      <c r="BE96" s="133"/>
      <c r="BF96" s="133"/>
      <c r="BG96" s="133"/>
      <c r="BH96" s="133"/>
      <c r="BI96" s="133"/>
      <c r="BJ96" s="133"/>
      <c r="BK96" s="133"/>
      <c r="BL96" s="133"/>
      <c r="BM96" s="133"/>
      <c r="BN96" s="133"/>
      <c r="BO96" s="133"/>
      <c r="BP96" s="133"/>
      <c r="BQ96" s="133"/>
      <c r="BR96" s="133">
        <v>1</v>
      </c>
      <c r="BS96" s="133">
        <v>1</v>
      </c>
      <c r="BT96" s="133"/>
      <c r="BU96" s="133"/>
      <c r="BV96" s="133"/>
      <c r="BW96" s="133"/>
    </row>
    <row r="97" s="140" customFormat="1" customHeight="1" spans="1:75">
      <c r="A97" s="161">
        <v>93</v>
      </c>
      <c r="B97" s="397" t="s">
        <v>485</v>
      </c>
      <c r="C97" s="162"/>
      <c r="D97" s="162"/>
      <c r="E97" s="162">
        <v>105</v>
      </c>
      <c r="F97" s="367"/>
      <c r="G97" s="191">
        <f t="shared" si="7"/>
        <v>0</v>
      </c>
      <c r="H97" s="190">
        <f t="shared" si="8"/>
        <v>1</v>
      </c>
      <c r="I97" s="191">
        <f t="shared" si="9"/>
        <v>105</v>
      </c>
      <c r="J97" s="190">
        <f t="shared" si="10"/>
        <v>1</v>
      </c>
      <c r="K97" s="191">
        <f t="shared" si="11"/>
        <v>105</v>
      </c>
      <c r="L97" s="190">
        <f t="shared" si="12"/>
        <v>0</v>
      </c>
      <c r="M97" s="191">
        <f t="shared" si="13"/>
        <v>0</v>
      </c>
      <c r="N97" s="370"/>
      <c r="O97" s="370"/>
      <c r="P97" s="370"/>
      <c r="Q97" s="370"/>
      <c r="R97" s="370"/>
      <c r="S97" s="370"/>
      <c r="T97" s="370"/>
      <c r="U97" s="370"/>
      <c r="V97" s="370"/>
      <c r="W97" s="370"/>
      <c r="X97" s="370"/>
      <c r="Y97" s="370"/>
      <c r="Z97" s="370"/>
      <c r="AA97" s="370"/>
      <c r="AB97" s="370"/>
      <c r="AC97" s="370"/>
      <c r="AD97" s="370"/>
      <c r="AE97" s="370"/>
      <c r="AF97" s="370"/>
      <c r="AG97" s="370"/>
      <c r="AH97" s="370"/>
      <c r="AI97" s="370"/>
      <c r="AJ97" s="370"/>
      <c r="AK97" s="370"/>
      <c r="AL97" s="370"/>
      <c r="AM97" s="370"/>
      <c r="AN97" s="133"/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3"/>
      <c r="BB97" s="133"/>
      <c r="BC97" s="133"/>
      <c r="BD97" s="133"/>
      <c r="BE97" s="133"/>
      <c r="BF97" s="133"/>
      <c r="BG97" s="133"/>
      <c r="BH97" s="133"/>
      <c r="BI97" s="133"/>
      <c r="BJ97" s="133"/>
      <c r="BK97" s="133"/>
      <c r="BL97" s="133"/>
      <c r="BM97" s="133"/>
      <c r="BN97" s="133"/>
      <c r="BO97" s="133"/>
      <c r="BP97" s="133"/>
      <c r="BQ97" s="133"/>
      <c r="BR97" s="133">
        <v>1</v>
      </c>
      <c r="BS97" s="133">
        <v>1</v>
      </c>
      <c r="BT97" s="133"/>
      <c r="BU97" s="133"/>
      <c r="BV97" s="133"/>
      <c r="BW97" s="133"/>
    </row>
    <row r="98" s="140" customFormat="1" customHeight="1" spans="1:75">
      <c r="A98" s="161">
        <v>95</v>
      </c>
      <c r="B98" s="357" t="s">
        <v>486</v>
      </c>
      <c r="C98" s="162"/>
      <c r="D98" s="162"/>
      <c r="E98" s="162">
        <v>86</v>
      </c>
      <c r="F98" s="367"/>
      <c r="G98" s="191">
        <f t="shared" si="7"/>
        <v>0</v>
      </c>
      <c r="H98" s="190">
        <f t="shared" si="8"/>
        <v>1</v>
      </c>
      <c r="I98" s="191">
        <f t="shared" si="9"/>
        <v>86</v>
      </c>
      <c r="J98" s="190">
        <f t="shared" si="10"/>
        <v>1</v>
      </c>
      <c r="K98" s="191">
        <f t="shared" si="11"/>
        <v>86</v>
      </c>
      <c r="L98" s="190">
        <f t="shared" si="12"/>
        <v>0</v>
      </c>
      <c r="M98" s="191">
        <f t="shared" si="13"/>
        <v>0</v>
      </c>
      <c r="N98" s="370"/>
      <c r="O98" s="370"/>
      <c r="P98" s="370"/>
      <c r="Q98" s="370"/>
      <c r="R98" s="370"/>
      <c r="S98" s="370"/>
      <c r="T98" s="370"/>
      <c r="U98" s="370"/>
      <c r="V98" s="370"/>
      <c r="W98" s="370"/>
      <c r="X98" s="370"/>
      <c r="Y98" s="370"/>
      <c r="Z98" s="370"/>
      <c r="AA98" s="370"/>
      <c r="AB98" s="370"/>
      <c r="AC98" s="370"/>
      <c r="AD98" s="370"/>
      <c r="AE98" s="370"/>
      <c r="AF98" s="370"/>
      <c r="AG98" s="370"/>
      <c r="AH98" s="370"/>
      <c r="AI98" s="370"/>
      <c r="AJ98" s="370"/>
      <c r="AK98" s="370"/>
      <c r="AL98" s="370"/>
      <c r="AM98" s="370"/>
      <c r="AN98" s="133"/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3"/>
      <c r="BB98" s="133"/>
      <c r="BC98" s="133"/>
      <c r="BD98" s="133"/>
      <c r="BE98" s="133"/>
      <c r="BF98" s="133"/>
      <c r="BG98" s="133"/>
      <c r="BH98" s="133"/>
      <c r="BI98" s="133"/>
      <c r="BJ98" s="133"/>
      <c r="BK98" s="133"/>
      <c r="BL98" s="133"/>
      <c r="BM98" s="133"/>
      <c r="BN98" s="133"/>
      <c r="BO98" s="133"/>
      <c r="BP98" s="133"/>
      <c r="BQ98" s="133"/>
      <c r="BR98" s="133">
        <v>1</v>
      </c>
      <c r="BS98" s="133">
        <v>1</v>
      </c>
      <c r="BT98" s="133"/>
      <c r="BU98" s="133"/>
      <c r="BV98" s="133"/>
      <c r="BW98" s="133"/>
    </row>
    <row r="99" s="140" customFormat="1" customHeight="1" spans="1:75">
      <c r="A99" s="161">
        <v>96</v>
      </c>
      <c r="B99" s="357" t="s">
        <v>487</v>
      </c>
      <c r="C99" s="162"/>
      <c r="D99" s="162"/>
      <c r="E99" s="162">
        <v>105</v>
      </c>
      <c r="F99" s="367"/>
      <c r="G99" s="191">
        <f t="shared" si="7"/>
        <v>0</v>
      </c>
      <c r="H99" s="190">
        <f t="shared" si="8"/>
        <v>1</v>
      </c>
      <c r="I99" s="191">
        <f t="shared" si="9"/>
        <v>105</v>
      </c>
      <c r="J99" s="190">
        <f t="shared" si="10"/>
        <v>1</v>
      </c>
      <c r="K99" s="191">
        <f t="shared" si="11"/>
        <v>105</v>
      </c>
      <c r="L99" s="190">
        <f t="shared" si="12"/>
        <v>0</v>
      </c>
      <c r="M99" s="191">
        <f t="shared" si="13"/>
        <v>0</v>
      </c>
      <c r="N99" s="370"/>
      <c r="O99" s="370"/>
      <c r="P99" s="370"/>
      <c r="Q99" s="370"/>
      <c r="R99" s="370"/>
      <c r="S99" s="370"/>
      <c r="T99" s="370"/>
      <c r="U99" s="370"/>
      <c r="V99" s="370"/>
      <c r="W99" s="370"/>
      <c r="X99" s="370"/>
      <c r="Y99" s="370"/>
      <c r="Z99" s="370"/>
      <c r="AA99" s="370"/>
      <c r="AB99" s="370"/>
      <c r="AC99" s="370"/>
      <c r="AD99" s="370"/>
      <c r="AE99" s="370"/>
      <c r="AF99" s="370"/>
      <c r="AG99" s="370"/>
      <c r="AH99" s="370"/>
      <c r="AI99" s="370"/>
      <c r="AJ99" s="370"/>
      <c r="AK99" s="370"/>
      <c r="AL99" s="370"/>
      <c r="AM99" s="370"/>
      <c r="AN99" s="133"/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3"/>
      <c r="BB99" s="133"/>
      <c r="BC99" s="133"/>
      <c r="BD99" s="133"/>
      <c r="BE99" s="133"/>
      <c r="BF99" s="133"/>
      <c r="BG99" s="133"/>
      <c r="BH99" s="133"/>
      <c r="BI99" s="133"/>
      <c r="BJ99" s="133"/>
      <c r="BK99" s="133"/>
      <c r="BL99" s="133"/>
      <c r="BM99" s="133"/>
      <c r="BN99" s="133"/>
      <c r="BO99" s="133"/>
      <c r="BP99" s="133"/>
      <c r="BQ99" s="133"/>
      <c r="BR99" s="133">
        <v>1</v>
      </c>
      <c r="BS99" s="133">
        <v>1</v>
      </c>
      <c r="BT99" s="133"/>
      <c r="BU99" s="133"/>
      <c r="BV99" s="133"/>
      <c r="BW99" s="133"/>
    </row>
    <row r="100" s="140" customFormat="1" customHeight="1" spans="1:75">
      <c r="A100" s="161">
        <v>97</v>
      </c>
      <c r="B100" s="382"/>
      <c r="C100" s="162"/>
      <c r="D100" s="162"/>
      <c r="E100" s="162"/>
      <c r="F100" s="367"/>
      <c r="G100" s="191">
        <f t="shared" si="7"/>
        <v>0</v>
      </c>
      <c r="H100" s="190">
        <f t="shared" si="8"/>
        <v>0</v>
      </c>
      <c r="I100" s="191">
        <f t="shared" si="9"/>
        <v>0</v>
      </c>
      <c r="J100" s="190">
        <f t="shared" si="10"/>
        <v>0</v>
      </c>
      <c r="K100" s="191">
        <f t="shared" si="11"/>
        <v>0</v>
      </c>
      <c r="L100" s="190">
        <f t="shared" si="12"/>
        <v>0</v>
      </c>
      <c r="M100" s="191">
        <f t="shared" si="13"/>
        <v>0</v>
      </c>
      <c r="N100" s="370"/>
      <c r="O100" s="370"/>
      <c r="P100" s="370"/>
      <c r="Q100" s="370"/>
      <c r="R100" s="370"/>
      <c r="S100" s="370"/>
      <c r="T100" s="370"/>
      <c r="U100" s="370"/>
      <c r="V100" s="370"/>
      <c r="W100" s="370"/>
      <c r="X100" s="370"/>
      <c r="Y100" s="370"/>
      <c r="Z100" s="370"/>
      <c r="AA100" s="370"/>
      <c r="AB100" s="370"/>
      <c r="AC100" s="370"/>
      <c r="AD100" s="370"/>
      <c r="AE100" s="370"/>
      <c r="AF100" s="370"/>
      <c r="AG100" s="370"/>
      <c r="AH100" s="370"/>
      <c r="AI100" s="370"/>
      <c r="AJ100" s="370"/>
      <c r="AK100" s="370"/>
      <c r="AL100" s="370"/>
      <c r="AM100" s="370"/>
      <c r="AN100" s="133"/>
      <c r="AO100" s="133"/>
      <c r="AP100" s="133"/>
      <c r="AQ100" s="133"/>
      <c r="AR100" s="133"/>
      <c r="AS100" s="143"/>
      <c r="AT100" s="133"/>
      <c r="AU100" s="133"/>
      <c r="AV100" s="133"/>
      <c r="AW100" s="133"/>
      <c r="AX100" s="133"/>
      <c r="AY100" s="133"/>
      <c r="AZ100" s="133"/>
      <c r="BA100" s="133"/>
      <c r="BB100" s="133"/>
      <c r="BC100" s="133"/>
      <c r="BD100" s="133"/>
      <c r="BE100" s="133"/>
      <c r="BF100" s="133"/>
      <c r="BG100" s="133"/>
      <c r="BH100" s="133"/>
      <c r="BI100" s="133"/>
      <c r="BJ100" s="133"/>
      <c r="BK100" s="133"/>
      <c r="BL100" s="133"/>
      <c r="BM100" s="133"/>
      <c r="BN100" s="133"/>
      <c r="BO100" s="133"/>
      <c r="BP100" s="133"/>
      <c r="BQ100" s="133"/>
      <c r="BR100" s="133"/>
      <c r="BS100" s="133"/>
      <c r="BT100" s="133"/>
      <c r="BU100" s="133"/>
      <c r="BV100" s="133"/>
      <c r="BW100" s="133"/>
    </row>
    <row r="101" s="140" customFormat="1" customHeight="1" spans="1:75">
      <c r="A101" s="161">
        <v>98</v>
      </c>
      <c r="B101" s="162"/>
      <c r="C101" s="162"/>
      <c r="D101" s="162"/>
      <c r="E101" s="162"/>
      <c r="F101" s="367"/>
      <c r="G101" s="191">
        <f t="shared" si="7"/>
        <v>0</v>
      </c>
      <c r="H101" s="190">
        <f t="shared" si="8"/>
        <v>0</v>
      </c>
      <c r="I101" s="191">
        <f t="shared" si="9"/>
        <v>0</v>
      </c>
      <c r="J101" s="190">
        <f t="shared" si="10"/>
        <v>0</v>
      </c>
      <c r="K101" s="191">
        <f t="shared" si="11"/>
        <v>0</v>
      </c>
      <c r="L101" s="190">
        <f t="shared" si="12"/>
        <v>0</v>
      </c>
      <c r="M101" s="191">
        <f t="shared" si="13"/>
        <v>0</v>
      </c>
      <c r="N101" s="370"/>
      <c r="O101" s="370"/>
      <c r="P101" s="370"/>
      <c r="Q101" s="370"/>
      <c r="R101" s="370"/>
      <c r="S101" s="370"/>
      <c r="T101" s="370"/>
      <c r="U101" s="370"/>
      <c r="V101" s="370"/>
      <c r="W101" s="370"/>
      <c r="X101" s="370"/>
      <c r="Y101" s="370"/>
      <c r="Z101" s="370"/>
      <c r="AA101" s="370"/>
      <c r="AB101" s="370"/>
      <c r="AC101" s="370"/>
      <c r="AD101" s="370"/>
      <c r="AE101" s="370"/>
      <c r="AF101" s="370"/>
      <c r="AG101" s="370"/>
      <c r="AH101" s="370"/>
      <c r="AI101" s="370"/>
      <c r="AJ101" s="370"/>
      <c r="AK101" s="370"/>
      <c r="AL101" s="370"/>
      <c r="AM101" s="370"/>
      <c r="AN101" s="133"/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3"/>
      <c r="BB101" s="133"/>
      <c r="BC101" s="133"/>
      <c r="BD101" s="133"/>
      <c r="BE101" s="133"/>
      <c r="BF101" s="133"/>
      <c r="BG101" s="133"/>
      <c r="BH101" s="133"/>
      <c r="BI101" s="133"/>
      <c r="BJ101" s="133"/>
      <c r="BK101" s="133"/>
      <c r="BL101" s="133"/>
      <c r="BM101" s="133"/>
      <c r="BN101" s="133"/>
      <c r="BO101" s="133"/>
      <c r="BP101" s="133"/>
      <c r="BQ101" s="133"/>
      <c r="BR101" s="133"/>
      <c r="BS101" s="133"/>
      <c r="BT101" s="133"/>
      <c r="BU101" s="133"/>
      <c r="BV101" s="133"/>
      <c r="BW101" s="133"/>
    </row>
    <row r="102" s="140" customFormat="1" customHeight="1" spans="1:75">
      <c r="A102" s="161">
        <v>99</v>
      </c>
      <c r="B102" s="162"/>
      <c r="C102" s="162"/>
      <c r="D102" s="162"/>
      <c r="E102" s="162"/>
      <c r="F102" s="367"/>
      <c r="G102" s="191">
        <f t="shared" si="7"/>
        <v>0</v>
      </c>
      <c r="H102" s="190">
        <f t="shared" si="8"/>
        <v>0</v>
      </c>
      <c r="I102" s="191">
        <f t="shared" si="9"/>
        <v>0</v>
      </c>
      <c r="J102" s="190">
        <f t="shared" si="10"/>
        <v>0</v>
      </c>
      <c r="K102" s="191">
        <f t="shared" si="11"/>
        <v>0</v>
      </c>
      <c r="L102" s="190">
        <f t="shared" si="12"/>
        <v>0</v>
      </c>
      <c r="M102" s="191">
        <f t="shared" si="13"/>
        <v>0</v>
      </c>
      <c r="N102" s="370"/>
      <c r="O102" s="370"/>
      <c r="P102" s="370"/>
      <c r="Q102" s="370"/>
      <c r="R102" s="370"/>
      <c r="S102" s="370"/>
      <c r="T102" s="370"/>
      <c r="U102" s="370"/>
      <c r="V102" s="370"/>
      <c r="W102" s="370"/>
      <c r="X102" s="370"/>
      <c r="Y102" s="370"/>
      <c r="Z102" s="370"/>
      <c r="AA102" s="370"/>
      <c r="AB102" s="370"/>
      <c r="AC102" s="370"/>
      <c r="AD102" s="370"/>
      <c r="AE102" s="370"/>
      <c r="AF102" s="370"/>
      <c r="AG102" s="370"/>
      <c r="AH102" s="370"/>
      <c r="AI102" s="370"/>
      <c r="AJ102" s="370"/>
      <c r="AK102" s="370"/>
      <c r="AL102" s="370"/>
      <c r="AM102" s="370"/>
      <c r="AN102" s="133"/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3"/>
      <c r="BB102" s="133"/>
      <c r="BC102" s="133"/>
      <c r="BD102" s="133"/>
      <c r="BE102" s="133"/>
      <c r="BF102" s="133"/>
      <c r="BG102" s="133"/>
      <c r="BH102" s="133"/>
      <c r="BI102" s="133"/>
      <c r="BJ102" s="133"/>
      <c r="BK102" s="133"/>
      <c r="BL102" s="133"/>
      <c r="BM102" s="133"/>
      <c r="BN102" s="133"/>
      <c r="BO102" s="133"/>
      <c r="BP102" s="133"/>
      <c r="BQ102" s="133"/>
      <c r="BR102" s="133"/>
      <c r="BS102" s="133"/>
      <c r="BT102" s="133"/>
      <c r="BU102" s="133"/>
      <c r="BV102" s="133"/>
      <c r="BW102" s="133"/>
    </row>
    <row r="103" s="140" customFormat="1" customHeight="1" spans="1:75">
      <c r="A103" s="161">
        <v>100</v>
      </c>
      <c r="B103" s="162"/>
      <c r="C103" s="162"/>
      <c r="D103" s="162"/>
      <c r="E103" s="162"/>
      <c r="F103" s="367"/>
      <c r="G103" s="191">
        <f t="shared" si="7"/>
        <v>0</v>
      </c>
      <c r="H103" s="190">
        <f t="shared" si="8"/>
        <v>0</v>
      </c>
      <c r="I103" s="191">
        <f t="shared" si="9"/>
        <v>0</v>
      </c>
      <c r="J103" s="190">
        <f t="shared" si="10"/>
        <v>0</v>
      </c>
      <c r="K103" s="191">
        <f t="shared" si="11"/>
        <v>0</v>
      </c>
      <c r="L103" s="190">
        <f t="shared" si="12"/>
        <v>0</v>
      </c>
      <c r="M103" s="191">
        <f t="shared" si="13"/>
        <v>0</v>
      </c>
      <c r="N103" s="370"/>
      <c r="O103" s="370"/>
      <c r="P103" s="370"/>
      <c r="Q103" s="370"/>
      <c r="R103" s="370"/>
      <c r="S103" s="370"/>
      <c r="T103" s="370"/>
      <c r="U103" s="370"/>
      <c r="V103" s="370"/>
      <c r="W103" s="370"/>
      <c r="X103" s="370"/>
      <c r="Y103" s="370"/>
      <c r="Z103" s="370"/>
      <c r="AA103" s="370"/>
      <c r="AB103" s="370"/>
      <c r="AC103" s="370"/>
      <c r="AD103" s="370"/>
      <c r="AE103" s="370"/>
      <c r="AF103" s="370"/>
      <c r="AG103" s="370"/>
      <c r="AH103" s="370"/>
      <c r="AI103" s="370"/>
      <c r="AJ103" s="370"/>
      <c r="AK103" s="370"/>
      <c r="AL103" s="370"/>
      <c r="AM103" s="370"/>
      <c r="AN103" s="133"/>
      <c r="AO103" s="133"/>
      <c r="AP103" s="133"/>
      <c r="AQ103" s="133"/>
      <c r="AR103" s="133"/>
      <c r="AS103" s="133"/>
      <c r="AT103" s="133"/>
      <c r="AU103" s="133"/>
      <c r="AV103" s="133"/>
      <c r="AW103" s="133"/>
      <c r="AX103" s="133"/>
      <c r="AY103" s="133"/>
      <c r="AZ103" s="133"/>
      <c r="BA103" s="133"/>
      <c r="BB103" s="133"/>
      <c r="BC103" s="133"/>
      <c r="BD103" s="133"/>
      <c r="BE103" s="133"/>
      <c r="BF103" s="133"/>
      <c r="BG103" s="133"/>
      <c r="BH103" s="133"/>
      <c r="BI103" s="133"/>
      <c r="BJ103" s="133"/>
      <c r="BK103" s="133"/>
      <c r="BL103" s="133"/>
      <c r="BM103" s="133"/>
      <c r="BN103" s="133"/>
      <c r="BO103" s="133"/>
      <c r="BP103" s="133"/>
      <c r="BQ103" s="133"/>
      <c r="BR103" s="133"/>
      <c r="BS103" s="133"/>
      <c r="BT103" s="133"/>
      <c r="BU103" s="133"/>
      <c r="BV103" s="133"/>
      <c r="BW103" s="133"/>
    </row>
    <row r="104" s="140" customFormat="1" customHeight="1" spans="1:75">
      <c r="A104" s="161">
        <v>101</v>
      </c>
      <c r="B104" s="357" t="s">
        <v>488</v>
      </c>
      <c r="C104" s="162"/>
      <c r="D104" s="357" t="s">
        <v>453</v>
      </c>
      <c r="E104" s="162">
        <v>78</v>
      </c>
      <c r="F104" s="367"/>
      <c r="G104" s="191">
        <f t="shared" si="7"/>
        <v>0</v>
      </c>
      <c r="H104" s="190">
        <f t="shared" si="8"/>
        <v>22</v>
      </c>
      <c r="I104" s="191">
        <f t="shared" si="9"/>
        <v>1716</v>
      </c>
      <c r="J104" s="190">
        <f t="shared" si="10"/>
        <v>22</v>
      </c>
      <c r="K104" s="191">
        <f t="shared" si="11"/>
        <v>1716</v>
      </c>
      <c r="L104" s="190">
        <f t="shared" si="12"/>
        <v>0</v>
      </c>
      <c r="M104" s="191">
        <f t="shared" si="13"/>
        <v>0</v>
      </c>
      <c r="N104" s="370">
        <v>2</v>
      </c>
      <c r="O104" s="370">
        <v>2</v>
      </c>
      <c r="P104" s="370"/>
      <c r="Q104" s="370"/>
      <c r="R104" s="370">
        <v>2</v>
      </c>
      <c r="S104" s="370">
        <v>2</v>
      </c>
      <c r="T104" s="370"/>
      <c r="U104" s="370"/>
      <c r="V104" s="370">
        <v>2</v>
      </c>
      <c r="W104" s="370">
        <v>2</v>
      </c>
      <c r="X104" s="370"/>
      <c r="Y104" s="370"/>
      <c r="Z104" s="370"/>
      <c r="AA104" s="370"/>
      <c r="AB104" s="370"/>
      <c r="AC104" s="370"/>
      <c r="AD104" s="370"/>
      <c r="AE104" s="370"/>
      <c r="AF104" s="370">
        <v>2</v>
      </c>
      <c r="AG104" s="370">
        <v>2</v>
      </c>
      <c r="AH104" s="370"/>
      <c r="AI104" s="370"/>
      <c r="AJ104" s="370">
        <v>2</v>
      </c>
      <c r="AK104" s="370">
        <v>2</v>
      </c>
      <c r="AL104" s="370"/>
      <c r="AM104" s="370"/>
      <c r="AN104" s="133"/>
      <c r="AO104" s="133"/>
      <c r="AP104" s="133">
        <v>2</v>
      </c>
      <c r="AQ104" s="133">
        <v>2</v>
      </c>
      <c r="AR104" s="133"/>
      <c r="AS104" s="133"/>
      <c r="AT104" s="133"/>
      <c r="AU104" s="133"/>
      <c r="AV104" s="133"/>
      <c r="AW104" s="133"/>
      <c r="AX104" s="133"/>
      <c r="AY104" s="133"/>
      <c r="AZ104" s="133">
        <v>2</v>
      </c>
      <c r="BA104" s="133">
        <v>2</v>
      </c>
      <c r="BB104" s="133"/>
      <c r="BC104" s="133"/>
      <c r="BD104" s="133"/>
      <c r="BE104" s="133"/>
      <c r="BF104" s="133"/>
      <c r="BG104" s="133"/>
      <c r="BH104" s="133">
        <v>2</v>
      </c>
      <c r="BI104" s="133">
        <v>2</v>
      </c>
      <c r="BJ104" s="133"/>
      <c r="BK104" s="133"/>
      <c r="BL104" s="133"/>
      <c r="BM104" s="133"/>
      <c r="BN104" s="133">
        <v>2</v>
      </c>
      <c r="BO104" s="133">
        <v>2</v>
      </c>
      <c r="BP104" s="133">
        <v>2</v>
      </c>
      <c r="BQ104" s="133">
        <v>2</v>
      </c>
      <c r="BR104" s="133"/>
      <c r="BS104" s="133"/>
      <c r="BT104" s="133">
        <v>2</v>
      </c>
      <c r="BU104" s="133">
        <v>2</v>
      </c>
      <c r="BV104" s="133"/>
      <c r="BW104" s="133"/>
    </row>
    <row r="105" s="140" customFormat="1" customHeight="1" spans="1:75">
      <c r="A105" s="161">
        <v>102</v>
      </c>
      <c r="B105" s="357" t="s">
        <v>489</v>
      </c>
      <c r="C105" s="162"/>
      <c r="D105" s="162"/>
      <c r="E105" s="162">
        <v>102</v>
      </c>
      <c r="F105" s="367"/>
      <c r="G105" s="191">
        <f t="shared" si="7"/>
        <v>0</v>
      </c>
      <c r="H105" s="190">
        <f t="shared" si="8"/>
        <v>17</v>
      </c>
      <c r="I105" s="191">
        <f t="shared" si="9"/>
        <v>1734</v>
      </c>
      <c r="J105" s="190">
        <f t="shared" si="10"/>
        <v>17</v>
      </c>
      <c r="K105" s="191">
        <f t="shared" si="11"/>
        <v>1734</v>
      </c>
      <c r="L105" s="190">
        <f t="shared" si="12"/>
        <v>0</v>
      </c>
      <c r="M105" s="191">
        <f t="shared" si="13"/>
        <v>0</v>
      </c>
      <c r="N105" s="370">
        <v>2</v>
      </c>
      <c r="O105" s="370">
        <v>2</v>
      </c>
      <c r="P105" s="370"/>
      <c r="Q105" s="370"/>
      <c r="R105" s="370">
        <v>2</v>
      </c>
      <c r="S105" s="370">
        <v>2</v>
      </c>
      <c r="T105" s="370"/>
      <c r="U105" s="370"/>
      <c r="V105" s="370">
        <v>2</v>
      </c>
      <c r="W105" s="370">
        <v>2</v>
      </c>
      <c r="X105" s="370"/>
      <c r="Y105" s="370"/>
      <c r="Z105" s="370"/>
      <c r="AA105" s="370"/>
      <c r="AB105" s="370"/>
      <c r="AC105" s="370"/>
      <c r="AD105" s="370"/>
      <c r="AE105" s="370"/>
      <c r="AF105" s="370"/>
      <c r="AG105" s="370"/>
      <c r="AH105" s="370"/>
      <c r="AI105" s="370"/>
      <c r="AJ105" s="370">
        <v>2</v>
      </c>
      <c r="AK105" s="370">
        <v>2</v>
      </c>
      <c r="AL105" s="370"/>
      <c r="AM105" s="370"/>
      <c r="AN105" s="133"/>
      <c r="AO105" s="133"/>
      <c r="AP105" s="133">
        <v>1</v>
      </c>
      <c r="AQ105" s="133">
        <v>1</v>
      </c>
      <c r="AR105" s="133"/>
      <c r="AS105" s="133"/>
      <c r="AT105" s="133"/>
      <c r="AU105" s="133"/>
      <c r="AV105" s="133"/>
      <c r="AW105" s="133"/>
      <c r="AX105" s="133"/>
      <c r="AY105" s="133"/>
      <c r="AZ105" s="133">
        <v>1</v>
      </c>
      <c r="BA105" s="133">
        <v>1</v>
      </c>
      <c r="BB105" s="133">
        <v>1</v>
      </c>
      <c r="BC105" s="133">
        <v>1</v>
      </c>
      <c r="BD105" s="133"/>
      <c r="BE105" s="133"/>
      <c r="BF105" s="133"/>
      <c r="BG105" s="133"/>
      <c r="BH105" s="133">
        <v>2</v>
      </c>
      <c r="BI105" s="133">
        <v>2</v>
      </c>
      <c r="BJ105" s="133"/>
      <c r="BK105" s="133"/>
      <c r="BL105" s="133"/>
      <c r="BM105" s="133"/>
      <c r="BN105" s="133">
        <v>1</v>
      </c>
      <c r="BO105" s="133">
        <v>1</v>
      </c>
      <c r="BP105" s="133">
        <v>1</v>
      </c>
      <c r="BQ105" s="133">
        <v>1</v>
      </c>
      <c r="BR105" s="133"/>
      <c r="BS105" s="133"/>
      <c r="BT105" s="133">
        <v>2</v>
      </c>
      <c r="BU105" s="133">
        <v>2</v>
      </c>
      <c r="BV105" s="133"/>
      <c r="BW105" s="133"/>
    </row>
    <row r="106" s="140" customFormat="1" customHeight="1" spans="1:75">
      <c r="A106" s="161">
        <v>103</v>
      </c>
      <c r="B106" s="397" t="s">
        <v>490</v>
      </c>
      <c r="C106" s="162"/>
      <c r="D106" s="162"/>
      <c r="E106" s="162">
        <v>114</v>
      </c>
      <c r="F106" s="367"/>
      <c r="G106" s="191">
        <f t="shared" si="7"/>
        <v>0</v>
      </c>
      <c r="H106" s="190">
        <f t="shared" si="8"/>
        <v>5</v>
      </c>
      <c r="I106" s="191">
        <f t="shared" si="9"/>
        <v>570</v>
      </c>
      <c r="J106" s="190">
        <f t="shared" si="10"/>
        <v>5</v>
      </c>
      <c r="K106" s="191">
        <f t="shared" si="11"/>
        <v>570</v>
      </c>
      <c r="L106" s="190">
        <f t="shared" si="12"/>
        <v>0</v>
      </c>
      <c r="M106" s="191">
        <f t="shared" si="13"/>
        <v>0</v>
      </c>
      <c r="N106" s="370"/>
      <c r="O106" s="370"/>
      <c r="P106" s="370"/>
      <c r="Q106" s="370"/>
      <c r="R106" s="370"/>
      <c r="S106" s="370"/>
      <c r="T106" s="370"/>
      <c r="U106" s="370"/>
      <c r="V106" s="370"/>
      <c r="W106" s="370"/>
      <c r="X106" s="370"/>
      <c r="Y106" s="370"/>
      <c r="Z106" s="370"/>
      <c r="AA106" s="370"/>
      <c r="AB106" s="370"/>
      <c r="AC106" s="370"/>
      <c r="AD106" s="370"/>
      <c r="AE106" s="370"/>
      <c r="AF106" s="370"/>
      <c r="AG106" s="370"/>
      <c r="AH106" s="370"/>
      <c r="AI106" s="370"/>
      <c r="AJ106" s="370">
        <v>1</v>
      </c>
      <c r="AK106" s="370">
        <v>1</v>
      </c>
      <c r="AL106" s="370"/>
      <c r="AM106" s="370"/>
      <c r="AN106" s="133"/>
      <c r="AO106" s="133"/>
      <c r="AP106" s="133">
        <v>1</v>
      </c>
      <c r="AQ106" s="133">
        <v>1</v>
      </c>
      <c r="AR106" s="133"/>
      <c r="AS106" s="133"/>
      <c r="AT106" s="133"/>
      <c r="AU106" s="133"/>
      <c r="AV106" s="133"/>
      <c r="AW106" s="133"/>
      <c r="AX106" s="133"/>
      <c r="AY106" s="133"/>
      <c r="AZ106" s="133"/>
      <c r="BA106" s="133"/>
      <c r="BB106" s="133">
        <v>1</v>
      </c>
      <c r="BC106" s="133">
        <v>1</v>
      </c>
      <c r="BD106" s="133"/>
      <c r="BE106" s="133"/>
      <c r="BF106" s="133"/>
      <c r="BG106" s="133"/>
      <c r="BH106" s="133"/>
      <c r="BI106" s="133"/>
      <c r="BJ106" s="133"/>
      <c r="BK106" s="133"/>
      <c r="BL106" s="133"/>
      <c r="BM106" s="133"/>
      <c r="BN106" s="133"/>
      <c r="BO106" s="133"/>
      <c r="BP106" s="133"/>
      <c r="BQ106" s="133"/>
      <c r="BR106" s="133"/>
      <c r="BS106" s="133"/>
      <c r="BT106" s="133">
        <v>2</v>
      </c>
      <c r="BU106" s="133">
        <v>2</v>
      </c>
      <c r="BV106" s="133"/>
      <c r="BW106" s="133"/>
    </row>
    <row r="107" s="140" customFormat="1" customHeight="1" spans="1:75">
      <c r="A107" s="161">
        <v>104</v>
      </c>
      <c r="B107" s="382"/>
      <c r="C107" s="162"/>
      <c r="D107" s="162"/>
      <c r="E107" s="162"/>
      <c r="F107" s="367"/>
      <c r="G107" s="191">
        <f t="shared" si="7"/>
        <v>0</v>
      </c>
      <c r="H107" s="190">
        <f t="shared" si="8"/>
        <v>0</v>
      </c>
      <c r="I107" s="191">
        <f t="shared" si="9"/>
        <v>0</v>
      </c>
      <c r="J107" s="190">
        <f t="shared" si="10"/>
        <v>0</v>
      </c>
      <c r="K107" s="191">
        <f t="shared" si="11"/>
        <v>0</v>
      </c>
      <c r="L107" s="190">
        <f t="shared" si="12"/>
        <v>0</v>
      </c>
      <c r="M107" s="191">
        <f t="shared" si="13"/>
        <v>0</v>
      </c>
      <c r="N107" s="370"/>
      <c r="O107" s="370"/>
      <c r="P107" s="370"/>
      <c r="Q107" s="370"/>
      <c r="R107" s="370"/>
      <c r="S107" s="370"/>
      <c r="T107" s="370"/>
      <c r="U107" s="370"/>
      <c r="V107" s="370"/>
      <c r="W107" s="370"/>
      <c r="X107" s="370"/>
      <c r="Y107" s="370"/>
      <c r="Z107" s="370"/>
      <c r="AA107" s="370"/>
      <c r="AB107" s="370"/>
      <c r="AC107" s="370"/>
      <c r="AD107" s="370"/>
      <c r="AE107" s="370"/>
      <c r="AF107" s="370"/>
      <c r="AG107" s="370"/>
      <c r="AH107" s="370"/>
      <c r="AI107" s="370"/>
      <c r="AJ107" s="370"/>
      <c r="AK107" s="370"/>
      <c r="AL107" s="370"/>
      <c r="AM107" s="370"/>
      <c r="AN107" s="133"/>
      <c r="AO107" s="133"/>
      <c r="AP107" s="133"/>
      <c r="AQ107" s="133"/>
      <c r="AS107" s="133"/>
      <c r="AT107" s="133"/>
      <c r="AU107" s="133"/>
      <c r="AV107" s="133"/>
      <c r="AW107" s="133"/>
      <c r="AX107" s="133"/>
      <c r="AY107" s="133"/>
      <c r="AZ107" s="133"/>
      <c r="BA107" s="133"/>
      <c r="BB107" s="133"/>
      <c r="BC107" s="133"/>
      <c r="BD107" s="133"/>
      <c r="BE107" s="133"/>
      <c r="BF107" s="133"/>
      <c r="BG107" s="133"/>
      <c r="BH107" s="133"/>
      <c r="BI107" s="133"/>
      <c r="BJ107" s="133"/>
      <c r="BK107" s="133"/>
      <c r="BL107" s="133"/>
      <c r="BM107" s="133"/>
      <c r="BN107" s="133"/>
      <c r="BO107" s="133"/>
      <c r="BP107" s="133"/>
      <c r="BQ107" s="133"/>
      <c r="BR107" s="133"/>
      <c r="BS107" s="133"/>
      <c r="BT107" s="133"/>
      <c r="BU107" s="133"/>
      <c r="BV107" s="133"/>
      <c r="BW107" s="133"/>
    </row>
    <row r="108" s="140" customFormat="1" customHeight="1" spans="1:75">
      <c r="A108" s="161">
        <v>105</v>
      </c>
      <c r="B108" s="397" t="s">
        <v>491</v>
      </c>
      <c r="C108" s="162"/>
      <c r="D108" s="357" t="s">
        <v>453</v>
      </c>
      <c r="E108" s="162">
        <v>160</v>
      </c>
      <c r="F108" s="367"/>
      <c r="G108" s="191">
        <f t="shared" si="7"/>
        <v>0</v>
      </c>
      <c r="H108" s="190">
        <f t="shared" si="8"/>
        <v>13</v>
      </c>
      <c r="I108" s="191">
        <f t="shared" si="9"/>
        <v>2080</v>
      </c>
      <c r="J108" s="190">
        <f t="shared" si="10"/>
        <v>13</v>
      </c>
      <c r="K108" s="191">
        <f t="shared" si="11"/>
        <v>2080</v>
      </c>
      <c r="L108" s="190">
        <f t="shared" si="12"/>
        <v>0</v>
      </c>
      <c r="M108" s="191">
        <f t="shared" si="13"/>
        <v>0</v>
      </c>
      <c r="N108" s="370">
        <v>3</v>
      </c>
      <c r="O108" s="370">
        <v>3</v>
      </c>
      <c r="P108" s="370"/>
      <c r="Q108" s="370"/>
      <c r="R108" s="370"/>
      <c r="S108" s="370"/>
      <c r="T108" s="370"/>
      <c r="U108" s="370"/>
      <c r="V108" s="370">
        <v>1</v>
      </c>
      <c r="W108" s="370">
        <v>1</v>
      </c>
      <c r="X108" s="370"/>
      <c r="Y108" s="370"/>
      <c r="Z108" s="370"/>
      <c r="AA108" s="370"/>
      <c r="AB108" s="370"/>
      <c r="AC108" s="370"/>
      <c r="AD108" s="370"/>
      <c r="AE108" s="370"/>
      <c r="AF108" s="370">
        <v>1</v>
      </c>
      <c r="AG108" s="370">
        <v>1</v>
      </c>
      <c r="AH108" s="370"/>
      <c r="AI108" s="370"/>
      <c r="AJ108" s="370"/>
      <c r="AK108" s="370"/>
      <c r="AL108" s="370">
        <v>2</v>
      </c>
      <c r="AM108" s="370">
        <v>2</v>
      </c>
      <c r="AN108" s="133"/>
      <c r="AO108" s="133"/>
      <c r="AP108" s="133"/>
      <c r="AQ108" s="386"/>
      <c r="AR108" s="293"/>
      <c r="AS108" s="380"/>
      <c r="AT108" s="133"/>
      <c r="AU108" s="133"/>
      <c r="AV108" s="133"/>
      <c r="AW108" s="133"/>
      <c r="AX108" s="133"/>
      <c r="AY108" s="133"/>
      <c r="AZ108" s="133"/>
      <c r="BA108" s="133"/>
      <c r="BB108" s="133">
        <v>1</v>
      </c>
      <c r="BC108" s="133">
        <v>1</v>
      </c>
      <c r="BD108" s="133"/>
      <c r="BE108" s="133"/>
      <c r="BF108" s="133"/>
      <c r="BG108" s="133"/>
      <c r="BH108" s="133">
        <v>1</v>
      </c>
      <c r="BI108" s="133">
        <v>1</v>
      </c>
      <c r="BJ108" s="133"/>
      <c r="BK108" s="133"/>
      <c r="BL108" s="133"/>
      <c r="BM108" s="133"/>
      <c r="BN108" s="133">
        <v>2</v>
      </c>
      <c r="BO108" s="133">
        <v>2</v>
      </c>
      <c r="BP108" s="133"/>
      <c r="BQ108" s="133"/>
      <c r="BR108" s="133"/>
      <c r="BS108" s="133"/>
      <c r="BT108" s="133">
        <v>2</v>
      </c>
      <c r="BU108" s="133">
        <v>2</v>
      </c>
      <c r="BV108" s="133"/>
      <c r="BW108" s="133"/>
    </row>
    <row r="109" s="140" customFormat="1" customHeight="1" spans="1:75">
      <c r="A109" s="161">
        <v>106</v>
      </c>
      <c r="B109" s="357" t="s">
        <v>492</v>
      </c>
      <c r="C109" s="162"/>
      <c r="D109" s="162"/>
      <c r="E109" s="162">
        <v>78</v>
      </c>
      <c r="F109" s="367"/>
      <c r="G109" s="191">
        <f t="shared" si="7"/>
        <v>0</v>
      </c>
      <c r="H109" s="190">
        <f t="shared" si="8"/>
        <v>11</v>
      </c>
      <c r="I109" s="191">
        <f t="shared" si="9"/>
        <v>858</v>
      </c>
      <c r="J109" s="190">
        <f t="shared" si="10"/>
        <v>11</v>
      </c>
      <c r="K109" s="191">
        <f t="shared" si="11"/>
        <v>858</v>
      </c>
      <c r="L109" s="190">
        <f t="shared" si="12"/>
        <v>0</v>
      </c>
      <c r="M109" s="191">
        <f t="shared" si="13"/>
        <v>0</v>
      </c>
      <c r="N109" s="370">
        <v>1</v>
      </c>
      <c r="O109" s="370">
        <v>1</v>
      </c>
      <c r="P109" s="370"/>
      <c r="Q109" s="370"/>
      <c r="R109" s="370"/>
      <c r="S109" s="370"/>
      <c r="T109" s="370"/>
      <c r="U109" s="370"/>
      <c r="V109" s="370">
        <v>2</v>
      </c>
      <c r="W109" s="370">
        <v>2</v>
      </c>
      <c r="X109" s="370"/>
      <c r="Y109" s="370"/>
      <c r="Z109" s="370"/>
      <c r="AA109" s="370"/>
      <c r="AB109" s="370"/>
      <c r="AC109" s="370"/>
      <c r="AD109" s="370"/>
      <c r="AE109" s="370"/>
      <c r="AF109" s="370">
        <v>2</v>
      </c>
      <c r="AG109" s="370">
        <v>2</v>
      </c>
      <c r="AH109" s="370"/>
      <c r="AI109" s="370"/>
      <c r="AJ109" s="370"/>
      <c r="AK109" s="370"/>
      <c r="AL109" s="370">
        <v>1</v>
      </c>
      <c r="AM109" s="370">
        <v>1</v>
      </c>
      <c r="AN109" s="133"/>
      <c r="AO109" s="133"/>
      <c r="AP109" s="133"/>
      <c r="AQ109" s="133"/>
      <c r="AS109" s="133"/>
      <c r="AT109" s="133"/>
      <c r="AU109" s="133"/>
      <c r="AV109" s="133"/>
      <c r="AW109" s="133"/>
      <c r="AX109" s="133"/>
      <c r="AY109" s="133"/>
      <c r="AZ109" s="133"/>
      <c r="BA109" s="133"/>
      <c r="BB109" s="133">
        <v>2</v>
      </c>
      <c r="BC109" s="133">
        <v>2</v>
      </c>
      <c r="BD109" s="133"/>
      <c r="BE109" s="133"/>
      <c r="BF109" s="133"/>
      <c r="BG109" s="133"/>
      <c r="BH109" s="133">
        <v>1</v>
      </c>
      <c r="BI109" s="133">
        <v>1</v>
      </c>
      <c r="BJ109" s="133"/>
      <c r="BK109" s="133"/>
      <c r="BL109" s="133"/>
      <c r="BM109" s="133"/>
      <c r="BN109" s="133">
        <v>1</v>
      </c>
      <c r="BO109" s="133">
        <v>1</v>
      </c>
      <c r="BP109" s="133"/>
      <c r="BQ109" s="133"/>
      <c r="BR109" s="133"/>
      <c r="BS109" s="133"/>
      <c r="BT109" s="133">
        <v>1</v>
      </c>
      <c r="BU109" s="133">
        <v>1</v>
      </c>
      <c r="BV109" s="133"/>
      <c r="BW109" s="133"/>
    </row>
    <row r="110" s="140" customFormat="1" customHeight="1" spans="1:75">
      <c r="A110" s="161">
        <v>107</v>
      </c>
      <c r="B110" s="162"/>
      <c r="C110" s="162"/>
      <c r="D110" s="162"/>
      <c r="E110" s="162"/>
      <c r="F110" s="367"/>
      <c r="G110" s="191">
        <f t="shared" si="7"/>
        <v>0</v>
      </c>
      <c r="H110" s="190">
        <f t="shared" si="8"/>
        <v>0</v>
      </c>
      <c r="I110" s="191">
        <f t="shared" si="9"/>
        <v>0</v>
      </c>
      <c r="J110" s="190">
        <f t="shared" si="10"/>
        <v>0</v>
      </c>
      <c r="K110" s="191">
        <f t="shared" si="11"/>
        <v>0</v>
      </c>
      <c r="L110" s="190">
        <f t="shared" si="12"/>
        <v>0</v>
      </c>
      <c r="M110" s="191">
        <f t="shared" si="13"/>
        <v>0</v>
      </c>
      <c r="N110" s="370"/>
      <c r="O110" s="370"/>
      <c r="P110" s="370"/>
      <c r="Q110" s="370"/>
      <c r="R110" s="370"/>
      <c r="S110" s="370"/>
      <c r="T110" s="370"/>
      <c r="U110" s="370"/>
      <c r="V110" s="370"/>
      <c r="W110" s="370"/>
      <c r="X110" s="370"/>
      <c r="Y110" s="370"/>
      <c r="Z110" s="370"/>
      <c r="AA110" s="370"/>
      <c r="AB110" s="370"/>
      <c r="AC110" s="370"/>
      <c r="AD110" s="370"/>
      <c r="AE110" s="370"/>
      <c r="AF110" s="370"/>
      <c r="AG110" s="370"/>
      <c r="AH110" s="370"/>
      <c r="AI110" s="370"/>
      <c r="AJ110" s="370"/>
      <c r="AK110" s="370"/>
      <c r="AL110" s="370"/>
      <c r="AM110" s="370"/>
      <c r="AN110" s="133"/>
      <c r="AO110" s="133"/>
      <c r="AP110" s="133"/>
      <c r="AQ110" s="133"/>
      <c r="AR110" s="133"/>
      <c r="AS110" s="133"/>
      <c r="AT110" s="133"/>
      <c r="AU110" s="133"/>
      <c r="AV110" s="133"/>
      <c r="AW110" s="133"/>
      <c r="AX110" s="133"/>
      <c r="AY110" s="133"/>
      <c r="AZ110" s="133"/>
      <c r="BA110" s="133"/>
      <c r="BB110" s="133"/>
      <c r="BC110" s="133"/>
      <c r="BD110" s="133"/>
      <c r="BE110" s="133"/>
      <c r="BF110" s="133"/>
      <c r="BG110" s="133"/>
      <c r="BH110" s="133"/>
      <c r="BI110" s="133"/>
      <c r="BJ110" s="133"/>
      <c r="BK110" s="133"/>
      <c r="BL110" s="133"/>
      <c r="BM110" s="133"/>
      <c r="BO110" s="133"/>
      <c r="BP110" s="133"/>
      <c r="BQ110" s="133"/>
      <c r="BR110" s="133"/>
      <c r="BS110" s="133"/>
      <c r="BT110" s="133"/>
      <c r="BU110" s="133"/>
      <c r="BV110" s="133"/>
      <c r="BW110" s="133"/>
    </row>
    <row r="111" s="140" customFormat="1" customHeight="1" spans="1:75">
      <c r="A111" s="161">
        <v>108</v>
      </c>
      <c r="B111" s="397" t="s">
        <v>493</v>
      </c>
      <c r="C111" s="162"/>
      <c r="D111" s="357" t="s">
        <v>209</v>
      </c>
      <c r="E111" s="162">
        <v>10</v>
      </c>
      <c r="F111" s="367"/>
      <c r="G111" s="191">
        <f t="shared" si="7"/>
        <v>0</v>
      </c>
      <c r="H111" s="190">
        <f t="shared" si="8"/>
        <v>30</v>
      </c>
      <c r="I111" s="191">
        <f t="shared" si="9"/>
        <v>300</v>
      </c>
      <c r="J111" s="190">
        <f t="shared" si="10"/>
        <v>30</v>
      </c>
      <c r="K111" s="191">
        <f t="shared" si="11"/>
        <v>300</v>
      </c>
      <c r="L111" s="190">
        <f t="shared" si="12"/>
        <v>0</v>
      </c>
      <c r="M111" s="191">
        <f t="shared" si="13"/>
        <v>0</v>
      </c>
      <c r="N111" s="370"/>
      <c r="O111" s="370"/>
      <c r="P111" s="370"/>
      <c r="Q111" s="370"/>
      <c r="R111" s="370"/>
      <c r="S111" s="370"/>
      <c r="T111" s="370">
        <v>10</v>
      </c>
      <c r="U111" s="370">
        <v>10</v>
      </c>
      <c r="V111" s="370">
        <v>4</v>
      </c>
      <c r="W111" s="370">
        <v>4</v>
      </c>
      <c r="X111" s="370"/>
      <c r="Y111" s="370"/>
      <c r="Z111" s="370"/>
      <c r="AA111" s="370"/>
      <c r="AB111" s="370"/>
      <c r="AC111" s="370"/>
      <c r="AD111" s="370"/>
      <c r="AE111" s="370"/>
      <c r="AF111" s="370"/>
      <c r="AG111" s="370"/>
      <c r="AH111" s="370"/>
      <c r="AI111" s="370"/>
      <c r="AJ111" s="370"/>
      <c r="AK111" s="370"/>
      <c r="AL111" s="370"/>
      <c r="AM111" s="370"/>
      <c r="AN111" s="133"/>
      <c r="AO111" s="133"/>
      <c r="AP111" s="133"/>
      <c r="AQ111" s="133"/>
      <c r="AR111" s="133"/>
      <c r="AS111" s="133"/>
      <c r="AT111" s="133">
        <v>4</v>
      </c>
      <c r="AU111" s="133">
        <v>4</v>
      </c>
      <c r="AV111" s="133"/>
      <c r="AW111" s="133"/>
      <c r="AX111" s="133"/>
      <c r="AY111" s="133"/>
      <c r="AZ111" s="133"/>
      <c r="BA111" s="133"/>
      <c r="BB111" s="133"/>
      <c r="BC111" s="133"/>
      <c r="BD111" s="133"/>
      <c r="BE111" s="133"/>
      <c r="BF111" s="133"/>
      <c r="BG111" s="133"/>
      <c r="BH111" s="133">
        <v>4</v>
      </c>
      <c r="BI111" s="133">
        <v>4</v>
      </c>
      <c r="BJ111" s="133"/>
      <c r="BK111" s="133"/>
      <c r="BL111" s="133"/>
      <c r="BM111" s="133"/>
      <c r="BN111" s="133"/>
      <c r="BO111" s="133"/>
      <c r="BP111" s="133">
        <v>4</v>
      </c>
      <c r="BQ111" s="133">
        <v>4</v>
      </c>
      <c r="BR111" s="133"/>
      <c r="BS111" s="133"/>
      <c r="BT111" s="133">
        <v>4</v>
      </c>
      <c r="BU111" s="133">
        <v>4</v>
      </c>
      <c r="BV111" s="133"/>
      <c r="BW111" s="133"/>
    </row>
    <row r="112" s="140" customFormat="1" customHeight="1" spans="1:75">
      <c r="A112" s="161">
        <v>109</v>
      </c>
      <c r="B112" s="397" t="s">
        <v>494</v>
      </c>
      <c r="C112" s="162"/>
      <c r="D112" s="162"/>
      <c r="E112" s="162">
        <v>13</v>
      </c>
      <c r="F112" s="367"/>
      <c r="G112" s="191">
        <f t="shared" si="7"/>
        <v>0</v>
      </c>
      <c r="H112" s="190">
        <f t="shared" si="8"/>
        <v>108</v>
      </c>
      <c r="I112" s="191">
        <f t="shared" si="9"/>
        <v>1404</v>
      </c>
      <c r="J112" s="190">
        <f t="shared" si="10"/>
        <v>108</v>
      </c>
      <c r="K112" s="191">
        <f t="shared" si="11"/>
        <v>1404</v>
      </c>
      <c r="L112" s="190">
        <f t="shared" si="12"/>
        <v>0</v>
      </c>
      <c r="M112" s="191">
        <f t="shared" si="13"/>
        <v>0</v>
      </c>
      <c r="N112" s="370"/>
      <c r="O112" s="370"/>
      <c r="P112" s="370">
        <v>6</v>
      </c>
      <c r="Q112" s="370">
        <v>6</v>
      </c>
      <c r="R112" s="370"/>
      <c r="S112" s="370"/>
      <c r="T112" s="370"/>
      <c r="U112" s="370"/>
      <c r="V112" s="370"/>
      <c r="W112" s="370"/>
      <c r="X112" s="370"/>
      <c r="Y112" s="370"/>
      <c r="Z112" s="370"/>
      <c r="AA112" s="370"/>
      <c r="AB112" s="370"/>
      <c r="AC112" s="370"/>
      <c r="AD112" s="370"/>
      <c r="AE112" s="370"/>
      <c r="AF112" s="370"/>
      <c r="AG112" s="370"/>
      <c r="AH112" s="370">
        <v>6</v>
      </c>
      <c r="AI112" s="370">
        <v>6</v>
      </c>
      <c r="AJ112" s="370"/>
      <c r="AK112" s="370"/>
      <c r="AL112" s="370">
        <v>12</v>
      </c>
      <c r="AM112" s="370">
        <v>12</v>
      </c>
      <c r="AN112" s="133"/>
      <c r="AO112" s="133"/>
      <c r="AP112" s="133"/>
      <c r="AQ112" s="133"/>
      <c r="AR112" s="133"/>
      <c r="AS112" s="133"/>
      <c r="AT112" s="133">
        <v>12</v>
      </c>
      <c r="AU112" s="133">
        <v>12</v>
      </c>
      <c r="AV112" s="133"/>
      <c r="AW112" s="133"/>
      <c r="AX112" s="133"/>
      <c r="AY112" s="133"/>
      <c r="AZ112" s="133"/>
      <c r="BA112" s="133"/>
      <c r="BB112" s="133"/>
      <c r="BC112" s="133"/>
      <c r="BD112" s="133">
        <v>40</v>
      </c>
      <c r="BE112" s="133">
        <v>40</v>
      </c>
      <c r="BF112" s="133"/>
      <c r="BG112" s="133"/>
      <c r="BH112" s="133">
        <v>2</v>
      </c>
      <c r="BI112" s="133">
        <v>2</v>
      </c>
      <c r="BJ112" s="133"/>
      <c r="BK112" s="133"/>
      <c r="BL112" s="133"/>
      <c r="BM112" s="133"/>
      <c r="BN112" s="133"/>
      <c r="BO112" s="133"/>
      <c r="BP112" s="133">
        <v>20</v>
      </c>
      <c r="BQ112" s="133">
        <v>20</v>
      </c>
      <c r="BR112" s="133"/>
      <c r="BS112" s="133"/>
      <c r="BT112" s="133">
        <v>10</v>
      </c>
      <c r="BU112" s="133">
        <v>10</v>
      </c>
      <c r="BV112" s="133"/>
      <c r="BW112" s="133"/>
    </row>
    <row r="113" s="140" customFormat="1" customHeight="1" spans="1:75">
      <c r="A113" s="161">
        <v>110</v>
      </c>
      <c r="B113" s="397" t="s">
        <v>495</v>
      </c>
      <c r="C113" s="162"/>
      <c r="D113" s="162"/>
      <c r="E113" s="162">
        <v>8</v>
      </c>
      <c r="F113" s="367"/>
      <c r="G113" s="191">
        <f t="shared" si="7"/>
        <v>0</v>
      </c>
      <c r="H113" s="190">
        <f t="shared" si="8"/>
        <v>151</v>
      </c>
      <c r="I113" s="191">
        <f t="shared" si="9"/>
        <v>1208</v>
      </c>
      <c r="J113" s="190">
        <f t="shared" si="10"/>
        <v>151</v>
      </c>
      <c r="K113" s="191">
        <f t="shared" si="11"/>
        <v>1208</v>
      </c>
      <c r="L113" s="190">
        <f t="shared" si="12"/>
        <v>0</v>
      </c>
      <c r="M113" s="191">
        <f t="shared" si="13"/>
        <v>0</v>
      </c>
      <c r="N113" s="370">
        <v>5</v>
      </c>
      <c r="O113" s="370">
        <v>5</v>
      </c>
      <c r="P113" s="370"/>
      <c r="Q113" s="370"/>
      <c r="R113" s="370"/>
      <c r="S113" s="370"/>
      <c r="T113" s="370">
        <v>20</v>
      </c>
      <c r="U113" s="370">
        <v>20</v>
      </c>
      <c r="V113" s="370"/>
      <c r="W113" s="370"/>
      <c r="X113" s="370"/>
      <c r="Y113" s="370"/>
      <c r="Z113" s="370">
        <v>5</v>
      </c>
      <c r="AA113" s="370">
        <v>5</v>
      </c>
      <c r="AB113" s="370"/>
      <c r="AC113" s="370"/>
      <c r="AD113" s="370"/>
      <c r="AE113" s="370"/>
      <c r="AF113" s="370"/>
      <c r="AG113" s="370"/>
      <c r="AH113" s="370">
        <v>10</v>
      </c>
      <c r="AI113" s="370">
        <v>10</v>
      </c>
      <c r="AJ113" s="370"/>
      <c r="AK113" s="370"/>
      <c r="AL113" s="370">
        <v>11</v>
      </c>
      <c r="AM113" s="370">
        <v>11</v>
      </c>
      <c r="AN113" s="133"/>
      <c r="AO113" s="133"/>
      <c r="AP113" s="133"/>
      <c r="AQ113" s="133"/>
      <c r="AR113" s="133"/>
      <c r="AS113" s="133"/>
      <c r="AT113" s="133"/>
      <c r="AU113" s="133"/>
      <c r="AV113" s="133"/>
      <c r="AW113" s="133"/>
      <c r="AX113" s="133"/>
      <c r="AY113" s="133"/>
      <c r="AZ113" s="133"/>
      <c r="BA113" s="133"/>
      <c r="BB113" s="133"/>
      <c r="BC113" s="133"/>
      <c r="BD113" s="133"/>
      <c r="BE113" s="133"/>
      <c r="BF113" s="133"/>
      <c r="BG113" s="133"/>
      <c r="BH113" s="133">
        <v>50</v>
      </c>
      <c r="BI113" s="133">
        <v>50</v>
      </c>
      <c r="BJ113" s="133"/>
      <c r="BK113" s="133"/>
      <c r="BL113" s="133">
        <v>50</v>
      </c>
      <c r="BM113" s="133">
        <v>50</v>
      </c>
      <c r="BN113" s="133"/>
      <c r="BO113" s="133"/>
      <c r="BP113" s="133"/>
      <c r="BQ113" s="133"/>
      <c r="BR113" s="133"/>
      <c r="BS113" s="133"/>
      <c r="BT113" s="133"/>
      <c r="BU113" s="133"/>
      <c r="BV113" s="133"/>
      <c r="BW113" s="133"/>
    </row>
    <row r="114" s="140" customFormat="1" customHeight="1" spans="1:75">
      <c r="A114" s="161">
        <v>143</v>
      </c>
      <c r="B114" s="397" t="s">
        <v>496</v>
      </c>
      <c r="C114" s="162"/>
      <c r="D114" s="357" t="s">
        <v>209</v>
      </c>
      <c r="E114" s="162">
        <v>18</v>
      </c>
      <c r="F114" s="367"/>
      <c r="G114" s="191">
        <f t="shared" si="7"/>
        <v>0</v>
      </c>
      <c r="H114" s="190">
        <f t="shared" si="8"/>
        <v>68.5</v>
      </c>
      <c r="I114" s="191">
        <f t="shared" si="9"/>
        <v>1233</v>
      </c>
      <c r="J114" s="190">
        <f t="shared" si="10"/>
        <v>68.5</v>
      </c>
      <c r="K114" s="191">
        <f t="shared" si="11"/>
        <v>1233</v>
      </c>
      <c r="L114" s="190">
        <f t="shared" si="12"/>
        <v>0</v>
      </c>
      <c r="M114" s="191">
        <f t="shared" si="13"/>
        <v>0</v>
      </c>
      <c r="N114" s="370">
        <v>5</v>
      </c>
      <c r="O114" s="370">
        <v>5</v>
      </c>
      <c r="P114" s="370"/>
      <c r="Q114" s="370"/>
      <c r="R114" s="370"/>
      <c r="S114" s="370"/>
      <c r="T114" s="370"/>
      <c r="U114" s="370"/>
      <c r="V114" s="370"/>
      <c r="W114" s="370"/>
      <c r="X114" s="370"/>
      <c r="Y114" s="370"/>
      <c r="Z114" s="370">
        <v>5</v>
      </c>
      <c r="AA114" s="370">
        <v>5</v>
      </c>
      <c r="AB114" s="370"/>
      <c r="AC114" s="370"/>
      <c r="AD114" s="370"/>
      <c r="AE114" s="370"/>
      <c r="AF114" s="370"/>
      <c r="AG114" s="370"/>
      <c r="AH114" s="370"/>
      <c r="AI114" s="370"/>
      <c r="AJ114" s="370"/>
      <c r="AK114" s="370"/>
      <c r="AL114" s="370">
        <v>8.5</v>
      </c>
      <c r="AM114" s="370">
        <v>8.5</v>
      </c>
      <c r="AN114" s="133"/>
      <c r="AO114" s="133"/>
      <c r="AP114" s="133"/>
      <c r="AQ114" s="133"/>
      <c r="AR114" s="133"/>
      <c r="AS114" s="133"/>
      <c r="AT114" s="133"/>
      <c r="AU114" s="133"/>
      <c r="AV114" s="133"/>
      <c r="AW114" s="133"/>
      <c r="AX114" s="133"/>
      <c r="AY114" s="133"/>
      <c r="AZ114" s="133"/>
      <c r="BA114" s="133"/>
      <c r="BB114" s="133"/>
      <c r="BC114" s="133"/>
      <c r="BD114" s="133"/>
      <c r="BE114" s="133"/>
      <c r="BF114" s="133"/>
      <c r="BG114" s="133"/>
      <c r="BH114" s="133">
        <v>50</v>
      </c>
      <c r="BI114" s="133">
        <v>50</v>
      </c>
      <c r="BJ114" s="133"/>
      <c r="BK114" s="133"/>
      <c r="BL114" s="133"/>
      <c r="BM114" s="133"/>
      <c r="BN114" s="133"/>
      <c r="BO114" s="133"/>
      <c r="BP114" s="133"/>
      <c r="BQ114" s="133"/>
      <c r="BR114" s="133"/>
      <c r="BS114" s="133"/>
      <c r="BT114" s="133"/>
      <c r="BU114" s="133"/>
      <c r="BV114" s="133"/>
      <c r="BW114" s="133"/>
    </row>
    <row r="115" s="140" customFormat="1" customHeight="1" spans="1:75">
      <c r="A115" s="161">
        <v>144</v>
      </c>
      <c r="B115" s="401" t="s">
        <v>497</v>
      </c>
      <c r="C115" s="162"/>
      <c r="D115" s="162"/>
      <c r="E115" s="162">
        <v>15</v>
      </c>
      <c r="F115" s="367"/>
      <c r="G115" s="191">
        <f t="shared" si="7"/>
        <v>0</v>
      </c>
      <c r="H115" s="190">
        <f t="shared" si="8"/>
        <v>79.6</v>
      </c>
      <c r="I115" s="191">
        <f t="shared" si="9"/>
        <v>1194</v>
      </c>
      <c r="J115" s="190">
        <f t="shared" si="10"/>
        <v>79.6</v>
      </c>
      <c r="K115" s="191">
        <f t="shared" si="11"/>
        <v>1194</v>
      </c>
      <c r="L115" s="190">
        <f t="shared" si="12"/>
        <v>0</v>
      </c>
      <c r="M115" s="191">
        <f t="shared" si="13"/>
        <v>0</v>
      </c>
      <c r="N115" s="370">
        <v>5</v>
      </c>
      <c r="O115" s="370">
        <v>5</v>
      </c>
      <c r="P115" s="370"/>
      <c r="Q115" s="370"/>
      <c r="R115" s="370"/>
      <c r="S115" s="370"/>
      <c r="T115" s="370">
        <v>10</v>
      </c>
      <c r="U115" s="370">
        <v>10</v>
      </c>
      <c r="V115" s="370"/>
      <c r="W115" s="370"/>
      <c r="X115" s="370"/>
      <c r="Y115" s="370"/>
      <c r="Z115" s="370">
        <v>5</v>
      </c>
      <c r="AA115" s="370">
        <v>5</v>
      </c>
      <c r="AB115" s="370"/>
      <c r="AC115" s="370"/>
      <c r="AD115" s="370"/>
      <c r="AE115" s="370"/>
      <c r="AF115" s="370"/>
      <c r="AG115" s="370"/>
      <c r="AH115" s="370">
        <v>5</v>
      </c>
      <c r="AI115" s="370">
        <v>5</v>
      </c>
      <c r="AJ115" s="370"/>
      <c r="AK115" s="370"/>
      <c r="AL115" s="370">
        <v>4.6</v>
      </c>
      <c r="AM115" s="370">
        <v>4.6</v>
      </c>
      <c r="AN115" s="133"/>
      <c r="AO115" s="133"/>
      <c r="AP115" s="133"/>
      <c r="AQ115" s="133"/>
      <c r="AR115" s="133"/>
      <c r="AS115" s="133"/>
      <c r="AT115" s="133"/>
      <c r="AU115" s="133"/>
      <c r="AV115" s="133"/>
      <c r="AW115" s="133"/>
      <c r="AX115" s="133"/>
      <c r="AY115" s="133"/>
      <c r="AZ115" s="133"/>
      <c r="BA115" s="133"/>
      <c r="BB115" s="133"/>
      <c r="BC115" s="133"/>
      <c r="BD115" s="133"/>
      <c r="BE115" s="133"/>
      <c r="BF115" s="133"/>
      <c r="BG115" s="133"/>
      <c r="BH115" s="133"/>
      <c r="BI115" s="133"/>
      <c r="BJ115" s="133"/>
      <c r="BK115" s="133"/>
      <c r="BL115" s="133">
        <v>50</v>
      </c>
      <c r="BM115" s="133">
        <v>50</v>
      </c>
      <c r="BN115" s="133"/>
      <c r="BO115" s="133"/>
      <c r="BP115" s="133"/>
      <c r="BQ115" s="133"/>
      <c r="BR115" s="133"/>
      <c r="BS115" s="133"/>
      <c r="BT115" s="133"/>
      <c r="BU115" s="133"/>
      <c r="BV115" s="133"/>
      <c r="BW115" s="133"/>
    </row>
    <row r="116" s="140" customFormat="1" customHeight="1" spans="1:75">
      <c r="A116" s="161">
        <v>145</v>
      </c>
      <c r="B116" s="357" t="s">
        <v>498</v>
      </c>
      <c r="C116" s="162"/>
      <c r="D116" s="162"/>
      <c r="E116" s="162">
        <v>10</v>
      </c>
      <c r="F116" s="367"/>
      <c r="G116" s="191">
        <f t="shared" si="7"/>
        <v>0</v>
      </c>
      <c r="H116" s="190">
        <f t="shared" si="8"/>
        <v>187</v>
      </c>
      <c r="I116" s="191">
        <f t="shared" si="9"/>
        <v>1870</v>
      </c>
      <c r="J116" s="190">
        <f t="shared" si="10"/>
        <v>187</v>
      </c>
      <c r="K116" s="191">
        <f t="shared" si="11"/>
        <v>1870</v>
      </c>
      <c r="L116" s="190">
        <f t="shared" si="12"/>
        <v>0</v>
      </c>
      <c r="M116" s="191">
        <f t="shared" si="13"/>
        <v>0</v>
      </c>
      <c r="N116" s="370">
        <v>5</v>
      </c>
      <c r="O116" s="370">
        <v>5</v>
      </c>
      <c r="P116" s="370">
        <v>5</v>
      </c>
      <c r="Q116" s="370">
        <v>5</v>
      </c>
      <c r="R116" s="370"/>
      <c r="S116" s="370"/>
      <c r="T116" s="370"/>
      <c r="U116" s="370"/>
      <c r="V116" s="370"/>
      <c r="W116" s="370"/>
      <c r="X116" s="370"/>
      <c r="Y116" s="370"/>
      <c r="Z116" s="370">
        <v>10</v>
      </c>
      <c r="AA116" s="370">
        <v>10</v>
      </c>
      <c r="AB116" s="370"/>
      <c r="AC116" s="370"/>
      <c r="AD116" s="370"/>
      <c r="AE116" s="370"/>
      <c r="AF116" s="370"/>
      <c r="AG116" s="370"/>
      <c r="AH116" s="370">
        <v>10</v>
      </c>
      <c r="AI116" s="370">
        <v>10</v>
      </c>
      <c r="AJ116" s="370"/>
      <c r="AK116" s="370"/>
      <c r="AL116" s="370">
        <v>19</v>
      </c>
      <c r="AM116" s="370">
        <v>19</v>
      </c>
      <c r="AN116" s="133"/>
      <c r="AO116" s="133"/>
      <c r="AP116" s="133"/>
      <c r="AQ116" s="133"/>
      <c r="AR116" s="133"/>
      <c r="AS116" s="133"/>
      <c r="AT116" s="133">
        <v>38</v>
      </c>
      <c r="AU116" s="133">
        <v>38</v>
      </c>
      <c r="AV116" s="133"/>
      <c r="AW116" s="133"/>
      <c r="AX116" s="133"/>
      <c r="AY116" s="133"/>
      <c r="AZ116" s="133"/>
      <c r="BA116" s="133"/>
      <c r="BB116" s="133"/>
      <c r="BC116" s="133"/>
      <c r="BD116" s="133"/>
      <c r="BE116" s="133"/>
      <c r="BF116" s="133"/>
      <c r="BG116" s="133"/>
      <c r="BH116" s="133">
        <v>50</v>
      </c>
      <c r="BI116" s="133">
        <v>50</v>
      </c>
      <c r="BJ116" s="133"/>
      <c r="BK116" s="133"/>
      <c r="BL116" s="133">
        <v>50</v>
      </c>
      <c r="BM116" s="133">
        <v>50</v>
      </c>
      <c r="BN116" s="133"/>
      <c r="BO116" s="133"/>
      <c r="BP116" s="133"/>
      <c r="BQ116" s="133"/>
      <c r="BR116" s="133"/>
      <c r="BS116" s="133"/>
      <c r="BT116" s="133"/>
      <c r="BU116" s="133"/>
      <c r="BV116" s="133"/>
      <c r="BW116" s="133"/>
    </row>
    <row r="117" s="140" customFormat="1" customHeight="1" spans="1:75">
      <c r="A117" s="161">
        <v>146</v>
      </c>
      <c r="B117" s="357" t="s">
        <v>499</v>
      </c>
      <c r="C117" s="162"/>
      <c r="D117" s="162"/>
      <c r="E117" s="162">
        <v>4.5</v>
      </c>
      <c r="F117" s="367"/>
      <c r="G117" s="191">
        <f t="shared" si="7"/>
        <v>0</v>
      </c>
      <c r="H117" s="190">
        <f t="shared" si="8"/>
        <v>0</v>
      </c>
      <c r="I117" s="191">
        <f t="shared" si="9"/>
        <v>0</v>
      </c>
      <c r="J117" s="190">
        <f t="shared" si="10"/>
        <v>0</v>
      </c>
      <c r="K117" s="191">
        <f t="shared" si="11"/>
        <v>0</v>
      </c>
      <c r="L117" s="190">
        <f t="shared" si="12"/>
        <v>0</v>
      </c>
      <c r="M117" s="191">
        <f t="shared" si="13"/>
        <v>0</v>
      </c>
      <c r="N117" s="370"/>
      <c r="O117" s="370"/>
      <c r="P117" s="370"/>
      <c r="Q117" s="370"/>
      <c r="R117" s="370"/>
      <c r="S117" s="370"/>
      <c r="T117" s="370"/>
      <c r="U117" s="370"/>
      <c r="V117" s="370"/>
      <c r="W117" s="370"/>
      <c r="X117" s="370"/>
      <c r="Y117" s="370"/>
      <c r="Z117" s="370"/>
      <c r="AA117" s="370"/>
      <c r="AB117" s="370"/>
      <c r="AC117" s="370"/>
      <c r="AD117" s="370"/>
      <c r="AE117" s="370"/>
      <c r="AF117" s="370"/>
      <c r="AG117" s="370"/>
      <c r="AH117" s="370"/>
      <c r="AI117" s="370"/>
      <c r="AJ117" s="370"/>
      <c r="AK117" s="370"/>
      <c r="AL117" s="370"/>
      <c r="AM117" s="370"/>
      <c r="AN117" s="133"/>
      <c r="AO117" s="133"/>
      <c r="AP117" s="133"/>
      <c r="AQ117" s="133"/>
      <c r="AR117" s="133"/>
      <c r="AS117" s="133"/>
      <c r="AT117" s="133"/>
      <c r="AU117" s="133"/>
      <c r="AV117" s="133"/>
      <c r="AW117" s="133"/>
      <c r="AX117" s="133"/>
      <c r="AY117" s="133"/>
      <c r="AZ117" s="133"/>
      <c r="BA117" s="133"/>
      <c r="BB117" s="133"/>
      <c r="BC117" s="133"/>
      <c r="BD117" s="133"/>
      <c r="BE117" s="133"/>
      <c r="BF117" s="133"/>
      <c r="BG117" s="133"/>
      <c r="BH117" s="133"/>
      <c r="BI117" s="133"/>
      <c r="BJ117" s="133"/>
      <c r="BK117" s="133"/>
      <c r="BL117" s="133"/>
      <c r="BM117" s="133"/>
      <c r="BN117" s="133"/>
      <c r="BO117" s="133"/>
      <c r="BP117" s="133"/>
      <c r="BQ117" s="133"/>
      <c r="BR117" s="133"/>
      <c r="BS117" s="133"/>
      <c r="BT117" s="133"/>
      <c r="BU117" s="133"/>
      <c r="BV117" s="133"/>
      <c r="BW117" s="133"/>
    </row>
    <row r="118" s="140" customFormat="1" customHeight="1" spans="1:75">
      <c r="A118" s="161">
        <v>147</v>
      </c>
      <c r="B118" s="162"/>
      <c r="C118" s="162"/>
      <c r="D118" s="162"/>
      <c r="E118" s="162"/>
      <c r="F118" s="367"/>
      <c r="G118" s="191">
        <f t="shared" si="7"/>
        <v>0</v>
      </c>
      <c r="H118" s="190">
        <f t="shared" si="8"/>
        <v>0</v>
      </c>
      <c r="I118" s="191">
        <f t="shared" si="9"/>
        <v>0</v>
      </c>
      <c r="J118" s="190">
        <f t="shared" si="10"/>
        <v>0</v>
      </c>
      <c r="K118" s="191">
        <f t="shared" si="11"/>
        <v>0</v>
      </c>
      <c r="L118" s="190">
        <f t="shared" si="12"/>
        <v>0</v>
      </c>
      <c r="M118" s="191">
        <f t="shared" si="13"/>
        <v>0</v>
      </c>
      <c r="N118" s="370"/>
      <c r="O118" s="370"/>
      <c r="P118" s="370"/>
      <c r="Q118" s="370"/>
      <c r="R118" s="370"/>
      <c r="S118" s="370"/>
      <c r="T118" s="370"/>
      <c r="U118" s="370"/>
      <c r="V118" s="370"/>
      <c r="W118" s="370"/>
      <c r="X118" s="370"/>
      <c r="Y118" s="370"/>
      <c r="Z118" s="370"/>
      <c r="AA118" s="370"/>
      <c r="AB118" s="370"/>
      <c r="AC118" s="370"/>
      <c r="AD118" s="370"/>
      <c r="AE118" s="370"/>
      <c r="AF118" s="370"/>
      <c r="AG118" s="370"/>
      <c r="AH118" s="370"/>
      <c r="AI118" s="370"/>
      <c r="AJ118" s="370"/>
      <c r="AK118" s="370"/>
      <c r="AL118" s="370"/>
      <c r="AM118" s="370"/>
      <c r="AN118" s="133"/>
      <c r="AO118" s="133"/>
      <c r="AP118" s="133"/>
      <c r="AQ118" s="133"/>
      <c r="AR118" s="133"/>
      <c r="AS118" s="133"/>
      <c r="AT118" s="133"/>
      <c r="AU118" s="133"/>
      <c r="AV118" s="133"/>
      <c r="AW118" s="133"/>
      <c r="AX118" s="133"/>
      <c r="AY118" s="133"/>
      <c r="AZ118" s="133"/>
      <c r="BA118" s="133"/>
      <c r="BB118" s="133"/>
      <c r="BC118" s="133"/>
      <c r="BD118" s="133"/>
      <c r="BE118" s="133"/>
      <c r="BF118" s="133"/>
      <c r="BG118" s="133"/>
      <c r="BH118" s="133"/>
      <c r="BI118" s="133"/>
      <c r="BJ118" s="133"/>
      <c r="BK118" s="133"/>
      <c r="BL118" s="133"/>
      <c r="BM118" s="133"/>
      <c r="BN118" s="133"/>
      <c r="BO118" s="133"/>
      <c r="BP118" s="133"/>
      <c r="BQ118" s="133"/>
      <c r="BR118" s="133"/>
      <c r="BS118" s="133"/>
      <c r="BT118" s="133"/>
      <c r="BU118" s="133"/>
      <c r="BV118" s="133"/>
      <c r="BW118" s="133"/>
    </row>
    <row r="119" s="140" customFormat="1" customHeight="1" spans="1:75">
      <c r="A119" s="161">
        <v>148</v>
      </c>
      <c r="B119" s="382"/>
      <c r="C119" s="162"/>
      <c r="D119" s="162"/>
      <c r="E119" s="162"/>
      <c r="F119" s="367"/>
      <c r="G119" s="191">
        <f t="shared" si="7"/>
        <v>0</v>
      </c>
      <c r="H119" s="190">
        <f t="shared" si="8"/>
        <v>0</v>
      </c>
      <c r="I119" s="191">
        <f t="shared" si="9"/>
        <v>0</v>
      </c>
      <c r="J119" s="190">
        <f t="shared" si="10"/>
        <v>0</v>
      </c>
      <c r="K119" s="191">
        <f t="shared" si="11"/>
        <v>0</v>
      </c>
      <c r="L119" s="190">
        <f t="shared" si="12"/>
        <v>0</v>
      </c>
      <c r="M119" s="191">
        <f t="shared" si="13"/>
        <v>0</v>
      </c>
      <c r="N119" s="370"/>
      <c r="O119" s="370"/>
      <c r="P119" s="370"/>
      <c r="Q119" s="370"/>
      <c r="R119" s="370"/>
      <c r="S119" s="370"/>
      <c r="T119" s="370"/>
      <c r="U119" s="370"/>
      <c r="V119" s="370"/>
      <c r="W119" s="370"/>
      <c r="X119" s="370"/>
      <c r="Y119" s="370"/>
      <c r="Z119" s="370"/>
      <c r="AA119" s="370"/>
      <c r="AB119" s="370"/>
      <c r="AC119" s="370"/>
      <c r="AD119" s="370"/>
      <c r="AE119" s="370"/>
      <c r="AF119" s="370"/>
      <c r="AG119" s="370"/>
      <c r="AH119" s="370"/>
      <c r="AI119" s="370"/>
      <c r="AJ119" s="370"/>
      <c r="AK119" s="370"/>
      <c r="AL119" s="370"/>
      <c r="AM119" s="370"/>
      <c r="AN119" s="133"/>
      <c r="AO119" s="133"/>
      <c r="AP119" s="133"/>
      <c r="AQ119" s="133"/>
      <c r="AR119" s="133"/>
      <c r="AS119" s="133"/>
      <c r="AT119" s="133"/>
      <c r="AU119" s="133"/>
      <c r="AV119" s="133"/>
      <c r="AW119" s="133"/>
      <c r="AX119" s="133"/>
      <c r="AY119" s="133"/>
      <c r="AZ119" s="133"/>
      <c r="BA119" s="133"/>
      <c r="BB119" s="133"/>
      <c r="BC119" s="133"/>
      <c r="BD119" s="133"/>
      <c r="BE119" s="133"/>
      <c r="BF119" s="133"/>
      <c r="BG119" s="133"/>
      <c r="BH119" s="133"/>
      <c r="BI119" s="133"/>
      <c r="BJ119" s="133"/>
      <c r="BK119" s="133"/>
      <c r="BL119" s="133"/>
      <c r="BM119" s="133"/>
      <c r="BN119" s="133"/>
      <c r="BO119" s="133"/>
      <c r="BP119" s="133"/>
      <c r="BQ119" s="133"/>
      <c r="BR119" s="133"/>
      <c r="BS119" s="133"/>
      <c r="BT119" s="133"/>
      <c r="BU119" s="133"/>
      <c r="BV119" s="133"/>
      <c r="BW119" s="133"/>
    </row>
    <row r="120" s="140" customFormat="1" customHeight="1" spans="1:75">
      <c r="A120" s="161">
        <v>149</v>
      </c>
      <c r="B120" s="162"/>
      <c r="C120" s="162"/>
      <c r="D120" s="162"/>
      <c r="E120" s="162"/>
      <c r="F120" s="367"/>
      <c r="G120" s="191">
        <f t="shared" si="7"/>
        <v>0</v>
      </c>
      <c r="H120" s="190">
        <f t="shared" si="8"/>
        <v>0</v>
      </c>
      <c r="I120" s="191">
        <f t="shared" si="9"/>
        <v>0</v>
      </c>
      <c r="J120" s="190">
        <f t="shared" si="10"/>
        <v>0</v>
      </c>
      <c r="K120" s="191">
        <f t="shared" si="11"/>
        <v>0</v>
      </c>
      <c r="L120" s="190">
        <f t="shared" si="12"/>
        <v>0</v>
      </c>
      <c r="M120" s="191">
        <f t="shared" si="13"/>
        <v>0</v>
      </c>
      <c r="N120" s="370"/>
      <c r="O120" s="370"/>
      <c r="P120" s="370"/>
      <c r="Q120" s="370"/>
      <c r="R120" s="370"/>
      <c r="S120" s="370"/>
      <c r="T120" s="370"/>
      <c r="U120" s="370"/>
      <c r="V120" s="370"/>
      <c r="W120" s="370"/>
      <c r="X120" s="370"/>
      <c r="Y120" s="370"/>
      <c r="Z120" s="370"/>
      <c r="AA120" s="370"/>
      <c r="AB120" s="370"/>
      <c r="AC120" s="370"/>
      <c r="AD120" s="370"/>
      <c r="AE120" s="370"/>
      <c r="AF120" s="370"/>
      <c r="AG120" s="370"/>
      <c r="AH120" s="370"/>
      <c r="AI120" s="370"/>
      <c r="AJ120" s="370"/>
      <c r="AK120" s="370"/>
      <c r="AL120" s="370"/>
      <c r="AM120" s="370"/>
      <c r="AN120" s="133"/>
      <c r="AO120" s="133"/>
      <c r="AP120" s="133"/>
      <c r="AQ120" s="133"/>
      <c r="AR120" s="133"/>
      <c r="AS120" s="133"/>
      <c r="AT120" s="133"/>
      <c r="AU120" s="133"/>
      <c r="AV120" s="133"/>
      <c r="AW120" s="133"/>
      <c r="AX120" s="133"/>
      <c r="AY120" s="133"/>
      <c r="AZ120" s="133"/>
      <c r="BA120" s="133"/>
      <c r="BB120" s="133"/>
      <c r="BC120" s="133"/>
      <c r="BD120" s="133"/>
      <c r="BE120" s="133"/>
      <c r="BF120" s="133"/>
      <c r="BG120" s="133"/>
      <c r="BH120" s="133"/>
      <c r="BI120" s="133"/>
      <c r="BJ120" s="133"/>
      <c r="BK120" s="133"/>
      <c r="BL120" s="133"/>
      <c r="BM120" s="133"/>
      <c r="BN120" s="133"/>
      <c r="BO120" s="133"/>
      <c r="BP120" s="133"/>
      <c r="BQ120" s="133"/>
      <c r="BR120" s="133"/>
      <c r="BS120" s="133"/>
      <c r="BT120" s="133"/>
      <c r="BU120" s="133"/>
      <c r="BV120" s="133"/>
      <c r="BW120" s="133"/>
    </row>
    <row r="121" s="140" customFormat="1" customHeight="1" spans="1:75">
      <c r="A121" s="161">
        <v>150</v>
      </c>
      <c r="B121" s="357" t="s">
        <v>500</v>
      </c>
      <c r="C121" s="162"/>
      <c r="D121" s="357" t="s">
        <v>402</v>
      </c>
      <c r="E121" s="162">
        <v>1.9</v>
      </c>
      <c r="F121" s="367"/>
      <c r="G121" s="191">
        <f t="shared" si="7"/>
        <v>0</v>
      </c>
      <c r="H121" s="190">
        <f t="shared" si="8"/>
        <v>313.2</v>
      </c>
      <c r="I121" s="191">
        <f t="shared" si="9"/>
        <v>595.08</v>
      </c>
      <c r="J121" s="190">
        <f t="shared" si="10"/>
        <v>313.2</v>
      </c>
      <c r="K121" s="191">
        <f t="shared" si="11"/>
        <v>595.08</v>
      </c>
      <c r="L121" s="190">
        <f t="shared" si="12"/>
        <v>0</v>
      </c>
      <c r="M121" s="191">
        <f t="shared" si="13"/>
        <v>0</v>
      </c>
      <c r="N121" s="370"/>
      <c r="O121" s="370"/>
      <c r="P121" s="370">
        <v>24.2</v>
      </c>
      <c r="Q121" s="370">
        <v>24.2</v>
      </c>
      <c r="R121" s="370"/>
      <c r="S121" s="370"/>
      <c r="T121" s="370"/>
      <c r="U121" s="370"/>
      <c r="V121" s="370"/>
      <c r="W121" s="370"/>
      <c r="X121" s="370"/>
      <c r="Y121" s="370"/>
      <c r="Z121" s="370"/>
      <c r="AA121" s="370"/>
      <c r="AB121" s="370"/>
      <c r="AC121" s="370"/>
      <c r="AD121" s="370">
        <v>29.7</v>
      </c>
      <c r="AE121" s="370">
        <v>29.7</v>
      </c>
      <c r="AF121" s="370"/>
      <c r="AG121" s="370"/>
      <c r="AH121" s="370">
        <v>23</v>
      </c>
      <c r="AI121" s="370">
        <v>23</v>
      </c>
      <c r="AJ121" s="370"/>
      <c r="AK121" s="370"/>
      <c r="AL121" s="370">
        <v>22.7</v>
      </c>
      <c r="AM121" s="370">
        <v>22.7</v>
      </c>
      <c r="AN121" s="133"/>
      <c r="AO121" s="133"/>
      <c r="AP121" s="133"/>
      <c r="AQ121" s="133"/>
      <c r="AR121" s="133"/>
      <c r="AS121" s="133"/>
      <c r="AT121" s="133"/>
      <c r="AU121" s="133"/>
      <c r="AV121" s="133">
        <v>41.6</v>
      </c>
      <c r="AW121" s="133">
        <v>41.6</v>
      </c>
      <c r="AX121" s="133"/>
      <c r="AY121" s="133"/>
      <c r="AZ121" s="133"/>
      <c r="BA121" s="133"/>
      <c r="BB121" s="133"/>
      <c r="BC121" s="133"/>
      <c r="BD121" s="133"/>
      <c r="BE121" s="133"/>
      <c r="BF121" s="133">
        <v>42</v>
      </c>
      <c r="BG121" s="133">
        <v>42</v>
      </c>
      <c r="BH121" s="133"/>
      <c r="BI121" s="133"/>
      <c r="BJ121" s="133">
        <v>36</v>
      </c>
      <c r="BK121" s="133">
        <v>36</v>
      </c>
      <c r="BL121" s="133"/>
      <c r="BM121" s="133"/>
      <c r="BN121" s="133">
        <v>48</v>
      </c>
      <c r="BO121" s="133">
        <v>48</v>
      </c>
      <c r="BP121" s="133"/>
      <c r="BQ121" s="133"/>
      <c r="BR121" s="133">
        <v>46</v>
      </c>
      <c r="BS121" s="133">
        <v>46</v>
      </c>
      <c r="BT121" s="133"/>
      <c r="BU121" s="133"/>
      <c r="BV121" s="133"/>
      <c r="BW121" s="133"/>
    </row>
    <row r="122" s="140" customFormat="1" customHeight="1" spans="1:75">
      <c r="A122" s="161">
        <v>151</v>
      </c>
      <c r="B122" s="357" t="s">
        <v>501</v>
      </c>
      <c r="C122" s="162"/>
      <c r="D122" s="357" t="s">
        <v>453</v>
      </c>
      <c r="E122" s="162">
        <v>45</v>
      </c>
      <c r="F122" s="367"/>
      <c r="G122" s="191">
        <f t="shared" si="7"/>
        <v>0</v>
      </c>
      <c r="H122" s="190">
        <f t="shared" si="8"/>
        <v>12</v>
      </c>
      <c r="I122" s="191">
        <f t="shared" si="9"/>
        <v>540</v>
      </c>
      <c r="J122" s="190">
        <f t="shared" si="10"/>
        <v>12</v>
      </c>
      <c r="K122" s="191">
        <f t="shared" si="11"/>
        <v>540</v>
      </c>
      <c r="L122" s="190">
        <f t="shared" si="12"/>
        <v>0</v>
      </c>
      <c r="M122" s="191">
        <f t="shared" si="13"/>
        <v>0</v>
      </c>
      <c r="N122" s="370">
        <v>1</v>
      </c>
      <c r="O122" s="370">
        <v>1</v>
      </c>
      <c r="P122" s="370"/>
      <c r="Q122" s="370"/>
      <c r="R122" s="370"/>
      <c r="S122" s="370"/>
      <c r="T122" s="370"/>
      <c r="U122" s="370"/>
      <c r="V122" s="370">
        <v>1</v>
      </c>
      <c r="W122" s="370">
        <v>1</v>
      </c>
      <c r="X122" s="370"/>
      <c r="Y122" s="370"/>
      <c r="Z122" s="370"/>
      <c r="AA122" s="370"/>
      <c r="AB122" s="370"/>
      <c r="AC122" s="370"/>
      <c r="AD122" s="370">
        <v>1</v>
      </c>
      <c r="AE122" s="370">
        <v>1</v>
      </c>
      <c r="AF122" s="370"/>
      <c r="AG122" s="370"/>
      <c r="AH122" s="370">
        <v>1</v>
      </c>
      <c r="AI122" s="370">
        <v>1</v>
      </c>
      <c r="AJ122" s="370"/>
      <c r="AK122" s="370"/>
      <c r="AL122" s="370">
        <v>1</v>
      </c>
      <c r="AM122" s="370">
        <v>1</v>
      </c>
      <c r="AN122" s="133"/>
      <c r="AO122" s="133"/>
      <c r="AP122" s="133"/>
      <c r="AQ122" s="133"/>
      <c r="AR122" s="133"/>
      <c r="AS122" s="133"/>
      <c r="AT122" s="133"/>
      <c r="AU122" s="133"/>
      <c r="AV122" s="133">
        <v>1</v>
      </c>
      <c r="AW122" s="133">
        <v>1</v>
      </c>
      <c r="AX122" s="133"/>
      <c r="AY122" s="133"/>
      <c r="AZ122" s="133">
        <v>1</v>
      </c>
      <c r="BA122" s="133">
        <v>1</v>
      </c>
      <c r="BB122" s="133">
        <v>1</v>
      </c>
      <c r="BC122" s="133">
        <v>1</v>
      </c>
      <c r="BD122" s="133"/>
      <c r="BE122" s="133"/>
      <c r="BF122" s="133">
        <v>1</v>
      </c>
      <c r="BG122" s="133">
        <v>1</v>
      </c>
      <c r="BH122" s="133"/>
      <c r="BI122" s="133"/>
      <c r="BJ122" s="133">
        <v>1</v>
      </c>
      <c r="BK122" s="133">
        <v>1</v>
      </c>
      <c r="BL122" s="133"/>
      <c r="BM122" s="133"/>
      <c r="BN122" s="133">
        <v>1</v>
      </c>
      <c r="BO122" s="133">
        <v>1</v>
      </c>
      <c r="BP122" s="133"/>
      <c r="BQ122" s="133"/>
      <c r="BR122" s="133">
        <v>1</v>
      </c>
      <c r="BS122" s="133">
        <v>1</v>
      </c>
      <c r="BT122" s="133"/>
      <c r="BU122" s="133"/>
      <c r="BV122" s="133"/>
      <c r="BW122" s="133"/>
    </row>
    <row r="123" s="140" customFormat="1" customHeight="1" spans="1:75">
      <c r="A123" s="161">
        <v>152</v>
      </c>
      <c r="B123" s="357" t="s">
        <v>502</v>
      </c>
      <c r="C123" s="162"/>
      <c r="D123" s="162"/>
      <c r="E123" s="162">
        <v>2.8</v>
      </c>
      <c r="F123" s="367"/>
      <c r="G123" s="191">
        <f t="shared" si="7"/>
        <v>0</v>
      </c>
      <c r="H123" s="190">
        <f t="shared" si="8"/>
        <v>317.3</v>
      </c>
      <c r="I123" s="191">
        <f t="shared" si="9"/>
        <v>888.44</v>
      </c>
      <c r="J123" s="190">
        <f t="shared" si="10"/>
        <v>317.3</v>
      </c>
      <c r="K123" s="191">
        <f t="shared" si="11"/>
        <v>888.44</v>
      </c>
      <c r="L123" s="190">
        <f t="shared" si="12"/>
        <v>0</v>
      </c>
      <c r="M123" s="191">
        <f t="shared" si="13"/>
        <v>0</v>
      </c>
      <c r="N123" s="370"/>
      <c r="O123" s="370"/>
      <c r="P123" s="370">
        <v>49</v>
      </c>
      <c r="Q123" s="370">
        <v>49</v>
      </c>
      <c r="R123" s="370"/>
      <c r="S123" s="370"/>
      <c r="T123" s="370"/>
      <c r="U123" s="370"/>
      <c r="V123" s="370">
        <v>45.5</v>
      </c>
      <c r="W123" s="370">
        <v>45.5</v>
      </c>
      <c r="X123" s="370"/>
      <c r="Y123" s="370"/>
      <c r="Z123" s="370"/>
      <c r="AA123" s="370"/>
      <c r="AB123" s="370"/>
      <c r="AC123" s="370"/>
      <c r="AD123" s="370">
        <v>47</v>
      </c>
      <c r="AE123" s="370">
        <v>47</v>
      </c>
      <c r="AF123" s="370"/>
      <c r="AG123" s="370"/>
      <c r="AH123" s="370"/>
      <c r="AI123" s="370"/>
      <c r="AJ123" s="370"/>
      <c r="AK123" s="370"/>
      <c r="AL123" s="370">
        <v>47.8</v>
      </c>
      <c r="AM123" s="370">
        <v>47.8</v>
      </c>
      <c r="AN123" s="133"/>
      <c r="AO123" s="133"/>
      <c r="AP123" s="133"/>
      <c r="AQ123" s="133"/>
      <c r="AR123" s="133"/>
      <c r="AS123" s="133"/>
      <c r="AT123" s="133"/>
      <c r="AU123" s="133"/>
      <c r="AV123" s="133"/>
      <c r="AW123" s="133"/>
      <c r="AX123" s="133"/>
      <c r="AY123" s="133"/>
      <c r="AZ123" s="133"/>
      <c r="BA123" s="133"/>
      <c r="BB123" s="133">
        <v>40</v>
      </c>
      <c r="BC123" s="133">
        <v>40</v>
      </c>
      <c r="BD123" s="133"/>
      <c r="BE123" s="133"/>
      <c r="BF123" s="133">
        <v>38</v>
      </c>
      <c r="BG123" s="133">
        <v>38</v>
      </c>
      <c r="BH123" s="133"/>
      <c r="BI123" s="133"/>
      <c r="BJ123" s="133"/>
      <c r="BK123" s="133"/>
      <c r="BL123" s="133"/>
      <c r="BM123" s="133"/>
      <c r="BN123" s="133">
        <v>50</v>
      </c>
      <c r="BO123" s="133">
        <v>50</v>
      </c>
      <c r="BP123" s="133"/>
      <c r="BR123" s="133"/>
      <c r="BS123" s="133"/>
      <c r="BT123" s="133"/>
      <c r="BU123" s="133"/>
      <c r="BV123" s="133"/>
      <c r="BW123" s="133"/>
    </row>
    <row r="124" s="140" customFormat="1" customHeight="1" spans="1:75">
      <c r="A124" s="161">
        <v>153</v>
      </c>
      <c r="B124" s="357" t="s">
        <v>503</v>
      </c>
      <c r="C124" s="162"/>
      <c r="D124" s="162"/>
      <c r="E124" s="162">
        <v>4</v>
      </c>
      <c r="F124" s="367"/>
      <c r="G124" s="191">
        <f t="shared" si="7"/>
        <v>0</v>
      </c>
      <c r="H124" s="190">
        <f t="shared" si="8"/>
        <v>95.2</v>
      </c>
      <c r="I124" s="191">
        <f t="shared" si="9"/>
        <v>380.8</v>
      </c>
      <c r="J124" s="190">
        <f t="shared" si="10"/>
        <v>95.2</v>
      </c>
      <c r="K124" s="191">
        <f t="shared" si="11"/>
        <v>380.8</v>
      </c>
      <c r="L124" s="190">
        <f t="shared" si="12"/>
        <v>0</v>
      </c>
      <c r="M124" s="191">
        <f t="shared" si="13"/>
        <v>0</v>
      </c>
      <c r="N124" s="370">
        <v>23</v>
      </c>
      <c r="O124" s="370">
        <v>23</v>
      </c>
      <c r="P124" s="370"/>
      <c r="Q124" s="370"/>
      <c r="R124" s="370">
        <v>24</v>
      </c>
      <c r="S124" s="370">
        <v>24</v>
      </c>
      <c r="T124" s="370"/>
      <c r="U124" s="370"/>
      <c r="V124" s="370"/>
      <c r="W124" s="370"/>
      <c r="X124" s="370"/>
      <c r="Y124" s="370"/>
      <c r="Z124" s="370"/>
      <c r="AA124" s="370"/>
      <c r="AB124" s="370"/>
      <c r="AC124" s="370"/>
      <c r="AD124" s="370">
        <v>25</v>
      </c>
      <c r="AE124" s="370">
        <v>25</v>
      </c>
      <c r="AF124" s="370"/>
      <c r="AG124" s="370"/>
      <c r="AH124" s="370"/>
      <c r="AI124" s="370"/>
      <c r="AJ124" s="370"/>
      <c r="AK124" s="370"/>
      <c r="AL124" s="370"/>
      <c r="AM124" s="370"/>
      <c r="AN124" s="133"/>
      <c r="AO124" s="133"/>
      <c r="AP124" s="133"/>
      <c r="AQ124" s="133"/>
      <c r="AR124" s="133"/>
      <c r="AS124" s="133"/>
      <c r="AT124" s="133"/>
      <c r="AU124" s="133"/>
      <c r="AV124" s="133">
        <v>23.2</v>
      </c>
      <c r="AW124" s="133">
        <v>23.2</v>
      </c>
      <c r="AX124" s="133"/>
      <c r="AY124" s="133"/>
      <c r="AZ124" s="133"/>
      <c r="BA124" s="133"/>
      <c r="BB124" s="133"/>
      <c r="BC124" s="133"/>
      <c r="BD124" s="133"/>
      <c r="BE124" s="133"/>
      <c r="BF124" s="133"/>
      <c r="BG124" s="133"/>
      <c r="BH124" s="133"/>
      <c r="BI124" s="133"/>
      <c r="BJ124" s="133"/>
      <c r="BK124" s="133"/>
      <c r="BL124" s="133"/>
      <c r="BM124" s="133"/>
      <c r="BN124" s="133"/>
      <c r="BO124" s="133"/>
      <c r="BP124" s="133"/>
      <c r="BQ124" s="133"/>
      <c r="BR124" s="133"/>
      <c r="BS124" s="133"/>
      <c r="BT124" s="133"/>
      <c r="BU124" s="133"/>
      <c r="BV124" s="133"/>
      <c r="BW124" s="133"/>
    </row>
    <row r="125" s="140" customFormat="1" customHeight="1" spans="1:75">
      <c r="A125" s="161">
        <v>154</v>
      </c>
      <c r="B125" s="357" t="s">
        <v>504</v>
      </c>
      <c r="C125" s="162"/>
      <c r="D125" s="162"/>
      <c r="E125" s="162">
        <v>4.5</v>
      </c>
      <c r="F125" s="367"/>
      <c r="G125" s="191">
        <f t="shared" si="7"/>
        <v>0</v>
      </c>
      <c r="H125" s="190">
        <f t="shared" si="8"/>
        <v>40</v>
      </c>
      <c r="I125" s="191">
        <f t="shared" si="9"/>
        <v>180</v>
      </c>
      <c r="J125" s="190">
        <f t="shared" si="10"/>
        <v>40</v>
      </c>
      <c r="K125" s="191">
        <f t="shared" si="11"/>
        <v>180</v>
      </c>
      <c r="L125" s="190">
        <f t="shared" si="12"/>
        <v>0</v>
      </c>
      <c r="M125" s="191">
        <f t="shared" si="13"/>
        <v>0</v>
      </c>
      <c r="N125" s="370">
        <v>5</v>
      </c>
      <c r="O125" s="370">
        <v>5</v>
      </c>
      <c r="P125" s="370"/>
      <c r="Q125" s="370"/>
      <c r="R125" s="370"/>
      <c r="S125" s="370"/>
      <c r="T125" s="370"/>
      <c r="U125" s="370"/>
      <c r="V125" s="370"/>
      <c r="W125" s="370"/>
      <c r="X125" s="370"/>
      <c r="Y125" s="370"/>
      <c r="Z125" s="370"/>
      <c r="AA125" s="370"/>
      <c r="AB125" s="370"/>
      <c r="AC125" s="370"/>
      <c r="AD125" s="370"/>
      <c r="AE125" s="370"/>
      <c r="AF125" s="370"/>
      <c r="AG125" s="370"/>
      <c r="AH125" s="370"/>
      <c r="AI125" s="370"/>
      <c r="AJ125" s="370"/>
      <c r="AK125" s="370"/>
      <c r="AL125" s="370"/>
      <c r="AM125" s="370"/>
      <c r="AN125" s="133"/>
      <c r="AO125" s="133"/>
      <c r="AP125" s="133"/>
      <c r="AQ125" s="133"/>
      <c r="AR125" s="133"/>
      <c r="AS125" s="133"/>
      <c r="AT125" s="133"/>
      <c r="AU125" s="133"/>
      <c r="AV125" s="133"/>
      <c r="AW125" s="133"/>
      <c r="AX125" s="133"/>
      <c r="AY125" s="133"/>
      <c r="AZ125" s="133"/>
      <c r="BA125" s="133"/>
      <c r="BB125" s="133"/>
      <c r="BC125" s="133"/>
      <c r="BD125" s="133"/>
      <c r="BE125" s="133"/>
      <c r="BF125" s="133"/>
      <c r="BG125" s="133"/>
      <c r="BH125" s="133"/>
      <c r="BI125" s="133"/>
      <c r="BJ125" s="133">
        <v>10</v>
      </c>
      <c r="BK125" s="133">
        <v>10</v>
      </c>
      <c r="BL125" s="133"/>
      <c r="BM125" s="133"/>
      <c r="BN125" s="133">
        <v>15</v>
      </c>
      <c r="BO125" s="133">
        <v>15</v>
      </c>
      <c r="BP125" s="133"/>
      <c r="BQ125" s="133"/>
      <c r="BR125" s="133">
        <v>10</v>
      </c>
      <c r="BS125" s="133">
        <v>10</v>
      </c>
      <c r="BT125" s="133"/>
      <c r="BU125" s="133"/>
      <c r="BV125" s="133"/>
      <c r="BW125" s="133"/>
    </row>
    <row r="126" s="140" customFormat="1" customHeight="1" spans="1:75">
      <c r="A126" s="161">
        <v>155</v>
      </c>
      <c r="B126" s="357" t="s">
        <v>505</v>
      </c>
      <c r="C126" s="162"/>
      <c r="D126" s="357" t="s">
        <v>402</v>
      </c>
      <c r="E126" s="162">
        <v>9</v>
      </c>
      <c r="F126" s="367"/>
      <c r="G126" s="191">
        <f t="shared" si="7"/>
        <v>0</v>
      </c>
      <c r="H126" s="190">
        <f t="shared" si="8"/>
        <v>23.9</v>
      </c>
      <c r="I126" s="191">
        <f t="shared" si="9"/>
        <v>215.1</v>
      </c>
      <c r="J126" s="190">
        <f t="shared" si="10"/>
        <v>23.9</v>
      </c>
      <c r="K126" s="191">
        <f t="shared" si="11"/>
        <v>215.1</v>
      </c>
      <c r="L126" s="190">
        <f t="shared" si="12"/>
        <v>0</v>
      </c>
      <c r="M126" s="191">
        <f t="shared" si="13"/>
        <v>0</v>
      </c>
      <c r="N126" s="370">
        <v>3.8</v>
      </c>
      <c r="O126" s="370">
        <v>3.8</v>
      </c>
      <c r="P126" s="370"/>
      <c r="Q126" s="370"/>
      <c r="R126" s="370"/>
      <c r="S126" s="370"/>
      <c r="T126" s="370"/>
      <c r="U126" s="370"/>
      <c r="V126" s="370"/>
      <c r="W126" s="370"/>
      <c r="X126" s="370"/>
      <c r="Y126" s="370"/>
      <c r="Z126" s="370"/>
      <c r="AA126" s="370"/>
      <c r="AB126" s="370"/>
      <c r="AC126" s="370"/>
      <c r="AD126" s="370"/>
      <c r="AE126" s="370"/>
      <c r="AF126" s="370"/>
      <c r="AG126" s="370"/>
      <c r="AH126" s="370">
        <v>3.3</v>
      </c>
      <c r="AI126" s="370">
        <v>3.3</v>
      </c>
      <c r="AJ126" s="370"/>
      <c r="AK126" s="370"/>
      <c r="AL126" s="370"/>
      <c r="AM126" s="370"/>
      <c r="AN126" s="387">
        <v>3.4</v>
      </c>
      <c r="AO126" s="133">
        <v>3.4</v>
      </c>
      <c r="AP126" s="133"/>
      <c r="AQ126" s="133"/>
      <c r="AR126" s="133"/>
      <c r="AS126" s="133"/>
      <c r="AT126" s="133">
        <v>3.4</v>
      </c>
      <c r="AU126" s="133">
        <v>3.4</v>
      </c>
      <c r="AV126" s="133"/>
      <c r="AW126" s="133"/>
      <c r="AX126" s="133"/>
      <c r="AY126" s="133"/>
      <c r="AZ126" s="133"/>
      <c r="BA126" s="133"/>
      <c r="BB126" s="133"/>
      <c r="BC126" s="133"/>
      <c r="BD126" s="133"/>
      <c r="BE126" s="133"/>
      <c r="BF126" s="133">
        <v>10</v>
      </c>
      <c r="BG126" s="133">
        <v>10</v>
      </c>
      <c r="BH126" s="133"/>
      <c r="BI126" s="133"/>
      <c r="BJ126" s="291"/>
      <c r="BK126" s="133"/>
      <c r="BL126" s="133"/>
      <c r="BM126" s="133"/>
      <c r="BN126" s="133"/>
      <c r="BO126" s="133"/>
      <c r="BP126" s="133"/>
      <c r="BQ126" s="133"/>
      <c r="BR126" s="133"/>
      <c r="BS126" s="133"/>
      <c r="BT126" s="133"/>
      <c r="BU126" s="133"/>
      <c r="BV126" s="133"/>
      <c r="BW126" s="133"/>
    </row>
    <row r="127" s="140" customFormat="1" customHeight="1" spans="1:75">
      <c r="A127" s="161">
        <v>156</v>
      </c>
      <c r="B127" s="357" t="s">
        <v>506</v>
      </c>
      <c r="C127" s="162"/>
      <c r="D127" s="357" t="s">
        <v>318</v>
      </c>
      <c r="E127" s="162">
        <v>35</v>
      </c>
      <c r="F127" s="367"/>
      <c r="G127" s="191">
        <f t="shared" si="7"/>
        <v>0</v>
      </c>
      <c r="H127" s="190">
        <f t="shared" si="8"/>
        <v>0</v>
      </c>
      <c r="I127" s="191">
        <f t="shared" si="9"/>
        <v>0</v>
      </c>
      <c r="J127" s="190">
        <f t="shared" si="10"/>
        <v>0</v>
      </c>
      <c r="K127" s="191">
        <f t="shared" si="11"/>
        <v>0</v>
      </c>
      <c r="L127" s="190">
        <f t="shared" si="12"/>
        <v>0</v>
      </c>
      <c r="M127" s="191">
        <f t="shared" si="13"/>
        <v>0</v>
      </c>
      <c r="N127" s="370"/>
      <c r="O127" s="370"/>
      <c r="P127" s="370"/>
      <c r="Q127" s="370"/>
      <c r="R127" s="370"/>
      <c r="S127" s="370"/>
      <c r="T127" s="370"/>
      <c r="U127" s="370"/>
      <c r="V127" s="370"/>
      <c r="W127" s="370"/>
      <c r="X127" s="370"/>
      <c r="Y127" s="370"/>
      <c r="Z127" s="370"/>
      <c r="AA127" s="370"/>
      <c r="AB127" s="370"/>
      <c r="AC127" s="370"/>
      <c r="AD127" s="370"/>
      <c r="AE127" s="370"/>
      <c r="AF127" s="370"/>
      <c r="AG127" s="370"/>
      <c r="AH127" s="370"/>
      <c r="AI127" s="370"/>
      <c r="AJ127" s="370"/>
      <c r="AK127" s="370"/>
      <c r="AL127" s="370"/>
      <c r="AM127" s="385"/>
      <c r="AN127" s="293"/>
      <c r="AO127" s="143"/>
      <c r="AP127" s="133"/>
      <c r="AQ127" s="133"/>
      <c r="AR127" s="133"/>
      <c r="AS127" s="133"/>
      <c r="AT127" s="133"/>
      <c r="AU127" s="133"/>
      <c r="AV127" s="133"/>
      <c r="AW127" s="133"/>
      <c r="AX127" s="133"/>
      <c r="AY127" s="133"/>
      <c r="AZ127" s="133"/>
      <c r="BA127" s="133"/>
      <c r="BB127" s="133"/>
      <c r="BC127" s="133"/>
      <c r="BD127" s="133"/>
      <c r="BE127" s="133"/>
      <c r="BF127" s="133"/>
      <c r="BG127" s="133"/>
      <c r="BH127" s="133"/>
      <c r="BI127" s="133"/>
      <c r="BJ127" s="133"/>
      <c r="BK127" s="133"/>
      <c r="BL127" s="133"/>
      <c r="BM127" s="133"/>
      <c r="BN127" s="133"/>
      <c r="BO127" s="133"/>
      <c r="BP127" s="133"/>
      <c r="BQ127" s="133"/>
      <c r="BR127" s="133"/>
      <c r="BS127" s="133"/>
      <c r="BT127" s="133"/>
      <c r="BU127" s="133"/>
      <c r="BV127" s="133"/>
      <c r="BW127" s="133"/>
    </row>
    <row r="128" s="140" customFormat="1" customHeight="1" spans="1:75">
      <c r="A128" s="161">
        <v>157</v>
      </c>
      <c r="B128" s="357" t="s">
        <v>507</v>
      </c>
      <c r="C128" s="162"/>
      <c r="D128" s="357" t="s">
        <v>453</v>
      </c>
      <c r="E128" s="162">
        <v>130</v>
      </c>
      <c r="F128" s="367"/>
      <c r="G128" s="191">
        <f t="shared" si="7"/>
        <v>0</v>
      </c>
      <c r="H128" s="190">
        <f t="shared" si="8"/>
        <v>0</v>
      </c>
      <c r="I128" s="191">
        <f t="shared" si="9"/>
        <v>0</v>
      </c>
      <c r="J128" s="190">
        <f t="shared" si="10"/>
        <v>0</v>
      </c>
      <c r="K128" s="191">
        <f t="shared" si="11"/>
        <v>0</v>
      </c>
      <c r="L128" s="190">
        <f t="shared" si="12"/>
        <v>0</v>
      </c>
      <c r="M128" s="191">
        <f t="shared" si="13"/>
        <v>0</v>
      </c>
      <c r="N128" s="370"/>
      <c r="O128" s="370"/>
      <c r="P128" s="370"/>
      <c r="Q128" s="370"/>
      <c r="R128" s="370"/>
      <c r="S128" s="370"/>
      <c r="T128" s="370"/>
      <c r="U128" s="370"/>
      <c r="V128" s="370"/>
      <c r="W128" s="370"/>
      <c r="X128" s="370"/>
      <c r="Y128" s="370"/>
      <c r="Z128" s="370"/>
      <c r="AA128" s="370"/>
      <c r="AB128" s="370"/>
      <c r="AC128" s="370"/>
      <c r="AD128" s="370"/>
      <c r="AE128" s="370"/>
      <c r="AF128" s="370"/>
      <c r="AG128" s="370"/>
      <c r="AH128" s="370"/>
      <c r="AI128" s="370"/>
      <c r="AJ128" s="370"/>
      <c r="AK128" s="370"/>
      <c r="AL128" s="370"/>
      <c r="AM128" s="370"/>
      <c r="AN128" s="273"/>
      <c r="AO128" s="133"/>
      <c r="AP128" s="133"/>
      <c r="AQ128" s="133"/>
      <c r="AR128" s="133"/>
      <c r="AS128" s="133"/>
      <c r="AT128" s="133"/>
      <c r="AU128" s="133"/>
      <c r="AV128" s="133"/>
      <c r="AW128" s="133"/>
      <c r="AX128" s="133"/>
      <c r="AY128" s="133"/>
      <c r="AZ128" s="133"/>
      <c r="BA128" s="133"/>
      <c r="BB128" s="133"/>
      <c r="BC128" s="133"/>
      <c r="BD128" s="133"/>
      <c r="BE128" s="133"/>
      <c r="BF128" s="133"/>
      <c r="BG128" s="133"/>
      <c r="BH128" s="133"/>
      <c r="BI128" s="133"/>
      <c r="BJ128" s="133"/>
      <c r="BK128" s="133"/>
      <c r="BL128" s="133"/>
      <c r="BM128" s="133"/>
      <c r="BN128" s="133"/>
      <c r="BO128" s="133"/>
      <c r="BP128" s="133"/>
      <c r="BQ128" s="133"/>
      <c r="BR128" s="133"/>
      <c r="BS128" s="133"/>
      <c r="BT128" s="133"/>
      <c r="BU128" s="133"/>
      <c r="BV128" s="133"/>
      <c r="BW128" s="133"/>
    </row>
    <row r="129" s="140" customFormat="1" customHeight="1" spans="1:75">
      <c r="A129" s="161">
        <v>158</v>
      </c>
      <c r="B129" s="357" t="s">
        <v>508</v>
      </c>
      <c r="C129" s="162"/>
      <c r="D129" s="357" t="s">
        <v>402</v>
      </c>
      <c r="E129" s="162">
        <v>2.8</v>
      </c>
      <c r="F129" s="367"/>
      <c r="G129" s="191">
        <f t="shared" si="7"/>
        <v>0</v>
      </c>
      <c r="H129" s="190">
        <f t="shared" si="8"/>
        <v>115.6</v>
      </c>
      <c r="I129" s="191">
        <f t="shared" si="9"/>
        <v>323.68</v>
      </c>
      <c r="J129" s="190">
        <f t="shared" si="10"/>
        <v>115.6</v>
      </c>
      <c r="K129" s="191">
        <f t="shared" si="11"/>
        <v>323.68</v>
      </c>
      <c r="L129" s="190">
        <f t="shared" si="12"/>
        <v>0</v>
      </c>
      <c r="M129" s="191">
        <f t="shared" si="13"/>
        <v>0</v>
      </c>
      <c r="N129" s="370"/>
      <c r="O129" s="370"/>
      <c r="P129" s="370"/>
      <c r="Q129" s="370"/>
      <c r="R129" s="370"/>
      <c r="S129" s="370"/>
      <c r="T129" s="370"/>
      <c r="U129" s="370"/>
      <c r="V129" s="370"/>
      <c r="W129" s="370"/>
      <c r="X129" s="370"/>
      <c r="Y129" s="370"/>
      <c r="Z129" s="370"/>
      <c r="AA129" s="370"/>
      <c r="AB129" s="370"/>
      <c r="AC129" s="370"/>
      <c r="AD129" s="370"/>
      <c r="AE129" s="370"/>
      <c r="AF129" s="370"/>
      <c r="AG129" s="370"/>
      <c r="AH129" s="370">
        <v>41</v>
      </c>
      <c r="AI129" s="370">
        <v>41</v>
      </c>
      <c r="AJ129" s="370"/>
      <c r="AK129" s="370"/>
      <c r="AL129" s="370"/>
      <c r="AM129" s="370"/>
      <c r="AN129" s="133">
        <v>37</v>
      </c>
      <c r="AO129" s="133">
        <v>37</v>
      </c>
      <c r="AP129" s="133"/>
      <c r="AQ129" s="133"/>
      <c r="AR129" s="133"/>
      <c r="AS129" s="133"/>
      <c r="AT129" s="133">
        <v>37.6</v>
      </c>
      <c r="AU129" s="133">
        <v>37.6</v>
      </c>
      <c r="AV129" s="133"/>
      <c r="AW129" s="133"/>
      <c r="AX129" s="133"/>
      <c r="AY129" s="133"/>
      <c r="AZ129" s="133"/>
      <c r="BA129" s="133"/>
      <c r="BB129" s="133"/>
      <c r="BC129" s="133"/>
      <c r="BD129" s="133"/>
      <c r="BE129" s="133"/>
      <c r="BF129" s="133"/>
      <c r="BG129" s="133"/>
      <c r="BH129" s="133"/>
      <c r="BI129" s="133"/>
      <c r="BJ129" s="133"/>
      <c r="BK129" s="133"/>
      <c r="BL129" s="133"/>
      <c r="BM129" s="133"/>
      <c r="BN129" s="133"/>
      <c r="BO129" s="133"/>
      <c r="BP129" s="133"/>
      <c r="BQ129" s="133"/>
      <c r="BR129" s="133"/>
      <c r="BS129" s="133"/>
      <c r="BT129" s="133"/>
      <c r="BU129" s="133"/>
      <c r="BV129" s="133"/>
      <c r="BW129" s="133"/>
    </row>
    <row r="130" s="140" customFormat="1" customHeight="1" spans="1:75">
      <c r="A130" s="161">
        <v>159</v>
      </c>
      <c r="B130" s="357" t="s">
        <v>509</v>
      </c>
      <c r="C130" s="162"/>
      <c r="D130" s="357" t="s">
        <v>402</v>
      </c>
      <c r="E130" s="162">
        <v>5</v>
      </c>
      <c r="F130" s="367"/>
      <c r="G130" s="191">
        <f t="shared" si="7"/>
        <v>0</v>
      </c>
      <c r="H130" s="190">
        <f t="shared" si="8"/>
        <v>25.3</v>
      </c>
      <c r="I130" s="191">
        <f t="shared" si="9"/>
        <v>126.5</v>
      </c>
      <c r="J130" s="190">
        <f t="shared" si="10"/>
        <v>25.3</v>
      </c>
      <c r="K130" s="191">
        <f t="shared" si="11"/>
        <v>126.5</v>
      </c>
      <c r="L130" s="190">
        <f t="shared" si="12"/>
        <v>0</v>
      </c>
      <c r="M130" s="191">
        <f t="shared" si="13"/>
        <v>0</v>
      </c>
      <c r="N130" s="370"/>
      <c r="O130" s="370"/>
      <c r="P130" s="370">
        <v>10.3</v>
      </c>
      <c r="Q130" s="370">
        <v>10.3</v>
      </c>
      <c r="R130" s="370"/>
      <c r="S130" s="370"/>
      <c r="T130" s="370"/>
      <c r="U130" s="370"/>
      <c r="V130" s="370"/>
      <c r="W130" s="370"/>
      <c r="X130" s="370"/>
      <c r="Y130" s="370"/>
      <c r="Z130" s="370"/>
      <c r="AA130" s="370"/>
      <c r="AB130" s="370"/>
      <c r="AC130" s="370"/>
      <c r="AD130" s="370">
        <v>5</v>
      </c>
      <c r="AE130" s="370">
        <v>5</v>
      </c>
      <c r="AF130" s="370"/>
      <c r="AG130" s="370"/>
      <c r="AH130" s="370"/>
      <c r="AI130" s="370"/>
      <c r="AJ130" s="370"/>
      <c r="AK130" s="370"/>
      <c r="AL130" s="370"/>
      <c r="AM130" s="370"/>
      <c r="AN130" s="133"/>
      <c r="AO130" s="133"/>
      <c r="AP130" s="133"/>
      <c r="AQ130" s="133"/>
      <c r="AR130" s="133"/>
      <c r="AS130" s="133"/>
      <c r="AT130" s="133"/>
      <c r="AU130" s="133"/>
      <c r="AV130" s="133"/>
      <c r="AW130" s="133"/>
      <c r="AX130" s="133"/>
      <c r="AY130" s="133"/>
      <c r="AZ130" s="133"/>
      <c r="BA130" s="133"/>
      <c r="BB130" s="133"/>
      <c r="BC130" s="133"/>
      <c r="BD130" s="133"/>
      <c r="BE130" s="133"/>
      <c r="BF130" s="133"/>
      <c r="BG130" s="133"/>
      <c r="BH130" s="133"/>
      <c r="BI130" s="133"/>
      <c r="BJ130" s="133">
        <v>10</v>
      </c>
      <c r="BK130" s="133">
        <v>10</v>
      </c>
      <c r="BL130" s="133"/>
      <c r="BM130" s="133"/>
      <c r="BN130" s="133"/>
      <c r="BO130" s="133"/>
      <c r="BP130" s="133"/>
      <c r="BQ130" s="133"/>
      <c r="BR130" s="133"/>
      <c r="BS130" s="133"/>
      <c r="BT130" s="133"/>
      <c r="BU130" s="133"/>
      <c r="BV130" s="133"/>
      <c r="BW130" s="133"/>
    </row>
    <row r="131" s="140" customFormat="1" customHeight="1" spans="1:75">
      <c r="A131" s="161">
        <v>160</v>
      </c>
      <c r="B131" s="357" t="s">
        <v>510</v>
      </c>
      <c r="C131" s="162"/>
      <c r="D131" s="357" t="s">
        <v>453</v>
      </c>
      <c r="E131" s="162">
        <v>155</v>
      </c>
      <c r="F131" s="367"/>
      <c r="G131" s="191">
        <f t="shared" si="7"/>
        <v>0</v>
      </c>
      <c r="H131" s="190">
        <f t="shared" si="8"/>
        <v>6</v>
      </c>
      <c r="I131" s="191">
        <f t="shared" si="9"/>
        <v>930</v>
      </c>
      <c r="J131" s="190">
        <f t="shared" si="10"/>
        <v>6</v>
      </c>
      <c r="K131" s="191">
        <f t="shared" si="11"/>
        <v>930</v>
      </c>
      <c r="L131" s="190">
        <f t="shared" si="12"/>
        <v>0</v>
      </c>
      <c r="M131" s="191">
        <f t="shared" si="13"/>
        <v>0</v>
      </c>
      <c r="N131" s="370"/>
      <c r="O131" s="370"/>
      <c r="P131" s="370">
        <v>1</v>
      </c>
      <c r="Q131" s="370">
        <v>1</v>
      </c>
      <c r="R131" s="370"/>
      <c r="S131" s="370"/>
      <c r="T131" s="370"/>
      <c r="U131" s="370"/>
      <c r="V131" s="370"/>
      <c r="W131" s="370"/>
      <c r="X131" s="370"/>
      <c r="Y131" s="370"/>
      <c r="Z131" s="370"/>
      <c r="AA131" s="370"/>
      <c r="AB131" s="370"/>
      <c r="AC131" s="370"/>
      <c r="AD131" s="370"/>
      <c r="AE131" s="370"/>
      <c r="AF131" s="370"/>
      <c r="AG131" s="370"/>
      <c r="AH131" s="370"/>
      <c r="AI131" s="370"/>
      <c r="AJ131" s="370">
        <v>1</v>
      </c>
      <c r="AK131" s="370">
        <v>1</v>
      </c>
      <c r="AL131" s="370"/>
      <c r="AM131" s="370"/>
      <c r="AN131" s="133"/>
      <c r="AO131" s="133"/>
      <c r="AP131" s="133"/>
      <c r="AQ131" s="133"/>
      <c r="AR131" s="133"/>
      <c r="AS131" s="133"/>
      <c r="AT131" s="133"/>
      <c r="AU131" s="133"/>
      <c r="AV131" s="133"/>
      <c r="AW131" s="133"/>
      <c r="AX131" s="133"/>
      <c r="AY131" s="133"/>
      <c r="AZ131" s="133">
        <v>1</v>
      </c>
      <c r="BA131" s="133">
        <v>1</v>
      </c>
      <c r="BB131" s="133"/>
      <c r="BC131" s="133"/>
      <c r="BD131" s="133">
        <v>1</v>
      </c>
      <c r="BE131" s="133">
        <v>1</v>
      </c>
      <c r="BF131" s="133"/>
      <c r="BG131" s="133"/>
      <c r="BH131" s="133"/>
      <c r="BI131" s="133"/>
      <c r="BJ131" s="133">
        <v>1</v>
      </c>
      <c r="BK131" s="133">
        <v>1</v>
      </c>
      <c r="BL131" s="133"/>
      <c r="BM131" s="133"/>
      <c r="BN131" s="133">
        <v>1</v>
      </c>
      <c r="BO131" s="133">
        <v>1</v>
      </c>
      <c r="BP131" s="133"/>
      <c r="BQ131" s="133"/>
      <c r="BR131" s="133"/>
      <c r="BS131" s="133"/>
      <c r="BU131" s="133"/>
      <c r="BV131" s="133"/>
      <c r="BW131" s="133"/>
    </row>
    <row r="132" s="140" customFormat="1" customHeight="1" spans="1:75">
      <c r="A132" s="161">
        <v>161</v>
      </c>
      <c r="B132" s="357" t="s">
        <v>511</v>
      </c>
      <c r="C132" s="162"/>
      <c r="D132" s="357" t="s">
        <v>402</v>
      </c>
      <c r="E132" s="162">
        <v>7.5</v>
      </c>
      <c r="F132" s="367"/>
      <c r="G132" s="191">
        <f t="shared" si="7"/>
        <v>0</v>
      </c>
      <c r="H132" s="190">
        <f t="shared" si="8"/>
        <v>0</v>
      </c>
      <c r="I132" s="191">
        <f t="shared" si="9"/>
        <v>0</v>
      </c>
      <c r="J132" s="190">
        <f t="shared" si="10"/>
        <v>0</v>
      </c>
      <c r="K132" s="191">
        <f t="shared" si="11"/>
        <v>0</v>
      </c>
      <c r="L132" s="190">
        <f t="shared" si="12"/>
        <v>0</v>
      </c>
      <c r="M132" s="191">
        <f t="shared" si="13"/>
        <v>0</v>
      </c>
      <c r="N132" s="370"/>
      <c r="O132" s="370"/>
      <c r="P132" s="370"/>
      <c r="Q132" s="370"/>
      <c r="R132" s="370"/>
      <c r="S132" s="370"/>
      <c r="T132" s="370"/>
      <c r="U132" s="370"/>
      <c r="V132" s="370"/>
      <c r="W132" s="370"/>
      <c r="X132" s="370"/>
      <c r="Y132" s="370"/>
      <c r="Z132" s="370"/>
      <c r="AA132" s="370"/>
      <c r="AB132" s="370"/>
      <c r="AC132" s="370"/>
      <c r="AD132" s="370"/>
      <c r="AE132" s="370"/>
      <c r="AF132" s="370"/>
      <c r="AG132" s="370"/>
      <c r="AH132" s="370"/>
      <c r="AI132" s="370"/>
      <c r="AJ132" s="370"/>
      <c r="AK132" s="370"/>
      <c r="AL132" s="370"/>
      <c r="AM132" s="370"/>
      <c r="AN132" s="133"/>
      <c r="AO132" s="133"/>
      <c r="AP132" s="133"/>
      <c r="AQ132" s="133"/>
      <c r="AR132" s="133"/>
      <c r="AS132" s="133"/>
      <c r="AT132" s="133"/>
      <c r="AU132" s="133"/>
      <c r="AV132" s="133"/>
      <c r="AW132" s="133"/>
      <c r="AX132" s="133"/>
      <c r="AY132" s="133"/>
      <c r="AZ132" s="133"/>
      <c r="BA132" s="133"/>
      <c r="BB132" s="133"/>
      <c r="BC132" s="133"/>
      <c r="BD132" s="133"/>
      <c r="BE132" s="133"/>
      <c r="BF132" s="133"/>
      <c r="BG132" s="133"/>
      <c r="BH132" s="133"/>
      <c r="BI132" s="133"/>
      <c r="BJ132" s="133"/>
      <c r="BK132" s="133"/>
      <c r="BL132" s="133"/>
      <c r="BM132" s="133"/>
      <c r="BN132" s="133"/>
      <c r="BO132" s="133"/>
      <c r="BP132" s="133"/>
      <c r="BQ132" s="133"/>
      <c r="BR132" s="133"/>
      <c r="BS132" s="133"/>
      <c r="BT132" s="133"/>
      <c r="BU132" s="133"/>
      <c r="BV132" s="133"/>
      <c r="BW132" s="133"/>
    </row>
    <row r="133" s="140" customFormat="1" customHeight="1" spans="1:75">
      <c r="A133" s="161">
        <v>162</v>
      </c>
      <c r="B133" s="357" t="s">
        <v>512</v>
      </c>
      <c r="C133" s="162"/>
      <c r="D133" s="357" t="s">
        <v>402</v>
      </c>
      <c r="E133" s="162">
        <v>3.8</v>
      </c>
      <c r="F133" s="367"/>
      <c r="G133" s="191">
        <f t="shared" si="7"/>
        <v>0</v>
      </c>
      <c r="H133" s="190">
        <f t="shared" si="8"/>
        <v>25</v>
      </c>
      <c r="I133" s="191">
        <f t="shared" si="9"/>
        <v>95</v>
      </c>
      <c r="J133" s="190">
        <f t="shared" si="10"/>
        <v>25</v>
      </c>
      <c r="K133" s="191">
        <f t="shared" si="11"/>
        <v>95</v>
      </c>
      <c r="L133" s="190">
        <f t="shared" si="12"/>
        <v>0</v>
      </c>
      <c r="M133" s="191">
        <f t="shared" si="13"/>
        <v>0</v>
      </c>
      <c r="N133" s="370"/>
      <c r="O133" s="370"/>
      <c r="P133" s="370"/>
      <c r="Q133" s="370"/>
      <c r="R133" s="370"/>
      <c r="S133" s="370"/>
      <c r="T133" s="370"/>
      <c r="U133" s="370"/>
      <c r="V133" s="370"/>
      <c r="W133" s="370"/>
      <c r="X133" s="370"/>
      <c r="Y133" s="370"/>
      <c r="Z133" s="370"/>
      <c r="AA133" s="370"/>
      <c r="AB133" s="370"/>
      <c r="AC133" s="370"/>
      <c r="AD133" s="370">
        <v>5</v>
      </c>
      <c r="AE133" s="370">
        <v>5</v>
      </c>
      <c r="AF133" s="370"/>
      <c r="AG133" s="370"/>
      <c r="AH133" s="370"/>
      <c r="AI133" s="370"/>
      <c r="AJ133" s="370">
        <v>10</v>
      </c>
      <c r="AK133" s="370">
        <v>10</v>
      </c>
      <c r="AL133" s="370"/>
      <c r="AM133" s="370"/>
      <c r="AN133" s="133"/>
      <c r="AO133" s="133"/>
      <c r="AP133" s="133"/>
      <c r="AQ133" s="133"/>
      <c r="AR133" s="133"/>
      <c r="AS133" s="133"/>
      <c r="AT133" s="133"/>
      <c r="AU133" s="133"/>
      <c r="AV133" s="133"/>
      <c r="AW133" s="133"/>
      <c r="AX133" s="133"/>
      <c r="AY133" s="133"/>
      <c r="AZ133" s="133"/>
      <c r="BA133" s="133"/>
      <c r="BB133" s="133"/>
      <c r="BC133" s="133"/>
      <c r="BD133" s="133"/>
      <c r="BE133" s="133"/>
      <c r="BF133" s="133">
        <v>10</v>
      </c>
      <c r="BG133" s="133">
        <v>10</v>
      </c>
      <c r="BH133" s="133"/>
      <c r="BI133" s="133"/>
      <c r="BJ133" s="133"/>
      <c r="BK133" s="133"/>
      <c r="BL133" s="133"/>
      <c r="BM133" s="133"/>
      <c r="BN133" s="133"/>
      <c r="BO133" s="133"/>
      <c r="BP133" s="133"/>
      <c r="BQ133" s="133"/>
      <c r="BR133" s="133"/>
      <c r="BS133" s="133"/>
      <c r="BT133" s="133"/>
      <c r="BU133" s="133"/>
      <c r="BV133" s="133"/>
      <c r="BW133" s="133"/>
    </row>
    <row r="134" s="140" customFormat="1" customHeight="1" spans="1:75">
      <c r="A134" s="161">
        <v>163</v>
      </c>
      <c r="B134" s="357" t="s">
        <v>513</v>
      </c>
      <c r="C134" s="162"/>
      <c r="D134" s="357" t="s">
        <v>453</v>
      </c>
      <c r="E134" s="162">
        <v>135</v>
      </c>
      <c r="F134" s="367"/>
      <c r="G134" s="191">
        <f t="shared" ref="G134:G197" si="14">+E134*F134</f>
        <v>0</v>
      </c>
      <c r="H134" s="190">
        <f t="shared" ref="H134:H197" si="15">SUMIF($N$4:$BW$4,$H$4,$N134:$BW134)</f>
        <v>0</v>
      </c>
      <c r="I134" s="191">
        <f t="shared" ref="I134:I197" si="16">+E134*H134</f>
        <v>0</v>
      </c>
      <c r="J134" s="190">
        <f t="shared" ref="J134:J197" si="17">SUMIF($N$4:$BW$4,$J$4,$N134:$BW134)</f>
        <v>0</v>
      </c>
      <c r="K134" s="191">
        <f t="shared" ref="K134:K197" si="18">+E134*J134</f>
        <v>0</v>
      </c>
      <c r="L134" s="190">
        <f t="shared" ref="L134:L197" si="19">+F134+H134-J134</f>
        <v>0</v>
      </c>
      <c r="M134" s="191">
        <f t="shared" ref="M134:M197" si="20">+E134*L134</f>
        <v>0</v>
      </c>
      <c r="N134" s="370"/>
      <c r="O134" s="370"/>
      <c r="P134" s="370"/>
      <c r="Q134" s="370"/>
      <c r="R134" s="370"/>
      <c r="S134" s="370"/>
      <c r="T134" s="370"/>
      <c r="U134" s="370"/>
      <c r="V134" s="370"/>
      <c r="W134" s="370"/>
      <c r="X134" s="370"/>
      <c r="Y134" s="370"/>
      <c r="Z134" s="370"/>
      <c r="AA134" s="370"/>
      <c r="AB134" s="370"/>
      <c r="AC134" s="370"/>
      <c r="AD134" s="370"/>
      <c r="AE134" s="370"/>
      <c r="AF134" s="370"/>
      <c r="AG134" s="370"/>
      <c r="AH134" s="370"/>
      <c r="AI134" s="370"/>
      <c r="AJ134" s="370"/>
      <c r="AK134" s="370"/>
      <c r="AL134" s="370"/>
      <c r="AM134" s="370"/>
      <c r="AN134" s="133"/>
      <c r="AO134" s="133"/>
      <c r="AP134" s="133"/>
      <c r="AQ134" s="133"/>
      <c r="AR134" s="133"/>
      <c r="AS134" s="133"/>
      <c r="AT134" s="133"/>
      <c r="AU134" s="133"/>
      <c r="AV134" s="133"/>
      <c r="AW134" s="133"/>
      <c r="AX134" s="133"/>
      <c r="AY134" s="133"/>
      <c r="AZ134" s="133"/>
      <c r="BA134" s="133"/>
      <c r="BB134" s="133"/>
      <c r="BC134" s="133"/>
      <c r="BD134" s="133"/>
      <c r="BE134" s="133"/>
      <c r="BF134" s="133"/>
      <c r="BG134" s="133"/>
      <c r="BH134" s="133"/>
      <c r="BI134" s="133"/>
      <c r="BJ134" s="133"/>
      <c r="BK134" s="133"/>
      <c r="BL134" s="133"/>
      <c r="BM134" s="133"/>
      <c r="BN134" s="133"/>
      <c r="BO134" s="133"/>
      <c r="BP134" s="133"/>
      <c r="BQ134" s="133"/>
      <c r="BR134" s="133"/>
      <c r="BS134" s="133"/>
      <c r="BT134" s="133"/>
      <c r="BU134" s="133"/>
      <c r="BV134" s="133"/>
      <c r="BW134" s="133"/>
    </row>
    <row r="135" s="140" customFormat="1" customHeight="1" spans="1:75">
      <c r="A135" s="161">
        <v>164</v>
      </c>
      <c r="B135" s="357" t="s">
        <v>514</v>
      </c>
      <c r="C135" s="162"/>
      <c r="D135" s="357" t="s">
        <v>453</v>
      </c>
      <c r="E135" s="162">
        <v>145</v>
      </c>
      <c r="F135" s="367"/>
      <c r="G135" s="191">
        <f t="shared" si="14"/>
        <v>0</v>
      </c>
      <c r="H135" s="190">
        <f t="shared" si="15"/>
        <v>0</v>
      </c>
      <c r="I135" s="191">
        <f t="shared" si="16"/>
        <v>0</v>
      </c>
      <c r="J135" s="190">
        <f t="shared" si="17"/>
        <v>0</v>
      </c>
      <c r="K135" s="191">
        <f t="shared" si="18"/>
        <v>0</v>
      </c>
      <c r="L135" s="190">
        <f t="shared" si="19"/>
        <v>0</v>
      </c>
      <c r="M135" s="191">
        <f t="shared" si="20"/>
        <v>0</v>
      </c>
      <c r="N135" s="370"/>
      <c r="O135" s="370"/>
      <c r="P135" s="370"/>
      <c r="Q135" s="370"/>
      <c r="R135" s="370"/>
      <c r="S135" s="370"/>
      <c r="T135" s="370"/>
      <c r="U135" s="370"/>
      <c r="V135" s="370"/>
      <c r="W135" s="370"/>
      <c r="X135" s="370"/>
      <c r="Y135" s="370"/>
      <c r="Z135" s="370"/>
      <c r="AA135" s="370"/>
      <c r="AB135" s="370"/>
      <c r="AC135" s="370"/>
      <c r="AD135" s="370"/>
      <c r="AE135" s="370"/>
      <c r="AF135" s="370"/>
      <c r="AG135" s="370"/>
      <c r="AH135" s="370"/>
      <c r="AI135" s="370"/>
      <c r="AJ135" s="370"/>
      <c r="AK135" s="370"/>
      <c r="AL135" s="370"/>
      <c r="AM135" s="370"/>
      <c r="AN135" s="133"/>
      <c r="AO135" s="133"/>
      <c r="AP135" s="133"/>
      <c r="AQ135" s="133"/>
      <c r="AR135" s="133"/>
      <c r="AS135" s="133"/>
      <c r="AT135" s="133"/>
      <c r="AU135" s="133"/>
      <c r="AV135" s="133"/>
      <c r="AW135" s="133"/>
      <c r="AX135" s="133"/>
      <c r="AY135" s="133"/>
      <c r="AZ135" s="133"/>
      <c r="BA135" s="133"/>
      <c r="BB135" s="133"/>
      <c r="BC135" s="133"/>
      <c r="BD135" s="133"/>
      <c r="BE135" s="133"/>
      <c r="BF135" s="133"/>
      <c r="BG135" s="133"/>
      <c r="BH135" s="133"/>
      <c r="BI135" s="133"/>
      <c r="BJ135" s="133"/>
      <c r="BK135" s="133"/>
      <c r="BL135" s="133"/>
      <c r="BM135" s="133"/>
      <c r="BN135" s="133"/>
      <c r="BO135" s="133"/>
      <c r="BP135" s="133"/>
      <c r="BQ135" s="133"/>
      <c r="BR135" s="133"/>
      <c r="BS135" s="133"/>
      <c r="BT135" s="133"/>
      <c r="BU135" s="133"/>
      <c r="BV135" s="133"/>
      <c r="BW135" s="133"/>
    </row>
    <row r="136" s="140" customFormat="1" customHeight="1" spans="1:75">
      <c r="A136" s="161">
        <v>165</v>
      </c>
      <c r="B136" s="162"/>
      <c r="C136" s="162"/>
      <c r="D136" s="162"/>
      <c r="E136" s="162"/>
      <c r="F136" s="367"/>
      <c r="G136" s="191">
        <f t="shared" si="14"/>
        <v>0</v>
      </c>
      <c r="H136" s="190">
        <f t="shared" si="15"/>
        <v>0</v>
      </c>
      <c r="I136" s="191">
        <f t="shared" si="16"/>
        <v>0</v>
      </c>
      <c r="J136" s="190">
        <f t="shared" si="17"/>
        <v>0</v>
      </c>
      <c r="K136" s="191">
        <f t="shared" si="18"/>
        <v>0</v>
      </c>
      <c r="L136" s="190">
        <f t="shared" si="19"/>
        <v>0</v>
      </c>
      <c r="M136" s="191">
        <f t="shared" si="20"/>
        <v>0</v>
      </c>
      <c r="N136" s="370"/>
      <c r="O136" s="370"/>
      <c r="P136" s="370"/>
      <c r="Q136" s="370"/>
      <c r="R136" s="370"/>
      <c r="S136" s="370"/>
      <c r="T136" s="370"/>
      <c r="U136" s="370"/>
      <c r="V136" s="370"/>
      <c r="W136" s="370"/>
      <c r="X136" s="370"/>
      <c r="Y136" s="370"/>
      <c r="Z136" s="370"/>
      <c r="AA136" s="370"/>
      <c r="AB136" s="370"/>
      <c r="AC136" s="370"/>
      <c r="AD136" s="370"/>
      <c r="AE136" s="370"/>
      <c r="AF136" s="370"/>
      <c r="AG136" s="370"/>
      <c r="AH136" s="370"/>
      <c r="AI136" s="370"/>
      <c r="AJ136" s="370"/>
      <c r="AK136" s="370"/>
      <c r="AL136" s="370"/>
      <c r="AM136" s="370"/>
      <c r="AN136" s="133"/>
      <c r="AO136" s="133"/>
      <c r="AP136" s="133"/>
      <c r="AQ136" s="133"/>
      <c r="AR136" s="133"/>
      <c r="AS136" s="133"/>
      <c r="AT136" s="133"/>
      <c r="AU136" s="133"/>
      <c r="AV136" s="133"/>
      <c r="AW136" s="133"/>
      <c r="AX136" s="133"/>
      <c r="AY136" s="133"/>
      <c r="AZ136" s="133"/>
      <c r="BA136" s="133"/>
      <c r="BB136" s="133"/>
      <c r="BC136" s="133"/>
      <c r="BD136" s="133"/>
      <c r="BE136" s="133"/>
      <c r="BF136" s="133"/>
      <c r="BG136" s="133"/>
      <c r="BH136" s="133"/>
      <c r="BI136" s="133"/>
      <c r="BJ136" s="133"/>
      <c r="BK136" s="133"/>
      <c r="BL136" s="133"/>
      <c r="BM136" s="133"/>
      <c r="BN136" s="133"/>
      <c r="BO136" s="133"/>
      <c r="BP136" s="133"/>
      <c r="BQ136" s="133"/>
      <c r="BR136" s="133"/>
      <c r="BS136" s="133"/>
      <c r="BT136" s="133"/>
      <c r="BU136" s="133"/>
      <c r="BV136" s="133"/>
      <c r="BW136" s="133"/>
    </row>
    <row r="137" s="140" customFormat="1" customHeight="1" spans="1:75">
      <c r="A137" s="161">
        <v>166</v>
      </c>
      <c r="B137" s="162"/>
      <c r="C137" s="162"/>
      <c r="D137" s="162"/>
      <c r="E137" s="162"/>
      <c r="F137" s="367"/>
      <c r="G137" s="191">
        <f t="shared" si="14"/>
        <v>0</v>
      </c>
      <c r="H137" s="190">
        <f t="shared" si="15"/>
        <v>0</v>
      </c>
      <c r="I137" s="191">
        <f t="shared" si="16"/>
        <v>0</v>
      </c>
      <c r="J137" s="190">
        <f t="shared" si="17"/>
        <v>0</v>
      </c>
      <c r="K137" s="191">
        <f t="shared" si="18"/>
        <v>0</v>
      </c>
      <c r="L137" s="190">
        <f t="shared" si="19"/>
        <v>0</v>
      </c>
      <c r="M137" s="191">
        <f t="shared" si="20"/>
        <v>0</v>
      </c>
      <c r="N137" s="370"/>
      <c r="O137" s="370"/>
      <c r="P137" s="370"/>
      <c r="Q137" s="370"/>
      <c r="R137" s="370"/>
      <c r="S137" s="370"/>
      <c r="T137" s="370"/>
      <c r="U137" s="370"/>
      <c r="V137" s="370"/>
      <c r="W137" s="370"/>
      <c r="X137" s="370"/>
      <c r="Y137" s="370"/>
      <c r="Z137" s="370"/>
      <c r="AA137" s="370"/>
      <c r="AB137" s="370"/>
      <c r="AC137" s="370"/>
      <c r="AD137" s="370"/>
      <c r="AE137" s="370"/>
      <c r="AF137" s="370"/>
      <c r="AG137" s="370"/>
      <c r="AH137" s="370"/>
      <c r="AI137" s="370"/>
      <c r="AJ137" s="370"/>
      <c r="AK137" s="370"/>
      <c r="AL137" s="370"/>
      <c r="AM137" s="370"/>
      <c r="AN137" s="133"/>
      <c r="AO137" s="133"/>
      <c r="AP137" s="133"/>
      <c r="AQ137" s="133"/>
      <c r="AR137" s="133"/>
      <c r="AS137" s="133"/>
      <c r="AT137" s="133"/>
      <c r="AU137" s="133"/>
      <c r="AV137" s="133"/>
      <c r="AW137" s="133"/>
      <c r="AX137" s="133"/>
      <c r="AY137" s="133"/>
      <c r="AZ137" s="133"/>
      <c r="BA137" s="133"/>
      <c r="BB137" s="133"/>
      <c r="BC137" s="133"/>
      <c r="BD137" s="133"/>
      <c r="BE137" s="133"/>
      <c r="BF137" s="133"/>
      <c r="BG137" s="133"/>
      <c r="BH137" s="133"/>
      <c r="BI137" s="133"/>
      <c r="BJ137" s="133"/>
      <c r="BK137" s="133"/>
      <c r="BL137" s="133"/>
      <c r="BM137" s="133"/>
      <c r="BN137" s="133"/>
      <c r="BO137" s="133"/>
      <c r="BP137" s="133"/>
      <c r="BQ137" s="133"/>
      <c r="BR137" s="133"/>
      <c r="BS137" s="133"/>
      <c r="BT137" s="133"/>
      <c r="BU137" s="133"/>
      <c r="BV137" s="133"/>
      <c r="BW137" s="133"/>
    </row>
    <row r="138" s="140" customFormat="1" customHeight="1" spans="1:75">
      <c r="A138" s="161">
        <v>167</v>
      </c>
      <c r="B138" s="162"/>
      <c r="C138" s="162"/>
      <c r="D138" s="162"/>
      <c r="E138" s="162"/>
      <c r="F138" s="367"/>
      <c r="G138" s="191">
        <f t="shared" si="14"/>
        <v>0</v>
      </c>
      <c r="H138" s="190">
        <f t="shared" si="15"/>
        <v>0</v>
      </c>
      <c r="I138" s="191">
        <f t="shared" si="16"/>
        <v>0</v>
      </c>
      <c r="J138" s="190">
        <f t="shared" si="17"/>
        <v>0</v>
      </c>
      <c r="K138" s="191">
        <f t="shared" si="18"/>
        <v>0</v>
      </c>
      <c r="L138" s="190">
        <f t="shared" si="19"/>
        <v>0</v>
      </c>
      <c r="M138" s="191">
        <f t="shared" si="20"/>
        <v>0</v>
      </c>
      <c r="N138" s="370"/>
      <c r="O138" s="370"/>
      <c r="P138" s="370"/>
      <c r="Q138" s="370"/>
      <c r="R138" s="370"/>
      <c r="S138" s="370"/>
      <c r="T138" s="370"/>
      <c r="U138" s="370"/>
      <c r="V138" s="370"/>
      <c r="W138" s="370"/>
      <c r="X138" s="370"/>
      <c r="Y138" s="370"/>
      <c r="Z138" s="370"/>
      <c r="AA138" s="370"/>
      <c r="AB138" s="370"/>
      <c r="AC138" s="370"/>
      <c r="AD138" s="370"/>
      <c r="AE138" s="370"/>
      <c r="AF138" s="370"/>
      <c r="AG138" s="370"/>
      <c r="AH138" s="370"/>
      <c r="AI138" s="370"/>
      <c r="AJ138" s="370"/>
      <c r="AK138" s="370"/>
      <c r="AL138" s="370"/>
      <c r="AM138" s="370"/>
      <c r="AN138" s="133"/>
      <c r="AO138" s="133"/>
      <c r="AP138" s="133"/>
      <c r="AQ138" s="133"/>
      <c r="AR138" s="133"/>
      <c r="AS138" s="133"/>
      <c r="AT138" s="133"/>
      <c r="AU138" s="133"/>
      <c r="AV138" s="133"/>
      <c r="AW138" s="133"/>
      <c r="AX138" s="133"/>
      <c r="AY138" s="133"/>
      <c r="AZ138" s="133"/>
      <c r="BA138" s="133"/>
      <c r="BB138" s="133"/>
      <c r="BC138" s="133"/>
      <c r="BD138" s="133"/>
      <c r="BE138" s="133"/>
      <c r="BF138" s="133"/>
      <c r="BG138" s="133"/>
      <c r="BH138" s="133"/>
      <c r="BI138" s="133"/>
      <c r="BJ138" s="133"/>
      <c r="BK138" s="133"/>
      <c r="BL138" s="133"/>
      <c r="BM138" s="133"/>
      <c r="BN138" s="133"/>
      <c r="BO138" s="133"/>
      <c r="BP138" s="133"/>
      <c r="BQ138" s="133"/>
      <c r="BR138" s="133"/>
      <c r="BS138" s="133"/>
      <c r="BT138" s="133"/>
      <c r="BU138" s="133"/>
      <c r="BV138" s="133"/>
      <c r="BW138" s="133"/>
    </row>
    <row r="139" s="140" customFormat="1" customHeight="1" spans="1:75">
      <c r="A139" s="161">
        <v>168</v>
      </c>
      <c r="B139" s="357" t="s">
        <v>515</v>
      </c>
      <c r="C139" s="162"/>
      <c r="D139" s="357" t="s">
        <v>453</v>
      </c>
      <c r="E139" s="162"/>
      <c r="F139" s="367"/>
      <c r="G139" s="191">
        <f t="shared" si="14"/>
        <v>0</v>
      </c>
      <c r="H139" s="190">
        <f t="shared" si="15"/>
        <v>0</v>
      </c>
      <c r="I139" s="191">
        <f t="shared" si="16"/>
        <v>0</v>
      </c>
      <c r="J139" s="190">
        <f t="shared" si="17"/>
        <v>0</v>
      </c>
      <c r="K139" s="191">
        <f t="shared" si="18"/>
        <v>0</v>
      </c>
      <c r="L139" s="190">
        <f t="shared" si="19"/>
        <v>0</v>
      </c>
      <c r="M139" s="191">
        <f t="shared" si="20"/>
        <v>0</v>
      </c>
      <c r="N139" s="370"/>
      <c r="O139" s="370"/>
      <c r="P139" s="370"/>
      <c r="Q139" s="370"/>
      <c r="R139" s="370"/>
      <c r="S139" s="370"/>
      <c r="T139" s="370"/>
      <c r="U139" s="370"/>
      <c r="V139" s="370"/>
      <c r="W139" s="370"/>
      <c r="X139" s="370"/>
      <c r="Y139" s="370"/>
      <c r="Z139" s="370"/>
      <c r="AA139" s="370"/>
      <c r="AB139" s="370"/>
      <c r="AC139" s="370"/>
      <c r="AD139" s="370"/>
      <c r="AE139" s="370"/>
      <c r="AF139" s="370"/>
      <c r="AG139" s="370"/>
      <c r="AH139" s="370"/>
      <c r="AI139" s="370"/>
      <c r="AJ139" s="370"/>
      <c r="AK139" s="370"/>
      <c r="AL139" s="370"/>
      <c r="AM139" s="370"/>
      <c r="AN139" s="133"/>
      <c r="AO139" s="133"/>
      <c r="AP139" s="133"/>
      <c r="AQ139" s="133"/>
      <c r="AR139" s="133"/>
      <c r="AS139" s="133"/>
      <c r="AT139" s="133"/>
      <c r="AU139" s="133"/>
      <c r="AV139" s="133"/>
      <c r="AW139" s="133"/>
      <c r="AX139" s="133"/>
      <c r="AY139" s="133"/>
      <c r="AZ139" s="133"/>
      <c r="BA139" s="133"/>
      <c r="BB139" s="133"/>
      <c r="BC139" s="133"/>
      <c r="BD139" s="133"/>
      <c r="BE139" s="133"/>
      <c r="BF139" s="133"/>
      <c r="BH139" s="133"/>
      <c r="BI139" s="133"/>
      <c r="BJ139" s="133"/>
      <c r="BK139" s="133"/>
      <c r="BL139" s="133"/>
      <c r="BM139" s="133"/>
      <c r="BN139" s="133"/>
      <c r="BO139" s="133"/>
      <c r="BP139" s="133"/>
      <c r="BQ139" s="133"/>
      <c r="BR139" s="133"/>
      <c r="BS139" s="133"/>
      <c r="BT139" s="133"/>
      <c r="BU139" s="133"/>
      <c r="BV139" s="133"/>
      <c r="BW139" s="133"/>
    </row>
    <row r="140" s="140" customFormat="1" customHeight="1" spans="1:75">
      <c r="A140" s="161">
        <v>169</v>
      </c>
      <c r="B140" s="357" t="s">
        <v>516</v>
      </c>
      <c r="C140" s="162"/>
      <c r="D140" s="357" t="s">
        <v>453</v>
      </c>
      <c r="E140" s="162">
        <v>50</v>
      </c>
      <c r="F140" s="367"/>
      <c r="G140" s="191">
        <f t="shared" si="14"/>
        <v>0</v>
      </c>
      <c r="H140" s="190">
        <f t="shared" si="15"/>
        <v>1</v>
      </c>
      <c r="I140" s="191">
        <f t="shared" si="16"/>
        <v>50</v>
      </c>
      <c r="J140" s="190">
        <f t="shared" si="17"/>
        <v>1</v>
      </c>
      <c r="K140" s="191">
        <f t="shared" si="18"/>
        <v>50</v>
      </c>
      <c r="L140" s="190">
        <f t="shared" si="19"/>
        <v>0</v>
      </c>
      <c r="M140" s="191">
        <f t="shared" si="20"/>
        <v>0</v>
      </c>
      <c r="N140" s="370"/>
      <c r="O140" s="370"/>
      <c r="P140" s="370"/>
      <c r="Q140" s="370"/>
      <c r="R140" s="370"/>
      <c r="S140" s="370"/>
      <c r="T140" s="370"/>
      <c r="U140" s="370"/>
      <c r="V140" s="370"/>
      <c r="W140" s="370"/>
      <c r="X140" s="370"/>
      <c r="Y140" s="370"/>
      <c r="Z140" s="370"/>
      <c r="AA140" s="370"/>
      <c r="AB140" s="370"/>
      <c r="AC140" s="370"/>
      <c r="AD140" s="370"/>
      <c r="AE140" s="370"/>
      <c r="AF140" s="370"/>
      <c r="AG140" s="370"/>
      <c r="AH140" s="370"/>
      <c r="AI140" s="370"/>
      <c r="AJ140" s="370"/>
      <c r="AK140" s="370"/>
      <c r="AL140" s="370"/>
      <c r="AM140" s="370"/>
      <c r="AN140" s="133"/>
      <c r="AO140" s="133"/>
      <c r="AP140" s="133"/>
      <c r="AQ140" s="133"/>
      <c r="AR140" s="133"/>
      <c r="AS140" s="133"/>
      <c r="AT140" s="133"/>
      <c r="AU140" s="133"/>
      <c r="AV140" s="133"/>
      <c r="AW140" s="133"/>
      <c r="AX140" s="133">
        <v>1</v>
      </c>
      <c r="AY140" s="133">
        <v>1</v>
      </c>
      <c r="AZ140" s="133"/>
      <c r="BA140" s="133"/>
      <c r="BB140" s="133"/>
      <c r="BC140" s="133"/>
      <c r="BD140" s="133"/>
      <c r="BE140" s="133"/>
      <c r="BF140" s="133"/>
      <c r="BG140" s="133"/>
      <c r="BH140" s="133"/>
      <c r="BI140" s="133"/>
      <c r="BJ140" s="133"/>
      <c r="BK140" s="133"/>
      <c r="BL140" s="133"/>
      <c r="BM140" s="133"/>
      <c r="BN140" s="133"/>
      <c r="BO140" s="133"/>
      <c r="BP140" s="133"/>
      <c r="BQ140" s="133"/>
      <c r="BR140" s="133"/>
      <c r="BS140" s="133"/>
      <c r="BT140" s="133"/>
      <c r="BU140" s="133"/>
      <c r="BV140" s="133"/>
      <c r="BW140" s="133"/>
    </row>
    <row r="141" s="140" customFormat="1" customHeight="1" spans="1:75">
      <c r="A141" s="161">
        <v>170</v>
      </c>
      <c r="B141" s="357" t="s">
        <v>517</v>
      </c>
      <c r="C141" s="357" t="s">
        <v>518</v>
      </c>
      <c r="D141" s="357" t="s">
        <v>519</v>
      </c>
      <c r="E141" s="162">
        <v>135</v>
      </c>
      <c r="F141" s="367"/>
      <c r="G141" s="191">
        <f t="shared" si="14"/>
        <v>0</v>
      </c>
      <c r="H141" s="190">
        <f t="shared" si="15"/>
        <v>29</v>
      </c>
      <c r="I141" s="191">
        <f t="shared" si="16"/>
        <v>3915</v>
      </c>
      <c r="J141" s="190">
        <f t="shared" si="17"/>
        <v>29</v>
      </c>
      <c r="K141" s="191">
        <f t="shared" si="18"/>
        <v>3915</v>
      </c>
      <c r="L141" s="190">
        <f t="shared" si="19"/>
        <v>0</v>
      </c>
      <c r="M141" s="191">
        <f t="shared" si="20"/>
        <v>0</v>
      </c>
      <c r="N141" s="370">
        <v>2</v>
      </c>
      <c r="O141" s="370">
        <v>2</v>
      </c>
      <c r="P141" s="370"/>
      <c r="Q141" s="370"/>
      <c r="R141" s="370">
        <v>2</v>
      </c>
      <c r="S141" s="370">
        <v>2</v>
      </c>
      <c r="T141" s="370"/>
      <c r="U141" s="370"/>
      <c r="V141" s="370">
        <v>2</v>
      </c>
      <c r="W141" s="370">
        <v>2</v>
      </c>
      <c r="X141" s="370"/>
      <c r="Y141" s="370"/>
      <c r="Z141" s="370"/>
      <c r="AA141" s="370"/>
      <c r="AB141" s="370">
        <v>2</v>
      </c>
      <c r="AC141" s="370">
        <v>2</v>
      </c>
      <c r="AD141" s="370"/>
      <c r="AE141" s="370"/>
      <c r="AF141" s="370"/>
      <c r="AG141" s="370"/>
      <c r="AH141" s="370"/>
      <c r="AI141" s="370"/>
      <c r="AJ141" s="370">
        <v>2</v>
      </c>
      <c r="AK141" s="370">
        <v>2</v>
      </c>
      <c r="AL141" s="370"/>
      <c r="AM141" s="370"/>
      <c r="AN141" s="133">
        <v>3</v>
      </c>
      <c r="AO141" s="133">
        <v>3</v>
      </c>
      <c r="AP141" s="133"/>
      <c r="AQ141" s="133"/>
      <c r="AR141" s="133">
        <v>2</v>
      </c>
      <c r="AS141" s="133">
        <v>2</v>
      </c>
      <c r="AT141" s="133"/>
      <c r="AU141" s="133"/>
      <c r="AV141" s="133"/>
      <c r="AW141" s="133"/>
      <c r="AX141" s="133">
        <v>2</v>
      </c>
      <c r="AY141" s="133">
        <v>2</v>
      </c>
      <c r="AZ141" s="133"/>
      <c r="BA141" s="133"/>
      <c r="BB141" s="133"/>
      <c r="BC141" s="133"/>
      <c r="BD141" s="133">
        <v>2</v>
      </c>
      <c r="BE141" s="133">
        <v>2</v>
      </c>
      <c r="BF141" s="133"/>
      <c r="BG141" s="133"/>
      <c r="BH141" s="133">
        <v>3</v>
      </c>
      <c r="BI141" s="133">
        <v>3</v>
      </c>
      <c r="BJ141" s="133"/>
      <c r="BK141" s="133"/>
      <c r="BL141" s="133"/>
      <c r="BM141" s="133"/>
      <c r="BN141" s="133">
        <v>2</v>
      </c>
      <c r="BO141" s="133">
        <v>2</v>
      </c>
      <c r="BP141" s="133"/>
      <c r="BQ141" s="133"/>
      <c r="BR141" s="133">
        <v>2</v>
      </c>
      <c r="BS141" s="133">
        <v>2</v>
      </c>
      <c r="BT141" s="133"/>
      <c r="BU141" s="133"/>
      <c r="BV141" s="133">
        <v>3</v>
      </c>
      <c r="BW141" s="133">
        <v>3</v>
      </c>
    </row>
    <row r="142" s="140" customFormat="1" customHeight="1" spans="1:75">
      <c r="A142" s="161">
        <v>171</v>
      </c>
      <c r="B142" s="357" t="s">
        <v>520</v>
      </c>
      <c r="C142" s="162"/>
      <c r="D142" s="357" t="s">
        <v>137</v>
      </c>
      <c r="E142" s="162">
        <v>1</v>
      </c>
      <c r="F142" s="367"/>
      <c r="G142" s="191">
        <f t="shared" si="14"/>
        <v>0</v>
      </c>
      <c r="H142" s="190">
        <f t="shared" si="15"/>
        <v>250</v>
      </c>
      <c r="I142" s="191">
        <f t="shared" si="16"/>
        <v>250</v>
      </c>
      <c r="J142" s="190">
        <f t="shared" si="17"/>
        <v>250</v>
      </c>
      <c r="K142" s="191">
        <f t="shared" si="18"/>
        <v>250</v>
      </c>
      <c r="L142" s="190">
        <f t="shared" si="19"/>
        <v>0</v>
      </c>
      <c r="M142" s="191">
        <f t="shared" si="20"/>
        <v>0</v>
      </c>
      <c r="N142" s="370">
        <v>50</v>
      </c>
      <c r="O142" s="370">
        <v>50</v>
      </c>
      <c r="P142" s="370"/>
      <c r="Q142" s="370"/>
      <c r="R142" s="370">
        <v>50</v>
      </c>
      <c r="S142" s="370">
        <v>50</v>
      </c>
      <c r="T142" s="370"/>
      <c r="U142" s="370"/>
      <c r="V142" s="370"/>
      <c r="W142" s="370"/>
      <c r="X142" s="370"/>
      <c r="Y142" s="370"/>
      <c r="Z142" s="370"/>
      <c r="AA142" s="370"/>
      <c r="AB142" s="370">
        <v>50</v>
      </c>
      <c r="AC142" s="370">
        <v>50</v>
      </c>
      <c r="AD142" s="370"/>
      <c r="AE142" s="370"/>
      <c r="AF142" s="370"/>
      <c r="AG142" s="370"/>
      <c r="AH142" s="370"/>
      <c r="AI142" s="370"/>
      <c r="AJ142" s="370">
        <v>50</v>
      </c>
      <c r="AK142" s="370">
        <v>50</v>
      </c>
      <c r="AL142" s="370"/>
      <c r="AM142" s="370"/>
      <c r="AN142" s="133"/>
      <c r="AO142" s="133"/>
      <c r="AP142" s="133"/>
      <c r="AQ142" s="133"/>
      <c r="AR142" s="133"/>
      <c r="AS142" s="133"/>
      <c r="AT142" s="133"/>
      <c r="AU142" s="133"/>
      <c r="AV142" s="133"/>
      <c r="AW142" s="133"/>
      <c r="AX142" s="133"/>
      <c r="AY142" s="133"/>
      <c r="AZ142" s="133"/>
      <c r="BA142" s="133"/>
      <c r="BB142" s="133"/>
      <c r="BC142" s="133"/>
      <c r="BD142" s="133"/>
      <c r="BE142" s="133"/>
      <c r="BF142" s="133"/>
      <c r="BG142" s="133"/>
      <c r="BH142" s="133"/>
      <c r="BI142" s="133"/>
      <c r="BJ142" s="133"/>
      <c r="BK142" s="133"/>
      <c r="BL142" s="133"/>
      <c r="BM142" s="133"/>
      <c r="BN142" s="133"/>
      <c r="BO142" s="133"/>
      <c r="BP142" s="133"/>
      <c r="BQ142" s="133"/>
      <c r="BR142" s="133">
        <v>50</v>
      </c>
      <c r="BS142" s="133">
        <v>50</v>
      </c>
      <c r="BT142" s="133"/>
      <c r="BU142" s="133"/>
      <c r="BV142" s="133"/>
      <c r="BW142" s="133"/>
    </row>
    <row r="143" s="140" customFormat="1" customHeight="1" spans="1:75">
      <c r="A143" s="161">
        <v>172</v>
      </c>
      <c r="B143" s="357" t="s">
        <v>521</v>
      </c>
      <c r="C143" s="162"/>
      <c r="D143" s="357" t="s">
        <v>453</v>
      </c>
      <c r="E143" s="162"/>
      <c r="F143" s="367"/>
      <c r="G143" s="191">
        <f t="shared" si="14"/>
        <v>0</v>
      </c>
      <c r="H143" s="190">
        <f t="shared" si="15"/>
        <v>0</v>
      </c>
      <c r="I143" s="191">
        <f t="shared" si="16"/>
        <v>0</v>
      </c>
      <c r="J143" s="190">
        <f t="shared" si="17"/>
        <v>0</v>
      </c>
      <c r="K143" s="191">
        <f t="shared" si="18"/>
        <v>0</v>
      </c>
      <c r="L143" s="190">
        <f t="shared" si="19"/>
        <v>0</v>
      </c>
      <c r="M143" s="191">
        <f t="shared" si="20"/>
        <v>0</v>
      </c>
      <c r="N143" s="370"/>
      <c r="O143" s="370"/>
      <c r="P143" s="370"/>
      <c r="Q143" s="370"/>
      <c r="R143" s="370"/>
      <c r="S143" s="370"/>
      <c r="T143" s="370"/>
      <c r="U143" s="370"/>
      <c r="V143" s="370"/>
      <c r="W143" s="370"/>
      <c r="X143" s="370"/>
      <c r="Y143" s="370"/>
      <c r="Z143" s="370"/>
      <c r="AA143" s="370"/>
      <c r="AB143" s="370"/>
      <c r="AC143" s="370"/>
      <c r="AD143" s="370"/>
      <c r="AE143" s="370"/>
      <c r="AF143" s="370"/>
      <c r="AG143" s="370"/>
      <c r="AH143" s="370"/>
      <c r="AI143" s="370"/>
      <c r="AJ143" s="370"/>
      <c r="AK143" s="370"/>
      <c r="AL143" s="370"/>
      <c r="AM143" s="370"/>
      <c r="AN143" s="133"/>
      <c r="AO143" s="133"/>
      <c r="AP143" s="133"/>
      <c r="AQ143" s="133"/>
      <c r="AR143" s="133"/>
      <c r="AS143" s="133"/>
      <c r="AT143" s="133"/>
      <c r="AU143" s="133"/>
      <c r="AV143" s="133"/>
      <c r="AW143" s="133"/>
      <c r="AX143" s="133"/>
      <c r="AY143" s="133"/>
      <c r="AZ143" s="133"/>
      <c r="BA143" s="133"/>
      <c r="BB143" s="133"/>
      <c r="BC143" s="133"/>
      <c r="BD143" s="133"/>
      <c r="BE143" s="133"/>
      <c r="BF143" s="133"/>
      <c r="BG143" s="133"/>
      <c r="BH143" s="133"/>
      <c r="BI143" s="133"/>
      <c r="BJ143" s="133"/>
      <c r="BK143" s="133"/>
      <c r="BL143" s="133"/>
      <c r="BM143" s="133"/>
      <c r="BN143" s="133"/>
      <c r="BO143" s="133"/>
      <c r="BP143" s="133"/>
      <c r="BQ143" s="133"/>
      <c r="BR143" s="133"/>
      <c r="BS143" s="133"/>
      <c r="BT143" s="133"/>
      <c r="BU143" s="133"/>
      <c r="BV143" s="133"/>
      <c r="BW143" s="133"/>
    </row>
    <row r="144" s="140" customFormat="1" customHeight="1" spans="1:75">
      <c r="A144" s="161">
        <v>173</v>
      </c>
      <c r="B144" s="357" t="s">
        <v>522</v>
      </c>
      <c r="C144" s="162"/>
      <c r="D144" s="357" t="s">
        <v>137</v>
      </c>
      <c r="E144" s="162">
        <v>3</v>
      </c>
      <c r="F144" s="367"/>
      <c r="G144" s="191">
        <f t="shared" si="14"/>
        <v>0</v>
      </c>
      <c r="H144" s="190">
        <f t="shared" si="15"/>
        <v>90</v>
      </c>
      <c r="I144" s="191">
        <f t="shared" si="16"/>
        <v>270</v>
      </c>
      <c r="J144" s="190">
        <f t="shared" si="17"/>
        <v>90</v>
      </c>
      <c r="K144" s="191">
        <f t="shared" si="18"/>
        <v>270</v>
      </c>
      <c r="L144" s="190">
        <f t="shared" si="19"/>
        <v>0</v>
      </c>
      <c r="M144" s="191">
        <f t="shared" si="20"/>
        <v>0</v>
      </c>
      <c r="N144" s="370">
        <v>10</v>
      </c>
      <c r="O144" s="370">
        <v>10</v>
      </c>
      <c r="P144" s="370"/>
      <c r="Q144" s="370"/>
      <c r="R144" s="370">
        <v>10</v>
      </c>
      <c r="S144" s="370">
        <v>10</v>
      </c>
      <c r="T144" s="370"/>
      <c r="U144" s="370"/>
      <c r="V144" s="370"/>
      <c r="W144" s="370"/>
      <c r="X144" s="370"/>
      <c r="Y144" s="370"/>
      <c r="Z144" s="370"/>
      <c r="AA144" s="370"/>
      <c r="AB144" s="370">
        <v>10</v>
      </c>
      <c r="AC144" s="370">
        <v>10</v>
      </c>
      <c r="AD144" s="370"/>
      <c r="AE144" s="370"/>
      <c r="AF144" s="370"/>
      <c r="AG144" s="370"/>
      <c r="AH144" s="370"/>
      <c r="AI144" s="370"/>
      <c r="AJ144" s="370">
        <v>10</v>
      </c>
      <c r="AK144" s="370">
        <v>10</v>
      </c>
      <c r="AL144" s="370"/>
      <c r="AM144" s="370"/>
      <c r="AN144" s="133"/>
      <c r="AO144" s="133"/>
      <c r="AP144" s="133">
        <v>10</v>
      </c>
      <c r="AQ144" s="133">
        <v>10</v>
      </c>
      <c r="AR144" s="133"/>
      <c r="AS144" s="133"/>
      <c r="AT144" s="133">
        <v>10</v>
      </c>
      <c r="AU144" s="133">
        <v>10</v>
      </c>
      <c r="AV144" s="133"/>
      <c r="AW144" s="133"/>
      <c r="AX144" s="133"/>
      <c r="AY144" s="133"/>
      <c r="AZ144" s="133"/>
      <c r="BA144" s="133"/>
      <c r="BB144" s="133"/>
      <c r="BC144" s="133"/>
      <c r="BD144" s="133"/>
      <c r="BE144" s="133"/>
      <c r="BF144" s="133"/>
      <c r="BG144" s="133"/>
      <c r="BH144" s="133">
        <v>10</v>
      </c>
      <c r="BI144" s="133">
        <v>10</v>
      </c>
      <c r="BJ144" s="133"/>
      <c r="BK144" s="133"/>
      <c r="BL144" s="133"/>
      <c r="BM144" s="133"/>
      <c r="BN144" s="133"/>
      <c r="BO144" s="133"/>
      <c r="BP144" s="133"/>
      <c r="BQ144" s="133"/>
      <c r="BR144" s="133">
        <v>10</v>
      </c>
      <c r="BS144" s="133">
        <v>10</v>
      </c>
      <c r="BT144" s="133"/>
      <c r="BU144" s="133"/>
      <c r="BV144" s="133">
        <v>10</v>
      </c>
      <c r="BW144" s="133">
        <v>10</v>
      </c>
    </row>
    <row r="145" s="140" customFormat="1" customHeight="1" spans="1:75">
      <c r="A145" s="161">
        <v>174</v>
      </c>
      <c r="B145" s="357" t="s">
        <v>523</v>
      </c>
      <c r="C145" s="162"/>
      <c r="D145" s="357" t="s">
        <v>137</v>
      </c>
      <c r="E145" s="162">
        <v>4</v>
      </c>
      <c r="F145" s="367"/>
      <c r="G145" s="191">
        <f t="shared" si="14"/>
        <v>0</v>
      </c>
      <c r="H145" s="190">
        <f t="shared" si="15"/>
        <v>60</v>
      </c>
      <c r="I145" s="191">
        <f t="shared" si="16"/>
        <v>240</v>
      </c>
      <c r="J145" s="190">
        <f t="shared" si="17"/>
        <v>60</v>
      </c>
      <c r="K145" s="191">
        <f t="shared" si="18"/>
        <v>240</v>
      </c>
      <c r="L145" s="190">
        <f t="shared" si="19"/>
        <v>0</v>
      </c>
      <c r="M145" s="191">
        <f t="shared" si="20"/>
        <v>0</v>
      </c>
      <c r="N145" s="370">
        <v>10</v>
      </c>
      <c r="O145" s="370">
        <v>10</v>
      </c>
      <c r="P145" s="370"/>
      <c r="Q145" s="370"/>
      <c r="R145" s="370"/>
      <c r="S145" s="370"/>
      <c r="T145" s="370"/>
      <c r="U145" s="370"/>
      <c r="V145" s="370"/>
      <c r="W145" s="370"/>
      <c r="X145" s="370"/>
      <c r="Y145" s="370"/>
      <c r="Z145" s="370"/>
      <c r="AA145" s="370"/>
      <c r="AB145" s="370">
        <v>10</v>
      </c>
      <c r="AC145" s="370">
        <v>10</v>
      </c>
      <c r="AD145" s="370"/>
      <c r="AE145" s="370"/>
      <c r="AF145" s="370"/>
      <c r="AG145" s="370"/>
      <c r="AH145" s="370"/>
      <c r="AI145" s="370"/>
      <c r="AJ145" s="370">
        <v>10</v>
      </c>
      <c r="AK145" s="370">
        <v>10</v>
      </c>
      <c r="AL145" s="370"/>
      <c r="AM145" s="370"/>
      <c r="AN145" s="133"/>
      <c r="AO145" s="133"/>
      <c r="AP145" s="133">
        <v>10</v>
      </c>
      <c r="AQ145" s="133">
        <v>10</v>
      </c>
      <c r="AR145" s="133"/>
      <c r="AS145" s="133"/>
      <c r="AT145" s="133"/>
      <c r="AU145" s="133"/>
      <c r="AV145" s="133"/>
      <c r="AW145" s="133"/>
      <c r="AX145" s="133"/>
      <c r="AY145" s="133"/>
      <c r="AZ145" s="133"/>
      <c r="BA145" s="133"/>
      <c r="BB145" s="133"/>
      <c r="BC145" s="133"/>
      <c r="BD145" s="133"/>
      <c r="BE145" s="133"/>
      <c r="BF145" s="133"/>
      <c r="BG145" s="133"/>
      <c r="BH145" s="133"/>
      <c r="BI145" s="133"/>
      <c r="BJ145" s="133"/>
      <c r="BK145" s="133"/>
      <c r="BL145" s="133"/>
      <c r="BM145" s="133"/>
      <c r="BN145" s="133"/>
      <c r="BO145" s="133"/>
      <c r="BP145" s="133"/>
      <c r="BQ145" s="133"/>
      <c r="BR145" s="133">
        <v>10</v>
      </c>
      <c r="BS145" s="133">
        <v>10</v>
      </c>
      <c r="BT145" s="133"/>
      <c r="BU145" s="133"/>
      <c r="BV145" s="133">
        <v>10</v>
      </c>
      <c r="BW145" s="133">
        <v>10</v>
      </c>
    </row>
    <row r="146" s="140" customFormat="1" customHeight="1" spans="1:75">
      <c r="A146" s="161">
        <v>175</v>
      </c>
      <c r="B146" s="357" t="s">
        <v>524</v>
      </c>
      <c r="C146" s="357" t="s">
        <v>525</v>
      </c>
      <c r="D146" s="357" t="s">
        <v>318</v>
      </c>
      <c r="E146" s="162">
        <v>165</v>
      </c>
      <c r="F146" s="367"/>
      <c r="G146" s="191">
        <f t="shared" si="14"/>
        <v>0</v>
      </c>
      <c r="H146" s="190">
        <f t="shared" si="15"/>
        <v>8</v>
      </c>
      <c r="I146" s="191">
        <f t="shared" si="16"/>
        <v>1320</v>
      </c>
      <c r="J146" s="190">
        <f t="shared" si="17"/>
        <v>8</v>
      </c>
      <c r="K146" s="191">
        <f t="shared" si="18"/>
        <v>1320</v>
      </c>
      <c r="L146" s="190">
        <f t="shared" si="19"/>
        <v>0</v>
      </c>
      <c r="M146" s="191">
        <f t="shared" si="20"/>
        <v>0</v>
      </c>
      <c r="N146" s="370"/>
      <c r="O146" s="370"/>
      <c r="P146" s="370"/>
      <c r="Q146" s="370"/>
      <c r="R146" s="370"/>
      <c r="S146" s="370"/>
      <c r="T146" s="370"/>
      <c r="U146" s="370"/>
      <c r="V146" s="370"/>
      <c r="W146" s="370"/>
      <c r="X146" s="370"/>
      <c r="Y146" s="370"/>
      <c r="Z146" s="370"/>
      <c r="AA146" s="370"/>
      <c r="AB146" s="370">
        <v>2</v>
      </c>
      <c r="AC146" s="370">
        <v>2</v>
      </c>
      <c r="AD146" s="370"/>
      <c r="AE146" s="370"/>
      <c r="AF146" s="370"/>
      <c r="AG146" s="370"/>
      <c r="AH146" s="370"/>
      <c r="AI146" s="370"/>
      <c r="AJ146" s="370"/>
      <c r="AK146" s="370"/>
      <c r="AL146" s="370"/>
      <c r="AM146" s="370"/>
      <c r="AN146" s="133"/>
      <c r="AO146" s="133"/>
      <c r="AP146" s="133">
        <v>2</v>
      </c>
      <c r="AQ146" s="133">
        <v>2</v>
      </c>
      <c r="AR146" s="133"/>
      <c r="AS146" s="133"/>
      <c r="AT146" s="133"/>
      <c r="AU146" s="133"/>
      <c r="AV146" s="133"/>
      <c r="AW146" s="133"/>
      <c r="AX146" s="133"/>
      <c r="AY146" s="133"/>
      <c r="AZ146" s="133"/>
      <c r="BA146" s="133"/>
      <c r="BB146" s="133">
        <v>2</v>
      </c>
      <c r="BC146" s="133">
        <v>2</v>
      </c>
      <c r="BD146" s="133"/>
      <c r="BE146" s="133"/>
      <c r="BF146" s="133"/>
      <c r="BG146" s="133"/>
      <c r="BH146" s="133">
        <v>2</v>
      </c>
      <c r="BI146" s="133">
        <v>2</v>
      </c>
      <c r="BJ146" s="133"/>
      <c r="BK146" s="133"/>
      <c r="BL146" s="133"/>
      <c r="BM146" s="133"/>
      <c r="BN146" s="133"/>
      <c r="BO146" s="133"/>
      <c r="BP146" s="133"/>
      <c r="BQ146" s="133"/>
      <c r="BR146" s="133"/>
      <c r="BS146" s="133"/>
      <c r="BT146" s="133"/>
      <c r="BU146" s="133"/>
      <c r="BV146" s="133"/>
      <c r="BW146" s="133"/>
    </row>
    <row r="147" s="140" customFormat="1" customHeight="1" spans="1:75">
      <c r="A147" s="161">
        <v>176</v>
      </c>
      <c r="B147" s="357" t="s">
        <v>526</v>
      </c>
      <c r="C147" s="162"/>
      <c r="D147" s="357" t="s">
        <v>402</v>
      </c>
      <c r="E147" s="162">
        <v>8</v>
      </c>
      <c r="F147" s="367"/>
      <c r="G147" s="191">
        <f t="shared" si="14"/>
        <v>0</v>
      </c>
      <c r="H147" s="190">
        <f t="shared" si="15"/>
        <v>77</v>
      </c>
      <c r="I147" s="191">
        <f t="shared" si="16"/>
        <v>616</v>
      </c>
      <c r="J147" s="190">
        <f t="shared" si="17"/>
        <v>77</v>
      </c>
      <c r="K147" s="191">
        <f t="shared" si="18"/>
        <v>616</v>
      </c>
      <c r="L147" s="190">
        <f t="shared" si="19"/>
        <v>0</v>
      </c>
      <c r="M147" s="191">
        <f t="shared" si="20"/>
        <v>0</v>
      </c>
      <c r="N147" s="370">
        <v>15</v>
      </c>
      <c r="O147" s="370">
        <v>15</v>
      </c>
      <c r="P147" s="370"/>
      <c r="Q147" s="370"/>
      <c r="R147" s="370">
        <v>15</v>
      </c>
      <c r="S147" s="370">
        <v>15</v>
      </c>
      <c r="T147" s="370"/>
      <c r="U147" s="370"/>
      <c r="V147" s="370"/>
      <c r="W147" s="370"/>
      <c r="X147" s="370"/>
      <c r="Y147" s="370"/>
      <c r="Z147" s="370"/>
      <c r="AA147" s="370"/>
      <c r="AB147" s="370">
        <v>10</v>
      </c>
      <c r="AC147" s="370">
        <v>10</v>
      </c>
      <c r="AD147" s="370"/>
      <c r="AE147" s="370"/>
      <c r="AF147" s="370"/>
      <c r="AG147" s="370"/>
      <c r="AH147" s="370">
        <v>10</v>
      </c>
      <c r="AI147" s="370">
        <v>10</v>
      </c>
      <c r="AJ147" s="370"/>
      <c r="AK147" s="370"/>
      <c r="AL147" s="370"/>
      <c r="AM147" s="370"/>
      <c r="AN147" s="133"/>
      <c r="AO147" s="133"/>
      <c r="AP147" s="133">
        <v>15</v>
      </c>
      <c r="AQ147" s="133">
        <v>15</v>
      </c>
      <c r="AR147" s="133"/>
      <c r="AS147" s="133"/>
      <c r="AT147" s="133"/>
      <c r="AU147" s="133"/>
      <c r="AV147" s="133"/>
      <c r="AW147" s="133"/>
      <c r="AX147" s="133"/>
      <c r="AY147" s="133"/>
      <c r="AZ147" s="133"/>
      <c r="BA147" s="133"/>
      <c r="BB147" s="133"/>
      <c r="BC147" s="133"/>
      <c r="BD147" s="133"/>
      <c r="BE147" s="133"/>
      <c r="BF147" s="133"/>
      <c r="BG147" s="133"/>
      <c r="BH147" s="133">
        <v>10</v>
      </c>
      <c r="BI147" s="133">
        <v>10</v>
      </c>
      <c r="BJ147" s="133"/>
      <c r="BK147" s="133"/>
      <c r="BL147" s="133"/>
      <c r="BM147" s="133"/>
      <c r="BN147" s="133">
        <v>2</v>
      </c>
      <c r="BO147" s="133">
        <v>2</v>
      </c>
      <c r="BP147" s="133"/>
      <c r="BQ147" s="133"/>
      <c r="BR147" s="133"/>
      <c r="BS147" s="133"/>
      <c r="BT147" s="133"/>
      <c r="BU147" s="133"/>
      <c r="BV147" s="133"/>
      <c r="BW147" s="133"/>
    </row>
    <row r="148" s="140" customFormat="1" customHeight="1" spans="1:75">
      <c r="A148" s="161">
        <v>177</v>
      </c>
      <c r="B148" s="357" t="s">
        <v>527</v>
      </c>
      <c r="C148" s="162"/>
      <c r="D148" s="357" t="s">
        <v>402</v>
      </c>
      <c r="E148" s="162">
        <v>5</v>
      </c>
      <c r="F148" s="408"/>
      <c r="G148" s="191">
        <f t="shared" si="14"/>
        <v>0</v>
      </c>
      <c r="H148" s="190">
        <f t="shared" si="15"/>
        <v>20</v>
      </c>
      <c r="I148" s="191">
        <f t="shared" si="16"/>
        <v>100</v>
      </c>
      <c r="J148" s="190">
        <f t="shared" si="17"/>
        <v>20</v>
      </c>
      <c r="K148" s="191">
        <f t="shared" si="18"/>
        <v>100</v>
      </c>
      <c r="L148" s="190">
        <f t="shared" si="19"/>
        <v>0</v>
      </c>
      <c r="M148" s="191">
        <f t="shared" si="20"/>
        <v>0</v>
      </c>
      <c r="N148" s="370"/>
      <c r="O148" s="370"/>
      <c r="P148" s="370"/>
      <c r="Q148" s="370"/>
      <c r="R148" s="370"/>
      <c r="S148" s="370"/>
      <c r="T148" s="370"/>
      <c r="U148" s="370"/>
      <c r="V148" s="370"/>
      <c r="W148" s="370"/>
      <c r="X148" s="370"/>
      <c r="Y148" s="370"/>
      <c r="Z148" s="370"/>
      <c r="AA148" s="370"/>
      <c r="AB148" s="370"/>
      <c r="AC148" s="370"/>
      <c r="AD148" s="370"/>
      <c r="AE148" s="370"/>
      <c r="AF148" s="370"/>
      <c r="AG148" s="370"/>
      <c r="AH148" s="370"/>
      <c r="AI148" s="370"/>
      <c r="AJ148" s="370"/>
      <c r="AK148" s="370"/>
      <c r="AL148" s="370"/>
      <c r="AM148" s="370"/>
      <c r="AN148" s="133"/>
      <c r="AO148" s="133"/>
      <c r="AP148" s="133"/>
      <c r="AQ148" s="133"/>
      <c r="AR148" s="133"/>
      <c r="AS148" s="133"/>
      <c r="AT148" s="133"/>
      <c r="AU148" s="133"/>
      <c r="AV148" s="133"/>
      <c r="AW148" s="133"/>
      <c r="AX148" s="133"/>
      <c r="AY148" s="133"/>
      <c r="AZ148" s="133"/>
      <c r="BA148" s="133"/>
      <c r="BB148" s="133"/>
      <c r="BC148" s="133"/>
      <c r="BD148" s="133"/>
      <c r="BE148" s="133"/>
      <c r="BF148" s="133"/>
      <c r="BG148" s="133"/>
      <c r="BH148" s="133"/>
      <c r="BI148" s="133"/>
      <c r="BJ148" s="133"/>
      <c r="BK148" s="133"/>
      <c r="BL148" s="133"/>
      <c r="BM148" s="133"/>
      <c r="BN148" s="133">
        <v>10</v>
      </c>
      <c r="BO148" s="133">
        <v>10</v>
      </c>
      <c r="BP148" s="133"/>
      <c r="BQ148" s="133"/>
      <c r="BR148" s="133"/>
      <c r="BS148" s="133"/>
      <c r="BT148" s="133"/>
      <c r="BU148" s="133"/>
      <c r="BV148" s="133">
        <v>10</v>
      </c>
      <c r="BW148" s="133">
        <v>10</v>
      </c>
    </row>
    <row r="149" s="140" customFormat="1" customHeight="1" spans="1:75">
      <c r="A149" s="161">
        <v>178</v>
      </c>
      <c r="B149" s="357" t="s">
        <v>528</v>
      </c>
      <c r="C149" s="162"/>
      <c r="D149" s="162"/>
      <c r="E149" s="162">
        <v>7.5</v>
      </c>
      <c r="F149" s="408"/>
      <c r="G149" s="191">
        <f t="shared" si="14"/>
        <v>0</v>
      </c>
      <c r="H149" s="190">
        <f t="shared" si="15"/>
        <v>0</v>
      </c>
      <c r="I149" s="191">
        <f t="shared" si="16"/>
        <v>0</v>
      </c>
      <c r="J149" s="190">
        <f t="shared" si="17"/>
        <v>0</v>
      </c>
      <c r="K149" s="191">
        <f t="shared" si="18"/>
        <v>0</v>
      </c>
      <c r="L149" s="190">
        <f t="shared" si="19"/>
        <v>0</v>
      </c>
      <c r="M149" s="191">
        <f t="shared" si="20"/>
        <v>0</v>
      </c>
      <c r="N149" s="370"/>
      <c r="O149" s="370"/>
      <c r="P149" s="370"/>
      <c r="Q149" s="370"/>
      <c r="R149" s="370"/>
      <c r="S149" s="370"/>
      <c r="T149" s="370"/>
      <c r="U149" s="370"/>
      <c r="V149" s="370"/>
      <c r="W149" s="370"/>
      <c r="X149" s="370"/>
      <c r="Y149" s="370"/>
      <c r="Z149" s="370"/>
      <c r="AA149" s="370"/>
      <c r="AB149" s="370"/>
      <c r="AC149" s="370"/>
      <c r="AD149" s="370"/>
      <c r="AE149" s="370"/>
      <c r="AF149" s="370"/>
      <c r="AG149" s="370"/>
      <c r="AH149" s="370"/>
      <c r="AI149" s="370"/>
      <c r="AJ149" s="370"/>
      <c r="AK149" s="370"/>
      <c r="AL149" s="370"/>
      <c r="AM149" s="370"/>
      <c r="AN149" s="133"/>
      <c r="AO149" s="133"/>
      <c r="AP149" s="133"/>
      <c r="AQ149" s="133"/>
      <c r="AR149" s="133"/>
      <c r="AS149" s="133"/>
      <c r="AT149" s="133"/>
      <c r="AU149" s="133"/>
      <c r="AV149" s="133"/>
      <c r="AW149" s="133"/>
      <c r="AX149" s="133"/>
      <c r="AY149" s="133"/>
      <c r="AZ149" s="133"/>
      <c r="BA149" s="133"/>
      <c r="BB149" s="133"/>
      <c r="BC149" s="133"/>
      <c r="BD149" s="133"/>
      <c r="BE149" s="133"/>
      <c r="BF149" s="133"/>
      <c r="BG149" s="133"/>
      <c r="BH149" s="133"/>
      <c r="BI149" s="133"/>
      <c r="BJ149" s="133"/>
      <c r="BK149" s="133"/>
      <c r="BL149" s="133"/>
      <c r="BM149" s="133"/>
      <c r="BN149" s="133"/>
      <c r="BO149" s="133"/>
      <c r="BP149" s="133"/>
      <c r="BQ149" s="133"/>
      <c r="BR149" s="133"/>
      <c r="BS149" s="133"/>
      <c r="BT149" s="133"/>
      <c r="BU149" s="133"/>
      <c r="BV149" s="133"/>
      <c r="BW149" s="133"/>
    </row>
    <row r="150" s="140" customFormat="1" customHeight="1" spans="1:75">
      <c r="A150" s="161">
        <v>179</v>
      </c>
      <c r="B150" s="357" t="s">
        <v>529</v>
      </c>
      <c r="C150" s="162"/>
      <c r="D150" s="357" t="s">
        <v>137</v>
      </c>
      <c r="E150" s="162">
        <v>6</v>
      </c>
      <c r="F150" s="408"/>
      <c r="G150" s="191">
        <f t="shared" si="14"/>
        <v>0</v>
      </c>
      <c r="H150" s="190">
        <f t="shared" si="15"/>
        <v>24</v>
      </c>
      <c r="I150" s="191">
        <f t="shared" si="16"/>
        <v>144</v>
      </c>
      <c r="J150" s="190">
        <f t="shared" si="17"/>
        <v>24</v>
      </c>
      <c r="K150" s="191">
        <f t="shared" si="18"/>
        <v>144</v>
      </c>
      <c r="L150" s="190">
        <f t="shared" si="19"/>
        <v>0</v>
      </c>
      <c r="M150" s="191">
        <f t="shared" si="20"/>
        <v>0</v>
      </c>
      <c r="N150" s="370">
        <v>6</v>
      </c>
      <c r="O150" s="370">
        <v>6</v>
      </c>
      <c r="P150" s="370"/>
      <c r="Q150" s="370"/>
      <c r="R150" s="370"/>
      <c r="S150" s="370"/>
      <c r="T150" s="370"/>
      <c r="U150" s="370"/>
      <c r="V150" s="370"/>
      <c r="W150" s="370"/>
      <c r="X150" s="370"/>
      <c r="Y150" s="370"/>
      <c r="Z150" s="370"/>
      <c r="AA150" s="370"/>
      <c r="AB150" s="370"/>
      <c r="AC150" s="370"/>
      <c r="AD150" s="370"/>
      <c r="AE150" s="370"/>
      <c r="AF150" s="370"/>
      <c r="AG150" s="370"/>
      <c r="AH150" s="370">
        <v>6</v>
      </c>
      <c r="AI150" s="370">
        <v>6</v>
      </c>
      <c r="AJ150" s="370"/>
      <c r="AK150" s="370"/>
      <c r="AL150" s="370"/>
      <c r="AM150" s="370"/>
      <c r="AN150" s="133"/>
      <c r="AO150" s="133"/>
      <c r="AP150" s="133">
        <v>6</v>
      </c>
      <c r="AQ150" s="133">
        <v>6</v>
      </c>
      <c r="AR150" s="133"/>
      <c r="AS150" s="133"/>
      <c r="AT150" s="133">
        <v>6</v>
      </c>
      <c r="AU150" s="133">
        <v>6</v>
      </c>
      <c r="AV150" s="133"/>
      <c r="AW150" s="133"/>
      <c r="AX150" s="133"/>
      <c r="AY150" s="133"/>
      <c r="AZ150" s="133"/>
      <c r="BA150" s="133"/>
      <c r="BB150" s="133"/>
      <c r="BC150" s="133"/>
      <c r="BD150" s="133"/>
      <c r="BE150" s="133"/>
      <c r="BF150" s="133"/>
      <c r="BG150" s="133"/>
      <c r="BH150" s="133"/>
      <c r="BI150" s="133"/>
      <c r="BJ150" s="133"/>
      <c r="BK150" s="133"/>
      <c r="BL150" s="133"/>
      <c r="BM150" s="133"/>
      <c r="BN150" s="133"/>
      <c r="BO150" s="133"/>
      <c r="BP150" s="133"/>
      <c r="BQ150" s="133"/>
      <c r="BR150" s="133"/>
      <c r="BS150" s="133"/>
      <c r="BT150" s="133"/>
      <c r="BU150" s="133"/>
      <c r="BV150" s="133"/>
      <c r="BW150" s="133"/>
    </row>
    <row r="151" s="140" customFormat="1" customHeight="1" spans="1:75">
      <c r="A151" s="161">
        <v>180</v>
      </c>
      <c r="B151" s="357" t="s">
        <v>530</v>
      </c>
      <c r="C151" s="162"/>
      <c r="D151" s="357" t="s">
        <v>453</v>
      </c>
      <c r="E151" s="162">
        <v>120</v>
      </c>
      <c r="F151" s="408"/>
      <c r="G151" s="191">
        <f t="shared" si="14"/>
        <v>0</v>
      </c>
      <c r="H151" s="190">
        <f t="shared" si="15"/>
        <v>3</v>
      </c>
      <c r="I151" s="191">
        <f t="shared" si="16"/>
        <v>360</v>
      </c>
      <c r="J151" s="190">
        <f t="shared" si="17"/>
        <v>3</v>
      </c>
      <c r="K151" s="191">
        <f t="shared" si="18"/>
        <v>360</v>
      </c>
      <c r="L151" s="190">
        <f t="shared" si="19"/>
        <v>0</v>
      </c>
      <c r="M151" s="191">
        <f t="shared" si="20"/>
        <v>0</v>
      </c>
      <c r="N151" s="370"/>
      <c r="O151" s="370"/>
      <c r="P151" s="370"/>
      <c r="Q151" s="370"/>
      <c r="R151" s="370"/>
      <c r="S151" s="370"/>
      <c r="T151" s="370"/>
      <c r="U151" s="370"/>
      <c r="V151" s="370"/>
      <c r="W151" s="370"/>
      <c r="X151" s="370"/>
      <c r="Y151" s="370"/>
      <c r="Z151" s="370"/>
      <c r="AA151" s="370"/>
      <c r="AB151" s="370"/>
      <c r="AC151" s="370"/>
      <c r="AD151" s="370"/>
      <c r="AE151" s="370"/>
      <c r="AF151" s="370"/>
      <c r="AG151" s="370"/>
      <c r="AH151" s="370"/>
      <c r="AI151" s="370"/>
      <c r="AJ151" s="370"/>
      <c r="AK151" s="370"/>
      <c r="AL151" s="370"/>
      <c r="AM151" s="370"/>
      <c r="AN151" s="133"/>
      <c r="AO151" s="133"/>
      <c r="AP151" s="133"/>
      <c r="AQ151" s="133"/>
      <c r="AR151" s="133">
        <v>1</v>
      </c>
      <c r="AS151" s="133">
        <v>1</v>
      </c>
      <c r="AT151" s="133"/>
      <c r="AU151" s="133"/>
      <c r="AV151" s="133"/>
      <c r="AW151" s="133"/>
      <c r="AX151" s="133"/>
      <c r="AY151" s="133"/>
      <c r="AZ151" s="133"/>
      <c r="BA151" s="133"/>
      <c r="BB151" s="133"/>
      <c r="BC151" s="133"/>
      <c r="BD151" s="133">
        <v>1</v>
      </c>
      <c r="BE151" s="133">
        <v>1</v>
      </c>
      <c r="BF151" s="133"/>
      <c r="BG151" s="133"/>
      <c r="BH151" s="133">
        <v>1</v>
      </c>
      <c r="BI151" s="133">
        <v>1</v>
      </c>
      <c r="BJ151" s="133"/>
      <c r="BK151" s="133"/>
      <c r="BL151" s="133"/>
      <c r="BM151" s="133"/>
      <c r="BN151" s="133"/>
      <c r="BO151" s="133"/>
      <c r="BP151" s="133"/>
      <c r="BQ151" s="133"/>
      <c r="BR151" s="133"/>
      <c r="BS151" s="133"/>
      <c r="BT151" s="133"/>
      <c r="BU151" s="133"/>
      <c r="BV151" s="133"/>
      <c r="BW151" s="133"/>
    </row>
    <row r="152" s="140" customFormat="1" customHeight="1" spans="1:75">
      <c r="A152" s="161">
        <v>181</v>
      </c>
      <c r="B152" s="357" t="s">
        <v>531</v>
      </c>
      <c r="C152" s="162"/>
      <c r="D152" s="357" t="s">
        <v>402</v>
      </c>
      <c r="E152" s="162">
        <v>23</v>
      </c>
      <c r="F152" s="408"/>
      <c r="G152" s="191">
        <f t="shared" si="14"/>
        <v>0</v>
      </c>
      <c r="H152" s="190">
        <f t="shared" si="15"/>
        <v>3.24</v>
      </c>
      <c r="I152" s="191">
        <f t="shared" si="16"/>
        <v>74.52</v>
      </c>
      <c r="J152" s="190">
        <f t="shared" si="17"/>
        <v>3.24</v>
      </c>
      <c r="K152" s="191">
        <f t="shared" si="18"/>
        <v>74.52</v>
      </c>
      <c r="L152" s="190">
        <f t="shared" si="19"/>
        <v>0</v>
      </c>
      <c r="M152" s="191">
        <f t="shared" si="20"/>
        <v>0</v>
      </c>
      <c r="N152" s="370"/>
      <c r="O152" s="370"/>
      <c r="P152" s="370"/>
      <c r="Q152" s="370"/>
      <c r="R152" s="370"/>
      <c r="S152" s="370"/>
      <c r="T152" s="370"/>
      <c r="U152" s="370"/>
      <c r="V152" s="370"/>
      <c r="W152" s="370"/>
      <c r="X152" s="370"/>
      <c r="Y152" s="370"/>
      <c r="Z152" s="370"/>
      <c r="AA152" s="370"/>
      <c r="AB152" s="370"/>
      <c r="AC152" s="370"/>
      <c r="AD152" s="370"/>
      <c r="AE152" s="370"/>
      <c r="AF152" s="370"/>
      <c r="AG152" s="370"/>
      <c r="AH152" s="370"/>
      <c r="AI152" s="370"/>
      <c r="AJ152" s="370"/>
      <c r="AK152" s="370"/>
      <c r="AL152" s="370"/>
      <c r="AM152" s="370"/>
      <c r="AN152" s="133"/>
      <c r="AO152" s="133"/>
      <c r="AP152" s="133"/>
      <c r="AQ152" s="133"/>
      <c r="AR152" s="133">
        <v>2.24</v>
      </c>
      <c r="AS152" s="133">
        <v>2.24</v>
      </c>
      <c r="AT152" s="133"/>
      <c r="AU152" s="133"/>
      <c r="AV152" s="133"/>
      <c r="AW152" s="133"/>
      <c r="AX152" s="133"/>
      <c r="AY152" s="133"/>
      <c r="AZ152" s="133"/>
      <c r="BA152" s="133"/>
      <c r="BB152" s="133"/>
      <c r="BC152" s="133"/>
      <c r="BD152" s="133">
        <v>1</v>
      </c>
      <c r="BE152" s="133">
        <v>1</v>
      </c>
      <c r="BF152" s="133"/>
      <c r="BG152" s="133"/>
      <c r="BH152" s="133"/>
      <c r="BI152" s="133"/>
      <c r="BJ152" s="133"/>
      <c r="BK152" s="133"/>
      <c r="BL152" s="133"/>
      <c r="BM152" s="133"/>
      <c r="BN152" s="133"/>
      <c r="BO152" s="133"/>
      <c r="BP152" s="133"/>
      <c r="BQ152" s="133"/>
      <c r="BR152" s="133"/>
      <c r="BS152" s="133"/>
      <c r="BT152" s="133"/>
      <c r="BU152" s="133"/>
      <c r="BV152" s="133"/>
      <c r="BW152" s="133"/>
    </row>
    <row r="153" s="140" customFormat="1" customHeight="1" spans="1:75">
      <c r="A153" s="161">
        <v>182</v>
      </c>
      <c r="B153" s="357" t="s">
        <v>532</v>
      </c>
      <c r="C153" s="162"/>
      <c r="D153" s="357" t="s">
        <v>137</v>
      </c>
      <c r="E153" s="162">
        <v>17.5</v>
      </c>
      <c r="F153" s="408"/>
      <c r="G153" s="191">
        <f t="shared" si="14"/>
        <v>0</v>
      </c>
      <c r="H153" s="190">
        <f t="shared" si="15"/>
        <v>1</v>
      </c>
      <c r="I153" s="191">
        <f t="shared" si="16"/>
        <v>17.5</v>
      </c>
      <c r="J153" s="190">
        <f t="shared" si="17"/>
        <v>1</v>
      </c>
      <c r="K153" s="191">
        <f t="shared" si="18"/>
        <v>17.5</v>
      </c>
      <c r="L153" s="190">
        <f t="shared" si="19"/>
        <v>0</v>
      </c>
      <c r="M153" s="191">
        <f t="shared" si="20"/>
        <v>0</v>
      </c>
      <c r="N153" s="370"/>
      <c r="O153" s="370"/>
      <c r="P153" s="370"/>
      <c r="Q153" s="370"/>
      <c r="R153" s="370"/>
      <c r="S153" s="370"/>
      <c r="T153" s="370"/>
      <c r="U153" s="370"/>
      <c r="V153" s="370"/>
      <c r="W153" s="370"/>
      <c r="X153" s="370"/>
      <c r="Y153" s="370"/>
      <c r="Z153" s="370"/>
      <c r="AA153" s="370"/>
      <c r="AB153" s="370"/>
      <c r="AC153" s="370"/>
      <c r="AD153" s="370"/>
      <c r="AE153" s="370"/>
      <c r="AF153" s="370"/>
      <c r="AG153" s="370"/>
      <c r="AH153" s="370"/>
      <c r="AI153" s="370"/>
      <c r="AJ153" s="370"/>
      <c r="AK153" s="370"/>
      <c r="AL153" s="370"/>
      <c r="AM153" s="370"/>
      <c r="AN153" s="133"/>
      <c r="AO153" s="133"/>
      <c r="AP153" s="133"/>
      <c r="AQ153" s="133"/>
      <c r="AR153" s="133"/>
      <c r="AS153" s="133"/>
      <c r="AT153" s="133"/>
      <c r="AU153" s="133"/>
      <c r="AV153" s="133"/>
      <c r="AW153" s="133"/>
      <c r="AX153" s="133">
        <v>1</v>
      </c>
      <c r="AY153" s="133">
        <v>1</v>
      </c>
      <c r="AZ153" s="133"/>
      <c r="BA153" s="133"/>
      <c r="BB153" s="133"/>
      <c r="BC153" s="133"/>
      <c r="BD153" s="133"/>
      <c r="BE153" s="133"/>
      <c r="BF153" s="133"/>
      <c r="BG153" s="133"/>
      <c r="BH153" s="133"/>
      <c r="BI153" s="133"/>
      <c r="BJ153" s="133"/>
      <c r="BK153" s="133"/>
      <c r="BL153" s="133"/>
      <c r="BM153" s="133"/>
      <c r="BN153" s="133"/>
      <c r="BO153" s="133"/>
      <c r="BP153" s="133"/>
      <c r="BQ153" s="133"/>
      <c r="BR153" s="133"/>
      <c r="BS153" s="133"/>
      <c r="BT153" s="133"/>
      <c r="BU153" s="133"/>
      <c r="BV153" s="133"/>
      <c r="BW153" s="133"/>
    </row>
    <row r="154" s="140" customFormat="1" customHeight="1" spans="1:75">
      <c r="A154" s="161">
        <v>183</v>
      </c>
      <c r="B154" s="357" t="s">
        <v>533</v>
      </c>
      <c r="C154" s="162"/>
      <c r="D154" s="357" t="s">
        <v>137</v>
      </c>
      <c r="E154" s="162">
        <v>80</v>
      </c>
      <c r="F154" s="408"/>
      <c r="G154" s="191">
        <f t="shared" si="14"/>
        <v>0</v>
      </c>
      <c r="H154" s="190">
        <f t="shared" si="15"/>
        <v>0</v>
      </c>
      <c r="I154" s="191">
        <f t="shared" si="16"/>
        <v>0</v>
      </c>
      <c r="J154" s="190">
        <f t="shared" si="17"/>
        <v>0</v>
      </c>
      <c r="K154" s="191">
        <f t="shared" si="18"/>
        <v>0</v>
      </c>
      <c r="L154" s="190">
        <f t="shared" si="19"/>
        <v>0</v>
      </c>
      <c r="M154" s="191">
        <f t="shared" si="20"/>
        <v>0</v>
      </c>
      <c r="N154" s="370"/>
      <c r="O154" s="370"/>
      <c r="P154" s="370"/>
      <c r="Q154" s="370"/>
      <c r="R154" s="370"/>
      <c r="S154" s="370"/>
      <c r="T154" s="370"/>
      <c r="U154" s="370"/>
      <c r="V154" s="370"/>
      <c r="W154" s="370"/>
      <c r="X154" s="370"/>
      <c r="Y154" s="370"/>
      <c r="Z154" s="370"/>
      <c r="AA154" s="370"/>
      <c r="AB154" s="370"/>
      <c r="AC154" s="370"/>
      <c r="AD154" s="370"/>
      <c r="AE154" s="370"/>
      <c r="AF154" s="370"/>
      <c r="AG154" s="370"/>
      <c r="AH154" s="370"/>
      <c r="AI154" s="370"/>
      <c r="AJ154" s="370"/>
      <c r="AK154" s="370"/>
      <c r="AL154" s="370"/>
      <c r="AM154" s="370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  <c r="BQ154" s="133"/>
      <c r="BR154" s="133"/>
      <c r="BS154" s="133"/>
      <c r="BT154" s="133"/>
      <c r="BU154" s="133"/>
      <c r="BV154" s="133"/>
      <c r="BW154" s="133"/>
    </row>
    <row r="155" s="140" customFormat="1" customHeight="1" spans="1:75">
      <c r="A155" s="161">
        <v>184</v>
      </c>
      <c r="B155" s="357" t="s">
        <v>534</v>
      </c>
      <c r="C155" s="162"/>
      <c r="D155" s="162"/>
      <c r="E155" s="162">
        <v>6</v>
      </c>
      <c r="F155" s="408"/>
      <c r="G155" s="191">
        <f t="shared" si="14"/>
        <v>0</v>
      </c>
      <c r="H155" s="190">
        <f t="shared" si="15"/>
        <v>12</v>
      </c>
      <c r="I155" s="191">
        <f t="shared" si="16"/>
        <v>72</v>
      </c>
      <c r="J155" s="190">
        <f t="shared" si="17"/>
        <v>12</v>
      </c>
      <c r="K155" s="191">
        <f t="shared" si="18"/>
        <v>72</v>
      </c>
      <c r="L155" s="190">
        <f t="shared" si="19"/>
        <v>0</v>
      </c>
      <c r="M155" s="191">
        <f t="shared" si="20"/>
        <v>0</v>
      </c>
      <c r="N155" s="370"/>
      <c r="O155" s="370"/>
      <c r="P155" s="370"/>
      <c r="Q155" s="370"/>
      <c r="R155" s="370"/>
      <c r="S155" s="370"/>
      <c r="T155" s="370"/>
      <c r="U155" s="370"/>
      <c r="V155" s="370"/>
      <c r="W155" s="370"/>
      <c r="X155" s="370"/>
      <c r="Y155" s="370"/>
      <c r="Z155" s="370"/>
      <c r="AA155" s="370"/>
      <c r="AB155" s="370"/>
      <c r="AC155" s="370"/>
      <c r="AD155" s="370"/>
      <c r="AE155" s="370"/>
      <c r="AF155" s="370"/>
      <c r="AG155" s="370"/>
      <c r="AH155" s="370"/>
      <c r="AI155" s="370"/>
      <c r="AJ155" s="370"/>
      <c r="AK155" s="370"/>
      <c r="AL155" s="370"/>
      <c r="AM155" s="370"/>
      <c r="AN155" s="133"/>
      <c r="AO155" s="133"/>
      <c r="AP155" s="133">
        <v>6</v>
      </c>
      <c r="AQ155" s="133">
        <v>6</v>
      </c>
      <c r="AR155" s="133"/>
      <c r="AS155" s="133"/>
      <c r="AT155" s="133"/>
      <c r="AU155" s="133"/>
      <c r="AV155" s="133"/>
      <c r="AW155" s="133"/>
      <c r="AX155" s="133"/>
      <c r="AY155" s="133"/>
      <c r="AZ155" s="133"/>
      <c r="BA155" s="133"/>
      <c r="BB155" s="133"/>
      <c r="BC155" s="133"/>
      <c r="BD155" s="133"/>
      <c r="BE155" s="133"/>
      <c r="BF155" s="133"/>
      <c r="BG155" s="133"/>
      <c r="BH155" s="133">
        <v>6</v>
      </c>
      <c r="BI155" s="133">
        <v>6</v>
      </c>
      <c r="BJ155" s="133"/>
      <c r="BK155" s="133"/>
      <c r="BL155" s="133"/>
      <c r="BM155" s="133"/>
      <c r="BN155" s="133"/>
      <c r="BO155" s="133"/>
      <c r="BP155" s="133"/>
      <c r="BQ155" s="133"/>
      <c r="BR155" s="133"/>
      <c r="BS155" s="133"/>
      <c r="BT155" s="133"/>
      <c r="BU155" s="133"/>
      <c r="BV155" s="133"/>
      <c r="BW155" s="133"/>
    </row>
    <row r="156" s="140" customFormat="1" customHeight="1" spans="1:75">
      <c r="A156" s="161">
        <v>185</v>
      </c>
      <c r="B156" s="357" t="s">
        <v>535</v>
      </c>
      <c r="C156" s="162"/>
      <c r="D156" s="162"/>
      <c r="E156" s="162">
        <v>10</v>
      </c>
      <c r="F156" s="408"/>
      <c r="G156" s="191">
        <f t="shared" si="14"/>
        <v>0</v>
      </c>
      <c r="H156" s="190">
        <f t="shared" si="15"/>
        <v>6</v>
      </c>
      <c r="I156" s="191">
        <f t="shared" si="16"/>
        <v>60</v>
      </c>
      <c r="J156" s="190">
        <f t="shared" si="17"/>
        <v>6</v>
      </c>
      <c r="K156" s="191">
        <f t="shared" si="18"/>
        <v>60</v>
      </c>
      <c r="L156" s="190">
        <f t="shared" si="19"/>
        <v>0</v>
      </c>
      <c r="M156" s="191">
        <f t="shared" si="20"/>
        <v>0</v>
      </c>
      <c r="N156" s="370"/>
      <c r="O156" s="370"/>
      <c r="P156" s="370"/>
      <c r="Q156" s="370"/>
      <c r="R156" s="370"/>
      <c r="S156" s="370"/>
      <c r="T156" s="370"/>
      <c r="U156" s="370"/>
      <c r="V156" s="370"/>
      <c r="W156" s="370"/>
      <c r="X156" s="370"/>
      <c r="Y156" s="370"/>
      <c r="Z156" s="370"/>
      <c r="AA156" s="370"/>
      <c r="AB156" s="370"/>
      <c r="AC156" s="370"/>
      <c r="AD156" s="370"/>
      <c r="AE156" s="370"/>
      <c r="AF156" s="370"/>
      <c r="AG156" s="370"/>
      <c r="AH156" s="370"/>
      <c r="AI156" s="370"/>
      <c r="AJ156" s="370"/>
      <c r="AK156" s="370"/>
      <c r="AL156" s="370"/>
      <c r="AM156" s="370"/>
      <c r="AN156" s="133"/>
      <c r="AO156" s="133"/>
      <c r="AP156" s="133"/>
      <c r="AQ156" s="133"/>
      <c r="AR156" s="133"/>
      <c r="AS156" s="133"/>
      <c r="AT156" s="133"/>
      <c r="AU156" s="133"/>
      <c r="AV156" s="133"/>
      <c r="AW156" s="133"/>
      <c r="AX156" s="133"/>
      <c r="AY156" s="133"/>
      <c r="AZ156" s="133"/>
      <c r="BA156" s="133"/>
      <c r="BB156" s="133"/>
      <c r="BC156" s="133"/>
      <c r="BD156" s="133"/>
      <c r="BE156" s="133"/>
      <c r="BF156" s="133"/>
      <c r="BG156" s="133"/>
      <c r="BH156" s="133"/>
      <c r="BI156" s="133"/>
      <c r="BJ156" s="133"/>
      <c r="BK156" s="133"/>
      <c r="BL156" s="133"/>
      <c r="BM156" s="133"/>
      <c r="BN156" s="133"/>
      <c r="BO156" s="133"/>
      <c r="BP156" s="133"/>
      <c r="BQ156" s="133"/>
      <c r="BR156" s="133"/>
      <c r="BS156" s="133"/>
      <c r="BT156" s="133"/>
      <c r="BU156" s="133"/>
      <c r="BV156" s="133">
        <v>6</v>
      </c>
      <c r="BW156" s="133">
        <v>6</v>
      </c>
    </row>
    <row r="157" s="140" customFormat="1" customHeight="1" spans="1:75">
      <c r="A157" s="143">
        <v>186</v>
      </c>
      <c r="B157" s="357" t="s">
        <v>536</v>
      </c>
      <c r="C157" s="162"/>
      <c r="D157" s="162"/>
      <c r="E157" s="162">
        <v>8.5</v>
      </c>
      <c r="F157" s="408"/>
      <c r="G157" s="191">
        <f t="shared" si="14"/>
        <v>0</v>
      </c>
      <c r="H157" s="190">
        <f t="shared" si="15"/>
        <v>50</v>
      </c>
      <c r="I157" s="191">
        <f t="shared" si="16"/>
        <v>425</v>
      </c>
      <c r="J157" s="190">
        <f t="shared" si="17"/>
        <v>50</v>
      </c>
      <c r="K157" s="191">
        <f t="shared" si="18"/>
        <v>425</v>
      </c>
      <c r="L157" s="190">
        <f t="shared" si="19"/>
        <v>0</v>
      </c>
      <c r="M157" s="191">
        <f t="shared" si="20"/>
        <v>0</v>
      </c>
      <c r="N157" s="370"/>
      <c r="O157" s="370"/>
      <c r="P157" s="370"/>
      <c r="Q157" s="370"/>
      <c r="R157" s="370"/>
      <c r="S157" s="370"/>
      <c r="T157" s="370"/>
      <c r="U157" s="370"/>
      <c r="V157" s="370"/>
      <c r="W157" s="370"/>
      <c r="X157" s="370"/>
      <c r="Y157" s="370"/>
      <c r="Z157" s="370"/>
      <c r="AA157" s="370"/>
      <c r="AB157" s="370">
        <v>10</v>
      </c>
      <c r="AC157" s="370">
        <v>10</v>
      </c>
      <c r="AD157" s="370"/>
      <c r="AE157" s="370"/>
      <c r="AF157" s="370"/>
      <c r="AG157" s="370"/>
      <c r="AH157" s="370"/>
      <c r="AI157" s="370"/>
      <c r="AJ157" s="370"/>
      <c r="AK157" s="370"/>
      <c r="AL157" s="370"/>
      <c r="AM157" s="370"/>
      <c r="AN157" s="133"/>
      <c r="AO157" s="133"/>
      <c r="AP157" s="133">
        <v>10</v>
      </c>
      <c r="AQ157" s="133">
        <v>10</v>
      </c>
      <c r="AR157" s="133"/>
      <c r="AS157" s="133"/>
      <c r="AT157" s="133">
        <v>10</v>
      </c>
      <c r="AU157" s="133">
        <v>10</v>
      </c>
      <c r="AV157" s="133"/>
      <c r="AW157" s="133"/>
      <c r="AX157" s="133"/>
      <c r="AY157" s="133"/>
      <c r="AZ157" s="133"/>
      <c r="BA157" s="133"/>
      <c r="BB157" s="133"/>
      <c r="BC157" s="133"/>
      <c r="BD157" s="133">
        <v>10</v>
      </c>
      <c r="BE157" s="133">
        <v>10</v>
      </c>
      <c r="BF157" s="133"/>
      <c r="BG157" s="133"/>
      <c r="BH157" s="133"/>
      <c r="BI157" s="133"/>
      <c r="BJ157" s="133"/>
      <c r="BK157" s="133"/>
      <c r="BL157" s="133"/>
      <c r="BM157" s="133"/>
      <c r="BN157" s="133"/>
      <c r="BO157" s="133"/>
      <c r="BP157" s="133">
        <v>10</v>
      </c>
      <c r="BQ157" s="133">
        <v>10</v>
      </c>
      <c r="BR157" s="133"/>
      <c r="BS157" s="133"/>
      <c r="BT157" s="133"/>
      <c r="BU157" s="133"/>
      <c r="BV157" s="133"/>
      <c r="BW157" s="133"/>
    </row>
    <row r="158" s="140" customFormat="1" customHeight="1" spans="1:75">
      <c r="A158" s="161">
        <v>187</v>
      </c>
      <c r="B158" s="357" t="s">
        <v>537</v>
      </c>
      <c r="C158" s="162"/>
      <c r="D158" s="162"/>
      <c r="E158" s="162">
        <v>85</v>
      </c>
      <c r="F158" s="408"/>
      <c r="G158" s="191">
        <f t="shared" si="14"/>
        <v>0</v>
      </c>
      <c r="H158" s="190">
        <f t="shared" si="15"/>
        <v>4</v>
      </c>
      <c r="I158" s="191">
        <f t="shared" si="16"/>
        <v>340</v>
      </c>
      <c r="J158" s="190">
        <f t="shared" si="17"/>
        <v>4</v>
      </c>
      <c r="K158" s="191">
        <f t="shared" si="18"/>
        <v>340</v>
      </c>
      <c r="L158" s="190">
        <f t="shared" si="19"/>
        <v>0</v>
      </c>
      <c r="M158" s="191">
        <f t="shared" si="20"/>
        <v>0</v>
      </c>
      <c r="N158" s="370"/>
      <c r="O158" s="370"/>
      <c r="P158" s="370"/>
      <c r="Q158" s="370"/>
      <c r="R158" s="370"/>
      <c r="S158" s="370"/>
      <c r="T158" s="370"/>
      <c r="U158" s="370"/>
      <c r="V158" s="370"/>
      <c r="W158" s="370"/>
      <c r="X158" s="370"/>
      <c r="Y158" s="370"/>
      <c r="Z158" s="370"/>
      <c r="AA158" s="370"/>
      <c r="AB158" s="370"/>
      <c r="AC158" s="370"/>
      <c r="AD158" s="370"/>
      <c r="AE158" s="370"/>
      <c r="AF158" s="370"/>
      <c r="AG158" s="370"/>
      <c r="AH158" s="370"/>
      <c r="AI158" s="370"/>
      <c r="AJ158" s="370"/>
      <c r="AK158" s="370"/>
      <c r="AL158" s="370"/>
      <c r="AM158" s="370"/>
      <c r="AN158" s="133"/>
      <c r="AO158" s="133"/>
      <c r="AP158" s="133"/>
      <c r="AQ158" s="133"/>
      <c r="AR158" s="133">
        <v>2</v>
      </c>
      <c r="AS158" s="133">
        <v>2</v>
      </c>
      <c r="AT158" s="133"/>
      <c r="AU158" s="133"/>
      <c r="AV158" s="133"/>
      <c r="AW158" s="133"/>
      <c r="AX158" s="133"/>
      <c r="AY158" s="133"/>
      <c r="AZ158" s="133"/>
      <c r="BA158" s="133"/>
      <c r="BB158" s="133"/>
      <c r="BC158" s="133"/>
      <c r="BD158" s="133"/>
      <c r="BE158" s="133"/>
      <c r="BF158" s="133"/>
      <c r="BG158" s="133"/>
      <c r="BH158" s="133">
        <v>1</v>
      </c>
      <c r="BI158" s="133">
        <v>1</v>
      </c>
      <c r="BJ158" s="133"/>
      <c r="BK158" s="133"/>
      <c r="BL158" s="133"/>
      <c r="BM158" s="133"/>
      <c r="BN158" s="133"/>
      <c r="BO158" s="133"/>
      <c r="BP158" s="133">
        <v>1</v>
      </c>
      <c r="BQ158" s="133">
        <v>1</v>
      </c>
      <c r="BR158" s="133"/>
      <c r="BS158" s="133"/>
      <c r="BT158" s="133"/>
      <c r="BU158" s="133"/>
      <c r="BV158" s="133"/>
      <c r="BW158" s="133"/>
    </row>
    <row r="159" s="140" customFormat="1" customHeight="1" spans="1:75">
      <c r="A159" s="161">
        <v>188</v>
      </c>
      <c r="B159" s="357" t="s">
        <v>538</v>
      </c>
      <c r="C159" s="162"/>
      <c r="D159" s="162"/>
      <c r="E159" s="162">
        <v>15</v>
      </c>
      <c r="F159" s="408"/>
      <c r="G159" s="191">
        <f t="shared" si="14"/>
        <v>0</v>
      </c>
      <c r="H159" s="190">
        <f t="shared" si="15"/>
        <v>4</v>
      </c>
      <c r="I159" s="191">
        <f t="shared" si="16"/>
        <v>60</v>
      </c>
      <c r="J159" s="190">
        <f t="shared" si="17"/>
        <v>4</v>
      </c>
      <c r="K159" s="191">
        <f t="shared" si="18"/>
        <v>60</v>
      </c>
      <c r="L159" s="190">
        <f t="shared" si="19"/>
        <v>0</v>
      </c>
      <c r="M159" s="191">
        <f t="shared" si="20"/>
        <v>0</v>
      </c>
      <c r="N159" s="370"/>
      <c r="O159" s="370"/>
      <c r="P159" s="370"/>
      <c r="Q159" s="370"/>
      <c r="R159" s="370"/>
      <c r="S159" s="370"/>
      <c r="T159" s="370"/>
      <c r="U159" s="370"/>
      <c r="V159" s="370"/>
      <c r="W159" s="370"/>
      <c r="X159" s="370"/>
      <c r="Y159" s="370"/>
      <c r="Z159" s="370"/>
      <c r="AA159" s="370"/>
      <c r="AB159" s="370"/>
      <c r="AC159" s="370"/>
      <c r="AD159" s="370"/>
      <c r="AE159" s="370"/>
      <c r="AF159" s="370"/>
      <c r="AG159" s="370"/>
      <c r="AH159" s="370">
        <v>2</v>
      </c>
      <c r="AI159" s="370">
        <v>2</v>
      </c>
      <c r="AJ159" s="370"/>
      <c r="AK159" s="370"/>
      <c r="AL159" s="370"/>
      <c r="AM159" s="370"/>
      <c r="AN159" s="133"/>
      <c r="AO159" s="133"/>
      <c r="AP159" s="133">
        <v>2</v>
      </c>
      <c r="AQ159" s="133">
        <v>2</v>
      </c>
      <c r="AR159" s="133"/>
      <c r="AS159" s="133"/>
      <c r="AT159" s="133"/>
      <c r="AU159" s="133"/>
      <c r="AV159" s="133"/>
      <c r="AW159" s="133"/>
      <c r="AX159" s="133"/>
      <c r="AY159" s="133"/>
      <c r="AZ159" s="133"/>
      <c r="BA159" s="133"/>
      <c r="BB159" s="133"/>
      <c r="BC159" s="133"/>
      <c r="BD159" s="133"/>
      <c r="BE159" s="133"/>
      <c r="BF159" s="133"/>
      <c r="BG159" s="133"/>
      <c r="BH159" s="133"/>
      <c r="BI159" s="133"/>
      <c r="BJ159" s="133"/>
      <c r="BK159" s="133"/>
      <c r="BL159" s="133"/>
      <c r="BM159" s="133"/>
      <c r="BN159" s="133"/>
      <c r="BO159" s="133"/>
      <c r="BP159" s="133"/>
      <c r="BQ159" s="133"/>
      <c r="BR159" s="133"/>
      <c r="BS159" s="133"/>
      <c r="BT159" s="133"/>
      <c r="BU159" s="133"/>
      <c r="BV159" s="133"/>
      <c r="BW159" s="133"/>
    </row>
    <row r="160" s="140" customFormat="1" customHeight="1" spans="1:75">
      <c r="A160" s="161">
        <v>189</v>
      </c>
      <c r="B160" s="357" t="s">
        <v>539</v>
      </c>
      <c r="C160" s="162"/>
      <c r="D160" s="357" t="s">
        <v>173</v>
      </c>
      <c r="E160" s="162">
        <v>10</v>
      </c>
      <c r="F160" s="408"/>
      <c r="G160" s="191">
        <f t="shared" si="14"/>
        <v>0</v>
      </c>
      <c r="H160" s="190">
        <f t="shared" si="15"/>
        <v>6</v>
      </c>
      <c r="I160" s="191">
        <f t="shared" si="16"/>
        <v>60</v>
      </c>
      <c r="J160" s="190">
        <f t="shared" si="17"/>
        <v>6</v>
      </c>
      <c r="K160" s="191">
        <f t="shared" si="18"/>
        <v>60</v>
      </c>
      <c r="L160" s="190">
        <f t="shared" si="19"/>
        <v>0</v>
      </c>
      <c r="M160" s="191">
        <f t="shared" si="20"/>
        <v>0</v>
      </c>
      <c r="N160" s="370"/>
      <c r="O160" s="370"/>
      <c r="P160" s="370"/>
      <c r="Q160" s="370"/>
      <c r="R160" s="370"/>
      <c r="S160" s="370"/>
      <c r="T160" s="370"/>
      <c r="U160" s="370"/>
      <c r="V160" s="370"/>
      <c r="W160" s="370"/>
      <c r="X160" s="370"/>
      <c r="Y160" s="370"/>
      <c r="Z160" s="370"/>
      <c r="AA160" s="370"/>
      <c r="AB160" s="370"/>
      <c r="AC160" s="370"/>
      <c r="AD160" s="370"/>
      <c r="AE160" s="370"/>
      <c r="AF160" s="370"/>
      <c r="AG160" s="370"/>
      <c r="AH160" s="370"/>
      <c r="AI160" s="370"/>
      <c r="AJ160" s="370"/>
      <c r="AK160" s="370"/>
      <c r="AL160" s="370"/>
      <c r="AM160" s="370"/>
      <c r="AN160" s="133"/>
      <c r="AO160" s="133"/>
      <c r="AP160" s="133"/>
      <c r="AQ160" s="133"/>
      <c r="AR160" s="133"/>
      <c r="AS160" s="133"/>
      <c r="AT160" s="133"/>
      <c r="AU160" s="133"/>
      <c r="AV160" s="133"/>
      <c r="AW160" s="133"/>
      <c r="AX160" s="133"/>
      <c r="AY160" s="133"/>
      <c r="AZ160" s="133"/>
      <c r="BA160" s="133"/>
      <c r="BB160" s="133"/>
      <c r="BC160" s="133"/>
      <c r="BD160" s="133"/>
      <c r="BE160" s="133"/>
      <c r="BF160" s="133"/>
      <c r="BG160" s="133"/>
      <c r="BH160" s="133">
        <v>6</v>
      </c>
      <c r="BI160" s="133">
        <v>6</v>
      </c>
      <c r="BJ160" s="133"/>
      <c r="BK160" s="133"/>
      <c r="BL160" s="133"/>
      <c r="BM160" s="133"/>
      <c r="BN160" s="133"/>
      <c r="BO160" s="133"/>
      <c r="BP160" s="133"/>
      <c r="BQ160" s="133"/>
      <c r="BR160" s="133"/>
      <c r="BS160" s="133"/>
      <c r="BT160" s="133"/>
      <c r="BU160" s="133"/>
      <c r="BV160" s="133"/>
      <c r="BW160" s="133"/>
    </row>
    <row r="161" s="140" customFormat="1" customHeight="1" spans="1:75">
      <c r="A161" s="161">
        <v>190</v>
      </c>
      <c r="B161" s="357" t="s">
        <v>540</v>
      </c>
      <c r="C161" s="162"/>
      <c r="D161" s="357" t="s">
        <v>402</v>
      </c>
      <c r="E161" s="162">
        <v>40</v>
      </c>
      <c r="F161" s="408"/>
      <c r="G161" s="191">
        <f t="shared" si="14"/>
        <v>0</v>
      </c>
      <c r="H161" s="190">
        <f t="shared" si="15"/>
        <v>4</v>
      </c>
      <c r="I161" s="191">
        <f t="shared" si="16"/>
        <v>160</v>
      </c>
      <c r="J161" s="190">
        <f t="shared" si="17"/>
        <v>4</v>
      </c>
      <c r="K161" s="191">
        <f t="shared" si="18"/>
        <v>160</v>
      </c>
      <c r="L161" s="190">
        <f t="shared" si="19"/>
        <v>0</v>
      </c>
      <c r="M161" s="191">
        <f t="shared" si="20"/>
        <v>0</v>
      </c>
      <c r="N161" s="370"/>
      <c r="O161" s="370"/>
      <c r="P161" s="370"/>
      <c r="Q161" s="370"/>
      <c r="R161" s="370"/>
      <c r="S161" s="370"/>
      <c r="T161" s="370"/>
      <c r="U161" s="370"/>
      <c r="V161" s="370"/>
      <c r="W161" s="370"/>
      <c r="X161" s="370"/>
      <c r="Y161" s="370"/>
      <c r="Z161" s="370"/>
      <c r="AA161" s="370"/>
      <c r="AB161" s="370"/>
      <c r="AC161" s="370"/>
      <c r="AD161" s="370"/>
      <c r="AE161" s="370"/>
      <c r="AF161" s="370"/>
      <c r="AG161" s="370"/>
      <c r="AH161" s="370"/>
      <c r="AI161" s="370"/>
      <c r="AJ161" s="370"/>
      <c r="AK161" s="370"/>
      <c r="AL161" s="370"/>
      <c r="AM161" s="370"/>
      <c r="AN161" s="133"/>
      <c r="AO161" s="133"/>
      <c r="AP161" s="133"/>
      <c r="AQ161" s="133"/>
      <c r="AR161" s="133">
        <v>2</v>
      </c>
      <c r="AS161" s="133">
        <v>2</v>
      </c>
      <c r="AT161" s="133"/>
      <c r="AU161" s="133"/>
      <c r="AV161" s="133"/>
      <c r="AW161" s="133"/>
      <c r="AX161" s="133"/>
      <c r="AY161" s="133"/>
      <c r="AZ161" s="133"/>
      <c r="BA161" s="133"/>
      <c r="BB161" s="133"/>
      <c r="BC161" s="133"/>
      <c r="BD161" s="133"/>
      <c r="BE161" s="133"/>
      <c r="BF161" s="133"/>
      <c r="BG161" s="133"/>
      <c r="BH161" s="133">
        <v>2</v>
      </c>
      <c r="BI161" s="133">
        <v>2</v>
      </c>
      <c r="BJ161" s="133"/>
      <c r="BK161" s="133"/>
      <c r="BL161" s="133"/>
      <c r="BM161" s="133"/>
      <c r="BN161" s="133"/>
      <c r="BO161" s="133"/>
      <c r="BP161" s="133"/>
      <c r="BQ161" s="133"/>
      <c r="BR161" s="133"/>
      <c r="BS161" s="133"/>
      <c r="BT161" s="133"/>
      <c r="BU161" s="133"/>
      <c r="BV161" s="133"/>
      <c r="BW161" s="133"/>
    </row>
    <row r="162" s="140" customFormat="1" customHeight="1" spans="1:75">
      <c r="A162" s="161">
        <v>191</v>
      </c>
      <c r="B162" s="357" t="s">
        <v>541</v>
      </c>
      <c r="C162" s="162"/>
      <c r="D162" s="357" t="s">
        <v>209</v>
      </c>
      <c r="E162" s="162">
        <v>8</v>
      </c>
      <c r="F162" s="408"/>
      <c r="G162" s="191">
        <f t="shared" si="14"/>
        <v>0</v>
      </c>
      <c r="H162" s="190">
        <f t="shared" si="15"/>
        <v>2</v>
      </c>
      <c r="I162" s="191">
        <f t="shared" si="16"/>
        <v>16</v>
      </c>
      <c r="J162" s="190">
        <f t="shared" si="17"/>
        <v>2</v>
      </c>
      <c r="K162" s="191">
        <f t="shared" si="18"/>
        <v>16</v>
      </c>
      <c r="L162" s="190">
        <f t="shared" si="19"/>
        <v>0</v>
      </c>
      <c r="M162" s="191">
        <f t="shared" si="20"/>
        <v>0</v>
      </c>
      <c r="N162" s="370"/>
      <c r="O162" s="370"/>
      <c r="P162" s="370"/>
      <c r="Q162" s="370"/>
      <c r="R162" s="370"/>
      <c r="S162" s="370"/>
      <c r="T162" s="370"/>
      <c r="U162" s="370"/>
      <c r="V162" s="370"/>
      <c r="W162" s="370"/>
      <c r="X162" s="370"/>
      <c r="Y162" s="370"/>
      <c r="Z162" s="370"/>
      <c r="AA162" s="370"/>
      <c r="AB162" s="370">
        <v>2</v>
      </c>
      <c r="AC162" s="370">
        <v>2</v>
      </c>
      <c r="AD162" s="370"/>
      <c r="AE162" s="370"/>
      <c r="AF162" s="370"/>
      <c r="AG162" s="370"/>
      <c r="AH162" s="370"/>
      <c r="AI162" s="370"/>
      <c r="AJ162" s="370"/>
      <c r="AK162" s="370"/>
      <c r="AL162" s="370"/>
      <c r="AM162" s="370"/>
      <c r="AN162" s="133"/>
      <c r="AO162" s="133"/>
      <c r="AP162" s="133"/>
      <c r="AQ162" s="133"/>
      <c r="AR162" s="133"/>
      <c r="AS162" s="133"/>
      <c r="AT162" s="133"/>
      <c r="AU162" s="133"/>
      <c r="AV162" s="133"/>
      <c r="AW162" s="133"/>
      <c r="AX162" s="133"/>
      <c r="AY162" s="133"/>
      <c r="AZ162" s="133"/>
      <c r="BA162" s="133"/>
      <c r="BB162" s="133"/>
      <c r="BC162" s="133"/>
      <c r="BD162" s="133"/>
      <c r="BE162" s="133"/>
      <c r="BF162" s="133"/>
      <c r="BG162" s="133"/>
      <c r="BH162" s="133"/>
      <c r="BI162" s="133"/>
      <c r="BJ162" s="133"/>
      <c r="BK162" s="133"/>
      <c r="BL162" s="133"/>
      <c r="BM162" s="133"/>
      <c r="BN162" s="133"/>
      <c r="BO162" s="133"/>
      <c r="BP162" s="133"/>
      <c r="BQ162" s="133"/>
      <c r="BR162" s="133"/>
      <c r="BS162" s="133"/>
      <c r="BT162" s="133"/>
      <c r="BU162" s="133"/>
      <c r="BV162" s="133"/>
      <c r="BW162" s="133"/>
    </row>
    <row r="163" s="140" customFormat="1" customHeight="1" spans="1:75">
      <c r="A163" s="161">
        <v>192</v>
      </c>
      <c r="B163" s="357" t="s">
        <v>542</v>
      </c>
      <c r="C163" s="162"/>
      <c r="D163" s="357" t="s">
        <v>453</v>
      </c>
      <c r="E163" s="162">
        <v>45</v>
      </c>
      <c r="F163" s="408"/>
      <c r="G163" s="191">
        <f t="shared" si="14"/>
        <v>0</v>
      </c>
      <c r="H163" s="190">
        <f t="shared" si="15"/>
        <v>5</v>
      </c>
      <c r="I163" s="191">
        <f t="shared" si="16"/>
        <v>225</v>
      </c>
      <c r="J163" s="190">
        <f t="shared" si="17"/>
        <v>5</v>
      </c>
      <c r="K163" s="191">
        <f t="shared" si="18"/>
        <v>225</v>
      </c>
      <c r="L163" s="190">
        <f t="shared" si="19"/>
        <v>0</v>
      </c>
      <c r="M163" s="191">
        <f t="shared" si="20"/>
        <v>0</v>
      </c>
      <c r="N163" s="370"/>
      <c r="O163" s="370"/>
      <c r="P163" s="370"/>
      <c r="Q163" s="370"/>
      <c r="R163" s="370"/>
      <c r="S163" s="370"/>
      <c r="T163" s="370"/>
      <c r="U163" s="370"/>
      <c r="V163" s="370">
        <v>1</v>
      </c>
      <c r="W163" s="370">
        <v>1</v>
      </c>
      <c r="X163" s="370"/>
      <c r="Y163" s="370"/>
      <c r="Z163" s="370"/>
      <c r="AA163" s="370"/>
      <c r="AB163" s="370"/>
      <c r="AC163" s="370"/>
      <c r="AD163" s="370"/>
      <c r="AE163" s="370"/>
      <c r="AF163" s="370"/>
      <c r="AG163" s="370"/>
      <c r="AH163" s="370">
        <v>1</v>
      </c>
      <c r="AI163" s="370">
        <v>1</v>
      </c>
      <c r="AJ163" s="370"/>
      <c r="AK163" s="370"/>
      <c r="AL163" s="370"/>
      <c r="AM163" s="370"/>
      <c r="AN163" s="133"/>
      <c r="AO163" s="133"/>
      <c r="AP163" s="133">
        <v>1</v>
      </c>
      <c r="AQ163" s="133">
        <v>1</v>
      </c>
      <c r="AR163" s="133"/>
      <c r="AS163" s="133"/>
      <c r="AT163" s="133">
        <v>1</v>
      </c>
      <c r="AU163" s="133">
        <v>1</v>
      </c>
      <c r="AV163" s="133"/>
      <c r="AW163" s="133"/>
      <c r="AX163" s="133"/>
      <c r="AY163" s="133"/>
      <c r="AZ163" s="133"/>
      <c r="BA163" s="133"/>
      <c r="BB163" s="133"/>
      <c r="BC163" s="133"/>
      <c r="BD163" s="133">
        <v>1</v>
      </c>
      <c r="BE163" s="133">
        <v>1</v>
      </c>
      <c r="BF163" s="133"/>
      <c r="BG163" s="133"/>
      <c r="BH163" s="133"/>
      <c r="BI163" s="133"/>
      <c r="BJ163" s="133"/>
      <c r="BK163" s="133"/>
      <c r="BL163" s="133"/>
      <c r="BM163" s="133"/>
      <c r="BN163" s="133"/>
      <c r="BO163" s="133"/>
      <c r="BP163" s="133"/>
      <c r="BQ163" s="133"/>
      <c r="BR163" s="133"/>
      <c r="BS163" s="133"/>
      <c r="BT163" s="133"/>
      <c r="BU163" s="133"/>
      <c r="BV163" s="133"/>
      <c r="BW163" s="133"/>
    </row>
    <row r="164" s="140" customFormat="1" customHeight="1" spans="1:75">
      <c r="A164" s="161">
        <v>193</v>
      </c>
      <c r="B164" s="357" t="s">
        <v>543</v>
      </c>
      <c r="C164" s="162"/>
      <c r="D164" s="162"/>
      <c r="E164" s="162">
        <v>35</v>
      </c>
      <c r="F164" s="408"/>
      <c r="G164" s="191">
        <f t="shared" si="14"/>
        <v>0</v>
      </c>
      <c r="H164" s="190">
        <f t="shared" si="15"/>
        <v>5</v>
      </c>
      <c r="I164" s="191">
        <f t="shared" si="16"/>
        <v>175</v>
      </c>
      <c r="J164" s="190">
        <f t="shared" si="17"/>
        <v>5</v>
      </c>
      <c r="K164" s="191">
        <f t="shared" si="18"/>
        <v>175</v>
      </c>
      <c r="L164" s="190">
        <f t="shared" si="19"/>
        <v>0</v>
      </c>
      <c r="M164" s="191">
        <f t="shared" si="20"/>
        <v>0</v>
      </c>
      <c r="N164" s="370"/>
      <c r="O164" s="370"/>
      <c r="P164" s="370"/>
      <c r="Q164" s="370"/>
      <c r="R164" s="370"/>
      <c r="S164" s="370"/>
      <c r="T164" s="370"/>
      <c r="U164" s="370"/>
      <c r="V164" s="370">
        <v>1</v>
      </c>
      <c r="W164" s="370">
        <v>1</v>
      </c>
      <c r="X164" s="370"/>
      <c r="Y164" s="370"/>
      <c r="Z164" s="370"/>
      <c r="AA164" s="370"/>
      <c r="AB164" s="370"/>
      <c r="AC164" s="370"/>
      <c r="AD164" s="370"/>
      <c r="AE164" s="370"/>
      <c r="AF164" s="370"/>
      <c r="AG164" s="370"/>
      <c r="AH164" s="370">
        <v>2</v>
      </c>
      <c r="AI164" s="370">
        <v>2</v>
      </c>
      <c r="AJ164" s="370"/>
      <c r="AK164" s="370"/>
      <c r="AL164" s="370"/>
      <c r="AM164" s="370"/>
      <c r="AN164" s="133">
        <v>1</v>
      </c>
      <c r="AO164" s="133">
        <v>1</v>
      </c>
      <c r="AP164" s="133"/>
      <c r="AQ164" s="133"/>
      <c r="AR164" s="133"/>
      <c r="AS164" s="133"/>
      <c r="AT164" s="133"/>
      <c r="AU164" s="133"/>
      <c r="AV164" s="133"/>
      <c r="AW164" s="133"/>
      <c r="AX164" s="133"/>
      <c r="AY164" s="133"/>
      <c r="AZ164" s="133"/>
      <c r="BA164" s="133"/>
      <c r="BB164" s="133"/>
      <c r="BC164" s="133"/>
      <c r="BD164" s="133">
        <v>1</v>
      </c>
      <c r="BE164" s="133">
        <v>1</v>
      </c>
      <c r="BF164" s="133"/>
      <c r="BG164" s="133"/>
      <c r="BH164" s="133"/>
      <c r="BI164" s="133"/>
      <c r="BJ164" s="133"/>
      <c r="BK164" s="133"/>
      <c r="BL164" s="133"/>
      <c r="BM164" s="133"/>
      <c r="BN164" s="133"/>
      <c r="BO164" s="133"/>
      <c r="BP164" s="133"/>
      <c r="BQ164" s="133"/>
      <c r="BR164" s="133"/>
      <c r="BS164" s="133"/>
      <c r="BT164" s="133"/>
      <c r="BU164" s="133"/>
      <c r="BV164" s="133"/>
      <c r="BW164" s="133"/>
    </row>
    <row r="165" s="140" customFormat="1" customHeight="1" spans="1:75">
      <c r="A165" s="161">
        <v>194</v>
      </c>
      <c r="B165" s="357" t="s">
        <v>544</v>
      </c>
      <c r="C165" s="162"/>
      <c r="D165" s="162"/>
      <c r="E165" s="162">
        <v>30</v>
      </c>
      <c r="F165" s="408"/>
      <c r="G165" s="191">
        <f t="shared" si="14"/>
        <v>0</v>
      </c>
      <c r="H165" s="190">
        <f t="shared" si="15"/>
        <v>5</v>
      </c>
      <c r="I165" s="191">
        <f t="shared" si="16"/>
        <v>150</v>
      </c>
      <c r="J165" s="190">
        <f t="shared" si="17"/>
        <v>5</v>
      </c>
      <c r="K165" s="191">
        <f t="shared" si="18"/>
        <v>150</v>
      </c>
      <c r="L165" s="190">
        <f t="shared" si="19"/>
        <v>0</v>
      </c>
      <c r="M165" s="191">
        <f t="shared" si="20"/>
        <v>0</v>
      </c>
      <c r="N165" s="370"/>
      <c r="O165" s="370"/>
      <c r="P165" s="370"/>
      <c r="Q165" s="370"/>
      <c r="R165" s="370"/>
      <c r="S165" s="370"/>
      <c r="T165" s="370"/>
      <c r="U165" s="370"/>
      <c r="V165" s="370">
        <v>1</v>
      </c>
      <c r="W165" s="370">
        <v>1</v>
      </c>
      <c r="X165" s="370"/>
      <c r="Y165" s="370"/>
      <c r="Z165" s="370"/>
      <c r="AA165" s="370"/>
      <c r="AB165" s="370"/>
      <c r="AC165" s="370"/>
      <c r="AD165" s="370"/>
      <c r="AE165" s="370"/>
      <c r="AF165" s="370"/>
      <c r="AG165" s="370"/>
      <c r="AH165" s="370"/>
      <c r="AI165" s="370"/>
      <c r="AJ165" s="370"/>
      <c r="AK165" s="370"/>
      <c r="AL165" s="370"/>
      <c r="AM165" s="370"/>
      <c r="AN165" s="133"/>
      <c r="AO165" s="133"/>
      <c r="AP165" s="133"/>
      <c r="AQ165" s="133"/>
      <c r="AR165" s="133">
        <v>1</v>
      </c>
      <c r="AS165" s="133">
        <v>1</v>
      </c>
      <c r="AT165" s="133">
        <v>1</v>
      </c>
      <c r="AU165" s="133">
        <v>1</v>
      </c>
      <c r="AV165" s="133"/>
      <c r="AW165" s="133"/>
      <c r="AX165" s="133"/>
      <c r="AY165" s="133"/>
      <c r="AZ165" s="133"/>
      <c r="BA165" s="133"/>
      <c r="BB165" s="133"/>
      <c r="BC165" s="133"/>
      <c r="BD165" s="133">
        <v>1</v>
      </c>
      <c r="BE165" s="133">
        <v>1</v>
      </c>
      <c r="BF165" s="133"/>
      <c r="BG165" s="133"/>
      <c r="BH165" s="133"/>
      <c r="BI165" s="133"/>
      <c r="BJ165" s="133"/>
      <c r="BK165" s="133"/>
      <c r="BL165" s="133"/>
      <c r="BM165" s="133"/>
      <c r="BN165" s="133">
        <v>1</v>
      </c>
      <c r="BO165" s="133">
        <v>1</v>
      </c>
      <c r="BP165" s="133"/>
      <c r="BQ165" s="133"/>
      <c r="BR165" s="133"/>
      <c r="BS165" s="133"/>
      <c r="BT165" s="133"/>
      <c r="BU165" s="133"/>
      <c r="BV165" s="133"/>
      <c r="BW165" s="133"/>
    </row>
    <row r="166" s="140" customFormat="1" customHeight="1" spans="1:75">
      <c r="A166" s="161">
        <v>195</v>
      </c>
      <c r="B166" s="357" t="s">
        <v>545</v>
      </c>
      <c r="C166" s="162"/>
      <c r="D166" s="357" t="s">
        <v>453</v>
      </c>
      <c r="E166" s="162">
        <v>45</v>
      </c>
      <c r="F166" s="408"/>
      <c r="G166" s="191">
        <f t="shared" si="14"/>
        <v>0</v>
      </c>
      <c r="H166" s="190">
        <f t="shared" si="15"/>
        <v>5</v>
      </c>
      <c r="I166" s="191">
        <f t="shared" si="16"/>
        <v>225</v>
      </c>
      <c r="J166" s="190">
        <f t="shared" si="17"/>
        <v>5</v>
      </c>
      <c r="K166" s="191">
        <f t="shared" si="18"/>
        <v>225</v>
      </c>
      <c r="L166" s="190">
        <f t="shared" si="19"/>
        <v>0</v>
      </c>
      <c r="M166" s="191">
        <f t="shared" si="20"/>
        <v>0</v>
      </c>
      <c r="N166" s="370"/>
      <c r="O166" s="370"/>
      <c r="P166" s="370"/>
      <c r="Q166" s="370"/>
      <c r="R166" s="370"/>
      <c r="S166" s="370"/>
      <c r="T166" s="370"/>
      <c r="U166" s="370"/>
      <c r="V166" s="370">
        <v>1</v>
      </c>
      <c r="W166" s="370">
        <v>1</v>
      </c>
      <c r="X166" s="370"/>
      <c r="Y166" s="370"/>
      <c r="Z166" s="370"/>
      <c r="AA166" s="370"/>
      <c r="AB166" s="370"/>
      <c r="AC166" s="370"/>
      <c r="AD166" s="370"/>
      <c r="AE166" s="370"/>
      <c r="AF166" s="370"/>
      <c r="AG166" s="370"/>
      <c r="AH166" s="370"/>
      <c r="AI166" s="370"/>
      <c r="AJ166" s="370">
        <v>1</v>
      </c>
      <c r="AK166" s="370">
        <v>1</v>
      </c>
      <c r="AL166" s="370"/>
      <c r="AM166" s="370"/>
      <c r="AN166" s="133"/>
      <c r="AO166" s="133"/>
      <c r="AP166" s="133"/>
      <c r="AQ166" s="133"/>
      <c r="AR166" s="133"/>
      <c r="AS166" s="133"/>
      <c r="AT166" s="133"/>
      <c r="AU166" s="133"/>
      <c r="AV166" s="133"/>
      <c r="AW166" s="133"/>
      <c r="AX166" s="133">
        <v>1</v>
      </c>
      <c r="AY166" s="133">
        <v>1</v>
      </c>
      <c r="AZ166" s="133"/>
      <c r="BA166" s="133"/>
      <c r="BB166" s="133"/>
      <c r="BC166" s="133"/>
      <c r="BD166" s="133">
        <v>1</v>
      </c>
      <c r="BE166" s="133">
        <v>1</v>
      </c>
      <c r="BF166" s="133"/>
      <c r="BG166" s="133"/>
      <c r="BH166" s="133"/>
      <c r="BI166" s="133"/>
      <c r="BJ166" s="133"/>
      <c r="BK166" s="133"/>
      <c r="BL166" s="133"/>
      <c r="BM166" s="133"/>
      <c r="BN166" s="133">
        <v>1</v>
      </c>
      <c r="BO166" s="133">
        <v>1</v>
      </c>
      <c r="BP166" s="133"/>
      <c r="BQ166" s="133"/>
      <c r="BR166" s="133"/>
      <c r="BS166" s="133"/>
      <c r="BT166" s="133"/>
      <c r="BU166" s="133"/>
      <c r="BV166" s="133"/>
      <c r="BW166" s="133"/>
    </row>
    <row r="167" s="140" customFormat="1" customHeight="1" spans="1:75">
      <c r="A167" s="161">
        <v>196</v>
      </c>
      <c r="B167" s="357" t="s">
        <v>546</v>
      </c>
      <c r="C167" s="162"/>
      <c r="D167" s="357" t="s">
        <v>453</v>
      </c>
      <c r="E167" s="162">
        <v>55</v>
      </c>
      <c r="F167" s="408"/>
      <c r="G167" s="191">
        <f t="shared" si="14"/>
        <v>0</v>
      </c>
      <c r="H167" s="190">
        <f t="shared" si="15"/>
        <v>7</v>
      </c>
      <c r="I167" s="191">
        <f t="shared" si="16"/>
        <v>385</v>
      </c>
      <c r="J167" s="190">
        <f t="shared" si="17"/>
        <v>7</v>
      </c>
      <c r="K167" s="191">
        <f t="shared" si="18"/>
        <v>385</v>
      </c>
      <c r="L167" s="190">
        <f t="shared" si="19"/>
        <v>0</v>
      </c>
      <c r="M167" s="191">
        <f t="shared" si="20"/>
        <v>0</v>
      </c>
      <c r="N167" s="370"/>
      <c r="O167" s="370"/>
      <c r="P167" s="370"/>
      <c r="Q167" s="370"/>
      <c r="R167" s="370"/>
      <c r="S167" s="370"/>
      <c r="T167" s="370"/>
      <c r="U167" s="370"/>
      <c r="V167" s="370">
        <v>1</v>
      </c>
      <c r="W167" s="370">
        <v>1</v>
      </c>
      <c r="X167" s="370"/>
      <c r="Y167" s="370"/>
      <c r="Z167" s="370"/>
      <c r="AA167" s="370"/>
      <c r="AB167" s="370"/>
      <c r="AC167" s="370"/>
      <c r="AD167" s="370"/>
      <c r="AE167" s="370"/>
      <c r="AF167" s="370"/>
      <c r="AG167" s="370"/>
      <c r="AH167" s="370"/>
      <c r="AI167" s="370"/>
      <c r="AJ167" s="370"/>
      <c r="AK167" s="370"/>
      <c r="AL167" s="370"/>
      <c r="AM167" s="370"/>
      <c r="AN167" s="133"/>
      <c r="AO167" s="133"/>
      <c r="AP167" s="133"/>
      <c r="AQ167" s="133"/>
      <c r="AR167" s="133"/>
      <c r="AS167" s="133"/>
      <c r="AT167" s="133"/>
      <c r="AU167" s="133"/>
      <c r="AV167" s="133"/>
      <c r="AW167" s="133"/>
      <c r="AX167" s="133"/>
      <c r="AY167" s="133"/>
      <c r="AZ167" s="133"/>
      <c r="BA167" s="133"/>
      <c r="BB167" s="133"/>
      <c r="BC167" s="133"/>
      <c r="BD167" s="133"/>
      <c r="BE167" s="133"/>
      <c r="BF167" s="133"/>
      <c r="BG167" s="133"/>
      <c r="BH167" s="133"/>
      <c r="BI167" s="133"/>
      <c r="BJ167" s="133"/>
      <c r="BK167" s="133"/>
      <c r="BL167" s="133"/>
      <c r="BM167" s="133"/>
      <c r="BN167" s="133">
        <v>6</v>
      </c>
      <c r="BO167" s="133">
        <v>6</v>
      </c>
      <c r="BP167" s="133"/>
      <c r="BQ167" s="133"/>
      <c r="BR167" s="133"/>
      <c r="BS167" s="133"/>
      <c r="BT167" s="133"/>
      <c r="BU167" s="133"/>
      <c r="BV167" s="133"/>
      <c r="BW167" s="133"/>
    </row>
    <row r="168" s="140" customFormat="1" customHeight="1" spans="1:75">
      <c r="A168" s="161">
        <v>197</v>
      </c>
      <c r="B168" s="357" t="s">
        <v>547</v>
      </c>
      <c r="C168" s="162"/>
      <c r="D168" s="162"/>
      <c r="E168" s="162">
        <v>25</v>
      </c>
      <c r="F168" s="408"/>
      <c r="G168" s="191">
        <f t="shared" si="14"/>
        <v>0</v>
      </c>
      <c r="H168" s="190">
        <f t="shared" si="15"/>
        <v>2</v>
      </c>
      <c r="I168" s="191">
        <f t="shared" si="16"/>
        <v>50</v>
      </c>
      <c r="J168" s="190">
        <f t="shared" si="17"/>
        <v>2</v>
      </c>
      <c r="K168" s="191">
        <f t="shared" si="18"/>
        <v>50</v>
      </c>
      <c r="L168" s="190">
        <f t="shared" si="19"/>
        <v>0</v>
      </c>
      <c r="M168" s="191">
        <f t="shared" si="20"/>
        <v>0</v>
      </c>
      <c r="N168" s="370"/>
      <c r="O168" s="370"/>
      <c r="P168" s="370"/>
      <c r="Q168" s="370"/>
      <c r="R168" s="370"/>
      <c r="S168" s="370"/>
      <c r="T168" s="370"/>
      <c r="U168" s="370"/>
      <c r="V168" s="370"/>
      <c r="W168" s="370"/>
      <c r="X168" s="370"/>
      <c r="Y168" s="370"/>
      <c r="Z168" s="370"/>
      <c r="AA168" s="370"/>
      <c r="AB168" s="370"/>
      <c r="AC168" s="370"/>
      <c r="AD168" s="370"/>
      <c r="AE168" s="370"/>
      <c r="AF168" s="370"/>
      <c r="AG168" s="370"/>
      <c r="AH168" s="370"/>
      <c r="AI168" s="370"/>
      <c r="AJ168" s="370"/>
      <c r="AK168" s="370"/>
      <c r="AL168" s="370"/>
      <c r="AM168" s="370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>
        <v>2</v>
      </c>
      <c r="BO168" s="133">
        <v>2</v>
      </c>
      <c r="BP168" s="133"/>
      <c r="BQ168" s="133"/>
      <c r="BR168" s="133"/>
      <c r="BS168" s="133"/>
      <c r="BT168" s="133"/>
      <c r="BU168" s="133"/>
      <c r="BV168" s="133"/>
      <c r="BW168" s="133"/>
    </row>
    <row r="169" s="140" customFormat="1" customHeight="1" spans="1:75">
      <c r="A169" s="161">
        <v>198</v>
      </c>
      <c r="B169" s="357" t="s">
        <v>548</v>
      </c>
      <c r="C169" s="162"/>
      <c r="D169" s="162"/>
      <c r="E169" s="162">
        <v>10</v>
      </c>
      <c r="F169" s="408"/>
      <c r="G169" s="191">
        <f t="shared" si="14"/>
        <v>0</v>
      </c>
      <c r="H169" s="190">
        <f t="shared" si="15"/>
        <v>4</v>
      </c>
      <c r="I169" s="191">
        <f t="shared" si="16"/>
        <v>40</v>
      </c>
      <c r="J169" s="190">
        <f t="shared" si="17"/>
        <v>4</v>
      </c>
      <c r="K169" s="191">
        <f t="shared" si="18"/>
        <v>40</v>
      </c>
      <c r="L169" s="190">
        <f t="shared" si="19"/>
        <v>0</v>
      </c>
      <c r="M169" s="191">
        <f t="shared" si="20"/>
        <v>0</v>
      </c>
      <c r="N169" s="370"/>
      <c r="O169" s="370"/>
      <c r="P169" s="370"/>
      <c r="Q169" s="370"/>
      <c r="R169" s="370"/>
      <c r="S169" s="370"/>
      <c r="T169" s="370"/>
      <c r="U169" s="370"/>
      <c r="V169" s="370"/>
      <c r="W169" s="370"/>
      <c r="X169" s="370"/>
      <c r="Y169" s="370"/>
      <c r="Z169" s="370"/>
      <c r="AA169" s="370"/>
      <c r="AB169" s="370"/>
      <c r="AC169" s="370"/>
      <c r="AD169" s="370"/>
      <c r="AE169" s="370"/>
      <c r="AF169" s="370"/>
      <c r="AG169" s="370"/>
      <c r="AH169" s="370"/>
      <c r="AI169" s="370"/>
      <c r="AJ169" s="370"/>
      <c r="AK169" s="370"/>
      <c r="AL169" s="370"/>
      <c r="AM169" s="370"/>
      <c r="AN169" s="133"/>
      <c r="AO169" s="133"/>
      <c r="AP169" s="133">
        <v>4</v>
      </c>
      <c r="AQ169" s="133">
        <v>4</v>
      </c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</row>
    <row r="170" s="140" customFormat="1" customHeight="1" spans="1:75">
      <c r="A170" s="161">
        <v>199</v>
      </c>
      <c r="B170" s="357" t="s">
        <v>549</v>
      </c>
      <c r="C170" s="162"/>
      <c r="D170" s="162"/>
      <c r="E170" s="162">
        <v>4</v>
      </c>
      <c r="F170" s="408"/>
      <c r="G170" s="191">
        <f t="shared" si="14"/>
        <v>0</v>
      </c>
      <c r="H170" s="190">
        <f t="shared" si="15"/>
        <v>120</v>
      </c>
      <c r="I170" s="191">
        <f t="shared" si="16"/>
        <v>480</v>
      </c>
      <c r="J170" s="190">
        <f t="shared" si="17"/>
        <v>120</v>
      </c>
      <c r="K170" s="191">
        <f t="shared" si="18"/>
        <v>480</v>
      </c>
      <c r="L170" s="190">
        <f t="shared" si="19"/>
        <v>0</v>
      </c>
      <c r="M170" s="191">
        <f t="shared" si="20"/>
        <v>0</v>
      </c>
      <c r="N170" s="370"/>
      <c r="O170" s="370"/>
      <c r="P170" s="370"/>
      <c r="Q170" s="370"/>
      <c r="R170" s="370"/>
      <c r="S170" s="370"/>
      <c r="T170" s="370"/>
      <c r="U170" s="370"/>
      <c r="V170" s="370">
        <v>20</v>
      </c>
      <c r="W170" s="370">
        <v>20</v>
      </c>
      <c r="X170" s="370"/>
      <c r="Y170" s="370"/>
      <c r="Z170" s="370"/>
      <c r="AA170" s="370"/>
      <c r="AB170" s="370"/>
      <c r="AC170" s="370"/>
      <c r="AD170" s="370"/>
      <c r="AE170" s="370"/>
      <c r="AF170" s="370"/>
      <c r="AG170" s="370"/>
      <c r="AH170" s="370"/>
      <c r="AI170" s="370"/>
      <c r="AJ170" s="370"/>
      <c r="AK170" s="370"/>
      <c r="AL170" s="370"/>
      <c r="AM170" s="370"/>
      <c r="AN170" s="133">
        <v>20</v>
      </c>
      <c r="AO170" s="133">
        <v>20</v>
      </c>
      <c r="AP170" s="133"/>
      <c r="AQ170" s="133"/>
      <c r="AR170" s="133"/>
      <c r="AS170" s="133"/>
      <c r="AT170" s="133">
        <v>20</v>
      </c>
      <c r="AU170" s="133">
        <v>20</v>
      </c>
      <c r="AV170" s="133"/>
      <c r="AW170" s="133"/>
      <c r="AX170" s="133"/>
      <c r="AY170" s="133"/>
      <c r="AZ170" s="133"/>
      <c r="BA170" s="133"/>
      <c r="BB170" s="133"/>
      <c r="BC170" s="133"/>
      <c r="BD170" s="133">
        <v>20</v>
      </c>
      <c r="BE170" s="133">
        <v>20</v>
      </c>
      <c r="BF170" s="133"/>
      <c r="BG170" s="133"/>
      <c r="BH170" s="133"/>
      <c r="BI170" s="133"/>
      <c r="BJ170" s="133"/>
      <c r="BK170" s="133"/>
      <c r="BL170" s="133"/>
      <c r="BM170" s="133"/>
      <c r="BN170" s="133">
        <v>20</v>
      </c>
      <c r="BO170" s="133">
        <v>20</v>
      </c>
      <c r="BP170" s="133"/>
      <c r="BQ170" s="133"/>
      <c r="BR170" s="133"/>
      <c r="BS170" s="133"/>
      <c r="BT170" s="133"/>
      <c r="BU170" s="133"/>
      <c r="BV170" s="133">
        <v>20</v>
      </c>
      <c r="BW170" s="133">
        <v>20</v>
      </c>
    </row>
    <row r="171" s="140" customFormat="1" customHeight="1" spans="1:75">
      <c r="A171" s="161">
        <v>200</v>
      </c>
      <c r="B171" s="357" t="s">
        <v>550</v>
      </c>
      <c r="C171" s="162"/>
      <c r="D171" s="357" t="s">
        <v>453</v>
      </c>
      <c r="E171" s="162">
        <v>150</v>
      </c>
      <c r="F171" s="408"/>
      <c r="G171" s="191">
        <f t="shared" si="14"/>
        <v>0</v>
      </c>
      <c r="H171" s="190">
        <f t="shared" si="15"/>
        <v>1</v>
      </c>
      <c r="I171" s="191">
        <f t="shared" si="16"/>
        <v>150</v>
      </c>
      <c r="J171" s="190">
        <f t="shared" si="17"/>
        <v>1</v>
      </c>
      <c r="K171" s="191">
        <f t="shared" si="18"/>
        <v>150</v>
      </c>
      <c r="L171" s="190">
        <f t="shared" si="19"/>
        <v>0</v>
      </c>
      <c r="M171" s="191">
        <f t="shared" si="20"/>
        <v>0</v>
      </c>
      <c r="N171" s="370"/>
      <c r="O171" s="370"/>
      <c r="P171" s="370"/>
      <c r="Q171" s="370"/>
      <c r="R171" s="370">
        <v>1</v>
      </c>
      <c r="S171" s="370">
        <v>1</v>
      </c>
      <c r="T171" s="370"/>
      <c r="U171" s="370"/>
      <c r="V171" s="370"/>
      <c r="W171" s="370"/>
      <c r="X171" s="370"/>
      <c r="Y171" s="370"/>
      <c r="Z171" s="370"/>
      <c r="AA171" s="370"/>
      <c r="AB171" s="370"/>
      <c r="AC171" s="370"/>
      <c r="AD171" s="370"/>
      <c r="AE171" s="370"/>
      <c r="AF171" s="370"/>
      <c r="AG171" s="370"/>
      <c r="AH171" s="370"/>
      <c r="AI171" s="370"/>
      <c r="AJ171" s="370"/>
      <c r="AK171" s="370"/>
      <c r="AL171" s="370"/>
      <c r="AM171" s="370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</row>
    <row r="172" s="140" customFormat="1" customHeight="1" spans="1:75">
      <c r="A172" s="161">
        <v>201</v>
      </c>
      <c r="B172" s="357" t="s">
        <v>551</v>
      </c>
      <c r="C172" s="162"/>
      <c r="D172" s="357" t="s">
        <v>137</v>
      </c>
      <c r="E172" s="162">
        <v>20</v>
      </c>
      <c r="F172" s="408"/>
      <c r="G172" s="191">
        <f t="shared" si="14"/>
        <v>0</v>
      </c>
      <c r="H172" s="190">
        <f t="shared" si="15"/>
        <v>2</v>
      </c>
      <c r="I172" s="191">
        <f t="shared" si="16"/>
        <v>40</v>
      </c>
      <c r="J172" s="190">
        <f t="shared" si="17"/>
        <v>2</v>
      </c>
      <c r="K172" s="191">
        <f t="shared" si="18"/>
        <v>40</v>
      </c>
      <c r="L172" s="190">
        <f t="shared" si="19"/>
        <v>0</v>
      </c>
      <c r="M172" s="191">
        <f t="shared" si="20"/>
        <v>0</v>
      </c>
      <c r="N172" s="370"/>
      <c r="O172" s="370"/>
      <c r="P172" s="370"/>
      <c r="Q172" s="370"/>
      <c r="R172" s="370">
        <v>2</v>
      </c>
      <c r="S172" s="370">
        <v>2</v>
      </c>
      <c r="T172" s="370"/>
      <c r="U172" s="370"/>
      <c r="V172" s="370"/>
      <c r="W172" s="370"/>
      <c r="X172" s="370"/>
      <c r="Y172" s="370"/>
      <c r="Z172" s="370"/>
      <c r="AA172" s="370"/>
      <c r="AB172" s="370"/>
      <c r="AC172" s="370"/>
      <c r="AD172" s="370"/>
      <c r="AE172" s="370"/>
      <c r="AF172" s="370"/>
      <c r="AG172" s="370"/>
      <c r="AH172" s="370"/>
      <c r="AI172" s="370"/>
      <c r="AJ172" s="370"/>
      <c r="AK172" s="370"/>
      <c r="AL172" s="370"/>
      <c r="AM172" s="370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</row>
    <row r="173" s="140" customFormat="1" customHeight="1" spans="1:75">
      <c r="A173" s="161">
        <v>202</v>
      </c>
      <c r="B173" s="357" t="s">
        <v>552</v>
      </c>
      <c r="C173" s="162"/>
      <c r="D173" s="357" t="s">
        <v>318</v>
      </c>
      <c r="E173" s="162">
        <v>50</v>
      </c>
      <c r="F173" s="408"/>
      <c r="G173" s="191">
        <f t="shared" si="14"/>
        <v>0</v>
      </c>
      <c r="H173" s="190">
        <f t="shared" si="15"/>
        <v>4</v>
      </c>
      <c r="I173" s="191">
        <f t="shared" si="16"/>
        <v>200</v>
      </c>
      <c r="J173" s="190">
        <f t="shared" si="17"/>
        <v>4</v>
      </c>
      <c r="K173" s="191">
        <f t="shared" si="18"/>
        <v>200</v>
      </c>
      <c r="L173" s="190">
        <f t="shared" si="19"/>
        <v>0</v>
      </c>
      <c r="M173" s="191">
        <f t="shared" si="20"/>
        <v>0</v>
      </c>
      <c r="N173" s="370"/>
      <c r="O173" s="370"/>
      <c r="P173" s="370"/>
      <c r="Q173" s="370"/>
      <c r="R173" s="370">
        <v>2</v>
      </c>
      <c r="S173" s="370">
        <v>2</v>
      </c>
      <c r="T173" s="370"/>
      <c r="U173" s="370"/>
      <c r="V173" s="370"/>
      <c r="W173" s="370"/>
      <c r="X173" s="370"/>
      <c r="Y173" s="370"/>
      <c r="Z173" s="370"/>
      <c r="AA173" s="370"/>
      <c r="AB173" s="370"/>
      <c r="AC173" s="370"/>
      <c r="AD173" s="370"/>
      <c r="AE173" s="370"/>
      <c r="AF173" s="370"/>
      <c r="AG173" s="370"/>
      <c r="AH173" s="370"/>
      <c r="AI173" s="370"/>
      <c r="AJ173" s="370"/>
      <c r="AK173" s="370"/>
      <c r="AL173" s="370"/>
      <c r="AM173" s="370"/>
      <c r="AN173" s="133"/>
      <c r="AO173" s="133"/>
      <c r="AP173" s="133"/>
      <c r="AQ173" s="133"/>
      <c r="AR173" s="133"/>
      <c r="AS173" s="133"/>
      <c r="AT173" s="133"/>
      <c r="AU173" s="133"/>
      <c r="AV173" s="133"/>
      <c r="AW173" s="133"/>
      <c r="AX173" s="133"/>
      <c r="AY173" s="133"/>
      <c r="AZ173" s="133"/>
      <c r="BA173" s="133"/>
      <c r="BB173" s="133"/>
      <c r="BC173" s="133"/>
      <c r="BD173" s="133">
        <v>2</v>
      </c>
      <c r="BE173" s="133">
        <v>2</v>
      </c>
      <c r="BF173" s="133"/>
      <c r="BG173" s="133"/>
      <c r="BH173" s="133"/>
      <c r="BI173" s="133"/>
      <c r="BJ173" s="133"/>
      <c r="BK173" s="133"/>
      <c r="BL173" s="133"/>
      <c r="BM173" s="133"/>
      <c r="BN173" s="133"/>
      <c r="BO173" s="133"/>
      <c r="BP173" s="133"/>
      <c r="BQ173" s="133"/>
      <c r="BR173" s="133"/>
      <c r="BS173" s="133"/>
      <c r="BT173" s="133"/>
      <c r="BU173" s="133"/>
      <c r="BV173" s="133"/>
      <c r="BW173" s="133"/>
    </row>
    <row r="174" s="140" customFormat="1" customHeight="1" spans="1:75">
      <c r="A174" s="161">
        <v>203</v>
      </c>
      <c r="B174" s="357" t="s">
        <v>553</v>
      </c>
      <c r="C174" s="162"/>
      <c r="D174" s="357" t="s">
        <v>209</v>
      </c>
      <c r="E174" s="162">
        <v>10</v>
      </c>
      <c r="F174" s="408"/>
      <c r="G174" s="191">
        <f t="shared" si="14"/>
        <v>0</v>
      </c>
      <c r="H174" s="190">
        <f t="shared" si="15"/>
        <v>6</v>
      </c>
      <c r="I174" s="191">
        <f t="shared" si="16"/>
        <v>60</v>
      </c>
      <c r="J174" s="190">
        <f t="shared" si="17"/>
        <v>6</v>
      </c>
      <c r="K174" s="191">
        <f t="shared" si="18"/>
        <v>60</v>
      </c>
      <c r="L174" s="190">
        <f t="shared" si="19"/>
        <v>0</v>
      </c>
      <c r="M174" s="191">
        <f t="shared" si="20"/>
        <v>0</v>
      </c>
      <c r="N174" s="370"/>
      <c r="O174" s="370"/>
      <c r="P174" s="370"/>
      <c r="Q174" s="370"/>
      <c r="R174" s="370"/>
      <c r="S174" s="370"/>
      <c r="T174" s="370"/>
      <c r="U174" s="370"/>
      <c r="V174" s="370">
        <v>6</v>
      </c>
      <c r="W174" s="370">
        <v>6</v>
      </c>
      <c r="X174" s="370"/>
      <c r="Y174" s="370"/>
      <c r="Z174" s="370"/>
      <c r="AA174" s="370"/>
      <c r="AB174" s="370"/>
      <c r="AC174" s="370"/>
      <c r="AD174" s="370"/>
      <c r="AE174" s="370"/>
      <c r="AF174" s="370"/>
      <c r="AG174" s="370"/>
      <c r="AH174" s="370"/>
      <c r="AI174" s="370"/>
      <c r="AJ174" s="370"/>
      <c r="AK174" s="370"/>
      <c r="AL174" s="370"/>
      <c r="AM174" s="370"/>
      <c r="AN174" s="133"/>
      <c r="AO174" s="133"/>
      <c r="AP174" s="133"/>
      <c r="AQ174" s="133"/>
      <c r="AR174" s="133"/>
      <c r="AS174" s="133"/>
      <c r="AT174" s="133"/>
      <c r="AU174" s="133"/>
      <c r="AV174" s="133"/>
      <c r="AW174" s="133"/>
      <c r="AX174" s="133"/>
      <c r="AY174" s="133"/>
      <c r="AZ174" s="133"/>
      <c r="BA174" s="133"/>
      <c r="BB174" s="133"/>
      <c r="BC174" s="133"/>
      <c r="BD174" s="133"/>
      <c r="BE174" s="133"/>
      <c r="BF174" s="133"/>
      <c r="BG174" s="133"/>
      <c r="BH174" s="133"/>
      <c r="BI174" s="133"/>
      <c r="BJ174" s="133"/>
      <c r="BK174" s="133"/>
      <c r="BL174" s="133"/>
      <c r="BM174" s="133"/>
      <c r="BN174" s="133"/>
      <c r="BO174" s="133"/>
      <c r="BP174" s="133"/>
      <c r="BQ174" s="133"/>
      <c r="BR174" s="133"/>
      <c r="BS174" s="133"/>
      <c r="BT174" s="133"/>
      <c r="BU174" s="133"/>
      <c r="BV174" s="133"/>
      <c r="BW174" s="133"/>
    </row>
    <row r="175" s="140" customFormat="1" customHeight="1" spans="1:75">
      <c r="A175" s="161">
        <v>204</v>
      </c>
      <c r="B175" s="357" t="s">
        <v>554</v>
      </c>
      <c r="C175" s="162"/>
      <c r="D175" s="162"/>
      <c r="E175" s="162">
        <v>10</v>
      </c>
      <c r="F175" s="408"/>
      <c r="G175" s="191">
        <f t="shared" si="14"/>
        <v>0</v>
      </c>
      <c r="H175" s="190">
        <f t="shared" si="15"/>
        <v>2</v>
      </c>
      <c r="I175" s="191">
        <f t="shared" si="16"/>
        <v>20</v>
      </c>
      <c r="J175" s="190">
        <f t="shared" si="17"/>
        <v>2</v>
      </c>
      <c r="K175" s="191">
        <f t="shared" si="18"/>
        <v>20</v>
      </c>
      <c r="L175" s="190">
        <f t="shared" si="19"/>
        <v>0</v>
      </c>
      <c r="M175" s="191">
        <f t="shared" si="20"/>
        <v>0</v>
      </c>
      <c r="N175" s="370"/>
      <c r="O175" s="370"/>
      <c r="P175" s="370"/>
      <c r="Q175" s="370"/>
      <c r="R175" s="370"/>
      <c r="S175" s="370"/>
      <c r="T175" s="370"/>
      <c r="U175" s="370"/>
      <c r="V175" s="370">
        <v>2</v>
      </c>
      <c r="W175" s="370">
        <v>2</v>
      </c>
      <c r="X175" s="370"/>
      <c r="Y175" s="370"/>
      <c r="Z175" s="370"/>
      <c r="AA175" s="370"/>
      <c r="AB175" s="370"/>
      <c r="AC175" s="370"/>
      <c r="AD175" s="370"/>
      <c r="AE175" s="370"/>
      <c r="AF175" s="370"/>
      <c r="AG175" s="370"/>
      <c r="AH175" s="370"/>
      <c r="AI175" s="370"/>
      <c r="AJ175" s="370"/>
      <c r="AK175" s="370"/>
      <c r="AL175" s="370"/>
      <c r="AM175" s="370"/>
      <c r="AN175" s="133"/>
      <c r="AO175" s="133"/>
      <c r="AP175" s="133"/>
      <c r="AQ175" s="133"/>
      <c r="AR175" s="133"/>
      <c r="AS175" s="133"/>
      <c r="AT175" s="133"/>
      <c r="AU175" s="133"/>
      <c r="AV175" s="133"/>
      <c r="AW175" s="133"/>
      <c r="AX175" s="133"/>
      <c r="AY175" s="133"/>
      <c r="AZ175" s="133"/>
      <c r="BA175" s="133"/>
      <c r="BB175" s="133"/>
      <c r="BC175" s="133"/>
      <c r="BD175" s="133"/>
      <c r="BE175" s="133"/>
      <c r="BF175" s="133"/>
      <c r="BG175" s="133"/>
      <c r="BH175" s="133"/>
      <c r="BI175" s="133"/>
      <c r="BJ175" s="133"/>
      <c r="BK175" s="133"/>
      <c r="BL175" s="133"/>
      <c r="BM175" s="133"/>
      <c r="BN175" s="133"/>
      <c r="BO175" s="133"/>
      <c r="BP175" s="133"/>
      <c r="BQ175" s="133"/>
      <c r="BR175" s="133"/>
      <c r="BS175" s="133"/>
      <c r="BT175" s="133"/>
      <c r="BU175" s="133"/>
      <c r="BV175" s="133"/>
      <c r="BW175" s="133"/>
    </row>
    <row r="176" s="140" customFormat="1" customHeight="1" spans="1:75">
      <c r="A176" s="161">
        <v>205</v>
      </c>
      <c r="B176" s="357" t="s">
        <v>188</v>
      </c>
      <c r="C176" s="162"/>
      <c r="D176" s="162"/>
      <c r="E176" s="162">
        <v>4</v>
      </c>
      <c r="F176" s="408"/>
      <c r="G176" s="191">
        <f t="shared" si="14"/>
        <v>0</v>
      </c>
      <c r="H176" s="190">
        <f t="shared" si="15"/>
        <v>20</v>
      </c>
      <c r="I176" s="191">
        <f t="shared" si="16"/>
        <v>80</v>
      </c>
      <c r="J176" s="190">
        <f t="shared" si="17"/>
        <v>20</v>
      </c>
      <c r="K176" s="191">
        <f t="shared" si="18"/>
        <v>80</v>
      </c>
      <c r="L176" s="190">
        <f t="shared" si="19"/>
        <v>0</v>
      </c>
      <c r="M176" s="191">
        <f t="shared" si="20"/>
        <v>0</v>
      </c>
      <c r="N176" s="370"/>
      <c r="O176" s="370"/>
      <c r="P176" s="370"/>
      <c r="Q176" s="370"/>
      <c r="R176" s="370"/>
      <c r="S176" s="370"/>
      <c r="T176" s="370"/>
      <c r="U176" s="370"/>
      <c r="V176" s="370"/>
      <c r="W176" s="370"/>
      <c r="X176" s="370"/>
      <c r="Y176" s="370"/>
      <c r="Z176" s="370"/>
      <c r="AA176" s="370"/>
      <c r="AB176" s="370"/>
      <c r="AC176" s="370"/>
      <c r="AD176" s="370"/>
      <c r="AE176" s="370"/>
      <c r="AF176" s="370"/>
      <c r="AG176" s="370"/>
      <c r="AH176" s="370"/>
      <c r="AI176" s="370"/>
      <c r="AJ176" s="370"/>
      <c r="AK176" s="370"/>
      <c r="AL176" s="370"/>
      <c r="AM176" s="370"/>
      <c r="AN176" s="133"/>
      <c r="AO176" s="133"/>
      <c r="AP176" s="133"/>
      <c r="AQ176" s="133"/>
      <c r="AR176" s="133"/>
      <c r="AS176" s="133"/>
      <c r="AT176" s="133"/>
      <c r="AU176" s="133"/>
      <c r="AV176" s="133"/>
      <c r="AW176" s="133"/>
      <c r="AX176" s="133"/>
      <c r="AY176" s="133"/>
      <c r="AZ176" s="133"/>
      <c r="BA176" s="133"/>
      <c r="BB176" s="133"/>
      <c r="BC176" s="133"/>
      <c r="BD176" s="133"/>
      <c r="BE176" s="133"/>
      <c r="BF176" s="133"/>
      <c r="BG176" s="133"/>
      <c r="BH176" s="133"/>
      <c r="BI176" s="133"/>
      <c r="BJ176" s="133"/>
      <c r="BK176" s="133"/>
      <c r="BL176" s="133"/>
      <c r="BM176" s="133"/>
      <c r="BN176" s="133">
        <v>20</v>
      </c>
      <c r="BO176" s="133">
        <v>20</v>
      </c>
      <c r="BP176" s="133"/>
      <c r="BQ176" s="133"/>
      <c r="BR176" s="133"/>
      <c r="BS176" s="133"/>
      <c r="BT176" s="133"/>
      <c r="BU176" s="133"/>
      <c r="BV176" s="133"/>
      <c r="BW176" s="133"/>
    </row>
    <row r="177" s="140" customFormat="1" customHeight="1" spans="1:75">
      <c r="A177" s="161">
        <v>206</v>
      </c>
      <c r="B177" s="357" t="s">
        <v>555</v>
      </c>
      <c r="C177" s="162"/>
      <c r="D177" s="162"/>
      <c r="E177" s="162">
        <v>10</v>
      </c>
      <c r="F177" s="408"/>
      <c r="G177" s="191">
        <f t="shared" si="14"/>
        <v>0</v>
      </c>
      <c r="H177" s="190">
        <f t="shared" si="15"/>
        <v>24</v>
      </c>
      <c r="I177" s="191">
        <f t="shared" si="16"/>
        <v>240</v>
      </c>
      <c r="J177" s="190">
        <f t="shared" si="17"/>
        <v>24</v>
      </c>
      <c r="K177" s="191">
        <f t="shared" si="18"/>
        <v>240</v>
      </c>
      <c r="L177" s="190">
        <f t="shared" si="19"/>
        <v>0</v>
      </c>
      <c r="M177" s="191">
        <f t="shared" si="20"/>
        <v>0</v>
      </c>
      <c r="N177" s="370"/>
      <c r="O177" s="370"/>
      <c r="P177" s="370"/>
      <c r="Q177" s="370"/>
      <c r="R177" s="370"/>
      <c r="S177" s="370"/>
      <c r="T177" s="370"/>
      <c r="U177" s="370"/>
      <c r="V177" s="370"/>
      <c r="W177" s="370"/>
      <c r="X177" s="370">
        <v>6</v>
      </c>
      <c r="Y177" s="370">
        <v>6</v>
      </c>
      <c r="Z177" s="370"/>
      <c r="AA177" s="370"/>
      <c r="AB177" s="370"/>
      <c r="AC177" s="370"/>
      <c r="AD177" s="370"/>
      <c r="AE177" s="370"/>
      <c r="AF177" s="370"/>
      <c r="AG177" s="370"/>
      <c r="AH177" s="370"/>
      <c r="AI177" s="370"/>
      <c r="AJ177" s="370"/>
      <c r="AK177" s="370"/>
      <c r="AL177" s="370"/>
      <c r="AM177" s="370"/>
      <c r="AN177" s="133"/>
      <c r="AO177" s="133"/>
      <c r="AP177" s="133"/>
      <c r="AQ177" s="133"/>
      <c r="AR177" s="133"/>
      <c r="AS177" s="133"/>
      <c r="AT177" s="133">
        <v>6</v>
      </c>
      <c r="AU177" s="133">
        <v>6</v>
      </c>
      <c r="AV177" s="133"/>
      <c r="AW177" s="133"/>
      <c r="AX177" s="133"/>
      <c r="AY177" s="133"/>
      <c r="AZ177" s="133"/>
      <c r="BA177" s="133"/>
      <c r="BB177" s="133"/>
      <c r="BC177" s="133"/>
      <c r="BD177" s="133"/>
      <c r="BE177" s="133"/>
      <c r="BF177" s="133"/>
      <c r="BG177" s="133"/>
      <c r="BH177" s="133"/>
      <c r="BI177" s="133"/>
      <c r="BJ177" s="133"/>
      <c r="BK177" s="133"/>
      <c r="BL177" s="133"/>
      <c r="BM177" s="133"/>
      <c r="BN177" s="133">
        <v>6</v>
      </c>
      <c r="BO177" s="133">
        <v>6</v>
      </c>
      <c r="BP177" s="133"/>
      <c r="BQ177" s="133"/>
      <c r="BR177" s="133">
        <v>6</v>
      </c>
      <c r="BS177" s="133">
        <v>6</v>
      </c>
      <c r="BT177" s="133"/>
      <c r="BU177" s="133"/>
      <c r="BV177" s="133"/>
      <c r="BW177" s="133"/>
    </row>
    <row r="178" s="140" customFormat="1" customHeight="1" spans="1:75">
      <c r="A178" s="161">
        <v>207</v>
      </c>
      <c r="B178" s="357" t="s">
        <v>556</v>
      </c>
      <c r="C178" s="162"/>
      <c r="D178" s="162"/>
      <c r="E178" s="162">
        <v>8</v>
      </c>
      <c r="F178" s="408"/>
      <c r="G178" s="191">
        <f t="shared" si="14"/>
        <v>0</v>
      </c>
      <c r="H178" s="190">
        <f t="shared" si="15"/>
        <v>12</v>
      </c>
      <c r="I178" s="191">
        <f t="shared" si="16"/>
        <v>96</v>
      </c>
      <c r="J178" s="190">
        <f t="shared" si="17"/>
        <v>12</v>
      </c>
      <c r="K178" s="191">
        <f t="shared" si="18"/>
        <v>96</v>
      </c>
      <c r="L178" s="190">
        <f t="shared" si="19"/>
        <v>0</v>
      </c>
      <c r="M178" s="191">
        <f t="shared" si="20"/>
        <v>0</v>
      </c>
      <c r="N178" s="370"/>
      <c r="O178" s="370"/>
      <c r="P178" s="370"/>
      <c r="Q178" s="370"/>
      <c r="R178" s="370"/>
      <c r="S178" s="370"/>
      <c r="T178" s="370"/>
      <c r="U178" s="370"/>
      <c r="V178" s="370"/>
      <c r="W178" s="370"/>
      <c r="X178" s="370">
        <v>6</v>
      </c>
      <c r="Y178" s="370">
        <v>6</v>
      </c>
      <c r="Z178" s="370"/>
      <c r="AA178" s="370"/>
      <c r="AB178" s="370"/>
      <c r="AC178" s="370"/>
      <c r="AD178" s="370"/>
      <c r="AE178" s="370"/>
      <c r="AF178" s="370"/>
      <c r="AG178" s="370"/>
      <c r="AH178" s="370"/>
      <c r="AI178" s="370"/>
      <c r="AJ178" s="370"/>
      <c r="AK178" s="370"/>
      <c r="AL178" s="370"/>
      <c r="AM178" s="370"/>
      <c r="AN178" s="133"/>
      <c r="AO178" s="133"/>
      <c r="AP178" s="133"/>
      <c r="AQ178" s="133"/>
      <c r="AR178" s="133"/>
      <c r="AS178" s="133"/>
      <c r="AT178" s="133"/>
      <c r="AU178" s="133"/>
      <c r="AV178" s="133"/>
      <c r="AW178" s="133"/>
      <c r="AX178" s="133"/>
      <c r="AY178" s="133"/>
      <c r="AZ178" s="133">
        <v>6</v>
      </c>
      <c r="BA178" s="133">
        <v>6</v>
      </c>
      <c r="BB178" s="133"/>
      <c r="BC178" s="133"/>
      <c r="BD178" s="133"/>
      <c r="BE178" s="133"/>
      <c r="BF178" s="133"/>
      <c r="BG178" s="133"/>
      <c r="BH178" s="133"/>
      <c r="BI178" s="133"/>
      <c r="BJ178" s="133"/>
      <c r="BK178" s="133"/>
      <c r="BL178" s="133"/>
      <c r="BM178" s="133"/>
      <c r="BN178" s="133"/>
      <c r="BO178" s="133"/>
      <c r="BP178" s="133"/>
      <c r="BQ178" s="133"/>
      <c r="BR178" s="133"/>
      <c r="BS178" s="133"/>
      <c r="BT178" s="133"/>
      <c r="BU178" s="133"/>
      <c r="BV178" s="133"/>
      <c r="BW178" s="133"/>
    </row>
    <row r="179" s="140" customFormat="1" customHeight="1" spans="1:75">
      <c r="A179" s="161">
        <v>208</v>
      </c>
      <c r="B179" s="357" t="s">
        <v>557</v>
      </c>
      <c r="C179" s="162"/>
      <c r="D179" s="357" t="s">
        <v>318</v>
      </c>
      <c r="E179" s="162">
        <v>60</v>
      </c>
      <c r="F179" s="408"/>
      <c r="G179" s="191">
        <f t="shared" si="14"/>
        <v>0</v>
      </c>
      <c r="H179" s="190">
        <f t="shared" si="15"/>
        <v>1</v>
      </c>
      <c r="I179" s="191">
        <f t="shared" si="16"/>
        <v>60</v>
      </c>
      <c r="J179" s="190">
        <f t="shared" si="17"/>
        <v>1</v>
      </c>
      <c r="K179" s="191">
        <f t="shared" si="18"/>
        <v>60</v>
      </c>
      <c r="L179" s="190">
        <f t="shared" si="19"/>
        <v>0</v>
      </c>
      <c r="M179" s="191">
        <f t="shared" si="20"/>
        <v>0</v>
      </c>
      <c r="N179" s="370"/>
      <c r="O179" s="370"/>
      <c r="P179" s="370"/>
      <c r="Q179" s="370"/>
      <c r="R179" s="370"/>
      <c r="S179" s="370"/>
      <c r="T179" s="370"/>
      <c r="U179" s="370"/>
      <c r="V179" s="370"/>
      <c r="W179" s="370"/>
      <c r="X179" s="370">
        <v>1</v>
      </c>
      <c r="Y179" s="370">
        <v>1</v>
      </c>
      <c r="Z179" s="370"/>
      <c r="AA179" s="370"/>
      <c r="AB179" s="370"/>
      <c r="AC179" s="370"/>
      <c r="AD179" s="370"/>
      <c r="AE179" s="370"/>
      <c r="AF179" s="370"/>
      <c r="AG179" s="370"/>
      <c r="AH179" s="370"/>
      <c r="AI179" s="370"/>
      <c r="AJ179" s="370"/>
      <c r="AK179" s="370"/>
      <c r="AL179" s="370"/>
      <c r="AM179" s="370"/>
      <c r="AN179" s="133"/>
      <c r="AO179" s="133"/>
      <c r="AP179" s="133"/>
      <c r="AQ179" s="133"/>
      <c r="AR179" s="133"/>
      <c r="AS179" s="133"/>
      <c r="AT179" s="133"/>
      <c r="AU179" s="133"/>
      <c r="AV179" s="133"/>
      <c r="AW179" s="133"/>
      <c r="AX179" s="133"/>
      <c r="AY179" s="133"/>
      <c r="AZ179" s="133"/>
      <c r="BA179" s="133"/>
      <c r="BB179" s="133"/>
      <c r="BC179" s="133"/>
      <c r="BD179" s="133"/>
      <c r="BE179" s="133"/>
      <c r="BF179" s="133"/>
      <c r="BG179" s="133"/>
      <c r="BH179" s="133"/>
      <c r="BI179" s="133"/>
      <c r="BJ179" s="133"/>
      <c r="BK179" s="133"/>
      <c r="BL179" s="133"/>
      <c r="BM179" s="133"/>
      <c r="BN179" s="133"/>
      <c r="BO179" s="133"/>
      <c r="BP179" s="133"/>
      <c r="BQ179" s="133"/>
      <c r="BR179" s="133"/>
      <c r="BS179" s="133"/>
      <c r="BT179" s="133"/>
      <c r="BU179" s="133"/>
      <c r="BV179" s="133"/>
      <c r="BW179" s="133"/>
    </row>
    <row r="180" s="140" customFormat="1" customHeight="1" spans="1:75">
      <c r="A180" s="161">
        <v>209</v>
      </c>
      <c r="B180" s="357" t="s">
        <v>558</v>
      </c>
      <c r="C180" s="162"/>
      <c r="D180" s="357" t="s">
        <v>402</v>
      </c>
      <c r="E180" s="162">
        <v>6</v>
      </c>
      <c r="F180" s="408"/>
      <c r="G180" s="191">
        <f t="shared" si="14"/>
        <v>0</v>
      </c>
      <c r="H180" s="190">
        <f t="shared" si="15"/>
        <v>16</v>
      </c>
      <c r="I180" s="191">
        <f t="shared" si="16"/>
        <v>96</v>
      </c>
      <c r="J180" s="190">
        <f t="shared" si="17"/>
        <v>16</v>
      </c>
      <c r="K180" s="191">
        <f t="shared" si="18"/>
        <v>96</v>
      </c>
      <c r="L180" s="190">
        <f t="shared" si="19"/>
        <v>0</v>
      </c>
      <c r="M180" s="191">
        <f t="shared" si="20"/>
        <v>0</v>
      </c>
      <c r="N180" s="370"/>
      <c r="O180" s="370"/>
      <c r="P180" s="370"/>
      <c r="Q180" s="370"/>
      <c r="R180" s="370"/>
      <c r="S180" s="370"/>
      <c r="T180" s="370"/>
      <c r="U180" s="370"/>
      <c r="V180" s="370"/>
      <c r="W180" s="370"/>
      <c r="X180" s="370">
        <v>10</v>
      </c>
      <c r="Y180" s="370">
        <v>10</v>
      </c>
      <c r="Z180" s="370"/>
      <c r="AA180" s="370"/>
      <c r="AB180" s="370"/>
      <c r="AC180" s="370"/>
      <c r="AD180" s="370"/>
      <c r="AE180" s="370"/>
      <c r="AF180" s="370"/>
      <c r="AG180" s="370"/>
      <c r="AH180" s="370"/>
      <c r="AI180" s="370"/>
      <c r="AJ180" s="370"/>
      <c r="AK180" s="370"/>
      <c r="AL180" s="370"/>
      <c r="AM180" s="370"/>
      <c r="AN180" s="133"/>
      <c r="AO180" s="133"/>
      <c r="AP180" s="133"/>
      <c r="AQ180" s="133"/>
      <c r="AR180" s="133"/>
      <c r="AS180" s="133"/>
      <c r="AT180" s="133"/>
      <c r="AU180" s="133"/>
      <c r="AV180" s="133"/>
      <c r="AW180" s="133"/>
      <c r="AX180" s="133"/>
      <c r="AY180" s="133"/>
      <c r="AZ180" s="133">
        <v>5</v>
      </c>
      <c r="BA180" s="133">
        <v>5</v>
      </c>
      <c r="BB180" s="133"/>
      <c r="BC180" s="133"/>
      <c r="BD180" s="133"/>
      <c r="BE180" s="133"/>
      <c r="BF180" s="133"/>
      <c r="BG180" s="133"/>
      <c r="BH180" s="133"/>
      <c r="BI180" s="133"/>
      <c r="BJ180" s="133"/>
      <c r="BK180" s="133"/>
      <c r="BL180" s="133"/>
      <c r="BM180" s="133"/>
      <c r="BN180" s="133">
        <v>1</v>
      </c>
      <c r="BO180" s="133">
        <v>1</v>
      </c>
      <c r="BP180" s="133"/>
      <c r="BQ180" s="133"/>
      <c r="BR180" s="133"/>
      <c r="BS180" s="133"/>
      <c r="BT180" s="133"/>
      <c r="BU180" s="133"/>
      <c r="BV180" s="133"/>
      <c r="BW180" s="133"/>
    </row>
    <row r="181" s="140" customFormat="1" customHeight="1" spans="1:75">
      <c r="A181" s="161">
        <v>210</v>
      </c>
      <c r="B181" s="357" t="s">
        <v>559</v>
      </c>
      <c r="C181" s="162"/>
      <c r="D181" s="357" t="s">
        <v>218</v>
      </c>
      <c r="E181" s="162">
        <v>40</v>
      </c>
      <c r="F181" s="408"/>
      <c r="G181" s="191">
        <f t="shared" si="14"/>
        <v>0</v>
      </c>
      <c r="H181" s="190">
        <f t="shared" si="15"/>
        <v>5</v>
      </c>
      <c r="I181" s="191">
        <f t="shared" si="16"/>
        <v>200</v>
      </c>
      <c r="J181" s="190">
        <f t="shared" si="17"/>
        <v>5</v>
      </c>
      <c r="K181" s="191">
        <f t="shared" si="18"/>
        <v>200</v>
      </c>
      <c r="L181" s="190">
        <f t="shared" si="19"/>
        <v>0</v>
      </c>
      <c r="M181" s="191">
        <f t="shared" si="20"/>
        <v>0</v>
      </c>
      <c r="N181" s="370"/>
      <c r="O181" s="370"/>
      <c r="P181" s="370"/>
      <c r="Q181" s="370"/>
      <c r="R181" s="370"/>
      <c r="S181" s="370"/>
      <c r="T181" s="370"/>
      <c r="U181" s="370"/>
      <c r="V181" s="370"/>
      <c r="W181" s="370"/>
      <c r="X181" s="370">
        <v>1</v>
      </c>
      <c r="Y181" s="370">
        <v>1</v>
      </c>
      <c r="Z181" s="370"/>
      <c r="AA181" s="370"/>
      <c r="AB181" s="370"/>
      <c r="AC181" s="370"/>
      <c r="AD181" s="370"/>
      <c r="AE181" s="370"/>
      <c r="AF181" s="370"/>
      <c r="AG181" s="370"/>
      <c r="AH181" s="370"/>
      <c r="AI181" s="370"/>
      <c r="AJ181" s="370"/>
      <c r="AK181" s="370"/>
      <c r="AL181" s="370"/>
      <c r="AM181" s="370"/>
      <c r="AN181" s="133"/>
      <c r="AO181" s="133"/>
      <c r="AP181" s="133">
        <v>1</v>
      </c>
      <c r="AQ181" s="133">
        <v>1</v>
      </c>
      <c r="AR181" s="133"/>
      <c r="AS181" s="133"/>
      <c r="AT181" s="133"/>
      <c r="AU181" s="133"/>
      <c r="AV181" s="133"/>
      <c r="AW181" s="133"/>
      <c r="AX181" s="133"/>
      <c r="AY181" s="133"/>
      <c r="AZ181" s="133">
        <v>1</v>
      </c>
      <c r="BA181" s="133">
        <v>1</v>
      </c>
      <c r="BB181" s="133"/>
      <c r="BC181" s="133"/>
      <c r="BD181" s="133"/>
      <c r="BE181" s="133"/>
      <c r="BF181" s="133"/>
      <c r="BG181" s="133"/>
      <c r="BH181" s="133">
        <v>1</v>
      </c>
      <c r="BI181" s="133">
        <v>1</v>
      </c>
      <c r="BJ181" s="133"/>
      <c r="BK181" s="133"/>
      <c r="BL181" s="133"/>
      <c r="BM181" s="133"/>
      <c r="BN181" s="133"/>
      <c r="BO181" s="133"/>
      <c r="BP181" s="133">
        <v>1</v>
      </c>
      <c r="BQ181" s="133">
        <v>1</v>
      </c>
      <c r="BR181" s="133"/>
      <c r="BS181" s="133"/>
      <c r="BT181" s="133"/>
      <c r="BU181" s="133"/>
      <c r="BV181" s="133"/>
      <c r="BW181" s="133"/>
    </row>
    <row r="182" s="140" customFormat="1" customHeight="1" spans="1:75">
      <c r="A182" s="161">
        <v>211</v>
      </c>
      <c r="B182" s="357" t="s">
        <v>560</v>
      </c>
      <c r="C182" s="162"/>
      <c r="D182" s="357" t="s">
        <v>453</v>
      </c>
      <c r="E182" s="162">
        <v>40</v>
      </c>
      <c r="F182" s="408"/>
      <c r="G182" s="191">
        <f t="shared" si="14"/>
        <v>0</v>
      </c>
      <c r="H182" s="190">
        <f t="shared" si="15"/>
        <v>2</v>
      </c>
      <c r="I182" s="191">
        <f t="shared" si="16"/>
        <v>80</v>
      </c>
      <c r="J182" s="190">
        <f t="shared" si="17"/>
        <v>2</v>
      </c>
      <c r="K182" s="191">
        <f t="shared" si="18"/>
        <v>80</v>
      </c>
      <c r="L182" s="190">
        <f t="shared" si="19"/>
        <v>0</v>
      </c>
      <c r="M182" s="191">
        <f t="shared" si="20"/>
        <v>0</v>
      </c>
      <c r="N182" s="370"/>
      <c r="O182" s="370"/>
      <c r="P182" s="370"/>
      <c r="Q182" s="370"/>
      <c r="R182" s="370"/>
      <c r="S182" s="370"/>
      <c r="T182" s="370"/>
      <c r="U182" s="370"/>
      <c r="V182" s="370"/>
      <c r="W182" s="370"/>
      <c r="X182" s="370">
        <v>1</v>
      </c>
      <c r="Y182" s="370">
        <v>1</v>
      </c>
      <c r="Z182" s="370"/>
      <c r="AA182" s="370"/>
      <c r="AB182" s="370"/>
      <c r="AC182" s="370"/>
      <c r="AD182" s="370"/>
      <c r="AE182" s="370"/>
      <c r="AF182" s="370"/>
      <c r="AG182" s="370"/>
      <c r="AH182" s="370"/>
      <c r="AI182" s="370"/>
      <c r="AJ182" s="370"/>
      <c r="AK182" s="370"/>
      <c r="AL182" s="370"/>
      <c r="AM182" s="370"/>
      <c r="AN182" s="133"/>
      <c r="AO182" s="133"/>
      <c r="AP182" s="133">
        <v>1</v>
      </c>
      <c r="AQ182" s="133">
        <v>1</v>
      </c>
      <c r="AR182" s="133"/>
      <c r="AS182" s="133"/>
      <c r="AT182" s="133"/>
      <c r="AU182" s="133"/>
      <c r="AV182" s="133"/>
      <c r="AW182" s="133"/>
      <c r="AX182" s="133"/>
      <c r="AY182" s="133"/>
      <c r="AZ182" s="133"/>
      <c r="BA182" s="133"/>
      <c r="BB182" s="133"/>
      <c r="BC182" s="133"/>
      <c r="BD182" s="133"/>
      <c r="BE182" s="133"/>
      <c r="BF182" s="133"/>
      <c r="BG182" s="133"/>
      <c r="BH182" s="133"/>
      <c r="BI182" s="133"/>
      <c r="BJ182" s="133"/>
      <c r="BK182" s="133"/>
      <c r="BL182" s="133"/>
      <c r="BM182" s="133"/>
      <c r="BN182" s="133"/>
      <c r="BO182" s="133"/>
      <c r="BP182" s="133"/>
      <c r="BQ182" s="133"/>
      <c r="BR182" s="133"/>
      <c r="BS182" s="133"/>
      <c r="BT182" s="133"/>
      <c r="BU182" s="133"/>
      <c r="BV182" s="133"/>
      <c r="BW182" s="133"/>
    </row>
    <row r="183" s="140" customFormat="1" customHeight="1" spans="1:75">
      <c r="A183" s="161">
        <v>212</v>
      </c>
      <c r="B183" s="357" t="s">
        <v>561</v>
      </c>
      <c r="C183" s="162"/>
      <c r="D183" s="357" t="s">
        <v>402</v>
      </c>
      <c r="E183" s="162">
        <v>25</v>
      </c>
      <c r="F183" s="408"/>
      <c r="G183" s="191">
        <f t="shared" si="14"/>
        <v>0</v>
      </c>
      <c r="H183" s="190">
        <f t="shared" si="15"/>
        <v>10</v>
      </c>
      <c r="I183" s="191">
        <f t="shared" si="16"/>
        <v>250</v>
      </c>
      <c r="J183" s="190">
        <f t="shared" si="17"/>
        <v>10</v>
      </c>
      <c r="K183" s="191">
        <f t="shared" si="18"/>
        <v>250</v>
      </c>
      <c r="L183" s="190">
        <f t="shared" si="19"/>
        <v>0</v>
      </c>
      <c r="M183" s="191">
        <f t="shared" si="20"/>
        <v>0</v>
      </c>
      <c r="N183" s="370"/>
      <c r="O183" s="370"/>
      <c r="P183" s="370"/>
      <c r="Q183" s="370"/>
      <c r="R183" s="370"/>
      <c r="S183" s="370"/>
      <c r="T183" s="370"/>
      <c r="U183" s="370"/>
      <c r="V183" s="370"/>
      <c r="W183" s="370"/>
      <c r="X183" s="370"/>
      <c r="Y183" s="370"/>
      <c r="Z183" s="370"/>
      <c r="AA183" s="370"/>
      <c r="AB183" s="370">
        <v>2</v>
      </c>
      <c r="AC183" s="370">
        <v>2</v>
      </c>
      <c r="AD183" s="370"/>
      <c r="AE183" s="370"/>
      <c r="AF183" s="370"/>
      <c r="AG183" s="370"/>
      <c r="AH183" s="370"/>
      <c r="AI183" s="370"/>
      <c r="AJ183" s="370"/>
      <c r="AK183" s="370"/>
      <c r="AL183" s="370"/>
      <c r="AM183" s="370"/>
      <c r="AN183" s="133"/>
      <c r="AO183" s="133"/>
      <c r="AP183" s="133"/>
      <c r="AQ183" s="133"/>
      <c r="AR183" s="133">
        <v>2</v>
      </c>
      <c r="AS183" s="133">
        <v>2</v>
      </c>
      <c r="AT183" s="133">
        <v>2</v>
      </c>
      <c r="AU183" s="133">
        <v>2</v>
      </c>
      <c r="AV183" s="133"/>
      <c r="AW183" s="133"/>
      <c r="AX183" s="133"/>
      <c r="AY183" s="133"/>
      <c r="AZ183" s="133"/>
      <c r="BA183" s="133"/>
      <c r="BB183" s="133"/>
      <c r="BC183" s="133"/>
      <c r="BD183" s="133"/>
      <c r="BE183" s="133"/>
      <c r="BF183" s="133"/>
      <c r="BG183" s="133"/>
      <c r="BH183" s="133"/>
      <c r="BI183" s="133"/>
      <c r="BJ183" s="133">
        <v>2</v>
      </c>
      <c r="BK183" s="133">
        <v>2</v>
      </c>
      <c r="BL183" s="133"/>
      <c r="BM183" s="133"/>
      <c r="BN183" s="133"/>
      <c r="BO183" s="133"/>
      <c r="BP183" s="133">
        <v>2</v>
      </c>
      <c r="BQ183" s="133">
        <v>2</v>
      </c>
      <c r="BR183" s="133"/>
      <c r="BS183" s="133"/>
      <c r="BT183" s="133"/>
      <c r="BU183" s="133"/>
      <c r="BV183" s="133"/>
      <c r="BW183" s="133"/>
    </row>
    <row r="184" s="140" customFormat="1" customHeight="1" spans="1:75">
      <c r="A184" s="161">
        <v>213</v>
      </c>
      <c r="B184" s="357" t="s">
        <v>562</v>
      </c>
      <c r="C184" s="162"/>
      <c r="D184" s="357" t="s">
        <v>209</v>
      </c>
      <c r="E184" s="162">
        <v>10</v>
      </c>
      <c r="F184" s="408"/>
      <c r="G184" s="191">
        <f t="shared" si="14"/>
        <v>0</v>
      </c>
      <c r="H184" s="190">
        <f t="shared" si="15"/>
        <v>12</v>
      </c>
      <c r="I184" s="191">
        <f t="shared" si="16"/>
        <v>120</v>
      </c>
      <c r="J184" s="190">
        <f t="shared" si="17"/>
        <v>12</v>
      </c>
      <c r="K184" s="191">
        <f t="shared" si="18"/>
        <v>120</v>
      </c>
      <c r="L184" s="190">
        <f t="shared" si="19"/>
        <v>0</v>
      </c>
      <c r="M184" s="191">
        <f t="shared" si="20"/>
        <v>0</v>
      </c>
      <c r="N184" s="370"/>
      <c r="O184" s="370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  <c r="AA184" s="370"/>
      <c r="AB184" s="370">
        <v>2</v>
      </c>
      <c r="AC184" s="370">
        <v>2</v>
      </c>
      <c r="AD184" s="370"/>
      <c r="AE184" s="370"/>
      <c r="AF184" s="370"/>
      <c r="AG184" s="370"/>
      <c r="AH184" s="370"/>
      <c r="AI184" s="370"/>
      <c r="AJ184" s="370"/>
      <c r="AK184" s="370"/>
      <c r="AL184" s="370"/>
      <c r="AM184" s="370"/>
      <c r="AN184" s="133"/>
      <c r="AO184" s="133"/>
      <c r="AP184" s="133"/>
      <c r="AQ184" s="133"/>
      <c r="AR184" s="133"/>
      <c r="AS184" s="133"/>
      <c r="AT184" s="133"/>
      <c r="AU184" s="133"/>
      <c r="AV184" s="133"/>
      <c r="AW184" s="133"/>
      <c r="AX184" s="133"/>
      <c r="AY184" s="133"/>
      <c r="AZ184" s="133"/>
      <c r="BA184" s="133"/>
      <c r="BB184" s="133"/>
      <c r="BC184" s="133"/>
      <c r="BD184" s="133"/>
      <c r="BE184" s="133"/>
      <c r="BF184" s="133"/>
      <c r="BG184" s="133"/>
      <c r="BH184" s="133"/>
      <c r="BI184" s="133"/>
      <c r="BJ184" s="133">
        <v>10</v>
      </c>
      <c r="BK184" s="133">
        <v>10</v>
      </c>
      <c r="BL184" s="133"/>
      <c r="BM184" s="133"/>
      <c r="BN184" s="133"/>
      <c r="BO184" s="133"/>
      <c r="BP184" s="133"/>
      <c r="BQ184" s="133"/>
      <c r="BR184" s="133"/>
      <c r="BS184" s="133"/>
      <c r="BT184" s="133"/>
      <c r="BU184" s="133"/>
      <c r="BV184" s="133"/>
      <c r="BW184" s="133"/>
    </row>
    <row r="185" s="140" customFormat="1" customHeight="1" spans="1:75">
      <c r="A185" s="161">
        <v>214</v>
      </c>
      <c r="B185" s="357" t="s">
        <v>563</v>
      </c>
      <c r="C185" s="162"/>
      <c r="D185" s="357" t="s">
        <v>137</v>
      </c>
      <c r="E185" s="162">
        <v>0.5</v>
      </c>
      <c r="F185" s="408"/>
      <c r="G185" s="191">
        <f t="shared" si="14"/>
        <v>0</v>
      </c>
      <c r="H185" s="190">
        <f t="shared" si="15"/>
        <v>20</v>
      </c>
      <c r="I185" s="191">
        <f t="shared" si="16"/>
        <v>10</v>
      </c>
      <c r="J185" s="190">
        <f t="shared" si="17"/>
        <v>20</v>
      </c>
      <c r="K185" s="191">
        <f t="shared" si="18"/>
        <v>10</v>
      </c>
      <c r="L185" s="190">
        <f t="shared" si="19"/>
        <v>0</v>
      </c>
      <c r="M185" s="191">
        <f t="shared" si="20"/>
        <v>0</v>
      </c>
      <c r="N185" s="370"/>
      <c r="O185" s="370"/>
      <c r="P185" s="370"/>
      <c r="Q185" s="370"/>
      <c r="R185" s="370"/>
      <c r="S185" s="370"/>
      <c r="T185" s="370"/>
      <c r="U185" s="370"/>
      <c r="V185" s="370"/>
      <c r="W185" s="370"/>
      <c r="X185" s="370"/>
      <c r="Y185" s="370"/>
      <c r="Z185" s="370"/>
      <c r="AA185" s="370"/>
      <c r="AB185" s="370"/>
      <c r="AC185" s="370"/>
      <c r="AD185" s="370"/>
      <c r="AE185" s="370"/>
      <c r="AF185" s="370"/>
      <c r="AG185" s="370"/>
      <c r="AH185" s="370"/>
      <c r="AI185" s="370"/>
      <c r="AJ185" s="370"/>
      <c r="AK185" s="370"/>
      <c r="AL185" s="370"/>
      <c r="AM185" s="370"/>
      <c r="AN185" s="133"/>
      <c r="AO185" s="133"/>
      <c r="AP185" s="133"/>
      <c r="AQ185" s="133"/>
      <c r="AR185" s="133"/>
      <c r="AS185" s="133"/>
      <c r="AT185" s="133"/>
      <c r="AU185" s="133"/>
      <c r="AV185" s="133"/>
      <c r="AW185" s="133"/>
      <c r="AX185" s="133"/>
      <c r="AY185" s="133"/>
      <c r="AZ185" s="133"/>
      <c r="BA185" s="133"/>
      <c r="BB185" s="133"/>
      <c r="BC185" s="133"/>
      <c r="BD185" s="133"/>
      <c r="BE185" s="133"/>
      <c r="BF185" s="133"/>
      <c r="BG185" s="133"/>
      <c r="BH185" s="133"/>
      <c r="BI185" s="133"/>
      <c r="BJ185" s="133">
        <v>20</v>
      </c>
      <c r="BK185" s="133">
        <v>20</v>
      </c>
      <c r="BL185" s="133"/>
      <c r="BM185" s="133"/>
      <c r="BN185" s="133"/>
      <c r="BO185" s="133"/>
      <c r="BP185" s="133"/>
      <c r="BQ185" s="133"/>
      <c r="BR185" s="133"/>
      <c r="BS185" s="133"/>
      <c r="BT185" s="133"/>
      <c r="BU185" s="133"/>
      <c r="BV185" s="133"/>
      <c r="BW185" s="133"/>
    </row>
    <row r="186" s="140" customFormat="1" customHeight="1" spans="1:75">
      <c r="A186" s="161">
        <v>215</v>
      </c>
      <c r="B186" s="357" t="s">
        <v>564</v>
      </c>
      <c r="C186" s="162"/>
      <c r="D186" s="357" t="s">
        <v>137</v>
      </c>
      <c r="E186" s="162">
        <v>1</v>
      </c>
      <c r="F186" s="408"/>
      <c r="G186" s="191">
        <f t="shared" si="14"/>
        <v>0</v>
      </c>
      <c r="H186" s="190">
        <f t="shared" si="15"/>
        <v>0</v>
      </c>
      <c r="I186" s="191">
        <f t="shared" si="16"/>
        <v>0</v>
      </c>
      <c r="J186" s="190">
        <f t="shared" si="17"/>
        <v>0</v>
      </c>
      <c r="K186" s="191">
        <f t="shared" si="18"/>
        <v>0</v>
      </c>
      <c r="L186" s="190">
        <f t="shared" si="19"/>
        <v>0</v>
      </c>
      <c r="M186" s="191">
        <f t="shared" si="20"/>
        <v>0</v>
      </c>
      <c r="N186" s="370"/>
      <c r="O186" s="370"/>
      <c r="P186" s="370"/>
      <c r="Q186" s="370"/>
      <c r="R186" s="370"/>
      <c r="S186" s="370"/>
      <c r="T186" s="370"/>
      <c r="U186" s="370"/>
      <c r="V186" s="370"/>
      <c r="W186" s="370"/>
      <c r="X186" s="370"/>
      <c r="Y186" s="370"/>
      <c r="Z186" s="370"/>
      <c r="AA186" s="370"/>
      <c r="AB186" s="370"/>
      <c r="AC186" s="370"/>
      <c r="AD186" s="370"/>
      <c r="AE186" s="370"/>
      <c r="AF186" s="370"/>
      <c r="AG186" s="370"/>
      <c r="AH186" s="370"/>
      <c r="AI186" s="370"/>
      <c r="AJ186" s="370"/>
      <c r="AK186" s="370"/>
      <c r="AL186" s="370"/>
      <c r="AM186" s="370"/>
      <c r="AN186" s="133"/>
      <c r="AO186" s="133"/>
      <c r="AP186" s="133"/>
      <c r="AQ186" s="133"/>
      <c r="AR186" s="133"/>
      <c r="AS186" s="133"/>
      <c r="AT186" s="133"/>
      <c r="AU186" s="133"/>
      <c r="AV186" s="133"/>
      <c r="AW186" s="133"/>
      <c r="AX186" s="133"/>
      <c r="AY186" s="133"/>
      <c r="AZ186" s="133"/>
      <c r="BA186" s="133"/>
      <c r="BB186" s="133"/>
      <c r="BC186" s="133"/>
      <c r="BD186" s="133"/>
      <c r="BE186" s="133"/>
      <c r="BF186" s="133"/>
      <c r="BG186" s="133"/>
      <c r="BH186" s="133"/>
      <c r="BI186" s="133"/>
      <c r="BJ186" s="133"/>
      <c r="BK186" s="133"/>
      <c r="BL186" s="133"/>
      <c r="BM186" s="133"/>
      <c r="BN186" s="133"/>
      <c r="BO186" s="133"/>
      <c r="BP186" s="133"/>
      <c r="BQ186" s="133"/>
      <c r="BR186" s="133"/>
      <c r="BS186" s="133"/>
      <c r="BT186" s="133"/>
      <c r="BU186" s="133"/>
      <c r="BV186" s="133"/>
      <c r="BW186" s="133"/>
    </row>
    <row r="187" s="140" customFormat="1" customHeight="1" spans="1:75">
      <c r="A187" s="161">
        <v>216</v>
      </c>
      <c r="B187" s="357" t="s">
        <v>565</v>
      </c>
      <c r="C187" s="162"/>
      <c r="D187" s="357" t="s">
        <v>318</v>
      </c>
      <c r="E187" s="162">
        <v>60</v>
      </c>
      <c r="F187" s="408"/>
      <c r="G187" s="191">
        <f t="shared" si="14"/>
        <v>0</v>
      </c>
      <c r="H187" s="190">
        <f t="shared" si="15"/>
        <v>2</v>
      </c>
      <c r="I187" s="191">
        <f t="shared" si="16"/>
        <v>120</v>
      </c>
      <c r="J187" s="190">
        <f t="shared" si="17"/>
        <v>2</v>
      </c>
      <c r="K187" s="191">
        <f t="shared" si="18"/>
        <v>120</v>
      </c>
      <c r="L187" s="190">
        <f t="shared" si="19"/>
        <v>0</v>
      </c>
      <c r="M187" s="191">
        <f t="shared" si="20"/>
        <v>0</v>
      </c>
      <c r="N187" s="370"/>
      <c r="O187" s="370"/>
      <c r="P187" s="370"/>
      <c r="Q187" s="370"/>
      <c r="R187" s="370"/>
      <c r="S187" s="370"/>
      <c r="T187" s="370"/>
      <c r="U187" s="370"/>
      <c r="V187" s="370"/>
      <c r="W187" s="370"/>
      <c r="X187" s="370"/>
      <c r="Y187" s="370"/>
      <c r="Z187" s="370"/>
      <c r="AA187" s="370"/>
      <c r="AB187" s="370">
        <v>1</v>
      </c>
      <c r="AC187" s="370">
        <v>1</v>
      </c>
      <c r="AD187" s="370"/>
      <c r="AE187" s="370"/>
      <c r="AF187" s="370"/>
      <c r="AG187" s="370"/>
      <c r="AH187" s="370"/>
      <c r="AI187" s="370"/>
      <c r="AJ187" s="370"/>
      <c r="AK187" s="370"/>
      <c r="AL187" s="370"/>
      <c r="AM187" s="370"/>
      <c r="AN187" s="133"/>
      <c r="AO187" s="133"/>
      <c r="AP187" s="133"/>
      <c r="AQ187" s="133"/>
      <c r="AR187" s="133"/>
      <c r="AS187" s="133"/>
      <c r="AT187" s="133"/>
      <c r="AU187" s="133"/>
      <c r="AV187" s="133">
        <v>1</v>
      </c>
      <c r="AW187" s="133">
        <v>1</v>
      </c>
      <c r="AX187" s="133"/>
      <c r="AY187" s="133"/>
      <c r="AZ187" s="133"/>
      <c r="BA187" s="133"/>
      <c r="BB187" s="133"/>
      <c r="BC187" s="133"/>
      <c r="BD187" s="133"/>
      <c r="BE187" s="133"/>
      <c r="BF187" s="133"/>
      <c r="BG187" s="133"/>
      <c r="BH187" s="133"/>
      <c r="BI187" s="133"/>
      <c r="BJ187" s="133"/>
      <c r="BK187" s="133"/>
      <c r="BL187" s="133"/>
      <c r="BM187" s="133"/>
      <c r="BN187" s="133"/>
      <c r="BO187" s="133"/>
      <c r="BP187" s="133"/>
      <c r="BQ187" s="133"/>
      <c r="BR187" s="133"/>
      <c r="BS187" s="133"/>
      <c r="BT187" s="133"/>
      <c r="BU187" s="133"/>
      <c r="BV187" s="133"/>
      <c r="BW187" s="133"/>
    </row>
    <row r="188" s="140" customFormat="1" customHeight="1" spans="1:75">
      <c r="A188" s="161">
        <v>217</v>
      </c>
      <c r="B188" s="357" t="s">
        <v>566</v>
      </c>
      <c r="C188" s="162"/>
      <c r="D188" s="357" t="s">
        <v>137</v>
      </c>
      <c r="E188" s="162">
        <v>1</v>
      </c>
      <c r="F188" s="408"/>
      <c r="G188" s="191">
        <f t="shared" si="14"/>
        <v>0</v>
      </c>
      <c r="H188" s="190">
        <f t="shared" si="15"/>
        <v>23</v>
      </c>
      <c r="I188" s="191">
        <f t="shared" si="16"/>
        <v>23</v>
      </c>
      <c r="J188" s="190">
        <f t="shared" si="17"/>
        <v>23</v>
      </c>
      <c r="K188" s="191">
        <f t="shared" si="18"/>
        <v>23</v>
      </c>
      <c r="L188" s="190">
        <f t="shared" si="19"/>
        <v>0</v>
      </c>
      <c r="M188" s="191">
        <f t="shared" si="20"/>
        <v>0</v>
      </c>
      <c r="N188" s="370"/>
      <c r="O188" s="370"/>
      <c r="P188" s="370"/>
      <c r="Q188" s="370"/>
      <c r="R188" s="370"/>
      <c r="S188" s="370"/>
      <c r="T188" s="370"/>
      <c r="U188" s="370"/>
      <c r="V188" s="370"/>
      <c r="W188" s="370"/>
      <c r="X188" s="370"/>
      <c r="Y188" s="370"/>
      <c r="Z188" s="370"/>
      <c r="AA188" s="370"/>
      <c r="AB188" s="370">
        <v>13</v>
      </c>
      <c r="AC188" s="370">
        <v>13</v>
      </c>
      <c r="AD188" s="370"/>
      <c r="AE188" s="370"/>
      <c r="AF188" s="370"/>
      <c r="AG188" s="370"/>
      <c r="AH188" s="370"/>
      <c r="AI188" s="370"/>
      <c r="AJ188" s="370"/>
      <c r="AK188" s="370"/>
      <c r="AL188" s="370"/>
      <c r="AM188" s="370"/>
      <c r="AN188" s="133"/>
      <c r="AO188" s="133"/>
      <c r="AP188" s="133"/>
      <c r="AQ188" s="133"/>
      <c r="AR188" s="133"/>
      <c r="AS188" s="133"/>
      <c r="AT188" s="133"/>
      <c r="AU188" s="133"/>
      <c r="AV188" s="133">
        <v>10</v>
      </c>
      <c r="AW188" s="133">
        <v>10</v>
      </c>
      <c r="AX188" s="133"/>
      <c r="AY188" s="133"/>
      <c r="AZ188" s="133"/>
      <c r="BA188" s="133"/>
      <c r="BB188" s="133"/>
      <c r="BC188" s="133"/>
      <c r="BD188" s="133"/>
      <c r="BE188" s="133"/>
      <c r="BF188" s="133"/>
      <c r="BG188" s="133"/>
      <c r="BH188" s="133"/>
      <c r="BI188" s="133"/>
      <c r="BJ188" s="133"/>
      <c r="BK188" s="133"/>
      <c r="BL188" s="133"/>
      <c r="BM188" s="133"/>
      <c r="BN188" s="133"/>
      <c r="BO188" s="133"/>
      <c r="BP188" s="133"/>
      <c r="BQ188" s="133"/>
      <c r="BR188" s="133"/>
      <c r="BS188" s="133"/>
      <c r="BT188" s="133"/>
      <c r="BU188" s="133"/>
      <c r="BV188" s="133"/>
      <c r="BW188" s="133"/>
    </row>
    <row r="189" s="140" customFormat="1" customHeight="1" spans="1:75">
      <c r="A189" s="161">
        <v>218</v>
      </c>
      <c r="B189" s="357" t="s">
        <v>567</v>
      </c>
      <c r="C189" s="162"/>
      <c r="D189" s="357" t="s">
        <v>137</v>
      </c>
      <c r="E189" s="162">
        <v>10</v>
      </c>
      <c r="F189" s="408"/>
      <c r="G189" s="191">
        <f t="shared" si="14"/>
        <v>0</v>
      </c>
      <c r="H189" s="190">
        <f t="shared" si="15"/>
        <v>12</v>
      </c>
      <c r="I189" s="191">
        <f t="shared" si="16"/>
        <v>120</v>
      </c>
      <c r="J189" s="190">
        <f t="shared" si="17"/>
        <v>12</v>
      </c>
      <c r="K189" s="191">
        <f t="shared" si="18"/>
        <v>120</v>
      </c>
      <c r="L189" s="190">
        <f t="shared" si="19"/>
        <v>0</v>
      </c>
      <c r="M189" s="191">
        <f t="shared" si="20"/>
        <v>0</v>
      </c>
      <c r="N189" s="370"/>
      <c r="O189" s="370"/>
      <c r="P189" s="370"/>
      <c r="Q189" s="370"/>
      <c r="R189" s="370"/>
      <c r="S189" s="370"/>
      <c r="T189" s="370"/>
      <c r="U189" s="370"/>
      <c r="V189" s="370"/>
      <c r="W189" s="370"/>
      <c r="X189" s="370"/>
      <c r="Y189" s="370"/>
      <c r="Z189" s="370"/>
      <c r="AA189" s="370"/>
      <c r="AB189" s="370">
        <v>6</v>
      </c>
      <c r="AC189" s="370">
        <v>6</v>
      </c>
      <c r="AD189" s="370"/>
      <c r="AE189" s="370"/>
      <c r="AF189" s="370"/>
      <c r="AG189" s="370"/>
      <c r="AH189" s="370"/>
      <c r="AI189" s="370"/>
      <c r="AJ189" s="370"/>
      <c r="AK189" s="370"/>
      <c r="AL189" s="370"/>
      <c r="AM189" s="370"/>
      <c r="AN189" s="133"/>
      <c r="AO189" s="133"/>
      <c r="AP189" s="133"/>
      <c r="AQ189" s="133"/>
      <c r="AR189" s="133"/>
      <c r="AS189" s="133"/>
      <c r="AT189" s="133"/>
      <c r="AU189" s="133"/>
      <c r="AV189" s="133"/>
      <c r="AW189" s="133"/>
      <c r="AX189" s="133"/>
      <c r="AY189" s="133"/>
      <c r="AZ189" s="133"/>
      <c r="BA189" s="133"/>
      <c r="BB189" s="133"/>
      <c r="BC189" s="133"/>
      <c r="BD189" s="133"/>
      <c r="BE189" s="133"/>
      <c r="BF189" s="133">
        <v>6</v>
      </c>
      <c r="BG189" s="133">
        <v>6</v>
      </c>
      <c r="BH189" s="133"/>
      <c r="BI189" s="133"/>
      <c r="BJ189" s="133"/>
      <c r="BK189" s="133"/>
      <c r="BL189" s="133"/>
      <c r="BM189" s="133"/>
      <c r="BN189" s="133"/>
      <c r="BO189" s="133"/>
      <c r="BP189" s="133"/>
      <c r="BQ189" s="133"/>
      <c r="BR189" s="133"/>
      <c r="BS189" s="133"/>
      <c r="BT189" s="133"/>
      <c r="BU189" s="133"/>
      <c r="BV189" s="133"/>
      <c r="BW189" s="133"/>
    </row>
    <row r="190" s="140" customFormat="1" customHeight="1" spans="1:75">
      <c r="A190" s="161">
        <v>219</v>
      </c>
      <c r="B190" s="357" t="s">
        <v>568</v>
      </c>
      <c r="C190" s="162"/>
      <c r="D190" s="357" t="s">
        <v>209</v>
      </c>
      <c r="E190" s="162">
        <v>55</v>
      </c>
      <c r="F190" s="408"/>
      <c r="G190" s="191">
        <f t="shared" si="14"/>
        <v>0</v>
      </c>
      <c r="H190" s="190">
        <f t="shared" si="15"/>
        <v>4</v>
      </c>
      <c r="I190" s="191">
        <f t="shared" si="16"/>
        <v>220</v>
      </c>
      <c r="J190" s="190">
        <f t="shared" si="17"/>
        <v>4</v>
      </c>
      <c r="K190" s="191">
        <f t="shared" si="18"/>
        <v>220</v>
      </c>
      <c r="L190" s="190">
        <f t="shared" si="19"/>
        <v>0</v>
      </c>
      <c r="M190" s="191">
        <f t="shared" si="20"/>
        <v>0</v>
      </c>
      <c r="N190" s="370"/>
      <c r="O190" s="370"/>
      <c r="P190" s="370"/>
      <c r="Q190" s="370"/>
      <c r="R190" s="370"/>
      <c r="S190" s="370"/>
      <c r="T190" s="370"/>
      <c r="U190" s="370"/>
      <c r="V190" s="370"/>
      <c r="W190" s="370"/>
      <c r="X190" s="370"/>
      <c r="Y190" s="370"/>
      <c r="Z190" s="370"/>
      <c r="AA190" s="370"/>
      <c r="AB190" s="370"/>
      <c r="AC190" s="370"/>
      <c r="AD190" s="370"/>
      <c r="AE190" s="370"/>
      <c r="AF190" s="370"/>
      <c r="AG190" s="370"/>
      <c r="AH190" s="370">
        <v>1</v>
      </c>
      <c r="AI190" s="370">
        <v>1</v>
      </c>
      <c r="AJ190" s="370"/>
      <c r="AK190" s="370"/>
      <c r="AL190" s="370"/>
      <c r="AM190" s="370"/>
      <c r="AN190" s="133"/>
      <c r="AO190" s="133"/>
      <c r="AP190" s="133"/>
      <c r="AQ190" s="133"/>
      <c r="AR190" s="133"/>
      <c r="AS190" s="133"/>
      <c r="AT190" s="133"/>
      <c r="AU190" s="133"/>
      <c r="AV190" s="133"/>
      <c r="AW190" s="133"/>
      <c r="AX190" s="133"/>
      <c r="AY190" s="133"/>
      <c r="AZ190" s="133">
        <v>1</v>
      </c>
      <c r="BA190" s="133">
        <v>1</v>
      </c>
      <c r="BB190" s="133"/>
      <c r="BC190" s="133"/>
      <c r="BD190" s="133"/>
      <c r="BE190" s="133"/>
      <c r="BF190" s="133">
        <v>1</v>
      </c>
      <c r="BG190" s="133">
        <v>1</v>
      </c>
      <c r="BH190" s="133"/>
      <c r="BI190" s="133"/>
      <c r="BJ190" s="133"/>
      <c r="BK190" s="133"/>
      <c r="BL190" s="133"/>
      <c r="BM190" s="133"/>
      <c r="BN190" s="133"/>
      <c r="BO190" s="133"/>
      <c r="BP190" s="133">
        <v>1</v>
      </c>
      <c r="BQ190" s="133">
        <v>1</v>
      </c>
      <c r="BR190" s="133"/>
      <c r="BS190" s="133"/>
      <c r="BT190" s="133"/>
      <c r="BU190" s="133"/>
      <c r="BV190" s="133"/>
      <c r="BW190" s="133"/>
    </row>
    <row r="191" s="140" customFormat="1" customHeight="1" spans="1:75">
      <c r="A191" s="161">
        <v>220</v>
      </c>
      <c r="B191" s="357" t="s">
        <v>569</v>
      </c>
      <c r="C191" s="162"/>
      <c r="D191" s="357" t="s">
        <v>209</v>
      </c>
      <c r="E191" s="162">
        <v>85</v>
      </c>
      <c r="F191" s="408"/>
      <c r="G191" s="191">
        <f t="shared" si="14"/>
        <v>0</v>
      </c>
      <c r="H191" s="190">
        <f t="shared" si="15"/>
        <v>3</v>
      </c>
      <c r="I191" s="191">
        <f t="shared" si="16"/>
        <v>255</v>
      </c>
      <c r="J191" s="190">
        <f t="shared" si="17"/>
        <v>3</v>
      </c>
      <c r="K191" s="191">
        <f t="shared" si="18"/>
        <v>255</v>
      </c>
      <c r="L191" s="190">
        <f t="shared" si="19"/>
        <v>0</v>
      </c>
      <c r="M191" s="191">
        <f t="shared" si="20"/>
        <v>0</v>
      </c>
      <c r="N191" s="370"/>
      <c r="O191" s="370"/>
      <c r="P191" s="370"/>
      <c r="Q191" s="370"/>
      <c r="R191" s="370"/>
      <c r="S191" s="370"/>
      <c r="T191" s="370"/>
      <c r="U191" s="370"/>
      <c r="V191" s="370"/>
      <c r="W191" s="370"/>
      <c r="X191" s="370"/>
      <c r="Y191" s="370"/>
      <c r="Z191" s="370"/>
      <c r="AA191" s="370"/>
      <c r="AB191" s="370"/>
      <c r="AC191" s="370"/>
      <c r="AD191" s="370"/>
      <c r="AE191" s="370"/>
      <c r="AF191" s="370"/>
      <c r="AG191" s="370"/>
      <c r="AH191" s="370">
        <v>1</v>
      </c>
      <c r="AI191" s="370">
        <v>1</v>
      </c>
      <c r="AJ191" s="370"/>
      <c r="AK191" s="370"/>
      <c r="AL191" s="370"/>
      <c r="AM191" s="370"/>
      <c r="AN191" s="133"/>
      <c r="AO191" s="133"/>
      <c r="AP191" s="133"/>
      <c r="AQ191" s="133"/>
      <c r="AR191" s="133"/>
      <c r="AS191" s="133"/>
      <c r="AT191" s="133"/>
      <c r="AU191" s="133"/>
      <c r="AV191" s="133"/>
      <c r="AW191" s="133"/>
      <c r="AX191" s="133"/>
      <c r="AY191" s="133"/>
      <c r="AZ191" s="133">
        <v>1</v>
      </c>
      <c r="BA191" s="133">
        <v>1</v>
      </c>
      <c r="BB191" s="133"/>
      <c r="BC191" s="133"/>
      <c r="BD191" s="133"/>
      <c r="BE191" s="133"/>
      <c r="BF191" s="133"/>
      <c r="BG191" s="133"/>
      <c r="BH191" s="133"/>
      <c r="BI191" s="133"/>
      <c r="BJ191" s="133"/>
      <c r="BK191" s="133"/>
      <c r="BL191" s="133"/>
      <c r="BM191" s="133"/>
      <c r="BN191" s="133"/>
      <c r="BO191" s="133"/>
      <c r="BP191" s="133">
        <v>1</v>
      </c>
      <c r="BQ191" s="133">
        <v>1</v>
      </c>
      <c r="BR191" s="133"/>
      <c r="BS191" s="133"/>
      <c r="BT191" s="133"/>
      <c r="BU191" s="133"/>
      <c r="BV191" s="133"/>
      <c r="BW191" s="133"/>
    </row>
    <row r="192" s="140" customFormat="1" customHeight="1" spans="1:75">
      <c r="A192" s="161">
        <v>221</v>
      </c>
      <c r="B192" s="357" t="s">
        <v>570</v>
      </c>
      <c r="C192" s="162"/>
      <c r="D192" s="162"/>
      <c r="E192" s="162">
        <v>2</v>
      </c>
      <c r="F192" s="408"/>
      <c r="G192" s="191">
        <f t="shared" si="14"/>
        <v>0</v>
      </c>
      <c r="H192" s="190">
        <f t="shared" si="15"/>
        <v>10</v>
      </c>
      <c r="I192" s="191">
        <f t="shared" si="16"/>
        <v>20</v>
      </c>
      <c r="J192" s="190">
        <f t="shared" si="17"/>
        <v>10</v>
      </c>
      <c r="K192" s="191">
        <f t="shared" si="18"/>
        <v>20</v>
      </c>
      <c r="L192" s="190">
        <f t="shared" si="19"/>
        <v>0</v>
      </c>
      <c r="M192" s="191">
        <f t="shared" si="20"/>
        <v>0</v>
      </c>
      <c r="N192" s="370"/>
      <c r="O192" s="370"/>
      <c r="P192" s="370"/>
      <c r="Q192" s="370"/>
      <c r="R192" s="370"/>
      <c r="S192" s="370"/>
      <c r="T192" s="370"/>
      <c r="U192" s="370"/>
      <c r="V192" s="370"/>
      <c r="W192" s="370"/>
      <c r="X192" s="370"/>
      <c r="Y192" s="370"/>
      <c r="Z192" s="370"/>
      <c r="AA192" s="370"/>
      <c r="AB192" s="370"/>
      <c r="AC192" s="370"/>
      <c r="AD192" s="370"/>
      <c r="AE192" s="370"/>
      <c r="AF192" s="370"/>
      <c r="AG192" s="370"/>
      <c r="AH192" s="370">
        <v>10</v>
      </c>
      <c r="AI192" s="370">
        <v>10</v>
      </c>
      <c r="AJ192" s="370"/>
      <c r="AK192" s="370"/>
      <c r="AL192" s="370"/>
      <c r="AM192" s="370"/>
      <c r="AN192" s="133"/>
      <c r="AO192" s="133"/>
      <c r="AP192" s="133"/>
      <c r="AQ192" s="133"/>
      <c r="AR192" s="133"/>
      <c r="AS192" s="133"/>
      <c r="AT192" s="133"/>
      <c r="AU192" s="133"/>
      <c r="AV192" s="133"/>
      <c r="AW192" s="133"/>
      <c r="AX192" s="133"/>
      <c r="AY192" s="133"/>
      <c r="AZ192" s="133"/>
      <c r="BA192" s="133"/>
      <c r="BB192" s="133"/>
      <c r="BC192" s="133"/>
      <c r="BD192" s="133"/>
      <c r="BE192" s="133"/>
      <c r="BF192" s="133"/>
      <c r="BG192" s="133"/>
      <c r="BH192" s="133"/>
      <c r="BI192" s="133"/>
      <c r="BJ192" s="133"/>
      <c r="BK192" s="133"/>
      <c r="BL192" s="133"/>
      <c r="BM192" s="133"/>
      <c r="BN192" s="133"/>
      <c r="BO192" s="133"/>
      <c r="BP192" s="133"/>
      <c r="BQ192" s="133"/>
      <c r="BR192" s="133"/>
      <c r="BS192" s="133"/>
      <c r="BT192" s="133"/>
      <c r="BU192" s="133"/>
      <c r="BV192" s="133"/>
      <c r="BW192" s="133"/>
    </row>
    <row r="193" s="140" customFormat="1" customHeight="1" spans="1:75">
      <c r="A193" s="161">
        <v>222</v>
      </c>
      <c r="B193" s="357" t="s">
        <v>571</v>
      </c>
      <c r="C193" s="162"/>
      <c r="D193" s="162"/>
      <c r="E193" s="162">
        <v>45</v>
      </c>
      <c r="F193" s="408"/>
      <c r="G193" s="191">
        <f t="shared" si="14"/>
        <v>0</v>
      </c>
      <c r="H193" s="190">
        <f t="shared" si="15"/>
        <v>1</v>
      </c>
      <c r="I193" s="191">
        <f t="shared" si="16"/>
        <v>45</v>
      </c>
      <c r="J193" s="190">
        <f t="shared" si="17"/>
        <v>1</v>
      </c>
      <c r="K193" s="191">
        <f t="shared" si="18"/>
        <v>45</v>
      </c>
      <c r="L193" s="190">
        <f t="shared" si="19"/>
        <v>0</v>
      </c>
      <c r="M193" s="191">
        <f t="shared" si="20"/>
        <v>0</v>
      </c>
      <c r="N193" s="370"/>
      <c r="O193" s="370"/>
      <c r="P193" s="370"/>
      <c r="Q193" s="370"/>
      <c r="R193" s="370"/>
      <c r="S193" s="370"/>
      <c r="T193" s="370"/>
      <c r="U193" s="370"/>
      <c r="V193" s="370"/>
      <c r="W193" s="370"/>
      <c r="X193" s="370"/>
      <c r="Y193" s="370"/>
      <c r="Z193" s="370"/>
      <c r="AA193" s="370"/>
      <c r="AB193" s="370"/>
      <c r="AC193" s="370"/>
      <c r="AD193" s="370"/>
      <c r="AE193" s="370"/>
      <c r="AF193" s="370"/>
      <c r="AG193" s="370"/>
      <c r="AH193" s="370"/>
      <c r="AI193" s="370"/>
      <c r="AJ193" s="370">
        <v>1</v>
      </c>
      <c r="AK193" s="370">
        <v>1</v>
      </c>
      <c r="AL193" s="370"/>
      <c r="AM193" s="370"/>
      <c r="AN193" s="133"/>
      <c r="AO193" s="133"/>
      <c r="AP193" s="133"/>
      <c r="AQ193" s="133"/>
      <c r="AR193" s="133"/>
      <c r="AS193" s="133"/>
      <c r="AT193" s="133"/>
      <c r="AU193" s="133"/>
      <c r="AV193" s="133"/>
      <c r="AW193" s="133"/>
      <c r="AX193" s="133"/>
      <c r="AY193" s="133"/>
      <c r="AZ193" s="133"/>
      <c r="BA193" s="133"/>
      <c r="BB193" s="133"/>
      <c r="BC193" s="133"/>
      <c r="BD193" s="133"/>
      <c r="BE193" s="133"/>
      <c r="BF193" s="133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</row>
    <row r="194" s="140" customFormat="1" customHeight="1" spans="1:75">
      <c r="A194" s="161">
        <v>223</v>
      </c>
      <c r="B194" s="357" t="s">
        <v>572</v>
      </c>
      <c r="C194" s="162"/>
      <c r="D194" s="162"/>
      <c r="E194" s="162">
        <v>15</v>
      </c>
      <c r="F194" s="408"/>
      <c r="G194" s="191">
        <f t="shared" si="14"/>
        <v>0</v>
      </c>
      <c r="H194" s="190">
        <f t="shared" si="15"/>
        <v>4</v>
      </c>
      <c r="I194" s="191">
        <f t="shared" si="16"/>
        <v>60</v>
      </c>
      <c r="J194" s="190">
        <f t="shared" si="17"/>
        <v>4</v>
      </c>
      <c r="K194" s="191">
        <f t="shared" si="18"/>
        <v>60</v>
      </c>
      <c r="L194" s="190">
        <f t="shared" si="19"/>
        <v>0</v>
      </c>
      <c r="M194" s="191">
        <f t="shared" si="20"/>
        <v>0</v>
      </c>
      <c r="N194" s="370"/>
      <c r="O194" s="370"/>
      <c r="P194" s="370"/>
      <c r="Q194" s="370"/>
      <c r="R194" s="370"/>
      <c r="S194" s="370"/>
      <c r="T194" s="370"/>
      <c r="U194" s="370"/>
      <c r="V194" s="370"/>
      <c r="W194" s="370"/>
      <c r="X194" s="370"/>
      <c r="Y194" s="370"/>
      <c r="Z194" s="370"/>
      <c r="AA194" s="370"/>
      <c r="AB194" s="370"/>
      <c r="AC194" s="370"/>
      <c r="AD194" s="370"/>
      <c r="AE194" s="370"/>
      <c r="AF194" s="370"/>
      <c r="AG194" s="370"/>
      <c r="AH194" s="370"/>
      <c r="AI194" s="370"/>
      <c r="AJ194" s="370">
        <v>2</v>
      </c>
      <c r="AK194" s="370">
        <v>2</v>
      </c>
      <c r="AL194" s="370"/>
      <c r="AM194" s="370"/>
      <c r="AN194" s="133"/>
      <c r="AO194" s="133"/>
      <c r="AP194" s="133"/>
      <c r="AQ194" s="133"/>
      <c r="AR194" s="133"/>
      <c r="AS194" s="133"/>
      <c r="AT194" s="133"/>
      <c r="AU194" s="133"/>
      <c r="AV194" s="133"/>
      <c r="AW194" s="133"/>
      <c r="AX194" s="133"/>
      <c r="AY194" s="133"/>
      <c r="AZ194" s="133"/>
      <c r="BA194" s="133"/>
      <c r="BB194" s="133"/>
      <c r="BC194" s="133"/>
      <c r="BD194" s="133"/>
      <c r="BE194" s="133"/>
      <c r="BF194" s="133">
        <v>2</v>
      </c>
      <c r="BG194" s="133">
        <v>2</v>
      </c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</row>
    <row r="195" s="140" customFormat="1" customHeight="1" spans="1:75">
      <c r="A195" s="161">
        <v>224</v>
      </c>
      <c r="B195" s="357" t="s">
        <v>573</v>
      </c>
      <c r="C195" s="162"/>
      <c r="D195" s="162"/>
      <c r="E195" s="162">
        <v>2.5</v>
      </c>
      <c r="F195" s="408"/>
      <c r="G195" s="191">
        <f t="shared" si="14"/>
        <v>0</v>
      </c>
      <c r="H195" s="190">
        <f t="shared" si="15"/>
        <v>1</v>
      </c>
      <c r="I195" s="191">
        <f t="shared" si="16"/>
        <v>2.5</v>
      </c>
      <c r="J195" s="190">
        <f t="shared" si="17"/>
        <v>1</v>
      </c>
      <c r="K195" s="191">
        <f t="shared" si="18"/>
        <v>2.5</v>
      </c>
      <c r="L195" s="190">
        <f t="shared" si="19"/>
        <v>0</v>
      </c>
      <c r="M195" s="191">
        <f t="shared" si="20"/>
        <v>0</v>
      </c>
      <c r="N195" s="370"/>
      <c r="O195" s="370"/>
      <c r="P195" s="370"/>
      <c r="Q195" s="370"/>
      <c r="R195" s="370"/>
      <c r="S195" s="370"/>
      <c r="T195" s="370"/>
      <c r="U195" s="370"/>
      <c r="V195" s="370"/>
      <c r="W195" s="370"/>
      <c r="X195" s="370"/>
      <c r="Y195" s="370"/>
      <c r="Z195" s="370"/>
      <c r="AA195" s="370"/>
      <c r="AB195" s="370"/>
      <c r="AC195" s="370"/>
      <c r="AD195" s="370"/>
      <c r="AE195" s="370"/>
      <c r="AF195" s="370"/>
      <c r="AG195" s="370"/>
      <c r="AH195" s="370"/>
      <c r="AI195" s="370"/>
      <c r="AJ195" s="370"/>
      <c r="AK195" s="370"/>
      <c r="AL195" s="370"/>
      <c r="AM195" s="370"/>
      <c r="AN195" s="133"/>
      <c r="AO195" s="133"/>
      <c r="AP195" s="133"/>
      <c r="AQ195" s="133"/>
      <c r="AR195" s="133"/>
      <c r="AS195" s="133"/>
      <c r="AT195" s="133"/>
      <c r="AU195" s="133"/>
      <c r="AV195" s="133"/>
      <c r="AW195" s="133"/>
      <c r="AX195" s="133"/>
      <c r="AY195" s="133"/>
      <c r="AZ195" s="133"/>
      <c r="BA195" s="133"/>
      <c r="BB195" s="133"/>
      <c r="BC195" s="133"/>
      <c r="BD195" s="133"/>
      <c r="BE195" s="133"/>
      <c r="BF195" s="133">
        <v>1</v>
      </c>
      <c r="BG195" s="133">
        <v>1</v>
      </c>
      <c r="BH195" s="133"/>
      <c r="BI195" s="133"/>
      <c r="BJ195" s="133"/>
      <c r="BK195" s="133"/>
      <c r="BL195" s="133"/>
      <c r="BM195" s="133"/>
      <c r="BN195" s="133"/>
      <c r="BO195" s="133"/>
      <c r="BP195" s="133"/>
      <c r="BQ195" s="133"/>
      <c r="BR195" s="133"/>
      <c r="BS195" s="133"/>
      <c r="BT195" s="133"/>
      <c r="BU195" s="133"/>
      <c r="BV195" s="133"/>
      <c r="BW195" s="133"/>
    </row>
    <row r="196" s="140" customFormat="1" customHeight="1" spans="1:75">
      <c r="A196" s="161">
        <v>225</v>
      </c>
      <c r="B196" s="357" t="s">
        <v>574</v>
      </c>
      <c r="C196" s="162"/>
      <c r="D196" s="162"/>
      <c r="E196" s="162">
        <v>10</v>
      </c>
      <c r="F196" s="408"/>
      <c r="G196" s="191">
        <f t="shared" si="14"/>
        <v>0</v>
      </c>
      <c r="H196" s="190">
        <f t="shared" si="15"/>
        <v>0</v>
      </c>
      <c r="I196" s="191">
        <f t="shared" si="16"/>
        <v>0</v>
      </c>
      <c r="J196" s="190">
        <f t="shared" si="17"/>
        <v>0</v>
      </c>
      <c r="K196" s="191">
        <f t="shared" si="18"/>
        <v>0</v>
      </c>
      <c r="L196" s="190">
        <f t="shared" si="19"/>
        <v>0</v>
      </c>
      <c r="M196" s="191">
        <f t="shared" si="20"/>
        <v>0</v>
      </c>
      <c r="N196" s="370"/>
      <c r="O196" s="370"/>
      <c r="P196" s="370"/>
      <c r="Q196" s="370"/>
      <c r="R196" s="370"/>
      <c r="S196" s="370"/>
      <c r="T196" s="370"/>
      <c r="U196" s="370"/>
      <c r="V196" s="370"/>
      <c r="W196" s="370"/>
      <c r="X196" s="370"/>
      <c r="Y196" s="370"/>
      <c r="Z196" s="370"/>
      <c r="AA196" s="370"/>
      <c r="AB196" s="370"/>
      <c r="AC196" s="370"/>
      <c r="AD196" s="370"/>
      <c r="AE196" s="370"/>
      <c r="AF196" s="370"/>
      <c r="AG196" s="370"/>
      <c r="AH196" s="370"/>
      <c r="AI196" s="370"/>
      <c r="AJ196" s="370"/>
      <c r="AK196" s="370"/>
      <c r="AL196" s="370"/>
      <c r="AM196" s="370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  <c r="BQ196" s="133"/>
      <c r="BR196" s="133"/>
      <c r="BS196" s="133"/>
      <c r="BT196" s="133"/>
      <c r="BU196" s="133"/>
      <c r="BV196" s="133"/>
      <c r="BW196" s="133"/>
    </row>
    <row r="197" s="140" customFormat="1" customHeight="1" spans="1:75">
      <c r="A197" s="161">
        <v>226</v>
      </c>
      <c r="B197" s="357" t="s">
        <v>575</v>
      </c>
      <c r="C197" s="162"/>
      <c r="D197" s="162"/>
      <c r="E197" s="162">
        <v>6</v>
      </c>
      <c r="F197" s="408"/>
      <c r="G197" s="191">
        <f t="shared" si="14"/>
        <v>0</v>
      </c>
      <c r="H197" s="190">
        <f t="shared" si="15"/>
        <v>0</v>
      </c>
      <c r="I197" s="191">
        <f t="shared" si="16"/>
        <v>0</v>
      </c>
      <c r="J197" s="190">
        <f t="shared" si="17"/>
        <v>0</v>
      </c>
      <c r="K197" s="191">
        <f t="shared" si="18"/>
        <v>0</v>
      </c>
      <c r="L197" s="190">
        <f t="shared" si="19"/>
        <v>0</v>
      </c>
      <c r="M197" s="191">
        <f t="shared" si="20"/>
        <v>0</v>
      </c>
      <c r="N197" s="370"/>
      <c r="O197" s="370"/>
      <c r="P197" s="370"/>
      <c r="Q197" s="370"/>
      <c r="R197" s="370"/>
      <c r="S197" s="370"/>
      <c r="T197" s="370"/>
      <c r="U197" s="370"/>
      <c r="V197" s="370"/>
      <c r="W197" s="370"/>
      <c r="X197" s="370"/>
      <c r="Y197" s="370"/>
      <c r="Z197" s="370"/>
      <c r="AA197" s="370"/>
      <c r="AB197" s="370"/>
      <c r="AC197" s="370"/>
      <c r="AD197" s="370"/>
      <c r="AE197" s="370"/>
      <c r="AF197" s="370"/>
      <c r="AG197" s="370"/>
      <c r="AH197" s="370"/>
      <c r="AI197" s="370"/>
      <c r="AJ197" s="370"/>
      <c r="AK197" s="370"/>
      <c r="AL197" s="370"/>
      <c r="AM197" s="370"/>
      <c r="AN197" s="133"/>
      <c r="AO197" s="133"/>
      <c r="AP197" s="133"/>
      <c r="AQ197" s="133"/>
      <c r="AR197" s="133"/>
      <c r="AS197" s="133"/>
      <c r="AT197" s="133"/>
      <c r="AU197" s="133"/>
      <c r="AV197" s="133"/>
      <c r="AW197" s="133"/>
      <c r="AX197" s="133"/>
      <c r="AY197" s="133"/>
      <c r="AZ197" s="133"/>
      <c r="BA197" s="133"/>
      <c r="BB197" s="133"/>
      <c r="BC197" s="133"/>
      <c r="BD197" s="133"/>
      <c r="BE197" s="133"/>
      <c r="BF197" s="133"/>
      <c r="BG197" s="133"/>
      <c r="BH197" s="133"/>
      <c r="BI197" s="133"/>
      <c r="BJ197" s="133"/>
      <c r="BK197" s="133"/>
      <c r="BL197" s="133"/>
      <c r="BM197" s="133"/>
      <c r="BN197" s="133"/>
      <c r="BO197" s="133"/>
      <c r="BP197" s="133"/>
      <c r="BQ197" s="133"/>
      <c r="BR197" s="133"/>
      <c r="BS197" s="133"/>
      <c r="BT197" s="133"/>
      <c r="BU197" s="133"/>
      <c r="BV197" s="133"/>
      <c r="BW197" s="133"/>
    </row>
    <row r="198" s="140" customFormat="1" customHeight="1" spans="1:75">
      <c r="A198" s="161">
        <v>227</v>
      </c>
      <c r="B198" s="357" t="s">
        <v>576</v>
      </c>
      <c r="C198" s="162"/>
      <c r="D198" s="162"/>
      <c r="E198" s="162">
        <v>32</v>
      </c>
      <c r="F198" s="408"/>
      <c r="G198" s="191">
        <f t="shared" ref="G198:G226" si="21">+E198*F198</f>
        <v>0</v>
      </c>
      <c r="H198" s="190">
        <f t="shared" ref="H198:H226" si="22">SUMIF($N$4:$BW$4,$H$4,$N198:$BW198)</f>
        <v>0</v>
      </c>
      <c r="I198" s="191">
        <f t="shared" ref="I198:I226" si="23">+E198*H198</f>
        <v>0</v>
      </c>
      <c r="J198" s="190">
        <f t="shared" ref="J198:J226" si="24">SUMIF($N$4:$BW$4,$J$4,$N198:$BW198)</f>
        <v>0</v>
      </c>
      <c r="K198" s="191">
        <f t="shared" ref="K198:K226" si="25">+E198*J198</f>
        <v>0</v>
      </c>
      <c r="L198" s="190">
        <f t="shared" ref="L198:L226" si="26">+F198+H198-J198</f>
        <v>0</v>
      </c>
      <c r="M198" s="191">
        <f t="shared" ref="M198:M226" si="27">+E198*L198</f>
        <v>0</v>
      </c>
      <c r="N198" s="370"/>
      <c r="O198" s="370"/>
      <c r="P198" s="370"/>
      <c r="Q198" s="370"/>
      <c r="R198" s="370"/>
      <c r="S198" s="370"/>
      <c r="T198" s="370"/>
      <c r="U198" s="370"/>
      <c r="V198" s="370"/>
      <c r="W198" s="370"/>
      <c r="X198" s="370"/>
      <c r="Y198" s="370"/>
      <c r="Z198" s="370"/>
      <c r="AA198" s="370"/>
      <c r="AB198" s="370"/>
      <c r="AC198" s="370"/>
      <c r="AD198" s="370"/>
      <c r="AE198" s="370"/>
      <c r="AF198" s="370"/>
      <c r="AG198" s="370"/>
      <c r="AH198" s="370"/>
      <c r="AI198" s="370"/>
      <c r="AJ198" s="370"/>
      <c r="AK198" s="370"/>
      <c r="AL198" s="370"/>
      <c r="AM198" s="370"/>
      <c r="AN198" s="133"/>
      <c r="AO198" s="133"/>
      <c r="AP198" s="133"/>
      <c r="AQ198" s="133"/>
      <c r="AR198" s="133"/>
      <c r="AS198" s="133"/>
      <c r="AT198" s="133"/>
      <c r="AU198" s="133"/>
      <c r="AV198" s="133"/>
      <c r="AW198" s="133"/>
      <c r="AX198" s="133"/>
      <c r="AY198" s="133"/>
      <c r="AZ198" s="133"/>
      <c r="BA198" s="133"/>
      <c r="BB198" s="133"/>
      <c r="BC198" s="133"/>
      <c r="BD198" s="133"/>
      <c r="BE198" s="133"/>
      <c r="BF198" s="133"/>
      <c r="BG198" s="133"/>
      <c r="BH198" s="133"/>
      <c r="BI198" s="133"/>
      <c r="BJ198" s="133"/>
      <c r="BK198" s="133"/>
      <c r="BL198" s="133"/>
      <c r="BM198" s="133"/>
      <c r="BN198" s="133"/>
      <c r="BO198" s="133"/>
      <c r="BP198" s="133"/>
      <c r="BQ198" s="133"/>
      <c r="BR198" s="133"/>
      <c r="BS198" s="133"/>
      <c r="BT198" s="133"/>
      <c r="BU198" s="133"/>
      <c r="BV198" s="133"/>
      <c r="BW198" s="133"/>
    </row>
    <row r="199" s="140" customFormat="1" customHeight="1" spans="1:75">
      <c r="A199" s="161">
        <v>228</v>
      </c>
      <c r="B199" s="357" t="s">
        <v>577</v>
      </c>
      <c r="C199" s="162"/>
      <c r="D199" s="162"/>
      <c r="E199" s="162">
        <v>1</v>
      </c>
      <c r="F199" s="408"/>
      <c r="G199" s="191">
        <f t="shared" si="21"/>
        <v>0</v>
      </c>
      <c r="H199" s="190">
        <f t="shared" si="22"/>
        <v>1</v>
      </c>
      <c r="I199" s="191">
        <f t="shared" si="23"/>
        <v>1</v>
      </c>
      <c r="J199" s="190">
        <f t="shared" si="24"/>
        <v>1</v>
      </c>
      <c r="K199" s="191">
        <f t="shared" si="25"/>
        <v>1</v>
      </c>
      <c r="L199" s="190">
        <f t="shared" si="26"/>
        <v>0</v>
      </c>
      <c r="M199" s="191">
        <f t="shared" si="27"/>
        <v>0</v>
      </c>
      <c r="N199" s="370"/>
      <c r="O199" s="370"/>
      <c r="P199" s="370"/>
      <c r="Q199" s="370"/>
      <c r="R199" s="370"/>
      <c r="S199" s="370"/>
      <c r="T199" s="370"/>
      <c r="U199" s="370"/>
      <c r="V199" s="370"/>
      <c r="W199" s="370"/>
      <c r="X199" s="370"/>
      <c r="Y199" s="370"/>
      <c r="Z199" s="370"/>
      <c r="AA199" s="370"/>
      <c r="AB199" s="370"/>
      <c r="AC199" s="370"/>
      <c r="AD199" s="370"/>
      <c r="AE199" s="370"/>
      <c r="AF199" s="370"/>
      <c r="AG199" s="370"/>
      <c r="AH199" s="370"/>
      <c r="AI199" s="370"/>
      <c r="AJ199" s="370"/>
      <c r="AK199" s="370"/>
      <c r="AL199" s="370"/>
      <c r="AM199" s="370"/>
      <c r="AN199" s="133">
        <v>1</v>
      </c>
      <c r="AO199" s="133">
        <v>1</v>
      </c>
      <c r="AP199" s="133"/>
      <c r="AQ199" s="133"/>
      <c r="AR199" s="133"/>
      <c r="AS199" s="133"/>
      <c r="AT199" s="133"/>
      <c r="AU199" s="133"/>
      <c r="AV199" s="133"/>
      <c r="AW199" s="133"/>
      <c r="AX199" s="133"/>
      <c r="AY199" s="133"/>
      <c r="AZ199" s="133"/>
      <c r="BA199" s="133"/>
      <c r="BB199" s="133"/>
      <c r="BC199" s="133"/>
      <c r="BD199" s="133"/>
      <c r="BE199" s="133"/>
      <c r="BF199" s="133"/>
      <c r="BG199" s="133"/>
      <c r="BH199" s="133"/>
      <c r="BI199" s="133"/>
      <c r="BJ199" s="133"/>
      <c r="BK199" s="133"/>
      <c r="BL199" s="133"/>
      <c r="BM199" s="133"/>
      <c r="BN199" s="133"/>
      <c r="BO199" s="133"/>
      <c r="BP199" s="133"/>
      <c r="BQ199" s="133"/>
      <c r="BR199" s="133"/>
      <c r="BS199" s="133"/>
      <c r="BT199" s="133"/>
      <c r="BU199" s="133"/>
      <c r="BV199" s="133"/>
      <c r="BW199" s="133"/>
    </row>
    <row r="200" s="140" customFormat="1" customHeight="1" spans="1:75">
      <c r="A200" s="161">
        <v>229</v>
      </c>
      <c r="B200" s="357" t="s">
        <v>578</v>
      </c>
      <c r="C200" s="162"/>
      <c r="D200" s="162"/>
      <c r="E200" s="162">
        <v>2.5</v>
      </c>
      <c r="F200" s="408"/>
      <c r="G200" s="191">
        <f t="shared" si="21"/>
        <v>0</v>
      </c>
      <c r="H200" s="190">
        <f t="shared" si="22"/>
        <v>0</v>
      </c>
      <c r="I200" s="191">
        <f t="shared" si="23"/>
        <v>0</v>
      </c>
      <c r="J200" s="190">
        <f t="shared" si="24"/>
        <v>0</v>
      </c>
      <c r="K200" s="191">
        <f t="shared" si="25"/>
        <v>0</v>
      </c>
      <c r="L200" s="190">
        <f t="shared" si="26"/>
        <v>0</v>
      </c>
      <c r="M200" s="191">
        <f t="shared" si="27"/>
        <v>0</v>
      </c>
      <c r="N200" s="370"/>
      <c r="O200" s="370"/>
      <c r="P200" s="370"/>
      <c r="Q200" s="370"/>
      <c r="R200" s="370"/>
      <c r="S200" s="370"/>
      <c r="T200" s="370"/>
      <c r="U200" s="370"/>
      <c r="V200" s="370"/>
      <c r="W200" s="370"/>
      <c r="X200" s="370"/>
      <c r="Y200" s="370"/>
      <c r="Z200" s="370"/>
      <c r="AA200" s="370"/>
      <c r="AB200" s="370"/>
      <c r="AC200" s="370"/>
      <c r="AD200" s="370"/>
      <c r="AE200" s="370"/>
      <c r="AF200" s="370"/>
      <c r="AG200" s="370"/>
      <c r="AH200" s="370"/>
      <c r="AI200" s="370"/>
      <c r="AJ200" s="370"/>
      <c r="AK200" s="370"/>
      <c r="AL200" s="370"/>
      <c r="AM200" s="370"/>
      <c r="AN200" s="133"/>
      <c r="AO200" s="133"/>
      <c r="AP200" s="133"/>
      <c r="AQ200" s="133"/>
      <c r="AR200" s="133"/>
      <c r="AS200" s="133"/>
      <c r="AT200" s="133"/>
      <c r="AU200" s="133"/>
      <c r="AV200" s="133"/>
      <c r="AW200" s="133"/>
      <c r="AX200" s="133"/>
      <c r="AY200" s="133"/>
      <c r="AZ200" s="133"/>
      <c r="BA200" s="133"/>
      <c r="BB200" s="133"/>
      <c r="BC200" s="133"/>
      <c r="BD200" s="133"/>
      <c r="BE200" s="133"/>
      <c r="BF200" s="133"/>
      <c r="BG200" s="133"/>
      <c r="BH200" s="133"/>
      <c r="BI200" s="133"/>
      <c r="BJ200" s="133"/>
      <c r="BK200" s="133"/>
      <c r="BL200" s="133"/>
      <c r="BM200" s="133"/>
      <c r="BN200" s="133"/>
      <c r="BO200" s="133"/>
      <c r="BP200" s="133"/>
      <c r="BQ200" s="133"/>
      <c r="BR200" s="133"/>
      <c r="BS200" s="133"/>
      <c r="BT200" s="133"/>
      <c r="BU200" s="133"/>
      <c r="BV200" s="133"/>
      <c r="BW200" s="133"/>
    </row>
    <row r="201" s="140" customFormat="1" customHeight="1" spans="1:75">
      <c r="A201" s="161">
        <v>230</v>
      </c>
      <c r="B201" s="357" t="s">
        <v>579</v>
      </c>
      <c r="C201" s="162"/>
      <c r="D201" s="162"/>
      <c r="E201" s="162">
        <v>140</v>
      </c>
      <c r="F201" s="408"/>
      <c r="G201" s="191">
        <f t="shared" si="21"/>
        <v>0</v>
      </c>
      <c r="H201" s="190">
        <f t="shared" si="22"/>
        <v>8</v>
      </c>
      <c r="I201" s="191">
        <f t="shared" si="23"/>
        <v>1120</v>
      </c>
      <c r="J201" s="190">
        <f t="shared" si="24"/>
        <v>8</v>
      </c>
      <c r="K201" s="191">
        <f t="shared" si="25"/>
        <v>1120</v>
      </c>
      <c r="L201" s="190">
        <f t="shared" si="26"/>
        <v>0</v>
      </c>
      <c r="M201" s="191">
        <f t="shared" si="27"/>
        <v>0</v>
      </c>
      <c r="N201" s="370"/>
      <c r="O201" s="370"/>
      <c r="P201" s="370"/>
      <c r="Q201" s="370"/>
      <c r="R201" s="370"/>
      <c r="S201" s="370"/>
      <c r="T201" s="370"/>
      <c r="U201" s="370"/>
      <c r="V201" s="370"/>
      <c r="W201" s="370"/>
      <c r="X201" s="370"/>
      <c r="Y201" s="370"/>
      <c r="Z201" s="370"/>
      <c r="AA201" s="370"/>
      <c r="AB201" s="370"/>
      <c r="AC201" s="370"/>
      <c r="AD201" s="370"/>
      <c r="AE201" s="370"/>
      <c r="AF201" s="370"/>
      <c r="AG201" s="370"/>
      <c r="AH201" s="370"/>
      <c r="AI201" s="370"/>
      <c r="AJ201" s="370"/>
      <c r="AK201" s="370"/>
      <c r="AL201" s="370"/>
      <c r="AM201" s="370"/>
      <c r="AN201" s="133"/>
      <c r="AO201" s="133"/>
      <c r="AP201" s="133">
        <v>2</v>
      </c>
      <c r="AQ201" s="133">
        <v>2</v>
      </c>
      <c r="AR201" s="133"/>
      <c r="AS201" s="133"/>
      <c r="AT201" s="133"/>
      <c r="AU201" s="133"/>
      <c r="AV201" s="133"/>
      <c r="AW201" s="133"/>
      <c r="AX201" s="133"/>
      <c r="AY201" s="133"/>
      <c r="AZ201" s="133"/>
      <c r="BA201" s="133"/>
      <c r="BB201" s="133"/>
      <c r="BC201" s="133"/>
      <c r="BD201" s="133"/>
      <c r="BE201" s="133"/>
      <c r="BF201" s="133"/>
      <c r="BG201" s="133"/>
      <c r="BH201" s="133"/>
      <c r="BI201" s="133"/>
      <c r="BJ201" s="133">
        <v>2</v>
      </c>
      <c r="BK201" s="133">
        <v>2</v>
      </c>
      <c r="BL201" s="133"/>
      <c r="BM201" s="133"/>
      <c r="BN201" s="133"/>
      <c r="BO201" s="133"/>
      <c r="BP201" s="133">
        <v>2</v>
      </c>
      <c r="BQ201" s="133">
        <v>2</v>
      </c>
      <c r="BR201" s="133"/>
      <c r="BS201" s="133"/>
      <c r="BT201" s="133"/>
      <c r="BU201" s="133"/>
      <c r="BV201" s="133">
        <v>2</v>
      </c>
      <c r="BW201" s="133">
        <v>2</v>
      </c>
    </row>
    <row r="202" s="140" customFormat="1" customHeight="1" spans="1:75">
      <c r="A202" s="161">
        <v>231</v>
      </c>
      <c r="B202" s="357" t="s">
        <v>580</v>
      </c>
      <c r="C202" s="162"/>
      <c r="D202" s="162"/>
      <c r="E202" s="162">
        <v>15</v>
      </c>
      <c r="F202" s="408"/>
      <c r="G202" s="191">
        <f t="shared" si="21"/>
        <v>0</v>
      </c>
      <c r="H202" s="190">
        <f t="shared" si="22"/>
        <v>2</v>
      </c>
      <c r="I202" s="191">
        <f t="shared" si="23"/>
        <v>30</v>
      </c>
      <c r="J202" s="190">
        <f t="shared" si="24"/>
        <v>2</v>
      </c>
      <c r="K202" s="191">
        <f t="shared" si="25"/>
        <v>30</v>
      </c>
      <c r="L202" s="190">
        <f t="shared" si="26"/>
        <v>0</v>
      </c>
      <c r="M202" s="191">
        <f t="shared" si="27"/>
        <v>0</v>
      </c>
      <c r="N202" s="370"/>
      <c r="O202" s="370"/>
      <c r="P202" s="370"/>
      <c r="Q202" s="370"/>
      <c r="R202" s="370"/>
      <c r="S202" s="370"/>
      <c r="T202" s="370"/>
      <c r="U202" s="370"/>
      <c r="V202" s="370"/>
      <c r="W202" s="370"/>
      <c r="X202" s="370"/>
      <c r="Y202" s="370"/>
      <c r="Z202" s="370"/>
      <c r="AA202" s="370"/>
      <c r="AB202" s="370"/>
      <c r="AC202" s="370"/>
      <c r="AD202" s="370"/>
      <c r="AE202" s="370"/>
      <c r="AF202" s="370"/>
      <c r="AG202" s="370"/>
      <c r="AH202" s="370"/>
      <c r="AI202" s="370"/>
      <c r="AJ202" s="370"/>
      <c r="AK202" s="370"/>
      <c r="AL202" s="370"/>
      <c r="AM202" s="370"/>
      <c r="AN202" s="133"/>
      <c r="AO202" s="133"/>
      <c r="AP202" s="133">
        <v>2</v>
      </c>
      <c r="AQ202" s="133">
        <v>2</v>
      </c>
      <c r="AR202" s="133"/>
      <c r="AS202" s="133"/>
      <c r="AT202" s="133"/>
      <c r="AU202" s="133"/>
      <c r="AV202" s="133"/>
      <c r="AW202" s="133"/>
      <c r="AX202" s="133"/>
      <c r="AY202" s="133"/>
      <c r="AZ202" s="133"/>
      <c r="BA202" s="133"/>
      <c r="BB202" s="133"/>
      <c r="BC202" s="133"/>
      <c r="BD202" s="133"/>
      <c r="BE202" s="133"/>
      <c r="BF202" s="133"/>
      <c r="BG202" s="133"/>
      <c r="BH202" s="133"/>
      <c r="BI202" s="133"/>
      <c r="BJ202" s="133"/>
      <c r="BK202" s="133"/>
      <c r="BL202" s="133"/>
      <c r="BM202" s="133"/>
      <c r="BN202" s="133"/>
      <c r="BO202" s="133"/>
      <c r="BP202" s="133"/>
      <c r="BQ202" s="133"/>
      <c r="BR202" s="133"/>
      <c r="BS202" s="133"/>
      <c r="BT202" s="133"/>
      <c r="BU202" s="133"/>
      <c r="BV202" s="133"/>
      <c r="BW202" s="133"/>
    </row>
    <row r="203" s="140" customFormat="1" customHeight="1" spans="1:75">
      <c r="A203" s="161">
        <v>232</v>
      </c>
      <c r="B203" s="357" t="s">
        <v>581</v>
      </c>
      <c r="C203" s="162"/>
      <c r="D203" s="162"/>
      <c r="E203" s="162">
        <v>9</v>
      </c>
      <c r="F203" s="408"/>
      <c r="G203" s="191">
        <f t="shared" si="21"/>
        <v>0</v>
      </c>
      <c r="H203" s="190">
        <f t="shared" si="22"/>
        <v>6</v>
      </c>
      <c r="I203" s="191">
        <f t="shared" si="23"/>
        <v>54</v>
      </c>
      <c r="J203" s="190">
        <f t="shared" si="24"/>
        <v>6</v>
      </c>
      <c r="K203" s="191">
        <f t="shared" si="25"/>
        <v>54</v>
      </c>
      <c r="L203" s="190">
        <f t="shared" si="26"/>
        <v>0</v>
      </c>
      <c r="M203" s="191">
        <f t="shared" si="27"/>
        <v>0</v>
      </c>
      <c r="N203" s="370"/>
      <c r="O203" s="370"/>
      <c r="P203" s="370"/>
      <c r="Q203" s="370"/>
      <c r="R203" s="370"/>
      <c r="S203" s="370"/>
      <c r="T203" s="370"/>
      <c r="U203" s="370"/>
      <c r="V203" s="370"/>
      <c r="W203" s="370"/>
      <c r="X203" s="370"/>
      <c r="Y203" s="370"/>
      <c r="Z203" s="370"/>
      <c r="AA203" s="370"/>
      <c r="AB203" s="370"/>
      <c r="AC203" s="370"/>
      <c r="AD203" s="370"/>
      <c r="AE203" s="370"/>
      <c r="AF203" s="370"/>
      <c r="AG203" s="370"/>
      <c r="AH203" s="370"/>
      <c r="AI203" s="370"/>
      <c r="AJ203" s="370"/>
      <c r="AK203" s="370"/>
      <c r="AL203" s="370"/>
      <c r="AM203" s="370"/>
      <c r="AN203" s="133"/>
      <c r="AO203" s="133"/>
      <c r="AP203" s="133">
        <v>6</v>
      </c>
      <c r="AQ203" s="133">
        <v>6</v>
      </c>
      <c r="AR203" s="133"/>
      <c r="AS203" s="133"/>
      <c r="AT203" s="133"/>
      <c r="AU203" s="133"/>
      <c r="AV203" s="133"/>
      <c r="AW203" s="133"/>
      <c r="AX203" s="133"/>
      <c r="AY203" s="133"/>
      <c r="AZ203" s="133"/>
      <c r="BA203" s="133"/>
      <c r="BB203" s="133"/>
      <c r="BC203" s="133"/>
      <c r="BD203" s="133"/>
      <c r="BE203" s="133"/>
      <c r="BF203" s="133"/>
      <c r="BG203" s="133"/>
      <c r="BH203" s="133"/>
      <c r="BI203" s="133"/>
      <c r="BJ203" s="133"/>
      <c r="BK203" s="133"/>
      <c r="BL203" s="133"/>
      <c r="BM203" s="133"/>
      <c r="BN203" s="133"/>
      <c r="BO203" s="133"/>
      <c r="BP203" s="133"/>
      <c r="BQ203" s="133"/>
      <c r="BR203" s="133"/>
      <c r="BS203" s="133"/>
      <c r="BT203" s="133"/>
      <c r="BU203" s="133"/>
      <c r="BV203" s="133"/>
      <c r="BW203" s="133"/>
    </row>
    <row r="204" s="140" customFormat="1" customHeight="1" spans="1:75">
      <c r="A204" s="161">
        <v>233</v>
      </c>
      <c r="B204" s="357" t="s">
        <v>582</v>
      </c>
      <c r="C204" s="162"/>
      <c r="D204" s="357" t="s">
        <v>583</v>
      </c>
      <c r="E204" s="162">
        <v>136</v>
      </c>
      <c r="F204" s="408"/>
      <c r="G204" s="191">
        <f t="shared" si="21"/>
        <v>0</v>
      </c>
      <c r="H204" s="190">
        <f t="shared" si="22"/>
        <v>2</v>
      </c>
      <c r="I204" s="191">
        <f t="shared" si="23"/>
        <v>272</v>
      </c>
      <c r="J204" s="190">
        <f t="shared" si="24"/>
        <v>2</v>
      </c>
      <c r="K204" s="191">
        <f t="shared" si="25"/>
        <v>272</v>
      </c>
      <c r="L204" s="190">
        <f t="shared" si="26"/>
        <v>0</v>
      </c>
      <c r="M204" s="191">
        <f t="shared" si="27"/>
        <v>0</v>
      </c>
      <c r="N204" s="370"/>
      <c r="O204" s="370"/>
      <c r="P204" s="370"/>
      <c r="Q204" s="370"/>
      <c r="R204" s="370"/>
      <c r="S204" s="370"/>
      <c r="T204" s="370"/>
      <c r="U204" s="370"/>
      <c r="V204" s="370"/>
      <c r="W204" s="370"/>
      <c r="X204" s="370"/>
      <c r="Y204" s="370"/>
      <c r="Z204" s="370"/>
      <c r="AA204" s="370"/>
      <c r="AB204" s="370"/>
      <c r="AC204" s="370"/>
      <c r="AD204" s="370"/>
      <c r="AE204" s="370"/>
      <c r="AF204" s="370"/>
      <c r="AG204" s="370"/>
      <c r="AH204" s="370"/>
      <c r="AI204" s="370"/>
      <c r="AJ204" s="370"/>
      <c r="AK204" s="370"/>
      <c r="AL204" s="370"/>
      <c r="AM204" s="370"/>
      <c r="AN204" s="133"/>
      <c r="AO204" s="133"/>
      <c r="AP204" s="140">
        <v>1</v>
      </c>
      <c r="AQ204" s="133">
        <v>1</v>
      </c>
      <c r="AR204" s="133"/>
      <c r="AS204" s="133"/>
      <c r="AT204" s="133"/>
      <c r="AU204" s="133"/>
      <c r="AV204" s="133"/>
      <c r="AW204" s="133"/>
      <c r="AX204" s="133">
        <v>1</v>
      </c>
      <c r="AY204" s="133">
        <v>1</v>
      </c>
      <c r="AZ204" s="133"/>
      <c r="BA204" s="133"/>
      <c r="BB204" s="133"/>
      <c r="BC204" s="133"/>
      <c r="BD204" s="133"/>
      <c r="BE204" s="133"/>
      <c r="BF204" s="133"/>
      <c r="BG204" s="133"/>
      <c r="BH204" s="133"/>
      <c r="BI204" s="133"/>
      <c r="BJ204" s="133"/>
      <c r="BK204" s="133"/>
      <c r="BL204" s="133"/>
      <c r="BM204" s="133"/>
      <c r="BN204" s="133"/>
      <c r="BO204" s="133"/>
      <c r="BP204" s="133"/>
      <c r="BQ204" s="133"/>
      <c r="BR204" s="133"/>
      <c r="BS204" s="133"/>
      <c r="BT204" s="133"/>
      <c r="BU204" s="133"/>
      <c r="BV204" s="133"/>
      <c r="BW204" s="133"/>
    </row>
    <row r="205" s="140" customFormat="1" customHeight="1" spans="1:75">
      <c r="A205" s="161">
        <v>234</v>
      </c>
      <c r="B205" s="357" t="s">
        <v>584</v>
      </c>
      <c r="C205" s="162"/>
      <c r="D205" s="162"/>
      <c r="E205" s="162">
        <v>25</v>
      </c>
      <c r="F205" s="408"/>
      <c r="G205" s="191">
        <f t="shared" si="21"/>
        <v>0</v>
      </c>
      <c r="H205" s="190">
        <f t="shared" si="22"/>
        <v>2</v>
      </c>
      <c r="I205" s="191">
        <f t="shared" si="23"/>
        <v>50</v>
      </c>
      <c r="J205" s="190">
        <f t="shared" si="24"/>
        <v>2</v>
      </c>
      <c r="K205" s="191">
        <f t="shared" si="25"/>
        <v>50</v>
      </c>
      <c r="L205" s="190">
        <f t="shared" si="26"/>
        <v>0</v>
      </c>
      <c r="M205" s="191">
        <f t="shared" si="27"/>
        <v>0</v>
      </c>
      <c r="N205" s="370"/>
      <c r="O205" s="370"/>
      <c r="P205" s="370"/>
      <c r="Q205" s="370"/>
      <c r="R205" s="370"/>
      <c r="S205" s="370"/>
      <c r="T205" s="370"/>
      <c r="U205" s="370"/>
      <c r="V205" s="370"/>
      <c r="W205" s="370"/>
      <c r="X205" s="370"/>
      <c r="Y205" s="370"/>
      <c r="Z205" s="370"/>
      <c r="AA205" s="370"/>
      <c r="AB205" s="370"/>
      <c r="AC205" s="370"/>
      <c r="AD205" s="370"/>
      <c r="AE205" s="370"/>
      <c r="AF205" s="370"/>
      <c r="AG205" s="370"/>
      <c r="AH205" s="370"/>
      <c r="AI205" s="370"/>
      <c r="AJ205" s="370"/>
      <c r="AK205" s="370"/>
      <c r="AL205" s="370"/>
      <c r="AM205" s="370"/>
      <c r="AN205" s="133"/>
      <c r="AO205" s="133"/>
      <c r="AP205" s="133">
        <v>2</v>
      </c>
      <c r="AQ205" s="133">
        <v>2</v>
      </c>
      <c r="AR205" s="133"/>
      <c r="AS205" s="133"/>
      <c r="AT205" s="133"/>
      <c r="AU205" s="133"/>
      <c r="AV205" s="133"/>
      <c r="AW205" s="133"/>
      <c r="AX205" s="133"/>
      <c r="AY205" s="133"/>
      <c r="AZ205" s="133"/>
      <c r="BA205" s="133"/>
      <c r="BB205" s="133"/>
      <c r="BC205" s="133"/>
      <c r="BD205" s="133"/>
      <c r="BE205" s="133"/>
      <c r="BF205" s="133"/>
      <c r="BG205" s="133"/>
      <c r="BH205" s="133"/>
      <c r="BI205" s="133"/>
      <c r="BJ205" s="133"/>
      <c r="BK205" s="133"/>
      <c r="BL205" s="133"/>
      <c r="BM205" s="133"/>
      <c r="BN205" s="133"/>
      <c r="BO205" s="133"/>
      <c r="BP205" s="133"/>
      <c r="BQ205" s="133"/>
      <c r="BR205" s="133"/>
      <c r="BS205" s="133"/>
      <c r="BT205" s="133"/>
      <c r="BU205" s="133"/>
      <c r="BV205" s="133"/>
      <c r="BW205" s="133"/>
    </row>
    <row r="206" s="140" customFormat="1" customHeight="1" spans="1:75">
      <c r="A206" s="161">
        <v>235</v>
      </c>
      <c r="B206" s="357" t="s">
        <v>585</v>
      </c>
      <c r="C206" s="162"/>
      <c r="D206" s="162"/>
      <c r="E206" s="162">
        <v>65</v>
      </c>
      <c r="F206" s="408"/>
      <c r="G206" s="191">
        <f t="shared" si="21"/>
        <v>0</v>
      </c>
      <c r="H206" s="190">
        <f t="shared" si="22"/>
        <v>1</v>
      </c>
      <c r="I206" s="191">
        <f t="shared" si="23"/>
        <v>65</v>
      </c>
      <c r="J206" s="190">
        <f t="shared" si="24"/>
        <v>1</v>
      </c>
      <c r="K206" s="191">
        <f t="shared" si="25"/>
        <v>65</v>
      </c>
      <c r="L206" s="190">
        <f t="shared" si="26"/>
        <v>0</v>
      </c>
      <c r="M206" s="191">
        <f t="shared" si="27"/>
        <v>0</v>
      </c>
      <c r="N206" s="370"/>
      <c r="O206" s="370"/>
      <c r="P206" s="370"/>
      <c r="Q206" s="370"/>
      <c r="R206" s="370"/>
      <c r="S206" s="370"/>
      <c r="T206" s="370"/>
      <c r="U206" s="370"/>
      <c r="V206" s="370"/>
      <c r="W206" s="370"/>
      <c r="X206" s="370"/>
      <c r="Y206" s="370"/>
      <c r="Z206" s="370"/>
      <c r="AA206" s="370"/>
      <c r="AB206" s="370"/>
      <c r="AC206" s="370"/>
      <c r="AD206" s="370"/>
      <c r="AE206" s="370"/>
      <c r="AF206" s="370"/>
      <c r="AG206" s="370"/>
      <c r="AH206" s="370"/>
      <c r="AI206" s="370"/>
      <c r="AJ206" s="370"/>
      <c r="AK206" s="370"/>
      <c r="AL206" s="370"/>
      <c r="AM206" s="370"/>
      <c r="AN206" s="133"/>
      <c r="AO206" s="133"/>
      <c r="AP206" s="133"/>
      <c r="AQ206" s="133"/>
      <c r="AR206" s="133">
        <v>1</v>
      </c>
      <c r="AS206" s="133">
        <v>1</v>
      </c>
      <c r="AT206" s="133"/>
      <c r="AU206" s="133"/>
      <c r="AV206" s="133"/>
      <c r="AW206" s="133"/>
      <c r="AX206" s="133"/>
      <c r="AY206" s="133"/>
      <c r="AZ206" s="133"/>
      <c r="BA206" s="133"/>
      <c r="BB206" s="133"/>
      <c r="BC206" s="133"/>
      <c r="BD206" s="133"/>
      <c r="BE206" s="133"/>
      <c r="BF206" s="133"/>
      <c r="BG206" s="133"/>
      <c r="BH206" s="133"/>
      <c r="BI206" s="133"/>
      <c r="BJ206" s="133"/>
      <c r="BK206" s="133"/>
      <c r="BL206" s="133"/>
      <c r="BM206" s="133"/>
      <c r="BN206" s="133"/>
      <c r="BO206" s="133"/>
      <c r="BP206" s="133"/>
      <c r="BQ206" s="133"/>
      <c r="BR206" s="133"/>
      <c r="BS206" s="133"/>
      <c r="BT206" s="133"/>
      <c r="BU206" s="133"/>
      <c r="BV206" s="133"/>
      <c r="BW206" s="133"/>
    </row>
    <row r="207" s="140" customFormat="1" customHeight="1" spans="1:75">
      <c r="A207" s="161">
        <v>236</v>
      </c>
      <c r="B207" s="357" t="s">
        <v>586</v>
      </c>
      <c r="C207" s="162"/>
      <c r="D207" s="162"/>
      <c r="E207" s="162">
        <v>20</v>
      </c>
      <c r="F207" s="408"/>
      <c r="G207" s="191">
        <f t="shared" si="21"/>
        <v>0</v>
      </c>
      <c r="H207" s="190">
        <f t="shared" si="22"/>
        <v>1</v>
      </c>
      <c r="I207" s="191">
        <f t="shared" si="23"/>
        <v>20</v>
      </c>
      <c r="J207" s="190">
        <f t="shared" si="24"/>
        <v>1</v>
      </c>
      <c r="K207" s="191">
        <f t="shared" si="25"/>
        <v>20</v>
      </c>
      <c r="L207" s="190">
        <f t="shared" si="26"/>
        <v>0</v>
      </c>
      <c r="M207" s="191">
        <f t="shared" si="27"/>
        <v>0</v>
      </c>
      <c r="N207" s="370"/>
      <c r="O207" s="370"/>
      <c r="P207" s="370"/>
      <c r="Q207" s="370"/>
      <c r="R207" s="370"/>
      <c r="S207" s="370"/>
      <c r="T207" s="370"/>
      <c r="U207" s="370"/>
      <c r="V207" s="370"/>
      <c r="W207" s="370"/>
      <c r="X207" s="370"/>
      <c r="Y207" s="370"/>
      <c r="Z207" s="370"/>
      <c r="AA207" s="370"/>
      <c r="AB207" s="370"/>
      <c r="AC207" s="370"/>
      <c r="AD207" s="370"/>
      <c r="AE207" s="370"/>
      <c r="AF207" s="370"/>
      <c r="AG207" s="370"/>
      <c r="AH207" s="370"/>
      <c r="AI207" s="370"/>
      <c r="AJ207" s="370"/>
      <c r="AK207" s="370"/>
      <c r="AL207" s="370"/>
      <c r="AM207" s="370"/>
      <c r="AN207" s="133"/>
      <c r="AO207" s="133"/>
      <c r="AP207" s="133"/>
      <c r="AQ207" s="133"/>
      <c r="AR207" s="133">
        <v>1</v>
      </c>
      <c r="AS207" s="133">
        <v>1</v>
      </c>
      <c r="AT207" s="133"/>
      <c r="AU207" s="133"/>
      <c r="AV207" s="133"/>
      <c r="AW207" s="133"/>
      <c r="AX207" s="133"/>
      <c r="AY207" s="133"/>
      <c r="AZ207" s="133"/>
      <c r="BA207" s="133"/>
      <c r="BB207" s="133"/>
      <c r="BC207" s="133"/>
      <c r="BD207" s="133"/>
      <c r="BE207" s="133"/>
      <c r="BF207" s="133"/>
      <c r="BG207" s="133"/>
      <c r="BH207" s="133"/>
      <c r="BI207" s="133"/>
      <c r="BJ207" s="133"/>
      <c r="BK207" s="133"/>
      <c r="BL207" s="133"/>
      <c r="BM207" s="133"/>
      <c r="BN207" s="133"/>
      <c r="BO207" s="133"/>
      <c r="BP207" s="133"/>
      <c r="BQ207" s="133"/>
      <c r="BR207" s="133"/>
      <c r="BS207" s="133"/>
      <c r="BT207" s="133"/>
      <c r="BU207" s="133"/>
      <c r="BV207" s="133"/>
      <c r="BW207" s="133"/>
    </row>
    <row r="208" s="140" customFormat="1" customHeight="1" spans="1:75">
      <c r="A208" s="161">
        <v>237</v>
      </c>
      <c r="B208" s="357" t="s">
        <v>587</v>
      </c>
      <c r="C208" s="162"/>
      <c r="D208" s="162"/>
      <c r="E208" s="162">
        <v>10</v>
      </c>
      <c r="F208" s="408"/>
      <c r="G208" s="191">
        <f t="shared" si="21"/>
        <v>0</v>
      </c>
      <c r="H208" s="190">
        <f t="shared" si="22"/>
        <v>1</v>
      </c>
      <c r="I208" s="191">
        <f t="shared" si="23"/>
        <v>10</v>
      </c>
      <c r="J208" s="190">
        <f t="shared" si="24"/>
        <v>1</v>
      </c>
      <c r="K208" s="191">
        <f t="shared" si="25"/>
        <v>10</v>
      </c>
      <c r="L208" s="190">
        <f t="shared" si="26"/>
        <v>0</v>
      </c>
      <c r="M208" s="191">
        <f t="shared" si="27"/>
        <v>0</v>
      </c>
      <c r="N208" s="370"/>
      <c r="O208" s="370"/>
      <c r="P208" s="370"/>
      <c r="Q208" s="370"/>
      <c r="R208" s="370"/>
      <c r="S208" s="370"/>
      <c r="T208" s="370"/>
      <c r="U208" s="370"/>
      <c r="V208" s="370"/>
      <c r="W208" s="370"/>
      <c r="X208" s="370"/>
      <c r="Y208" s="370"/>
      <c r="Z208" s="370"/>
      <c r="AA208" s="370"/>
      <c r="AB208" s="370"/>
      <c r="AC208" s="370"/>
      <c r="AD208" s="370"/>
      <c r="AE208" s="370"/>
      <c r="AF208" s="370"/>
      <c r="AG208" s="370"/>
      <c r="AH208" s="370"/>
      <c r="AI208" s="370"/>
      <c r="AJ208" s="370"/>
      <c r="AK208" s="370"/>
      <c r="AL208" s="370"/>
      <c r="AM208" s="370"/>
      <c r="AN208" s="133"/>
      <c r="AO208" s="133"/>
      <c r="AP208" s="133"/>
      <c r="AQ208" s="133"/>
      <c r="AR208" s="133">
        <v>1</v>
      </c>
      <c r="AS208" s="133">
        <v>1</v>
      </c>
      <c r="AT208" s="133"/>
      <c r="AU208" s="133"/>
      <c r="AV208" s="133"/>
      <c r="AW208" s="133"/>
      <c r="AX208" s="133"/>
      <c r="AY208" s="133"/>
      <c r="AZ208" s="133"/>
      <c r="BA208" s="133"/>
      <c r="BB208" s="133"/>
      <c r="BC208" s="133"/>
      <c r="BD208" s="133"/>
      <c r="BE208" s="133"/>
      <c r="BF208" s="133"/>
      <c r="BG208" s="133"/>
      <c r="BH208" s="133"/>
      <c r="BI208" s="133"/>
      <c r="BJ208" s="133"/>
      <c r="BK208" s="133"/>
      <c r="BL208" s="133"/>
      <c r="BM208" s="133"/>
      <c r="BN208" s="133"/>
      <c r="BO208" s="133"/>
      <c r="BP208" s="133"/>
      <c r="BQ208" s="133"/>
      <c r="BR208" s="133"/>
      <c r="BS208" s="133"/>
      <c r="BT208" s="133"/>
      <c r="BU208" s="133"/>
      <c r="BV208" s="133"/>
      <c r="BW208" s="133"/>
    </row>
    <row r="209" s="140" customFormat="1" customHeight="1" spans="1:75">
      <c r="A209" s="161">
        <v>238</v>
      </c>
      <c r="B209" s="357" t="s">
        <v>588</v>
      </c>
      <c r="C209" s="162"/>
      <c r="D209" s="357" t="s">
        <v>453</v>
      </c>
      <c r="E209" s="162">
        <v>140</v>
      </c>
      <c r="F209" s="408"/>
      <c r="G209" s="191">
        <f t="shared" si="21"/>
        <v>0</v>
      </c>
      <c r="H209" s="190">
        <f t="shared" si="22"/>
        <v>0</v>
      </c>
      <c r="I209" s="191">
        <f t="shared" si="23"/>
        <v>0</v>
      </c>
      <c r="J209" s="190">
        <f t="shared" si="24"/>
        <v>0</v>
      </c>
      <c r="K209" s="191">
        <f t="shared" si="25"/>
        <v>0</v>
      </c>
      <c r="L209" s="190">
        <f t="shared" si="26"/>
        <v>0</v>
      </c>
      <c r="M209" s="191">
        <f t="shared" si="27"/>
        <v>0</v>
      </c>
      <c r="N209" s="370"/>
      <c r="O209" s="370"/>
      <c r="P209" s="370"/>
      <c r="Q209" s="370"/>
      <c r="R209" s="370"/>
      <c r="S209" s="370"/>
      <c r="T209" s="370"/>
      <c r="U209" s="370"/>
      <c r="V209" s="370"/>
      <c r="W209" s="370"/>
      <c r="X209" s="370"/>
      <c r="Y209" s="370"/>
      <c r="Z209" s="370"/>
      <c r="AA209" s="370"/>
      <c r="AB209" s="370"/>
      <c r="AC209" s="370"/>
      <c r="AD209" s="370"/>
      <c r="AE209" s="370"/>
      <c r="AF209" s="370"/>
      <c r="AG209" s="370"/>
      <c r="AH209" s="370"/>
      <c r="AI209" s="370"/>
      <c r="AJ209" s="370"/>
      <c r="AK209" s="370"/>
      <c r="AL209" s="370"/>
      <c r="AM209" s="370"/>
      <c r="AN209" s="133"/>
      <c r="AO209" s="133"/>
      <c r="AP209" s="133"/>
      <c r="AQ209" s="133"/>
      <c r="AR209" s="133"/>
      <c r="AS209" s="133"/>
      <c r="AT209" s="133"/>
      <c r="AU209" s="133"/>
      <c r="AV209" s="133"/>
      <c r="AW209" s="133"/>
      <c r="AX209" s="133"/>
      <c r="AY209" s="133"/>
      <c r="AZ209" s="133"/>
      <c r="BA209" s="133"/>
      <c r="BB209" s="133"/>
      <c r="BC209" s="133"/>
      <c r="BD209" s="133"/>
      <c r="BE209" s="133"/>
      <c r="BF209" s="133"/>
      <c r="BG209" s="133"/>
      <c r="BH209" s="133"/>
      <c r="BI209" s="133"/>
      <c r="BJ209" s="133"/>
      <c r="BK209" s="133"/>
      <c r="BL209" s="133"/>
      <c r="BM209" s="133"/>
      <c r="BN209" s="133"/>
      <c r="BO209" s="133"/>
      <c r="BP209" s="133"/>
      <c r="BQ209" s="133"/>
      <c r="BR209" s="133"/>
      <c r="BS209" s="133"/>
      <c r="BT209" s="133"/>
      <c r="BU209" s="133"/>
      <c r="BV209" s="133"/>
      <c r="BW209" s="133"/>
    </row>
    <row r="210" s="140" customFormat="1" customHeight="1" spans="1:75">
      <c r="A210" s="161">
        <v>239</v>
      </c>
      <c r="B210" s="357" t="s">
        <v>589</v>
      </c>
      <c r="C210" s="162"/>
      <c r="D210" s="357" t="s">
        <v>453</v>
      </c>
      <c r="E210" s="162">
        <v>230</v>
      </c>
      <c r="F210" s="408"/>
      <c r="G210" s="191">
        <f t="shared" si="21"/>
        <v>0</v>
      </c>
      <c r="H210" s="190">
        <f t="shared" si="22"/>
        <v>2</v>
      </c>
      <c r="I210" s="191">
        <f t="shared" si="23"/>
        <v>460</v>
      </c>
      <c r="J210" s="190">
        <f t="shared" si="24"/>
        <v>2</v>
      </c>
      <c r="K210" s="191">
        <f t="shared" si="25"/>
        <v>460</v>
      </c>
      <c r="L210" s="190">
        <f t="shared" si="26"/>
        <v>0</v>
      </c>
      <c r="M210" s="191">
        <f t="shared" si="27"/>
        <v>0</v>
      </c>
      <c r="N210" s="370"/>
      <c r="O210" s="370"/>
      <c r="P210" s="370"/>
      <c r="Q210" s="370"/>
      <c r="R210" s="370"/>
      <c r="S210" s="370"/>
      <c r="T210" s="370"/>
      <c r="U210" s="370"/>
      <c r="V210" s="370"/>
      <c r="W210" s="370"/>
      <c r="X210" s="370"/>
      <c r="Y210" s="370"/>
      <c r="Z210" s="370"/>
      <c r="AA210" s="370"/>
      <c r="AB210" s="370"/>
      <c r="AC210" s="370"/>
      <c r="AD210" s="370"/>
      <c r="AE210" s="370"/>
      <c r="AF210" s="370"/>
      <c r="AG210" s="370"/>
      <c r="AH210" s="370"/>
      <c r="AI210" s="370"/>
      <c r="AJ210" s="370"/>
      <c r="AK210" s="370"/>
      <c r="AL210" s="370"/>
      <c r="AM210" s="370"/>
      <c r="AN210" s="133"/>
      <c r="AO210" s="133"/>
      <c r="AP210" s="133"/>
      <c r="AQ210" s="133"/>
      <c r="AR210" s="133"/>
      <c r="AS210" s="133"/>
      <c r="AT210" s="133"/>
      <c r="AU210" s="133"/>
      <c r="AV210" s="133"/>
      <c r="AW210" s="133"/>
      <c r="AX210" s="133"/>
      <c r="AY210" s="133"/>
      <c r="AZ210" s="133"/>
      <c r="BA210" s="133"/>
      <c r="BB210" s="133"/>
      <c r="BC210" s="133"/>
      <c r="BD210" s="133"/>
      <c r="BE210" s="133"/>
      <c r="BF210" s="133"/>
      <c r="BG210" s="133"/>
      <c r="BH210" s="133"/>
      <c r="BI210" s="133"/>
      <c r="BJ210" s="133">
        <v>1</v>
      </c>
      <c r="BK210" s="133">
        <v>1</v>
      </c>
      <c r="BL210" s="133"/>
      <c r="BM210" s="133"/>
      <c r="BN210" s="133"/>
      <c r="BO210" s="133"/>
      <c r="BP210" s="133"/>
      <c r="BQ210" s="133"/>
      <c r="BR210" s="133">
        <v>1</v>
      </c>
      <c r="BS210" s="133">
        <v>1</v>
      </c>
      <c r="BT210" s="133"/>
      <c r="BU210" s="133"/>
      <c r="BV210" s="133"/>
      <c r="BW210" s="133"/>
    </row>
    <row r="211" s="140" customFormat="1" customHeight="1" spans="1:75">
      <c r="A211" s="161">
        <v>240</v>
      </c>
      <c r="B211" s="357" t="s">
        <v>590</v>
      </c>
      <c r="C211" s="162"/>
      <c r="D211" s="357" t="s">
        <v>453</v>
      </c>
      <c r="E211" s="162">
        <v>60</v>
      </c>
      <c r="F211" s="408"/>
      <c r="G211" s="191">
        <f t="shared" si="21"/>
        <v>0</v>
      </c>
      <c r="H211" s="190">
        <f t="shared" si="22"/>
        <v>0</v>
      </c>
      <c r="I211" s="191">
        <f t="shared" si="23"/>
        <v>0</v>
      </c>
      <c r="J211" s="190">
        <f t="shared" si="24"/>
        <v>0</v>
      </c>
      <c r="K211" s="191">
        <f t="shared" si="25"/>
        <v>0</v>
      </c>
      <c r="L211" s="190">
        <f t="shared" si="26"/>
        <v>0</v>
      </c>
      <c r="M211" s="191">
        <f t="shared" si="27"/>
        <v>0</v>
      </c>
      <c r="N211" s="370"/>
      <c r="O211" s="370"/>
      <c r="P211" s="370"/>
      <c r="Q211" s="370"/>
      <c r="R211" s="370"/>
      <c r="S211" s="370"/>
      <c r="T211" s="370"/>
      <c r="U211" s="370"/>
      <c r="V211" s="370"/>
      <c r="W211" s="370"/>
      <c r="X211" s="370"/>
      <c r="Y211" s="370"/>
      <c r="Z211" s="370"/>
      <c r="AA211" s="370"/>
      <c r="AB211" s="370"/>
      <c r="AC211" s="370"/>
      <c r="AD211" s="370"/>
      <c r="AE211" s="370"/>
      <c r="AF211" s="370"/>
      <c r="AG211" s="370"/>
      <c r="AH211" s="370"/>
      <c r="AI211" s="370"/>
      <c r="AJ211" s="370"/>
      <c r="AK211" s="370"/>
      <c r="AL211" s="370"/>
      <c r="AM211" s="370"/>
      <c r="AN211" s="133"/>
      <c r="AO211" s="133"/>
      <c r="AP211" s="133"/>
      <c r="AQ211" s="133"/>
      <c r="AR211" s="133"/>
      <c r="AS211" s="133"/>
      <c r="AT211" s="133"/>
      <c r="AU211" s="133"/>
      <c r="AV211" s="133"/>
      <c r="AW211" s="133"/>
      <c r="AX211" s="133"/>
      <c r="AY211" s="133"/>
      <c r="AZ211" s="133"/>
      <c r="BA211" s="133"/>
      <c r="BB211" s="133"/>
      <c r="BC211" s="133"/>
      <c r="BD211" s="133"/>
      <c r="BE211" s="133"/>
      <c r="BF211" s="133"/>
      <c r="BG211" s="133"/>
      <c r="BH211" s="133"/>
      <c r="BI211" s="133"/>
      <c r="BJ211" s="133"/>
      <c r="BK211" s="133"/>
      <c r="BL211" s="133"/>
      <c r="BM211" s="133"/>
      <c r="BN211" s="133"/>
      <c r="BO211" s="133"/>
      <c r="BP211" s="133"/>
      <c r="BQ211" s="133"/>
      <c r="BR211" s="133"/>
      <c r="BS211" s="133"/>
      <c r="BT211" s="133"/>
      <c r="BU211" s="133"/>
      <c r="BV211" s="133"/>
      <c r="BW211" s="133"/>
    </row>
    <row r="212" s="140" customFormat="1" customHeight="1" spans="1:75">
      <c r="A212" s="161">
        <v>241</v>
      </c>
      <c r="B212" s="357" t="s">
        <v>591</v>
      </c>
      <c r="C212" s="162"/>
      <c r="D212" s="357" t="s">
        <v>209</v>
      </c>
      <c r="E212" s="162">
        <v>5</v>
      </c>
      <c r="F212" s="408"/>
      <c r="G212" s="191">
        <f t="shared" si="21"/>
        <v>0</v>
      </c>
      <c r="H212" s="190">
        <f t="shared" si="22"/>
        <v>10</v>
      </c>
      <c r="I212" s="191">
        <f t="shared" si="23"/>
        <v>50</v>
      </c>
      <c r="J212" s="190">
        <f t="shared" si="24"/>
        <v>10</v>
      </c>
      <c r="K212" s="191">
        <f t="shared" si="25"/>
        <v>50</v>
      </c>
      <c r="L212" s="190">
        <f t="shared" si="26"/>
        <v>0</v>
      </c>
      <c r="M212" s="191">
        <f t="shared" si="27"/>
        <v>0</v>
      </c>
      <c r="N212" s="370"/>
      <c r="O212" s="370"/>
      <c r="P212" s="370"/>
      <c r="Q212" s="370"/>
      <c r="R212" s="370"/>
      <c r="S212" s="370"/>
      <c r="T212" s="370"/>
      <c r="U212" s="370"/>
      <c r="V212" s="370"/>
      <c r="W212" s="370"/>
      <c r="X212" s="370"/>
      <c r="Y212" s="370"/>
      <c r="Z212" s="370"/>
      <c r="AA212" s="370"/>
      <c r="AB212" s="370"/>
      <c r="AC212" s="370"/>
      <c r="AD212" s="370"/>
      <c r="AE212" s="370"/>
      <c r="AF212" s="370"/>
      <c r="AG212" s="370"/>
      <c r="AH212" s="370"/>
      <c r="AI212" s="370"/>
      <c r="AJ212" s="370"/>
      <c r="AK212" s="370"/>
      <c r="AL212" s="370"/>
      <c r="AM212" s="370"/>
      <c r="AN212" s="133"/>
      <c r="AO212" s="133"/>
      <c r="AP212" s="133"/>
      <c r="AQ212" s="133"/>
      <c r="AR212" s="133"/>
      <c r="AS212" s="133"/>
      <c r="AT212" s="133"/>
      <c r="AU212" s="133"/>
      <c r="AV212" s="133"/>
      <c r="AW212" s="133"/>
      <c r="AX212" s="133">
        <v>10</v>
      </c>
      <c r="AY212" s="133">
        <v>10</v>
      </c>
      <c r="AZ212" s="133"/>
      <c r="BA212" s="133"/>
      <c r="BB212" s="133"/>
      <c r="BC212" s="133"/>
      <c r="BD212" s="133"/>
      <c r="BE212" s="133"/>
      <c r="BF212" s="133"/>
      <c r="BG212" s="133"/>
      <c r="BH212" s="133"/>
      <c r="BI212" s="133"/>
      <c r="BJ212" s="133"/>
      <c r="BK212" s="133"/>
      <c r="BL212" s="133"/>
      <c r="BM212" s="133"/>
      <c r="BN212" s="133"/>
      <c r="BO212" s="133"/>
      <c r="BP212" s="133"/>
      <c r="BQ212" s="133"/>
      <c r="BR212" s="133"/>
      <c r="BS212" s="133"/>
      <c r="BT212" s="133"/>
      <c r="BU212" s="133"/>
      <c r="BV212" s="133"/>
      <c r="BW212" s="133"/>
    </row>
    <row r="213" s="140" customFormat="1" customHeight="1" spans="1:75">
      <c r="A213" s="161">
        <v>242</v>
      </c>
      <c r="B213" s="357" t="s">
        <v>592</v>
      </c>
      <c r="C213" s="162"/>
      <c r="D213" s="357" t="s">
        <v>402</v>
      </c>
      <c r="E213" s="162">
        <v>5</v>
      </c>
      <c r="F213" s="408"/>
      <c r="G213" s="191">
        <f t="shared" si="21"/>
        <v>0</v>
      </c>
      <c r="H213" s="190">
        <f t="shared" si="22"/>
        <v>0</v>
      </c>
      <c r="I213" s="191">
        <f t="shared" si="23"/>
        <v>0</v>
      </c>
      <c r="J213" s="190">
        <f t="shared" si="24"/>
        <v>0</v>
      </c>
      <c r="K213" s="191">
        <f t="shared" si="25"/>
        <v>0</v>
      </c>
      <c r="L213" s="190">
        <f t="shared" si="26"/>
        <v>0</v>
      </c>
      <c r="M213" s="191">
        <f t="shared" si="27"/>
        <v>0</v>
      </c>
      <c r="N213" s="370"/>
      <c r="O213" s="370"/>
      <c r="P213" s="370"/>
      <c r="Q213" s="370"/>
      <c r="R213" s="370"/>
      <c r="S213" s="370"/>
      <c r="T213" s="370"/>
      <c r="U213" s="370"/>
      <c r="V213" s="370"/>
      <c r="W213" s="370"/>
      <c r="X213" s="370"/>
      <c r="Y213" s="370"/>
      <c r="Z213" s="370"/>
      <c r="AA213" s="370"/>
      <c r="AB213" s="370"/>
      <c r="AC213" s="370"/>
      <c r="AD213" s="370"/>
      <c r="AE213" s="370"/>
      <c r="AF213" s="370"/>
      <c r="AG213" s="370"/>
      <c r="AH213" s="370"/>
      <c r="AI213" s="370"/>
      <c r="AJ213" s="370"/>
      <c r="AK213" s="370"/>
      <c r="AL213" s="370"/>
      <c r="AM213" s="370"/>
      <c r="AN213" s="133"/>
      <c r="AO213" s="133"/>
      <c r="AP213" s="133"/>
      <c r="AQ213" s="133"/>
      <c r="AR213" s="133"/>
      <c r="AS213" s="133"/>
      <c r="AT213" s="133"/>
      <c r="AU213" s="133"/>
      <c r="AV213" s="133"/>
      <c r="AW213" s="133"/>
      <c r="AX213" s="133"/>
      <c r="AY213" s="133"/>
      <c r="AZ213" s="133"/>
      <c r="BA213" s="133"/>
      <c r="BB213" s="133"/>
      <c r="BC213" s="133"/>
      <c r="BD213" s="133"/>
      <c r="BE213" s="133"/>
      <c r="BF213" s="133"/>
      <c r="BG213" s="133"/>
      <c r="BH213" s="133"/>
      <c r="BI213" s="133"/>
      <c r="BJ213" s="133"/>
      <c r="BK213" s="133"/>
      <c r="BL213" s="133"/>
      <c r="BM213" s="133"/>
      <c r="BN213" s="133"/>
      <c r="BO213" s="133"/>
      <c r="BP213" s="133"/>
      <c r="BQ213" s="133"/>
      <c r="BR213" s="133"/>
      <c r="BS213" s="133"/>
      <c r="BT213" s="133"/>
      <c r="BU213" s="133"/>
      <c r="BV213" s="133"/>
      <c r="BW213" s="133"/>
    </row>
    <row r="214" s="140" customFormat="1" customHeight="1" spans="1:75">
      <c r="A214" s="161">
        <v>243</v>
      </c>
      <c r="B214" s="357" t="s">
        <v>593</v>
      </c>
      <c r="C214" s="162"/>
      <c r="D214" s="357" t="s">
        <v>402</v>
      </c>
      <c r="E214" s="162">
        <v>8</v>
      </c>
      <c r="F214" s="408"/>
      <c r="G214" s="191">
        <f t="shared" si="21"/>
        <v>0</v>
      </c>
      <c r="H214" s="190">
        <f t="shared" si="22"/>
        <v>0</v>
      </c>
      <c r="I214" s="191">
        <f t="shared" si="23"/>
        <v>0</v>
      </c>
      <c r="J214" s="190">
        <f t="shared" si="24"/>
        <v>0</v>
      </c>
      <c r="K214" s="191">
        <f t="shared" si="25"/>
        <v>0</v>
      </c>
      <c r="L214" s="190">
        <f t="shared" si="26"/>
        <v>0</v>
      </c>
      <c r="M214" s="191">
        <f t="shared" si="27"/>
        <v>0</v>
      </c>
      <c r="N214" s="370"/>
      <c r="O214" s="370"/>
      <c r="P214" s="370"/>
      <c r="Q214" s="370"/>
      <c r="R214" s="370"/>
      <c r="S214" s="370"/>
      <c r="T214" s="370"/>
      <c r="U214" s="370"/>
      <c r="V214" s="370"/>
      <c r="W214" s="370"/>
      <c r="X214" s="370"/>
      <c r="Y214" s="370"/>
      <c r="Z214" s="370"/>
      <c r="AA214" s="370"/>
      <c r="AB214" s="370"/>
      <c r="AC214" s="370"/>
      <c r="AD214" s="370"/>
      <c r="AE214" s="370"/>
      <c r="AF214" s="370"/>
      <c r="AG214" s="370"/>
      <c r="AH214" s="370"/>
      <c r="AI214" s="370"/>
      <c r="AJ214" s="370"/>
      <c r="AK214" s="370"/>
      <c r="AL214" s="370"/>
      <c r="AM214" s="370"/>
      <c r="AN214" s="133"/>
      <c r="AO214" s="133"/>
      <c r="AP214" s="133"/>
      <c r="AQ214" s="133"/>
      <c r="AR214" s="133"/>
      <c r="AS214" s="133"/>
      <c r="AT214" s="133"/>
      <c r="AU214" s="133"/>
      <c r="AV214" s="133"/>
      <c r="AW214" s="133"/>
      <c r="AX214" s="133"/>
      <c r="AY214" s="133"/>
      <c r="AZ214" s="133"/>
      <c r="BA214" s="133"/>
      <c r="BB214" s="133"/>
      <c r="BC214" s="133"/>
      <c r="BD214" s="133"/>
      <c r="BE214" s="133"/>
      <c r="BF214" s="133"/>
      <c r="BG214" s="133"/>
      <c r="BH214" s="133"/>
      <c r="BI214" s="133"/>
      <c r="BJ214" s="133"/>
      <c r="BK214" s="133"/>
      <c r="BL214" s="133"/>
      <c r="BM214" s="133"/>
      <c r="BN214" s="133"/>
      <c r="BO214" s="133"/>
      <c r="BP214" s="133"/>
      <c r="BQ214" s="133"/>
      <c r="BR214" s="133"/>
      <c r="BS214" s="133"/>
      <c r="BT214" s="133"/>
      <c r="BU214" s="133"/>
      <c r="BV214" s="133"/>
      <c r="BW214" s="133"/>
    </row>
    <row r="215" s="140" customFormat="1" customHeight="1" spans="1:75">
      <c r="A215" s="161">
        <v>244</v>
      </c>
      <c r="B215" s="357" t="s">
        <v>594</v>
      </c>
      <c r="C215" s="162"/>
      <c r="D215" s="357" t="s">
        <v>453</v>
      </c>
      <c r="E215" s="162">
        <v>90</v>
      </c>
      <c r="F215" s="408"/>
      <c r="G215" s="191">
        <f t="shared" si="21"/>
        <v>0</v>
      </c>
      <c r="H215" s="190">
        <f t="shared" si="22"/>
        <v>0</v>
      </c>
      <c r="I215" s="191">
        <f t="shared" si="23"/>
        <v>0</v>
      </c>
      <c r="J215" s="190">
        <f t="shared" si="24"/>
        <v>0</v>
      </c>
      <c r="K215" s="191">
        <f t="shared" si="25"/>
        <v>0</v>
      </c>
      <c r="L215" s="190">
        <f t="shared" si="26"/>
        <v>0</v>
      </c>
      <c r="M215" s="191">
        <f t="shared" si="27"/>
        <v>0</v>
      </c>
      <c r="N215" s="370"/>
      <c r="O215" s="370"/>
      <c r="P215" s="370"/>
      <c r="Q215" s="370"/>
      <c r="R215" s="370"/>
      <c r="S215" s="370"/>
      <c r="T215" s="370"/>
      <c r="U215" s="370"/>
      <c r="V215" s="370"/>
      <c r="W215" s="370"/>
      <c r="X215" s="370"/>
      <c r="Y215" s="370"/>
      <c r="Z215" s="370"/>
      <c r="AA215" s="370"/>
      <c r="AB215" s="370"/>
      <c r="AC215" s="370"/>
      <c r="AD215" s="370"/>
      <c r="AE215" s="370"/>
      <c r="AF215" s="370"/>
      <c r="AG215" s="370"/>
      <c r="AH215" s="370"/>
      <c r="AI215" s="370"/>
      <c r="AJ215" s="370"/>
      <c r="AK215" s="370"/>
      <c r="AL215" s="370"/>
      <c r="AM215" s="370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291"/>
      <c r="BP215" s="133"/>
      <c r="BQ215" s="133"/>
      <c r="BR215" s="133"/>
      <c r="BS215" s="133"/>
      <c r="BT215" s="133"/>
      <c r="BU215" s="133"/>
      <c r="BV215" s="133"/>
      <c r="BW215" s="133"/>
    </row>
    <row r="216" s="140" customFormat="1" customHeight="1" spans="1:75">
      <c r="A216" s="161">
        <v>245</v>
      </c>
      <c r="B216" s="357" t="s">
        <v>595</v>
      </c>
      <c r="C216" s="162"/>
      <c r="D216" s="357" t="s">
        <v>209</v>
      </c>
      <c r="E216" s="162">
        <v>70</v>
      </c>
      <c r="F216" s="408"/>
      <c r="G216" s="191">
        <f t="shared" si="21"/>
        <v>0</v>
      </c>
      <c r="H216" s="190">
        <f t="shared" si="22"/>
        <v>0</v>
      </c>
      <c r="I216" s="191">
        <f t="shared" si="23"/>
        <v>0</v>
      </c>
      <c r="J216" s="190">
        <f t="shared" si="24"/>
        <v>0</v>
      </c>
      <c r="K216" s="191">
        <f t="shared" si="25"/>
        <v>0</v>
      </c>
      <c r="L216" s="190">
        <f t="shared" si="26"/>
        <v>0</v>
      </c>
      <c r="M216" s="191">
        <f t="shared" si="27"/>
        <v>0</v>
      </c>
      <c r="N216" s="370"/>
      <c r="O216" s="370"/>
      <c r="P216" s="370"/>
      <c r="Q216" s="370"/>
      <c r="R216" s="370"/>
      <c r="S216" s="370"/>
      <c r="T216" s="370"/>
      <c r="U216" s="370"/>
      <c r="V216" s="370"/>
      <c r="W216" s="370"/>
      <c r="X216" s="370"/>
      <c r="Y216" s="370"/>
      <c r="Z216" s="370"/>
      <c r="AA216" s="370"/>
      <c r="AB216" s="370"/>
      <c r="AC216" s="370"/>
      <c r="AD216" s="370"/>
      <c r="AE216" s="370"/>
      <c r="AF216" s="370"/>
      <c r="AG216" s="370"/>
      <c r="AH216" s="370"/>
      <c r="AI216" s="370"/>
      <c r="AJ216" s="370"/>
      <c r="AK216" s="370"/>
      <c r="AL216" s="370"/>
      <c r="AM216" s="370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</row>
    <row r="217" s="140" customFormat="1" customHeight="1" spans="1:75">
      <c r="A217" s="161">
        <v>246</v>
      </c>
      <c r="B217" s="357" t="s">
        <v>596</v>
      </c>
      <c r="C217" s="162"/>
      <c r="D217" s="162"/>
      <c r="E217" s="162">
        <v>80</v>
      </c>
      <c r="F217" s="408"/>
      <c r="G217" s="191">
        <f t="shared" si="21"/>
        <v>0</v>
      </c>
      <c r="H217" s="190">
        <f t="shared" si="22"/>
        <v>0</v>
      </c>
      <c r="I217" s="191">
        <f t="shared" si="23"/>
        <v>0</v>
      </c>
      <c r="J217" s="190">
        <f t="shared" si="24"/>
        <v>0</v>
      </c>
      <c r="K217" s="191">
        <f t="shared" si="25"/>
        <v>0</v>
      </c>
      <c r="L217" s="190">
        <f t="shared" si="26"/>
        <v>0</v>
      </c>
      <c r="M217" s="191">
        <f t="shared" si="27"/>
        <v>0</v>
      </c>
      <c r="N217" s="370"/>
      <c r="O217" s="370"/>
      <c r="P217" s="370"/>
      <c r="Q217" s="370"/>
      <c r="R217" s="370"/>
      <c r="S217" s="370"/>
      <c r="T217" s="370"/>
      <c r="U217" s="370"/>
      <c r="V217" s="370"/>
      <c r="W217" s="370"/>
      <c r="X217" s="370"/>
      <c r="Y217" s="370"/>
      <c r="Z217" s="370"/>
      <c r="AA217" s="370"/>
      <c r="AB217" s="370"/>
      <c r="AC217" s="370"/>
      <c r="AD217" s="370"/>
      <c r="AE217" s="370"/>
      <c r="AF217" s="370"/>
      <c r="AG217" s="370"/>
      <c r="AH217" s="370"/>
      <c r="AI217" s="370"/>
      <c r="AJ217" s="370"/>
      <c r="AK217" s="370"/>
      <c r="AL217" s="370"/>
      <c r="AM217" s="370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</row>
    <row r="218" s="140" customFormat="1" customHeight="1" spans="1:75">
      <c r="A218" s="161">
        <v>247</v>
      </c>
      <c r="B218" s="357" t="s">
        <v>597</v>
      </c>
      <c r="C218" s="162"/>
      <c r="D218" s="357" t="s">
        <v>173</v>
      </c>
      <c r="E218" s="162">
        <v>10</v>
      </c>
      <c r="F218" s="408"/>
      <c r="G218" s="191">
        <f t="shared" si="21"/>
        <v>0</v>
      </c>
      <c r="H218" s="190">
        <f t="shared" si="22"/>
        <v>0</v>
      </c>
      <c r="I218" s="191">
        <f t="shared" si="23"/>
        <v>0</v>
      </c>
      <c r="J218" s="190">
        <f t="shared" si="24"/>
        <v>0</v>
      </c>
      <c r="K218" s="191">
        <f t="shared" si="25"/>
        <v>0</v>
      </c>
      <c r="L218" s="190">
        <f t="shared" si="26"/>
        <v>0</v>
      </c>
      <c r="M218" s="191">
        <f t="shared" si="27"/>
        <v>0</v>
      </c>
      <c r="N218" s="370"/>
      <c r="O218" s="370"/>
      <c r="P218" s="370"/>
      <c r="Q218" s="370"/>
      <c r="R218" s="370"/>
      <c r="S218" s="370"/>
      <c r="T218" s="370"/>
      <c r="U218" s="370"/>
      <c r="V218" s="370"/>
      <c r="W218" s="370"/>
      <c r="X218" s="370"/>
      <c r="Y218" s="370"/>
      <c r="Z218" s="370"/>
      <c r="AA218" s="370"/>
      <c r="AB218" s="370"/>
      <c r="AC218" s="370"/>
      <c r="AD218" s="370"/>
      <c r="AE218" s="370"/>
      <c r="AF218" s="370"/>
      <c r="AG218" s="370"/>
      <c r="AH218" s="370"/>
      <c r="AI218" s="370"/>
      <c r="AJ218" s="370"/>
      <c r="AK218" s="370"/>
      <c r="AL218" s="370"/>
      <c r="AM218" s="370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</row>
    <row r="219" s="140" customFormat="1" customHeight="1" spans="1:75">
      <c r="A219" s="161">
        <v>248</v>
      </c>
      <c r="B219" s="357" t="s">
        <v>598</v>
      </c>
      <c r="C219" s="162"/>
      <c r="D219" s="357" t="s">
        <v>402</v>
      </c>
      <c r="E219" s="162">
        <v>40</v>
      </c>
      <c r="F219" s="408"/>
      <c r="G219" s="191">
        <f t="shared" si="21"/>
        <v>0</v>
      </c>
      <c r="H219" s="190">
        <f t="shared" si="22"/>
        <v>0</v>
      </c>
      <c r="I219" s="191">
        <f t="shared" si="23"/>
        <v>0</v>
      </c>
      <c r="J219" s="190">
        <f t="shared" si="24"/>
        <v>0</v>
      </c>
      <c r="K219" s="191">
        <f t="shared" si="25"/>
        <v>0</v>
      </c>
      <c r="L219" s="190">
        <f t="shared" si="26"/>
        <v>0</v>
      </c>
      <c r="M219" s="191">
        <f t="shared" si="27"/>
        <v>0</v>
      </c>
      <c r="N219" s="370"/>
      <c r="O219" s="370"/>
      <c r="P219" s="370"/>
      <c r="Q219" s="370"/>
      <c r="R219" s="370"/>
      <c r="S219" s="370"/>
      <c r="T219" s="370"/>
      <c r="U219" s="370"/>
      <c r="V219" s="370"/>
      <c r="W219" s="370"/>
      <c r="X219" s="370"/>
      <c r="Y219" s="370"/>
      <c r="Z219" s="370"/>
      <c r="AA219" s="370"/>
      <c r="AB219" s="370"/>
      <c r="AC219" s="370"/>
      <c r="AD219" s="370"/>
      <c r="AE219" s="370"/>
      <c r="AF219" s="370"/>
      <c r="AG219" s="370"/>
      <c r="AH219" s="370"/>
      <c r="AI219" s="370"/>
      <c r="AJ219" s="370"/>
      <c r="AK219" s="370"/>
      <c r="AL219" s="370"/>
      <c r="AM219" s="370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</row>
    <row r="220" s="140" customFormat="1" customHeight="1" spans="1:75">
      <c r="A220" s="161">
        <v>249</v>
      </c>
      <c r="B220" s="357" t="s">
        <v>568</v>
      </c>
      <c r="C220" s="162"/>
      <c r="D220" s="357" t="s">
        <v>209</v>
      </c>
      <c r="E220" s="162">
        <v>55</v>
      </c>
      <c r="F220" s="408"/>
      <c r="G220" s="191">
        <f t="shared" si="21"/>
        <v>0</v>
      </c>
      <c r="H220" s="190">
        <f t="shared" si="22"/>
        <v>1</v>
      </c>
      <c r="I220" s="191">
        <f t="shared" si="23"/>
        <v>55</v>
      </c>
      <c r="J220" s="190">
        <f t="shared" si="24"/>
        <v>1</v>
      </c>
      <c r="K220" s="191">
        <f t="shared" si="25"/>
        <v>55</v>
      </c>
      <c r="L220" s="190">
        <f t="shared" si="26"/>
        <v>0</v>
      </c>
      <c r="M220" s="191">
        <f t="shared" si="27"/>
        <v>0</v>
      </c>
      <c r="N220" s="370"/>
      <c r="O220" s="370"/>
      <c r="P220" s="370"/>
      <c r="Q220" s="370"/>
      <c r="R220" s="370"/>
      <c r="S220" s="370"/>
      <c r="T220" s="370"/>
      <c r="U220" s="370"/>
      <c r="V220" s="370"/>
      <c r="W220" s="370"/>
      <c r="X220" s="370"/>
      <c r="Y220" s="370"/>
      <c r="Z220" s="370"/>
      <c r="AA220" s="370"/>
      <c r="AB220" s="370"/>
      <c r="AC220" s="370"/>
      <c r="AD220" s="370"/>
      <c r="AE220" s="370"/>
      <c r="AF220" s="370"/>
      <c r="AG220" s="370"/>
      <c r="AH220" s="370"/>
      <c r="AI220" s="370"/>
      <c r="AJ220" s="370"/>
      <c r="AK220" s="370"/>
      <c r="AL220" s="370"/>
      <c r="AM220" s="370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>
        <v>1</v>
      </c>
      <c r="AY220" s="133">
        <v>1</v>
      </c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</row>
    <row r="221" s="140" customFormat="1" customHeight="1" spans="1:75">
      <c r="A221" s="161">
        <v>250</v>
      </c>
      <c r="B221" s="162"/>
      <c r="C221" s="162"/>
      <c r="D221" s="162"/>
      <c r="E221" s="162"/>
      <c r="F221" s="408"/>
      <c r="G221" s="191">
        <f t="shared" si="21"/>
        <v>0</v>
      </c>
      <c r="H221" s="190">
        <f t="shared" si="22"/>
        <v>0</v>
      </c>
      <c r="I221" s="191">
        <f t="shared" si="23"/>
        <v>0</v>
      </c>
      <c r="J221" s="190">
        <f t="shared" si="24"/>
        <v>0</v>
      </c>
      <c r="K221" s="191">
        <f t="shared" si="25"/>
        <v>0</v>
      </c>
      <c r="L221" s="190">
        <f t="shared" si="26"/>
        <v>0</v>
      </c>
      <c r="M221" s="191">
        <f t="shared" si="27"/>
        <v>0</v>
      </c>
      <c r="N221" s="370"/>
      <c r="O221" s="370"/>
      <c r="P221" s="370"/>
      <c r="Q221" s="370"/>
      <c r="R221" s="370"/>
      <c r="S221" s="370"/>
      <c r="T221" s="370"/>
      <c r="U221" s="370"/>
      <c r="V221" s="370"/>
      <c r="W221" s="370"/>
      <c r="X221" s="370"/>
      <c r="Y221" s="370"/>
      <c r="Z221" s="370"/>
      <c r="AA221" s="370"/>
      <c r="AB221" s="370"/>
      <c r="AC221" s="370"/>
      <c r="AD221" s="370"/>
      <c r="AE221" s="370"/>
      <c r="AF221" s="370"/>
      <c r="AG221" s="370"/>
      <c r="AH221" s="370"/>
      <c r="AI221" s="370"/>
      <c r="AJ221" s="370"/>
      <c r="AK221" s="370"/>
      <c r="AL221" s="370"/>
      <c r="AM221" s="370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</row>
    <row r="222" s="140" customFormat="1" customHeight="1" spans="1:75">
      <c r="A222" s="161">
        <v>251</v>
      </c>
      <c r="B222" s="357" t="s">
        <v>599</v>
      </c>
      <c r="C222" s="162"/>
      <c r="D222" s="162"/>
      <c r="E222" s="162">
        <v>2.5</v>
      </c>
      <c r="F222" s="408"/>
      <c r="G222" s="191">
        <f t="shared" si="21"/>
        <v>0</v>
      </c>
      <c r="H222" s="190">
        <f t="shared" si="22"/>
        <v>72</v>
      </c>
      <c r="I222" s="191">
        <f t="shared" si="23"/>
        <v>180</v>
      </c>
      <c r="J222" s="190">
        <f t="shared" si="24"/>
        <v>72</v>
      </c>
      <c r="K222" s="191">
        <f t="shared" si="25"/>
        <v>180</v>
      </c>
      <c r="L222" s="190">
        <f t="shared" si="26"/>
        <v>0</v>
      </c>
      <c r="M222" s="191">
        <f t="shared" si="27"/>
        <v>0</v>
      </c>
      <c r="N222" s="409"/>
      <c r="O222" s="410"/>
      <c r="P222" s="409"/>
      <c r="Q222" s="410"/>
      <c r="R222" s="370"/>
      <c r="S222" s="370"/>
      <c r="T222" s="370"/>
      <c r="U222" s="370"/>
      <c r="V222" s="370"/>
      <c r="W222" s="370"/>
      <c r="X222" s="370"/>
      <c r="Y222" s="370"/>
      <c r="Z222" s="370"/>
      <c r="AA222" s="370"/>
      <c r="AB222" s="370"/>
      <c r="AC222" s="370"/>
      <c r="AD222" s="370"/>
      <c r="AE222" s="370"/>
      <c r="AF222" s="370"/>
      <c r="AG222" s="370"/>
      <c r="AH222" s="370"/>
      <c r="AI222" s="370"/>
      <c r="AJ222" s="370"/>
      <c r="AK222" s="370"/>
      <c r="AL222" s="370"/>
      <c r="AM222" s="370"/>
      <c r="AN222" s="133"/>
      <c r="AO222" s="133"/>
      <c r="AP222" s="133"/>
      <c r="AQ222" s="133"/>
      <c r="AR222" s="133"/>
      <c r="AS222" s="133"/>
      <c r="AT222" s="133"/>
      <c r="AU222" s="133"/>
      <c r="AV222" s="133"/>
      <c r="AW222" s="133"/>
      <c r="AX222" s="133">
        <v>26</v>
      </c>
      <c r="AY222" s="133">
        <v>26</v>
      </c>
      <c r="AZ222" s="133"/>
      <c r="BA222" s="133"/>
      <c r="BB222" s="133"/>
      <c r="BC222" s="133"/>
      <c r="BD222" s="133"/>
      <c r="BE222" s="133"/>
      <c r="BF222" s="133"/>
      <c r="BG222" s="133"/>
      <c r="BH222" s="133"/>
      <c r="BI222" s="133"/>
      <c r="BJ222" s="133">
        <v>26</v>
      </c>
      <c r="BK222" s="133">
        <v>26</v>
      </c>
      <c r="BL222" s="133"/>
      <c r="BM222" s="133"/>
      <c r="BN222" s="133"/>
      <c r="BO222" s="133"/>
      <c r="BP222" s="133"/>
      <c r="BQ222" s="133"/>
      <c r="BR222" s="133"/>
      <c r="BS222" s="133"/>
      <c r="BT222" s="133">
        <v>20</v>
      </c>
      <c r="BU222" s="133">
        <v>20</v>
      </c>
      <c r="BV222" s="133"/>
      <c r="BW222" s="133"/>
    </row>
    <row r="223" s="140" customFormat="1" customHeight="1" spans="1:75">
      <c r="A223" s="161">
        <v>252</v>
      </c>
      <c r="B223" s="357" t="s">
        <v>600</v>
      </c>
      <c r="C223" s="162"/>
      <c r="D223" s="162"/>
      <c r="E223" s="162">
        <v>8</v>
      </c>
      <c r="F223" s="408"/>
      <c r="G223" s="191">
        <f t="shared" si="21"/>
        <v>0</v>
      </c>
      <c r="H223" s="190">
        <f t="shared" si="22"/>
        <v>39</v>
      </c>
      <c r="I223" s="191">
        <f t="shared" si="23"/>
        <v>312</v>
      </c>
      <c r="J223" s="190">
        <f t="shared" si="24"/>
        <v>39</v>
      </c>
      <c r="K223" s="191">
        <f t="shared" si="25"/>
        <v>312</v>
      </c>
      <c r="L223" s="190">
        <f t="shared" si="26"/>
        <v>0</v>
      </c>
      <c r="M223" s="191">
        <f t="shared" si="27"/>
        <v>0</v>
      </c>
      <c r="N223" s="409"/>
      <c r="O223" s="410"/>
      <c r="P223" s="409"/>
      <c r="Q223" s="410"/>
      <c r="R223" s="370"/>
      <c r="S223" s="370"/>
      <c r="T223" s="370"/>
      <c r="U223" s="370"/>
      <c r="V223" s="370"/>
      <c r="W223" s="370"/>
      <c r="X223" s="370"/>
      <c r="Y223" s="370"/>
      <c r="Z223" s="370"/>
      <c r="AA223" s="370"/>
      <c r="AB223" s="370">
        <v>21</v>
      </c>
      <c r="AC223" s="370">
        <v>21</v>
      </c>
      <c r="AD223" s="370"/>
      <c r="AE223" s="370"/>
      <c r="AF223" s="370"/>
      <c r="AG223" s="370"/>
      <c r="AH223" s="370"/>
      <c r="AI223" s="370"/>
      <c r="AJ223" s="370"/>
      <c r="AK223" s="370"/>
      <c r="AL223" s="370"/>
      <c r="AM223" s="370"/>
      <c r="AN223" s="133"/>
      <c r="AO223" s="133"/>
      <c r="AP223" s="133"/>
      <c r="AQ223" s="133"/>
      <c r="AR223" s="133"/>
      <c r="AS223" s="133"/>
      <c r="AT223" s="133"/>
      <c r="AU223" s="133"/>
      <c r="AV223" s="133"/>
      <c r="AW223" s="133"/>
      <c r="AX223" s="133"/>
      <c r="AY223" s="133"/>
      <c r="AZ223" s="133"/>
      <c r="BA223" s="133"/>
      <c r="BB223" s="133"/>
      <c r="BC223" s="133"/>
      <c r="BD223" s="133"/>
      <c r="BE223" s="133"/>
      <c r="BF223" s="133"/>
      <c r="BG223" s="133"/>
      <c r="BH223" s="133"/>
      <c r="BI223" s="133"/>
      <c r="BJ223" s="133"/>
      <c r="BK223" s="133"/>
      <c r="BL223" s="133"/>
      <c r="BM223" s="133"/>
      <c r="BN223" s="133">
        <v>18</v>
      </c>
      <c r="BO223" s="133">
        <v>18</v>
      </c>
      <c r="BP223" s="133"/>
      <c r="BQ223" s="133"/>
      <c r="BR223" s="133"/>
      <c r="BS223" s="133"/>
      <c r="BT223" s="133"/>
      <c r="BU223" s="133"/>
      <c r="BV223" s="133"/>
      <c r="BW223" s="133"/>
    </row>
    <row r="224" s="140" customFormat="1" customHeight="1" spans="1:75">
      <c r="A224" s="161">
        <v>253</v>
      </c>
      <c r="B224" s="357" t="s">
        <v>601</v>
      </c>
      <c r="C224" s="162"/>
      <c r="D224" s="162"/>
      <c r="E224" s="162">
        <v>7.5</v>
      </c>
      <c r="F224" s="408"/>
      <c r="G224" s="191">
        <f t="shared" si="21"/>
        <v>0</v>
      </c>
      <c r="H224" s="190">
        <f t="shared" si="22"/>
        <v>0</v>
      </c>
      <c r="I224" s="191">
        <f t="shared" si="23"/>
        <v>0</v>
      </c>
      <c r="J224" s="190">
        <f t="shared" si="24"/>
        <v>0</v>
      </c>
      <c r="K224" s="191">
        <f t="shared" si="25"/>
        <v>0</v>
      </c>
      <c r="L224" s="190">
        <f t="shared" si="26"/>
        <v>0</v>
      </c>
      <c r="M224" s="191">
        <f t="shared" si="27"/>
        <v>0</v>
      </c>
      <c r="N224" s="409"/>
      <c r="O224" s="410"/>
      <c r="P224" s="409"/>
      <c r="Q224" s="410"/>
      <c r="R224" s="370"/>
      <c r="S224" s="370"/>
      <c r="T224" s="370"/>
      <c r="U224" s="370"/>
      <c r="V224" s="370"/>
      <c r="W224" s="370"/>
      <c r="X224" s="370"/>
      <c r="Y224" s="370"/>
      <c r="Z224" s="370"/>
      <c r="AA224" s="370"/>
      <c r="AB224" s="370"/>
      <c r="AC224" s="370"/>
      <c r="AD224" s="370"/>
      <c r="AE224" s="370"/>
      <c r="AF224" s="370"/>
      <c r="AG224" s="370"/>
      <c r="AH224" s="370"/>
      <c r="AI224" s="370"/>
      <c r="AJ224" s="370"/>
      <c r="AK224" s="370"/>
      <c r="AL224" s="370"/>
      <c r="AM224" s="370"/>
      <c r="AN224" s="133"/>
      <c r="AO224" s="133"/>
      <c r="AP224" s="133"/>
      <c r="AQ224" s="133"/>
      <c r="AR224" s="133"/>
      <c r="AS224" s="133"/>
      <c r="AT224" s="133"/>
      <c r="AU224" s="133"/>
      <c r="AV224" s="133"/>
      <c r="AW224" s="133"/>
      <c r="AX224" s="133"/>
      <c r="AY224" s="133"/>
      <c r="AZ224" s="133"/>
      <c r="BA224" s="133"/>
      <c r="BB224" s="133"/>
      <c r="BC224" s="133"/>
      <c r="BD224" s="133"/>
      <c r="BE224" s="133"/>
      <c r="BF224" s="133"/>
      <c r="BG224" s="133"/>
      <c r="BH224" s="133"/>
      <c r="BI224" s="133"/>
      <c r="BJ224" s="133"/>
      <c r="BK224" s="133"/>
      <c r="BL224" s="133"/>
      <c r="BM224" s="133"/>
      <c r="BN224" s="133"/>
      <c r="BO224" s="133"/>
      <c r="BP224" s="133"/>
      <c r="BQ224" s="133"/>
      <c r="BR224" s="133"/>
      <c r="BS224" s="133"/>
      <c r="BT224" s="133"/>
      <c r="BU224" s="133"/>
      <c r="BV224" s="133"/>
      <c r="BW224" s="133"/>
    </row>
    <row r="225" s="140" customFormat="1" customHeight="1" spans="1:75">
      <c r="A225" s="161">
        <v>254</v>
      </c>
      <c r="B225" s="357" t="s">
        <v>602</v>
      </c>
      <c r="C225" s="162"/>
      <c r="D225" s="162"/>
      <c r="E225" s="162">
        <v>2</v>
      </c>
      <c r="F225" s="408"/>
      <c r="G225" s="191">
        <f t="shared" si="21"/>
        <v>0</v>
      </c>
      <c r="H225" s="190">
        <f t="shared" si="22"/>
        <v>11</v>
      </c>
      <c r="I225" s="191">
        <f t="shared" si="23"/>
        <v>22</v>
      </c>
      <c r="J225" s="190">
        <f t="shared" si="24"/>
        <v>11</v>
      </c>
      <c r="K225" s="191">
        <f t="shared" si="25"/>
        <v>22</v>
      </c>
      <c r="L225" s="190">
        <f t="shared" si="26"/>
        <v>0</v>
      </c>
      <c r="M225" s="191">
        <f t="shared" si="27"/>
        <v>0</v>
      </c>
      <c r="N225" s="409"/>
      <c r="O225" s="410"/>
      <c r="P225" s="409"/>
      <c r="Q225" s="410"/>
      <c r="R225" s="370"/>
      <c r="S225" s="370"/>
      <c r="T225" s="370"/>
      <c r="U225" s="370"/>
      <c r="V225" s="370"/>
      <c r="W225" s="370"/>
      <c r="X225" s="370"/>
      <c r="Y225" s="370"/>
      <c r="Z225" s="370"/>
      <c r="AA225" s="370"/>
      <c r="AB225" s="370"/>
      <c r="AC225" s="370"/>
      <c r="AD225" s="370"/>
      <c r="AE225" s="370"/>
      <c r="AF225" s="370"/>
      <c r="AG225" s="370"/>
      <c r="AH225" s="370"/>
      <c r="AI225" s="370"/>
      <c r="AJ225" s="370"/>
      <c r="AK225" s="370"/>
      <c r="AL225" s="370"/>
      <c r="AM225" s="370"/>
      <c r="AN225" s="133">
        <v>11</v>
      </c>
      <c r="AO225" s="133">
        <v>11</v>
      </c>
      <c r="AP225" s="133"/>
      <c r="AQ225" s="133"/>
      <c r="AR225" s="133"/>
      <c r="AS225" s="133"/>
      <c r="AT225" s="133"/>
      <c r="AU225" s="133"/>
      <c r="AV225" s="133"/>
      <c r="AW225" s="133"/>
      <c r="AX225" s="133"/>
      <c r="AY225" s="133"/>
      <c r="AZ225" s="133"/>
      <c r="BA225" s="133"/>
      <c r="BB225" s="133"/>
      <c r="BC225" s="133"/>
      <c r="BD225" s="133"/>
      <c r="BE225" s="133"/>
      <c r="BF225" s="133"/>
      <c r="BG225" s="133"/>
      <c r="BH225" s="133"/>
      <c r="BI225" s="133"/>
      <c r="BJ225" s="133"/>
      <c r="BK225" s="133"/>
      <c r="BL225" s="133"/>
      <c r="BM225" s="133"/>
      <c r="BN225" s="133"/>
      <c r="BO225" s="133"/>
      <c r="BP225" s="133"/>
      <c r="BQ225" s="133"/>
      <c r="BR225" s="133"/>
      <c r="BS225" s="133"/>
      <c r="BT225" s="133"/>
      <c r="BU225" s="133"/>
      <c r="BV225" s="133"/>
      <c r="BW225" s="133"/>
    </row>
    <row r="226" s="140" customFormat="1" customHeight="1" spans="1:75">
      <c r="A226" s="161">
        <v>255</v>
      </c>
      <c r="B226" s="357" t="s">
        <v>603</v>
      </c>
      <c r="C226" s="162"/>
      <c r="D226" s="162"/>
      <c r="E226" s="162">
        <v>4</v>
      </c>
      <c r="F226" s="408"/>
      <c r="G226" s="191">
        <f t="shared" si="21"/>
        <v>0</v>
      </c>
      <c r="H226" s="190">
        <f t="shared" si="22"/>
        <v>0</v>
      </c>
      <c r="I226" s="191">
        <f t="shared" si="23"/>
        <v>0</v>
      </c>
      <c r="J226" s="190">
        <f t="shared" si="24"/>
        <v>0</v>
      </c>
      <c r="K226" s="191">
        <f t="shared" si="25"/>
        <v>0</v>
      </c>
      <c r="L226" s="190">
        <f t="shared" si="26"/>
        <v>0</v>
      </c>
      <c r="M226" s="191">
        <f t="shared" si="27"/>
        <v>0</v>
      </c>
      <c r="N226" s="409"/>
      <c r="O226" s="410"/>
      <c r="P226" s="409"/>
      <c r="Q226" s="410"/>
      <c r="R226" s="370"/>
      <c r="S226" s="370"/>
      <c r="T226" s="370"/>
      <c r="U226" s="370"/>
      <c r="V226" s="370"/>
      <c r="W226" s="370"/>
      <c r="X226" s="370"/>
      <c r="Y226" s="370"/>
      <c r="Z226" s="370"/>
      <c r="AA226" s="370"/>
      <c r="AB226" s="370"/>
      <c r="AC226" s="370"/>
      <c r="AD226" s="370"/>
      <c r="AE226" s="370"/>
      <c r="AF226" s="370"/>
      <c r="AG226" s="370"/>
      <c r="AH226" s="370"/>
      <c r="AI226" s="370"/>
      <c r="AJ226" s="370"/>
      <c r="AK226" s="370"/>
      <c r="AL226" s="370"/>
      <c r="AM226" s="370"/>
      <c r="AN226" s="133"/>
      <c r="AO226" s="133"/>
      <c r="AP226" s="133"/>
      <c r="AQ226" s="133"/>
      <c r="AR226" s="133"/>
      <c r="AS226" s="133"/>
      <c r="AT226" s="133"/>
      <c r="AU226" s="133"/>
      <c r="AV226" s="133"/>
      <c r="AW226" s="133"/>
      <c r="AX226" s="133"/>
      <c r="AY226" s="133"/>
      <c r="AZ226" s="133"/>
      <c r="BA226" s="133"/>
      <c r="BB226" s="133"/>
      <c r="BC226" s="133"/>
      <c r="BD226" s="133"/>
      <c r="BE226" s="133"/>
      <c r="BF226" s="133"/>
      <c r="BG226" s="133"/>
      <c r="BH226" s="133"/>
      <c r="BI226" s="133"/>
      <c r="BJ226" s="133"/>
      <c r="BK226" s="133"/>
      <c r="BL226" s="133"/>
      <c r="BM226" s="133"/>
      <c r="BN226" s="133"/>
      <c r="BO226" s="133"/>
      <c r="BP226" s="133"/>
      <c r="BQ226" s="133"/>
      <c r="BR226" s="133"/>
      <c r="BS226" s="133"/>
      <c r="BT226" s="133"/>
      <c r="BU226" s="133"/>
      <c r="BV226" s="133"/>
      <c r="BW226" s="133"/>
    </row>
    <row r="227" customHeight="1" spans="1:75">
      <c r="A227" s="162"/>
      <c r="B227" s="93"/>
      <c r="C227" s="162"/>
      <c r="D227" s="162"/>
      <c r="E227" s="162"/>
      <c r="F227" s="408"/>
      <c r="G227" s="172">
        <f t="shared" ref="G227:AQ227" si="28">SUM(G5:G226)</f>
        <v>0</v>
      </c>
      <c r="H227" s="172">
        <f t="shared" si="28"/>
        <v>4093.34</v>
      </c>
      <c r="I227" s="411">
        <f t="shared" si="28"/>
        <v>46981.17</v>
      </c>
      <c r="J227" s="172">
        <f t="shared" si="28"/>
        <v>4093.34</v>
      </c>
      <c r="K227" s="172">
        <f t="shared" si="28"/>
        <v>46981.17</v>
      </c>
      <c r="L227" s="172">
        <f t="shared" si="28"/>
        <v>0</v>
      </c>
      <c r="M227" s="172">
        <f t="shared" si="28"/>
        <v>0</v>
      </c>
      <c r="N227" s="409">
        <v>0</v>
      </c>
      <c r="O227" s="409">
        <v>0</v>
      </c>
      <c r="P227" s="409">
        <v>155.1</v>
      </c>
      <c r="Q227" s="409">
        <v>155.1</v>
      </c>
      <c r="R227" s="409">
        <v>0</v>
      </c>
      <c r="S227" s="366">
        <v>0</v>
      </c>
      <c r="T227" s="366">
        <v>0</v>
      </c>
      <c r="U227" s="366">
        <v>0</v>
      </c>
      <c r="V227" s="366">
        <v>115.2</v>
      </c>
      <c r="W227" s="366">
        <v>115.2</v>
      </c>
      <c r="X227" s="366">
        <v>0</v>
      </c>
      <c r="Y227" s="366">
        <v>0</v>
      </c>
      <c r="Z227" s="366">
        <v>0</v>
      </c>
      <c r="AA227" s="366">
        <v>0</v>
      </c>
      <c r="AB227" s="366">
        <v>138.9</v>
      </c>
      <c r="AC227" s="366">
        <v>138.9</v>
      </c>
      <c r="AD227" s="366">
        <v>0</v>
      </c>
      <c r="AE227" s="366">
        <v>0</v>
      </c>
      <c r="AF227" s="366">
        <v>0</v>
      </c>
      <c r="AG227" s="366">
        <v>0</v>
      </c>
      <c r="AH227" s="366">
        <v>135.3</v>
      </c>
      <c r="AI227" s="366">
        <v>135.3</v>
      </c>
      <c r="AJ227" s="366">
        <v>0</v>
      </c>
      <c r="AK227" s="366">
        <v>0</v>
      </c>
      <c r="AL227" s="366">
        <v>102.6</v>
      </c>
      <c r="AM227" s="366">
        <v>102.6</v>
      </c>
      <c r="AN227" s="162">
        <f t="shared" si="28"/>
        <v>76.4</v>
      </c>
      <c r="AO227" s="162">
        <f t="shared" si="28"/>
        <v>76.4</v>
      </c>
      <c r="AP227" s="162">
        <f t="shared" si="28"/>
        <v>236.8</v>
      </c>
      <c r="AQ227" s="162">
        <f t="shared" si="28"/>
        <v>236.8</v>
      </c>
      <c r="AR227" s="133"/>
      <c r="AS227" s="162">
        <f>SUM(AS5:AS226)</f>
        <v>15.24</v>
      </c>
      <c r="AT227" s="162">
        <f>SUM(AT5:AT226)</f>
        <v>225.7</v>
      </c>
      <c r="AU227" s="162">
        <f>SUM(AU5:AU226)</f>
        <v>225.7</v>
      </c>
      <c r="AV227" s="162"/>
      <c r="AW227" s="133"/>
      <c r="AX227" s="133"/>
      <c r="AY227" s="162">
        <f>SUM(AY5:AY226)</f>
        <v>88.4</v>
      </c>
      <c r="AZ227" s="162">
        <f>SUM(AZ5:AZ226)</f>
        <v>19</v>
      </c>
      <c r="BA227" s="162">
        <f>SUM(BA5:BA226)</f>
        <v>19</v>
      </c>
      <c r="BB227" s="162">
        <f>SUM(BB5:BB226)</f>
        <v>148.9</v>
      </c>
      <c r="BC227" s="162">
        <f>SUM(BC5:BC226)</f>
        <v>148.9</v>
      </c>
      <c r="BD227" s="162">
        <v>120</v>
      </c>
      <c r="BE227" s="162">
        <f>SUM(BE5:BE226)</f>
        <v>81</v>
      </c>
      <c r="BF227" s="162"/>
      <c r="BG227" s="162">
        <v>174.8</v>
      </c>
      <c r="BH227" s="162">
        <f>SUM(BH5:BH226)</f>
        <v>246</v>
      </c>
      <c r="BI227" s="162">
        <f>SUM(BI5:BI226)</f>
        <v>246</v>
      </c>
      <c r="BJ227" s="162">
        <v>49.6</v>
      </c>
      <c r="BK227" s="162">
        <f>SUM(BK5:BK226)</f>
        <v>119</v>
      </c>
      <c r="BL227" s="162">
        <f>SUM(BL5:BL226)</f>
        <v>192</v>
      </c>
      <c r="BM227" s="162">
        <f>SUM(BM5:BM226)</f>
        <v>192</v>
      </c>
      <c r="BN227" s="162">
        <f>SUM(BN5:BN226)</f>
        <v>274.2</v>
      </c>
      <c r="BO227" s="133"/>
      <c r="BP227" s="162">
        <f t="shared" ref="BP227:BW227" si="29">SUM(BP5:BP226)</f>
        <v>48</v>
      </c>
      <c r="BQ227" s="162">
        <f t="shared" si="29"/>
        <v>48</v>
      </c>
      <c r="BR227" s="162">
        <f t="shared" si="29"/>
        <v>142</v>
      </c>
      <c r="BS227" s="162">
        <f t="shared" si="29"/>
        <v>142</v>
      </c>
      <c r="BT227" s="162">
        <f t="shared" si="29"/>
        <v>49</v>
      </c>
      <c r="BU227" s="162">
        <f t="shared" si="29"/>
        <v>49</v>
      </c>
      <c r="BV227" s="162">
        <f t="shared" si="29"/>
        <v>61</v>
      </c>
      <c r="BW227" s="162">
        <f t="shared" si="29"/>
        <v>61</v>
      </c>
    </row>
  </sheetData>
  <sheetProtection formatCells="0" formatColumns="0" formatRows="0" insertRows="0" insertColumns="0" insertHyperlinks="0" deleteColumns="0" deleteRows="0" sort="0" autoFilter="0" pivotTables="0"/>
  <mergeCells count="44">
    <mergeCell ref="B1:D1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10"/>
  <sheetViews>
    <sheetView showGridLines="0" zoomScale="36" zoomScaleNormal="36" workbookViewId="0">
      <pane xSplit="6" ySplit="3" topLeftCell="G4" activePane="bottomRight" state="frozen"/>
      <selection/>
      <selection pane="topRight"/>
      <selection pane="bottomLeft"/>
      <selection pane="bottomRight" activeCell="E4" sqref="E4"/>
    </sheetView>
  </sheetViews>
  <sheetFormatPr defaultColWidth="9" defaultRowHeight="25" customHeight="1"/>
  <cols>
    <col min="1" max="1" width="4.75" style="179"/>
    <col min="2" max="2" width="17.625" style="179"/>
    <col min="3" max="3" width="5.125" style="179"/>
    <col min="4" max="4" width="13.3333333333333" style="179" customWidth="1"/>
    <col min="5" max="5" width="5.25833333333333" style="180"/>
    <col min="6" max="6" width="10.375" style="181"/>
    <col min="7" max="7" width="10.1916666666667" style="179" customWidth="1"/>
    <col min="8" max="8" width="7.875" style="179"/>
    <col min="9" max="9" width="13.9416666666667" style="179" customWidth="1"/>
    <col min="10" max="10" width="9.375" style="179"/>
    <col min="11" max="21" width="10.625" style="179" customWidth="1"/>
    <col min="22" max="22" width="7.875" style="179"/>
    <col min="23" max="23" width="9.375" style="179"/>
    <col min="24" max="24" width="7.875" style="179"/>
    <col min="25" max="25" width="9.375" style="179"/>
    <col min="26" max="26" width="7.875" style="179"/>
    <col min="27" max="27" width="9.375" style="179"/>
    <col min="28" max="28" width="7.875" style="179"/>
    <col min="29" max="29" width="9.375" style="179"/>
    <col min="30" max="30" width="7.875" style="179"/>
    <col min="31" max="31" width="9.375" style="179"/>
    <col min="32" max="32" width="7.875" style="179"/>
    <col min="33" max="33" width="9.375" style="179"/>
    <col min="34" max="34" width="7.875" style="179"/>
    <col min="35" max="35" width="12" style="179" customWidth="1"/>
    <col min="36" max="36" width="10" style="179" customWidth="1"/>
    <col min="37" max="37" width="11.125" style="179" customWidth="1"/>
  </cols>
  <sheetData>
    <row r="1" s="177" customFormat="1" ht="40" customHeight="1" spans="1:37">
      <c r="A1" s="182" t="s">
        <v>0</v>
      </c>
      <c r="B1" s="148" t="s">
        <v>604</v>
      </c>
      <c r="C1" s="148"/>
      <c r="D1" s="148"/>
      <c r="E1" s="183"/>
      <c r="F1" s="184"/>
      <c r="G1" s="346"/>
      <c r="H1" s="346"/>
      <c r="I1" s="346"/>
      <c r="J1" s="346"/>
      <c r="K1" s="346"/>
      <c r="L1" s="346"/>
      <c r="M1" s="346"/>
      <c r="N1" s="346"/>
      <c r="O1" s="346"/>
      <c r="P1" s="346"/>
      <c r="Q1" s="346"/>
      <c r="R1" s="346"/>
      <c r="S1" s="346"/>
      <c r="T1" s="346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</row>
    <row r="2" s="177" customFormat="1" ht="30" customHeight="1" spans="1:37">
      <c r="A2" s="182"/>
      <c r="B2" s="185" t="s">
        <v>2</v>
      </c>
      <c r="C2" s="182"/>
      <c r="D2" s="182"/>
      <c r="E2" s="183"/>
      <c r="F2" s="184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186"/>
      <c r="V2" s="186"/>
      <c r="W2" s="186"/>
      <c r="X2" s="186"/>
      <c r="Y2" s="186"/>
      <c r="Z2" s="186"/>
      <c r="AA2" s="187"/>
      <c r="AB2" s="186"/>
      <c r="AC2" s="187"/>
      <c r="AD2" s="186"/>
      <c r="AE2" s="187"/>
      <c r="AF2" s="186"/>
      <c r="AG2" s="187"/>
      <c r="AH2" s="186"/>
      <c r="AI2" s="187"/>
      <c r="AJ2" s="186"/>
      <c r="AK2" s="187"/>
    </row>
    <row r="3" s="18" customFormat="1" ht="54" customHeight="1" spans="1:37">
      <c r="A3" s="188" t="s">
        <v>3</v>
      </c>
      <c r="B3" s="188" t="s">
        <v>126</v>
      </c>
      <c r="C3" s="188" t="s">
        <v>6</v>
      </c>
      <c r="D3" s="188" t="s">
        <v>605</v>
      </c>
      <c r="E3" s="189" t="s">
        <v>606</v>
      </c>
      <c r="F3" s="189" t="s">
        <v>8</v>
      </c>
      <c r="G3" s="348" t="s">
        <v>9</v>
      </c>
      <c r="H3" s="348" t="s">
        <v>10</v>
      </c>
      <c r="I3" s="348" t="s">
        <v>11</v>
      </c>
      <c r="J3" s="348" t="s">
        <v>12</v>
      </c>
      <c r="K3" s="348" t="s">
        <v>13</v>
      </c>
      <c r="L3" s="348" t="s">
        <v>14</v>
      </c>
      <c r="M3" s="348" t="s">
        <v>15</v>
      </c>
      <c r="N3" s="348" t="s">
        <v>16</v>
      </c>
      <c r="O3" s="348" t="s">
        <v>17</v>
      </c>
      <c r="P3" s="348" t="s">
        <v>18</v>
      </c>
      <c r="Q3" s="348" t="s">
        <v>19</v>
      </c>
      <c r="R3" s="348" t="s">
        <v>20</v>
      </c>
      <c r="S3" s="348" t="s">
        <v>21</v>
      </c>
      <c r="T3" s="348" t="s">
        <v>22</v>
      </c>
      <c r="U3" s="247" t="s">
        <v>23</v>
      </c>
      <c r="V3" s="247" t="s">
        <v>24</v>
      </c>
      <c r="W3" s="247" t="s">
        <v>25</v>
      </c>
      <c r="X3" s="247" t="s">
        <v>26</v>
      </c>
      <c r="Y3" s="247" t="s">
        <v>27</v>
      </c>
      <c r="Z3" s="247" t="s">
        <v>28</v>
      </c>
      <c r="AA3" s="247" t="s">
        <v>29</v>
      </c>
      <c r="AB3" s="247" t="s">
        <v>30</v>
      </c>
      <c r="AC3" s="247" t="s">
        <v>31</v>
      </c>
      <c r="AD3" s="247" t="s">
        <v>32</v>
      </c>
      <c r="AE3" s="247" t="s">
        <v>33</v>
      </c>
      <c r="AF3" s="247" t="s">
        <v>34</v>
      </c>
      <c r="AG3" s="247" t="s">
        <v>35</v>
      </c>
      <c r="AH3" s="247" t="s">
        <v>36</v>
      </c>
      <c r="AI3" s="247" t="s">
        <v>37</v>
      </c>
      <c r="AJ3" s="247" t="s">
        <v>38</v>
      </c>
      <c r="AK3" s="247" t="s">
        <v>39</v>
      </c>
    </row>
    <row r="4" s="178" customFormat="1" customHeight="1" spans="1:37">
      <c r="A4" s="161">
        <v>1</v>
      </c>
      <c r="B4" s="21" t="s">
        <v>607</v>
      </c>
      <c r="C4" s="162" t="s">
        <v>608</v>
      </c>
      <c r="D4" s="162">
        <v>7</v>
      </c>
      <c r="E4" s="190">
        <f t="shared" ref="E4:E9" si="0">SUM(G4:AK4)</f>
        <v>5082</v>
      </c>
      <c r="F4" s="191">
        <f t="shared" ref="F4:F9" si="1">+D4*E4</f>
        <v>35574</v>
      </c>
      <c r="G4" s="349">
        <v>126</v>
      </c>
      <c r="H4" s="350">
        <v>136</v>
      </c>
      <c r="I4" s="349">
        <v>163</v>
      </c>
      <c r="J4" s="350">
        <v>155</v>
      </c>
      <c r="K4" s="349">
        <v>160</v>
      </c>
      <c r="L4" s="350">
        <v>145</v>
      </c>
      <c r="M4" s="349">
        <v>166</v>
      </c>
      <c r="N4" s="350">
        <v>172</v>
      </c>
      <c r="O4" s="349">
        <v>188</v>
      </c>
      <c r="P4" s="350">
        <v>200</v>
      </c>
      <c r="Q4" s="349">
        <v>180</v>
      </c>
      <c r="R4" s="350">
        <v>178</v>
      </c>
      <c r="S4" s="349">
        <v>126</v>
      </c>
      <c r="T4" s="350">
        <v>175</v>
      </c>
      <c r="U4" s="351">
        <v>170</v>
      </c>
      <c r="V4" s="352">
        <v>180</v>
      </c>
      <c r="W4" s="351">
        <v>158</v>
      </c>
      <c r="X4" s="352">
        <v>186</v>
      </c>
      <c r="Y4" s="351">
        <v>166</v>
      </c>
      <c r="Z4" s="352">
        <v>150</v>
      </c>
      <c r="AA4" s="351">
        <v>160</v>
      </c>
      <c r="AB4" s="352">
        <v>186</v>
      </c>
      <c r="AC4" s="351">
        <v>155</v>
      </c>
      <c r="AD4" s="352">
        <v>150</v>
      </c>
      <c r="AE4" s="351">
        <v>155</v>
      </c>
      <c r="AF4" s="352">
        <v>160</v>
      </c>
      <c r="AG4" s="351">
        <v>130</v>
      </c>
      <c r="AH4" s="352">
        <v>165</v>
      </c>
      <c r="AI4" s="351">
        <v>178</v>
      </c>
      <c r="AJ4" s="352">
        <v>180</v>
      </c>
      <c r="AK4" s="351">
        <v>183</v>
      </c>
    </row>
    <row r="5" s="178" customFormat="1" customHeight="1" spans="1:37">
      <c r="A5" s="161">
        <v>2</v>
      </c>
      <c r="B5" s="21" t="s">
        <v>609</v>
      </c>
      <c r="C5" s="162" t="s">
        <v>608</v>
      </c>
      <c r="D5" s="162">
        <v>3</v>
      </c>
      <c r="E5" s="190">
        <f t="shared" si="0"/>
        <v>635</v>
      </c>
      <c r="F5" s="191">
        <f t="shared" si="1"/>
        <v>1905</v>
      </c>
      <c r="G5" s="349">
        <v>21</v>
      </c>
      <c r="H5" s="350">
        <v>19</v>
      </c>
      <c r="I5" s="350">
        <v>22</v>
      </c>
      <c r="J5" s="350">
        <v>19</v>
      </c>
      <c r="K5" s="350">
        <v>22</v>
      </c>
      <c r="L5" s="349">
        <v>21</v>
      </c>
      <c r="M5" s="350">
        <v>21</v>
      </c>
      <c r="N5" s="350">
        <v>20</v>
      </c>
      <c r="O5" s="349">
        <v>24</v>
      </c>
      <c r="P5" s="350">
        <v>24</v>
      </c>
      <c r="Q5" s="349">
        <v>23</v>
      </c>
      <c r="R5" s="353">
        <v>19</v>
      </c>
      <c r="S5" s="353">
        <v>18</v>
      </c>
      <c r="T5" s="354">
        <v>23</v>
      </c>
      <c r="U5" s="213">
        <v>21</v>
      </c>
      <c r="V5" s="213">
        <v>19</v>
      </c>
      <c r="W5" s="355">
        <v>18</v>
      </c>
      <c r="X5" s="213">
        <v>21</v>
      </c>
      <c r="Y5" s="355">
        <v>19</v>
      </c>
      <c r="Z5" s="213">
        <v>22</v>
      </c>
      <c r="AA5" s="213">
        <v>21</v>
      </c>
      <c r="AB5" s="355">
        <v>19</v>
      </c>
      <c r="AC5" s="213">
        <v>16</v>
      </c>
      <c r="AD5" s="355">
        <v>21</v>
      </c>
      <c r="AE5" s="355">
        <v>23</v>
      </c>
      <c r="AF5" s="213">
        <v>21</v>
      </c>
      <c r="AG5" s="213">
        <v>20</v>
      </c>
      <c r="AH5" s="355">
        <v>19</v>
      </c>
      <c r="AI5" s="178">
        <v>19</v>
      </c>
      <c r="AJ5" s="355">
        <v>19</v>
      </c>
      <c r="AK5" s="213">
        <v>21</v>
      </c>
    </row>
    <row r="6" s="178" customFormat="1" customHeight="1" spans="1:37">
      <c r="A6" s="161">
        <v>3</v>
      </c>
      <c r="B6" s="356" t="s">
        <v>610</v>
      </c>
      <c r="C6" s="357" t="s">
        <v>611</v>
      </c>
      <c r="D6" s="162">
        <v>1</v>
      </c>
      <c r="E6" s="190">
        <f t="shared" si="0"/>
        <v>2170</v>
      </c>
      <c r="F6" s="191">
        <f t="shared" si="1"/>
        <v>2170</v>
      </c>
      <c r="G6" s="349">
        <v>70</v>
      </c>
      <c r="H6" s="350">
        <v>70</v>
      </c>
      <c r="I6" s="349">
        <v>70</v>
      </c>
      <c r="J6" s="350">
        <v>70</v>
      </c>
      <c r="K6" s="349">
        <v>70</v>
      </c>
      <c r="L6" s="350">
        <v>70</v>
      </c>
      <c r="M6" s="349">
        <v>70</v>
      </c>
      <c r="N6" s="350">
        <v>70</v>
      </c>
      <c r="O6" s="349">
        <v>70</v>
      </c>
      <c r="P6" s="350">
        <v>70</v>
      </c>
      <c r="Q6" s="349">
        <v>70</v>
      </c>
      <c r="R6" s="350">
        <v>70</v>
      </c>
      <c r="S6" s="349">
        <v>70</v>
      </c>
      <c r="T6" s="350">
        <v>70</v>
      </c>
      <c r="U6" s="349">
        <v>70</v>
      </c>
      <c r="V6" s="350">
        <v>70</v>
      </c>
      <c r="W6" s="349">
        <v>70</v>
      </c>
      <c r="X6" s="350">
        <v>70</v>
      </c>
      <c r="Y6" s="349">
        <v>70</v>
      </c>
      <c r="Z6" s="213">
        <v>70</v>
      </c>
      <c r="AA6" s="213">
        <v>70</v>
      </c>
      <c r="AB6" s="213">
        <v>70</v>
      </c>
      <c r="AC6" s="213">
        <v>70</v>
      </c>
      <c r="AD6" s="213">
        <v>70</v>
      </c>
      <c r="AE6" s="213">
        <v>70</v>
      </c>
      <c r="AF6" s="213">
        <v>70</v>
      </c>
      <c r="AG6" s="213">
        <v>70</v>
      </c>
      <c r="AH6" s="213">
        <v>70</v>
      </c>
      <c r="AI6" s="213">
        <v>70</v>
      </c>
      <c r="AJ6" s="213">
        <v>70</v>
      </c>
      <c r="AK6" s="213">
        <v>70</v>
      </c>
    </row>
    <row r="7" s="178" customFormat="1" customHeight="1" spans="1:37">
      <c r="A7" s="161">
        <v>4</v>
      </c>
      <c r="B7" s="21"/>
      <c r="C7" s="162"/>
      <c r="D7" s="162"/>
      <c r="E7" s="190">
        <f t="shared" si="0"/>
        <v>0</v>
      </c>
      <c r="F7" s="191">
        <f t="shared" si="1"/>
        <v>0</v>
      </c>
      <c r="G7" s="350"/>
      <c r="H7" s="350"/>
      <c r="I7" s="350"/>
      <c r="J7" s="350"/>
      <c r="K7" s="350"/>
      <c r="L7" s="350"/>
      <c r="M7" s="350"/>
      <c r="N7" s="350"/>
      <c r="O7" s="350"/>
      <c r="P7" s="350"/>
      <c r="Q7" s="350"/>
      <c r="R7" s="353"/>
      <c r="S7" s="353"/>
      <c r="T7" s="353"/>
      <c r="U7" s="213"/>
      <c r="V7" s="213"/>
      <c r="W7" s="213"/>
      <c r="X7" s="213"/>
      <c r="Y7" s="213"/>
      <c r="Z7" s="213"/>
      <c r="AA7" s="213"/>
      <c r="AB7" s="213"/>
      <c r="AC7" s="213"/>
      <c r="AD7" s="213"/>
      <c r="AE7" s="213"/>
      <c r="AF7" s="213"/>
      <c r="AG7" s="213"/>
      <c r="AH7" s="213"/>
      <c r="AI7" s="213"/>
      <c r="AJ7" s="213"/>
      <c r="AK7" s="213"/>
    </row>
    <row r="8" s="178" customFormat="1" customHeight="1" spans="1:37">
      <c r="A8" s="161">
        <v>5</v>
      </c>
      <c r="B8" s="21"/>
      <c r="C8" s="162"/>
      <c r="D8" s="162"/>
      <c r="E8" s="190">
        <f t="shared" si="0"/>
        <v>0</v>
      </c>
      <c r="F8" s="191">
        <f t="shared" si="1"/>
        <v>0</v>
      </c>
      <c r="G8" s="350"/>
      <c r="H8" s="350"/>
      <c r="I8" s="350"/>
      <c r="J8" s="350"/>
      <c r="K8" s="350"/>
      <c r="L8" s="350"/>
      <c r="M8" s="350"/>
      <c r="N8" s="350"/>
      <c r="O8" s="350"/>
      <c r="P8" s="350"/>
      <c r="Q8" s="350"/>
      <c r="R8" s="353"/>
      <c r="S8" s="353"/>
      <c r="T8" s="353"/>
      <c r="U8" s="213"/>
      <c r="V8" s="213"/>
      <c r="W8" s="213"/>
      <c r="X8" s="213"/>
      <c r="Y8" s="213"/>
      <c r="Z8" s="213"/>
      <c r="AA8" s="213"/>
      <c r="AB8" s="213"/>
      <c r="AC8" s="213"/>
      <c r="AD8" s="213"/>
      <c r="AE8" s="213"/>
      <c r="AF8" s="213"/>
      <c r="AG8" s="213"/>
      <c r="AI8" s="213"/>
      <c r="AJ8" s="213"/>
      <c r="AK8" s="213"/>
    </row>
    <row r="9" s="178" customFormat="1" customHeight="1" spans="1:37">
      <c r="A9" s="161">
        <v>6</v>
      </c>
      <c r="B9" s="21"/>
      <c r="C9" s="162"/>
      <c r="D9" s="162"/>
      <c r="E9" s="190">
        <f t="shared" si="0"/>
        <v>0</v>
      </c>
      <c r="F9" s="191">
        <f t="shared" si="1"/>
        <v>0</v>
      </c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  <c r="R9" s="353"/>
      <c r="S9" s="353"/>
      <c r="T9" s="35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customHeight="1" spans="1:37">
      <c r="A10" s="193"/>
      <c r="B10" s="6" t="s">
        <v>612</v>
      </c>
      <c r="C10" s="193"/>
      <c r="D10" s="193"/>
      <c r="E10" s="194">
        <f t="shared" ref="E10:AK10" si="2">SUM(E4:E9)</f>
        <v>7887</v>
      </c>
      <c r="F10" s="194">
        <f t="shared" si="2"/>
        <v>39649</v>
      </c>
      <c r="G10" s="358">
        <v>201</v>
      </c>
      <c r="H10" s="358">
        <v>209</v>
      </c>
      <c r="I10" s="358">
        <v>232</v>
      </c>
      <c r="J10" s="358">
        <v>215</v>
      </c>
      <c r="K10" s="358">
        <v>202</v>
      </c>
      <c r="L10" s="358">
        <v>208</v>
      </c>
      <c r="M10" s="358">
        <v>181</v>
      </c>
      <c r="N10" s="358">
        <v>150</v>
      </c>
      <c r="O10" s="358">
        <v>150</v>
      </c>
      <c r="P10" s="358">
        <v>154</v>
      </c>
      <c r="Q10" s="358">
        <v>173</v>
      </c>
      <c r="R10" s="358">
        <v>189</v>
      </c>
      <c r="S10" s="358">
        <v>228</v>
      </c>
      <c r="T10" s="358">
        <v>253</v>
      </c>
      <c r="U10" s="194">
        <f t="shared" si="2"/>
        <v>261</v>
      </c>
      <c r="V10" s="194">
        <f t="shared" si="2"/>
        <v>269</v>
      </c>
      <c r="W10" s="194">
        <f t="shared" si="2"/>
        <v>246</v>
      </c>
      <c r="X10" s="194">
        <f t="shared" si="2"/>
        <v>277</v>
      </c>
      <c r="Y10" s="194">
        <f t="shared" si="2"/>
        <v>255</v>
      </c>
      <c r="Z10" s="194">
        <f t="shared" si="2"/>
        <v>242</v>
      </c>
      <c r="AA10" s="194">
        <f t="shared" si="2"/>
        <v>251</v>
      </c>
      <c r="AB10" s="194">
        <f t="shared" si="2"/>
        <v>275</v>
      </c>
      <c r="AC10" s="194">
        <f t="shared" si="2"/>
        <v>241</v>
      </c>
      <c r="AD10" s="194">
        <f t="shared" si="2"/>
        <v>241</v>
      </c>
      <c r="AE10" s="194">
        <f t="shared" si="2"/>
        <v>248</v>
      </c>
      <c r="AF10" s="194">
        <f t="shared" si="2"/>
        <v>251</v>
      </c>
      <c r="AG10" s="194">
        <f t="shared" si="2"/>
        <v>220</v>
      </c>
      <c r="AH10" s="194">
        <f t="shared" si="2"/>
        <v>254</v>
      </c>
      <c r="AI10" s="194">
        <f t="shared" si="2"/>
        <v>267</v>
      </c>
      <c r="AJ10" s="194">
        <f t="shared" si="2"/>
        <v>269</v>
      </c>
      <c r="AK10" s="194">
        <f t="shared" si="2"/>
        <v>274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9"/>
  <sheetViews>
    <sheetView workbookViewId="0">
      <pane xSplit="1" topLeftCell="B1" activePane="topRight" state="frozen"/>
      <selection/>
      <selection pane="topRight" activeCell="K19" sqref="K19"/>
    </sheetView>
  </sheetViews>
  <sheetFormatPr defaultColWidth="8.725" defaultRowHeight="18" customHeight="1"/>
  <cols>
    <col min="1" max="1" width="10.3" style="130" customWidth="1"/>
    <col min="2" max="6" width="8.75" style="130"/>
    <col min="7" max="9" width="9.125" style="130"/>
    <col min="10" max="11" width="10.2583333333333" style="130"/>
    <col min="12" max="12" width="12.3666666666667" style="130" customWidth="1"/>
    <col min="13" max="14" width="12.875" style="139"/>
    <col min="15" max="15" width="12.875" style="130"/>
    <col min="16" max="16" width="12.875" style="139"/>
    <col min="17" max="17" width="12.875" style="130"/>
    <col min="18" max="18" width="12.875" style="139"/>
    <col min="19" max="19" width="12.875" style="130"/>
    <col min="20" max="20" width="12.875" style="139"/>
    <col min="21" max="21" width="12.875" style="130"/>
    <col min="22" max="22" width="12.875" style="139"/>
    <col min="23" max="23" width="12.875" style="130"/>
    <col min="24" max="24" width="12.875" style="139"/>
    <col min="25" max="25" width="12.875" style="130"/>
    <col min="26" max="26" width="12.875" style="139"/>
    <col min="27" max="27" width="12.875" style="130"/>
    <col min="28" max="28" width="12.875" style="139"/>
    <col min="29" max="29" width="12.875" style="130"/>
    <col min="30" max="30" width="12.875" style="139"/>
    <col min="31" max="31" width="12.875" style="130"/>
    <col min="32" max="32" width="12.875" style="139"/>
    <col min="33" max="33" width="12.875" style="130"/>
    <col min="34" max="34" width="12.875" style="139"/>
    <col min="35" max="35" width="12.875" style="130"/>
    <col min="36" max="36" width="12.875" style="139"/>
    <col min="37" max="37" width="12.875" style="130"/>
    <col min="38" max="38" width="12.875" style="139"/>
    <col min="39" max="39" width="12.875" style="130"/>
    <col min="40" max="40" width="12.875" style="139"/>
    <col min="41" max="41" width="12.875" style="130"/>
    <col min="42" max="42" width="12.875" style="139"/>
  </cols>
  <sheetData>
    <row r="1" s="129" customFormat="1" customHeight="1" spans="1:42">
      <c r="A1" s="134" t="s">
        <v>76</v>
      </c>
      <c r="B1" s="134" t="s">
        <v>77</v>
      </c>
      <c r="C1" s="134" t="s">
        <v>78</v>
      </c>
      <c r="D1" s="134" t="s">
        <v>79</v>
      </c>
      <c r="E1" s="134" t="s">
        <v>80</v>
      </c>
      <c r="F1" s="134" t="s">
        <v>81</v>
      </c>
      <c r="G1" s="317" t="s">
        <v>82</v>
      </c>
      <c r="H1" s="317" t="s">
        <v>83</v>
      </c>
      <c r="I1" s="317" t="s">
        <v>84</v>
      </c>
      <c r="J1" s="134" t="s">
        <v>85</v>
      </c>
      <c r="K1" s="134" t="s">
        <v>86</v>
      </c>
      <c r="L1" s="15" t="s">
        <v>87</v>
      </c>
      <c r="M1" s="15" t="s">
        <v>88</v>
      </c>
      <c r="N1" s="15" t="s">
        <v>89</v>
      </c>
      <c r="O1" s="15" t="s">
        <v>90</v>
      </c>
      <c r="P1" s="15" t="s">
        <v>91</v>
      </c>
      <c r="Q1" s="15" t="s">
        <v>92</v>
      </c>
      <c r="R1" s="15" t="s">
        <v>93</v>
      </c>
      <c r="S1" s="15" t="s">
        <v>94</v>
      </c>
      <c r="T1" s="15" t="s">
        <v>95</v>
      </c>
      <c r="U1" s="15" t="s">
        <v>96</v>
      </c>
      <c r="V1" s="15" t="s">
        <v>97</v>
      </c>
      <c r="W1" s="15" t="s">
        <v>98</v>
      </c>
      <c r="X1" s="15" t="s">
        <v>99</v>
      </c>
      <c r="Y1" s="15" t="s">
        <v>100</v>
      </c>
      <c r="Z1" s="15" t="s">
        <v>101</v>
      </c>
      <c r="AA1" s="15" t="s">
        <v>102</v>
      </c>
      <c r="AB1" s="15" t="s">
        <v>103</v>
      </c>
      <c r="AC1" s="15" t="s">
        <v>104</v>
      </c>
      <c r="AD1" s="15" t="s">
        <v>105</v>
      </c>
      <c r="AE1" s="15" t="s">
        <v>106</v>
      </c>
      <c r="AF1" s="15" t="s">
        <v>107</v>
      </c>
      <c r="AG1" s="15" t="s">
        <v>108</v>
      </c>
      <c r="AH1" s="15" t="s">
        <v>109</v>
      </c>
      <c r="AI1" s="15" t="s">
        <v>110</v>
      </c>
      <c r="AJ1" s="15" t="s">
        <v>111</v>
      </c>
      <c r="AK1" s="15" t="s">
        <v>112</v>
      </c>
      <c r="AL1" s="15" t="s">
        <v>113</v>
      </c>
      <c r="AM1" s="15" t="s">
        <v>114</v>
      </c>
      <c r="AN1" s="15" t="s">
        <v>115</v>
      </c>
      <c r="AO1" s="15" t="s">
        <v>116</v>
      </c>
      <c r="AP1" s="15" t="s">
        <v>117</v>
      </c>
    </row>
    <row r="2" customHeight="1" spans="1:42">
      <c r="A2" s="318" t="s">
        <v>613</v>
      </c>
      <c r="B2" s="318" t="s">
        <v>614</v>
      </c>
      <c r="C2" s="318" t="s">
        <v>615</v>
      </c>
      <c r="D2" s="319" t="s">
        <v>120</v>
      </c>
      <c r="E2" s="319"/>
      <c r="F2" s="320"/>
      <c r="G2" s="321">
        <v>8000</v>
      </c>
      <c r="H2" s="321">
        <v>2200</v>
      </c>
      <c r="I2" s="321">
        <v>5800</v>
      </c>
      <c r="J2" s="322"/>
      <c r="K2" s="323">
        <v>25</v>
      </c>
      <c r="L2" s="323">
        <v>0</v>
      </c>
      <c r="M2" s="323">
        <v>8</v>
      </c>
      <c r="N2" s="323">
        <v>8</v>
      </c>
      <c r="O2" s="323">
        <v>8</v>
      </c>
      <c r="P2" s="323">
        <v>8</v>
      </c>
      <c r="Q2" s="323">
        <v>8</v>
      </c>
      <c r="R2" s="323">
        <v>8</v>
      </c>
      <c r="S2" s="323">
        <v>0</v>
      </c>
      <c r="T2" s="323">
        <v>8</v>
      </c>
      <c r="U2" s="323">
        <v>8</v>
      </c>
      <c r="V2" s="323">
        <v>8</v>
      </c>
      <c r="W2" s="323">
        <v>8</v>
      </c>
      <c r="X2" s="323">
        <v>8</v>
      </c>
      <c r="Y2" s="323">
        <v>0</v>
      </c>
      <c r="Z2" s="323">
        <v>8</v>
      </c>
      <c r="AA2" s="323">
        <v>8</v>
      </c>
      <c r="AB2" s="323">
        <v>0</v>
      </c>
      <c r="AC2" s="323">
        <v>8</v>
      </c>
      <c r="AD2" s="323">
        <v>8</v>
      </c>
      <c r="AE2" s="323">
        <v>8</v>
      </c>
      <c r="AF2" s="323">
        <v>8</v>
      </c>
      <c r="AG2" s="323">
        <v>8</v>
      </c>
      <c r="AH2" s="323">
        <v>0</v>
      </c>
      <c r="AI2" s="323">
        <v>8</v>
      </c>
      <c r="AJ2" s="323">
        <v>8</v>
      </c>
      <c r="AK2" s="323">
        <v>8</v>
      </c>
      <c r="AL2" s="323">
        <v>8</v>
      </c>
      <c r="AM2" s="324">
        <v>8</v>
      </c>
      <c r="AN2" s="324">
        <v>8</v>
      </c>
      <c r="AO2" s="324">
        <v>8</v>
      </c>
      <c r="AP2" s="324">
        <v>0</v>
      </c>
    </row>
    <row r="3" customHeight="1" spans="1:42">
      <c r="A3" s="318" t="s">
        <v>616</v>
      </c>
      <c r="B3" s="318" t="s">
        <v>614</v>
      </c>
      <c r="C3" s="318" t="s">
        <v>615</v>
      </c>
      <c r="D3" s="319" t="s">
        <v>120</v>
      </c>
      <c r="E3" s="319"/>
      <c r="F3" s="320"/>
      <c r="G3" s="321">
        <v>7000</v>
      </c>
      <c r="H3" s="321">
        <v>2200</v>
      </c>
      <c r="I3" s="321">
        <v>4800</v>
      </c>
      <c r="J3" s="322"/>
      <c r="K3" s="323">
        <v>25</v>
      </c>
      <c r="L3" s="323">
        <v>8</v>
      </c>
      <c r="M3" s="324">
        <v>8</v>
      </c>
      <c r="N3" s="324">
        <v>8</v>
      </c>
      <c r="O3" s="324">
        <v>8</v>
      </c>
      <c r="P3" s="324">
        <v>8</v>
      </c>
      <c r="Q3" s="324">
        <v>0</v>
      </c>
      <c r="R3" s="324">
        <v>8</v>
      </c>
      <c r="S3" s="324">
        <v>8</v>
      </c>
      <c r="T3" s="324">
        <v>8</v>
      </c>
      <c r="U3" s="324">
        <v>8</v>
      </c>
      <c r="V3" s="324">
        <v>8</v>
      </c>
      <c r="W3" s="324">
        <v>8</v>
      </c>
      <c r="X3" s="324">
        <v>0</v>
      </c>
      <c r="Y3" s="324">
        <v>8</v>
      </c>
      <c r="Z3" s="324">
        <v>8</v>
      </c>
      <c r="AA3" s="324">
        <v>8</v>
      </c>
      <c r="AB3" s="324">
        <v>8</v>
      </c>
      <c r="AC3" s="324">
        <v>8</v>
      </c>
      <c r="AD3" s="324">
        <v>8</v>
      </c>
      <c r="AE3" s="324">
        <v>0</v>
      </c>
      <c r="AF3" s="324">
        <v>8</v>
      </c>
      <c r="AG3" s="324">
        <v>8</v>
      </c>
      <c r="AH3" s="324">
        <v>8</v>
      </c>
      <c r="AI3" s="324">
        <v>8</v>
      </c>
      <c r="AJ3" s="324">
        <v>8</v>
      </c>
      <c r="AK3" s="325">
        <v>8</v>
      </c>
      <c r="AL3" s="324">
        <v>8</v>
      </c>
      <c r="AM3" s="324">
        <v>8</v>
      </c>
      <c r="AN3" s="324">
        <v>8</v>
      </c>
      <c r="AO3" s="324">
        <v>8</v>
      </c>
      <c r="AP3" s="324">
        <v>8</v>
      </c>
    </row>
    <row r="4" customHeight="1" spans="1:42">
      <c r="A4" s="326" t="s">
        <v>617</v>
      </c>
      <c r="B4" s="326" t="s">
        <v>614</v>
      </c>
      <c r="C4" s="318" t="s">
        <v>618</v>
      </c>
      <c r="D4" s="319" t="s">
        <v>120</v>
      </c>
      <c r="E4" s="319"/>
      <c r="F4" s="320"/>
      <c r="G4" s="321">
        <v>3500</v>
      </c>
      <c r="H4" s="321">
        <v>2200</v>
      </c>
      <c r="I4" s="321">
        <v>1300</v>
      </c>
      <c r="J4" s="322">
        <v>0</v>
      </c>
      <c r="K4" s="323">
        <v>25</v>
      </c>
      <c r="L4" s="323">
        <v>8</v>
      </c>
      <c r="M4" s="324">
        <v>8</v>
      </c>
      <c r="N4" s="324">
        <v>8</v>
      </c>
      <c r="O4" s="324">
        <v>8</v>
      </c>
      <c r="P4" s="324">
        <v>8</v>
      </c>
      <c r="Q4" s="324">
        <v>8</v>
      </c>
      <c r="R4" s="324">
        <v>0</v>
      </c>
      <c r="S4" s="324">
        <v>8</v>
      </c>
      <c r="T4" s="324">
        <v>8</v>
      </c>
      <c r="U4" s="324">
        <v>8</v>
      </c>
      <c r="V4" s="324">
        <v>8</v>
      </c>
      <c r="W4" s="324">
        <v>8</v>
      </c>
      <c r="X4" s="324">
        <v>8</v>
      </c>
      <c r="Y4" s="324">
        <v>8</v>
      </c>
      <c r="Z4" s="324">
        <v>8</v>
      </c>
      <c r="AA4" s="324">
        <v>8</v>
      </c>
      <c r="AB4" s="324">
        <v>8</v>
      </c>
      <c r="AC4" s="324">
        <v>8</v>
      </c>
      <c r="AD4" s="324">
        <v>8</v>
      </c>
      <c r="AE4" s="324">
        <v>8</v>
      </c>
      <c r="AF4" s="324">
        <v>8</v>
      </c>
      <c r="AG4" s="324">
        <v>8</v>
      </c>
      <c r="AH4" s="324">
        <v>8</v>
      </c>
      <c r="AI4" s="324">
        <v>0</v>
      </c>
      <c r="AJ4" s="324">
        <v>8</v>
      </c>
      <c r="AK4" s="324">
        <v>8</v>
      </c>
      <c r="AL4" s="324">
        <v>8</v>
      </c>
      <c r="AM4" s="324">
        <v>8</v>
      </c>
      <c r="AN4" s="324">
        <v>0</v>
      </c>
      <c r="AO4" s="324">
        <v>0</v>
      </c>
      <c r="AP4" s="324">
        <v>8</v>
      </c>
    </row>
    <row r="5" customHeight="1" spans="1:42">
      <c r="A5" s="326" t="s">
        <v>619</v>
      </c>
      <c r="B5" s="327" t="s">
        <v>614</v>
      </c>
      <c r="C5" s="326" t="s">
        <v>618</v>
      </c>
      <c r="D5" s="328" t="s">
        <v>120</v>
      </c>
      <c r="E5" s="328"/>
      <c r="F5" s="328"/>
      <c r="G5" s="321">
        <v>3500</v>
      </c>
      <c r="H5" s="329">
        <v>2200</v>
      </c>
      <c r="I5" s="329">
        <v>1300</v>
      </c>
      <c r="J5" s="328">
        <v>0</v>
      </c>
      <c r="K5" s="323">
        <v>25</v>
      </c>
      <c r="L5" s="323">
        <v>8</v>
      </c>
      <c r="M5" s="324">
        <v>8</v>
      </c>
      <c r="N5" s="324">
        <v>8</v>
      </c>
      <c r="O5" s="324">
        <v>8</v>
      </c>
      <c r="P5" s="324">
        <v>8</v>
      </c>
      <c r="Q5" s="324">
        <v>8</v>
      </c>
      <c r="R5" s="324">
        <v>8</v>
      </c>
      <c r="S5" s="324">
        <v>8</v>
      </c>
      <c r="T5" s="324">
        <v>0</v>
      </c>
      <c r="U5" s="324">
        <v>8</v>
      </c>
      <c r="V5" s="324">
        <v>0</v>
      </c>
      <c r="W5" s="324">
        <v>0</v>
      </c>
      <c r="X5" s="324">
        <v>8</v>
      </c>
      <c r="Y5" s="324">
        <v>8</v>
      </c>
      <c r="Z5" s="324">
        <v>8</v>
      </c>
      <c r="AA5" s="324">
        <v>8</v>
      </c>
      <c r="AB5" s="324">
        <v>8</v>
      </c>
      <c r="AC5" s="324">
        <v>8</v>
      </c>
      <c r="AD5" s="324">
        <v>8</v>
      </c>
      <c r="AE5" s="324">
        <v>8</v>
      </c>
      <c r="AF5" s="324">
        <v>8</v>
      </c>
      <c r="AG5" s="324">
        <v>8</v>
      </c>
      <c r="AH5" s="324">
        <v>8</v>
      </c>
      <c r="AI5" s="324">
        <v>8</v>
      </c>
      <c r="AJ5" s="324">
        <v>8</v>
      </c>
      <c r="AK5" s="324">
        <v>8</v>
      </c>
      <c r="AL5" s="324">
        <v>0</v>
      </c>
      <c r="AM5" s="324">
        <v>8</v>
      </c>
      <c r="AN5" s="324">
        <v>8</v>
      </c>
      <c r="AO5" s="324">
        <v>8</v>
      </c>
      <c r="AP5" s="324">
        <v>8</v>
      </c>
    </row>
    <row r="6" customHeight="1" spans="1:42">
      <c r="A6" s="330"/>
      <c r="B6" s="330"/>
      <c r="C6" s="330"/>
      <c r="D6" s="331"/>
      <c r="E6" s="330"/>
      <c r="F6" s="330"/>
      <c r="G6" s="332"/>
      <c r="H6" s="330"/>
      <c r="I6" s="330"/>
      <c r="J6" s="330"/>
      <c r="K6" s="330"/>
      <c r="L6" s="333"/>
      <c r="M6" s="334"/>
      <c r="N6" s="334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334"/>
      <c r="AA6" s="334"/>
      <c r="AB6" s="334"/>
      <c r="AC6" s="334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334"/>
      <c r="AO6" s="334"/>
      <c r="AP6" s="334"/>
    </row>
    <row r="7" customHeight="1" spans="1:42">
      <c r="A7" s="335"/>
      <c r="B7" s="336"/>
      <c r="C7" s="336"/>
      <c r="D7" s="337"/>
      <c r="E7" s="338"/>
      <c r="F7" s="338"/>
      <c r="G7" s="332"/>
      <c r="H7" s="339"/>
      <c r="I7" s="339"/>
      <c r="J7" s="339"/>
      <c r="K7" s="340"/>
      <c r="L7" s="17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customHeight="1" spans="1:42">
      <c r="A8" s="341"/>
      <c r="B8" s="338"/>
      <c r="C8" s="338"/>
      <c r="D8" s="342"/>
      <c r="E8" s="342"/>
      <c r="F8" s="342"/>
      <c r="G8" s="332"/>
      <c r="H8" s="343"/>
      <c r="I8" s="343"/>
      <c r="J8" s="343"/>
      <c r="K8" s="176"/>
      <c r="L8" s="17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</row>
    <row r="9" customHeight="1" spans="1:42">
      <c r="A9" s="344"/>
      <c r="B9" s="342"/>
      <c r="C9" s="342"/>
      <c r="D9" s="342"/>
      <c r="E9" s="342"/>
      <c r="F9" s="342"/>
      <c r="G9" s="332"/>
      <c r="H9" s="343"/>
      <c r="I9" s="343"/>
      <c r="J9" s="343"/>
      <c r="K9" s="176"/>
      <c r="L9" s="17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</row>
    <row r="10" customHeight="1" spans="1:42">
      <c r="A10" s="344"/>
      <c r="B10" s="342"/>
      <c r="C10" s="342"/>
      <c r="D10" s="342"/>
      <c r="E10" s="342"/>
      <c r="F10" s="342"/>
      <c r="G10" s="332"/>
      <c r="H10" s="343"/>
      <c r="I10" s="343"/>
      <c r="J10" s="343"/>
      <c r="K10" s="176"/>
      <c r="L10" s="17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customHeight="1" spans="1:42">
      <c r="A11" s="344"/>
      <c r="B11" s="342"/>
      <c r="C11" s="342"/>
      <c r="D11" s="342"/>
      <c r="E11" s="342"/>
      <c r="F11" s="342"/>
      <c r="G11" s="332"/>
      <c r="H11" s="343"/>
      <c r="I11" s="343"/>
      <c r="J11" s="343"/>
      <c r="K11" s="176"/>
      <c r="L11" s="17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</row>
    <row r="12" customHeight="1" spans="1:42">
      <c r="A12" s="344"/>
      <c r="B12" s="342"/>
      <c r="C12" s="342"/>
      <c r="D12" s="342"/>
      <c r="E12" s="342"/>
      <c r="F12" s="342"/>
      <c r="G12" s="332"/>
      <c r="H12" s="343"/>
      <c r="I12" s="343"/>
      <c r="J12" s="343"/>
      <c r="K12" s="176"/>
      <c r="L12" s="17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</row>
    <row r="13" customHeight="1" spans="1:42">
      <c r="A13" s="7" t="s">
        <v>335</v>
      </c>
      <c r="B13" s="7"/>
      <c r="C13" s="7"/>
      <c r="D13" s="7"/>
      <c r="E13" s="7"/>
      <c r="F13" s="7"/>
      <c r="G13" s="7"/>
      <c r="H13" s="7"/>
      <c r="I13" s="7"/>
      <c r="J13" s="7"/>
      <c r="K13" s="176"/>
      <c r="L13" s="176">
        <f t="shared" ref="L13:AP13" si="0">SUM(L2:L12)</f>
        <v>24</v>
      </c>
      <c r="M13" s="176">
        <f t="shared" si="0"/>
        <v>32</v>
      </c>
      <c r="N13" s="176">
        <f t="shared" si="0"/>
        <v>32</v>
      </c>
      <c r="O13" s="176">
        <f t="shared" si="0"/>
        <v>32</v>
      </c>
      <c r="P13" s="176">
        <f t="shared" si="0"/>
        <v>32</v>
      </c>
      <c r="Q13" s="176">
        <f t="shared" si="0"/>
        <v>24</v>
      </c>
      <c r="R13" s="176">
        <f t="shared" si="0"/>
        <v>24</v>
      </c>
      <c r="S13" s="176">
        <f t="shared" si="0"/>
        <v>24</v>
      </c>
      <c r="T13" s="176">
        <f t="shared" si="0"/>
        <v>24</v>
      </c>
      <c r="U13" s="176">
        <f t="shared" si="0"/>
        <v>32</v>
      </c>
      <c r="V13" s="176">
        <f t="shared" si="0"/>
        <v>24</v>
      </c>
      <c r="W13" s="176">
        <f t="shared" si="0"/>
        <v>24</v>
      </c>
      <c r="X13" s="176">
        <f t="shared" si="0"/>
        <v>24</v>
      </c>
      <c r="Y13" s="176">
        <f t="shared" si="0"/>
        <v>24</v>
      </c>
      <c r="Z13" s="176">
        <f t="shared" si="0"/>
        <v>32</v>
      </c>
      <c r="AA13" s="176">
        <f t="shared" si="0"/>
        <v>32</v>
      </c>
      <c r="AB13" s="176">
        <f t="shared" si="0"/>
        <v>24</v>
      </c>
      <c r="AC13" s="176">
        <f t="shared" si="0"/>
        <v>32</v>
      </c>
      <c r="AD13" s="176">
        <f t="shared" si="0"/>
        <v>32</v>
      </c>
      <c r="AE13" s="176">
        <f t="shared" si="0"/>
        <v>24</v>
      </c>
      <c r="AF13" s="176">
        <f t="shared" si="0"/>
        <v>32</v>
      </c>
      <c r="AG13" s="176">
        <f t="shared" si="0"/>
        <v>32</v>
      </c>
      <c r="AH13" s="176">
        <f t="shared" si="0"/>
        <v>24</v>
      </c>
      <c r="AI13" s="176">
        <f t="shared" si="0"/>
        <v>24</v>
      </c>
      <c r="AJ13" s="176">
        <f t="shared" si="0"/>
        <v>32</v>
      </c>
      <c r="AK13" s="176">
        <f t="shared" si="0"/>
        <v>32</v>
      </c>
      <c r="AL13" s="176">
        <f t="shared" si="0"/>
        <v>24</v>
      </c>
      <c r="AM13" s="176">
        <f t="shared" si="0"/>
        <v>32</v>
      </c>
      <c r="AN13" s="176">
        <f t="shared" si="0"/>
        <v>24</v>
      </c>
      <c r="AO13" s="176">
        <f t="shared" si="0"/>
        <v>24</v>
      </c>
      <c r="AP13" s="176">
        <f t="shared" si="0"/>
        <v>24</v>
      </c>
    </row>
    <row r="17" ht="13.5" spans="13:30">
      <c r="M17" s="345"/>
    </row>
    <row r="19" ht="13.5" spans="13:30">
      <c r="AD19" s="345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13" etc:filterBottomFollowUsedRange="0">
    <extLst/>
  </autoFilter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14"/>
  <sheetViews>
    <sheetView showGridLines="0" tabSelected="1" workbookViewId="0">
      <pane xSplit="9" ySplit="3" topLeftCell="J7" activePane="bottomRight" state="frozen"/>
      <selection/>
      <selection pane="topRight"/>
      <selection pane="bottomLeft"/>
      <selection pane="bottomRight" activeCell="J9" sqref="J4:J14"/>
    </sheetView>
  </sheetViews>
  <sheetFormatPr defaultColWidth="9" defaultRowHeight="25" customHeight="1"/>
  <cols>
    <col min="1" max="1" width="6.875" style="143"/>
    <col min="2" max="2" width="11.525" style="225" customWidth="1"/>
    <col min="3" max="3" width="8.83333333333333" style="225" customWidth="1"/>
    <col min="4" max="4" width="5.88333333333333" style="225" customWidth="1"/>
    <col min="5" max="5" width="8.125" style="225" customWidth="1"/>
    <col min="6" max="6" width="10.5" style="225"/>
    <col min="7" max="7" width="7.10833333333333" style="225"/>
    <col min="8" max="8" width="10.625" style="225"/>
    <col min="9" max="40" width="9.125" style="225"/>
  </cols>
  <sheetData>
    <row r="1" s="237" customFormat="1" ht="40" customHeight="1" spans="1:42">
      <c r="A1" s="148"/>
      <c r="B1" s="226" t="s">
        <v>620</v>
      </c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</row>
    <row r="2" s="237" customFormat="1" ht="15" customHeight="1" spans="1:42">
      <c r="A2" s="148"/>
      <c r="B2" s="299" t="s">
        <v>2</v>
      </c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6"/>
      <c r="AB2" s="226"/>
      <c r="AC2" s="226"/>
      <c r="AD2" s="226"/>
      <c r="AE2" s="226"/>
      <c r="AF2" s="226"/>
      <c r="AG2" s="226"/>
      <c r="AH2" s="226"/>
      <c r="AI2" s="226"/>
      <c r="AJ2" s="226"/>
      <c r="AK2" s="226"/>
      <c r="AL2" s="226"/>
      <c r="AM2" s="226"/>
      <c r="AN2" s="226"/>
    </row>
    <row r="3" s="238" customFormat="1" customHeight="1" spans="1:42">
      <c r="A3" s="155" t="s">
        <v>3</v>
      </c>
      <c r="B3" s="246" t="s">
        <v>621</v>
      </c>
      <c r="C3" s="246" t="s">
        <v>622</v>
      </c>
      <c r="D3" s="246" t="s">
        <v>6</v>
      </c>
      <c r="E3" s="246" t="s">
        <v>64</v>
      </c>
      <c r="F3" s="227" t="s">
        <v>622</v>
      </c>
      <c r="G3" s="227" t="s">
        <v>623</v>
      </c>
      <c r="H3" s="249" t="s">
        <v>624</v>
      </c>
      <c r="I3" s="227" t="s">
        <v>625</v>
      </c>
      <c r="J3" s="300" t="s">
        <v>626</v>
      </c>
      <c r="K3" s="249" t="s">
        <v>627</v>
      </c>
      <c r="L3" s="249" t="s">
        <v>628</v>
      </c>
      <c r="M3" s="249" t="s">
        <v>629</v>
      </c>
      <c r="N3" s="249" t="s">
        <v>630</v>
      </c>
      <c r="O3" s="249" t="s">
        <v>631</v>
      </c>
      <c r="P3" s="300" t="s">
        <v>632</v>
      </c>
      <c r="Q3" s="249" t="s">
        <v>633</v>
      </c>
      <c r="R3" s="249" t="s">
        <v>634</v>
      </c>
      <c r="S3" s="249" t="s">
        <v>635</v>
      </c>
      <c r="T3" s="249" t="s">
        <v>636</v>
      </c>
      <c r="U3" s="249" t="s">
        <v>637</v>
      </c>
      <c r="V3" s="249" t="s">
        <v>638</v>
      </c>
      <c r="W3" s="249" t="s">
        <v>639</v>
      </c>
      <c r="X3" s="249" t="s">
        <v>640</v>
      </c>
      <c r="Y3" s="249" t="s">
        <v>641</v>
      </c>
      <c r="Z3" s="249" t="s">
        <v>642</v>
      </c>
      <c r="AA3" s="249" t="s">
        <v>643</v>
      </c>
      <c r="AB3" s="249" t="s">
        <v>644</v>
      </c>
      <c r="AC3" s="249" t="s">
        <v>645</v>
      </c>
      <c r="AD3" s="249" t="s">
        <v>646</v>
      </c>
      <c r="AE3" s="249" t="s">
        <v>647</v>
      </c>
      <c r="AF3" s="249" t="s">
        <v>648</v>
      </c>
      <c r="AG3" s="249" t="s">
        <v>649</v>
      </c>
      <c r="AH3" s="249" t="s">
        <v>650</v>
      </c>
      <c r="AI3" s="249" t="s">
        <v>651</v>
      </c>
      <c r="AJ3" s="300" t="s">
        <v>652</v>
      </c>
      <c r="AK3" s="249" t="s">
        <v>653</v>
      </c>
      <c r="AL3" s="249" t="s">
        <v>654</v>
      </c>
      <c r="AM3" s="249" t="s">
        <v>655</v>
      </c>
      <c r="AN3" s="249" t="s">
        <v>656</v>
      </c>
    </row>
    <row r="4" s="239" customFormat="1" customHeight="1" spans="1:42">
      <c r="A4" s="161">
        <v>1</v>
      </c>
      <c r="B4" s="301" t="s">
        <v>657</v>
      </c>
      <c r="C4" s="15"/>
      <c r="D4" s="15"/>
      <c r="E4" s="15"/>
      <c r="F4" s="302">
        <v>6282.91</v>
      </c>
      <c r="G4" s="252">
        <v>31</v>
      </c>
      <c r="H4" s="252">
        <f t="shared" ref="H4:H13" si="0">SUM(J4:AN4)</f>
        <v>6200</v>
      </c>
      <c r="I4" s="303">
        <f t="shared" ref="I4:I13" si="1">F4-H4</f>
        <v>82.9099999999999</v>
      </c>
      <c r="J4" s="304">
        <v>150</v>
      </c>
      <c r="K4" s="304">
        <v>150</v>
      </c>
      <c r="L4" s="304">
        <v>150</v>
      </c>
      <c r="M4" s="304">
        <v>150</v>
      </c>
      <c r="N4" s="304">
        <v>150</v>
      </c>
      <c r="O4" s="304">
        <v>150</v>
      </c>
      <c r="P4" s="304">
        <v>150</v>
      </c>
      <c r="Q4" s="304">
        <v>150</v>
      </c>
      <c r="R4" s="304">
        <v>150</v>
      </c>
      <c r="S4" s="304">
        <v>150</v>
      </c>
      <c r="T4" s="304">
        <v>150</v>
      </c>
      <c r="U4" s="304">
        <v>150</v>
      </c>
      <c r="V4" s="304">
        <v>200</v>
      </c>
      <c r="W4" s="304">
        <v>200</v>
      </c>
      <c r="X4" s="304">
        <v>200</v>
      </c>
      <c r="Y4" s="304">
        <v>200</v>
      </c>
      <c r="Z4" s="304">
        <v>200</v>
      </c>
      <c r="AA4" s="304">
        <v>200</v>
      </c>
      <c r="AB4" s="304">
        <v>200</v>
      </c>
      <c r="AC4" s="304">
        <v>200</v>
      </c>
      <c r="AD4" s="304">
        <v>200</v>
      </c>
      <c r="AE4" s="304">
        <v>200</v>
      </c>
      <c r="AF4" s="304">
        <v>200</v>
      </c>
      <c r="AG4" s="304">
        <v>200</v>
      </c>
      <c r="AH4" s="304">
        <v>200</v>
      </c>
      <c r="AI4" s="304">
        <v>200</v>
      </c>
      <c r="AJ4" s="304">
        <v>300</v>
      </c>
      <c r="AK4" s="304">
        <v>200</v>
      </c>
      <c r="AL4" s="304">
        <v>300</v>
      </c>
      <c r="AM4" s="304">
        <v>300</v>
      </c>
      <c r="AN4" s="304">
        <v>500</v>
      </c>
    </row>
    <row r="5" s="239" customFormat="1" customHeight="1" spans="1:42">
      <c r="A5" s="161">
        <v>2</v>
      </c>
      <c r="B5" s="305" t="s">
        <v>658</v>
      </c>
      <c r="C5" s="15"/>
      <c r="D5" s="15"/>
      <c r="E5" s="15"/>
      <c r="F5" s="306">
        <v>14956.77</v>
      </c>
      <c r="G5" s="252">
        <v>31</v>
      </c>
      <c r="H5" s="252">
        <f t="shared" si="0"/>
        <v>5927.81</v>
      </c>
      <c r="I5" s="303">
        <f t="shared" si="1"/>
        <v>9028.96</v>
      </c>
      <c r="J5" s="307">
        <v>200</v>
      </c>
      <c r="K5" s="308">
        <v>200</v>
      </c>
      <c r="L5" s="307">
        <v>200</v>
      </c>
      <c r="M5" s="308">
        <v>200</v>
      </c>
      <c r="N5" s="307">
        <v>200</v>
      </c>
      <c r="O5" s="308">
        <v>200</v>
      </c>
      <c r="P5" s="307">
        <v>200</v>
      </c>
      <c r="Q5" s="308">
        <v>200</v>
      </c>
      <c r="R5" s="307">
        <v>200</v>
      </c>
      <c r="S5" s="308">
        <v>200</v>
      </c>
      <c r="T5" s="307">
        <v>200</v>
      </c>
      <c r="U5" s="308">
        <v>200</v>
      </c>
      <c r="V5" s="307">
        <v>200</v>
      </c>
      <c r="W5" s="308">
        <v>200</v>
      </c>
      <c r="X5" s="307">
        <v>200</v>
      </c>
      <c r="Y5" s="308">
        <v>200</v>
      </c>
      <c r="Z5" s="308">
        <v>200</v>
      </c>
      <c r="AA5" s="308">
        <v>200</v>
      </c>
      <c r="AB5" s="308">
        <v>200</v>
      </c>
      <c r="AC5" s="308">
        <v>115.54</v>
      </c>
      <c r="AD5" s="308">
        <v>200</v>
      </c>
      <c r="AE5" s="304">
        <v>149.78</v>
      </c>
      <c r="AF5" s="304">
        <v>200</v>
      </c>
      <c r="AG5" s="304">
        <v>200</v>
      </c>
      <c r="AH5" s="304">
        <v>128.48</v>
      </c>
      <c r="AI5" s="309">
        <v>88</v>
      </c>
      <c r="AJ5" s="309">
        <v>181.7</v>
      </c>
      <c r="AK5" s="310">
        <v>200</v>
      </c>
      <c r="AL5" s="309">
        <v>156.71</v>
      </c>
      <c r="AM5" s="309">
        <v>251.65</v>
      </c>
      <c r="AN5" s="310">
        <v>255.95</v>
      </c>
    </row>
    <row r="6" s="239" customFormat="1" customHeight="1" spans="1:42">
      <c r="A6" s="161">
        <v>3</v>
      </c>
      <c r="B6" s="305" t="s">
        <v>659</v>
      </c>
      <c r="C6" s="15"/>
      <c r="D6" s="15"/>
      <c r="E6" s="15"/>
      <c r="F6" s="302">
        <v>0</v>
      </c>
      <c r="G6" s="252">
        <v>31</v>
      </c>
      <c r="H6" s="252">
        <f t="shared" si="0"/>
        <v>0</v>
      </c>
      <c r="I6" s="252">
        <f t="shared" si="1"/>
        <v>0</v>
      </c>
      <c r="K6" s="311"/>
      <c r="L6" s="311"/>
      <c r="M6" s="312"/>
      <c r="N6" s="307"/>
      <c r="O6" s="313"/>
      <c r="P6" s="307"/>
      <c r="Q6" s="314"/>
      <c r="R6" s="311"/>
      <c r="S6" s="311"/>
      <c r="T6" s="311"/>
      <c r="U6" s="311"/>
      <c r="V6" s="311"/>
      <c r="W6" s="311"/>
      <c r="X6" s="311"/>
      <c r="Y6" s="311"/>
      <c r="Z6" s="311"/>
      <c r="AA6" s="311"/>
      <c r="AB6" s="311"/>
      <c r="AC6" s="311"/>
      <c r="AD6" s="311"/>
      <c r="AE6" s="311"/>
      <c r="AF6" s="311"/>
      <c r="AG6" s="311"/>
      <c r="AH6" s="311"/>
      <c r="AI6" s="312"/>
      <c r="AJ6" s="307"/>
      <c r="AK6" s="314"/>
      <c r="AL6" s="311"/>
      <c r="AM6" s="311"/>
      <c r="AN6" s="311"/>
    </row>
    <row r="7" s="239" customFormat="1" customHeight="1" spans="1:42">
      <c r="A7" s="161">
        <v>4</v>
      </c>
      <c r="B7" s="258" t="s">
        <v>660</v>
      </c>
      <c r="C7" s="15"/>
      <c r="D7" s="15"/>
      <c r="E7" s="15"/>
      <c r="F7" s="252">
        <v>3600</v>
      </c>
      <c r="G7" s="252">
        <v>31</v>
      </c>
      <c r="H7" s="252">
        <f t="shared" si="0"/>
        <v>3596</v>
      </c>
      <c r="I7" s="252">
        <f t="shared" si="1"/>
        <v>4</v>
      </c>
      <c r="J7" s="134">
        <v>116</v>
      </c>
      <c r="K7" s="134">
        <v>116</v>
      </c>
      <c r="L7" s="134">
        <v>116</v>
      </c>
      <c r="M7" s="134">
        <v>116</v>
      </c>
      <c r="N7" s="134">
        <v>116</v>
      </c>
      <c r="O7" s="134">
        <v>116</v>
      </c>
      <c r="P7" s="134">
        <v>116</v>
      </c>
      <c r="Q7" s="134">
        <v>116</v>
      </c>
      <c r="R7" s="134">
        <v>116</v>
      </c>
      <c r="S7" s="134">
        <v>116</v>
      </c>
      <c r="T7" s="134">
        <v>116</v>
      </c>
      <c r="U7" s="134">
        <v>116</v>
      </c>
      <c r="V7" s="134">
        <v>116</v>
      </c>
      <c r="W7" s="134">
        <v>116</v>
      </c>
      <c r="X7" s="134">
        <v>116</v>
      </c>
      <c r="Y7" s="134">
        <v>116</v>
      </c>
      <c r="Z7" s="134">
        <v>116</v>
      </c>
      <c r="AA7" s="134">
        <v>116</v>
      </c>
      <c r="AB7" s="134">
        <v>116</v>
      </c>
      <c r="AC7" s="134">
        <v>116</v>
      </c>
      <c r="AD7" s="134">
        <v>116</v>
      </c>
      <c r="AE7" s="134">
        <v>116</v>
      </c>
      <c r="AF7" s="134">
        <v>116</v>
      </c>
      <c r="AG7" s="134">
        <v>116</v>
      </c>
      <c r="AH7" s="134">
        <v>116</v>
      </c>
      <c r="AI7" s="134">
        <v>116</v>
      </c>
      <c r="AJ7" s="134">
        <v>116</v>
      </c>
      <c r="AK7" s="134">
        <v>116</v>
      </c>
      <c r="AL7" s="134">
        <v>116</v>
      </c>
      <c r="AM7" s="134">
        <v>116</v>
      </c>
      <c r="AN7" s="134">
        <v>116</v>
      </c>
    </row>
    <row r="8" s="239" customFormat="1" customHeight="1" spans="1:42">
      <c r="A8" s="161">
        <v>5</v>
      </c>
      <c r="B8" s="258" t="s">
        <v>661</v>
      </c>
      <c r="C8" s="15"/>
      <c r="D8" s="15"/>
      <c r="E8" s="15"/>
      <c r="F8" s="252">
        <v>620</v>
      </c>
      <c r="G8" s="252">
        <v>31</v>
      </c>
      <c r="H8" s="252">
        <f t="shared" si="0"/>
        <v>620</v>
      </c>
      <c r="I8" s="252">
        <f t="shared" si="1"/>
        <v>0</v>
      </c>
      <c r="J8" s="134">
        <v>20</v>
      </c>
      <c r="K8" s="134">
        <v>20</v>
      </c>
      <c r="L8" s="134">
        <v>20</v>
      </c>
      <c r="M8" s="134">
        <v>20</v>
      </c>
      <c r="N8" s="134">
        <v>20</v>
      </c>
      <c r="O8" s="134">
        <v>20</v>
      </c>
      <c r="P8" s="134">
        <v>20</v>
      </c>
      <c r="Q8" s="134">
        <v>20</v>
      </c>
      <c r="R8" s="134">
        <v>20</v>
      </c>
      <c r="S8" s="134">
        <v>20</v>
      </c>
      <c r="T8" s="134">
        <v>20</v>
      </c>
      <c r="U8" s="134">
        <v>20</v>
      </c>
      <c r="V8" s="134">
        <v>20</v>
      </c>
      <c r="W8" s="134">
        <v>20</v>
      </c>
      <c r="X8" s="134">
        <v>20</v>
      </c>
      <c r="Y8" s="134">
        <v>20</v>
      </c>
      <c r="Z8" s="134">
        <v>20</v>
      </c>
      <c r="AA8" s="134">
        <v>20</v>
      </c>
      <c r="AB8" s="134">
        <v>20</v>
      </c>
      <c r="AC8" s="134">
        <v>20</v>
      </c>
      <c r="AD8" s="134">
        <v>20</v>
      </c>
      <c r="AE8" s="134">
        <v>20</v>
      </c>
      <c r="AF8" s="134">
        <v>20</v>
      </c>
      <c r="AG8" s="134">
        <v>20</v>
      </c>
      <c r="AH8" s="134">
        <v>20</v>
      </c>
      <c r="AI8" s="134">
        <v>20</v>
      </c>
      <c r="AJ8" s="134">
        <v>20</v>
      </c>
      <c r="AK8" s="134">
        <v>20</v>
      </c>
      <c r="AL8" s="134">
        <v>20</v>
      </c>
      <c r="AM8" s="134">
        <v>20</v>
      </c>
      <c r="AN8" s="134">
        <v>20</v>
      </c>
    </row>
    <row r="9" s="239" customFormat="1" customHeight="1" spans="1:42">
      <c r="A9" s="161">
        <v>6</v>
      </c>
      <c r="B9" s="258" t="s">
        <v>662</v>
      </c>
      <c r="C9" s="15"/>
      <c r="D9" s="15"/>
      <c r="E9" s="173">
        <v>0.044</v>
      </c>
      <c r="F9" s="315">
        <f>28551.54*E9</f>
        <v>1256.26776</v>
      </c>
      <c r="G9" s="252">
        <v>31</v>
      </c>
      <c r="H9" s="252">
        <f t="shared" si="0"/>
        <v>1256.26776</v>
      </c>
      <c r="I9" s="252">
        <f t="shared" si="1"/>
        <v>0</v>
      </c>
      <c r="J9" s="134">
        <f t="shared" ref="J9:L9" si="2">F9/31</f>
        <v>40.5247664516129</v>
      </c>
      <c r="K9" s="134">
        <f>F9/31</f>
        <v>40.5247664516129</v>
      </c>
      <c r="L9" s="134">
        <f>F9/31</f>
        <v>40.5247664516129</v>
      </c>
      <c r="M9" s="134">
        <f>F9/31</f>
        <v>40.5247664516129</v>
      </c>
      <c r="N9" s="134">
        <f>F9/31</f>
        <v>40.5247664516129</v>
      </c>
      <c r="O9" s="134">
        <f>F9/31</f>
        <v>40.5247664516129</v>
      </c>
      <c r="P9" s="134">
        <f>F9/31</f>
        <v>40.5247664516129</v>
      </c>
      <c r="Q9" s="134">
        <f>F9/31</f>
        <v>40.5247664516129</v>
      </c>
      <c r="R9" s="134">
        <f>F9/31</f>
        <v>40.5247664516129</v>
      </c>
      <c r="S9" s="134">
        <f>F9/31</f>
        <v>40.5247664516129</v>
      </c>
      <c r="T9" s="134">
        <f>F9/31</f>
        <v>40.5247664516129</v>
      </c>
      <c r="U9" s="134">
        <f>F9/31</f>
        <v>40.5247664516129</v>
      </c>
      <c r="V9" s="134">
        <f>F9/31</f>
        <v>40.5247664516129</v>
      </c>
      <c r="W9" s="134">
        <f>F9/31</f>
        <v>40.5247664516129</v>
      </c>
      <c r="X9" s="134">
        <f>F9/31</f>
        <v>40.5247664516129</v>
      </c>
      <c r="Y9" s="134">
        <f>F9/31</f>
        <v>40.5247664516129</v>
      </c>
      <c r="Z9" s="134">
        <f>F9/31</f>
        <v>40.5247664516129</v>
      </c>
      <c r="AA9" s="134">
        <f>F9/31</f>
        <v>40.5247664516129</v>
      </c>
      <c r="AB9" s="134">
        <f>F9/31</f>
        <v>40.5247664516129</v>
      </c>
      <c r="AC9" s="134">
        <f>F9/31</f>
        <v>40.5247664516129</v>
      </c>
      <c r="AD9" s="316">
        <f>F9/31</f>
        <v>40.5247664516129</v>
      </c>
      <c r="AE9" s="134">
        <f>F9/31</f>
        <v>40.5247664516129</v>
      </c>
      <c r="AF9" s="134">
        <f>F9/31</f>
        <v>40.5247664516129</v>
      </c>
      <c r="AG9" s="134">
        <f>F9/31</f>
        <v>40.5247664516129</v>
      </c>
      <c r="AH9" s="134">
        <f>F9/31</f>
        <v>40.5247664516129</v>
      </c>
      <c r="AI9" s="134">
        <f>F9/31</f>
        <v>40.5247664516129</v>
      </c>
      <c r="AJ9" s="134">
        <f>F9/31</f>
        <v>40.5247664516129</v>
      </c>
      <c r="AK9" s="134">
        <f>F9/31</f>
        <v>40.5247664516129</v>
      </c>
      <c r="AL9" s="134">
        <f>F9/31</f>
        <v>40.5247664516129</v>
      </c>
      <c r="AM9" s="134">
        <f>F9/31</f>
        <v>40.5247664516129</v>
      </c>
      <c r="AN9" s="134">
        <f>F9/31</f>
        <v>40.5247664516129</v>
      </c>
    </row>
    <row r="10" s="239" customFormat="1" customHeight="1" spans="1:42">
      <c r="A10" s="161">
        <v>7</v>
      </c>
      <c r="B10" s="15"/>
      <c r="C10" s="15"/>
      <c r="D10" s="15"/>
      <c r="E10" s="15"/>
      <c r="F10" s="252"/>
      <c r="G10" s="252"/>
      <c r="H10" s="252">
        <f t="shared" si="0"/>
        <v>0</v>
      </c>
      <c r="I10" s="252">
        <f t="shared" si="1"/>
        <v>0</v>
      </c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</row>
    <row r="11" s="239" customFormat="1" customHeight="1" spans="1:42">
      <c r="A11" s="161">
        <v>8</v>
      </c>
      <c r="B11" s="15"/>
      <c r="C11" s="15"/>
      <c r="D11" s="15"/>
      <c r="E11" s="15"/>
      <c r="F11" s="252"/>
      <c r="G11" s="252"/>
      <c r="H11" s="252">
        <f t="shared" si="0"/>
        <v>0</v>
      </c>
      <c r="I11" s="252">
        <f t="shared" si="1"/>
        <v>0</v>
      </c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</row>
    <row r="12" s="239" customFormat="1" customHeight="1" spans="1:42">
      <c r="A12" s="161">
        <v>9</v>
      </c>
      <c r="B12" s="15"/>
      <c r="C12" s="15"/>
      <c r="D12" s="15"/>
      <c r="E12" s="15"/>
      <c r="F12" s="252"/>
      <c r="G12" s="252"/>
      <c r="H12" s="252">
        <f t="shared" si="0"/>
        <v>0</v>
      </c>
      <c r="I12" s="252">
        <f t="shared" si="1"/>
        <v>0</v>
      </c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</row>
    <row r="13" s="239" customFormat="1" customHeight="1" spans="1:42">
      <c r="A13" s="161">
        <v>10</v>
      </c>
      <c r="B13" s="15"/>
      <c r="C13" s="15"/>
      <c r="D13" s="15"/>
      <c r="E13" s="15"/>
      <c r="F13" s="252"/>
      <c r="G13" s="252"/>
      <c r="H13" s="252">
        <f t="shared" si="0"/>
        <v>0</v>
      </c>
      <c r="I13" s="252">
        <f t="shared" si="1"/>
        <v>0</v>
      </c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</row>
    <row r="14" customHeight="1" spans="1:42">
      <c r="A14" s="162"/>
      <c r="B14" s="66" t="s">
        <v>335</v>
      </c>
      <c r="C14" s="15"/>
      <c r="D14" s="15"/>
      <c r="E14" s="15"/>
      <c r="F14" s="15"/>
      <c r="G14" s="15"/>
      <c r="H14" s="15"/>
      <c r="I14" s="15"/>
      <c r="J14" s="134">
        <f>SUM(J4:J13)</f>
        <v>526.524766451613</v>
      </c>
      <c r="K14" s="134">
        <f t="shared" ref="K14:AP14" si="3">SUM(K4:K13)</f>
        <v>526.524766451613</v>
      </c>
      <c r="L14" s="134">
        <f t="shared" si="3"/>
        <v>526.524766451613</v>
      </c>
      <c r="M14" s="134">
        <f t="shared" si="3"/>
        <v>526.524766451613</v>
      </c>
      <c r="N14" s="134">
        <f t="shared" si="3"/>
        <v>526.524766451613</v>
      </c>
      <c r="O14" s="134">
        <f t="shared" si="3"/>
        <v>526.524766451613</v>
      </c>
      <c r="P14" s="134">
        <f t="shared" si="3"/>
        <v>526.524766451613</v>
      </c>
      <c r="Q14" s="134">
        <f t="shared" si="3"/>
        <v>526.524766451613</v>
      </c>
      <c r="R14" s="134">
        <f t="shared" si="3"/>
        <v>526.524766451613</v>
      </c>
      <c r="S14" s="134">
        <f t="shared" si="3"/>
        <v>526.524766451613</v>
      </c>
      <c r="T14" s="134">
        <f t="shared" si="3"/>
        <v>526.524766451613</v>
      </c>
      <c r="U14" s="134">
        <f t="shared" si="3"/>
        <v>526.524766451613</v>
      </c>
      <c r="V14" s="134">
        <f t="shared" si="3"/>
        <v>576.524766451613</v>
      </c>
      <c r="W14" s="134">
        <f t="shared" si="3"/>
        <v>576.524766451613</v>
      </c>
      <c r="X14" s="134">
        <f t="shared" si="3"/>
        <v>576.524766451613</v>
      </c>
      <c r="Y14" s="134">
        <f t="shared" si="3"/>
        <v>576.524766451613</v>
      </c>
      <c r="Z14" s="134">
        <f t="shared" si="3"/>
        <v>576.524766451613</v>
      </c>
      <c r="AA14" s="134">
        <f t="shared" si="3"/>
        <v>576.524766451613</v>
      </c>
      <c r="AB14" s="134">
        <f t="shared" si="3"/>
        <v>576.524766451613</v>
      </c>
      <c r="AC14" s="134">
        <f t="shared" si="3"/>
        <v>492.064766451613</v>
      </c>
      <c r="AD14" s="134">
        <f t="shared" si="3"/>
        <v>576.524766451613</v>
      </c>
      <c r="AE14" s="134">
        <f t="shared" si="3"/>
        <v>526.304766451613</v>
      </c>
      <c r="AF14" s="134">
        <f t="shared" si="3"/>
        <v>576.524766451613</v>
      </c>
      <c r="AG14" s="134">
        <f t="shared" si="3"/>
        <v>576.524766451613</v>
      </c>
      <c r="AH14" s="134">
        <f t="shared" si="3"/>
        <v>505.004766451613</v>
      </c>
      <c r="AI14" s="134">
        <f t="shared" si="3"/>
        <v>464.524766451613</v>
      </c>
      <c r="AJ14" s="134">
        <f t="shared" si="3"/>
        <v>658.224766451613</v>
      </c>
      <c r="AK14" s="134">
        <f t="shared" si="3"/>
        <v>576.524766451613</v>
      </c>
      <c r="AL14" s="134">
        <f t="shared" si="3"/>
        <v>633.234766451613</v>
      </c>
      <c r="AM14" s="134">
        <f t="shared" si="3"/>
        <v>728.174766451613</v>
      </c>
      <c r="AN14" s="134">
        <f t="shared" si="3"/>
        <v>932.474766451613</v>
      </c>
      <c r="AO14" s="134"/>
      <c r="AP14" s="13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耗能">
    <pageSetUpPr fitToPage="1"/>
  </sheetPr>
  <dimension ref="A1:EG37"/>
  <sheetViews>
    <sheetView showGridLines="0" zoomScale="70" zoomScaleNormal="70" topLeftCell="M5" workbookViewId="0">
      <selection activeCell="J13" sqref="J13"/>
    </sheetView>
  </sheetViews>
  <sheetFormatPr defaultColWidth="9.45" defaultRowHeight="25" customHeight="1"/>
  <cols>
    <col min="1" max="1" width="4.99166666666667" style="143"/>
    <col min="2" max="2" width="18.525" style="143"/>
    <col min="3" max="3" width="8.66666666666667" style="143"/>
    <col min="4" max="4" width="5.38333333333333" style="143"/>
    <col min="5" max="5" width="7.79166666666667" style="143" customWidth="1"/>
    <col min="6" max="6" width="16.6333333333333" style="143" customWidth="1"/>
    <col min="7" max="7" width="7.93333333333333" style="144"/>
    <col min="8" max="8" width="11.075" style="145" customWidth="1"/>
    <col min="9" max="9" width="9.525" style="144" customWidth="1"/>
    <col min="10" max="10" width="13.175" style="143" customWidth="1"/>
    <col min="11" max="11" width="10.775" style="143"/>
    <col min="12" max="12" width="12.175" style="143" customWidth="1"/>
    <col min="13" max="13" width="11.175" style="143"/>
    <col min="14" max="14" width="10.05" style="143" customWidth="1"/>
    <col min="15" max="15" width="9.64166666666667" style="143"/>
    <col min="16" max="16" width="13" style="143" customWidth="1"/>
    <col min="17" max="17" width="9.64166666666667" style="143"/>
    <col min="18" max="18" width="12.0416666666667" style="143" customWidth="1"/>
    <col min="19" max="19" width="10.775" style="143"/>
    <col min="20" max="20" width="12.125" style="143" customWidth="1"/>
    <col min="21" max="21" width="9.64166666666667" style="143"/>
    <col min="22" max="22" width="11.725" style="143" customWidth="1"/>
    <col min="23" max="23" width="10.775" style="143"/>
    <col min="24" max="24" width="11.4583333333333" style="143" customWidth="1"/>
    <col min="25" max="25" width="10.775" style="143"/>
    <col min="26" max="26" width="11.3333333333333" style="143" customWidth="1"/>
    <col min="27" max="27" width="9.64166666666667" style="143"/>
    <col min="28" max="28" width="12.1416666666667" style="143" customWidth="1"/>
    <col min="29" max="29" width="10.775" style="143"/>
    <col min="30" max="30" width="14.7083333333333" style="143"/>
    <col min="31" max="31" width="10.775" style="143"/>
    <col min="32" max="32" width="11.9916666666667" style="143" customWidth="1"/>
    <col min="33" max="33" width="9.64166666666667" style="143"/>
    <col min="34" max="34" width="12.9166666666667" style="143" customWidth="1"/>
    <col min="35" max="35" width="10.775" style="143"/>
    <col min="36" max="36" width="11.3166666666667" style="143" customWidth="1"/>
    <col min="37" max="37" width="9.64166666666667" style="143"/>
    <col min="38" max="38" width="10.275" style="143" customWidth="1"/>
    <col min="39" max="39" width="9.64166666666667" style="143"/>
    <col min="40" max="40" width="10.275" style="143" customWidth="1"/>
    <col min="41" max="41" width="9.64166666666667" style="143"/>
    <col min="42" max="42" width="10.8083333333333" style="143" customWidth="1"/>
    <col min="43" max="43" width="9.64166666666667" style="143"/>
    <col min="44" max="44" width="14.7083333333333" style="143"/>
    <col min="45" max="45" width="10.775" style="143"/>
    <col min="46" max="46" width="14.7083333333333" style="143"/>
    <col min="47" max="47" width="9.64166666666667" style="143"/>
    <col min="48" max="48" width="14.7083333333333" style="143"/>
    <col min="49" max="49" width="9.64166666666667" style="143"/>
    <col min="50" max="50" width="14.7083333333333" style="143"/>
    <col min="51" max="51" width="9.64166666666667" style="143"/>
    <col min="52" max="52" width="15.95" style="143"/>
    <col min="53" max="53" width="10.775" style="143"/>
    <col min="54" max="54" width="10.975" style="143" customWidth="1"/>
    <col min="55" max="55" width="9.64166666666667" style="143"/>
    <col min="56" max="56" width="14.7083333333333" style="143"/>
    <col min="57" max="57" width="9.64166666666667" style="143"/>
    <col min="58" max="58" width="10.275" style="143" customWidth="1"/>
    <col min="59" max="59" width="10.775" style="143"/>
    <col min="60" max="60" width="10.8583333333333" style="143" customWidth="1"/>
    <col min="61" max="61" width="10.775" style="143"/>
    <col min="62" max="62" width="11.025" style="143" customWidth="1"/>
    <col min="63" max="63" width="9.64166666666667" style="143"/>
    <col min="64" max="64" width="15.95" style="143"/>
    <col min="65" max="65" width="10.775" style="143"/>
    <col min="66" max="66" width="15.95" style="143"/>
    <col min="67" max="67" width="9.64166666666667" style="143"/>
    <col min="68" max="68" width="10.05" style="143" customWidth="1"/>
    <col min="69" max="69" width="10.775" style="143"/>
    <col min="70" max="70" width="9.89166666666667" style="143" customWidth="1"/>
    <col min="71" max="16384" width="9.45" style="142"/>
  </cols>
  <sheetData>
    <row r="1" s="177" customFormat="1" ht="40" customHeight="1" spans="1:137">
      <c r="A1" s="148" t="s">
        <v>663</v>
      </c>
      <c r="B1" s="148"/>
      <c r="C1" s="148"/>
      <c r="D1" s="148"/>
      <c r="E1" s="148"/>
      <c r="F1" s="149"/>
      <c r="G1" s="150"/>
      <c r="H1" s="149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48"/>
      <c r="BE1" s="148"/>
      <c r="BF1" s="148"/>
      <c r="BG1" s="148"/>
      <c r="BH1" s="148"/>
      <c r="BI1" s="148"/>
      <c r="BJ1" s="148"/>
      <c r="BK1" s="148"/>
      <c r="BL1" s="148"/>
      <c r="BM1" s="148"/>
      <c r="BN1" s="148"/>
      <c r="BO1" s="148"/>
      <c r="BP1" s="148"/>
      <c r="BQ1" s="148"/>
      <c r="BR1" s="148"/>
      <c r="BS1" s="263"/>
      <c r="BT1" s="263"/>
      <c r="BU1" s="263"/>
      <c r="BV1" s="263"/>
      <c r="BW1" s="263"/>
      <c r="BX1" s="263"/>
      <c r="BY1" s="263"/>
      <c r="BZ1" s="263"/>
      <c r="CA1" s="263"/>
      <c r="CB1" s="263"/>
      <c r="CC1" s="263"/>
      <c r="CD1" s="263"/>
      <c r="CE1" s="263"/>
      <c r="CF1" s="263"/>
      <c r="CG1" s="263"/>
      <c r="CH1" s="263"/>
      <c r="CI1" s="263"/>
      <c r="CJ1" s="263"/>
      <c r="CK1" s="263"/>
      <c r="CL1" s="263"/>
      <c r="CM1" s="263"/>
      <c r="CN1" s="263"/>
      <c r="CO1" s="263"/>
      <c r="CP1" s="263"/>
      <c r="CQ1" s="263"/>
      <c r="CR1" s="263"/>
      <c r="CS1" s="263"/>
      <c r="CT1" s="263"/>
      <c r="CU1" s="263"/>
      <c r="CV1" s="263"/>
      <c r="CW1" s="263"/>
      <c r="CX1" s="263"/>
      <c r="CY1" s="263"/>
      <c r="CZ1" s="263"/>
      <c r="DA1" s="263"/>
      <c r="DB1" s="263"/>
      <c r="DC1" s="263"/>
      <c r="DD1" s="263"/>
      <c r="DE1" s="263"/>
      <c r="DF1" s="263"/>
      <c r="DG1" s="263"/>
      <c r="DH1" s="263"/>
      <c r="DI1" s="263"/>
      <c r="DJ1" s="263"/>
      <c r="DK1" s="263"/>
      <c r="DL1" s="263"/>
      <c r="DM1" s="263"/>
      <c r="DN1" s="263"/>
      <c r="DO1" s="263"/>
      <c r="DP1" s="263"/>
      <c r="DQ1" s="263"/>
      <c r="DR1" s="263"/>
      <c r="DS1" s="263"/>
      <c r="DT1" s="263"/>
      <c r="DU1" s="263"/>
      <c r="DV1" s="263"/>
      <c r="DW1" s="263"/>
      <c r="DX1" s="263"/>
      <c r="DY1" s="263"/>
      <c r="DZ1" s="263"/>
      <c r="EA1" s="263"/>
      <c r="EB1" s="263"/>
      <c r="EC1" s="263"/>
      <c r="ED1" s="263"/>
      <c r="EE1" s="263"/>
      <c r="EF1" s="263"/>
      <c r="EG1" s="263"/>
    </row>
    <row r="2" s="177" customFormat="1" ht="26.25" customHeight="1" spans="1:137">
      <c r="A2" s="153" t="s">
        <v>2</v>
      </c>
      <c r="B2" s="148"/>
      <c r="C2" s="148"/>
      <c r="D2" s="148"/>
      <c r="E2" s="148"/>
      <c r="F2" s="149"/>
      <c r="G2" s="150"/>
      <c r="H2" s="149"/>
      <c r="I2" s="215" t="s">
        <v>125</v>
      </c>
      <c r="J2" s="215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148"/>
      <c r="BE2" s="148"/>
      <c r="BF2" s="148"/>
      <c r="BG2" s="148"/>
      <c r="BH2" s="148"/>
      <c r="BI2" s="148"/>
      <c r="BJ2" s="148"/>
      <c r="BK2" s="148"/>
      <c r="BL2" s="148"/>
      <c r="BM2" s="148"/>
      <c r="BN2" s="148"/>
      <c r="BO2" s="148"/>
      <c r="BP2" s="148"/>
      <c r="BQ2" s="148"/>
      <c r="BR2" s="148"/>
      <c r="BS2" s="263"/>
      <c r="BT2" s="263"/>
      <c r="BU2" s="263"/>
      <c r="BV2" s="263"/>
      <c r="BW2" s="263"/>
      <c r="BX2" s="263"/>
      <c r="BY2" s="263"/>
      <c r="BZ2" s="263"/>
      <c r="CA2" s="263"/>
      <c r="CB2" s="263"/>
      <c r="CC2" s="263"/>
      <c r="CD2" s="263"/>
      <c r="CE2" s="263"/>
      <c r="CF2" s="263"/>
      <c r="CG2" s="263"/>
      <c r="CH2" s="263"/>
      <c r="CI2" s="263"/>
      <c r="CJ2" s="263"/>
      <c r="CK2" s="263"/>
      <c r="CL2" s="263"/>
      <c r="CM2" s="263"/>
      <c r="CN2" s="263"/>
      <c r="CO2" s="263"/>
      <c r="CP2" s="263"/>
      <c r="CQ2" s="263"/>
      <c r="CR2" s="263"/>
      <c r="CS2" s="263"/>
      <c r="CT2" s="263"/>
      <c r="CU2" s="263"/>
      <c r="CV2" s="263"/>
      <c r="CW2" s="263"/>
      <c r="CX2" s="263"/>
      <c r="CY2" s="263"/>
      <c r="CZ2" s="263"/>
      <c r="DA2" s="263"/>
      <c r="DB2" s="263"/>
      <c r="DC2" s="263"/>
      <c r="DD2" s="263"/>
      <c r="DE2" s="263"/>
      <c r="DF2" s="263"/>
      <c r="DG2" s="263"/>
      <c r="DH2" s="263"/>
      <c r="DI2" s="263"/>
      <c r="DJ2" s="263"/>
      <c r="DK2" s="263"/>
      <c r="DL2" s="263"/>
      <c r="DM2" s="263"/>
      <c r="DN2" s="263"/>
      <c r="DO2" s="263"/>
      <c r="DP2" s="263"/>
      <c r="DQ2" s="263"/>
      <c r="DR2" s="263"/>
      <c r="DS2" s="263"/>
      <c r="DT2" s="263"/>
      <c r="DU2" s="263"/>
      <c r="DV2" s="263"/>
      <c r="DW2" s="263"/>
      <c r="DX2" s="263"/>
      <c r="DY2" s="263"/>
      <c r="DZ2" s="263"/>
      <c r="EA2" s="263"/>
      <c r="EB2" s="263"/>
      <c r="EC2" s="263"/>
      <c r="ED2" s="263"/>
      <c r="EE2" s="263"/>
      <c r="EF2" s="263"/>
      <c r="EG2" s="263"/>
    </row>
    <row r="3" s="18" customFormat="1" customHeight="1" spans="1:137">
      <c r="A3" s="155" t="s">
        <v>621</v>
      </c>
      <c r="B3" s="155" t="s">
        <v>127</v>
      </c>
      <c r="C3" s="155" t="s">
        <v>6</v>
      </c>
      <c r="D3" s="155" t="s">
        <v>64</v>
      </c>
      <c r="E3" s="264" t="s">
        <v>664</v>
      </c>
      <c r="F3" s="156" t="s">
        <v>665</v>
      </c>
      <c r="G3" s="156" t="s">
        <v>65</v>
      </c>
      <c r="H3" s="156"/>
      <c r="I3" s="196" t="s">
        <v>9</v>
      </c>
      <c r="J3" s="197"/>
      <c r="K3" s="196" t="s">
        <v>10</v>
      </c>
      <c r="L3" s="197"/>
      <c r="M3" s="196" t="s">
        <v>11</v>
      </c>
      <c r="N3" s="197"/>
      <c r="O3" s="196" t="s">
        <v>12</v>
      </c>
      <c r="P3" s="197"/>
      <c r="Q3" s="196" t="s">
        <v>13</v>
      </c>
      <c r="R3" s="197"/>
      <c r="S3" s="196" t="s">
        <v>14</v>
      </c>
      <c r="T3" s="197"/>
      <c r="U3" s="196" t="s">
        <v>15</v>
      </c>
      <c r="V3" s="197"/>
      <c r="W3" s="196" t="s">
        <v>16</v>
      </c>
      <c r="X3" s="197"/>
      <c r="Y3" s="196" t="s">
        <v>17</v>
      </c>
      <c r="Z3" s="197"/>
      <c r="AA3" s="196" t="s">
        <v>18</v>
      </c>
      <c r="AB3" s="197"/>
      <c r="AC3" s="196" t="s">
        <v>19</v>
      </c>
      <c r="AD3" s="197"/>
      <c r="AE3" s="196" t="s">
        <v>20</v>
      </c>
      <c r="AF3" s="197"/>
      <c r="AG3" s="196" t="s">
        <v>21</v>
      </c>
      <c r="AH3" s="197"/>
      <c r="AI3" s="196" t="s">
        <v>22</v>
      </c>
      <c r="AJ3" s="197"/>
      <c r="AK3" s="196" t="s">
        <v>23</v>
      </c>
      <c r="AL3" s="197"/>
      <c r="AM3" s="196" t="s">
        <v>24</v>
      </c>
      <c r="AN3" s="197"/>
      <c r="AO3" s="196" t="s">
        <v>25</v>
      </c>
      <c r="AP3" s="197"/>
      <c r="AQ3" s="196" t="s">
        <v>26</v>
      </c>
      <c r="AR3" s="197"/>
      <c r="AS3" s="196" t="s">
        <v>27</v>
      </c>
      <c r="AT3" s="197"/>
      <c r="AU3" s="196" t="s">
        <v>28</v>
      </c>
      <c r="AV3" s="197"/>
      <c r="AW3" s="196" t="s">
        <v>29</v>
      </c>
      <c r="AX3" s="197"/>
      <c r="AY3" s="196" t="s">
        <v>30</v>
      </c>
      <c r="AZ3" s="197"/>
      <c r="BA3" s="196" t="s">
        <v>31</v>
      </c>
      <c r="BB3" s="197"/>
      <c r="BC3" s="196" t="s">
        <v>32</v>
      </c>
      <c r="BD3" s="197"/>
      <c r="BE3" s="196" t="s">
        <v>33</v>
      </c>
      <c r="BF3" s="197"/>
      <c r="BG3" s="196" t="s">
        <v>34</v>
      </c>
      <c r="BH3" s="197"/>
      <c r="BI3" s="196" t="s">
        <v>35</v>
      </c>
      <c r="BJ3" s="197"/>
      <c r="BK3" s="196" t="s">
        <v>36</v>
      </c>
      <c r="BL3" s="197"/>
      <c r="BM3" s="196" t="s">
        <v>37</v>
      </c>
      <c r="BN3" s="197"/>
      <c r="BO3" s="196" t="s">
        <v>38</v>
      </c>
      <c r="BP3" s="197"/>
      <c r="BQ3" s="196" t="s">
        <v>39</v>
      </c>
      <c r="BR3" s="197"/>
      <c r="BS3" s="265"/>
      <c r="BT3" s="265"/>
      <c r="BU3" s="265"/>
      <c r="BV3" s="265"/>
      <c r="BW3" s="265"/>
      <c r="BX3" s="265"/>
      <c r="BY3" s="265"/>
      <c r="BZ3" s="265"/>
      <c r="CA3" s="265"/>
      <c r="CB3" s="265"/>
      <c r="CC3" s="265"/>
      <c r="CD3" s="265"/>
      <c r="CE3" s="265"/>
      <c r="CF3" s="265"/>
      <c r="CG3" s="265"/>
      <c r="CH3" s="265"/>
      <c r="CI3" s="265"/>
      <c r="CJ3" s="265"/>
      <c r="CK3" s="265"/>
      <c r="CL3" s="265"/>
      <c r="CM3" s="265"/>
      <c r="CN3" s="265"/>
      <c r="CO3" s="265"/>
      <c r="CP3" s="265"/>
      <c r="CQ3" s="265"/>
      <c r="CR3" s="265"/>
      <c r="CS3" s="265"/>
      <c r="CT3" s="265"/>
      <c r="CU3" s="265"/>
      <c r="CV3" s="265"/>
      <c r="CW3" s="265"/>
      <c r="CX3" s="265"/>
      <c r="CY3" s="265"/>
      <c r="CZ3" s="265"/>
      <c r="DA3" s="265"/>
      <c r="DB3" s="265"/>
      <c r="DC3" s="265"/>
      <c r="DD3" s="265"/>
      <c r="DE3" s="265"/>
      <c r="DF3" s="265"/>
      <c r="DG3" s="265"/>
      <c r="DH3" s="265"/>
      <c r="DI3" s="265"/>
      <c r="DJ3" s="265"/>
      <c r="DK3" s="265"/>
      <c r="DL3" s="265"/>
      <c r="DM3" s="265"/>
      <c r="DN3" s="265"/>
      <c r="DO3" s="265"/>
      <c r="DP3" s="265"/>
      <c r="DQ3" s="265"/>
      <c r="DR3" s="265"/>
      <c r="DS3" s="265"/>
      <c r="DT3" s="265"/>
      <c r="DU3" s="265"/>
      <c r="DV3" s="265"/>
      <c r="DW3" s="265"/>
      <c r="DX3" s="265"/>
      <c r="DY3" s="265"/>
      <c r="DZ3" s="265"/>
      <c r="EA3" s="265"/>
      <c r="EB3" s="265"/>
      <c r="EC3" s="265"/>
      <c r="ED3" s="265"/>
      <c r="EE3" s="265"/>
      <c r="EF3" s="265"/>
      <c r="EG3" s="265"/>
    </row>
    <row r="4" s="18" customFormat="1" customHeight="1" spans="1:137">
      <c r="A4" s="155"/>
      <c r="B4" s="155"/>
      <c r="C4" s="155"/>
      <c r="D4" s="155"/>
      <c r="E4" s="156"/>
      <c r="F4" s="266" t="s">
        <v>624</v>
      </c>
      <c r="G4" s="156"/>
      <c r="H4" s="156" t="s">
        <v>305</v>
      </c>
      <c r="I4" s="266" t="s">
        <v>666</v>
      </c>
      <c r="J4" s="266" t="s">
        <v>624</v>
      </c>
      <c r="K4" s="266" t="s">
        <v>666</v>
      </c>
      <c r="L4" s="266" t="s">
        <v>624</v>
      </c>
      <c r="M4" s="266" t="s">
        <v>666</v>
      </c>
      <c r="N4" s="266" t="s">
        <v>624</v>
      </c>
      <c r="O4" s="266" t="s">
        <v>666</v>
      </c>
      <c r="P4" s="266" t="s">
        <v>624</v>
      </c>
      <c r="Q4" s="266" t="s">
        <v>666</v>
      </c>
      <c r="R4" s="266" t="s">
        <v>624</v>
      </c>
      <c r="S4" s="266" t="s">
        <v>666</v>
      </c>
      <c r="T4" s="266" t="s">
        <v>624</v>
      </c>
      <c r="U4" s="266" t="s">
        <v>666</v>
      </c>
      <c r="V4" s="266" t="s">
        <v>624</v>
      </c>
      <c r="W4" s="266" t="s">
        <v>666</v>
      </c>
      <c r="X4" s="266" t="s">
        <v>624</v>
      </c>
      <c r="Y4" s="266" t="s">
        <v>666</v>
      </c>
      <c r="Z4" s="266" t="s">
        <v>624</v>
      </c>
      <c r="AA4" s="266" t="s">
        <v>666</v>
      </c>
      <c r="AB4" s="266" t="s">
        <v>624</v>
      </c>
      <c r="AC4" s="266" t="s">
        <v>666</v>
      </c>
      <c r="AD4" s="266" t="s">
        <v>624</v>
      </c>
      <c r="AE4" s="266" t="s">
        <v>666</v>
      </c>
      <c r="AF4" s="266" t="s">
        <v>624</v>
      </c>
      <c r="AG4" s="266" t="s">
        <v>666</v>
      </c>
      <c r="AH4" s="266" t="s">
        <v>624</v>
      </c>
      <c r="AI4" s="266" t="s">
        <v>666</v>
      </c>
      <c r="AJ4" s="266" t="s">
        <v>624</v>
      </c>
      <c r="AK4" s="266" t="s">
        <v>666</v>
      </c>
      <c r="AL4" s="266" t="s">
        <v>624</v>
      </c>
      <c r="AM4" s="266" t="s">
        <v>666</v>
      </c>
      <c r="AN4" s="266" t="s">
        <v>624</v>
      </c>
      <c r="AO4" s="266" t="s">
        <v>666</v>
      </c>
      <c r="AP4" s="266" t="s">
        <v>624</v>
      </c>
      <c r="AQ4" s="266" t="s">
        <v>666</v>
      </c>
      <c r="AR4" s="266" t="s">
        <v>624</v>
      </c>
      <c r="AS4" s="266" t="s">
        <v>666</v>
      </c>
      <c r="AT4" s="266" t="s">
        <v>624</v>
      </c>
      <c r="AU4" s="266" t="s">
        <v>666</v>
      </c>
      <c r="AV4" s="266" t="s">
        <v>624</v>
      </c>
      <c r="AW4" s="266" t="s">
        <v>666</v>
      </c>
      <c r="AX4" s="266" t="s">
        <v>624</v>
      </c>
      <c r="AY4" s="266" t="s">
        <v>666</v>
      </c>
      <c r="AZ4" s="266" t="s">
        <v>624</v>
      </c>
      <c r="BA4" s="266" t="s">
        <v>666</v>
      </c>
      <c r="BB4" s="266" t="s">
        <v>624</v>
      </c>
      <c r="BC4" s="266" t="s">
        <v>666</v>
      </c>
      <c r="BD4" s="266" t="s">
        <v>624</v>
      </c>
      <c r="BE4" s="266" t="s">
        <v>666</v>
      </c>
      <c r="BF4" s="266" t="s">
        <v>624</v>
      </c>
      <c r="BG4" s="266" t="s">
        <v>666</v>
      </c>
      <c r="BH4" s="266" t="s">
        <v>624</v>
      </c>
      <c r="BI4" s="266" t="s">
        <v>666</v>
      </c>
      <c r="BJ4" s="266" t="s">
        <v>624</v>
      </c>
      <c r="BK4" s="266" t="s">
        <v>666</v>
      </c>
      <c r="BL4" s="266" t="s">
        <v>624</v>
      </c>
      <c r="BM4" s="266" t="s">
        <v>666</v>
      </c>
      <c r="BN4" s="266" t="s">
        <v>624</v>
      </c>
      <c r="BO4" s="266" t="s">
        <v>666</v>
      </c>
      <c r="BP4" s="266" t="s">
        <v>624</v>
      </c>
      <c r="BQ4" s="266" t="s">
        <v>666</v>
      </c>
      <c r="BR4" s="266" t="s">
        <v>624</v>
      </c>
      <c r="BS4" s="265"/>
      <c r="BT4" s="265"/>
      <c r="BU4" s="265"/>
      <c r="BV4" s="265"/>
      <c r="BW4" s="265"/>
      <c r="BX4" s="265"/>
      <c r="BY4" s="265"/>
      <c r="BZ4" s="265"/>
      <c r="CA4" s="265"/>
      <c r="CB4" s="265"/>
      <c r="CC4" s="265"/>
      <c r="CD4" s="265"/>
      <c r="CE4" s="265"/>
      <c r="CF4" s="265"/>
      <c r="CG4" s="265"/>
      <c r="CH4" s="265"/>
      <c r="CI4" s="265"/>
      <c r="CJ4" s="265"/>
      <c r="CK4" s="265"/>
      <c r="CL4" s="265"/>
      <c r="CM4" s="265"/>
      <c r="CN4" s="265"/>
      <c r="CO4" s="265"/>
      <c r="CP4" s="265"/>
      <c r="CQ4" s="265"/>
      <c r="CR4" s="265"/>
      <c r="CS4" s="265"/>
      <c r="CT4" s="265"/>
      <c r="CU4" s="265"/>
      <c r="CV4" s="265"/>
      <c r="CW4" s="265"/>
      <c r="CX4" s="265"/>
      <c r="CY4" s="265"/>
      <c r="CZ4" s="265"/>
      <c r="DA4" s="265"/>
      <c r="DB4" s="265"/>
      <c r="DC4" s="265"/>
      <c r="DD4" s="265"/>
      <c r="DE4" s="265"/>
      <c r="DF4" s="265"/>
      <c r="DG4" s="265"/>
      <c r="DH4" s="265"/>
      <c r="DI4" s="265"/>
      <c r="DJ4" s="265"/>
      <c r="DK4" s="265"/>
      <c r="DL4" s="265"/>
      <c r="DM4" s="265"/>
      <c r="DN4" s="265"/>
      <c r="DO4" s="265"/>
      <c r="DP4" s="265"/>
      <c r="DQ4" s="265"/>
      <c r="DR4" s="265"/>
      <c r="DS4" s="265"/>
      <c r="DT4" s="265"/>
      <c r="DU4" s="265"/>
      <c r="DV4" s="265"/>
      <c r="DW4" s="265"/>
      <c r="DX4" s="265"/>
      <c r="DY4" s="265"/>
      <c r="DZ4" s="265"/>
      <c r="EA4" s="265"/>
      <c r="EB4" s="265"/>
      <c r="EC4" s="265"/>
      <c r="ED4" s="265"/>
      <c r="EE4" s="265"/>
      <c r="EF4" s="265"/>
      <c r="EG4" s="265"/>
    </row>
    <row r="5" s="262" customFormat="1" customHeight="1" spans="1:137">
      <c r="A5" s="267" t="s">
        <v>667</v>
      </c>
      <c r="B5" s="267">
        <v>1</v>
      </c>
      <c r="C5" s="267" t="s">
        <v>668</v>
      </c>
      <c r="D5" s="267">
        <v>0.77</v>
      </c>
      <c r="E5" s="268">
        <v>0</v>
      </c>
      <c r="F5" s="269">
        <f>SUMIF($J$4:$BR$4,$G$3,$J$5:$BR$5)</f>
        <v>0</v>
      </c>
      <c r="G5" s="270">
        <f t="shared" ref="G5:G8" si="0">F5*B5*D5</f>
        <v>0</v>
      </c>
      <c r="H5" s="268">
        <f t="shared" ref="H5:H8" si="1">E5+F5/B5</f>
        <v>0</v>
      </c>
      <c r="I5" s="271">
        <f>J5+E5</f>
        <v>2532.57</v>
      </c>
      <c r="J5" s="272">
        <v>2532.57</v>
      </c>
      <c r="K5" s="271">
        <f>L5+I5</f>
        <v>5010.26</v>
      </c>
      <c r="L5" s="272">
        <v>2477.69</v>
      </c>
      <c r="M5" s="271">
        <f>N5+K5</f>
        <v>8096.18</v>
      </c>
      <c r="N5" s="272">
        <v>3085.92</v>
      </c>
      <c r="O5" s="271">
        <f>P5+M5</f>
        <v>11673.93</v>
      </c>
      <c r="P5" s="272">
        <v>3577.75</v>
      </c>
      <c r="Q5" s="271">
        <f>R5+O5</f>
        <v>15267.57</v>
      </c>
      <c r="R5" s="272">
        <v>3593.64</v>
      </c>
      <c r="S5" s="271">
        <f>T5+Q5</f>
        <v>18956.95</v>
      </c>
      <c r="T5" s="272">
        <v>3689.38</v>
      </c>
      <c r="U5" s="271">
        <f>V5+S5</f>
        <v>22328.58</v>
      </c>
      <c r="V5" s="272">
        <v>3371.63</v>
      </c>
      <c r="W5" s="271">
        <f>X5+U5</f>
        <v>25709.31</v>
      </c>
      <c r="X5" s="272">
        <v>3380.73</v>
      </c>
      <c r="Y5" s="271">
        <f>Z5+W5</f>
        <v>29643.08</v>
      </c>
      <c r="Z5" s="272">
        <v>3933.77</v>
      </c>
      <c r="AA5" s="271">
        <f>AB5+Y5</f>
        <v>33367.31</v>
      </c>
      <c r="AB5" s="272">
        <v>3724.23</v>
      </c>
      <c r="AC5" s="271">
        <f>AD5+AA5</f>
        <v>37685.01</v>
      </c>
      <c r="AD5" s="272">
        <v>4317.7</v>
      </c>
      <c r="AE5" s="271">
        <f>AF5+AC5</f>
        <v>41665.36</v>
      </c>
      <c r="AF5" s="272">
        <v>3980.35</v>
      </c>
      <c r="AG5" s="271">
        <f>AH5+AE5</f>
        <v>44921.12</v>
      </c>
      <c r="AH5" s="272">
        <v>3255.76</v>
      </c>
      <c r="AI5" s="271">
        <f>AJ5+AG5</f>
        <v>47877.63</v>
      </c>
      <c r="AJ5" s="272">
        <v>2956.51</v>
      </c>
      <c r="AK5" s="271">
        <f>AL5+AI5</f>
        <v>50794.69</v>
      </c>
      <c r="AL5" s="272">
        <v>2917.06</v>
      </c>
      <c r="AM5" s="271">
        <f>AN5+AK5</f>
        <v>53982.42</v>
      </c>
      <c r="AN5" s="272">
        <v>3187.73</v>
      </c>
      <c r="AO5" s="271">
        <f>AP5+AM5</f>
        <v>57225.95</v>
      </c>
      <c r="AP5" s="272">
        <v>3243.53</v>
      </c>
      <c r="AQ5" s="271">
        <f>AR5+AO5</f>
        <v>59766.46</v>
      </c>
      <c r="AR5" s="272">
        <v>2540.51</v>
      </c>
      <c r="AS5" s="271">
        <f>AT5+AQ5</f>
        <v>63077.21</v>
      </c>
      <c r="AT5" s="272">
        <v>3310.75</v>
      </c>
      <c r="AU5" s="271">
        <f>AV5+AS5</f>
        <v>65614.45</v>
      </c>
      <c r="AV5" s="272">
        <v>2537.24</v>
      </c>
      <c r="AW5" s="271">
        <f>AX5+AU5</f>
        <v>68625.21</v>
      </c>
      <c r="AX5" s="272">
        <v>3010.76</v>
      </c>
      <c r="AY5" s="271">
        <f>AZ5+AW5</f>
        <v>71833.02</v>
      </c>
      <c r="AZ5" s="272">
        <v>3207.81</v>
      </c>
      <c r="BA5" s="271">
        <f>BB5+AY5</f>
        <v>74895.73</v>
      </c>
      <c r="BB5" s="272">
        <v>3062.71</v>
      </c>
      <c r="BC5" s="271">
        <f>BD5+BA5</f>
        <v>78103.46</v>
      </c>
      <c r="BD5" s="272">
        <v>3207.73</v>
      </c>
      <c r="BE5" s="271">
        <f>BF5+BC5</f>
        <v>81104.33</v>
      </c>
      <c r="BF5" s="272">
        <v>3000.87</v>
      </c>
      <c r="BG5" s="271">
        <f>BH5+BE5</f>
        <v>84396.09</v>
      </c>
      <c r="BH5" s="272">
        <v>3291.76</v>
      </c>
      <c r="BI5" s="271">
        <f>BJ5+BG5</f>
        <v>87431.54</v>
      </c>
      <c r="BJ5" s="272">
        <v>3035.45</v>
      </c>
      <c r="BK5" s="271">
        <f>BL5+BI5</f>
        <v>90880.42</v>
      </c>
      <c r="BL5" s="272">
        <v>3448.88</v>
      </c>
      <c r="BM5" s="271">
        <f>BN5+BK5</f>
        <v>94786.52</v>
      </c>
      <c r="BN5" s="272">
        <v>3906.1</v>
      </c>
      <c r="BO5" s="271">
        <f>BP5+BM5</f>
        <v>98689.5</v>
      </c>
      <c r="BP5" s="272">
        <v>3902.98</v>
      </c>
      <c r="BQ5" s="271">
        <f>BR5+BO5</f>
        <v>102763.38</v>
      </c>
      <c r="BR5" s="272">
        <v>4073.88</v>
      </c>
      <c r="BS5" s="263"/>
      <c r="BT5" s="263"/>
      <c r="BU5" s="263"/>
      <c r="BV5" s="263"/>
      <c r="BW5" s="263"/>
      <c r="BX5" s="263"/>
      <c r="BY5" s="263"/>
      <c r="BZ5" s="263"/>
      <c r="CA5" s="263"/>
      <c r="CB5" s="263"/>
      <c r="CC5" s="263"/>
      <c r="CD5" s="263"/>
      <c r="CE5" s="263"/>
      <c r="CF5" s="263"/>
      <c r="CG5" s="263"/>
      <c r="CH5" s="263"/>
      <c r="CI5" s="263"/>
      <c r="CJ5" s="263"/>
      <c r="CK5" s="263"/>
      <c r="CL5" s="263"/>
      <c r="CM5" s="263"/>
      <c r="CN5" s="263"/>
      <c r="CO5" s="263"/>
      <c r="CP5" s="263"/>
      <c r="CQ5" s="263"/>
      <c r="CR5" s="263"/>
      <c r="CS5" s="263"/>
      <c r="CT5" s="263"/>
      <c r="CU5" s="263"/>
      <c r="CV5" s="263"/>
      <c r="CW5" s="263"/>
      <c r="CX5" s="263"/>
      <c r="CY5" s="263"/>
      <c r="CZ5" s="263"/>
      <c r="DA5" s="263"/>
      <c r="DB5" s="263"/>
      <c r="DC5" s="263"/>
      <c r="DD5" s="263"/>
      <c r="DE5" s="263"/>
      <c r="DF5" s="263"/>
      <c r="DG5" s="263"/>
      <c r="DH5" s="263"/>
      <c r="DI5" s="263"/>
      <c r="DJ5" s="263"/>
      <c r="DK5" s="263"/>
      <c r="DL5" s="263"/>
      <c r="DM5" s="263"/>
      <c r="DN5" s="263"/>
      <c r="DO5" s="263"/>
      <c r="DP5" s="263"/>
      <c r="DQ5" s="263"/>
      <c r="DR5" s="263"/>
      <c r="DS5" s="263"/>
      <c r="DT5" s="263"/>
      <c r="DU5" s="263"/>
      <c r="DV5" s="263"/>
      <c r="DW5" s="263"/>
      <c r="DX5" s="263"/>
      <c r="DY5" s="263"/>
      <c r="DZ5" s="263"/>
      <c r="EA5" s="263"/>
      <c r="EB5" s="263"/>
      <c r="EC5" s="263"/>
      <c r="ED5" s="263"/>
      <c r="EE5" s="263"/>
      <c r="EF5" s="263"/>
      <c r="EG5" s="263"/>
    </row>
    <row r="6" s="177" customFormat="1" customHeight="1" spans="1:137">
      <c r="A6" s="273" t="s">
        <v>669</v>
      </c>
      <c r="B6" s="273">
        <v>1</v>
      </c>
      <c r="C6" s="273" t="s">
        <v>670</v>
      </c>
      <c r="D6" s="273">
        <v>5.3</v>
      </c>
      <c r="E6" s="274">
        <v>0</v>
      </c>
      <c r="F6" s="275">
        <f>SUMIF($J$4:$BR$4,$G$4,$J6:$BR6)</f>
        <v>0</v>
      </c>
      <c r="G6" s="276">
        <f t="shared" si="0"/>
        <v>0</v>
      </c>
      <c r="H6" s="268">
        <f t="shared" si="1"/>
        <v>0</v>
      </c>
      <c r="I6" s="271">
        <f>J6+E6</f>
        <v>24</v>
      </c>
      <c r="J6" s="272">
        <v>24</v>
      </c>
      <c r="K6" s="271">
        <f>L6+I6</f>
        <v>53</v>
      </c>
      <c r="L6" s="272">
        <v>29</v>
      </c>
      <c r="M6" s="271">
        <f>N6+K6</f>
        <v>84</v>
      </c>
      <c r="N6" s="272">
        <v>31</v>
      </c>
      <c r="O6" s="271">
        <f>P6+M6</f>
        <v>116</v>
      </c>
      <c r="P6" s="267">
        <v>32</v>
      </c>
      <c r="Q6" s="271">
        <f>R6+O6</f>
        <v>164</v>
      </c>
      <c r="R6" s="272">
        <v>48</v>
      </c>
      <c r="S6" s="271">
        <f>T6+Q6</f>
        <v>202</v>
      </c>
      <c r="T6" s="272">
        <v>38</v>
      </c>
      <c r="U6" s="271">
        <f>V6+S6</f>
        <v>237</v>
      </c>
      <c r="V6" s="272">
        <v>35</v>
      </c>
      <c r="W6" s="271">
        <f>X6+U6</f>
        <v>279</v>
      </c>
      <c r="X6" s="267">
        <v>42</v>
      </c>
      <c r="Y6" s="271">
        <f>Z6+W6</f>
        <v>320</v>
      </c>
      <c r="Z6" s="272">
        <v>41</v>
      </c>
      <c r="AA6" s="271">
        <f>AB6+Y6</f>
        <v>364</v>
      </c>
      <c r="AB6" s="272">
        <v>44</v>
      </c>
      <c r="AC6" s="271">
        <f>AD6+AA6</f>
        <v>404</v>
      </c>
      <c r="AD6" s="272">
        <v>40</v>
      </c>
      <c r="AE6" s="271">
        <f>AF6+AC6</f>
        <v>442</v>
      </c>
      <c r="AF6" s="267">
        <v>38</v>
      </c>
      <c r="AG6" s="271">
        <f>AH6+AE6</f>
        <v>486</v>
      </c>
      <c r="AH6" s="272">
        <v>44</v>
      </c>
      <c r="AI6" s="271">
        <f>AJ6+AG6</f>
        <v>513</v>
      </c>
      <c r="AJ6" s="272">
        <v>27</v>
      </c>
      <c r="AK6" s="271">
        <f>AL6+AI6</f>
        <v>552</v>
      </c>
      <c r="AL6" s="272">
        <v>39</v>
      </c>
      <c r="AM6" s="271">
        <f>AN6+AK6</f>
        <v>587</v>
      </c>
      <c r="AN6" s="267">
        <v>35</v>
      </c>
      <c r="AO6" s="271">
        <f>AP6+AM6</f>
        <v>635</v>
      </c>
      <c r="AP6" s="272">
        <v>48</v>
      </c>
      <c r="AQ6" s="271">
        <f>AR6+AO6</f>
        <v>674</v>
      </c>
      <c r="AR6" s="272">
        <v>39</v>
      </c>
      <c r="AS6" s="271">
        <f>AT6+AQ6</f>
        <v>716</v>
      </c>
      <c r="AT6" s="272">
        <v>42</v>
      </c>
      <c r="AU6" s="271">
        <f>AV6+AS6</f>
        <v>756</v>
      </c>
      <c r="AV6" s="267">
        <v>40</v>
      </c>
      <c r="AW6" s="271">
        <f>AX6+AU6</f>
        <v>777</v>
      </c>
      <c r="AX6" s="272">
        <v>21</v>
      </c>
      <c r="AY6" s="271">
        <f>AZ6+AW6</f>
        <v>818</v>
      </c>
      <c r="AZ6" s="272">
        <v>41</v>
      </c>
      <c r="BA6" s="271">
        <f>BB6+AY6</f>
        <v>842</v>
      </c>
      <c r="BB6" s="272">
        <v>24</v>
      </c>
      <c r="BC6" s="271">
        <f>BD6+BA6</f>
        <v>881</v>
      </c>
      <c r="BD6" s="267">
        <v>39</v>
      </c>
      <c r="BE6" s="271">
        <f>BF6+BC6</f>
        <v>918.5</v>
      </c>
      <c r="BF6" s="272">
        <v>37.5</v>
      </c>
      <c r="BG6" s="271">
        <f>BH6+BE6</f>
        <v>962.5</v>
      </c>
      <c r="BH6" s="272">
        <v>44</v>
      </c>
      <c r="BI6" s="271">
        <f>BJ6+BG6</f>
        <v>996</v>
      </c>
      <c r="BJ6" s="272">
        <v>33.5</v>
      </c>
      <c r="BK6" s="271">
        <f>BL6+BI6</f>
        <v>1025</v>
      </c>
      <c r="BL6" s="267">
        <v>29</v>
      </c>
      <c r="BM6" s="271">
        <f>BN6+BK6</f>
        <v>1064</v>
      </c>
      <c r="BN6" s="272">
        <v>39</v>
      </c>
      <c r="BO6" s="271">
        <f>BP6+BM6</f>
        <v>1100</v>
      </c>
      <c r="BP6" s="272">
        <v>36</v>
      </c>
      <c r="BQ6" s="271">
        <f>BR6+BO6</f>
        <v>1137</v>
      </c>
      <c r="BR6" s="272">
        <v>37</v>
      </c>
      <c r="BS6" s="263"/>
      <c r="BT6" s="263"/>
      <c r="BU6" s="263"/>
      <c r="BV6" s="263"/>
      <c r="BW6" s="263"/>
      <c r="BX6" s="263"/>
      <c r="BY6" s="263"/>
      <c r="BZ6" s="263"/>
      <c r="CA6" s="263"/>
      <c r="CB6" s="263"/>
      <c r="CC6" s="263"/>
      <c r="CD6" s="263"/>
      <c r="CE6" s="263"/>
      <c r="CF6" s="263"/>
      <c r="CG6" s="263"/>
      <c r="CH6" s="263"/>
      <c r="CI6" s="263"/>
      <c r="CJ6" s="263"/>
      <c r="CK6" s="263"/>
      <c r="CL6" s="263"/>
      <c r="CM6" s="263"/>
      <c r="CN6" s="263"/>
      <c r="CO6" s="263"/>
      <c r="CP6" s="263"/>
      <c r="CQ6" s="263"/>
      <c r="CR6" s="263"/>
      <c r="CS6" s="263"/>
      <c r="CT6" s="263"/>
      <c r="CU6" s="263"/>
      <c r="CV6" s="263"/>
      <c r="CW6" s="263"/>
      <c r="CX6" s="263"/>
      <c r="CY6" s="263"/>
      <c r="CZ6" s="263"/>
      <c r="DA6" s="263"/>
      <c r="DB6" s="263"/>
      <c r="DC6" s="263"/>
      <c r="DD6" s="263"/>
      <c r="DE6" s="263"/>
      <c r="DF6" s="263"/>
      <c r="DG6" s="263"/>
      <c r="DH6" s="263"/>
      <c r="DI6" s="263"/>
      <c r="DJ6" s="263"/>
      <c r="DK6" s="263"/>
      <c r="DL6" s="263"/>
      <c r="DM6" s="263"/>
      <c r="DN6" s="263"/>
      <c r="DO6" s="263"/>
      <c r="DP6" s="263"/>
      <c r="DQ6" s="263"/>
      <c r="DR6" s="263"/>
      <c r="DS6" s="263"/>
      <c r="DT6" s="263"/>
      <c r="DU6" s="263"/>
      <c r="DV6" s="263"/>
      <c r="DW6" s="263"/>
      <c r="DX6" s="263"/>
      <c r="DY6" s="263"/>
      <c r="DZ6" s="263"/>
      <c r="EA6" s="263"/>
      <c r="EB6" s="263"/>
      <c r="EC6" s="263"/>
      <c r="ED6" s="263"/>
      <c r="EE6" s="263"/>
      <c r="EF6" s="263"/>
      <c r="EG6" s="263"/>
    </row>
    <row r="7" s="177" customFormat="1" customHeight="1" spans="1:137">
      <c r="A7" s="273"/>
      <c r="B7" s="273"/>
      <c r="C7" s="273"/>
      <c r="D7" s="273"/>
      <c r="E7" s="274"/>
      <c r="F7" s="275"/>
      <c r="G7" s="276"/>
      <c r="H7" s="268"/>
      <c r="I7" s="274"/>
      <c r="J7" s="277"/>
      <c r="K7" s="277"/>
      <c r="L7" s="277"/>
      <c r="M7" s="277"/>
      <c r="N7" s="277"/>
      <c r="O7" s="267"/>
      <c r="P7" s="267"/>
      <c r="Q7" s="267"/>
      <c r="R7" s="278"/>
      <c r="S7" s="267"/>
      <c r="T7" s="278"/>
      <c r="U7" s="267"/>
      <c r="V7" s="278"/>
      <c r="W7" s="267"/>
      <c r="X7" s="278"/>
      <c r="Y7" s="267"/>
      <c r="Z7" s="277"/>
      <c r="AA7" s="273"/>
      <c r="AB7" s="277"/>
      <c r="AC7" s="279"/>
      <c r="AD7" s="277"/>
      <c r="AE7" s="273"/>
      <c r="AF7" s="277"/>
      <c r="AG7" s="273"/>
      <c r="AH7" s="277"/>
      <c r="AI7" s="277"/>
      <c r="AJ7" s="277"/>
      <c r="AK7" s="277"/>
      <c r="AL7" s="277"/>
      <c r="AM7" s="277"/>
      <c r="AN7" s="277"/>
      <c r="AO7" s="273"/>
      <c r="AP7" s="277"/>
      <c r="AQ7" s="273"/>
      <c r="AR7" s="277"/>
      <c r="AS7" s="273"/>
      <c r="AT7" s="277"/>
      <c r="AU7" s="280"/>
      <c r="AV7" s="277"/>
      <c r="AW7" s="267"/>
      <c r="AX7" s="277"/>
      <c r="AY7" s="277"/>
      <c r="AZ7" s="277"/>
      <c r="BA7" s="277"/>
      <c r="BB7" s="277"/>
      <c r="BC7" s="277"/>
      <c r="BD7" s="277"/>
      <c r="BE7" s="277"/>
      <c r="BF7" s="277"/>
      <c r="BG7" s="281"/>
      <c r="BH7" s="277"/>
      <c r="BI7" s="282"/>
      <c r="BJ7" s="281"/>
      <c r="BK7" s="283"/>
      <c r="BL7" s="277"/>
      <c r="BM7" s="273"/>
      <c r="BN7" s="277"/>
      <c r="BO7" s="277"/>
      <c r="BP7" s="277"/>
      <c r="BQ7" s="284"/>
      <c r="BR7" s="267"/>
      <c r="BS7" s="263"/>
      <c r="BT7" s="263"/>
      <c r="BU7" s="263"/>
      <c r="BV7" s="263"/>
      <c r="BW7" s="263"/>
      <c r="BX7" s="263"/>
      <c r="BY7" s="263"/>
      <c r="BZ7" s="263"/>
      <c r="CA7" s="263"/>
      <c r="CB7" s="263"/>
      <c r="CC7" s="263"/>
      <c r="CD7" s="263"/>
      <c r="CE7" s="263"/>
      <c r="CF7" s="263"/>
      <c r="CG7" s="263"/>
      <c r="CH7" s="263"/>
      <c r="CI7" s="263"/>
      <c r="CJ7" s="263"/>
      <c r="CK7" s="263"/>
      <c r="CL7" s="263"/>
      <c r="CM7" s="263"/>
      <c r="CN7" s="263"/>
      <c r="CO7" s="263"/>
      <c r="CP7" s="263"/>
      <c r="CQ7" s="263"/>
      <c r="CR7" s="263"/>
      <c r="CS7" s="263"/>
      <c r="CT7" s="263"/>
      <c r="CU7" s="263"/>
      <c r="CV7" s="263"/>
      <c r="CW7" s="263"/>
      <c r="CX7" s="263"/>
      <c r="CY7" s="263"/>
      <c r="CZ7" s="263"/>
      <c r="DA7" s="263"/>
      <c r="DB7" s="263"/>
      <c r="DC7" s="263"/>
      <c r="DD7" s="263"/>
      <c r="DE7" s="263"/>
      <c r="DF7" s="263"/>
      <c r="DG7" s="263"/>
      <c r="DH7" s="263"/>
      <c r="DI7" s="263"/>
      <c r="DJ7" s="263"/>
      <c r="DK7" s="263"/>
      <c r="DL7" s="263"/>
      <c r="DM7" s="263"/>
      <c r="DN7" s="263"/>
      <c r="DO7" s="263"/>
      <c r="DP7" s="263"/>
      <c r="DQ7" s="263"/>
      <c r="DR7" s="263"/>
      <c r="DS7" s="263"/>
      <c r="DT7" s="263"/>
      <c r="DU7" s="263"/>
      <c r="DV7" s="263"/>
      <c r="DW7" s="263"/>
      <c r="DX7" s="263"/>
      <c r="DY7" s="263"/>
      <c r="DZ7" s="263"/>
      <c r="EA7" s="263"/>
      <c r="EB7" s="263"/>
      <c r="EC7" s="263"/>
      <c r="ED7" s="263"/>
      <c r="EE7" s="263"/>
      <c r="EF7" s="263"/>
      <c r="EG7" s="263"/>
    </row>
    <row r="8" s="177" customFormat="1" customHeight="1" spans="1:137">
      <c r="A8" s="133"/>
      <c r="B8" s="133"/>
      <c r="C8" s="133"/>
      <c r="D8" s="133"/>
      <c r="E8" s="285"/>
      <c r="F8" s="286"/>
      <c r="G8" s="276"/>
      <c r="H8" s="268"/>
      <c r="I8" s="287"/>
      <c r="J8" s="267"/>
      <c r="K8" s="277"/>
      <c r="L8" s="267"/>
      <c r="M8" s="277"/>
      <c r="N8" s="267"/>
      <c r="O8" s="267"/>
      <c r="P8" s="267"/>
      <c r="Q8" s="267"/>
      <c r="R8" s="267"/>
      <c r="S8" s="267"/>
      <c r="T8" s="267"/>
      <c r="U8" s="267"/>
      <c r="V8" s="267"/>
      <c r="W8" s="267"/>
      <c r="X8" s="267"/>
      <c r="Y8" s="267"/>
      <c r="Z8" s="267"/>
      <c r="AA8" s="133"/>
      <c r="AB8" s="267"/>
      <c r="AC8" s="288"/>
      <c r="AD8" s="267"/>
      <c r="AE8" s="133"/>
      <c r="AF8" s="267"/>
      <c r="AG8" s="133"/>
      <c r="AH8" s="267"/>
      <c r="AI8" s="267"/>
      <c r="AJ8" s="267"/>
      <c r="AK8" s="273"/>
      <c r="AL8" s="267"/>
      <c r="AM8" s="133"/>
      <c r="AN8" s="267"/>
      <c r="AO8" s="133"/>
      <c r="AP8" s="267"/>
      <c r="AQ8" s="133"/>
      <c r="AR8" s="267"/>
      <c r="AS8" s="133"/>
      <c r="AT8" s="267"/>
      <c r="AU8" s="133"/>
      <c r="AV8" s="267"/>
      <c r="AW8" s="133"/>
      <c r="AX8" s="277"/>
      <c r="AY8" s="277"/>
      <c r="AZ8" s="277"/>
      <c r="BA8" s="289"/>
      <c r="BB8" s="277"/>
      <c r="BC8" s="273"/>
      <c r="BD8" s="277"/>
      <c r="BE8" s="273"/>
      <c r="BF8" s="273"/>
      <c r="BG8" s="290"/>
      <c r="BH8" s="273"/>
      <c r="BI8" s="290"/>
      <c r="BJ8" s="267"/>
      <c r="BK8" s="291"/>
      <c r="BL8" s="133"/>
      <c r="BM8" s="133"/>
      <c r="BN8" s="133"/>
      <c r="BO8" s="267"/>
      <c r="BP8" s="133"/>
      <c r="BQ8" s="292"/>
      <c r="BR8" s="267"/>
      <c r="BS8" s="263"/>
      <c r="BT8" s="263"/>
      <c r="BU8" s="263"/>
      <c r="BV8" s="263"/>
      <c r="BW8" s="263"/>
      <c r="BX8" s="263"/>
      <c r="BY8" s="263"/>
      <c r="BZ8" s="263"/>
      <c r="CA8" s="263"/>
      <c r="CB8" s="263"/>
      <c r="CC8" s="263"/>
      <c r="CD8" s="263"/>
      <c r="CE8" s="263"/>
      <c r="CF8" s="263"/>
      <c r="CG8" s="263"/>
      <c r="CH8" s="263"/>
      <c r="CI8" s="263"/>
      <c r="CJ8" s="263"/>
      <c r="CK8" s="263"/>
      <c r="CL8" s="263"/>
      <c r="CM8" s="263"/>
      <c r="CN8" s="263"/>
      <c r="CO8" s="263"/>
      <c r="CP8" s="263"/>
      <c r="CQ8" s="263"/>
      <c r="CR8" s="263"/>
      <c r="CS8" s="263"/>
      <c r="CT8" s="263"/>
      <c r="CU8" s="263"/>
      <c r="CV8" s="263"/>
      <c r="CW8" s="263"/>
      <c r="CX8" s="263"/>
      <c r="CY8" s="263"/>
      <c r="CZ8" s="263"/>
      <c r="DA8" s="263"/>
      <c r="DB8" s="263"/>
      <c r="DC8" s="263"/>
      <c r="DD8" s="263"/>
      <c r="DE8" s="263"/>
      <c r="DF8" s="263"/>
      <c r="DG8" s="263"/>
      <c r="DH8" s="263"/>
      <c r="DI8" s="263"/>
      <c r="DJ8" s="263"/>
      <c r="DK8" s="263"/>
      <c r="DL8" s="263"/>
      <c r="DM8" s="263"/>
      <c r="DN8" s="263"/>
      <c r="DO8" s="263"/>
      <c r="DP8" s="263"/>
      <c r="DQ8" s="263"/>
      <c r="DR8" s="263"/>
      <c r="DS8" s="263"/>
      <c r="DT8" s="263"/>
      <c r="DU8" s="263"/>
      <c r="DV8" s="263"/>
      <c r="DW8" s="263"/>
      <c r="DX8" s="263"/>
      <c r="DY8" s="263"/>
      <c r="DZ8" s="263"/>
      <c r="EA8" s="263"/>
      <c r="EB8" s="263"/>
      <c r="EC8" s="263"/>
      <c r="ED8" s="263"/>
      <c r="EE8" s="263"/>
      <c r="EF8" s="263"/>
      <c r="EG8" s="263"/>
    </row>
    <row r="9" customHeight="1" spans="1:137">
      <c r="A9" s="293">
        <v>4</v>
      </c>
      <c r="B9" s="293"/>
      <c r="C9" s="293"/>
      <c r="D9" s="293"/>
      <c r="E9" s="293"/>
      <c r="F9" s="293"/>
      <c r="G9" s="294"/>
      <c r="H9" s="295"/>
      <c r="I9" s="294"/>
      <c r="J9" s="293"/>
      <c r="K9" s="293"/>
      <c r="L9" s="293"/>
      <c r="M9" s="293"/>
      <c r="N9" s="293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  <c r="AA9" s="293"/>
      <c r="AB9" s="293"/>
      <c r="AC9" s="293"/>
      <c r="AD9" s="293"/>
      <c r="AE9" s="293"/>
      <c r="AF9" s="293"/>
      <c r="AG9" s="293"/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293"/>
      <c r="AZ9" s="293"/>
      <c r="BA9" s="293"/>
      <c r="BB9" s="293"/>
      <c r="BC9" s="293"/>
      <c r="BD9" s="293"/>
      <c r="BE9" s="293"/>
      <c r="BF9" s="293"/>
      <c r="BG9" s="293"/>
      <c r="BH9" s="293"/>
      <c r="BI9" s="293"/>
      <c r="BJ9" s="293"/>
      <c r="BK9" s="293"/>
      <c r="BL9" s="293"/>
      <c r="BM9" s="293"/>
      <c r="BN9" s="293"/>
      <c r="BO9" s="293"/>
      <c r="BP9" s="293"/>
      <c r="BQ9" s="293"/>
      <c r="BR9" s="293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  <c r="DX9" s="296"/>
      <c r="DY9" s="296"/>
      <c r="DZ9" s="296"/>
      <c r="EA9" s="296"/>
      <c r="EB9" s="296"/>
      <c r="EC9" s="296"/>
      <c r="ED9" s="296"/>
      <c r="EE9" s="296"/>
      <c r="EF9" s="296"/>
      <c r="EG9" s="296"/>
    </row>
    <row r="10" s="142" customFormat="1" customHeight="1" spans="1:137">
      <c r="A10" s="293">
        <v>5</v>
      </c>
      <c r="B10" s="293"/>
      <c r="C10" s="293"/>
      <c r="D10" s="293"/>
      <c r="E10" s="293"/>
      <c r="F10" s="293"/>
      <c r="G10" s="294"/>
      <c r="H10" s="295"/>
      <c r="I10" s="294"/>
      <c r="J10" s="293"/>
      <c r="K10" s="293"/>
      <c r="L10" s="293"/>
      <c r="M10" s="293"/>
      <c r="N10" s="293"/>
      <c r="O10" s="293"/>
      <c r="P10" s="293"/>
      <c r="Q10" s="293"/>
      <c r="R10" s="293"/>
      <c r="S10" s="293"/>
      <c r="T10" s="293"/>
      <c r="U10" s="293"/>
      <c r="V10" s="293"/>
      <c r="W10" s="293"/>
      <c r="X10" s="293"/>
      <c r="Y10" s="293"/>
      <c r="Z10" s="297"/>
      <c r="AA10" s="293"/>
      <c r="AB10" s="293"/>
      <c r="AC10" s="293"/>
      <c r="AD10" s="293"/>
      <c r="AE10" s="293"/>
      <c r="AF10" s="293"/>
      <c r="AG10" s="293"/>
      <c r="AH10" s="293"/>
      <c r="AI10" s="293"/>
      <c r="AJ10" s="293"/>
      <c r="AK10" s="293"/>
      <c r="AL10" s="297"/>
      <c r="AM10" s="293"/>
      <c r="AN10" s="293"/>
      <c r="AO10" s="293"/>
      <c r="AP10" s="293"/>
      <c r="AQ10" s="293"/>
      <c r="AR10" s="293"/>
      <c r="AS10" s="293"/>
      <c r="AT10" s="293"/>
      <c r="AU10" s="293"/>
      <c r="AV10" s="293"/>
      <c r="AW10" s="293"/>
      <c r="AX10" s="293"/>
      <c r="AY10" s="293"/>
      <c r="AZ10" s="293"/>
      <c r="BA10" s="293"/>
      <c r="BB10" s="293"/>
      <c r="BC10" s="293"/>
      <c r="BD10" s="293"/>
      <c r="BE10" s="293"/>
      <c r="BF10" s="293"/>
      <c r="BG10" s="293"/>
      <c r="BH10" s="293"/>
      <c r="BI10" s="298"/>
      <c r="BJ10" s="293"/>
      <c r="BK10" s="293"/>
      <c r="BL10" s="293"/>
      <c r="BM10" s="293"/>
      <c r="BN10" s="293"/>
      <c r="BO10" s="293"/>
      <c r="BP10" s="293"/>
      <c r="BQ10" s="293"/>
      <c r="BR10" s="293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6"/>
      <c r="CS10" s="296"/>
      <c r="CT10" s="296"/>
      <c r="CU10" s="296"/>
      <c r="CV10" s="296"/>
      <c r="CW10" s="296"/>
      <c r="CX10" s="296"/>
      <c r="CY10" s="296"/>
      <c r="CZ10" s="296"/>
      <c r="DA10" s="296"/>
      <c r="DB10" s="296"/>
      <c r="DC10" s="296"/>
      <c r="DD10" s="296"/>
      <c r="DE10" s="296"/>
      <c r="DF10" s="296"/>
      <c r="DG10" s="296"/>
      <c r="DH10" s="296"/>
      <c r="DI10" s="296"/>
      <c r="DJ10" s="296"/>
      <c r="DK10" s="296"/>
      <c r="DL10" s="296"/>
      <c r="DM10" s="296"/>
      <c r="DN10" s="296"/>
      <c r="DO10" s="296"/>
      <c r="DP10" s="296"/>
      <c r="DQ10" s="296"/>
      <c r="DR10" s="296"/>
      <c r="DS10" s="296"/>
      <c r="DT10" s="296"/>
      <c r="DU10" s="296"/>
      <c r="DV10" s="296"/>
      <c r="DW10" s="296"/>
      <c r="DX10" s="296"/>
      <c r="DY10" s="296"/>
      <c r="DZ10" s="296"/>
      <c r="EA10" s="296"/>
      <c r="EB10" s="296"/>
      <c r="EC10" s="296"/>
      <c r="ED10" s="296"/>
      <c r="EE10" s="296"/>
      <c r="EF10" s="296"/>
      <c r="EG10" s="296"/>
    </row>
    <row r="11" customHeight="1" spans="1:137">
      <c r="A11" s="293">
        <v>6</v>
      </c>
      <c r="B11" s="293"/>
      <c r="C11" s="293"/>
      <c r="D11" s="293"/>
      <c r="E11" s="293"/>
      <c r="F11" s="293"/>
      <c r="G11" s="294"/>
      <c r="H11" s="295"/>
      <c r="I11" s="294"/>
      <c r="J11" s="293"/>
      <c r="K11" s="293"/>
      <c r="L11" s="293"/>
      <c r="M11" s="293"/>
      <c r="N11" s="293"/>
      <c r="O11" s="293"/>
      <c r="P11" s="293"/>
      <c r="Q11" s="293"/>
      <c r="R11" s="293"/>
      <c r="S11" s="293"/>
      <c r="T11" s="293"/>
      <c r="U11" s="293"/>
      <c r="V11" s="293"/>
      <c r="W11" s="293"/>
      <c r="X11" s="293"/>
      <c r="Y11" s="293"/>
      <c r="Z11" s="293"/>
      <c r="AA11" s="293"/>
      <c r="AB11" s="293"/>
      <c r="AC11" s="293"/>
      <c r="AD11" s="293"/>
      <c r="AE11" s="293"/>
      <c r="AF11" s="293"/>
      <c r="AG11" s="293"/>
      <c r="AH11" s="293"/>
      <c r="AI11" s="293"/>
      <c r="AJ11" s="293"/>
      <c r="AK11" s="293"/>
      <c r="AL11" s="293"/>
      <c r="AM11" s="293"/>
      <c r="AN11" s="293"/>
      <c r="AO11" s="293"/>
      <c r="AP11" s="293"/>
      <c r="AQ11" s="293"/>
      <c r="AR11" s="293"/>
      <c r="AS11" s="293"/>
      <c r="AT11" s="293"/>
      <c r="AU11" s="293"/>
      <c r="AV11" s="293"/>
      <c r="AW11" s="293"/>
      <c r="AX11" s="293"/>
      <c r="AY11" s="293"/>
      <c r="AZ11" s="293"/>
      <c r="BA11" s="293"/>
      <c r="BB11" s="293"/>
      <c r="BC11" s="293"/>
      <c r="BD11" s="293"/>
      <c r="BE11" s="293"/>
      <c r="BF11" s="293"/>
      <c r="BG11" s="293"/>
      <c r="BH11" s="293"/>
      <c r="BI11" s="293"/>
      <c r="BJ11" s="293"/>
      <c r="BK11" s="293"/>
      <c r="BL11" s="293"/>
      <c r="BM11" s="293"/>
      <c r="BN11" s="293"/>
      <c r="BO11" s="293"/>
      <c r="BP11" s="293"/>
      <c r="BQ11" s="293"/>
      <c r="BR11" s="293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  <c r="CO11" s="296"/>
      <c r="CP11" s="296"/>
      <c r="CQ11" s="296"/>
      <c r="CR11" s="296"/>
      <c r="CS11" s="296"/>
      <c r="CT11" s="296"/>
      <c r="CU11" s="296"/>
      <c r="CV11" s="296"/>
      <c r="CW11" s="296"/>
      <c r="CX11" s="296"/>
      <c r="CY11" s="296"/>
      <c r="CZ11" s="296"/>
      <c r="DA11" s="296"/>
      <c r="DB11" s="296"/>
      <c r="DC11" s="296"/>
      <c r="DD11" s="296"/>
      <c r="DE11" s="296"/>
      <c r="DF11" s="296"/>
      <c r="DG11" s="296"/>
      <c r="DH11" s="296"/>
      <c r="DI11" s="296"/>
      <c r="DJ11" s="296"/>
      <c r="DK11" s="296"/>
      <c r="DL11" s="296"/>
      <c r="DM11" s="296"/>
      <c r="DN11" s="296"/>
      <c r="DO11" s="296"/>
      <c r="DP11" s="296"/>
      <c r="DQ11" s="296"/>
      <c r="DR11" s="296"/>
      <c r="DS11" s="296"/>
      <c r="DT11" s="296"/>
      <c r="DU11" s="296"/>
      <c r="DV11" s="296"/>
      <c r="DW11" s="296"/>
      <c r="DX11" s="296"/>
      <c r="DY11" s="296"/>
      <c r="DZ11" s="296"/>
      <c r="EA11" s="296"/>
      <c r="EB11" s="296"/>
      <c r="EC11" s="296"/>
      <c r="ED11" s="296"/>
      <c r="EE11" s="296"/>
      <c r="EF11" s="296"/>
      <c r="EG11" s="296"/>
    </row>
    <row r="12" customHeight="1" spans="1:137">
      <c r="A12" s="293">
        <v>7</v>
      </c>
      <c r="B12" s="293"/>
      <c r="C12" s="293"/>
      <c r="D12" s="293"/>
      <c r="E12" s="293"/>
      <c r="F12" s="293"/>
      <c r="G12" s="294"/>
      <c r="H12" s="295"/>
      <c r="I12" s="294"/>
      <c r="J12" s="293"/>
      <c r="K12" s="293"/>
      <c r="L12" s="293"/>
      <c r="M12" s="293"/>
      <c r="N12" s="293"/>
      <c r="O12" s="293"/>
      <c r="P12" s="293"/>
      <c r="Q12" s="293"/>
      <c r="R12" s="293"/>
      <c r="S12" s="293"/>
      <c r="T12" s="293"/>
      <c r="U12" s="293"/>
      <c r="V12" s="293"/>
      <c r="W12" s="293"/>
      <c r="X12" s="293"/>
      <c r="Y12" s="293"/>
      <c r="Z12" s="293"/>
      <c r="AA12" s="293"/>
      <c r="AB12" s="293"/>
      <c r="AC12" s="293"/>
      <c r="AD12" s="293"/>
      <c r="AE12" s="293"/>
      <c r="AF12" s="293"/>
      <c r="AG12" s="293"/>
      <c r="AH12" s="293"/>
      <c r="AI12" s="293"/>
      <c r="AJ12" s="293"/>
      <c r="AK12" s="293"/>
      <c r="AL12" s="293"/>
      <c r="AM12" s="293"/>
      <c r="AN12" s="293"/>
      <c r="AO12" s="293"/>
      <c r="AP12" s="293"/>
      <c r="AQ12" s="293"/>
      <c r="AR12" s="293"/>
      <c r="AS12" s="293"/>
      <c r="AT12" s="293"/>
      <c r="AU12" s="293"/>
      <c r="AV12" s="293"/>
      <c r="AW12" s="293"/>
      <c r="AX12" s="293"/>
      <c r="AY12" s="293"/>
      <c r="AZ12" s="293"/>
      <c r="BA12" s="293"/>
      <c r="BB12" s="293"/>
      <c r="BC12" s="293"/>
      <c r="BD12" s="293"/>
      <c r="BE12" s="293"/>
      <c r="BF12" s="293"/>
      <c r="BG12" s="293"/>
      <c r="BH12" s="293"/>
      <c r="BI12" s="293"/>
      <c r="BJ12" s="293"/>
      <c r="BK12" s="293"/>
      <c r="BL12" s="293"/>
      <c r="BM12" s="293"/>
      <c r="BN12" s="293"/>
      <c r="BO12" s="293"/>
      <c r="BP12" s="293"/>
      <c r="BQ12" s="293"/>
      <c r="BR12" s="293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  <c r="CO12" s="296"/>
      <c r="CP12" s="296"/>
      <c r="CQ12" s="296"/>
      <c r="CR12" s="296"/>
      <c r="CS12" s="296"/>
      <c r="CT12" s="296"/>
      <c r="CU12" s="296"/>
      <c r="CV12" s="296"/>
      <c r="CW12" s="296"/>
      <c r="CX12" s="296"/>
      <c r="CY12" s="296"/>
      <c r="CZ12" s="296"/>
      <c r="DA12" s="296"/>
      <c r="DB12" s="296"/>
      <c r="DC12" s="296"/>
      <c r="DD12" s="296"/>
      <c r="DE12" s="296"/>
      <c r="DF12" s="296"/>
      <c r="DG12" s="296"/>
      <c r="DH12" s="296"/>
      <c r="DI12" s="296"/>
      <c r="DJ12" s="296"/>
      <c r="DK12" s="296"/>
      <c r="DL12" s="296"/>
      <c r="DM12" s="296"/>
      <c r="DN12" s="296"/>
      <c r="DO12" s="296"/>
      <c r="DP12" s="296"/>
      <c r="DQ12" s="296"/>
      <c r="DR12" s="296"/>
      <c r="DS12" s="296"/>
      <c r="DT12" s="296"/>
      <c r="DU12" s="296"/>
      <c r="DV12" s="296"/>
      <c r="DW12" s="296"/>
      <c r="DX12" s="296"/>
      <c r="DY12" s="296"/>
      <c r="DZ12" s="296"/>
      <c r="EA12" s="296"/>
      <c r="EB12" s="296"/>
      <c r="EC12" s="296"/>
      <c r="ED12" s="296"/>
      <c r="EE12" s="296"/>
      <c r="EF12" s="296"/>
      <c r="EG12" s="296"/>
    </row>
    <row r="13" s="142" customFormat="1" customHeight="1" spans="1:137">
      <c r="A13" s="293">
        <v>8</v>
      </c>
      <c r="B13" s="293"/>
      <c r="C13" s="293"/>
      <c r="D13" s="293"/>
      <c r="E13" s="293"/>
      <c r="F13" s="293"/>
      <c r="G13" s="294"/>
      <c r="H13" s="295"/>
      <c r="I13" s="294"/>
      <c r="J13" s="293"/>
      <c r="K13" s="293"/>
      <c r="L13" s="293"/>
      <c r="M13" s="293"/>
      <c r="N13" s="293"/>
      <c r="O13" s="293"/>
      <c r="P13" s="293"/>
      <c r="Q13" s="293"/>
      <c r="R13" s="293"/>
      <c r="S13" s="293"/>
      <c r="T13" s="297"/>
      <c r="U13" s="293"/>
      <c r="V13" s="293"/>
      <c r="W13" s="293"/>
      <c r="X13" s="293"/>
      <c r="Y13" s="293"/>
      <c r="Z13" s="293"/>
      <c r="AA13" s="293"/>
      <c r="AB13" s="293"/>
      <c r="AC13" s="293"/>
      <c r="AD13" s="293"/>
      <c r="AE13" s="293"/>
      <c r="AF13" s="293"/>
      <c r="AG13" s="293"/>
      <c r="AH13" s="293"/>
      <c r="AI13" s="293"/>
      <c r="AJ13" s="293"/>
      <c r="AK13" s="293"/>
      <c r="AL13" s="293"/>
      <c r="AM13" s="293"/>
      <c r="AN13" s="293"/>
      <c r="AO13" s="293"/>
      <c r="AP13" s="293"/>
      <c r="AQ13" s="293"/>
      <c r="AR13" s="293"/>
      <c r="AS13" s="293"/>
      <c r="AT13" s="293"/>
      <c r="AU13" s="293"/>
      <c r="AV13" s="293"/>
      <c r="AW13" s="293"/>
      <c r="AX13" s="293"/>
      <c r="AY13" s="293"/>
      <c r="AZ13" s="293"/>
      <c r="BA13" s="293"/>
      <c r="BB13" s="293"/>
      <c r="BC13" s="293"/>
      <c r="BD13" s="293"/>
      <c r="BE13" s="293"/>
      <c r="BF13" s="293"/>
      <c r="BG13" s="293"/>
      <c r="BH13" s="293"/>
      <c r="BI13" s="293"/>
      <c r="BJ13" s="293"/>
      <c r="BK13" s="293"/>
      <c r="BL13" s="293"/>
      <c r="BM13" s="293"/>
      <c r="BN13" s="293"/>
      <c r="BO13" s="293"/>
      <c r="BP13" s="293"/>
      <c r="BQ13" s="293"/>
      <c r="BR13" s="293"/>
      <c r="BS13" s="296"/>
      <c r="BT13" s="296"/>
      <c r="BU13" s="296"/>
      <c r="BV13" s="296"/>
      <c r="BW13" s="296"/>
      <c r="BX13" s="296"/>
      <c r="BY13" s="296"/>
      <c r="BZ13" s="296"/>
      <c r="CA13" s="296"/>
      <c r="CB13" s="296"/>
      <c r="CC13" s="296"/>
      <c r="CD13" s="296"/>
      <c r="CE13" s="296"/>
      <c r="CF13" s="296"/>
      <c r="CG13" s="296"/>
      <c r="CH13" s="296"/>
      <c r="CI13" s="296"/>
      <c r="CJ13" s="296"/>
      <c r="CK13" s="296"/>
      <c r="CL13" s="296"/>
      <c r="CM13" s="296"/>
      <c r="CN13" s="296"/>
      <c r="CO13" s="296"/>
      <c r="CP13" s="296"/>
      <c r="CQ13" s="296"/>
      <c r="CR13" s="296"/>
      <c r="CS13" s="296"/>
      <c r="CT13" s="296"/>
      <c r="CU13" s="296"/>
      <c r="CV13" s="296"/>
      <c r="CW13" s="296"/>
      <c r="CX13" s="296"/>
      <c r="CY13" s="296"/>
      <c r="CZ13" s="296"/>
      <c r="DA13" s="296"/>
      <c r="DB13" s="296"/>
      <c r="DC13" s="296"/>
      <c r="DD13" s="296"/>
      <c r="DE13" s="296"/>
      <c r="DF13" s="296"/>
      <c r="DG13" s="296"/>
      <c r="DH13" s="296"/>
      <c r="DI13" s="296"/>
      <c r="DJ13" s="296"/>
      <c r="DK13" s="296"/>
      <c r="DL13" s="296"/>
      <c r="DM13" s="296"/>
      <c r="DN13" s="296"/>
      <c r="DO13" s="296"/>
      <c r="DP13" s="296"/>
      <c r="DQ13" s="296"/>
      <c r="DR13" s="296"/>
      <c r="DS13" s="296"/>
      <c r="DT13" s="296"/>
      <c r="DU13" s="296"/>
      <c r="DV13" s="296"/>
      <c r="DW13" s="296"/>
      <c r="DX13" s="296"/>
      <c r="DY13" s="296"/>
      <c r="DZ13" s="296"/>
      <c r="EA13" s="296"/>
      <c r="EB13" s="296"/>
      <c r="EC13" s="296"/>
      <c r="ED13" s="296"/>
      <c r="EE13" s="296"/>
      <c r="EF13" s="296"/>
      <c r="EG13" s="296"/>
    </row>
    <row r="14" s="142" customFormat="1" customHeight="1" spans="1:137">
      <c r="A14" s="293">
        <v>9</v>
      </c>
      <c r="B14" s="293"/>
      <c r="C14" s="293"/>
      <c r="D14" s="293"/>
      <c r="E14" s="293"/>
      <c r="F14" s="293"/>
      <c r="G14" s="294"/>
      <c r="H14" s="295"/>
      <c r="I14" s="294"/>
      <c r="J14" s="293"/>
      <c r="K14" s="293"/>
      <c r="L14" s="293"/>
      <c r="M14" s="293"/>
      <c r="N14" s="293"/>
      <c r="O14" s="293"/>
      <c r="P14" s="293"/>
      <c r="Q14" s="293"/>
      <c r="R14" s="293"/>
      <c r="S14" s="293"/>
      <c r="T14" s="293"/>
      <c r="U14" s="293"/>
      <c r="V14" s="293"/>
      <c r="W14" s="293"/>
      <c r="X14" s="293"/>
      <c r="Y14" s="293"/>
      <c r="Z14" s="293"/>
      <c r="AA14" s="293"/>
      <c r="AB14" s="293"/>
      <c r="AC14" s="293"/>
      <c r="AD14" s="293"/>
      <c r="AE14" s="293"/>
      <c r="AF14" s="293"/>
      <c r="AG14" s="293"/>
      <c r="AH14" s="293"/>
      <c r="AI14" s="293"/>
      <c r="AJ14" s="293"/>
      <c r="AK14" s="293"/>
      <c r="AL14" s="293"/>
      <c r="AM14" s="293"/>
      <c r="AN14" s="293"/>
      <c r="AO14" s="293"/>
      <c r="AP14" s="293"/>
      <c r="AQ14" s="293"/>
      <c r="AR14" s="293"/>
      <c r="AS14" s="293"/>
      <c r="AT14" s="293"/>
      <c r="AU14" s="293"/>
      <c r="AV14" s="293"/>
      <c r="AW14" s="293"/>
      <c r="AX14" s="293"/>
      <c r="AY14" s="293"/>
      <c r="AZ14" s="293"/>
      <c r="BA14" s="293"/>
      <c r="BB14" s="293"/>
      <c r="BC14" s="293"/>
      <c r="BD14" s="293"/>
      <c r="BE14" s="293"/>
      <c r="BF14" s="293"/>
      <c r="BG14" s="293"/>
      <c r="BH14" s="293"/>
      <c r="BI14" s="293"/>
      <c r="BJ14" s="293"/>
      <c r="BK14" s="293"/>
      <c r="BL14" s="293"/>
      <c r="BM14" s="293"/>
      <c r="BN14" s="293"/>
      <c r="BO14" s="293"/>
      <c r="BP14" s="293"/>
      <c r="BQ14" s="293"/>
      <c r="BR14" s="293"/>
      <c r="BS14" s="296"/>
      <c r="BT14" s="296"/>
      <c r="BU14" s="296"/>
      <c r="BV14" s="296"/>
      <c r="BW14" s="296"/>
      <c r="BX14" s="296"/>
      <c r="BY14" s="296"/>
      <c r="BZ14" s="296"/>
      <c r="CA14" s="296"/>
      <c r="CB14" s="296"/>
      <c r="CC14" s="296"/>
      <c r="CD14" s="296"/>
      <c r="CE14" s="296"/>
      <c r="CF14" s="296"/>
      <c r="CG14" s="296"/>
      <c r="CH14" s="296"/>
      <c r="CI14" s="296"/>
      <c r="CJ14" s="296"/>
      <c r="CK14" s="296"/>
      <c r="CL14" s="296"/>
      <c r="CM14" s="296"/>
      <c r="CN14" s="296"/>
      <c r="CO14" s="296"/>
      <c r="CP14" s="296"/>
      <c r="CQ14" s="296"/>
      <c r="CR14" s="296"/>
      <c r="CS14" s="296"/>
      <c r="CT14" s="296"/>
      <c r="CU14" s="296"/>
      <c r="CV14" s="296"/>
      <c r="CW14" s="296"/>
      <c r="CX14" s="296"/>
      <c r="CY14" s="296"/>
      <c r="CZ14" s="296"/>
      <c r="DA14" s="296"/>
      <c r="DB14" s="296"/>
      <c r="DC14" s="296"/>
      <c r="DD14" s="296"/>
      <c r="DE14" s="296"/>
      <c r="DF14" s="296"/>
      <c r="DG14" s="296"/>
      <c r="DH14" s="296"/>
      <c r="DI14" s="296"/>
      <c r="DJ14" s="296"/>
      <c r="DK14" s="296"/>
      <c r="DL14" s="296"/>
      <c r="DM14" s="296"/>
      <c r="DN14" s="296"/>
      <c r="DO14" s="296"/>
      <c r="DP14" s="296"/>
      <c r="DQ14" s="296"/>
      <c r="DR14" s="296"/>
      <c r="DS14" s="296"/>
      <c r="DT14" s="296"/>
      <c r="DU14" s="296"/>
      <c r="DV14" s="296"/>
      <c r="DW14" s="296"/>
      <c r="DX14" s="296"/>
      <c r="DY14" s="296"/>
      <c r="DZ14" s="296"/>
      <c r="EA14" s="296"/>
      <c r="EB14" s="296"/>
      <c r="EC14" s="296"/>
      <c r="ED14" s="296"/>
      <c r="EE14" s="296"/>
      <c r="EF14" s="296"/>
      <c r="EG14" s="296"/>
    </row>
    <row r="15" s="142" customFormat="1" customHeight="1" spans="1:137">
      <c r="A15" s="293">
        <v>10</v>
      </c>
      <c r="B15" s="293"/>
      <c r="C15" s="293"/>
      <c r="D15" s="293"/>
      <c r="E15" s="293"/>
      <c r="F15" s="293"/>
      <c r="G15" s="294"/>
      <c r="H15" s="295"/>
      <c r="I15" s="294"/>
      <c r="J15" s="293"/>
      <c r="K15" s="293"/>
      <c r="L15" s="293"/>
      <c r="M15" s="293"/>
      <c r="N15" s="293"/>
      <c r="O15" s="293"/>
      <c r="P15" s="293"/>
      <c r="Q15" s="293"/>
      <c r="R15" s="293"/>
      <c r="S15" s="293"/>
      <c r="T15" s="293"/>
      <c r="U15" s="293"/>
      <c r="V15" s="293"/>
      <c r="W15" s="293"/>
      <c r="X15" s="293"/>
      <c r="Y15" s="293"/>
      <c r="Z15" s="293"/>
      <c r="AA15" s="293"/>
      <c r="AB15" s="293"/>
      <c r="AC15" s="293"/>
      <c r="AD15" s="293"/>
      <c r="AE15" s="293"/>
      <c r="AF15" s="293"/>
      <c r="AG15" s="293"/>
      <c r="AH15" s="293"/>
      <c r="AI15" s="293"/>
      <c r="AJ15" s="293"/>
      <c r="AK15" s="293"/>
      <c r="AL15" s="293"/>
      <c r="AM15" s="293"/>
      <c r="AN15" s="293"/>
      <c r="AO15" s="293"/>
      <c r="AP15" s="293"/>
      <c r="AQ15" s="293"/>
      <c r="AR15" s="293"/>
      <c r="AS15" s="293"/>
      <c r="AT15" s="293"/>
      <c r="AU15" s="293"/>
      <c r="AV15" s="293"/>
      <c r="AW15" s="293"/>
      <c r="AX15" s="293"/>
      <c r="AY15" s="293"/>
      <c r="AZ15" s="293"/>
      <c r="BA15" s="293"/>
      <c r="BB15" s="293"/>
      <c r="BC15" s="293"/>
      <c r="BD15" s="293"/>
      <c r="BE15" s="293"/>
      <c r="BF15" s="293"/>
      <c r="BG15" s="293"/>
      <c r="BH15" s="293"/>
      <c r="BI15" s="293"/>
      <c r="BJ15" s="293"/>
      <c r="BK15" s="293"/>
      <c r="BL15" s="293"/>
      <c r="BM15" s="293"/>
      <c r="BN15" s="293"/>
      <c r="BO15" s="293"/>
      <c r="BP15" s="293"/>
      <c r="BQ15" s="293"/>
      <c r="BR15" s="293"/>
      <c r="BS15" s="296"/>
      <c r="BT15" s="296"/>
      <c r="BU15" s="296"/>
      <c r="BV15" s="296"/>
      <c r="BW15" s="296"/>
      <c r="BX15" s="296"/>
      <c r="BY15" s="296"/>
      <c r="BZ15" s="296"/>
      <c r="CA15" s="296"/>
      <c r="CB15" s="296"/>
      <c r="CC15" s="296"/>
      <c r="CD15" s="296"/>
      <c r="CE15" s="296"/>
      <c r="CF15" s="296"/>
      <c r="CG15" s="296"/>
      <c r="CH15" s="296"/>
      <c r="CI15" s="296"/>
      <c r="CJ15" s="296"/>
      <c r="CK15" s="296"/>
      <c r="CL15" s="296"/>
      <c r="CM15" s="296"/>
      <c r="CN15" s="296"/>
      <c r="CO15" s="296"/>
      <c r="CP15" s="296"/>
      <c r="CQ15" s="296"/>
      <c r="CR15" s="296"/>
      <c r="CS15" s="296"/>
      <c r="CT15" s="296"/>
      <c r="CU15" s="296"/>
      <c r="CV15" s="296"/>
      <c r="CW15" s="296"/>
      <c r="CX15" s="296"/>
      <c r="CY15" s="296"/>
      <c r="CZ15" s="296"/>
      <c r="DA15" s="296"/>
      <c r="DB15" s="296"/>
      <c r="DC15" s="296"/>
      <c r="DD15" s="296"/>
      <c r="DE15" s="296"/>
      <c r="DF15" s="296"/>
      <c r="DG15" s="296"/>
      <c r="DH15" s="296"/>
      <c r="DI15" s="296"/>
      <c r="DJ15" s="296"/>
      <c r="DK15" s="296"/>
      <c r="DL15" s="296"/>
      <c r="DM15" s="296"/>
      <c r="DN15" s="296"/>
      <c r="DO15" s="296"/>
      <c r="DP15" s="296"/>
      <c r="DQ15" s="296"/>
      <c r="DR15" s="296"/>
      <c r="DS15" s="296"/>
      <c r="DT15" s="296"/>
      <c r="DU15" s="296"/>
      <c r="DV15" s="296"/>
      <c r="DW15" s="296"/>
      <c r="DX15" s="296"/>
      <c r="DY15" s="296"/>
      <c r="DZ15" s="296"/>
      <c r="EA15" s="296"/>
      <c r="EB15" s="296"/>
      <c r="EC15" s="296"/>
      <c r="ED15" s="296"/>
      <c r="EE15" s="296"/>
      <c r="EF15" s="296"/>
      <c r="EG15" s="296"/>
    </row>
    <row r="16" s="142" customFormat="1" customHeight="1" spans="1:137">
      <c r="A16" s="293">
        <v>11</v>
      </c>
      <c r="B16" s="293"/>
      <c r="C16" s="293"/>
      <c r="D16" s="293"/>
      <c r="E16" s="293"/>
      <c r="F16" s="293"/>
      <c r="G16" s="294"/>
      <c r="H16" s="295"/>
      <c r="I16" s="294"/>
      <c r="J16" s="293"/>
      <c r="K16" s="293"/>
      <c r="L16" s="293"/>
      <c r="M16" s="293"/>
      <c r="N16" s="293"/>
      <c r="O16" s="293"/>
      <c r="P16" s="293"/>
      <c r="Q16" s="293"/>
      <c r="R16" s="293"/>
      <c r="S16" s="293"/>
      <c r="T16" s="293"/>
      <c r="U16" s="293"/>
      <c r="V16" s="293"/>
      <c r="W16" s="293"/>
      <c r="X16" s="293"/>
      <c r="Y16" s="293"/>
      <c r="Z16" s="293"/>
      <c r="AA16" s="293"/>
      <c r="AB16" s="293"/>
      <c r="AC16" s="293"/>
      <c r="AD16" s="293"/>
      <c r="AE16" s="293"/>
      <c r="AF16" s="293"/>
      <c r="AG16" s="293"/>
      <c r="AH16" s="293"/>
      <c r="AI16" s="293"/>
      <c r="AJ16" s="293"/>
      <c r="AK16" s="293"/>
      <c r="AL16" s="293"/>
      <c r="AM16" s="293"/>
      <c r="AN16" s="293"/>
      <c r="AO16" s="293"/>
      <c r="AP16" s="293"/>
      <c r="AQ16" s="293"/>
      <c r="AR16" s="293"/>
      <c r="AS16" s="293"/>
      <c r="AT16" s="293"/>
      <c r="AU16" s="293"/>
      <c r="AV16" s="293"/>
      <c r="AW16" s="293"/>
      <c r="AX16" s="293"/>
      <c r="AY16" s="293"/>
      <c r="AZ16" s="293"/>
      <c r="BA16" s="293"/>
      <c r="BB16" s="293"/>
      <c r="BC16" s="293"/>
      <c r="BD16" s="293"/>
      <c r="BE16" s="293"/>
      <c r="BF16" s="293"/>
      <c r="BG16" s="293"/>
      <c r="BH16" s="293"/>
      <c r="BI16" s="293"/>
      <c r="BJ16" s="293"/>
      <c r="BK16" s="293"/>
      <c r="BL16" s="293"/>
      <c r="BM16" s="293"/>
      <c r="BN16" s="293"/>
      <c r="BO16" s="293"/>
      <c r="BP16" s="293"/>
      <c r="BQ16" s="293"/>
      <c r="BR16" s="293"/>
      <c r="BS16" s="296"/>
      <c r="BT16" s="296"/>
      <c r="BU16" s="296"/>
      <c r="BV16" s="296"/>
      <c r="BW16" s="296"/>
      <c r="BX16" s="296"/>
      <c r="BY16" s="296"/>
      <c r="BZ16" s="296"/>
      <c r="CA16" s="296"/>
      <c r="CB16" s="296"/>
      <c r="CC16" s="296"/>
      <c r="CD16" s="296"/>
      <c r="CE16" s="296"/>
      <c r="CF16" s="296"/>
      <c r="CG16" s="296"/>
      <c r="CH16" s="296"/>
      <c r="CI16" s="296"/>
      <c r="CJ16" s="296"/>
      <c r="CK16" s="296"/>
      <c r="CL16" s="296"/>
      <c r="CM16" s="296"/>
      <c r="CN16" s="296"/>
      <c r="CO16" s="296"/>
      <c r="CP16" s="296"/>
      <c r="CQ16" s="296"/>
      <c r="CR16" s="296"/>
      <c r="CS16" s="296"/>
      <c r="CT16" s="296"/>
      <c r="CU16" s="296"/>
      <c r="CV16" s="296"/>
      <c r="CW16" s="296"/>
      <c r="CX16" s="296"/>
      <c r="CY16" s="296"/>
      <c r="CZ16" s="296"/>
      <c r="DA16" s="296"/>
      <c r="DB16" s="296"/>
      <c r="DC16" s="296"/>
      <c r="DD16" s="296"/>
      <c r="DE16" s="296"/>
      <c r="DF16" s="296"/>
      <c r="DG16" s="296"/>
      <c r="DH16" s="296"/>
      <c r="DI16" s="296"/>
      <c r="DJ16" s="296"/>
      <c r="DK16" s="296"/>
      <c r="DL16" s="296"/>
      <c r="DM16" s="296"/>
      <c r="DN16" s="296"/>
      <c r="DO16" s="296"/>
      <c r="DP16" s="296"/>
      <c r="DQ16" s="296"/>
      <c r="DR16" s="296"/>
      <c r="DS16" s="296"/>
      <c r="DT16" s="296"/>
      <c r="DU16" s="296"/>
      <c r="DV16" s="296"/>
      <c r="DW16" s="296"/>
      <c r="DX16" s="296"/>
      <c r="DY16" s="296"/>
      <c r="DZ16" s="296"/>
      <c r="EA16" s="296"/>
      <c r="EB16" s="296"/>
      <c r="EC16" s="296"/>
      <c r="ED16" s="296"/>
      <c r="EE16" s="296"/>
      <c r="EF16" s="296"/>
      <c r="EG16" s="296"/>
    </row>
    <row r="17" customHeight="1" spans="1:137">
      <c r="A17" s="293">
        <v>12</v>
      </c>
      <c r="B17" s="293"/>
      <c r="C17" s="293"/>
      <c r="D17" s="293"/>
      <c r="E17" s="293"/>
      <c r="F17" s="293"/>
      <c r="G17" s="294"/>
      <c r="H17" s="295"/>
      <c r="I17" s="294"/>
      <c r="J17" s="293"/>
      <c r="K17" s="293"/>
      <c r="L17" s="293"/>
      <c r="M17" s="293"/>
      <c r="N17" s="293"/>
      <c r="O17" s="293"/>
      <c r="P17" s="293"/>
      <c r="Q17" s="293"/>
      <c r="R17" s="293"/>
      <c r="S17" s="293"/>
      <c r="T17" s="293"/>
      <c r="U17" s="293"/>
      <c r="V17" s="293"/>
      <c r="W17" s="293"/>
      <c r="X17" s="293"/>
      <c r="Y17" s="293"/>
      <c r="Z17" s="293"/>
      <c r="AA17" s="293"/>
      <c r="AB17" s="293"/>
      <c r="AC17" s="293"/>
      <c r="AD17" s="293"/>
      <c r="AE17" s="293"/>
      <c r="AF17" s="293"/>
      <c r="AG17" s="293"/>
      <c r="AH17" s="293"/>
      <c r="AI17" s="293"/>
      <c r="AJ17" s="293"/>
      <c r="AK17" s="293"/>
      <c r="AL17" s="293"/>
      <c r="AM17" s="293"/>
      <c r="AN17" s="293"/>
      <c r="AO17" s="293"/>
      <c r="AP17" s="293"/>
      <c r="AQ17" s="293"/>
      <c r="AR17" s="293"/>
      <c r="AS17" s="293"/>
      <c r="AT17" s="293"/>
      <c r="AU17" s="293"/>
      <c r="AV17" s="293"/>
      <c r="AW17" s="293"/>
      <c r="AX17" s="293"/>
      <c r="AY17" s="293"/>
      <c r="AZ17" s="293"/>
      <c r="BA17" s="293"/>
      <c r="BB17" s="293"/>
      <c r="BC17" s="293"/>
      <c r="BD17" s="293"/>
      <c r="BE17" s="293"/>
      <c r="BF17" s="293"/>
      <c r="BG17" s="293"/>
      <c r="BH17" s="293"/>
      <c r="BI17" s="293"/>
      <c r="BJ17" s="293"/>
      <c r="BK17" s="293"/>
      <c r="BL17" s="293"/>
      <c r="BM17" s="293"/>
      <c r="BN17" s="293"/>
      <c r="BO17" s="293"/>
      <c r="BP17" s="293"/>
      <c r="BQ17" s="293"/>
      <c r="BR17" s="293"/>
      <c r="BS17" s="296"/>
      <c r="BT17" s="296"/>
      <c r="BU17" s="296"/>
      <c r="BV17" s="296"/>
      <c r="BW17" s="296"/>
      <c r="BX17" s="296"/>
      <c r="BY17" s="296"/>
      <c r="BZ17" s="296"/>
      <c r="CA17" s="296"/>
      <c r="CB17" s="296"/>
      <c r="CC17" s="296"/>
      <c r="CD17" s="296"/>
      <c r="CE17" s="296"/>
      <c r="CF17" s="296"/>
      <c r="CG17" s="296"/>
      <c r="CH17" s="296"/>
      <c r="CI17" s="296"/>
      <c r="CJ17" s="296"/>
      <c r="CK17" s="296"/>
      <c r="CL17" s="296"/>
      <c r="CM17" s="296"/>
      <c r="CN17" s="296"/>
      <c r="CO17" s="296"/>
      <c r="CP17" s="296"/>
      <c r="CQ17" s="296"/>
      <c r="CR17" s="296"/>
      <c r="CS17" s="296"/>
      <c r="CT17" s="296"/>
      <c r="CU17" s="296"/>
      <c r="CV17" s="296"/>
      <c r="CW17" s="296"/>
      <c r="CX17" s="296"/>
      <c r="CY17" s="296"/>
      <c r="CZ17" s="296"/>
      <c r="DA17" s="296"/>
      <c r="DB17" s="296"/>
      <c r="DC17" s="296"/>
      <c r="DD17" s="296"/>
      <c r="DE17" s="296"/>
      <c r="DF17" s="296"/>
      <c r="DG17" s="296"/>
      <c r="DH17" s="296"/>
      <c r="DI17" s="296"/>
      <c r="DJ17" s="296"/>
      <c r="DK17" s="296"/>
      <c r="DL17" s="296"/>
      <c r="DM17" s="296"/>
      <c r="DN17" s="296"/>
      <c r="DO17" s="296"/>
      <c r="DP17" s="296"/>
      <c r="DQ17" s="296"/>
      <c r="DR17" s="296"/>
      <c r="DS17" s="296"/>
      <c r="DT17" s="296"/>
      <c r="DU17" s="296"/>
      <c r="DV17" s="296"/>
      <c r="DW17" s="296"/>
      <c r="DX17" s="296"/>
      <c r="DY17" s="296"/>
      <c r="DZ17" s="296"/>
      <c r="EA17" s="296"/>
      <c r="EB17" s="296"/>
      <c r="EC17" s="296"/>
      <c r="ED17" s="296"/>
      <c r="EE17" s="296"/>
      <c r="EF17" s="296"/>
      <c r="EG17" s="296"/>
    </row>
    <row r="18" customHeight="1" spans="1:137">
      <c r="A18" s="293">
        <v>13</v>
      </c>
      <c r="B18" s="293"/>
      <c r="C18" s="293"/>
      <c r="D18" s="293"/>
      <c r="E18" s="293"/>
      <c r="F18" s="293"/>
      <c r="G18" s="294"/>
      <c r="H18" s="295"/>
      <c r="I18" s="294"/>
      <c r="J18" s="293"/>
      <c r="K18" s="293"/>
      <c r="L18" s="293"/>
      <c r="M18" s="293"/>
      <c r="N18" s="293"/>
      <c r="O18" s="293"/>
      <c r="P18" s="293"/>
      <c r="Q18" s="293"/>
      <c r="R18" s="293"/>
      <c r="S18" s="293"/>
      <c r="T18" s="293"/>
      <c r="U18" s="293"/>
      <c r="V18" s="293"/>
      <c r="W18" s="293"/>
      <c r="X18" s="293"/>
      <c r="Y18" s="293"/>
      <c r="Z18" s="293"/>
      <c r="AA18" s="293"/>
      <c r="AB18" s="293"/>
      <c r="AC18" s="293"/>
      <c r="AD18" s="293"/>
      <c r="AE18" s="293"/>
      <c r="AF18" s="293"/>
      <c r="AG18" s="293"/>
      <c r="AH18" s="293"/>
      <c r="AI18" s="293"/>
      <c r="AJ18" s="293"/>
      <c r="AK18" s="293"/>
      <c r="AL18" s="293"/>
      <c r="AM18" s="293"/>
      <c r="AN18" s="293"/>
      <c r="AO18" s="293"/>
      <c r="AP18" s="293"/>
      <c r="AQ18" s="293"/>
      <c r="AR18" s="293"/>
      <c r="AS18" s="293"/>
      <c r="AT18" s="293"/>
      <c r="AU18" s="293"/>
      <c r="AV18" s="293"/>
      <c r="AW18" s="293"/>
      <c r="AX18" s="293"/>
      <c r="AY18" s="293"/>
      <c r="AZ18" s="293"/>
      <c r="BA18" s="293"/>
      <c r="BB18" s="293"/>
      <c r="BC18" s="293"/>
      <c r="BD18" s="293"/>
      <c r="BE18" s="293"/>
      <c r="BF18" s="293"/>
      <c r="BG18" s="293"/>
      <c r="BH18" s="293"/>
      <c r="BI18" s="293"/>
      <c r="BJ18" s="293"/>
      <c r="BK18" s="293"/>
      <c r="BL18" s="293"/>
      <c r="BM18" s="293"/>
      <c r="BN18" s="293"/>
      <c r="BO18" s="293"/>
      <c r="BP18" s="293"/>
      <c r="BQ18" s="293"/>
      <c r="BR18" s="293"/>
      <c r="BS18" s="296"/>
      <c r="BT18" s="296"/>
      <c r="BU18" s="296"/>
      <c r="BV18" s="296"/>
      <c r="BW18" s="296"/>
      <c r="BX18" s="296"/>
      <c r="BY18" s="296"/>
      <c r="BZ18" s="296"/>
      <c r="CA18" s="296"/>
      <c r="CB18" s="296"/>
      <c r="CC18" s="296"/>
      <c r="CD18" s="296"/>
      <c r="CE18" s="296"/>
      <c r="CF18" s="296"/>
      <c r="CG18" s="296"/>
      <c r="CH18" s="296"/>
      <c r="CI18" s="296"/>
      <c r="CJ18" s="296"/>
      <c r="CK18" s="296"/>
      <c r="CL18" s="296"/>
      <c r="CM18" s="296"/>
      <c r="CN18" s="296"/>
      <c r="CO18" s="296"/>
      <c r="CP18" s="296"/>
      <c r="CQ18" s="296"/>
      <c r="CR18" s="296"/>
      <c r="CS18" s="296"/>
      <c r="CT18" s="296"/>
      <c r="CU18" s="296"/>
      <c r="CV18" s="296"/>
      <c r="CW18" s="296"/>
      <c r="CX18" s="296"/>
      <c r="CY18" s="296"/>
      <c r="CZ18" s="296"/>
      <c r="DA18" s="296"/>
      <c r="DB18" s="296"/>
      <c r="DC18" s="296"/>
      <c r="DD18" s="296"/>
      <c r="DE18" s="296"/>
      <c r="DF18" s="296"/>
      <c r="DG18" s="296"/>
      <c r="DH18" s="296"/>
      <c r="DI18" s="296"/>
      <c r="DJ18" s="296"/>
      <c r="DK18" s="296"/>
      <c r="DL18" s="296"/>
      <c r="DM18" s="296"/>
      <c r="DN18" s="296"/>
      <c r="DO18" s="296"/>
      <c r="DP18" s="296"/>
      <c r="DQ18" s="296"/>
      <c r="DR18" s="296"/>
      <c r="DS18" s="296"/>
      <c r="DT18" s="296"/>
      <c r="DU18" s="296"/>
      <c r="DV18" s="296"/>
      <c r="DW18" s="296"/>
      <c r="DX18" s="296"/>
      <c r="DY18" s="296"/>
      <c r="DZ18" s="296"/>
      <c r="EA18" s="296"/>
      <c r="EB18" s="296"/>
      <c r="EC18" s="296"/>
      <c r="ED18" s="296"/>
      <c r="EE18" s="296"/>
      <c r="EF18" s="296"/>
      <c r="EG18" s="296"/>
    </row>
    <row r="19" customHeight="1" spans="1:137">
      <c r="A19" s="293">
        <v>14</v>
      </c>
      <c r="B19" s="293"/>
      <c r="C19" s="293"/>
      <c r="D19" s="293"/>
      <c r="E19" s="293"/>
      <c r="F19" s="293"/>
      <c r="G19" s="294"/>
      <c r="H19" s="295"/>
      <c r="I19" s="294"/>
      <c r="J19" s="293"/>
      <c r="K19" s="293"/>
      <c r="L19" s="293"/>
      <c r="M19" s="293"/>
      <c r="N19" s="293"/>
      <c r="O19" s="293"/>
      <c r="P19" s="293"/>
      <c r="Q19" s="293"/>
      <c r="R19" s="293"/>
      <c r="S19" s="293"/>
      <c r="T19" s="293"/>
      <c r="U19" s="293"/>
      <c r="V19" s="293"/>
      <c r="W19" s="293"/>
      <c r="X19" s="293"/>
      <c r="Y19" s="293"/>
      <c r="Z19" s="293"/>
      <c r="AA19" s="293"/>
      <c r="AB19" s="293"/>
      <c r="AC19" s="293"/>
      <c r="AD19" s="293"/>
      <c r="AE19" s="293"/>
      <c r="AF19" s="293"/>
      <c r="AG19" s="293"/>
      <c r="AH19" s="293"/>
      <c r="AI19" s="293"/>
      <c r="AJ19" s="293"/>
      <c r="AK19" s="293"/>
      <c r="AL19" s="293"/>
      <c r="AM19" s="293"/>
      <c r="AN19" s="293"/>
      <c r="AO19" s="293"/>
      <c r="AP19" s="293"/>
      <c r="AQ19" s="293"/>
      <c r="AR19" s="293"/>
      <c r="AS19" s="293"/>
      <c r="AT19" s="293"/>
      <c r="AU19" s="293"/>
      <c r="AV19" s="293"/>
      <c r="AW19" s="293"/>
      <c r="AX19" s="293"/>
      <c r="AY19" s="293"/>
      <c r="AZ19" s="293"/>
      <c r="BA19" s="293"/>
      <c r="BB19" s="293"/>
      <c r="BC19" s="293"/>
      <c r="BD19" s="293"/>
      <c r="BE19" s="293"/>
      <c r="BF19" s="293"/>
      <c r="BG19" s="293"/>
      <c r="BH19" s="293"/>
      <c r="BI19" s="293"/>
      <c r="BJ19" s="293"/>
      <c r="BK19" s="293"/>
      <c r="BL19" s="293"/>
      <c r="BM19" s="293"/>
      <c r="BN19" s="293"/>
      <c r="BO19" s="293"/>
      <c r="BP19" s="293"/>
      <c r="BQ19" s="293"/>
      <c r="BR19" s="293"/>
      <c r="BS19" s="296"/>
      <c r="BT19" s="296"/>
      <c r="BU19" s="296"/>
      <c r="BV19" s="296"/>
      <c r="BW19" s="296"/>
      <c r="BX19" s="296"/>
      <c r="BY19" s="296"/>
      <c r="BZ19" s="296"/>
      <c r="CA19" s="296"/>
      <c r="CB19" s="296"/>
      <c r="CC19" s="296"/>
      <c r="CD19" s="296"/>
      <c r="CE19" s="296"/>
      <c r="CF19" s="296"/>
      <c r="CG19" s="296"/>
      <c r="CH19" s="296"/>
      <c r="CI19" s="296"/>
      <c r="CJ19" s="296"/>
      <c r="CK19" s="296"/>
      <c r="CL19" s="296"/>
      <c r="CM19" s="296"/>
      <c r="CN19" s="296"/>
      <c r="CO19" s="296"/>
      <c r="CP19" s="296"/>
      <c r="CQ19" s="296"/>
      <c r="CR19" s="296"/>
      <c r="CS19" s="296"/>
      <c r="CT19" s="296"/>
      <c r="CU19" s="296"/>
      <c r="CV19" s="296"/>
      <c r="CW19" s="296"/>
      <c r="CX19" s="296"/>
      <c r="CY19" s="296"/>
      <c r="CZ19" s="296"/>
      <c r="DA19" s="296"/>
      <c r="DB19" s="296"/>
      <c r="DC19" s="296"/>
      <c r="DD19" s="296"/>
      <c r="DE19" s="296"/>
      <c r="DF19" s="296"/>
      <c r="DG19" s="296"/>
      <c r="DH19" s="296"/>
      <c r="DI19" s="296"/>
      <c r="DJ19" s="296"/>
      <c r="DK19" s="296"/>
      <c r="DL19" s="296"/>
      <c r="DM19" s="296"/>
      <c r="DN19" s="296"/>
      <c r="DO19" s="296"/>
      <c r="DP19" s="296"/>
      <c r="DQ19" s="296"/>
      <c r="DR19" s="296"/>
      <c r="DS19" s="296"/>
      <c r="DT19" s="296"/>
      <c r="DU19" s="296"/>
      <c r="DV19" s="296"/>
      <c r="DW19" s="296"/>
      <c r="DX19" s="296"/>
      <c r="DY19" s="296"/>
      <c r="DZ19" s="296"/>
      <c r="EA19" s="296"/>
      <c r="EB19" s="296"/>
      <c r="EC19" s="296"/>
      <c r="ED19" s="296"/>
      <c r="EE19" s="296"/>
      <c r="EF19" s="296"/>
      <c r="EG19" s="296"/>
    </row>
    <row r="20" customHeight="1" spans="1:137">
      <c r="A20" s="293"/>
      <c r="B20" s="293"/>
      <c r="C20" s="293"/>
      <c r="D20" s="293"/>
      <c r="E20" s="293"/>
      <c r="F20" s="293"/>
      <c r="G20" s="294"/>
      <c r="H20" s="295"/>
      <c r="I20" s="294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93"/>
      <c r="AB20" s="293"/>
      <c r="AC20" s="293"/>
      <c r="AD20" s="293"/>
      <c r="AE20" s="293"/>
      <c r="AF20" s="293"/>
      <c r="AG20" s="293"/>
      <c r="AH20" s="293"/>
      <c r="AI20" s="293"/>
      <c r="AJ20" s="293"/>
      <c r="AK20" s="293"/>
      <c r="AL20" s="293"/>
      <c r="AM20" s="293"/>
      <c r="AN20" s="293"/>
      <c r="AO20" s="293"/>
      <c r="AP20" s="293"/>
      <c r="AQ20" s="293"/>
      <c r="AR20" s="293"/>
      <c r="AS20" s="293"/>
      <c r="AT20" s="293"/>
      <c r="AU20" s="293"/>
      <c r="AV20" s="293"/>
      <c r="AW20" s="293"/>
      <c r="AX20" s="293"/>
      <c r="AY20" s="293"/>
      <c r="AZ20" s="293"/>
      <c r="BA20" s="293"/>
      <c r="BB20" s="293"/>
      <c r="BC20" s="293"/>
      <c r="BD20" s="293"/>
      <c r="BE20" s="293"/>
      <c r="BF20" s="293"/>
      <c r="BG20" s="293"/>
      <c r="BH20" s="293"/>
      <c r="BI20" s="293"/>
      <c r="BJ20" s="293"/>
      <c r="BK20" s="293"/>
      <c r="BL20" s="293"/>
      <c r="BM20" s="293"/>
      <c r="BN20" s="293"/>
      <c r="BO20" s="293"/>
      <c r="BP20" s="293"/>
      <c r="BQ20" s="293"/>
      <c r="BR20" s="293"/>
      <c r="BS20" s="296"/>
      <c r="BT20" s="296"/>
      <c r="BU20" s="296"/>
      <c r="BV20" s="296"/>
      <c r="BW20" s="296"/>
      <c r="BX20" s="296"/>
      <c r="BY20" s="296"/>
      <c r="BZ20" s="296"/>
      <c r="CA20" s="296"/>
      <c r="CB20" s="296"/>
      <c r="CC20" s="296"/>
      <c r="CD20" s="296"/>
      <c r="CE20" s="296"/>
      <c r="CF20" s="296"/>
      <c r="CG20" s="296"/>
      <c r="CH20" s="296"/>
      <c r="CI20" s="296"/>
      <c r="CJ20" s="296"/>
      <c r="CK20" s="296"/>
      <c r="CL20" s="296"/>
      <c r="CM20" s="296"/>
      <c r="CN20" s="296"/>
      <c r="CO20" s="296"/>
      <c r="CP20" s="296"/>
      <c r="CQ20" s="296"/>
      <c r="CR20" s="296"/>
      <c r="CS20" s="296"/>
      <c r="CT20" s="296"/>
      <c r="CU20" s="296"/>
      <c r="CV20" s="296"/>
      <c r="CW20" s="296"/>
      <c r="CX20" s="296"/>
      <c r="CY20" s="296"/>
      <c r="CZ20" s="296"/>
      <c r="DA20" s="296"/>
      <c r="DB20" s="296"/>
      <c r="DC20" s="296"/>
      <c r="DD20" s="296"/>
      <c r="DE20" s="296"/>
      <c r="DF20" s="296"/>
      <c r="DG20" s="296"/>
      <c r="DH20" s="296"/>
      <c r="DI20" s="296"/>
      <c r="DJ20" s="296"/>
      <c r="DK20" s="296"/>
      <c r="DL20" s="296"/>
      <c r="DM20" s="296"/>
      <c r="DN20" s="296"/>
      <c r="DO20" s="296"/>
      <c r="DP20" s="296"/>
      <c r="DQ20" s="296"/>
      <c r="DR20" s="296"/>
      <c r="DS20" s="296"/>
      <c r="DT20" s="296"/>
      <c r="DU20" s="296"/>
      <c r="DV20" s="296"/>
      <c r="DW20" s="296"/>
      <c r="DX20" s="296"/>
      <c r="DY20" s="296"/>
      <c r="DZ20" s="296"/>
      <c r="EA20" s="296"/>
      <c r="EB20" s="296"/>
      <c r="EC20" s="296"/>
      <c r="ED20" s="296"/>
      <c r="EE20" s="296"/>
      <c r="EF20" s="296"/>
      <c r="EG20" s="296"/>
    </row>
    <row r="21" customHeight="1" spans="1:137">
      <c r="A21" s="293"/>
      <c r="B21" s="293"/>
      <c r="C21" s="293"/>
      <c r="D21" s="293"/>
      <c r="E21" s="293"/>
      <c r="F21" s="293"/>
      <c r="G21" s="294"/>
      <c r="H21" s="295"/>
      <c r="I21" s="294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93"/>
      <c r="AB21" s="293"/>
      <c r="AC21" s="293"/>
      <c r="AD21" s="293"/>
      <c r="AE21" s="293"/>
      <c r="AF21" s="293"/>
      <c r="AG21" s="293"/>
      <c r="AH21" s="293"/>
      <c r="AI21" s="293"/>
      <c r="AJ21" s="293"/>
      <c r="AK21" s="293"/>
      <c r="AL21" s="293"/>
      <c r="AM21" s="293"/>
      <c r="AN21" s="293"/>
      <c r="AO21" s="293"/>
      <c r="AP21" s="293"/>
      <c r="AQ21" s="293"/>
      <c r="AR21" s="293"/>
      <c r="AS21" s="293"/>
      <c r="AT21" s="293"/>
      <c r="AU21" s="293"/>
      <c r="AV21" s="293"/>
      <c r="AW21" s="293"/>
      <c r="AX21" s="293"/>
      <c r="AY21" s="293"/>
      <c r="AZ21" s="293"/>
      <c r="BA21" s="293"/>
      <c r="BB21" s="293"/>
      <c r="BC21" s="293"/>
      <c r="BD21" s="293"/>
      <c r="BE21" s="293"/>
      <c r="BF21" s="293"/>
      <c r="BG21" s="293"/>
      <c r="BH21" s="293"/>
      <c r="BI21" s="293"/>
      <c r="BJ21" s="293"/>
      <c r="BK21" s="293"/>
      <c r="BL21" s="293"/>
      <c r="BM21" s="293"/>
      <c r="BN21" s="293"/>
      <c r="BO21" s="293"/>
      <c r="BP21" s="293"/>
      <c r="BQ21" s="293"/>
      <c r="BR21" s="293"/>
      <c r="BS21" s="296"/>
      <c r="BT21" s="296"/>
      <c r="BU21" s="296"/>
      <c r="BV21" s="296"/>
      <c r="BW21" s="296"/>
      <c r="BX21" s="296"/>
      <c r="BY21" s="296"/>
      <c r="BZ21" s="296"/>
      <c r="CA21" s="296"/>
      <c r="CB21" s="296"/>
      <c r="CC21" s="296"/>
      <c r="CD21" s="296"/>
      <c r="CE21" s="296"/>
      <c r="CF21" s="296"/>
      <c r="CG21" s="296"/>
      <c r="CH21" s="296"/>
      <c r="CI21" s="296"/>
      <c r="CJ21" s="296"/>
      <c r="CK21" s="296"/>
      <c r="CL21" s="296"/>
      <c r="CM21" s="296"/>
      <c r="CN21" s="296"/>
      <c r="CO21" s="296"/>
      <c r="CP21" s="296"/>
      <c r="CQ21" s="296"/>
      <c r="CR21" s="296"/>
      <c r="CS21" s="296"/>
      <c r="CT21" s="296"/>
      <c r="CU21" s="296"/>
      <c r="CV21" s="296"/>
      <c r="CW21" s="296"/>
      <c r="CX21" s="296"/>
      <c r="CY21" s="296"/>
      <c r="CZ21" s="296"/>
      <c r="DA21" s="296"/>
      <c r="DB21" s="296"/>
      <c r="DC21" s="296"/>
      <c r="DD21" s="296"/>
      <c r="DE21" s="296"/>
      <c r="DF21" s="296"/>
      <c r="DG21" s="296"/>
      <c r="DH21" s="296"/>
      <c r="DI21" s="296"/>
      <c r="DJ21" s="296"/>
      <c r="DK21" s="296"/>
      <c r="DL21" s="296"/>
      <c r="DM21" s="296"/>
      <c r="DN21" s="296"/>
      <c r="DO21" s="296"/>
      <c r="DP21" s="296"/>
      <c r="DQ21" s="296"/>
      <c r="DR21" s="296"/>
      <c r="DS21" s="296"/>
      <c r="DT21" s="296"/>
      <c r="DU21" s="296"/>
      <c r="DV21" s="296"/>
      <c r="DW21" s="296"/>
      <c r="DX21" s="296"/>
      <c r="DY21" s="296"/>
      <c r="DZ21" s="296"/>
      <c r="EA21" s="296"/>
      <c r="EB21" s="296"/>
      <c r="EC21" s="296"/>
      <c r="ED21" s="296"/>
      <c r="EE21" s="296"/>
      <c r="EF21" s="296"/>
      <c r="EG21" s="296"/>
    </row>
    <row r="22" customHeight="1" spans="1:137">
      <c r="A22" s="293">
        <v>1</v>
      </c>
      <c r="B22" s="293"/>
      <c r="C22" s="293"/>
      <c r="D22" s="293"/>
      <c r="E22" s="293"/>
      <c r="F22" s="293"/>
      <c r="G22" s="294"/>
      <c r="H22" s="295"/>
      <c r="I22" s="294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3"/>
      <c r="W22" s="293"/>
      <c r="X22" s="293"/>
      <c r="Y22" s="293"/>
      <c r="Z22" s="293"/>
      <c r="AA22" s="293"/>
      <c r="AB22" s="293"/>
      <c r="AC22" s="293"/>
      <c r="AD22" s="293"/>
      <c r="AE22" s="293"/>
      <c r="AF22" s="293"/>
      <c r="AG22" s="293"/>
      <c r="AH22" s="293"/>
      <c r="AI22" s="293"/>
      <c r="AJ22" s="293"/>
      <c r="AK22" s="293"/>
      <c r="AL22" s="293"/>
      <c r="AM22" s="293"/>
      <c r="AN22" s="293"/>
      <c r="AO22" s="293"/>
      <c r="AP22" s="293"/>
      <c r="AQ22" s="293"/>
      <c r="AR22" s="293"/>
      <c r="AS22" s="293"/>
      <c r="AT22" s="293"/>
      <c r="AU22" s="293"/>
      <c r="AV22" s="293"/>
      <c r="AW22" s="293"/>
      <c r="AX22" s="293"/>
      <c r="AY22" s="293"/>
      <c r="AZ22" s="293"/>
      <c r="BA22" s="293"/>
      <c r="BB22" s="293"/>
      <c r="BC22" s="293"/>
      <c r="BD22" s="293"/>
      <c r="BE22" s="293"/>
      <c r="BF22" s="293"/>
      <c r="BG22" s="293"/>
      <c r="BH22" s="293"/>
      <c r="BI22" s="293"/>
      <c r="BJ22" s="293"/>
      <c r="BK22" s="293"/>
      <c r="BL22" s="293"/>
      <c r="BM22" s="293"/>
      <c r="BN22" s="293"/>
      <c r="BO22" s="293"/>
      <c r="BP22" s="293"/>
      <c r="BQ22" s="293"/>
      <c r="BR22" s="293"/>
      <c r="BS22" s="296"/>
      <c r="BT22" s="296"/>
      <c r="BU22" s="296"/>
      <c r="BV22" s="296"/>
      <c r="BW22" s="296"/>
      <c r="BX22" s="296"/>
      <c r="BY22" s="296"/>
      <c r="BZ22" s="296"/>
      <c r="CA22" s="296"/>
      <c r="CB22" s="296"/>
      <c r="CC22" s="296"/>
      <c r="CD22" s="296"/>
      <c r="CE22" s="296"/>
      <c r="CF22" s="296"/>
      <c r="CG22" s="296"/>
      <c r="CH22" s="296"/>
      <c r="CI22" s="296"/>
      <c r="CJ22" s="296"/>
      <c r="CK22" s="296"/>
      <c r="CL22" s="296"/>
      <c r="CM22" s="296"/>
      <c r="CN22" s="296"/>
      <c r="CO22" s="296"/>
      <c r="CP22" s="296"/>
      <c r="CQ22" s="296"/>
      <c r="CR22" s="296"/>
      <c r="CS22" s="296"/>
      <c r="CT22" s="296"/>
      <c r="CU22" s="296"/>
      <c r="CV22" s="296"/>
      <c r="CW22" s="296"/>
      <c r="CX22" s="296"/>
      <c r="CY22" s="296"/>
      <c r="CZ22" s="296"/>
      <c r="DA22" s="296"/>
      <c r="DB22" s="296"/>
      <c r="DC22" s="296"/>
      <c r="DD22" s="296"/>
      <c r="DE22" s="296"/>
      <c r="DF22" s="296"/>
      <c r="DG22" s="296"/>
      <c r="DH22" s="296"/>
      <c r="DI22" s="296"/>
      <c r="DJ22" s="296"/>
      <c r="DK22" s="296"/>
      <c r="DL22" s="296"/>
      <c r="DM22" s="296"/>
      <c r="DN22" s="296"/>
      <c r="DO22" s="296"/>
      <c r="DP22" s="296"/>
      <c r="DQ22" s="296"/>
      <c r="DR22" s="296"/>
      <c r="DS22" s="296"/>
      <c r="DT22" s="296"/>
      <c r="DU22" s="296"/>
      <c r="DV22" s="296"/>
      <c r="DW22" s="296"/>
      <c r="DX22" s="296"/>
      <c r="DY22" s="296"/>
      <c r="DZ22" s="296"/>
      <c r="EA22" s="296"/>
      <c r="EB22" s="296"/>
      <c r="EC22" s="296"/>
      <c r="ED22" s="296"/>
      <c r="EE22" s="296"/>
      <c r="EF22" s="296"/>
      <c r="EG22" s="296"/>
    </row>
    <row r="23" customHeight="1" spans="1:137">
      <c r="A23" s="293">
        <v>2</v>
      </c>
      <c r="B23" s="293"/>
      <c r="C23" s="293"/>
      <c r="D23" s="293"/>
      <c r="E23" s="293"/>
      <c r="F23" s="293"/>
      <c r="G23" s="294"/>
      <c r="H23" s="295"/>
      <c r="I23" s="294"/>
      <c r="J23" s="293"/>
      <c r="K23" s="293"/>
      <c r="L23" s="293"/>
      <c r="M23" s="293"/>
      <c r="N23" s="293"/>
      <c r="O23" s="293"/>
      <c r="P23" s="293"/>
      <c r="Q23" s="293"/>
      <c r="R23" s="293"/>
      <c r="S23" s="293"/>
      <c r="T23" s="293"/>
      <c r="U23" s="293"/>
      <c r="V23" s="293"/>
      <c r="W23" s="293"/>
      <c r="X23" s="293"/>
      <c r="Y23" s="293"/>
      <c r="Z23" s="293"/>
      <c r="AA23" s="293"/>
      <c r="AB23" s="293"/>
      <c r="AC23" s="293"/>
      <c r="AD23" s="293"/>
      <c r="AE23" s="293"/>
      <c r="AF23" s="293"/>
      <c r="AG23" s="293"/>
      <c r="AH23" s="293"/>
      <c r="AI23" s="293"/>
      <c r="AJ23" s="293"/>
      <c r="AK23" s="293"/>
      <c r="AL23" s="293"/>
      <c r="AM23" s="293"/>
      <c r="AN23" s="293"/>
      <c r="AO23" s="293"/>
      <c r="AP23" s="293"/>
      <c r="AQ23" s="293"/>
      <c r="AR23" s="293"/>
      <c r="AS23" s="293"/>
      <c r="AT23" s="293"/>
      <c r="AU23" s="293"/>
      <c r="AV23" s="293"/>
      <c r="AW23" s="293"/>
      <c r="AX23" s="293"/>
      <c r="AY23" s="293"/>
      <c r="AZ23" s="293"/>
      <c r="BA23" s="293"/>
      <c r="BB23" s="293"/>
      <c r="BC23" s="293"/>
      <c r="BD23" s="293"/>
      <c r="BE23" s="293"/>
      <c r="BF23" s="293"/>
      <c r="BG23" s="293"/>
      <c r="BH23" s="293"/>
      <c r="BI23" s="293"/>
      <c r="BJ23" s="293"/>
      <c r="BK23" s="293"/>
      <c r="BL23" s="293"/>
      <c r="BM23" s="293"/>
      <c r="BN23" s="293"/>
      <c r="BO23" s="293"/>
      <c r="BP23" s="293"/>
      <c r="BQ23" s="293"/>
      <c r="BR23" s="293"/>
      <c r="BS23" s="296"/>
      <c r="BT23" s="296"/>
      <c r="BU23" s="296"/>
      <c r="BV23" s="296"/>
      <c r="BW23" s="296"/>
      <c r="BX23" s="296"/>
      <c r="BY23" s="296"/>
      <c r="BZ23" s="296"/>
      <c r="CA23" s="296"/>
      <c r="CB23" s="296"/>
      <c r="CC23" s="296"/>
      <c r="CD23" s="296"/>
      <c r="CE23" s="296"/>
      <c r="CF23" s="296"/>
      <c r="CG23" s="296"/>
      <c r="CH23" s="296"/>
      <c r="CI23" s="296"/>
      <c r="CJ23" s="296"/>
      <c r="CK23" s="296"/>
      <c r="CL23" s="296"/>
      <c r="CM23" s="296"/>
      <c r="CN23" s="296"/>
      <c r="CO23" s="296"/>
      <c r="CP23" s="296"/>
      <c r="CQ23" s="296"/>
      <c r="CR23" s="296"/>
      <c r="CS23" s="296"/>
      <c r="CT23" s="296"/>
      <c r="CU23" s="296"/>
      <c r="CV23" s="296"/>
      <c r="CW23" s="296"/>
      <c r="CX23" s="296"/>
      <c r="CY23" s="296"/>
      <c r="CZ23" s="296"/>
      <c r="DA23" s="296"/>
      <c r="DB23" s="296"/>
      <c r="DC23" s="296"/>
      <c r="DD23" s="296"/>
      <c r="DE23" s="296"/>
      <c r="DF23" s="296"/>
      <c r="DG23" s="296"/>
      <c r="DH23" s="296"/>
      <c r="DI23" s="296"/>
      <c r="DJ23" s="296"/>
      <c r="DK23" s="296"/>
      <c r="DL23" s="296"/>
      <c r="DM23" s="296"/>
      <c r="DN23" s="296"/>
      <c r="DO23" s="296"/>
      <c r="DP23" s="296"/>
      <c r="DQ23" s="296"/>
      <c r="DR23" s="296"/>
      <c r="DS23" s="296"/>
      <c r="DT23" s="296"/>
      <c r="DU23" s="296"/>
      <c r="DV23" s="296"/>
      <c r="DW23" s="296"/>
      <c r="DX23" s="296"/>
      <c r="DY23" s="296"/>
      <c r="DZ23" s="296"/>
      <c r="EA23" s="296"/>
      <c r="EB23" s="296"/>
      <c r="EC23" s="296"/>
      <c r="ED23" s="296"/>
      <c r="EE23" s="296"/>
      <c r="EF23" s="296"/>
      <c r="EG23" s="296"/>
    </row>
    <row r="24" customHeight="1" spans="1:137">
      <c r="A24" s="293">
        <v>3</v>
      </c>
      <c r="B24" s="293"/>
      <c r="C24" s="293"/>
      <c r="D24" s="293"/>
      <c r="E24" s="293"/>
      <c r="F24" s="293"/>
      <c r="G24" s="294"/>
      <c r="H24" s="295"/>
      <c r="I24" s="294"/>
      <c r="J24" s="293"/>
      <c r="K24" s="293"/>
      <c r="L24" s="293"/>
      <c r="M24" s="293"/>
      <c r="N24" s="293"/>
      <c r="O24" s="293"/>
      <c r="P24" s="293"/>
      <c r="Q24" s="293"/>
      <c r="R24" s="293"/>
      <c r="S24" s="293"/>
      <c r="T24" s="293"/>
      <c r="U24" s="293"/>
      <c r="V24" s="293"/>
      <c r="W24" s="293"/>
      <c r="X24" s="293"/>
      <c r="Y24" s="293"/>
      <c r="Z24" s="293"/>
      <c r="AA24" s="293"/>
      <c r="AB24" s="293"/>
      <c r="AC24" s="293"/>
      <c r="AD24" s="293"/>
      <c r="AE24" s="293"/>
      <c r="AF24" s="293"/>
      <c r="AG24" s="293"/>
      <c r="AH24" s="293"/>
      <c r="AI24" s="293"/>
      <c r="AJ24" s="293"/>
      <c r="AK24" s="293"/>
      <c r="AL24" s="293"/>
      <c r="AM24" s="293"/>
      <c r="AN24" s="293"/>
      <c r="AO24" s="293"/>
      <c r="AP24" s="293"/>
      <c r="AQ24" s="293"/>
      <c r="AR24" s="293"/>
      <c r="AS24" s="293"/>
      <c r="AT24" s="293"/>
      <c r="AU24" s="293"/>
      <c r="AV24" s="293"/>
      <c r="AW24" s="293"/>
      <c r="AX24" s="293"/>
      <c r="AY24" s="293"/>
      <c r="AZ24" s="293"/>
      <c r="BA24" s="293"/>
      <c r="BB24" s="293"/>
      <c r="BC24" s="293"/>
      <c r="BD24" s="293"/>
      <c r="BE24" s="293"/>
      <c r="BF24" s="293"/>
      <c r="BG24" s="293"/>
      <c r="BH24" s="293"/>
      <c r="BI24" s="293"/>
      <c r="BJ24" s="293"/>
      <c r="BK24" s="293"/>
      <c r="BL24" s="293"/>
      <c r="BM24" s="293"/>
      <c r="BN24" s="293"/>
      <c r="BO24" s="293"/>
      <c r="BP24" s="293"/>
      <c r="BQ24" s="293"/>
      <c r="BR24" s="293"/>
      <c r="BS24" s="296"/>
      <c r="BT24" s="296"/>
      <c r="BU24" s="296"/>
      <c r="BV24" s="296"/>
      <c r="BW24" s="296"/>
      <c r="BX24" s="296"/>
      <c r="BY24" s="296"/>
      <c r="BZ24" s="296"/>
      <c r="CA24" s="296"/>
      <c r="CB24" s="296"/>
      <c r="CC24" s="296"/>
      <c r="CD24" s="296"/>
      <c r="CE24" s="296"/>
      <c r="CF24" s="296"/>
      <c r="CG24" s="296"/>
      <c r="CH24" s="296"/>
      <c r="CI24" s="296"/>
      <c r="CJ24" s="296"/>
      <c r="CK24" s="296"/>
      <c r="CL24" s="296"/>
      <c r="CM24" s="296"/>
      <c r="CN24" s="296"/>
      <c r="CO24" s="296"/>
      <c r="CP24" s="296"/>
      <c r="CQ24" s="296"/>
      <c r="CR24" s="296"/>
      <c r="CS24" s="296"/>
      <c r="CT24" s="296"/>
      <c r="CU24" s="296"/>
      <c r="CV24" s="296"/>
      <c r="CW24" s="296"/>
      <c r="CX24" s="296"/>
      <c r="CY24" s="296"/>
      <c r="CZ24" s="296"/>
      <c r="DA24" s="296"/>
      <c r="DB24" s="296"/>
      <c r="DC24" s="296"/>
      <c r="DD24" s="296"/>
      <c r="DE24" s="296"/>
      <c r="DF24" s="296"/>
      <c r="DG24" s="296"/>
      <c r="DH24" s="296"/>
      <c r="DI24" s="296"/>
      <c r="DJ24" s="296"/>
      <c r="DK24" s="296"/>
      <c r="DL24" s="296"/>
      <c r="DM24" s="296"/>
      <c r="DN24" s="296"/>
      <c r="DO24" s="296"/>
      <c r="DP24" s="296"/>
      <c r="DQ24" s="296"/>
      <c r="DR24" s="296"/>
      <c r="DS24" s="296"/>
      <c r="DT24" s="296"/>
      <c r="DU24" s="296"/>
      <c r="DV24" s="296"/>
      <c r="DW24" s="296"/>
      <c r="DX24" s="296"/>
      <c r="DY24" s="296"/>
      <c r="DZ24" s="296"/>
      <c r="EA24" s="296"/>
      <c r="EB24" s="296"/>
      <c r="EC24" s="296"/>
      <c r="ED24" s="296"/>
      <c r="EE24" s="296"/>
      <c r="EF24" s="296"/>
      <c r="EG24" s="296"/>
    </row>
    <row r="25" customHeight="1" spans="1:137">
      <c r="A25" s="293"/>
      <c r="B25" s="293"/>
      <c r="C25" s="293"/>
      <c r="D25" s="293"/>
      <c r="E25" s="293"/>
      <c r="F25" s="293"/>
      <c r="G25" s="294"/>
      <c r="H25" s="295"/>
      <c r="I25" s="294"/>
      <c r="J25" s="293"/>
      <c r="K25" s="293"/>
      <c r="L25" s="293"/>
      <c r="M25" s="293"/>
      <c r="N25" s="293"/>
      <c r="O25" s="293"/>
      <c r="P25" s="293"/>
      <c r="Q25" s="293"/>
      <c r="R25" s="293"/>
      <c r="S25" s="293"/>
      <c r="T25" s="293"/>
      <c r="U25" s="293"/>
      <c r="V25" s="293"/>
      <c r="W25" s="293"/>
      <c r="X25" s="293"/>
      <c r="Y25" s="293"/>
      <c r="Z25" s="293"/>
      <c r="AA25" s="293"/>
      <c r="AB25" s="293"/>
      <c r="AC25" s="293"/>
      <c r="AD25" s="293"/>
      <c r="AE25" s="293"/>
      <c r="AF25" s="293"/>
      <c r="AG25" s="293"/>
      <c r="AH25" s="293"/>
      <c r="AI25" s="293"/>
      <c r="AJ25" s="293"/>
      <c r="AK25" s="293"/>
      <c r="AL25" s="293"/>
      <c r="AM25" s="293"/>
      <c r="AN25" s="293"/>
      <c r="AO25" s="293"/>
      <c r="AP25" s="293"/>
      <c r="AQ25" s="293"/>
      <c r="AR25" s="293"/>
      <c r="AS25" s="293"/>
      <c r="AT25" s="293"/>
      <c r="AU25" s="293"/>
      <c r="AV25" s="293"/>
      <c r="AW25" s="293"/>
      <c r="AX25" s="293"/>
      <c r="AY25" s="293"/>
      <c r="AZ25" s="293"/>
      <c r="BA25" s="293"/>
      <c r="BB25" s="293"/>
      <c r="BC25" s="293"/>
      <c r="BD25" s="293"/>
      <c r="BE25" s="293"/>
      <c r="BF25" s="293"/>
      <c r="BG25" s="293"/>
      <c r="BH25" s="293"/>
      <c r="BI25" s="293"/>
      <c r="BJ25" s="293"/>
      <c r="BK25" s="293"/>
      <c r="BL25" s="293"/>
      <c r="BM25" s="293"/>
      <c r="BN25" s="293"/>
      <c r="BO25" s="293"/>
      <c r="BP25" s="293"/>
      <c r="BQ25" s="293"/>
      <c r="BR25" s="293"/>
      <c r="BS25" s="296"/>
      <c r="BT25" s="296"/>
      <c r="BU25" s="296"/>
      <c r="BV25" s="296"/>
      <c r="BW25" s="296"/>
      <c r="BX25" s="296"/>
      <c r="BY25" s="296"/>
      <c r="BZ25" s="296"/>
      <c r="CA25" s="296"/>
      <c r="CB25" s="296"/>
      <c r="CC25" s="296"/>
      <c r="CD25" s="296"/>
      <c r="CE25" s="296"/>
      <c r="CF25" s="296"/>
      <c r="CG25" s="296"/>
      <c r="CH25" s="296"/>
      <c r="CI25" s="296"/>
      <c r="CJ25" s="296"/>
      <c r="CK25" s="296"/>
      <c r="CL25" s="296"/>
      <c r="CM25" s="296"/>
      <c r="CN25" s="296"/>
      <c r="CO25" s="296"/>
      <c r="CP25" s="296"/>
      <c r="CQ25" s="296"/>
      <c r="CR25" s="296"/>
      <c r="CS25" s="296"/>
      <c r="CT25" s="296"/>
      <c r="CU25" s="296"/>
      <c r="CV25" s="296"/>
      <c r="CW25" s="296"/>
      <c r="CX25" s="296"/>
      <c r="CY25" s="296"/>
      <c r="CZ25" s="296"/>
      <c r="DA25" s="296"/>
      <c r="DB25" s="296"/>
      <c r="DC25" s="296"/>
      <c r="DD25" s="296"/>
      <c r="DE25" s="296"/>
      <c r="DF25" s="296"/>
      <c r="DG25" s="296"/>
      <c r="DH25" s="296"/>
      <c r="DI25" s="296"/>
      <c r="DJ25" s="296"/>
      <c r="DK25" s="296"/>
      <c r="DL25" s="296"/>
      <c r="DM25" s="296"/>
      <c r="DN25" s="296"/>
      <c r="DO25" s="296"/>
      <c r="DP25" s="296"/>
      <c r="DQ25" s="296"/>
      <c r="DR25" s="296"/>
      <c r="DS25" s="296"/>
      <c r="DT25" s="296"/>
      <c r="DU25" s="296"/>
      <c r="DV25" s="296"/>
      <c r="DW25" s="296"/>
      <c r="DX25" s="296"/>
      <c r="DY25" s="296"/>
      <c r="DZ25" s="296"/>
      <c r="EA25" s="296"/>
      <c r="EB25" s="296"/>
      <c r="EC25" s="296"/>
      <c r="ED25" s="296"/>
      <c r="EE25" s="296">
        <v>0</v>
      </c>
      <c r="EF25" s="296"/>
      <c r="EG25" s="296"/>
    </row>
    <row r="26" customHeight="1" spans="1:137">
      <c r="A26" s="293"/>
      <c r="B26" s="293"/>
      <c r="C26" s="293"/>
      <c r="D26" s="293"/>
      <c r="E26" s="293"/>
      <c r="F26" s="293"/>
      <c r="G26" s="294"/>
      <c r="H26" s="295"/>
      <c r="I26" s="294"/>
      <c r="J26" s="293"/>
      <c r="K26" s="293"/>
      <c r="L26" s="293"/>
      <c r="M26" s="293"/>
      <c r="N26" s="293"/>
      <c r="O26" s="293"/>
      <c r="P26" s="293"/>
      <c r="Q26" s="293"/>
      <c r="R26" s="293"/>
      <c r="S26" s="293"/>
      <c r="T26" s="293"/>
      <c r="U26" s="293"/>
      <c r="V26" s="293"/>
      <c r="W26" s="293"/>
      <c r="X26" s="293"/>
      <c r="Y26" s="293"/>
      <c r="Z26" s="293"/>
      <c r="AA26" s="293"/>
      <c r="AB26" s="293"/>
      <c r="AC26" s="293"/>
      <c r="AD26" s="293"/>
      <c r="AE26" s="293"/>
      <c r="AF26" s="293"/>
      <c r="AG26" s="293"/>
      <c r="AH26" s="293"/>
      <c r="AI26" s="293"/>
      <c r="AJ26" s="293"/>
      <c r="AK26" s="293"/>
      <c r="AL26" s="293"/>
      <c r="AM26" s="293"/>
      <c r="AN26" s="293"/>
      <c r="AO26" s="293"/>
      <c r="AP26" s="293"/>
      <c r="AQ26" s="293"/>
      <c r="AR26" s="293"/>
      <c r="AS26" s="293"/>
      <c r="AT26" s="293"/>
      <c r="AU26" s="293"/>
      <c r="AV26" s="293"/>
      <c r="AW26" s="293"/>
      <c r="AX26" s="293"/>
      <c r="AY26" s="293"/>
      <c r="AZ26" s="293"/>
      <c r="BA26" s="293"/>
      <c r="BB26" s="293"/>
      <c r="BC26" s="293"/>
      <c r="BD26" s="293"/>
      <c r="BE26" s="293"/>
      <c r="BF26" s="293"/>
      <c r="BG26" s="293"/>
      <c r="BH26" s="293"/>
      <c r="BI26" s="293"/>
      <c r="BJ26" s="293"/>
      <c r="BK26" s="293"/>
      <c r="BL26" s="293"/>
      <c r="BM26" s="293"/>
      <c r="BN26" s="293"/>
      <c r="BO26" s="293"/>
      <c r="BP26" s="293"/>
      <c r="BQ26" s="293"/>
      <c r="BR26" s="293"/>
      <c r="BS26" s="296"/>
      <c r="BT26" s="296"/>
      <c r="BU26" s="296"/>
      <c r="BV26" s="296"/>
      <c r="BW26" s="296"/>
      <c r="BX26" s="296"/>
      <c r="BY26" s="296"/>
      <c r="BZ26" s="296"/>
      <c r="CA26" s="296"/>
      <c r="CB26" s="296"/>
      <c r="CC26" s="296"/>
      <c r="CD26" s="296"/>
      <c r="CE26" s="296"/>
      <c r="CF26" s="296"/>
      <c r="CG26" s="296"/>
      <c r="CH26" s="296"/>
      <c r="CI26" s="296"/>
      <c r="CJ26" s="296"/>
      <c r="CK26" s="296"/>
      <c r="CL26" s="296"/>
      <c r="CM26" s="296"/>
      <c r="CN26" s="296"/>
      <c r="CO26" s="296"/>
      <c r="CP26" s="296"/>
      <c r="CQ26" s="296"/>
      <c r="CR26" s="296"/>
      <c r="CS26" s="296"/>
      <c r="CT26" s="296"/>
      <c r="CU26" s="296"/>
      <c r="CV26" s="296"/>
      <c r="CW26" s="296"/>
      <c r="CX26" s="296"/>
      <c r="CY26" s="296"/>
      <c r="CZ26" s="296"/>
      <c r="DA26" s="296"/>
      <c r="DB26" s="296"/>
      <c r="DC26" s="296"/>
      <c r="DD26" s="296"/>
      <c r="DE26" s="296"/>
      <c r="DF26" s="296"/>
      <c r="DG26" s="296"/>
      <c r="DH26" s="296"/>
      <c r="DI26" s="296"/>
      <c r="DJ26" s="296"/>
      <c r="DK26" s="296"/>
      <c r="DL26" s="296"/>
      <c r="DM26" s="296"/>
      <c r="DN26" s="296"/>
      <c r="DO26" s="296"/>
      <c r="DP26" s="296"/>
      <c r="DQ26" s="296"/>
      <c r="DR26" s="296"/>
      <c r="DS26" s="296"/>
      <c r="DT26" s="296"/>
      <c r="DU26" s="296"/>
      <c r="DV26" s="296"/>
      <c r="DW26" s="296"/>
      <c r="DX26" s="296"/>
      <c r="DY26" s="296"/>
      <c r="DZ26" s="296"/>
      <c r="EA26" s="296"/>
      <c r="EB26" s="296"/>
      <c r="EC26" s="296"/>
      <c r="ED26" s="296"/>
      <c r="EE26" s="296"/>
      <c r="EF26" s="296"/>
      <c r="EG26" s="296"/>
    </row>
    <row r="27" customHeight="1" spans="1:137">
      <c r="A27" s="293"/>
      <c r="B27" s="293"/>
      <c r="C27" s="293"/>
      <c r="D27" s="293"/>
      <c r="E27" s="293"/>
      <c r="F27" s="293"/>
      <c r="G27" s="294"/>
      <c r="H27" s="295"/>
      <c r="I27" s="294"/>
      <c r="J27" s="293"/>
      <c r="K27" s="293"/>
      <c r="L27" s="293"/>
      <c r="M27" s="293"/>
      <c r="N27" s="293"/>
      <c r="O27" s="293"/>
      <c r="P27" s="293"/>
      <c r="Q27" s="293"/>
      <c r="R27" s="293"/>
      <c r="S27" s="293"/>
      <c r="T27" s="293"/>
      <c r="U27" s="293"/>
      <c r="V27" s="293"/>
      <c r="W27" s="293"/>
      <c r="X27" s="293"/>
      <c r="Y27" s="293"/>
      <c r="Z27" s="293"/>
      <c r="AA27" s="293"/>
      <c r="AB27" s="293"/>
      <c r="AC27" s="293"/>
      <c r="AD27" s="293"/>
      <c r="AE27" s="293"/>
      <c r="AF27" s="293"/>
      <c r="AG27" s="293"/>
      <c r="AH27" s="293"/>
      <c r="AI27" s="293"/>
      <c r="AJ27" s="293"/>
      <c r="AK27" s="293"/>
      <c r="AL27" s="293"/>
      <c r="AM27" s="293"/>
      <c r="AN27" s="293"/>
      <c r="AO27" s="293"/>
      <c r="AP27" s="293"/>
      <c r="AQ27" s="293"/>
      <c r="AR27" s="293"/>
      <c r="AS27" s="293"/>
      <c r="AT27" s="293"/>
      <c r="AU27" s="293"/>
      <c r="AV27" s="293"/>
      <c r="AW27" s="293"/>
      <c r="AX27" s="293"/>
      <c r="AY27" s="293"/>
      <c r="AZ27" s="293"/>
      <c r="BA27" s="293"/>
      <c r="BB27" s="293"/>
      <c r="BC27" s="293"/>
      <c r="BD27" s="293"/>
      <c r="BE27" s="293"/>
      <c r="BF27" s="293"/>
      <c r="BG27" s="293"/>
      <c r="BH27" s="293"/>
      <c r="BI27" s="293"/>
      <c r="BJ27" s="293"/>
      <c r="BK27" s="293"/>
      <c r="BL27" s="293"/>
      <c r="BM27" s="293"/>
      <c r="BN27" s="293"/>
      <c r="BO27" s="293"/>
      <c r="BP27" s="293"/>
      <c r="BQ27" s="293"/>
      <c r="BR27" s="293"/>
      <c r="BS27" s="296"/>
      <c r="BT27" s="296"/>
      <c r="BU27" s="296"/>
      <c r="BV27" s="296"/>
      <c r="BW27" s="296"/>
      <c r="BX27" s="296"/>
      <c r="BY27" s="296"/>
      <c r="BZ27" s="296"/>
      <c r="CA27" s="296"/>
      <c r="CB27" s="296"/>
      <c r="CC27" s="296"/>
      <c r="CD27" s="296"/>
      <c r="CE27" s="296"/>
      <c r="CF27" s="296"/>
      <c r="CG27" s="296"/>
      <c r="CH27" s="296"/>
      <c r="CI27" s="296"/>
      <c r="CJ27" s="296"/>
      <c r="CK27" s="296"/>
      <c r="CL27" s="296"/>
      <c r="CM27" s="296"/>
      <c r="CN27" s="296"/>
      <c r="CO27" s="296"/>
      <c r="CP27" s="296"/>
      <c r="CQ27" s="296"/>
      <c r="CR27" s="296"/>
      <c r="CS27" s="296"/>
      <c r="CT27" s="296"/>
      <c r="CU27" s="296"/>
      <c r="CV27" s="296"/>
      <c r="CW27" s="296"/>
      <c r="CX27" s="296"/>
      <c r="CY27" s="296"/>
      <c r="CZ27" s="296"/>
      <c r="DA27" s="296"/>
      <c r="DB27" s="296"/>
      <c r="DC27" s="296"/>
      <c r="DD27" s="296"/>
      <c r="DE27" s="296"/>
      <c r="DF27" s="296"/>
      <c r="DG27" s="296"/>
      <c r="DH27" s="296"/>
      <c r="DI27" s="296"/>
      <c r="DJ27" s="296"/>
      <c r="DK27" s="296"/>
      <c r="DL27" s="296"/>
      <c r="DM27" s="296"/>
      <c r="DN27" s="296"/>
      <c r="DO27" s="296"/>
      <c r="DP27" s="296"/>
      <c r="DQ27" s="296"/>
      <c r="DR27" s="296"/>
      <c r="DS27" s="296"/>
      <c r="DT27" s="296"/>
      <c r="DU27" s="296"/>
      <c r="DV27" s="296"/>
      <c r="DW27" s="296"/>
      <c r="DX27" s="296"/>
      <c r="DY27" s="296"/>
      <c r="DZ27" s="296"/>
      <c r="EA27" s="296"/>
      <c r="EB27" s="296"/>
      <c r="EC27" s="296"/>
      <c r="ED27" s="296"/>
      <c r="EE27" s="296"/>
      <c r="EF27" s="296"/>
      <c r="EG27" s="296"/>
    </row>
    <row r="28" customHeight="1" spans="1:137">
      <c r="A28" s="293"/>
      <c r="B28" s="293"/>
      <c r="C28" s="293"/>
      <c r="D28" s="293"/>
      <c r="E28" s="293"/>
      <c r="F28" s="293"/>
      <c r="G28" s="294"/>
      <c r="H28" s="295"/>
      <c r="I28" s="294"/>
      <c r="J28" s="293"/>
      <c r="K28" s="293"/>
      <c r="L28" s="293"/>
      <c r="M28" s="293"/>
      <c r="N28" s="293"/>
      <c r="O28" s="293"/>
      <c r="P28" s="293"/>
      <c r="Q28" s="293"/>
      <c r="R28" s="293"/>
      <c r="S28" s="293"/>
      <c r="T28" s="293"/>
      <c r="U28" s="293"/>
      <c r="V28" s="293"/>
      <c r="W28" s="293"/>
      <c r="X28" s="293"/>
      <c r="Y28" s="293"/>
      <c r="Z28" s="293"/>
      <c r="AA28" s="293"/>
      <c r="AB28" s="293"/>
      <c r="AC28" s="293"/>
      <c r="AD28" s="293"/>
      <c r="AE28" s="293"/>
      <c r="AF28" s="293"/>
      <c r="AG28" s="293"/>
      <c r="AH28" s="293"/>
      <c r="AI28" s="293"/>
      <c r="AJ28" s="293"/>
      <c r="AK28" s="293"/>
      <c r="AL28" s="293"/>
      <c r="AM28" s="293"/>
      <c r="AN28" s="293"/>
      <c r="AO28" s="293"/>
      <c r="AP28" s="293"/>
      <c r="AQ28" s="293"/>
      <c r="AR28" s="293"/>
      <c r="AS28" s="293"/>
      <c r="AT28" s="293"/>
      <c r="AU28" s="293"/>
      <c r="AV28" s="293"/>
      <c r="AW28" s="293"/>
      <c r="AX28" s="293"/>
      <c r="AY28" s="293"/>
      <c r="AZ28" s="293"/>
      <c r="BA28" s="293"/>
      <c r="BB28" s="293"/>
      <c r="BC28" s="293"/>
      <c r="BD28" s="293"/>
      <c r="BE28" s="293"/>
      <c r="BF28" s="293"/>
      <c r="BG28" s="293"/>
      <c r="BH28" s="293"/>
      <c r="BI28" s="293"/>
      <c r="BJ28" s="293"/>
      <c r="BK28" s="293"/>
      <c r="BL28" s="293"/>
      <c r="BM28" s="293"/>
      <c r="BN28" s="293"/>
      <c r="BO28" s="293"/>
      <c r="BP28" s="293"/>
      <c r="BQ28" s="293"/>
      <c r="BR28" s="293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  <c r="CO28" s="296"/>
      <c r="CP28" s="296"/>
      <c r="CQ28" s="296"/>
      <c r="CR28" s="296"/>
      <c r="CS28" s="296"/>
      <c r="CT28" s="296"/>
      <c r="CU28" s="296"/>
      <c r="CV28" s="296"/>
      <c r="CW28" s="296"/>
      <c r="CX28" s="296"/>
      <c r="CY28" s="296"/>
      <c r="CZ28" s="296"/>
      <c r="DA28" s="296"/>
      <c r="DB28" s="296"/>
      <c r="DC28" s="296"/>
      <c r="DD28" s="296"/>
      <c r="DE28" s="296"/>
      <c r="DF28" s="296"/>
      <c r="DG28" s="296"/>
      <c r="DH28" s="296"/>
      <c r="DI28" s="296"/>
      <c r="DJ28" s="296"/>
      <c r="DK28" s="296"/>
      <c r="DL28" s="296"/>
      <c r="DM28" s="296"/>
      <c r="DN28" s="296"/>
      <c r="DO28" s="296"/>
      <c r="DP28" s="296"/>
      <c r="DQ28" s="296"/>
      <c r="DR28" s="296"/>
      <c r="DS28" s="296"/>
      <c r="DT28" s="296"/>
      <c r="DU28" s="296"/>
      <c r="DV28" s="296"/>
      <c r="DW28" s="296"/>
      <c r="DX28" s="296"/>
      <c r="DY28" s="296"/>
      <c r="DZ28" s="296"/>
      <c r="EA28" s="296"/>
      <c r="EB28" s="296"/>
      <c r="EC28" s="296"/>
      <c r="ED28" s="296"/>
      <c r="EE28" s="296"/>
      <c r="EF28" s="296"/>
      <c r="EG28" s="296"/>
    </row>
    <row r="29" customHeight="1" spans="1:137">
      <c r="A29" s="293"/>
      <c r="B29" s="293"/>
      <c r="C29" s="293"/>
      <c r="D29" s="293"/>
      <c r="E29" s="293"/>
      <c r="F29" s="293"/>
      <c r="G29" s="294"/>
      <c r="H29" s="295"/>
      <c r="I29" s="294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293"/>
      <c r="AY29" s="293"/>
      <c r="AZ29" s="293"/>
      <c r="BA29" s="293"/>
      <c r="BB29" s="293"/>
      <c r="BC29" s="293"/>
      <c r="BD29" s="293"/>
      <c r="BE29" s="293"/>
      <c r="BF29" s="293"/>
      <c r="BG29" s="293"/>
      <c r="BH29" s="293"/>
      <c r="BI29" s="293"/>
      <c r="BJ29" s="293"/>
      <c r="BK29" s="293"/>
      <c r="BL29" s="293"/>
      <c r="BM29" s="293"/>
      <c r="BN29" s="293"/>
      <c r="BO29" s="293"/>
      <c r="BP29" s="293"/>
      <c r="BQ29" s="293"/>
      <c r="BR29" s="293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  <c r="CO29" s="296"/>
      <c r="CP29" s="296"/>
      <c r="CQ29" s="296"/>
      <c r="CR29" s="296"/>
      <c r="CS29" s="296"/>
      <c r="CT29" s="296"/>
      <c r="CU29" s="296"/>
      <c r="CV29" s="296"/>
      <c r="CW29" s="296"/>
      <c r="CX29" s="296"/>
      <c r="CY29" s="296"/>
      <c r="CZ29" s="296"/>
      <c r="DA29" s="296"/>
      <c r="DB29" s="296"/>
      <c r="DC29" s="296"/>
      <c r="DD29" s="296"/>
      <c r="DE29" s="296"/>
      <c r="DF29" s="296"/>
      <c r="DG29" s="296"/>
      <c r="DH29" s="296"/>
      <c r="DI29" s="296"/>
      <c r="DJ29" s="296"/>
      <c r="DK29" s="296"/>
      <c r="DL29" s="296"/>
      <c r="DM29" s="296"/>
      <c r="DN29" s="296"/>
      <c r="DO29" s="296"/>
      <c r="DP29" s="296"/>
      <c r="DQ29" s="296"/>
      <c r="DR29" s="296"/>
      <c r="DS29" s="296"/>
      <c r="DT29" s="296"/>
      <c r="DU29" s="296"/>
      <c r="DV29" s="296"/>
      <c r="DW29" s="296"/>
      <c r="DX29" s="296"/>
      <c r="DY29" s="296"/>
      <c r="DZ29" s="296"/>
      <c r="EA29" s="296"/>
      <c r="EB29" s="296"/>
      <c r="EC29" s="296"/>
      <c r="ED29" s="296"/>
      <c r="EE29" s="296"/>
      <c r="EF29" s="296"/>
      <c r="EG29" s="296"/>
    </row>
    <row r="30" customHeight="1" spans="1:137">
      <c r="A30" s="293"/>
      <c r="B30" s="293"/>
      <c r="C30" s="293"/>
      <c r="D30" s="293"/>
      <c r="E30" s="293"/>
      <c r="F30" s="293"/>
      <c r="G30" s="294"/>
      <c r="H30" s="295"/>
      <c r="I30" s="294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93"/>
      <c r="AB30" s="293"/>
      <c r="AC30" s="293"/>
      <c r="AD30" s="293"/>
      <c r="AE30" s="293"/>
      <c r="AF30" s="293"/>
      <c r="AG30" s="293"/>
      <c r="AH30" s="293"/>
      <c r="AI30" s="293"/>
      <c r="AJ30" s="293"/>
      <c r="AK30" s="293"/>
      <c r="AL30" s="293"/>
      <c r="AM30" s="293"/>
      <c r="AN30" s="293"/>
      <c r="AO30" s="293"/>
      <c r="AP30" s="293"/>
      <c r="AQ30" s="293"/>
      <c r="AR30" s="293"/>
      <c r="AS30" s="293"/>
      <c r="AT30" s="293"/>
      <c r="AU30" s="293"/>
      <c r="AV30" s="293"/>
      <c r="AW30" s="293"/>
      <c r="AX30" s="293"/>
      <c r="AY30" s="293"/>
      <c r="AZ30" s="293"/>
      <c r="BA30" s="293"/>
      <c r="BB30" s="293"/>
      <c r="BC30" s="293"/>
      <c r="BD30" s="293"/>
      <c r="BE30" s="293"/>
      <c r="BF30" s="293"/>
      <c r="BG30" s="293"/>
      <c r="BH30" s="293"/>
      <c r="BI30" s="293"/>
      <c r="BJ30" s="293"/>
      <c r="BK30" s="293"/>
      <c r="BL30" s="293"/>
      <c r="BM30" s="293"/>
      <c r="BN30" s="293"/>
      <c r="BO30" s="293"/>
      <c r="BP30" s="293"/>
      <c r="BQ30" s="293"/>
      <c r="BR30" s="293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  <c r="CO30" s="296"/>
      <c r="CP30" s="296"/>
      <c r="CQ30" s="296"/>
      <c r="CR30" s="296"/>
      <c r="CS30" s="296"/>
      <c r="CT30" s="296"/>
      <c r="CU30" s="296"/>
      <c r="CV30" s="296"/>
      <c r="CW30" s="296"/>
      <c r="CX30" s="296"/>
      <c r="CY30" s="296"/>
      <c r="CZ30" s="296"/>
      <c r="DA30" s="296"/>
      <c r="DB30" s="296"/>
      <c r="DC30" s="296"/>
      <c r="DD30" s="296"/>
      <c r="DE30" s="296"/>
      <c r="DF30" s="296"/>
      <c r="DG30" s="296"/>
      <c r="DH30" s="296"/>
      <c r="DI30" s="296"/>
      <c r="DJ30" s="296"/>
      <c r="DK30" s="296"/>
      <c r="DL30" s="296"/>
      <c r="DM30" s="296"/>
      <c r="DN30" s="296"/>
      <c r="DO30" s="296"/>
      <c r="DP30" s="296"/>
      <c r="DQ30" s="296"/>
      <c r="DR30" s="296"/>
      <c r="DS30" s="296"/>
      <c r="DT30" s="296"/>
      <c r="DU30" s="296"/>
      <c r="DV30" s="296"/>
      <c r="DW30" s="296"/>
      <c r="DX30" s="296"/>
      <c r="DY30" s="296"/>
      <c r="DZ30" s="296"/>
      <c r="EA30" s="296"/>
      <c r="EB30" s="296"/>
      <c r="EC30" s="296"/>
      <c r="ED30" s="296"/>
      <c r="EE30" s="296"/>
      <c r="EF30" s="296"/>
      <c r="EG30" s="296"/>
    </row>
    <row r="31" customHeight="1" spans="1:137">
      <c r="A31" s="293"/>
      <c r="B31" s="293"/>
      <c r="C31" s="293"/>
      <c r="D31" s="293"/>
      <c r="E31" s="293"/>
      <c r="F31" s="293"/>
      <c r="G31" s="294"/>
      <c r="H31" s="295"/>
      <c r="I31" s="294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93"/>
      <c r="AB31" s="293"/>
      <c r="AC31" s="293"/>
      <c r="AD31" s="293"/>
      <c r="AE31" s="293"/>
      <c r="AF31" s="293"/>
      <c r="AG31" s="293"/>
      <c r="AH31" s="293"/>
      <c r="AI31" s="293"/>
      <c r="AJ31" s="293"/>
      <c r="AK31" s="293"/>
      <c r="AL31" s="293"/>
      <c r="AM31" s="293"/>
      <c r="AN31" s="293"/>
      <c r="AO31" s="293"/>
      <c r="AP31" s="293"/>
      <c r="AQ31" s="293"/>
      <c r="AR31" s="293"/>
      <c r="AS31" s="293"/>
      <c r="AT31" s="293"/>
      <c r="AU31" s="293"/>
      <c r="AV31" s="293"/>
      <c r="AW31" s="293"/>
      <c r="AX31" s="293"/>
      <c r="AY31" s="293"/>
      <c r="AZ31" s="293"/>
      <c r="BA31" s="293"/>
      <c r="BB31" s="293"/>
      <c r="BC31" s="293"/>
      <c r="BD31" s="293"/>
      <c r="BE31" s="293"/>
      <c r="BF31" s="293"/>
      <c r="BG31" s="293"/>
      <c r="BH31" s="293"/>
      <c r="BI31" s="293"/>
      <c r="BJ31" s="293"/>
      <c r="BK31" s="293"/>
      <c r="BL31" s="293"/>
      <c r="BM31" s="293"/>
      <c r="BN31" s="293"/>
      <c r="BO31" s="293"/>
      <c r="BP31" s="293"/>
      <c r="BQ31" s="293"/>
      <c r="BR31" s="293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</row>
    <row r="32" customHeight="1" spans="1:137">
      <c r="A32" s="293"/>
      <c r="B32" s="293"/>
      <c r="C32" s="293"/>
      <c r="D32" s="293"/>
      <c r="E32" s="293"/>
      <c r="F32" s="293"/>
      <c r="G32" s="294"/>
      <c r="H32" s="295"/>
      <c r="I32" s="294"/>
      <c r="J32" s="293"/>
      <c r="K32" s="293"/>
      <c r="L32" s="293"/>
      <c r="M32" s="293"/>
      <c r="N32" s="293"/>
      <c r="O32" s="293"/>
      <c r="P32" s="293"/>
      <c r="Q32" s="293"/>
      <c r="R32" s="293"/>
      <c r="S32" s="293"/>
      <c r="T32" s="293"/>
      <c r="U32" s="293"/>
      <c r="V32" s="293"/>
      <c r="W32" s="293"/>
      <c r="X32" s="293"/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/>
      <c r="AO32" s="293"/>
      <c r="AP32" s="293"/>
      <c r="AQ32" s="293"/>
      <c r="AR32" s="293"/>
      <c r="AS32" s="293"/>
      <c r="AT32" s="293"/>
      <c r="AU32" s="293"/>
      <c r="AV32" s="293"/>
      <c r="AW32" s="293"/>
      <c r="AX32" s="293"/>
      <c r="AY32" s="293"/>
      <c r="AZ32" s="293"/>
      <c r="BA32" s="293"/>
      <c r="BB32" s="293"/>
      <c r="BC32" s="293"/>
      <c r="BD32" s="293"/>
      <c r="BE32" s="293"/>
      <c r="BF32" s="293"/>
      <c r="BG32" s="293"/>
      <c r="BH32" s="293"/>
      <c r="BI32" s="293"/>
      <c r="BJ32" s="293"/>
      <c r="BK32" s="293"/>
      <c r="BL32" s="293"/>
      <c r="BM32" s="293"/>
      <c r="BN32" s="293"/>
      <c r="BO32" s="293"/>
      <c r="BP32" s="293"/>
      <c r="BQ32" s="293"/>
      <c r="BR32" s="293"/>
      <c r="BS32" s="296"/>
      <c r="BT32" s="296"/>
      <c r="BU32" s="296"/>
      <c r="BV32" s="296"/>
      <c r="BW32" s="296"/>
      <c r="BX32" s="296"/>
      <c r="BY32" s="296"/>
      <c r="BZ32" s="296"/>
      <c r="CA32" s="296"/>
      <c r="CB32" s="296"/>
      <c r="CC32" s="296"/>
      <c r="CD32" s="296"/>
      <c r="CE32" s="296"/>
      <c r="CF32" s="296"/>
      <c r="CG32" s="296"/>
      <c r="CH32" s="296"/>
      <c r="CI32" s="296"/>
      <c r="CJ32" s="296"/>
      <c r="CK32" s="296"/>
      <c r="CL32" s="296"/>
      <c r="CM32" s="296"/>
      <c r="CN32" s="296"/>
      <c r="CO32" s="296"/>
      <c r="CP32" s="296"/>
      <c r="CQ32" s="296"/>
      <c r="CR32" s="296"/>
      <c r="CS32" s="296"/>
      <c r="CT32" s="296"/>
      <c r="CU32" s="296"/>
      <c r="CV32" s="296"/>
      <c r="CW32" s="296"/>
      <c r="CX32" s="296"/>
      <c r="CY32" s="296"/>
      <c r="CZ32" s="296"/>
      <c r="DA32" s="296"/>
      <c r="DB32" s="296"/>
      <c r="DC32" s="296"/>
      <c r="DD32" s="296"/>
      <c r="DE32" s="296"/>
      <c r="DF32" s="296"/>
      <c r="DG32" s="296"/>
      <c r="DH32" s="296"/>
      <c r="DI32" s="296"/>
      <c r="DJ32" s="296"/>
      <c r="DK32" s="296"/>
      <c r="DL32" s="296"/>
      <c r="DM32" s="296"/>
      <c r="DN32" s="296"/>
      <c r="DO32" s="296"/>
      <c r="DP32" s="296"/>
      <c r="DQ32" s="296"/>
      <c r="DR32" s="296"/>
      <c r="DS32" s="296"/>
      <c r="DT32" s="296"/>
      <c r="DU32" s="296"/>
      <c r="DV32" s="296"/>
      <c r="DW32" s="296"/>
      <c r="DX32" s="296"/>
      <c r="DY32" s="296"/>
      <c r="DZ32" s="296"/>
      <c r="EA32" s="296"/>
      <c r="EB32" s="296"/>
      <c r="EC32" s="296"/>
      <c r="ED32" s="296"/>
      <c r="EE32" s="296"/>
      <c r="EF32" s="296"/>
      <c r="EG32" s="296"/>
    </row>
    <row r="33" customHeight="1" spans="1:137">
      <c r="A33" s="293"/>
      <c r="B33" s="293"/>
      <c r="C33" s="293"/>
      <c r="D33" s="293"/>
      <c r="E33" s="293"/>
      <c r="F33" s="293"/>
      <c r="G33" s="294"/>
      <c r="H33" s="295"/>
      <c r="I33" s="294"/>
      <c r="J33" s="293"/>
      <c r="K33" s="293"/>
      <c r="L33" s="293"/>
      <c r="M33" s="293"/>
      <c r="N33" s="293"/>
      <c r="O33" s="293"/>
      <c r="P33" s="293"/>
      <c r="Q33" s="293"/>
      <c r="R33" s="293"/>
      <c r="S33" s="293"/>
      <c r="T33" s="293"/>
      <c r="U33" s="293"/>
      <c r="V33" s="293"/>
      <c r="W33" s="293"/>
      <c r="X33" s="293"/>
      <c r="Y33" s="293"/>
      <c r="Z33" s="293"/>
      <c r="AA33" s="293"/>
      <c r="AB33" s="293"/>
      <c r="AC33" s="293"/>
      <c r="AD33" s="293"/>
      <c r="AE33" s="293"/>
      <c r="AF33" s="293"/>
      <c r="AG33" s="293"/>
      <c r="AH33" s="293"/>
      <c r="AI33" s="293"/>
      <c r="AJ33" s="293"/>
      <c r="AK33" s="293"/>
      <c r="AL33" s="293"/>
      <c r="AM33" s="293"/>
      <c r="AN33" s="293"/>
      <c r="AO33" s="293"/>
      <c r="AP33" s="293"/>
      <c r="AQ33" s="293"/>
      <c r="AR33" s="293"/>
      <c r="AS33" s="293"/>
      <c r="AT33" s="293"/>
      <c r="AU33" s="293"/>
      <c r="AV33" s="293"/>
      <c r="AW33" s="293"/>
      <c r="AX33" s="293"/>
      <c r="AY33" s="293"/>
      <c r="AZ33" s="293"/>
      <c r="BA33" s="293"/>
      <c r="BB33" s="293"/>
      <c r="BC33" s="293"/>
      <c r="BD33" s="293"/>
      <c r="BE33" s="293"/>
      <c r="BF33" s="293"/>
      <c r="BG33" s="293"/>
      <c r="BH33" s="293"/>
      <c r="BI33" s="293"/>
      <c r="BJ33" s="293"/>
      <c r="BK33" s="293"/>
      <c r="BL33" s="293"/>
      <c r="BM33" s="293"/>
      <c r="BN33" s="293"/>
      <c r="BO33" s="293"/>
      <c r="BP33" s="293"/>
      <c r="BQ33" s="293"/>
      <c r="BR33" s="293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  <c r="CO33" s="296"/>
      <c r="CP33" s="296"/>
      <c r="CQ33" s="296"/>
      <c r="CR33" s="296"/>
      <c r="CS33" s="296"/>
      <c r="CT33" s="296"/>
      <c r="CU33" s="296"/>
      <c r="CV33" s="296"/>
      <c r="CW33" s="296"/>
      <c r="CX33" s="296"/>
      <c r="CY33" s="296"/>
      <c r="CZ33" s="296"/>
      <c r="DA33" s="296"/>
      <c r="DB33" s="296"/>
      <c r="DC33" s="296"/>
      <c r="DD33" s="296"/>
      <c r="DE33" s="296"/>
      <c r="DF33" s="296"/>
      <c r="DG33" s="296"/>
      <c r="DH33" s="296"/>
      <c r="DI33" s="296"/>
      <c r="DJ33" s="296"/>
      <c r="DK33" s="296"/>
      <c r="DL33" s="296"/>
      <c r="DM33" s="296"/>
      <c r="DN33" s="296"/>
      <c r="DO33" s="296"/>
      <c r="DP33" s="296"/>
      <c r="DQ33" s="296"/>
      <c r="DR33" s="296"/>
      <c r="DS33" s="296"/>
      <c r="DT33" s="296"/>
      <c r="DU33" s="296"/>
      <c r="DV33" s="296"/>
      <c r="DW33" s="296"/>
      <c r="DX33" s="296"/>
      <c r="DY33" s="296"/>
      <c r="DZ33" s="296"/>
      <c r="EA33" s="296"/>
      <c r="EB33" s="296"/>
      <c r="EC33" s="296"/>
      <c r="ED33" s="296"/>
      <c r="EE33" s="296"/>
      <c r="EF33" s="296"/>
      <c r="EG33" s="296"/>
    </row>
    <row r="34" customHeight="1" spans="1:137">
      <c r="A34" s="293"/>
      <c r="B34" s="293"/>
      <c r="C34" s="293"/>
      <c r="D34" s="293"/>
      <c r="E34" s="293"/>
      <c r="F34" s="293"/>
      <c r="G34" s="294"/>
      <c r="H34" s="295"/>
      <c r="I34" s="294"/>
      <c r="J34" s="293"/>
      <c r="K34" s="293"/>
      <c r="L34" s="293"/>
      <c r="M34" s="293"/>
      <c r="N34" s="293"/>
      <c r="O34" s="293"/>
      <c r="P34" s="293"/>
      <c r="Q34" s="293"/>
      <c r="R34" s="293"/>
      <c r="S34" s="293"/>
      <c r="T34" s="293"/>
      <c r="U34" s="293"/>
      <c r="V34" s="293"/>
      <c r="W34" s="293"/>
      <c r="X34" s="293"/>
      <c r="Y34" s="293"/>
      <c r="Z34" s="293"/>
      <c r="AA34" s="293"/>
      <c r="AB34" s="293"/>
      <c r="AC34" s="293"/>
      <c r="AD34" s="293"/>
      <c r="AE34" s="293"/>
      <c r="AF34" s="293"/>
      <c r="AG34" s="293"/>
      <c r="AH34" s="293"/>
      <c r="AI34" s="293"/>
      <c r="AJ34" s="293"/>
      <c r="AK34" s="293"/>
      <c r="AL34" s="293"/>
      <c r="AM34" s="293"/>
      <c r="AN34" s="293"/>
      <c r="AO34" s="293"/>
      <c r="AP34" s="293"/>
      <c r="AQ34" s="293"/>
      <c r="AR34" s="293"/>
      <c r="AS34" s="293"/>
      <c r="AT34" s="293"/>
      <c r="AU34" s="293"/>
      <c r="AV34" s="293"/>
      <c r="AW34" s="293"/>
      <c r="AX34" s="293"/>
      <c r="AY34" s="293"/>
      <c r="AZ34" s="293"/>
      <c r="BA34" s="293"/>
      <c r="BB34" s="293"/>
      <c r="BC34" s="293"/>
      <c r="BD34" s="293"/>
      <c r="BE34" s="293"/>
      <c r="BF34" s="293"/>
      <c r="BG34" s="293"/>
      <c r="BH34" s="293"/>
      <c r="BI34" s="293"/>
      <c r="BJ34" s="293"/>
      <c r="BK34" s="293"/>
      <c r="BL34" s="293"/>
      <c r="BM34" s="293"/>
      <c r="BN34" s="293"/>
      <c r="BO34" s="293"/>
      <c r="BP34" s="293"/>
      <c r="BQ34" s="293"/>
      <c r="BR34" s="293"/>
      <c r="BS34" s="296"/>
      <c r="BT34" s="296"/>
      <c r="BU34" s="296"/>
      <c r="BV34" s="296"/>
      <c r="BW34" s="296"/>
      <c r="BX34" s="296"/>
      <c r="BY34" s="296"/>
      <c r="BZ34" s="296"/>
      <c r="CA34" s="296"/>
      <c r="CB34" s="296"/>
      <c r="CC34" s="296"/>
      <c r="CD34" s="296"/>
      <c r="CE34" s="296"/>
      <c r="CF34" s="296"/>
      <c r="CG34" s="296"/>
      <c r="CH34" s="296"/>
      <c r="CI34" s="296"/>
      <c r="CJ34" s="296"/>
      <c r="CK34" s="296"/>
      <c r="CL34" s="296"/>
      <c r="CM34" s="296"/>
      <c r="CN34" s="296"/>
      <c r="CO34" s="296"/>
      <c r="CP34" s="296"/>
      <c r="CQ34" s="296"/>
      <c r="CR34" s="296"/>
      <c r="CS34" s="296"/>
      <c r="CT34" s="296"/>
      <c r="CU34" s="296"/>
      <c r="CV34" s="296"/>
      <c r="CW34" s="296"/>
      <c r="CX34" s="296"/>
      <c r="CY34" s="296"/>
      <c r="CZ34" s="296"/>
      <c r="DA34" s="296"/>
      <c r="DB34" s="296"/>
      <c r="DC34" s="296"/>
      <c r="DD34" s="296"/>
      <c r="DE34" s="296"/>
      <c r="DF34" s="296"/>
      <c r="DG34" s="296"/>
      <c r="DH34" s="296"/>
      <c r="DI34" s="296"/>
      <c r="DJ34" s="296"/>
      <c r="DK34" s="296"/>
      <c r="DL34" s="296"/>
      <c r="DM34" s="296"/>
      <c r="DN34" s="296"/>
      <c r="DO34" s="296"/>
      <c r="DP34" s="296"/>
      <c r="DQ34" s="296"/>
      <c r="DR34" s="296"/>
      <c r="DS34" s="296"/>
      <c r="DT34" s="296"/>
      <c r="DU34" s="296"/>
      <c r="DV34" s="296"/>
      <c r="DW34" s="296"/>
      <c r="DX34" s="296"/>
      <c r="DY34" s="296"/>
      <c r="DZ34" s="296"/>
      <c r="EA34" s="296"/>
      <c r="EB34" s="296"/>
      <c r="EC34" s="296"/>
      <c r="ED34" s="296"/>
      <c r="EE34" s="296"/>
      <c r="EF34" s="296"/>
      <c r="EG34" s="296"/>
    </row>
    <row r="35" customHeight="1" spans="1:137">
      <c r="A35" s="293"/>
      <c r="B35" s="293"/>
      <c r="C35" s="293"/>
      <c r="D35" s="293"/>
      <c r="E35" s="293"/>
      <c r="F35" s="293"/>
      <c r="G35" s="294"/>
      <c r="H35" s="295"/>
      <c r="I35" s="294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293"/>
      <c r="U35" s="293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293"/>
      <c r="AK35" s="293"/>
      <c r="AL35" s="293"/>
      <c r="AM35" s="293"/>
      <c r="AN35" s="293"/>
      <c r="AO35" s="293"/>
      <c r="AP35" s="293"/>
      <c r="AQ35" s="293"/>
      <c r="AR35" s="293"/>
      <c r="AS35" s="293"/>
      <c r="AT35" s="293"/>
      <c r="AU35" s="293"/>
      <c r="AV35" s="293"/>
      <c r="AW35" s="293"/>
      <c r="AX35" s="293"/>
      <c r="AY35" s="293"/>
      <c r="AZ35" s="293"/>
      <c r="BA35" s="293"/>
      <c r="BB35" s="293"/>
      <c r="BC35" s="293"/>
      <c r="BD35" s="293"/>
      <c r="BE35" s="293"/>
      <c r="BF35" s="293"/>
      <c r="BG35" s="293"/>
      <c r="BH35" s="293"/>
      <c r="BI35" s="293"/>
      <c r="BJ35" s="293"/>
      <c r="BK35" s="293"/>
      <c r="BL35" s="293"/>
      <c r="BM35" s="293"/>
      <c r="BN35" s="293"/>
      <c r="BO35" s="293"/>
      <c r="BP35" s="293"/>
      <c r="BQ35" s="293"/>
      <c r="BR35" s="293"/>
      <c r="BS35" s="296"/>
      <c r="BT35" s="296"/>
      <c r="BU35" s="296"/>
      <c r="BV35" s="296"/>
      <c r="BW35" s="296"/>
      <c r="BX35" s="296"/>
      <c r="BY35" s="296"/>
      <c r="BZ35" s="296"/>
      <c r="CA35" s="296"/>
      <c r="CB35" s="296"/>
      <c r="CC35" s="296"/>
      <c r="CD35" s="296"/>
      <c r="CE35" s="296"/>
      <c r="CF35" s="296"/>
      <c r="CG35" s="296"/>
      <c r="CH35" s="296"/>
      <c r="CI35" s="296"/>
      <c r="CJ35" s="296"/>
      <c r="CK35" s="296"/>
      <c r="CL35" s="296"/>
      <c r="CM35" s="296"/>
      <c r="CN35" s="296"/>
      <c r="CO35" s="296"/>
      <c r="CP35" s="296"/>
      <c r="CQ35" s="296"/>
      <c r="CR35" s="296"/>
      <c r="CS35" s="296"/>
      <c r="CT35" s="296"/>
      <c r="CU35" s="296"/>
      <c r="CV35" s="296"/>
      <c r="CW35" s="296"/>
      <c r="CX35" s="296"/>
      <c r="CY35" s="296"/>
      <c r="CZ35" s="296"/>
      <c r="DA35" s="296"/>
      <c r="DB35" s="296"/>
      <c r="DC35" s="296"/>
      <c r="DD35" s="296"/>
      <c r="DE35" s="296"/>
      <c r="DF35" s="296"/>
      <c r="DG35" s="296"/>
      <c r="DH35" s="296"/>
      <c r="DI35" s="296"/>
      <c r="DJ35" s="296"/>
      <c r="DK35" s="296"/>
      <c r="DL35" s="296"/>
      <c r="DM35" s="296"/>
      <c r="DN35" s="296"/>
      <c r="DO35" s="296"/>
      <c r="DP35" s="296"/>
      <c r="DQ35" s="296"/>
      <c r="DR35" s="296"/>
      <c r="DS35" s="296"/>
      <c r="DT35" s="296"/>
      <c r="DU35" s="296"/>
      <c r="DV35" s="296"/>
      <c r="DW35" s="296"/>
      <c r="DX35" s="296"/>
      <c r="DY35" s="296"/>
      <c r="DZ35" s="296"/>
      <c r="EA35" s="296"/>
      <c r="EB35" s="296"/>
      <c r="EC35" s="296"/>
      <c r="ED35" s="296"/>
      <c r="EE35" s="296"/>
      <c r="EF35" s="296"/>
      <c r="EG35" s="296"/>
    </row>
    <row r="36" customHeight="1" spans="1:137">
      <c r="A36" s="293"/>
      <c r="B36" s="293"/>
      <c r="C36" s="293"/>
      <c r="D36" s="293"/>
      <c r="E36" s="293"/>
      <c r="F36" s="293"/>
      <c r="G36" s="294"/>
      <c r="H36" s="295"/>
      <c r="I36" s="294"/>
      <c r="J36" s="293"/>
      <c r="K36" s="293"/>
      <c r="L36" s="293"/>
      <c r="M36" s="293"/>
      <c r="N36" s="293"/>
      <c r="O36" s="293"/>
      <c r="P36" s="293"/>
      <c r="Q36" s="293"/>
      <c r="R36" s="293"/>
      <c r="S36" s="293"/>
      <c r="T36" s="293"/>
      <c r="U36" s="293"/>
      <c r="V36" s="293"/>
      <c r="W36" s="293"/>
      <c r="X36" s="293"/>
      <c r="Y36" s="293"/>
      <c r="Z36" s="293"/>
      <c r="AA36" s="293"/>
      <c r="AB36" s="293"/>
      <c r="AC36" s="293"/>
      <c r="AD36" s="293"/>
      <c r="AE36" s="293"/>
      <c r="AF36" s="293"/>
      <c r="AG36" s="293"/>
      <c r="AH36" s="293"/>
      <c r="AI36" s="293"/>
      <c r="AJ36" s="293"/>
      <c r="AK36" s="293"/>
      <c r="AL36" s="293"/>
      <c r="AM36" s="293"/>
      <c r="AN36" s="293"/>
      <c r="AO36" s="293"/>
      <c r="AP36" s="293"/>
      <c r="AQ36" s="293"/>
      <c r="AR36" s="293"/>
      <c r="AS36" s="293"/>
      <c r="AT36" s="293"/>
      <c r="AU36" s="293"/>
      <c r="AV36" s="293"/>
      <c r="AW36" s="293"/>
      <c r="AX36" s="293"/>
      <c r="AY36" s="293"/>
      <c r="AZ36" s="293"/>
      <c r="BA36" s="293"/>
      <c r="BB36" s="293"/>
      <c r="BC36" s="293"/>
      <c r="BD36" s="293"/>
      <c r="BE36" s="293"/>
      <c r="BF36" s="293"/>
      <c r="BG36" s="293"/>
      <c r="BH36" s="293"/>
      <c r="BI36" s="293"/>
      <c r="BJ36" s="293"/>
      <c r="BK36" s="293"/>
      <c r="BL36" s="293"/>
      <c r="BM36" s="293"/>
      <c r="BN36" s="293"/>
      <c r="BO36" s="293"/>
      <c r="BP36" s="293"/>
      <c r="BQ36" s="293"/>
      <c r="BR36" s="293"/>
      <c r="BS36" s="296"/>
      <c r="BT36" s="296"/>
      <c r="BU36" s="296"/>
      <c r="BV36" s="296"/>
      <c r="BW36" s="296"/>
      <c r="BX36" s="296"/>
      <c r="BY36" s="296"/>
      <c r="BZ36" s="296"/>
      <c r="CA36" s="296"/>
      <c r="CB36" s="296"/>
      <c r="CC36" s="296"/>
      <c r="CD36" s="296"/>
      <c r="CE36" s="296"/>
      <c r="CF36" s="296"/>
      <c r="CG36" s="296"/>
      <c r="CH36" s="296"/>
      <c r="CI36" s="296"/>
      <c r="CJ36" s="296"/>
      <c r="CK36" s="296"/>
      <c r="CL36" s="296"/>
      <c r="CM36" s="296"/>
      <c r="CN36" s="296"/>
      <c r="CO36" s="296"/>
      <c r="CP36" s="296"/>
      <c r="CQ36" s="296"/>
      <c r="CR36" s="296"/>
      <c r="CS36" s="296"/>
      <c r="CT36" s="296"/>
      <c r="CU36" s="296"/>
      <c r="CV36" s="296"/>
      <c r="CW36" s="296"/>
      <c r="CX36" s="296"/>
      <c r="CY36" s="296"/>
      <c r="CZ36" s="296"/>
      <c r="DA36" s="296"/>
      <c r="DB36" s="296"/>
      <c r="DC36" s="296"/>
      <c r="DD36" s="296"/>
      <c r="DE36" s="296"/>
      <c r="DF36" s="296"/>
      <c r="DG36" s="296"/>
      <c r="DH36" s="296"/>
      <c r="DI36" s="296"/>
      <c r="DJ36" s="296"/>
      <c r="DK36" s="296"/>
      <c r="DL36" s="296"/>
      <c r="DM36" s="296"/>
      <c r="DN36" s="296"/>
      <c r="DO36" s="296"/>
      <c r="DP36" s="296"/>
      <c r="DQ36" s="296"/>
      <c r="DR36" s="296"/>
      <c r="DS36" s="296"/>
      <c r="DT36" s="296"/>
      <c r="DU36" s="296"/>
      <c r="DV36" s="296"/>
      <c r="DW36" s="296"/>
      <c r="DX36" s="296"/>
      <c r="DY36" s="296"/>
      <c r="DZ36" s="296"/>
      <c r="EA36" s="296"/>
      <c r="EB36" s="296"/>
      <c r="EC36" s="296"/>
      <c r="ED36" s="296"/>
      <c r="EE36" s="296"/>
      <c r="EF36" s="296"/>
      <c r="EG36" s="296"/>
    </row>
    <row r="37" customHeight="1" spans="1:137">
      <c r="A37" s="293"/>
      <c r="B37" s="293"/>
      <c r="C37" s="293"/>
      <c r="D37" s="293"/>
      <c r="E37" s="293"/>
      <c r="F37" s="293"/>
      <c r="G37" s="294"/>
      <c r="H37" s="295"/>
      <c r="I37" s="294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93"/>
      <c r="AB37" s="293"/>
      <c r="AC37" s="293"/>
      <c r="AD37" s="293"/>
      <c r="AE37" s="293"/>
      <c r="AF37" s="293"/>
      <c r="AG37" s="293"/>
      <c r="AH37" s="293"/>
      <c r="AI37" s="293"/>
      <c r="AJ37" s="293"/>
      <c r="AK37" s="293"/>
      <c r="AL37" s="293"/>
      <c r="AM37" s="293"/>
      <c r="AN37" s="293"/>
      <c r="AO37" s="293"/>
      <c r="AP37" s="293"/>
      <c r="AQ37" s="293"/>
      <c r="AR37" s="293"/>
      <c r="AS37" s="293"/>
      <c r="AT37" s="293"/>
      <c r="AU37" s="293"/>
      <c r="AV37" s="293"/>
      <c r="AW37" s="293"/>
      <c r="AX37" s="293"/>
      <c r="AY37" s="293"/>
      <c r="AZ37" s="293"/>
      <c r="BA37" s="293"/>
      <c r="BB37" s="293"/>
      <c r="BC37" s="293"/>
      <c r="BD37" s="293"/>
      <c r="BE37" s="293"/>
      <c r="BF37" s="293"/>
      <c r="BG37" s="293"/>
      <c r="BH37" s="293"/>
      <c r="BI37" s="293"/>
      <c r="BJ37" s="293"/>
      <c r="BK37" s="293"/>
      <c r="BL37" s="293"/>
      <c r="BM37" s="293"/>
      <c r="BN37" s="293"/>
      <c r="BO37" s="293"/>
      <c r="BP37" s="293"/>
      <c r="BQ37" s="293"/>
      <c r="BR37" s="293"/>
      <c r="BS37" s="296"/>
      <c r="BT37" s="296"/>
      <c r="BU37" s="296"/>
      <c r="BV37" s="296"/>
      <c r="BW37" s="296"/>
      <c r="BX37" s="296"/>
      <c r="BY37" s="296"/>
      <c r="BZ37" s="296"/>
      <c r="CA37" s="296"/>
      <c r="CB37" s="296"/>
      <c r="CC37" s="296"/>
      <c r="CD37" s="296"/>
      <c r="CE37" s="296"/>
      <c r="CF37" s="296"/>
      <c r="CG37" s="296"/>
      <c r="CH37" s="296"/>
      <c r="CI37" s="296"/>
      <c r="CJ37" s="296"/>
      <c r="CK37" s="296"/>
      <c r="CL37" s="296"/>
      <c r="CM37" s="296"/>
      <c r="CN37" s="296"/>
      <c r="CO37" s="296"/>
      <c r="CP37" s="296"/>
      <c r="CQ37" s="296"/>
      <c r="CR37" s="296"/>
      <c r="CS37" s="296"/>
      <c r="CT37" s="296"/>
      <c r="CU37" s="296"/>
      <c r="CV37" s="296"/>
      <c r="CW37" s="296"/>
      <c r="CX37" s="296"/>
      <c r="CY37" s="296"/>
      <c r="CZ37" s="296"/>
      <c r="DA37" s="296"/>
      <c r="DB37" s="296"/>
      <c r="DC37" s="296"/>
      <c r="DD37" s="296"/>
      <c r="DE37" s="296"/>
      <c r="DF37" s="296"/>
      <c r="DG37" s="296"/>
      <c r="DH37" s="296"/>
      <c r="DI37" s="296"/>
      <c r="DJ37" s="296"/>
      <c r="DK37" s="296"/>
      <c r="DL37" s="296"/>
      <c r="DM37" s="296"/>
      <c r="DN37" s="296"/>
      <c r="DO37" s="296"/>
      <c r="DP37" s="296"/>
      <c r="DQ37" s="296"/>
      <c r="DR37" s="296"/>
      <c r="DS37" s="296"/>
      <c r="DT37" s="296"/>
      <c r="DU37" s="296"/>
      <c r="DV37" s="296"/>
      <c r="DW37" s="296"/>
      <c r="DX37" s="296"/>
      <c r="DY37" s="296"/>
      <c r="DZ37" s="296"/>
      <c r="EA37" s="296"/>
      <c r="EB37" s="296"/>
      <c r="EC37" s="296"/>
      <c r="ED37" s="296"/>
      <c r="EE37" s="296"/>
      <c r="EF37" s="296"/>
      <c r="EG37" s="296"/>
    </row>
  </sheetData>
  <sheetProtection formatCells="0" formatColumns="0" formatRows="0" insertRows="0" insertColumns="0" insertHyperlinks="0" deleteColumns="0" deleteRows="0" sort="0" autoFilter="0" pivotTables="0"/>
  <mergeCells count="37"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BQ3:BR3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15"/>
  <sheetViews>
    <sheetView showGridLines="0" workbookViewId="0">
      <pane xSplit="7" ySplit="4" topLeftCell="H5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25" customHeight="1"/>
  <cols>
    <col min="1" max="1" width="6.875" style="179"/>
    <col min="2" max="2" width="14.9583333333333" style="240" customWidth="1"/>
    <col min="3" max="3" width="11.4416666666667" style="241" customWidth="1"/>
    <col min="4" max="4" width="4.25833333333333" style="241"/>
    <col min="5" max="5" width="6.25" style="241"/>
    <col min="6" max="6" width="11.8166666666667" style="241"/>
    <col min="7" max="7" width="13.375" style="241"/>
    <col min="8" max="8" width="9.44166666666667" style="241"/>
    <col min="9" max="38" width="9.125" style="241"/>
  </cols>
  <sheetData>
    <row r="1" s="237" customFormat="1" ht="40" customHeight="1" spans="1:38">
      <c r="A1" s="182"/>
      <c r="B1" s="242" t="s">
        <v>620</v>
      </c>
      <c r="C1" s="243"/>
      <c r="D1" s="243"/>
      <c r="E1" s="243"/>
      <c r="F1" s="243"/>
      <c r="G1" s="243">
        <v>133</v>
      </c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243"/>
      <c r="AB1" s="243"/>
      <c r="AC1" s="243"/>
      <c r="AD1" s="243"/>
      <c r="AE1" s="243"/>
      <c r="AF1" s="243"/>
      <c r="AG1" s="243"/>
      <c r="AH1" s="243"/>
      <c r="AI1" s="243"/>
      <c r="AJ1" s="243"/>
      <c r="AK1" s="243"/>
      <c r="AL1" s="243"/>
    </row>
    <row r="2" s="237" customFormat="1" ht="15" customHeight="1" spans="1:38">
      <c r="A2" s="182"/>
      <c r="B2" s="244" t="s">
        <v>2</v>
      </c>
      <c r="C2" s="243"/>
      <c r="D2" s="243"/>
      <c r="E2" s="243"/>
      <c r="F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</row>
    <row r="3" s="238" customFormat="1" customHeight="1" spans="1:38">
      <c r="A3" s="155" t="s">
        <v>3</v>
      </c>
      <c r="B3" s="245" t="s">
        <v>621</v>
      </c>
      <c r="C3" s="246" t="s">
        <v>671</v>
      </c>
      <c r="D3" s="246" t="s">
        <v>6</v>
      </c>
      <c r="E3" s="246" t="s">
        <v>64</v>
      </c>
      <c r="F3" s="227" t="s">
        <v>672</v>
      </c>
      <c r="G3" s="227" t="s">
        <v>623</v>
      </c>
      <c r="H3" s="247" t="s">
        <v>9</v>
      </c>
      <c r="I3" s="247" t="s">
        <v>10</v>
      </c>
      <c r="J3" s="247" t="s">
        <v>11</v>
      </c>
      <c r="K3" s="247" t="s">
        <v>12</v>
      </c>
      <c r="L3" s="247" t="s">
        <v>13</v>
      </c>
      <c r="M3" s="247" t="s">
        <v>14</v>
      </c>
      <c r="N3" s="247" t="s">
        <v>15</v>
      </c>
      <c r="O3" s="247" t="s">
        <v>16</v>
      </c>
      <c r="P3" s="247" t="s">
        <v>17</v>
      </c>
      <c r="Q3" s="247" t="s">
        <v>18</v>
      </c>
      <c r="R3" s="247" t="s">
        <v>19</v>
      </c>
      <c r="S3" s="247" t="s">
        <v>20</v>
      </c>
      <c r="T3" s="247" t="s">
        <v>21</v>
      </c>
      <c r="U3" s="247" t="s">
        <v>22</v>
      </c>
      <c r="V3" s="247" t="s">
        <v>23</v>
      </c>
      <c r="W3" s="247" t="s">
        <v>24</v>
      </c>
      <c r="X3" s="247" t="s">
        <v>25</v>
      </c>
      <c r="Y3" s="247" t="s">
        <v>26</v>
      </c>
      <c r="Z3" s="247" t="s">
        <v>27</v>
      </c>
      <c r="AA3" s="247" t="s">
        <v>28</v>
      </c>
      <c r="AB3" s="247" t="s">
        <v>29</v>
      </c>
      <c r="AC3" s="247" t="s">
        <v>30</v>
      </c>
      <c r="AD3" s="247" t="s">
        <v>31</v>
      </c>
      <c r="AE3" s="247" t="s">
        <v>32</v>
      </c>
      <c r="AF3" s="247" t="s">
        <v>33</v>
      </c>
      <c r="AG3" s="247" t="s">
        <v>34</v>
      </c>
      <c r="AH3" s="247" t="s">
        <v>35</v>
      </c>
      <c r="AI3" s="247" t="s">
        <v>36</v>
      </c>
      <c r="AJ3" s="247" t="s">
        <v>37</v>
      </c>
      <c r="AK3" s="247" t="s">
        <v>38</v>
      </c>
      <c r="AL3" s="247" t="s">
        <v>39</v>
      </c>
    </row>
    <row r="4" s="238" customFormat="1" customHeight="1" spans="1:38">
      <c r="A4" s="158"/>
      <c r="B4" s="248"/>
      <c r="C4" s="248"/>
      <c r="D4" s="248"/>
      <c r="E4" s="248"/>
      <c r="F4" s="228"/>
      <c r="G4" s="228"/>
      <c r="H4" s="249" t="s">
        <v>626</v>
      </c>
      <c r="I4" s="249" t="s">
        <v>627</v>
      </c>
      <c r="J4" s="249" t="s">
        <v>628</v>
      </c>
      <c r="K4" s="249" t="s">
        <v>629</v>
      </c>
      <c r="L4" s="249" t="s">
        <v>630</v>
      </c>
      <c r="M4" s="249" t="s">
        <v>631</v>
      </c>
      <c r="N4" s="249" t="s">
        <v>632</v>
      </c>
      <c r="O4" s="249" t="s">
        <v>633</v>
      </c>
      <c r="P4" s="249" t="s">
        <v>634</v>
      </c>
      <c r="Q4" s="249" t="s">
        <v>635</v>
      </c>
      <c r="R4" s="249" t="s">
        <v>636</v>
      </c>
      <c r="S4" s="249" t="s">
        <v>637</v>
      </c>
      <c r="T4" s="249" t="s">
        <v>638</v>
      </c>
      <c r="U4" s="249" t="s">
        <v>639</v>
      </c>
      <c r="V4" s="249" t="s">
        <v>640</v>
      </c>
      <c r="W4" s="249" t="s">
        <v>641</v>
      </c>
      <c r="X4" s="249" t="s">
        <v>642</v>
      </c>
      <c r="Y4" s="249" t="s">
        <v>643</v>
      </c>
      <c r="Z4" s="249" t="s">
        <v>644</v>
      </c>
      <c r="AA4" s="249" t="s">
        <v>645</v>
      </c>
      <c r="AB4" s="249" t="s">
        <v>646</v>
      </c>
      <c r="AC4" s="249" t="s">
        <v>647</v>
      </c>
      <c r="AD4" s="249" t="s">
        <v>648</v>
      </c>
      <c r="AE4" s="249" t="s">
        <v>649</v>
      </c>
      <c r="AF4" s="249" t="s">
        <v>650</v>
      </c>
      <c r="AG4" s="249" t="s">
        <v>651</v>
      </c>
      <c r="AH4" s="249" t="s">
        <v>652</v>
      </c>
      <c r="AI4" s="249" t="s">
        <v>653</v>
      </c>
      <c r="AJ4" s="249" t="s">
        <v>654</v>
      </c>
      <c r="AK4" s="249" t="s">
        <v>655</v>
      </c>
      <c r="AL4" s="249" t="s">
        <v>656</v>
      </c>
    </row>
    <row r="5" s="239" customFormat="1" customHeight="1" spans="1:38">
      <c r="A5" s="161">
        <v>1</v>
      </c>
      <c r="B5" s="250" t="s">
        <v>673</v>
      </c>
      <c r="C5" s="45"/>
      <c r="D5" s="45" t="s">
        <v>674</v>
      </c>
      <c r="E5" s="45"/>
      <c r="F5" s="251">
        <v>193788</v>
      </c>
      <c r="G5" s="252">
        <v>31</v>
      </c>
      <c r="H5" s="253">
        <f>IFERROR($F5/$G5,0)</f>
        <v>6251.22580645161</v>
      </c>
      <c r="I5" s="253">
        <f t="shared" ref="I5:Z5" si="0">IFERROR($F5/$G5,0)</f>
        <v>6251.22580645161</v>
      </c>
      <c r="J5" s="253">
        <f t="shared" si="0"/>
        <v>6251.22580645161</v>
      </c>
      <c r="K5" s="253">
        <f t="shared" si="0"/>
        <v>6251.22580645161</v>
      </c>
      <c r="L5" s="253">
        <f t="shared" si="0"/>
        <v>6251.22580645161</v>
      </c>
      <c r="M5" s="253">
        <f t="shared" si="0"/>
        <v>6251.22580645161</v>
      </c>
      <c r="N5" s="253">
        <f t="shared" si="0"/>
        <v>6251.22580645161</v>
      </c>
      <c r="O5" s="253">
        <f t="shared" si="0"/>
        <v>6251.22580645161</v>
      </c>
      <c r="P5" s="253">
        <f t="shared" si="0"/>
        <v>6251.22580645161</v>
      </c>
      <c r="Q5" s="253">
        <f t="shared" si="0"/>
        <v>6251.22580645161</v>
      </c>
      <c r="R5" s="253">
        <f t="shared" si="0"/>
        <v>6251.22580645161</v>
      </c>
      <c r="S5" s="253">
        <f t="shared" si="0"/>
        <v>6251.22580645161</v>
      </c>
      <c r="T5" s="253">
        <f t="shared" si="0"/>
        <v>6251.22580645161</v>
      </c>
      <c r="U5" s="253">
        <f t="shared" si="0"/>
        <v>6251.22580645161</v>
      </c>
      <c r="V5" s="253">
        <f t="shared" si="0"/>
        <v>6251.22580645161</v>
      </c>
      <c r="W5" s="253">
        <f t="shared" si="0"/>
        <v>6251.22580645161</v>
      </c>
      <c r="X5" s="253">
        <f t="shared" si="0"/>
        <v>6251.22580645161</v>
      </c>
      <c r="Y5" s="253">
        <f t="shared" si="0"/>
        <v>6251.22580645161</v>
      </c>
      <c r="Z5" s="253">
        <f t="shared" si="0"/>
        <v>6251.22580645161</v>
      </c>
      <c r="AA5" s="253">
        <f t="shared" ref="AA5:AL5" si="1">IFERROR($F5/$G5,0)</f>
        <v>6251.22580645161</v>
      </c>
      <c r="AB5" s="253">
        <f t="shared" si="1"/>
        <v>6251.22580645161</v>
      </c>
      <c r="AC5" s="253">
        <f t="shared" si="1"/>
        <v>6251.22580645161</v>
      </c>
      <c r="AD5" s="253">
        <f t="shared" si="1"/>
        <v>6251.22580645161</v>
      </c>
      <c r="AE5" s="253">
        <f t="shared" si="1"/>
        <v>6251.22580645161</v>
      </c>
      <c r="AF5" s="253">
        <f t="shared" si="1"/>
        <v>6251.22580645161</v>
      </c>
      <c r="AG5" s="253">
        <f t="shared" si="1"/>
        <v>6251.22580645161</v>
      </c>
      <c r="AH5" s="253">
        <f t="shared" si="1"/>
        <v>6251.22580645161</v>
      </c>
      <c r="AI5" s="253">
        <f t="shared" si="1"/>
        <v>6251.22580645161</v>
      </c>
      <c r="AJ5" s="253">
        <f t="shared" si="1"/>
        <v>6251.22580645161</v>
      </c>
      <c r="AK5" s="253">
        <f t="shared" si="1"/>
        <v>6251.22580645161</v>
      </c>
      <c r="AL5" s="253">
        <f t="shared" si="1"/>
        <v>6251.22580645161</v>
      </c>
    </row>
    <row r="6" s="239" customFormat="1" customHeight="1" spans="1:38">
      <c r="A6" s="161">
        <v>2</v>
      </c>
      <c r="B6" s="250" t="s">
        <v>675</v>
      </c>
      <c r="C6" s="45"/>
      <c r="D6" s="45" t="s">
        <v>674</v>
      </c>
      <c r="E6" s="45"/>
      <c r="F6" s="254">
        <v>27684</v>
      </c>
      <c r="G6" s="252">
        <v>31</v>
      </c>
      <c r="H6" s="253">
        <f t="shared" ref="H5:H10" si="2">IFERROR($F6/$G6,0)</f>
        <v>893.032258064516</v>
      </c>
      <c r="I6" s="253">
        <f t="shared" ref="I6:AL6" si="3">IFERROR($F6/$G6,0)</f>
        <v>893.032258064516</v>
      </c>
      <c r="J6" s="253">
        <f t="shared" si="3"/>
        <v>893.032258064516</v>
      </c>
      <c r="K6" s="253">
        <f t="shared" si="3"/>
        <v>893.032258064516</v>
      </c>
      <c r="L6" s="253">
        <f t="shared" si="3"/>
        <v>893.032258064516</v>
      </c>
      <c r="M6" s="253">
        <f t="shared" si="3"/>
        <v>893.032258064516</v>
      </c>
      <c r="N6" s="253">
        <f t="shared" si="3"/>
        <v>893.032258064516</v>
      </c>
      <c r="O6" s="253">
        <f t="shared" si="3"/>
        <v>893.032258064516</v>
      </c>
      <c r="P6" s="253">
        <f t="shared" si="3"/>
        <v>893.032258064516</v>
      </c>
      <c r="Q6" s="253">
        <f t="shared" si="3"/>
        <v>893.032258064516</v>
      </c>
      <c r="R6" s="253">
        <f t="shared" si="3"/>
        <v>893.032258064516</v>
      </c>
      <c r="S6" s="253">
        <f t="shared" si="3"/>
        <v>893.032258064516</v>
      </c>
      <c r="T6" s="253">
        <f t="shared" si="3"/>
        <v>893.032258064516</v>
      </c>
      <c r="U6" s="253">
        <f t="shared" si="3"/>
        <v>893.032258064516</v>
      </c>
      <c r="V6" s="253">
        <f t="shared" si="3"/>
        <v>893.032258064516</v>
      </c>
      <c r="W6" s="253">
        <f t="shared" si="3"/>
        <v>893.032258064516</v>
      </c>
      <c r="X6" s="253">
        <f t="shared" si="3"/>
        <v>893.032258064516</v>
      </c>
      <c r="Y6" s="253">
        <f t="shared" si="3"/>
        <v>893.032258064516</v>
      </c>
      <c r="Z6" s="253">
        <f t="shared" si="3"/>
        <v>893.032258064516</v>
      </c>
      <c r="AA6" s="253">
        <f t="shared" si="3"/>
        <v>893.032258064516</v>
      </c>
      <c r="AB6" s="253">
        <f t="shared" si="3"/>
        <v>893.032258064516</v>
      </c>
      <c r="AC6" s="253">
        <f t="shared" si="3"/>
        <v>893.032258064516</v>
      </c>
      <c r="AD6" s="253">
        <f t="shared" si="3"/>
        <v>893.032258064516</v>
      </c>
      <c r="AE6" s="253">
        <f t="shared" si="3"/>
        <v>893.032258064516</v>
      </c>
      <c r="AF6" s="253">
        <f t="shared" si="3"/>
        <v>893.032258064516</v>
      </c>
      <c r="AG6" s="253">
        <f t="shared" si="3"/>
        <v>893.032258064516</v>
      </c>
      <c r="AH6" s="253">
        <f t="shared" si="3"/>
        <v>893.032258064516</v>
      </c>
      <c r="AI6" s="253">
        <f t="shared" si="3"/>
        <v>893.032258064516</v>
      </c>
      <c r="AJ6" s="253">
        <f t="shared" si="3"/>
        <v>893.032258064516</v>
      </c>
      <c r="AK6" s="253">
        <f t="shared" si="3"/>
        <v>893.032258064516</v>
      </c>
      <c r="AL6" s="253">
        <f t="shared" si="3"/>
        <v>893.032258064516</v>
      </c>
    </row>
    <row r="7" s="239" customFormat="1" customHeight="1" spans="1:38">
      <c r="A7" s="161">
        <v>3</v>
      </c>
      <c r="B7" s="255" t="s">
        <v>676</v>
      </c>
      <c r="C7" s="45"/>
      <c r="D7" s="256" t="s">
        <v>677</v>
      </c>
      <c r="E7" s="45"/>
      <c r="F7" s="251">
        <v>1963</v>
      </c>
      <c r="G7" s="252">
        <v>31</v>
      </c>
      <c r="H7" s="253">
        <f t="shared" si="2"/>
        <v>63.3225806451613</v>
      </c>
      <c r="I7" s="253">
        <f t="shared" ref="I7:AL7" si="4">IFERROR($F7/$G7,0)</f>
        <v>63.3225806451613</v>
      </c>
      <c r="J7" s="253">
        <f t="shared" si="4"/>
        <v>63.3225806451613</v>
      </c>
      <c r="K7" s="253">
        <f t="shared" si="4"/>
        <v>63.3225806451613</v>
      </c>
      <c r="L7" s="253">
        <f t="shared" si="4"/>
        <v>63.3225806451613</v>
      </c>
      <c r="M7" s="253">
        <f t="shared" si="4"/>
        <v>63.3225806451613</v>
      </c>
      <c r="N7" s="253">
        <f t="shared" si="4"/>
        <v>63.3225806451613</v>
      </c>
      <c r="O7" s="253">
        <f t="shared" si="4"/>
        <v>63.3225806451613</v>
      </c>
      <c r="P7" s="253">
        <f t="shared" si="4"/>
        <v>63.3225806451613</v>
      </c>
      <c r="Q7" s="253">
        <f t="shared" si="4"/>
        <v>63.3225806451613</v>
      </c>
      <c r="R7" s="253">
        <f t="shared" si="4"/>
        <v>63.3225806451613</v>
      </c>
      <c r="S7" s="253">
        <f t="shared" si="4"/>
        <v>63.3225806451613</v>
      </c>
      <c r="T7" s="253">
        <f t="shared" si="4"/>
        <v>63.3225806451613</v>
      </c>
      <c r="U7" s="253">
        <f t="shared" si="4"/>
        <v>63.3225806451613</v>
      </c>
      <c r="V7" s="253">
        <f t="shared" si="4"/>
        <v>63.3225806451613</v>
      </c>
      <c r="W7" s="253">
        <f t="shared" si="4"/>
        <v>63.3225806451613</v>
      </c>
      <c r="X7" s="253">
        <f t="shared" si="4"/>
        <v>63.3225806451613</v>
      </c>
      <c r="Y7" s="253">
        <f t="shared" si="4"/>
        <v>63.3225806451613</v>
      </c>
      <c r="Z7" s="253">
        <f t="shared" si="4"/>
        <v>63.3225806451613</v>
      </c>
      <c r="AA7" s="253">
        <f t="shared" si="4"/>
        <v>63.3225806451613</v>
      </c>
      <c r="AB7" s="253">
        <f t="shared" si="4"/>
        <v>63.3225806451613</v>
      </c>
      <c r="AC7" s="253">
        <f t="shared" si="4"/>
        <v>63.3225806451613</v>
      </c>
      <c r="AD7" s="253">
        <f t="shared" si="4"/>
        <v>63.3225806451613</v>
      </c>
      <c r="AE7" s="253">
        <f t="shared" si="4"/>
        <v>63.3225806451613</v>
      </c>
      <c r="AF7" s="253">
        <f t="shared" si="4"/>
        <v>63.3225806451613</v>
      </c>
      <c r="AG7" s="253">
        <f t="shared" si="4"/>
        <v>63.3225806451613</v>
      </c>
      <c r="AH7" s="253">
        <f t="shared" si="4"/>
        <v>63.3225806451613</v>
      </c>
      <c r="AI7" s="253">
        <f t="shared" si="4"/>
        <v>63.3225806451613</v>
      </c>
      <c r="AJ7" s="253">
        <f t="shared" si="4"/>
        <v>63.3225806451613</v>
      </c>
      <c r="AK7" s="253">
        <f t="shared" si="4"/>
        <v>63.3225806451613</v>
      </c>
      <c r="AL7" s="253">
        <f t="shared" si="4"/>
        <v>63.3225806451613</v>
      </c>
    </row>
    <row r="8" s="239" customFormat="1" customHeight="1" spans="1:38">
      <c r="A8" s="161">
        <v>4</v>
      </c>
      <c r="B8" s="255" t="s">
        <v>678</v>
      </c>
      <c r="C8" s="45"/>
      <c r="D8" s="45" t="s">
        <v>677</v>
      </c>
      <c r="E8" s="45"/>
      <c r="F8" s="251">
        <v>1200</v>
      </c>
      <c r="G8" s="252">
        <v>31</v>
      </c>
      <c r="H8" s="253">
        <f t="shared" si="2"/>
        <v>38.7096774193548</v>
      </c>
      <c r="I8" s="253">
        <f t="shared" ref="I8:AL8" si="5">IFERROR($F8/$G8,0)</f>
        <v>38.7096774193548</v>
      </c>
      <c r="J8" s="253">
        <f t="shared" si="5"/>
        <v>38.7096774193548</v>
      </c>
      <c r="K8" s="253">
        <f t="shared" si="5"/>
        <v>38.7096774193548</v>
      </c>
      <c r="L8" s="253">
        <f t="shared" si="5"/>
        <v>38.7096774193548</v>
      </c>
      <c r="M8" s="253">
        <f t="shared" si="5"/>
        <v>38.7096774193548</v>
      </c>
      <c r="N8" s="253">
        <f t="shared" si="5"/>
        <v>38.7096774193548</v>
      </c>
      <c r="O8" s="253">
        <f t="shared" si="5"/>
        <v>38.7096774193548</v>
      </c>
      <c r="P8" s="253">
        <f t="shared" si="5"/>
        <v>38.7096774193548</v>
      </c>
      <c r="Q8" s="253">
        <f t="shared" si="5"/>
        <v>38.7096774193548</v>
      </c>
      <c r="R8" s="253">
        <f t="shared" si="5"/>
        <v>38.7096774193548</v>
      </c>
      <c r="S8" s="253">
        <f t="shared" si="5"/>
        <v>38.7096774193548</v>
      </c>
      <c r="T8" s="253">
        <f t="shared" si="5"/>
        <v>38.7096774193548</v>
      </c>
      <c r="U8" s="253">
        <f t="shared" si="5"/>
        <v>38.7096774193548</v>
      </c>
      <c r="V8" s="253">
        <f t="shared" si="5"/>
        <v>38.7096774193548</v>
      </c>
      <c r="W8" s="253">
        <f t="shared" si="5"/>
        <v>38.7096774193548</v>
      </c>
      <c r="X8" s="253">
        <f t="shared" si="5"/>
        <v>38.7096774193548</v>
      </c>
      <c r="Y8" s="253">
        <f t="shared" si="5"/>
        <v>38.7096774193548</v>
      </c>
      <c r="Z8" s="253">
        <f t="shared" si="5"/>
        <v>38.7096774193548</v>
      </c>
      <c r="AA8" s="253">
        <f t="shared" si="5"/>
        <v>38.7096774193548</v>
      </c>
      <c r="AB8" s="253">
        <f t="shared" si="5"/>
        <v>38.7096774193548</v>
      </c>
      <c r="AC8" s="253">
        <f t="shared" si="5"/>
        <v>38.7096774193548</v>
      </c>
      <c r="AD8" s="253">
        <f t="shared" si="5"/>
        <v>38.7096774193548</v>
      </c>
      <c r="AE8" s="253">
        <f t="shared" si="5"/>
        <v>38.7096774193548</v>
      </c>
      <c r="AF8" s="253">
        <f t="shared" si="5"/>
        <v>38.7096774193548</v>
      </c>
      <c r="AG8" s="253">
        <f t="shared" si="5"/>
        <v>38.7096774193548</v>
      </c>
      <c r="AH8" s="253">
        <f t="shared" si="5"/>
        <v>38.7096774193548</v>
      </c>
      <c r="AI8" s="253">
        <f t="shared" si="5"/>
        <v>38.7096774193548</v>
      </c>
      <c r="AJ8" s="253">
        <f t="shared" si="5"/>
        <v>38.7096774193548</v>
      </c>
      <c r="AK8" s="253">
        <f t="shared" si="5"/>
        <v>38.7096774193548</v>
      </c>
      <c r="AL8" s="253">
        <f t="shared" si="5"/>
        <v>38.7096774193548</v>
      </c>
    </row>
    <row r="9" s="239" customFormat="1" customHeight="1" spans="1:38">
      <c r="A9" s="161">
        <v>5</v>
      </c>
      <c r="B9" s="255" t="s">
        <v>679</v>
      </c>
      <c r="C9" s="45"/>
      <c r="D9" s="45" t="s">
        <v>677</v>
      </c>
      <c r="E9" s="45"/>
      <c r="F9" s="251">
        <v>300</v>
      </c>
      <c r="G9" s="252">
        <v>31</v>
      </c>
      <c r="H9" s="253">
        <f t="shared" si="2"/>
        <v>9.67741935483871</v>
      </c>
      <c r="I9" s="253">
        <f t="shared" ref="I9:AL9" si="6">IFERROR($F9/$G9,0)</f>
        <v>9.67741935483871</v>
      </c>
      <c r="J9" s="253">
        <f t="shared" si="6"/>
        <v>9.67741935483871</v>
      </c>
      <c r="K9" s="253">
        <f t="shared" si="6"/>
        <v>9.67741935483871</v>
      </c>
      <c r="L9" s="253">
        <f t="shared" si="6"/>
        <v>9.67741935483871</v>
      </c>
      <c r="M9" s="253">
        <f t="shared" si="6"/>
        <v>9.67741935483871</v>
      </c>
      <c r="N9" s="253">
        <f t="shared" si="6"/>
        <v>9.67741935483871</v>
      </c>
      <c r="O9" s="253">
        <f t="shared" si="6"/>
        <v>9.67741935483871</v>
      </c>
      <c r="P9" s="253">
        <f t="shared" si="6"/>
        <v>9.67741935483871</v>
      </c>
      <c r="Q9" s="253">
        <f t="shared" si="6"/>
        <v>9.67741935483871</v>
      </c>
      <c r="R9" s="253">
        <f t="shared" si="6"/>
        <v>9.67741935483871</v>
      </c>
      <c r="S9" s="253">
        <f t="shared" si="6"/>
        <v>9.67741935483871</v>
      </c>
      <c r="T9" s="253">
        <f t="shared" si="6"/>
        <v>9.67741935483871</v>
      </c>
      <c r="U9" s="253">
        <f t="shared" si="6"/>
        <v>9.67741935483871</v>
      </c>
      <c r="V9" s="253">
        <f t="shared" si="6"/>
        <v>9.67741935483871</v>
      </c>
      <c r="W9" s="253">
        <f t="shared" si="6"/>
        <v>9.67741935483871</v>
      </c>
      <c r="X9" s="253">
        <f t="shared" si="6"/>
        <v>9.67741935483871</v>
      </c>
      <c r="Y9" s="253">
        <f t="shared" si="6"/>
        <v>9.67741935483871</v>
      </c>
      <c r="Z9" s="253">
        <f t="shared" si="6"/>
        <v>9.67741935483871</v>
      </c>
      <c r="AA9" s="253">
        <f t="shared" si="6"/>
        <v>9.67741935483871</v>
      </c>
      <c r="AB9" s="253">
        <f t="shared" si="6"/>
        <v>9.67741935483871</v>
      </c>
      <c r="AC9" s="253">
        <f t="shared" si="6"/>
        <v>9.67741935483871</v>
      </c>
      <c r="AD9" s="253">
        <f t="shared" si="6"/>
        <v>9.67741935483871</v>
      </c>
      <c r="AE9" s="253">
        <f t="shared" si="6"/>
        <v>9.67741935483871</v>
      </c>
      <c r="AF9" s="253">
        <f t="shared" si="6"/>
        <v>9.67741935483871</v>
      </c>
      <c r="AG9" s="253">
        <f t="shared" si="6"/>
        <v>9.67741935483871</v>
      </c>
      <c r="AH9" s="253">
        <f t="shared" si="6"/>
        <v>9.67741935483871</v>
      </c>
      <c r="AI9" s="253">
        <f t="shared" si="6"/>
        <v>9.67741935483871</v>
      </c>
      <c r="AJ9" s="253">
        <f t="shared" si="6"/>
        <v>9.67741935483871</v>
      </c>
      <c r="AK9" s="253">
        <f t="shared" si="6"/>
        <v>9.67741935483871</v>
      </c>
      <c r="AL9" s="253">
        <f t="shared" si="6"/>
        <v>9.67741935483871</v>
      </c>
    </row>
    <row r="10" s="239" customFormat="1" customHeight="1" spans="1:38">
      <c r="A10" s="161">
        <v>6</v>
      </c>
      <c r="B10" s="257" t="s">
        <v>680</v>
      </c>
      <c r="C10" s="15"/>
      <c r="D10" s="258" t="s">
        <v>677</v>
      </c>
      <c r="E10" s="15">
        <v>19</v>
      </c>
      <c r="F10" s="15">
        <f>E10*1130.5</f>
        <v>21479.5</v>
      </c>
      <c r="G10" s="252">
        <v>31</v>
      </c>
      <c r="H10" s="253">
        <f t="shared" si="2"/>
        <v>692.887096774194</v>
      </c>
      <c r="I10" s="253">
        <f t="shared" ref="I10:AL10" si="7">IFERROR($F10/$G10,0)</f>
        <v>692.887096774194</v>
      </c>
      <c r="J10" s="253">
        <f t="shared" si="7"/>
        <v>692.887096774194</v>
      </c>
      <c r="K10" s="253">
        <f t="shared" si="7"/>
        <v>692.887096774194</v>
      </c>
      <c r="L10" s="253">
        <f t="shared" si="7"/>
        <v>692.887096774194</v>
      </c>
      <c r="M10" s="253">
        <f t="shared" si="7"/>
        <v>692.887096774194</v>
      </c>
      <c r="N10" s="253">
        <f t="shared" si="7"/>
        <v>692.887096774194</v>
      </c>
      <c r="O10" s="253">
        <f t="shared" si="7"/>
        <v>692.887096774194</v>
      </c>
      <c r="P10" s="253">
        <f t="shared" si="7"/>
        <v>692.887096774194</v>
      </c>
      <c r="Q10" s="253">
        <f t="shared" si="7"/>
        <v>692.887096774194</v>
      </c>
      <c r="R10" s="253">
        <f t="shared" si="7"/>
        <v>692.887096774194</v>
      </c>
      <c r="S10" s="253">
        <f t="shared" si="7"/>
        <v>692.887096774194</v>
      </c>
      <c r="T10" s="253">
        <f t="shared" si="7"/>
        <v>692.887096774194</v>
      </c>
      <c r="U10" s="253">
        <f t="shared" si="7"/>
        <v>692.887096774194</v>
      </c>
      <c r="V10" s="253">
        <f t="shared" si="7"/>
        <v>692.887096774194</v>
      </c>
      <c r="W10" s="253">
        <f t="shared" si="7"/>
        <v>692.887096774194</v>
      </c>
      <c r="X10" s="253">
        <f t="shared" si="7"/>
        <v>692.887096774194</v>
      </c>
      <c r="Y10" s="253">
        <f t="shared" si="7"/>
        <v>692.887096774194</v>
      </c>
      <c r="Z10" s="253">
        <f t="shared" si="7"/>
        <v>692.887096774194</v>
      </c>
      <c r="AA10" s="253">
        <f t="shared" si="7"/>
        <v>692.887096774194</v>
      </c>
      <c r="AB10" s="253">
        <f t="shared" si="7"/>
        <v>692.887096774194</v>
      </c>
      <c r="AC10" s="253">
        <f t="shared" si="7"/>
        <v>692.887096774194</v>
      </c>
      <c r="AD10" s="253">
        <f t="shared" si="7"/>
        <v>692.887096774194</v>
      </c>
      <c r="AE10" s="253">
        <f t="shared" si="7"/>
        <v>692.887096774194</v>
      </c>
      <c r="AF10" s="253">
        <f t="shared" si="7"/>
        <v>692.887096774194</v>
      </c>
      <c r="AG10" s="253">
        <f t="shared" si="7"/>
        <v>692.887096774194</v>
      </c>
      <c r="AH10" s="253">
        <f t="shared" si="7"/>
        <v>692.887096774194</v>
      </c>
      <c r="AI10" s="253">
        <f t="shared" si="7"/>
        <v>692.887096774194</v>
      </c>
      <c r="AJ10" s="253">
        <f t="shared" si="7"/>
        <v>692.887096774194</v>
      </c>
      <c r="AK10" s="253">
        <f t="shared" si="7"/>
        <v>692.887096774194</v>
      </c>
      <c r="AL10" s="253">
        <f t="shared" si="7"/>
        <v>692.887096774194</v>
      </c>
    </row>
    <row r="11" s="239" customFormat="1" customHeight="1" spans="1:38">
      <c r="A11" s="161">
        <v>7</v>
      </c>
      <c r="B11" s="259"/>
      <c r="C11" s="15"/>
      <c r="D11" s="15"/>
      <c r="E11" s="15"/>
      <c r="F11" s="252"/>
      <c r="G11" s="252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  <c r="AE11" s="253"/>
      <c r="AF11" s="253"/>
      <c r="AG11" s="253"/>
      <c r="AH11" s="253"/>
      <c r="AI11" s="253"/>
      <c r="AJ11" s="253"/>
      <c r="AK11" s="253"/>
      <c r="AL11" s="253"/>
    </row>
    <row r="12" s="239" customFormat="1" customHeight="1" spans="1:38">
      <c r="A12" s="161">
        <v>8</v>
      </c>
      <c r="B12" s="259"/>
      <c r="C12" s="15"/>
      <c r="D12" s="15"/>
      <c r="E12" s="15"/>
      <c r="F12" s="252"/>
      <c r="G12" s="252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</row>
    <row r="13" s="239" customFormat="1" customHeight="1" spans="1:38">
      <c r="A13" s="161">
        <v>9</v>
      </c>
      <c r="B13" s="259"/>
      <c r="C13" s="15"/>
      <c r="D13" s="15"/>
      <c r="E13" s="15"/>
      <c r="F13" s="252"/>
      <c r="G13" s="252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  <c r="AE13" s="253"/>
      <c r="AF13" s="253"/>
      <c r="AG13" s="253"/>
      <c r="AH13" s="253"/>
      <c r="AI13" s="253"/>
      <c r="AJ13" s="253"/>
      <c r="AK13" s="253"/>
      <c r="AL13" s="253"/>
    </row>
    <row r="14" s="239" customFormat="1" customHeight="1" spans="1:38">
      <c r="A14" s="161">
        <v>10</v>
      </c>
      <c r="B14" s="259"/>
      <c r="C14" s="15"/>
      <c r="D14" s="15"/>
      <c r="E14" s="15"/>
      <c r="F14" s="252"/>
      <c r="G14" s="252"/>
      <c r="H14" s="253"/>
      <c r="I14" s="253"/>
      <c r="J14" s="253"/>
      <c r="K14" s="253"/>
      <c r="L14" s="253"/>
      <c r="M14" s="253"/>
      <c r="N14" s="253"/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  <c r="AA14" s="253"/>
      <c r="AB14" s="253"/>
      <c r="AC14" s="253"/>
      <c r="AD14" s="253"/>
      <c r="AE14" s="253"/>
      <c r="AF14" s="253"/>
      <c r="AG14" s="253"/>
      <c r="AH14" s="253"/>
      <c r="AI14" s="253"/>
      <c r="AJ14" s="253"/>
      <c r="AK14" s="253"/>
      <c r="AL14" s="253"/>
    </row>
    <row r="15" customHeight="1" spans="1:38">
      <c r="A15" s="161">
        <v>11</v>
      </c>
      <c r="B15" s="260"/>
      <c r="C15" s="261"/>
      <c r="D15" s="261"/>
      <c r="E15" s="261"/>
      <c r="F15" s="261"/>
      <c r="G15" s="261"/>
      <c r="H15" s="253">
        <f>SUM(H5:H14)</f>
        <v>7948.85483870968</v>
      </c>
      <c r="I15" s="253">
        <f t="shared" ref="H15:AL15" si="8">SUM(I5:I14)</f>
        <v>7948.85483870968</v>
      </c>
      <c r="J15" s="253">
        <f t="shared" si="8"/>
        <v>7948.85483870968</v>
      </c>
      <c r="K15" s="253">
        <f t="shared" si="8"/>
        <v>7948.85483870968</v>
      </c>
      <c r="L15" s="253">
        <f t="shared" si="8"/>
        <v>7948.85483870968</v>
      </c>
      <c r="M15" s="253">
        <f t="shared" si="8"/>
        <v>7948.85483870968</v>
      </c>
      <c r="N15" s="253">
        <f t="shared" si="8"/>
        <v>7948.85483870968</v>
      </c>
      <c r="O15" s="253">
        <f t="shared" si="8"/>
        <v>7948.85483870968</v>
      </c>
      <c r="P15" s="253">
        <f t="shared" si="8"/>
        <v>7948.85483870968</v>
      </c>
      <c r="Q15" s="253">
        <f t="shared" si="8"/>
        <v>7948.85483870968</v>
      </c>
      <c r="R15" s="253">
        <f t="shared" si="8"/>
        <v>7948.85483870968</v>
      </c>
      <c r="S15" s="253">
        <f t="shared" si="8"/>
        <v>7948.85483870968</v>
      </c>
      <c r="T15" s="253">
        <f t="shared" si="8"/>
        <v>7948.85483870968</v>
      </c>
      <c r="U15" s="253">
        <f t="shared" si="8"/>
        <v>7948.85483870968</v>
      </c>
      <c r="V15" s="253">
        <f t="shared" si="8"/>
        <v>7948.85483870968</v>
      </c>
      <c r="W15" s="253">
        <f t="shared" si="8"/>
        <v>7948.85483870968</v>
      </c>
      <c r="X15" s="253">
        <f t="shared" si="8"/>
        <v>7948.85483870968</v>
      </c>
      <c r="Y15" s="253">
        <f t="shared" si="8"/>
        <v>7948.85483870968</v>
      </c>
      <c r="Z15" s="253">
        <f t="shared" si="8"/>
        <v>7948.85483870968</v>
      </c>
      <c r="AA15" s="253">
        <f t="shared" si="8"/>
        <v>7948.85483870968</v>
      </c>
      <c r="AB15" s="253">
        <f t="shared" si="8"/>
        <v>7948.85483870968</v>
      </c>
      <c r="AC15" s="253">
        <f t="shared" si="8"/>
        <v>7948.85483870968</v>
      </c>
      <c r="AD15" s="253">
        <f t="shared" si="8"/>
        <v>7948.85483870968</v>
      </c>
      <c r="AE15" s="253">
        <f t="shared" si="8"/>
        <v>7948.85483870968</v>
      </c>
      <c r="AF15" s="253">
        <f t="shared" si="8"/>
        <v>7948.85483870968</v>
      </c>
      <c r="AG15" s="253">
        <f t="shared" si="8"/>
        <v>7948.85483870968</v>
      </c>
      <c r="AH15" s="253">
        <f t="shared" si="8"/>
        <v>7948.85483870968</v>
      </c>
      <c r="AI15" s="253">
        <f t="shared" si="8"/>
        <v>7948.85483870968</v>
      </c>
      <c r="AJ15" s="253">
        <f t="shared" si="8"/>
        <v>7948.85483870968</v>
      </c>
      <c r="AK15" s="253">
        <f t="shared" si="8"/>
        <v>7948.85483870968</v>
      </c>
      <c r="AL15" s="253">
        <f t="shared" si="8"/>
        <v>7948.85483870968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3:A4"/>
    <mergeCell ref="B3:B4"/>
    <mergeCell ref="C3:C4"/>
    <mergeCell ref="D3:D4"/>
    <mergeCell ref="E3:E4"/>
    <mergeCell ref="F3:F4"/>
    <mergeCell ref="G3:G4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topLeftCell="L11" workbookViewId="0">
      <selection activeCell="L11" sqref="L11"/>
    </sheetView>
  </sheetViews>
  <sheetFormatPr defaultColWidth="8.275" defaultRowHeight="20" customHeight="1" outlineLevelRow="4"/>
  <cols>
    <col min="1" max="1" width="8.63333333333333" style="132" customWidth="1"/>
    <col min="2" max="9" width="8.275" style="132" customWidth="1"/>
    <col min="10" max="10" width="8.66666666666667" style="132" customWidth="1"/>
    <col min="11" max="42" width="8.275" style="132" customWidth="1"/>
  </cols>
  <sheetData>
    <row r="1" s="129" customFormat="1" ht="27" customHeight="1" spans="1:42">
      <c r="A1" s="231" t="s">
        <v>76</v>
      </c>
      <c r="B1" s="231" t="s">
        <v>77</v>
      </c>
      <c r="C1" s="231" t="s">
        <v>78</v>
      </c>
      <c r="D1" s="231" t="s">
        <v>79</v>
      </c>
      <c r="E1" s="231" t="s">
        <v>80</v>
      </c>
      <c r="F1" s="231" t="s">
        <v>81</v>
      </c>
      <c r="G1" s="231" t="s">
        <v>82</v>
      </c>
      <c r="H1" s="231" t="s">
        <v>83</v>
      </c>
      <c r="I1" s="231" t="s">
        <v>84</v>
      </c>
      <c r="J1" s="231" t="s">
        <v>85</v>
      </c>
      <c r="K1" s="232" t="s">
        <v>86</v>
      </c>
      <c r="L1" s="83" t="s">
        <v>9</v>
      </c>
      <c r="M1" s="83" t="s">
        <v>10</v>
      </c>
      <c r="N1" s="83" t="s">
        <v>11</v>
      </c>
      <c r="O1" s="83" t="s">
        <v>12</v>
      </c>
      <c r="P1" s="83" t="s">
        <v>13</v>
      </c>
      <c r="Q1" s="83" t="s">
        <v>14</v>
      </c>
      <c r="R1" s="83" t="s">
        <v>15</v>
      </c>
      <c r="S1" s="83" t="s">
        <v>16</v>
      </c>
      <c r="T1" s="83" t="s">
        <v>17</v>
      </c>
      <c r="U1" s="83" t="s">
        <v>18</v>
      </c>
      <c r="V1" s="83" t="s">
        <v>19</v>
      </c>
      <c r="W1" s="83" t="s">
        <v>20</v>
      </c>
      <c r="X1" s="83" t="s">
        <v>21</v>
      </c>
      <c r="Y1" s="83" t="s">
        <v>22</v>
      </c>
      <c r="Z1" s="83" t="s">
        <v>23</v>
      </c>
      <c r="AA1" s="83" t="s">
        <v>24</v>
      </c>
      <c r="AB1" s="83" t="s">
        <v>25</v>
      </c>
      <c r="AC1" s="83" t="s">
        <v>26</v>
      </c>
      <c r="AD1" s="83" t="s">
        <v>27</v>
      </c>
      <c r="AE1" s="83" t="s">
        <v>28</v>
      </c>
      <c r="AF1" s="83" t="s">
        <v>29</v>
      </c>
      <c r="AG1" s="83" t="s">
        <v>30</v>
      </c>
      <c r="AH1" s="83" t="s">
        <v>31</v>
      </c>
      <c r="AI1" s="83" t="s">
        <v>32</v>
      </c>
      <c r="AJ1" s="83" t="s">
        <v>33</v>
      </c>
      <c r="AK1" s="83" t="s">
        <v>34</v>
      </c>
      <c r="AL1" s="83" t="s">
        <v>35</v>
      </c>
      <c r="AM1" s="83" t="s">
        <v>36</v>
      </c>
      <c r="AN1" s="83" t="s">
        <v>37</v>
      </c>
      <c r="AO1" s="83" t="s">
        <v>38</v>
      </c>
      <c r="AP1" s="83" t="s">
        <v>39</v>
      </c>
    </row>
    <row r="2" s="229" customFormat="1" customHeight="1" spans="1:42">
      <c r="A2" s="233" t="s">
        <v>681</v>
      </c>
      <c r="B2" s="93" t="s">
        <v>682</v>
      </c>
      <c r="C2" s="93" t="s">
        <v>683</v>
      </c>
      <c r="D2" s="93" t="s">
        <v>120</v>
      </c>
      <c r="E2" s="93"/>
      <c r="F2" s="93"/>
      <c r="G2" s="96">
        <f>H2+I2+J2</f>
        <v>16800</v>
      </c>
      <c r="H2" s="96">
        <v>2200</v>
      </c>
      <c r="I2" s="96">
        <v>9560</v>
      </c>
      <c r="J2" s="96">
        <v>5040</v>
      </c>
      <c r="K2" s="84">
        <v>30</v>
      </c>
      <c r="L2" s="84">
        <v>8</v>
      </c>
      <c r="M2" s="84">
        <v>8</v>
      </c>
      <c r="N2" s="84">
        <v>8</v>
      </c>
      <c r="O2" s="84">
        <v>8</v>
      </c>
      <c r="P2" s="84">
        <v>8</v>
      </c>
      <c r="Q2" s="84">
        <v>0</v>
      </c>
      <c r="R2" s="84">
        <v>0</v>
      </c>
      <c r="S2" s="84">
        <v>0</v>
      </c>
      <c r="T2" s="84">
        <v>0</v>
      </c>
      <c r="U2" s="84">
        <v>0</v>
      </c>
      <c r="V2" s="84">
        <v>8</v>
      </c>
      <c r="W2" s="84">
        <v>8</v>
      </c>
      <c r="X2" s="84">
        <v>8</v>
      </c>
      <c r="Y2" s="84">
        <v>8</v>
      </c>
      <c r="Z2" s="84">
        <v>8</v>
      </c>
      <c r="AA2" s="84">
        <v>8</v>
      </c>
      <c r="AB2" s="84">
        <v>8</v>
      </c>
      <c r="AC2" s="84">
        <v>8</v>
      </c>
      <c r="AD2" s="84">
        <v>8</v>
      </c>
      <c r="AE2" s="84">
        <v>8</v>
      </c>
      <c r="AF2" s="84">
        <v>8</v>
      </c>
      <c r="AG2" s="84">
        <v>8</v>
      </c>
      <c r="AH2" s="84">
        <v>8</v>
      </c>
      <c r="AI2" s="84">
        <v>8</v>
      </c>
      <c r="AJ2" s="84">
        <v>8</v>
      </c>
      <c r="AK2" s="84">
        <v>8</v>
      </c>
      <c r="AL2" s="84">
        <v>8</v>
      </c>
      <c r="AM2" s="84">
        <v>8</v>
      </c>
      <c r="AN2" s="84">
        <v>8</v>
      </c>
      <c r="AO2" s="84">
        <v>8</v>
      </c>
      <c r="AP2" s="84">
        <v>8</v>
      </c>
    </row>
    <row r="3" s="230" customFormat="1" customHeight="1" spans="1:42">
      <c r="A3" s="234" t="s">
        <v>684</v>
      </c>
      <c r="B3" s="93" t="s">
        <v>682</v>
      </c>
      <c r="C3" s="234" t="s">
        <v>685</v>
      </c>
      <c r="D3" s="93" t="s">
        <v>120</v>
      </c>
      <c r="E3" s="235"/>
      <c r="F3" s="235"/>
      <c r="G3" s="96">
        <f>H3+I3+J3</f>
        <v>8000</v>
      </c>
      <c r="H3" s="235">
        <v>2200</v>
      </c>
      <c r="I3" s="235">
        <v>3400</v>
      </c>
      <c r="J3" s="235">
        <v>2400</v>
      </c>
      <c r="K3" s="83">
        <v>30</v>
      </c>
      <c r="L3" s="83">
        <v>8</v>
      </c>
      <c r="M3" s="83">
        <v>8</v>
      </c>
      <c r="N3" s="83">
        <v>8</v>
      </c>
      <c r="O3" s="83">
        <v>8</v>
      </c>
      <c r="P3" s="83">
        <v>8</v>
      </c>
      <c r="Q3" s="83">
        <v>8</v>
      </c>
      <c r="R3" s="83">
        <v>8</v>
      </c>
      <c r="S3" s="83">
        <v>8</v>
      </c>
      <c r="T3" s="83">
        <v>8</v>
      </c>
      <c r="U3" s="83">
        <v>8</v>
      </c>
      <c r="V3" s="83">
        <v>8</v>
      </c>
      <c r="W3" s="83">
        <v>0</v>
      </c>
      <c r="X3" s="83">
        <v>8</v>
      </c>
      <c r="Y3" s="83">
        <v>8</v>
      </c>
      <c r="Z3" s="83">
        <v>8</v>
      </c>
      <c r="AA3" s="83">
        <v>0</v>
      </c>
      <c r="AB3" s="83">
        <v>0</v>
      </c>
      <c r="AC3" s="83">
        <v>0</v>
      </c>
      <c r="AD3" s="83">
        <v>8</v>
      </c>
      <c r="AE3" s="83">
        <v>8</v>
      </c>
      <c r="AF3" s="83">
        <v>8</v>
      </c>
      <c r="AG3" s="83">
        <v>8</v>
      </c>
      <c r="AH3" s="83">
        <v>8</v>
      </c>
      <c r="AI3" s="83">
        <v>8</v>
      </c>
      <c r="AJ3" s="83">
        <v>8</v>
      </c>
      <c r="AK3" s="83">
        <v>0</v>
      </c>
      <c r="AL3" s="83">
        <v>8</v>
      </c>
      <c r="AM3" s="83">
        <v>8</v>
      </c>
      <c r="AN3" s="83">
        <v>8</v>
      </c>
      <c r="AO3" s="83">
        <v>8</v>
      </c>
      <c r="AP3" s="83">
        <v>8</v>
      </c>
    </row>
    <row r="4" s="230" customFormat="1" customHeight="1" spans="1:42">
      <c r="A4" s="235" t="s">
        <v>335</v>
      </c>
      <c r="B4" s="235"/>
      <c r="C4" s="235"/>
      <c r="D4" s="235"/>
      <c r="E4" s="235"/>
      <c r="F4" s="235"/>
      <c r="G4" s="235"/>
      <c r="H4" s="235"/>
      <c r="I4" s="235"/>
      <c r="J4" s="235"/>
      <c r="K4" s="83"/>
      <c r="L4" s="83">
        <f>SUM(L2:L3)</f>
        <v>16</v>
      </c>
      <c r="M4" s="83">
        <f>SUM(M2:M3)</f>
        <v>16</v>
      </c>
      <c r="N4" s="83">
        <f t="shared" ref="N4:AP4" si="0">SUM(N2:N3)</f>
        <v>16</v>
      </c>
      <c r="O4" s="83">
        <f t="shared" si="0"/>
        <v>16</v>
      </c>
      <c r="P4" s="83">
        <f t="shared" si="0"/>
        <v>16</v>
      </c>
      <c r="Q4" s="83">
        <f t="shared" si="0"/>
        <v>8</v>
      </c>
      <c r="R4" s="83">
        <f t="shared" si="0"/>
        <v>8</v>
      </c>
      <c r="S4" s="83">
        <f t="shared" si="0"/>
        <v>8</v>
      </c>
      <c r="T4" s="83">
        <f t="shared" si="0"/>
        <v>8</v>
      </c>
      <c r="U4" s="83">
        <f t="shared" si="0"/>
        <v>8</v>
      </c>
      <c r="V4" s="83">
        <f t="shared" si="0"/>
        <v>16</v>
      </c>
      <c r="W4" s="83">
        <f t="shared" si="0"/>
        <v>8</v>
      </c>
      <c r="X4" s="83">
        <f t="shared" si="0"/>
        <v>16</v>
      </c>
      <c r="Y4" s="83">
        <f t="shared" si="0"/>
        <v>16</v>
      </c>
      <c r="Z4" s="83">
        <f t="shared" si="0"/>
        <v>16</v>
      </c>
      <c r="AA4" s="83">
        <f t="shared" si="0"/>
        <v>8</v>
      </c>
      <c r="AB4" s="83">
        <f t="shared" si="0"/>
        <v>8</v>
      </c>
      <c r="AC4" s="83">
        <f t="shared" si="0"/>
        <v>8</v>
      </c>
      <c r="AD4" s="83">
        <f t="shared" si="0"/>
        <v>16</v>
      </c>
      <c r="AE4" s="83">
        <f t="shared" si="0"/>
        <v>16</v>
      </c>
      <c r="AF4" s="83">
        <f t="shared" si="0"/>
        <v>16</v>
      </c>
      <c r="AG4" s="83">
        <f t="shared" si="0"/>
        <v>16</v>
      </c>
      <c r="AH4" s="83">
        <f t="shared" si="0"/>
        <v>16</v>
      </c>
      <c r="AI4" s="83">
        <f t="shared" si="0"/>
        <v>16</v>
      </c>
      <c r="AJ4" s="83">
        <f t="shared" si="0"/>
        <v>16</v>
      </c>
      <c r="AK4" s="83">
        <f t="shared" si="0"/>
        <v>8</v>
      </c>
      <c r="AL4" s="83">
        <f t="shared" si="0"/>
        <v>16</v>
      </c>
      <c r="AM4" s="83">
        <f t="shared" si="0"/>
        <v>16</v>
      </c>
      <c r="AN4" s="83">
        <f t="shared" si="0"/>
        <v>16</v>
      </c>
      <c r="AO4" s="83">
        <f t="shared" si="0"/>
        <v>16</v>
      </c>
      <c r="AP4" s="83">
        <f t="shared" si="0"/>
        <v>16</v>
      </c>
    </row>
    <row r="5" ht="13.5" spans="1:42">
      <c r="A5" s="236"/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6"/>
      <c r="O5" s="236"/>
      <c r="P5" s="236"/>
      <c r="Q5" s="236"/>
      <c r="R5" s="236"/>
      <c r="S5" s="236"/>
      <c r="T5" s="236"/>
      <c r="U5" s="236"/>
      <c r="V5" s="236"/>
      <c r="W5" s="236"/>
      <c r="X5" s="236"/>
      <c r="Y5" s="236"/>
      <c r="Z5" s="236"/>
      <c r="AA5" s="236"/>
      <c r="AB5" s="236"/>
      <c r="AC5" s="236"/>
      <c r="AD5" s="236"/>
      <c r="AE5" s="236"/>
      <c r="AF5" s="236"/>
      <c r="AG5" s="236"/>
      <c r="AH5" s="236"/>
      <c r="AI5" s="236"/>
      <c r="AJ5" s="236"/>
      <c r="AK5" s="236"/>
      <c r="AL5" s="236"/>
      <c r="AM5" s="236"/>
      <c r="AN5" s="236"/>
      <c r="AO5" s="236"/>
      <c r="AP5" s="236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L105"/>
  <sheetViews>
    <sheetView showGridLines="0" workbookViewId="0">
      <pane xSplit="7" ySplit="4" topLeftCell="H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25" customHeight="1"/>
  <cols>
    <col min="1" max="1" width="4.81666666666667" style="143"/>
    <col min="2" max="2" width="17.625" style="143"/>
    <col min="3" max="3" width="8.625" style="143"/>
    <col min="4" max="5" width="5.125" style="143"/>
    <col min="6" max="6" width="9.125" style="144"/>
    <col min="7" max="7" width="12.2583333333333" style="225"/>
    <col min="8" max="18" width="7.375" style="143"/>
    <col min="19" max="19" width="9" style="143"/>
    <col min="20" max="20" width="7.375" style="143"/>
    <col min="21" max="21" width="9" style="143"/>
    <col min="22" max="22" width="7.375" style="143"/>
    <col min="23" max="23" width="9" style="143"/>
    <col min="24" max="24" width="7.375" style="143"/>
    <col min="25" max="25" width="9" style="143"/>
    <col min="26" max="26" width="7.375" style="143"/>
    <col min="27" max="27" width="9" style="143"/>
    <col min="28" max="28" width="7.375" style="143"/>
    <col min="29" max="29" width="9" style="143"/>
    <col min="30" max="30" width="7.375" style="143"/>
    <col min="31" max="31" width="9" style="143"/>
    <col min="32" max="32" width="7.375" style="143"/>
    <col min="33" max="33" width="9" style="143"/>
    <col min="34" max="34" width="7.375" style="143"/>
    <col min="35" max="35" width="9" style="143"/>
    <col min="36" max="36" width="7.375" style="143"/>
    <col min="37" max="37" width="9" style="143"/>
    <col min="38" max="38" width="7.375" style="143"/>
  </cols>
  <sheetData>
    <row r="1" s="18" customFormat="1" ht="40" customHeight="1" spans="1:38">
      <c r="A1" s="148"/>
      <c r="B1" s="148" t="s">
        <v>63</v>
      </c>
      <c r="C1" s="148"/>
      <c r="D1" s="148"/>
      <c r="E1" s="148"/>
      <c r="F1" s="149"/>
      <c r="G1" s="226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</row>
    <row r="2" s="18" customFormat="1" ht="15" customHeight="1" spans="1:38">
      <c r="A2" s="148"/>
      <c r="B2" s="153" t="s">
        <v>2</v>
      </c>
      <c r="C2" s="148"/>
      <c r="D2" s="148"/>
      <c r="E2" s="148"/>
      <c r="F2" s="149"/>
      <c r="G2" s="226"/>
      <c r="H2" s="215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</row>
    <row r="3" s="18" customFormat="1" customHeight="1" spans="1:38">
      <c r="A3" s="155" t="s">
        <v>3</v>
      </c>
      <c r="B3" s="155" t="s">
        <v>126</v>
      </c>
      <c r="C3" s="155" t="s">
        <v>5</v>
      </c>
      <c r="D3" s="155" t="s">
        <v>6</v>
      </c>
      <c r="E3" s="155" t="s">
        <v>64</v>
      </c>
      <c r="F3" s="156"/>
      <c r="G3" s="227" t="s">
        <v>65</v>
      </c>
      <c r="H3" s="197" t="s">
        <v>9</v>
      </c>
      <c r="I3" s="197" t="s">
        <v>10</v>
      </c>
      <c r="J3" s="197" t="s">
        <v>11</v>
      </c>
      <c r="K3" s="197" t="s">
        <v>12</v>
      </c>
      <c r="L3" s="197" t="s">
        <v>13</v>
      </c>
      <c r="M3" s="197" t="s">
        <v>14</v>
      </c>
      <c r="N3" s="197" t="s">
        <v>15</v>
      </c>
      <c r="O3" s="197" t="s">
        <v>16</v>
      </c>
      <c r="P3" s="197" t="s">
        <v>17</v>
      </c>
      <c r="Q3" s="197" t="s">
        <v>18</v>
      </c>
      <c r="R3" s="197" t="s">
        <v>19</v>
      </c>
      <c r="S3" s="197" t="s">
        <v>20</v>
      </c>
      <c r="T3" s="197" t="s">
        <v>21</v>
      </c>
      <c r="U3" s="197" t="s">
        <v>22</v>
      </c>
      <c r="V3" s="197" t="s">
        <v>23</v>
      </c>
      <c r="W3" s="197" t="s">
        <v>24</v>
      </c>
      <c r="X3" s="197" t="s">
        <v>25</v>
      </c>
      <c r="Y3" s="197" t="s">
        <v>26</v>
      </c>
      <c r="Z3" s="197" t="s">
        <v>27</v>
      </c>
      <c r="AA3" s="197" t="s">
        <v>28</v>
      </c>
      <c r="AB3" s="197" t="s">
        <v>29</v>
      </c>
      <c r="AC3" s="197" t="s">
        <v>30</v>
      </c>
      <c r="AD3" s="197" t="s">
        <v>31</v>
      </c>
      <c r="AE3" s="197" t="s">
        <v>32</v>
      </c>
      <c r="AF3" s="197" t="s">
        <v>33</v>
      </c>
      <c r="AG3" s="197" t="s">
        <v>34</v>
      </c>
      <c r="AH3" s="197" t="s">
        <v>35</v>
      </c>
      <c r="AI3" s="197" t="s">
        <v>36</v>
      </c>
      <c r="AJ3" s="197" t="s">
        <v>37</v>
      </c>
      <c r="AK3" s="197" t="s">
        <v>38</v>
      </c>
      <c r="AL3" s="197" t="s">
        <v>39</v>
      </c>
    </row>
    <row r="4" s="18" customFormat="1" customHeight="1" spans="1:38">
      <c r="A4" s="158"/>
      <c r="B4" s="158"/>
      <c r="C4" s="158"/>
      <c r="D4" s="158"/>
      <c r="E4" s="158"/>
      <c r="F4" s="159" t="s">
        <v>66</v>
      </c>
      <c r="G4" s="228"/>
      <c r="H4" s="20" t="s">
        <v>8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0" t="s">
        <v>8</v>
      </c>
      <c r="V4" s="20" t="s">
        <v>8</v>
      </c>
      <c r="W4" s="20" t="s">
        <v>8</v>
      </c>
      <c r="X4" s="20" t="s">
        <v>8</v>
      </c>
      <c r="Y4" s="20" t="s">
        <v>8</v>
      </c>
      <c r="Z4" s="20" t="s">
        <v>8</v>
      </c>
      <c r="AA4" s="20" t="s">
        <v>8</v>
      </c>
      <c r="AB4" s="20" t="s">
        <v>8</v>
      </c>
      <c r="AC4" s="20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8</v>
      </c>
      <c r="AI4" s="20" t="s">
        <v>8</v>
      </c>
      <c r="AJ4" s="20" t="s">
        <v>8</v>
      </c>
      <c r="AK4" s="20" t="s">
        <v>8</v>
      </c>
      <c r="AL4" s="20" t="s">
        <v>8</v>
      </c>
    </row>
    <row r="5" s="140" customFormat="1" customHeight="1" spans="1:38">
      <c r="A5" s="161">
        <v>1</v>
      </c>
      <c r="B5" s="162" t="str">
        <f>前台二维码提成录入!B5</f>
        <v>李龙梅</v>
      </c>
      <c r="C5" s="162" t="str">
        <f>前台二维码提成录入!C5</f>
        <v>洗衣</v>
      </c>
      <c r="D5" s="162" t="str">
        <f>前台二维码提成录入!D5</f>
        <v>次</v>
      </c>
      <c r="E5" s="162">
        <f>前台二维码提成录入!E5</f>
        <v>1.5</v>
      </c>
      <c r="F5" s="162">
        <f>前台二维码提成录入!F5</f>
        <v>3</v>
      </c>
      <c r="G5" s="162">
        <f>前台二维码提成录入!G5</f>
        <v>4.5</v>
      </c>
      <c r="H5" s="133">
        <f>前台二维码提成录入!H5*$E5</f>
        <v>0</v>
      </c>
      <c r="I5" s="133">
        <f>前台二维码提成录入!I5*$E5</f>
        <v>0</v>
      </c>
      <c r="J5" s="133">
        <f>前台二维码提成录入!J5*$E5</f>
        <v>0</v>
      </c>
      <c r="K5" s="133">
        <f>前台二维码提成录入!K5*$E5</f>
        <v>0</v>
      </c>
      <c r="L5" s="133">
        <f>前台二维码提成录入!L5*$E5</f>
        <v>0</v>
      </c>
      <c r="M5" s="133">
        <f>前台二维码提成录入!M5*$E5</f>
        <v>0</v>
      </c>
      <c r="N5" s="133">
        <f>前台二维码提成录入!N5*$E5</f>
        <v>0</v>
      </c>
      <c r="O5" s="133">
        <f>前台二维码提成录入!O5*$E5</f>
        <v>1.5</v>
      </c>
      <c r="P5" s="133">
        <f>前台二维码提成录入!P5*$E5</f>
        <v>0</v>
      </c>
      <c r="Q5" s="133">
        <f>前台二维码提成录入!Q5*$E5</f>
        <v>0</v>
      </c>
      <c r="R5" s="133">
        <f>前台二维码提成录入!R5*$E5</f>
        <v>0</v>
      </c>
      <c r="S5" s="133">
        <f>前台二维码提成录入!S5*$E5</f>
        <v>0</v>
      </c>
      <c r="T5" s="133">
        <f>前台二维码提成录入!T5*$E5</f>
        <v>0</v>
      </c>
      <c r="U5" s="133">
        <f>前台二维码提成录入!U5*$E5</f>
        <v>0</v>
      </c>
      <c r="V5" s="133">
        <f>前台二维码提成录入!V5*$E5</f>
        <v>0</v>
      </c>
      <c r="W5" s="133">
        <f>前台二维码提成录入!W5*$E5</f>
        <v>0</v>
      </c>
      <c r="X5" s="133">
        <f>前台二维码提成录入!X5*$E5</f>
        <v>0</v>
      </c>
      <c r="Y5" s="133">
        <f>前台二维码提成录入!Y5*$E5</f>
        <v>0</v>
      </c>
      <c r="Z5" s="133">
        <f>前台二维码提成录入!Z5*$E5</f>
        <v>0</v>
      </c>
      <c r="AA5" s="133">
        <f>前台二维码提成录入!AA5*$E5</f>
        <v>0</v>
      </c>
      <c r="AB5" s="133">
        <f>前台二维码提成录入!AB5*$E5</f>
        <v>0</v>
      </c>
      <c r="AC5" s="133">
        <f>前台二维码提成录入!AC5*$E5</f>
        <v>0</v>
      </c>
      <c r="AD5" s="133">
        <f>前台二维码提成录入!AD5*$E5</f>
        <v>0</v>
      </c>
      <c r="AE5" s="133">
        <f>前台二维码提成录入!AE5*$E5</f>
        <v>1.5</v>
      </c>
      <c r="AF5" s="133">
        <f>前台二维码提成录入!AF5*$E5</f>
        <v>1.5</v>
      </c>
      <c r="AG5" s="133">
        <f>前台二维码提成录入!AG5*$E5</f>
        <v>0</v>
      </c>
      <c r="AH5" s="133">
        <f>前台二维码提成录入!AH5*$E5</f>
        <v>0</v>
      </c>
      <c r="AI5" s="133">
        <f>前台二维码提成录入!AI5*$E5</f>
        <v>0</v>
      </c>
      <c r="AJ5" s="133">
        <f>前台二维码提成录入!AJ5*$E5</f>
        <v>0</v>
      </c>
      <c r="AK5" s="133">
        <f>前台二维码提成录入!AK5*$E5</f>
        <v>0</v>
      </c>
      <c r="AL5" s="133">
        <f>前台二维码提成录入!AL5*$E5</f>
        <v>0</v>
      </c>
    </row>
    <row r="6" s="140" customFormat="1" customHeight="1" spans="1:38">
      <c r="A6" s="161">
        <v>2</v>
      </c>
      <c r="B6" s="162" t="str">
        <f>前台二维码提成录入!B6</f>
        <v>李龙梅</v>
      </c>
      <c r="C6" s="162" t="str">
        <f>前台二维码提成录入!C6</f>
        <v>送物品</v>
      </c>
      <c r="D6" s="162" t="str">
        <f>前台二维码提成录入!D6</f>
        <v>次</v>
      </c>
      <c r="E6" s="162">
        <f>前台二维码提成录入!E6</f>
        <v>0.5</v>
      </c>
      <c r="F6" s="162">
        <f>前台二维码提成录入!F6</f>
        <v>63</v>
      </c>
      <c r="G6" s="162">
        <f>前台二维码提成录入!G6</f>
        <v>31.5</v>
      </c>
      <c r="H6" s="133">
        <f>前台二维码提成录入!H6*$E6</f>
        <v>0</v>
      </c>
      <c r="I6" s="133">
        <f>前台二维码提成录入!I6*$E6</f>
        <v>0</v>
      </c>
      <c r="J6" s="133">
        <f>前台二维码提成录入!J6*$E6</f>
        <v>5.5</v>
      </c>
      <c r="K6" s="133">
        <f>前台二维码提成录入!K6*$E6</f>
        <v>1</v>
      </c>
      <c r="L6" s="133">
        <f>前台二维码提成录入!L6*$E6</f>
        <v>1.5</v>
      </c>
      <c r="M6" s="133">
        <f>前台二维码提成录入!M6*$E6</f>
        <v>1.5</v>
      </c>
      <c r="N6" s="133">
        <f>前台二维码提成录入!N6*$E6</f>
        <v>0</v>
      </c>
      <c r="O6" s="133">
        <f>前台二维码提成录入!O6*$E6</f>
        <v>2.5</v>
      </c>
      <c r="P6" s="133">
        <f>前台二维码提成录入!P6*$E6</f>
        <v>10</v>
      </c>
      <c r="Q6" s="133">
        <f>前台二维码提成录入!Q6*$E6</f>
        <v>0</v>
      </c>
      <c r="R6" s="133">
        <f>前台二维码提成录入!R6*$E6</f>
        <v>0</v>
      </c>
      <c r="S6" s="133">
        <f>前台二维码提成录入!S6*$E6</f>
        <v>1</v>
      </c>
      <c r="T6" s="133">
        <f>前台二维码提成录入!T6*$E6</f>
        <v>0</v>
      </c>
      <c r="U6" s="133">
        <f>前台二维码提成录入!U6*$E6</f>
        <v>0</v>
      </c>
      <c r="V6" s="133">
        <f>前台二维码提成录入!V6*$E6</f>
        <v>0</v>
      </c>
      <c r="W6" s="133">
        <f>前台二维码提成录入!W6*$E6</f>
        <v>0</v>
      </c>
      <c r="X6" s="133">
        <f>前台二维码提成录入!X6*$E6</f>
        <v>0</v>
      </c>
      <c r="Y6" s="133">
        <f>前台二维码提成录入!Y6*$E6</f>
        <v>0</v>
      </c>
      <c r="Z6" s="133">
        <f>前台二维码提成录入!Z6*$E6</f>
        <v>0</v>
      </c>
      <c r="AA6" s="133">
        <f>前台二维码提成录入!AA6*$E6</f>
        <v>0</v>
      </c>
      <c r="AB6" s="133">
        <f>前台二维码提成录入!AB6*$E6</f>
        <v>0</v>
      </c>
      <c r="AC6" s="133">
        <f>前台二维码提成录入!AC6*$E6</f>
        <v>0</v>
      </c>
      <c r="AD6" s="133">
        <f>前台二维码提成录入!AD6*$E6</f>
        <v>0</v>
      </c>
      <c r="AE6" s="133">
        <f>前台二维码提成录入!AE6*$E6</f>
        <v>3</v>
      </c>
      <c r="AF6" s="133">
        <f>前台二维码提成录入!AF6*$E6</f>
        <v>0</v>
      </c>
      <c r="AG6" s="133">
        <f>前台二维码提成录入!AG6*$E6</f>
        <v>4</v>
      </c>
      <c r="AH6" s="133">
        <f>前台二维码提成录入!AH6*$E6</f>
        <v>0</v>
      </c>
      <c r="AI6" s="133">
        <f>前台二维码提成录入!AI6*$E6</f>
        <v>0</v>
      </c>
      <c r="AJ6" s="133">
        <f>前台二维码提成录入!AJ6*$E6</f>
        <v>0</v>
      </c>
      <c r="AK6" s="133">
        <f>前台二维码提成录入!AK6*$E6</f>
        <v>0</v>
      </c>
      <c r="AL6" s="133">
        <f>前台二维码提成录入!AL6*$E6</f>
        <v>1.5</v>
      </c>
    </row>
    <row r="7" s="140" customFormat="1" customHeight="1" spans="1:38">
      <c r="A7" s="161">
        <v>3</v>
      </c>
      <c r="B7" s="162" t="str">
        <f>前台二维码提成录入!B7</f>
        <v>李龙梅</v>
      </c>
      <c r="C7" s="162" t="str">
        <f>前台二维码提成录入!C7</f>
        <v>点名表扬</v>
      </c>
      <c r="D7" s="162" t="str">
        <f>前台二维码提成录入!D7</f>
        <v>次</v>
      </c>
      <c r="E7" s="162">
        <f>前台二维码提成录入!E7</f>
        <v>1</v>
      </c>
      <c r="F7" s="162">
        <f>前台二维码提成录入!F7</f>
        <v>0</v>
      </c>
      <c r="G7" s="162">
        <f>前台二维码提成录入!G7</f>
        <v>0</v>
      </c>
      <c r="H7" s="133">
        <f>前台二维码提成录入!H7*$E7</f>
        <v>0</v>
      </c>
      <c r="I7" s="133">
        <f>前台二维码提成录入!I7*$E7</f>
        <v>0</v>
      </c>
      <c r="J7" s="133">
        <f>前台二维码提成录入!J7*$E7</f>
        <v>0</v>
      </c>
      <c r="K7" s="133">
        <f>前台二维码提成录入!K7*$E7</f>
        <v>0</v>
      </c>
      <c r="L7" s="133">
        <f>前台二维码提成录入!L7*$E7</f>
        <v>0</v>
      </c>
      <c r="M7" s="133">
        <f>前台二维码提成录入!M7*$E7</f>
        <v>0</v>
      </c>
      <c r="N7" s="133">
        <f>前台二维码提成录入!N7*$E7</f>
        <v>0</v>
      </c>
      <c r="O7" s="133">
        <f>前台二维码提成录入!O7*$E7</f>
        <v>0</v>
      </c>
      <c r="P7" s="133">
        <f>前台二维码提成录入!P7*$E7</f>
        <v>0</v>
      </c>
      <c r="Q7" s="133">
        <f>前台二维码提成录入!Q7*$E7</f>
        <v>0</v>
      </c>
      <c r="R7" s="133">
        <f>前台二维码提成录入!R7*$E7</f>
        <v>0</v>
      </c>
      <c r="S7" s="133">
        <f>前台二维码提成录入!S7*$E7</f>
        <v>0</v>
      </c>
      <c r="T7" s="133">
        <f>前台二维码提成录入!T7*$E7</f>
        <v>0</v>
      </c>
      <c r="U7" s="133">
        <f>前台二维码提成录入!U7*$E7</f>
        <v>0</v>
      </c>
      <c r="V7" s="133">
        <f>前台二维码提成录入!V7*$E7</f>
        <v>0</v>
      </c>
      <c r="W7" s="133">
        <f>前台二维码提成录入!W7*$E7</f>
        <v>0</v>
      </c>
      <c r="X7" s="133">
        <f>前台二维码提成录入!X7*$E7</f>
        <v>0</v>
      </c>
      <c r="Y7" s="133">
        <f>前台二维码提成录入!Y7*$E7</f>
        <v>0</v>
      </c>
      <c r="Z7" s="133">
        <f>前台二维码提成录入!Z7*$E7</f>
        <v>0</v>
      </c>
      <c r="AA7" s="133">
        <f>前台二维码提成录入!AA7*$E7</f>
        <v>0</v>
      </c>
      <c r="AB7" s="133">
        <f>前台二维码提成录入!AB7*$E7</f>
        <v>0</v>
      </c>
      <c r="AC7" s="133">
        <f>前台二维码提成录入!AC7*$E7</f>
        <v>0</v>
      </c>
      <c r="AD7" s="133">
        <f>前台二维码提成录入!AD7*$E7</f>
        <v>0</v>
      </c>
      <c r="AE7" s="133">
        <f>前台二维码提成录入!AE7*$E7</f>
        <v>0</v>
      </c>
      <c r="AF7" s="133">
        <f>前台二维码提成录入!AF7*$E7</f>
        <v>0</v>
      </c>
      <c r="AG7" s="133">
        <f>前台二维码提成录入!AG7*$E7</f>
        <v>0</v>
      </c>
      <c r="AH7" s="133">
        <f>前台二维码提成录入!AH7*$E7</f>
        <v>0</v>
      </c>
      <c r="AI7" s="133">
        <f>前台二维码提成录入!AI7*$E7</f>
        <v>0</v>
      </c>
      <c r="AJ7" s="133">
        <f>前台二维码提成录入!AJ7*$E7</f>
        <v>0</v>
      </c>
      <c r="AK7" s="133">
        <f>前台二维码提成录入!AK7*$E7</f>
        <v>0</v>
      </c>
      <c r="AL7" s="133">
        <f>前台二维码提成录入!AL7*$E7</f>
        <v>0</v>
      </c>
    </row>
    <row r="8" s="140" customFormat="1" customHeight="1" spans="1:38">
      <c r="A8" s="161">
        <v>4</v>
      </c>
      <c r="B8" s="162" t="str">
        <f>前台二维码提成录入!B8</f>
        <v>李龙梅</v>
      </c>
      <c r="C8" s="162" t="str">
        <f>前台二维码提成录入!C8</f>
        <v>违规</v>
      </c>
      <c r="D8" s="162" t="str">
        <f>前台二维码提成录入!D8</f>
        <v>次</v>
      </c>
      <c r="E8" s="162">
        <f>前台二维码提成录入!E8</f>
        <v>-2</v>
      </c>
      <c r="F8" s="162">
        <f>前台二维码提成录入!F8</f>
        <v>0</v>
      </c>
      <c r="G8" s="162">
        <f>前台二维码提成录入!G8</f>
        <v>0</v>
      </c>
      <c r="H8" s="133">
        <f>前台二维码提成录入!H8*$E8</f>
        <v>0</v>
      </c>
      <c r="I8" s="133">
        <f>前台二维码提成录入!I8*$E8</f>
        <v>0</v>
      </c>
      <c r="J8" s="133">
        <f>前台二维码提成录入!J8*$E8</f>
        <v>0</v>
      </c>
      <c r="K8" s="133">
        <f>前台二维码提成录入!K8*$E8</f>
        <v>0</v>
      </c>
      <c r="L8" s="133">
        <f>前台二维码提成录入!L8*$E8</f>
        <v>0</v>
      </c>
      <c r="M8" s="133">
        <f>前台二维码提成录入!M8*$E8</f>
        <v>0</v>
      </c>
      <c r="N8" s="133">
        <f>前台二维码提成录入!N8*$E8</f>
        <v>0</v>
      </c>
      <c r="O8" s="133">
        <f>前台二维码提成录入!O8*$E8</f>
        <v>0</v>
      </c>
      <c r="P8" s="133">
        <f>前台二维码提成录入!P8*$E8</f>
        <v>0</v>
      </c>
      <c r="Q8" s="133">
        <f>前台二维码提成录入!Q8*$E8</f>
        <v>0</v>
      </c>
      <c r="R8" s="133">
        <f>前台二维码提成录入!R8*$E8</f>
        <v>0</v>
      </c>
      <c r="S8" s="133">
        <f>前台二维码提成录入!S8*$E8</f>
        <v>0</v>
      </c>
      <c r="T8" s="133">
        <f>前台二维码提成录入!T8*$E8</f>
        <v>0</v>
      </c>
      <c r="U8" s="133">
        <f>前台二维码提成录入!U8*$E8</f>
        <v>0</v>
      </c>
      <c r="V8" s="133">
        <f>前台二维码提成录入!V8*$E8</f>
        <v>0</v>
      </c>
      <c r="W8" s="133">
        <f>前台二维码提成录入!W8*$E8</f>
        <v>0</v>
      </c>
      <c r="X8" s="133">
        <f>前台二维码提成录入!X8*$E8</f>
        <v>0</v>
      </c>
      <c r="Y8" s="133">
        <f>前台二维码提成录入!Y8*$E8</f>
        <v>0</v>
      </c>
      <c r="Z8" s="133">
        <f>前台二维码提成录入!Z8*$E8</f>
        <v>0</v>
      </c>
      <c r="AA8" s="133">
        <f>前台二维码提成录入!AA8*$E8</f>
        <v>0</v>
      </c>
      <c r="AB8" s="133">
        <f>前台二维码提成录入!AB8*$E8</f>
        <v>0</v>
      </c>
      <c r="AC8" s="133">
        <f>前台二维码提成录入!AC8*$E8</f>
        <v>0</v>
      </c>
      <c r="AD8" s="133">
        <f>前台二维码提成录入!AD8*$E8</f>
        <v>0</v>
      </c>
      <c r="AE8" s="133">
        <f>前台二维码提成录入!AE8*$E8</f>
        <v>0</v>
      </c>
      <c r="AF8" s="133">
        <f>前台二维码提成录入!AF8*$E8</f>
        <v>0</v>
      </c>
      <c r="AG8" s="133">
        <f>前台二维码提成录入!AG8*$E8</f>
        <v>0</v>
      </c>
      <c r="AH8" s="133">
        <f>前台二维码提成录入!AH8*$E8</f>
        <v>0</v>
      </c>
      <c r="AI8" s="133">
        <f>前台二维码提成录入!AI8*$E8</f>
        <v>0</v>
      </c>
      <c r="AJ8" s="133">
        <f>前台二维码提成录入!AJ8*$E8</f>
        <v>0</v>
      </c>
      <c r="AK8" s="133">
        <f>前台二维码提成录入!AK8*$E8</f>
        <v>0</v>
      </c>
      <c r="AL8" s="133">
        <f>前台二维码提成录入!AL8*$E8</f>
        <v>0</v>
      </c>
    </row>
    <row r="9" s="140" customFormat="1" customHeight="1" spans="1:38">
      <c r="A9" s="161">
        <v>5</v>
      </c>
      <c r="B9" s="162" t="str">
        <f>前台二维码提成录入!B9</f>
        <v>李龙梅</v>
      </c>
      <c r="C9" s="162" t="str">
        <f>前台二维码提成录入!C9</f>
        <v>其他</v>
      </c>
      <c r="D9" s="162" t="str">
        <f>前台二维码提成录入!D9</f>
        <v>次</v>
      </c>
      <c r="E9" s="162">
        <f>前台二维码提成录入!E9</f>
        <v>2</v>
      </c>
      <c r="F9" s="162">
        <f>前台二维码提成录入!F9</f>
        <v>0</v>
      </c>
      <c r="G9" s="162">
        <f>前台二维码提成录入!G9</f>
        <v>0</v>
      </c>
      <c r="H9" s="133">
        <f>前台二维码提成录入!H9*$E9</f>
        <v>0</v>
      </c>
      <c r="I9" s="133">
        <f>前台二维码提成录入!I9*$E9</f>
        <v>0</v>
      </c>
      <c r="J9" s="133">
        <f>前台二维码提成录入!J9*$E9</f>
        <v>0</v>
      </c>
      <c r="K9" s="133">
        <f>前台二维码提成录入!K9*$E9</f>
        <v>0</v>
      </c>
      <c r="L9" s="133">
        <f>前台二维码提成录入!L9*$E9</f>
        <v>0</v>
      </c>
      <c r="M9" s="133">
        <f>前台二维码提成录入!M9*$E9</f>
        <v>0</v>
      </c>
      <c r="N9" s="133">
        <f>前台二维码提成录入!N9*$E9</f>
        <v>0</v>
      </c>
      <c r="O9" s="133">
        <f>前台二维码提成录入!O9*$E9</f>
        <v>0</v>
      </c>
      <c r="P9" s="133">
        <f>前台二维码提成录入!P9*$E9</f>
        <v>0</v>
      </c>
      <c r="Q9" s="133">
        <f>前台二维码提成录入!Q9*$E9</f>
        <v>0</v>
      </c>
      <c r="R9" s="133">
        <f>前台二维码提成录入!R9*$E9</f>
        <v>0</v>
      </c>
      <c r="S9" s="133">
        <f>前台二维码提成录入!S9*$E9</f>
        <v>0</v>
      </c>
      <c r="T9" s="133">
        <f>前台二维码提成录入!T9*$E9</f>
        <v>0</v>
      </c>
      <c r="U9" s="133">
        <f>前台二维码提成录入!U9*$E9</f>
        <v>0</v>
      </c>
      <c r="V9" s="133">
        <f>前台二维码提成录入!V9*$E9</f>
        <v>0</v>
      </c>
      <c r="W9" s="133">
        <f>前台二维码提成录入!W9*$E9</f>
        <v>0</v>
      </c>
      <c r="X9" s="133">
        <f>前台二维码提成录入!X9*$E9</f>
        <v>0</v>
      </c>
      <c r="Y9" s="133">
        <f>前台二维码提成录入!Y9*$E9</f>
        <v>0</v>
      </c>
      <c r="Z9" s="133">
        <f>前台二维码提成录入!Z9*$E9</f>
        <v>0</v>
      </c>
      <c r="AA9" s="133">
        <f>前台二维码提成录入!AA9*$E9</f>
        <v>0</v>
      </c>
      <c r="AB9" s="133">
        <f>前台二维码提成录入!AB9*$E9</f>
        <v>0</v>
      </c>
      <c r="AC9" s="133">
        <f>前台二维码提成录入!AC9*$E9</f>
        <v>0</v>
      </c>
      <c r="AD9" s="133">
        <f>前台二维码提成录入!AD9*$E9</f>
        <v>0</v>
      </c>
      <c r="AE9" s="133">
        <f>前台二维码提成录入!AE9*$E9</f>
        <v>0</v>
      </c>
      <c r="AF9" s="133">
        <f>前台二维码提成录入!AF9*$E9</f>
        <v>0</v>
      </c>
      <c r="AG9" s="133">
        <f>前台二维码提成录入!AG9*$E9</f>
        <v>0</v>
      </c>
      <c r="AH9" s="133">
        <f>前台二维码提成录入!AH9*$E9</f>
        <v>0</v>
      </c>
      <c r="AI9" s="133">
        <f>前台二维码提成录入!AI9*$E9</f>
        <v>0</v>
      </c>
      <c r="AJ9" s="133">
        <f>前台二维码提成录入!AJ9*$E9</f>
        <v>0</v>
      </c>
      <c r="AK9" s="133">
        <f>前台二维码提成录入!AK9*$E9</f>
        <v>0</v>
      </c>
      <c r="AL9" s="133">
        <f>前台二维码提成录入!AL9*$E9</f>
        <v>0</v>
      </c>
    </row>
    <row r="10" s="140" customFormat="1" customHeight="1" spans="1:38">
      <c r="A10" s="161">
        <v>6</v>
      </c>
      <c r="B10" s="162" t="str">
        <f>前台二维码提成录入!B10</f>
        <v>于子杭</v>
      </c>
      <c r="C10" s="162" t="str">
        <f>前台二维码提成录入!C10</f>
        <v>洗衣</v>
      </c>
      <c r="D10" s="162" t="str">
        <f>前台二维码提成录入!D10</f>
        <v>次</v>
      </c>
      <c r="E10" s="162">
        <f>前台二维码提成录入!E10</f>
        <v>1.5</v>
      </c>
      <c r="F10" s="162">
        <f>前台二维码提成录入!F10</f>
        <v>0</v>
      </c>
      <c r="G10" s="162">
        <f>前台二维码提成录入!G10</f>
        <v>0</v>
      </c>
      <c r="H10" s="133">
        <f>前台二维码提成录入!H10*$E10</f>
        <v>0</v>
      </c>
      <c r="I10" s="133">
        <f>前台二维码提成录入!I10*$E10</f>
        <v>0</v>
      </c>
      <c r="J10" s="133">
        <f>前台二维码提成录入!J10*$E10</f>
        <v>0</v>
      </c>
      <c r="K10" s="133">
        <f>前台二维码提成录入!K10*$E10</f>
        <v>0</v>
      </c>
      <c r="L10" s="133">
        <f>前台二维码提成录入!L10*$E10</f>
        <v>0</v>
      </c>
      <c r="M10" s="133">
        <f>前台二维码提成录入!M10*$E10</f>
        <v>0</v>
      </c>
      <c r="N10" s="133">
        <f>前台二维码提成录入!N10*$E10</f>
        <v>0</v>
      </c>
      <c r="O10" s="133">
        <f>前台二维码提成录入!O10*$E10</f>
        <v>0</v>
      </c>
      <c r="P10" s="133">
        <f>前台二维码提成录入!P10*$E10</f>
        <v>0</v>
      </c>
      <c r="Q10" s="133">
        <f>前台二维码提成录入!Q10*$E10</f>
        <v>0</v>
      </c>
      <c r="R10" s="133">
        <f>前台二维码提成录入!R10*$E10</f>
        <v>0</v>
      </c>
      <c r="S10" s="133">
        <f>前台二维码提成录入!S10*$E10</f>
        <v>0</v>
      </c>
      <c r="T10" s="133">
        <f>前台二维码提成录入!T10*$E10</f>
        <v>0</v>
      </c>
      <c r="U10" s="133">
        <f>前台二维码提成录入!U10*$E10</f>
        <v>0</v>
      </c>
      <c r="V10" s="133">
        <f>前台二维码提成录入!V10*$E10</f>
        <v>0</v>
      </c>
      <c r="W10" s="133">
        <f>前台二维码提成录入!W10*$E10</f>
        <v>0</v>
      </c>
      <c r="X10" s="133">
        <f>前台二维码提成录入!X10*$E10</f>
        <v>0</v>
      </c>
      <c r="Y10" s="133">
        <f>前台二维码提成录入!Y10*$E10</f>
        <v>0</v>
      </c>
      <c r="Z10" s="133">
        <f>前台二维码提成录入!Z10*$E10</f>
        <v>0</v>
      </c>
      <c r="AA10" s="133">
        <f>前台二维码提成录入!AA10*$E10</f>
        <v>0</v>
      </c>
      <c r="AB10" s="133">
        <f>前台二维码提成录入!AB10*$E10</f>
        <v>0</v>
      </c>
      <c r="AC10" s="133">
        <f>前台二维码提成录入!AC10*$E10</f>
        <v>0</v>
      </c>
      <c r="AD10" s="133">
        <f>前台二维码提成录入!AD10*$E10</f>
        <v>0</v>
      </c>
      <c r="AE10" s="133">
        <f>前台二维码提成录入!AE10*$E10</f>
        <v>0</v>
      </c>
      <c r="AF10" s="133">
        <f>前台二维码提成录入!AF10*$E10</f>
        <v>0</v>
      </c>
      <c r="AG10" s="133">
        <f>前台二维码提成录入!AG10*$E10</f>
        <v>0</v>
      </c>
      <c r="AH10" s="133">
        <f>前台二维码提成录入!AH10*$E10</f>
        <v>0</v>
      </c>
      <c r="AI10" s="133">
        <f>前台二维码提成录入!AI10*$E10</f>
        <v>0</v>
      </c>
      <c r="AJ10" s="133">
        <f>前台二维码提成录入!AJ10*$E10</f>
        <v>0</v>
      </c>
      <c r="AK10" s="133">
        <f>前台二维码提成录入!AK10*$E10</f>
        <v>0</v>
      </c>
      <c r="AL10" s="133">
        <f>前台二维码提成录入!AL10*$E10</f>
        <v>0</v>
      </c>
    </row>
    <row r="11" s="140" customFormat="1" customHeight="1" spans="1:38">
      <c r="A11" s="161">
        <v>7</v>
      </c>
      <c r="B11" s="162" t="str">
        <f>前台二维码提成录入!B11</f>
        <v>于子杭</v>
      </c>
      <c r="C11" s="162" t="str">
        <f>前台二维码提成录入!C11</f>
        <v>送物品</v>
      </c>
      <c r="D11" s="162" t="str">
        <f>前台二维码提成录入!D11</f>
        <v>次</v>
      </c>
      <c r="E11" s="162">
        <f>前台二维码提成录入!E11</f>
        <v>0.5</v>
      </c>
      <c r="F11" s="162">
        <f>前台二维码提成录入!F11</f>
        <v>67</v>
      </c>
      <c r="G11" s="162">
        <f>前台二维码提成录入!G11</f>
        <v>33.5</v>
      </c>
      <c r="H11" s="133">
        <f>前台二维码提成录入!H11*$E11</f>
        <v>0</v>
      </c>
      <c r="I11" s="133">
        <f>前台二维码提成录入!I11*$E11</f>
        <v>0</v>
      </c>
      <c r="J11" s="133">
        <f>前台二维码提成录入!J11*$E11</f>
        <v>5.5</v>
      </c>
      <c r="K11" s="133">
        <f>前台二维码提成录入!K11*$E11</f>
        <v>0</v>
      </c>
      <c r="L11" s="133">
        <f>前台二维码提成录入!L11*$E11</f>
        <v>1.5</v>
      </c>
      <c r="M11" s="133">
        <f>前台二维码提成录入!M11*$E11</f>
        <v>1.5</v>
      </c>
      <c r="N11" s="133">
        <f>前台二维码提成录入!N11*$E11</f>
        <v>0</v>
      </c>
      <c r="O11" s="133">
        <f>前台二维码提成录入!O11*$E11</f>
        <v>2.5</v>
      </c>
      <c r="P11" s="133">
        <f>前台二维码提成录入!P11*$E11</f>
        <v>10</v>
      </c>
      <c r="Q11" s="133">
        <f>前台二维码提成录入!Q11*$E11</f>
        <v>0</v>
      </c>
      <c r="R11" s="133">
        <f>前台二维码提成录入!R11*$E11</f>
        <v>1</v>
      </c>
      <c r="S11" s="133">
        <f>前台二维码提成录入!S11*$E11</f>
        <v>1.5</v>
      </c>
      <c r="T11" s="133">
        <f>前台二维码提成录入!T11*$E11</f>
        <v>0</v>
      </c>
      <c r="U11" s="133">
        <f>前台二维码提成录入!U11*$E11</f>
        <v>0</v>
      </c>
      <c r="V11" s="133">
        <f>前台二维码提成录入!V11*$E11</f>
        <v>0</v>
      </c>
      <c r="W11" s="133">
        <f>前台二维码提成录入!W11*$E11</f>
        <v>0</v>
      </c>
      <c r="X11" s="133">
        <f>前台二维码提成录入!X11*$E11</f>
        <v>0</v>
      </c>
      <c r="Y11" s="133">
        <f>前台二维码提成录入!Y11*$E11</f>
        <v>0</v>
      </c>
      <c r="Z11" s="133">
        <f>前台二维码提成录入!Z11*$E11</f>
        <v>1</v>
      </c>
      <c r="AA11" s="133">
        <f>前台二维码提成录入!AA11*$E11</f>
        <v>0</v>
      </c>
      <c r="AB11" s="133">
        <f>前台二维码提成录入!AB11*$E11</f>
        <v>0</v>
      </c>
      <c r="AC11" s="133">
        <f>前台二维码提成录入!AC11*$E11</f>
        <v>0</v>
      </c>
      <c r="AD11" s="133">
        <f>前台二维码提成录入!AD11*$E11</f>
        <v>0</v>
      </c>
      <c r="AE11" s="133">
        <f>前台二维码提成录入!AE11*$E11</f>
        <v>3</v>
      </c>
      <c r="AF11" s="133">
        <f>前台二维码提成录入!AF11*$E11</f>
        <v>0</v>
      </c>
      <c r="AG11" s="133">
        <f>前台二维码提成录入!AG11*$E11</f>
        <v>4</v>
      </c>
      <c r="AH11" s="133">
        <f>前台二维码提成录入!AH11*$E11</f>
        <v>0</v>
      </c>
      <c r="AI11" s="133">
        <f>前台二维码提成录入!AI11*$E11</f>
        <v>0</v>
      </c>
      <c r="AJ11" s="133">
        <f>前台二维码提成录入!AJ11*$E11</f>
        <v>0</v>
      </c>
      <c r="AK11" s="133">
        <f>前台二维码提成录入!AK11*$E11</f>
        <v>1</v>
      </c>
      <c r="AL11" s="133">
        <f>前台二维码提成录入!AL11*$E11</f>
        <v>1</v>
      </c>
    </row>
    <row r="12" s="140" customFormat="1" customHeight="1" spans="1:38">
      <c r="A12" s="161">
        <v>8</v>
      </c>
      <c r="B12" s="162" t="str">
        <f>前台二维码提成录入!B12</f>
        <v>于子杭</v>
      </c>
      <c r="C12" s="162" t="str">
        <f>前台二维码提成录入!C12</f>
        <v>点名表扬</v>
      </c>
      <c r="D12" s="162" t="str">
        <f>前台二维码提成录入!D12</f>
        <v>次</v>
      </c>
      <c r="E12" s="162">
        <f>前台二维码提成录入!E12</f>
        <v>1</v>
      </c>
      <c r="F12" s="162">
        <f>前台二维码提成录入!F12</f>
        <v>0</v>
      </c>
      <c r="G12" s="162">
        <f>前台二维码提成录入!G12</f>
        <v>0</v>
      </c>
      <c r="H12" s="133">
        <f>前台二维码提成录入!H12*$E12</f>
        <v>0</v>
      </c>
      <c r="I12" s="133">
        <f>前台二维码提成录入!I12*$E12</f>
        <v>0</v>
      </c>
      <c r="J12" s="133">
        <f>前台二维码提成录入!J12*$E12</f>
        <v>0</v>
      </c>
      <c r="K12" s="133">
        <f>前台二维码提成录入!K12*$E12</f>
        <v>0</v>
      </c>
      <c r="L12" s="133">
        <f>前台二维码提成录入!L12*$E12</f>
        <v>0</v>
      </c>
      <c r="M12" s="133">
        <f>前台二维码提成录入!M12*$E12</f>
        <v>0</v>
      </c>
      <c r="N12" s="133">
        <f>前台二维码提成录入!N12*$E12</f>
        <v>0</v>
      </c>
      <c r="O12" s="133">
        <f>前台二维码提成录入!O12*$E12</f>
        <v>0</v>
      </c>
      <c r="P12" s="133">
        <f>前台二维码提成录入!P12*$E12</f>
        <v>0</v>
      </c>
      <c r="Q12" s="133">
        <f>前台二维码提成录入!Q12*$E12</f>
        <v>0</v>
      </c>
      <c r="R12" s="133">
        <f>前台二维码提成录入!R12*$E12</f>
        <v>0</v>
      </c>
      <c r="S12" s="133">
        <f>前台二维码提成录入!S12*$E12</f>
        <v>0</v>
      </c>
      <c r="T12" s="133">
        <f>前台二维码提成录入!T12*$E12</f>
        <v>0</v>
      </c>
      <c r="U12" s="133">
        <f>前台二维码提成录入!U12*$E12</f>
        <v>0</v>
      </c>
      <c r="V12" s="133">
        <f>前台二维码提成录入!V12*$E12</f>
        <v>0</v>
      </c>
      <c r="W12" s="133">
        <f>前台二维码提成录入!W12*$E12</f>
        <v>0</v>
      </c>
      <c r="X12" s="133">
        <f>前台二维码提成录入!X12*$E12</f>
        <v>0</v>
      </c>
      <c r="Y12" s="133">
        <f>前台二维码提成录入!Y12*$E12</f>
        <v>0</v>
      </c>
      <c r="Z12" s="133">
        <f>前台二维码提成录入!Z12*$E12</f>
        <v>0</v>
      </c>
      <c r="AA12" s="133">
        <f>前台二维码提成录入!AA12*$E12</f>
        <v>0</v>
      </c>
      <c r="AB12" s="133">
        <f>前台二维码提成录入!AB12*$E12</f>
        <v>0</v>
      </c>
      <c r="AC12" s="133">
        <f>前台二维码提成录入!AC12*$E12</f>
        <v>0</v>
      </c>
      <c r="AD12" s="133">
        <f>前台二维码提成录入!AD12*$E12</f>
        <v>0</v>
      </c>
      <c r="AE12" s="133">
        <f>前台二维码提成录入!AE12*$E12</f>
        <v>0</v>
      </c>
      <c r="AF12" s="133">
        <f>前台二维码提成录入!AF12*$E12</f>
        <v>0</v>
      </c>
      <c r="AG12" s="133">
        <f>前台二维码提成录入!AG12*$E12</f>
        <v>0</v>
      </c>
      <c r="AH12" s="133">
        <f>前台二维码提成录入!AH12*$E12</f>
        <v>0</v>
      </c>
      <c r="AI12" s="133">
        <f>前台二维码提成录入!AI12*$E12</f>
        <v>0</v>
      </c>
      <c r="AJ12" s="133">
        <f>前台二维码提成录入!AJ12*$E12</f>
        <v>0</v>
      </c>
      <c r="AK12" s="133">
        <f>前台二维码提成录入!AK12*$E12</f>
        <v>0</v>
      </c>
      <c r="AL12" s="133">
        <f>前台二维码提成录入!AL12*$E12</f>
        <v>0</v>
      </c>
    </row>
    <row r="13" s="140" customFormat="1" customHeight="1" spans="1:38">
      <c r="A13" s="161">
        <v>9</v>
      </c>
      <c r="B13" s="162" t="str">
        <f>前台二维码提成录入!B13</f>
        <v>于子杭</v>
      </c>
      <c r="C13" s="162" t="str">
        <f>前台二维码提成录入!C13</f>
        <v>违规</v>
      </c>
      <c r="D13" s="162" t="str">
        <f>前台二维码提成录入!D13</f>
        <v>次</v>
      </c>
      <c r="E13" s="162">
        <f>前台二维码提成录入!E13</f>
        <v>-2</v>
      </c>
      <c r="F13" s="162">
        <f>前台二维码提成录入!F13</f>
        <v>0</v>
      </c>
      <c r="G13" s="162">
        <f>前台二维码提成录入!G13</f>
        <v>0</v>
      </c>
      <c r="H13" s="133">
        <f>前台二维码提成录入!H13*$E13</f>
        <v>0</v>
      </c>
      <c r="I13" s="133">
        <f>前台二维码提成录入!I13*$E13</f>
        <v>0</v>
      </c>
      <c r="J13" s="133">
        <f>前台二维码提成录入!J13*$E13</f>
        <v>0</v>
      </c>
      <c r="K13" s="133">
        <f>前台二维码提成录入!K13*$E13</f>
        <v>0</v>
      </c>
      <c r="L13" s="133">
        <f>前台二维码提成录入!L13*$E13</f>
        <v>0</v>
      </c>
      <c r="M13" s="133">
        <f>前台二维码提成录入!M13*$E13</f>
        <v>0</v>
      </c>
      <c r="N13" s="133">
        <f>前台二维码提成录入!N13*$E13</f>
        <v>0</v>
      </c>
      <c r="O13" s="133">
        <f>前台二维码提成录入!O13*$E13</f>
        <v>0</v>
      </c>
      <c r="P13" s="133">
        <f>前台二维码提成录入!P13*$E13</f>
        <v>0</v>
      </c>
      <c r="Q13" s="133">
        <f>前台二维码提成录入!Q13*$E13</f>
        <v>0</v>
      </c>
      <c r="R13" s="133">
        <f>前台二维码提成录入!R13*$E13</f>
        <v>0</v>
      </c>
      <c r="S13" s="133">
        <f>前台二维码提成录入!S13*$E13</f>
        <v>0</v>
      </c>
      <c r="T13" s="133">
        <f>前台二维码提成录入!T13*$E13</f>
        <v>0</v>
      </c>
      <c r="U13" s="133">
        <f>前台二维码提成录入!U13*$E13</f>
        <v>0</v>
      </c>
      <c r="V13" s="133">
        <f>前台二维码提成录入!V13*$E13</f>
        <v>0</v>
      </c>
      <c r="W13" s="133">
        <f>前台二维码提成录入!W13*$E13</f>
        <v>0</v>
      </c>
      <c r="X13" s="133">
        <f>前台二维码提成录入!X13*$E13</f>
        <v>0</v>
      </c>
      <c r="Y13" s="133">
        <f>前台二维码提成录入!Y13*$E13</f>
        <v>0</v>
      </c>
      <c r="Z13" s="133">
        <f>前台二维码提成录入!Z13*$E13</f>
        <v>0</v>
      </c>
      <c r="AA13" s="133">
        <f>前台二维码提成录入!AA13*$E13</f>
        <v>0</v>
      </c>
      <c r="AB13" s="133">
        <f>前台二维码提成录入!AB13*$E13</f>
        <v>0</v>
      </c>
      <c r="AC13" s="133">
        <f>前台二维码提成录入!AC13*$E13</f>
        <v>0</v>
      </c>
      <c r="AD13" s="133">
        <f>前台二维码提成录入!AD13*$E13</f>
        <v>0</v>
      </c>
      <c r="AE13" s="133">
        <f>前台二维码提成录入!AE13*$E13</f>
        <v>0</v>
      </c>
      <c r="AF13" s="133">
        <f>前台二维码提成录入!AF13*$E13</f>
        <v>0</v>
      </c>
      <c r="AG13" s="133">
        <f>前台二维码提成录入!AG13*$E13</f>
        <v>0</v>
      </c>
      <c r="AH13" s="133">
        <f>前台二维码提成录入!AH13*$E13</f>
        <v>0</v>
      </c>
      <c r="AI13" s="133">
        <f>前台二维码提成录入!AI13*$E13</f>
        <v>0</v>
      </c>
      <c r="AJ13" s="133">
        <f>前台二维码提成录入!AJ13*$E13</f>
        <v>0</v>
      </c>
      <c r="AK13" s="133">
        <f>前台二维码提成录入!AK13*$E13</f>
        <v>0</v>
      </c>
      <c r="AL13" s="133">
        <f>前台二维码提成录入!AL13*$E13</f>
        <v>0</v>
      </c>
    </row>
    <row r="14" s="140" customFormat="1" customHeight="1" spans="1:38">
      <c r="A14" s="161">
        <v>10</v>
      </c>
      <c r="B14" s="162" t="str">
        <f>前台二维码提成录入!B14</f>
        <v>于子杭</v>
      </c>
      <c r="C14" s="162" t="str">
        <f>前台二维码提成录入!C14</f>
        <v>其他</v>
      </c>
      <c r="D14" s="162" t="str">
        <f>前台二维码提成录入!D14</f>
        <v>次</v>
      </c>
      <c r="E14" s="162">
        <f>前台二维码提成录入!E14</f>
        <v>2</v>
      </c>
      <c r="F14" s="162">
        <f>前台二维码提成录入!F14</f>
        <v>0</v>
      </c>
      <c r="G14" s="162">
        <f>前台二维码提成录入!G14</f>
        <v>0</v>
      </c>
      <c r="H14" s="133">
        <f>前台二维码提成录入!H14*$E14</f>
        <v>0</v>
      </c>
      <c r="I14" s="133">
        <f>前台二维码提成录入!I14*$E14</f>
        <v>0</v>
      </c>
      <c r="J14" s="133">
        <f>前台二维码提成录入!J14*$E14</f>
        <v>0</v>
      </c>
      <c r="K14" s="133">
        <f>前台二维码提成录入!K14*$E14</f>
        <v>0</v>
      </c>
      <c r="L14" s="133">
        <f>前台二维码提成录入!L14*$E14</f>
        <v>0</v>
      </c>
      <c r="M14" s="133">
        <f>前台二维码提成录入!M14*$E14</f>
        <v>0</v>
      </c>
      <c r="N14" s="133">
        <f>前台二维码提成录入!N14*$E14</f>
        <v>0</v>
      </c>
      <c r="O14" s="133">
        <f>前台二维码提成录入!O14*$E14</f>
        <v>0</v>
      </c>
      <c r="P14" s="133">
        <f>前台二维码提成录入!P14*$E14</f>
        <v>0</v>
      </c>
      <c r="Q14" s="133">
        <f>前台二维码提成录入!Q14*$E14</f>
        <v>0</v>
      </c>
      <c r="R14" s="133">
        <f>前台二维码提成录入!R14*$E14</f>
        <v>0</v>
      </c>
      <c r="S14" s="133">
        <f>前台二维码提成录入!S14*$E14</f>
        <v>0</v>
      </c>
      <c r="T14" s="133">
        <f>前台二维码提成录入!T14*$E14</f>
        <v>0</v>
      </c>
      <c r="U14" s="133">
        <f>前台二维码提成录入!U14*$E14</f>
        <v>0</v>
      </c>
      <c r="V14" s="133">
        <f>前台二维码提成录入!V14*$E14</f>
        <v>0</v>
      </c>
      <c r="W14" s="133">
        <f>前台二维码提成录入!W14*$E14</f>
        <v>0</v>
      </c>
      <c r="X14" s="133">
        <f>前台二维码提成录入!X14*$E14</f>
        <v>0</v>
      </c>
      <c r="Y14" s="133">
        <f>前台二维码提成录入!Y14*$E14</f>
        <v>0</v>
      </c>
      <c r="Z14" s="133">
        <f>前台二维码提成录入!Z14*$E14</f>
        <v>0</v>
      </c>
      <c r="AA14" s="133">
        <f>前台二维码提成录入!AA14*$E14</f>
        <v>0</v>
      </c>
      <c r="AB14" s="133">
        <f>前台二维码提成录入!AB14*$E14</f>
        <v>0</v>
      </c>
      <c r="AC14" s="133">
        <f>前台二维码提成录入!AC14*$E14</f>
        <v>0</v>
      </c>
      <c r="AD14" s="133">
        <f>前台二维码提成录入!AD14*$E14</f>
        <v>0</v>
      </c>
      <c r="AE14" s="133">
        <f>前台二维码提成录入!AE14*$E14</f>
        <v>0</v>
      </c>
      <c r="AF14" s="133">
        <f>前台二维码提成录入!AF14*$E14</f>
        <v>0</v>
      </c>
      <c r="AG14" s="133">
        <f>前台二维码提成录入!AG14*$E14</f>
        <v>0</v>
      </c>
      <c r="AH14" s="133">
        <f>前台二维码提成录入!AH14*$E14</f>
        <v>0</v>
      </c>
      <c r="AI14" s="133">
        <f>前台二维码提成录入!AI14*$E14</f>
        <v>0</v>
      </c>
      <c r="AJ14" s="133">
        <f>前台二维码提成录入!AJ14*$E14</f>
        <v>0</v>
      </c>
      <c r="AK14" s="133">
        <f>前台二维码提成录入!AK14*$E14</f>
        <v>0</v>
      </c>
      <c r="AL14" s="133">
        <f>前台二维码提成录入!AL14*$E14</f>
        <v>0</v>
      </c>
    </row>
    <row r="15" s="140" customFormat="1" customHeight="1" spans="1:38">
      <c r="A15" s="161">
        <v>11</v>
      </c>
      <c r="B15" s="162" t="str">
        <f>前台二维码提成录入!B15</f>
        <v>张馨月</v>
      </c>
      <c r="C15" s="162" t="str">
        <f>前台二维码提成录入!C15</f>
        <v>洗衣</v>
      </c>
      <c r="D15" s="162" t="str">
        <f>前台二维码提成录入!D15</f>
        <v>次</v>
      </c>
      <c r="E15" s="162">
        <f>前台二维码提成录入!E15</f>
        <v>1.5</v>
      </c>
      <c r="F15" s="162">
        <f>前台二维码提成录入!F15</f>
        <v>1</v>
      </c>
      <c r="G15" s="162">
        <f>前台二维码提成录入!G15</f>
        <v>1.5</v>
      </c>
      <c r="H15" s="133">
        <f>前台二维码提成录入!H15*$E15</f>
        <v>0</v>
      </c>
      <c r="I15" s="133">
        <f>前台二维码提成录入!I15*$E15</f>
        <v>0</v>
      </c>
      <c r="J15" s="133">
        <f>前台二维码提成录入!J15*$E15</f>
        <v>0</v>
      </c>
      <c r="K15" s="133">
        <f>前台二维码提成录入!K15*$E15</f>
        <v>0</v>
      </c>
      <c r="L15" s="133">
        <f>前台二维码提成录入!L15*$E15</f>
        <v>0</v>
      </c>
      <c r="M15" s="133">
        <f>前台二维码提成录入!M15*$E15</f>
        <v>0</v>
      </c>
      <c r="N15" s="133">
        <f>前台二维码提成录入!N15*$E15</f>
        <v>0</v>
      </c>
      <c r="O15" s="133">
        <f>前台二维码提成录入!O15*$E15</f>
        <v>0</v>
      </c>
      <c r="P15" s="133">
        <f>前台二维码提成录入!P15*$E15</f>
        <v>1.5</v>
      </c>
      <c r="Q15" s="133">
        <f>前台二维码提成录入!Q15*$E15</f>
        <v>0</v>
      </c>
      <c r="R15" s="133">
        <f>前台二维码提成录入!R15*$E15</f>
        <v>0</v>
      </c>
      <c r="S15" s="133">
        <f>前台二维码提成录入!S15*$E15</f>
        <v>0</v>
      </c>
      <c r="T15" s="133">
        <f>前台二维码提成录入!T15*$E15</f>
        <v>0</v>
      </c>
      <c r="U15" s="133">
        <f>前台二维码提成录入!U15*$E15</f>
        <v>0</v>
      </c>
      <c r="V15" s="133">
        <f>前台二维码提成录入!V15*$E15</f>
        <v>0</v>
      </c>
      <c r="W15" s="133">
        <f>前台二维码提成录入!W15*$E15</f>
        <v>0</v>
      </c>
      <c r="X15" s="133">
        <f>前台二维码提成录入!X15*$E15</f>
        <v>0</v>
      </c>
      <c r="Y15" s="133">
        <f>前台二维码提成录入!Y15*$E15</f>
        <v>0</v>
      </c>
      <c r="Z15" s="133">
        <f>前台二维码提成录入!Z15*$E15</f>
        <v>0</v>
      </c>
      <c r="AA15" s="133">
        <f>前台二维码提成录入!AA15*$E15</f>
        <v>0</v>
      </c>
      <c r="AB15" s="133">
        <f>前台二维码提成录入!AB15*$E15</f>
        <v>0</v>
      </c>
      <c r="AC15" s="133">
        <f>前台二维码提成录入!AC15*$E15</f>
        <v>0</v>
      </c>
      <c r="AD15" s="133">
        <f>前台二维码提成录入!AD15*$E15</f>
        <v>0</v>
      </c>
      <c r="AE15" s="133">
        <f>前台二维码提成录入!AE15*$E15</f>
        <v>0</v>
      </c>
      <c r="AF15" s="133">
        <f>前台二维码提成录入!AF15*$E15</f>
        <v>0</v>
      </c>
      <c r="AG15" s="133">
        <f>前台二维码提成录入!AG15*$E15</f>
        <v>0</v>
      </c>
      <c r="AH15" s="133">
        <f>前台二维码提成录入!AH15*$E15</f>
        <v>0</v>
      </c>
      <c r="AI15" s="133">
        <f>前台二维码提成录入!AI15*$E15</f>
        <v>0</v>
      </c>
      <c r="AJ15" s="133">
        <f>前台二维码提成录入!AJ15*$E15</f>
        <v>0</v>
      </c>
      <c r="AK15" s="133">
        <f>前台二维码提成录入!AK15*$E15</f>
        <v>0</v>
      </c>
      <c r="AL15" s="133">
        <f>前台二维码提成录入!AL15*$E15</f>
        <v>0</v>
      </c>
    </row>
    <row r="16" s="140" customFormat="1" customHeight="1" spans="1:38">
      <c r="A16" s="161">
        <v>12</v>
      </c>
      <c r="B16" s="162" t="str">
        <f>前台二维码提成录入!B16</f>
        <v>张馨月</v>
      </c>
      <c r="C16" s="162" t="str">
        <f>前台二维码提成录入!C16</f>
        <v>送物品</v>
      </c>
      <c r="D16" s="162" t="str">
        <f>前台二维码提成录入!D16</f>
        <v>次</v>
      </c>
      <c r="E16" s="162">
        <f>前台二维码提成录入!E16</f>
        <v>0.5</v>
      </c>
      <c r="F16" s="162">
        <f>前台二维码提成录入!F16</f>
        <v>70</v>
      </c>
      <c r="G16" s="162">
        <f>前台二维码提成录入!G16</f>
        <v>35</v>
      </c>
      <c r="H16" s="133">
        <f>前台二维码提成录入!H16*$E16</f>
        <v>0</v>
      </c>
      <c r="I16" s="133">
        <f>前台二维码提成录入!I16*$E16</f>
        <v>0</v>
      </c>
      <c r="J16" s="133">
        <f>前台二维码提成录入!J16*$E16</f>
        <v>5.5</v>
      </c>
      <c r="K16" s="133">
        <f>前台二维码提成录入!K16*$E16</f>
        <v>1</v>
      </c>
      <c r="L16" s="133">
        <f>前台二维码提成录入!L16*$E16</f>
        <v>1.5</v>
      </c>
      <c r="M16" s="133">
        <f>前台二维码提成录入!M16*$E16</f>
        <v>1.5</v>
      </c>
      <c r="N16" s="133">
        <f>前台二维码提成录入!N16*$E16</f>
        <v>0</v>
      </c>
      <c r="O16" s="133">
        <f>前台二维码提成录入!O16*$E16</f>
        <v>2.5</v>
      </c>
      <c r="P16" s="133">
        <f>前台二维码提成录入!P16*$E16</f>
        <v>10</v>
      </c>
      <c r="Q16" s="133">
        <f>前台二维码提成录入!Q16*$E16</f>
        <v>0</v>
      </c>
      <c r="R16" s="133">
        <f>前台二维码提成录入!R16*$E16</f>
        <v>1</v>
      </c>
      <c r="S16" s="133">
        <f>前台二维码提成录入!S16*$E16</f>
        <v>1.5</v>
      </c>
      <c r="T16" s="133">
        <f>前台二维码提成录入!T16*$E16</f>
        <v>0</v>
      </c>
      <c r="U16" s="133">
        <f>前台二维码提成录入!U16*$E16</f>
        <v>0</v>
      </c>
      <c r="V16" s="133">
        <f>前台二维码提成录入!V16*$E16</f>
        <v>0</v>
      </c>
      <c r="W16" s="133">
        <f>前台二维码提成录入!W16*$E16</f>
        <v>0</v>
      </c>
      <c r="X16" s="133">
        <f>前台二维码提成录入!X16*$E16</f>
        <v>0</v>
      </c>
      <c r="Y16" s="133">
        <f>前台二维码提成录入!Y16*$E16</f>
        <v>0</v>
      </c>
      <c r="Z16" s="133">
        <f>前台二维码提成录入!Z16*$E16</f>
        <v>0</v>
      </c>
      <c r="AA16" s="133">
        <f>前台二维码提成录入!AA16*$E16</f>
        <v>1.5</v>
      </c>
      <c r="AB16" s="133">
        <f>前台二维码提成录入!AB16*$E16</f>
        <v>0</v>
      </c>
      <c r="AC16" s="133">
        <f>前台二维码提成录入!AC16*$E16</f>
        <v>0</v>
      </c>
      <c r="AD16" s="133">
        <f>前台二维码提成录入!AD16*$E16</f>
        <v>0</v>
      </c>
      <c r="AE16" s="133">
        <f>前台二维码提成录入!AE16*$E16</f>
        <v>3</v>
      </c>
      <c r="AF16" s="133">
        <f>前台二维码提成录入!AF16*$E16</f>
        <v>0</v>
      </c>
      <c r="AG16" s="133">
        <f>前台二维码提成录入!AG16*$E16</f>
        <v>4</v>
      </c>
      <c r="AH16" s="133">
        <f>前台二维码提成录入!AH16*$E16</f>
        <v>0</v>
      </c>
      <c r="AI16" s="133">
        <f>前台二维码提成录入!AI16*$E16</f>
        <v>0</v>
      </c>
      <c r="AJ16" s="133">
        <f>前台二维码提成录入!AJ16*$E16</f>
        <v>0</v>
      </c>
      <c r="AK16" s="133">
        <f>前台二维码提成录入!AK16*$E16</f>
        <v>1</v>
      </c>
      <c r="AL16" s="133">
        <f>前台二维码提成录入!AL16*$E16</f>
        <v>1</v>
      </c>
    </row>
    <row r="17" s="140" customFormat="1" customHeight="1" spans="1:38">
      <c r="A17" s="161">
        <v>13</v>
      </c>
      <c r="B17" s="162" t="str">
        <f>前台二维码提成录入!B17</f>
        <v>张馨月</v>
      </c>
      <c r="C17" s="162" t="str">
        <f>前台二维码提成录入!C17</f>
        <v>点名表扬</v>
      </c>
      <c r="D17" s="162" t="str">
        <f>前台二维码提成录入!D17</f>
        <v>次</v>
      </c>
      <c r="E17" s="162">
        <f>前台二维码提成录入!E17</f>
        <v>1</v>
      </c>
      <c r="F17" s="162">
        <f>前台二维码提成录入!F17</f>
        <v>0</v>
      </c>
      <c r="G17" s="162">
        <f>前台二维码提成录入!G17</f>
        <v>0</v>
      </c>
      <c r="H17" s="133">
        <f>前台二维码提成录入!H17*$E17</f>
        <v>0</v>
      </c>
      <c r="I17" s="133">
        <f>前台二维码提成录入!I17*$E17</f>
        <v>0</v>
      </c>
      <c r="J17" s="133">
        <f>前台二维码提成录入!J17*$E17</f>
        <v>0</v>
      </c>
      <c r="K17" s="133">
        <f>前台二维码提成录入!K17*$E17</f>
        <v>0</v>
      </c>
      <c r="L17" s="133">
        <f>前台二维码提成录入!L17*$E17</f>
        <v>0</v>
      </c>
      <c r="M17" s="133">
        <f>前台二维码提成录入!M17*$E17</f>
        <v>0</v>
      </c>
      <c r="N17" s="133">
        <f>前台二维码提成录入!N17*$E17</f>
        <v>0</v>
      </c>
      <c r="O17" s="133">
        <f>前台二维码提成录入!O17*$E17</f>
        <v>0</v>
      </c>
      <c r="P17" s="133">
        <f>前台二维码提成录入!P17*$E17</f>
        <v>0</v>
      </c>
      <c r="Q17" s="133">
        <f>前台二维码提成录入!Q17*$E17</f>
        <v>0</v>
      </c>
      <c r="R17" s="133">
        <f>前台二维码提成录入!R17*$E17</f>
        <v>0</v>
      </c>
      <c r="S17" s="133">
        <f>前台二维码提成录入!S17*$E17</f>
        <v>0</v>
      </c>
      <c r="T17" s="133">
        <f>前台二维码提成录入!T17*$E17</f>
        <v>0</v>
      </c>
      <c r="U17" s="133">
        <f>前台二维码提成录入!U17*$E17</f>
        <v>0</v>
      </c>
      <c r="V17" s="133">
        <f>前台二维码提成录入!V17*$E17</f>
        <v>0</v>
      </c>
      <c r="W17" s="133">
        <f>前台二维码提成录入!W17*$E17</f>
        <v>0</v>
      </c>
      <c r="X17" s="133">
        <f>前台二维码提成录入!X17*$E17</f>
        <v>0</v>
      </c>
      <c r="Y17" s="133">
        <f>前台二维码提成录入!Y17*$E17</f>
        <v>0</v>
      </c>
      <c r="Z17" s="133">
        <f>前台二维码提成录入!Z17*$E17</f>
        <v>0</v>
      </c>
      <c r="AA17" s="133">
        <f>前台二维码提成录入!AA17*$E17</f>
        <v>0</v>
      </c>
      <c r="AB17" s="133">
        <f>前台二维码提成录入!AB17*$E17</f>
        <v>0</v>
      </c>
      <c r="AC17" s="133">
        <f>前台二维码提成录入!AC17*$E17</f>
        <v>0</v>
      </c>
      <c r="AD17" s="133">
        <f>前台二维码提成录入!AD17*$E17</f>
        <v>0</v>
      </c>
      <c r="AE17" s="133">
        <f>前台二维码提成录入!AE17*$E17</f>
        <v>0</v>
      </c>
      <c r="AF17" s="133">
        <f>前台二维码提成录入!AF17*$E17</f>
        <v>0</v>
      </c>
      <c r="AG17" s="133">
        <f>前台二维码提成录入!AG17*$E17</f>
        <v>0</v>
      </c>
      <c r="AH17" s="133">
        <f>前台二维码提成录入!AH17*$E17</f>
        <v>0</v>
      </c>
      <c r="AI17" s="133">
        <f>前台二维码提成录入!AI17*$E17</f>
        <v>0</v>
      </c>
      <c r="AJ17" s="133">
        <f>前台二维码提成录入!AJ17*$E17</f>
        <v>0</v>
      </c>
      <c r="AK17" s="133">
        <f>前台二维码提成录入!AK17*$E17</f>
        <v>0</v>
      </c>
      <c r="AL17" s="133">
        <f>前台二维码提成录入!AL17*$E17</f>
        <v>0</v>
      </c>
    </row>
    <row r="18" s="140" customFormat="1" customHeight="1" spans="1:38">
      <c r="A18" s="161">
        <v>14</v>
      </c>
      <c r="B18" s="162" t="str">
        <f>前台二维码提成录入!B18</f>
        <v>张馨月</v>
      </c>
      <c r="C18" s="162" t="str">
        <f>前台二维码提成录入!C18</f>
        <v>违规</v>
      </c>
      <c r="D18" s="162" t="str">
        <f>前台二维码提成录入!D18</f>
        <v>次</v>
      </c>
      <c r="E18" s="162">
        <f>前台二维码提成录入!E18</f>
        <v>-2</v>
      </c>
      <c r="F18" s="162">
        <f>前台二维码提成录入!F18</f>
        <v>0</v>
      </c>
      <c r="G18" s="162">
        <f>前台二维码提成录入!G18</f>
        <v>0</v>
      </c>
      <c r="H18" s="133">
        <f>前台二维码提成录入!H18*$E18</f>
        <v>0</v>
      </c>
      <c r="I18" s="133">
        <f>前台二维码提成录入!I18*$E18</f>
        <v>0</v>
      </c>
      <c r="J18" s="133">
        <f>前台二维码提成录入!J18*$E18</f>
        <v>0</v>
      </c>
      <c r="K18" s="133">
        <f>前台二维码提成录入!K18*$E18</f>
        <v>0</v>
      </c>
      <c r="L18" s="133">
        <f>前台二维码提成录入!L18*$E18</f>
        <v>0</v>
      </c>
      <c r="M18" s="133">
        <f>前台二维码提成录入!M18*$E18</f>
        <v>0</v>
      </c>
      <c r="N18" s="133">
        <f>前台二维码提成录入!N18*$E18</f>
        <v>0</v>
      </c>
      <c r="O18" s="133">
        <f>前台二维码提成录入!O18*$E18</f>
        <v>0</v>
      </c>
      <c r="P18" s="133">
        <f>前台二维码提成录入!P18*$E18</f>
        <v>0</v>
      </c>
      <c r="Q18" s="133">
        <f>前台二维码提成录入!Q18*$E18</f>
        <v>0</v>
      </c>
      <c r="R18" s="133">
        <f>前台二维码提成录入!R18*$E18</f>
        <v>0</v>
      </c>
      <c r="S18" s="133">
        <f>前台二维码提成录入!S18*$E18</f>
        <v>0</v>
      </c>
      <c r="T18" s="133">
        <f>前台二维码提成录入!T18*$E18</f>
        <v>0</v>
      </c>
      <c r="U18" s="133">
        <f>前台二维码提成录入!U18*$E18</f>
        <v>0</v>
      </c>
      <c r="V18" s="133">
        <f>前台二维码提成录入!V18*$E18</f>
        <v>0</v>
      </c>
      <c r="W18" s="133">
        <f>前台二维码提成录入!W18*$E18</f>
        <v>0</v>
      </c>
      <c r="X18" s="133">
        <f>前台二维码提成录入!X18*$E18</f>
        <v>0</v>
      </c>
      <c r="Y18" s="133">
        <f>前台二维码提成录入!Y18*$E18</f>
        <v>0</v>
      </c>
      <c r="Z18" s="133">
        <f>前台二维码提成录入!Z18*$E18</f>
        <v>0</v>
      </c>
      <c r="AA18" s="133">
        <f>前台二维码提成录入!AA18*$E18</f>
        <v>0</v>
      </c>
      <c r="AB18" s="133">
        <f>前台二维码提成录入!AB18*$E18</f>
        <v>0</v>
      </c>
      <c r="AC18" s="133">
        <f>前台二维码提成录入!AC18*$E18</f>
        <v>0</v>
      </c>
      <c r="AD18" s="133">
        <f>前台二维码提成录入!AD18*$E18</f>
        <v>0</v>
      </c>
      <c r="AE18" s="133">
        <f>前台二维码提成录入!AE18*$E18</f>
        <v>0</v>
      </c>
      <c r="AF18" s="133">
        <f>前台二维码提成录入!AF18*$E18</f>
        <v>0</v>
      </c>
      <c r="AG18" s="133">
        <f>前台二维码提成录入!AG18*$E18</f>
        <v>0</v>
      </c>
      <c r="AH18" s="133">
        <f>前台二维码提成录入!AH18*$E18</f>
        <v>0</v>
      </c>
      <c r="AI18" s="133">
        <f>前台二维码提成录入!AI18*$E18</f>
        <v>0</v>
      </c>
      <c r="AJ18" s="133">
        <f>前台二维码提成录入!AJ18*$E18</f>
        <v>0</v>
      </c>
      <c r="AK18" s="133">
        <f>前台二维码提成录入!AK18*$E18</f>
        <v>0</v>
      </c>
      <c r="AL18" s="133">
        <f>前台二维码提成录入!AL18*$E18</f>
        <v>0</v>
      </c>
    </row>
    <row r="19" s="140" customFormat="1" customHeight="1" spans="1:38">
      <c r="A19" s="161">
        <v>15</v>
      </c>
      <c r="B19" s="162" t="str">
        <f>前台二维码提成录入!B19</f>
        <v>张馨月</v>
      </c>
      <c r="C19" s="162" t="str">
        <f>前台二维码提成录入!C19</f>
        <v>其他</v>
      </c>
      <c r="D19" s="162" t="str">
        <f>前台二维码提成录入!D19</f>
        <v>次</v>
      </c>
      <c r="E19" s="162">
        <f>前台二维码提成录入!E19</f>
        <v>2</v>
      </c>
      <c r="F19" s="162">
        <f>前台二维码提成录入!F19</f>
        <v>0</v>
      </c>
      <c r="G19" s="162">
        <f>前台二维码提成录入!G19</f>
        <v>0</v>
      </c>
      <c r="H19" s="133">
        <f>前台二维码提成录入!H19*$E19</f>
        <v>0</v>
      </c>
      <c r="I19" s="133">
        <f>前台二维码提成录入!I19*$E19</f>
        <v>0</v>
      </c>
      <c r="J19" s="133">
        <f>前台二维码提成录入!J19*$E19</f>
        <v>0</v>
      </c>
      <c r="K19" s="133">
        <f>前台二维码提成录入!K19*$E19</f>
        <v>0</v>
      </c>
      <c r="L19" s="133">
        <f>前台二维码提成录入!L19*$E19</f>
        <v>0</v>
      </c>
      <c r="M19" s="133">
        <f>前台二维码提成录入!M19*$E19</f>
        <v>0</v>
      </c>
      <c r="N19" s="133">
        <f>前台二维码提成录入!N19*$E19</f>
        <v>0</v>
      </c>
      <c r="O19" s="133">
        <f>前台二维码提成录入!O19*$E19</f>
        <v>0</v>
      </c>
      <c r="P19" s="133">
        <f>前台二维码提成录入!P19*$E19</f>
        <v>0</v>
      </c>
      <c r="Q19" s="133">
        <f>前台二维码提成录入!Q19*$E19</f>
        <v>0</v>
      </c>
      <c r="R19" s="133">
        <f>前台二维码提成录入!R19*$E19</f>
        <v>0</v>
      </c>
      <c r="S19" s="133">
        <f>前台二维码提成录入!S19*$E19</f>
        <v>0</v>
      </c>
      <c r="T19" s="133">
        <f>前台二维码提成录入!T19*$E19</f>
        <v>0</v>
      </c>
      <c r="U19" s="133">
        <f>前台二维码提成录入!U19*$E19</f>
        <v>0</v>
      </c>
      <c r="V19" s="133">
        <f>前台二维码提成录入!V19*$E19</f>
        <v>0</v>
      </c>
      <c r="W19" s="133">
        <f>前台二维码提成录入!W19*$E19</f>
        <v>0</v>
      </c>
      <c r="X19" s="133">
        <f>前台二维码提成录入!X19*$E19</f>
        <v>0</v>
      </c>
      <c r="Y19" s="133">
        <f>前台二维码提成录入!Y19*$E19</f>
        <v>0</v>
      </c>
      <c r="Z19" s="133">
        <f>前台二维码提成录入!Z19*$E19</f>
        <v>0</v>
      </c>
      <c r="AA19" s="133">
        <f>前台二维码提成录入!AA19*$E19</f>
        <v>0</v>
      </c>
      <c r="AB19" s="133">
        <f>前台二维码提成录入!AB19*$E19</f>
        <v>0</v>
      </c>
      <c r="AC19" s="133">
        <f>前台二维码提成录入!AC19*$E19</f>
        <v>0</v>
      </c>
      <c r="AD19" s="133">
        <f>前台二维码提成录入!AD19*$E19</f>
        <v>0</v>
      </c>
      <c r="AE19" s="133">
        <f>前台二维码提成录入!AE19*$E19</f>
        <v>0</v>
      </c>
      <c r="AF19" s="133">
        <f>前台二维码提成录入!AF19*$E19</f>
        <v>0</v>
      </c>
      <c r="AG19" s="133">
        <f>前台二维码提成录入!AG19*$E19</f>
        <v>0</v>
      </c>
      <c r="AH19" s="133">
        <f>前台二维码提成录入!AH19*$E19</f>
        <v>0</v>
      </c>
      <c r="AI19" s="133">
        <f>前台二维码提成录入!AI19*$E19</f>
        <v>0</v>
      </c>
      <c r="AJ19" s="133">
        <f>前台二维码提成录入!AJ19*$E19</f>
        <v>0</v>
      </c>
      <c r="AK19" s="133">
        <f>前台二维码提成录入!AK19*$E19</f>
        <v>0</v>
      </c>
      <c r="AL19" s="133">
        <f>前台二维码提成录入!AL19*$E19</f>
        <v>0</v>
      </c>
    </row>
    <row r="20" s="140" customFormat="1" customHeight="1" spans="1:38">
      <c r="A20" s="161">
        <v>16</v>
      </c>
      <c r="B20" s="162" t="str">
        <f>前台二维码提成录入!B20</f>
        <v>王增</v>
      </c>
      <c r="C20" s="162" t="str">
        <f>前台二维码提成录入!C20</f>
        <v>洗衣</v>
      </c>
      <c r="D20" s="162" t="str">
        <f>前台二维码提成录入!D20</f>
        <v>次</v>
      </c>
      <c r="E20" s="162">
        <f>前台二维码提成录入!E20</f>
        <v>1.5</v>
      </c>
      <c r="F20" s="162">
        <f>前台二维码提成录入!F20</f>
        <v>15</v>
      </c>
      <c r="G20" s="162">
        <f>前台二维码提成录入!G20</f>
        <v>22.5</v>
      </c>
      <c r="H20" s="133">
        <f>前台二维码提成录入!H20*$E20</f>
        <v>0</v>
      </c>
      <c r="I20" s="133">
        <f>前台二维码提成录入!I20*$E20</f>
        <v>0</v>
      </c>
      <c r="J20" s="133">
        <f>前台二维码提成录入!J20*$E20</f>
        <v>0</v>
      </c>
      <c r="K20" s="133">
        <f>前台二维码提成录入!K20*$E20</f>
        <v>0</v>
      </c>
      <c r="L20" s="133">
        <f>前台二维码提成录入!L20*$E20</f>
        <v>0</v>
      </c>
      <c r="M20" s="133">
        <f>前台二维码提成录入!M20*$E20</f>
        <v>0</v>
      </c>
      <c r="N20" s="133">
        <f>前台二维码提成录入!N20*$E20</f>
        <v>0</v>
      </c>
      <c r="O20" s="133">
        <f>前台二维码提成录入!O20*$E20</f>
        <v>0</v>
      </c>
      <c r="P20" s="133">
        <f>前台二维码提成录入!P20*$E20</f>
        <v>0</v>
      </c>
      <c r="Q20" s="133">
        <f>前台二维码提成录入!Q20*$E20</f>
        <v>0</v>
      </c>
      <c r="R20" s="133">
        <f>前台二维码提成录入!R20*$E20</f>
        <v>6</v>
      </c>
      <c r="S20" s="133">
        <f>前台二维码提成录入!S20*$E20</f>
        <v>4.5</v>
      </c>
      <c r="T20" s="133">
        <f>前台二维码提成录入!T20*$E20</f>
        <v>0</v>
      </c>
      <c r="U20" s="133">
        <f>前台二维码提成录入!U20*$E20</f>
        <v>1.5</v>
      </c>
      <c r="V20" s="133">
        <f>前台二维码提成录入!V20*$E20</f>
        <v>3</v>
      </c>
      <c r="W20" s="133">
        <f>前台二维码提成录入!W20*$E20</f>
        <v>0</v>
      </c>
      <c r="X20" s="133">
        <f>前台二维码提成录入!X20*$E20</f>
        <v>3</v>
      </c>
      <c r="Y20" s="133">
        <f>前台二维码提成录入!Y20*$E20</f>
        <v>1.5</v>
      </c>
      <c r="Z20" s="133">
        <f>前台二维码提成录入!Z20*$E20</f>
        <v>0</v>
      </c>
      <c r="AA20" s="133">
        <f>前台二维码提成录入!AA20*$E20</f>
        <v>0</v>
      </c>
      <c r="AB20" s="133">
        <f>前台二维码提成录入!AB20*$E20</f>
        <v>0</v>
      </c>
      <c r="AC20" s="133">
        <f>前台二维码提成录入!AC20*$E20</f>
        <v>0</v>
      </c>
      <c r="AD20" s="133">
        <f>前台二维码提成录入!AD20*$E20</f>
        <v>0</v>
      </c>
      <c r="AE20" s="133">
        <f>前台二维码提成录入!AE20*$E20</f>
        <v>0</v>
      </c>
      <c r="AF20" s="133">
        <f>前台二维码提成录入!AF20*$E20</f>
        <v>0</v>
      </c>
      <c r="AG20" s="133">
        <f>前台二维码提成录入!AG20*$E20</f>
        <v>0</v>
      </c>
      <c r="AH20" s="133">
        <f>前台二维码提成录入!AH20*$E20</f>
        <v>0</v>
      </c>
      <c r="AI20" s="133">
        <f>前台二维码提成录入!AI20*$E20</f>
        <v>0</v>
      </c>
      <c r="AJ20" s="133">
        <f>前台二维码提成录入!AJ20*$E20</f>
        <v>1.5</v>
      </c>
      <c r="AK20" s="133">
        <f>前台二维码提成录入!AK20*$E20</f>
        <v>1.5</v>
      </c>
      <c r="AL20" s="133">
        <f>前台二维码提成录入!AL20*$E20</f>
        <v>0</v>
      </c>
    </row>
    <row r="21" s="140" customFormat="1" customHeight="1" spans="1:38">
      <c r="A21" s="161">
        <v>17</v>
      </c>
      <c r="B21" s="162" t="str">
        <f>前台二维码提成录入!B21</f>
        <v>王增</v>
      </c>
      <c r="C21" s="162" t="str">
        <f>前台二维码提成录入!C21</f>
        <v>送物品</v>
      </c>
      <c r="D21" s="162" t="str">
        <f>前台二维码提成录入!D21</f>
        <v>次</v>
      </c>
      <c r="E21" s="162">
        <f>前台二维码提成录入!E21</f>
        <v>0.5</v>
      </c>
      <c r="F21" s="162">
        <f>前台二维码提成录入!F21</f>
        <v>121</v>
      </c>
      <c r="G21" s="162">
        <f>前台二维码提成录入!G21</f>
        <v>60.5</v>
      </c>
      <c r="H21" s="133">
        <f>前台二维码提成录入!H21*$E21</f>
        <v>0</v>
      </c>
      <c r="I21" s="133">
        <f>前台二维码提成录入!I21*$E21</f>
        <v>0.5</v>
      </c>
      <c r="J21" s="133">
        <f>前台二维码提成录入!J21*$E21</f>
        <v>0</v>
      </c>
      <c r="K21" s="133">
        <f>前台二维码提成录入!K21*$E21</f>
        <v>0</v>
      </c>
      <c r="L21" s="133">
        <f>前台二维码提成录入!L21*$E21</f>
        <v>6</v>
      </c>
      <c r="M21" s="133">
        <f>前台二维码提成录入!M21*$E21</f>
        <v>6</v>
      </c>
      <c r="N21" s="133">
        <f>前台二维码提成录入!N21*$E21</f>
        <v>1.5</v>
      </c>
      <c r="O21" s="133">
        <f>前台二维码提成录入!O21*$E21</f>
        <v>0</v>
      </c>
      <c r="P21" s="133">
        <f>前台二维码提成录入!P21*$E21</f>
        <v>0</v>
      </c>
      <c r="Q21" s="133">
        <f>前台二维码提成录入!Q21*$E21</f>
        <v>10</v>
      </c>
      <c r="R21" s="133">
        <f>前台二维码提成录入!R21*$E21</f>
        <v>7.5</v>
      </c>
      <c r="S21" s="133">
        <f>前台二维码提成录入!S21*$E21</f>
        <v>5</v>
      </c>
      <c r="T21" s="133">
        <f>前台二维码提成录入!T21*$E21</f>
        <v>0</v>
      </c>
      <c r="U21" s="133">
        <f>前台二维码提成录入!U21*$E21</f>
        <v>0</v>
      </c>
      <c r="V21" s="133">
        <f>前台二维码提成录入!V21*$E21</f>
        <v>0</v>
      </c>
      <c r="W21" s="133">
        <f>前台二维码提成录入!W21*$E21</f>
        <v>0</v>
      </c>
      <c r="X21" s="133">
        <f>前台二维码提成录入!X21*$E21</f>
        <v>5</v>
      </c>
      <c r="Y21" s="133">
        <f>前台二维码提成录入!Y21*$E21</f>
        <v>5.5</v>
      </c>
      <c r="Z21" s="133">
        <f>前台二维码提成录入!Z21*$E21</f>
        <v>0</v>
      </c>
      <c r="AA21" s="133">
        <f>前台二维码提成录入!AA21*$E21</f>
        <v>0</v>
      </c>
      <c r="AB21" s="133">
        <f>前台二维码提成录入!AB21*$E21</f>
        <v>0</v>
      </c>
      <c r="AC21" s="133">
        <f>前台二维码提成录入!AC21*$E21</f>
        <v>0</v>
      </c>
      <c r="AD21" s="133">
        <f>前台二维码提成录入!AD21*$E21</f>
        <v>4.5</v>
      </c>
      <c r="AE21" s="133">
        <f>前台二维码提成录入!AE21*$E21</f>
        <v>2.5</v>
      </c>
      <c r="AF21" s="133">
        <f>前台二维码提成录入!AF21*$E21</f>
        <v>0</v>
      </c>
      <c r="AG21" s="133">
        <f>前台二维码提成录入!AG21*$E21</f>
        <v>0</v>
      </c>
      <c r="AH21" s="133">
        <f>前台二维码提成录入!AH21*$E21</f>
        <v>0</v>
      </c>
      <c r="AI21" s="133">
        <f>前台二维码提成录入!AI21*$E21</f>
        <v>0</v>
      </c>
      <c r="AJ21" s="133">
        <f>前台二维码提成录入!AJ21*$E21</f>
        <v>1.5</v>
      </c>
      <c r="AK21" s="133">
        <f>前台二维码提成录入!AK21*$E21</f>
        <v>5</v>
      </c>
      <c r="AL21" s="133">
        <f>前台二维码提成录入!AL21*$E21</f>
        <v>0</v>
      </c>
    </row>
    <row r="22" s="140" customFormat="1" customHeight="1" spans="1:38">
      <c r="A22" s="161">
        <v>18</v>
      </c>
      <c r="B22" s="162" t="str">
        <f>前台二维码提成录入!B22</f>
        <v>王增</v>
      </c>
      <c r="C22" s="162" t="str">
        <f>前台二维码提成录入!C22</f>
        <v>点名表扬</v>
      </c>
      <c r="D22" s="162" t="str">
        <f>前台二维码提成录入!D22</f>
        <v>次</v>
      </c>
      <c r="E22" s="162">
        <f>前台二维码提成录入!E22</f>
        <v>1</v>
      </c>
      <c r="F22" s="162">
        <f>前台二维码提成录入!F22</f>
        <v>0</v>
      </c>
      <c r="G22" s="162">
        <f>前台二维码提成录入!G22</f>
        <v>0</v>
      </c>
      <c r="H22" s="133">
        <f>前台二维码提成录入!H22*$E22</f>
        <v>0</v>
      </c>
      <c r="I22" s="133">
        <f>前台二维码提成录入!I22*$E22</f>
        <v>0</v>
      </c>
      <c r="J22" s="133">
        <f>前台二维码提成录入!J22*$E22</f>
        <v>0</v>
      </c>
      <c r="K22" s="133">
        <f>前台二维码提成录入!K22*$E22</f>
        <v>0</v>
      </c>
      <c r="L22" s="133">
        <f>前台二维码提成录入!L22*$E22</f>
        <v>0</v>
      </c>
      <c r="M22" s="133">
        <f>前台二维码提成录入!M22*$E22</f>
        <v>0</v>
      </c>
      <c r="N22" s="133">
        <f>前台二维码提成录入!N22*$E22</f>
        <v>0</v>
      </c>
      <c r="O22" s="133">
        <f>前台二维码提成录入!O22*$E22</f>
        <v>0</v>
      </c>
      <c r="P22" s="133">
        <f>前台二维码提成录入!P22*$E22</f>
        <v>0</v>
      </c>
      <c r="Q22" s="133">
        <f>前台二维码提成录入!Q22*$E22</f>
        <v>0</v>
      </c>
      <c r="R22" s="133">
        <f>前台二维码提成录入!R22*$E22</f>
        <v>0</v>
      </c>
      <c r="S22" s="133">
        <f>前台二维码提成录入!S22*$E22</f>
        <v>0</v>
      </c>
      <c r="T22" s="133">
        <f>前台二维码提成录入!T22*$E22</f>
        <v>0</v>
      </c>
      <c r="U22" s="133">
        <f>前台二维码提成录入!U22*$E22</f>
        <v>0</v>
      </c>
      <c r="V22" s="133">
        <f>前台二维码提成录入!V22*$E22</f>
        <v>0</v>
      </c>
      <c r="W22" s="133">
        <f>前台二维码提成录入!W22*$E22</f>
        <v>0</v>
      </c>
      <c r="X22" s="133">
        <f>前台二维码提成录入!X22*$E22</f>
        <v>0</v>
      </c>
      <c r="Y22" s="133">
        <f>前台二维码提成录入!Y22*$E22</f>
        <v>0</v>
      </c>
      <c r="Z22" s="133">
        <f>前台二维码提成录入!Z22*$E22</f>
        <v>0</v>
      </c>
      <c r="AA22" s="133">
        <f>前台二维码提成录入!AA22*$E22</f>
        <v>0</v>
      </c>
      <c r="AB22" s="133">
        <f>前台二维码提成录入!AB22*$E22</f>
        <v>0</v>
      </c>
      <c r="AC22" s="133">
        <f>前台二维码提成录入!AC22*$E22</f>
        <v>0</v>
      </c>
      <c r="AD22" s="133">
        <f>前台二维码提成录入!AD22*$E22</f>
        <v>0</v>
      </c>
      <c r="AE22" s="133">
        <f>前台二维码提成录入!AE22*$E22</f>
        <v>0</v>
      </c>
      <c r="AF22" s="133">
        <f>前台二维码提成录入!AF22*$E22</f>
        <v>0</v>
      </c>
      <c r="AG22" s="133">
        <f>前台二维码提成录入!AG22*$E22</f>
        <v>0</v>
      </c>
      <c r="AH22" s="133">
        <f>前台二维码提成录入!AH22*$E22</f>
        <v>0</v>
      </c>
      <c r="AI22" s="133">
        <f>前台二维码提成录入!AI22*$E22</f>
        <v>0</v>
      </c>
      <c r="AJ22" s="133">
        <f>前台二维码提成录入!AJ22*$E22</f>
        <v>0</v>
      </c>
      <c r="AK22" s="133">
        <f>前台二维码提成录入!AK22*$E22</f>
        <v>0</v>
      </c>
      <c r="AL22" s="133">
        <f>前台二维码提成录入!AL22*$E22</f>
        <v>0</v>
      </c>
    </row>
    <row r="23" s="140" customFormat="1" customHeight="1" spans="1:38">
      <c r="A23" s="161">
        <v>19</v>
      </c>
      <c r="B23" s="162" t="str">
        <f>前台二维码提成录入!B23</f>
        <v>王增</v>
      </c>
      <c r="C23" s="162" t="str">
        <f>前台二维码提成录入!C23</f>
        <v>违规</v>
      </c>
      <c r="D23" s="162" t="str">
        <f>前台二维码提成录入!D23</f>
        <v>次</v>
      </c>
      <c r="E23" s="162">
        <f>前台二维码提成录入!E23</f>
        <v>-2</v>
      </c>
      <c r="F23" s="162">
        <f>前台二维码提成录入!F23</f>
        <v>0</v>
      </c>
      <c r="G23" s="162">
        <f>前台二维码提成录入!G23</f>
        <v>0</v>
      </c>
      <c r="H23" s="133">
        <f>前台二维码提成录入!H23*$E23</f>
        <v>0</v>
      </c>
      <c r="I23" s="133">
        <f>前台二维码提成录入!I23*$E23</f>
        <v>0</v>
      </c>
      <c r="J23" s="133">
        <f>前台二维码提成录入!J23*$E23</f>
        <v>0</v>
      </c>
      <c r="K23" s="133">
        <f>前台二维码提成录入!K23*$E23</f>
        <v>0</v>
      </c>
      <c r="L23" s="133">
        <f>前台二维码提成录入!L23*$E23</f>
        <v>0</v>
      </c>
      <c r="M23" s="133">
        <f>前台二维码提成录入!M23*$E23</f>
        <v>0</v>
      </c>
      <c r="N23" s="133">
        <f>前台二维码提成录入!N23*$E23</f>
        <v>0</v>
      </c>
      <c r="O23" s="133">
        <f>前台二维码提成录入!O23*$E23</f>
        <v>0</v>
      </c>
      <c r="P23" s="133">
        <f>前台二维码提成录入!P23*$E23</f>
        <v>0</v>
      </c>
      <c r="Q23" s="133">
        <f>前台二维码提成录入!Q23*$E23</f>
        <v>0</v>
      </c>
      <c r="R23" s="133">
        <f>前台二维码提成录入!R23*$E23</f>
        <v>0</v>
      </c>
      <c r="S23" s="133">
        <f>前台二维码提成录入!S23*$E23</f>
        <v>0</v>
      </c>
      <c r="T23" s="133">
        <f>前台二维码提成录入!T23*$E23</f>
        <v>0</v>
      </c>
      <c r="U23" s="133">
        <f>前台二维码提成录入!U23*$E23</f>
        <v>0</v>
      </c>
      <c r="V23" s="133">
        <f>前台二维码提成录入!V23*$E23</f>
        <v>0</v>
      </c>
      <c r="W23" s="133">
        <f>前台二维码提成录入!W23*$E23</f>
        <v>0</v>
      </c>
      <c r="X23" s="133">
        <f>前台二维码提成录入!X23*$E23</f>
        <v>0</v>
      </c>
      <c r="Y23" s="133">
        <f>前台二维码提成录入!Y23*$E23</f>
        <v>0</v>
      </c>
      <c r="Z23" s="133">
        <f>前台二维码提成录入!Z23*$E23</f>
        <v>0</v>
      </c>
      <c r="AA23" s="133">
        <f>前台二维码提成录入!AA23*$E23</f>
        <v>0</v>
      </c>
      <c r="AB23" s="133">
        <f>前台二维码提成录入!AB23*$E23</f>
        <v>0</v>
      </c>
      <c r="AC23" s="133">
        <f>前台二维码提成录入!AC23*$E23</f>
        <v>0</v>
      </c>
      <c r="AD23" s="133">
        <f>前台二维码提成录入!AD23*$E23</f>
        <v>0</v>
      </c>
      <c r="AE23" s="133">
        <f>前台二维码提成录入!AE23*$E23</f>
        <v>0</v>
      </c>
      <c r="AF23" s="133">
        <f>前台二维码提成录入!AF23*$E23</f>
        <v>0</v>
      </c>
      <c r="AG23" s="133">
        <f>前台二维码提成录入!AG23*$E23</f>
        <v>0</v>
      </c>
      <c r="AH23" s="133">
        <f>前台二维码提成录入!AH23*$E23</f>
        <v>0</v>
      </c>
      <c r="AI23" s="133">
        <f>前台二维码提成录入!AI23*$E23</f>
        <v>0</v>
      </c>
      <c r="AJ23" s="133">
        <f>前台二维码提成录入!AJ23*$E23</f>
        <v>0</v>
      </c>
      <c r="AK23" s="133">
        <f>前台二维码提成录入!AK23*$E23</f>
        <v>0</v>
      </c>
      <c r="AL23" s="133">
        <f>前台二维码提成录入!AL23*$E23</f>
        <v>0</v>
      </c>
    </row>
    <row r="24" s="140" customFormat="1" customHeight="1" spans="1:38">
      <c r="A24" s="161">
        <v>20</v>
      </c>
      <c r="B24" s="162" t="str">
        <f>前台二维码提成录入!B24</f>
        <v>王增</v>
      </c>
      <c r="C24" s="162" t="str">
        <f>前台二维码提成录入!C24</f>
        <v>其他</v>
      </c>
      <c r="D24" s="162" t="str">
        <f>前台二维码提成录入!D24</f>
        <v>次</v>
      </c>
      <c r="E24" s="162">
        <f>前台二维码提成录入!E24</f>
        <v>2</v>
      </c>
      <c r="F24" s="162">
        <f>前台二维码提成录入!F24</f>
        <v>0</v>
      </c>
      <c r="G24" s="162">
        <f>前台二维码提成录入!G24</f>
        <v>0</v>
      </c>
      <c r="H24" s="133">
        <f>前台二维码提成录入!H24*$E24</f>
        <v>0</v>
      </c>
      <c r="I24" s="133">
        <f>前台二维码提成录入!I24*$E24</f>
        <v>0</v>
      </c>
      <c r="J24" s="133">
        <f>前台二维码提成录入!J24*$E24</f>
        <v>0</v>
      </c>
      <c r="K24" s="133">
        <f>前台二维码提成录入!K24*$E24</f>
        <v>0</v>
      </c>
      <c r="L24" s="133">
        <f>前台二维码提成录入!L24*$E24</f>
        <v>0</v>
      </c>
      <c r="M24" s="133">
        <f>前台二维码提成录入!M24*$E24</f>
        <v>0</v>
      </c>
      <c r="N24" s="133">
        <f>前台二维码提成录入!N24*$E24</f>
        <v>0</v>
      </c>
      <c r="O24" s="133">
        <f>前台二维码提成录入!O24*$E24</f>
        <v>0</v>
      </c>
      <c r="P24" s="133">
        <f>前台二维码提成录入!P24*$E24</f>
        <v>0</v>
      </c>
      <c r="Q24" s="133">
        <f>前台二维码提成录入!Q24*$E24</f>
        <v>0</v>
      </c>
      <c r="R24" s="133">
        <f>前台二维码提成录入!R24*$E24</f>
        <v>0</v>
      </c>
      <c r="S24" s="133">
        <f>前台二维码提成录入!S24*$E24</f>
        <v>0</v>
      </c>
      <c r="T24" s="133">
        <f>前台二维码提成录入!T24*$E24</f>
        <v>0</v>
      </c>
      <c r="U24" s="133">
        <f>前台二维码提成录入!U24*$E24</f>
        <v>0</v>
      </c>
      <c r="V24" s="133">
        <f>前台二维码提成录入!V24*$E24</f>
        <v>0</v>
      </c>
      <c r="W24" s="133">
        <f>前台二维码提成录入!W24*$E24</f>
        <v>0</v>
      </c>
      <c r="X24" s="133">
        <f>前台二维码提成录入!X24*$E24</f>
        <v>0</v>
      </c>
      <c r="Y24" s="133">
        <f>前台二维码提成录入!Y24*$E24</f>
        <v>0</v>
      </c>
      <c r="Z24" s="133">
        <f>前台二维码提成录入!Z24*$E24</f>
        <v>0</v>
      </c>
      <c r="AA24" s="133">
        <f>前台二维码提成录入!AA24*$E24</f>
        <v>0</v>
      </c>
      <c r="AB24" s="133">
        <f>前台二维码提成录入!AB24*$E24</f>
        <v>0</v>
      </c>
      <c r="AC24" s="133">
        <f>前台二维码提成录入!AC24*$E24</f>
        <v>0</v>
      </c>
      <c r="AD24" s="133">
        <f>前台二维码提成录入!AD24*$E24</f>
        <v>0</v>
      </c>
      <c r="AE24" s="133">
        <f>前台二维码提成录入!AE24*$E24</f>
        <v>0</v>
      </c>
      <c r="AF24" s="133">
        <f>前台二维码提成录入!AF24*$E24</f>
        <v>0</v>
      </c>
      <c r="AG24" s="133">
        <f>前台二维码提成录入!AG24*$E24</f>
        <v>0</v>
      </c>
      <c r="AH24" s="133">
        <f>前台二维码提成录入!AH24*$E24</f>
        <v>0</v>
      </c>
      <c r="AI24" s="133">
        <f>前台二维码提成录入!AI24*$E24</f>
        <v>0</v>
      </c>
      <c r="AJ24" s="133">
        <f>前台二维码提成录入!AJ24*$E24</f>
        <v>0</v>
      </c>
      <c r="AK24" s="133">
        <f>前台二维码提成录入!AK24*$E24</f>
        <v>0</v>
      </c>
      <c r="AL24" s="133">
        <f>前台二维码提成录入!AL24*$E24</f>
        <v>0</v>
      </c>
    </row>
    <row r="25" s="140" customFormat="1" customHeight="1" spans="1:38">
      <c r="A25" s="161">
        <v>21</v>
      </c>
      <c r="B25" s="162" t="str">
        <f>前台二维码提成录入!B25</f>
        <v>宋雨霏</v>
      </c>
      <c r="C25" s="162" t="str">
        <f>前台二维码提成录入!C25</f>
        <v>洗衣</v>
      </c>
      <c r="D25" s="162" t="str">
        <f>前台二维码提成录入!D25</f>
        <v>次</v>
      </c>
      <c r="E25" s="162">
        <f>前台二维码提成录入!E25</f>
        <v>1.5</v>
      </c>
      <c r="F25" s="162">
        <f>前台二维码提成录入!F25</f>
        <v>6</v>
      </c>
      <c r="G25" s="162">
        <f>前台二维码提成录入!G25</f>
        <v>9</v>
      </c>
      <c r="H25" s="133">
        <f>前台二维码提成录入!H25*$E25</f>
        <v>0</v>
      </c>
      <c r="I25" s="133">
        <f>前台二维码提成录入!I25*$E25</f>
        <v>0</v>
      </c>
      <c r="J25" s="133">
        <f>前台二维码提成录入!J25*$E25</f>
        <v>0</v>
      </c>
      <c r="K25" s="133">
        <f>前台二维码提成录入!K25*$E25</f>
        <v>0</v>
      </c>
      <c r="L25" s="133">
        <f>前台二维码提成录入!L25*$E25</f>
        <v>0</v>
      </c>
      <c r="M25" s="133">
        <f>前台二维码提成录入!M25*$E25</f>
        <v>1.5</v>
      </c>
      <c r="N25" s="133">
        <f>前台二维码提成录入!N25*$E25</f>
        <v>0</v>
      </c>
      <c r="O25" s="133">
        <f>前台二维码提成录入!O25*$E25</f>
        <v>0</v>
      </c>
      <c r="P25" s="133">
        <f>前台二维码提成录入!P25*$E25</f>
        <v>0</v>
      </c>
      <c r="Q25" s="133">
        <f>前台二维码提成录入!Q25*$E25</f>
        <v>0</v>
      </c>
      <c r="R25" s="133">
        <f>前台二维码提成录入!R25*$E25</f>
        <v>0</v>
      </c>
      <c r="S25" s="133">
        <f>前台二维码提成录入!S25*$E25</f>
        <v>1.5</v>
      </c>
      <c r="T25" s="133">
        <f>前台二维码提成录入!T25*$E25</f>
        <v>0</v>
      </c>
      <c r="U25" s="133">
        <f>前台二维码提成录入!U25*$E25</f>
        <v>0</v>
      </c>
      <c r="V25" s="133">
        <f>前台二维码提成录入!V25*$E25</f>
        <v>0</v>
      </c>
      <c r="W25" s="133">
        <f>前台二维码提成录入!W25*$E25</f>
        <v>0</v>
      </c>
      <c r="X25" s="133">
        <f>前台二维码提成录入!X25*$E25</f>
        <v>0</v>
      </c>
      <c r="Y25" s="133">
        <f>前台二维码提成录入!Y25*$E25</f>
        <v>3</v>
      </c>
      <c r="Z25" s="133">
        <f>前台二维码提成录入!Z25*$E25</f>
        <v>0</v>
      </c>
      <c r="AA25" s="133">
        <f>前台二维码提成录入!AA25*$E25</f>
        <v>0</v>
      </c>
      <c r="AB25" s="133">
        <f>前台二维码提成录入!AB25*$E25</f>
        <v>0</v>
      </c>
      <c r="AC25" s="133">
        <f>前台二维码提成录入!AC25*$E25</f>
        <v>0</v>
      </c>
      <c r="AD25" s="133">
        <f>前台二维码提成录入!AD25*$E25</f>
        <v>0</v>
      </c>
      <c r="AE25" s="133">
        <f>前台二维码提成录入!AE25*$E25</f>
        <v>0</v>
      </c>
      <c r="AF25" s="133">
        <f>前台二维码提成录入!AF25*$E25</f>
        <v>0</v>
      </c>
      <c r="AG25" s="133">
        <f>前台二维码提成录入!AG25*$E25</f>
        <v>0</v>
      </c>
      <c r="AH25" s="133">
        <f>前台二维码提成录入!AH25*$E25</f>
        <v>0</v>
      </c>
      <c r="AI25" s="133">
        <f>前台二维码提成录入!AI25*$E25</f>
        <v>0</v>
      </c>
      <c r="AJ25" s="133">
        <f>前台二维码提成录入!AJ25*$E25</f>
        <v>1.5</v>
      </c>
      <c r="AK25" s="133">
        <f>前台二维码提成录入!AK25*$E25</f>
        <v>1.5</v>
      </c>
      <c r="AL25" s="133">
        <f>前台二维码提成录入!AL25*$E25</f>
        <v>0</v>
      </c>
    </row>
    <row r="26" s="140" customFormat="1" customHeight="1" spans="1:38">
      <c r="A26" s="161">
        <v>22</v>
      </c>
      <c r="B26" s="162" t="str">
        <f>前台二维码提成录入!B26</f>
        <v>宋雨霏</v>
      </c>
      <c r="C26" s="162" t="str">
        <f>前台二维码提成录入!C26</f>
        <v>送物品</v>
      </c>
      <c r="D26" s="162" t="str">
        <f>前台二维码提成录入!D26</f>
        <v>次</v>
      </c>
      <c r="E26" s="162">
        <f>前台二维码提成录入!E26</f>
        <v>0.5</v>
      </c>
      <c r="F26" s="162">
        <f>前台二维码提成录入!F26</f>
        <v>114</v>
      </c>
      <c r="G26" s="162">
        <f>前台二维码提成录入!G26</f>
        <v>57</v>
      </c>
      <c r="H26" s="133">
        <f>前台二维码提成录入!H26*$E26</f>
        <v>0</v>
      </c>
      <c r="I26" s="133">
        <f>前台二维码提成录入!I26*$E26</f>
        <v>0</v>
      </c>
      <c r="J26" s="133">
        <f>前台二维码提成录入!J26*$E26</f>
        <v>0</v>
      </c>
      <c r="K26" s="133">
        <f>前台二维码提成录入!K26*$E26</f>
        <v>0</v>
      </c>
      <c r="L26" s="133">
        <f>前台二维码提成录入!L26*$E26</f>
        <v>6</v>
      </c>
      <c r="M26" s="133">
        <f>前台二维码提成录入!M26*$E26</f>
        <v>6</v>
      </c>
      <c r="N26" s="133">
        <f>前台二维码提成录入!N26*$E26</f>
        <v>0</v>
      </c>
      <c r="O26" s="133">
        <f>前台二维码提成录入!O26*$E26</f>
        <v>1</v>
      </c>
      <c r="P26" s="133">
        <f>前台二维码提成录入!P26*$E26</f>
        <v>0</v>
      </c>
      <c r="Q26" s="133">
        <f>前台二维码提成录入!Q26*$E26</f>
        <v>7.5</v>
      </c>
      <c r="R26" s="133">
        <f>前台二维码提成录入!R26*$E26</f>
        <v>7.5</v>
      </c>
      <c r="S26" s="133">
        <f>前台二维码提成录入!S26*$E26</f>
        <v>5</v>
      </c>
      <c r="T26" s="133">
        <f>前台二维码提成录入!T26*$E26</f>
        <v>0</v>
      </c>
      <c r="U26" s="133">
        <f>前台二维码提成录入!U26*$E26</f>
        <v>0</v>
      </c>
      <c r="V26" s="133">
        <f>前台二维码提成录入!V26*$E26</f>
        <v>0</v>
      </c>
      <c r="W26" s="133">
        <f>前台二维码提成录入!W26*$E26</f>
        <v>0</v>
      </c>
      <c r="X26" s="133">
        <f>前台二维码提成录入!X26*$E26</f>
        <v>5</v>
      </c>
      <c r="Y26" s="133">
        <f>前台二维码提成录入!Y26*$E26</f>
        <v>5</v>
      </c>
      <c r="Z26" s="133">
        <f>前台二维码提成录入!Z26*$E26</f>
        <v>0</v>
      </c>
      <c r="AA26" s="133">
        <f>前台二维码提成录入!AA26*$E26</f>
        <v>0</v>
      </c>
      <c r="AB26" s="133">
        <f>前台二维码提成录入!AB26*$E26</f>
        <v>0</v>
      </c>
      <c r="AC26" s="133">
        <f>前台二维码提成录入!AC26*$E26</f>
        <v>0</v>
      </c>
      <c r="AD26" s="133">
        <f>前台二维码提成录入!AD26*$E26</f>
        <v>4.5</v>
      </c>
      <c r="AE26" s="133">
        <f>前台二维码提成录入!AE26*$E26</f>
        <v>2.5</v>
      </c>
      <c r="AF26" s="133">
        <f>前台二维码提成录入!AF26*$E26</f>
        <v>0</v>
      </c>
      <c r="AG26" s="133">
        <f>前台二维码提成录入!AG26*$E26</f>
        <v>0</v>
      </c>
      <c r="AH26" s="133">
        <f>前台二维码提成录入!AH26*$E26</f>
        <v>0</v>
      </c>
      <c r="AI26" s="133">
        <f>前台二维码提成录入!AI26*$E26</f>
        <v>0</v>
      </c>
      <c r="AJ26" s="133">
        <f>前台二维码提成录入!AJ26*$E26</f>
        <v>2</v>
      </c>
      <c r="AK26" s="133">
        <f>前台二维码提成录入!AK26*$E26</f>
        <v>5</v>
      </c>
      <c r="AL26" s="133">
        <f>前台二维码提成录入!AL26*$E26</f>
        <v>0</v>
      </c>
    </row>
    <row r="27" s="140" customFormat="1" customHeight="1" spans="1:38">
      <c r="A27" s="161">
        <v>23</v>
      </c>
      <c r="B27" s="162" t="str">
        <f>前台二维码提成录入!B27</f>
        <v>宋雨霏</v>
      </c>
      <c r="C27" s="162" t="str">
        <f>前台二维码提成录入!C27</f>
        <v>点名表扬</v>
      </c>
      <c r="D27" s="162" t="str">
        <f>前台二维码提成录入!D27</f>
        <v>次</v>
      </c>
      <c r="E27" s="162">
        <f>前台二维码提成录入!E27</f>
        <v>1</v>
      </c>
      <c r="F27" s="162">
        <f>前台二维码提成录入!F27</f>
        <v>0</v>
      </c>
      <c r="G27" s="162">
        <f>前台二维码提成录入!G27</f>
        <v>0</v>
      </c>
      <c r="H27" s="133">
        <f>前台二维码提成录入!H27*$E27</f>
        <v>0</v>
      </c>
      <c r="I27" s="133">
        <f>前台二维码提成录入!I27*$E27</f>
        <v>0</v>
      </c>
      <c r="J27" s="133">
        <f>前台二维码提成录入!J27*$E27</f>
        <v>0</v>
      </c>
      <c r="K27" s="133">
        <f>前台二维码提成录入!K27*$E27</f>
        <v>0</v>
      </c>
      <c r="L27" s="133">
        <f>前台二维码提成录入!L27*$E27</f>
        <v>0</v>
      </c>
      <c r="M27" s="133">
        <f>前台二维码提成录入!M27*$E27</f>
        <v>0</v>
      </c>
      <c r="N27" s="133">
        <f>前台二维码提成录入!N27*$E27</f>
        <v>0</v>
      </c>
      <c r="O27" s="133">
        <f>前台二维码提成录入!O27*$E27</f>
        <v>0</v>
      </c>
      <c r="P27" s="133">
        <f>前台二维码提成录入!P27*$E27</f>
        <v>0</v>
      </c>
      <c r="Q27" s="133">
        <f>前台二维码提成录入!Q27*$E27</f>
        <v>0</v>
      </c>
      <c r="R27" s="133">
        <f>前台二维码提成录入!R27*$E27</f>
        <v>0</v>
      </c>
      <c r="S27" s="133">
        <f>前台二维码提成录入!S27*$E27</f>
        <v>0</v>
      </c>
      <c r="T27" s="133">
        <f>前台二维码提成录入!T27*$E27</f>
        <v>0</v>
      </c>
      <c r="U27" s="133">
        <f>前台二维码提成录入!U27*$E27</f>
        <v>0</v>
      </c>
      <c r="V27" s="133">
        <f>前台二维码提成录入!V27*$E27</f>
        <v>0</v>
      </c>
      <c r="W27" s="133">
        <f>前台二维码提成录入!W27*$E27</f>
        <v>0</v>
      </c>
      <c r="X27" s="133">
        <f>前台二维码提成录入!X27*$E27</f>
        <v>0</v>
      </c>
      <c r="Y27" s="133">
        <f>前台二维码提成录入!Y27*$E27</f>
        <v>0</v>
      </c>
      <c r="Z27" s="133">
        <f>前台二维码提成录入!Z27*$E27</f>
        <v>0</v>
      </c>
      <c r="AA27" s="133">
        <f>前台二维码提成录入!AA27*$E27</f>
        <v>0</v>
      </c>
      <c r="AB27" s="133">
        <f>前台二维码提成录入!AB27*$E27</f>
        <v>0</v>
      </c>
      <c r="AC27" s="133">
        <f>前台二维码提成录入!AC27*$E27</f>
        <v>0</v>
      </c>
      <c r="AD27" s="133">
        <f>前台二维码提成录入!AD27*$E27</f>
        <v>0</v>
      </c>
      <c r="AE27" s="133">
        <f>前台二维码提成录入!AE27*$E27</f>
        <v>0</v>
      </c>
      <c r="AF27" s="133">
        <f>前台二维码提成录入!AF27*$E27</f>
        <v>0</v>
      </c>
      <c r="AG27" s="133">
        <f>前台二维码提成录入!AG27*$E27</f>
        <v>0</v>
      </c>
      <c r="AH27" s="133">
        <f>前台二维码提成录入!AH27*$E27</f>
        <v>0</v>
      </c>
      <c r="AI27" s="133">
        <f>前台二维码提成录入!AI27*$E27</f>
        <v>0</v>
      </c>
      <c r="AJ27" s="133">
        <f>前台二维码提成录入!AJ27*$E27</f>
        <v>0</v>
      </c>
      <c r="AK27" s="133">
        <f>前台二维码提成录入!AK27*$E27</f>
        <v>0</v>
      </c>
      <c r="AL27" s="133">
        <f>前台二维码提成录入!AL27*$E27</f>
        <v>0</v>
      </c>
    </row>
    <row r="28" s="140" customFormat="1" customHeight="1" spans="1:38">
      <c r="A28" s="161">
        <v>24</v>
      </c>
      <c r="B28" s="162" t="str">
        <f>前台二维码提成录入!B28</f>
        <v>宋雨霏</v>
      </c>
      <c r="C28" s="162" t="str">
        <f>前台二维码提成录入!C28</f>
        <v>违规</v>
      </c>
      <c r="D28" s="162" t="str">
        <f>前台二维码提成录入!D28</f>
        <v>次</v>
      </c>
      <c r="E28" s="162">
        <f>前台二维码提成录入!E28</f>
        <v>-2</v>
      </c>
      <c r="F28" s="162">
        <f>前台二维码提成录入!F28</f>
        <v>0</v>
      </c>
      <c r="G28" s="162">
        <f>前台二维码提成录入!G28</f>
        <v>0</v>
      </c>
      <c r="H28" s="133">
        <f>前台二维码提成录入!H28*$E28</f>
        <v>0</v>
      </c>
      <c r="I28" s="133">
        <f>前台二维码提成录入!I28*$E28</f>
        <v>0</v>
      </c>
      <c r="J28" s="133">
        <f>前台二维码提成录入!J28*$E28</f>
        <v>0</v>
      </c>
      <c r="K28" s="133">
        <f>前台二维码提成录入!K28*$E28</f>
        <v>0</v>
      </c>
      <c r="L28" s="133">
        <f>前台二维码提成录入!L28*$E28</f>
        <v>0</v>
      </c>
      <c r="M28" s="133">
        <f>前台二维码提成录入!M28*$E28</f>
        <v>0</v>
      </c>
      <c r="N28" s="133">
        <f>前台二维码提成录入!N28*$E28</f>
        <v>0</v>
      </c>
      <c r="O28" s="133">
        <f>前台二维码提成录入!O28*$E28</f>
        <v>0</v>
      </c>
      <c r="P28" s="133">
        <f>前台二维码提成录入!P28*$E28</f>
        <v>0</v>
      </c>
      <c r="Q28" s="133">
        <f>前台二维码提成录入!Q28*$E28</f>
        <v>0</v>
      </c>
      <c r="R28" s="133">
        <f>前台二维码提成录入!R28*$E28</f>
        <v>0</v>
      </c>
      <c r="S28" s="133">
        <f>前台二维码提成录入!S28*$E28</f>
        <v>0</v>
      </c>
      <c r="T28" s="133">
        <f>前台二维码提成录入!T28*$E28</f>
        <v>0</v>
      </c>
      <c r="U28" s="133">
        <f>前台二维码提成录入!U28*$E28</f>
        <v>0</v>
      </c>
      <c r="V28" s="133">
        <f>前台二维码提成录入!V28*$E28</f>
        <v>0</v>
      </c>
      <c r="W28" s="133">
        <f>前台二维码提成录入!W28*$E28</f>
        <v>0</v>
      </c>
      <c r="X28" s="133">
        <f>前台二维码提成录入!X28*$E28</f>
        <v>0</v>
      </c>
      <c r="Y28" s="133">
        <f>前台二维码提成录入!Y28*$E28</f>
        <v>0</v>
      </c>
      <c r="Z28" s="133">
        <f>前台二维码提成录入!Z28*$E28</f>
        <v>0</v>
      </c>
      <c r="AA28" s="133">
        <f>前台二维码提成录入!AA28*$E28</f>
        <v>0</v>
      </c>
      <c r="AB28" s="133">
        <f>前台二维码提成录入!AB28*$E28</f>
        <v>0</v>
      </c>
      <c r="AC28" s="133">
        <f>前台二维码提成录入!AC28*$E28</f>
        <v>0</v>
      </c>
      <c r="AD28" s="133">
        <f>前台二维码提成录入!AD28*$E28</f>
        <v>0</v>
      </c>
      <c r="AE28" s="133">
        <f>前台二维码提成录入!AE28*$E28</f>
        <v>0</v>
      </c>
      <c r="AF28" s="133">
        <f>前台二维码提成录入!AF28*$E28</f>
        <v>0</v>
      </c>
      <c r="AG28" s="133">
        <f>前台二维码提成录入!AG28*$E28</f>
        <v>0</v>
      </c>
      <c r="AH28" s="133">
        <f>前台二维码提成录入!AH28*$E28</f>
        <v>0</v>
      </c>
      <c r="AI28" s="133">
        <f>前台二维码提成录入!AI28*$E28</f>
        <v>0</v>
      </c>
      <c r="AJ28" s="133">
        <f>前台二维码提成录入!AJ28*$E28</f>
        <v>0</v>
      </c>
      <c r="AK28" s="133">
        <f>前台二维码提成录入!AK28*$E28</f>
        <v>0</v>
      </c>
      <c r="AL28" s="133">
        <f>前台二维码提成录入!AL28*$E28</f>
        <v>0</v>
      </c>
    </row>
    <row r="29" s="140" customFormat="1" customHeight="1" spans="1:38">
      <c r="A29" s="161">
        <v>25</v>
      </c>
      <c r="B29" s="162" t="str">
        <f>前台二维码提成录入!B29</f>
        <v>宋雨霏</v>
      </c>
      <c r="C29" s="162" t="str">
        <f>前台二维码提成录入!C29</f>
        <v>其他</v>
      </c>
      <c r="D29" s="162" t="str">
        <f>前台二维码提成录入!D29</f>
        <v>次</v>
      </c>
      <c r="E29" s="162">
        <f>前台二维码提成录入!E29</f>
        <v>2</v>
      </c>
      <c r="F29" s="162">
        <f>前台二维码提成录入!F29</f>
        <v>0</v>
      </c>
      <c r="G29" s="162">
        <f>前台二维码提成录入!G29</f>
        <v>0</v>
      </c>
      <c r="H29" s="133">
        <f>前台二维码提成录入!H29*$E29</f>
        <v>0</v>
      </c>
      <c r="I29" s="133">
        <f>前台二维码提成录入!I29*$E29</f>
        <v>0</v>
      </c>
      <c r="J29" s="133">
        <f>前台二维码提成录入!J29*$E29</f>
        <v>0</v>
      </c>
      <c r="K29" s="133">
        <f>前台二维码提成录入!K29*$E29</f>
        <v>0</v>
      </c>
      <c r="L29" s="133">
        <f>前台二维码提成录入!L29*$E29</f>
        <v>0</v>
      </c>
      <c r="M29" s="133">
        <f>前台二维码提成录入!M29*$E29</f>
        <v>0</v>
      </c>
      <c r="N29" s="133">
        <f>前台二维码提成录入!N29*$E29</f>
        <v>0</v>
      </c>
      <c r="O29" s="133">
        <f>前台二维码提成录入!O29*$E29</f>
        <v>0</v>
      </c>
      <c r="P29" s="133">
        <f>前台二维码提成录入!P29*$E29</f>
        <v>0</v>
      </c>
      <c r="Q29" s="133">
        <f>前台二维码提成录入!Q29*$E29</f>
        <v>0</v>
      </c>
      <c r="R29" s="133">
        <f>前台二维码提成录入!R29*$E29</f>
        <v>0</v>
      </c>
      <c r="S29" s="133">
        <f>前台二维码提成录入!S29*$E29</f>
        <v>0</v>
      </c>
      <c r="T29" s="133">
        <f>前台二维码提成录入!T29*$E29</f>
        <v>0</v>
      </c>
      <c r="U29" s="133">
        <f>前台二维码提成录入!U29*$E29</f>
        <v>0</v>
      </c>
      <c r="V29" s="133">
        <f>前台二维码提成录入!V29*$E29</f>
        <v>0</v>
      </c>
      <c r="W29" s="133">
        <f>前台二维码提成录入!W29*$E29</f>
        <v>0</v>
      </c>
      <c r="X29" s="133">
        <f>前台二维码提成录入!X29*$E29</f>
        <v>0</v>
      </c>
      <c r="Y29" s="133">
        <f>前台二维码提成录入!Y29*$E29</f>
        <v>0</v>
      </c>
      <c r="Z29" s="133">
        <f>前台二维码提成录入!Z29*$E29</f>
        <v>0</v>
      </c>
      <c r="AA29" s="133">
        <f>前台二维码提成录入!AA29*$E29</f>
        <v>0</v>
      </c>
      <c r="AB29" s="133">
        <f>前台二维码提成录入!AB29*$E29</f>
        <v>0</v>
      </c>
      <c r="AC29" s="133">
        <f>前台二维码提成录入!AC29*$E29</f>
        <v>0</v>
      </c>
      <c r="AD29" s="133">
        <f>前台二维码提成录入!AD29*$E29</f>
        <v>0</v>
      </c>
      <c r="AE29" s="133">
        <f>前台二维码提成录入!AE29*$E29</f>
        <v>0</v>
      </c>
      <c r="AF29" s="133">
        <f>前台二维码提成录入!AF29*$E29</f>
        <v>0</v>
      </c>
      <c r="AG29" s="133">
        <f>前台二维码提成录入!AG29*$E29</f>
        <v>0</v>
      </c>
      <c r="AH29" s="133">
        <f>前台二维码提成录入!AH29*$E29</f>
        <v>0</v>
      </c>
      <c r="AI29" s="133">
        <f>前台二维码提成录入!AI29*$E29</f>
        <v>0</v>
      </c>
      <c r="AJ29" s="133">
        <f>前台二维码提成录入!AJ29*$E29</f>
        <v>0</v>
      </c>
      <c r="AK29" s="133">
        <f>前台二维码提成录入!AK29*$E29</f>
        <v>0</v>
      </c>
      <c r="AL29" s="133">
        <f>前台二维码提成录入!AL29*$E29</f>
        <v>0</v>
      </c>
    </row>
    <row r="30" s="140" customFormat="1" customHeight="1" spans="1:38">
      <c r="A30" s="161">
        <v>26</v>
      </c>
      <c r="B30" s="162" t="str">
        <f>前台二维码提成录入!B30</f>
        <v>翟芮瑶</v>
      </c>
      <c r="C30" s="162" t="str">
        <f>前台二维码提成录入!C30</f>
        <v>洗衣</v>
      </c>
      <c r="D30" s="162" t="str">
        <f>前台二维码提成录入!D30</f>
        <v>次</v>
      </c>
      <c r="E30" s="162">
        <f>前台二维码提成录入!E30</f>
        <v>1.5</v>
      </c>
      <c r="F30" s="162">
        <f>前台二维码提成录入!F30</f>
        <v>6</v>
      </c>
      <c r="G30" s="162">
        <f>前台二维码提成录入!G30</f>
        <v>9</v>
      </c>
      <c r="H30" s="133">
        <f>前台二维码提成录入!H30*$E30</f>
        <v>0</v>
      </c>
      <c r="I30" s="133">
        <f>前台二维码提成录入!I30*$E30</f>
        <v>0</v>
      </c>
      <c r="J30" s="133">
        <f>前台二维码提成录入!J30*$E30</f>
        <v>0</v>
      </c>
      <c r="K30" s="133">
        <f>前台二维码提成录入!K30*$E30</f>
        <v>0</v>
      </c>
      <c r="L30" s="133">
        <f>前台二维码提成录入!L30*$E30</f>
        <v>0</v>
      </c>
      <c r="M30" s="133">
        <f>前台二维码提成录入!M30*$E30</f>
        <v>0</v>
      </c>
      <c r="N30" s="133">
        <f>前台二维码提成录入!N30*$E30</f>
        <v>0</v>
      </c>
      <c r="O30" s="133">
        <f>前台二维码提成录入!O30*$E30</f>
        <v>0</v>
      </c>
      <c r="P30" s="133">
        <f>前台二维码提成录入!P30*$E30</f>
        <v>3</v>
      </c>
      <c r="Q30" s="133">
        <f>前台二维码提成录入!Q30*$E30</f>
        <v>0</v>
      </c>
      <c r="R30" s="133">
        <f>前台二维码提成录入!R30*$E30</f>
        <v>0</v>
      </c>
      <c r="S30" s="133">
        <f>前台二维码提成录入!S30*$E30</f>
        <v>0</v>
      </c>
      <c r="T30" s="133">
        <f>前台二维码提成录入!T30*$E30</f>
        <v>1.5</v>
      </c>
      <c r="U30" s="133">
        <f>前台二维码提成录入!U30*$E30</f>
        <v>0</v>
      </c>
      <c r="V30" s="133">
        <f>前台二维码提成录入!V30*$E30</f>
        <v>3</v>
      </c>
      <c r="W30" s="133">
        <f>前台二维码提成录入!W30*$E30</f>
        <v>1.5</v>
      </c>
      <c r="X30" s="133">
        <f>前台二维码提成录入!X30*$E30</f>
        <v>0</v>
      </c>
      <c r="Y30" s="133">
        <f>前台二维码提成录入!Y30*$E30</f>
        <v>0</v>
      </c>
      <c r="Z30" s="133">
        <f>前台二维码提成录入!Z30*$E30</f>
        <v>0</v>
      </c>
      <c r="AA30" s="133">
        <f>前台二维码提成录入!AA30*$E30</f>
        <v>0</v>
      </c>
      <c r="AB30" s="133">
        <f>前台二维码提成录入!AB30*$E30</f>
        <v>0</v>
      </c>
      <c r="AC30" s="133">
        <f>前台二维码提成录入!AC30*$E30</f>
        <v>0</v>
      </c>
      <c r="AD30" s="133">
        <f>前台二维码提成录入!AD30*$E30</f>
        <v>0</v>
      </c>
      <c r="AE30" s="133">
        <f>前台二维码提成录入!AE30*$E30</f>
        <v>0</v>
      </c>
      <c r="AF30" s="133">
        <f>前台二维码提成录入!AF30*$E30</f>
        <v>0</v>
      </c>
      <c r="AG30" s="133">
        <f>前台二维码提成录入!AG30*$E30</f>
        <v>0</v>
      </c>
      <c r="AH30" s="133">
        <f>前台二维码提成录入!AH30*$E30</f>
        <v>0</v>
      </c>
      <c r="AI30" s="133">
        <f>前台二维码提成录入!AI30*$E30</f>
        <v>0</v>
      </c>
      <c r="AJ30" s="133">
        <f>前台二维码提成录入!AJ30*$E30</f>
        <v>0</v>
      </c>
      <c r="AK30" s="133">
        <f>前台二维码提成录入!AK30*$E30</f>
        <v>0</v>
      </c>
      <c r="AL30" s="133">
        <f>前台二维码提成录入!AL30*$E30</f>
        <v>0</v>
      </c>
    </row>
    <row r="31" s="140" customFormat="1" customHeight="1" spans="1:38">
      <c r="A31" s="161">
        <v>27</v>
      </c>
      <c r="B31" s="162" t="str">
        <f>前台二维码提成录入!B31</f>
        <v>翟芮瑶</v>
      </c>
      <c r="C31" s="162" t="str">
        <f>前台二维码提成录入!C31</f>
        <v>送物品</v>
      </c>
      <c r="D31" s="162" t="str">
        <f>前台二维码提成录入!D31</f>
        <v>次</v>
      </c>
      <c r="E31" s="162">
        <f>前台二维码提成录入!E31</f>
        <v>0.5</v>
      </c>
      <c r="F31" s="162">
        <f>前台二维码提成录入!F31</f>
        <v>77</v>
      </c>
      <c r="G31" s="162">
        <f>前台二维码提成录入!G31</f>
        <v>38.5</v>
      </c>
      <c r="H31" s="133">
        <f>前台二维码提成录入!H31*$E31</f>
        <v>0</v>
      </c>
      <c r="I31" s="133">
        <f>前台二维码提成录入!I31*$E31</f>
        <v>0</v>
      </c>
      <c r="J31" s="133">
        <f>前台二维码提成录入!J31*$E31</f>
        <v>1.5</v>
      </c>
      <c r="K31" s="133">
        <f>前台二维码提成录入!K31*$E31</f>
        <v>2.5</v>
      </c>
      <c r="L31" s="133">
        <f>前台二维码提成录入!L31*$E31</f>
        <v>0.5</v>
      </c>
      <c r="M31" s="133">
        <f>前台二维码提成录入!M31*$E31</f>
        <v>0</v>
      </c>
      <c r="N31" s="133">
        <f>前台二维码提成录入!N31*$E31</f>
        <v>0</v>
      </c>
      <c r="O31" s="133">
        <f>前台二维码提成录入!O31*$E31</f>
        <v>0</v>
      </c>
      <c r="P31" s="133">
        <f>前台二维码提成录入!P31*$E31</f>
        <v>10</v>
      </c>
      <c r="Q31" s="133">
        <f>前台二维码提成录入!Q31*$E31</f>
        <v>0</v>
      </c>
      <c r="R31" s="133">
        <f>前台二维码提成录入!R31*$E31</f>
        <v>0</v>
      </c>
      <c r="S31" s="133">
        <f>前台二维码提成录入!S31*$E31</f>
        <v>0</v>
      </c>
      <c r="T31" s="133">
        <f>前台二维码提成录入!T31*$E31</f>
        <v>0</v>
      </c>
      <c r="U31" s="133">
        <f>前台二维码提成录入!U31*$E31</f>
        <v>0</v>
      </c>
      <c r="V31" s="133">
        <f>前台二维码提成录入!V31*$E31</f>
        <v>6</v>
      </c>
      <c r="W31" s="133">
        <f>前台二维码提成录入!W31*$E31</f>
        <v>2</v>
      </c>
      <c r="X31" s="133">
        <f>前台二维码提成录入!X31*$E31</f>
        <v>0</v>
      </c>
      <c r="Y31" s="133">
        <f>前台二维码提成录入!Y31*$E31</f>
        <v>0</v>
      </c>
      <c r="Z31" s="133">
        <f>前台二维码提成录入!Z31*$E31</f>
        <v>0</v>
      </c>
      <c r="AA31" s="133">
        <f>前台二维码提成录入!AA31*$E31</f>
        <v>0</v>
      </c>
      <c r="AB31" s="133">
        <f>前台二维码提成录入!AB31*$E31</f>
        <v>6</v>
      </c>
      <c r="AC31" s="133">
        <f>前台二维码提成录入!AC31*$E31</f>
        <v>0</v>
      </c>
      <c r="AD31" s="133">
        <f>前台二维码提成录入!AD31*$E31</f>
        <v>0</v>
      </c>
      <c r="AE31" s="133">
        <f>前台二维码提成录入!AE31*$E31</f>
        <v>0</v>
      </c>
      <c r="AF31" s="133">
        <f>前台二维码提成录入!AF31*$E31</f>
        <v>0</v>
      </c>
      <c r="AG31" s="133">
        <f>前台二维码提成录入!AG31*$E31</f>
        <v>0</v>
      </c>
      <c r="AH31" s="133">
        <f>前台二维码提成录入!AH31*$E31</f>
        <v>5</v>
      </c>
      <c r="AI31" s="133">
        <f>前台二维码提成录入!AI31*$E31</f>
        <v>5</v>
      </c>
      <c r="AJ31" s="133">
        <f>前台二维码提成录入!AJ31*$E31</f>
        <v>0</v>
      </c>
      <c r="AK31" s="133">
        <f>前台二维码提成录入!AK31*$E31</f>
        <v>0</v>
      </c>
      <c r="AL31" s="133">
        <f>前台二维码提成录入!AL31*$E31</f>
        <v>0</v>
      </c>
    </row>
    <row r="32" s="140" customFormat="1" customHeight="1" spans="1:38">
      <c r="A32" s="161">
        <v>28</v>
      </c>
      <c r="B32" s="162" t="str">
        <f>前台二维码提成录入!B32</f>
        <v>翟芮瑶</v>
      </c>
      <c r="C32" s="162" t="str">
        <f>前台二维码提成录入!C32</f>
        <v>点名表扬</v>
      </c>
      <c r="D32" s="162" t="str">
        <f>前台二维码提成录入!D32</f>
        <v>次</v>
      </c>
      <c r="E32" s="162">
        <f>前台二维码提成录入!E32</f>
        <v>1</v>
      </c>
      <c r="F32" s="162">
        <f>前台二维码提成录入!F32</f>
        <v>0</v>
      </c>
      <c r="G32" s="162">
        <f>前台二维码提成录入!G32</f>
        <v>0</v>
      </c>
      <c r="H32" s="133">
        <f>前台二维码提成录入!H32*$E32</f>
        <v>0</v>
      </c>
      <c r="I32" s="133">
        <f>前台二维码提成录入!I32*$E32</f>
        <v>0</v>
      </c>
      <c r="J32" s="133">
        <f>前台二维码提成录入!J32*$E32</f>
        <v>0</v>
      </c>
      <c r="K32" s="133">
        <f>前台二维码提成录入!K32*$E32</f>
        <v>0</v>
      </c>
      <c r="L32" s="133">
        <f>前台二维码提成录入!L32*$E32</f>
        <v>0</v>
      </c>
      <c r="M32" s="133">
        <f>前台二维码提成录入!M32*$E32</f>
        <v>0</v>
      </c>
      <c r="N32" s="133">
        <f>前台二维码提成录入!N32*$E32</f>
        <v>0</v>
      </c>
      <c r="O32" s="133">
        <f>前台二维码提成录入!O32*$E32</f>
        <v>0</v>
      </c>
      <c r="P32" s="133">
        <f>前台二维码提成录入!P32*$E32</f>
        <v>0</v>
      </c>
      <c r="Q32" s="133">
        <f>前台二维码提成录入!Q32*$E32</f>
        <v>0</v>
      </c>
      <c r="R32" s="133">
        <f>前台二维码提成录入!R32*$E32</f>
        <v>0</v>
      </c>
      <c r="S32" s="133">
        <f>前台二维码提成录入!S32*$E32</f>
        <v>0</v>
      </c>
      <c r="T32" s="133">
        <f>前台二维码提成录入!T32*$E32</f>
        <v>0</v>
      </c>
      <c r="U32" s="133">
        <f>前台二维码提成录入!U32*$E32</f>
        <v>0</v>
      </c>
      <c r="V32" s="133">
        <f>前台二维码提成录入!V32*$E32</f>
        <v>0</v>
      </c>
      <c r="W32" s="133">
        <f>前台二维码提成录入!W32*$E32</f>
        <v>0</v>
      </c>
      <c r="X32" s="133">
        <f>前台二维码提成录入!X32*$E32</f>
        <v>0</v>
      </c>
      <c r="Y32" s="133">
        <f>前台二维码提成录入!Y32*$E32</f>
        <v>0</v>
      </c>
      <c r="Z32" s="133">
        <f>前台二维码提成录入!Z32*$E32</f>
        <v>0</v>
      </c>
      <c r="AA32" s="133">
        <f>前台二维码提成录入!AA32*$E32</f>
        <v>0</v>
      </c>
      <c r="AB32" s="133">
        <f>前台二维码提成录入!AB32*$E32</f>
        <v>0</v>
      </c>
      <c r="AC32" s="133">
        <f>前台二维码提成录入!AC32*$E32</f>
        <v>0</v>
      </c>
      <c r="AD32" s="133">
        <f>前台二维码提成录入!AD32*$E32</f>
        <v>0</v>
      </c>
      <c r="AE32" s="133">
        <f>前台二维码提成录入!AE32*$E32</f>
        <v>0</v>
      </c>
      <c r="AF32" s="133">
        <f>前台二维码提成录入!AF32*$E32</f>
        <v>0</v>
      </c>
      <c r="AG32" s="133">
        <f>前台二维码提成录入!AG32*$E32</f>
        <v>0</v>
      </c>
      <c r="AH32" s="133">
        <f>前台二维码提成录入!AH32*$E32</f>
        <v>0</v>
      </c>
      <c r="AI32" s="133">
        <f>前台二维码提成录入!AI32*$E32</f>
        <v>0</v>
      </c>
      <c r="AJ32" s="133">
        <f>前台二维码提成录入!AJ32*$E32</f>
        <v>0</v>
      </c>
      <c r="AK32" s="133">
        <f>前台二维码提成录入!AK32*$E32</f>
        <v>0</v>
      </c>
      <c r="AL32" s="133">
        <f>前台二维码提成录入!AL32*$E32</f>
        <v>0</v>
      </c>
    </row>
    <row r="33" s="140" customFormat="1" customHeight="1" spans="1:38">
      <c r="A33" s="161">
        <v>29</v>
      </c>
      <c r="B33" s="162" t="str">
        <f>前台二维码提成录入!B33</f>
        <v>翟芮瑶</v>
      </c>
      <c r="C33" s="162" t="str">
        <f>前台二维码提成录入!C33</f>
        <v>违规</v>
      </c>
      <c r="D33" s="162" t="str">
        <f>前台二维码提成录入!D33</f>
        <v>次</v>
      </c>
      <c r="E33" s="162">
        <f>前台二维码提成录入!E33</f>
        <v>-2</v>
      </c>
      <c r="F33" s="162">
        <f>前台二维码提成录入!F33</f>
        <v>0</v>
      </c>
      <c r="G33" s="162">
        <f>前台二维码提成录入!G33</f>
        <v>0</v>
      </c>
      <c r="H33" s="133">
        <f>前台二维码提成录入!H33*$E33</f>
        <v>0</v>
      </c>
      <c r="I33" s="133">
        <f>前台二维码提成录入!I33*$E33</f>
        <v>0</v>
      </c>
      <c r="J33" s="133">
        <f>前台二维码提成录入!J33*$E33</f>
        <v>0</v>
      </c>
      <c r="K33" s="133">
        <f>前台二维码提成录入!K33*$E33</f>
        <v>0</v>
      </c>
      <c r="L33" s="133">
        <f>前台二维码提成录入!L33*$E33</f>
        <v>0</v>
      </c>
      <c r="M33" s="133">
        <f>前台二维码提成录入!M33*$E33</f>
        <v>0</v>
      </c>
      <c r="N33" s="133">
        <f>前台二维码提成录入!N33*$E33</f>
        <v>0</v>
      </c>
      <c r="O33" s="133">
        <f>前台二维码提成录入!O33*$E33</f>
        <v>0</v>
      </c>
      <c r="P33" s="133">
        <f>前台二维码提成录入!P33*$E33</f>
        <v>0</v>
      </c>
      <c r="Q33" s="133">
        <f>前台二维码提成录入!Q33*$E33</f>
        <v>0</v>
      </c>
      <c r="R33" s="133">
        <f>前台二维码提成录入!R33*$E33</f>
        <v>0</v>
      </c>
      <c r="S33" s="133">
        <f>前台二维码提成录入!S33*$E33</f>
        <v>0</v>
      </c>
      <c r="T33" s="133">
        <f>前台二维码提成录入!T33*$E33</f>
        <v>0</v>
      </c>
      <c r="U33" s="133">
        <f>前台二维码提成录入!U33*$E33</f>
        <v>0</v>
      </c>
      <c r="V33" s="133">
        <f>前台二维码提成录入!V33*$E33</f>
        <v>0</v>
      </c>
      <c r="W33" s="133">
        <f>前台二维码提成录入!W33*$E33</f>
        <v>0</v>
      </c>
      <c r="X33" s="133">
        <f>前台二维码提成录入!X33*$E33</f>
        <v>0</v>
      </c>
      <c r="Y33" s="133">
        <f>前台二维码提成录入!Y33*$E33</f>
        <v>0</v>
      </c>
      <c r="Z33" s="133">
        <f>前台二维码提成录入!Z33*$E33</f>
        <v>0</v>
      </c>
      <c r="AA33" s="133">
        <f>前台二维码提成录入!AA33*$E33</f>
        <v>0</v>
      </c>
      <c r="AB33" s="133">
        <f>前台二维码提成录入!AB33*$E33</f>
        <v>0</v>
      </c>
      <c r="AC33" s="133">
        <f>前台二维码提成录入!AC33*$E33</f>
        <v>0</v>
      </c>
      <c r="AD33" s="133">
        <f>前台二维码提成录入!AD33*$E33</f>
        <v>0</v>
      </c>
      <c r="AE33" s="133">
        <f>前台二维码提成录入!AE33*$E33</f>
        <v>0</v>
      </c>
      <c r="AF33" s="133">
        <f>前台二维码提成录入!AF33*$E33</f>
        <v>0</v>
      </c>
      <c r="AG33" s="133">
        <f>前台二维码提成录入!AG33*$E33</f>
        <v>0</v>
      </c>
      <c r="AH33" s="133">
        <f>前台二维码提成录入!AH33*$E33</f>
        <v>0</v>
      </c>
      <c r="AI33" s="133">
        <f>前台二维码提成录入!AI33*$E33</f>
        <v>0</v>
      </c>
      <c r="AJ33" s="133">
        <f>前台二维码提成录入!AJ33*$E33</f>
        <v>0</v>
      </c>
      <c r="AK33" s="133">
        <f>前台二维码提成录入!AK33*$E33</f>
        <v>0</v>
      </c>
      <c r="AL33" s="133">
        <f>前台二维码提成录入!AL33*$E33</f>
        <v>0</v>
      </c>
    </row>
    <row r="34" s="140" customFormat="1" customHeight="1" spans="1:38">
      <c r="A34" s="161">
        <v>30</v>
      </c>
      <c r="B34" s="162" t="str">
        <f>前台二维码提成录入!B34</f>
        <v>翟芮瑶</v>
      </c>
      <c r="C34" s="162" t="str">
        <f>前台二维码提成录入!C34</f>
        <v>其他</v>
      </c>
      <c r="D34" s="162" t="str">
        <f>前台二维码提成录入!D34</f>
        <v>次</v>
      </c>
      <c r="E34" s="162">
        <f>前台二维码提成录入!E34</f>
        <v>2</v>
      </c>
      <c r="F34" s="162">
        <f>前台二维码提成录入!F34</f>
        <v>0</v>
      </c>
      <c r="G34" s="162">
        <f>前台二维码提成录入!G34</f>
        <v>0</v>
      </c>
      <c r="H34" s="133">
        <f>前台二维码提成录入!H34*$E34</f>
        <v>0</v>
      </c>
      <c r="I34" s="133">
        <f>前台二维码提成录入!I34*$E34</f>
        <v>0</v>
      </c>
      <c r="J34" s="133">
        <f>前台二维码提成录入!J34*$E34</f>
        <v>0</v>
      </c>
      <c r="K34" s="133">
        <f>前台二维码提成录入!K34*$E34</f>
        <v>0</v>
      </c>
      <c r="L34" s="133">
        <f>前台二维码提成录入!L34*$E34</f>
        <v>0</v>
      </c>
      <c r="M34" s="133">
        <f>前台二维码提成录入!M34*$E34</f>
        <v>0</v>
      </c>
      <c r="N34" s="133">
        <f>前台二维码提成录入!N34*$E34</f>
        <v>0</v>
      </c>
      <c r="O34" s="133">
        <f>前台二维码提成录入!O34*$E34</f>
        <v>0</v>
      </c>
      <c r="P34" s="133">
        <f>前台二维码提成录入!P34*$E34</f>
        <v>0</v>
      </c>
      <c r="Q34" s="133">
        <f>前台二维码提成录入!Q34*$E34</f>
        <v>0</v>
      </c>
      <c r="R34" s="133">
        <f>前台二维码提成录入!R34*$E34</f>
        <v>0</v>
      </c>
      <c r="S34" s="133">
        <f>前台二维码提成录入!S34*$E34</f>
        <v>0</v>
      </c>
      <c r="T34" s="133">
        <f>前台二维码提成录入!T34*$E34</f>
        <v>0</v>
      </c>
      <c r="U34" s="133">
        <f>前台二维码提成录入!U34*$E34</f>
        <v>0</v>
      </c>
      <c r="V34" s="133">
        <f>前台二维码提成录入!V34*$E34</f>
        <v>0</v>
      </c>
      <c r="W34" s="133">
        <f>前台二维码提成录入!W34*$E34</f>
        <v>0</v>
      </c>
      <c r="X34" s="133">
        <f>前台二维码提成录入!X34*$E34</f>
        <v>0</v>
      </c>
      <c r="Y34" s="133">
        <f>前台二维码提成录入!Y34*$E34</f>
        <v>0</v>
      </c>
      <c r="Z34" s="133">
        <f>前台二维码提成录入!Z34*$E34</f>
        <v>0</v>
      </c>
      <c r="AA34" s="133">
        <f>前台二维码提成录入!AA34*$E34</f>
        <v>0</v>
      </c>
      <c r="AB34" s="133">
        <f>前台二维码提成录入!AB34*$E34</f>
        <v>0</v>
      </c>
      <c r="AC34" s="133">
        <f>前台二维码提成录入!AC34*$E34</f>
        <v>0</v>
      </c>
      <c r="AD34" s="133">
        <f>前台二维码提成录入!AD34*$E34</f>
        <v>0</v>
      </c>
      <c r="AE34" s="133">
        <f>前台二维码提成录入!AE34*$E34</f>
        <v>0</v>
      </c>
      <c r="AF34" s="133">
        <f>前台二维码提成录入!AF34*$E34</f>
        <v>0</v>
      </c>
      <c r="AG34" s="133">
        <f>前台二维码提成录入!AG34*$E34</f>
        <v>0</v>
      </c>
      <c r="AH34" s="133">
        <f>前台二维码提成录入!AH34*$E34</f>
        <v>0</v>
      </c>
      <c r="AI34" s="133">
        <f>前台二维码提成录入!AI34*$E34</f>
        <v>0</v>
      </c>
      <c r="AJ34" s="133">
        <f>前台二维码提成录入!AJ34*$E34</f>
        <v>0</v>
      </c>
      <c r="AK34" s="133">
        <f>前台二维码提成录入!AK34*$E34</f>
        <v>0</v>
      </c>
      <c r="AL34" s="133">
        <f>前台二维码提成录入!AL34*$E34</f>
        <v>0</v>
      </c>
    </row>
    <row r="35" s="140" customFormat="1" customHeight="1" spans="1:38">
      <c r="A35" s="161">
        <v>31</v>
      </c>
      <c r="B35" s="162" t="str">
        <f>前台二维码提成录入!B35</f>
        <v>孙源</v>
      </c>
      <c r="C35" s="162" t="str">
        <f>前台二维码提成录入!C35</f>
        <v>洗衣</v>
      </c>
      <c r="D35" s="162" t="str">
        <f>前台二维码提成录入!D35</f>
        <v>次</v>
      </c>
      <c r="E35" s="162">
        <f>前台二维码提成录入!E35</f>
        <v>1.5</v>
      </c>
      <c r="F35" s="162">
        <f>前台二维码提成录入!F35</f>
        <v>8</v>
      </c>
      <c r="G35" s="162">
        <f>前台二维码提成录入!G35</f>
        <v>12</v>
      </c>
      <c r="H35" s="133">
        <f>前台二维码提成录入!H35*$E35</f>
        <v>0</v>
      </c>
      <c r="I35" s="133">
        <f>前台二维码提成录入!I35*$E35</f>
        <v>0</v>
      </c>
      <c r="J35" s="133">
        <f>前台二维码提成录入!J35*$E35</f>
        <v>0</v>
      </c>
      <c r="K35" s="133">
        <f>前台二维码提成录入!K35*$E35</f>
        <v>0</v>
      </c>
      <c r="L35" s="133">
        <f>前台二维码提成录入!L35*$E35</f>
        <v>0</v>
      </c>
      <c r="M35" s="133">
        <f>前台二维码提成录入!M35*$E35</f>
        <v>0</v>
      </c>
      <c r="N35" s="133">
        <f>前台二维码提成录入!N35*$E35</f>
        <v>0</v>
      </c>
      <c r="O35" s="133">
        <f>前台二维码提成录入!O35*$E35</f>
        <v>0</v>
      </c>
      <c r="P35" s="133">
        <f>前台二维码提成录入!P35*$E35</f>
        <v>1.5</v>
      </c>
      <c r="Q35" s="133">
        <f>前台二维码提成录入!Q35*$E35</f>
        <v>0</v>
      </c>
      <c r="R35" s="133">
        <f>前台二维码提成录入!R35*$E35</f>
        <v>0</v>
      </c>
      <c r="S35" s="133">
        <f>前台二维码提成录入!S35*$E35</f>
        <v>0</v>
      </c>
      <c r="T35" s="133">
        <f>前台二维码提成录入!T35*$E35</f>
        <v>0</v>
      </c>
      <c r="U35" s="133">
        <f>前台二维码提成录入!U35*$E35</f>
        <v>0</v>
      </c>
      <c r="V35" s="133">
        <f>前台二维码提成录入!V35*$E35</f>
        <v>3</v>
      </c>
      <c r="W35" s="133">
        <f>前台二维码提成录入!W35*$E35</f>
        <v>1.5</v>
      </c>
      <c r="X35" s="133">
        <f>前台二维码提成录入!X35*$E35</f>
        <v>0</v>
      </c>
      <c r="Y35" s="133">
        <f>前台二维码提成录入!Y35*$E35</f>
        <v>1.5</v>
      </c>
      <c r="Z35" s="133">
        <f>前台二维码提成录入!Z35*$E35</f>
        <v>0</v>
      </c>
      <c r="AA35" s="133">
        <f>前台二维码提成录入!AA35*$E35</f>
        <v>0</v>
      </c>
      <c r="AB35" s="133">
        <f>前台二维码提成录入!AB35*$E35</f>
        <v>1.5</v>
      </c>
      <c r="AC35" s="133">
        <f>前台二维码提成录入!AC35*$E35</f>
        <v>1.5</v>
      </c>
      <c r="AD35" s="133">
        <f>前台二维码提成录入!AD35*$E35</f>
        <v>0</v>
      </c>
      <c r="AE35" s="133">
        <f>前台二维码提成录入!AE35*$E35</f>
        <v>0</v>
      </c>
      <c r="AF35" s="133">
        <f>前台二维码提成录入!AF35*$E35</f>
        <v>0</v>
      </c>
      <c r="AG35" s="133">
        <f>前台二维码提成录入!AG35*$E35</f>
        <v>0</v>
      </c>
      <c r="AH35" s="133">
        <f>前台二维码提成录入!AH35*$E35</f>
        <v>0</v>
      </c>
      <c r="AI35" s="133">
        <f>前台二维码提成录入!AI35*$E35</f>
        <v>1.5</v>
      </c>
      <c r="AJ35" s="133">
        <f>前台二维码提成录入!AJ35*$E35</f>
        <v>0</v>
      </c>
      <c r="AK35" s="133">
        <f>前台二维码提成录入!AK35*$E35</f>
        <v>0</v>
      </c>
      <c r="AL35" s="133">
        <f>前台二维码提成录入!AL35*$E35</f>
        <v>0</v>
      </c>
    </row>
    <row r="36" s="140" customFormat="1" customHeight="1" spans="1:38">
      <c r="A36" s="161">
        <v>32</v>
      </c>
      <c r="B36" s="162" t="str">
        <f>前台二维码提成录入!B36</f>
        <v>孙源</v>
      </c>
      <c r="C36" s="162" t="str">
        <f>前台二维码提成录入!C36</f>
        <v>送物品</v>
      </c>
      <c r="D36" s="162" t="str">
        <f>前台二维码提成录入!D36</f>
        <v>次</v>
      </c>
      <c r="E36" s="162">
        <f>前台二维码提成录入!E36</f>
        <v>0.5</v>
      </c>
      <c r="F36" s="162">
        <f>前台二维码提成录入!F36</f>
        <v>77</v>
      </c>
      <c r="G36" s="162">
        <f>前台二维码提成录入!G36</f>
        <v>38.5</v>
      </c>
      <c r="H36" s="133">
        <f>前台二维码提成录入!H36*$E36</f>
        <v>0</v>
      </c>
      <c r="I36" s="133">
        <f>前台二维码提成录入!I36*$E36</f>
        <v>0</v>
      </c>
      <c r="J36" s="133">
        <f>前台二维码提成录入!J36*$E36</f>
        <v>5.5</v>
      </c>
      <c r="K36" s="133">
        <f>前台二维码提成录入!K36*$E36</f>
        <v>0</v>
      </c>
      <c r="L36" s="133">
        <f>前台二维码提成录入!L36*$E36</f>
        <v>0</v>
      </c>
      <c r="M36" s="133">
        <f>前台二维码提成录入!M36*$E36</f>
        <v>0</v>
      </c>
      <c r="N36" s="133">
        <f>前台二维码提成录入!N36*$E36</f>
        <v>0</v>
      </c>
      <c r="O36" s="133">
        <f>前台二维码提成录入!O36*$E36</f>
        <v>0</v>
      </c>
      <c r="P36" s="133">
        <f>前台二维码提成录入!P36*$E36</f>
        <v>10</v>
      </c>
      <c r="Q36" s="133">
        <f>前台二维码提成录入!Q36*$E36</f>
        <v>0</v>
      </c>
      <c r="R36" s="133">
        <f>前台二维码提成录入!R36*$E36</f>
        <v>0</v>
      </c>
      <c r="S36" s="133">
        <f>前台二维码提成录入!S36*$E36</f>
        <v>0</v>
      </c>
      <c r="T36" s="133">
        <f>前台二维码提成录入!T36*$E36</f>
        <v>0</v>
      </c>
      <c r="U36" s="133">
        <f>前台二维码提成录入!U36*$E36</f>
        <v>0</v>
      </c>
      <c r="V36" s="133">
        <f>前台二维码提成录入!V36*$E36</f>
        <v>6</v>
      </c>
      <c r="W36" s="133">
        <f>前台二维码提成录入!W36*$E36</f>
        <v>2</v>
      </c>
      <c r="X36" s="133">
        <f>前台二维码提成录入!X36*$E36</f>
        <v>0</v>
      </c>
      <c r="Y36" s="133">
        <f>前台二维码提成录入!Y36*$E36</f>
        <v>0</v>
      </c>
      <c r="Z36" s="133">
        <f>前台二维码提成录入!Z36*$E36</f>
        <v>0</v>
      </c>
      <c r="AA36" s="133">
        <f>前台二维码提成录入!AA36*$E36</f>
        <v>0</v>
      </c>
      <c r="AB36" s="133">
        <f>前台二维码提成录入!AB36*$E36</f>
        <v>5</v>
      </c>
      <c r="AC36" s="133">
        <f>前台二维码提成录入!AC36*$E36</f>
        <v>0</v>
      </c>
      <c r="AD36" s="133">
        <f>前台二维码提成录入!AD36*$E36</f>
        <v>0</v>
      </c>
      <c r="AE36" s="133">
        <f>前台二维码提成录入!AE36*$E36</f>
        <v>0</v>
      </c>
      <c r="AF36" s="133">
        <f>前台二维码提成录入!AF36*$E36</f>
        <v>0</v>
      </c>
      <c r="AG36" s="133">
        <f>前台二维码提成录入!AG36*$E36</f>
        <v>0</v>
      </c>
      <c r="AH36" s="133">
        <f>前台二维码提成录入!AH36*$E36</f>
        <v>5</v>
      </c>
      <c r="AI36" s="133">
        <f>前台二维码提成录入!AI36*$E36</f>
        <v>5</v>
      </c>
      <c r="AJ36" s="133">
        <f>前台二维码提成录入!AJ36*$E36</f>
        <v>0</v>
      </c>
      <c r="AK36" s="133">
        <f>前台二维码提成录入!AK36*$E36</f>
        <v>0</v>
      </c>
      <c r="AL36" s="133">
        <f>前台二维码提成录入!AL36*$E36</f>
        <v>0</v>
      </c>
    </row>
    <row r="37" s="140" customFormat="1" customHeight="1" spans="1:38">
      <c r="A37" s="161">
        <v>33</v>
      </c>
      <c r="B37" s="162" t="str">
        <f>前台二维码提成录入!B37</f>
        <v>孙源</v>
      </c>
      <c r="C37" s="162" t="str">
        <f>前台二维码提成录入!C37</f>
        <v>点名表扬</v>
      </c>
      <c r="D37" s="162" t="str">
        <f>前台二维码提成录入!D37</f>
        <v>次</v>
      </c>
      <c r="E37" s="162">
        <f>前台二维码提成录入!E37</f>
        <v>1</v>
      </c>
      <c r="F37" s="162">
        <f>前台二维码提成录入!F37</f>
        <v>0</v>
      </c>
      <c r="G37" s="162">
        <f>前台二维码提成录入!G37</f>
        <v>0</v>
      </c>
      <c r="H37" s="133">
        <f>前台二维码提成录入!H37*$E37</f>
        <v>0</v>
      </c>
      <c r="I37" s="133">
        <f>前台二维码提成录入!I37*$E37</f>
        <v>0</v>
      </c>
      <c r="J37" s="133">
        <f>前台二维码提成录入!J37*$E37</f>
        <v>0</v>
      </c>
      <c r="K37" s="133">
        <f>前台二维码提成录入!K37*$E37</f>
        <v>0</v>
      </c>
      <c r="L37" s="133">
        <f>前台二维码提成录入!L37*$E37</f>
        <v>0</v>
      </c>
      <c r="M37" s="133">
        <f>前台二维码提成录入!M37*$E37</f>
        <v>0</v>
      </c>
      <c r="N37" s="133">
        <f>前台二维码提成录入!N37*$E37</f>
        <v>0</v>
      </c>
      <c r="O37" s="133">
        <f>前台二维码提成录入!O37*$E37</f>
        <v>0</v>
      </c>
      <c r="P37" s="133">
        <f>前台二维码提成录入!P37*$E37</f>
        <v>0</v>
      </c>
      <c r="Q37" s="133">
        <f>前台二维码提成录入!Q37*$E37</f>
        <v>0</v>
      </c>
      <c r="R37" s="133">
        <f>前台二维码提成录入!R37*$E37</f>
        <v>0</v>
      </c>
      <c r="S37" s="133">
        <f>前台二维码提成录入!S37*$E37</f>
        <v>0</v>
      </c>
      <c r="T37" s="133">
        <f>前台二维码提成录入!T37*$E37</f>
        <v>0</v>
      </c>
      <c r="U37" s="133">
        <f>前台二维码提成录入!U37*$E37</f>
        <v>0</v>
      </c>
      <c r="V37" s="133">
        <f>前台二维码提成录入!V37*$E37</f>
        <v>0</v>
      </c>
      <c r="W37" s="133">
        <f>前台二维码提成录入!W37*$E37</f>
        <v>0</v>
      </c>
      <c r="X37" s="133">
        <f>前台二维码提成录入!X37*$E37</f>
        <v>0</v>
      </c>
      <c r="Y37" s="133">
        <f>前台二维码提成录入!Y37*$E37</f>
        <v>0</v>
      </c>
      <c r="Z37" s="133">
        <f>前台二维码提成录入!Z37*$E37</f>
        <v>0</v>
      </c>
      <c r="AA37" s="133">
        <f>前台二维码提成录入!AA37*$E37</f>
        <v>0</v>
      </c>
      <c r="AB37" s="133">
        <f>前台二维码提成录入!AB37*$E37</f>
        <v>0</v>
      </c>
      <c r="AC37" s="133">
        <f>前台二维码提成录入!AC37*$E37</f>
        <v>0</v>
      </c>
      <c r="AD37" s="133">
        <f>前台二维码提成录入!AD37*$E37</f>
        <v>0</v>
      </c>
      <c r="AE37" s="133">
        <f>前台二维码提成录入!AE37*$E37</f>
        <v>0</v>
      </c>
      <c r="AF37" s="133">
        <f>前台二维码提成录入!AF37*$E37</f>
        <v>0</v>
      </c>
      <c r="AG37" s="133">
        <f>前台二维码提成录入!AG37*$E37</f>
        <v>0</v>
      </c>
      <c r="AH37" s="133">
        <f>前台二维码提成录入!AH37*$E37</f>
        <v>0</v>
      </c>
      <c r="AI37" s="133">
        <f>前台二维码提成录入!AI37*$E37</f>
        <v>0</v>
      </c>
      <c r="AJ37" s="133">
        <f>前台二维码提成录入!AJ37*$E37</f>
        <v>0</v>
      </c>
      <c r="AK37" s="133">
        <f>前台二维码提成录入!AK37*$E37</f>
        <v>0</v>
      </c>
      <c r="AL37" s="133">
        <f>前台二维码提成录入!AL37*$E37</f>
        <v>0</v>
      </c>
    </row>
    <row r="38" s="140" customFormat="1" customHeight="1" spans="1:38">
      <c r="A38" s="161">
        <v>34</v>
      </c>
      <c r="B38" s="162" t="str">
        <f>前台二维码提成录入!B38</f>
        <v>孙源</v>
      </c>
      <c r="C38" s="162" t="str">
        <f>前台二维码提成录入!C38</f>
        <v>违规</v>
      </c>
      <c r="D38" s="162" t="str">
        <f>前台二维码提成录入!D38</f>
        <v>次</v>
      </c>
      <c r="E38" s="162">
        <f>前台二维码提成录入!E38</f>
        <v>-2</v>
      </c>
      <c r="F38" s="162">
        <f>前台二维码提成录入!F38</f>
        <v>0</v>
      </c>
      <c r="G38" s="162">
        <f>前台二维码提成录入!G38</f>
        <v>0</v>
      </c>
      <c r="H38" s="133">
        <f>前台二维码提成录入!H38*$E38</f>
        <v>0</v>
      </c>
      <c r="I38" s="133">
        <f>前台二维码提成录入!I38*$E38</f>
        <v>0</v>
      </c>
      <c r="J38" s="133">
        <f>前台二维码提成录入!J38*$E38</f>
        <v>0</v>
      </c>
      <c r="K38" s="133">
        <f>前台二维码提成录入!K38*$E38</f>
        <v>0</v>
      </c>
      <c r="L38" s="133">
        <f>前台二维码提成录入!L38*$E38</f>
        <v>0</v>
      </c>
      <c r="M38" s="133">
        <f>前台二维码提成录入!M38*$E38</f>
        <v>0</v>
      </c>
      <c r="N38" s="133">
        <f>前台二维码提成录入!N38*$E38</f>
        <v>0</v>
      </c>
      <c r="O38" s="133">
        <f>前台二维码提成录入!O38*$E38</f>
        <v>0</v>
      </c>
      <c r="P38" s="133">
        <f>前台二维码提成录入!P38*$E38</f>
        <v>0</v>
      </c>
      <c r="Q38" s="133">
        <f>前台二维码提成录入!Q38*$E38</f>
        <v>0</v>
      </c>
      <c r="R38" s="133">
        <f>前台二维码提成录入!R38*$E38</f>
        <v>0</v>
      </c>
      <c r="S38" s="133">
        <f>前台二维码提成录入!S38*$E38</f>
        <v>0</v>
      </c>
      <c r="T38" s="133">
        <f>前台二维码提成录入!T38*$E38</f>
        <v>0</v>
      </c>
      <c r="U38" s="133">
        <f>前台二维码提成录入!U38*$E38</f>
        <v>0</v>
      </c>
      <c r="V38" s="133">
        <f>前台二维码提成录入!V38*$E38</f>
        <v>0</v>
      </c>
      <c r="W38" s="133">
        <f>前台二维码提成录入!W38*$E38</f>
        <v>0</v>
      </c>
      <c r="X38" s="133">
        <f>前台二维码提成录入!X38*$E38</f>
        <v>0</v>
      </c>
      <c r="Y38" s="133">
        <f>前台二维码提成录入!Y38*$E38</f>
        <v>0</v>
      </c>
      <c r="Z38" s="133">
        <f>前台二维码提成录入!Z38*$E38</f>
        <v>0</v>
      </c>
      <c r="AA38" s="133">
        <f>前台二维码提成录入!AA38*$E38</f>
        <v>0</v>
      </c>
      <c r="AB38" s="133">
        <f>前台二维码提成录入!AB38*$E38</f>
        <v>0</v>
      </c>
      <c r="AC38" s="133">
        <f>前台二维码提成录入!AC38*$E38</f>
        <v>0</v>
      </c>
      <c r="AD38" s="133">
        <f>前台二维码提成录入!AD38*$E38</f>
        <v>0</v>
      </c>
      <c r="AE38" s="133">
        <f>前台二维码提成录入!AE38*$E38</f>
        <v>0</v>
      </c>
      <c r="AF38" s="133">
        <f>前台二维码提成录入!AF38*$E38</f>
        <v>0</v>
      </c>
      <c r="AG38" s="133">
        <f>前台二维码提成录入!AG38*$E38</f>
        <v>0</v>
      </c>
      <c r="AH38" s="133">
        <f>前台二维码提成录入!AH38*$E38</f>
        <v>0</v>
      </c>
      <c r="AI38" s="133">
        <f>前台二维码提成录入!AI38*$E38</f>
        <v>0</v>
      </c>
      <c r="AJ38" s="133">
        <f>前台二维码提成录入!AJ38*$E38</f>
        <v>0</v>
      </c>
      <c r="AK38" s="133">
        <f>前台二维码提成录入!AK38*$E38</f>
        <v>0</v>
      </c>
      <c r="AL38" s="133">
        <f>前台二维码提成录入!AL38*$E38</f>
        <v>0</v>
      </c>
    </row>
    <row r="39" s="140" customFormat="1" customHeight="1" spans="1:38">
      <c r="A39" s="161">
        <v>35</v>
      </c>
      <c r="B39" s="162" t="str">
        <f>前台二维码提成录入!B39</f>
        <v>孙源</v>
      </c>
      <c r="C39" s="162" t="str">
        <f>前台二维码提成录入!C39</f>
        <v>其他</v>
      </c>
      <c r="D39" s="162" t="str">
        <f>前台二维码提成录入!D39</f>
        <v>次</v>
      </c>
      <c r="E39" s="162">
        <f>前台二维码提成录入!E39</f>
        <v>2</v>
      </c>
      <c r="F39" s="162">
        <f>前台二维码提成录入!F39</f>
        <v>0</v>
      </c>
      <c r="G39" s="162">
        <f>前台二维码提成录入!G39</f>
        <v>0</v>
      </c>
      <c r="H39" s="133">
        <f>前台二维码提成录入!H39*$E39</f>
        <v>0</v>
      </c>
      <c r="I39" s="133">
        <f>前台二维码提成录入!I39*$E39</f>
        <v>0</v>
      </c>
      <c r="J39" s="133">
        <f>前台二维码提成录入!J39*$E39</f>
        <v>0</v>
      </c>
      <c r="K39" s="133">
        <f>前台二维码提成录入!K39*$E39</f>
        <v>0</v>
      </c>
      <c r="L39" s="133">
        <f>前台二维码提成录入!L39*$E39</f>
        <v>0</v>
      </c>
      <c r="M39" s="133">
        <f>前台二维码提成录入!M39*$E39</f>
        <v>0</v>
      </c>
      <c r="N39" s="133">
        <f>前台二维码提成录入!N39*$E39</f>
        <v>0</v>
      </c>
      <c r="O39" s="133">
        <f>前台二维码提成录入!O39*$E39</f>
        <v>0</v>
      </c>
      <c r="P39" s="133">
        <f>前台二维码提成录入!P39*$E39</f>
        <v>0</v>
      </c>
      <c r="Q39" s="133">
        <f>前台二维码提成录入!Q39*$E39</f>
        <v>0</v>
      </c>
      <c r="R39" s="133">
        <f>前台二维码提成录入!R39*$E39</f>
        <v>0</v>
      </c>
      <c r="S39" s="133">
        <f>前台二维码提成录入!S39*$E39</f>
        <v>0</v>
      </c>
      <c r="T39" s="133">
        <f>前台二维码提成录入!T39*$E39</f>
        <v>0</v>
      </c>
      <c r="U39" s="133">
        <f>前台二维码提成录入!U39*$E39</f>
        <v>0</v>
      </c>
      <c r="V39" s="133">
        <f>前台二维码提成录入!V39*$E39</f>
        <v>0</v>
      </c>
      <c r="W39" s="133">
        <f>前台二维码提成录入!W39*$E39</f>
        <v>0</v>
      </c>
      <c r="X39" s="133">
        <f>前台二维码提成录入!X39*$E39</f>
        <v>0</v>
      </c>
      <c r="Y39" s="133">
        <f>前台二维码提成录入!Y39*$E39</f>
        <v>0</v>
      </c>
      <c r="Z39" s="133">
        <f>前台二维码提成录入!Z39*$E39</f>
        <v>0</v>
      </c>
      <c r="AA39" s="133">
        <f>前台二维码提成录入!AA39*$E39</f>
        <v>0</v>
      </c>
      <c r="AB39" s="133">
        <f>前台二维码提成录入!AB39*$E39</f>
        <v>0</v>
      </c>
      <c r="AC39" s="133">
        <f>前台二维码提成录入!AC39*$E39</f>
        <v>0</v>
      </c>
      <c r="AD39" s="133">
        <f>前台二维码提成录入!AD39*$E39</f>
        <v>0</v>
      </c>
      <c r="AE39" s="133">
        <f>前台二维码提成录入!AE39*$E39</f>
        <v>0</v>
      </c>
      <c r="AF39" s="133">
        <f>前台二维码提成录入!AF39*$E39</f>
        <v>0</v>
      </c>
      <c r="AG39" s="133">
        <f>前台二维码提成录入!AG39*$E39</f>
        <v>0</v>
      </c>
      <c r="AH39" s="133">
        <f>前台二维码提成录入!AH39*$E39</f>
        <v>0</v>
      </c>
      <c r="AI39" s="133">
        <f>前台二维码提成录入!AI39*$E39</f>
        <v>0</v>
      </c>
      <c r="AJ39" s="133">
        <f>前台二维码提成录入!AJ39*$E39</f>
        <v>0</v>
      </c>
      <c r="AK39" s="133">
        <f>前台二维码提成录入!AK39*$E39</f>
        <v>0</v>
      </c>
      <c r="AL39" s="133">
        <f>前台二维码提成录入!AL39*$E39</f>
        <v>0</v>
      </c>
    </row>
    <row r="40" s="140" customFormat="1" customHeight="1" spans="1:38">
      <c r="A40" s="161">
        <v>36</v>
      </c>
      <c r="B40" s="162" t="str">
        <f>前台二维码提成录入!B40</f>
        <v>吴怡</v>
      </c>
      <c r="C40" s="162" t="str">
        <f>前台二维码提成录入!C40</f>
        <v>洗衣</v>
      </c>
      <c r="D40" s="162" t="str">
        <f>前台二维码提成录入!D40</f>
        <v>次</v>
      </c>
      <c r="E40" s="162">
        <f>前台二维码提成录入!E40</f>
        <v>1.5</v>
      </c>
      <c r="F40" s="162">
        <f>前台二维码提成录入!F40</f>
        <v>5</v>
      </c>
      <c r="G40" s="162">
        <f>前台二维码提成录入!G40</f>
        <v>7.5</v>
      </c>
      <c r="H40" s="133">
        <f>前台二维码提成录入!H40*$E40</f>
        <v>0</v>
      </c>
      <c r="I40" s="133">
        <f>前台二维码提成录入!I40*$E40</f>
        <v>1.5</v>
      </c>
      <c r="J40" s="133">
        <f>前台二维码提成录入!J40*$E40</f>
        <v>0</v>
      </c>
      <c r="K40" s="133">
        <f>前台二维码提成录入!K40*$E40</f>
        <v>0</v>
      </c>
      <c r="L40" s="133">
        <f>前台二维码提成录入!L40*$E40</f>
        <v>0</v>
      </c>
      <c r="M40" s="133">
        <f>前台二维码提成录入!M40*$E40</f>
        <v>0</v>
      </c>
      <c r="N40" s="133">
        <f>前台二维码提成录入!N40*$E40</f>
        <v>0</v>
      </c>
      <c r="O40" s="133">
        <f>前台二维码提成录入!O40*$E40</f>
        <v>0</v>
      </c>
      <c r="P40" s="133">
        <f>前台二维码提成录入!P40*$E40</f>
        <v>0</v>
      </c>
      <c r="Q40" s="133">
        <f>前台二维码提成录入!Q40*$E40</f>
        <v>0</v>
      </c>
      <c r="R40" s="133">
        <f>前台二维码提成录入!R40*$E40</f>
        <v>0</v>
      </c>
      <c r="S40" s="133">
        <f>前台二维码提成录入!S40*$E40</f>
        <v>0</v>
      </c>
      <c r="T40" s="133">
        <f>前台二维码提成录入!T40*$E40</f>
        <v>1.5</v>
      </c>
      <c r="U40" s="133">
        <f>前台二维码提成录入!U40*$E40</f>
        <v>1.5</v>
      </c>
      <c r="V40" s="133">
        <f>前台二维码提成录入!V40*$E40</f>
        <v>0</v>
      </c>
      <c r="W40" s="133">
        <f>前台二维码提成录入!W40*$E40</f>
        <v>0</v>
      </c>
      <c r="X40" s="133">
        <f>前台二维码提成录入!X40*$E40</f>
        <v>3</v>
      </c>
      <c r="Y40" s="133">
        <f>前台二维码提成录入!Y40*$E40</f>
        <v>0</v>
      </c>
      <c r="Z40" s="133">
        <f>前台二维码提成录入!Z40*$E40</f>
        <v>0</v>
      </c>
      <c r="AA40" s="133">
        <f>前台二维码提成录入!AA40*$E40</f>
        <v>0</v>
      </c>
      <c r="AB40" s="133">
        <f>前台二维码提成录入!AB40*$E40</f>
        <v>0</v>
      </c>
      <c r="AC40" s="133">
        <f>前台二维码提成录入!AC40*$E40</f>
        <v>0</v>
      </c>
      <c r="AD40" s="133">
        <f>前台二维码提成录入!AD40*$E40</f>
        <v>0</v>
      </c>
      <c r="AE40" s="133">
        <f>前台二维码提成录入!AE40*$E40</f>
        <v>0</v>
      </c>
      <c r="AF40" s="133">
        <f>前台二维码提成录入!AF40*$E40</f>
        <v>0</v>
      </c>
      <c r="AG40" s="133">
        <f>前台二维码提成录入!AG40*$E40</f>
        <v>0</v>
      </c>
      <c r="AH40" s="133">
        <f>前台二维码提成录入!AH40*$E40</f>
        <v>0</v>
      </c>
      <c r="AI40" s="133">
        <f>前台二维码提成录入!AI40*$E40</f>
        <v>0</v>
      </c>
      <c r="AJ40" s="133">
        <f>前台二维码提成录入!AJ40*$E40</f>
        <v>0</v>
      </c>
      <c r="AK40" s="133">
        <f>前台二维码提成录入!AK40*$E40</f>
        <v>0</v>
      </c>
      <c r="AL40" s="133">
        <f>前台二维码提成录入!AL40*$E40</f>
        <v>0</v>
      </c>
    </row>
    <row r="41" s="140" customFormat="1" customHeight="1" spans="1:38">
      <c r="A41" s="161">
        <v>37</v>
      </c>
      <c r="B41" s="162" t="str">
        <f>前台二维码提成录入!B41</f>
        <v>吴怡</v>
      </c>
      <c r="C41" s="162" t="str">
        <f>前台二维码提成录入!C41</f>
        <v>送物品</v>
      </c>
      <c r="D41" s="162" t="str">
        <f>前台二维码提成录入!D41</f>
        <v>次</v>
      </c>
      <c r="E41" s="162">
        <f>前台二维码提成录入!E41</f>
        <v>0.5</v>
      </c>
      <c r="F41" s="162">
        <f>前台二维码提成录入!F41</f>
        <v>210</v>
      </c>
      <c r="G41" s="162">
        <f>前台二维码提成录入!G41</f>
        <v>105</v>
      </c>
      <c r="H41" s="133">
        <f>前台二维码提成录入!H41*$E41</f>
        <v>3</v>
      </c>
      <c r="I41" s="133">
        <f>前台二维码提成录入!I41*$E41</f>
        <v>0</v>
      </c>
      <c r="J41" s="133">
        <f>前台二维码提成录入!J41*$E41</f>
        <v>0</v>
      </c>
      <c r="K41" s="133">
        <f>前台二维码提成录入!K41*$E41</f>
        <v>0</v>
      </c>
      <c r="L41" s="133">
        <f>前台二维码提成录入!L41*$E41</f>
        <v>0</v>
      </c>
      <c r="M41" s="133">
        <f>前台二维码提成录入!M41*$E41</f>
        <v>0</v>
      </c>
      <c r="N41" s="133">
        <f>前台二维码提成录入!N41*$E41</f>
        <v>2</v>
      </c>
      <c r="O41" s="133">
        <f>前台二维码提成录入!O41*$E41</f>
        <v>7.5</v>
      </c>
      <c r="P41" s="133">
        <f>前台二维码提成录入!P41*$E41</f>
        <v>0</v>
      </c>
      <c r="Q41" s="133">
        <f>前台二维码提成录入!Q41*$E41</f>
        <v>0</v>
      </c>
      <c r="R41" s="133">
        <f>前台二维码提成录入!R41*$E41</f>
        <v>0</v>
      </c>
      <c r="S41" s="133">
        <f>前台二维码提成录入!S41*$E41</f>
        <v>0</v>
      </c>
      <c r="T41" s="133">
        <f>前台二维码提成录入!T41*$E41</f>
        <v>6.5</v>
      </c>
      <c r="U41" s="133">
        <f>前台二维码提成录入!U41*$E41</f>
        <v>5</v>
      </c>
      <c r="V41" s="133">
        <f>前台二维码提成录入!V41*$E41</f>
        <v>0</v>
      </c>
      <c r="W41" s="133">
        <f>前台二维码提成录入!W41*$E41</f>
        <v>0</v>
      </c>
      <c r="X41" s="133">
        <f>前台二维码提成录入!X41*$E41</f>
        <v>0</v>
      </c>
      <c r="Y41" s="133">
        <f>前台二维码提成录入!Y41*$E41</f>
        <v>0</v>
      </c>
      <c r="Z41" s="133">
        <f>前台二维码提成录入!Z41*$E41</f>
        <v>10</v>
      </c>
      <c r="AA41" s="133">
        <f>前台二维码提成录入!AA41*$E41</f>
        <v>5</v>
      </c>
      <c r="AB41" s="133">
        <f>前台二维码提成录入!AB41*$E41</f>
        <v>0</v>
      </c>
      <c r="AC41" s="133">
        <f>前台二维码提成录入!AC41*$E41</f>
        <v>0</v>
      </c>
      <c r="AD41" s="133">
        <f>前台二维码提成录入!AD41*$E41</f>
        <v>0</v>
      </c>
      <c r="AE41" s="133">
        <f>前台二维码提成录入!AE41*$E41</f>
        <v>0</v>
      </c>
      <c r="AF41" s="133">
        <f>前台二维码提成录入!AF41*$E41</f>
        <v>7</v>
      </c>
      <c r="AG41" s="133">
        <f>前台二维码提成录入!AG41*$E41</f>
        <v>54</v>
      </c>
      <c r="AH41" s="133">
        <f>前台二维码提成录入!AH41*$E41</f>
        <v>0</v>
      </c>
      <c r="AI41" s="133">
        <f>前台二维码提成录入!AI41*$E41</f>
        <v>0</v>
      </c>
      <c r="AJ41" s="133">
        <f>前台二维码提成录入!AJ41*$E41</f>
        <v>0</v>
      </c>
      <c r="AK41" s="133">
        <f>前台二维码提成录入!AK41*$E41</f>
        <v>0</v>
      </c>
      <c r="AL41" s="133">
        <f>前台二维码提成录入!AL41*$E41</f>
        <v>5</v>
      </c>
    </row>
    <row r="42" s="140" customFormat="1" customHeight="1" spans="1:38">
      <c r="A42" s="161">
        <v>38</v>
      </c>
      <c r="B42" s="162" t="str">
        <f>前台二维码提成录入!B42</f>
        <v>吴怡</v>
      </c>
      <c r="C42" s="162" t="str">
        <f>前台二维码提成录入!C42</f>
        <v>点名表扬</v>
      </c>
      <c r="D42" s="162" t="str">
        <f>前台二维码提成录入!D42</f>
        <v>次</v>
      </c>
      <c r="E42" s="162">
        <f>前台二维码提成录入!E42</f>
        <v>1</v>
      </c>
      <c r="F42" s="162">
        <f>前台二维码提成录入!F42</f>
        <v>0</v>
      </c>
      <c r="G42" s="162">
        <f>前台二维码提成录入!G42</f>
        <v>0</v>
      </c>
      <c r="H42" s="133">
        <f>前台二维码提成录入!H42*$E42</f>
        <v>0</v>
      </c>
      <c r="I42" s="133">
        <f>前台二维码提成录入!I42*$E42</f>
        <v>0</v>
      </c>
      <c r="J42" s="133">
        <f>前台二维码提成录入!J42*$E42</f>
        <v>0</v>
      </c>
      <c r="K42" s="133">
        <f>前台二维码提成录入!K42*$E42</f>
        <v>0</v>
      </c>
      <c r="L42" s="133">
        <f>前台二维码提成录入!L42*$E42</f>
        <v>0</v>
      </c>
      <c r="M42" s="133">
        <f>前台二维码提成录入!M42*$E42</f>
        <v>0</v>
      </c>
      <c r="N42" s="133">
        <f>前台二维码提成录入!N42*$E42</f>
        <v>0</v>
      </c>
      <c r="O42" s="133">
        <f>前台二维码提成录入!O42*$E42</f>
        <v>0</v>
      </c>
      <c r="P42" s="133">
        <f>前台二维码提成录入!P42*$E42</f>
        <v>0</v>
      </c>
      <c r="Q42" s="133">
        <f>前台二维码提成录入!Q42*$E42</f>
        <v>0</v>
      </c>
      <c r="R42" s="133">
        <f>前台二维码提成录入!R42*$E42</f>
        <v>0</v>
      </c>
      <c r="S42" s="133">
        <f>前台二维码提成录入!S42*$E42</f>
        <v>0</v>
      </c>
      <c r="T42" s="133">
        <f>前台二维码提成录入!T42*$E42</f>
        <v>0</v>
      </c>
      <c r="U42" s="133">
        <f>前台二维码提成录入!U42*$E42</f>
        <v>0</v>
      </c>
      <c r="V42" s="133">
        <f>前台二维码提成录入!V42*$E42</f>
        <v>0</v>
      </c>
      <c r="W42" s="133">
        <f>前台二维码提成录入!W42*$E42</f>
        <v>0</v>
      </c>
      <c r="X42" s="133">
        <f>前台二维码提成录入!X42*$E42</f>
        <v>0</v>
      </c>
      <c r="Y42" s="133">
        <f>前台二维码提成录入!Y42*$E42</f>
        <v>0</v>
      </c>
      <c r="Z42" s="133">
        <f>前台二维码提成录入!Z42*$E42</f>
        <v>0</v>
      </c>
      <c r="AA42" s="133">
        <f>前台二维码提成录入!AA42*$E42</f>
        <v>0</v>
      </c>
      <c r="AB42" s="133">
        <f>前台二维码提成录入!AB42*$E42</f>
        <v>0</v>
      </c>
      <c r="AC42" s="133">
        <f>前台二维码提成录入!AC42*$E42</f>
        <v>0</v>
      </c>
      <c r="AD42" s="133">
        <f>前台二维码提成录入!AD42*$E42</f>
        <v>0</v>
      </c>
      <c r="AE42" s="133">
        <f>前台二维码提成录入!AE42*$E42</f>
        <v>0</v>
      </c>
      <c r="AF42" s="133">
        <f>前台二维码提成录入!AF42*$E42</f>
        <v>0</v>
      </c>
      <c r="AG42" s="133">
        <f>前台二维码提成录入!AG42*$E42</f>
        <v>0</v>
      </c>
      <c r="AH42" s="133">
        <f>前台二维码提成录入!AH42*$E42</f>
        <v>0</v>
      </c>
      <c r="AI42" s="133">
        <f>前台二维码提成录入!AI42*$E42</f>
        <v>0</v>
      </c>
      <c r="AJ42" s="133">
        <f>前台二维码提成录入!AJ42*$E42</f>
        <v>0</v>
      </c>
      <c r="AK42" s="133">
        <f>前台二维码提成录入!AK42*$E42</f>
        <v>0</v>
      </c>
      <c r="AL42" s="133">
        <f>前台二维码提成录入!AL42*$E42</f>
        <v>0</v>
      </c>
    </row>
    <row r="43" s="140" customFormat="1" customHeight="1" spans="1:38">
      <c r="A43" s="161">
        <v>39</v>
      </c>
      <c r="B43" s="162" t="str">
        <f>前台二维码提成录入!B43</f>
        <v>吴怡</v>
      </c>
      <c r="C43" s="162" t="str">
        <f>前台二维码提成录入!C43</f>
        <v>违规</v>
      </c>
      <c r="D43" s="162" t="str">
        <f>前台二维码提成录入!D43</f>
        <v>次</v>
      </c>
      <c r="E43" s="162">
        <f>前台二维码提成录入!E43</f>
        <v>-2</v>
      </c>
      <c r="F43" s="162">
        <f>前台二维码提成录入!F43</f>
        <v>0</v>
      </c>
      <c r="G43" s="162">
        <f>前台二维码提成录入!G43</f>
        <v>0</v>
      </c>
      <c r="H43" s="133">
        <f>前台二维码提成录入!H43*$E43</f>
        <v>0</v>
      </c>
      <c r="I43" s="133">
        <f>前台二维码提成录入!I43*$E43</f>
        <v>0</v>
      </c>
      <c r="J43" s="133">
        <f>前台二维码提成录入!J43*$E43</f>
        <v>0</v>
      </c>
      <c r="K43" s="133">
        <f>前台二维码提成录入!K43*$E43</f>
        <v>0</v>
      </c>
      <c r="L43" s="133">
        <f>前台二维码提成录入!L43*$E43</f>
        <v>0</v>
      </c>
      <c r="M43" s="133">
        <f>前台二维码提成录入!M43*$E43</f>
        <v>0</v>
      </c>
      <c r="N43" s="133">
        <f>前台二维码提成录入!N43*$E43</f>
        <v>0</v>
      </c>
      <c r="O43" s="133">
        <f>前台二维码提成录入!O43*$E43</f>
        <v>0</v>
      </c>
      <c r="P43" s="133">
        <f>前台二维码提成录入!P43*$E43</f>
        <v>0</v>
      </c>
      <c r="Q43" s="133">
        <f>前台二维码提成录入!Q43*$E43</f>
        <v>0</v>
      </c>
      <c r="R43" s="133">
        <f>前台二维码提成录入!R43*$E43</f>
        <v>0</v>
      </c>
      <c r="S43" s="133">
        <f>前台二维码提成录入!S43*$E43</f>
        <v>0</v>
      </c>
      <c r="T43" s="133">
        <f>前台二维码提成录入!T43*$E43</f>
        <v>0</v>
      </c>
      <c r="U43" s="133">
        <f>前台二维码提成录入!U43*$E43</f>
        <v>0</v>
      </c>
      <c r="V43" s="133">
        <f>前台二维码提成录入!V43*$E43</f>
        <v>0</v>
      </c>
      <c r="W43" s="133">
        <f>前台二维码提成录入!W43*$E43</f>
        <v>0</v>
      </c>
      <c r="X43" s="133">
        <f>前台二维码提成录入!X43*$E43</f>
        <v>0</v>
      </c>
      <c r="Y43" s="133">
        <f>前台二维码提成录入!Y43*$E43</f>
        <v>0</v>
      </c>
      <c r="Z43" s="133">
        <f>前台二维码提成录入!Z43*$E43</f>
        <v>0</v>
      </c>
      <c r="AA43" s="133">
        <f>前台二维码提成录入!AA43*$E43</f>
        <v>0</v>
      </c>
      <c r="AB43" s="133">
        <f>前台二维码提成录入!AB43*$E43</f>
        <v>0</v>
      </c>
      <c r="AC43" s="133">
        <f>前台二维码提成录入!AC43*$E43</f>
        <v>0</v>
      </c>
      <c r="AD43" s="133">
        <f>前台二维码提成录入!AD43*$E43</f>
        <v>0</v>
      </c>
      <c r="AE43" s="133">
        <f>前台二维码提成录入!AE43*$E43</f>
        <v>0</v>
      </c>
      <c r="AF43" s="133">
        <f>前台二维码提成录入!AF43*$E43</f>
        <v>0</v>
      </c>
      <c r="AG43" s="133">
        <f>前台二维码提成录入!AG43*$E43</f>
        <v>0</v>
      </c>
      <c r="AH43" s="133">
        <f>前台二维码提成录入!AH43*$E43</f>
        <v>0</v>
      </c>
      <c r="AI43" s="133">
        <f>前台二维码提成录入!AI43*$E43</f>
        <v>0</v>
      </c>
      <c r="AJ43" s="133">
        <f>前台二维码提成录入!AJ43*$E43</f>
        <v>0</v>
      </c>
      <c r="AK43" s="133">
        <f>前台二维码提成录入!AK43*$E43</f>
        <v>0</v>
      </c>
      <c r="AL43" s="133">
        <f>前台二维码提成录入!AL43*$E43</f>
        <v>0</v>
      </c>
    </row>
    <row r="44" s="140" customFormat="1" customHeight="1" spans="1:38">
      <c r="A44" s="161">
        <v>40</v>
      </c>
      <c r="B44" s="162" t="str">
        <f>前台二维码提成录入!B44</f>
        <v>吴怡</v>
      </c>
      <c r="C44" s="162" t="str">
        <f>前台二维码提成录入!C44</f>
        <v>其他</v>
      </c>
      <c r="D44" s="162" t="str">
        <f>前台二维码提成录入!D44</f>
        <v>次</v>
      </c>
      <c r="E44" s="162">
        <f>前台二维码提成录入!E44</f>
        <v>2</v>
      </c>
      <c r="F44" s="162">
        <f>前台二维码提成录入!F44</f>
        <v>0</v>
      </c>
      <c r="G44" s="162">
        <f>前台二维码提成录入!G44</f>
        <v>0</v>
      </c>
      <c r="H44" s="133">
        <f>前台二维码提成录入!H44*$E44</f>
        <v>0</v>
      </c>
      <c r="I44" s="133">
        <f>前台二维码提成录入!I44*$E44</f>
        <v>0</v>
      </c>
      <c r="J44" s="133">
        <f>前台二维码提成录入!J44*$E44</f>
        <v>0</v>
      </c>
      <c r="K44" s="133">
        <f>前台二维码提成录入!K44*$E44</f>
        <v>0</v>
      </c>
      <c r="L44" s="133">
        <f>前台二维码提成录入!L44*$E44</f>
        <v>0</v>
      </c>
      <c r="M44" s="133">
        <f>前台二维码提成录入!M44*$E44</f>
        <v>0</v>
      </c>
      <c r="N44" s="133">
        <f>前台二维码提成录入!N44*$E44</f>
        <v>0</v>
      </c>
      <c r="O44" s="133">
        <f>前台二维码提成录入!O44*$E44</f>
        <v>0</v>
      </c>
      <c r="P44" s="133">
        <f>前台二维码提成录入!P44*$E44</f>
        <v>0</v>
      </c>
      <c r="Q44" s="133">
        <f>前台二维码提成录入!Q44*$E44</f>
        <v>0</v>
      </c>
      <c r="R44" s="133">
        <f>前台二维码提成录入!R44*$E44</f>
        <v>0</v>
      </c>
      <c r="S44" s="133">
        <f>前台二维码提成录入!S44*$E44</f>
        <v>0</v>
      </c>
      <c r="T44" s="133">
        <f>前台二维码提成录入!T44*$E44</f>
        <v>0</v>
      </c>
      <c r="U44" s="133">
        <f>前台二维码提成录入!U44*$E44</f>
        <v>0</v>
      </c>
      <c r="V44" s="133">
        <f>前台二维码提成录入!V44*$E44</f>
        <v>0</v>
      </c>
      <c r="W44" s="133">
        <f>前台二维码提成录入!W44*$E44</f>
        <v>0</v>
      </c>
      <c r="X44" s="133">
        <f>前台二维码提成录入!X44*$E44</f>
        <v>0</v>
      </c>
      <c r="Y44" s="133">
        <f>前台二维码提成录入!Y44*$E44</f>
        <v>0</v>
      </c>
      <c r="Z44" s="133">
        <f>前台二维码提成录入!Z44*$E44</f>
        <v>0</v>
      </c>
      <c r="AA44" s="133">
        <f>前台二维码提成录入!AA44*$E44</f>
        <v>0</v>
      </c>
      <c r="AB44" s="133">
        <f>前台二维码提成录入!AB44*$E44</f>
        <v>0</v>
      </c>
      <c r="AC44" s="133">
        <f>前台二维码提成录入!AC44*$E44</f>
        <v>0</v>
      </c>
      <c r="AD44" s="133">
        <f>前台二维码提成录入!AD44*$E44</f>
        <v>0</v>
      </c>
      <c r="AE44" s="133">
        <f>前台二维码提成录入!AE44*$E44</f>
        <v>0</v>
      </c>
      <c r="AF44" s="133">
        <f>前台二维码提成录入!AF44*$E44</f>
        <v>0</v>
      </c>
      <c r="AG44" s="133">
        <f>前台二维码提成录入!AG44*$E44</f>
        <v>0</v>
      </c>
      <c r="AH44" s="133">
        <f>前台二维码提成录入!AH44*$E44</f>
        <v>0</v>
      </c>
      <c r="AI44" s="133">
        <f>前台二维码提成录入!AI44*$E44</f>
        <v>0</v>
      </c>
      <c r="AJ44" s="133">
        <f>前台二维码提成录入!AJ44*$E44</f>
        <v>0</v>
      </c>
      <c r="AK44" s="133">
        <f>前台二维码提成录入!AK44*$E44</f>
        <v>0</v>
      </c>
      <c r="AL44" s="133">
        <f>前台二维码提成录入!AL44*$E44</f>
        <v>0</v>
      </c>
    </row>
    <row r="45" s="140" customFormat="1" customHeight="1" spans="1:38">
      <c r="A45" s="161">
        <v>41</v>
      </c>
      <c r="B45" s="162" t="str">
        <f>前台二维码提成录入!B45</f>
        <v>徐嘉瑜</v>
      </c>
      <c r="C45" s="162" t="str">
        <f>前台二维码提成录入!C45</f>
        <v>洗衣</v>
      </c>
      <c r="D45" s="162" t="str">
        <f>前台二维码提成录入!D45</f>
        <v>次</v>
      </c>
      <c r="E45" s="162">
        <f>前台二维码提成录入!E45</f>
        <v>1.5</v>
      </c>
      <c r="F45" s="162">
        <f>前台二维码提成录入!F45</f>
        <v>9</v>
      </c>
      <c r="G45" s="162">
        <f>前台二维码提成录入!G45</f>
        <v>13.5</v>
      </c>
      <c r="H45" s="133">
        <f>前台二维码提成录入!H45*$E45</f>
        <v>0</v>
      </c>
      <c r="I45" s="133">
        <f>前台二维码提成录入!I45*$E45</f>
        <v>0</v>
      </c>
      <c r="J45" s="133">
        <f>前台二维码提成录入!J45*$E45</f>
        <v>0</v>
      </c>
      <c r="K45" s="133">
        <f>前台二维码提成录入!K45*$E45</f>
        <v>0</v>
      </c>
      <c r="L45" s="133">
        <f>前台二维码提成录入!L45*$E45</f>
        <v>0</v>
      </c>
      <c r="M45" s="133">
        <f>前台二维码提成录入!M45*$E45</f>
        <v>0</v>
      </c>
      <c r="N45" s="133">
        <f>前台二维码提成录入!N45*$E45</f>
        <v>0</v>
      </c>
      <c r="O45" s="133">
        <f>前台二维码提成录入!O45*$E45</f>
        <v>6</v>
      </c>
      <c r="P45" s="133">
        <f>前台二维码提成录入!P45*$E45</f>
        <v>0</v>
      </c>
      <c r="Q45" s="133">
        <f>前台二维码提成录入!Q45*$E45</f>
        <v>0</v>
      </c>
      <c r="R45" s="133">
        <f>前台二维码提成录入!R45*$E45</f>
        <v>1.5</v>
      </c>
      <c r="S45" s="133">
        <f>前台二维码提成录入!S45*$E45</f>
        <v>0</v>
      </c>
      <c r="T45" s="133">
        <f>前台二维码提成录入!T45*$E45</f>
        <v>0</v>
      </c>
      <c r="U45" s="133">
        <f>前台二维码提成录入!U45*$E45</f>
        <v>1.5</v>
      </c>
      <c r="V45" s="133">
        <f>前台二维码提成录入!V45*$E45</f>
        <v>0</v>
      </c>
      <c r="W45" s="133">
        <f>前台二维码提成录入!W45*$E45</f>
        <v>0</v>
      </c>
      <c r="X45" s="133">
        <f>前台二维码提成录入!X45*$E45</f>
        <v>0</v>
      </c>
      <c r="Y45" s="133">
        <f>前台二维码提成录入!Y45*$E45</f>
        <v>0</v>
      </c>
      <c r="Z45" s="133">
        <f>前台二维码提成录入!Z45*$E45</f>
        <v>0</v>
      </c>
      <c r="AA45" s="133">
        <f>前台二维码提成录入!AA45*$E45</f>
        <v>0</v>
      </c>
      <c r="AB45" s="133">
        <f>前台二维码提成录入!AB45*$E45</f>
        <v>1.5</v>
      </c>
      <c r="AC45" s="133">
        <f>前台二维码提成录入!AC45*$E45</f>
        <v>0</v>
      </c>
      <c r="AD45" s="133">
        <f>前台二维码提成录入!AD45*$E45</f>
        <v>0</v>
      </c>
      <c r="AE45" s="133">
        <f>前台二维码提成录入!AE45*$E45</f>
        <v>0</v>
      </c>
      <c r="AF45" s="133">
        <f>前台二维码提成录入!AF45*$E45</f>
        <v>1.5</v>
      </c>
      <c r="AG45" s="133">
        <f>前台二维码提成录入!AG45*$E45</f>
        <v>1.5</v>
      </c>
      <c r="AH45" s="133">
        <f>前台二维码提成录入!AH45*$E45</f>
        <v>0</v>
      </c>
      <c r="AI45" s="133">
        <f>前台二维码提成录入!AI45*$E45</f>
        <v>0</v>
      </c>
      <c r="AJ45" s="133">
        <f>前台二维码提成录入!AJ45*$E45</f>
        <v>0</v>
      </c>
      <c r="AK45" s="133">
        <f>前台二维码提成录入!AK45*$E45</f>
        <v>0</v>
      </c>
      <c r="AL45" s="133">
        <f>前台二维码提成录入!AL45*$E45</f>
        <v>0</v>
      </c>
    </row>
    <row r="46" s="140" customFormat="1" customHeight="1" spans="1:38">
      <c r="A46" s="161">
        <v>42</v>
      </c>
      <c r="B46" s="162" t="str">
        <f>前台二维码提成录入!B46</f>
        <v>徐嘉瑜</v>
      </c>
      <c r="C46" s="162" t="str">
        <f>前台二维码提成录入!C46</f>
        <v>送物品</v>
      </c>
      <c r="D46" s="162" t="str">
        <f>前台二维码提成录入!D46</f>
        <v>次</v>
      </c>
      <c r="E46" s="162">
        <f>前台二维码提成录入!E46</f>
        <v>0.5</v>
      </c>
      <c r="F46" s="162">
        <f>前台二维码提成录入!F46</f>
        <v>118</v>
      </c>
      <c r="G46" s="162">
        <f>前台二维码提成录入!G46</f>
        <v>59</v>
      </c>
      <c r="H46" s="133">
        <f>前台二维码提成录入!H46*$E46</f>
        <v>3</v>
      </c>
      <c r="I46" s="133">
        <f>前台二维码提成录入!I46*$E46</f>
        <v>0.5</v>
      </c>
      <c r="J46" s="133">
        <f>前台二维码提成录入!J46*$E46</f>
        <v>0</v>
      </c>
      <c r="K46" s="133">
        <f>前台二维码提成录入!K46*$E46</f>
        <v>0</v>
      </c>
      <c r="L46" s="133">
        <f>前台二维码提成录入!L46*$E46</f>
        <v>0</v>
      </c>
      <c r="M46" s="133">
        <f>前台二维码提成录入!M46*$E46</f>
        <v>0</v>
      </c>
      <c r="N46" s="133">
        <f>前台二维码提成录入!N46*$E46</f>
        <v>2</v>
      </c>
      <c r="O46" s="133">
        <f>前台二维码提成录入!O46*$E46</f>
        <v>7.5</v>
      </c>
      <c r="P46" s="133">
        <f>前台二维码提成录入!P46*$E46</f>
        <v>0</v>
      </c>
      <c r="Q46" s="133">
        <f>前台二维码提成录入!Q46*$E46</f>
        <v>0</v>
      </c>
      <c r="R46" s="133">
        <f>前台二维码提成录入!R46*$E46</f>
        <v>0</v>
      </c>
      <c r="S46" s="133">
        <f>前台二维码提成录入!S46*$E46</f>
        <v>0</v>
      </c>
      <c r="T46" s="133">
        <f>前台二维码提成录入!T46*$E46</f>
        <v>6.5</v>
      </c>
      <c r="U46" s="133">
        <f>前台二维码提成录入!U46*$E46</f>
        <v>5</v>
      </c>
      <c r="V46" s="133">
        <f>前台二维码提成录入!V46*$E46</f>
        <v>0</v>
      </c>
      <c r="W46" s="133">
        <f>前台二维码提成录入!W46*$E46</f>
        <v>0</v>
      </c>
      <c r="X46" s="133">
        <f>前台二维码提成录入!X46*$E46</f>
        <v>2.5</v>
      </c>
      <c r="Y46" s="133">
        <f>前台二维码提成录入!Y46*$E46</f>
        <v>0</v>
      </c>
      <c r="Z46" s="133">
        <f>前台二维码提成录入!Z46*$E46</f>
        <v>10</v>
      </c>
      <c r="AA46" s="133">
        <f>前台二维码提成录入!AA46*$E46</f>
        <v>5</v>
      </c>
      <c r="AB46" s="133">
        <f>前台二维码提成录入!AB46*$E46</f>
        <v>0</v>
      </c>
      <c r="AC46" s="133">
        <f>前台二维码提成录入!AC46*$E46</f>
        <v>0</v>
      </c>
      <c r="AD46" s="133">
        <f>前台二维码提成录入!AD46*$E46</f>
        <v>0</v>
      </c>
      <c r="AE46" s="133">
        <f>前台二维码提成录入!AE46*$E46</f>
        <v>0</v>
      </c>
      <c r="AF46" s="133">
        <f>前台二维码提成录入!AF46*$E46</f>
        <v>7</v>
      </c>
      <c r="AG46" s="133">
        <f>前台二维码提成录入!AG46*$E46</f>
        <v>5</v>
      </c>
      <c r="AH46" s="133">
        <f>前台二维码提成录入!AH46*$E46</f>
        <v>0</v>
      </c>
      <c r="AI46" s="133">
        <f>前台二维码提成录入!AI46*$E46</f>
        <v>0</v>
      </c>
      <c r="AJ46" s="133">
        <f>前台二维码提成录入!AJ46*$E46</f>
        <v>0</v>
      </c>
      <c r="AK46" s="133">
        <f>前台二维码提成录入!AK46*$E46</f>
        <v>0</v>
      </c>
      <c r="AL46" s="133">
        <f>前台二维码提成录入!AL46*$E46</f>
        <v>5</v>
      </c>
    </row>
    <row r="47" s="140" customFormat="1" customHeight="1" spans="1:38">
      <c r="A47" s="161">
        <v>43</v>
      </c>
      <c r="B47" s="162" t="str">
        <f>前台二维码提成录入!B47</f>
        <v>徐嘉瑜</v>
      </c>
      <c r="C47" s="162" t="str">
        <f>前台二维码提成录入!C47</f>
        <v>点名表扬</v>
      </c>
      <c r="D47" s="162" t="str">
        <f>前台二维码提成录入!D47</f>
        <v>次</v>
      </c>
      <c r="E47" s="162">
        <f>前台二维码提成录入!E47</f>
        <v>1</v>
      </c>
      <c r="F47" s="162">
        <f>前台二维码提成录入!F47</f>
        <v>0</v>
      </c>
      <c r="G47" s="162">
        <f>前台二维码提成录入!G47</f>
        <v>0</v>
      </c>
      <c r="H47" s="133">
        <f>前台二维码提成录入!H47*$E47</f>
        <v>0</v>
      </c>
      <c r="I47" s="133">
        <f>前台二维码提成录入!I47*$E47</f>
        <v>0</v>
      </c>
      <c r="J47" s="133">
        <f>前台二维码提成录入!J47*$E47</f>
        <v>0</v>
      </c>
      <c r="K47" s="133">
        <f>前台二维码提成录入!K47*$E47</f>
        <v>0</v>
      </c>
      <c r="L47" s="133">
        <f>前台二维码提成录入!L47*$E47</f>
        <v>0</v>
      </c>
      <c r="M47" s="133">
        <f>前台二维码提成录入!M47*$E47</f>
        <v>0</v>
      </c>
      <c r="N47" s="133">
        <f>前台二维码提成录入!N47*$E47</f>
        <v>0</v>
      </c>
      <c r="O47" s="133">
        <f>前台二维码提成录入!O47*$E47</f>
        <v>0</v>
      </c>
      <c r="P47" s="133">
        <f>前台二维码提成录入!P47*$E47</f>
        <v>0</v>
      </c>
      <c r="Q47" s="133">
        <f>前台二维码提成录入!Q47*$E47</f>
        <v>0</v>
      </c>
      <c r="R47" s="133">
        <f>前台二维码提成录入!R47*$E47</f>
        <v>0</v>
      </c>
      <c r="S47" s="133">
        <f>前台二维码提成录入!S47*$E47</f>
        <v>0</v>
      </c>
      <c r="T47" s="133">
        <f>前台二维码提成录入!T47*$E47</f>
        <v>0</v>
      </c>
      <c r="U47" s="133">
        <f>前台二维码提成录入!U47*$E47</f>
        <v>0</v>
      </c>
      <c r="V47" s="133">
        <f>前台二维码提成录入!V47*$E47</f>
        <v>0</v>
      </c>
      <c r="W47" s="133">
        <f>前台二维码提成录入!W47*$E47</f>
        <v>0</v>
      </c>
      <c r="X47" s="133">
        <f>前台二维码提成录入!X47*$E47</f>
        <v>0</v>
      </c>
      <c r="Y47" s="133">
        <f>前台二维码提成录入!Y47*$E47</f>
        <v>0</v>
      </c>
      <c r="Z47" s="133">
        <f>前台二维码提成录入!Z47*$E47</f>
        <v>0</v>
      </c>
      <c r="AA47" s="133">
        <f>前台二维码提成录入!AA47*$E47</f>
        <v>0</v>
      </c>
      <c r="AB47" s="133">
        <f>前台二维码提成录入!AB47*$E47</f>
        <v>0</v>
      </c>
      <c r="AC47" s="133">
        <f>前台二维码提成录入!AC47*$E47</f>
        <v>0</v>
      </c>
      <c r="AD47" s="133">
        <f>前台二维码提成录入!AD47*$E47</f>
        <v>0</v>
      </c>
      <c r="AE47" s="133">
        <f>前台二维码提成录入!AE47*$E47</f>
        <v>0</v>
      </c>
      <c r="AF47" s="133">
        <f>前台二维码提成录入!AF47*$E47</f>
        <v>0</v>
      </c>
      <c r="AG47" s="133">
        <f>前台二维码提成录入!AG47*$E47</f>
        <v>0</v>
      </c>
      <c r="AH47" s="133">
        <f>前台二维码提成录入!AH47*$E47</f>
        <v>0</v>
      </c>
      <c r="AI47" s="133">
        <f>前台二维码提成录入!AI47*$E47</f>
        <v>0</v>
      </c>
      <c r="AJ47" s="133">
        <f>前台二维码提成录入!AJ47*$E47</f>
        <v>0</v>
      </c>
      <c r="AK47" s="133">
        <f>前台二维码提成录入!AK47*$E47</f>
        <v>0</v>
      </c>
      <c r="AL47" s="133">
        <f>前台二维码提成录入!AL47*$E47</f>
        <v>0</v>
      </c>
    </row>
    <row r="48" s="140" customFormat="1" customHeight="1" spans="1:38">
      <c r="A48" s="161">
        <v>44</v>
      </c>
      <c r="B48" s="162" t="str">
        <f>前台二维码提成录入!B48</f>
        <v>徐嘉瑜</v>
      </c>
      <c r="C48" s="162" t="str">
        <f>前台二维码提成录入!C48</f>
        <v>违规</v>
      </c>
      <c r="D48" s="162" t="str">
        <f>前台二维码提成录入!D48</f>
        <v>次</v>
      </c>
      <c r="E48" s="162">
        <f>前台二维码提成录入!E48</f>
        <v>-2</v>
      </c>
      <c r="F48" s="162">
        <f>前台二维码提成录入!F48</f>
        <v>0</v>
      </c>
      <c r="G48" s="162">
        <f>前台二维码提成录入!G48</f>
        <v>0</v>
      </c>
      <c r="H48" s="133">
        <f>前台二维码提成录入!H48*$E48</f>
        <v>0</v>
      </c>
      <c r="I48" s="133">
        <f>前台二维码提成录入!I48*$E48</f>
        <v>0</v>
      </c>
      <c r="J48" s="133">
        <f>前台二维码提成录入!J48*$E48</f>
        <v>0</v>
      </c>
      <c r="K48" s="133">
        <f>前台二维码提成录入!K48*$E48</f>
        <v>0</v>
      </c>
      <c r="L48" s="133">
        <f>前台二维码提成录入!L48*$E48</f>
        <v>0</v>
      </c>
      <c r="M48" s="133">
        <f>前台二维码提成录入!M48*$E48</f>
        <v>0</v>
      </c>
      <c r="N48" s="133">
        <f>前台二维码提成录入!N48*$E48</f>
        <v>0</v>
      </c>
      <c r="O48" s="133">
        <f>前台二维码提成录入!O48*$E48</f>
        <v>0</v>
      </c>
      <c r="P48" s="133">
        <f>前台二维码提成录入!P48*$E48</f>
        <v>0</v>
      </c>
      <c r="Q48" s="133">
        <f>前台二维码提成录入!Q48*$E48</f>
        <v>0</v>
      </c>
      <c r="R48" s="133">
        <f>前台二维码提成录入!R48*$E48</f>
        <v>0</v>
      </c>
      <c r="S48" s="133">
        <f>前台二维码提成录入!S48*$E48</f>
        <v>0</v>
      </c>
      <c r="T48" s="133">
        <f>前台二维码提成录入!T48*$E48</f>
        <v>0</v>
      </c>
      <c r="U48" s="133">
        <f>前台二维码提成录入!U48*$E48</f>
        <v>0</v>
      </c>
      <c r="V48" s="133">
        <f>前台二维码提成录入!V48*$E48</f>
        <v>0</v>
      </c>
      <c r="W48" s="133">
        <f>前台二维码提成录入!W48*$E48</f>
        <v>0</v>
      </c>
      <c r="X48" s="133">
        <f>前台二维码提成录入!X48*$E48</f>
        <v>0</v>
      </c>
      <c r="Y48" s="133">
        <f>前台二维码提成录入!Y48*$E48</f>
        <v>0</v>
      </c>
      <c r="Z48" s="133">
        <f>前台二维码提成录入!Z48*$E48</f>
        <v>0</v>
      </c>
      <c r="AA48" s="133">
        <f>前台二维码提成录入!AA48*$E48</f>
        <v>0</v>
      </c>
      <c r="AB48" s="133">
        <f>前台二维码提成录入!AB48*$E48</f>
        <v>0</v>
      </c>
      <c r="AC48" s="133">
        <f>前台二维码提成录入!AC48*$E48</f>
        <v>0</v>
      </c>
      <c r="AD48" s="133">
        <f>前台二维码提成录入!AD48*$E48</f>
        <v>0</v>
      </c>
      <c r="AE48" s="133">
        <f>前台二维码提成录入!AE48*$E48</f>
        <v>0</v>
      </c>
      <c r="AF48" s="133">
        <f>前台二维码提成录入!AF48*$E48</f>
        <v>0</v>
      </c>
      <c r="AG48" s="133">
        <f>前台二维码提成录入!AG48*$E48</f>
        <v>0</v>
      </c>
      <c r="AH48" s="133">
        <f>前台二维码提成录入!AH48*$E48</f>
        <v>0</v>
      </c>
      <c r="AI48" s="133">
        <f>前台二维码提成录入!AI48*$E48</f>
        <v>0</v>
      </c>
      <c r="AJ48" s="133">
        <f>前台二维码提成录入!AJ48*$E48</f>
        <v>0</v>
      </c>
      <c r="AK48" s="133">
        <f>前台二维码提成录入!AK48*$E48</f>
        <v>0</v>
      </c>
      <c r="AL48" s="133">
        <f>前台二维码提成录入!AL48*$E48</f>
        <v>0</v>
      </c>
    </row>
    <row r="49" s="140" customFormat="1" customHeight="1" spans="1:38">
      <c r="A49" s="161">
        <v>45</v>
      </c>
      <c r="B49" s="162" t="str">
        <f>前台二维码提成录入!B49</f>
        <v>徐嘉瑜</v>
      </c>
      <c r="C49" s="162" t="str">
        <f>前台二维码提成录入!C49</f>
        <v>其他</v>
      </c>
      <c r="D49" s="162" t="str">
        <f>前台二维码提成录入!D49</f>
        <v>次</v>
      </c>
      <c r="E49" s="162">
        <f>前台二维码提成录入!E49</f>
        <v>2</v>
      </c>
      <c r="F49" s="162">
        <f>前台二维码提成录入!F49</f>
        <v>0</v>
      </c>
      <c r="G49" s="162">
        <f>前台二维码提成录入!G49</f>
        <v>0</v>
      </c>
      <c r="H49" s="133">
        <f>前台二维码提成录入!H49*$E49</f>
        <v>0</v>
      </c>
      <c r="I49" s="133">
        <f>前台二维码提成录入!I49*$E49</f>
        <v>0</v>
      </c>
      <c r="J49" s="133">
        <f>前台二维码提成录入!J49*$E49</f>
        <v>0</v>
      </c>
      <c r="K49" s="133">
        <f>前台二维码提成录入!K49*$E49</f>
        <v>0</v>
      </c>
      <c r="L49" s="133">
        <f>前台二维码提成录入!L49*$E49</f>
        <v>0</v>
      </c>
      <c r="M49" s="133">
        <f>前台二维码提成录入!M49*$E49</f>
        <v>0</v>
      </c>
      <c r="N49" s="133">
        <f>前台二维码提成录入!N49*$E49</f>
        <v>0</v>
      </c>
      <c r="O49" s="133">
        <f>前台二维码提成录入!O49*$E49</f>
        <v>0</v>
      </c>
      <c r="P49" s="133">
        <f>前台二维码提成录入!P49*$E49</f>
        <v>0</v>
      </c>
      <c r="Q49" s="133">
        <f>前台二维码提成录入!Q49*$E49</f>
        <v>0</v>
      </c>
      <c r="R49" s="133">
        <f>前台二维码提成录入!R49*$E49</f>
        <v>0</v>
      </c>
      <c r="S49" s="133">
        <f>前台二维码提成录入!S49*$E49</f>
        <v>0</v>
      </c>
      <c r="T49" s="133">
        <f>前台二维码提成录入!T49*$E49</f>
        <v>0</v>
      </c>
      <c r="U49" s="133">
        <f>前台二维码提成录入!U49*$E49</f>
        <v>0</v>
      </c>
      <c r="V49" s="133">
        <f>前台二维码提成录入!V49*$E49</f>
        <v>0</v>
      </c>
      <c r="W49" s="133">
        <f>前台二维码提成录入!W49*$E49</f>
        <v>0</v>
      </c>
      <c r="X49" s="133">
        <f>前台二维码提成录入!X49*$E49</f>
        <v>0</v>
      </c>
      <c r="Y49" s="133">
        <f>前台二维码提成录入!Y49*$E49</f>
        <v>0</v>
      </c>
      <c r="Z49" s="133">
        <f>前台二维码提成录入!Z49*$E49</f>
        <v>0</v>
      </c>
      <c r="AA49" s="133">
        <f>前台二维码提成录入!AA49*$E49</f>
        <v>0</v>
      </c>
      <c r="AB49" s="133">
        <f>前台二维码提成录入!AB49*$E49</f>
        <v>0</v>
      </c>
      <c r="AC49" s="133">
        <f>前台二维码提成录入!AC49*$E49</f>
        <v>0</v>
      </c>
      <c r="AD49" s="133">
        <f>前台二维码提成录入!AD49*$E49</f>
        <v>0</v>
      </c>
      <c r="AE49" s="133">
        <f>前台二维码提成录入!AE49*$E49</f>
        <v>0</v>
      </c>
      <c r="AF49" s="133">
        <f>前台二维码提成录入!AF49*$E49</f>
        <v>0</v>
      </c>
      <c r="AG49" s="133">
        <f>前台二维码提成录入!AG49*$E49</f>
        <v>0</v>
      </c>
      <c r="AH49" s="133">
        <f>前台二维码提成录入!AH49*$E49</f>
        <v>0</v>
      </c>
      <c r="AI49" s="133">
        <f>前台二维码提成录入!AI49*$E49</f>
        <v>0</v>
      </c>
      <c r="AJ49" s="133">
        <f>前台二维码提成录入!AJ49*$E49</f>
        <v>0</v>
      </c>
      <c r="AK49" s="133">
        <f>前台二维码提成录入!AK49*$E49</f>
        <v>0</v>
      </c>
      <c r="AL49" s="133">
        <f>前台二维码提成录入!AL49*$E49</f>
        <v>0</v>
      </c>
    </row>
    <row r="50" s="140" customFormat="1" customHeight="1" spans="1:38">
      <c r="A50" s="161">
        <v>46</v>
      </c>
      <c r="B50" s="162" t="str">
        <f>前台二维码提成录入!B50</f>
        <v>刘昕</v>
      </c>
      <c r="C50" s="162" t="str">
        <f>前台二维码提成录入!C50</f>
        <v>洗衣</v>
      </c>
      <c r="D50" s="162" t="str">
        <f>前台二维码提成录入!D50</f>
        <v>次</v>
      </c>
      <c r="E50" s="162">
        <f>前台二维码提成录入!E50</f>
        <v>1.5</v>
      </c>
      <c r="F50" s="162">
        <f>前台二维码提成录入!F50</f>
        <v>0</v>
      </c>
      <c r="G50" s="162">
        <f>前台二维码提成录入!G50</f>
        <v>0</v>
      </c>
      <c r="H50" s="133">
        <f>前台二维码提成录入!H50*$E50</f>
        <v>0</v>
      </c>
      <c r="I50" s="133">
        <f>前台二维码提成录入!I50*$E50</f>
        <v>0</v>
      </c>
      <c r="J50" s="133">
        <f>前台二维码提成录入!J50*$E50</f>
        <v>0</v>
      </c>
      <c r="K50" s="133">
        <f>前台二维码提成录入!K50*$E50</f>
        <v>0</v>
      </c>
      <c r="L50" s="133">
        <f>前台二维码提成录入!L50*$E50</f>
        <v>0</v>
      </c>
      <c r="M50" s="133">
        <f>前台二维码提成录入!M50*$E50</f>
        <v>0</v>
      </c>
      <c r="N50" s="133">
        <f>前台二维码提成录入!N50*$E50</f>
        <v>0</v>
      </c>
      <c r="O50" s="133">
        <f>前台二维码提成录入!O50*$E50</f>
        <v>0</v>
      </c>
      <c r="P50" s="133">
        <f>前台二维码提成录入!P50*$E50</f>
        <v>0</v>
      </c>
      <c r="Q50" s="133">
        <f>前台二维码提成录入!Q50*$E50</f>
        <v>0</v>
      </c>
      <c r="R50" s="133">
        <f>前台二维码提成录入!R50*$E50</f>
        <v>0</v>
      </c>
      <c r="S50" s="133">
        <f>前台二维码提成录入!S50*$E50</f>
        <v>0</v>
      </c>
      <c r="T50" s="133">
        <f>前台二维码提成录入!T50*$E50</f>
        <v>0</v>
      </c>
      <c r="U50" s="133">
        <f>前台二维码提成录入!U50*$E50</f>
        <v>0</v>
      </c>
      <c r="V50" s="133">
        <f>前台二维码提成录入!V50*$E50</f>
        <v>0</v>
      </c>
      <c r="W50" s="133">
        <f>前台二维码提成录入!W50*$E50</f>
        <v>0</v>
      </c>
      <c r="X50" s="133">
        <f>前台二维码提成录入!X50*$E50</f>
        <v>0</v>
      </c>
      <c r="Y50" s="133">
        <f>前台二维码提成录入!Y50*$E50</f>
        <v>0</v>
      </c>
      <c r="Z50" s="133">
        <f>前台二维码提成录入!Z50*$E50</f>
        <v>0</v>
      </c>
      <c r="AA50" s="133">
        <f>前台二维码提成录入!AA50*$E50</f>
        <v>0</v>
      </c>
      <c r="AB50" s="133">
        <f>前台二维码提成录入!AB50*$E50</f>
        <v>0</v>
      </c>
      <c r="AC50" s="133">
        <f>前台二维码提成录入!AC50*$E50</f>
        <v>0</v>
      </c>
      <c r="AD50" s="133">
        <f>前台二维码提成录入!AD50*$E50</f>
        <v>0</v>
      </c>
      <c r="AE50" s="133">
        <f>前台二维码提成录入!AE50*$E50</f>
        <v>0</v>
      </c>
      <c r="AF50" s="133">
        <f>前台二维码提成录入!AF50*$E50</f>
        <v>0</v>
      </c>
      <c r="AG50" s="133">
        <f>前台二维码提成录入!AG50*$E50</f>
        <v>0</v>
      </c>
      <c r="AH50" s="133">
        <f>前台二维码提成录入!AH50*$E50</f>
        <v>0</v>
      </c>
      <c r="AI50" s="133">
        <f>前台二维码提成录入!AI50*$E50</f>
        <v>0</v>
      </c>
      <c r="AJ50" s="133">
        <f>前台二维码提成录入!AJ50*$E50</f>
        <v>0</v>
      </c>
      <c r="AK50" s="133">
        <f>前台二维码提成录入!AK50*$E50</f>
        <v>0</v>
      </c>
      <c r="AL50" s="133">
        <f>前台二维码提成录入!AL50*$E50</f>
        <v>0</v>
      </c>
    </row>
    <row r="51" s="140" customFormat="1" customHeight="1" spans="1:38">
      <c r="A51" s="161">
        <v>47</v>
      </c>
      <c r="B51" s="162" t="str">
        <f>前台二维码提成录入!B51</f>
        <v>刘昕</v>
      </c>
      <c r="C51" s="162" t="str">
        <f>前台二维码提成录入!C51</f>
        <v>送物品</v>
      </c>
      <c r="D51" s="162" t="str">
        <f>前台二维码提成录入!D51</f>
        <v>次</v>
      </c>
      <c r="E51" s="162">
        <f>前台二维码提成录入!E51</f>
        <v>0.5</v>
      </c>
      <c r="F51" s="162">
        <f>前台二维码提成录入!F51</f>
        <v>7</v>
      </c>
      <c r="G51" s="162">
        <f>前台二维码提成录入!G51</f>
        <v>3.5</v>
      </c>
      <c r="H51" s="133">
        <f>前台二维码提成录入!H51*$E51</f>
        <v>3</v>
      </c>
      <c r="I51" s="133">
        <f>前台二维码提成录入!I51*$E51</f>
        <v>0.5</v>
      </c>
      <c r="J51" s="133">
        <f>前台二维码提成录入!J51*$E51</f>
        <v>0</v>
      </c>
      <c r="K51" s="133">
        <f>前台二维码提成录入!K51*$E51</f>
        <v>0</v>
      </c>
      <c r="L51" s="133">
        <f>前台二维码提成录入!L51*$E51</f>
        <v>0</v>
      </c>
      <c r="M51" s="133">
        <f>前台二维码提成录入!M51*$E51</f>
        <v>0</v>
      </c>
      <c r="N51" s="133">
        <f>前台二维码提成录入!N51*$E51</f>
        <v>0</v>
      </c>
      <c r="O51" s="133">
        <f>前台二维码提成录入!O51*$E51</f>
        <v>0</v>
      </c>
      <c r="P51" s="133">
        <f>前台二维码提成录入!P51*$E51</f>
        <v>0</v>
      </c>
      <c r="Q51" s="133">
        <f>前台二维码提成录入!Q51*$E51</f>
        <v>0</v>
      </c>
      <c r="R51" s="133">
        <f>前台二维码提成录入!R51*$E51</f>
        <v>0</v>
      </c>
      <c r="S51" s="133">
        <f>前台二维码提成录入!S51*$E51</f>
        <v>0</v>
      </c>
      <c r="T51" s="133">
        <f>前台二维码提成录入!T51*$E51</f>
        <v>0</v>
      </c>
      <c r="U51" s="133">
        <f>前台二维码提成录入!U51*$E51</f>
        <v>0</v>
      </c>
      <c r="V51" s="133">
        <f>前台二维码提成录入!V51*$E51</f>
        <v>0</v>
      </c>
      <c r="W51" s="133">
        <f>前台二维码提成录入!W51*$E51</f>
        <v>0</v>
      </c>
      <c r="X51" s="133">
        <f>前台二维码提成录入!X51*$E51</f>
        <v>0</v>
      </c>
      <c r="Y51" s="133">
        <f>前台二维码提成录入!Y51*$E51</f>
        <v>0</v>
      </c>
      <c r="Z51" s="133">
        <f>前台二维码提成录入!Z51*$E51</f>
        <v>0</v>
      </c>
      <c r="AA51" s="133">
        <f>前台二维码提成录入!AA51*$E51</f>
        <v>0</v>
      </c>
      <c r="AB51" s="133">
        <f>前台二维码提成录入!AB51*$E51</f>
        <v>0</v>
      </c>
      <c r="AC51" s="133">
        <f>前台二维码提成录入!AC51*$E51</f>
        <v>0</v>
      </c>
      <c r="AD51" s="133">
        <f>前台二维码提成录入!AD51*$E51</f>
        <v>0</v>
      </c>
      <c r="AE51" s="133">
        <f>前台二维码提成录入!AE51*$E51</f>
        <v>0</v>
      </c>
      <c r="AF51" s="133">
        <f>前台二维码提成录入!AF51*$E51</f>
        <v>0</v>
      </c>
      <c r="AG51" s="133">
        <f>前台二维码提成录入!AG51*$E51</f>
        <v>0</v>
      </c>
      <c r="AH51" s="133">
        <f>前台二维码提成录入!AH51*$E51</f>
        <v>0</v>
      </c>
      <c r="AI51" s="133">
        <f>前台二维码提成录入!AI51*$E51</f>
        <v>0</v>
      </c>
      <c r="AJ51" s="133">
        <f>前台二维码提成录入!AJ51*$E51</f>
        <v>0</v>
      </c>
      <c r="AK51" s="133">
        <f>前台二维码提成录入!AK51*$E51</f>
        <v>0</v>
      </c>
      <c r="AL51" s="133">
        <f>前台二维码提成录入!AL51*$E51</f>
        <v>0</v>
      </c>
    </row>
    <row r="52" s="140" customFormat="1" customHeight="1" spans="1:38">
      <c r="A52" s="161">
        <v>48</v>
      </c>
      <c r="B52" s="162" t="str">
        <f>前台二维码提成录入!B52</f>
        <v>刘昕</v>
      </c>
      <c r="C52" s="162" t="str">
        <f>前台二维码提成录入!C52</f>
        <v>点名表扬</v>
      </c>
      <c r="D52" s="162" t="str">
        <f>前台二维码提成录入!D52</f>
        <v>次</v>
      </c>
      <c r="E52" s="162">
        <f>前台二维码提成录入!E52</f>
        <v>1</v>
      </c>
      <c r="F52" s="162">
        <f>前台二维码提成录入!F52</f>
        <v>0</v>
      </c>
      <c r="G52" s="162">
        <f>前台二维码提成录入!G52</f>
        <v>0</v>
      </c>
      <c r="H52" s="133">
        <f>前台二维码提成录入!H52*$E52</f>
        <v>0</v>
      </c>
      <c r="I52" s="133">
        <f>前台二维码提成录入!I52*$E52</f>
        <v>0</v>
      </c>
      <c r="J52" s="133">
        <f>前台二维码提成录入!J52*$E52</f>
        <v>0</v>
      </c>
      <c r="K52" s="133">
        <f>前台二维码提成录入!K52*$E52</f>
        <v>0</v>
      </c>
      <c r="L52" s="133">
        <f>前台二维码提成录入!L52*$E52</f>
        <v>0</v>
      </c>
      <c r="M52" s="133">
        <f>前台二维码提成录入!M52*$E52</f>
        <v>0</v>
      </c>
      <c r="N52" s="133">
        <f>前台二维码提成录入!N52*$E52</f>
        <v>0</v>
      </c>
      <c r="O52" s="133">
        <f>前台二维码提成录入!O52*$E52</f>
        <v>0</v>
      </c>
      <c r="P52" s="133">
        <f>前台二维码提成录入!P52*$E52</f>
        <v>0</v>
      </c>
      <c r="Q52" s="133">
        <f>前台二维码提成录入!Q52*$E52</f>
        <v>0</v>
      </c>
      <c r="R52" s="133">
        <f>前台二维码提成录入!R52*$E52</f>
        <v>0</v>
      </c>
      <c r="S52" s="133">
        <f>前台二维码提成录入!S52*$E52</f>
        <v>0</v>
      </c>
      <c r="T52" s="133">
        <f>前台二维码提成录入!T52*$E52</f>
        <v>0</v>
      </c>
      <c r="U52" s="133">
        <f>前台二维码提成录入!U52*$E52</f>
        <v>0</v>
      </c>
      <c r="V52" s="133">
        <f>前台二维码提成录入!V52*$E52</f>
        <v>0</v>
      </c>
      <c r="W52" s="133">
        <f>前台二维码提成录入!W52*$E52</f>
        <v>0</v>
      </c>
      <c r="X52" s="133">
        <f>前台二维码提成录入!X52*$E52</f>
        <v>0</v>
      </c>
      <c r="Y52" s="133">
        <f>前台二维码提成录入!Y52*$E52</f>
        <v>0</v>
      </c>
      <c r="Z52" s="133">
        <f>前台二维码提成录入!Z52*$E52</f>
        <v>0</v>
      </c>
      <c r="AA52" s="133">
        <f>前台二维码提成录入!AA52*$E52</f>
        <v>0</v>
      </c>
      <c r="AB52" s="133">
        <f>前台二维码提成录入!AB52*$E52</f>
        <v>0</v>
      </c>
      <c r="AC52" s="133">
        <f>前台二维码提成录入!AC52*$E52</f>
        <v>0</v>
      </c>
      <c r="AD52" s="133">
        <f>前台二维码提成录入!AD52*$E52</f>
        <v>0</v>
      </c>
      <c r="AE52" s="133">
        <f>前台二维码提成录入!AE52*$E52</f>
        <v>0</v>
      </c>
      <c r="AF52" s="133">
        <f>前台二维码提成录入!AF52*$E52</f>
        <v>0</v>
      </c>
      <c r="AG52" s="133">
        <f>前台二维码提成录入!AG52*$E52</f>
        <v>0</v>
      </c>
      <c r="AH52" s="133">
        <f>前台二维码提成录入!AH52*$E52</f>
        <v>0</v>
      </c>
      <c r="AI52" s="133">
        <f>前台二维码提成录入!AI52*$E52</f>
        <v>0</v>
      </c>
      <c r="AJ52" s="133">
        <f>前台二维码提成录入!AJ52*$E52</f>
        <v>0</v>
      </c>
      <c r="AK52" s="133">
        <f>前台二维码提成录入!AK52*$E52</f>
        <v>0</v>
      </c>
      <c r="AL52" s="133">
        <f>前台二维码提成录入!AL52*$E52</f>
        <v>0</v>
      </c>
    </row>
    <row r="53" s="140" customFormat="1" customHeight="1" spans="1:38">
      <c r="A53" s="161">
        <v>49</v>
      </c>
      <c r="B53" s="162" t="str">
        <f>前台二维码提成录入!B53</f>
        <v>刘昕</v>
      </c>
      <c r="C53" s="162" t="str">
        <f>前台二维码提成录入!C53</f>
        <v>违规</v>
      </c>
      <c r="D53" s="162" t="str">
        <f>前台二维码提成录入!D53</f>
        <v>次</v>
      </c>
      <c r="E53" s="162">
        <f>前台二维码提成录入!E53</f>
        <v>-2</v>
      </c>
      <c r="F53" s="162">
        <f>前台二维码提成录入!F53</f>
        <v>0</v>
      </c>
      <c r="G53" s="162">
        <f>前台二维码提成录入!G53</f>
        <v>0</v>
      </c>
      <c r="H53" s="133">
        <f>前台二维码提成录入!H53*$E53</f>
        <v>0</v>
      </c>
      <c r="I53" s="133">
        <f>前台二维码提成录入!I53*$E53</f>
        <v>0</v>
      </c>
      <c r="J53" s="133">
        <f>前台二维码提成录入!J53*$E53</f>
        <v>0</v>
      </c>
      <c r="K53" s="133">
        <f>前台二维码提成录入!K53*$E53</f>
        <v>0</v>
      </c>
      <c r="L53" s="133">
        <f>前台二维码提成录入!L53*$E53</f>
        <v>0</v>
      </c>
      <c r="M53" s="133">
        <f>前台二维码提成录入!M53*$E53</f>
        <v>0</v>
      </c>
      <c r="N53" s="133">
        <f>前台二维码提成录入!N53*$E53</f>
        <v>0</v>
      </c>
      <c r="O53" s="133">
        <f>前台二维码提成录入!O53*$E53</f>
        <v>0</v>
      </c>
      <c r="P53" s="133">
        <f>前台二维码提成录入!P53*$E53</f>
        <v>0</v>
      </c>
      <c r="Q53" s="133">
        <f>前台二维码提成录入!Q53*$E53</f>
        <v>0</v>
      </c>
      <c r="R53" s="133">
        <f>前台二维码提成录入!R53*$E53</f>
        <v>0</v>
      </c>
      <c r="S53" s="133">
        <f>前台二维码提成录入!S53*$E53</f>
        <v>0</v>
      </c>
      <c r="T53" s="133">
        <f>前台二维码提成录入!T53*$E53</f>
        <v>0</v>
      </c>
      <c r="U53" s="133">
        <f>前台二维码提成录入!U53*$E53</f>
        <v>0</v>
      </c>
      <c r="V53" s="133">
        <f>前台二维码提成录入!V53*$E53</f>
        <v>0</v>
      </c>
      <c r="W53" s="133">
        <f>前台二维码提成录入!W53*$E53</f>
        <v>0</v>
      </c>
      <c r="X53" s="133">
        <f>前台二维码提成录入!X53*$E53</f>
        <v>0</v>
      </c>
      <c r="Y53" s="133">
        <f>前台二维码提成录入!Y53*$E53</f>
        <v>0</v>
      </c>
      <c r="Z53" s="133">
        <f>前台二维码提成录入!Z53*$E53</f>
        <v>0</v>
      </c>
      <c r="AA53" s="133">
        <f>前台二维码提成录入!AA53*$E53</f>
        <v>0</v>
      </c>
      <c r="AB53" s="133">
        <f>前台二维码提成录入!AB53*$E53</f>
        <v>0</v>
      </c>
      <c r="AC53" s="133">
        <f>前台二维码提成录入!AC53*$E53</f>
        <v>0</v>
      </c>
      <c r="AD53" s="133">
        <f>前台二维码提成录入!AD53*$E53</f>
        <v>0</v>
      </c>
      <c r="AE53" s="133">
        <f>前台二维码提成录入!AE53*$E53</f>
        <v>0</v>
      </c>
      <c r="AF53" s="133">
        <f>前台二维码提成录入!AF53*$E53</f>
        <v>0</v>
      </c>
      <c r="AG53" s="133">
        <f>前台二维码提成录入!AG53*$E53</f>
        <v>0</v>
      </c>
      <c r="AH53" s="133">
        <f>前台二维码提成录入!AH53*$E53</f>
        <v>0</v>
      </c>
      <c r="AI53" s="133">
        <f>前台二维码提成录入!AI53*$E53</f>
        <v>0</v>
      </c>
      <c r="AJ53" s="133">
        <f>前台二维码提成录入!AJ53*$E53</f>
        <v>0</v>
      </c>
      <c r="AK53" s="133">
        <f>前台二维码提成录入!AK53*$E53</f>
        <v>0</v>
      </c>
      <c r="AL53" s="133">
        <f>前台二维码提成录入!AL53*$E53</f>
        <v>0</v>
      </c>
    </row>
    <row r="54" s="140" customFormat="1" customHeight="1" spans="1:38">
      <c r="A54" s="161">
        <v>50</v>
      </c>
      <c r="B54" s="162" t="str">
        <f>前台二维码提成录入!B54</f>
        <v>刘昕</v>
      </c>
      <c r="C54" s="162" t="str">
        <f>前台二维码提成录入!C54</f>
        <v>其他</v>
      </c>
      <c r="D54" s="162" t="str">
        <f>前台二维码提成录入!D54</f>
        <v>次</v>
      </c>
      <c r="E54" s="162">
        <f>前台二维码提成录入!E54</f>
        <v>2</v>
      </c>
      <c r="F54" s="162">
        <f>前台二维码提成录入!F54</f>
        <v>0</v>
      </c>
      <c r="G54" s="162">
        <f>前台二维码提成录入!G54</f>
        <v>0</v>
      </c>
      <c r="H54" s="133">
        <f>前台二维码提成录入!H54*$E54</f>
        <v>0</v>
      </c>
      <c r="I54" s="133">
        <f>前台二维码提成录入!I54*$E54</f>
        <v>0</v>
      </c>
      <c r="J54" s="133">
        <f>前台二维码提成录入!J54*$E54</f>
        <v>0</v>
      </c>
      <c r="K54" s="133">
        <f>前台二维码提成录入!K54*$E54</f>
        <v>0</v>
      </c>
      <c r="L54" s="133">
        <f>前台二维码提成录入!L54*$E54</f>
        <v>0</v>
      </c>
      <c r="M54" s="133">
        <f>前台二维码提成录入!M54*$E54</f>
        <v>0</v>
      </c>
      <c r="N54" s="133">
        <f>前台二维码提成录入!N54*$E54</f>
        <v>0</v>
      </c>
      <c r="O54" s="133">
        <f>前台二维码提成录入!O54*$E54</f>
        <v>0</v>
      </c>
      <c r="P54" s="133">
        <f>前台二维码提成录入!P54*$E54</f>
        <v>0</v>
      </c>
      <c r="Q54" s="133">
        <f>前台二维码提成录入!Q54*$E54</f>
        <v>0</v>
      </c>
      <c r="R54" s="133">
        <f>前台二维码提成录入!R54*$E54</f>
        <v>0</v>
      </c>
      <c r="S54" s="133">
        <f>前台二维码提成录入!S54*$E54</f>
        <v>0</v>
      </c>
      <c r="T54" s="133">
        <f>前台二维码提成录入!T54*$E54</f>
        <v>0</v>
      </c>
      <c r="U54" s="133">
        <f>前台二维码提成录入!U54*$E54</f>
        <v>0</v>
      </c>
      <c r="V54" s="133">
        <f>前台二维码提成录入!V54*$E54</f>
        <v>0</v>
      </c>
      <c r="W54" s="133">
        <f>前台二维码提成录入!W54*$E54</f>
        <v>0</v>
      </c>
      <c r="X54" s="133">
        <f>前台二维码提成录入!X54*$E54</f>
        <v>0</v>
      </c>
      <c r="Y54" s="133">
        <f>前台二维码提成录入!Y54*$E54</f>
        <v>0</v>
      </c>
      <c r="Z54" s="133">
        <f>前台二维码提成录入!Z54*$E54</f>
        <v>0</v>
      </c>
      <c r="AA54" s="133">
        <f>前台二维码提成录入!AA54*$E54</f>
        <v>0</v>
      </c>
      <c r="AB54" s="133">
        <f>前台二维码提成录入!AB54*$E54</f>
        <v>0</v>
      </c>
      <c r="AC54" s="133">
        <f>前台二维码提成录入!AC54*$E54</f>
        <v>0</v>
      </c>
      <c r="AD54" s="133">
        <f>前台二维码提成录入!AD54*$E54</f>
        <v>0</v>
      </c>
      <c r="AE54" s="133">
        <f>前台二维码提成录入!AE54*$E54</f>
        <v>0</v>
      </c>
      <c r="AF54" s="133">
        <f>前台二维码提成录入!AF54*$E54</f>
        <v>0</v>
      </c>
      <c r="AG54" s="133">
        <f>前台二维码提成录入!AG54*$E54</f>
        <v>0</v>
      </c>
      <c r="AH54" s="133">
        <f>前台二维码提成录入!AH54*$E54</f>
        <v>0</v>
      </c>
      <c r="AI54" s="133">
        <f>前台二维码提成录入!AI54*$E54</f>
        <v>0</v>
      </c>
      <c r="AJ54" s="133">
        <f>前台二维码提成录入!AJ54*$E54</f>
        <v>0</v>
      </c>
      <c r="AK54" s="133">
        <f>前台二维码提成录入!AK54*$E54</f>
        <v>0</v>
      </c>
      <c r="AL54" s="133">
        <f>前台二维码提成录入!AL54*$E54</f>
        <v>0</v>
      </c>
    </row>
    <row r="55" s="140" customFormat="1" customHeight="1" spans="1:38">
      <c r="A55" s="161">
        <v>51</v>
      </c>
      <c r="B55" s="162" t="str">
        <f>前台二维码提成录入!B55</f>
        <v>邹璇</v>
      </c>
      <c r="C55" s="162" t="str">
        <f>前台二维码提成录入!C55</f>
        <v>洗衣</v>
      </c>
      <c r="D55" s="162" t="str">
        <f>前台二维码提成录入!D55</f>
        <v>次</v>
      </c>
      <c r="E55" s="162">
        <f>前台二维码提成录入!E55</f>
        <v>1.5</v>
      </c>
      <c r="F55" s="162">
        <f>前台二维码提成录入!F55</f>
        <v>3</v>
      </c>
      <c r="G55" s="162">
        <f>前台二维码提成录入!G55</f>
        <v>4.5</v>
      </c>
      <c r="H55" s="133">
        <f>前台二维码提成录入!H55*$E55</f>
        <v>0</v>
      </c>
      <c r="I55" s="133">
        <f>前台二维码提成录入!I55*$E55</f>
        <v>0</v>
      </c>
      <c r="J55" s="133">
        <f>前台二维码提成录入!J55*$E55</f>
        <v>0</v>
      </c>
      <c r="K55" s="133">
        <f>前台二维码提成录入!K55*$E55</f>
        <v>0</v>
      </c>
      <c r="L55" s="133">
        <f>前台二维码提成录入!L55*$E55</f>
        <v>0</v>
      </c>
      <c r="M55" s="133">
        <f>前台二维码提成录入!M55*$E55</f>
        <v>0</v>
      </c>
      <c r="N55" s="133">
        <f>前台二维码提成录入!N55*$E55</f>
        <v>0</v>
      </c>
      <c r="O55" s="133">
        <f>前台二维码提成录入!O55*$E55</f>
        <v>0</v>
      </c>
      <c r="P55" s="133">
        <f>前台二维码提成录入!P55*$E55</f>
        <v>0</v>
      </c>
      <c r="Q55" s="133">
        <f>前台二维码提成录入!Q55*$E55</f>
        <v>0</v>
      </c>
      <c r="R55" s="133">
        <f>前台二维码提成录入!R55*$E55</f>
        <v>0</v>
      </c>
      <c r="S55" s="133">
        <f>前台二维码提成录入!S55*$E55</f>
        <v>0</v>
      </c>
      <c r="T55" s="133">
        <f>前台二维码提成录入!T55*$E55</f>
        <v>1.5</v>
      </c>
      <c r="U55" s="133">
        <f>前台二维码提成录入!U55*$E55</f>
        <v>0</v>
      </c>
      <c r="V55" s="133">
        <f>前台二维码提成录入!V55*$E55</f>
        <v>0</v>
      </c>
      <c r="W55" s="133">
        <f>前台二维码提成录入!W55*$E55</f>
        <v>0</v>
      </c>
      <c r="X55" s="133">
        <f>前台二维码提成录入!X55*$E55</f>
        <v>0</v>
      </c>
      <c r="Y55" s="133">
        <f>前台二维码提成录入!Y55*$E55</f>
        <v>0</v>
      </c>
      <c r="Z55" s="133">
        <f>前台二维码提成录入!Z55*$E55</f>
        <v>0</v>
      </c>
      <c r="AA55" s="133">
        <f>前台二维码提成录入!AA55*$E55</f>
        <v>0</v>
      </c>
      <c r="AB55" s="133">
        <f>前台二维码提成录入!AB55*$E55</f>
        <v>0</v>
      </c>
      <c r="AC55" s="133">
        <f>前台二维码提成录入!AC55*$E55</f>
        <v>1.5</v>
      </c>
      <c r="AD55" s="133">
        <f>前台二维码提成录入!AD55*$E55</f>
        <v>0</v>
      </c>
      <c r="AE55" s="133">
        <f>前台二维码提成录入!AE55*$E55</f>
        <v>0</v>
      </c>
      <c r="AF55" s="133">
        <f>前台二维码提成录入!AF55*$E55</f>
        <v>0</v>
      </c>
      <c r="AG55" s="133">
        <f>前台二维码提成录入!AG55*$E55</f>
        <v>0</v>
      </c>
      <c r="AH55" s="133">
        <f>前台二维码提成录入!AH55*$E55</f>
        <v>1.5</v>
      </c>
      <c r="AI55" s="133">
        <f>前台二维码提成录入!AI55*$E55</f>
        <v>0</v>
      </c>
      <c r="AJ55" s="133">
        <f>前台二维码提成录入!AJ55*$E55</f>
        <v>0</v>
      </c>
      <c r="AK55" s="133">
        <f>前台二维码提成录入!AK55*$E55</f>
        <v>0</v>
      </c>
      <c r="AL55" s="133">
        <f>前台二维码提成录入!AL55*$E55</f>
        <v>0</v>
      </c>
    </row>
    <row r="56" s="140" customFormat="1" customHeight="1" spans="1:38">
      <c r="A56" s="161">
        <v>52</v>
      </c>
      <c r="B56" s="162" t="str">
        <f>前台二维码提成录入!B56</f>
        <v>邹璇</v>
      </c>
      <c r="C56" s="162" t="str">
        <f>前台二维码提成录入!C56</f>
        <v>送物品</v>
      </c>
      <c r="D56" s="162" t="str">
        <f>前台二维码提成录入!D56</f>
        <v>次</v>
      </c>
      <c r="E56" s="162">
        <f>前台二维码提成录入!E56</f>
        <v>0.5</v>
      </c>
      <c r="F56" s="162">
        <f>前台二维码提成录入!F56</f>
        <v>26</v>
      </c>
      <c r="G56" s="162">
        <f>前台二维码提成录入!G56</f>
        <v>13</v>
      </c>
      <c r="H56" s="133">
        <f>前台二维码提成录入!H56*$E56</f>
        <v>0</v>
      </c>
      <c r="I56" s="133">
        <f>前台二维码提成录入!I56*$E56</f>
        <v>0</v>
      </c>
      <c r="J56" s="133">
        <f>前台二维码提成录入!J56*$E56</f>
        <v>0</v>
      </c>
      <c r="K56" s="133">
        <f>前台二维码提成录入!K56*$E56</f>
        <v>0</v>
      </c>
      <c r="L56" s="133">
        <f>前台二维码提成录入!L56*$E56</f>
        <v>0</v>
      </c>
      <c r="M56" s="133">
        <f>前台二维码提成录入!M56*$E56</f>
        <v>0</v>
      </c>
      <c r="N56" s="133">
        <f>前台二维码提成录入!N56*$E56</f>
        <v>0</v>
      </c>
      <c r="O56" s="133">
        <f>前台二维码提成录入!O56*$E56</f>
        <v>0</v>
      </c>
      <c r="P56" s="133">
        <f>前台二维码提成录入!P56*$E56</f>
        <v>0</v>
      </c>
      <c r="Q56" s="133">
        <f>前台二维码提成录入!Q56*$E56</f>
        <v>0</v>
      </c>
      <c r="R56" s="133">
        <f>前台二维码提成录入!R56*$E56</f>
        <v>0</v>
      </c>
      <c r="S56" s="133">
        <f>前台二维码提成录入!S56*$E56</f>
        <v>0</v>
      </c>
      <c r="T56" s="133">
        <f>前台二维码提成录入!T56*$E56</f>
        <v>0</v>
      </c>
      <c r="U56" s="133">
        <f>前台二维码提成录入!U56*$E56</f>
        <v>0</v>
      </c>
      <c r="V56" s="133">
        <f>前台二维码提成录入!V56*$E56</f>
        <v>0</v>
      </c>
      <c r="W56" s="133">
        <f>前台二维码提成录入!W56*$E56</f>
        <v>0</v>
      </c>
      <c r="X56" s="133">
        <f>前台二维码提成录入!X56*$E56</f>
        <v>0</v>
      </c>
      <c r="Y56" s="133">
        <f>前台二维码提成录入!Y56*$E56</f>
        <v>0</v>
      </c>
      <c r="Z56" s="133">
        <f>前台二维码提成录入!Z56*$E56</f>
        <v>0</v>
      </c>
      <c r="AA56" s="133">
        <f>前台二维码提成录入!AA56*$E56</f>
        <v>0</v>
      </c>
      <c r="AB56" s="133">
        <f>前台二维码提成录入!AB56*$E56</f>
        <v>0</v>
      </c>
      <c r="AC56" s="133">
        <f>前台二维码提成录入!AC56*$E56</f>
        <v>1.5</v>
      </c>
      <c r="AD56" s="133">
        <f>前台二维码提成录入!AD56*$E56</f>
        <v>0</v>
      </c>
      <c r="AE56" s="133">
        <f>前台二维码提成录入!AE56*$E56</f>
        <v>0</v>
      </c>
      <c r="AF56" s="133">
        <f>前台二维码提成录入!AF56*$E56</f>
        <v>0</v>
      </c>
      <c r="AG56" s="133">
        <f>前台二维码提成录入!AG56*$E56</f>
        <v>0</v>
      </c>
      <c r="AH56" s="133">
        <f>前台二维码提成录入!AH56*$E56</f>
        <v>4.5</v>
      </c>
      <c r="AI56" s="133">
        <f>前台二维码提成录入!AI56*$E56</f>
        <v>7</v>
      </c>
      <c r="AJ56" s="133">
        <f>前台二维码提成录入!AJ56*$E56</f>
        <v>0</v>
      </c>
      <c r="AK56" s="133">
        <f>前台二维码提成录入!AK56*$E56</f>
        <v>0</v>
      </c>
      <c r="AL56" s="133">
        <f>前台二维码提成录入!AL56*$E56</f>
        <v>0</v>
      </c>
    </row>
    <row r="57" s="140" customFormat="1" customHeight="1" spans="1:38">
      <c r="A57" s="161">
        <v>53</v>
      </c>
      <c r="B57" s="162" t="str">
        <f>前台二维码提成录入!B57</f>
        <v>邹璇</v>
      </c>
      <c r="C57" s="162" t="str">
        <f>前台二维码提成录入!C57</f>
        <v>点名表扬</v>
      </c>
      <c r="D57" s="162" t="str">
        <f>前台二维码提成录入!D57</f>
        <v>次</v>
      </c>
      <c r="E57" s="162">
        <f>前台二维码提成录入!E57</f>
        <v>1</v>
      </c>
      <c r="F57" s="162">
        <f>前台二维码提成录入!F57</f>
        <v>0</v>
      </c>
      <c r="G57" s="162">
        <f>前台二维码提成录入!G57</f>
        <v>0</v>
      </c>
      <c r="H57" s="133">
        <f>前台二维码提成录入!H57*$E57</f>
        <v>0</v>
      </c>
      <c r="I57" s="133">
        <f>前台二维码提成录入!I57*$E57</f>
        <v>0</v>
      </c>
      <c r="J57" s="133">
        <f>前台二维码提成录入!J57*$E57</f>
        <v>0</v>
      </c>
      <c r="K57" s="133">
        <f>前台二维码提成录入!K57*$E57</f>
        <v>0</v>
      </c>
      <c r="L57" s="133">
        <f>前台二维码提成录入!L57*$E57</f>
        <v>0</v>
      </c>
      <c r="M57" s="133">
        <f>前台二维码提成录入!M57*$E57</f>
        <v>0</v>
      </c>
      <c r="N57" s="133">
        <f>前台二维码提成录入!N57*$E57</f>
        <v>0</v>
      </c>
      <c r="O57" s="133">
        <f>前台二维码提成录入!O57*$E57</f>
        <v>0</v>
      </c>
      <c r="P57" s="133">
        <f>前台二维码提成录入!P57*$E57</f>
        <v>0</v>
      </c>
      <c r="Q57" s="133">
        <f>前台二维码提成录入!Q57*$E57</f>
        <v>0</v>
      </c>
      <c r="R57" s="133">
        <f>前台二维码提成录入!R57*$E57</f>
        <v>0</v>
      </c>
      <c r="S57" s="133">
        <f>前台二维码提成录入!S57*$E57</f>
        <v>0</v>
      </c>
      <c r="T57" s="133">
        <f>前台二维码提成录入!T57*$E57</f>
        <v>0</v>
      </c>
      <c r="U57" s="133">
        <f>前台二维码提成录入!U57*$E57</f>
        <v>0</v>
      </c>
      <c r="V57" s="133">
        <f>前台二维码提成录入!V57*$E57</f>
        <v>0</v>
      </c>
      <c r="W57" s="133">
        <f>前台二维码提成录入!W57*$E57</f>
        <v>0</v>
      </c>
      <c r="X57" s="133">
        <f>前台二维码提成录入!X57*$E57</f>
        <v>0</v>
      </c>
      <c r="Y57" s="133">
        <f>前台二维码提成录入!Y57*$E57</f>
        <v>0</v>
      </c>
      <c r="Z57" s="133">
        <f>前台二维码提成录入!Z57*$E57</f>
        <v>0</v>
      </c>
      <c r="AA57" s="133">
        <f>前台二维码提成录入!AA57*$E57</f>
        <v>0</v>
      </c>
      <c r="AB57" s="133">
        <f>前台二维码提成录入!AB57*$E57</f>
        <v>0</v>
      </c>
      <c r="AC57" s="133">
        <f>前台二维码提成录入!AC57*$E57</f>
        <v>0</v>
      </c>
      <c r="AD57" s="133">
        <f>前台二维码提成录入!AD57*$E57</f>
        <v>0</v>
      </c>
      <c r="AE57" s="133">
        <f>前台二维码提成录入!AE57*$E57</f>
        <v>0</v>
      </c>
      <c r="AF57" s="133">
        <f>前台二维码提成录入!AF57*$E57</f>
        <v>0</v>
      </c>
      <c r="AG57" s="133">
        <f>前台二维码提成录入!AG57*$E57</f>
        <v>0</v>
      </c>
      <c r="AH57" s="133">
        <f>前台二维码提成录入!AH57*$E57</f>
        <v>0</v>
      </c>
      <c r="AI57" s="133">
        <f>前台二维码提成录入!AI57*$E57</f>
        <v>0</v>
      </c>
      <c r="AJ57" s="133">
        <f>前台二维码提成录入!AJ57*$E57</f>
        <v>0</v>
      </c>
      <c r="AK57" s="133">
        <f>前台二维码提成录入!AK57*$E57</f>
        <v>0</v>
      </c>
      <c r="AL57" s="133">
        <f>前台二维码提成录入!AL57*$E57</f>
        <v>0</v>
      </c>
    </row>
    <row r="58" s="140" customFormat="1" customHeight="1" spans="1:38">
      <c r="A58" s="161">
        <v>54</v>
      </c>
      <c r="B58" s="162" t="str">
        <f>前台二维码提成录入!B58</f>
        <v>邹璇</v>
      </c>
      <c r="C58" s="162" t="str">
        <f>前台二维码提成录入!C58</f>
        <v>违规</v>
      </c>
      <c r="D58" s="162" t="str">
        <f>前台二维码提成录入!D58</f>
        <v>次</v>
      </c>
      <c r="E58" s="162">
        <f>前台二维码提成录入!E58</f>
        <v>0</v>
      </c>
      <c r="F58" s="162">
        <f>前台二维码提成录入!F58</f>
        <v>0</v>
      </c>
      <c r="G58" s="162">
        <f>前台二维码提成录入!G58</f>
        <v>0</v>
      </c>
      <c r="H58" s="133">
        <f>前台二维码提成录入!H58*$E58</f>
        <v>0</v>
      </c>
      <c r="I58" s="133">
        <f>前台二维码提成录入!I58*$E58</f>
        <v>0</v>
      </c>
      <c r="J58" s="133">
        <f>前台二维码提成录入!J58*$E58</f>
        <v>0</v>
      </c>
      <c r="K58" s="133">
        <f>前台二维码提成录入!K58*$E58</f>
        <v>0</v>
      </c>
      <c r="L58" s="133">
        <f>前台二维码提成录入!L58*$E58</f>
        <v>0</v>
      </c>
      <c r="M58" s="133">
        <f>前台二维码提成录入!M58*$E58</f>
        <v>0</v>
      </c>
      <c r="N58" s="133">
        <f>前台二维码提成录入!N58*$E58</f>
        <v>0</v>
      </c>
      <c r="O58" s="133">
        <f>前台二维码提成录入!O58*$E58</f>
        <v>0</v>
      </c>
      <c r="P58" s="133">
        <f>前台二维码提成录入!P58*$E58</f>
        <v>0</v>
      </c>
      <c r="Q58" s="133">
        <f>前台二维码提成录入!Q58*$E58</f>
        <v>0</v>
      </c>
      <c r="R58" s="133">
        <f>前台二维码提成录入!R58*$E58</f>
        <v>0</v>
      </c>
      <c r="S58" s="133">
        <f>前台二维码提成录入!S58*$E58</f>
        <v>0</v>
      </c>
      <c r="T58" s="133">
        <f>前台二维码提成录入!T58*$E58</f>
        <v>0</v>
      </c>
      <c r="U58" s="133">
        <f>前台二维码提成录入!U58*$E58</f>
        <v>0</v>
      </c>
      <c r="V58" s="133">
        <f>前台二维码提成录入!V58*$E58</f>
        <v>0</v>
      </c>
      <c r="W58" s="133">
        <f>前台二维码提成录入!W58*$E58</f>
        <v>0</v>
      </c>
      <c r="X58" s="133">
        <f>前台二维码提成录入!X58*$E58</f>
        <v>0</v>
      </c>
      <c r="Y58" s="133">
        <f>前台二维码提成录入!Y58*$E58</f>
        <v>0</v>
      </c>
      <c r="Z58" s="133">
        <f>前台二维码提成录入!Z58*$E58</f>
        <v>0</v>
      </c>
      <c r="AA58" s="133">
        <f>前台二维码提成录入!AA58*$E58</f>
        <v>0</v>
      </c>
      <c r="AB58" s="133">
        <f>前台二维码提成录入!AB58*$E58</f>
        <v>0</v>
      </c>
      <c r="AC58" s="133">
        <f>前台二维码提成录入!AC58*$E58</f>
        <v>0</v>
      </c>
      <c r="AD58" s="133">
        <f>前台二维码提成录入!AD58*$E58</f>
        <v>0</v>
      </c>
      <c r="AE58" s="133">
        <f>前台二维码提成录入!AE58*$E58</f>
        <v>0</v>
      </c>
      <c r="AF58" s="133">
        <f>前台二维码提成录入!AF58*$E58</f>
        <v>0</v>
      </c>
      <c r="AG58" s="133">
        <f>前台二维码提成录入!AG58*$E58</f>
        <v>0</v>
      </c>
      <c r="AH58" s="133">
        <f>前台二维码提成录入!AH58*$E58</f>
        <v>0</v>
      </c>
      <c r="AI58" s="133">
        <f>前台二维码提成录入!AI58*$E58</f>
        <v>0</v>
      </c>
      <c r="AJ58" s="133">
        <f>前台二维码提成录入!AJ58*$E58</f>
        <v>0</v>
      </c>
      <c r="AK58" s="133">
        <f>前台二维码提成录入!AK58*$E58</f>
        <v>0</v>
      </c>
      <c r="AL58" s="133">
        <f>前台二维码提成录入!AL58*$E58</f>
        <v>0</v>
      </c>
    </row>
    <row r="59" s="140" customFormat="1" customHeight="1" spans="1:38">
      <c r="A59" s="161">
        <v>55</v>
      </c>
      <c r="B59" s="162" t="str">
        <f>前台二维码提成录入!B59</f>
        <v>邹璇</v>
      </c>
      <c r="C59" s="162" t="str">
        <f>前台二维码提成录入!C59</f>
        <v>其他</v>
      </c>
      <c r="D59" s="162" t="str">
        <f>前台二维码提成录入!D59</f>
        <v>次</v>
      </c>
      <c r="E59" s="162">
        <f>前台二维码提成录入!E59</f>
        <v>2</v>
      </c>
      <c r="F59" s="162">
        <f>前台二维码提成录入!F59</f>
        <v>0</v>
      </c>
      <c r="G59" s="162">
        <f>前台二维码提成录入!G59</f>
        <v>0</v>
      </c>
      <c r="H59" s="133">
        <f>前台二维码提成录入!H59*$E59</f>
        <v>0</v>
      </c>
      <c r="I59" s="133">
        <f>前台二维码提成录入!I59*$E59</f>
        <v>0</v>
      </c>
      <c r="J59" s="133">
        <f>前台二维码提成录入!J59*$E59</f>
        <v>0</v>
      </c>
      <c r="K59" s="133">
        <f>前台二维码提成录入!K59*$E59</f>
        <v>0</v>
      </c>
      <c r="L59" s="133">
        <f>前台二维码提成录入!L59*$E59</f>
        <v>0</v>
      </c>
      <c r="M59" s="133">
        <f>前台二维码提成录入!M59*$E59</f>
        <v>0</v>
      </c>
      <c r="N59" s="133">
        <f>前台二维码提成录入!N59*$E59</f>
        <v>0</v>
      </c>
      <c r="O59" s="133">
        <f>前台二维码提成录入!O59*$E59</f>
        <v>0</v>
      </c>
      <c r="P59" s="133">
        <f>前台二维码提成录入!P59*$E59</f>
        <v>0</v>
      </c>
      <c r="Q59" s="133">
        <f>前台二维码提成录入!Q59*$E59</f>
        <v>0</v>
      </c>
      <c r="R59" s="133">
        <f>前台二维码提成录入!R59*$E59</f>
        <v>0</v>
      </c>
      <c r="S59" s="133">
        <f>前台二维码提成录入!S59*$E59</f>
        <v>0</v>
      </c>
      <c r="T59" s="133">
        <f>前台二维码提成录入!T59*$E59</f>
        <v>0</v>
      </c>
      <c r="U59" s="133">
        <f>前台二维码提成录入!U59*$E59</f>
        <v>0</v>
      </c>
      <c r="V59" s="133">
        <f>前台二维码提成录入!V59*$E59</f>
        <v>0</v>
      </c>
      <c r="W59" s="133">
        <f>前台二维码提成录入!W59*$E59</f>
        <v>0</v>
      </c>
      <c r="X59" s="133">
        <f>前台二维码提成录入!X59*$E59</f>
        <v>0</v>
      </c>
      <c r="Y59" s="133">
        <f>前台二维码提成录入!Y59*$E59</f>
        <v>0</v>
      </c>
      <c r="Z59" s="133">
        <f>前台二维码提成录入!Z59*$E59</f>
        <v>0</v>
      </c>
      <c r="AA59" s="133">
        <f>前台二维码提成录入!AA59*$E59</f>
        <v>0</v>
      </c>
      <c r="AB59" s="133">
        <f>前台二维码提成录入!AB59*$E59</f>
        <v>0</v>
      </c>
      <c r="AC59" s="133">
        <f>前台二维码提成录入!AC59*$E59</f>
        <v>0</v>
      </c>
      <c r="AD59" s="133">
        <f>前台二维码提成录入!AD59*$E59</f>
        <v>0</v>
      </c>
      <c r="AE59" s="133">
        <f>前台二维码提成录入!AE59*$E59</f>
        <v>0</v>
      </c>
      <c r="AF59" s="133">
        <f>前台二维码提成录入!AF59*$E59</f>
        <v>0</v>
      </c>
      <c r="AG59" s="133">
        <f>前台二维码提成录入!AG59*$E59</f>
        <v>0</v>
      </c>
      <c r="AH59" s="133">
        <f>前台二维码提成录入!AH59*$E59</f>
        <v>0</v>
      </c>
      <c r="AI59" s="133">
        <f>前台二维码提成录入!AI59*$E59</f>
        <v>0</v>
      </c>
      <c r="AJ59" s="133">
        <f>前台二维码提成录入!AJ59*$E59</f>
        <v>0</v>
      </c>
      <c r="AK59" s="133">
        <f>前台二维码提成录入!AK59*$E59</f>
        <v>0</v>
      </c>
      <c r="AL59" s="133">
        <f>前台二维码提成录入!AL59*$E59</f>
        <v>0</v>
      </c>
    </row>
    <row r="60" s="140" customFormat="1" customHeight="1" spans="1:38">
      <c r="A60" s="161">
        <v>56</v>
      </c>
      <c r="B60" s="162">
        <f>前台二维码提成录入!B60</f>
        <v>0</v>
      </c>
      <c r="C60" s="162">
        <f>前台二维码提成录入!C60</f>
        <v>0</v>
      </c>
      <c r="D60" s="162" t="str">
        <f>前台二维码提成录入!D60</f>
        <v>次</v>
      </c>
      <c r="E60" s="162">
        <f>前台二维码提成录入!E60</f>
        <v>0</v>
      </c>
      <c r="F60" s="162">
        <f>前台二维码提成录入!F60</f>
        <v>0</v>
      </c>
      <c r="G60" s="162">
        <f>前台二维码提成录入!G60</f>
        <v>0</v>
      </c>
      <c r="H60" s="133">
        <f>前台二维码提成录入!H60*$E60</f>
        <v>0</v>
      </c>
      <c r="I60" s="133">
        <f>前台二维码提成录入!I60*$E60</f>
        <v>0</v>
      </c>
      <c r="J60" s="133">
        <f>前台二维码提成录入!J60*$E60</f>
        <v>0</v>
      </c>
      <c r="K60" s="133">
        <f>前台二维码提成录入!K60*$E60</f>
        <v>0</v>
      </c>
      <c r="L60" s="133">
        <f>前台二维码提成录入!L60*$E60</f>
        <v>0</v>
      </c>
      <c r="M60" s="133">
        <f>前台二维码提成录入!M60*$E60</f>
        <v>0</v>
      </c>
      <c r="N60" s="133">
        <f>前台二维码提成录入!N60*$E60</f>
        <v>0</v>
      </c>
      <c r="O60" s="133">
        <f>前台二维码提成录入!O60*$E60</f>
        <v>0</v>
      </c>
      <c r="P60" s="133">
        <f>前台二维码提成录入!P60*$E60</f>
        <v>0</v>
      </c>
      <c r="Q60" s="133">
        <f>前台二维码提成录入!Q60*$E60</f>
        <v>0</v>
      </c>
      <c r="R60" s="133">
        <f>前台二维码提成录入!R60*$E60</f>
        <v>0</v>
      </c>
      <c r="S60" s="133">
        <f>前台二维码提成录入!S60*$E60</f>
        <v>0</v>
      </c>
      <c r="T60" s="133">
        <f>前台二维码提成录入!T60*$E60</f>
        <v>0</v>
      </c>
      <c r="U60" s="133">
        <f>前台二维码提成录入!U60*$E60</f>
        <v>0</v>
      </c>
      <c r="V60" s="133">
        <f>前台二维码提成录入!V60*$E60</f>
        <v>0</v>
      </c>
      <c r="W60" s="133">
        <f>前台二维码提成录入!W60*$E60</f>
        <v>0</v>
      </c>
      <c r="X60" s="133">
        <f>前台二维码提成录入!X60*$E60</f>
        <v>0</v>
      </c>
      <c r="Y60" s="133">
        <f>前台二维码提成录入!Y60*$E60</f>
        <v>0</v>
      </c>
      <c r="Z60" s="133">
        <f>前台二维码提成录入!Z60*$E60</f>
        <v>0</v>
      </c>
      <c r="AA60" s="133">
        <f>前台二维码提成录入!AA60*$E60</f>
        <v>0</v>
      </c>
      <c r="AB60" s="133">
        <f>前台二维码提成录入!AB60*$E60</f>
        <v>0</v>
      </c>
      <c r="AC60" s="133">
        <f>前台二维码提成录入!AC60*$E60</f>
        <v>0</v>
      </c>
      <c r="AD60" s="133">
        <f>前台二维码提成录入!AD60*$E60</f>
        <v>0</v>
      </c>
      <c r="AE60" s="133">
        <f>前台二维码提成录入!AE60*$E60</f>
        <v>0</v>
      </c>
      <c r="AF60" s="133">
        <f>前台二维码提成录入!AF60*$E60</f>
        <v>0</v>
      </c>
      <c r="AG60" s="133">
        <f>前台二维码提成录入!AG60*$E60</f>
        <v>0</v>
      </c>
      <c r="AH60" s="133">
        <f>前台二维码提成录入!AH60*$E60</f>
        <v>0</v>
      </c>
      <c r="AI60" s="133">
        <f>前台二维码提成录入!AI60*$E60</f>
        <v>0</v>
      </c>
      <c r="AJ60" s="133">
        <f>前台二维码提成录入!AJ60*$E60</f>
        <v>0</v>
      </c>
      <c r="AK60" s="133">
        <f>前台二维码提成录入!AK60*$E60</f>
        <v>0</v>
      </c>
      <c r="AL60" s="133">
        <f>前台二维码提成录入!AL60*$E60</f>
        <v>0</v>
      </c>
    </row>
    <row r="61" s="140" customFormat="1" customHeight="1" spans="1:38">
      <c r="A61" s="161">
        <v>57</v>
      </c>
      <c r="B61" s="162">
        <f>前台二维码提成录入!B61</f>
        <v>0</v>
      </c>
      <c r="C61" s="162">
        <f>前台二维码提成录入!C61</f>
        <v>0</v>
      </c>
      <c r="D61" s="162" t="str">
        <f>前台二维码提成录入!D61</f>
        <v>次</v>
      </c>
      <c r="E61" s="162">
        <f>前台二维码提成录入!E61</f>
        <v>0</v>
      </c>
      <c r="F61" s="162">
        <f>前台二维码提成录入!F61</f>
        <v>0</v>
      </c>
      <c r="G61" s="162">
        <f>前台二维码提成录入!G61</f>
        <v>0</v>
      </c>
      <c r="H61" s="133">
        <f>前台二维码提成录入!H61*$E61</f>
        <v>0</v>
      </c>
      <c r="I61" s="133">
        <f>前台二维码提成录入!I61*$E61</f>
        <v>0</v>
      </c>
      <c r="J61" s="133">
        <f>前台二维码提成录入!J61*$E61</f>
        <v>0</v>
      </c>
      <c r="K61" s="133">
        <f>前台二维码提成录入!K61*$E61</f>
        <v>0</v>
      </c>
      <c r="L61" s="133">
        <f>前台二维码提成录入!L61*$E61</f>
        <v>0</v>
      </c>
      <c r="M61" s="133">
        <f>前台二维码提成录入!M61*$E61</f>
        <v>0</v>
      </c>
      <c r="N61" s="133">
        <f>前台二维码提成录入!N61*$E61</f>
        <v>0</v>
      </c>
      <c r="O61" s="133">
        <f>前台二维码提成录入!O61*$E61</f>
        <v>0</v>
      </c>
      <c r="P61" s="133">
        <f>前台二维码提成录入!P61*$E61</f>
        <v>0</v>
      </c>
      <c r="Q61" s="133">
        <f>前台二维码提成录入!Q61*$E61</f>
        <v>0</v>
      </c>
      <c r="R61" s="133">
        <f>前台二维码提成录入!R61*$E61</f>
        <v>0</v>
      </c>
      <c r="S61" s="133">
        <f>前台二维码提成录入!S61*$E61</f>
        <v>0</v>
      </c>
      <c r="T61" s="133">
        <f>前台二维码提成录入!T61*$E61</f>
        <v>0</v>
      </c>
      <c r="U61" s="133">
        <f>前台二维码提成录入!U61*$E61</f>
        <v>0</v>
      </c>
      <c r="V61" s="133">
        <f>前台二维码提成录入!V61*$E61</f>
        <v>0</v>
      </c>
      <c r="W61" s="133">
        <f>前台二维码提成录入!W61*$E61</f>
        <v>0</v>
      </c>
      <c r="X61" s="133">
        <f>前台二维码提成录入!X61*$E61</f>
        <v>0</v>
      </c>
      <c r="Y61" s="133">
        <f>前台二维码提成录入!Y61*$E61</f>
        <v>0</v>
      </c>
      <c r="Z61" s="133">
        <f>前台二维码提成录入!Z61*$E61</f>
        <v>0</v>
      </c>
      <c r="AA61" s="133">
        <f>前台二维码提成录入!AA61*$E61</f>
        <v>0</v>
      </c>
      <c r="AB61" s="133">
        <f>前台二维码提成录入!AB61*$E61</f>
        <v>0</v>
      </c>
      <c r="AC61" s="133">
        <f>前台二维码提成录入!AC61*$E61</f>
        <v>0</v>
      </c>
      <c r="AD61" s="133">
        <f>前台二维码提成录入!AD61*$E61</f>
        <v>0</v>
      </c>
      <c r="AE61" s="133">
        <f>前台二维码提成录入!AE61*$E61</f>
        <v>0</v>
      </c>
      <c r="AF61" s="133">
        <f>前台二维码提成录入!AF61*$E61</f>
        <v>0</v>
      </c>
      <c r="AG61" s="133">
        <f>前台二维码提成录入!AG61*$E61</f>
        <v>0</v>
      </c>
      <c r="AH61" s="133">
        <f>前台二维码提成录入!AH61*$E61</f>
        <v>0</v>
      </c>
      <c r="AI61" s="133">
        <f>前台二维码提成录入!AI61*$E61</f>
        <v>0</v>
      </c>
      <c r="AJ61" s="133">
        <f>前台二维码提成录入!AJ61*$E61</f>
        <v>0</v>
      </c>
      <c r="AK61" s="133">
        <f>前台二维码提成录入!AK61*$E61</f>
        <v>0</v>
      </c>
      <c r="AL61" s="133">
        <f>前台二维码提成录入!AL61*$E61</f>
        <v>0</v>
      </c>
    </row>
    <row r="62" s="140" customFormat="1" customHeight="1" spans="1:38">
      <c r="A62" s="161">
        <v>58</v>
      </c>
      <c r="B62" s="162">
        <f>前台二维码提成录入!B62</f>
        <v>0</v>
      </c>
      <c r="C62" s="162">
        <f>前台二维码提成录入!C62</f>
        <v>0</v>
      </c>
      <c r="D62" s="162" t="str">
        <f>前台二维码提成录入!D62</f>
        <v>次</v>
      </c>
      <c r="E62" s="162">
        <f>前台二维码提成录入!E62</f>
        <v>0</v>
      </c>
      <c r="F62" s="162">
        <f>前台二维码提成录入!F62</f>
        <v>0</v>
      </c>
      <c r="G62" s="162">
        <f>前台二维码提成录入!G62</f>
        <v>0</v>
      </c>
      <c r="H62" s="133">
        <f>前台二维码提成录入!H62*$E62</f>
        <v>0</v>
      </c>
      <c r="I62" s="133">
        <f>前台二维码提成录入!I62*$E62</f>
        <v>0</v>
      </c>
      <c r="J62" s="133">
        <f>前台二维码提成录入!J62*$E62</f>
        <v>0</v>
      </c>
      <c r="K62" s="133">
        <f>前台二维码提成录入!K62*$E62</f>
        <v>0</v>
      </c>
      <c r="L62" s="133">
        <f>前台二维码提成录入!L62*$E62</f>
        <v>0</v>
      </c>
      <c r="M62" s="133">
        <f>前台二维码提成录入!M62*$E62</f>
        <v>0</v>
      </c>
      <c r="N62" s="133">
        <f>前台二维码提成录入!N62*$E62</f>
        <v>0</v>
      </c>
      <c r="O62" s="133">
        <f>前台二维码提成录入!O62*$E62</f>
        <v>0</v>
      </c>
      <c r="P62" s="133">
        <f>前台二维码提成录入!P62*$E62</f>
        <v>0</v>
      </c>
      <c r="Q62" s="133">
        <f>前台二维码提成录入!Q62*$E62</f>
        <v>0</v>
      </c>
      <c r="R62" s="133">
        <f>前台二维码提成录入!R62*$E62</f>
        <v>0</v>
      </c>
      <c r="S62" s="133">
        <f>前台二维码提成录入!S62*$E62</f>
        <v>0</v>
      </c>
      <c r="T62" s="133">
        <f>前台二维码提成录入!T62*$E62</f>
        <v>0</v>
      </c>
      <c r="U62" s="133">
        <f>前台二维码提成录入!U62*$E62</f>
        <v>0</v>
      </c>
      <c r="V62" s="133">
        <f>前台二维码提成录入!V62*$E62</f>
        <v>0</v>
      </c>
      <c r="W62" s="133">
        <f>前台二维码提成录入!W62*$E62</f>
        <v>0</v>
      </c>
      <c r="X62" s="133">
        <f>前台二维码提成录入!X62*$E62</f>
        <v>0</v>
      </c>
      <c r="Y62" s="133">
        <f>前台二维码提成录入!Y62*$E62</f>
        <v>0</v>
      </c>
      <c r="Z62" s="133">
        <f>前台二维码提成录入!Z62*$E62</f>
        <v>0</v>
      </c>
      <c r="AA62" s="133">
        <f>前台二维码提成录入!AA62*$E62</f>
        <v>0</v>
      </c>
      <c r="AB62" s="133">
        <f>前台二维码提成录入!AB62*$E62</f>
        <v>0</v>
      </c>
      <c r="AC62" s="133">
        <f>前台二维码提成录入!AC62*$E62</f>
        <v>0</v>
      </c>
      <c r="AD62" s="133">
        <f>前台二维码提成录入!AD62*$E62</f>
        <v>0</v>
      </c>
      <c r="AE62" s="133">
        <f>前台二维码提成录入!AE62*$E62</f>
        <v>0</v>
      </c>
      <c r="AF62" s="133">
        <f>前台二维码提成录入!AF62*$E62</f>
        <v>0</v>
      </c>
      <c r="AG62" s="133">
        <f>前台二维码提成录入!AG62*$E62</f>
        <v>0</v>
      </c>
      <c r="AH62" s="133">
        <f>前台二维码提成录入!AH62*$E62</f>
        <v>0</v>
      </c>
      <c r="AI62" s="133">
        <f>前台二维码提成录入!AI62*$E62</f>
        <v>0</v>
      </c>
      <c r="AJ62" s="133">
        <f>前台二维码提成录入!AJ62*$E62</f>
        <v>0</v>
      </c>
      <c r="AK62" s="133">
        <f>前台二维码提成录入!AK62*$E62</f>
        <v>0</v>
      </c>
      <c r="AL62" s="133">
        <f>前台二维码提成录入!AL62*$E62</f>
        <v>0</v>
      </c>
    </row>
    <row r="63" s="140" customFormat="1" customHeight="1" spans="1:38">
      <c r="A63" s="161">
        <v>59</v>
      </c>
      <c r="B63" s="162">
        <f>前台二维码提成录入!B63</f>
        <v>0</v>
      </c>
      <c r="C63" s="162">
        <f>前台二维码提成录入!C63</f>
        <v>0</v>
      </c>
      <c r="D63" s="162" t="str">
        <f>前台二维码提成录入!D63</f>
        <v>次</v>
      </c>
      <c r="E63" s="162">
        <f>前台二维码提成录入!E63</f>
        <v>0</v>
      </c>
      <c r="F63" s="162">
        <f>前台二维码提成录入!F63</f>
        <v>0</v>
      </c>
      <c r="G63" s="162">
        <f>前台二维码提成录入!G63</f>
        <v>0</v>
      </c>
      <c r="H63" s="133">
        <f>前台二维码提成录入!H63*$E63</f>
        <v>0</v>
      </c>
      <c r="I63" s="133">
        <f>前台二维码提成录入!I63*$E63</f>
        <v>0</v>
      </c>
      <c r="J63" s="133">
        <f>前台二维码提成录入!J63*$E63</f>
        <v>0</v>
      </c>
      <c r="K63" s="133">
        <f>前台二维码提成录入!K63*$E63</f>
        <v>0</v>
      </c>
      <c r="L63" s="133">
        <f>前台二维码提成录入!L63*$E63</f>
        <v>0</v>
      </c>
      <c r="M63" s="133">
        <f>前台二维码提成录入!M63*$E63</f>
        <v>0</v>
      </c>
      <c r="N63" s="133">
        <f>前台二维码提成录入!N63*$E63</f>
        <v>0</v>
      </c>
      <c r="O63" s="133">
        <f>前台二维码提成录入!O63*$E63</f>
        <v>0</v>
      </c>
      <c r="P63" s="133">
        <f>前台二维码提成录入!P63*$E63</f>
        <v>0</v>
      </c>
      <c r="Q63" s="133">
        <f>前台二维码提成录入!Q63*$E63</f>
        <v>0</v>
      </c>
      <c r="R63" s="133">
        <f>前台二维码提成录入!R63*$E63</f>
        <v>0</v>
      </c>
      <c r="S63" s="133">
        <f>前台二维码提成录入!S63*$E63</f>
        <v>0</v>
      </c>
      <c r="T63" s="133">
        <f>前台二维码提成录入!T63*$E63</f>
        <v>0</v>
      </c>
      <c r="U63" s="133">
        <f>前台二维码提成录入!U63*$E63</f>
        <v>0</v>
      </c>
      <c r="V63" s="133">
        <f>前台二维码提成录入!V63*$E63</f>
        <v>0</v>
      </c>
      <c r="W63" s="133">
        <f>前台二维码提成录入!W63*$E63</f>
        <v>0</v>
      </c>
      <c r="X63" s="133">
        <f>前台二维码提成录入!X63*$E63</f>
        <v>0</v>
      </c>
      <c r="Y63" s="133">
        <f>前台二维码提成录入!Y63*$E63</f>
        <v>0</v>
      </c>
      <c r="Z63" s="133">
        <f>前台二维码提成录入!Z63*$E63</f>
        <v>0</v>
      </c>
      <c r="AA63" s="133">
        <f>前台二维码提成录入!AA63*$E63</f>
        <v>0</v>
      </c>
      <c r="AB63" s="133">
        <f>前台二维码提成录入!AB63*$E63</f>
        <v>0</v>
      </c>
      <c r="AC63" s="133">
        <f>前台二维码提成录入!AC63*$E63</f>
        <v>0</v>
      </c>
      <c r="AD63" s="133">
        <f>前台二维码提成录入!AD63*$E63</f>
        <v>0</v>
      </c>
      <c r="AE63" s="133">
        <f>前台二维码提成录入!AE63*$E63</f>
        <v>0</v>
      </c>
      <c r="AF63" s="133">
        <f>前台二维码提成录入!AF63*$E63</f>
        <v>0</v>
      </c>
      <c r="AG63" s="133">
        <f>前台二维码提成录入!AG63*$E63</f>
        <v>0</v>
      </c>
      <c r="AH63" s="133">
        <f>前台二维码提成录入!AH63*$E63</f>
        <v>0</v>
      </c>
      <c r="AI63" s="133">
        <f>前台二维码提成录入!AI63*$E63</f>
        <v>0</v>
      </c>
      <c r="AJ63" s="133">
        <f>前台二维码提成录入!AJ63*$E63</f>
        <v>0</v>
      </c>
      <c r="AK63" s="133">
        <f>前台二维码提成录入!AK63*$E63</f>
        <v>0</v>
      </c>
      <c r="AL63" s="133">
        <f>前台二维码提成录入!AL63*$E63</f>
        <v>0</v>
      </c>
    </row>
    <row r="64" s="140" customFormat="1" customHeight="1" spans="1:38">
      <c r="A64" s="161">
        <v>60</v>
      </c>
      <c r="B64" s="162">
        <f>前台二维码提成录入!B64</f>
        <v>0</v>
      </c>
      <c r="C64" s="162">
        <f>前台二维码提成录入!C64</f>
        <v>0</v>
      </c>
      <c r="D64" s="162" t="str">
        <f>前台二维码提成录入!D64</f>
        <v>次</v>
      </c>
      <c r="E64" s="162">
        <f>前台二维码提成录入!E64</f>
        <v>0</v>
      </c>
      <c r="F64" s="162">
        <f>前台二维码提成录入!F64</f>
        <v>0</v>
      </c>
      <c r="G64" s="162">
        <f>前台二维码提成录入!G64</f>
        <v>0</v>
      </c>
      <c r="H64" s="133">
        <f>前台二维码提成录入!H64*$E64</f>
        <v>0</v>
      </c>
      <c r="I64" s="133">
        <f>前台二维码提成录入!I64*$E64</f>
        <v>0</v>
      </c>
      <c r="J64" s="133">
        <f>前台二维码提成录入!J64*$E64</f>
        <v>0</v>
      </c>
      <c r="K64" s="133">
        <f>前台二维码提成录入!K64*$E64</f>
        <v>0</v>
      </c>
      <c r="L64" s="133">
        <f>前台二维码提成录入!L64*$E64</f>
        <v>0</v>
      </c>
      <c r="M64" s="133">
        <f>前台二维码提成录入!M64*$E64</f>
        <v>0</v>
      </c>
      <c r="N64" s="133">
        <f>前台二维码提成录入!N64*$E64</f>
        <v>0</v>
      </c>
      <c r="O64" s="133">
        <f>前台二维码提成录入!O64*$E64</f>
        <v>0</v>
      </c>
      <c r="P64" s="133">
        <f>前台二维码提成录入!P64*$E64</f>
        <v>0</v>
      </c>
      <c r="Q64" s="133">
        <f>前台二维码提成录入!Q64*$E64</f>
        <v>0</v>
      </c>
      <c r="R64" s="133">
        <f>前台二维码提成录入!R64*$E64</f>
        <v>0</v>
      </c>
      <c r="S64" s="133">
        <f>前台二维码提成录入!S64*$E64</f>
        <v>0</v>
      </c>
      <c r="T64" s="133">
        <f>前台二维码提成录入!T64*$E64</f>
        <v>0</v>
      </c>
      <c r="U64" s="133">
        <f>前台二维码提成录入!U64*$E64</f>
        <v>0</v>
      </c>
      <c r="V64" s="133">
        <f>前台二维码提成录入!V64*$E64</f>
        <v>0</v>
      </c>
      <c r="W64" s="133">
        <f>前台二维码提成录入!W64*$E64</f>
        <v>0</v>
      </c>
      <c r="X64" s="133">
        <f>前台二维码提成录入!X64*$E64</f>
        <v>0</v>
      </c>
      <c r="Y64" s="133">
        <f>前台二维码提成录入!Y64*$E64</f>
        <v>0</v>
      </c>
      <c r="Z64" s="133">
        <f>前台二维码提成录入!Z64*$E64</f>
        <v>0</v>
      </c>
      <c r="AA64" s="133">
        <f>前台二维码提成录入!AA64*$E64</f>
        <v>0</v>
      </c>
      <c r="AB64" s="133">
        <f>前台二维码提成录入!AB64*$E64</f>
        <v>0</v>
      </c>
      <c r="AC64" s="133">
        <f>前台二维码提成录入!AC64*$E64</f>
        <v>0</v>
      </c>
      <c r="AD64" s="133">
        <f>前台二维码提成录入!AD64*$E64</f>
        <v>0</v>
      </c>
      <c r="AE64" s="133">
        <f>前台二维码提成录入!AE64*$E64</f>
        <v>0</v>
      </c>
      <c r="AF64" s="133">
        <f>前台二维码提成录入!AF64*$E64</f>
        <v>0</v>
      </c>
      <c r="AG64" s="133">
        <f>前台二维码提成录入!AG64*$E64</f>
        <v>0</v>
      </c>
      <c r="AH64" s="133">
        <f>前台二维码提成录入!AH64*$E64</f>
        <v>0</v>
      </c>
      <c r="AI64" s="133">
        <f>前台二维码提成录入!AI64*$E64</f>
        <v>0</v>
      </c>
      <c r="AJ64" s="133">
        <f>前台二维码提成录入!AJ64*$E64</f>
        <v>0</v>
      </c>
      <c r="AK64" s="133">
        <f>前台二维码提成录入!AK64*$E64</f>
        <v>0</v>
      </c>
      <c r="AL64" s="133">
        <f>前台二维码提成录入!AL64*$E64</f>
        <v>0</v>
      </c>
    </row>
    <row r="65" s="140" customFormat="1" customHeight="1" spans="1:38">
      <c r="A65" s="161">
        <v>61</v>
      </c>
      <c r="B65" s="162">
        <f>前台二维码提成录入!B65</f>
        <v>0</v>
      </c>
      <c r="C65" s="162">
        <f>前台二维码提成录入!C65</f>
        <v>0</v>
      </c>
      <c r="D65" s="162" t="str">
        <f>前台二维码提成录入!D65</f>
        <v>次</v>
      </c>
      <c r="E65" s="162">
        <f>前台二维码提成录入!E65</f>
        <v>0</v>
      </c>
      <c r="F65" s="162">
        <f>前台二维码提成录入!F65</f>
        <v>0</v>
      </c>
      <c r="G65" s="162">
        <f>前台二维码提成录入!G65</f>
        <v>0</v>
      </c>
      <c r="H65" s="133">
        <f>前台二维码提成录入!H65*$E65</f>
        <v>0</v>
      </c>
      <c r="I65" s="133">
        <f>前台二维码提成录入!I65*$E65</f>
        <v>0</v>
      </c>
      <c r="J65" s="133">
        <f>前台二维码提成录入!J65*$E65</f>
        <v>0</v>
      </c>
      <c r="K65" s="133">
        <f>前台二维码提成录入!K65*$E65</f>
        <v>0</v>
      </c>
      <c r="L65" s="133">
        <f>前台二维码提成录入!L65*$E65</f>
        <v>0</v>
      </c>
      <c r="M65" s="133">
        <f>前台二维码提成录入!M65*$E65</f>
        <v>0</v>
      </c>
      <c r="N65" s="133">
        <f>前台二维码提成录入!N65*$E65</f>
        <v>0</v>
      </c>
      <c r="O65" s="133">
        <f>前台二维码提成录入!O65*$E65</f>
        <v>0</v>
      </c>
      <c r="P65" s="133">
        <f>前台二维码提成录入!P65*$E65</f>
        <v>0</v>
      </c>
      <c r="Q65" s="133">
        <f>前台二维码提成录入!Q65*$E65</f>
        <v>0</v>
      </c>
      <c r="R65" s="133">
        <f>前台二维码提成录入!R65*$E65</f>
        <v>0</v>
      </c>
      <c r="S65" s="133">
        <f>前台二维码提成录入!S65*$E65</f>
        <v>0</v>
      </c>
      <c r="T65" s="133">
        <f>前台二维码提成录入!T65*$E65</f>
        <v>0</v>
      </c>
      <c r="U65" s="133">
        <f>前台二维码提成录入!U65*$E65</f>
        <v>0</v>
      </c>
      <c r="V65" s="133">
        <f>前台二维码提成录入!V65*$E65</f>
        <v>0</v>
      </c>
      <c r="W65" s="133">
        <f>前台二维码提成录入!W65*$E65</f>
        <v>0</v>
      </c>
      <c r="X65" s="133">
        <f>前台二维码提成录入!X65*$E65</f>
        <v>0</v>
      </c>
      <c r="Y65" s="133">
        <f>前台二维码提成录入!Y65*$E65</f>
        <v>0</v>
      </c>
      <c r="Z65" s="133">
        <f>前台二维码提成录入!Z65*$E65</f>
        <v>0</v>
      </c>
      <c r="AA65" s="133">
        <f>前台二维码提成录入!AA65*$E65</f>
        <v>0</v>
      </c>
      <c r="AB65" s="133">
        <f>前台二维码提成录入!AB65*$E65</f>
        <v>0</v>
      </c>
      <c r="AC65" s="133">
        <f>前台二维码提成录入!AC65*$E65</f>
        <v>0</v>
      </c>
      <c r="AD65" s="133">
        <f>前台二维码提成录入!AD65*$E65</f>
        <v>0</v>
      </c>
      <c r="AE65" s="133">
        <f>前台二维码提成录入!AE65*$E65</f>
        <v>0</v>
      </c>
      <c r="AF65" s="133">
        <f>前台二维码提成录入!AF65*$E65</f>
        <v>0</v>
      </c>
      <c r="AG65" s="133">
        <f>前台二维码提成录入!AG65*$E65</f>
        <v>0</v>
      </c>
      <c r="AH65" s="133">
        <f>前台二维码提成录入!AH65*$E65</f>
        <v>0</v>
      </c>
      <c r="AI65" s="133">
        <f>前台二维码提成录入!AI65*$E65</f>
        <v>0</v>
      </c>
      <c r="AJ65" s="133">
        <f>前台二维码提成录入!AJ65*$E65</f>
        <v>0</v>
      </c>
      <c r="AK65" s="133">
        <f>前台二维码提成录入!AK65*$E65</f>
        <v>0</v>
      </c>
      <c r="AL65" s="133">
        <f>前台二维码提成录入!AL65*$E65</f>
        <v>0</v>
      </c>
    </row>
    <row r="66" s="140" customFormat="1" customHeight="1" spans="1:38">
      <c r="A66" s="161">
        <v>62</v>
      </c>
      <c r="B66" s="162">
        <f>前台二维码提成录入!B66</f>
        <v>0</v>
      </c>
      <c r="C66" s="162">
        <f>前台二维码提成录入!C66</f>
        <v>0</v>
      </c>
      <c r="D66" s="162" t="str">
        <f>前台二维码提成录入!D66</f>
        <v>次</v>
      </c>
      <c r="E66" s="162">
        <f>前台二维码提成录入!E66</f>
        <v>0</v>
      </c>
      <c r="F66" s="162">
        <f>前台二维码提成录入!F66</f>
        <v>0</v>
      </c>
      <c r="G66" s="162">
        <f>前台二维码提成录入!G66</f>
        <v>0</v>
      </c>
      <c r="H66" s="133">
        <f>前台二维码提成录入!H66*$E66</f>
        <v>0</v>
      </c>
      <c r="I66" s="133">
        <f>前台二维码提成录入!I66*$E66</f>
        <v>0</v>
      </c>
      <c r="J66" s="133">
        <f>前台二维码提成录入!J66*$E66</f>
        <v>0</v>
      </c>
      <c r="K66" s="133">
        <f>前台二维码提成录入!K66*$E66</f>
        <v>0</v>
      </c>
      <c r="L66" s="133">
        <f>前台二维码提成录入!L66*$E66</f>
        <v>0</v>
      </c>
      <c r="M66" s="133">
        <f>前台二维码提成录入!M66*$E66</f>
        <v>0</v>
      </c>
      <c r="N66" s="133">
        <f>前台二维码提成录入!N66*$E66</f>
        <v>0</v>
      </c>
      <c r="O66" s="133">
        <f>前台二维码提成录入!O66*$E66</f>
        <v>0</v>
      </c>
      <c r="P66" s="133">
        <f>前台二维码提成录入!P66*$E66</f>
        <v>0</v>
      </c>
      <c r="Q66" s="133">
        <f>前台二维码提成录入!Q66*$E66</f>
        <v>0</v>
      </c>
      <c r="R66" s="133">
        <f>前台二维码提成录入!R66*$E66</f>
        <v>0</v>
      </c>
      <c r="S66" s="133">
        <f>前台二维码提成录入!S66*$E66</f>
        <v>0</v>
      </c>
      <c r="T66" s="133">
        <f>前台二维码提成录入!T66*$E66</f>
        <v>0</v>
      </c>
      <c r="U66" s="133">
        <f>前台二维码提成录入!U66*$E66</f>
        <v>0</v>
      </c>
      <c r="V66" s="133">
        <f>前台二维码提成录入!V66*$E66</f>
        <v>0</v>
      </c>
      <c r="W66" s="133">
        <f>前台二维码提成录入!W66*$E66</f>
        <v>0</v>
      </c>
      <c r="X66" s="133">
        <f>前台二维码提成录入!X66*$E66</f>
        <v>0</v>
      </c>
      <c r="Y66" s="133">
        <f>前台二维码提成录入!Y66*$E66</f>
        <v>0</v>
      </c>
      <c r="Z66" s="133">
        <f>前台二维码提成录入!Z66*$E66</f>
        <v>0</v>
      </c>
      <c r="AA66" s="133">
        <f>前台二维码提成录入!AA66*$E66</f>
        <v>0</v>
      </c>
      <c r="AB66" s="133">
        <f>前台二维码提成录入!AB66*$E66</f>
        <v>0</v>
      </c>
      <c r="AC66" s="133">
        <f>前台二维码提成录入!AC66*$E66</f>
        <v>0</v>
      </c>
      <c r="AD66" s="133">
        <f>前台二维码提成录入!AD66*$E66</f>
        <v>0</v>
      </c>
      <c r="AE66" s="133">
        <f>前台二维码提成录入!AE66*$E66</f>
        <v>0</v>
      </c>
      <c r="AF66" s="133">
        <f>前台二维码提成录入!AF66*$E66</f>
        <v>0</v>
      </c>
      <c r="AG66" s="133">
        <f>前台二维码提成录入!AG66*$E66</f>
        <v>0</v>
      </c>
      <c r="AH66" s="133">
        <f>前台二维码提成录入!AH66*$E66</f>
        <v>0</v>
      </c>
      <c r="AI66" s="133">
        <f>前台二维码提成录入!AI66*$E66</f>
        <v>0</v>
      </c>
      <c r="AJ66" s="133">
        <f>前台二维码提成录入!AJ66*$E66</f>
        <v>0</v>
      </c>
      <c r="AK66" s="133">
        <f>前台二维码提成录入!AK66*$E66</f>
        <v>0</v>
      </c>
      <c r="AL66" s="133">
        <f>前台二维码提成录入!AL66*$E66</f>
        <v>0</v>
      </c>
    </row>
    <row r="67" s="140" customFormat="1" customHeight="1" spans="1:38">
      <c r="A67" s="161">
        <v>63</v>
      </c>
      <c r="B67" s="162">
        <f>前台二维码提成录入!B67</f>
        <v>0</v>
      </c>
      <c r="C67" s="162">
        <f>前台二维码提成录入!C67</f>
        <v>0</v>
      </c>
      <c r="D67" s="162" t="str">
        <f>前台二维码提成录入!D67</f>
        <v>次</v>
      </c>
      <c r="E67" s="162">
        <f>前台二维码提成录入!E67</f>
        <v>0</v>
      </c>
      <c r="F67" s="162">
        <f>前台二维码提成录入!F67</f>
        <v>0</v>
      </c>
      <c r="G67" s="162">
        <f>前台二维码提成录入!G67</f>
        <v>0</v>
      </c>
      <c r="H67" s="133">
        <f>前台二维码提成录入!H67*$E67</f>
        <v>0</v>
      </c>
      <c r="I67" s="133">
        <f>前台二维码提成录入!I67*$E67</f>
        <v>0</v>
      </c>
      <c r="J67" s="133">
        <f>前台二维码提成录入!J67*$E67</f>
        <v>0</v>
      </c>
      <c r="K67" s="133">
        <f>前台二维码提成录入!K67*$E67</f>
        <v>0</v>
      </c>
      <c r="L67" s="133">
        <f>前台二维码提成录入!L67*$E67</f>
        <v>0</v>
      </c>
      <c r="M67" s="133">
        <f>前台二维码提成录入!M67*$E67</f>
        <v>0</v>
      </c>
      <c r="N67" s="133">
        <f>前台二维码提成录入!N67*$E67</f>
        <v>0</v>
      </c>
      <c r="O67" s="133">
        <f>前台二维码提成录入!O67*$E67</f>
        <v>0</v>
      </c>
      <c r="P67" s="133">
        <f>前台二维码提成录入!P67*$E67</f>
        <v>0</v>
      </c>
      <c r="Q67" s="133">
        <f>前台二维码提成录入!Q67*$E67</f>
        <v>0</v>
      </c>
      <c r="R67" s="133">
        <f>前台二维码提成录入!R67*$E67</f>
        <v>0</v>
      </c>
      <c r="S67" s="133">
        <f>前台二维码提成录入!S67*$E67</f>
        <v>0</v>
      </c>
      <c r="T67" s="133">
        <f>前台二维码提成录入!T67*$E67</f>
        <v>0</v>
      </c>
      <c r="U67" s="133">
        <f>前台二维码提成录入!U67*$E67</f>
        <v>0</v>
      </c>
      <c r="V67" s="133">
        <f>前台二维码提成录入!V67*$E67</f>
        <v>0</v>
      </c>
      <c r="W67" s="133">
        <f>前台二维码提成录入!W67*$E67</f>
        <v>0</v>
      </c>
      <c r="X67" s="133">
        <f>前台二维码提成录入!X67*$E67</f>
        <v>0</v>
      </c>
      <c r="Y67" s="133">
        <f>前台二维码提成录入!Y67*$E67</f>
        <v>0</v>
      </c>
      <c r="Z67" s="133">
        <f>前台二维码提成录入!Z67*$E67</f>
        <v>0</v>
      </c>
      <c r="AA67" s="133">
        <f>前台二维码提成录入!AA67*$E67</f>
        <v>0</v>
      </c>
      <c r="AB67" s="133">
        <f>前台二维码提成录入!AB67*$E67</f>
        <v>0</v>
      </c>
      <c r="AC67" s="133">
        <f>前台二维码提成录入!AC67*$E67</f>
        <v>0</v>
      </c>
      <c r="AD67" s="133">
        <f>前台二维码提成录入!AD67*$E67</f>
        <v>0</v>
      </c>
      <c r="AE67" s="133">
        <f>前台二维码提成录入!AE67*$E67</f>
        <v>0</v>
      </c>
      <c r="AF67" s="133">
        <f>前台二维码提成录入!AF67*$E67</f>
        <v>0</v>
      </c>
      <c r="AG67" s="133">
        <f>前台二维码提成录入!AG67*$E67</f>
        <v>0</v>
      </c>
      <c r="AH67" s="133">
        <f>前台二维码提成录入!AH67*$E67</f>
        <v>0</v>
      </c>
      <c r="AI67" s="133">
        <f>前台二维码提成录入!AI67*$E67</f>
        <v>0</v>
      </c>
      <c r="AJ67" s="133">
        <f>前台二维码提成录入!AJ67*$E67</f>
        <v>0</v>
      </c>
      <c r="AK67" s="133">
        <f>前台二维码提成录入!AK67*$E67</f>
        <v>0</v>
      </c>
      <c r="AL67" s="133">
        <f>前台二维码提成录入!AL67*$E67</f>
        <v>0</v>
      </c>
    </row>
    <row r="68" s="140" customFormat="1" customHeight="1" spans="1:38">
      <c r="A68" s="161">
        <v>64</v>
      </c>
      <c r="B68" s="162">
        <f>前台二维码提成录入!B68</f>
        <v>0</v>
      </c>
      <c r="C68" s="162">
        <f>前台二维码提成录入!C68</f>
        <v>0</v>
      </c>
      <c r="D68" s="162" t="str">
        <f>前台二维码提成录入!D68</f>
        <v>次</v>
      </c>
      <c r="E68" s="162">
        <f>前台二维码提成录入!E68</f>
        <v>0</v>
      </c>
      <c r="F68" s="162">
        <f>前台二维码提成录入!F68</f>
        <v>0</v>
      </c>
      <c r="G68" s="162">
        <f>前台二维码提成录入!G68</f>
        <v>0</v>
      </c>
      <c r="H68" s="133">
        <f>前台二维码提成录入!H68*$E68</f>
        <v>0</v>
      </c>
      <c r="I68" s="133">
        <f>前台二维码提成录入!I68*$E68</f>
        <v>0</v>
      </c>
      <c r="J68" s="133">
        <f>前台二维码提成录入!J68*$E68</f>
        <v>0</v>
      </c>
      <c r="K68" s="133">
        <f>前台二维码提成录入!K68*$E68</f>
        <v>0</v>
      </c>
      <c r="L68" s="133">
        <f>前台二维码提成录入!L68*$E68</f>
        <v>0</v>
      </c>
      <c r="M68" s="133">
        <f>前台二维码提成录入!M68*$E68</f>
        <v>0</v>
      </c>
      <c r="N68" s="133">
        <f>前台二维码提成录入!N68*$E68</f>
        <v>0</v>
      </c>
      <c r="O68" s="133">
        <f>前台二维码提成录入!O68*$E68</f>
        <v>0</v>
      </c>
      <c r="P68" s="133">
        <f>前台二维码提成录入!P68*$E68</f>
        <v>0</v>
      </c>
      <c r="Q68" s="133">
        <f>前台二维码提成录入!Q68*$E68</f>
        <v>0</v>
      </c>
      <c r="R68" s="133">
        <f>前台二维码提成录入!R68*$E68</f>
        <v>0</v>
      </c>
      <c r="S68" s="133">
        <f>前台二维码提成录入!S68*$E68</f>
        <v>0</v>
      </c>
      <c r="T68" s="133">
        <f>前台二维码提成录入!T68*$E68</f>
        <v>0</v>
      </c>
      <c r="U68" s="133">
        <f>前台二维码提成录入!U68*$E68</f>
        <v>0</v>
      </c>
      <c r="V68" s="133">
        <f>前台二维码提成录入!V68*$E68</f>
        <v>0</v>
      </c>
      <c r="W68" s="133">
        <f>前台二维码提成录入!W68*$E68</f>
        <v>0</v>
      </c>
      <c r="X68" s="133">
        <f>前台二维码提成录入!X68*$E68</f>
        <v>0</v>
      </c>
      <c r="Y68" s="133">
        <f>前台二维码提成录入!Y68*$E68</f>
        <v>0</v>
      </c>
      <c r="Z68" s="133">
        <f>前台二维码提成录入!Z68*$E68</f>
        <v>0</v>
      </c>
      <c r="AA68" s="133">
        <f>前台二维码提成录入!AA68*$E68</f>
        <v>0</v>
      </c>
      <c r="AB68" s="133">
        <f>前台二维码提成录入!AB68*$E68</f>
        <v>0</v>
      </c>
      <c r="AC68" s="133">
        <f>前台二维码提成录入!AC68*$E68</f>
        <v>0</v>
      </c>
      <c r="AD68" s="133">
        <f>前台二维码提成录入!AD68*$E68</f>
        <v>0</v>
      </c>
      <c r="AE68" s="133">
        <f>前台二维码提成录入!AE68*$E68</f>
        <v>0</v>
      </c>
      <c r="AF68" s="133">
        <f>前台二维码提成录入!AF68*$E68</f>
        <v>0</v>
      </c>
      <c r="AG68" s="133">
        <f>前台二维码提成录入!AG68*$E68</f>
        <v>0</v>
      </c>
      <c r="AH68" s="133">
        <f>前台二维码提成录入!AH68*$E68</f>
        <v>0</v>
      </c>
      <c r="AI68" s="133">
        <f>前台二维码提成录入!AI68*$E68</f>
        <v>0</v>
      </c>
      <c r="AJ68" s="133">
        <f>前台二维码提成录入!AJ68*$E68</f>
        <v>0</v>
      </c>
      <c r="AK68" s="133">
        <f>前台二维码提成录入!AK68*$E68</f>
        <v>0</v>
      </c>
      <c r="AL68" s="133">
        <f>前台二维码提成录入!AL68*$E68</f>
        <v>0</v>
      </c>
    </row>
    <row r="69" s="140" customFormat="1" customHeight="1" spans="1:38">
      <c r="A69" s="161">
        <v>65</v>
      </c>
      <c r="B69" s="162">
        <f>前台二维码提成录入!B69</f>
        <v>0</v>
      </c>
      <c r="C69" s="162">
        <f>前台二维码提成录入!C69</f>
        <v>0</v>
      </c>
      <c r="D69" s="162" t="str">
        <f>前台二维码提成录入!D69</f>
        <v>次</v>
      </c>
      <c r="E69" s="162">
        <f>前台二维码提成录入!E69</f>
        <v>0</v>
      </c>
      <c r="F69" s="162">
        <f>前台二维码提成录入!F69</f>
        <v>0</v>
      </c>
      <c r="G69" s="162">
        <f>前台二维码提成录入!G69</f>
        <v>0</v>
      </c>
      <c r="H69" s="133">
        <f>前台二维码提成录入!H69*$E69</f>
        <v>0</v>
      </c>
      <c r="I69" s="133">
        <f>前台二维码提成录入!I69*$E69</f>
        <v>0</v>
      </c>
      <c r="J69" s="133">
        <f>前台二维码提成录入!J69*$E69</f>
        <v>0</v>
      </c>
      <c r="K69" s="133">
        <f>前台二维码提成录入!K69*$E69</f>
        <v>0</v>
      </c>
      <c r="L69" s="133">
        <f>前台二维码提成录入!L69*$E69</f>
        <v>0</v>
      </c>
      <c r="M69" s="133">
        <f>前台二维码提成录入!M69*$E69</f>
        <v>0</v>
      </c>
      <c r="N69" s="133">
        <f>前台二维码提成录入!N69*$E69</f>
        <v>0</v>
      </c>
      <c r="O69" s="133">
        <f>前台二维码提成录入!O69*$E69</f>
        <v>0</v>
      </c>
      <c r="P69" s="133">
        <f>前台二维码提成录入!P69*$E69</f>
        <v>0</v>
      </c>
      <c r="Q69" s="133">
        <f>前台二维码提成录入!Q69*$E69</f>
        <v>0</v>
      </c>
      <c r="R69" s="133">
        <f>前台二维码提成录入!R69*$E69</f>
        <v>0</v>
      </c>
      <c r="S69" s="133">
        <f>前台二维码提成录入!S69*$E69</f>
        <v>0</v>
      </c>
      <c r="T69" s="133">
        <f>前台二维码提成录入!T69*$E69</f>
        <v>0</v>
      </c>
      <c r="U69" s="133">
        <f>前台二维码提成录入!U69*$E69</f>
        <v>0</v>
      </c>
      <c r="V69" s="133">
        <f>前台二维码提成录入!V69*$E69</f>
        <v>0</v>
      </c>
      <c r="W69" s="133">
        <f>前台二维码提成录入!W69*$E69</f>
        <v>0</v>
      </c>
      <c r="X69" s="133">
        <f>前台二维码提成录入!X69*$E69</f>
        <v>0</v>
      </c>
      <c r="Y69" s="133">
        <f>前台二维码提成录入!Y69*$E69</f>
        <v>0</v>
      </c>
      <c r="Z69" s="133">
        <f>前台二维码提成录入!Z69*$E69</f>
        <v>0</v>
      </c>
      <c r="AA69" s="133">
        <f>前台二维码提成录入!AA69*$E69</f>
        <v>0</v>
      </c>
      <c r="AB69" s="133">
        <f>前台二维码提成录入!AB69*$E69</f>
        <v>0</v>
      </c>
      <c r="AC69" s="133">
        <f>前台二维码提成录入!AC69*$E69</f>
        <v>0</v>
      </c>
      <c r="AD69" s="133">
        <f>前台二维码提成录入!AD69*$E69</f>
        <v>0</v>
      </c>
      <c r="AE69" s="133">
        <f>前台二维码提成录入!AE69*$E69</f>
        <v>0</v>
      </c>
      <c r="AF69" s="133">
        <f>前台二维码提成录入!AF69*$E69</f>
        <v>0</v>
      </c>
      <c r="AG69" s="133">
        <f>前台二维码提成录入!AG69*$E69</f>
        <v>0</v>
      </c>
      <c r="AH69" s="133">
        <f>前台二维码提成录入!AH69*$E69</f>
        <v>0</v>
      </c>
      <c r="AI69" s="133">
        <f>前台二维码提成录入!AI69*$E69</f>
        <v>0</v>
      </c>
      <c r="AJ69" s="133">
        <f>前台二维码提成录入!AJ69*$E69</f>
        <v>0</v>
      </c>
      <c r="AK69" s="133">
        <f>前台二维码提成录入!AK69*$E69</f>
        <v>0</v>
      </c>
      <c r="AL69" s="133">
        <f>前台二维码提成录入!AL69*$E69</f>
        <v>0</v>
      </c>
    </row>
    <row r="70" s="140" customFormat="1" customHeight="1" spans="1:38">
      <c r="A70" s="161">
        <v>66</v>
      </c>
      <c r="B70" s="162">
        <f>前台二维码提成录入!B70</f>
        <v>0</v>
      </c>
      <c r="C70" s="162">
        <f>前台二维码提成录入!C70</f>
        <v>0</v>
      </c>
      <c r="D70" s="162" t="str">
        <f>前台二维码提成录入!D70</f>
        <v>次</v>
      </c>
      <c r="E70" s="162">
        <f>前台二维码提成录入!E70</f>
        <v>0</v>
      </c>
      <c r="F70" s="162">
        <f>前台二维码提成录入!F70</f>
        <v>0</v>
      </c>
      <c r="G70" s="162">
        <f>前台二维码提成录入!G70</f>
        <v>0</v>
      </c>
      <c r="H70" s="133">
        <f>前台二维码提成录入!H70*$E70</f>
        <v>0</v>
      </c>
      <c r="I70" s="133">
        <f>前台二维码提成录入!I70*$E70</f>
        <v>0</v>
      </c>
      <c r="J70" s="133">
        <f>前台二维码提成录入!J70*$E70</f>
        <v>0</v>
      </c>
      <c r="K70" s="133">
        <f>前台二维码提成录入!K70*$E70</f>
        <v>0</v>
      </c>
      <c r="L70" s="133">
        <f>前台二维码提成录入!L70*$E70</f>
        <v>0</v>
      </c>
      <c r="M70" s="133">
        <f>前台二维码提成录入!M70*$E70</f>
        <v>0</v>
      </c>
      <c r="N70" s="133">
        <f>前台二维码提成录入!N70*$E70</f>
        <v>0</v>
      </c>
      <c r="O70" s="133">
        <f>前台二维码提成录入!O70*$E70</f>
        <v>0</v>
      </c>
      <c r="P70" s="133">
        <f>前台二维码提成录入!P70*$E70</f>
        <v>0</v>
      </c>
      <c r="Q70" s="133">
        <f>前台二维码提成录入!Q70*$E70</f>
        <v>0</v>
      </c>
      <c r="R70" s="133">
        <f>前台二维码提成录入!R70*$E70</f>
        <v>0</v>
      </c>
      <c r="S70" s="133">
        <f>前台二维码提成录入!S70*$E70</f>
        <v>0</v>
      </c>
      <c r="T70" s="133">
        <f>前台二维码提成录入!T70*$E70</f>
        <v>0</v>
      </c>
      <c r="U70" s="133">
        <f>前台二维码提成录入!U70*$E70</f>
        <v>0</v>
      </c>
      <c r="V70" s="133">
        <f>前台二维码提成录入!V70*$E70</f>
        <v>0</v>
      </c>
      <c r="W70" s="133">
        <f>前台二维码提成录入!W70*$E70</f>
        <v>0</v>
      </c>
      <c r="X70" s="133">
        <f>前台二维码提成录入!X70*$E70</f>
        <v>0</v>
      </c>
      <c r="Y70" s="133">
        <f>前台二维码提成录入!Y70*$E70</f>
        <v>0</v>
      </c>
      <c r="Z70" s="133">
        <f>前台二维码提成录入!Z70*$E70</f>
        <v>0</v>
      </c>
      <c r="AA70" s="133">
        <f>前台二维码提成录入!AA70*$E70</f>
        <v>0</v>
      </c>
      <c r="AB70" s="133">
        <f>前台二维码提成录入!AB70*$E70</f>
        <v>0</v>
      </c>
      <c r="AC70" s="133">
        <f>前台二维码提成录入!AC70*$E70</f>
        <v>0</v>
      </c>
      <c r="AD70" s="133">
        <f>前台二维码提成录入!AD70*$E70</f>
        <v>0</v>
      </c>
      <c r="AE70" s="133">
        <f>前台二维码提成录入!AE70*$E70</f>
        <v>0</v>
      </c>
      <c r="AF70" s="133">
        <f>前台二维码提成录入!AF70*$E70</f>
        <v>0</v>
      </c>
      <c r="AG70" s="133">
        <f>前台二维码提成录入!AG70*$E70</f>
        <v>0</v>
      </c>
      <c r="AH70" s="133">
        <f>前台二维码提成录入!AH70*$E70</f>
        <v>0</v>
      </c>
      <c r="AI70" s="133">
        <f>前台二维码提成录入!AI70*$E70</f>
        <v>0</v>
      </c>
      <c r="AJ70" s="133">
        <f>前台二维码提成录入!AJ70*$E70</f>
        <v>0</v>
      </c>
      <c r="AK70" s="133">
        <f>前台二维码提成录入!AK70*$E70</f>
        <v>0</v>
      </c>
      <c r="AL70" s="133">
        <f>前台二维码提成录入!AL70*$E70</f>
        <v>0</v>
      </c>
    </row>
    <row r="71" s="140" customFormat="1" customHeight="1" spans="1:38">
      <c r="A71" s="161">
        <v>67</v>
      </c>
      <c r="B71" s="162">
        <f>前台二维码提成录入!B71</f>
        <v>0</v>
      </c>
      <c r="C71" s="162">
        <f>前台二维码提成录入!C71</f>
        <v>0</v>
      </c>
      <c r="D71" s="162" t="str">
        <f>前台二维码提成录入!D71</f>
        <v>次</v>
      </c>
      <c r="E71" s="162">
        <f>前台二维码提成录入!E71</f>
        <v>0</v>
      </c>
      <c r="F71" s="162">
        <f>前台二维码提成录入!F71</f>
        <v>0</v>
      </c>
      <c r="G71" s="162">
        <f>前台二维码提成录入!G71</f>
        <v>0</v>
      </c>
      <c r="H71" s="133">
        <f>前台二维码提成录入!H71*$E71</f>
        <v>0</v>
      </c>
      <c r="I71" s="133">
        <f>前台二维码提成录入!I71*$E71</f>
        <v>0</v>
      </c>
      <c r="J71" s="133">
        <f>前台二维码提成录入!J71*$E71</f>
        <v>0</v>
      </c>
      <c r="K71" s="133">
        <f>前台二维码提成录入!K71*$E71</f>
        <v>0</v>
      </c>
      <c r="L71" s="133">
        <f>前台二维码提成录入!L71*$E71</f>
        <v>0</v>
      </c>
      <c r="M71" s="133">
        <f>前台二维码提成录入!M71*$E71</f>
        <v>0</v>
      </c>
      <c r="N71" s="133">
        <f>前台二维码提成录入!N71*$E71</f>
        <v>0</v>
      </c>
      <c r="O71" s="133">
        <f>前台二维码提成录入!O71*$E71</f>
        <v>0</v>
      </c>
      <c r="P71" s="133">
        <f>前台二维码提成录入!P71*$E71</f>
        <v>0</v>
      </c>
      <c r="Q71" s="133">
        <f>前台二维码提成录入!Q71*$E71</f>
        <v>0</v>
      </c>
      <c r="R71" s="133">
        <f>前台二维码提成录入!R71*$E71</f>
        <v>0</v>
      </c>
      <c r="S71" s="133">
        <f>前台二维码提成录入!S71*$E71</f>
        <v>0</v>
      </c>
      <c r="T71" s="133">
        <f>前台二维码提成录入!T71*$E71</f>
        <v>0</v>
      </c>
      <c r="U71" s="133">
        <f>前台二维码提成录入!U71*$E71</f>
        <v>0</v>
      </c>
      <c r="V71" s="133">
        <f>前台二维码提成录入!V71*$E71</f>
        <v>0</v>
      </c>
      <c r="W71" s="133">
        <f>前台二维码提成录入!W71*$E71</f>
        <v>0</v>
      </c>
      <c r="X71" s="133">
        <f>前台二维码提成录入!X71*$E71</f>
        <v>0</v>
      </c>
      <c r="Y71" s="133">
        <f>前台二维码提成录入!Y71*$E71</f>
        <v>0</v>
      </c>
      <c r="Z71" s="133">
        <f>前台二维码提成录入!Z71*$E71</f>
        <v>0</v>
      </c>
      <c r="AA71" s="133">
        <f>前台二维码提成录入!AA71*$E71</f>
        <v>0</v>
      </c>
      <c r="AB71" s="133">
        <f>前台二维码提成录入!AB71*$E71</f>
        <v>0</v>
      </c>
      <c r="AC71" s="133">
        <f>前台二维码提成录入!AC71*$E71</f>
        <v>0</v>
      </c>
      <c r="AD71" s="133">
        <f>前台二维码提成录入!AD71*$E71</f>
        <v>0</v>
      </c>
      <c r="AE71" s="133">
        <f>前台二维码提成录入!AE71*$E71</f>
        <v>0</v>
      </c>
      <c r="AF71" s="133">
        <f>前台二维码提成录入!AF71*$E71</f>
        <v>0</v>
      </c>
      <c r="AG71" s="133">
        <f>前台二维码提成录入!AG71*$E71</f>
        <v>0</v>
      </c>
      <c r="AH71" s="133">
        <f>前台二维码提成录入!AH71*$E71</f>
        <v>0</v>
      </c>
      <c r="AI71" s="133">
        <f>前台二维码提成录入!AI71*$E71</f>
        <v>0</v>
      </c>
      <c r="AJ71" s="133">
        <f>前台二维码提成录入!AJ71*$E71</f>
        <v>0</v>
      </c>
      <c r="AK71" s="133">
        <f>前台二维码提成录入!AK71*$E71</f>
        <v>0</v>
      </c>
      <c r="AL71" s="133">
        <f>前台二维码提成录入!AL71*$E71</f>
        <v>0</v>
      </c>
    </row>
    <row r="72" s="140" customFormat="1" customHeight="1" spans="1:38">
      <c r="A72" s="161">
        <v>68</v>
      </c>
      <c r="B72" s="162">
        <f>前台二维码提成录入!B72</f>
        <v>0</v>
      </c>
      <c r="C72" s="162">
        <f>前台二维码提成录入!C72</f>
        <v>0</v>
      </c>
      <c r="D72" s="162" t="str">
        <f>前台二维码提成录入!D72</f>
        <v>次</v>
      </c>
      <c r="E72" s="162">
        <f>前台二维码提成录入!E72</f>
        <v>0</v>
      </c>
      <c r="F72" s="162">
        <f>前台二维码提成录入!F72</f>
        <v>0</v>
      </c>
      <c r="G72" s="162">
        <f>前台二维码提成录入!G72</f>
        <v>0</v>
      </c>
      <c r="H72" s="133">
        <f>前台二维码提成录入!H72*$E72</f>
        <v>0</v>
      </c>
      <c r="I72" s="133">
        <f>前台二维码提成录入!I72*$E72</f>
        <v>0</v>
      </c>
      <c r="J72" s="133">
        <f>前台二维码提成录入!J72*$E72</f>
        <v>0</v>
      </c>
      <c r="K72" s="133">
        <f>前台二维码提成录入!K72*$E72</f>
        <v>0</v>
      </c>
      <c r="L72" s="133">
        <f>前台二维码提成录入!L72*$E72</f>
        <v>0</v>
      </c>
      <c r="M72" s="133">
        <f>前台二维码提成录入!M72*$E72</f>
        <v>0</v>
      </c>
      <c r="N72" s="133">
        <f>前台二维码提成录入!N72*$E72</f>
        <v>0</v>
      </c>
      <c r="O72" s="133">
        <f>前台二维码提成录入!O72*$E72</f>
        <v>0</v>
      </c>
      <c r="P72" s="133">
        <f>前台二维码提成录入!P72*$E72</f>
        <v>0</v>
      </c>
      <c r="Q72" s="133">
        <f>前台二维码提成录入!Q72*$E72</f>
        <v>0</v>
      </c>
      <c r="R72" s="133">
        <f>前台二维码提成录入!R72*$E72</f>
        <v>0</v>
      </c>
      <c r="S72" s="133">
        <f>前台二维码提成录入!S72*$E72</f>
        <v>0</v>
      </c>
      <c r="T72" s="133">
        <f>前台二维码提成录入!T72*$E72</f>
        <v>0</v>
      </c>
      <c r="U72" s="133">
        <f>前台二维码提成录入!U72*$E72</f>
        <v>0</v>
      </c>
      <c r="V72" s="133">
        <f>前台二维码提成录入!V72*$E72</f>
        <v>0</v>
      </c>
      <c r="W72" s="133">
        <f>前台二维码提成录入!W72*$E72</f>
        <v>0</v>
      </c>
      <c r="X72" s="133">
        <f>前台二维码提成录入!X72*$E72</f>
        <v>0</v>
      </c>
      <c r="Y72" s="133">
        <f>前台二维码提成录入!Y72*$E72</f>
        <v>0</v>
      </c>
      <c r="Z72" s="133">
        <f>前台二维码提成录入!Z72*$E72</f>
        <v>0</v>
      </c>
      <c r="AA72" s="133">
        <f>前台二维码提成录入!AA72*$E72</f>
        <v>0</v>
      </c>
      <c r="AB72" s="133">
        <f>前台二维码提成录入!AB72*$E72</f>
        <v>0</v>
      </c>
      <c r="AC72" s="133">
        <f>前台二维码提成录入!AC72*$E72</f>
        <v>0</v>
      </c>
      <c r="AD72" s="133">
        <f>前台二维码提成录入!AD72*$E72</f>
        <v>0</v>
      </c>
      <c r="AE72" s="133">
        <f>前台二维码提成录入!AE72*$E72</f>
        <v>0</v>
      </c>
      <c r="AF72" s="133">
        <f>前台二维码提成录入!AF72*$E72</f>
        <v>0</v>
      </c>
      <c r="AG72" s="133">
        <f>前台二维码提成录入!AG72*$E72</f>
        <v>0</v>
      </c>
      <c r="AH72" s="133">
        <f>前台二维码提成录入!AH72*$E72</f>
        <v>0</v>
      </c>
      <c r="AI72" s="133">
        <f>前台二维码提成录入!AI72*$E72</f>
        <v>0</v>
      </c>
      <c r="AJ72" s="133">
        <f>前台二维码提成录入!AJ72*$E72</f>
        <v>0</v>
      </c>
      <c r="AK72" s="133">
        <f>前台二维码提成录入!AK72*$E72</f>
        <v>0</v>
      </c>
      <c r="AL72" s="133">
        <f>前台二维码提成录入!AL72*$E72</f>
        <v>0</v>
      </c>
    </row>
    <row r="73" s="140" customFormat="1" customHeight="1" spans="1:38">
      <c r="A73" s="161">
        <v>69</v>
      </c>
      <c r="B73" s="162">
        <f>前台二维码提成录入!B73</f>
        <v>0</v>
      </c>
      <c r="C73" s="162">
        <f>前台二维码提成录入!C73</f>
        <v>0</v>
      </c>
      <c r="D73" s="162" t="str">
        <f>前台二维码提成录入!D73</f>
        <v>次</v>
      </c>
      <c r="E73" s="162">
        <f>前台二维码提成录入!E73</f>
        <v>0</v>
      </c>
      <c r="F73" s="162">
        <f>前台二维码提成录入!F73</f>
        <v>0</v>
      </c>
      <c r="G73" s="162">
        <f>前台二维码提成录入!G73</f>
        <v>0</v>
      </c>
      <c r="H73" s="133">
        <f>前台二维码提成录入!H73*$E73</f>
        <v>0</v>
      </c>
      <c r="I73" s="133">
        <f>前台二维码提成录入!I73*$E73</f>
        <v>0</v>
      </c>
      <c r="J73" s="133">
        <f>前台二维码提成录入!J73*$E73</f>
        <v>0</v>
      </c>
      <c r="K73" s="133">
        <f>前台二维码提成录入!K73*$E73</f>
        <v>0</v>
      </c>
      <c r="L73" s="133">
        <f>前台二维码提成录入!L73*$E73</f>
        <v>0</v>
      </c>
      <c r="M73" s="133">
        <f>前台二维码提成录入!M73*$E73</f>
        <v>0</v>
      </c>
      <c r="N73" s="133">
        <f>前台二维码提成录入!N73*$E73</f>
        <v>0</v>
      </c>
      <c r="O73" s="133">
        <f>前台二维码提成录入!O73*$E73</f>
        <v>0</v>
      </c>
      <c r="P73" s="133">
        <f>前台二维码提成录入!P73*$E73</f>
        <v>0</v>
      </c>
      <c r="Q73" s="133">
        <f>前台二维码提成录入!Q73*$E73</f>
        <v>0</v>
      </c>
      <c r="R73" s="133">
        <f>前台二维码提成录入!R73*$E73</f>
        <v>0</v>
      </c>
      <c r="S73" s="133">
        <f>前台二维码提成录入!S73*$E73</f>
        <v>0</v>
      </c>
      <c r="T73" s="133">
        <f>前台二维码提成录入!T73*$E73</f>
        <v>0</v>
      </c>
      <c r="U73" s="133">
        <f>前台二维码提成录入!U73*$E73</f>
        <v>0</v>
      </c>
      <c r="V73" s="133">
        <f>前台二维码提成录入!V73*$E73</f>
        <v>0</v>
      </c>
      <c r="W73" s="133">
        <f>前台二维码提成录入!W73*$E73</f>
        <v>0</v>
      </c>
      <c r="X73" s="133">
        <f>前台二维码提成录入!X73*$E73</f>
        <v>0</v>
      </c>
      <c r="Y73" s="133">
        <f>前台二维码提成录入!Y73*$E73</f>
        <v>0</v>
      </c>
      <c r="Z73" s="133">
        <f>前台二维码提成录入!Z73*$E73</f>
        <v>0</v>
      </c>
      <c r="AA73" s="133">
        <f>前台二维码提成录入!AA73*$E73</f>
        <v>0</v>
      </c>
      <c r="AB73" s="133">
        <f>前台二维码提成录入!AB73*$E73</f>
        <v>0</v>
      </c>
      <c r="AC73" s="133">
        <f>前台二维码提成录入!AC73*$E73</f>
        <v>0</v>
      </c>
      <c r="AD73" s="133">
        <f>前台二维码提成录入!AD73*$E73</f>
        <v>0</v>
      </c>
      <c r="AE73" s="133">
        <f>前台二维码提成录入!AE73*$E73</f>
        <v>0</v>
      </c>
      <c r="AF73" s="133">
        <f>前台二维码提成录入!AF73*$E73</f>
        <v>0</v>
      </c>
      <c r="AG73" s="133">
        <f>前台二维码提成录入!AG73*$E73</f>
        <v>0</v>
      </c>
      <c r="AH73" s="133">
        <f>前台二维码提成录入!AH73*$E73</f>
        <v>0</v>
      </c>
      <c r="AI73" s="133">
        <f>前台二维码提成录入!AI73*$E73</f>
        <v>0</v>
      </c>
      <c r="AJ73" s="133">
        <f>前台二维码提成录入!AJ73*$E73</f>
        <v>0</v>
      </c>
      <c r="AK73" s="133">
        <f>前台二维码提成录入!AK73*$E73</f>
        <v>0</v>
      </c>
      <c r="AL73" s="133">
        <f>前台二维码提成录入!AL73*$E73</f>
        <v>0</v>
      </c>
    </row>
    <row r="74" s="140" customFormat="1" customHeight="1" spans="1:38">
      <c r="A74" s="161">
        <v>70</v>
      </c>
      <c r="B74" s="162">
        <f>前台二维码提成录入!B74</f>
        <v>0</v>
      </c>
      <c r="C74" s="162">
        <f>前台二维码提成录入!C74</f>
        <v>0</v>
      </c>
      <c r="D74" s="162" t="str">
        <f>前台二维码提成录入!D74</f>
        <v>次</v>
      </c>
      <c r="E74" s="162">
        <f>前台二维码提成录入!E74</f>
        <v>0</v>
      </c>
      <c r="F74" s="162">
        <f>前台二维码提成录入!F74</f>
        <v>0</v>
      </c>
      <c r="G74" s="162">
        <f>前台二维码提成录入!G74</f>
        <v>0</v>
      </c>
      <c r="H74" s="133">
        <f>前台二维码提成录入!H74*$E74</f>
        <v>0</v>
      </c>
      <c r="I74" s="133">
        <f>前台二维码提成录入!I74*$E74</f>
        <v>0</v>
      </c>
      <c r="J74" s="133">
        <f>前台二维码提成录入!J74*$E74</f>
        <v>0</v>
      </c>
      <c r="K74" s="133">
        <f>前台二维码提成录入!K74*$E74</f>
        <v>0</v>
      </c>
      <c r="L74" s="133">
        <f>前台二维码提成录入!L74*$E74</f>
        <v>0</v>
      </c>
      <c r="M74" s="133">
        <f>前台二维码提成录入!M74*$E74</f>
        <v>0</v>
      </c>
      <c r="N74" s="133">
        <f>前台二维码提成录入!N74*$E74</f>
        <v>0</v>
      </c>
      <c r="O74" s="133">
        <f>前台二维码提成录入!O74*$E74</f>
        <v>0</v>
      </c>
      <c r="P74" s="133">
        <f>前台二维码提成录入!P74*$E74</f>
        <v>0</v>
      </c>
      <c r="Q74" s="133">
        <f>前台二维码提成录入!Q74*$E74</f>
        <v>0</v>
      </c>
      <c r="R74" s="133">
        <f>前台二维码提成录入!R74*$E74</f>
        <v>0</v>
      </c>
      <c r="S74" s="133">
        <f>前台二维码提成录入!S74*$E74</f>
        <v>0</v>
      </c>
      <c r="T74" s="133">
        <f>前台二维码提成录入!T74*$E74</f>
        <v>0</v>
      </c>
      <c r="U74" s="133">
        <f>前台二维码提成录入!U74*$E74</f>
        <v>0</v>
      </c>
      <c r="V74" s="133">
        <f>前台二维码提成录入!V74*$E74</f>
        <v>0</v>
      </c>
      <c r="W74" s="133">
        <f>前台二维码提成录入!W74*$E74</f>
        <v>0</v>
      </c>
      <c r="X74" s="133">
        <f>前台二维码提成录入!X74*$E74</f>
        <v>0</v>
      </c>
      <c r="Y74" s="133">
        <f>前台二维码提成录入!Y74*$E74</f>
        <v>0</v>
      </c>
      <c r="Z74" s="133">
        <f>前台二维码提成录入!Z74*$E74</f>
        <v>0</v>
      </c>
      <c r="AA74" s="133">
        <f>前台二维码提成录入!AA74*$E74</f>
        <v>0</v>
      </c>
      <c r="AB74" s="133">
        <f>前台二维码提成录入!AB74*$E74</f>
        <v>0</v>
      </c>
      <c r="AC74" s="133">
        <f>前台二维码提成录入!AC74*$E74</f>
        <v>0</v>
      </c>
      <c r="AD74" s="133">
        <f>前台二维码提成录入!AD74*$E74</f>
        <v>0</v>
      </c>
      <c r="AE74" s="133">
        <f>前台二维码提成录入!AE74*$E74</f>
        <v>0</v>
      </c>
      <c r="AF74" s="133">
        <f>前台二维码提成录入!AF74*$E74</f>
        <v>0</v>
      </c>
      <c r="AG74" s="133">
        <f>前台二维码提成录入!AG74*$E74</f>
        <v>0</v>
      </c>
      <c r="AH74" s="133">
        <f>前台二维码提成录入!AH74*$E74</f>
        <v>0</v>
      </c>
      <c r="AI74" s="133">
        <f>前台二维码提成录入!AI74*$E74</f>
        <v>0</v>
      </c>
      <c r="AJ74" s="133">
        <f>前台二维码提成录入!AJ74*$E74</f>
        <v>0</v>
      </c>
      <c r="AK74" s="133">
        <f>前台二维码提成录入!AK74*$E74</f>
        <v>0</v>
      </c>
      <c r="AL74" s="133">
        <f>前台二维码提成录入!AL74*$E74</f>
        <v>0</v>
      </c>
    </row>
    <row r="75" s="140" customFormat="1" customHeight="1" spans="1:38">
      <c r="A75" s="161">
        <v>71</v>
      </c>
      <c r="B75" s="162">
        <f>前台二维码提成录入!B75</f>
        <v>0</v>
      </c>
      <c r="C75" s="162">
        <f>前台二维码提成录入!C75</f>
        <v>0</v>
      </c>
      <c r="D75" s="162" t="str">
        <f>前台二维码提成录入!D75</f>
        <v>次</v>
      </c>
      <c r="E75" s="162">
        <f>前台二维码提成录入!E75</f>
        <v>0</v>
      </c>
      <c r="F75" s="162">
        <f>前台二维码提成录入!F75</f>
        <v>0</v>
      </c>
      <c r="G75" s="162">
        <f>前台二维码提成录入!G75</f>
        <v>0</v>
      </c>
      <c r="H75" s="133">
        <f>前台二维码提成录入!H75*$E75</f>
        <v>0</v>
      </c>
      <c r="I75" s="133">
        <f>前台二维码提成录入!I75*$E75</f>
        <v>0</v>
      </c>
      <c r="J75" s="133">
        <f>前台二维码提成录入!J75*$E75</f>
        <v>0</v>
      </c>
      <c r="K75" s="133">
        <f>前台二维码提成录入!K75*$E75</f>
        <v>0</v>
      </c>
      <c r="L75" s="133">
        <f>前台二维码提成录入!L75*$E75</f>
        <v>0</v>
      </c>
      <c r="M75" s="133">
        <f>前台二维码提成录入!M75*$E75</f>
        <v>0</v>
      </c>
      <c r="N75" s="133">
        <f>前台二维码提成录入!N75*$E75</f>
        <v>0</v>
      </c>
      <c r="O75" s="133">
        <f>前台二维码提成录入!O75*$E75</f>
        <v>0</v>
      </c>
      <c r="P75" s="133">
        <f>前台二维码提成录入!P75*$E75</f>
        <v>0</v>
      </c>
      <c r="Q75" s="133">
        <f>前台二维码提成录入!Q75*$E75</f>
        <v>0</v>
      </c>
      <c r="R75" s="133">
        <f>前台二维码提成录入!R75*$E75</f>
        <v>0</v>
      </c>
      <c r="S75" s="133">
        <f>前台二维码提成录入!S75*$E75</f>
        <v>0</v>
      </c>
      <c r="T75" s="133">
        <f>前台二维码提成录入!T75*$E75</f>
        <v>0</v>
      </c>
      <c r="U75" s="133">
        <f>前台二维码提成录入!U75*$E75</f>
        <v>0</v>
      </c>
      <c r="V75" s="133">
        <f>前台二维码提成录入!V75*$E75</f>
        <v>0</v>
      </c>
      <c r="W75" s="133">
        <f>前台二维码提成录入!W75*$E75</f>
        <v>0</v>
      </c>
      <c r="X75" s="133">
        <f>前台二维码提成录入!X75*$E75</f>
        <v>0</v>
      </c>
      <c r="Y75" s="133">
        <f>前台二维码提成录入!Y75*$E75</f>
        <v>0</v>
      </c>
      <c r="Z75" s="133">
        <f>前台二维码提成录入!Z75*$E75</f>
        <v>0</v>
      </c>
      <c r="AA75" s="133">
        <f>前台二维码提成录入!AA75*$E75</f>
        <v>0</v>
      </c>
      <c r="AB75" s="133">
        <f>前台二维码提成录入!AB75*$E75</f>
        <v>0</v>
      </c>
      <c r="AC75" s="133">
        <f>前台二维码提成录入!AC75*$E75</f>
        <v>0</v>
      </c>
      <c r="AD75" s="133">
        <f>前台二维码提成录入!AD75*$E75</f>
        <v>0</v>
      </c>
      <c r="AE75" s="133">
        <f>前台二维码提成录入!AE75*$E75</f>
        <v>0</v>
      </c>
      <c r="AF75" s="133">
        <f>前台二维码提成录入!AF75*$E75</f>
        <v>0</v>
      </c>
      <c r="AG75" s="133">
        <f>前台二维码提成录入!AG75*$E75</f>
        <v>0</v>
      </c>
      <c r="AH75" s="133">
        <f>前台二维码提成录入!AH75*$E75</f>
        <v>0</v>
      </c>
      <c r="AI75" s="133">
        <f>前台二维码提成录入!AI75*$E75</f>
        <v>0</v>
      </c>
      <c r="AJ75" s="133">
        <f>前台二维码提成录入!AJ75*$E75</f>
        <v>0</v>
      </c>
      <c r="AK75" s="133">
        <f>前台二维码提成录入!AK75*$E75</f>
        <v>0</v>
      </c>
      <c r="AL75" s="133">
        <f>前台二维码提成录入!AL75*$E75</f>
        <v>0</v>
      </c>
    </row>
    <row r="76" s="140" customFormat="1" customHeight="1" spans="1:38">
      <c r="A76" s="161">
        <v>72</v>
      </c>
      <c r="B76" s="162">
        <f>前台二维码提成录入!B76</f>
        <v>0</v>
      </c>
      <c r="C76" s="162">
        <f>前台二维码提成录入!C76</f>
        <v>0</v>
      </c>
      <c r="D76" s="162" t="str">
        <f>前台二维码提成录入!D76</f>
        <v>次</v>
      </c>
      <c r="E76" s="162">
        <f>前台二维码提成录入!E76</f>
        <v>0</v>
      </c>
      <c r="F76" s="162">
        <f>前台二维码提成录入!F76</f>
        <v>0</v>
      </c>
      <c r="G76" s="162">
        <f>前台二维码提成录入!G76</f>
        <v>0</v>
      </c>
      <c r="H76" s="133">
        <f>前台二维码提成录入!H76*$E76</f>
        <v>0</v>
      </c>
      <c r="I76" s="133">
        <f>前台二维码提成录入!I76*$E76</f>
        <v>0</v>
      </c>
      <c r="J76" s="133">
        <f>前台二维码提成录入!J76*$E76</f>
        <v>0</v>
      </c>
      <c r="K76" s="133">
        <f>前台二维码提成录入!K76*$E76</f>
        <v>0</v>
      </c>
      <c r="L76" s="133">
        <f>前台二维码提成录入!L76*$E76</f>
        <v>0</v>
      </c>
      <c r="M76" s="133">
        <f>前台二维码提成录入!M76*$E76</f>
        <v>0</v>
      </c>
      <c r="N76" s="133">
        <f>前台二维码提成录入!N76*$E76</f>
        <v>0</v>
      </c>
      <c r="O76" s="133">
        <f>前台二维码提成录入!O76*$E76</f>
        <v>0</v>
      </c>
      <c r="P76" s="133">
        <f>前台二维码提成录入!P76*$E76</f>
        <v>0</v>
      </c>
      <c r="Q76" s="133">
        <f>前台二维码提成录入!Q76*$E76</f>
        <v>0</v>
      </c>
      <c r="R76" s="133">
        <f>前台二维码提成录入!R76*$E76</f>
        <v>0</v>
      </c>
      <c r="S76" s="133">
        <f>前台二维码提成录入!S76*$E76</f>
        <v>0</v>
      </c>
      <c r="T76" s="133">
        <f>前台二维码提成录入!T76*$E76</f>
        <v>0</v>
      </c>
      <c r="U76" s="133">
        <f>前台二维码提成录入!U76*$E76</f>
        <v>0</v>
      </c>
      <c r="V76" s="133">
        <f>前台二维码提成录入!V76*$E76</f>
        <v>0</v>
      </c>
      <c r="W76" s="133">
        <f>前台二维码提成录入!W76*$E76</f>
        <v>0</v>
      </c>
      <c r="X76" s="133">
        <f>前台二维码提成录入!X76*$E76</f>
        <v>0</v>
      </c>
      <c r="Y76" s="133">
        <f>前台二维码提成录入!Y76*$E76</f>
        <v>0</v>
      </c>
      <c r="Z76" s="133">
        <f>前台二维码提成录入!Z76*$E76</f>
        <v>0</v>
      </c>
      <c r="AA76" s="133">
        <f>前台二维码提成录入!AA76*$E76</f>
        <v>0</v>
      </c>
      <c r="AB76" s="133">
        <f>前台二维码提成录入!AB76*$E76</f>
        <v>0</v>
      </c>
      <c r="AC76" s="133">
        <f>前台二维码提成录入!AC76*$E76</f>
        <v>0</v>
      </c>
      <c r="AD76" s="133">
        <f>前台二维码提成录入!AD76*$E76</f>
        <v>0</v>
      </c>
      <c r="AE76" s="133">
        <f>前台二维码提成录入!AE76*$E76</f>
        <v>0</v>
      </c>
      <c r="AF76" s="133">
        <f>前台二维码提成录入!AF76*$E76</f>
        <v>0</v>
      </c>
      <c r="AG76" s="133">
        <f>前台二维码提成录入!AG76*$E76</f>
        <v>0</v>
      </c>
      <c r="AH76" s="133">
        <f>前台二维码提成录入!AH76*$E76</f>
        <v>0</v>
      </c>
      <c r="AI76" s="133">
        <f>前台二维码提成录入!AI76*$E76</f>
        <v>0</v>
      </c>
      <c r="AJ76" s="133">
        <f>前台二维码提成录入!AJ76*$E76</f>
        <v>0</v>
      </c>
      <c r="AK76" s="133">
        <f>前台二维码提成录入!AK76*$E76</f>
        <v>0</v>
      </c>
      <c r="AL76" s="133">
        <f>前台二维码提成录入!AL76*$E76</f>
        <v>0</v>
      </c>
    </row>
    <row r="77" s="140" customFormat="1" customHeight="1" spans="1:38">
      <c r="A77" s="161">
        <v>73</v>
      </c>
      <c r="B77" s="162">
        <f>前台二维码提成录入!B77</f>
        <v>0</v>
      </c>
      <c r="C77" s="162">
        <f>前台二维码提成录入!C77</f>
        <v>0</v>
      </c>
      <c r="D77" s="162" t="str">
        <f>前台二维码提成录入!D77</f>
        <v>次</v>
      </c>
      <c r="E77" s="162">
        <f>前台二维码提成录入!E77</f>
        <v>0</v>
      </c>
      <c r="F77" s="162">
        <f>前台二维码提成录入!F77</f>
        <v>0</v>
      </c>
      <c r="G77" s="162">
        <f>前台二维码提成录入!G77</f>
        <v>0</v>
      </c>
      <c r="H77" s="133">
        <f>前台二维码提成录入!H77*$E77</f>
        <v>0</v>
      </c>
      <c r="I77" s="133">
        <f>前台二维码提成录入!I77*$E77</f>
        <v>0</v>
      </c>
      <c r="J77" s="133">
        <f>前台二维码提成录入!J77*$E77</f>
        <v>0</v>
      </c>
      <c r="K77" s="133">
        <f>前台二维码提成录入!K77*$E77</f>
        <v>0</v>
      </c>
      <c r="L77" s="133">
        <f>前台二维码提成录入!L77*$E77</f>
        <v>0</v>
      </c>
      <c r="M77" s="133">
        <f>前台二维码提成录入!M77*$E77</f>
        <v>0</v>
      </c>
      <c r="N77" s="133">
        <f>前台二维码提成录入!N77*$E77</f>
        <v>0</v>
      </c>
      <c r="O77" s="133">
        <f>前台二维码提成录入!O77*$E77</f>
        <v>0</v>
      </c>
      <c r="P77" s="133">
        <f>前台二维码提成录入!P77*$E77</f>
        <v>0</v>
      </c>
      <c r="Q77" s="133">
        <f>前台二维码提成录入!Q77*$E77</f>
        <v>0</v>
      </c>
      <c r="R77" s="133">
        <f>前台二维码提成录入!R77*$E77</f>
        <v>0</v>
      </c>
      <c r="S77" s="133">
        <f>前台二维码提成录入!S77*$E77</f>
        <v>0</v>
      </c>
      <c r="T77" s="133">
        <f>前台二维码提成录入!T77*$E77</f>
        <v>0</v>
      </c>
      <c r="U77" s="133">
        <f>前台二维码提成录入!U77*$E77</f>
        <v>0</v>
      </c>
      <c r="V77" s="133">
        <f>前台二维码提成录入!V77*$E77</f>
        <v>0</v>
      </c>
      <c r="W77" s="133">
        <f>前台二维码提成录入!W77*$E77</f>
        <v>0</v>
      </c>
      <c r="X77" s="133">
        <f>前台二维码提成录入!X77*$E77</f>
        <v>0</v>
      </c>
      <c r="Y77" s="133">
        <f>前台二维码提成录入!Y77*$E77</f>
        <v>0</v>
      </c>
      <c r="Z77" s="133">
        <f>前台二维码提成录入!Z77*$E77</f>
        <v>0</v>
      </c>
      <c r="AA77" s="133">
        <f>前台二维码提成录入!AA77*$E77</f>
        <v>0</v>
      </c>
      <c r="AB77" s="133">
        <f>前台二维码提成录入!AB77*$E77</f>
        <v>0</v>
      </c>
      <c r="AC77" s="133">
        <f>前台二维码提成录入!AC77*$E77</f>
        <v>0</v>
      </c>
      <c r="AD77" s="133">
        <f>前台二维码提成录入!AD77*$E77</f>
        <v>0</v>
      </c>
      <c r="AE77" s="133">
        <f>前台二维码提成录入!AE77*$E77</f>
        <v>0</v>
      </c>
      <c r="AF77" s="133">
        <f>前台二维码提成录入!AF77*$E77</f>
        <v>0</v>
      </c>
      <c r="AG77" s="133">
        <f>前台二维码提成录入!AG77*$E77</f>
        <v>0</v>
      </c>
      <c r="AH77" s="133">
        <f>前台二维码提成录入!AH77*$E77</f>
        <v>0</v>
      </c>
      <c r="AI77" s="133">
        <f>前台二维码提成录入!AI77*$E77</f>
        <v>0</v>
      </c>
      <c r="AJ77" s="133">
        <f>前台二维码提成录入!AJ77*$E77</f>
        <v>0</v>
      </c>
      <c r="AK77" s="133">
        <f>前台二维码提成录入!AK77*$E77</f>
        <v>0</v>
      </c>
      <c r="AL77" s="133">
        <f>前台二维码提成录入!AL77*$E77</f>
        <v>0</v>
      </c>
    </row>
    <row r="78" s="140" customFormat="1" customHeight="1" spans="1:38">
      <c r="A78" s="161">
        <v>74</v>
      </c>
      <c r="B78" s="162">
        <f>前台二维码提成录入!B78</f>
        <v>0</v>
      </c>
      <c r="C78" s="162">
        <f>前台二维码提成录入!C78</f>
        <v>0</v>
      </c>
      <c r="D78" s="162" t="str">
        <f>前台二维码提成录入!D78</f>
        <v>次</v>
      </c>
      <c r="E78" s="162">
        <f>前台二维码提成录入!E78</f>
        <v>0</v>
      </c>
      <c r="F78" s="162">
        <f>前台二维码提成录入!F78</f>
        <v>0</v>
      </c>
      <c r="G78" s="162">
        <f>前台二维码提成录入!G78</f>
        <v>0</v>
      </c>
      <c r="H78" s="133">
        <f>前台二维码提成录入!H78*$E78</f>
        <v>0</v>
      </c>
      <c r="I78" s="133">
        <f>前台二维码提成录入!I78*$E78</f>
        <v>0</v>
      </c>
      <c r="J78" s="133">
        <f>前台二维码提成录入!J78*$E78</f>
        <v>0</v>
      </c>
      <c r="K78" s="133">
        <f>前台二维码提成录入!K78*$E78</f>
        <v>0</v>
      </c>
      <c r="L78" s="133">
        <f>前台二维码提成录入!L78*$E78</f>
        <v>0</v>
      </c>
      <c r="M78" s="133">
        <f>前台二维码提成录入!M78*$E78</f>
        <v>0</v>
      </c>
      <c r="N78" s="133">
        <f>前台二维码提成录入!N78*$E78</f>
        <v>0</v>
      </c>
      <c r="O78" s="133">
        <f>前台二维码提成录入!O78*$E78</f>
        <v>0</v>
      </c>
      <c r="P78" s="133">
        <f>前台二维码提成录入!P78*$E78</f>
        <v>0</v>
      </c>
      <c r="Q78" s="133">
        <f>前台二维码提成录入!Q78*$E78</f>
        <v>0</v>
      </c>
      <c r="R78" s="133">
        <f>前台二维码提成录入!R78*$E78</f>
        <v>0</v>
      </c>
      <c r="S78" s="133">
        <f>前台二维码提成录入!S78*$E78</f>
        <v>0</v>
      </c>
      <c r="T78" s="133">
        <f>前台二维码提成录入!T78*$E78</f>
        <v>0</v>
      </c>
      <c r="U78" s="133">
        <f>前台二维码提成录入!U78*$E78</f>
        <v>0</v>
      </c>
      <c r="V78" s="133">
        <f>前台二维码提成录入!V78*$E78</f>
        <v>0</v>
      </c>
      <c r="W78" s="133">
        <f>前台二维码提成录入!W78*$E78</f>
        <v>0</v>
      </c>
      <c r="X78" s="133">
        <f>前台二维码提成录入!X78*$E78</f>
        <v>0</v>
      </c>
      <c r="Y78" s="133">
        <f>前台二维码提成录入!Y78*$E78</f>
        <v>0</v>
      </c>
      <c r="Z78" s="133">
        <f>前台二维码提成录入!Z78*$E78</f>
        <v>0</v>
      </c>
      <c r="AA78" s="133">
        <f>前台二维码提成录入!AA78*$E78</f>
        <v>0</v>
      </c>
      <c r="AB78" s="133">
        <f>前台二维码提成录入!AB78*$E78</f>
        <v>0</v>
      </c>
      <c r="AC78" s="133">
        <f>前台二维码提成录入!AC78*$E78</f>
        <v>0</v>
      </c>
      <c r="AD78" s="133">
        <f>前台二维码提成录入!AD78*$E78</f>
        <v>0</v>
      </c>
      <c r="AE78" s="133">
        <f>前台二维码提成录入!AE78*$E78</f>
        <v>0</v>
      </c>
      <c r="AF78" s="133">
        <f>前台二维码提成录入!AF78*$E78</f>
        <v>0</v>
      </c>
      <c r="AG78" s="133">
        <f>前台二维码提成录入!AG78*$E78</f>
        <v>0</v>
      </c>
      <c r="AH78" s="133">
        <f>前台二维码提成录入!AH78*$E78</f>
        <v>0</v>
      </c>
      <c r="AI78" s="133">
        <f>前台二维码提成录入!AI78*$E78</f>
        <v>0</v>
      </c>
      <c r="AJ78" s="133">
        <f>前台二维码提成录入!AJ78*$E78</f>
        <v>0</v>
      </c>
      <c r="AK78" s="133">
        <f>前台二维码提成录入!AK78*$E78</f>
        <v>0</v>
      </c>
      <c r="AL78" s="133">
        <f>前台二维码提成录入!AL78*$E78</f>
        <v>0</v>
      </c>
    </row>
    <row r="79" s="140" customFormat="1" customHeight="1" spans="1:38">
      <c r="A79" s="161">
        <v>75</v>
      </c>
      <c r="B79" s="162">
        <f>前台二维码提成录入!B79</f>
        <v>0</v>
      </c>
      <c r="C79" s="162">
        <f>前台二维码提成录入!C79</f>
        <v>0</v>
      </c>
      <c r="D79" s="162" t="str">
        <f>前台二维码提成录入!D79</f>
        <v>次</v>
      </c>
      <c r="E79" s="162">
        <f>前台二维码提成录入!E79</f>
        <v>0</v>
      </c>
      <c r="F79" s="162">
        <f>前台二维码提成录入!F79</f>
        <v>0</v>
      </c>
      <c r="G79" s="162">
        <f>前台二维码提成录入!G79</f>
        <v>0</v>
      </c>
      <c r="H79" s="133">
        <f>前台二维码提成录入!H79*$E79</f>
        <v>0</v>
      </c>
      <c r="I79" s="133">
        <f>前台二维码提成录入!I79*$E79</f>
        <v>0</v>
      </c>
      <c r="J79" s="133">
        <f>前台二维码提成录入!J79*$E79</f>
        <v>0</v>
      </c>
      <c r="K79" s="133">
        <f>前台二维码提成录入!K79*$E79</f>
        <v>0</v>
      </c>
      <c r="L79" s="133">
        <f>前台二维码提成录入!L79*$E79</f>
        <v>0</v>
      </c>
      <c r="M79" s="133">
        <f>前台二维码提成录入!M79*$E79</f>
        <v>0</v>
      </c>
      <c r="N79" s="133">
        <f>前台二维码提成录入!N79*$E79</f>
        <v>0</v>
      </c>
      <c r="O79" s="133">
        <f>前台二维码提成录入!O79*$E79</f>
        <v>0</v>
      </c>
      <c r="P79" s="133">
        <f>前台二维码提成录入!P79*$E79</f>
        <v>0</v>
      </c>
      <c r="Q79" s="133">
        <f>前台二维码提成录入!Q79*$E79</f>
        <v>0</v>
      </c>
      <c r="R79" s="133">
        <f>前台二维码提成录入!R79*$E79</f>
        <v>0</v>
      </c>
      <c r="S79" s="133">
        <f>前台二维码提成录入!S79*$E79</f>
        <v>0</v>
      </c>
      <c r="T79" s="133">
        <f>前台二维码提成录入!T79*$E79</f>
        <v>0</v>
      </c>
      <c r="U79" s="133">
        <f>前台二维码提成录入!U79*$E79</f>
        <v>0</v>
      </c>
      <c r="V79" s="133">
        <f>前台二维码提成录入!V79*$E79</f>
        <v>0</v>
      </c>
      <c r="W79" s="133">
        <f>前台二维码提成录入!W79*$E79</f>
        <v>0</v>
      </c>
      <c r="X79" s="133">
        <f>前台二维码提成录入!X79*$E79</f>
        <v>0</v>
      </c>
      <c r="Y79" s="133">
        <f>前台二维码提成录入!Y79*$E79</f>
        <v>0</v>
      </c>
      <c r="Z79" s="133">
        <f>前台二维码提成录入!Z79*$E79</f>
        <v>0</v>
      </c>
      <c r="AA79" s="133">
        <f>前台二维码提成录入!AA79*$E79</f>
        <v>0</v>
      </c>
      <c r="AB79" s="133">
        <f>前台二维码提成录入!AB79*$E79</f>
        <v>0</v>
      </c>
      <c r="AC79" s="133">
        <f>前台二维码提成录入!AC79*$E79</f>
        <v>0</v>
      </c>
      <c r="AD79" s="133">
        <f>前台二维码提成录入!AD79*$E79</f>
        <v>0</v>
      </c>
      <c r="AE79" s="133">
        <f>前台二维码提成录入!AE79*$E79</f>
        <v>0</v>
      </c>
      <c r="AF79" s="133">
        <f>前台二维码提成录入!AF79*$E79</f>
        <v>0</v>
      </c>
      <c r="AG79" s="133">
        <f>前台二维码提成录入!AG79*$E79</f>
        <v>0</v>
      </c>
      <c r="AH79" s="133">
        <f>前台二维码提成录入!AH79*$E79</f>
        <v>0</v>
      </c>
      <c r="AI79" s="133">
        <f>前台二维码提成录入!AI79*$E79</f>
        <v>0</v>
      </c>
      <c r="AJ79" s="133">
        <f>前台二维码提成录入!AJ79*$E79</f>
        <v>0</v>
      </c>
      <c r="AK79" s="133">
        <f>前台二维码提成录入!AK79*$E79</f>
        <v>0</v>
      </c>
      <c r="AL79" s="133">
        <f>前台二维码提成录入!AL79*$E79</f>
        <v>0</v>
      </c>
    </row>
    <row r="80" s="140" customFormat="1" customHeight="1" spans="1:38">
      <c r="A80" s="161">
        <v>76</v>
      </c>
      <c r="B80" s="162">
        <f>前台二维码提成录入!B80</f>
        <v>0</v>
      </c>
      <c r="C80" s="162">
        <f>前台二维码提成录入!C80</f>
        <v>0</v>
      </c>
      <c r="D80" s="162" t="str">
        <f>前台二维码提成录入!D80</f>
        <v>次</v>
      </c>
      <c r="E80" s="162">
        <f>前台二维码提成录入!E80</f>
        <v>0</v>
      </c>
      <c r="F80" s="162">
        <f>前台二维码提成录入!F80</f>
        <v>0</v>
      </c>
      <c r="G80" s="162">
        <f>前台二维码提成录入!G80</f>
        <v>0</v>
      </c>
      <c r="H80" s="133">
        <f>前台二维码提成录入!H80*$E80</f>
        <v>0</v>
      </c>
      <c r="I80" s="133">
        <f>前台二维码提成录入!I80*$E80</f>
        <v>0</v>
      </c>
      <c r="J80" s="133">
        <f>前台二维码提成录入!J80*$E80</f>
        <v>0</v>
      </c>
      <c r="K80" s="133">
        <f>前台二维码提成录入!K80*$E80</f>
        <v>0</v>
      </c>
      <c r="L80" s="133">
        <f>前台二维码提成录入!L80*$E80</f>
        <v>0</v>
      </c>
      <c r="M80" s="133">
        <f>前台二维码提成录入!M80*$E80</f>
        <v>0</v>
      </c>
      <c r="N80" s="133">
        <f>前台二维码提成录入!N80*$E80</f>
        <v>0</v>
      </c>
      <c r="O80" s="133">
        <f>前台二维码提成录入!O80*$E80</f>
        <v>0</v>
      </c>
      <c r="P80" s="133">
        <f>前台二维码提成录入!P80*$E80</f>
        <v>0</v>
      </c>
      <c r="Q80" s="133">
        <f>前台二维码提成录入!Q80*$E80</f>
        <v>0</v>
      </c>
      <c r="R80" s="133">
        <f>前台二维码提成录入!R80*$E80</f>
        <v>0</v>
      </c>
      <c r="S80" s="133">
        <f>前台二维码提成录入!S80*$E80</f>
        <v>0</v>
      </c>
      <c r="T80" s="133">
        <f>前台二维码提成录入!T80*$E80</f>
        <v>0</v>
      </c>
      <c r="U80" s="133">
        <f>前台二维码提成录入!U80*$E80</f>
        <v>0</v>
      </c>
      <c r="V80" s="133">
        <f>前台二维码提成录入!V80*$E80</f>
        <v>0</v>
      </c>
      <c r="W80" s="133">
        <f>前台二维码提成录入!W80*$E80</f>
        <v>0</v>
      </c>
      <c r="X80" s="133">
        <f>前台二维码提成录入!X80*$E80</f>
        <v>0</v>
      </c>
      <c r="Y80" s="133">
        <f>前台二维码提成录入!Y80*$E80</f>
        <v>0</v>
      </c>
      <c r="Z80" s="133">
        <f>前台二维码提成录入!Z80*$E80</f>
        <v>0</v>
      </c>
      <c r="AA80" s="133">
        <f>前台二维码提成录入!AA80*$E80</f>
        <v>0</v>
      </c>
      <c r="AB80" s="133">
        <f>前台二维码提成录入!AB80*$E80</f>
        <v>0</v>
      </c>
      <c r="AC80" s="133">
        <f>前台二维码提成录入!AC80*$E80</f>
        <v>0</v>
      </c>
      <c r="AD80" s="133">
        <f>前台二维码提成录入!AD80*$E80</f>
        <v>0</v>
      </c>
      <c r="AE80" s="133">
        <f>前台二维码提成录入!AE80*$E80</f>
        <v>0</v>
      </c>
      <c r="AF80" s="133">
        <f>前台二维码提成录入!AF80*$E80</f>
        <v>0</v>
      </c>
      <c r="AG80" s="133">
        <f>前台二维码提成录入!AG80*$E80</f>
        <v>0</v>
      </c>
      <c r="AH80" s="133">
        <f>前台二维码提成录入!AH80*$E80</f>
        <v>0</v>
      </c>
      <c r="AI80" s="133">
        <f>前台二维码提成录入!AI80*$E80</f>
        <v>0</v>
      </c>
      <c r="AJ80" s="133">
        <f>前台二维码提成录入!AJ80*$E80</f>
        <v>0</v>
      </c>
      <c r="AK80" s="133">
        <f>前台二维码提成录入!AK80*$E80</f>
        <v>0</v>
      </c>
      <c r="AL80" s="133">
        <f>前台二维码提成录入!AL80*$E80</f>
        <v>0</v>
      </c>
    </row>
    <row r="81" s="140" customFormat="1" customHeight="1" spans="1:38">
      <c r="A81" s="161">
        <v>77</v>
      </c>
      <c r="B81" s="162">
        <f>前台二维码提成录入!B81</f>
        <v>0</v>
      </c>
      <c r="C81" s="162">
        <f>前台二维码提成录入!C81</f>
        <v>0</v>
      </c>
      <c r="D81" s="162" t="str">
        <f>前台二维码提成录入!D81</f>
        <v>次</v>
      </c>
      <c r="E81" s="162">
        <f>前台二维码提成录入!E81</f>
        <v>0</v>
      </c>
      <c r="F81" s="162">
        <f>前台二维码提成录入!F81</f>
        <v>0</v>
      </c>
      <c r="G81" s="162">
        <f>前台二维码提成录入!G81</f>
        <v>0</v>
      </c>
      <c r="H81" s="133">
        <f>前台二维码提成录入!H81*$E81</f>
        <v>0</v>
      </c>
      <c r="I81" s="133">
        <f>前台二维码提成录入!I81*$E81</f>
        <v>0</v>
      </c>
      <c r="J81" s="133">
        <f>前台二维码提成录入!J81*$E81</f>
        <v>0</v>
      </c>
      <c r="K81" s="133">
        <f>前台二维码提成录入!K81*$E81</f>
        <v>0</v>
      </c>
      <c r="L81" s="133">
        <f>前台二维码提成录入!L81*$E81</f>
        <v>0</v>
      </c>
      <c r="M81" s="133">
        <f>前台二维码提成录入!M81*$E81</f>
        <v>0</v>
      </c>
      <c r="N81" s="133">
        <f>前台二维码提成录入!N81*$E81</f>
        <v>0</v>
      </c>
      <c r="O81" s="133">
        <f>前台二维码提成录入!O81*$E81</f>
        <v>0</v>
      </c>
      <c r="P81" s="133">
        <f>前台二维码提成录入!P81*$E81</f>
        <v>0</v>
      </c>
      <c r="Q81" s="133">
        <f>前台二维码提成录入!Q81*$E81</f>
        <v>0</v>
      </c>
      <c r="R81" s="133">
        <f>前台二维码提成录入!R81*$E81</f>
        <v>0</v>
      </c>
      <c r="S81" s="133">
        <f>前台二维码提成录入!S81*$E81</f>
        <v>0</v>
      </c>
      <c r="T81" s="133">
        <f>前台二维码提成录入!T81*$E81</f>
        <v>0</v>
      </c>
      <c r="U81" s="133">
        <f>前台二维码提成录入!U81*$E81</f>
        <v>0</v>
      </c>
      <c r="V81" s="133">
        <f>前台二维码提成录入!V81*$E81</f>
        <v>0</v>
      </c>
      <c r="W81" s="133">
        <f>前台二维码提成录入!W81*$E81</f>
        <v>0</v>
      </c>
      <c r="X81" s="133">
        <f>前台二维码提成录入!X81*$E81</f>
        <v>0</v>
      </c>
      <c r="Y81" s="133">
        <f>前台二维码提成录入!Y81*$E81</f>
        <v>0</v>
      </c>
      <c r="Z81" s="133">
        <f>前台二维码提成录入!Z81*$E81</f>
        <v>0</v>
      </c>
      <c r="AA81" s="133">
        <f>前台二维码提成录入!AA81*$E81</f>
        <v>0</v>
      </c>
      <c r="AB81" s="133">
        <f>前台二维码提成录入!AB81*$E81</f>
        <v>0</v>
      </c>
      <c r="AC81" s="133">
        <f>前台二维码提成录入!AC81*$E81</f>
        <v>0</v>
      </c>
      <c r="AD81" s="133">
        <f>前台二维码提成录入!AD81*$E81</f>
        <v>0</v>
      </c>
      <c r="AE81" s="133">
        <f>前台二维码提成录入!AE81*$E81</f>
        <v>0</v>
      </c>
      <c r="AF81" s="133">
        <f>前台二维码提成录入!AF81*$E81</f>
        <v>0</v>
      </c>
      <c r="AG81" s="133">
        <f>前台二维码提成录入!AG81*$E81</f>
        <v>0</v>
      </c>
      <c r="AH81" s="133">
        <f>前台二维码提成录入!AH81*$E81</f>
        <v>0</v>
      </c>
      <c r="AI81" s="133">
        <f>前台二维码提成录入!AI81*$E81</f>
        <v>0</v>
      </c>
      <c r="AJ81" s="133">
        <f>前台二维码提成录入!AJ81*$E81</f>
        <v>0</v>
      </c>
      <c r="AK81" s="133">
        <f>前台二维码提成录入!AK81*$E81</f>
        <v>0</v>
      </c>
      <c r="AL81" s="133">
        <f>前台二维码提成录入!AL81*$E81</f>
        <v>0</v>
      </c>
    </row>
    <row r="82" s="140" customFormat="1" customHeight="1" spans="1:38">
      <c r="A82" s="161">
        <v>78</v>
      </c>
      <c r="B82" s="162">
        <f>前台二维码提成录入!B82</f>
        <v>0</v>
      </c>
      <c r="C82" s="162">
        <f>前台二维码提成录入!C82</f>
        <v>0</v>
      </c>
      <c r="D82" s="162" t="str">
        <f>前台二维码提成录入!D82</f>
        <v>次</v>
      </c>
      <c r="E82" s="162">
        <f>前台二维码提成录入!E82</f>
        <v>0</v>
      </c>
      <c r="F82" s="162">
        <f>前台二维码提成录入!F82</f>
        <v>0</v>
      </c>
      <c r="G82" s="162">
        <f>前台二维码提成录入!G82</f>
        <v>0</v>
      </c>
      <c r="H82" s="133">
        <f>前台二维码提成录入!H82*$E82</f>
        <v>0</v>
      </c>
      <c r="I82" s="133">
        <f>前台二维码提成录入!I82*$E82</f>
        <v>0</v>
      </c>
      <c r="J82" s="133">
        <f>前台二维码提成录入!J82*$E82</f>
        <v>0</v>
      </c>
      <c r="K82" s="133">
        <f>前台二维码提成录入!K82*$E82</f>
        <v>0</v>
      </c>
      <c r="L82" s="133">
        <f>前台二维码提成录入!L82*$E82</f>
        <v>0</v>
      </c>
      <c r="M82" s="133">
        <f>前台二维码提成录入!M82*$E82</f>
        <v>0</v>
      </c>
      <c r="N82" s="133">
        <f>前台二维码提成录入!N82*$E82</f>
        <v>0</v>
      </c>
      <c r="O82" s="133">
        <f>前台二维码提成录入!O82*$E82</f>
        <v>0</v>
      </c>
      <c r="P82" s="133">
        <f>前台二维码提成录入!P82*$E82</f>
        <v>0</v>
      </c>
      <c r="Q82" s="133">
        <f>前台二维码提成录入!Q82*$E82</f>
        <v>0</v>
      </c>
      <c r="R82" s="133">
        <f>前台二维码提成录入!R82*$E82</f>
        <v>0</v>
      </c>
      <c r="S82" s="133">
        <f>前台二维码提成录入!S82*$E82</f>
        <v>0</v>
      </c>
      <c r="T82" s="133">
        <f>前台二维码提成录入!T82*$E82</f>
        <v>0</v>
      </c>
      <c r="U82" s="133">
        <f>前台二维码提成录入!U82*$E82</f>
        <v>0</v>
      </c>
      <c r="V82" s="133">
        <f>前台二维码提成录入!V82*$E82</f>
        <v>0</v>
      </c>
      <c r="W82" s="133">
        <f>前台二维码提成录入!W82*$E82</f>
        <v>0</v>
      </c>
      <c r="X82" s="133">
        <f>前台二维码提成录入!X82*$E82</f>
        <v>0</v>
      </c>
      <c r="Y82" s="133">
        <f>前台二维码提成录入!Y82*$E82</f>
        <v>0</v>
      </c>
      <c r="Z82" s="133">
        <f>前台二维码提成录入!Z82*$E82</f>
        <v>0</v>
      </c>
      <c r="AA82" s="133">
        <f>前台二维码提成录入!AA82*$E82</f>
        <v>0</v>
      </c>
      <c r="AB82" s="133">
        <f>前台二维码提成录入!AB82*$E82</f>
        <v>0</v>
      </c>
      <c r="AC82" s="133">
        <f>前台二维码提成录入!AC82*$E82</f>
        <v>0</v>
      </c>
      <c r="AD82" s="133">
        <f>前台二维码提成录入!AD82*$E82</f>
        <v>0</v>
      </c>
      <c r="AE82" s="133">
        <f>前台二维码提成录入!AE82*$E82</f>
        <v>0</v>
      </c>
      <c r="AF82" s="133">
        <f>前台二维码提成录入!AF82*$E82</f>
        <v>0</v>
      </c>
      <c r="AG82" s="133">
        <f>前台二维码提成录入!AG82*$E82</f>
        <v>0</v>
      </c>
      <c r="AH82" s="133">
        <f>前台二维码提成录入!AH82*$E82</f>
        <v>0</v>
      </c>
      <c r="AI82" s="133">
        <f>前台二维码提成录入!AI82*$E82</f>
        <v>0</v>
      </c>
      <c r="AJ82" s="133">
        <f>前台二维码提成录入!AJ82*$E82</f>
        <v>0</v>
      </c>
      <c r="AK82" s="133">
        <f>前台二维码提成录入!AK82*$E82</f>
        <v>0</v>
      </c>
      <c r="AL82" s="133">
        <f>前台二维码提成录入!AL82*$E82</f>
        <v>0</v>
      </c>
    </row>
    <row r="83" s="140" customFormat="1" customHeight="1" spans="1:38">
      <c r="A83" s="161">
        <v>79</v>
      </c>
      <c r="B83" s="162">
        <f>前台二维码提成录入!B83</f>
        <v>0</v>
      </c>
      <c r="C83" s="162">
        <f>前台二维码提成录入!C83</f>
        <v>0</v>
      </c>
      <c r="D83" s="162" t="str">
        <f>前台二维码提成录入!D83</f>
        <v>次</v>
      </c>
      <c r="E83" s="162">
        <f>前台二维码提成录入!E83</f>
        <v>0</v>
      </c>
      <c r="F83" s="162">
        <f>前台二维码提成录入!F83</f>
        <v>0</v>
      </c>
      <c r="G83" s="162">
        <f>前台二维码提成录入!G83</f>
        <v>0</v>
      </c>
      <c r="H83" s="133">
        <f>前台二维码提成录入!H83*$E83</f>
        <v>0</v>
      </c>
      <c r="I83" s="133">
        <f>前台二维码提成录入!I83*$E83</f>
        <v>0</v>
      </c>
      <c r="J83" s="133">
        <f>前台二维码提成录入!J83*$E83</f>
        <v>0</v>
      </c>
      <c r="K83" s="133">
        <f>前台二维码提成录入!K83*$E83</f>
        <v>0</v>
      </c>
      <c r="L83" s="133">
        <f>前台二维码提成录入!L83*$E83</f>
        <v>0</v>
      </c>
      <c r="M83" s="133">
        <f>前台二维码提成录入!M83*$E83</f>
        <v>0</v>
      </c>
      <c r="N83" s="133">
        <f>前台二维码提成录入!N83*$E83</f>
        <v>0</v>
      </c>
      <c r="O83" s="133">
        <f>前台二维码提成录入!O83*$E83</f>
        <v>0</v>
      </c>
      <c r="P83" s="133">
        <f>前台二维码提成录入!P83*$E83</f>
        <v>0</v>
      </c>
      <c r="Q83" s="133">
        <f>前台二维码提成录入!Q83*$E83</f>
        <v>0</v>
      </c>
      <c r="R83" s="133">
        <f>前台二维码提成录入!R83*$E83</f>
        <v>0</v>
      </c>
      <c r="S83" s="133">
        <f>前台二维码提成录入!S83*$E83</f>
        <v>0</v>
      </c>
      <c r="T83" s="133">
        <f>前台二维码提成录入!T83*$E83</f>
        <v>0</v>
      </c>
      <c r="U83" s="133">
        <f>前台二维码提成录入!U83*$E83</f>
        <v>0</v>
      </c>
      <c r="V83" s="133">
        <f>前台二维码提成录入!V83*$E83</f>
        <v>0</v>
      </c>
      <c r="W83" s="133">
        <f>前台二维码提成录入!W83*$E83</f>
        <v>0</v>
      </c>
      <c r="X83" s="133">
        <f>前台二维码提成录入!X83*$E83</f>
        <v>0</v>
      </c>
      <c r="Y83" s="133">
        <f>前台二维码提成录入!Y83*$E83</f>
        <v>0</v>
      </c>
      <c r="Z83" s="133">
        <f>前台二维码提成录入!Z83*$E83</f>
        <v>0</v>
      </c>
      <c r="AA83" s="133">
        <f>前台二维码提成录入!AA83*$E83</f>
        <v>0</v>
      </c>
      <c r="AB83" s="133">
        <f>前台二维码提成录入!AB83*$E83</f>
        <v>0</v>
      </c>
      <c r="AC83" s="133">
        <f>前台二维码提成录入!AC83*$E83</f>
        <v>0</v>
      </c>
      <c r="AD83" s="133">
        <f>前台二维码提成录入!AD83*$E83</f>
        <v>0</v>
      </c>
      <c r="AE83" s="133">
        <f>前台二维码提成录入!AE83*$E83</f>
        <v>0</v>
      </c>
      <c r="AF83" s="133">
        <f>前台二维码提成录入!AF83*$E83</f>
        <v>0</v>
      </c>
      <c r="AG83" s="133">
        <f>前台二维码提成录入!AG83*$E83</f>
        <v>0</v>
      </c>
      <c r="AH83" s="133">
        <f>前台二维码提成录入!AH83*$E83</f>
        <v>0</v>
      </c>
      <c r="AI83" s="133">
        <f>前台二维码提成录入!AI83*$E83</f>
        <v>0</v>
      </c>
      <c r="AJ83" s="133">
        <f>前台二维码提成录入!AJ83*$E83</f>
        <v>0</v>
      </c>
      <c r="AK83" s="133">
        <f>前台二维码提成录入!AK83*$E83</f>
        <v>0</v>
      </c>
      <c r="AL83" s="133">
        <f>前台二维码提成录入!AL83*$E83</f>
        <v>0</v>
      </c>
    </row>
    <row r="84" s="140" customFormat="1" customHeight="1" spans="1:38">
      <c r="A84" s="161">
        <v>80</v>
      </c>
      <c r="B84" s="162">
        <f>前台二维码提成录入!B84</f>
        <v>0</v>
      </c>
      <c r="C84" s="162">
        <f>前台二维码提成录入!C84</f>
        <v>0</v>
      </c>
      <c r="D84" s="162" t="str">
        <f>前台二维码提成录入!D84</f>
        <v>次</v>
      </c>
      <c r="E84" s="162">
        <f>前台二维码提成录入!E84</f>
        <v>0</v>
      </c>
      <c r="F84" s="162">
        <f>前台二维码提成录入!F84</f>
        <v>0</v>
      </c>
      <c r="G84" s="162">
        <f>前台二维码提成录入!G84</f>
        <v>0</v>
      </c>
      <c r="H84" s="133">
        <f>前台二维码提成录入!H84*$E84</f>
        <v>0</v>
      </c>
      <c r="I84" s="133">
        <f>前台二维码提成录入!I84*$E84</f>
        <v>0</v>
      </c>
      <c r="J84" s="133">
        <f>前台二维码提成录入!J84*$E84</f>
        <v>0</v>
      </c>
      <c r="K84" s="133">
        <f>前台二维码提成录入!K84*$E84</f>
        <v>0</v>
      </c>
      <c r="L84" s="133">
        <f>前台二维码提成录入!L84*$E84</f>
        <v>0</v>
      </c>
      <c r="M84" s="133">
        <f>前台二维码提成录入!M84*$E84</f>
        <v>0</v>
      </c>
      <c r="N84" s="133">
        <f>前台二维码提成录入!N84*$E84</f>
        <v>0</v>
      </c>
      <c r="O84" s="133">
        <f>前台二维码提成录入!O84*$E84</f>
        <v>0</v>
      </c>
      <c r="P84" s="133">
        <f>前台二维码提成录入!P84*$E84</f>
        <v>0</v>
      </c>
      <c r="Q84" s="133">
        <f>前台二维码提成录入!Q84*$E84</f>
        <v>0</v>
      </c>
      <c r="R84" s="133">
        <f>前台二维码提成录入!R84*$E84</f>
        <v>0</v>
      </c>
      <c r="S84" s="133">
        <f>前台二维码提成录入!S84*$E84</f>
        <v>0</v>
      </c>
      <c r="T84" s="133">
        <f>前台二维码提成录入!T84*$E84</f>
        <v>0</v>
      </c>
      <c r="U84" s="133">
        <f>前台二维码提成录入!U84*$E84</f>
        <v>0</v>
      </c>
      <c r="V84" s="133">
        <f>前台二维码提成录入!V84*$E84</f>
        <v>0</v>
      </c>
      <c r="W84" s="133">
        <f>前台二维码提成录入!W84*$E84</f>
        <v>0</v>
      </c>
      <c r="X84" s="133">
        <f>前台二维码提成录入!X84*$E84</f>
        <v>0</v>
      </c>
      <c r="Y84" s="133">
        <f>前台二维码提成录入!Y84*$E84</f>
        <v>0</v>
      </c>
      <c r="Z84" s="133">
        <f>前台二维码提成录入!Z84*$E84</f>
        <v>0</v>
      </c>
      <c r="AA84" s="133">
        <f>前台二维码提成录入!AA84*$E84</f>
        <v>0</v>
      </c>
      <c r="AB84" s="133">
        <f>前台二维码提成录入!AB84*$E84</f>
        <v>0</v>
      </c>
      <c r="AC84" s="133">
        <f>前台二维码提成录入!AC84*$E84</f>
        <v>0</v>
      </c>
      <c r="AD84" s="133">
        <f>前台二维码提成录入!AD84*$E84</f>
        <v>0</v>
      </c>
      <c r="AE84" s="133">
        <f>前台二维码提成录入!AE84*$E84</f>
        <v>0</v>
      </c>
      <c r="AF84" s="133">
        <f>前台二维码提成录入!AF84*$E84</f>
        <v>0</v>
      </c>
      <c r="AG84" s="133">
        <f>前台二维码提成录入!AG84*$E84</f>
        <v>0</v>
      </c>
      <c r="AH84" s="133">
        <f>前台二维码提成录入!AH84*$E84</f>
        <v>0</v>
      </c>
      <c r="AI84" s="133">
        <f>前台二维码提成录入!AI84*$E84</f>
        <v>0</v>
      </c>
      <c r="AJ84" s="133">
        <f>前台二维码提成录入!AJ84*$E84</f>
        <v>0</v>
      </c>
      <c r="AK84" s="133">
        <f>前台二维码提成录入!AK84*$E84</f>
        <v>0</v>
      </c>
      <c r="AL84" s="133">
        <f>前台二维码提成录入!AL84*$E84</f>
        <v>0</v>
      </c>
    </row>
    <row r="85" s="140" customFormat="1" customHeight="1" spans="1:38">
      <c r="A85" s="161">
        <v>81</v>
      </c>
      <c r="B85" s="162">
        <f>前台二维码提成录入!B85</f>
        <v>0</v>
      </c>
      <c r="C85" s="162">
        <f>前台二维码提成录入!C85</f>
        <v>0</v>
      </c>
      <c r="D85" s="162" t="str">
        <f>前台二维码提成录入!D85</f>
        <v>次</v>
      </c>
      <c r="E85" s="162">
        <f>前台二维码提成录入!E85</f>
        <v>0</v>
      </c>
      <c r="F85" s="162">
        <f>前台二维码提成录入!F85</f>
        <v>0</v>
      </c>
      <c r="G85" s="162">
        <f>前台二维码提成录入!G85</f>
        <v>0</v>
      </c>
      <c r="H85" s="133">
        <f>前台二维码提成录入!H85*$E85</f>
        <v>0</v>
      </c>
      <c r="I85" s="133">
        <f>前台二维码提成录入!I85*$E85</f>
        <v>0</v>
      </c>
      <c r="J85" s="133">
        <f>前台二维码提成录入!J85*$E85</f>
        <v>0</v>
      </c>
      <c r="K85" s="133">
        <f>前台二维码提成录入!K85*$E85</f>
        <v>0</v>
      </c>
      <c r="L85" s="133">
        <f>前台二维码提成录入!L85*$E85</f>
        <v>0</v>
      </c>
      <c r="M85" s="133">
        <f>前台二维码提成录入!M85*$E85</f>
        <v>0</v>
      </c>
      <c r="N85" s="133">
        <f>前台二维码提成录入!N85*$E85</f>
        <v>0</v>
      </c>
      <c r="O85" s="133">
        <f>前台二维码提成录入!O85*$E85</f>
        <v>0</v>
      </c>
      <c r="P85" s="133">
        <f>前台二维码提成录入!P85*$E85</f>
        <v>0</v>
      </c>
      <c r="Q85" s="133">
        <f>前台二维码提成录入!Q85*$E85</f>
        <v>0</v>
      </c>
      <c r="R85" s="133">
        <f>前台二维码提成录入!R85*$E85</f>
        <v>0</v>
      </c>
      <c r="S85" s="133">
        <f>前台二维码提成录入!S85*$E85</f>
        <v>0</v>
      </c>
      <c r="T85" s="133">
        <f>前台二维码提成录入!T85*$E85</f>
        <v>0</v>
      </c>
      <c r="U85" s="133">
        <f>前台二维码提成录入!U85*$E85</f>
        <v>0</v>
      </c>
      <c r="V85" s="133">
        <f>前台二维码提成录入!V85*$E85</f>
        <v>0</v>
      </c>
      <c r="W85" s="133">
        <f>前台二维码提成录入!W85*$E85</f>
        <v>0</v>
      </c>
      <c r="X85" s="133">
        <f>前台二维码提成录入!X85*$E85</f>
        <v>0</v>
      </c>
      <c r="Y85" s="133">
        <f>前台二维码提成录入!Y85*$E85</f>
        <v>0</v>
      </c>
      <c r="Z85" s="133">
        <f>前台二维码提成录入!Z85*$E85</f>
        <v>0</v>
      </c>
      <c r="AA85" s="133">
        <f>前台二维码提成录入!AA85*$E85</f>
        <v>0</v>
      </c>
      <c r="AB85" s="133">
        <f>前台二维码提成录入!AB85*$E85</f>
        <v>0</v>
      </c>
      <c r="AC85" s="133">
        <f>前台二维码提成录入!AC85*$E85</f>
        <v>0</v>
      </c>
      <c r="AD85" s="133">
        <f>前台二维码提成录入!AD85*$E85</f>
        <v>0</v>
      </c>
      <c r="AE85" s="133">
        <f>前台二维码提成录入!AE85*$E85</f>
        <v>0</v>
      </c>
      <c r="AF85" s="133">
        <f>前台二维码提成录入!AF85*$E85</f>
        <v>0</v>
      </c>
      <c r="AG85" s="133">
        <f>前台二维码提成录入!AG85*$E85</f>
        <v>0</v>
      </c>
      <c r="AH85" s="133">
        <f>前台二维码提成录入!AH85*$E85</f>
        <v>0</v>
      </c>
      <c r="AI85" s="133">
        <f>前台二维码提成录入!AI85*$E85</f>
        <v>0</v>
      </c>
      <c r="AJ85" s="133">
        <f>前台二维码提成录入!AJ85*$E85</f>
        <v>0</v>
      </c>
      <c r="AK85" s="133">
        <f>前台二维码提成录入!AK85*$E85</f>
        <v>0</v>
      </c>
      <c r="AL85" s="133">
        <f>前台二维码提成录入!AL85*$E85</f>
        <v>0</v>
      </c>
    </row>
    <row r="86" s="140" customFormat="1" customHeight="1" spans="1:38">
      <c r="A86" s="161">
        <v>82</v>
      </c>
      <c r="B86" s="162">
        <f>前台二维码提成录入!B86</f>
        <v>0</v>
      </c>
      <c r="C86" s="162">
        <f>前台二维码提成录入!C86</f>
        <v>0</v>
      </c>
      <c r="D86" s="162" t="str">
        <f>前台二维码提成录入!D86</f>
        <v>次</v>
      </c>
      <c r="E86" s="162">
        <f>前台二维码提成录入!E86</f>
        <v>0</v>
      </c>
      <c r="F86" s="162">
        <f>前台二维码提成录入!F86</f>
        <v>0</v>
      </c>
      <c r="G86" s="162">
        <f>前台二维码提成录入!G86</f>
        <v>0</v>
      </c>
      <c r="H86" s="133">
        <f>前台二维码提成录入!H86*$E86</f>
        <v>0</v>
      </c>
      <c r="I86" s="133">
        <f>前台二维码提成录入!I86*$E86</f>
        <v>0</v>
      </c>
      <c r="J86" s="133">
        <f>前台二维码提成录入!J86*$E86</f>
        <v>0</v>
      </c>
      <c r="K86" s="133">
        <f>前台二维码提成录入!K86*$E86</f>
        <v>0</v>
      </c>
      <c r="L86" s="133">
        <f>前台二维码提成录入!L86*$E86</f>
        <v>0</v>
      </c>
      <c r="M86" s="133">
        <f>前台二维码提成录入!M86*$E86</f>
        <v>0</v>
      </c>
      <c r="N86" s="133">
        <f>前台二维码提成录入!N86*$E86</f>
        <v>0</v>
      </c>
      <c r="O86" s="133">
        <f>前台二维码提成录入!O86*$E86</f>
        <v>0</v>
      </c>
      <c r="P86" s="133">
        <f>前台二维码提成录入!P86*$E86</f>
        <v>0</v>
      </c>
      <c r="Q86" s="133">
        <f>前台二维码提成录入!Q86*$E86</f>
        <v>0</v>
      </c>
      <c r="R86" s="133">
        <f>前台二维码提成录入!R86*$E86</f>
        <v>0</v>
      </c>
      <c r="S86" s="133">
        <f>前台二维码提成录入!S86*$E86</f>
        <v>0</v>
      </c>
      <c r="T86" s="133">
        <f>前台二维码提成录入!T86*$E86</f>
        <v>0</v>
      </c>
      <c r="U86" s="133">
        <f>前台二维码提成录入!U86*$E86</f>
        <v>0</v>
      </c>
      <c r="V86" s="133">
        <f>前台二维码提成录入!V86*$E86</f>
        <v>0</v>
      </c>
      <c r="W86" s="133">
        <f>前台二维码提成录入!W86*$E86</f>
        <v>0</v>
      </c>
      <c r="X86" s="133">
        <f>前台二维码提成录入!X86*$E86</f>
        <v>0</v>
      </c>
      <c r="Y86" s="133">
        <f>前台二维码提成录入!Y86*$E86</f>
        <v>0</v>
      </c>
      <c r="Z86" s="133">
        <f>前台二维码提成录入!Z86*$E86</f>
        <v>0</v>
      </c>
      <c r="AA86" s="133">
        <f>前台二维码提成录入!AA86*$E86</f>
        <v>0</v>
      </c>
      <c r="AB86" s="133">
        <f>前台二维码提成录入!AB86*$E86</f>
        <v>0</v>
      </c>
      <c r="AC86" s="133">
        <f>前台二维码提成录入!AC86*$E86</f>
        <v>0</v>
      </c>
      <c r="AD86" s="133">
        <f>前台二维码提成录入!AD86*$E86</f>
        <v>0</v>
      </c>
      <c r="AE86" s="133">
        <f>前台二维码提成录入!AE86*$E86</f>
        <v>0</v>
      </c>
      <c r="AF86" s="133">
        <f>前台二维码提成录入!AF86*$E86</f>
        <v>0</v>
      </c>
      <c r="AG86" s="133">
        <f>前台二维码提成录入!AG86*$E86</f>
        <v>0</v>
      </c>
      <c r="AH86" s="133">
        <f>前台二维码提成录入!AH86*$E86</f>
        <v>0</v>
      </c>
      <c r="AI86" s="133">
        <f>前台二维码提成录入!AI86*$E86</f>
        <v>0</v>
      </c>
      <c r="AJ86" s="133">
        <f>前台二维码提成录入!AJ86*$E86</f>
        <v>0</v>
      </c>
      <c r="AK86" s="133">
        <f>前台二维码提成录入!AK86*$E86</f>
        <v>0</v>
      </c>
      <c r="AL86" s="133">
        <f>前台二维码提成录入!AL86*$E86</f>
        <v>0</v>
      </c>
    </row>
    <row r="87" s="140" customFormat="1" customHeight="1" spans="1:38">
      <c r="A87" s="161">
        <v>83</v>
      </c>
      <c r="B87" s="162">
        <f>前台二维码提成录入!B87</f>
        <v>0</v>
      </c>
      <c r="C87" s="162">
        <f>前台二维码提成录入!C87</f>
        <v>0</v>
      </c>
      <c r="D87" s="162" t="str">
        <f>前台二维码提成录入!D87</f>
        <v>次</v>
      </c>
      <c r="E87" s="162">
        <f>前台二维码提成录入!E87</f>
        <v>0</v>
      </c>
      <c r="F87" s="162">
        <f>前台二维码提成录入!F87</f>
        <v>0</v>
      </c>
      <c r="G87" s="162">
        <f>前台二维码提成录入!G87</f>
        <v>0</v>
      </c>
      <c r="H87" s="133">
        <f>前台二维码提成录入!H87*$E87</f>
        <v>0</v>
      </c>
      <c r="I87" s="133">
        <f>前台二维码提成录入!I87*$E87</f>
        <v>0</v>
      </c>
      <c r="J87" s="133">
        <f>前台二维码提成录入!J87*$E87</f>
        <v>0</v>
      </c>
      <c r="K87" s="133">
        <f>前台二维码提成录入!K87*$E87</f>
        <v>0</v>
      </c>
      <c r="L87" s="133">
        <f>前台二维码提成录入!L87*$E87</f>
        <v>0</v>
      </c>
      <c r="M87" s="133">
        <f>前台二维码提成录入!M87*$E87</f>
        <v>0</v>
      </c>
      <c r="N87" s="133">
        <f>前台二维码提成录入!N87*$E87</f>
        <v>0</v>
      </c>
      <c r="O87" s="133">
        <f>前台二维码提成录入!O87*$E87</f>
        <v>0</v>
      </c>
      <c r="P87" s="133">
        <f>前台二维码提成录入!P87*$E87</f>
        <v>0</v>
      </c>
      <c r="Q87" s="133">
        <f>前台二维码提成录入!Q87*$E87</f>
        <v>0</v>
      </c>
      <c r="R87" s="133">
        <f>前台二维码提成录入!R87*$E87</f>
        <v>0</v>
      </c>
      <c r="S87" s="133">
        <f>前台二维码提成录入!S87*$E87</f>
        <v>0</v>
      </c>
      <c r="T87" s="133">
        <f>前台二维码提成录入!T87*$E87</f>
        <v>0</v>
      </c>
      <c r="U87" s="133">
        <f>前台二维码提成录入!U87*$E87</f>
        <v>0</v>
      </c>
      <c r="V87" s="133">
        <f>前台二维码提成录入!V87*$E87</f>
        <v>0</v>
      </c>
      <c r="W87" s="133">
        <f>前台二维码提成录入!W87*$E87</f>
        <v>0</v>
      </c>
      <c r="X87" s="133">
        <f>前台二维码提成录入!X87*$E87</f>
        <v>0</v>
      </c>
      <c r="Y87" s="133">
        <f>前台二维码提成录入!Y87*$E87</f>
        <v>0</v>
      </c>
      <c r="Z87" s="133">
        <f>前台二维码提成录入!Z87*$E87</f>
        <v>0</v>
      </c>
      <c r="AA87" s="133">
        <f>前台二维码提成录入!AA87*$E87</f>
        <v>0</v>
      </c>
      <c r="AB87" s="133">
        <f>前台二维码提成录入!AB87*$E87</f>
        <v>0</v>
      </c>
      <c r="AC87" s="133">
        <f>前台二维码提成录入!AC87*$E87</f>
        <v>0</v>
      </c>
      <c r="AD87" s="133">
        <f>前台二维码提成录入!AD87*$E87</f>
        <v>0</v>
      </c>
      <c r="AE87" s="133">
        <f>前台二维码提成录入!AE87*$E87</f>
        <v>0</v>
      </c>
      <c r="AF87" s="133">
        <f>前台二维码提成录入!AF87*$E87</f>
        <v>0</v>
      </c>
      <c r="AG87" s="133">
        <f>前台二维码提成录入!AG87*$E87</f>
        <v>0</v>
      </c>
      <c r="AH87" s="133">
        <f>前台二维码提成录入!AH87*$E87</f>
        <v>0</v>
      </c>
      <c r="AI87" s="133">
        <f>前台二维码提成录入!AI87*$E87</f>
        <v>0</v>
      </c>
      <c r="AJ87" s="133">
        <f>前台二维码提成录入!AJ87*$E87</f>
        <v>0</v>
      </c>
      <c r="AK87" s="133">
        <f>前台二维码提成录入!AK87*$E87</f>
        <v>0</v>
      </c>
      <c r="AL87" s="133">
        <f>前台二维码提成录入!AL87*$E87</f>
        <v>0</v>
      </c>
    </row>
    <row r="88" s="140" customFormat="1" customHeight="1" spans="1:38">
      <c r="A88" s="161">
        <v>84</v>
      </c>
      <c r="B88" s="162">
        <f>前台二维码提成录入!B88</f>
        <v>0</v>
      </c>
      <c r="C88" s="162">
        <f>前台二维码提成录入!C88</f>
        <v>0</v>
      </c>
      <c r="D88" s="162" t="str">
        <f>前台二维码提成录入!D88</f>
        <v>次</v>
      </c>
      <c r="E88" s="162">
        <f>前台二维码提成录入!E88</f>
        <v>0</v>
      </c>
      <c r="F88" s="162">
        <f>前台二维码提成录入!F88</f>
        <v>0</v>
      </c>
      <c r="G88" s="162">
        <f>前台二维码提成录入!G88</f>
        <v>0</v>
      </c>
      <c r="H88" s="133">
        <f>前台二维码提成录入!H88*$E88</f>
        <v>0</v>
      </c>
      <c r="I88" s="133">
        <f>前台二维码提成录入!I88*$E88</f>
        <v>0</v>
      </c>
      <c r="J88" s="133">
        <f>前台二维码提成录入!J88*$E88</f>
        <v>0</v>
      </c>
      <c r="K88" s="133">
        <f>前台二维码提成录入!K88*$E88</f>
        <v>0</v>
      </c>
      <c r="L88" s="133">
        <f>前台二维码提成录入!L88*$E88</f>
        <v>0</v>
      </c>
      <c r="M88" s="133">
        <f>前台二维码提成录入!M88*$E88</f>
        <v>0</v>
      </c>
      <c r="N88" s="133">
        <f>前台二维码提成录入!N88*$E88</f>
        <v>0</v>
      </c>
      <c r="O88" s="133">
        <f>前台二维码提成录入!O88*$E88</f>
        <v>0</v>
      </c>
      <c r="P88" s="133">
        <f>前台二维码提成录入!P88*$E88</f>
        <v>0</v>
      </c>
      <c r="Q88" s="133">
        <f>前台二维码提成录入!Q88*$E88</f>
        <v>0</v>
      </c>
      <c r="R88" s="133">
        <f>前台二维码提成录入!R88*$E88</f>
        <v>0</v>
      </c>
      <c r="S88" s="133">
        <f>前台二维码提成录入!S88*$E88</f>
        <v>0</v>
      </c>
      <c r="T88" s="133">
        <f>前台二维码提成录入!T88*$E88</f>
        <v>0</v>
      </c>
      <c r="U88" s="133">
        <f>前台二维码提成录入!U88*$E88</f>
        <v>0</v>
      </c>
      <c r="V88" s="133">
        <f>前台二维码提成录入!V88*$E88</f>
        <v>0</v>
      </c>
      <c r="W88" s="133">
        <f>前台二维码提成录入!W88*$E88</f>
        <v>0</v>
      </c>
      <c r="X88" s="133">
        <f>前台二维码提成录入!X88*$E88</f>
        <v>0</v>
      </c>
      <c r="Y88" s="133">
        <f>前台二维码提成录入!Y88*$E88</f>
        <v>0</v>
      </c>
      <c r="Z88" s="133">
        <f>前台二维码提成录入!Z88*$E88</f>
        <v>0</v>
      </c>
      <c r="AA88" s="133">
        <f>前台二维码提成录入!AA88*$E88</f>
        <v>0</v>
      </c>
      <c r="AB88" s="133">
        <f>前台二维码提成录入!AB88*$E88</f>
        <v>0</v>
      </c>
      <c r="AC88" s="133">
        <f>前台二维码提成录入!AC88*$E88</f>
        <v>0</v>
      </c>
      <c r="AD88" s="133">
        <f>前台二维码提成录入!AD88*$E88</f>
        <v>0</v>
      </c>
      <c r="AE88" s="133">
        <f>前台二维码提成录入!AE88*$E88</f>
        <v>0</v>
      </c>
      <c r="AF88" s="133">
        <f>前台二维码提成录入!AF88*$E88</f>
        <v>0</v>
      </c>
      <c r="AG88" s="133">
        <f>前台二维码提成录入!AG88*$E88</f>
        <v>0</v>
      </c>
      <c r="AH88" s="133">
        <f>前台二维码提成录入!AH88*$E88</f>
        <v>0</v>
      </c>
      <c r="AI88" s="133">
        <f>前台二维码提成录入!AI88*$E88</f>
        <v>0</v>
      </c>
      <c r="AJ88" s="133">
        <f>前台二维码提成录入!AJ88*$E88</f>
        <v>0</v>
      </c>
      <c r="AK88" s="133">
        <f>前台二维码提成录入!AK88*$E88</f>
        <v>0</v>
      </c>
      <c r="AL88" s="133">
        <f>前台二维码提成录入!AL88*$E88</f>
        <v>0</v>
      </c>
    </row>
    <row r="89" s="140" customFormat="1" customHeight="1" spans="1:38">
      <c r="A89" s="161">
        <v>85</v>
      </c>
      <c r="B89" s="162">
        <f>前台二维码提成录入!B89</f>
        <v>0</v>
      </c>
      <c r="C89" s="162">
        <f>前台二维码提成录入!C89</f>
        <v>0</v>
      </c>
      <c r="D89" s="162" t="str">
        <f>前台二维码提成录入!D89</f>
        <v>次</v>
      </c>
      <c r="E89" s="162">
        <f>前台二维码提成录入!E89</f>
        <v>0</v>
      </c>
      <c r="F89" s="162">
        <f>前台二维码提成录入!F89</f>
        <v>0</v>
      </c>
      <c r="G89" s="162">
        <f>前台二维码提成录入!G89</f>
        <v>0</v>
      </c>
      <c r="H89" s="133">
        <f>前台二维码提成录入!H89*$E89</f>
        <v>0</v>
      </c>
      <c r="I89" s="133">
        <f>前台二维码提成录入!I89*$E89</f>
        <v>0</v>
      </c>
      <c r="J89" s="133">
        <f>前台二维码提成录入!J89*$E89</f>
        <v>0</v>
      </c>
      <c r="K89" s="133">
        <f>前台二维码提成录入!K89*$E89</f>
        <v>0</v>
      </c>
      <c r="L89" s="133">
        <f>前台二维码提成录入!L89*$E89</f>
        <v>0</v>
      </c>
      <c r="M89" s="133">
        <f>前台二维码提成录入!M89*$E89</f>
        <v>0</v>
      </c>
      <c r="N89" s="133">
        <f>前台二维码提成录入!N89*$E89</f>
        <v>0</v>
      </c>
      <c r="O89" s="133">
        <f>前台二维码提成录入!O89*$E89</f>
        <v>0</v>
      </c>
      <c r="P89" s="133">
        <f>前台二维码提成录入!P89*$E89</f>
        <v>0</v>
      </c>
      <c r="Q89" s="133">
        <f>前台二维码提成录入!Q89*$E89</f>
        <v>0</v>
      </c>
      <c r="R89" s="133">
        <f>前台二维码提成录入!R89*$E89</f>
        <v>0</v>
      </c>
      <c r="S89" s="133">
        <f>前台二维码提成录入!S89*$E89</f>
        <v>0</v>
      </c>
      <c r="T89" s="133">
        <f>前台二维码提成录入!T89*$E89</f>
        <v>0</v>
      </c>
      <c r="U89" s="133">
        <f>前台二维码提成录入!U89*$E89</f>
        <v>0</v>
      </c>
      <c r="V89" s="133">
        <f>前台二维码提成录入!V89*$E89</f>
        <v>0</v>
      </c>
      <c r="W89" s="133">
        <f>前台二维码提成录入!W89*$E89</f>
        <v>0</v>
      </c>
      <c r="X89" s="133">
        <f>前台二维码提成录入!X89*$E89</f>
        <v>0</v>
      </c>
      <c r="Y89" s="133">
        <f>前台二维码提成录入!Y89*$E89</f>
        <v>0</v>
      </c>
      <c r="Z89" s="133">
        <f>前台二维码提成录入!Z89*$E89</f>
        <v>0</v>
      </c>
      <c r="AA89" s="133">
        <f>前台二维码提成录入!AA89*$E89</f>
        <v>0</v>
      </c>
      <c r="AB89" s="133">
        <f>前台二维码提成录入!AB89*$E89</f>
        <v>0</v>
      </c>
      <c r="AC89" s="133">
        <f>前台二维码提成录入!AC89*$E89</f>
        <v>0</v>
      </c>
      <c r="AD89" s="133">
        <f>前台二维码提成录入!AD89*$E89</f>
        <v>0</v>
      </c>
      <c r="AE89" s="133">
        <f>前台二维码提成录入!AE89*$E89</f>
        <v>0</v>
      </c>
      <c r="AF89" s="133">
        <f>前台二维码提成录入!AF89*$E89</f>
        <v>0</v>
      </c>
      <c r="AG89" s="133">
        <f>前台二维码提成录入!AG89*$E89</f>
        <v>0</v>
      </c>
      <c r="AH89" s="133">
        <f>前台二维码提成录入!AH89*$E89</f>
        <v>0</v>
      </c>
      <c r="AI89" s="133">
        <f>前台二维码提成录入!AI89*$E89</f>
        <v>0</v>
      </c>
      <c r="AJ89" s="133">
        <f>前台二维码提成录入!AJ89*$E89</f>
        <v>0</v>
      </c>
      <c r="AK89" s="133">
        <f>前台二维码提成录入!AK89*$E89</f>
        <v>0</v>
      </c>
      <c r="AL89" s="133">
        <f>前台二维码提成录入!AL89*$E89</f>
        <v>0</v>
      </c>
    </row>
    <row r="90" s="140" customFormat="1" customHeight="1" spans="1:38">
      <c r="A90" s="161">
        <v>86</v>
      </c>
      <c r="B90" s="162">
        <f>前台二维码提成录入!B90</f>
        <v>0</v>
      </c>
      <c r="C90" s="162">
        <f>前台二维码提成录入!C90</f>
        <v>0</v>
      </c>
      <c r="D90" s="162" t="str">
        <f>前台二维码提成录入!D90</f>
        <v>次</v>
      </c>
      <c r="E90" s="162">
        <f>前台二维码提成录入!E90</f>
        <v>0</v>
      </c>
      <c r="F90" s="162">
        <f>前台二维码提成录入!F90</f>
        <v>0</v>
      </c>
      <c r="G90" s="162">
        <f>前台二维码提成录入!G90</f>
        <v>0</v>
      </c>
      <c r="H90" s="133">
        <f>前台二维码提成录入!H90*$E90</f>
        <v>0</v>
      </c>
      <c r="I90" s="133">
        <f>前台二维码提成录入!I90*$E90</f>
        <v>0</v>
      </c>
      <c r="J90" s="133">
        <f>前台二维码提成录入!J90*$E90</f>
        <v>0</v>
      </c>
      <c r="K90" s="133">
        <f>前台二维码提成录入!K90*$E90</f>
        <v>0</v>
      </c>
      <c r="L90" s="133">
        <f>前台二维码提成录入!L90*$E90</f>
        <v>0</v>
      </c>
      <c r="M90" s="133">
        <f>前台二维码提成录入!M90*$E90</f>
        <v>0</v>
      </c>
      <c r="N90" s="133">
        <f>前台二维码提成录入!N90*$E90</f>
        <v>0</v>
      </c>
      <c r="O90" s="133">
        <f>前台二维码提成录入!O90*$E90</f>
        <v>0</v>
      </c>
      <c r="P90" s="133">
        <f>前台二维码提成录入!P90*$E90</f>
        <v>0</v>
      </c>
      <c r="Q90" s="133">
        <f>前台二维码提成录入!Q90*$E90</f>
        <v>0</v>
      </c>
      <c r="R90" s="133">
        <f>前台二维码提成录入!R90*$E90</f>
        <v>0</v>
      </c>
      <c r="S90" s="133">
        <f>前台二维码提成录入!S90*$E90</f>
        <v>0</v>
      </c>
      <c r="T90" s="133">
        <f>前台二维码提成录入!T90*$E90</f>
        <v>0</v>
      </c>
      <c r="U90" s="133">
        <f>前台二维码提成录入!U90*$E90</f>
        <v>0</v>
      </c>
      <c r="V90" s="133">
        <f>前台二维码提成录入!V90*$E90</f>
        <v>0</v>
      </c>
      <c r="W90" s="133">
        <f>前台二维码提成录入!W90*$E90</f>
        <v>0</v>
      </c>
      <c r="X90" s="133">
        <f>前台二维码提成录入!X90*$E90</f>
        <v>0</v>
      </c>
      <c r="Y90" s="133">
        <f>前台二维码提成录入!Y90*$E90</f>
        <v>0</v>
      </c>
      <c r="Z90" s="133">
        <f>前台二维码提成录入!Z90*$E90</f>
        <v>0</v>
      </c>
      <c r="AA90" s="133">
        <f>前台二维码提成录入!AA90*$E90</f>
        <v>0</v>
      </c>
      <c r="AB90" s="133">
        <f>前台二维码提成录入!AB90*$E90</f>
        <v>0</v>
      </c>
      <c r="AC90" s="133">
        <f>前台二维码提成录入!AC90*$E90</f>
        <v>0</v>
      </c>
      <c r="AD90" s="133">
        <f>前台二维码提成录入!AD90*$E90</f>
        <v>0</v>
      </c>
      <c r="AE90" s="133">
        <f>前台二维码提成录入!AE90*$E90</f>
        <v>0</v>
      </c>
      <c r="AF90" s="133">
        <f>前台二维码提成录入!AF90*$E90</f>
        <v>0</v>
      </c>
      <c r="AG90" s="133">
        <f>前台二维码提成录入!AG90*$E90</f>
        <v>0</v>
      </c>
      <c r="AH90" s="133">
        <f>前台二维码提成录入!AH90*$E90</f>
        <v>0</v>
      </c>
      <c r="AI90" s="133">
        <f>前台二维码提成录入!AI90*$E90</f>
        <v>0</v>
      </c>
      <c r="AJ90" s="133">
        <f>前台二维码提成录入!AJ90*$E90</f>
        <v>0</v>
      </c>
      <c r="AK90" s="133">
        <f>前台二维码提成录入!AK90*$E90</f>
        <v>0</v>
      </c>
      <c r="AL90" s="133">
        <f>前台二维码提成录入!AL90*$E90</f>
        <v>0</v>
      </c>
    </row>
    <row r="91" s="140" customFormat="1" customHeight="1" spans="1:38">
      <c r="A91" s="161">
        <v>87</v>
      </c>
      <c r="B91" s="162">
        <f>前台二维码提成录入!B91</f>
        <v>0</v>
      </c>
      <c r="C91" s="162">
        <f>前台二维码提成录入!C91</f>
        <v>0</v>
      </c>
      <c r="D91" s="162" t="str">
        <f>前台二维码提成录入!D91</f>
        <v>次</v>
      </c>
      <c r="E91" s="162">
        <f>前台二维码提成录入!E91</f>
        <v>0</v>
      </c>
      <c r="F91" s="162">
        <f>前台二维码提成录入!F91</f>
        <v>0</v>
      </c>
      <c r="G91" s="162">
        <f>前台二维码提成录入!G91</f>
        <v>0</v>
      </c>
      <c r="H91" s="133">
        <f>前台二维码提成录入!H91*$E91</f>
        <v>0</v>
      </c>
      <c r="I91" s="133">
        <f>前台二维码提成录入!I91*$E91</f>
        <v>0</v>
      </c>
      <c r="J91" s="133">
        <f>前台二维码提成录入!J91*$E91</f>
        <v>0</v>
      </c>
      <c r="K91" s="133">
        <f>前台二维码提成录入!K91*$E91</f>
        <v>0</v>
      </c>
      <c r="L91" s="133">
        <f>前台二维码提成录入!L91*$E91</f>
        <v>0</v>
      </c>
      <c r="M91" s="133">
        <f>前台二维码提成录入!M91*$E91</f>
        <v>0</v>
      </c>
      <c r="N91" s="133">
        <f>前台二维码提成录入!N91*$E91</f>
        <v>0</v>
      </c>
      <c r="O91" s="133">
        <f>前台二维码提成录入!O91*$E91</f>
        <v>0</v>
      </c>
      <c r="P91" s="133">
        <f>前台二维码提成录入!P91*$E91</f>
        <v>0</v>
      </c>
      <c r="Q91" s="133">
        <f>前台二维码提成录入!Q91*$E91</f>
        <v>0</v>
      </c>
      <c r="R91" s="133">
        <f>前台二维码提成录入!R91*$E91</f>
        <v>0</v>
      </c>
      <c r="S91" s="133">
        <f>前台二维码提成录入!S91*$E91</f>
        <v>0</v>
      </c>
      <c r="T91" s="133">
        <f>前台二维码提成录入!T91*$E91</f>
        <v>0</v>
      </c>
      <c r="U91" s="133">
        <f>前台二维码提成录入!U91*$E91</f>
        <v>0</v>
      </c>
      <c r="V91" s="133">
        <f>前台二维码提成录入!V91*$E91</f>
        <v>0</v>
      </c>
      <c r="W91" s="133">
        <f>前台二维码提成录入!W91*$E91</f>
        <v>0</v>
      </c>
      <c r="X91" s="133">
        <f>前台二维码提成录入!X91*$E91</f>
        <v>0</v>
      </c>
      <c r="Y91" s="133">
        <f>前台二维码提成录入!Y91*$E91</f>
        <v>0</v>
      </c>
      <c r="Z91" s="133">
        <f>前台二维码提成录入!Z91*$E91</f>
        <v>0</v>
      </c>
      <c r="AA91" s="133">
        <f>前台二维码提成录入!AA91*$E91</f>
        <v>0</v>
      </c>
      <c r="AB91" s="133">
        <f>前台二维码提成录入!AB91*$E91</f>
        <v>0</v>
      </c>
      <c r="AC91" s="133">
        <f>前台二维码提成录入!AC91*$E91</f>
        <v>0</v>
      </c>
      <c r="AD91" s="133">
        <f>前台二维码提成录入!AD91*$E91</f>
        <v>0</v>
      </c>
      <c r="AE91" s="133">
        <f>前台二维码提成录入!AE91*$E91</f>
        <v>0</v>
      </c>
      <c r="AF91" s="133">
        <f>前台二维码提成录入!AF91*$E91</f>
        <v>0</v>
      </c>
      <c r="AG91" s="133">
        <f>前台二维码提成录入!AG91*$E91</f>
        <v>0</v>
      </c>
      <c r="AH91" s="133">
        <f>前台二维码提成录入!AH91*$E91</f>
        <v>0</v>
      </c>
      <c r="AI91" s="133">
        <f>前台二维码提成录入!AI91*$E91</f>
        <v>0</v>
      </c>
      <c r="AJ91" s="133">
        <f>前台二维码提成录入!AJ91*$E91</f>
        <v>0</v>
      </c>
      <c r="AK91" s="133">
        <f>前台二维码提成录入!AK91*$E91</f>
        <v>0</v>
      </c>
      <c r="AL91" s="133">
        <f>前台二维码提成录入!AL91*$E91</f>
        <v>0</v>
      </c>
    </row>
    <row r="92" s="140" customFormat="1" customHeight="1" spans="1:38">
      <c r="A92" s="161">
        <v>88</v>
      </c>
      <c r="B92" s="162">
        <f>前台二维码提成录入!B92</f>
        <v>0</v>
      </c>
      <c r="C92" s="162">
        <f>前台二维码提成录入!C92</f>
        <v>0</v>
      </c>
      <c r="D92" s="162" t="str">
        <f>前台二维码提成录入!D92</f>
        <v>次</v>
      </c>
      <c r="E92" s="162">
        <f>前台二维码提成录入!E92</f>
        <v>0</v>
      </c>
      <c r="F92" s="162">
        <f>前台二维码提成录入!F92</f>
        <v>0</v>
      </c>
      <c r="G92" s="162">
        <f>前台二维码提成录入!G92</f>
        <v>0</v>
      </c>
      <c r="H92" s="133">
        <f>前台二维码提成录入!H92*$E92</f>
        <v>0</v>
      </c>
      <c r="I92" s="133">
        <f>前台二维码提成录入!I92*$E92</f>
        <v>0</v>
      </c>
      <c r="J92" s="133">
        <f>前台二维码提成录入!J92*$E92</f>
        <v>0</v>
      </c>
      <c r="K92" s="133">
        <f>前台二维码提成录入!K92*$E92</f>
        <v>0</v>
      </c>
      <c r="L92" s="133">
        <f>前台二维码提成录入!L92*$E92</f>
        <v>0</v>
      </c>
      <c r="M92" s="133">
        <f>前台二维码提成录入!M92*$E92</f>
        <v>0</v>
      </c>
      <c r="N92" s="133">
        <f>前台二维码提成录入!N92*$E92</f>
        <v>0</v>
      </c>
      <c r="O92" s="133">
        <f>前台二维码提成录入!O92*$E92</f>
        <v>0</v>
      </c>
      <c r="P92" s="133">
        <f>前台二维码提成录入!P92*$E92</f>
        <v>0</v>
      </c>
      <c r="Q92" s="133">
        <f>前台二维码提成录入!Q92*$E92</f>
        <v>0</v>
      </c>
      <c r="R92" s="133">
        <f>前台二维码提成录入!R92*$E92</f>
        <v>0</v>
      </c>
      <c r="S92" s="133">
        <f>前台二维码提成录入!S92*$E92</f>
        <v>0</v>
      </c>
      <c r="T92" s="133">
        <f>前台二维码提成录入!T92*$E92</f>
        <v>0</v>
      </c>
      <c r="U92" s="133">
        <f>前台二维码提成录入!U92*$E92</f>
        <v>0</v>
      </c>
      <c r="V92" s="133">
        <f>前台二维码提成录入!V92*$E92</f>
        <v>0</v>
      </c>
      <c r="W92" s="133">
        <f>前台二维码提成录入!W92*$E92</f>
        <v>0</v>
      </c>
      <c r="X92" s="133">
        <f>前台二维码提成录入!X92*$E92</f>
        <v>0</v>
      </c>
      <c r="Y92" s="133">
        <f>前台二维码提成录入!Y92*$E92</f>
        <v>0</v>
      </c>
      <c r="Z92" s="133">
        <f>前台二维码提成录入!Z92*$E92</f>
        <v>0</v>
      </c>
      <c r="AA92" s="133">
        <f>前台二维码提成录入!AA92*$E92</f>
        <v>0</v>
      </c>
      <c r="AB92" s="133">
        <f>前台二维码提成录入!AB92*$E92</f>
        <v>0</v>
      </c>
      <c r="AC92" s="133">
        <f>前台二维码提成录入!AC92*$E92</f>
        <v>0</v>
      </c>
      <c r="AD92" s="133">
        <f>前台二维码提成录入!AD92*$E92</f>
        <v>0</v>
      </c>
      <c r="AE92" s="133">
        <f>前台二维码提成录入!AE92*$E92</f>
        <v>0</v>
      </c>
      <c r="AF92" s="133">
        <f>前台二维码提成录入!AF92*$E92</f>
        <v>0</v>
      </c>
      <c r="AG92" s="133">
        <f>前台二维码提成录入!AG92*$E92</f>
        <v>0</v>
      </c>
      <c r="AH92" s="133">
        <f>前台二维码提成录入!AH92*$E92</f>
        <v>0</v>
      </c>
      <c r="AI92" s="133">
        <f>前台二维码提成录入!AI92*$E92</f>
        <v>0</v>
      </c>
      <c r="AJ92" s="133">
        <f>前台二维码提成录入!AJ92*$E92</f>
        <v>0</v>
      </c>
      <c r="AK92" s="133">
        <f>前台二维码提成录入!AK92*$E92</f>
        <v>0</v>
      </c>
      <c r="AL92" s="133">
        <f>前台二维码提成录入!AL92*$E92</f>
        <v>0</v>
      </c>
    </row>
    <row r="93" s="140" customFormat="1" customHeight="1" spans="1:38">
      <c r="A93" s="161">
        <v>89</v>
      </c>
      <c r="B93" s="162">
        <f>前台二维码提成录入!B93</f>
        <v>0</v>
      </c>
      <c r="C93" s="162">
        <f>前台二维码提成录入!C93</f>
        <v>0</v>
      </c>
      <c r="D93" s="162" t="str">
        <f>前台二维码提成录入!D93</f>
        <v>次</v>
      </c>
      <c r="E93" s="162">
        <f>前台二维码提成录入!E93</f>
        <v>0</v>
      </c>
      <c r="F93" s="162">
        <f>前台二维码提成录入!F93</f>
        <v>0</v>
      </c>
      <c r="G93" s="162">
        <f>前台二维码提成录入!G93</f>
        <v>0</v>
      </c>
      <c r="H93" s="133">
        <f>前台二维码提成录入!H93*$E93</f>
        <v>0</v>
      </c>
      <c r="I93" s="133">
        <f>前台二维码提成录入!I93*$E93</f>
        <v>0</v>
      </c>
      <c r="J93" s="133">
        <f>前台二维码提成录入!J93*$E93</f>
        <v>0</v>
      </c>
      <c r="K93" s="133">
        <f>前台二维码提成录入!K93*$E93</f>
        <v>0</v>
      </c>
      <c r="L93" s="133">
        <f>前台二维码提成录入!L93*$E93</f>
        <v>0</v>
      </c>
      <c r="M93" s="133">
        <f>前台二维码提成录入!M93*$E93</f>
        <v>0</v>
      </c>
      <c r="N93" s="133">
        <f>前台二维码提成录入!N93*$E93</f>
        <v>0</v>
      </c>
      <c r="O93" s="133">
        <f>前台二维码提成录入!O93*$E93</f>
        <v>0</v>
      </c>
      <c r="P93" s="133">
        <f>前台二维码提成录入!P93*$E93</f>
        <v>0</v>
      </c>
      <c r="Q93" s="133">
        <f>前台二维码提成录入!Q93*$E93</f>
        <v>0</v>
      </c>
      <c r="R93" s="133">
        <f>前台二维码提成录入!R93*$E93</f>
        <v>0</v>
      </c>
      <c r="S93" s="133">
        <f>前台二维码提成录入!S93*$E93</f>
        <v>0</v>
      </c>
      <c r="T93" s="133">
        <f>前台二维码提成录入!T93*$E93</f>
        <v>0</v>
      </c>
      <c r="U93" s="133">
        <f>前台二维码提成录入!U93*$E93</f>
        <v>0</v>
      </c>
      <c r="V93" s="133">
        <f>前台二维码提成录入!V93*$E93</f>
        <v>0</v>
      </c>
      <c r="W93" s="133">
        <f>前台二维码提成录入!W93*$E93</f>
        <v>0</v>
      </c>
      <c r="X93" s="133">
        <f>前台二维码提成录入!X93*$E93</f>
        <v>0</v>
      </c>
      <c r="Y93" s="133">
        <f>前台二维码提成录入!Y93*$E93</f>
        <v>0</v>
      </c>
      <c r="Z93" s="133">
        <f>前台二维码提成录入!Z93*$E93</f>
        <v>0</v>
      </c>
      <c r="AA93" s="133">
        <f>前台二维码提成录入!AA93*$E93</f>
        <v>0</v>
      </c>
      <c r="AB93" s="133">
        <f>前台二维码提成录入!AB93*$E93</f>
        <v>0</v>
      </c>
      <c r="AC93" s="133">
        <f>前台二维码提成录入!AC93*$E93</f>
        <v>0</v>
      </c>
      <c r="AD93" s="133">
        <f>前台二维码提成录入!AD93*$E93</f>
        <v>0</v>
      </c>
      <c r="AE93" s="133">
        <f>前台二维码提成录入!AE93*$E93</f>
        <v>0</v>
      </c>
      <c r="AF93" s="133">
        <f>前台二维码提成录入!AF93*$E93</f>
        <v>0</v>
      </c>
      <c r="AG93" s="133">
        <f>前台二维码提成录入!AG93*$E93</f>
        <v>0</v>
      </c>
      <c r="AH93" s="133">
        <f>前台二维码提成录入!AH93*$E93</f>
        <v>0</v>
      </c>
      <c r="AI93" s="133">
        <f>前台二维码提成录入!AI93*$E93</f>
        <v>0</v>
      </c>
      <c r="AJ93" s="133">
        <f>前台二维码提成录入!AJ93*$E93</f>
        <v>0</v>
      </c>
      <c r="AK93" s="133">
        <f>前台二维码提成录入!AK93*$E93</f>
        <v>0</v>
      </c>
      <c r="AL93" s="133">
        <f>前台二维码提成录入!AL93*$E93</f>
        <v>0</v>
      </c>
    </row>
    <row r="94" s="140" customFormat="1" customHeight="1" spans="1:38">
      <c r="A94" s="161">
        <v>90</v>
      </c>
      <c r="B94" s="162">
        <f>前台二维码提成录入!B94</f>
        <v>0</v>
      </c>
      <c r="C94" s="162">
        <f>前台二维码提成录入!C94</f>
        <v>0</v>
      </c>
      <c r="D94" s="162" t="str">
        <f>前台二维码提成录入!D94</f>
        <v>次</v>
      </c>
      <c r="E94" s="162">
        <f>前台二维码提成录入!E94</f>
        <v>0</v>
      </c>
      <c r="F94" s="162">
        <f>前台二维码提成录入!F94</f>
        <v>0</v>
      </c>
      <c r="G94" s="162">
        <f>前台二维码提成录入!G94</f>
        <v>0</v>
      </c>
      <c r="H94" s="133">
        <f>前台二维码提成录入!H94*$E94</f>
        <v>0</v>
      </c>
      <c r="I94" s="133">
        <f>前台二维码提成录入!I94*$E94</f>
        <v>0</v>
      </c>
      <c r="J94" s="133">
        <f>前台二维码提成录入!J94*$E94</f>
        <v>0</v>
      </c>
      <c r="K94" s="133">
        <f>前台二维码提成录入!K94*$E94</f>
        <v>0</v>
      </c>
      <c r="L94" s="133">
        <f>前台二维码提成录入!L94*$E94</f>
        <v>0</v>
      </c>
      <c r="M94" s="133">
        <f>前台二维码提成录入!M94*$E94</f>
        <v>0</v>
      </c>
      <c r="N94" s="133">
        <f>前台二维码提成录入!N94*$E94</f>
        <v>0</v>
      </c>
      <c r="O94" s="133">
        <f>前台二维码提成录入!O94*$E94</f>
        <v>0</v>
      </c>
      <c r="P94" s="133">
        <f>前台二维码提成录入!P94*$E94</f>
        <v>0</v>
      </c>
      <c r="Q94" s="133">
        <f>前台二维码提成录入!Q94*$E94</f>
        <v>0</v>
      </c>
      <c r="R94" s="133">
        <f>前台二维码提成录入!R94*$E94</f>
        <v>0</v>
      </c>
      <c r="S94" s="133">
        <f>前台二维码提成录入!S94*$E94</f>
        <v>0</v>
      </c>
      <c r="T94" s="133">
        <f>前台二维码提成录入!T94*$E94</f>
        <v>0</v>
      </c>
      <c r="U94" s="133">
        <f>前台二维码提成录入!U94*$E94</f>
        <v>0</v>
      </c>
      <c r="V94" s="133">
        <f>前台二维码提成录入!V94*$E94</f>
        <v>0</v>
      </c>
      <c r="W94" s="133">
        <f>前台二维码提成录入!W94*$E94</f>
        <v>0</v>
      </c>
      <c r="X94" s="133">
        <f>前台二维码提成录入!X94*$E94</f>
        <v>0</v>
      </c>
      <c r="Y94" s="133">
        <f>前台二维码提成录入!Y94*$E94</f>
        <v>0</v>
      </c>
      <c r="Z94" s="133">
        <f>前台二维码提成录入!Z94*$E94</f>
        <v>0</v>
      </c>
      <c r="AA94" s="133">
        <f>前台二维码提成录入!AA94*$E94</f>
        <v>0</v>
      </c>
      <c r="AB94" s="133">
        <f>前台二维码提成录入!AB94*$E94</f>
        <v>0</v>
      </c>
      <c r="AC94" s="133">
        <f>前台二维码提成录入!AC94*$E94</f>
        <v>0</v>
      </c>
      <c r="AD94" s="133">
        <f>前台二维码提成录入!AD94*$E94</f>
        <v>0</v>
      </c>
      <c r="AE94" s="133">
        <f>前台二维码提成录入!AE94*$E94</f>
        <v>0</v>
      </c>
      <c r="AF94" s="133">
        <f>前台二维码提成录入!AF94*$E94</f>
        <v>0</v>
      </c>
      <c r="AG94" s="133">
        <f>前台二维码提成录入!AG94*$E94</f>
        <v>0</v>
      </c>
      <c r="AH94" s="133">
        <f>前台二维码提成录入!AH94*$E94</f>
        <v>0</v>
      </c>
      <c r="AI94" s="133">
        <f>前台二维码提成录入!AI94*$E94</f>
        <v>0</v>
      </c>
      <c r="AJ94" s="133">
        <f>前台二维码提成录入!AJ94*$E94</f>
        <v>0</v>
      </c>
      <c r="AK94" s="133">
        <f>前台二维码提成录入!AK94*$E94</f>
        <v>0</v>
      </c>
      <c r="AL94" s="133">
        <f>前台二维码提成录入!AL94*$E94</f>
        <v>0</v>
      </c>
    </row>
    <row r="95" s="140" customFormat="1" customHeight="1" spans="1:38">
      <c r="A95" s="161">
        <v>91</v>
      </c>
      <c r="B95" s="162">
        <f>前台二维码提成录入!B95</f>
        <v>0</v>
      </c>
      <c r="C95" s="162">
        <f>前台二维码提成录入!C95</f>
        <v>0</v>
      </c>
      <c r="D95" s="162" t="str">
        <f>前台二维码提成录入!D95</f>
        <v>次</v>
      </c>
      <c r="E95" s="162">
        <f>前台二维码提成录入!E95</f>
        <v>0</v>
      </c>
      <c r="F95" s="162">
        <f>前台二维码提成录入!F95</f>
        <v>0</v>
      </c>
      <c r="G95" s="162">
        <f>前台二维码提成录入!G95</f>
        <v>0</v>
      </c>
      <c r="H95" s="133">
        <f>前台二维码提成录入!H95*$E95</f>
        <v>0</v>
      </c>
      <c r="I95" s="133">
        <f>前台二维码提成录入!I95*$E95</f>
        <v>0</v>
      </c>
      <c r="J95" s="133">
        <f>前台二维码提成录入!J95*$E95</f>
        <v>0</v>
      </c>
      <c r="K95" s="133">
        <f>前台二维码提成录入!K95*$E95</f>
        <v>0</v>
      </c>
      <c r="L95" s="133">
        <f>前台二维码提成录入!L95*$E95</f>
        <v>0</v>
      </c>
      <c r="M95" s="133">
        <f>前台二维码提成录入!M95*$E95</f>
        <v>0</v>
      </c>
      <c r="N95" s="133">
        <f>前台二维码提成录入!N95*$E95</f>
        <v>0</v>
      </c>
      <c r="O95" s="133">
        <f>前台二维码提成录入!O95*$E95</f>
        <v>0</v>
      </c>
      <c r="P95" s="133">
        <f>前台二维码提成录入!P95*$E95</f>
        <v>0</v>
      </c>
      <c r="Q95" s="133">
        <f>前台二维码提成录入!Q95*$E95</f>
        <v>0</v>
      </c>
      <c r="R95" s="133">
        <f>前台二维码提成录入!R95*$E95</f>
        <v>0</v>
      </c>
      <c r="S95" s="133">
        <f>前台二维码提成录入!S95*$E95</f>
        <v>0</v>
      </c>
      <c r="T95" s="133">
        <f>前台二维码提成录入!T95*$E95</f>
        <v>0</v>
      </c>
      <c r="U95" s="133">
        <f>前台二维码提成录入!U95*$E95</f>
        <v>0</v>
      </c>
      <c r="V95" s="133">
        <f>前台二维码提成录入!V95*$E95</f>
        <v>0</v>
      </c>
      <c r="W95" s="133">
        <f>前台二维码提成录入!W95*$E95</f>
        <v>0</v>
      </c>
      <c r="X95" s="133">
        <f>前台二维码提成录入!X95*$E95</f>
        <v>0</v>
      </c>
      <c r="Y95" s="133">
        <f>前台二维码提成录入!Y95*$E95</f>
        <v>0</v>
      </c>
      <c r="Z95" s="133">
        <f>前台二维码提成录入!Z95*$E95</f>
        <v>0</v>
      </c>
      <c r="AA95" s="133">
        <f>前台二维码提成录入!AA95*$E95</f>
        <v>0</v>
      </c>
      <c r="AB95" s="133">
        <f>前台二维码提成录入!AB95*$E95</f>
        <v>0</v>
      </c>
      <c r="AC95" s="133">
        <f>前台二维码提成录入!AC95*$E95</f>
        <v>0</v>
      </c>
      <c r="AD95" s="133">
        <f>前台二维码提成录入!AD95*$E95</f>
        <v>0</v>
      </c>
      <c r="AE95" s="133">
        <f>前台二维码提成录入!AE95*$E95</f>
        <v>0</v>
      </c>
      <c r="AF95" s="133">
        <f>前台二维码提成录入!AF95*$E95</f>
        <v>0</v>
      </c>
      <c r="AG95" s="133">
        <f>前台二维码提成录入!AG95*$E95</f>
        <v>0</v>
      </c>
      <c r="AH95" s="133">
        <f>前台二维码提成录入!AH95*$E95</f>
        <v>0</v>
      </c>
      <c r="AI95" s="133">
        <f>前台二维码提成录入!AI95*$E95</f>
        <v>0</v>
      </c>
      <c r="AJ95" s="133">
        <f>前台二维码提成录入!AJ95*$E95</f>
        <v>0</v>
      </c>
      <c r="AK95" s="133">
        <f>前台二维码提成录入!AK95*$E95</f>
        <v>0</v>
      </c>
      <c r="AL95" s="133">
        <f>前台二维码提成录入!AL95*$E95</f>
        <v>0</v>
      </c>
    </row>
    <row r="96" s="140" customFormat="1" customHeight="1" spans="1:38">
      <c r="A96" s="161">
        <v>92</v>
      </c>
      <c r="B96" s="162">
        <f>前台二维码提成录入!B96</f>
        <v>0</v>
      </c>
      <c r="C96" s="162">
        <f>前台二维码提成录入!C96</f>
        <v>0</v>
      </c>
      <c r="D96" s="162" t="str">
        <f>前台二维码提成录入!D96</f>
        <v>次</v>
      </c>
      <c r="E96" s="162">
        <f>前台二维码提成录入!E96</f>
        <v>0</v>
      </c>
      <c r="F96" s="162">
        <f>前台二维码提成录入!F96</f>
        <v>0</v>
      </c>
      <c r="G96" s="162">
        <f>前台二维码提成录入!G96</f>
        <v>0</v>
      </c>
      <c r="H96" s="133">
        <f>前台二维码提成录入!H96*$E96</f>
        <v>0</v>
      </c>
      <c r="I96" s="133">
        <f>前台二维码提成录入!I96*$E96</f>
        <v>0</v>
      </c>
      <c r="J96" s="133">
        <f>前台二维码提成录入!J96*$E96</f>
        <v>0</v>
      </c>
      <c r="K96" s="133">
        <f>前台二维码提成录入!K96*$E96</f>
        <v>0</v>
      </c>
      <c r="L96" s="133">
        <f>前台二维码提成录入!L96*$E96</f>
        <v>0</v>
      </c>
      <c r="M96" s="133">
        <f>前台二维码提成录入!M96*$E96</f>
        <v>0</v>
      </c>
      <c r="N96" s="133">
        <f>前台二维码提成录入!N96*$E96</f>
        <v>0</v>
      </c>
      <c r="O96" s="133">
        <f>前台二维码提成录入!O96*$E96</f>
        <v>0</v>
      </c>
      <c r="P96" s="133">
        <f>前台二维码提成录入!P96*$E96</f>
        <v>0</v>
      </c>
      <c r="Q96" s="133">
        <f>前台二维码提成录入!Q96*$E96</f>
        <v>0</v>
      </c>
      <c r="R96" s="133">
        <f>前台二维码提成录入!R96*$E96</f>
        <v>0</v>
      </c>
      <c r="S96" s="133">
        <f>前台二维码提成录入!S96*$E96</f>
        <v>0</v>
      </c>
      <c r="T96" s="133">
        <f>前台二维码提成录入!T96*$E96</f>
        <v>0</v>
      </c>
      <c r="U96" s="133">
        <f>前台二维码提成录入!U96*$E96</f>
        <v>0</v>
      </c>
      <c r="V96" s="133">
        <f>前台二维码提成录入!V96*$E96</f>
        <v>0</v>
      </c>
      <c r="W96" s="133">
        <f>前台二维码提成录入!W96*$E96</f>
        <v>0</v>
      </c>
      <c r="X96" s="133">
        <f>前台二维码提成录入!X96*$E96</f>
        <v>0</v>
      </c>
      <c r="Y96" s="133">
        <f>前台二维码提成录入!Y96*$E96</f>
        <v>0</v>
      </c>
      <c r="Z96" s="133">
        <f>前台二维码提成录入!Z96*$E96</f>
        <v>0</v>
      </c>
      <c r="AA96" s="133">
        <f>前台二维码提成录入!AA96*$E96</f>
        <v>0</v>
      </c>
      <c r="AB96" s="133">
        <f>前台二维码提成录入!AB96*$E96</f>
        <v>0</v>
      </c>
      <c r="AC96" s="133">
        <f>前台二维码提成录入!AC96*$E96</f>
        <v>0</v>
      </c>
      <c r="AD96" s="133">
        <f>前台二维码提成录入!AD96*$E96</f>
        <v>0</v>
      </c>
      <c r="AE96" s="133">
        <f>前台二维码提成录入!AE96*$E96</f>
        <v>0</v>
      </c>
      <c r="AF96" s="133">
        <f>前台二维码提成录入!AF96*$E96</f>
        <v>0</v>
      </c>
      <c r="AG96" s="133">
        <f>前台二维码提成录入!AG96*$E96</f>
        <v>0</v>
      </c>
      <c r="AH96" s="133">
        <f>前台二维码提成录入!AH96*$E96</f>
        <v>0</v>
      </c>
      <c r="AI96" s="133">
        <f>前台二维码提成录入!AI96*$E96</f>
        <v>0</v>
      </c>
      <c r="AJ96" s="133">
        <f>前台二维码提成录入!AJ96*$E96</f>
        <v>0</v>
      </c>
      <c r="AK96" s="133">
        <f>前台二维码提成录入!AK96*$E96</f>
        <v>0</v>
      </c>
      <c r="AL96" s="133">
        <f>前台二维码提成录入!AL96*$E96</f>
        <v>0</v>
      </c>
    </row>
    <row r="97" s="140" customFormat="1" customHeight="1" spans="1:38">
      <c r="A97" s="161">
        <v>93</v>
      </c>
      <c r="B97" s="162">
        <f>前台二维码提成录入!B97</f>
        <v>0</v>
      </c>
      <c r="C97" s="162">
        <f>前台二维码提成录入!C97</f>
        <v>0</v>
      </c>
      <c r="D97" s="162" t="str">
        <f>前台二维码提成录入!D97</f>
        <v>次</v>
      </c>
      <c r="E97" s="162">
        <f>前台二维码提成录入!E97</f>
        <v>0</v>
      </c>
      <c r="F97" s="162">
        <f>前台二维码提成录入!F97</f>
        <v>0</v>
      </c>
      <c r="G97" s="162">
        <f>前台二维码提成录入!G97</f>
        <v>0</v>
      </c>
      <c r="H97" s="133">
        <f>前台二维码提成录入!H97*$E97</f>
        <v>0</v>
      </c>
      <c r="I97" s="133">
        <f>前台二维码提成录入!I97*$E97</f>
        <v>0</v>
      </c>
      <c r="J97" s="133">
        <f>前台二维码提成录入!J97*$E97</f>
        <v>0</v>
      </c>
      <c r="K97" s="133">
        <f>前台二维码提成录入!K97*$E97</f>
        <v>0</v>
      </c>
      <c r="L97" s="133">
        <f>前台二维码提成录入!L97*$E97</f>
        <v>0</v>
      </c>
      <c r="M97" s="133">
        <f>前台二维码提成录入!M97*$E97</f>
        <v>0</v>
      </c>
      <c r="N97" s="133">
        <f>前台二维码提成录入!N97*$E97</f>
        <v>0</v>
      </c>
      <c r="O97" s="133">
        <f>前台二维码提成录入!O97*$E97</f>
        <v>0</v>
      </c>
      <c r="P97" s="133">
        <f>前台二维码提成录入!P97*$E97</f>
        <v>0</v>
      </c>
      <c r="Q97" s="133">
        <f>前台二维码提成录入!Q97*$E97</f>
        <v>0</v>
      </c>
      <c r="R97" s="133">
        <f>前台二维码提成录入!R97*$E97</f>
        <v>0</v>
      </c>
      <c r="S97" s="133">
        <f>前台二维码提成录入!S97*$E97</f>
        <v>0</v>
      </c>
      <c r="T97" s="133">
        <f>前台二维码提成录入!T97*$E97</f>
        <v>0</v>
      </c>
      <c r="U97" s="133">
        <f>前台二维码提成录入!U97*$E97</f>
        <v>0</v>
      </c>
      <c r="V97" s="133">
        <f>前台二维码提成录入!V97*$E97</f>
        <v>0</v>
      </c>
      <c r="W97" s="133">
        <f>前台二维码提成录入!W97*$E97</f>
        <v>0</v>
      </c>
      <c r="X97" s="133">
        <f>前台二维码提成录入!X97*$E97</f>
        <v>0</v>
      </c>
      <c r="Y97" s="133">
        <f>前台二维码提成录入!Y97*$E97</f>
        <v>0</v>
      </c>
      <c r="Z97" s="133">
        <f>前台二维码提成录入!Z97*$E97</f>
        <v>0</v>
      </c>
      <c r="AA97" s="133">
        <f>前台二维码提成录入!AA97*$E97</f>
        <v>0</v>
      </c>
      <c r="AB97" s="133">
        <f>前台二维码提成录入!AB97*$E97</f>
        <v>0</v>
      </c>
      <c r="AC97" s="133">
        <f>前台二维码提成录入!AC97*$E97</f>
        <v>0</v>
      </c>
      <c r="AD97" s="133">
        <f>前台二维码提成录入!AD97*$E97</f>
        <v>0</v>
      </c>
      <c r="AE97" s="133">
        <f>前台二维码提成录入!AE97*$E97</f>
        <v>0</v>
      </c>
      <c r="AF97" s="133">
        <f>前台二维码提成录入!AF97*$E97</f>
        <v>0</v>
      </c>
      <c r="AG97" s="133">
        <f>前台二维码提成录入!AG97*$E97</f>
        <v>0</v>
      </c>
      <c r="AH97" s="133">
        <f>前台二维码提成录入!AH97*$E97</f>
        <v>0</v>
      </c>
      <c r="AI97" s="133">
        <f>前台二维码提成录入!AI97*$E97</f>
        <v>0</v>
      </c>
      <c r="AJ97" s="133">
        <f>前台二维码提成录入!AJ97*$E97</f>
        <v>0</v>
      </c>
      <c r="AK97" s="133">
        <f>前台二维码提成录入!AK97*$E97</f>
        <v>0</v>
      </c>
      <c r="AL97" s="133">
        <f>前台二维码提成录入!AL97*$E97</f>
        <v>0</v>
      </c>
    </row>
    <row r="98" s="140" customFormat="1" customHeight="1" spans="1:38">
      <c r="A98" s="161">
        <v>94</v>
      </c>
      <c r="B98" s="162">
        <f>前台二维码提成录入!B98</f>
        <v>0</v>
      </c>
      <c r="C98" s="162">
        <f>前台二维码提成录入!C98</f>
        <v>0</v>
      </c>
      <c r="D98" s="162" t="str">
        <f>前台二维码提成录入!D98</f>
        <v>次</v>
      </c>
      <c r="E98" s="162">
        <f>前台二维码提成录入!E98</f>
        <v>0</v>
      </c>
      <c r="F98" s="162">
        <f>前台二维码提成录入!F98</f>
        <v>0</v>
      </c>
      <c r="G98" s="162">
        <f>前台二维码提成录入!G98</f>
        <v>0</v>
      </c>
      <c r="H98" s="133">
        <f>前台二维码提成录入!H98*$E98</f>
        <v>0</v>
      </c>
      <c r="I98" s="133">
        <f>前台二维码提成录入!I98*$E98</f>
        <v>0</v>
      </c>
      <c r="J98" s="133">
        <f>前台二维码提成录入!J98*$E98</f>
        <v>0</v>
      </c>
      <c r="K98" s="133">
        <f>前台二维码提成录入!K98*$E98</f>
        <v>0</v>
      </c>
      <c r="L98" s="133">
        <f>前台二维码提成录入!L98*$E98</f>
        <v>0</v>
      </c>
      <c r="M98" s="133">
        <f>前台二维码提成录入!M98*$E98</f>
        <v>0</v>
      </c>
      <c r="N98" s="133">
        <f>前台二维码提成录入!N98*$E98</f>
        <v>0</v>
      </c>
      <c r="O98" s="133">
        <f>前台二维码提成录入!O98*$E98</f>
        <v>0</v>
      </c>
      <c r="P98" s="133">
        <f>前台二维码提成录入!P98*$E98</f>
        <v>0</v>
      </c>
      <c r="Q98" s="133">
        <f>前台二维码提成录入!Q98*$E98</f>
        <v>0</v>
      </c>
      <c r="R98" s="133">
        <f>前台二维码提成录入!R98*$E98</f>
        <v>0</v>
      </c>
      <c r="S98" s="133">
        <f>前台二维码提成录入!S98*$E98</f>
        <v>0</v>
      </c>
      <c r="T98" s="133">
        <f>前台二维码提成录入!T98*$E98</f>
        <v>0</v>
      </c>
      <c r="U98" s="133">
        <f>前台二维码提成录入!U98*$E98</f>
        <v>0</v>
      </c>
      <c r="V98" s="133">
        <f>前台二维码提成录入!V98*$E98</f>
        <v>0</v>
      </c>
      <c r="W98" s="133">
        <f>前台二维码提成录入!W98*$E98</f>
        <v>0</v>
      </c>
      <c r="X98" s="133">
        <f>前台二维码提成录入!X98*$E98</f>
        <v>0</v>
      </c>
      <c r="Y98" s="133">
        <f>前台二维码提成录入!Y98*$E98</f>
        <v>0</v>
      </c>
      <c r="Z98" s="133">
        <f>前台二维码提成录入!Z98*$E98</f>
        <v>0</v>
      </c>
      <c r="AA98" s="133">
        <f>前台二维码提成录入!AA98*$E98</f>
        <v>0</v>
      </c>
      <c r="AB98" s="133">
        <f>前台二维码提成录入!AB98*$E98</f>
        <v>0</v>
      </c>
      <c r="AC98" s="133">
        <f>前台二维码提成录入!AC98*$E98</f>
        <v>0</v>
      </c>
      <c r="AD98" s="133">
        <f>前台二维码提成录入!AD98*$E98</f>
        <v>0</v>
      </c>
      <c r="AE98" s="133">
        <f>前台二维码提成录入!AE98*$E98</f>
        <v>0</v>
      </c>
      <c r="AF98" s="133">
        <f>前台二维码提成录入!AF98*$E98</f>
        <v>0</v>
      </c>
      <c r="AG98" s="133">
        <f>前台二维码提成录入!AG98*$E98</f>
        <v>0</v>
      </c>
      <c r="AH98" s="133">
        <f>前台二维码提成录入!AH98*$E98</f>
        <v>0</v>
      </c>
      <c r="AI98" s="133">
        <f>前台二维码提成录入!AI98*$E98</f>
        <v>0</v>
      </c>
      <c r="AJ98" s="133">
        <f>前台二维码提成录入!AJ98*$E98</f>
        <v>0</v>
      </c>
      <c r="AK98" s="133">
        <f>前台二维码提成录入!AK98*$E98</f>
        <v>0</v>
      </c>
      <c r="AL98" s="133">
        <f>前台二维码提成录入!AL98*$E98</f>
        <v>0</v>
      </c>
    </row>
    <row r="99" s="140" customFormat="1" customHeight="1" spans="1:38">
      <c r="A99" s="161">
        <v>95</v>
      </c>
      <c r="B99" s="162">
        <f>前台二维码提成录入!B99</f>
        <v>0</v>
      </c>
      <c r="C99" s="162">
        <f>前台二维码提成录入!C99</f>
        <v>0</v>
      </c>
      <c r="D99" s="162" t="str">
        <f>前台二维码提成录入!D99</f>
        <v>次</v>
      </c>
      <c r="E99" s="162">
        <f>前台二维码提成录入!E99</f>
        <v>0</v>
      </c>
      <c r="F99" s="162">
        <f>前台二维码提成录入!F99</f>
        <v>0</v>
      </c>
      <c r="G99" s="162">
        <f>前台二维码提成录入!G99</f>
        <v>0</v>
      </c>
      <c r="H99" s="133">
        <f>前台二维码提成录入!H99*$E99</f>
        <v>0</v>
      </c>
      <c r="I99" s="133">
        <f>前台二维码提成录入!I99*$E99</f>
        <v>0</v>
      </c>
      <c r="J99" s="133">
        <f>前台二维码提成录入!J99*$E99</f>
        <v>0</v>
      </c>
      <c r="K99" s="133">
        <f>前台二维码提成录入!K99*$E99</f>
        <v>0</v>
      </c>
      <c r="L99" s="133">
        <f>前台二维码提成录入!L99*$E99</f>
        <v>0</v>
      </c>
      <c r="M99" s="133">
        <f>前台二维码提成录入!M99*$E99</f>
        <v>0</v>
      </c>
      <c r="N99" s="133">
        <f>前台二维码提成录入!N99*$E99</f>
        <v>0</v>
      </c>
      <c r="O99" s="133">
        <f>前台二维码提成录入!O99*$E99</f>
        <v>0</v>
      </c>
      <c r="P99" s="133">
        <f>前台二维码提成录入!P99*$E99</f>
        <v>0</v>
      </c>
      <c r="Q99" s="133">
        <f>前台二维码提成录入!Q99*$E99</f>
        <v>0</v>
      </c>
      <c r="R99" s="133">
        <f>前台二维码提成录入!R99*$E99</f>
        <v>0</v>
      </c>
      <c r="S99" s="133">
        <f>前台二维码提成录入!S99*$E99</f>
        <v>0</v>
      </c>
      <c r="T99" s="133">
        <f>前台二维码提成录入!T99*$E99</f>
        <v>0</v>
      </c>
      <c r="U99" s="133">
        <f>前台二维码提成录入!U99*$E99</f>
        <v>0</v>
      </c>
      <c r="V99" s="133">
        <f>前台二维码提成录入!V99*$E99</f>
        <v>0</v>
      </c>
      <c r="W99" s="133">
        <f>前台二维码提成录入!W99*$E99</f>
        <v>0</v>
      </c>
      <c r="X99" s="133">
        <f>前台二维码提成录入!X99*$E99</f>
        <v>0</v>
      </c>
      <c r="Y99" s="133">
        <f>前台二维码提成录入!Y99*$E99</f>
        <v>0</v>
      </c>
      <c r="Z99" s="133">
        <f>前台二维码提成录入!Z99*$E99</f>
        <v>0</v>
      </c>
      <c r="AA99" s="133">
        <f>前台二维码提成录入!AA99*$E99</f>
        <v>0</v>
      </c>
      <c r="AB99" s="133">
        <f>前台二维码提成录入!AB99*$E99</f>
        <v>0</v>
      </c>
      <c r="AC99" s="133">
        <f>前台二维码提成录入!AC99*$E99</f>
        <v>0</v>
      </c>
      <c r="AD99" s="133">
        <f>前台二维码提成录入!AD99*$E99</f>
        <v>0</v>
      </c>
      <c r="AE99" s="133">
        <f>前台二维码提成录入!AE99*$E99</f>
        <v>0</v>
      </c>
      <c r="AF99" s="133">
        <f>前台二维码提成录入!AF99*$E99</f>
        <v>0</v>
      </c>
      <c r="AG99" s="133">
        <f>前台二维码提成录入!AG99*$E99</f>
        <v>0</v>
      </c>
      <c r="AH99" s="133">
        <f>前台二维码提成录入!AH99*$E99</f>
        <v>0</v>
      </c>
      <c r="AI99" s="133">
        <f>前台二维码提成录入!AI99*$E99</f>
        <v>0</v>
      </c>
      <c r="AJ99" s="133">
        <f>前台二维码提成录入!AJ99*$E99</f>
        <v>0</v>
      </c>
      <c r="AK99" s="133">
        <f>前台二维码提成录入!AK99*$E99</f>
        <v>0</v>
      </c>
      <c r="AL99" s="133">
        <f>前台二维码提成录入!AL99*$E99</f>
        <v>0</v>
      </c>
    </row>
    <row r="100" s="140" customFormat="1" customHeight="1" spans="1:38">
      <c r="A100" s="161">
        <v>96</v>
      </c>
      <c r="B100" s="162">
        <f>前台二维码提成录入!B100</f>
        <v>0</v>
      </c>
      <c r="C100" s="162">
        <f>前台二维码提成录入!C100</f>
        <v>0</v>
      </c>
      <c r="D100" s="162" t="str">
        <f>前台二维码提成录入!D100</f>
        <v>次</v>
      </c>
      <c r="E100" s="162">
        <f>前台二维码提成录入!E100</f>
        <v>0</v>
      </c>
      <c r="F100" s="162">
        <f>前台二维码提成录入!F100</f>
        <v>0</v>
      </c>
      <c r="G100" s="162">
        <f>前台二维码提成录入!G100</f>
        <v>0</v>
      </c>
      <c r="H100" s="133">
        <f>前台二维码提成录入!H100*$E100</f>
        <v>0</v>
      </c>
      <c r="I100" s="133">
        <f>前台二维码提成录入!I100*$E100</f>
        <v>0</v>
      </c>
      <c r="J100" s="133">
        <f>前台二维码提成录入!J100*$E100</f>
        <v>0</v>
      </c>
      <c r="K100" s="133">
        <f>前台二维码提成录入!K100*$E100</f>
        <v>0</v>
      </c>
      <c r="L100" s="133">
        <f>前台二维码提成录入!L100*$E100</f>
        <v>0</v>
      </c>
      <c r="M100" s="133">
        <f>前台二维码提成录入!M100*$E100</f>
        <v>0</v>
      </c>
      <c r="N100" s="133">
        <f>前台二维码提成录入!N100*$E100</f>
        <v>0</v>
      </c>
      <c r="O100" s="133">
        <f>前台二维码提成录入!O100*$E100</f>
        <v>0</v>
      </c>
      <c r="P100" s="133">
        <f>前台二维码提成录入!P100*$E100</f>
        <v>0</v>
      </c>
      <c r="Q100" s="133">
        <f>前台二维码提成录入!Q100*$E100</f>
        <v>0</v>
      </c>
      <c r="R100" s="133">
        <f>前台二维码提成录入!R100*$E100</f>
        <v>0</v>
      </c>
      <c r="S100" s="133">
        <f>前台二维码提成录入!S100*$E100</f>
        <v>0</v>
      </c>
      <c r="T100" s="133">
        <f>前台二维码提成录入!T100*$E100</f>
        <v>0</v>
      </c>
      <c r="U100" s="133">
        <f>前台二维码提成录入!U100*$E100</f>
        <v>0</v>
      </c>
      <c r="V100" s="133">
        <f>前台二维码提成录入!V100*$E100</f>
        <v>0</v>
      </c>
      <c r="W100" s="133">
        <f>前台二维码提成录入!W100*$E100</f>
        <v>0</v>
      </c>
      <c r="X100" s="133">
        <f>前台二维码提成录入!X100*$E100</f>
        <v>0</v>
      </c>
      <c r="Y100" s="133">
        <f>前台二维码提成录入!Y100*$E100</f>
        <v>0</v>
      </c>
      <c r="Z100" s="133">
        <f>前台二维码提成录入!Z100*$E100</f>
        <v>0</v>
      </c>
      <c r="AA100" s="133">
        <f>前台二维码提成录入!AA100*$E100</f>
        <v>0</v>
      </c>
      <c r="AB100" s="133">
        <f>前台二维码提成录入!AB100*$E100</f>
        <v>0</v>
      </c>
      <c r="AC100" s="133">
        <f>前台二维码提成录入!AC100*$E100</f>
        <v>0</v>
      </c>
      <c r="AD100" s="133">
        <f>前台二维码提成录入!AD100*$E100</f>
        <v>0</v>
      </c>
      <c r="AE100" s="133">
        <f>前台二维码提成录入!AE100*$E100</f>
        <v>0</v>
      </c>
      <c r="AF100" s="133">
        <f>前台二维码提成录入!AF100*$E100</f>
        <v>0</v>
      </c>
      <c r="AG100" s="133">
        <f>前台二维码提成录入!AG100*$E100</f>
        <v>0</v>
      </c>
      <c r="AH100" s="133">
        <f>前台二维码提成录入!AH100*$E100</f>
        <v>0</v>
      </c>
      <c r="AI100" s="133">
        <f>前台二维码提成录入!AI100*$E100</f>
        <v>0</v>
      </c>
      <c r="AJ100" s="133">
        <f>前台二维码提成录入!AJ100*$E100</f>
        <v>0</v>
      </c>
      <c r="AK100" s="133">
        <f>前台二维码提成录入!AK100*$E100</f>
        <v>0</v>
      </c>
      <c r="AL100" s="133">
        <f>前台二维码提成录入!AL100*$E100</f>
        <v>0</v>
      </c>
    </row>
    <row r="101" s="140" customFormat="1" customHeight="1" spans="1:38">
      <c r="A101" s="161">
        <v>97</v>
      </c>
      <c r="B101" s="162">
        <f>前台二维码提成录入!B101</f>
        <v>0</v>
      </c>
      <c r="C101" s="162">
        <f>前台二维码提成录入!C101</f>
        <v>0</v>
      </c>
      <c r="D101" s="162" t="str">
        <f>前台二维码提成录入!D101</f>
        <v>次</v>
      </c>
      <c r="E101" s="162">
        <f>前台二维码提成录入!E101</f>
        <v>0</v>
      </c>
      <c r="F101" s="162">
        <f>前台二维码提成录入!F101</f>
        <v>0</v>
      </c>
      <c r="G101" s="162">
        <f>前台二维码提成录入!G101</f>
        <v>0</v>
      </c>
      <c r="H101" s="133">
        <f>前台二维码提成录入!H101*$E101</f>
        <v>0</v>
      </c>
      <c r="I101" s="133">
        <f>前台二维码提成录入!I101*$E101</f>
        <v>0</v>
      </c>
      <c r="J101" s="133">
        <f>前台二维码提成录入!J101*$E101</f>
        <v>0</v>
      </c>
      <c r="K101" s="133">
        <f>前台二维码提成录入!K101*$E101</f>
        <v>0</v>
      </c>
      <c r="L101" s="133">
        <f>前台二维码提成录入!L101*$E101</f>
        <v>0</v>
      </c>
      <c r="M101" s="133">
        <f>前台二维码提成录入!M101*$E101</f>
        <v>0</v>
      </c>
      <c r="N101" s="133">
        <f>前台二维码提成录入!N101*$E101</f>
        <v>0</v>
      </c>
      <c r="O101" s="133">
        <f>前台二维码提成录入!O101*$E101</f>
        <v>0</v>
      </c>
      <c r="P101" s="133">
        <f>前台二维码提成录入!P101*$E101</f>
        <v>0</v>
      </c>
      <c r="Q101" s="133">
        <f>前台二维码提成录入!Q101*$E101</f>
        <v>0</v>
      </c>
      <c r="R101" s="133">
        <f>前台二维码提成录入!R101*$E101</f>
        <v>0</v>
      </c>
      <c r="S101" s="133">
        <f>前台二维码提成录入!S101*$E101</f>
        <v>0</v>
      </c>
      <c r="T101" s="133">
        <f>前台二维码提成录入!T101*$E101</f>
        <v>0</v>
      </c>
      <c r="U101" s="133">
        <f>前台二维码提成录入!U101*$E101</f>
        <v>0</v>
      </c>
      <c r="V101" s="133">
        <f>前台二维码提成录入!V101*$E101</f>
        <v>0</v>
      </c>
      <c r="W101" s="133">
        <f>前台二维码提成录入!W101*$E101</f>
        <v>0</v>
      </c>
      <c r="X101" s="133">
        <f>前台二维码提成录入!X101*$E101</f>
        <v>0</v>
      </c>
      <c r="Y101" s="133">
        <f>前台二维码提成录入!Y101*$E101</f>
        <v>0</v>
      </c>
      <c r="Z101" s="133">
        <f>前台二维码提成录入!Z101*$E101</f>
        <v>0</v>
      </c>
      <c r="AA101" s="133">
        <f>前台二维码提成录入!AA101*$E101</f>
        <v>0</v>
      </c>
      <c r="AB101" s="133">
        <f>前台二维码提成录入!AB101*$E101</f>
        <v>0</v>
      </c>
      <c r="AC101" s="133">
        <f>前台二维码提成录入!AC101*$E101</f>
        <v>0</v>
      </c>
      <c r="AD101" s="133">
        <f>前台二维码提成录入!AD101*$E101</f>
        <v>0</v>
      </c>
      <c r="AE101" s="133">
        <f>前台二维码提成录入!AE101*$E101</f>
        <v>0</v>
      </c>
      <c r="AF101" s="133">
        <f>前台二维码提成录入!AF101*$E101</f>
        <v>0</v>
      </c>
      <c r="AG101" s="133">
        <f>前台二维码提成录入!AG101*$E101</f>
        <v>0</v>
      </c>
      <c r="AH101" s="133">
        <f>前台二维码提成录入!AH101*$E101</f>
        <v>0</v>
      </c>
      <c r="AI101" s="133">
        <f>前台二维码提成录入!AI101*$E101</f>
        <v>0</v>
      </c>
      <c r="AJ101" s="133">
        <f>前台二维码提成录入!AJ101*$E101</f>
        <v>0</v>
      </c>
      <c r="AK101" s="133">
        <f>前台二维码提成录入!AK101*$E101</f>
        <v>0</v>
      </c>
      <c r="AL101" s="133">
        <f>前台二维码提成录入!AL101*$E101</f>
        <v>0</v>
      </c>
    </row>
    <row r="102" s="140" customFormat="1" customHeight="1" spans="1:38">
      <c r="A102" s="161">
        <v>98</v>
      </c>
      <c r="B102" s="162">
        <f>前台二维码提成录入!B102</f>
        <v>0</v>
      </c>
      <c r="C102" s="162">
        <f>前台二维码提成录入!C102</f>
        <v>0</v>
      </c>
      <c r="D102" s="162" t="str">
        <f>前台二维码提成录入!D102</f>
        <v>次</v>
      </c>
      <c r="E102" s="162">
        <f>前台二维码提成录入!E102</f>
        <v>0</v>
      </c>
      <c r="F102" s="162">
        <f>前台二维码提成录入!F102</f>
        <v>0</v>
      </c>
      <c r="G102" s="162">
        <f>前台二维码提成录入!G102</f>
        <v>0</v>
      </c>
      <c r="H102" s="133">
        <f>前台二维码提成录入!H102*$E102</f>
        <v>0</v>
      </c>
      <c r="I102" s="133">
        <f>前台二维码提成录入!I102*$E102</f>
        <v>0</v>
      </c>
      <c r="J102" s="133">
        <f>前台二维码提成录入!J102*$E102</f>
        <v>0</v>
      </c>
      <c r="K102" s="133">
        <f>前台二维码提成录入!K102*$E102</f>
        <v>0</v>
      </c>
      <c r="L102" s="133">
        <f>前台二维码提成录入!L102*$E102</f>
        <v>0</v>
      </c>
      <c r="M102" s="133">
        <f>前台二维码提成录入!M102*$E102</f>
        <v>0</v>
      </c>
      <c r="N102" s="133">
        <f>前台二维码提成录入!N102*$E102</f>
        <v>0</v>
      </c>
      <c r="O102" s="133">
        <f>前台二维码提成录入!O102*$E102</f>
        <v>0</v>
      </c>
      <c r="P102" s="133">
        <f>前台二维码提成录入!P102*$E102</f>
        <v>0</v>
      </c>
      <c r="Q102" s="133">
        <f>前台二维码提成录入!Q102*$E102</f>
        <v>0</v>
      </c>
      <c r="R102" s="133">
        <f>前台二维码提成录入!R102*$E102</f>
        <v>0</v>
      </c>
      <c r="S102" s="133">
        <f>前台二维码提成录入!S102*$E102</f>
        <v>0</v>
      </c>
      <c r="T102" s="133">
        <f>前台二维码提成录入!T102*$E102</f>
        <v>0</v>
      </c>
      <c r="U102" s="133">
        <f>前台二维码提成录入!U102*$E102</f>
        <v>0</v>
      </c>
      <c r="V102" s="133">
        <f>前台二维码提成录入!V102*$E102</f>
        <v>0</v>
      </c>
      <c r="W102" s="133">
        <f>前台二维码提成录入!W102*$E102</f>
        <v>0</v>
      </c>
      <c r="X102" s="133">
        <f>前台二维码提成录入!X102*$E102</f>
        <v>0</v>
      </c>
      <c r="Y102" s="133">
        <f>前台二维码提成录入!Y102*$E102</f>
        <v>0</v>
      </c>
      <c r="Z102" s="133">
        <f>前台二维码提成录入!Z102*$E102</f>
        <v>0</v>
      </c>
      <c r="AA102" s="133">
        <f>前台二维码提成录入!AA102*$E102</f>
        <v>0</v>
      </c>
      <c r="AB102" s="133">
        <f>前台二维码提成录入!AB102*$E102</f>
        <v>0</v>
      </c>
      <c r="AC102" s="133">
        <f>前台二维码提成录入!AC102*$E102</f>
        <v>0</v>
      </c>
      <c r="AD102" s="133">
        <f>前台二维码提成录入!AD102*$E102</f>
        <v>0</v>
      </c>
      <c r="AE102" s="133">
        <f>前台二维码提成录入!AE102*$E102</f>
        <v>0</v>
      </c>
      <c r="AF102" s="133">
        <f>前台二维码提成录入!AF102*$E102</f>
        <v>0</v>
      </c>
      <c r="AG102" s="133">
        <f>前台二维码提成录入!AG102*$E102</f>
        <v>0</v>
      </c>
      <c r="AH102" s="133">
        <f>前台二维码提成录入!AH102*$E102</f>
        <v>0</v>
      </c>
      <c r="AI102" s="133">
        <f>前台二维码提成录入!AI102*$E102</f>
        <v>0</v>
      </c>
      <c r="AJ102" s="133">
        <f>前台二维码提成录入!AJ102*$E102</f>
        <v>0</v>
      </c>
      <c r="AK102" s="133">
        <f>前台二维码提成录入!AK102*$E102</f>
        <v>0</v>
      </c>
      <c r="AL102" s="133">
        <f>前台二维码提成录入!AL102*$E102</f>
        <v>0</v>
      </c>
    </row>
    <row r="103" s="140" customFormat="1" customHeight="1" spans="1:38">
      <c r="A103" s="161">
        <v>99</v>
      </c>
      <c r="B103" s="162">
        <f>前台二维码提成录入!B103</f>
        <v>0</v>
      </c>
      <c r="C103" s="162">
        <f>前台二维码提成录入!C103</f>
        <v>0</v>
      </c>
      <c r="D103" s="162" t="str">
        <f>前台二维码提成录入!D103</f>
        <v>次</v>
      </c>
      <c r="E103" s="162">
        <f>前台二维码提成录入!E103</f>
        <v>0</v>
      </c>
      <c r="F103" s="162">
        <f>前台二维码提成录入!F103</f>
        <v>0</v>
      </c>
      <c r="G103" s="162">
        <f>前台二维码提成录入!G103</f>
        <v>0</v>
      </c>
      <c r="H103" s="133">
        <f>前台二维码提成录入!H103*$E103</f>
        <v>0</v>
      </c>
      <c r="I103" s="133">
        <f>前台二维码提成录入!I103*$E103</f>
        <v>0</v>
      </c>
      <c r="J103" s="133">
        <f>前台二维码提成录入!J103*$E103</f>
        <v>0</v>
      </c>
      <c r="K103" s="133">
        <f>前台二维码提成录入!K103*$E103</f>
        <v>0</v>
      </c>
      <c r="L103" s="133">
        <f>前台二维码提成录入!L103*$E103</f>
        <v>0</v>
      </c>
      <c r="M103" s="133">
        <f>前台二维码提成录入!M103*$E103</f>
        <v>0</v>
      </c>
      <c r="N103" s="133">
        <f>前台二维码提成录入!N103*$E103</f>
        <v>0</v>
      </c>
      <c r="O103" s="133">
        <f>前台二维码提成录入!O103*$E103</f>
        <v>0</v>
      </c>
      <c r="P103" s="133">
        <f>前台二维码提成录入!P103*$E103</f>
        <v>0</v>
      </c>
      <c r="Q103" s="133">
        <f>前台二维码提成录入!Q103*$E103</f>
        <v>0</v>
      </c>
      <c r="R103" s="133">
        <f>前台二维码提成录入!R103*$E103</f>
        <v>0</v>
      </c>
      <c r="S103" s="133">
        <f>前台二维码提成录入!S103*$E103</f>
        <v>0</v>
      </c>
      <c r="T103" s="133">
        <f>前台二维码提成录入!T103*$E103</f>
        <v>0</v>
      </c>
      <c r="U103" s="133">
        <f>前台二维码提成录入!U103*$E103</f>
        <v>0</v>
      </c>
      <c r="V103" s="133">
        <f>前台二维码提成录入!V103*$E103</f>
        <v>0</v>
      </c>
      <c r="W103" s="133">
        <f>前台二维码提成录入!W103*$E103</f>
        <v>0</v>
      </c>
      <c r="X103" s="133">
        <f>前台二维码提成录入!X103*$E103</f>
        <v>0</v>
      </c>
      <c r="Y103" s="133">
        <f>前台二维码提成录入!Y103*$E103</f>
        <v>0</v>
      </c>
      <c r="Z103" s="133">
        <f>前台二维码提成录入!Z103*$E103</f>
        <v>0</v>
      </c>
      <c r="AA103" s="133">
        <f>前台二维码提成录入!AA103*$E103</f>
        <v>0</v>
      </c>
      <c r="AB103" s="133">
        <f>前台二维码提成录入!AB103*$E103</f>
        <v>0</v>
      </c>
      <c r="AC103" s="133">
        <f>前台二维码提成录入!AC103*$E103</f>
        <v>0</v>
      </c>
      <c r="AD103" s="133">
        <f>前台二维码提成录入!AD103*$E103</f>
        <v>0</v>
      </c>
      <c r="AE103" s="133">
        <f>前台二维码提成录入!AE103*$E103</f>
        <v>0</v>
      </c>
      <c r="AF103" s="133">
        <f>前台二维码提成录入!AF103*$E103</f>
        <v>0</v>
      </c>
      <c r="AG103" s="133">
        <f>前台二维码提成录入!AG103*$E103</f>
        <v>0</v>
      </c>
      <c r="AH103" s="133">
        <f>前台二维码提成录入!AH103*$E103</f>
        <v>0</v>
      </c>
      <c r="AI103" s="133">
        <f>前台二维码提成录入!AI103*$E103</f>
        <v>0</v>
      </c>
      <c r="AJ103" s="133">
        <f>前台二维码提成录入!AJ103*$E103</f>
        <v>0</v>
      </c>
      <c r="AK103" s="133">
        <f>前台二维码提成录入!AK103*$E103</f>
        <v>0</v>
      </c>
      <c r="AL103" s="133">
        <f>前台二维码提成录入!AL103*$E103</f>
        <v>0</v>
      </c>
    </row>
    <row r="104" s="140" customFormat="1" customHeight="1" spans="1:38">
      <c r="A104" s="161">
        <v>100</v>
      </c>
      <c r="B104" s="162">
        <f>前台二维码提成录入!B104</f>
        <v>0</v>
      </c>
      <c r="C104" s="162">
        <f>前台二维码提成录入!C104</f>
        <v>0</v>
      </c>
      <c r="D104" s="162" t="str">
        <f>前台二维码提成录入!D104</f>
        <v>次</v>
      </c>
      <c r="E104" s="162">
        <f>前台二维码提成录入!E104</f>
        <v>0</v>
      </c>
      <c r="F104" s="162">
        <f>前台二维码提成录入!F104</f>
        <v>0</v>
      </c>
      <c r="G104" s="162">
        <f>前台二维码提成录入!G104</f>
        <v>0</v>
      </c>
      <c r="H104" s="133">
        <f>前台二维码提成录入!H104*$E104</f>
        <v>0</v>
      </c>
      <c r="I104" s="133">
        <f>前台二维码提成录入!I104*$E104</f>
        <v>0</v>
      </c>
      <c r="J104" s="133">
        <f>前台二维码提成录入!J104*$E104</f>
        <v>0</v>
      </c>
      <c r="K104" s="133">
        <f>前台二维码提成录入!K104*$E104</f>
        <v>0</v>
      </c>
      <c r="L104" s="133">
        <f>前台二维码提成录入!L104*$E104</f>
        <v>0</v>
      </c>
      <c r="M104" s="133">
        <f>前台二维码提成录入!M104*$E104</f>
        <v>0</v>
      </c>
      <c r="N104" s="133">
        <f>前台二维码提成录入!N104*$E104</f>
        <v>0</v>
      </c>
      <c r="O104" s="133">
        <f>前台二维码提成录入!O104*$E104</f>
        <v>0</v>
      </c>
      <c r="P104" s="133">
        <f>前台二维码提成录入!P104*$E104</f>
        <v>0</v>
      </c>
      <c r="Q104" s="133">
        <f>前台二维码提成录入!Q104*$E104</f>
        <v>0</v>
      </c>
      <c r="R104" s="133">
        <f>前台二维码提成录入!R104*$E104</f>
        <v>0</v>
      </c>
      <c r="S104" s="133">
        <f>前台二维码提成录入!S104*$E104</f>
        <v>0</v>
      </c>
      <c r="T104" s="133">
        <f>前台二维码提成录入!T104*$E104</f>
        <v>0</v>
      </c>
      <c r="U104" s="133">
        <f>前台二维码提成录入!U104*$E104</f>
        <v>0</v>
      </c>
      <c r="V104" s="133">
        <f>前台二维码提成录入!V104*$E104</f>
        <v>0</v>
      </c>
      <c r="W104" s="133">
        <f>前台二维码提成录入!W104*$E104</f>
        <v>0</v>
      </c>
      <c r="X104" s="133">
        <f>前台二维码提成录入!X104*$E104</f>
        <v>0</v>
      </c>
      <c r="Y104" s="133">
        <f>前台二维码提成录入!Y104*$E104</f>
        <v>0</v>
      </c>
      <c r="Z104" s="133">
        <f>前台二维码提成录入!Z104*$E104</f>
        <v>0</v>
      </c>
      <c r="AA104" s="133">
        <f>前台二维码提成录入!AA104*$E104</f>
        <v>0</v>
      </c>
      <c r="AB104" s="133">
        <f>前台二维码提成录入!AB104*$E104</f>
        <v>0</v>
      </c>
      <c r="AC104" s="133">
        <f>前台二维码提成录入!AC104*$E104</f>
        <v>0</v>
      </c>
      <c r="AD104" s="133">
        <f>前台二维码提成录入!AD104*$E104</f>
        <v>0</v>
      </c>
      <c r="AE104" s="133">
        <f>前台二维码提成录入!AE104*$E104</f>
        <v>0</v>
      </c>
      <c r="AF104" s="133">
        <f>前台二维码提成录入!AF104*$E104</f>
        <v>0</v>
      </c>
      <c r="AG104" s="133">
        <f>前台二维码提成录入!AG104*$E104</f>
        <v>0</v>
      </c>
      <c r="AH104" s="133">
        <f>前台二维码提成录入!AH104*$E104</f>
        <v>0</v>
      </c>
      <c r="AI104" s="133">
        <f>前台二维码提成录入!AI104*$E104</f>
        <v>0</v>
      </c>
      <c r="AJ104" s="133">
        <f>前台二维码提成录入!AJ104*$E104</f>
        <v>0</v>
      </c>
      <c r="AK104" s="133">
        <f>前台二维码提成录入!AK104*$E104</f>
        <v>0</v>
      </c>
      <c r="AL104" s="133">
        <f>前台二维码提成录入!AL104*$E104</f>
        <v>0</v>
      </c>
    </row>
    <row r="105" customHeight="1" spans="1:38">
      <c r="A105" s="162"/>
      <c r="B105" s="162" t="str">
        <f>前台二维码提成录入!B105</f>
        <v>前台二维码提成</v>
      </c>
      <c r="C105" s="162">
        <f>前台二维码提成录入!C105</f>
        <v>0</v>
      </c>
      <c r="D105" s="162">
        <f>前台二维码提成录入!D105</f>
        <v>0</v>
      </c>
      <c r="E105" s="162">
        <f>前台二维码提成录入!E105</f>
        <v>0</v>
      </c>
      <c r="F105" s="162">
        <f>前台二维码提成录入!F105</f>
        <v>1006</v>
      </c>
      <c r="G105" s="162">
        <f>前台二维码提成录入!G105</f>
        <v>559</v>
      </c>
      <c r="H105" s="171">
        <f t="shared" ref="H105:AL105" si="0">SUM(H5:H104)</f>
        <v>9</v>
      </c>
      <c r="I105" s="171">
        <f t="shared" si="0"/>
        <v>3</v>
      </c>
      <c r="J105" s="171">
        <f t="shared" si="0"/>
        <v>23.5</v>
      </c>
      <c r="K105" s="171">
        <f t="shared" si="0"/>
        <v>4.5</v>
      </c>
      <c r="L105" s="171">
        <f t="shared" si="0"/>
        <v>17</v>
      </c>
      <c r="M105" s="171">
        <f t="shared" si="0"/>
        <v>18</v>
      </c>
      <c r="N105" s="171">
        <f t="shared" si="0"/>
        <v>5.5</v>
      </c>
      <c r="O105" s="171">
        <f t="shared" si="0"/>
        <v>31</v>
      </c>
      <c r="P105" s="171">
        <f t="shared" si="0"/>
        <v>56</v>
      </c>
      <c r="Q105" s="171">
        <f t="shared" si="0"/>
        <v>17.5</v>
      </c>
      <c r="R105" s="171">
        <f t="shared" si="0"/>
        <v>24.5</v>
      </c>
      <c r="S105" s="171">
        <f t="shared" si="0"/>
        <v>20</v>
      </c>
      <c r="T105" s="171">
        <f t="shared" si="0"/>
        <v>17.5</v>
      </c>
      <c r="U105" s="171">
        <f t="shared" si="0"/>
        <v>14.5</v>
      </c>
      <c r="V105" s="171">
        <f t="shared" si="0"/>
        <v>21</v>
      </c>
      <c r="W105" s="171">
        <f t="shared" si="0"/>
        <v>7</v>
      </c>
      <c r="X105" s="171">
        <f t="shared" si="0"/>
        <v>18.5</v>
      </c>
      <c r="Y105" s="171">
        <f t="shared" si="0"/>
        <v>16.5</v>
      </c>
      <c r="Z105" s="171">
        <f t="shared" si="0"/>
        <v>21</v>
      </c>
      <c r="AA105" s="171">
        <f t="shared" si="0"/>
        <v>11.5</v>
      </c>
      <c r="AB105" s="171">
        <f t="shared" si="0"/>
        <v>14</v>
      </c>
      <c r="AC105" s="171">
        <f t="shared" si="0"/>
        <v>4.5</v>
      </c>
      <c r="AD105" s="171">
        <f t="shared" si="0"/>
        <v>9</v>
      </c>
      <c r="AE105" s="171">
        <f t="shared" si="0"/>
        <v>15.5</v>
      </c>
      <c r="AF105" s="171">
        <f t="shared" si="0"/>
        <v>17</v>
      </c>
      <c r="AG105" s="171">
        <f t="shared" si="0"/>
        <v>72.5</v>
      </c>
      <c r="AH105" s="171">
        <f t="shared" si="0"/>
        <v>16</v>
      </c>
      <c r="AI105" s="171">
        <f t="shared" si="0"/>
        <v>18.5</v>
      </c>
      <c r="AJ105" s="171">
        <f t="shared" si="0"/>
        <v>6.5</v>
      </c>
      <c r="AK105" s="171">
        <f t="shared" si="0"/>
        <v>15</v>
      </c>
      <c r="AL105" s="171">
        <f t="shared" si="0"/>
        <v>13.5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D1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L105"/>
  <sheetViews>
    <sheetView showGridLines="0" workbookViewId="0">
      <pane xSplit="7" ySplit="4" topLeftCell="H11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25" customHeight="1"/>
  <cols>
    <col min="1" max="1" width="4.75" style="179"/>
    <col min="2" max="2" width="17.625" style="179"/>
    <col min="3" max="3" width="8.25833333333333" style="179"/>
    <col min="4" max="5" width="5.125" style="179"/>
    <col min="6" max="6" width="5.91666666666667" style="180" customWidth="1"/>
    <col min="7" max="7" width="8.55" style="181"/>
    <col min="8" max="9" width="7.375" style="179"/>
  </cols>
  <sheetData>
    <row r="1" s="177" customFormat="1" ht="40" customHeight="1" spans="1:38">
      <c r="A1" s="182"/>
      <c r="B1" s="148" t="s">
        <v>1</v>
      </c>
      <c r="C1" s="148"/>
      <c r="D1" s="148"/>
      <c r="E1" s="182"/>
      <c r="F1" s="183"/>
      <c r="G1" s="184"/>
      <c r="H1" s="182"/>
      <c r="I1" s="182"/>
    </row>
    <row r="2" s="177" customFormat="1" ht="15" customHeight="1" spans="1:38">
      <c r="A2" s="182"/>
      <c r="B2" s="185" t="s">
        <v>2</v>
      </c>
      <c r="C2" s="182"/>
      <c r="D2" s="182"/>
      <c r="E2" s="182"/>
      <c r="F2" s="183"/>
      <c r="G2" s="184"/>
      <c r="H2" s="195"/>
      <c r="I2" s="182"/>
    </row>
    <row r="3" s="18" customFormat="1" customHeight="1" spans="1:38">
      <c r="A3" s="155" t="s">
        <v>3</v>
      </c>
      <c r="B3" s="155" t="s">
        <v>126</v>
      </c>
      <c r="C3" s="155" t="s">
        <v>5</v>
      </c>
      <c r="D3" s="155" t="s">
        <v>6</v>
      </c>
      <c r="E3" s="219" t="s">
        <v>64</v>
      </c>
      <c r="F3" s="220"/>
      <c r="G3" s="221" t="s">
        <v>8</v>
      </c>
      <c r="H3" s="197" t="s">
        <v>9</v>
      </c>
      <c r="I3" s="197" t="s">
        <v>10</v>
      </c>
      <c r="J3" s="197" t="s">
        <v>11</v>
      </c>
      <c r="K3" s="197" t="s">
        <v>12</v>
      </c>
      <c r="L3" s="197" t="s">
        <v>13</v>
      </c>
      <c r="M3" s="197" t="s">
        <v>14</v>
      </c>
      <c r="N3" s="197" t="s">
        <v>15</v>
      </c>
      <c r="O3" s="197" t="s">
        <v>16</v>
      </c>
      <c r="P3" s="197" t="s">
        <v>17</v>
      </c>
      <c r="Q3" s="197" t="s">
        <v>18</v>
      </c>
      <c r="R3" s="197" t="s">
        <v>19</v>
      </c>
      <c r="S3" s="197" t="s">
        <v>20</v>
      </c>
      <c r="T3" s="197" t="s">
        <v>21</v>
      </c>
      <c r="U3" s="197" t="s">
        <v>22</v>
      </c>
      <c r="V3" s="197" t="s">
        <v>23</v>
      </c>
      <c r="W3" s="197" t="s">
        <v>24</v>
      </c>
      <c r="X3" s="197" t="s">
        <v>25</v>
      </c>
      <c r="Y3" s="197" t="s">
        <v>26</v>
      </c>
      <c r="Z3" s="197" t="s">
        <v>27</v>
      </c>
      <c r="AA3" s="197" t="s">
        <v>28</v>
      </c>
      <c r="AB3" s="197" t="s">
        <v>29</v>
      </c>
      <c r="AC3" s="197" t="s">
        <v>30</v>
      </c>
      <c r="AD3" s="197" t="s">
        <v>31</v>
      </c>
      <c r="AE3" s="197" t="s">
        <v>32</v>
      </c>
      <c r="AF3" s="197" t="s">
        <v>33</v>
      </c>
      <c r="AG3" s="197" t="s">
        <v>34</v>
      </c>
      <c r="AH3" s="197" t="s">
        <v>35</v>
      </c>
      <c r="AI3" s="197" t="s">
        <v>36</v>
      </c>
      <c r="AJ3" s="197" t="s">
        <v>37</v>
      </c>
      <c r="AK3" s="197" t="s">
        <v>38</v>
      </c>
      <c r="AL3" s="197" t="s">
        <v>39</v>
      </c>
    </row>
    <row r="4" s="18" customFormat="1" customHeight="1" spans="1:38">
      <c r="A4" s="158"/>
      <c r="B4" s="158"/>
      <c r="C4" s="158"/>
      <c r="D4" s="158"/>
      <c r="E4" s="222"/>
      <c r="F4" s="220" t="s">
        <v>40</v>
      </c>
      <c r="G4" s="223"/>
      <c r="H4" s="20" t="s">
        <v>40</v>
      </c>
      <c r="I4" s="20" t="s">
        <v>40</v>
      </c>
      <c r="J4" s="20" t="s">
        <v>40</v>
      </c>
      <c r="K4" s="20" t="s">
        <v>40</v>
      </c>
      <c r="L4" s="20" t="s">
        <v>40</v>
      </c>
      <c r="M4" s="20" t="s">
        <v>40</v>
      </c>
      <c r="N4" s="20" t="s">
        <v>40</v>
      </c>
      <c r="O4" s="20" t="s">
        <v>40</v>
      </c>
      <c r="P4" s="20" t="s">
        <v>40</v>
      </c>
      <c r="Q4" s="20" t="s">
        <v>40</v>
      </c>
      <c r="R4" s="20" t="s">
        <v>40</v>
      </c>
      <c r="S4" s="20" t="s">
        <v>40</v>
      </c>
      <c r="T4" s="20" t="s">
        <v>40</v>
      </c>
      <c r="U4" s="20" t="s">
        <v>40</v>
      </c>
      <c r="V4" s="20" t="s">
        <v>40</v>
      </c>
      <c r="W4" s="20" t="s">
        <v>40</v>
      </c>
      <c r="X4" s="20" t="s">
        <v>40</v>
      </c>
      <c r="Y4" s="20" t="s">
        <v>40</v>
      </c>
      <c r="Z4" s="20" t="s">
        <v>40</v>
      </c>
      <c r="AA4" s="20" t="s">
        <v>40</v>
      </c>
      <c r="AB4" s="20" t="s">
        <v>40</v>
      </c>
      <c r="AC4" s="20" t="s">
        <v>40</v>
      </c>
      <c r="AD4" s="20" t="s">
        <v>40</v>
      </c>
      <c r="AE4" s="20" t="s">
        <v>40</v>
      </c>
      <c r="AF4" s="20" t="s">
        <v>40</v>
      </c>
      <c r="AG4" s="20" t="s">
        <v>40</v>
      </c>
      <c r="AH4" s="20" t="s">
        <v>40</v>
      </c>
      <c r="AI4" s="20" t="s">
        <v>40</v>
      </c>
      <c r="AJ4" s="20" t="s">
        <v>40</v>
      </c>
      <c r="AK4" s="20" t="s">
        <v>40</v>
      </c>
      <c r="AL4" s="20" t="s">
        <v>40</v>
      </c>
    </row>
    <row r="5" s="178" customFormat="1" customHeight="1" spans="1:38">
      <c r="A5" s="161">
        <v>1</v>
      </c>
      <c r="B5" s="21" t="str">
        <f>前台好评提成录入!B5</f>
        <v>张馨月</v>
      </c>
      <c r="C5" s="21" t="str">
        <f>前台好评提成录入!C5</f>
        <v>携程</v>
      </c>
      <c r="D5" s="21" t="str">
        <f>前台好评提成录入!D5</f>
        <v>条</v>
      </c>
      <c r="E5" s="21">
        <f>前台好评提成录入!E5</f>
        <v>6</v>
      </c>
      <c r="F5" s="21">
        <f>前台好评提成录入!F5</f>
        <v>65</v>
      </c>
      <c r="G5" s="21">
        <f>前台好评提成录入!G5</f>
        <v>390</v>
      </c>
      <c r="H5" s="213">
        <f>前台好评提成录入!H5*$E5</f>
        <v>390</v>
      </c>
      <c r="I5" s="213">
        <f>前台好评提成录入!I5*$E5</f>
        <v>0</v>
      </c>
      <c r="J5" s="213">
        <f>前台好评提成录入!J5*$E5</f>
        <v>0</v>
      </c>
      <c r="K5" s="213">
        <f>前台好评提成录入!K5*$E5</f>
        <v>0</v>
      </c>
      <c r="L5" s="213">
        <f>前台好评提成录入!L5*$E5</f>
        <v>0</v>
      </c>
      <c r="M5" s="213">
        <f>前台好评提成录入!M5*$E5</f>
        <v>0</v>
      </c>
      <c r="N5" s="213">
        <f>前台好评提成录入!N5*$E5</f>
        <v>0</v>
      </c>
      <c r="O5" s="213">
        <f>前台好评提成录入!O5*$E5</f>
        <v>0</v>
      </c>
      <c r="P5" s="213">
        <f>前台好评提成录入!P5*$E5</f>
        <v>0</v>
      </c>
      <c r="Q5" s="213">
        <f>前台好评提成录入!Q5*$E5</f>
        <v>0</v>
      </c>
      <c r="R5" s="213">
        <f>前台好评提成录入!R5*$E5</f>
        <v>0</v>
      </c>
      <c r="S5" s="213">
        <f>前台好评提成录入!S5*$E5</f>
        <v>0</v>
      </c>
      <c r="T5" s="213">
        <f>前台好评提成录入!T5*$E5</f>
        <v>0</v>
      </c>
      <c r="U5" s="213">
        <f>前台好评提成录入!U5*$E5</f>
        <v>0</v>
      </c>
      <c r="V5" s="213">
        <f>前台好评提成录入!V5*$E5</f>
        <v>0</v>
      </c>
      <c r="W5" s="213">
        <f>前台好评提成录入!W5*$E5</f>
        <v>0</v>
      </c>
      <c r="X5" s="213">
        <f>前台好评提成录入!X5*$E5</f>
        <v>0</v>
      </c>
      <c r="Y5" s="213">
        <f>前台好评提成录入!Y5*$E5</f>
        <v>0</v>
      </c>
      <c r="Z5" s="213">
        <f>前台好评提成录入!Z5*$E5</f>
        <v>0</v>
      </c>
      <c r="AA5" s="213">
        <f>前台好评提成录入!AA5*$E5</f>
        <v>0</v>
      </c>
      <c r="AB5" s="213">
        <f>前台好评提成录入!AB5*$E5</f>
        <v>0</v>
      </c>
      <c r="AC5" s="213">
        <f>前台好评提成录入!AC5*$E5</f>
        <v>0</v>
      </c>
      <c r="AD5" s="213">
        <f>前台好评提成录入!AD5*$E5</f>
        <v>0</v>
      </c>
      <c r="AE5" s="213">
        <f>前台好评提成录入!AE5*$E5</f>
        <v>0</v>
      </c>
      <c r="AF5" s="213">
        <f>前台好评提成录入!AF5*$E5</f>
        <v>0</v>
      </c>
      <c r="AG5" s="213">
        <f>前台好评提成录入!AG5*$E5</f>
        <v>0</v>
      </c>
      <c r="AH5" s="213">
        <f>前台好评提成录入!AH5*$E5</f>
        <v>0</v>
      </c>
      <c r="AI5" s="213">
        <f>前台好评提成录入!AI5*$E5</f>
        <v>0</v>
      </c>
      <c r="AJ5" s="213">
        <f>前台好评提成录入!AJ5*$E5</f>
        <v>0</v>
      </c>
      <c r="AK5" s="213">
        <f>前台好评提成录入!AK5*$E5</f>
        <v>0</v>
      </c>
      <c r="AL5" s="213">
        <f>前台好评提成录入!AL5*$E5</f>
        <v>0</v>
      </c>
    </row>
    <row r="6" s="178" customFormat="1" customHeight="1" spans="1:38">
      <c r="A6" s="161">
        <v>2</v>
      </c>
      <c r="B6" s="21" t="str">
        <f>前台好评提成录入!B8</f>
        <v>张馨月</v>
      </c>
      <c r="C6" s="21" t="str">
        <f>前台好评提成录入!C8</f>
        <v>去哪儿</v>
      </c>
      <c r="D6" s="21" t="str">
        <f>前台好评提成录入!D8</f>
        <v>条</v>
      </c>
      <c r="E6" s="21">
        <f>前台好评提成录入!E8</f>
        <v>6</v>
      </c>
      <c r="F6" s="21">
        <f>前台好评提成录入!F8</f>
        <v>0</v>
      </c>
      <c r="G6" s="21">
        <f>前台好评提成录入!G8</f>
        <v>0</v>
      </c>
      <c r="H6" s="213">
        <f>前台好评提成录入!H8*$E6</f>
        <v>0</v>
      </c>
      <c r="I6" s="213">
        <f>前台好评提成录入!I8*$E6</f>
        <v>0</v>
      </c>
      <c r="J6" s="213">
        <f>前台好评提成录入!J8*$E6</f>
        <v>0</v>
      </c>
      <c r="K6" s="213">
        <f>前台好评提成录入!K8*$E6</f>
        <v>0</v>
      </c>
      <c r="L6" s="213">
        <f>前台好评提成录入!L8*$E6</f>
        <v>0</v>
      </c>
      <c r="M6" s="213">
        <f>前台好评提成录入!M8*$E6</f>
        <v>0</v>
      </c>
      <c r="N6" s="213">
        <f>前台好评提成录入!N8*$E6</f>
        <v>0</v>
      </c>
      <c r="O6" s="213">
        <f>前台好评提成录入!O8*$E6</f>
        <v>0</v>
      </c>
      <c r="P6" s="213">
        <f>前台好评提成录入!P8*$E6</f>
        <v>0</v>
      </c>
      <c r="Q6" s="213">
        <f>前台好评提成录入!Q8*$E6</f>
        <v>0</v>
      </c>
      <c r="R6" s="213">
        <f>前台好评提成录入!R8*$E6</f>
        <v>0</v>
      </c>
      <c r="S6" s="213">
        <f>前台好评提成录入!S8*$E6</f>
        <v>0</v>
      </c>
      <c r="T6" s="213">
        <f>前台好评提成录入!T8*$E6</f>
        <v>0</v>
      </c>
      <c r="U6" s="213">
        <f>前台好评提成录入!U8*$E6</f>
        <v>0</v>
      </c>
      <c r="V6" s="213">
        <f>前台好评提成录入!V8*$E6</f>
        <v>0</v>
      </c>
      <c r="W6" s="213">
        <f>前台好评提成录入!W8*$E6</f>
        <v>0</v>
      </c>
      <c r="X6" s="213">
        <f>前台好评提成录入!X8*$E6</f>
        <v>0</v>
      </c>
      <c r="Y6" s="213">
        <f>前台好评提成录入!Y8*$E6</f>
        <v>0</v>
      </c>
      <c r="Z6" s="213">
        <f>前台好评提成录入!Z8*$E6</f>
        <v>0</v>
      </c>
      <c r="AA6" s="213">
        <f>前台好评提成录入!AA8*$E6</f>
        <v>0</v>
      </c>
      <c r="AB6" s="213">
        <f>前台好评提成录入!AB8*$E6</f>
        <v>0</v>
      </c>
      <c r="AC6" s="213">
        <f>前台好评提成录入!AC8*$E6</f>
        <v>0</v>
      </c>
      <c r="AD6" s="213">
        <f>前台好评提成录入!AD8*$E6</f>
        <v>0</v>
      </c>
      <c r="AE6" s="213">
        <f>前台好评提成录入!AE8*$E6</f>
        <v>0</v>
      </c>
      <c r="AF6" s="213">
        <f>前台好评提成录入!AF8*$E6</f>
        <v>0</v>
      </c>
      <c r="AG6" s="213">
        <f>前台好评提成录入!AG8*$E6</f>
        <v>0</v>
      </c>
      <c r="AH6" s="213">
        <f>前台好评提成录入!AH8*$E6</f>
        <v>0</v>
      </c>
      <c r="AI6" s="213">
        <f>前台好评提成录入!AI8*$E6</f>
        <v>0</v>
      </c>
      <c r="AJ6" s="213">
        <f>前台好评提成录入!AJ8*$E6</f>
        <v>0</v>
      </c>
      <c r="AK6" s="213">
        <f>前台好评提成录入!AK8*$E6</f>
        <v>0</v>
      </c>
      <c r="AL6" s="213">
        <f>前台好评提成录入!AL8*$E6</f>
        <v>0</v>
      </c>
    </row>
    <row r="7" s="178" customFormat="1" customHeight="1" spans="1:38">
      <c r="A7" s="161">
        <v>3</v>
      </c>
      <c r="B7" s="21" t="str">
        <f>前台好评提成录入!B9</f>
        <v>张馨月</v>
      </c>
      <c r="C7" s="21" t="str">
        <f>前台好评提成录入!C9</f>
        <v>同程</v>
      </c>
      <c r="D7" s="21" t="str">
        <f>前台好评提成录入!D9</f>
        <v>条</v>
      </c>
      <c r="E7" s="21">
        <f>前台好评提成录入!E9</f>
        <v>6</v>
      </c>
      <c r="F7" s="21">
        <f>前台好评提成录入!F9</f>
        <v>0</v>
      </c>
      <c r="G7" s="21">
        <f>前台好评提成录入!G9</f>
        <v>0</v>
      </c>
      <c r="H7" s="213">
        <f>前台好评提成录入!H9*$E7</f>
        <v>0</v>
      </c>
      <c r="I7" s="213">
        <f>前台好评提成录入!I9*$E7</f>
        <v>0</v>
      </c>
      <c r="J7" s="213">
        <f>前台好评提成录入!J9*$E7</f>
        <v>0</v>
      </c>
      <c r="K7" s="213">
        <f>前台好评提成录入!K9*$E7</f>
        <v>0</v>
      </c>
      <c r="L7" s="213">
        <f>前台好评提成录入!L9*$E7</f>
        <v>0</v>
      </c>
      <c r="M7" s="213">
        <f>前台好评提成录入!M9*$E7</f>
        <v>0</v>
      </c>
      <c r="N7" s="213">
        <f>前台好评提成录入!N9*$E7</f>
        <v>0</v>
      </c>
      <c r="O7" s="213">
        <f>前台好评提成录入!O9*$E7</f>
        <v>0</v>
      </c>
      <c r="P7" s="213">
        <f>前台好评提成录入!P9*$E7</f>
        <v>0</v>
      </c>
      <c r="Q7" s="213">
        <f>前台好评提成录入!Q9*$E7</f>
        <v>0</v>
      </c>
      <c r="R7" s="213">
        <f>前台好评提成录入!R9*$E7</f>
        <v>0</v>
      </c>
      <c r="S7" s="213">
        <f>前台好评提成录入!S9*$E7</f>
        <v>0</v>
      </c>
      <c r="T7" s="213">
        <f>前台好评提成录入!T9*$E7</f>
        <v>0</v>
      </c>
      <c r="U7" s="213">
        <f>前台好评提成录入!U9*$E7</f>
        <v>0</v>
      </c>
      <c r="V7" s="213">
        <f>前台好评提成录入!V9*$E7</f>
        <v>0</v>
      </c>
      <c r="W7" s="213">
        <f>前台好评提成录入!W9*$E7</f>
        <v>0</v>
      </c>
      <c r="X7" s="213">
        <f>前台好评提成录入!X9*$E7</f>
        <v>0</v>
      </c>
      <c r="Y7" s="213">
        <f>前台好评提成录入!Y9*$E7</f>
        <v>0</v>
      </c>
      <c r="Z7" s="213">
        <f>前台好评提成录入!Z9*$E7</f>
        <v>0</v>
      </c>
      <c r="AA7" s="213">
        <f>前台好评提成录入!AA9*$E7</f>
        <v>0</v>
      </c>
      <c r="AB7" s="213">
        <f>前台好评提成录入!AB9*$E7</f>
        <v>0</v>
      </c>
      <c r="AC7" s="213">
        <f>前台好评提成录入!AC9*$E7</f>
        <v>0</v>
      </c>
      <c r="AD7" s="213">
        <f>前台好评提成录入!AD9*$E7</f>
        <v>0</v>
      </c>
      <c r="AE7" s="213">
        <f>前台好评提成录入!AE9*$E7</f>
        <v>0</v>
      </c>
      <c r="AF7" s="213">
        <f>前台好评提成录入!AF9*$E7</f>
        <v>0</v>
      </c>
      <c r="AG7" s="213">
        <f>前台好评提成录入!AG9*$E7</f>
        <v>0</v>
      </c>
      <c r="AH7" s="213">
        <f>前台好评提成录入!AH9*$E7</f>
        <v>0</v>
      </c>
      <c r="AI7" s="213">
        <f>前台好评提成录入!AI9*$E7</f>
        <v>0</v>
      </c>
      <c r="AJ7" s="213">
        <f>前台好评提成录入!AJ9*$E7</f>
        <v>0</v>
      </c>
      <c r="AK7" s="213">
        <f>前台好评提成录入!AK9*$E7</f>
        <v>0</v>
      </c>
      <c r="AL7" s="213">
        <f>前台好评提成录入!AL9*$E7</f>
        <v>0</v>
      </c>
    </row>
    <row r="8" s="178" customFormat="1" customHeight="1" spans="1:38">
      <c r="A8" s="161">
        <v>4</v>
      </c>
      <c r="B8" s="21" t="str">
        <f>前台好评提成录入!B10</f>
        <v>张馨月</v>
      </c>
      <c r="C8" s="21" t="str">
        <f>前台好评提成录入!C10</f>
        <v>智行</v>
      </c>
      <c r="D8" s="21" t="str">
        <f>前台好评提成录入!D10</f>
        <v>条</v>
      </c>
      <c r="E8" s="21">
        <f>前台好评提成录入!E10</f>
        <v>6</v>
      </c>
      <c r="F8" s="21">
        <f>前台好评提成录入!F10</f>
        <v>0</v>
      </c>
      <c r="G8" s="21">
        <f>前台好评提成录入!G10</f>
        <v>0</v>
      </c>
      <c r="H8" s="213">
        <f>前台好评提成录入!H10*$E8</f>
        <v>0</v>
      </c>
      <c r="I8" s="213">
        <f>前台好评提成录入!I10*$E8</f>
        <v>0</v>
      </c>
      <c r="J8" s="213">
        <f>前台好评提成录入!J10*$E8</f>
        <v>0</v>
      </c>
      <c r="K8" s="213">
        <f>前台好评提成录入!K10*$E8</f>
        <v>0</v>
      </c>
      <c r="L8" s="213">
        <f>前台好评提成录入!L10*$E8</f>
        <v>0</v>
      </c>
      <c r="M8" s="213">
        <f>前台好评提成录入!M10*$E8</f>
        <v>0</v>
      </c>
      <c r="N8" s="213">
        <f>前台好评提成录入!N10*$E8</f>
        <v>0</v>
      </c>
      <c r="O8" s="213">
        <f>前台好评提成录入!O10*$E8</f>
        <v>0</v>
      </c>
      <c r="P8" s="213">
        <f>前台好评提成录入!P10*$E8</f>
        <v>0</v>
      </c>
      <c r="Q8" s="213">
        <f>前台好评提成录入!Q10*$E8</f>
        <v>0</v>
      </c>
      <c r="R8" s="213">
        <f>前台好评提成录入!R10*$E8</f>
        <v>0</v>
      </c>
      <c r="S8" s="213">
        <f>前台好评提成录入!S10*$E8</f>
        <v>0</v>
      </c>
      <c r="T8" s="213">
        <f>前台好评提成录入!T10*$E8</f>
        <v>0</v>
      </c>
      <c r="U8" s="213">
        <f>前台好评提成录入!U10*$E8</f>
        <v>0</v>
      </c>
      <c r="V8" s="213">
        <f>前台好评提成录入!V10*$E8</f>
        <v>0</v>
      </c>
      <c r="W8" s="213">
        <f>前台好评提成录入!W10*$E8</f>
        <v>0</v>
      </c>
      <c r="X8" s="213">
        <f>前台好评提成录入!X10*$E8</f>
        <v>0</v>
      </c>
      <c r="Y8" s="213">
        <f>前台好评提成录入!Y10*$E8</f>
        <v>0</v>
      </c>
      <c r="Z8" s="213">
        <f>前台好评提成录入!Z10*$E8</f>
        <v>0</v>
      </c>
      <c r="AA8" s="213">
        <f>前台好评提成录入!AA10*$E8</f>
        <v>0</v>
      </c>
      <c r="AB8" s="213">
        <f>前台好评提成录入!AB10*$E8</f>
        <v>0</v>
      </c>
      <c r="AC8" s="213">
        <f>前台好评提成录入!AC10*$E8</f>
        <v>0</v>
      </c>
      <c r="AD8" s="213">
        <f>前台好评提成录入!AD10*$E8</f>
        <v>0</v>
      </c>
      <c r="AE8" s="213">
        <f>前台好评提成录入!AE10*$E8</f>
        <v>0</v>
      </c>
      <c r="AF8" s="213">
        <f>前台好评提成录入!AF10*$E8</f>
        <v>0</v>
      </c>
      <c r="AG8" s="213">
        <f>前台好评提成录入!AG10*$E8</f>
        <v>0</v>
      </c>
      <c r="AH8" s="213">
        <f>前台好评提成录入!AH10*$E8</f>
        <v>0</v>
      </c>
      <c r="AI8" s="213">
        <f>前台好评提成录入!AI10*$E8</f>
        <v>0</v>
      </c>
      <c r="AJ8" s="213">
        <f>前台好评提成录入!AJ10*$E8</f>
        <v>0</v>
      </c>
      <c r="AK8" s="213">
        <f>前台好评提成录入!AK10*$E8</f>
        <v>0</v>
      </c>
      <c r="AL8" s="213">
        <f>前台好评提成录入!AL10*$E8</f>
        <v>0</v>
      </c>
    </row>
    <row r="9" s="178" customFormat="1" customHeight="1" spans="1:38">
      <c r="A9" s="161">
        <v>5</v>
      </c>
      <c r="B9" s="21" t="str">
        <f>前台好评提成录入!B11</f>
        <v>张馨月</v>
      </c>
      <c r="C9" s="21" t="str">
        <f>前台好评提成录入!C11</f>
        <v>抖音</v>
      </c>
      <c r="D9" s="21" t="str">
        <f>前台好评提成录入!D11</f>
        <v>条</v>
      </c>
      <c r="E9" s="21">
        <f>前台好评提成录入!E11</f>
        <v>6</v>
      </c>
      <c r="F9" s="21">
        <f>前台好评提成录入!F11</f>
        <v>0</v>
      </c>
      <c r="G9" s="21">
        <f>前台好评提成录入!G11</f>
        <v>0</v>
      </c>
      <c r="H9" s="213">
        <f>前台好评提成录入!H11*$E9</f>
        <v>0</v>
      </c>
      <c r="I9" s="213">
        <f>前台好评提成录入!I11*$E9</f>
        <v>0</v>
      </c>
      <c r="J9" s="213">
        <f>前台好评提成录入!J11*$E9</f>
        <v>0</v>
      </c>
      <c r="K9" s="213">
        <f>前台好评提成录入!K11*$E9</f>
        <v>0</v>
      </c>
      <c r="L9" s="213">
        <f>前台好评提成录入!L11*$E9</f>
        <v>0</v>
      </c>
      <c r="M9" s="213">
        <f>前台好评提成录入!M11*$E9</f>
        <v>0</v>
      </c>
      <c r="N9" s="213">
        <f>前台好评提成录入!N11*$E9</f>
        <v>0</v>
      </c>
      <c r="O9" s="213">
        <f>前台好评提成录入!O11*$E9</f>
        <v>0</v>
      </c>
      <c r="P9" s="213">
        <f>前台好评提成录入!P11*$E9</f>
        <v>0</v>
      </c>
      <c r="Q9" s="213">
        <f>前台好评提成录入!Q11*$E9</f>
        <v>0</v>
      </c>
      <c r="R9" s="213">
        <f>前台好评提成录入!R11*$E9</f>
        <v>0</v>
      </c>
      <c r="S9" s="213">
        <f>前台好评提成录入!S11*$E9</f>
        <v>0</v>
      </c>
      <c r="T9" s="213">
        <f>前台好评提成录入!T11*$E9</f>
        <v>0</v>
      </c>
      <c r="U9" s="213">
        <f>前台好评提成录入!U11*$E9</f>
        <v>0</v>
      </c>
      <c r="V9" s="213">
        <f>前台好评提成录入!V11*$E9</f>
        <v>0</v>
      </c>
      <c r="W9" s="213">
        <f>前台好评提成录入!W11*$E9</f>
        <v>0</v>
      </c>
      <c r="X9" s="213">
        <f>前台好评提成录入!X11*$E9</f>
        <v>0</v>
      </c>
      <c r="Y9" s="213">
        <f>前台好评提成录入!Y11*$E9</f>
        <v>0</v>
      </c>
      <c r="Z9" s="213">
        <f>前台好评提成录入!Z11*$E9</f>
        <v>0</v>
      </c>
      <c r="AA9" s="213">
        <f>前台好评提成录入!AA11*$E9</f>
        <v>0</v>
      </c>
      <c r="AB9" s="213">
        <f>前台好评提成录入!AB11*$E9</f>
        <v>0</v>
      </c>
      <c r="AC9" s="213">
        <f>前台好评提成录入!AC11*$E9</f>
        <v>0</v>
      </c>
      <c r="AD9" s="213">
        <f>前台好评提成录入!AD11*$E9</f>
        <v>0</v>
      </c>
      <c r="AE9" s="213">
        <f>前台好评提成录入!AE11*$E9</f>
        <v>0</v>
      </c>
      <c r="AF9" s="213">
        <f>前台好评提成录入!AF11*$E9</f>
        <v>0</v>
      </c>
      <c r="AG9" s="213">
        <f>前台好评提成录入!AG11*$E9</f>
        <v>0</v>
      </c>
      <c r="AH9" s="213">
        <f>前台好评提成录入!AH11*$E9</f>
        <v>0</v>
      </c>
      <c r="AI9" s="213">
        <f>前台好评提成录入!AI11*$E9</f>
        <v>0</v>
      </c>
      <c r="AJ9" s="213">
        <f>前台好评提成录入!AJ11*$E9</f>
        <v>0</v>
      </c>
      <c r="AK9" s="213">
        <f>前台好评提成录入!AK11*$E9</f>
        <v>0</v>
      </c>
      <c r="AL9" s="213">
        <f>前台好评提成录入!AL11*$E9</f>
        <v>0</v>
      </c>
    </row>
    <row r="10" s="178" customFormat="1" customHeight="1" spans="1:38">
      <c r="A10" s="161">
        <v>6</v>
      </c>
      <c r="B10" s="21" t="str">
        <f>前台好评提成录入!B12</f>
        <v>张馨月</v>
      </c>
      <c r="C10" s="21" t="str">
        <f>前台好评提成录入!C12</f>
        <v>美团</v>
      </c>
      <c r="D10" s="21" t="str">
        <f>前台好评提成录入!D12</f>
        <v>条</v>
      </c>
      <c r="E10" s="21">
        <f>前台好评提成录入!E12</f>
        <v>6</v>
      </c>
      <c r="F10" s="21">
        <f>前台好评提成录入!F12</f>
        <v>1</v>
      </c>
      <c r="G10" s="21">
        <f>前台好评提成录入!G12</f>
        <v>6</v>
      </c>
      <c r="H10" s="213">
        <f>前台好评提成录入!H12*$E10</f>
        <v>6</v>
      </c>
      <c r="I10" s="213">
        <f>前台好评提成录入!I12*$E10</f>
        <v>0</v>
      </c>
      <c r="J10" s="213">
        <f>前台好评提成录入!J12*$E10</f>
        <v>0</v>
      </c>
      <c r="K10" s="213">
        <f>前台好评提成录入!K12*$E10</f>
        <v>0</v>
      </c>
      <c r="L10" s="213">
        <f>前台好评提成录入!L12*$E10</f>
        <v>0</v>
      </c>
      <c r="M10" s="213">
        <f>前台好评提成录入!M12*$E10</f>
        <v>0</v>
      </c>
      <c r="N10" s="213">
        <f>前台好评提成录入!N12*$E10</f>
        <v>0</v>
      </c>
      <c r="O10" s="213">
        <f>前台好评提成录入!O12*$E10</f>
        <v>0</v>
      </c>
      <c r="P10" s="213">
        <f>前台好评提成录入!P12*$E10</f>
        <v>0</v>
      </c>
      <c r="Q10" s="213">
        <f>前台好评提成录入!Q12*$E10</f>
        <v>0</v>
      </c>
      <c r="R10" s="213">
        <f>前台好评提成录入!R12*$E10</f>
        <v>0</v>
      </c>
      <c r="S10" s="213">
        <f>前台好评提成录入!S12*$E10</f>
        <v>0</v>
      </c>
      <c r="T10" s="213">
        <f>前台好评提成录入!T12*$E10</f>
        <v>0</v>
      </c>
      <c r="U10" s="213">
        <f>前台好评提成录入!U12*$E10</f>
        <v>0</v>
      </c>
      <c r="V10" s="213">
        <f>前台好评提成录入!V12*$E10</f>
        <v>0</v>
      </c>
      <c r="W10" s="213">
        <f>前台好评提成录入!W12*$E10</f>
        <v>0</v>
      </c>
      <c r="X10" s="213">
        <f>前台好评提成录入!X12*$E10</f>
        <v>0</v>
      </c>
      <c r="Y10" s="213">
        <f>前台好评提成录入!Y12*$E10</f>
        <v>0</v>
      </c>
      <c r="Z10" s="213">
        <f>前台好评提成录入!Z12*$E10</f>
        <v>0</v>
      </c>
      <c r="AA10" s="213">
        <f>前台好评提成录入!AA12*$E10</f>
        <v>0</v>
      </c>
      <c r="AB10" s="213">
        <f>前台好评提成录入!AB12*$E10</f>
        <v>0</v>
      </c>
      <c r="AC10" s="213">
        <f>前台好评提成录入!AC12*$E10</f>
        <v>0</v>
      </c>
      <c r="AD10" s="213">
        <f>前台好评提成录入!AD12*$E10</f>
        <v>0</v>
      </c>
      <c r="AE10" s="213">
        <f>前台好评提成录入!AE12*$E10</f>
        <v>0</v>
      </c>
      <c r="AF10" s="213">
        <f>前台好评提成录入!AF12*$E10</f>
        <v>0</v>
      </c>
      <c r="AG10" s="213">
        <f>前台好评提成录入!AG12*$E10</f>
        <v>0</v>
      </c>
      <c r="AH10" s="213">
        <f>前台好评提成录入!AH12*$E10</f>
        <v>0</v>
      </c>
      <c r="AI10" s="213">
        <f>前台好评提成录入!AI12*$E10</f>
        <v>0</v>
      </c>
      <c r="AJ10" s="213">
        <f>前台好评提成录入!AJ12*$E10</f>
        <v>0</v>
      </c>
      <c r="AK10" s="213">
        <f>前台好评提成录入!AK12*$E10</f>
        <v>0</v>
      </c>
      <c r="AL10" s="213">
        <f>前台好评提成录入!AL12*$E10</f>
        <v>0</v>
      </c>
    </row>
    <row r="11" s="178" customFormat="1" customHeight="1" spans="1:38">
      <c r="A11" s="161">
        <v>7</v>
      </c>
      <c r="B11" s="21" t="str">
        <f>前台好评提成录入!B13</f>
        <v>张馨月</v>
      </c>
      <c r="C11" s="21" t="str">
        <f>前台好评提成录入!C13</f>
        <v>飞猪</v>
      </c>
      <c r="D11" s="21" t="str">
        <f>前台好评提成录入!D13</f>
        <v>条</v>
      </c>
      <c r="E11" s="21">
        <f>前台好评提成录入!E13</f>
        <v>6</v>
      </c>
      <c r="F11" s="21">
        <f>前台好评提成录入!F13</f>
        <v>0</v>
      </c>
      <c r="G11" s="21">
        <f>前台好评提成录入!G13</f>
        <v>0</v>
      </c>
      <c r="H11" s="213">
        <f>前台好评提成录入!H13*$E11</f>
        <v>0</v>
      </c>
      <c r="I11" s="213">
        <f>前台好评提成录入!I13*$E11</f>
        <v>0</v>
      </c>
      <c r="J11" s="213">
        <f>前台好评提成录入!J13*$E11</f>
        <v>0</v>
      </c>
      <c r="K11" s="213">
        <f>前台好评提成录入!K13*$E11</f>
        <v>0</v>
      </c>
      <c r="L11" s="213">
        <f>前台好评提成录入!L13*$E11</f>
        <v>0</v>
      </c>
      <c r="M11" s="213">
        <f>前台好评提成录入!M13*$E11</f>
        <v>0</v>
      </c>
      <c r="N11" s="213">
        <f>前台好评提成录入!N13*$E11</f>
        <v>0</v>
      </c>
      <c r="O11" s="213">
        <f>前台好评提成录入!O13*$E11</f>
        <v>0</v>
      </c>
      <c r="P11" s="213">
        <f>前台好评提成录入!P13*$E11</f>
        <v>0</v>
      </c>
      <c r="Q11" s="213">
        <f>前台好评提成录入!Q13*$E11</f>
        <v>0</v>
      </c>
      <c r="R11" s="213">
        <f>前台好评提成录入!R13*$E11</f>
        <v>0</v>
      </c>
      <c r="S11" s="213">
        <f>前台好评提成录入!S13*$E11</f>
        <v>0</v>
      </c>
      <c r="T11" s="213">
        <f>前台好评提成录入!T13*$E11</f>
        <v>0</v>
      </c>
      <c r="U11" s="213">
        <f>前台好评提成录入!U13*$E11</f>
        <v>0</v>
      </c>
      <c r="V11" s="213">
        <f>前台好评提成录入!V13*$E11</f>
        <v>0</v>
      </c>
      <c r="W11" s="213">
        <f>前台好评提成录入!W13*$E11</f>
        <v>0</v>
      </c>
      <c r="X11" s="213">
        <f>前台好评提成录入!X13*$E11</f>
        <v>0</v>
      </c>
      <c r="Y11" s="213">
        <f>前台好评提成录入!Y13*$E11</f>
        <v>0</v>
      </c>
      <c r="Z11" s="213">
        <f>前台好评提成录入!Z13*$E11</f>
        <v>0</v>
      </c>
      <c r="AA11" s="213">
        <f>前台好评提成录入!AA13*$E11</f>
        <v>0</v>
      </c>
      <c r="AB11" s="213">
        <f>前台好评提成录入!AB13*$E11</f>
        <v>0</v>
      </c>
      <c r="AC11" s="213">
        <f>前台好评提成录入!AC13*$E11</f>
        <v>0</v>
      </c>
      <c r="AD11" s="213">
        <f>前台好评提成录入!AD13*$E11</f>
        <v>0</v>
      </c>
      <c r="AE11" s="213">
        <f>前台好评提成录入!AE13*$E11</f>
        <v>0</v>
      </c>
      <c r="AF11" s="213">
        <f>前台好评提成录入!AF13*$E11</f>
        <v>0</v>
      </c>
      <c r="AG11" s="213">
        <f>前台好评提成录入!AG13*$E11</f>
        <v>0</v>
      </c>
      <c r="AH11" s="213">
        <f>前台好评提成录入!AH13*$E11</f>
        <v>0</v>
      </c>
      <c r="AI11" s="213">
        <f>前台好评提成录入!AI13*$E11</f>
        <v>0</v>
      </c>
      <c r="AJ11" s="213">
        <f>前台好评提成录入!AJ13*$E11</f>
        <v>0</v>
      </c>
      <c r="AK11" s="213">
        <f>前台好评提成录入!AK13*$E11</f>
        <v>0</v>
      </c>
      <c r="AL11" s="213">
        <f>前台好评提成录入!AL13*$E11</f>
        <v>0</v>
      </c>
    </row>
    <row r="12" s="178" customFormat="1" customHeight="1" spans="1:38">
      <c r="A12" s="161">
        <v>8</v>
      </c>
      <c r="B12" s="21" t="str">
        <f>前台好评提成录入!B16</f>
        <v>徐嘉瑜</v>
      </c>
      <c r="C12" s="21" t="str">
        <f>前台好评提成录入!C16</f>
        <v>携程优质</v>
      </c>
      <c r="D12" s="21" t="str">
        <f>前台好评提成录入!D16</f>
        <v>条</v>
      </c>
      <c r="E12" s="21">
        <f>前台好评提成录入!E16</f>
        <v>15</v>
      </c>
      <c r="F12" s="21">
        <f>前台好评提成录入!F16</f>
        <v>1</v>
      </c>
      <c r="G12" s="21">
        <f>前台好评提成录入!G16</f>
        <v>15</v>
      </c>
      <c r="H12" s="213">
        <f>前台好评提成录入!H16*$E12</f>
        <v>15</v>
      </c>
      <c r="I12" s="213">
        <f>前台好评提成录入!I16*$E12</f>
        <v>0</v>
      </c>
      <c r="J12" s="213">
        <f>前台好评提成录入!J16*$E12</f>
        <v>0</v>
      </c>
      <c r="K12" s="213">
        <f>前台好评提成录入!K16*$E12</f>
        <v>0</v>
      </c>
      <c r="L12" s="213">
        <f>前台好评提成录入!L16*$E12</f>
        <v>0</v>
      </c>
      <c r="M12" s="213">
        <f>前台好评提成录入!M16*$E12</f>
        <v>0</v>
      </c>
      <c r="N12" s="213">
        <f>前台好评提成录入!N16*$E12</f>
        <v>0</v>
      </c>
      <c r="O12" s="213">
        <f>前台好评提成录入!O16*$E12</f>
        <v>0</v>
      </c>
      <c r="P12" s="213">
        <f>前台好评提成录入!P16*$E12</f>
        <v>0</v>
      </c>
      <c r="Q12" s="213">
        <f>前台好评提成录入!Q16*$E12</f>
        <v>0</v>
      </c>
      <c r="R12" s="213">
        <f>前台好评提成录入!R16*$E12</f>
        <v>0</v>
      </c>
      <c r="S12" s="213">
        <f>前台好评提成录入!S16*$E12</f>
        <v>0</v>
      </c>
      <c r="T12" s="213">
        <f>前台好评提成录入!T16*$E12</f>
        <v>0</v>
      </c>
      <c r="U12" s="213">
        <f>前台好评提成录入!U16*$E12</f>
        <v>0</v>
      </c>
      <c r="V12" s="213">
        <f>前台好评提成录入!V16*$E12</f>
        <v>0</v>
      </c>
      <c r="W12" s="213">
        <f>前台好评提成录入!W16*$E12</f>
        <v>0</v>
      </c>
      <c r="X12" s="213">
        <f>前台好评提成录入!X16*$E12</f>
        <v>0</v>
      </c>
      <c r="Y12" s="213">
        <f>前台好评提成录入!Y16*$E12</f>
        <v>0</v>
      </c>
      <c r="Z12" s="213">
        <f>前台好评提成录入!Z16*$E12</f>
        <v>0</v>
      </c>
      <c r="AA12" s="213">
        <f>前台好评提成录入!AA16*$E12</f>
        <v>0</v>
      </c>
      <c r="AB12" s="213">
        <f>前台好评提成录入!AB16*$E12</f>
        <v>0</v>
      </c>
      <c r="AC12" s="213">
        <f>前台好评提成录入!AC16*$E12</f>
        <v>0</v>
      </c>
      <c r="AD12" s="213">
        <f>前台好评提成录入!AD16*$E12</f>
        <v>0</v>
      </c>
      <c r="AE12" s="213">
        <f>前台好评提成录入!AE16*$E12</f>
        <v>0</v>
      </c>
      <c r="AF12" s="213">
        <f>前台好评提成录入!AF16*$E12</f>
        <v>0</v>
      </c>
      <c r="AG12" s="213">
        <f>前台好评提成录入!AG16*$E12</f>
        <v>0</v>
      </c>
      <c r="AH12" s="213">
        <f>前台好评提成录入!AH16*$E12</f>
        <v>0</v>
      </c>
      <c r="AI12" s="213">
        <f>前台好评提成录入!AI16*$E12</f>
        <v>0</v>
      </c>
      <c r="AJ12" s="213">
        <f>前台好评提成录入!AJ16*$E12</f>
        <v>0</v>
      </c>
      <c r="AK12" s="213">
        <f>前台好评提成录入!AK16*$E12</f>
        <v>0</v>
      </c>
      <c r="AL12" s="213">
        <f>前台好评提成录入!AL16*$E12</f>
        <v>0</v>
      </c>
    </row>
    <row r="13" s="178" customFormat="1" customHeight="1" spans="1:38">
      <c r="A13" s="161">
        <v>9</v>
      </c>
      <c r="B13" s="21" t="str">
        <f>前台好评提成录入!B17</f>
        <v>徐嘉瑜</v>
      </c>
      <c r="C13" s="21" t="str">
        <f>前台好评提成录入!C17</f>
        <v>黑/金优质</v>
      </c>
      <c r="D13" s="21" t="str">
        <f>前台好评提成录入!D17</f>
        <v>条</v>
      </c>
      <c r="E13" s="21">
        <f>前台好评提成录入!E17</f>
        <v>30</v>
      </c>
      <c r="F13" s="21">
        <f>前台好评提成录入!F17</f>
        <v>0</v>
      </c>
      <c r="G13" s="21">
        <f>前台好评提成录入!G17</f>
        <v>0</v>
      </c>
      <c r="H13" s="213">
        <f>前台好评提成录入!H17*$E13</f>
        <v>0</v>
      </c>
      <c r="I13" s="213">
        <f>前台好评提成录入!I17*$E13</f>
        <v>0</v>
      </c>
      <c r="J13" s="213">
        <f>前台好评提成录入!J17*$E13</f>
        <v>0</v>
      </c>
      <c r="K13" s="213">
        <f>前台好评提成录入!K17*$E13</f>
        <v>0</v>
      </c>
      <c r="L13" s="213">
        <f>前台好评提成录入!L17*$E13</f>
        <v>0</v>
      </c>
      <c r="M13" s="213">
        <f>前台好评提成录入!M17*$E13</f>
        <v>0</v>
      </c>
      <c r="N13" s="213">
        <f>前台好评提成录入!N17*$E13</f>
        <v>0</v>
      </c>
      <c r="O13" s="213">
        <f>前台好评提成录入!O17*$E13</f>
        <v>0</v>
      </c>
      <c r="P13" s="213">
        <f>前台好评提成录入!P17*$E13</f>
        <v>0</v>
      </c>
      <c r="Q13" s="213">
        <f>前台好评提成录入!Q17*$E13</f>
        <v>0</v>
      </c>
      <c r="R13" s="213">
        <f>前台好评提成录入!R17*$E13</f>
        <v>0</v>
      </c>
      <c r="S13" s="213">
        <f>前台好评提成录入!S17*$E13</f>
        <v>0</v>
      </c>
      <c r="T13" s="213">
        <f>前台好评提成录入!T17*$E13</f>
        <v>0</v>
      </c>
      <c r="U13" s="213">
        <f>前台好评提成录入!U17*$E13</f>
        <v>0</v>
      </c>
      <c r="V13" s="213">
        <f>前台好评提成录入!V17*$E13</f>
        <v>0</v>
      </c>
      <c r="W13" s="213">
        <f>前台好评提成录入!W17*$E13</f>
        <v>0</v>
      </c>
      <c r="X13" s="213">
        <f>前台好评提成录入!X17*$E13</f>
        <v>0</v>
      </c>
      <c r="Y13" s="213">
        <f>前台好评提成录入!Y17*$E13</f>
        <v>0</v>
      </c>
      <c r="Z13" s="213">
        <f>前台好评提成录入!Z17*$E13</f>
        <v>0</v>
      </c>
      <c r="AA13" s="213">
        <f>前台好评提成录入!AA17*$E13</f>
        <v>0</v>
      </c>
      <c r="AB13" s="213">
        <f>前台好评提成录入!AB17*$E13</f>
        <v>0</v>
      </c>
      <c r="AC13" s="213">
        <f>前台好评提成录入!AC17*$E13</f>
        <v>0</v>
      </c>
      <c r="AD13" s="213">
        <f>前台好评提成录入!AD17*$E13</f>
        <v>0</v>
      </c>
      <c r="AE13" s="213">
        <f>前台好评提成录入!AE17*$E13</f>
        <v>0</v>
      </c>
      <c r="AF13" s="213">
        <f>前台好评提成录入!AF17*$E13</f>
        <v>0</v>
      </c>
      <c r="AG13" s="213">
        <f>前台好评提成录入!AG17*$E13</f>
        <v>0</v>
      </c>
      <c r="AH13" s="213">
        <f>前台好评提成录入!AH17*$E13</f>
        <v>0</v>
      </c>
      <c r="AI13" s="213">
        <f>前台好评提成录入!AI17*$E13</f>
        <v>0</v>
      </c>
      <c r="AJ13" s="213">
        <f>前台好评提成录入!AJ17*$E13</f>
        <v>0</v>
      </c>
      <c r="AK13" s="213">
        <f>前台好评提成录入!AK17*$E13</f>
        <v>0</v>
      </c>
      <c r="AL13" s="213">
        <f>前台好评提成录入!AL17*$E13</f>
        <v>0</v>
      </c>
    </row>
    <row r="14" s="178" customFormat="1" customHeight="1" spans="1:38">
      <c r="A14" s="161">
        <v>10</v>
      </c>
      <c r="B14" s="21" t="str">
        <f>前台好评提成录入!B18</f>
        <v>徐嘉瑜</v>
      </c>
      <c r="C14" s="21" t="str">
        <f>前台好评提成录入!C18</f>
        <v>去哪儿</v>
      </c>
      <c r="D14" s="21" t="str">
        <f>前台好评提成录入!D18</f>
        <v>条</v>
      </c>
      <c r="E14" s="21">
        <f>前台好评提成录入!E18</f>
        <v>5</v>
      </c>
      <c r="F14" s="21">
        <f>前台好评提成录入!F18</f>
        <v>0</v>
      </c>
      <c r="G14" s="21">
        <f>前台好评提成录入!G18</f>
        <v>0</v>
      </c>
      <c r="H14" s="213">
        <f>前台好评提成录入!H18*$E14</f>
        <v>0</v>
      </c>
      <c r="I14" s="213">
        <f>前台好评提成录入!I18*$E14</f>
        <v>0</v>
      </c>
      <c r="J14" s="213">
        <f>前台好评提成录入!J18*$E14</f>
        <v>0</v>
      </c>
      <c r="K14" s="213">
        <f>前台好评提成录入!K18*$E14</f>
        <v>0</v>
      </c>
      <c r="L14" s="213">
        <f>前台好评提成录入!L18*$E14</f>
        <v>0</v>
      </c>
      <c r="M14" s="213">
        <f>前台好评提成录入!M18*$E14</f>
        <v>0</v>
      </c>
      <c r="N14" s="213">
        <f>前台好评提成录入!N18*$E14</f>
        <v>0</v>
      </c>
      <c r="O14" s="213">
        <f>前台好评提成录入!O18*$E14</f>
        <v>0</v>
      </c>
      <c r="P14" s="213">
        <f>前台好评提成录入!P18*$E14</f>
        <v>0</v>
      </c>
      <c r="Q14" s="213">
        <f>前台好评提成录入!Q18*$E14</f>
        <v>0</v>
      </c>
      <c r="R14" s="213">
        <f>前台好评提成录入!R18*$E14</f>
        <v>0</v>
      </c>
      <c r="S14" s="213">
        <f>前台好评提成录入!S18*$E14</f>
        <v>0</v>
      </c>
      <c r="T14" s="213">
        <f>前台好评提成录入!T18*$E14</f>
        <v>0</v>
      </c>
      <c r="U14" s="213">
        <f>前台好评提成录入!U18*$E14</f>
        <v>0</v>
      </c>
      <c r="V14" s="213">
        <f>前台好评提成录入!V18*$E14</f>
        <v>0</v>
      </c>
      <c r="W14" s="213">
        <f>前台好评提成录入!W18*$E14</f>
        <v>0</v>
      </c>
      <c r="X14" s="213">
        <f>前台好评提成录入!X18*$E14</f>
        <v>0</v>
      </c>
      <c r="Y14" s="213">
        <f>前台好评提成录入!Y18*$E14</f>
        <v>0</v>
      </c>
      <c r="Z14" s="213">
        <f>前台好评提成录入!Z18*$E14</f>
        <v>0</v>
      </c>
      <c r="AA14" s="213">
        <f>前台好评提成录入!AA18*$E14</f>
        <v>0</v>
      </c>
      <c r="AB14" s="213">
        <f>前台好评提成录入!AB18*$E14</f>
        <v>0</v>
      </c>
      <c r="AC14" s="213">
        <f>前台好评提成录入!AC18*$E14</f>
        <v>0</v>
      </c>
      <c r="AD14" s="213">
        <f>前台好评提成录入!AD18*$E14</f>
        <v>0</v>
      </c>
      <c r="AE14" s="213">
        <f>前台好评提成录入!AE18*$E14</f>
        <v>0</v>
      </c>
      <c r="AF14" s="213">
        <f>前台好评提成录入!AF18*$E14</f>
        <v>0</v>
      </c>
      <c r="AG14" s="213">
        <f>前台好评提成录入!AG18*$E14</f>
        <v>0</v>
      </c>
      <c r="AH14" s="213">
        <f>前台好评提成录入!AH18*$E14</f>
        <v>0</v>
      </c>
      <c r="AI14" s="213">
        <f>前台好评提成录入!AI18*$E14</f>
        <v>0</v>
      </c>
      <c r="AJ14" s="213">
        <f>前台好评提成录入!AJ18*$E14</f>
        <v>0</v>
      </c>
      <c r="AK14" s="213">
        <f>前台好评提成录入!AK18*$E14</f>
        <v>0</v>
      </c>
      <c r="AL14" s="213">
        <f>前台好评提成录入!AL18*$E14</f>
        <v>0</v>
      </c>
    </row>
    <row r="15" s="178" customFormat="1" customHeight="1" spans="1:38">
      <c r="A15" s="161">
        <v>11</v>
      </c>
      <c r="B15" s="21" t="str">
        <f>前台好评提成录入!B19</f>
        <v>徐嘉瑜</v>
      </c>
      <c r="C15" s="21" t="str">
        <f>前台好评提成录入!C19</f>
        <v>同程</v>
      </c>
      <c r="D15" s="21" t="str">
        <f>前台好评提成录入!D19</f>
        <v>条</v>
      </c>
      <c r="E15" s="21">
        <f>前台好评提成录入!E19</f>
        <v>5</v>
      </c>
      <c r="F15" s="21">
        <f>前台好评提成录入!F19</f>
        <v>1</v>
      </c>
      <c r="G15" s="21">
        <f>前台好评提成录入!G19</f>
        <v>5</v>
      </c>
      <c r="H15" s="213">
        <f>前台好评提成录入!H19*$E15</f>
        <v>5</v>
      </c>
      <c r="I15" s="213">
        <f>前台好评提成录入!I19*$E15</f>
        <v>0</v>
      </c>
      <c r="J15" s="213">
        <f>前台好评提成录入!J19*$E15</f>
        <v>0</v>
      </c>
      <c r="K15" s="213">
        <f>前台好评提成录入!K19*$E15</f>
        <v>0</v>
      </c>
      <c r="L15" s="213">
        <f>前台好评提成录入!L19*$E15</f>
        <v>0</v>
      </c>
      <c r="M15" s="213">
        <f>前台好评提成录入!M19*$E15</f>
        <v>0</v>
      </c>
      <c r="N15" s="213">
        <f>前台好评提成录入!N19*$E15</f>
        <v>0</v>
      </c>
      <c r="O15" s="213">
        <f>前台好评提成录入!O19*$E15</f>
        <v>0</v>
      </c>
      <c r="P15" s="213">
        <f>前台好评提成录入!P19*$E15</f>
        <v>0</v>
      </c>
      <c r="Q15" s="213">
        <f>前台好评提成录入!Q19*$E15</f>
        <v>0</v>
      </c>
      <c r="R15" s="213">
        <f>前台好评提成录入!R19*$E15</f>
        <v>0</v>
      </c>
      <c r="S15" s="213">
        <f>前台好评提成录入!S19*$E15</f>
        <v>0</v>
      </c>
      <c r="T15" s="213">
        <f>前台好评提成录入!T19*$E15</f>
        <v>0</v>
      </c>
      <c r="U15" s="213">
        <f>前台好评提成录入!U19*$E15</f>
        <v>0</v>
      </c>
      <c r="V15" s="213">
        <f>前台好评提成录入!V19*$E15</f>
        <v>0</v>
      </c>
      <c r="W15" s="213">
        <f>前台好评提成录入!W19*$E15</f>
        <v>0</v>
      </c>
      <c r="X15" s="213">
        <f>前台好评提成录入!X19*$E15</f>
        <v>0</v>
      </c>
      <c r="Y15" s="213">
        <f>前台好评提成录入!Y19*$E15</f>
        <v>0</v>
      </c>
      <c r="Z15" s="213">
        <f>前台好评提成录入!Z19*$E15</f>
        <v>0</v>
      </c>
      <c r="AA15" s="213">
        <f>前台好评提成录入!AA19*$E15</f>
        <v>0</v>
      </c>
      <c r="AB15" s="213">
        <f>前台好评提成录入!AB19*$E15</f>
        <v>0</v>
      </c>
      <c r="AC15" s="213">
        <f>前台好评提成录入!AC19*$E15</f>
        <v>0</v>
      </c>
      <c r="AD15" s="213">
        <f>前台好评提成录入!AD19*$E15</f>
        <v>0</v>
      </c>
      <c r="AE15" s="213">
        <f>前台好评提成录入!AE19*$E15</f>
        <v>0</v>
      </c>
      <c r="AF15" s="213">
        <f>前台好评提成录入!AF19*$E15</f>
        <v>0</v>
      </c>
      <c r="AG15" s="213">
        <f>前台好评提成录入!AG19*$E15</f>
        <v>0</v>
      </c>
      <c r="AH15" s="213">
        <f>前台好评提成录入!AH19*$E15</f>
        <v>0</v>
      </c>
      <c r="AI15" s="213">
        <f>前台好评提成录入!AI19*$E15</f>
        <v>0</v>
      </c>
      <c r="AJ15" s="213">
        <f>前台好评提成录入!AJ19*$E15</f>
        <v>0</v>
      </c>
      <c r="AK15" s="213">
        <f>前台好评提成录入!AK19*$E15</f>
        <v>0</v>
      </c>
      <c r="AL15" s="213">
        <f>前台好评提成录入!AL19*$E15</f>
        <v>0</v>
      </c>
    </row>
    <row r="16" s="178" customFormat="1" customHeight="1" spans="1:38">
      <c r="A16" s="161">
        <v>12</v>
      </c>
      <c r="B16" s="21" t="str">
        <f>前台好评提成录入!B20</f>
        <v>徐嘉瑜</v>
      </c>
      <c r="C16" s="21" t="str">
        <f>前台好评提成录入!C20</f>
        <v>智行</v>
      </c>
      <c r="D16" s="21" t="str">
        <f>前台好评提成录入!D20</f>
        <v>条</v>
      </c>
      <c r="E16" s="21">
        <f>前台好评提成录入!E20</f>
        <v>5</v>
      </c>
      <c r="F16" s="21">
        <f>前台好评提成录入!F20</f>
        <v>0</v>
      </c>
      <c r="G16" s="21">
        <f>前台好评提成录入!G20</f>
        <v>0</v>
      </c>
      <c r="H16" s="213">
        <f>前台好评提成录入!H20*$E16</f>
        <v>0</v>
      </c>
      <c r="I16" s="213">
        <f>前台好评提成录入!I20*$E16</f>
        <v>0</v>
      </c>
      <c r="J16" s="213">
        <f>前台好评提成录入!J20*$E16</f>
        <v>0</v>
      </c>
      <c r="K16" s="213">
        <f>前台好评提成录入!K20*$E16</f>
        <v>0</v>
      </c>
      <c r="L16" s="213">
        <f>前台好评提成录入!L20*$E16</f>
        <v>0</v>
      </c>
      <c r="M16" s="213">
        <f>前台好评提成录入!M20*$E16</f>
        <v>0</v>
      </c>
      <c r="N16" s="213">
        <f>前台好评提成录入!N20*$E16</f>
        <v>0</v>
      </c>
      <c r="O16" s="213">
        <f>前台好评提成录入!O20*$E16</f>
        <v>0</v>
      </c>
      <c r="P16" s="213">
        <f>前台好评提成录入!P20*$E16</f>
        <v>0</v>
      </c>
      <c r="Q16" s="213">
        <f>前台好评提成录入!Q20*$E16</f>
        <v>0</v>
      </c>
      <c r="R16" s="213">
        <f>前台好评提成录入!R20*$E16</f>
        <v>0</v>
      </c>
      <c r="S16" s="213">
        <f>前台好评提成录入!S20*$E16</f>
        <v>0</v>
      </c>
      <c r="T16" s="213">
        <f>前台好评提成录入!T20*$E16</f>
        <v>0</v>
      </c>
      <c r="U16" s="213">
        <f>前台好评提成录入!U20*$E16</f>
        <v>0</v>
      </c>
      <c r="V16" s="213">
        <f>前台好评提成录入!V20*$E16</f>
        <v>0</v>
      </c>
      <c r="W16" s="213">
        <f>前台好评提成录入!W20*$E16</f>
        <v>0</v>
      </c>
      <c r="X16" s="213">
        <f>前台好评提成录入!X20*$E16</f>
        <v>0</v>
      </c>
      <c r="Y16" s="213">
        <f>前台好评提成录入!Y20*$E16</f>
        <v>0</v>
      </c>
      <c r="Z16" s="213">
        <f>前台好评提成录入!Z20*$E16</f>
        <v>0</v>
      </c>
      <c r="AA16" s="213">
        <f>前台好评提成录入!AA20*$E16</f>
        <v>0</v>
      </c>
      <c r="AB16" s="213">
        <f>前台好评提成录入!AB20*$E16</f>
        <v>0</v>
      </c>
      <c r="AC16" s="213">
        <f>前台好评提成录入!AC20*$E16</f>
        <v>0</v>
      </c>
      <c r="AD16" s="213">
        <f>前台好评提成录入!AD20*$E16</f>
        <v>0</v>
      </c>
      <c r="AE16" s="213">
        <f>前台好评提成录入!AE20*$E16</f>
        <v>0</v>
      </c>
      <c r="AF16" s="213">
        <f>前台好评提成录入!AF20*$E16</f>
        <v>0</v>
      </c>
      <c r="AG16" s="213">
        <f>前台好评提成录入!AG20*$E16</f>
        <v>0</v>
      </c>
      <c r="AH16" s="213">
        <f>前台好评提成录入!AH20*$E16</f>
        <v>0</v>
      </c>
      <c r="AI16" s="213">
        <f>前台好评提成录入!AI20*$E16</f>
        <v>0</v>
      </c>
      <c r="AJ16" s="213">
        <f>前台好评提成录入!AJ20*$E16</f>
        <v>0</v>
      </c>
      <c r="AK16" s="213">
        <f>前台好评提成录入!AK20*$E16</f>
        <v>0</v>
      </c>
      <c r="AL16" s="213">
        <f>前台好评提成录入!AL20*$E16</f>
        <v>0</v>
      </c>
    </row>
    <row r="17" s="178" customFormat="1" customHeight="1" spans="1:38">
      <c r="A17" s="161">
        <v>13</v>
      </c>
      <c r="B17" s="21" t="str">
        <f>前台好评提成录入!B21</f>
        <v>徐嘉瑜</v>
      </c>
      <c r="C17" s="21" t="str">
        <f>前台好评提成录入!C21</f>
        <v>抖音</v>
      </c>
      <c r="D17" s="21" t="str">
        <f>前台好评提成录入!D21</f>
        <v>条</v>
      </c>
      <c r="E17" s="21">
        <f>前台好评提成录入!E21</f>
        <v>5</v>
      </c>
      <c r="F17" s="21">
        <f>前台好评提成录入!F21</f>
        <v>2</v>
      </c>
      <c r="G17" s="21">
        <f>前台好评提成录入!G21</f>
        <v>10</v>
      </c>
      <c r="H17" s="213">
        <f>前台好评提成录入!H21*$E17</f>
        <v>10</v>
      </c>
      <c r="I17" s="213">
        <f>前台好评提成录入!I21*$E17</f>
        <v>0</v>
      </c>
      <c r="J17" s="213">
        <f>前台好评提成录入!J21*$E17</f>
        <v>0</v>
      </c>
      <c r="K17" s="213">
        <f>前台好评提成录入!K21*$E17</f>
        <v>0</v>
      </c>
      <c r="L17" s="213">
        <f>前台好评提成录入!L21*$E17</f>
        <v>0</v>
      </c>
      <c r="M17" s="213">
        <f>前台好评提成录入!M21*$E17</f>
        <v>0</v>
      </c>
      <c r="N17" s="213">
        <f>前台好评提成录入!N21*$E17</f>
        <v>0</v>
      </c>
      <c r="O17" s="213">
        <f>前台好评提成录入!O21*$E17</f>
        <v>0</v>
      </c>
      <c r="P17" s="213">
        <f>前台好评提成录入!P21*$E17</f>
        <v>0</v>
      </c>
      <c r="Q17" s="213">
        <f>前台好评提成录入!Q21*$E17</f>
        <v>0</v>
      </c>
      <c r="R17" s="213">
        <f>前台好评提成录入!R21*$E17</f>
        <v>0</v>
      </c>
      <c r="S17" s="213">
        <f>前台好评提成录入!S21*$E17</f>
        <v>0</v>
      </c>
      <c r="T17" s="213">
        <f>前台好评提成录入!T21*$E17</f>
        <v>0</v>
      </c>
      <c r="U17" s="213">
        <f>前台好评提成录入!U21*$E17</f>
        <v>0</v>
      </c>
      <c r="V17" s="213">
        <f>前台好评提成录入!V21*$E17</f>
        <v>0</v>
      </c>
      <c r="W17" s="213">
        <f>前台好评提成录入!W21*$E17</f>
        <v>0</v>
      </c>
      <c r="X17" s="213">
        <f>前台好评提成录入!X21*$E17</f>
        <v>0</v>
      </c>
      <c r="Y17" s="213">
        <f>前台好评提成录入!Y21*$E17</f>
        <v>0</v>
      </c>
      <c r="Z17" s="213">
        <f>前台好评提成录入!Z21*$E17</f>
        <v>0</v>
      </c>
      <c r="AA17" s="213">
        <f>前台好评提成录入!AA21*$E17</f>
        <v>0</v>
      </c>
      <c r="AB17" s="213">
        <f>前台好评提成录入!AB21*$E17</f>
        <v>0</v>
      </c>
      <c r="AC17" s="213">
        <f>前台好评提成录入!AC21*$E17</f>
        <v>0</v>
      </c>
      <c r="AD17" s="213">
        <f>前台好评提成录入!AD21*$E17</f>
        <v>0</v>
      </c>
      <c r="AE17" s="213">
        <f>前台好评提成录入!AE21*$E17</f>
        <v>0</v>
      </c>
      <c r="AF17" s="213">
        <f>前台好评提成录入!AF21*$E17</f>
        <v>0</v>
      </c>
      <c r="AG17" s="213">
        <f>前台好评提成录入!AG21*$E17</f>
        <v>0</v>
      </c>
      <c r="AH17" s="213">
        <f>前台好评提成录入!AH21*$E17</f>
        <v>0</v>
      </c>
      <c r="AI17" s="213">
        <f>前台好评提成录入!AI21*$E17</f>
        <v>0</v>
      </c>
      <c r="AJ17" s="213">
        <f>前台好评提成录入!AJ21*$E17</f>
        <v>0</v>
      </c>
      <c r="AK17" s="213">
        <f>前台好评提成录入!AK21*$E17</f>
        <v>0</v>
      </c>
      <c r="AL17" s="213">
        <f>前台好评提成录入!AL21*$E17</f>
        <v>0</v>
      </c>
    </row>
    <row r="18" s="178" customFormat="1" customHeight="1" spans="1:38">
      <c r="A18" s="161">
        <v>14</v>
      </c>
      <c r="B18" s="21" t="str">
        <f>前台好评提成录入!B22</f>
        <v>徐嘉瑜</v>
      </c>
      <c r="C18" s="21" t="str">
        <f>前台好评提成录入!C22</f>
        <v>美团</v>
      </c>
      <c r="D18" s="21" t="str">
        <f>前台好评提成录入!D22</f>
        <v>条</v>
      </c>
      <c r="E18" s="21">
        <f>前台好评提成录入!E22</f>
        <v>5</v>
      </c>
      <c r="F18" s="21">
        <f>前台好评提成录入!F22</f>
        <v>20</v>
      </c>
      <c r="G18" s="21">
        <f>前台好评提成录入!G22</f>
        <v>100</v>
      </c>
      <c r="H18" s="213">
        <f>前台好评提成录入!H22*$E18</f>
        <v>100</v>
      </c>
      <c r="I18" s="213">
        <f>前台好评提成录入!I22*$E18</f>
        <v>0</v>
      </c>
      <c r="J18" s="213">
        <f>前台好评提成录入!J22*$E18</f>
        <v>0</v>
      </c>
      <c r="K18" s="213">
        <f>前台好评提成录入!K22*$E18</f>
        <v>0</v>
      </c>
      <c r="L18" s="213">
        <f>前台好评提成录入!L22*$E18</f>
        <v>0</v>
      </c>
      <c r="M18" s="213">
        <f>前台好评提成录入!M22*$E18</f>
        <v>0</v>
      </c>
      <c r="N18" s="213">
        <f>前台好评提成录入!N22*$E18</f>
        <v>0</v>
      </c>
      <c r="O18" s="213">
        <f>前台好评提成录入!O22*$E18</f>
        <v>0</v>
      </c>
      <c r="P18" s="213">
        <f>前台好评提成录入!P22*$E18</f>
        <v>0</v>
      </c>
      <c r="Q18" s="213">
        <f>前台好评提成录入!Q22*$E18</f>
        <v>0</v>
      </c>
      <c r="R18" s="213">
        <f>前台好评提成录入!R22*$E18</f>
        <v>0</v>
      </c>
      <c r="S18" s="213">
        <f>前台好评提成录入!S22*$E18</f>
        <v>0</v>
      </c>
      <c r="T18" s="213">
        <f>前台好评提成录入!T22*$E18</f>
        <v>0</v>
      </c>
      <c r="U18" s="213">
        <f>前台好评提成录入!U22*$E18</f>
        <v>0</v>
      </c>
      <c r="V18" s="213">
        <f>前台好评提成录入!V22*$E18</f>
        <v>0</v>
      </c>
      <c r="W18" s="213">
        <f>前台好评提成录入!W22*$E18</f>
        <v>0</v>
      </c>
      <c r="X18" s="213">
        <f>前台好评提成录入!X22*$E18</f>
        <v>0</v>
      </c>
      <c r="Y18" s="213">
        <f>前台好评提成录入!Y22*$E18</f>
        <v>0</v>
      </c>
      <c r="Z18" s="213">
        <f>前台好评提成录入!Z22*$E18</f>
        <v>0</v>
      </c>
      <c r="AA18" s="213">
        <f>前台好评提成录入!AA22*$E18</f>
        <v>0</v>
      </c>
      <c r="AB18" s="213">
        <f>前台好评提成录入!AB22*$E18</f>
        <v>0</v>
      </c>
      <c r="AC18" s="213">
        <f>前台好评提成录入!AC22*$E18</f>
        <v>0</v>
      </c>
      <c r="AD18" s="213">
        <f>前台好评提成录入!AD22*$E18</f>
        <v>0</v>
      </c>
      <c r="AE18" s="213">
        <f>前台好评提成录入!AE22*$E18</f>
        <v>0</v>
      </c>
      <c r="AF18" s="213">
        <f>前台好评提成录入!AF22*$E18</f>
        <v>0</v>
      </c>
      <c r="AG18" s="213">
        <f>前台好评提成录入!AG22*$E18</f>
        <v>0</v>
      </c>
      <c r="AH18" s="213">
        <f>前台好评提成录入!AH22*$E18</f>
        <v>0</v>
      </c>
      <c r="AI18" s="213">
        <f>前台好评提成录入!AI22*$E18</f>
        <v>0</v>
      </c>
      <c r="AJ18" s="213">
        <f>前台好评提成录入!AJ22*$E18</f>
        <v>0</v>
      </c>
      <c r="AK18" s="213">
        <f>前台好评提成录入!AK22*$E18</f>
        <v>0</v>
      </c>
      <c r="AL18" s="213">
        <f>前台好评提成录入!AL22*$E18</f>
        <v>0</v>
      </c>
    </row>
    <row r="19" s="178" customFormat="1" customHeight="1" spans="1:38">
      <c r="A19" s="161">
        <v>15</v>
      </c>
      <c r="B19" s="21" t="str">
        <f>前台好评提成录入!B23</f>
        <v>徐嘉瑜</v>
      </c>
      <c r="C19" s="21" t="str">
        <f>前台好评提成录入!C23</f>
        <v>飞猪</v>
      </c>
      <c r="D19" s="21" t="str">
        <f>前台好评提成录入!D23</f>
        <v>条</v>
      </c>
      <c r="E19" s="21">
        <f>前台好评提成录入!E23</f>
        <v>5</v>
      </c>
      <c r="F19" s="21">
        <f>前台好评提成录入!F23</f>
        <v>1</v>
      </c>
      <c r="G19" s="21">
        <f>前台好评提成录入!G23</f>
        <v>5</v>
      </c>
      <c r="H19" s="213">
        <f>前台好评提成录入!H23*$E19</f>
        <v>5</v>
      </c>
      <c r="I19" s="213">
        <f>前台好评提成录入!I23*$E19</f>
        <v>0</v>
      </c>
      <c r="J19" s="213">
        <f>前台好评提成录入!J23*$E19</f>
        <v>0</v>
      </c>
      <c r="K19" s="213">
        <f>前台好评提成录入!K23*$E19</f>
        <v>0</v>
      </c>
      <c r="L19" s="213">
        <f>前台好评提成录入!L23*$E19</f>
        <v>0</v>
      </c>
      <c r="M19" s="213">
        <f>前台好评提成录入!M23*$E19</f>
        <v>0</v>
      </c>
      <c r="N19" s="213">
        <f>前台好评提成录入!N23*$E19</f>
        <v>0</v>
      </c>
      <c r="O19" s="213">
        <f>前台好评提成录入!O23*$E19</f>
        <v>0</v>
      </c>
      <c r="P19" s="213">
        <f>前台好评提成录入!P23*$E19</f>
        <v>0</v>
      </c>
      <c r="Q19" s="213">
        <f>前台好评提成录入!Q23*$E19</f>
        <v>0</v>
      </c>
      <c r="R19" s="213">
        <f>前台好评提成录入!R23*$E19</f>
        <v>0</v>
      </c>
      <c r="S19" s="213">
        <f>前台好评提成录入!S23*$E19</f>
        <v>0</v>
      </c>
      <c r="T19" s="213">
        <f>前台好评提成录入!T23*$E19</f>
        <v>0</v>
      </c>
      <c r="U19" s="213">
        <f>前台好评提成录入!U23*$E19</f>
        <v>0</v>
      </c>
      <c r="V19" s="213">
        <f>前台好评提成录入!V23*$E19</f>
        <v>0</v>
      </c>
      <c r="W19" s="213">
        <f>前台好评提成录入!W23*$E19</f>
        <v>0</v>
      </c>
      <c r="X19" s="213">
        <f>前台好评提成录入!X23*$E19</f>
        <v>0</v>
      </c>
      <c r="Y19" s="213">
        <f>前台好评提成录入!Y23*$E19</f>
        <v>0</v>
      </c>
      <c r="Z19" s="213">
        <f>前台好评提成录入!Z23*$E19</f>
        <v>0</v>
      </c>
      <c r="AA19" s="213">
        <f>前台好评提成录入!AA23*$E19</f>
        <v>0</v>
      </c>
      <c r="AB19" s="213">
        <f>前台好评提成录入!AB23*$E19</f>
        <v>0</v>
      </c>
      <c r="AC19" s="213">
        <f>前台好评提成录入!AC23*$E19</f>
        <v>0</v>
      </c>
      <c r="AD19" s="213">
        <f>前台好评提成录入!AD23*$E19</f>
        <v>0</v>
      </c>
      <c r="AE19" s="213">
        <f>前台好评提成录入!AE23*$E19</f>
        <v>0</v>
      </c>
      <c r="AF19" s="213">
        <f>前台好评提成录入!AF23*$E19</f>
        <v>0</v>
      </c>
      <c r="AG19" s="213">
        <f>前台好评提成录入!AG23*$E19</f>
        <v>0</v>
      </c>
      <c r="AH19" s="213">
        <f>前台好评提成录入!AH23*$E19</f>
        <v>0</v>
      </c>
      <c r="AI19" s="213">
        <f>前台好评提成录入!AI23*$E19</f>
        <v>0</v>
      </c>
      <c r="AJ19" s="213">
        <f>前台好评提成录入!AJ23*$E19</f>
        <v>0</v>
      </c>
      <c r="AK19" s="213">
        <f>前台好评提成录入!AK23*$E19</f>
        <v>0</v>
      </c>
      <c r="AL19" s="213">
        <f>前台好评提成录入!AL23*$E19</f>
        <v>0</v>
      </c>
    </row>
    <row r="20" s="178" customFormat="1" customHeight="1" spans="1:38">
      <c r="A20" s="161">
        <v>16</v>
      </c>
      <c r="B20" s="21" t="str">
        <f>前台好评提成录入!B24</f>
        <v>徐嘉瑜</v>
      </c>
      <c r="C20" s="21" t="str">
        <f>前台好评提成录入!C24</f>
        <v>官网</v>
      </c>
      <c r="D20" s="21" t="str">
        <f>前台好评提成录入!D24</f>
        <v>条</v>
      </c>
      <c r="E20" s="21">
        <f>前台好评提成录入!E24</f>
        <v>5</v>
      </c>
      <c r="F20" s="21">
        <f>前台好评提成录入!F24</f>
        <v>7</v>
      </c>
      <c r="G20" s="21">
        <f>前台好评提成录入!G24</f>
        <v>35</v>
      </c>
      <c r="H20" s="213">
        <f>前台好评提成录入!H24*$E20</f>
        <v>35</v>
      </c>
      <c r="I20" s="213">
        <f>前台好评提成录入!I24*$E20</f>
        <v>0</v>
      </c>
      <c r="J20" s="213">
        <f>前台好评提成录入!J24*$E20</f>
        <v>0</v>
      </c>
      <c r="K20" s="213">
        <f>前台好评提成录入!K24*$E20</f>
        <v>0</v>
      </c>
      <c r="L20" s="213">
        <f>前台好评提成录入!L24*$E20</f>
        <v>0</v>
      </c>
      <c r="M20" s="213">
        <f>前台好评提成录入!M24*$E20</f>
        <v>0</v>
      </c>
      <c r="N20" s="213">
        <f>前台好评提成录入!N24*$E20</f>
        <v>0</v>
      </c>
      <c r="O20" s="213">
        <f>前台好评提成录入!O24*$E20</f>
        <v>0</v>
      </c>
      <c r="P20" s="213">
        <f>前台好评提成录入!P24*$E20</f>
        <v>0</v>
      </c>
      <c r="Q20" s="213">
        <f>前台好评提成录入!Q24*$E20</f>
        <v>0</v>
      </c>
      <c r="R20" s="213">
        <f>前台好评提成录入!R24*$E20</f>
        <v>0</v>
      </c>
      <c r="S20" s="213">
        <f>前台好评提成录入!S24*$E20</f>
        <v>0</v>
      </c>
      <c r="T20" s="213">
        <f>前台好评提成录入!T24*$E20</f>
        <v>0</v>
      </c>
      <c r="U20" s="213">
        <f>前台好评提成录入!U24*$E20</f>
        <v>0</v>
      </c>
      <c r="V20" s="213">
        <f>前台好评提成录入!V24*$E20</f>
        <v>0</v>
      </c>
      <c r="W20" s="213">
        <f>前台好评提成录入!W24*$E20</f>
        <v>0</v>
      </c>
      <c r="X20" s="213">
        <f>前台好评提成录入!X24*$E20</f>
        <v>0</v>
      </c>
      <c r="Y20" s="213">
        <f>前台好评提成录入!Y24*$E20</f>
        <v>0</v>
      </c>
      <c r="Z20" s="213">
        <f>前台好评提成录入!Z24*$E20</f>
        <v>0</v>
      </c>
      <c r="AA20" s="213">
        <f>前台好评提成录入!AA24*$E20</f>
        <v>0</v>
      </c>
      <c r="AB20" s="213">
        <f>前台好评提成录入!AB24*$E20</f>
        <v>0</v>
      </c>
      <c r="AC20" s="213">
        <f>前台好评提成录入!AC24*$E20</f>
        <v>0</v>
      </c>
      <c r="AD20" s="213">
        <f>前台好评提成录入!AD24*$E20</f>
        <v>0</v>
      </c>
      <c r="AE20" s="213">
        <f>前台好评提成录入!AE24*$E20</f>
        <v>0</v>
      </c>
      <c r="AF20" s="213">
        <f>前台好评提成录入!AF24*$E20</f>
        <v>0</v>
      </c>
      <c r="AG20" s="213">
        <f>前台好评提成录入!AG24*$E20</f>
        <v>0</v>
      </c>
      <c r="AH20" s="213">
        <f>前台好评提成录入!AH24*$E20</f>
        <v>0</v>
      </c>
      <c r="AI20" s="213">
        <f>前台好评提成录入!AI24*$E20</f>
        <v>0</v>
      </c>
      <c r="AJ20" s="213">
        <f>前台好评提成录入!AJ24*$E20</f>
        <v>0</v>
      </c>
      <c r="AK20" s="213">
        <f>前台好评提成录入!AK24*$E20</f>
        <v>0</v>
      </c>
      <c r="AL20" s="213">
        <f>前台好评提成录入!AL24*$E20</f>
        <v>0</v>
      </c>
    </row>
    <row r="21" s="178" customFormat="1" customHeight="1" spans="1:38">
      <c r="A21" s="161">
        <v>17</v>
      </c>
      <c r="B21" s="21" t="str">
        <f>前台好评提成录入!B25</f>
        <v>王增</v>
      </c>
      <c r="C21" s="21" t="str">
        <f>前台好评提成录入!C25</f>
        <v>携程</v>
      </c>
      <c r="D21" s="21" t="str">
        <f>前台好评提成录入!D25</f>
        <v>条</v>
      </c>
      <c r="E21" s="21">
        <f>前台好评提成录入!E25</f>
        <v>5</v>
      </c>
      <c r="F21" s="21">
        <f>前台好评提成录入!F25</f>
        <v>0</v>
      </c>
      <c r="G21" s="21">
        <f>前台好评提成录入!G25</f>
        <v>0</v>
      </c>
      <c r="H21" s="213">
        <f>前台好评提成录入!H25*$E21</f>
        <v>0</v>
      </c>
      <c r="I21" s="213">
        <f>前台好评提成录入!I25*$E21</f>
        <v>0</v>
      </c>
      <c r="J21" s="213">
        <f>前台好评提成录入!J25*$E21</f>
        <v>0</v>
      </c>
      <c r="K21" s="213">
        <f>前台好评提成录入!K25*$E21</f>
        <v>0</v>
      </c>
      <c r="L21" s="213">
        <f>前台好评提成录入!L25*$E21</f>
        <v>0</v>
      </c>
      <c r="M21" s="213">
        <f>前台好评提成录入!M25*$E21</f>
        <v>0</v>
      </c>
      <c r="N21" s="213">
        <f>前台好评提成录入!N25*$E21</f>
        <v>0</v>
      </c>
      <c r="O21" s="213">
        <f>前台好评提成录入!O25*$E21</f>
        <v>0</v>
      </c>
      <c r="P21" s="213">
        <f>前台好评提成录入!P25*$E21</f>
        <v>0</v>
      </c>
      <c r="Q21" s="213">
        <f>前台好评提成录入!Q25*$E21</f>
        <v>0</v>
      </c>
      <c r="R21" s="213">
        <f>前台好评提成录入!R25*$E21</f>
        <v>0</v>
      </c>
      <c r="S21" s="213">
        <f>前台好评提成录入!S25*$E21</f>
        <v>0</v>
      </c>
      <c r="T21" s="213">
        <f>前台好评提成录入!T25*$E21</f>
        <v>0</v>
      </c>
      <c r="U21" s="213">
        <f>前台好评提成录入!U25*$E21</f>
        <v>0</v>
      </c>
      <c r="V21" s="213">
        <f>前台好评提成录入!V25*$E21</f>
        <v>0</v>
      </c>
      <c r="W21" s="213">
        <f>前台好评提成录入!W25*$E21</f>
        <v>0</v>
      </c>
      <c r="X21" s="213">
        <f>前台好评提成录入!X25*$E21</f>
        <v>0</v>
      </c>
      <c r="Y21" s="213">
        <f>前台好评提成录入!Y25*$E21</f>
        <v>0</v>
      </c>
      <c r="Z21" s="213">
        <f>前台好评提成录入!Z25*$E21</f>
        <v>0</v>
      </c>
      <c r="AA21" s="213">
        <f>前台好评提成录入!AA25*$E21</f>
        <v>0</v>
      </c>
      <c r="AB21" s="213">
        <f>前台好评提成录入!AB25*$E21</f>
        <v>0</v>
      </c>
      <c r="AC21" s="213">
        <f>前台好评提成录入!AC25*$E21</f>
        <v>0</v>
      </c>
      <c r="AD21" s="213">
        <f>前台好评提成录入!AD25*$E21</f>
        <v>0</v>
      </c>
      <c r="AE21" s="213">
        <f>前台好评提成录入!AE25*$E21</f>
        <v>0</v>
      </c>
      <c r="AF21" s="213">
        <f>前台好评提成录入!AF25*$E21</f>
        <v>0</v>
      </c>
      <c r="AG21" s="213">
        <f>前台好评提成录入!AG25*$E21</f>
        <v>0</v>
      </c>
      <c r="AH21" s="213">
        <f>前台好评提成录入!AH25*$E21</f>
        <v>0</v>
      </c>
      <c r="AI21" s="213">
        <f>前台好评提成录入!AI25*$E21</f>
        <v>0</v>
      </c>
      <c r="AJ21" s="213">
        <f>前台好评提成录入!AJ25*$E21</f>
        <v>0</v>
      </c>
      <c r="AK21" s="213">
        <f>前台好评提成录入!AK25*$E21</f>
        <v>0</v>
      </c>
      <c r="AL21" s="213">
        <f>前台好评提成录入!AL25*$E21</f>
        <v>0</v>
      </c>
    </row>
    <row r="22" s="178" customFormat="1" customHeight="1" spans="1:38">
      <c r="A22" s="161">
        <v>18</v>
      </c>
      <c r="B22" s="21" t="str">
        <f>前台好评提成录入!B27</f>
        <v>王增</v>
      </c>
      <c r="C22" s="21" t="str">
        <f>前台好评提成录入!C27</f>
        <v>黑/金优质</v>
      </c>
      <c r="D22" s="21" t="str">
        <f>前台好评提成录入!D27</f>
        <v>条</v>
      </c>
      <c r="E22" s="21">
        <f>前台好评提成录入!E27</f>
        <v>30</v>
      </c>
      <c r="F22" s="21">
        <f>前台好评提成录入!F27</f>
        <v>1</v>
      </c>
      <c r="G22" s="21">
        <f>前台好评提成录入!G27</f>
        <v>30</v>
      </c>
      <c r="H22" s="213">
        <f>前台好评提成录入!H27*$E22</f>
        <v>30</v>
      </c>
      <c r="I22" s="213">
        <f>前台好评提成录入!I27*$E22</f>
        <v>0</v>
      </c>
      <c r="J22" s="213">
        <f>前台好评提成录入!J27*$E22</f>
        <v>0</v>
      </c>
      <c r="K22" s="213">
        <f>前台好评提成录入!K27*$E22</f>
        <v>0</v>
      </c>
      <c r="L22" s="213">
        <f>前台好评提成录入!L27*$E22</f>
        <v>0</v>
      </c>
      <c r="M22" s="213">
        <f>前台好评提成录入!M27*$E22</f>
        <v>0</v>
      </c>
      <c r="N22" s="213">
        <f>前台好评提成录入!N27*$E22</f>
        <v>0</v>
      </c>
      <c r="O22" s="213">
        <f>前台好评提成录入!O27*$E22</f>
        <v>0</v>
      </c>
      <c r="P22" s="213">
        <f>前台好评提成录入!P27*$E22</f>
        <v>0</v>
      </c>
      <c r="Q22" s="213">
        <f>前台好评提成录入!Q27*$E22</f>
        <v>0</v>
      </c>
      <c r="R22" s="213">
        <f>前台好评提成录入!R27*$E22</f>
        <v>0</v>
      </c>
      <c r="S22" s="213">
        <f>前台好评提成录入!S27*$E22</f>
        <v>0</v>
      </c>
      <c r="T22" s="213">
        <f>前台好评提成录入!T27*$E22</f>
        <v>0</v>
      </c>
      <c r="U22" s="213">
        <f>前台好评提成录入!U27*$E22</f>
        <v>0</v>
      </c>
      <c r="V22" s="213">
        <f>前台好评提成录入!V27*$E22</f>
        <v>0</v>
      </c>
      <c r="W22" s="213">
        <f>前台好评提成录入!W27*$E22</f>
        <v>0</v>
      </c>
      <c r="X22" s="213">
        <f>前台好评提成录入!X27*$E22</f>
        <v>0</v>
      </c>
      <c r="Y22" s="213">
        <f>前台好评提成录入!Y27*$E22</f>
        <v>0</v>
      </c>
      <c r="Z22" s="213">
        <f>前台好评提成录入!Z27*$E22</f>
        <v>0</v>
      </c>
      <c r="AA22" s="213">
        <f>前台好评提成录入!AA27*$E22</f>
        <v>0</v>
      </c>
      <c r="AB22" s="213">
        <f>前台好评提成录入!AB27*$E22</f>
        <v>0</v>
      </c>
      <c r="AC22" s="213">
        <f>前台好评提成录入!AC27*$E22</f>
        <v>0</v>
      </c>
      <c r="AD22" s="213">
        <f>前台好评提成录入!AD27*$E22</f>
        <v>0</v>
      </c>
      <c r="AE22" s="213">
        <f>前台好评提成录入!AE27*$E22</f>
        <v>0</v>
      </c>
      <c r="AF22" s="213">
        <f>前台好评提成录入!AF27*$E22</f>
        <v>0</v>
      </c>
      <c r="AG22" s="213">
        <f>前台好评提成录入!AG27*$E22</f>
        <v>0</v>
      </c>
      <c r="AH22" s="213">
        <f>前台好评提成录入!AH27*$E22</f>
        <v>0</v>
      </c>
      <c r="AI22" s="213">
        <f>前台好评提成录入!AI27*$E22</f>
        <v>0</v>
      </c>
      <c r="AJ22" s="213">
        <f>前台好评提成录入!AJ27*$E22</f>
        <v>0</v>
      </c>
      <c r="AK22" s="213">
        <f>前台好评提成录入!AK27*$E22</f>
        <v>0</v>
      </c>
      <c r="AL22" s="213">
        <f>前台好评提成录入!AL27*$E22</f>
        <v>0</v>
      </c>
    </row>
    <row r="23" s="178" customFormat="1" customHeight="1" spans="1:38">
      <c r="A23" s="161">
        <v>19</v>
      </c>
      <c r="B23" s="21" t="str">
        <f>前台好评提成录入!B28</f>
        <v>王增</v>
      </c>
      <c r="C23" s="21" t="str">
        <f>前台好评提成录入!C28</f>
        <v>去哪儿</v>
      </c>
      <c r="D23" s="21" t="str">
        <f>前台好评提成录入!D28</f>
        <v>条</v>
      </c>
      <c r="E23" s="21">
        <f>前台好评提成录入!E28</f>
        <v>5</v>
      </c>
      <c r="F23" s="21">
        <f>前台好评提成录入!F28</f>
        <v>4</v>
      </c>
      <c r="G23" s="21">
        <f>前台好评提成录入!G28</f>
        <v>20</v>
      </c>
      <c r="H23" s="213">
        <f>前台好评提成录入!H28*$E23</f>
        <v>20</v>
      </c>
      <c r="I23" s="213">
        <f>前台好评提成录入!I28*$E23</f>
        <v>0</v>
      </c>
      <c r="J23" s="213">
        <f>前台好评提成录入!J28*$E23</f>
        <v>0</v>
      </c>
      <c r="K23" s="213">
        <f>前台好评提成录入!K28*$E23</f>
        <v>0</v>
      </c>
      <c r="L23" s="213">
        <f>前台好评提成录入!L28*$E23</f>
        <v>0</v>
      </c>
      <c r="M23" s="213">
        <f>前台好评提成录入!M28*$E23</f>
        <v>0</v>
      </c>
      <c r="N23" s="213">
        <f>前台好评提成录入!N28*$E23</f>
        <v>0</v>
      </c>
      <c r="O23" s="213">
        <f>前台好评提成录入!O28*$E23</f>
        <v>0</v>
      </c>
      <c r="P23" s="213">
        <f>前台好评提成录入!P28*$E23</f>
        <v>0</v>
      </c>
      <c r="Q23" s="213">
        <f>前台好评提成录入!Q28*$E23</f>
        <v>0</v>
      </c>
      <c r="R23" s="213">
        <f>前台好评提成录入!R28*$E23</f>
        <v>0</v>
      </c>
      <c r="S23" s="213">
        <f>前台好评提成录入!S28*$E23</f>
        <v>0</v>
      </c>
      <c r="T23" s="213">
        <f>前台好评提成录入!T28*$E23</f>
        <v>0</v>
      </c>
      <c r="U23" s="213">
        <f>前台好评提成录入!U28*$E23</f>
        <v>0</v>
      </c>
      <c r="V23" s="213">
        <f>前台好评提成录入!V28*$E23</f>
        <v>0</v>
      </c>
      <c r="W23" s="213">
        <f>前台好评提成录入!W28*$E23</f>
        <v>0</v>
      </c>
      <c r="X23" s="213">
        <f>前台好评提成录入!X28*$E23</f>
        <v>0</v>
      </c>
      <c r="Y23" s="213">
        <f>前台好评提成录入!Y28*$E23</f>
        <v>0</v>
      </c>
      <c r="Z23" s="213">
        <f>前台好评提成录入!Z28*$E23</f>
        <v>0</v>
      </c>
      <c r="AA23" s="213">
        <f>前台好评提成录入!AA28*$E23</f>
        <v>0</v>
      </c>
      <c r="AB23" s="213">
        <f>前台好评提成录入!AB28*$E23</f>
        <v>0</v>
      </c>
      <c r="AC23" s="213">
        <f>前台好评提成录入!AC28*$E23</f>
        <v>0</v>
      </c>
      <c r="AD23" s="213">
        <f>前台好评提成录入!AD28*$E23</f>
        <v>0</v>
      </c>
      <c r="AE23" s="213">
        <f>前台好评提成录入!AE28*$E23</f>
        <v>0</v>
      </c>
      <c r="AF23" s="213">
        <f>前台好评提成录入!AF28*$E23</f>
        <v>0</v>
      </c>
      <c r="AG23" s="213">
        <f>前台好评提成录入!AG28*$E23</f>
        <v>0</v>
      </c>
      <c r="AH23" s="213">
        <f>前台好评提成录入!AH28*$E23</f>
        <v>0</v>
      </c>
      <c r="AI23" s="213">
        <f>前台好评提成录入!AI28*$E23</f>
        <v>0</v>
      </c>
      <c r="AJ23" s="213">
        <f>前台好评提成录入!AJ28*$E23</f>
        <v>0</v>
      </c>
      <c r="AK23" s="213">
        <f>前台好评提成录入!AK28*$E23</f>
        <v>0</v>
      </c>
      <c r="AL23" s="213">
        <f>前台好评提成录入!AL28*$E23</f>
        <v>0</v>
      </c>
    </row>
    <row r="24" s="178" customFormat="1" customHeight="1" spans="1:38">
      <c r="A24" s="161">
        <v>20</v>
      </c>
      <c r="B24" s="21" t="str">
        <f>前台好评提成录入!B29</f>
        <v>王增</v>
      </c>
      <c r="C24" s="21" t="str">
        <f>前台好评提成录入!C29</f>
        <v>同程</v>
      </c>
      <c r="D24" s="21" t="str">
        <f>前台好评提成录入!D29</f>
        <v>条</v>
      </c>
      <c r="E24" s="21">
        <f>前台好评提成录入!E29</f>
        <v>5</v>
      </c>
      <c r="F24" s="21">
        <f>前台好评提成录入!F29</f>
        <v>1</v>
      </c>
      <c r="G24" s="21">
        <f>前台好评提成录入!G29</f>
        <v>5</v>
      </c>
      <c r="H24" s="213">
        <f>前台好评提成录入!H29*$E24</f>
        <v>5</v>
      </c>
      <c r="I24" s="213">
        <f>前台好评提成录入!I29*$E24</f>
        <v>0</v>
      </c>
      <c r="J24" s="213">
        <f>前台好评提成录入!J29*$E24</f>
        <v>0</v>
      </c>
      <c r="K24" s="213">
        <f>前台好评提成录入!K29*$E24</f>
        <v>0</v>
      </c>
      <c r="L24" s="213">
        <f>前台好评提成录入!L29*$E24</f>
        <v>0</v>
      </c>
      <c r="M24" s="213">
        <f>前台好评提成录入!M29*$E24</f>
        <v>0</v>
      </c>
      <c r="N24" s="213">
        <f>前台好评提成录入!N29*$E24</f>
        <v>0</v>
      </c>
      <c r="O24" s="213">
        <f>前台好评提成录入!O29*$E24</f>
        <v>0</v>
      </c>
      <c r="P24" s="213">
        <f>前台好评提成录入!P29*$E24</f>
        <v>0</v>
      </c>
      <c r="Q24" s="213">
        <f>前台好评提成录入!Q29*$E24</f>
        <v>0</v>
      </c>
      <c r="R24" s="213">
        <f>前台好评提成录入!R29*$E24</f>
        <v>0</v>
      </c>
      <c r="S24" s="213">
        <f>前台好评提成录入!S29*$E24</f>
        <v>0</v>
      </c>
      <c r="T24" s="213">
        <f>前台好评提成录入!T29*$E24</f>
        <v>0</v>
      </c>
      <c r="U24" s="213">
        <f>前台好评提成录入!U29*$E24</f>
        <v>0</v>
      </c>
      <c r="V24" s="213">
        <f>前台好评提成录入!V29*$E24</f>
        <v>0</v>
      </c>
      <c r="W24" s="213">
        <f>前台好评提成录入!W29*$E24</f>
        <v>0</v>
      </c>
      <c r="X24" s="213">
        <f>前台好评提成录入!X29*$E24</f>
        <v>0</v>
      </c>
      <c r="Y24" s="213">
        <f>前台好评提成录入!Y29*$E24</f>
        <v>0</v>
      </c>
      <c r="Z24" s="213">
        <f>前台好评提成录入!Z29*$E24</f>
        <v>0</v>
      </c>
      <c r="AA24" s="213">
        <f>前台好评提成录入!AA29*$E24</f>
        <v>0</v>
      </c>
      <c r="AB24" s="213">
        <f>前台好评提成录入!AB29*$E24</f>
        <v>0</v>
      </c>
      <c r="AC24" s="213">
        <f>前台好评提成录入!AC29*$E24</f>
        <v>0</v>
      </c>
      <c r="AD24" s="213">
        <f>前台好评提成录入!AD29*$E24</f>
        <v>0</v>
      </c>
      <c r="AE24" s="213">
        <f>前台好评提成录入!AE29*$E24</f>
        <v>0</v>
      </c>
      <c r="AF24" s="213">
        <f>前台好评提成录入!AF29*$E24</f>
        <v>0</v>
      </c>
      <c r="AG24" s="213">
        <f>前台好评提成录入!AG29*$E24</f>
        <v>0</v>
      </c>
      <c r="AH24" s="213">
        <f>前台好评提成录入!AH29*$E24</f>
        <v>0</v>
      </c>
      <c r="AI24" s="213">
        <f>前台好评提成录入!AI29*$E24</f>
        <v>0</v>
      </c>
      <c r="AJ24" s="213">
        <f>前台好评提成录入!AJ29*$E24</f>
        <v>0</v>
      </c>
      <c r="AK24" s="213">
        <f>前台好评提成录入!AK29*$E24</f>
        <v>0</v>
      </c>
      <c r="AL24" s="213">
        <f>前台好评提成录入!AL29*$E24</f>
        <v>0</v>
      </c>
    </row>
    <row r="25" s="178" customFormat="1" customHeight="1" spans="1:38">
      <c r="A25" s="161">
        <v>21</v>
      </c>
      <c r="B25" s="21" t="str">
        <f>前台好评提成录入!B30</f>
        <v>王增</v>
      </c>
      <c r="C25" s="21" t="str">
        <f>前台好评提成录入!C30</f>
        <v>智行</v>
      </c>
      <c r="D25" s="21" t="str">
        <f>前台好评提成录入!D30</f>
        <v>条</v>
      </c>
      <c r="E25" s="21">
        <f>前台好评提成录入!E30</f>
        <v>5</v>
      </c>
      <c r="F25" s="21">
        <f>前台好评提成录入!F30</f>
        <v>0</v>
      </c>
      <c r="G25" s="21">
        <f>前台好评提成录入!G30</f>
        <v>0</v>
      </c>
      <c r="H25" s="213">
        <f>前台好评提成录入!H30*$E25</f>
        <v>0</v>
      </c>
      <c r="I25" s="213">
        <f>前台好评提成录入!I30*$E25</f>
        <v>0</v>
      </c>
      <c r="J25" s="213">
        <f>前台好评提成录入!J30*$E25</f>
        <v>0</v>
      </c>
      <c r="K25" s="213">
        <f>前台好评提成录入!K30*$E25</f>
        <v>0</v>
      </c>
      <c r="L25" s="213">
        <f>前台好评提成录入!L30*$E25</f>
        <v>0</v>
      </c>
      <c r="M25" s="213">
        <f>前台好评提成录入!M30*$E25</f>
        <v>0</v>
      </c>
      <c r="N25" s="213">
        <f>前台好评提成录入!N30*$E25</f>
        <v>0</v>
      </c>
      <c r="O25" s="213">
        <f>前台好评提成录入!O30*$E25</f>
        <v>0</v>
      </c>
      <c r="P25" s="213">
        <f>前台好评提成录入!P30*$E25</f>
        <v>0</v>
      </c>
      <c r="Q25" s="213">
        <f>前台好评提成录入!Q30*$E25</f>
        <v>0</v>
      </c>
      <c r="R25" s="213">
        <f>前台好评提成录入!R30*$E25</f>
        <v>0</v>
      </c>
      <c r="S25" s="213">
        <f>前台好评提成录入!S30*$E25</f>
        <v>0</v>
      </c>
      <c r="T25" s="213">
        <f>前台好评提成录入!T30*$E25</f>
        <v>0</v>
      </c>
      <c r="U25" s="213">
        <f>前台好评提成录入!U30*$E25</f>
        <v>0</v>
      </c>
      <c r="V25" s="213">
        <f>前台好评提成录入!V30*$E25</f>
        <v>0</v>
      </c>
      <c r="W25" s="213">
        <f>前台好评提成录入!W30*$E25</f>
        <v>0</v>
      </c>
      <c r="X25" s="213">
        <f>前台好评提成录入!X30*$E25</f>
        <v>0</v>
      </c>
      <c r="Y25" s="213">
        <f>前台好评提成录入!Y30*$E25</f>
        <v>0</v>
      </c>
      <c r="Z25" s="213">
        <f>前台好评提成录入!Z30*$E25</f>
        <v>0</v>
      </c>
      <c r="AA25" s="213">
        <f>前台好评提成录入!AA30*$E25</f>
        <v>0</v>
      </c>
      <c r="AB25" s="213">
        <f>前台好评提成录入!AB30*$E25</f>
        <v>0</v>
      </c>
      <c r="AC25" s="213">
        <f>前台好评提成录入!AC30*$E25</f>
        <v>0</v>
      </c>
      <c r="AD25" s="213">
        <f>前台好评提成录入!AD30*$E25</f>
        <v>0</v>
      </c>
      <c r="AE25" s="213">
        <f>前台好评提成录入!AE30*$E25</f>
        <v>0</v>
      </c>
      <c r="AF25" s="213">
        <f>前台好评提成录入!AF30*$E25</f>
        <v>0</v>
      </c>
      <c r="AG25" s="213">
        <f>前台好评提成录入!AG30*$E25</f>
        <v>0</v>
      </c>
      <c r="AH25" s="213">
        <f>前台好评提成录入!AH30*$E25</f>
        <v>0</v>
      </c>
      <c r="AI25" s="213">
        <f>前台好评提成录入!AI30*$E25</f>
        <v>0</v>
      </c>
      <c r="AJ25" s="213">
        <f>前台好评提成录入!AJ30*$E25</f>
        <v>0</v>
      </c>
      <c r="AK25" s="213">
        <f>前台好评提成录入!AK30*$E25</f>
        <v>0</v>
      </c>
      <c r="AL25" s="213">
        <f>前台好评提成录入!AL30*$E25</f>
        <v>0</v>
      </c>
    </row>
    <row r="26" s="178" customFormat="1" customHeight="1" spans="1:38">
      <c r="A26" s="161">
        <v>22</v>
      </c>
      <c r="B26" s="21" t="str">
        <f>前台好评提成录入!B31</f>
        <v>王增</v>
      </c>
      <c r="C26" s="21" t="str">
        <f>前台好评提成录入!C31</f>
        <v>抖音</v>
      </c>
      <c r="D26" s="21" t="str">
        <f>前台好评提成录入!D31</f>
        <v>条</v>
      </c>
      <c r="E26" s="21">
        <f>前台好评提成录入!E31</f>
        <v>5</v>
      </c>
      <c r="F26" s="21">
        <f>前台好评提成录入!F31</f>
        <v>14</v>
      </c>
      <c r="G26" s="21">
        <f>前台好评提成录入!G31</f>
        <v>70</v>
      </c>
      <c r="H26" s="213">
        <f>前台好评提成录入!H31*$E26</f>
        <v>70</v>
      </c>
      <c r="I26" s="213">
        <f>前台好评提成录入!I31*$E26</f>
        <v>0</v>
      </c>
      <c r="J26" s="213">
        <f>前台好评提成录入!J31*$E26</f>
        <v>0</v>
      </c>
      <c r="K26" s="213">
        <f>前台好评提成录入!K31*$E26</f>
        <v>0</v>
      </c>
      <c r="L26" s="213">
        <f>前台好评提成录入!L31*$E26</f>
        <v>0</v>
      </c>
      <c r="M26" s="213">
        <f>前台好评提成录入!M31*$E26</f>
        <v>0</v>
      </c>
      <c r="N26" s="213">
        <f>前台好评提成录入!N31*$E26</f>
        <v>0</v>
      </c>
      <c r="O26" s="213">
        <f>前台好评提成录入!O31*$E26</f>
        <v>0</v>
      </c>
      <c r="P26" s="213">
        <f>前台好评提成录入!P31*$E26</f>
        <v>0</v>
      </c>
      <c r="Q26" s="213">
        <f>前台好评提成录入!Q31*$E26</f>
        <v>0</v>
      </c>
      <c r="R26" s="213">
        <f>前台好评提成录入!R31*$E26</f>
        <v>0</v>
      </c>
      <c r="S26" s="213">
        <f>前台好评提成录入!S31*$E26</f>
        <v>0</v>
      </c>
      <c r="T26" s="213">
        <f>前台好评提成录入!T31*$E26</f>
        <v>0</v>
      </c>
      <c r="U26" s="213">
        <f>前台好评提成录入!U31*$E26</f>
        <v>0</v>
      </c>
      <c r="V26" s="213">
        <f>前台好评提成录入!V31*$E26</f>
        <v>0</v>
      </c>
      <c r="W26" s="213">
        <f>前台好评提成录入!W31*$E26</f>
        <v>0</v>
      </c>
      <c r="X26" s="213">
        <f>前台好评提成录入!X31*$E26</f>
        <v>0</v>
      </c>
      <c r="Y26" s="213">
        <f>前台好评提成录入!Y31*$E26</f>
        <v>0</v>
      </c>
      <c r="Z26" s="213">
        <f>前台好评提成录入!Z31*$E26</f>
        <v>0</v>
      </c>
      <c r="AA26" s="213">
        <f>前台好评提成录入!AA31*$E26</f>
        <v>0</v>
      </c>
      <c r="AB26" s="213">
        <f>前台好评提成录入!AB31*$E26</f>
        <v>0</v>
      </c>
      <c r="AC26" s="213">
        <f>前台好评提成录入!AC31*$E26</f>
        <v>0</v>
      </c>
      <c r="AD26" s="213">
        <f>前台好评提成录入!AD31*$E26</f>
        <v>0</v>
      </c>
      <c r="AE26" s="213">
        <f>前台好评提成录入!AE31*$E26</f>
        <v>0</v>
      </c>
      <c r="AF26" s="213">
        <f>前台好评提成录入!AF31*$E26</f>
        <v>0</v>
      </c>
      <c r="AG26" s="213">
        <f>前台好评提成录入!AG31*$E26</f>
        <v>0</v>
      </c>
      <c r="AH26" s="213">
        <f>前台好评提成录入!AH31*$E26</f>
        <v>0</v>
      </c>
      <c r="AI26" s="213">
        <f>前台好评提成录入!AI31*$E26</f>
        <v>0</v>
      </c>
      <c r="AJ26" s="213">
        <f>前台好评提成录入!AJ31*$E26</f>
        <v>0</v>
      </c>
      <c r="AK26" s="213">
        <f>前台好评提成录入!AK31*$E26</f>
        <v>0</v>
      </c>
      <c r="AL26" s="213">
        <f>前台好评提成录入!AL31*$E26</f>
        <v>0</v>
      </c>
    </row>
    <row r="27" s="178" customFormat="1" customHeight="1" spans="1:38">
      <c r="A27" s="161">
        <v>23</v>
      </c>
      <c r="B27" s="21" t="str">
        <f>前台好评提成录入!B32</f>
        <v>王增</v>
      </c>
      <c r="C27" s="21" t="str">
        <f>前台好评提成录入!C32</f>
        <v>美团</v>
      </c>
      <c r="D27" s="21" t="str">
        <f>前台好评提成录入!D32</f>
        <v>条</v>
      </c>
      <c r="E27" s="21">
        <f>前台好评提成录入!E32</f>
        <v>5</v>
      </c>
      <c r="F27" s="21">
        <f>前台好评提成录入!F32</f>
        <v>50</v>
      </c>
      <c r="G27" s="21">
        <f>前台好评提成录入!G32</f>
        <v>250</v>
      </c>
      <c r="H27" s="213">
        <f>前台好评提成录入!H32*$E27</f>
        <v>250</v>
      </c>
      <c r="I27" s="213">
        <f>前台好评提成录入!I32*$E27</f>
        <v>0</v>
      </c>
      <c r="J27" s="213">
        <f>前台好评提成录入!J32*$E27</f>
        <v>0</v>
      </c>
      <c r="K27" s="213">
        <f>前台好评提成录入!K32*$E27</f>
        <v>0</v>
      </c>
      <c r="L27" s="213">
        <f>前台好评提成录入!L32*$E27</f>
        <v>0</v>
      </c>
      <c r="M27" s="213">
        <f>前台好评提成录入!M32*$E27</f>
        <v>0</v>
      </c>
      <c r="N27" s="213">
        <f>前台好评提成录入!N32*$E27</f>
        <v>0</v>
      </c>
      <c r="O27" s="213">
        <f>前台好评提成录入!O32*$E27</f>
        <v>0</v>
      </c>
      <c r="P27" s="213">
        <f>前台好评提成录入!P32*$E27</f>
        <v>0</v>
      </c>
      <c r="Q27" s="213">
        <f>前台好评提成录入!Q32*$E27</f>
        <v>0</v>
      </c>
      <c r="R27" s="213">
        <f>前台好评提成录入!R32*$E27</f>
        <v>0</v>
      </c>
      <c r="S27" s="213">
        <f>前台好评提成录入!S32*$E27</f>
        <v>0</v>
      </c>
      <c r="T27" s="213">
        <f>前台好评提成录入!T32*$E27</f>
        <v>0</v>
      </c>
      <c r="U27" s="213">
        <f>前台好评提成录入!U32*$E27</f>
        <v>0</v>
      </c>
      <c r="V27" s="213">
        <f>前台好评提成录入!V32*$E27</f>
        <v>0</v>
      </c>
      <c r="W27" s="213">
        <f>前台好评提成录入!W32*$E27</f>
        <v>0</v>
      </c>
      <c r="X27" s="213">
        <f>前台好评提成录入!X32*$E27</f>
        <v>0</v>
      </c>
      <c r="Y27" s="213">
        <f>前台好评提成录入!Y32*$E27</f>
        <v>0</v>
      </c>
      <c r="Z27" s="213">
        <f>前台好评提成录入!Z32*$E27</f>
        <v>0</v>
      </c>
      <c r="AA27" s="213">
        <f>前台好评提成录入!AA32*$E27</f>
        <v>0</v>
      </c>
      <c r="AB27" s="213">
        <f>前台好评提成录入!AB32*$E27</f>
        <v>0</v>
      </c>
      <c r="AC27" s="213">
        <f>前台好评提成录入!AC32*$E27</f>
        <v>0</v>
      </c>
      <c r="AD27" s="213">
        <f>前台好评提成录入!AD32*$E27</f>
        <v>0</v>
      </c>
      <c r="AE27" s="213">
        <f>前台好评提成录入!AE32*$E27</f>
        <v>0</v>
      </c>
      <c r="AF27" s="213">
        <f>前台好评提成录入!AF32*$E27</f>
        <v>0</v>
      </c>
      <c r="AG27" s="213">
        <f>前台好评提成录入!AG32*$E27</f>
        <v>0</v>
      </c>
      <c r="AH27" s="213">
        <f>前台好评提成录入!AH32*$E27</f>
        <v>0</v>
      </c>
      <c r="AI27" s="213">
        <f>前台好评提成录入!AI32*$E27</f>
        <v>0</v>
      </c>
      <c r="AJ27" s="213">
        <f>前台好评提成录入!AJ32*$E27</f>
        <v>0</v>
      </c>
      <c r="AK27" s="213">
        <f>前台好评提成录入!AK32*$E27</f>
        <v>0</v>
      </c>
      <c r="AL27" s="213">
        <f>前台好评提成录入!AL32*$E27</f>
        <v>0</v>
      </c>
    </row>
    <row r="28" s="178" customFormat="1" customHeight="1" spans="1:38">
      <c r="A28" s="161">
        <v>24</v>
      </c>
      <c r="B28" s="21" t="str">
        <f>前台好评提成录入!B33</f>
        <v>王增</v>
      </c>
      <c r="C28" s="21" t="str">
        <f>前台好评提成录入!C33</f>
        <v>飞猪</v>
      </c>
      <c r="D28" s="21" t="str">
        <f>前台好评提成录入!D33</f>
        <v>条</v>
      </c>
      <c r="E28" s="21">
        <f>前台好评提成录入!E33</f>
        <v>5</v>
      </c>
      <c r="F28" s="21">
        <f>前台好评提成录入!F33</f>
        <v>1</v>
      </c>
      <c r="G28" s="21">
        <f>前台好评提成录入!G33</f>
        <v>5</v>
      </c>
      <c r="H28" s="213">
        <f>前台好评提成录入!H33*$E28</f>
        <v>5</v>
      </c>
      <c r="I28" s="213">
        <f>前台好评提成录入!I33*$E28</f>
        <v>0</v>
      </c>
      <c r="J28" s="213">
        <f>前台好评提成录入!J33*$E28</f>
        <v>0</v>
      </c>
      <c r="K28" s="213">
        <f>前台好评提成录入!K33*$E28</f>
        <v>0</v>
      </c>
      <c r="L28" s="213">
        <f>前台好评提成录入!L33*$E28</f>
        <v>0</v>
      </c>
      <c r="M28" s="213">
        <f>前台好评提成录入!M33*$E28</f>
        <v>0</v>
      </c>
      <c r="N28" s="213">
        <f>前台好评提成录入!N33*$E28</f>
        <v>0</v>
      </c>
      <c r="O28" s="213">
        <f>前台好评提成录入!O33*$E28</f>
        <v>0</v>
      </c>
      <c r="P28" s="213">
        <f>前台好评提成录入!P33*$E28</f>
        <v>0</v>
      </c>
      <c r="Q28" s="213">
        <f>前台好评提成录入!Q33*$E28</f>
        <v>0</v>
      </c>
      <c r="R28" s="213">
        <f>前台好评提成录入!R33*$E28</f>
        <v>0</v>
      </c>
      <c r="S28" s="213">
        <f>前台好评提成录入!S33*$E28</f>
        <v>0</v>
      </c>
      <c r="T28" s="213">
        <f>前台好评提成录入!T33*$E28</f>
        <v>0</v>
      </c>
      <c r="U28" s="213">
        <f>前台好评提成录入!U33*$E28</f>
        <v>0</v>
      </c>
      <c r="V28" s="213">
        <f>前台好评提成录入!V33*$E28</f>
        <v>0</v>
      </c>
      <c r="W28" s="213">
        <f>前台好评提成录入!W33*$E28</f>
        <v>0</v>
      </c>
      <c r="X28" s="213">
        <f>前台好评提成录入!X33*$E28</f>
        <v>0</v>
      </c>
      <c r="Y28" s="213">
        <f>前台好评提成录入!Y33*$E28</f>
        <v>0</v>
      </c>
      <c r="Z28" s="213">
        <f>前台好评提成录入!Z33*$E28</f>
        <v>0</v>
      </c>
      <c r="AA28" s="213">
        <f>前台好评提成录入!AA33*$E28</f>
        <v>0</v>
      </c>
      <c r="AB28" s="213">
        <f>前台好评提成录入!AB33*$E28</f>
        <v>0</v>
      </c>
      <c r="AC28" s="213">
        <f>前台好评提成录入!AC33*$E28</f>
        <v>0</v>
      </c>
      <c r="AD28" s="213">
        <f>前台好评提成录入!AD33*$E28</f>
        <v>0</v>
      </c>
      <c r="AE28" s="213">
        <f>前台好评提成录入!AE33*$E28</f>
        <v>0</v>
      </c>
      <c r="AF28" s="213">
        <f>前台好评提成录入!AF33*$E28</f>
        <v>0</v>
      </c>
      <c r="AG28" s="213">
        <f>前台好评提成录入!AG33*$E28</f>
        <v>0</v>
      </c>
      <c r="AH28" s="213">
        <f>前台好评提成录入!AH33*$E28</f>
        <v>0</v>
      </c>
      <c r="AI28" s="213">
        <f>前台好评提成录入!AI33*$E28</f>
        <v>0</v>
      </c>
      <c r="AJ28" s="213">
        <f>前台好评提成录入!AJ33*$E28</f>
        <v>0</v>
      </c>
      <c r="AK28" s="213">
        <f>前台好评提成录入!AK33*$E28</f>
        <v>0</v>
      </c>
      <c r="AL28" s="213">
        <f>前台好评提成录入!AL33*$E28</f>
        <v>0</v>
      </c>
    </row>
    <row r="29" s="178" customFormat="1" customHeight="1" spans="1:38">
      <c r="A29" s="161">
        <v>25</v>
      </c>
      <c r="B29" s="21" t="str">
        <f>前台好评提成录入!B34</f>
        <v>王增</v>
      </c>
      <c r="C29" s="21" t="str">
        <f>前台好评提成录入!C34</f>
        <v>官网</v>
      </c>
      <c r="D29" s="21" t="str">
        <f>前台好评提成录入!D34</f>
        <v>条</v>
      </c>
      <c r="E29" s="21">
        <f>前台好评提成录入!E34</f>
        <v>5</v>
      </c>
      <c r="F29" s="21">
        <f>前台好评提成录入!F34</f>
        <v>26</v>
      </c>
      <c r="G29" s="21">
        <f>前台好评提成录入!G34</f>
        <v>130</v>
      </c>
      <c r="H29" s="213">
        <f>前台好评提成录入!H34*$E29</f>
        <v>130</v>
      </c>
      <c r="I29" s="213">
        <f>前台好评提成录入!I34*$E29</f>
        <v>0</v>
      </c>
      <c r="J29" s="213">
        <f>前台好评提成录入!J34*$E29</f>
        <v>0</v>
      </c>
      <c r="K29" s="213">
        <f>前台好评提成录入!K34*$E29</f>
        <v>0</v>
      </c>
      <c r="L29" s="213">
        <f>前台好评提成录入!L34*$E29</f>
        <v>0</v>
      </c>
      <c r="M29" s="213">
        <f>前台好评提成录入!M34*$E29</f>
        <v>0</v>
      </c>
      <c r="N29" s="213">
        <f>前台好评提成录入!N34*$E29</f>
        <v>0</v>
      </c>
      <c r="O29" s="213">
        <f>前台好评提成录入!O34*$E29</f>
        <v>0</v>
      </c>
      <c r="P29" s="213">
        <f>前台好评提成录入!P34*$E29</f>
        <v>0</v>
      </c>
      <c r="Q29" s="213">
        <f>前台好评提成录入!Q34*$E29</f>
        <v>0</v>
      </c>
      <c r="R29" s="213">
        <f>前台好评提成录入!R34*$E29</f>
        <v>0</v>
      </c>
      <c r="S29" s="213">
        <f>前台好评提成录入!S34*$E29</f>
        <v>0</v>
      </c>
      <c r="T29" s="213">
        <f>前台好评提成录入!T34*$E29</f>
        <v>0</v>
      </c>
      <c r="U29" s="213">
        <f>前台好评提成录入!U34*$E29</f>
        <v>0</v>
      </c>
      <c r="V29" s="213">
        <f>前台好评提成录入!V34*$E29</f>
        <v>0</v>
      </c>
      <c r="W29" s="213">
        <f>前台好评提成录入!W34*$E29</f>
        <v>0</v>
      </c>
      <c r="X29" s="213">
        <f>前台好评提成录入!X34*$E29</f>
        <v>0</v>
      </c>
      <c r="Y29" s="213">
        <f>前台好评提成录入!Y34*$E29</f>
        <v>0</v>
      </c>
      <c r="Z29" s="213">
        <f>前台好评提成录入!Z34*$E29</f>
        <v>0</v>
      </c>
      <c r="AA29" s="213">
        <f>前台好评提成录入!AA34*$E29</f>
        <v>0</v>
      </c>
      <c r="AB29" s="213">
        <f>前台好评提成录入!AB34*$E29</f>
        <v>0</v>
      </c>
      <c r="AC29" s="213">
        <f>前台好评提成录入!AC34*$E29</f>
        <v>0</v>
      </c>
      <c r="AD29" s="213">
        <f>前台好评提成录入!AD34*$E29</f>
        <v>0</v>
      </c>
      <c r="AE29" s="213">
        <f>前台好评提成录入!AE34*$E29</f>
        <v>0</v>
      </c>
      <c r="AF29" s="213">
        <f>前台好评提成录入!AF34*$E29</f>
        <v>0</v>
      </c>
      <c r="AG29" s="213">
        <f>前台好评提成录入!AG34*$E29</f>
        <v>0</v>
      </c>
      <c r="AH29" s="213">
        <f>前台好评提成录入!AH34*$E29</f>
        <v>0</v>
      </c>
      <c r="AI29" s="213">
        <f>前台好评提成录入!AI34*$E29</f>
        <v>0</v>
      </c>
      <c r="AJ29" s="213">
        <f>前台好评提成录入!AJ34*$E29</f>
        <v>0</v>
      </c>
      <c r="AK29" s="213">
        <f>前台好评提成录入!AK34*$E29</f>
        <v>0</v>
      </c>
      <c r="AL29" s="213">
        <f>前台好评提成录入!AL34*$E29</f>
        <v>0</v>
      </c>
    </row>
    <row r="30" s="178" customFormat="1" customHeight="1" spans="1:38">
      <c r="A30" s="161">
        <v>26</v>
      </c>
      <c r="B30" s="21" t="str">
        <f>前台好评提成录入!B35</f>
        <v>翟芮瑶</v>
      </c>
      <c r="C30" s="21" t="str">
        <f>前台好评提成录入!C35</f>
        <v>携程</v>
      </c>
      <c r="D30" s="21" t="str">
        <f>前台好评提成录入!D35</f>
        <v>条</v>
      </c>
      <c r="E30" s="21">
        <f>前台好评提成录入!E35</f>
        <v>5</v>
      </c>
      <c r="F30" s="21">
        <f>前台好评提成录入!F35</f>
        <v>2</v>
      </c>
      <c r="G30" s="21">
        <f>前台好评提成录入!G35</f>
        <v>10</v>
      </c>
      <c r="H30" s="213">
        <f>前台好评提成录入!H35*$E30</f>
        <v>10</v>
      </c>
      <c r="I30" s="213">
        <f>前台好评提成录入!I35*$E30</f>
        <v>0</v>
      </c>
      <c r="J30" s="213">
        <f>前台好评提成录入!J35*$E30</f>
        <v>0</v>
      </c>
      <c r="K30" s="213">
        <f>前台好评提成录入!K35*$E30</f>
        <v>0</v>
      </c>
      <c r="L30" s="213">
        <f>前台好评提成录入!L35*$E30</f>
        <v>0</v>
      </c>
      <c r="M30" s="213">
        <f>前台好评提成录入!M35*$E30</f>
        <v>0</v>
      </c>
      <c r="N30" s="213">
        <f>前台好评提成录入!N35*$E30</f>
        <v>0</v>
      </c>
      <c r="O30" s="213">
        <f>前台好评提成录入!O35*$E30</f>
        <v>0</v>
      </c>
      <c r="P30" s="213">
        <f>前台好评提成录入!P35*$E30</f>
        <v>0</v>
      </c>
      <c r="Q30" s="213">
        <f>前台好评提成录入!Q35*$E30</f>
        <v>0</v>
      </c>
      <c r="R30" s="213">
        <f>前台好评提成录入!R35*$E30</f>
        <v>0</v>
      </c>
      <c r="S30" s="213">
        <f>前台好评提成录入!S35*$E30</f>
        <v>0</v>
      </c>
      <c r="T30" s="213">
        <f>前台好评提成录入!T35*$E30</f>
        <v>0</v>
      </c>
      <c r="U30" s="213">
        <f>前台好评提成录入!U35*$E30</f>
        <v>0</v>
      </c>
      <c r="V30" s="213">
        <f>前台好评提成录入!V35*$E30</f>
        <v>0</v>
      </c>
      <c r="W30" s="213">
        <f>前台好评提成录入!W35*$E30</f>
        <v>0</v>
      </c>
      <c r="X30" s="213">
        <f>前台好评提成录入!X35*$E30</f>
        <v>0</v>
      </c>
      <c r="Y30" s="213">
        <f>前台好评提成录入!Y35*$E30</f>
        <v>0</v>
      </c>
      <c r="Z30" s="213">
        <f>前台好评提成录入!Z35*$E30</f>
        <v>0</v>
      </c>
      <c r="AA30" s="213">
        <f>前台好评提成录入!AA35*$E30</f>
        <v>0</v>
      </c>
      <c r="AB30" s="213">
        <f>前台好评提成录入!AB35*$E30</f>
        <v>0</v>
      </c>
      <c r="AC30" s="213">
        <f>前台好评提成录入!AC35*$E30</f>
        <v>0</v>
      </c>
      <c r="AD30" s="213">
        <f>前台好评提成录入!AD35*$E30</f>
        <v>0</v>
      </c>
      <c r="AE30" s="213">
        <f>前台好评提成录入!AE35*$E30</f>
        <v>0</v>
      </c>
      <c r="AF30" s="213">
        <f>前台好评提成录入!AF35*$E30</f>
        <v>0</v>
      </c>
      <c r="AG30" s="213">
        <f>前台好评提成录入!AG35*$E30</f>
        <v>0</v>
      </c>
      <c r="AH30" s="213">
        <f>前台好评提成录入!AH35*$E30</f>
        <v>0</v>
      </c>
      <c r="AI30" s="213">
        <f>前台好评提成录入!AI35*$E30</f>
        <v>0</v>
      </c>
      <c r="AJ30" s="213">
        <f>前台好评提成录入!AJ35*$E30</f>
        <v>0</v>
      </c>
      <c r="AK30" s="213">
        <f>前台好评提成录入!AK35*$E30</f>
        <v>0</v>
      </c>
      <c r="AL30" s="213">
        <f>前台好评提成录入!AL35*$E30</f>
        <v>0</v>
      </c>
    </row>
    <row r="31" s="178" customFormat="1" customHeight="1" spans="1:38">
      <c r="A31" s="161">
        <v>27</v>
      </c>
      <c r="B31" s="21" t="str">
        <f>前台好评提成录入!B36</f>
        <v>翟芮瑶</v>
      </c>
      <c r="C31" s="21" t="str">
        <f>前台好评提成录入!C36</f>
        <v>携程优质</v>
      </c>
      <c r="D31" s="21" t="str">
        <f>前台好评提成录入!D36</f>
        <v>条</v>
      </c>
      <c r="E31" s="21">
        <f>前台好评提成录入!E36</f>
        <v>15</v>
      </c>
      <c r="F31" s="21">
        <f>前台好评提成录入!F36</f>
        <v>7</v>
      </c>
      <c r="G31" s="21">
        <f>前台好评提成录入!G36</f>
        <v>105</v>
      </c>
      <c r="H31" s="213">
        <f>前台好评提成录入!H36*$E31</f>
        <v>105</v>
      </c>
      <c r="I31" s="213">
        <f>前台好评提成录入!I36*$E31</f>
        <v>0</v>
      </c>
      <c r="J31" s="213">
        <f>前台好评提成录入!J36*$E31</f>
        <v>0</v>
      </c>
      <c r="K31" s="213">
        <f>前台好评提成录入!K36*$E31</f>
        <v>0</v>
      </c>
      <c r="L31" s="213">
        <f>前台好评提成录入!L36*$E31</f>
        <v>0</v>
      </c>
      <c r="M31" s="213">
        <f>前台好评提成录入!M36*$E31</f>
        <v>0</v>
      </c>
      <c r="N31" s="213">
        <f>前台好评提成录入!N36*$E31</f>
        <v>0</v>
      </c>
      <c r="O31" s="213">
        <f>前台好评提成录入!O36*$E31</f>
        <v>0</v>
      </c>
      <c r="P31" s="213">
        <f>前台好评提成录入!P36*$E31</f>
        <v>0</v>
      </c>
      <c r="Q31" s="213">
        <f>前台好评提成录入!Q36*$E31</f>
        <v>0</v>
      </c>
      <c r="R31" s="213">
        <f>前台好评提成录入!R36*$E31</f>
        <v>0</v>
      </c>
      <c r="S31" s="213">
        <f>前台好评提成录入!S36*$E31</f>
        <v>0</v>
      </c>
      <c r="T31" s="213">
        <f>前台好评提成录入!T36*$E31</f>
        <v>0</v>
      </c>
      <c r="U31" s="213">
        <f>前台好评提成录入!U36*$E31</f>
        <v>0</v>
      </c>
      <c r="V31" s="213">
        <f>前台好评提成录入!V36*$E31</f>
        <v>0</v>
      </c>
      <c r="W31" s="213">
        <f>前台好评提成录入!W36*$E31</f>
        <v>0</v>
      </c>
      <c r="X31" s="213">
        <f>前台好评提成录入!X36*$E31</f>
        <v>0</v>
      </c>
      <c r="Y31" s="213">
        <f>前台好评提成录入!Y36*$E31</f>
        <v>0</v>
      </c>
      <c r="Z31" s="213">
        <f>前台好评提成录入!Z36*$E31</f>
        <v>0</v>
      </c>
      <c r="AA31" s="213">
        <f>前台好评提成录入!AA36*$E31</f>
        <v>0</v>
      </c>
      <c r="AB31" s="213">
        <f>前台好评提成录入!AB36*$E31</f>
        <v>0</v>
      </c>
      <c r="AC31" s="213">
        <f>前台好评提成录入!AC36*$E31</f>
        <v>0</v>
      </c>
      <c r="AD31" s="213">
        <f>前台好评提成录入!AD36*$E31</f>
        <v>0</v>
      </c>
      <c r="AE31" s="213">
        <f>前台好评提成录入!AE36*$E31</f>
        <v>0</v>
      </c>
      <c r="AF31" s="213">
        <f>前台好评提成录入!AF36*$E31</f>
        <v>0</v>
      </c>
      <c r="AG31" s="213">
        <f>前台好评提成录入!AG36*$E31</f>
        <v>0</v>
      </c>
      <c r="AH31" s="213">
        <f>前台好评提成录入!AH36*$E31</f>
        <v>0</v>
      </c>
      <c r="AI31" s="213">
        <f>前台好评提成录入!AI36*$E31</f>
        <v>0</v>
      </c>
      <c r="AJ31" s="213">
        <f>前台好评提成录入!AJ36*$E31</f>
        <v>0</v>
      </c>
      <c r="AK31" s="213">
        <f>前台好评提成录入!AK36*$E31</f>
        <v>0</v>
      </c>
      <c r="AL31" s="213">
        <f>前台好评提成录入!AL36*$E31</f>
        <v>0</v>
      </c>
    </row>
    <row r="32" s="178" customFormat="1" customHeight="1" spans="1:38">
      <c r="A32" s="161">
        <v>28</v>
      </c>
      <c r="B32" s="21" t="str">
        <f>前台好评提成录入!B37</f>
        <v>翟芮瑶</v>
      </c>
      <c r="C32" s="21" t="str">
        <f>前台好评提成录入!C37</f>
        <v>黑/金优质</v>
      </c>
      <c r="D32" s="21" t="str">
        <f>前台好评提成录入!D37</f>
        <v>条</v>
      </c>
      <c r="E32" s="21">
        <f>前台好评提成录入!E37</f>
        <v>30</v>
      </c>
      <c r="F32" s="21">
        <f>前台好评提成录入!F37</f>
        <v>2</v>
      </c>
      <c r="G32" s="21">
        <f>前台好评提成录入!G37</f>
        <v>60</v>
      </c>
      <c r="H32" s="213">
        <f>前台好评提成录入!H37*$E32</f>
        <v>60</v>
      </c>
      <c r="I32" s="213">
        <f>前台好评提成录入!I37*$E32</f>
        <v>0</v>
      </c>
      <c r="J32" s="213">
        <f>前台好评提成录入!J37*$E32</f>
        <v>0</v>
      </c>
      <c r="K32" s="213">
        <f>前台好评提成录入!K37*$E32</f>
        <v>0</v>
      </c>
      <c r="L32" s="213">
        <f>前台好评提成录入!L37*$E32</f>
        <v>0</v>
      </c>
      <c r="M32" s="213">
        <f>前台好评提成录入!M37*$E32</f>
        <v>0</v>
      </c>
      <c r="N32" s="213">
        <f>前台好评提成录入!N37*$E32</f>
        <v>0</v>
      </c>
      <c r="O32" s="213">
        <f>前台好评提成录入!O37*$E32</f>
        <v>0</v>
      </c>
      <c r="P32" s="213">
        <f>前台好评提成录入!P37*$E32</f>
        <v>0</v>
      </c>
      <c r="Q32" s="213">
        <f>前台好评提成录入!Q37*$E32</f>
        <v>0</v>
      </c>
      <c r="R32" s="213">
        <f>前台好评提成录入!R37*$E32</f>
        <v>0</v>
      </c>
      <c r="S32" s="213">
        <f>前台好评提成录入!S37*$E32</f>
        <v>0</v>
      </c>
      <c r="T32" s="213">
        <f>前台好评提成录入!T37*$E32</f>
        <v>0</v>
      </c>
      <c r="U32" s="213">
        <f>前台好评提成录入!U37*$E32</f>
        <v>0</v>
      </c>
      <c r="V32" s="213">
        <f>前台好评提成录入!V37*$E32</f>
        <v>0</v>
      </c>
      <c r="W32" s="213">
        <f>前台好评提成录入!W37*$E32</f>
        <v>0</v>
      </c>
      <c r="X32" s="213">
        <f>前台好评提成录入!X37*$E32</f>
        <v>0</v>
      </c>
      <c r="Y32" s="213">
        <f>前台好评提成录入!Y37*$E32</f>
        <v>0</v>
      </c>
      <c r="Z32" s="213">
        <f>前台好评提成录入!Z37*$E32</f>
        <v>0</v>
      </c>
      <c r="AA32" s="213">
        <f>前台好评提成录入!AA37*$E32</f>
        <v>0</v>
      </c>
      <c r="AB32" s="213">
        <f>前台好评提成录入!AB37*$E32</f>
        <v>0</v>
      </c>
      <c r="AC32" s="213">
        <f>前台好评提成录入!AC37*$E32</f>
        <v>0</v>
      </c>
      <c r="AD32" s="213">
        <f>前台好评提成录入!AD37*$E32</f>
        <v>0</v>
      </c>
      <c r="AE32" s="213">
        <f>前台好评提成录入!AE37*$E32</f>
        <v>0</v>
      </c>
      <c r="AF32" s="213">
        <f>前台好评提成录入!AF37*$E32</f>
        <v>0</v>
      </c>
      <c r="AG32" s="213">
        <f>前台好评提成录入!AG37*$E32</f>
        <v>0</v>
      </c>
      <c r="AH32" s="213">
        <f>前台好评提成录入!AH37*$E32</f>
        <v>0</v>
      </c>
      <c r="AI32" s="213">
        <f>前台好评提成录入!AI37*$E32</f>
        <v>0</v>
      </c>
      <c r="AJ32" s="213">
        <f>前台好评提成录入!AJ37*$E32</f>
        <v>0</v>
      </c>
      <c r="AK32" s="213">
        <f>前台好评提成录入!AK37*$E32</f>
        <v>0</v>
      </c>
      <c r="AL32" s="213">
        <f>前台好评提成录入!AL37*$E32</f>
        <v>0</v>
      </c>
    </row>
    <row r="33" s="178" customFormat="1" customHeight="1" spans="1:38">
      <c r="A33" s="161">
        <v>29</v>
      </c>
      <c r="B33" s="21" t="str">
        <f>前台好评提成录入!B38</f>
        <v>翟芮瑶</v>
      </c>
      <c r="C33" s="21" t="str">
        <f>前台好评提成录入!C38</f>
        <v>去哪儿</v>
      </c>
      <c r="D33" s="21" t="str">
        <f>前台好评提成录入!D38</f>
        <v>条</v>
      </c>
      <c r="E33" s="21">
        <f>前台好评提成录入!E38</f>
        <v>5</v>
      </c>
      <c r="F33" s="21">
        <f>前台好评提成录入!F38</f>
        <v>3</v>
      </c>
      <c r="G33" s="21">
        <f>前台好评提成录入!G38</f>
        <v>15</v>
      </c>
      <c r="H33" s="213">
        <f>前台好评提成录入!H38*$E33</f>
        <v>15</v>
      </c>
      <c r="I33" s="213">
        <f>前台好评提成录入!I38*$E33</f>
        <v>0</v>
      </c>
      <c r="J33" s="213">
        <f>前台好评提成录入!J38*$E33</f>
        <v>0</v>
      </c>
      <c r="K33" s="213">
        <f>前台好评提成录入!K38*$E33</f>
        <v>0</v>
      </c>
      <c r="L33" s="213">
        <f>前台好评提成录入!L38*$E33</f>
        <v>0</v>
      </c>
      <c r="M33" s="213">
        <f>前台好评提成录入!M38*$E33</f>
        <v>0</v>
      </c>
      <c r="N33" s="213">
        <f>前台好评提成录入!N38*$E33</f>
        <v>0</v>
      </c>
      <c r="O33" s="213">
        <f>前台好评提成录入!O38*$E33</f>
        <v>0</v>
      </c>
      <c r="P33" s="213">
        <f>前台好评提成录入!P38*$E33</f>
        <v>0</v>
      </c>
      <c r="Q33" s="213">
        <f>前台好评提成录入!Q38*$E33</f>
        <v>0</v>
      </c>
      <c r="R33" s="213">
        <f>前台好评提成录入!R38*$E33</f>
        <v>0</v>
      </c>
      <c r="S33" s="213">
        <f>前台好评提成录入!S38*$E33</f>
        <v>0</v>
      </c>
      <c r="T33" s="213">
        <f>前台好评提成录入!T38*$E33</f>
        <v>0</v>
      </c>
      <c r="U33" s="213">
        <f>前台好评提成录入!U38*$E33</f>
        <v>0</v>
      </c>
      <c r="V33" s="213">
        <f>前台好评提成录入!V38*$E33</f>
        <v>0</v>
      </c>
      <c r="W33" s="213">
        <f>前台好评提成录入!W38*$E33</f>
        <v>0</v>
      </c>
      <c r="X33" s="213">
        <f>前台好评提成录入!X38*$E33</f>
        <v>0</v>
      </c>
      <c r="Y33" s="213">
        <f>前台好评提成录入!Y38*$E33</f>
        <v>0</v>
      </c>
      <c r="Z33" s="213">
        <f>前台好评提成录入!Z38*$E33</f>
        <v>0</v>
      </c>
      <c r="AA33" s="213">
        <f>前台好评提成录入!AA38*$E33</f>
        <v>0</v>
      </c>
      <c r="AB33" s="213">
        <f>前台好评提成录入!AB38*$E33</f>
        <v>0</v>
      </c>
      <c r="AC33" s="213">
        <f>前台好评提成录入!AC38*$E33</f>
        <v>0</v>
      </c>
      <c r="AD33" s="213">
        <f>前台好评提成录入!AD38*$E33</f>
        <v>0</v>
      </c>
      <c r="AE33" s="213">
        <f>前台好评提成录入!AE38*$E33</f>
        <v>0</v>
      </c>
      <c r="AF33" s="213">
        <f>前台好评提成录入!AF38*$E33</f>
        <v>0</v>
      </c>
      <c r="AG33" s="213">
        <f>前台好评提成录入!AG38*$E33</f>
        <v>0</v>
      </c>
      <c r="AH33" s="213">
        <f>前台好评提成录入!AH38*$E33</f>
        <v>0</v>
      </c>
      <c r="AI33" s="213">
        <f>前台好评提成录入!AI38*$E33</f>
        <v>0</v>
      </c>
      <c r="AJ33" s="213">
        <f>前台好评提成录入!AJ38*$E33</f>
        <v>0</v>
      </c>
      <c r="AK33" s="213">
        <f>前台好评提成录入!AK38*$E33</f>
        <v>0</v>
      </c>
      <c r="AL33" s="213">
        <f>前台好评提成录入!AL38*$E33</f>
        <v>0</v>
      </c>
    </row>
    <row r="34" s="178" customFormat="1" customHeight="1" spans="1:38">
      <c r="A34" s="161">
        <v>30</v>
      </c>
      <c r="B34" s="21" t="str">
        <f>前台好评提成录入!B39</f>
        <v>翟芮瑶</v>
      </c>
      <c r="C34" s="21" t="str">
        <f>前台好评提成录入!C39</f>
        <v>同程</v>
      </c>
      <c r="D34" s="21" t="str">
        <f>前台好评提成录入!D39</f>
        <v>条</v>
      </c>
      <c r="E34" s="21">
        <f>前台好评提成录入!E39</f>
        <v>5</v>
      </c>
      <c r="F34" s="21">
        <f>前台好评提成录入!F39</f>
        <v>0</v>
      </c>
      <c r="G34" s="21">
        <f>前台好评提成录入!G39</f>
        <v>0</v>
      </c>
      <c r="H34" s="213">
        <f>前台好评提成录入!H39*$E34</f>
        <v>0</v>
      </c>
      <c r="I34" s="213">
        <f>前台好评提成录入!I39*$E34</f>
        <v>0</v>
      </c>
      <c r="J34" s="213">
        <f>前台好评提成录入!J39*$E34</f>
        <v>0</v>
      </c>
      <c r="K34" s="213">
        <f>前台好评提成录入!K39*$E34</f>
        <v>0</v>
      </c>
      <c r="L34" s="213">
        <f>前台好评提成录入!L39*$E34</f>
        <v>0</v>
      </c>
      <c r="M34" s="213">
        <f>前台好评提成录入!M39*$E34</f>
        <v>0</v>
      </c>
      <c r="N34" s="213">
        <f>前台好评提成录入!N39*$E34</f>
        <v>0</v>
      </c>
      <c r="O34" s="213">
        <f>前台好评提成录入!O39*$E34</f>
        <v>0</v>
      </c>
      <c r="P34" s="213">
        <f>前台好评提成录入!P39*$E34</f>
        <v>0</v>
      </c>
      <c r="Q34" s="213">
        <f>前台好评提成录入!Q39*$E34</f>
        <v>0</v>
      </c>
      <c r="R34" s="213">
        <f>前台好评提成录入!R39*$E34</f>
        <v>0</v>
      </c>
      <c r="S34" s="213">
        <f>前台好评提成录入!S39*$E34</f>
        <v>0</v>
      </c>
      <c r="T34" s="213">
        <f>前台好评提成录入!T39*$E34</f>
        <v>0</v>
      </c>
      <c r="U34" s="213">
        <f>前台好评提成录入!U39*$E34</f>
        <v>0</v>
      </c>
      <c r="V34" s="213">
        <f>前台好评提成录入!V39*$E34</f>
        <v>0</v>
      </c>
      <c r="W34" s="213">
        <f>前台好评提成录入!W39*$E34</f>
        <v>0</v>
      </c>
      <c r="X34" s="213">
        <f>前台好评提成录入!X39*$E34</f>
        <v>0</v>
      </c>
      <c r="Y34" s="213">
        <f>前台好评提成录入!Y39*$E34</f>
        <v>0</v>
      </c>
      <c r="Z34" s="213">
        <f>前台好评提成录入!Z39*$E34</f>
        <v>0</v>
      </c>
      <c r="AA34" s="213">
        <f>前台好评提成录入!AA39*$E34</f>
        <v>0</v>
      </c>
      <c r="AB34" s="213">
        <f>前台好评提成录入!AB39*$E34</f>
        <v>0</v>
      </c>
      <c r="AC34" s="213">
        <f>前台好评提成录入!AC39*$E34</f>
        <v>0</v>
      </c>
      <c r="AD34" s="213">
        <f>前台好评提成录入!AD39*$E34</f>
        <v>0</v>
      </c>
      <c r="AE34" s="213">
        <f>前台好评提成录入!AE39*$E34</f>
        <v>0</v>
      </c>
      <c r="AF34" s="213">
        <f>前台好评提成录入!AF39*$E34</f>
        <v>0</v>
      </c>
      <c r="AG34" s="213">
        <f>前台好评提成录入!AG39*$E34</f>
        <v>0</v>
      </c>
      <c r="AH34" s="213">
        <f>前台好评提成录入!AH39*$E34</f>
        <v>0</v>
      </c>
      <c r="AI34" s="213">
        <f>前台好评提成录入!AI39*$E34</f>
        <v>0</v>
      </c>
      <c r="AJ34" s="213">
        <f>前台好评提成录入!AJ39*$E34</f>
        <v>0</v>
      </c>
      <c r="AK34" s="213">
        <f>前台好评提成录入!AK39*$E34</f>
        <v>0</v>
      </c>
      <c r="AL34" s="213">
        <f>前台好评提成录入!AL39*$E34</f>
        <v>0</v>
      </c>
    </row>
    <row r="35" s="178" customFormat="1" customHeight="1" spans="1:38">
      <c r="A35" s="161">
        <v>31</v>
      </c>
      <c r="B35" s="21" t="str">
        <f>前台好评提成录入!B40</f>
        <v>翟芮瑶</v>
      </c>
      <c r="C35" s="21" t="str">
        <f>前台好评提成录入!C40</f>
        <v>智行</v>
      </c>
      <c r="D35" s="21" t="str">
        <f>前台好评提成录入!D40</f>
        <v>条</v>
      </c>
      <c r="E35" s="21">
        <f>前台好评提成录入!E40</f>
        <v>5</v>
      </c>
      <c r="F35" s="21">
        <f>前台好评提成录入!F40</f>
        <v>0</v>
      </c>
      <c r="G35" s="21">
        <f>前台好评提成录入!G40</f>
        <v>0</v>
      </c>
      <c r="H35" s="213">
        <f>前台好评提成录入!H40*$E35</f>
        <v>0</v>
      </c>
      <c r="I35" s="213">
        <f>前台好评提成录入!I40*$E35</f>
        <v>0</v>
      </c>
      <c r="J35" s="213">
        <f>前台好评提成录入!J40*$E35</f>
        <v>0</v>
      </c>
      <c r="K35" s="213">
        <f>前台好评提成录入!K40*$E35</f>
        <v>0</v>
      </c>
      <c r="L35" s="213">
        <f>前台好评提成录入!L40*$E35</f>
        <v>0</v>
      </c>
      <c r="M35" s="213">
        <f>前台好评提成录入!M40*$E35</f>
        <v>0</v>
      </c>
      <c r="N35" s="213">
        <f>前台好评提成录入!N40*$E35</f>
        <v>0</v>
      </c>
      <c r="O35" s="213">
        <f>前台好评提成录入!O40*$E35</f>
        <v>0</v>
      </c>
      <c r="P35" s="213">
        <f>前台好评提成录入!P40*$E35</f>
        <v>0</v>
      </c>
      <c r="Q35" s="213">
        <f>前台好评提成录入!Q40*$E35</f>
        <v>0</v>
      </c>
      <c r="R35" s="213">
        <f>前台好评提成录入!R40*$E35</f>
        <v>0</v>
      </c>
      <c r="S35" s="213">
        <f>前台好评提成录入!S40*$E35</f>
        <v>0</v>
      </c>
      <c r="T35" s="213">
        <f>前台好评提成录入!T40*$E35</f>
        <v>0</v>
      </c>
      <c r="U35" s="213">
        <f>前台好评提成录入!U40*$E35</f>
        <v>0</v>
      </c>
      <c r="V35" s="213">
        <f>前台好评提成录入!V40*$E35</f>
        <v>0</v>
      </c>
      <c r="W35" s="213">
        <f>前台好评提成录入!W40*$E35</f>
        <v>0</v>
      </c>
      <c r="X35" s="213">
        <f>前台好评提成录入!X40*$E35</f>
        <v>0</v>
      </c>
      <c r="Y35" s="213">
        <f>前台好评提成录入!Y40*$E35</f>
        <v>0</v>
      </c>
      <c r="Z35" s="213">
        <f>前台好评提成录入!Z40*$E35</f>
        <v>0</v>
      </c>
      <c r="AA35" s="213">
        <f>前台好评提成录入!AA40*$E35</f>
        <v>0</v>
      </c>
      <c r="AB35" s="213">
        <f>前台好评提成录入!AB40*$E35</f>
        <v>0</v>
      </c>
      <c r="AC35" s="213">
        <f>前台好评提成录入!AC40*$E35</f>
        <v>0</v>
      </c>
      <c r="AD35" s="213">
        <f>前台好评提成录入!AD40*$E35</f>
        <v>0</v>
      </c>
      <c r="AE35" s="213">
        <f>前台好评提成录入!AE40*$E35</f>
        <v>0</v>
      </c>
      <c r="AF35" s="213">
        <f>前台好评提成录入!AF40*$E35</f>
        <v>0</v>
      </c>
      <c r="AG35" s="213">
        <f>前台好评提成录入!AG40*$E35</f>
        <v>0</v>
      </c>
      <c r="AH35" s="213">
        <f>前台好评提成录入!AH40*$E35</f>
        <v>0</v>
      </c>
      <c r="AI35" s="213">
        <f>前台好评提成录入!AI40*$E35</f>
        <v>0</v>
      </c>
      <c r="AJ35" s="213">
        <f>前台好评提成录入!AJ40*$E35</f>
        <v>0</v>
      </c>
      <c r="AK35" s="213">
        <f>前台好评提成录入!AK40*$E35</f>
        <v>0</v>
      </c>
      <c r="AL35" s="213">
        <f>前台好评提成录入!AL40*$E35</f>
        <v>0</v>
      </c>
    </row>
    <row r="36" s="178" customFormat="1" customHeight="1" spans="1:38">
      <c r="A36" s="161">
        <v>32</v>
      </c>
      <c r="B36" s="21" t="str">
        <f>前台好评提成录入!B41</f>
        <v>翟芮瑶</v>
      </c>
      <c r="C36" s="21" t="str">
        <f>前台好评提成录入!C41</f>
        <v>抖音</v>
      </c>
      <c r="D36" s="21" t="str">
        <f>前台好评提成录入!D41</f>
        <v>条</v>
      </c>
      <c r="E36" s="21">
        <f>前台好评提成录入!E41</f>
        <v>5</v>
      </c>
      <c r="F36" s="21">
        <f>前台好评提成录入!F41</f>
        <v>13</v>
      </c>
      <c r="G36" s="21">
        <f>前台好评提成录入!G41</f>
        <v>65</v>
      </c>
      <c r="H36" s="213">
        <f>前台好评提成录入!H41*$E36</f>
        <v>65</v>
      </c>
      <c r="I36" s="213">
        <f>前台好评提成录入!I41*$E36</f>
        <v>0</v>
      </c>
      <c r="J36" s="213">
        <f>前台好评提成录入!J41*$E36</f>
        <v>0</v>
      </c>
      <c r="K36" s="213">
        <f>前台好评提成录入!K41*$E36</f>
        <v>0</v>
      </c>
      <c r="L36" s="213">
        <f>前台好评提成录入!L41*$E36</f>
        <v>0</v>
      </c>
      <c r="M36" s="213">
        <f>前台好评提成录入!M41*$E36</f>
        <v>0</v>
      </c>
      <c r="N36" s="213">
        <f>前台好评提成录入!N41*$E36</f>
        <v>0</v>
      </c>
      <c r="O36" s="213">
        <f>前台好评提成录入!O41*$E36</f>
        <v>0</v>
      </c>
      <c r="P36" s="213">
        <f>前台好评提成录入!P41*$E36</f>
        <v>0</v>
      </c>
      <c r="Q36" s="213">
        <f>前台好评提成录入!Q41*$E36</f>
        <v>0</v>
      </c>
      <c r="R36" s="213">
        <f>前台好评提成录入!R41*$E36</f>
        <v>0</v>
      </c>
      <c r="S36" s="213">
        <f>前台好评提成录入!S41*$E36</f>
        <v>0</v>
      </c>
      <c r="T36" s="213">
        <f>前台好评提成录入!T41*$E36</f>
        <v>0</v>
      </c>
      <c r="U36" s="213">
        <f>前台好评提成录入!U41*$E36</f>
        <v>0</v>
      </c>
      <c r="V36" s="213">
        <f>前台好评提成录入!V41*$E36</f>
        <v>0</v>
      </c>
      <c r="W36" s="213">
        <f>前台好评提成录入!W41*$E36</f>
        <v>0</v>
      </c>
      <c r="X36" s="213">
        <f>前台好评提成录入!X41*$E36</f>
        <v>0</v>
      </c>
      <c r="Y36" s="213">
        <f>前台好评提成录入!Y41*$E36</f>
        <v>0</v>
      </c>
      <c r="Z36" s="213">
        <f>前台好评提成录入!Z41*$E36</f>
        <v>0</v>
      </c>
      <c r="AA36" s="213">
        <f>前台好评提成录入!AA41*$E36</f>
        <v>0</v>
      </c>
      <c r="AB36" s="213">
        <f>前台好评提成录入!AB41*$E36</f>
        <v>0</v>
      </c>
      <c r="AC36" s="213">
        <f>前台好评提成录入!AC41*$E36</f>
        <v>0</v>
      </c>
      <c r="AD36" s="213">
        <f>前台好评提成录入!AD41*$E36</f>
        <v>0</v>
      </c>
      <c r="AE36" s="213">
        <f>前台好评提成录入!AE41*$E36</f>
        <v>0</v>
      </c>
      <c r="AF36" s="213">
        <f>前台好评提成录入!AF41*$E36</f>
        <v>0</v>
      </c>
      <c r="AG36" s="213">
        <f>前台好评提成录入!AG41*$E36</f>
        <v>0</v>
      </c>
      <c r="AH36" s="213">
        <f>前台好评提成录入!AH41*$E36</f>
        <v>0</v>
      </c>
      <c r="AI36" s="213">
        <f>前台好评提成录入!AI41*$E36</f>
        <v>0</v>
      </c>
      <c r="AJ36" s="213">
        <f>前台好评提成录入!AJ41*$E36</f>
        <v>0</v>
      </c>
      <c r="AK36" s="213">
        <f>前台好评提成录入!AK41*$E36</f>
        <v>0</v>
      </c>
      <c r="AL36" s="213">
        <f>前台好评提成录入!AL41*$E36</f>
        <v>0</v>
      </c>
    </row>
    <row r="37" s="178" customFormat="1" customHeight="1" spans="1:38">
      <c r="A37" s="161">
        <v>33</v>
      </c>
      <c r="B37" s="21" t="str">
        <f>前台好评提成录入!B42</f>
        <v>翟芮瑶</v>
      </c>
      <c r="C37" s="21" t="str">
        <f>前台好评提成录入!C42</f>
        <v>美团</v>
      </c>
      <c r="D37" s="21" t="str">
        <f>前台好评提成录入!D42</f>
        <v>条</v>
      </c>
      <c r="E37" s="21">
        <f>前台好评提成录入!E42</f>
        <v>5</v>
      </c>
      <c r="F37" s="21">
        <f>前台好评提成录入!F42</f>
        <v>57</v>
      </c>
      <c r="G37" s="21">
        <f>前台好评提成录入!G42</f>
        <v>285</v>
      </c>
      <c r="H37" s="213">
        <f>前台好评提成录入!H42*$E37</f>
        <v>285</v>
      </c>
      <c r="I37" s="213">
        <f>前台好评提成录入!I42*$E37</f>
        <v>0</v>
      </c>
      <c r="J37" s="213">
        <f>前台好评提成录入!J42*$E37</f>
        <v>0</v>
      </c>
      <c r="K37" s="213">
        <f>前台好评提成录入!K42*$E37</f>
        <v>0</v>
      </c>
      <c r="L37" s="213">
        <f>前台好评提成录入!L42*$E37</f>
        <v>0</v>
      </c>
      <c r="M37" s="213">
        <f>前台好评提成录入!M42*$E37</f>
        <v>0</v>
      </c>
      <c r="N37" s="213">
        <f>前台好评提成录入!N42*$E37</f>
        <v>0</v>
      </c>
      <c r="O37" s="213">
        <f>前台好评提成录入!O42*$E37</f>
        <v>0</v>
      </c>
      <c r="P37" s="213">
        <f>前台好评提成录入!P42*$E37</f>
        <v>0</v>
      </c>
      <c r="Q37" s="213">
        <f>前台好评提成录入!Q42*$E37</f>
        <v>0</v>
      </c>
      <c r="R37" s="213">
        <f>前台好评提成录入!R42*$E37</f>
        <v>0</v>
      </c>
      <c r="S37" s="213">
        <f>前台好评提成录入!S42*$E37</f>
        <v>0</v>
      </c>
      <c r="T37" s="213">
        <f>前台好评提成录入!T42*$E37</f>
        <v>0</v>
      </c>
      <c r="U37" s="213">
        <f>前台好评提成录入!U42*$E37</f>
        <v>0</v>
      </c>
      <c r="V37" s="213">
        <f>前台好评提成录入!V42*$E37</f>
        <v>0</v>
      </c>
      <c r="W37" s="213">
        <f>前台好评提成录入!W42*$E37</f>
        <v>0</v>
      </c>
      <c r="X37" s="213">
        <f>前台好评提成录入!X42*$E37</f>
        <v>0</v>
      </c>
      <c r="Y37" s="213">
        <f>前台好评提成录入!Y42*$E37</f>
        <v>0</v>
      </c>
      <c r="Z37" s="213">
        <f>前台好评提成录入!Z42*$E37</f>
        <v>0</v>
      </c>
      <c r="AA37" s="213">
        <f>前台好评提成录入!AA42*$E37</f>
        <v>0</v>
      </c>
      <c r="AB37" s="213">
        <f>前台好评提成录入!AB42*$E37</f>
        <v>0</v>
      </c>
      <c r="AC37" s="213">
        <f>前台好评提成录入!AC42*$E37</f>
        <v>0</v>
      </c>
      <c r="AD37" s="213">
        <f>前台好评提成录入!AD42*$E37</f>
        <v>0</v>
      </c>
      <c r="AE37" s="213">
        <f>前台好评提成录入!AE42*$E37</f>
        <v>0</v>
      </c>
      <c r="AF37" s="213">
        <f>前台好评提成录入!AF42*$E37</f>
        <v>0</v>
      </c>
      <c r="AG37" s="213">
        <f>前台好评提成录入!AG42*$E37</f>
        <v>0</v>
      </c>
      <c r="AH37" s="213">
        <f>前台好评提成录入!AH42*$E37</f>
        <v>0</v>
      </c>
      <c r="AI37" s="213">
        <f>前台好评提成录入!AI42*$E37</f>
        <v>0</v>
      </c>
      <c r="AJ37" s="213">
        <f>前台好评提成录入!AJ42*$E37</f>
        <v>0</v>
      </c>
      <c r="AK37" s="213">
        <f>前台好评提成录入!AK42*$E37</f>
        <v>0</v>
      </c>
      <c r="AL37" s="213">
        <f>前台好评提成录入!AL42*$E37</f>
        <v>0</v>
      </c>
    </row>
    <row r="38" s="178" customFormat="1" customHeight="1" spans="1:38">
      <c r="A38" s="161">
        <v>34</v>
      </c>
      <c r="B38" s="21" t="str">
        <f>前台好评提成录入!B43</f>
        <v>翟芮瑶</v>
      </c>
      <c r="C38" s="21" t="str">
        <f>前台好评提成录入!C43</f>
        <v>飞猪</v>
      </c>
      <c r="D38" s="21" t="str">
        <f>前台好评提成录入!D43</f>
        <v>条</v>
      </c>
      <c r="E38" s="21">
        <f>前台好评提成录入!E43</f>
        <v>5</v>
      </c>
      <c r="F38" s="21">
        <f>前台好评提成录入!F43</f>
        <v>7</v>
      </c>
      <c r="G38" s="21">
        <f>前台好评提成录入!G43</f>
        <v>35</v>
      </c>
      <c r="H38" s="213">
        <f>前台好评提成录入!H43*$E38</f>
        <v>35</v>
      </c>
      <c r="I38" s="213">
        <f>前台好评提成录入!I43*$E38</f>
        <v>0</v>
      </c>
      <c r="J38" s="213">
        <f>前台好评提成录入!J43*$E38</f>
        <v>0</v>
      </c>
      <c r="K38" s="213">
        <f>前台好评提成录入!K43*$E38</f>
        <v>0</v>
      </c>
      <c r="L38" s="213">
        <f>前台好评提成录入!L43*$E38</f>
        <v>0</v>
      </c>
      <c r="M38" s="213">
        <f>前台好评提成录入!M43*$E38</f>
        <v>0</v>
      </c>
      <c r="N38" s="213">
        <f>前台好评提成录入!N43*$E38</f>
        <v>0</v>
      </c>
      <c r="O38" s="213">
        <f>前台好评提成录入!O43*$E38</f>
        <v>0</v>
      </c>
      <c r="P38" s="213">
        <f>前台好评提成录入!P43*$E38</f>
        <v>0</v>
      </c>
      <c r="Q38" s="213">
        <f>前台好评提成录入!Q43*$E38</f>
        <v>0</v>
      </c>
      <c r="R38" s="213">
        <f>前台好评提成录入!R43*$E38</f>
        <v>0</v>
      </c>
      <c r="S38" s="213">
        <f>前台好评提成录入!S43*$E38</f>
        <v>0</v>
      </c>
      <c r="T38" s="213">
        <f>前台好评提成录入!T43*$E38</f>
        <v>0</v>
      </c>
      <c r="U38" s="213">
        <f>前台好评提成录入!U43*$E38</f>
        <v>0</v>
      </c>
      <c r="V38" s="213">
        <f>前台好评提成录入!V43*$E38</f>
        <v>0</v>
      </c>
      <c r="W38" s="213">
        <f>前台好评提成录入!W43*$E38</f>
        <v>0</v>
      </c>
      <c r="X38" s="213">
        <f>前台好评提成录入!X43*$E38</f>
        <v>0</v>
      </c>
      <c r="Y38" s="213">
        <f>前台好评提成录入!Y43*$E38</f>
        <v>0</v>
      </c>
      <c r="Z38" s="213">
        <f>前台好评提成录入!Z43*$E38</f>
        <v>0</v>
      </c>
      <c r="AA38" s="213">
        <f>前台好评提成录入!AA43*$E38</f>
        <v>0</v>
      </c>
      <c r="AB38" s="213">
        <f>前台好评提成录入!AB43*$E38</f>
        <v>0</v>
      </c>
      <c r="AC38" s="213">
        <f>前台好评提成录入!AC43*$E38</f>
        <v>0</v>
      </c>
      <c r="AD38" s="213">
        <f>前台好评提成录入!AD43*$E38</f>
        <v>0</v>
      </c>
      <c r="AE38" s="213">
        <f>前台好评提成录入!AE43*$E38</f>
        <v>0</v>
      </c>
      <c r="AF38" s="213">
        <f>前台好评提成录入!AF43*$E38</f>
        <v>0</v>
      </c>
      <c r="AG38" s="213">
        <f>前台好评提成录入!AG43*$E38</f>
        <v>0</v>
      </c>
      <c r="AH38" s="213">
        <f>前台好评提成录入!AH43*$E38</f>
        <v>0</v>
      </c>
      <c r="AI38" s="213">
        <f>前台好评提成录入!AI43*$E38</f>
        <v>0</v>
      </c>
      <c r="AJ38" s="213">
        <f>前台好评提成录入!AJ43*$E38</f>
        <v>0</v>
      </c>
      <c r="AK38" s="213">
        <f>前台好评提成录入!AK43*$E38</f>
        <v>0</v>
      </c>
      <c r="AL38" s="213">
        <f>前台好评提成录入!AL43*$E38</f>
        <v>0</v>
      </c>
    </row>
    <row r="39" s="178" customFormat="1" customHeight="1" spans="1:38">
      <c r="A39" s="161">
        <v>35</v>
      </c>
      <c r="B39" s="21" t="str">
        <f>前台好评提成录入!B44</f>
        <v>翟芮瑶</v>
      </c>
      <c r="C39" s="21" t="str">
        <f>前台好评提成录入!C44</f>
        <v>官网</v>
      </c>
      <c r="D39" s="21" t="str">
        <f>前台好评提成录入!D44</f>
        <v>条</v>
      </c>
      <c r="E39" s="21">
        <f>前台好评提成录入!E44</f>
        <v>5</v>
      </c>
      <c r="F39" s="21">
        <f>前台好评提成录入!F44</f>
        <v>23</v>
      </c>
      <c r="G39" s="21">
        <f>前台好评提成录入!G44</f>
        <v>115</v>
      </c>
      <c r="H39" s="213">
        <f>前台好评提成录入!H44*$E39</f>
        <v>115</v>
      </c>
      <c r="I39" s="213">
        <f>前台好评提成录入!I44*$E39</f>
        <v>0</v>
      </c>
      <c r="J39" s="213">
        <f>前台好评提成录入!J44*$E39</f>
        <v>0</v>
      </c>
      <c r="K39" s="213">
        <f>前台好评提成录入!K44*$E39</f>
        <v>0</v>
      </c>
      <c r="L39" s="213">
        <f>前台好评提成录入!L44*$E39</f>
        <v>0</v>
      </c>
      <c r="M39" s="213">
        <f>前台好评提成录入!M44*$E39</f>
        <v>0</v>
      </c>
      <c r="N39" s="213">
        <f>前台好评提成录入!N44*$E39</f>
        <v>0</v>
      </c>
      <c r="O39" s="213">
        <f>前台好评提成录入!O44*$E39</f>
        <v>0</v>
      </c>
      <c r="P39" s="213">
        <f>前台好评提成录入!P44*$E39</f>
        <v>0</v>
      </c>
      <c r="Q39" s="213">
        <f>前台好评提成录入!Q44*$E39</f>
        <v>0</v>
      </c>
      <c r="R39" s="213">
        <f>前台好评提成录入!R44*$E39</f>
        <v>0</v>
      </c>
      <c r="S39" s="213">
        <f>前台好评提成录入!S44*$E39</f>
        <v>0</v>
      </c>
      <c r="T39" s="213">
        <f>前台好评提成录入!T44*$E39</f>
        <v>0</v>
      </c>
      <c r="U39" s="213">
        <f>前台好评提成录入!U44*$E39</f>
        <v>0</v>
      </c>
      <c r="V39" s="213">
        <f>前台好评提成录入!V44*$E39</f>
        <v>0</v>
      </c>
      <c r="W39" s="213">
        <f>前台好评提成录入!W44*$E39</f>
        <v>0</v>
      </c>
      <c r="X39" s="213">
        <f>前台好评提成录入!X44*$E39</f>
        <v>0</v>
      </c>
      <c r="Y39" s="213">
        <f>前台好评提成录入!Y44*$E39</f>
        <v>0</v>
      </c>
      <c r="Z39" s="213">
        <f>前台好评提成录入!Z44*$E39</f>
        <v>0</v>
      </c>
      <c r="AA39" s="213">
        <f>前台好评提成录入!AA44*$E39</f>
        <v>0</v>
      </c>
      <c r="AB39" s="213">
        <f>前台好评提成录入!AB44*$E39</f>
        <v>0</v>
      </c>
      <c r="AC39" s="213">
        <f>前台好评提成录入!AC44*$E39</f>
        <v>0</v>
      </c>
      <c r="AD39" s="213">
        <f>前台好评提成录入!AD44*$E39</f>
        <v>0</v>
      </c>
      <c r="AE39" s="213">
        <f>前台好评提成录入!AE44*$E39</f>
        <v>0</v>
      </c>
      <c r="AF39" s="213">
        <f>前台好评提成录入!AF44*$E39</f>
        <v>0</v>
      </c>
      <c r="AG39" s="213">
        <f>前台好评提成录入!AG44*$E39</f>
        <v>0</v>
      </c>
      <c r="AH39" s="213">
        <f>前台好评提成录入!AH44*$E39</f>
        <v>0</v>
      </c>
      <c r="AI39" s="213">
        <f>前台好评提成录入!AI44*$E39</f>
        <v>0</v>
      </c>
      <c r="AJ39" s="213">
        <f>前台好评提成录入!AJ44*$E39</f>
        <v>0</v>
      </c>
      <c r="AK39" s="213">
        <f>前台好评提成录入!AK44*$E39</f>
        <v>0</v>
      </c>
      <c r="AL39" s="213">
        <f>前台好评提成录入!AL44*$E39</f>
        <v>0</v>
      </c>
    </row>
    <row r="40" s="178" customFormat="1" customHeight="1" spans="1:38">
      <c r="A40" s="161">
        <v>36</v>
      </c>
      <c r="B40" s="21" t="str">
        <f>前台好评提成录入!B45</f>
        <v>孙源</v>
      </c>
      <c r="C40" s="21" t="str">
        <f>前台好评提成录入!C45</f>
        <v>携程</v>
      </c>
      <c r="D40" s="21" t="str">
        <f>前台好评提成录入!D45</f>
        <v>条</v>
      </c>
      <c r="E40" s="21">
        <f>前台好评提成录入!E45</f>
        <v>5</v>
      </c>
      <c r="F40" s="21">
        <f>前台好评提成录入!F45</f>
        <v>0</v>
      </c>
      <c r="G40" s="21">
        <f>前台好评提成录入!G45</f>
        <v>0</v>
      </c>
      <c r="H40" s="213">
        <f>前台好评提成录入!H45*$E40</f>
        <v>0</v>
      </c>
      <c r="I40" s="213">
        <f>前台好评提成录入!I45*$E40</f>
        <v>0</v>
      </c>
      <c r="J40" s="213">
        <f>前台好评提成录入!J45*$E40</f>
        <v>0</v>
      </c>
      <c r="K40" s="213">
        <f>前台好评提成录入!K45*$E40</f>
        <v>0</v>
      </c>
      <c r="L40" s="213">
        <f>前台好评提成录入!L45*$E40</f>
        <v>0</v>
      </c>
      <c r="M40" s="213">
        <f>前台好评提成录入!M45*$E40</f>
        <v>0</v>
      </c>
      <c r="N40" s="213">
        <f>前台好评提成录入!N45*$E40</f>
        <v>0</v>
      </c>
      <c r="O40" s="213">
        <f>前台好评提成录入!O45*$E40</f>
        <v>0</v>
      </c>
      <c r="P40" s="213">
        <f>前台好评提成录入!P45*$E40</f>
        <v>0</v>
      </c>
      <c r="Q40" s="213">
        <f>前台好评提成录入!Q45*$E40</f>
        <v>0</v>
      </c>
      <c r="R40" s="213">
        <f>前台好评提成录入!R45*$E40</f>
        <v>0</v>
      </c>
      <c r="S40" s="213">
        <f>前台好评提成录入!S45*$E40</f>
        <v>0</v>
      </c>
      <c r="T40" s="213">
        <f>前台好评提成录入!T45*$E40</f>
        <v>0</v>
      </c>
      <c r="U40" s="213">
        <f>前台好评提成录入!U45*$E40</f>
        <v>0</v>
      </c>
      <c r="V40" s="213">
        <f>前台好评提成录入!V45*$E40</f>
        <v>0</v>
      </c>
      <c r="W40" s="213">
        <f>前台好评提成录入!W45*$E40</f>
        <v>0</v>
      </c>
      <c r="X40" s="213">
        <f>前台好评提成录入!X45*$E40</f>
        <v>0</v>
      </c>
      <c r="Y40" s="213">
        <f>前台好评提成录入!Y45*$E40</f>
        <v>0</v>
      </c>
      <c r="Z40" s="213">
        <f>前台好评提成录入!Z45*$E40</f>
        <v>0</v>
      </c>
      <c r="AA40" s="213">
        <f>前台好评提成录入!AA45*$E40</f>
        <v>0</v>
      </c>
      <c r="AB40" s="213">
        <f>前台好评提成录入!AB45*$E40</f>
        <v>0</v>
      </c>
      <c r="AC40" s="213">
        <f>前台好评提成录入!AC45*$E40</f>
        <v>0</v>
      </c>
      <c r="AD40" s="213">
        <f>前台好评提成录入!AD45*$E40</f>
        <v>0</v>
      </c>
      <c r="AE40" s="213">
        <f>前台好评提成录入!AE45*$E40</f>
        <v>0</v>
      </c>
      <c r="AF40" s="213">
        <f>前台好评提成录入!AF45*$E40</f>
        <v>0</v>
      </c>
      <c r="AG40" s="213">
        <f>前台好评提成录入!AG45*$E40</f>
        <v>0</v>
      </c>
      <c r="AH40" s="213">
        <f>前台好评提成录入!AH45*$E40</f>
        <v>0</v>
      </c>
      <c r="AI40" s="213">
        <f>前台好评提成录入!AI45*$E40</f>
        <v>0</v>
      </c>
      <c r="AJ40" s="213">
        <f>前台好评提成录入!AJ45*$E40</f>
        <v>0</v>
      </c>
      <c r="AK40" s="213">
        <f>前台好评提成录入!AK45*$E40</f>
        <v>0</v>
      </c>
      <c r="AL40" s="213">
        <f>前台好评提成录入!AL45*$E40</f>
        <v>0</v>
      </c>
    </row>
    <row r="41" s="178" customFormat="1" customHeight="1" spans="1:38">
      <c r="A41" s="161">
        <v>37</v>
      </c>
      <c r="B41" s="21" t="str">
        <f>前台好评提成录入!B46</f>
        <v>孙源</v>
      </c>
      <c r="C41" s="21" t="str">
        <f>前台好评提成录入!C46</f>
        <v>携程优质</v>
      </c>
      <c r="D41" s="21" t="str">
        <f>前台好评提成录入!D46</f>
        <v>条</v>
      </c>
      <c r="E41" s="21">
        <f>前台好评提成录入!E46</f>
        <v>15</v>
      </c>
      <c r="F41" s="21">
        <f>前台好评提成录入!F46</f>
        <v>0</v>
      </c>
      <c r="G41" s="21">
        <f>前台好评提成录入!G46</f>
        <v>0</v>
      </c>
      <c r="H41" s="213">
        <f>前台好评提成录入!H46*$E41</f>
        <v>0</v>
      </c>
      <c r="I41" s="213">
        <f>前台好评提成录入!I46*$E41</f>
        <v>0</v>
      </c>
      <c r="J41" s="213">
        <f>前台好评提成录入!J46*$E41</f>
        <v>0</v>
      </c>
      <c r="K41" s="213">
        <f>前台好评提成录入!K46*$E41</f>
        <v>0</v>
      </c>
      <c r="L41" s="213">
        <f>前台好评提成录入!L46*$E41</f>
        <v>0</v>
      </c>
      <c r="M41" s="213">
        <f>前台好评提成录入!M46*$E41</f>
        <v>0</v>
      </c>
      <c r="N41" s="213">
        <f>前台好评提成录入!N46*$E41</f>
        <v>0</v>
      </c>
      <c r="O41" s="213">
        <f>前台好评提成录入!O46*$E41</f>
        <v>0</v>
      </c>
      <c r="P41" s="213">
        <f>前台好评提成录入!P46*$E41</f>
        <v>0</v>
      </c>
      <c r="Q41" s="213">
        <f>前台好评提成录入!Q46*$E41</f>
        <v>0</v>
      </c>
      <c r="R41" s="213">
        <f>前台好评提成录入!R46*$E41</f>
        <v>0</v>
      </c>
      <c r="S41" s="213">
        <f>前台好评提成录入!S46*$E41</f>
        <v>0</v>
      </c>
      <c r="T41" s="213">
        <f>前台好评提成录入!T46*$E41</f>
        <v>0</v>
      </c>
      <c r="U41" s="213">
        <f>前台好评提成录入!U46*$E41</f>
        <v>0</v>
      </c>
      <c r="V41" s="213">
        <f>前台好评提成录入!V46*$E41</f>
        <v>0</v>
      </c>
      <c r="W41" s="213">
        <f>前台好评提成录入!W46*$E41</f>
        <v>0</v>
      </c>
      <c r="X41" s="213">
        <f>前台好评提成录入!X46*$E41</f>
        <v>0</v>
      </c>
      <c r="Y41" s="213">
        <f>前台好评提成录入!Y46*$E41</f>
        <v>0</v>
      </c>
      <c r="Z41" s="213">
        <f>前台好评提成录入!Z46*$E41</f>
        <v>0</v>
      </c>
      <c r="AA41" s="213">
        <f>前台好评提成录入!AA46*$E41</f>
        <v>0</v>
      </c>
      <c r="AB41" s="213">
        <f>前台好评提成录入!AB46*$E41</f>
        <v>0</v>
      </c>
      <c r="AC41" s="213">
        <f>前台好评提成录入!AC46*$E41</f>
        <v>0</v>
      </c>
      <c r="AD41" s="213">
        <f>前台好评提成录入!AD46*$E41</f>
        <v>0</v>
      </c>
      <c r="AE41" s="213">
        <f>前台好评提成录入!AE46*$E41</f>
        <v>0</v>
      </c>
      <c r="AF41" s="213">
        <f>前台好评提成录入!AF46*$E41</f>
        <v>0</v>
      </c>
      <c r="AG41" s="213">
        <f>前台好评提成录入!AG46*$E41</f>
        <v>0</v>
      </c>
      <c r="AH41" s="213">
        <f>前台好评提成录入!AH46*$E41</f>
        <v>0</v>
      </c>
      <c r="AI41" s="213">
        <f>前台好评提成录入!AI46*$E41</f>
        <v>0</v>
      </c>
      <c r="AJ41" s="213">
        <f>前台好评提成录入!AJ46*$E41</f>
        <v>0</v>
      </c>
      <c r="AK41" s="213">
        <f>前台好评提成录入!AK46*$E41</f>
        <v>0</v>
      </c>
      <c r="AL41" s="213">
        <f>前台好评提成录入!AL46*$E41</f>
        <v>0</v>
      </c>
    </row>
    <row r="42" s="178" customFormat="1" customHeight="1" spans="1:38">
      <c r="A42" s="161">
        <v>38</v>
      </c>
      <c r="B42" s="21" t="str">
        <f>前台好评提成录入!B47</f>
        <v>孙源</v>
      </c>
      <c r="C42" s="21" t="str">
        <f>前台好评提成录入!C47</f>
        <v>黑/金优质</v>
      </c>
      <c r="D42" s="21" t="str">
        <f>前台好评提成录入!D47</f>
        <v>条</v>
      </c>
      <c r="E42" s="21">
        <f>前台好评提成录入!E47</f>
        <v>30</v>
      </c>
      <c r="F42" s="21">
        <f>前台好评提成录入!F47</f>
        <v>0</v>
      </c>
      <c r="G42" s="21">
        <f>前台好评提成录入!G47</f>
        <v>0</v>
      </c>
      <c r="H42" s="213">
        <f>前台好评提成录入!H47*$E42</f>
        <v>0</v>
      </c>
      <c r="I42" s="213">
        <f>前台好评提成录入!I47*$E42</f>
        <v>0</v>
      </c>
      <c r="J42" s="213">
        <f>前台好评提成录入!J47*$E42</f>
        <v>0</v>
      </c>
      <c r="K42" s="213">
        <f>前台好评提成录入!K47*$E42</f>
        <v>0</v>
      </c>
      <c r="L42" s="213">
        <f>前台好评提成录入!L47*$E42</f>
        <v>0</v>
      </c>
      <c r="M42" s="213">
        <f>前台好评提成录入!M47*$E42</f>
        <v>0</v>
      </c>
      <c r="N42" s="213">
        <f>前台好评提成录入!N47*$E42</f>
        <v>0</v>
      </c>
      <c r="O42" s="213">
        <f>前台好评提成录入!O47*$E42</f>
        <v>0</v>
      </c>
      <c r="P42" s="213">
        <f>前台好评提成录入!P47*$E42</f>
        <v>0</v>
      </c>
      <c r="Q42" s="213">
        <f>前台好评提成录入!Q47*$E42</f>
        <v>0</v>
      </c>
      <c r="R42" s="213">
        <f>前台好评提成录入!R47*$E42</f>
        <v>0</v>
      </c>
      <c r="S42" s="213">
        <f>前台好评提成录入!S47*$E42</f>
        <v>0</v>
      </c>
      <c r="T42" s="213">
        <f>前台好评提成录入!T47*$E42</f>
        <v>0</v>
      </c>
      <c r="U42" s="213">
        <f>前台好评提成录入!U47*$E42</f>
        <v>0</v>
      </c>
      <c r="V42" s="213">
        <f>前台好评提成录入!V47*$E42</f>
        <v>0</v>
      </c>
      <c r="W42" s="213">
        <f>前台好评提成录入!W47*$E42</f>
        <v>0</v>
      </c>
      <c r="X42" s="213">
        <f>前台好评提成录入!X47*$E42</f>
        <v>0</v>
      </c>
      <c r="Y42" s="213">
        <f>前台好评提成录入!Y47*$E42</f>
        <v>0</v>
      </c>
      <c r="Z42" s="213">
        <f>前台好评提成录入!Z47*$E42</f>
        <v>0</v>
      </c>
      <c r="AA42" s="213">
        <f>前台好评提成录入!AA47*$E42</f>
        <v>0</v>
      </c>
      <c r="AB42" s="213">
        <f>前台好评提成录入!AB47*$E42</f>
        <v>0</v>
      </c>
      <c r="AC42" s="213">
        <f>前台好评提成录入!AC47*$E42</f>
        <v>0</v>
      </c>
      <c r="AD42" s="213">
        <f>前台好评提成录入!AD47*$E42</f>
        <v>0</v>
      </c>
      <c r="AE42" s="213">
        <f>前台好评提成录入!AE47*$E42</f>
        <v>0</v>
      </c>
      <c r="AF42" s="213">
        <f>前台好评提成录入!AF47*$E42</f>
        <v>0</v>
      </c>
      <c r="AG42" s="213">
        <f>前台好评提成录入!AG47*$E42</f>
        <v>0</v>
      </c>
      <c r="AH42" s="213">
        <f>前台好评提成录入!AH47*$E42</f>
        <v>0</v>
      </c>
      <c r="AI42" s="213">
        <f>前台好评提成录入!AI47*$E42</f>
        <v>0</v>
      </c>
      <c r="AJ42" s="213">
        <f>前台好评提成录入!AJ47*$E42</f>
        <v>0</v>
      </c>
      <c r="AK42" s="213">
        <f>前台好评提成录入!AK47*$E42</f>
        <v>0</v>
      </c>
      <c r="AL42" s="213">
        <f>前台好评提成录入!AL47*$E42</f>
        <v>0</v>
      </c>
    </row>
    <row r="43" s="178" customFormat="1" customHeight="1" spans="1:38">
      <c r="A43" s="161">
        <v>39</v>
      </c>
      <c r="B43" s="21" t="str">
        <f>前台好评提成录入!B48</f>
        <v>孙源</v>
      </c>
      <c r="C43" s="21" t="str">
        <f>前台好评提成录入!C48</f>
        <v>去哪儿</v>
      </c>
      <c r="D43" s="21" t="str">
        <f>前台好评提成录入!D48</f>
        <v>条</v>
      </c>
      <c r="E43" s="21">
        <f>前台好评提成录入!E48</f>
        <v>5</v>
      </c>
      <c r="F43" s="21">
        <f>前台好评提成录入!F48</f>
        <v>0</v>
      </c>
      <c r="G43" s="21">
        <f>前台好评提成录入!G48</f>
        <v>0</v>
      </c>
      <c r="H43" s="213">
        <f>前台好评提成录入!H48*$E43</f>
        <v>0</v>
      </c>
      <c r="I43" s="213">
        <f>前台好评提成录入!I48*$E43</f>
        <v>0</v>
      </c>
      <c r="J43" s="213">
        <f>前台好评提成录入!J48*$E43</f>
        <v>0</v>
      </c>
      <c r="K43" s="213">
        <f>前台好评提成录入!K48*$E43</f>
        <v>0</v>
      </c>
      <c r="L43" s="213">
        <f>前台好评提成录入!L48*$E43</f>
        <v>0</v>
      </c>
      <c r="M43" s="213">
        <f>前台好评提成录入!M48*$E43</f>
        <v>0</v>
      </c>
      <c r="N43" s="213">
        <f>前台好评提成录入!N48*$E43</f>
        <v>0</v>
      </c>
      <c r="O43" s="213">
        <f>前台好评提成录入!O48*$E43</f>
        <v>0</v>
      </c>
      <c r="P43" s="213">
        <f>前台好评提成录入!P48*$E43</f>
        <v>0</v>
      </c>
      <c r="Q43" s="213">
        <f>前台好评提成录入!Q48*$E43</f>
        <v>0</v>
      </c>
      <c r="R43" s="213">
        <f>前台好评提成录入!R48*$E43</f>
        <v>0</v>
      </c>
      <c r="S43" s="213">
        <f>前台好评提成录入!S48*$E43</f>
        <v>0</v>
      </c>
      <c r="T43" s="213">
        <f>前台好评提成录入!T48*$E43</f>
        <v>0</v>
      </c>
      <c r="U43" s="213">
        <f>前台好评提成录入!U48*$E43</f>
        <v>0</v>
      </c>
      <c r="V43" s="213">
        <f>前台好评提成录入!V48*$E43</f>
        <v>0</v>
      </c>
      <c r="W43" s="213">
        <f>前台好评提成录入!W48*$E43</f>
        <v>0</v>
      </c>
      <c r="X43" s="213">
        <f>前台好评提成录入!X48*$E43</f>
        <v>0</v>
      </c>
      <c r="Y43" s="213">
        <f>前台好评提成录入!Y48*$E43</f>
        <v>0</v>
      </c>
      <c r="Z43" s="213">
        <f>前台好评提成录入!Z48*$E43</f>
        <v>0</v>
      </c>
      <c r="AA43" s="213">
        <f>前台好评提成录入!AA48*$E43</f>
        <v>0</v>
      </c>
      <c r="AB43" s="213">
        <f>前台好评提成录入!AB48*$E43</f>
        <v>0</v>
      </c>
      <c r="AC43" s="213">
        <f>前台好评提成录入!AC48*$E43</f>
        <v>0</v>
      </c>
      <c r="AD43" s="213">
        <f>前台好评提成录入!AD48*$E43</f>
        <v>0</v>
      </c>
      <c r="AE43" s="213">
        <f>前台好评提成录入!AE48*$E43</f>
        <v>0</v>
      </c>
      <c r="AF43" s="213">
        <f>前台好评提成录入!AF48*$E43</f>
        <v>0</v>
      </c>
      <c r="AG43" s="213">
        <f>前台好评提成录入!AG48*$E43</f>
        <v>0</v>
      </c>
      <c r="AH43" s="213">
        <f>前台好评提成录入!AH48*$E43</f>
        <v>0</v>
      </c>
      <c r="AI43" s="213">
        <f>前台好评提成录入!AI48*$E43</f>
        <v>0</v>
      </c>
      <c r="AJ43" s="213">
        <f>前台好评提成录入!AJ48*$E43</f>
        <v>0</v>
      </c>
      <c r="AK43" s="213">
        <f>前台好评提成录入!AK48*$E43</f>
        <v>0</v>
      </c>
      <c r="AL43" s="213">
        <f>前台好评提成录入!AL48*$E43</f>
        <v>0</v>
      </c>
    </row>
    <row r="44" s="178" customFormat="1" customHeight="1" spans="1:38">
      <c r="A44" s="161">
        <v>40</v>
      </c>
      <c r="B44" s="21" t="str">
        <f>前台好评提成录入!B49</f>
        <v>孙源</v>
      </c>
      <c r="C44" s="21" t="str">
        <f>前台好评提成录入!C49</f>
        <v>同程</v>
      </c>
      <c r="D44" s="21" t="str">
        <f>前台好评提成录入!D49</f>
        <v>条</v>
      </c>
      <c r="E44" s="21">
        <f>前台好评提成录入!E49</f>
        <v>5</v>
      </c>
      <c r="F44" s="21">
        <f>前台好评提成录入!F49</f>
        <v>0</v>
      </c>
      <c r="G44" s="21">
        <f>前台好评提成录入!G49</f>
        <v>0</v>
      </c>
      <c r="H44" s="213">
        <f>前台好评提成录入!H49*$E44</f>
        <v>0</v>
      </c>
      <c r="I44" s="213">
        <f>前台好评提成录入!I49*$E44</f>
        <v>0</v>
      </c>
      <c r="J44" s="213">
        <f>前台好评提成录入!J49*$E44</f>
        <v>0</v>
      </c>
      <c r="K44" s="213">
        <f>前台好评提成录入!K49*$E44</f>
        <v>0</v>
      </c>
      <c r="L44" s="213">
        <f>前台好评提成录入!L49*$E44</f>
        <v>0</v>
      </c>
      <c r="M44" s="213">
        <f>前台好评提成录入!M49*$E44</f>
        <v>0</v>
      </c>
      <c r="N44" s="213">
        <f>前台好评提成录入!N49*$E44</f>
        <v>0</v>
      </c>
      <c r="O44" s="213">
        <f>前台好评提成录入!O49*$E44</f>
        <v>0</v>
      </c>
      <c r="P44" s="213">
        <f>前台好评提成录入!P49*$E44</f>
        <v>0</v>
      </c>
      <c r="Q44" s="213">
        <f>前台好评提成录入!Q49*$E44</f>
        <v>0</v>
      </c>
      <c r="R44" s="213">
        <f>前台好评提成录入!R49*$E44</f>
        <v>0</v>
      </c>
      <c r="S44" s="213">
        <f>前台好评提成录入!S49*$E44</f>
        <v>0</v>
      </c>
      <c r="T44" s="213">
        <f>前台好评提成录入!T49*$E44</f>
        <v>0</v>
      </c>
      <c r="U44" s="213">
        <f>前台好评提成录入!U49*$E44</f>
        <v>0</v>
      </c>
      <c r="V44" s="213">
        <f>前台好评提成录入!V49*$E44</f>
        <v>0</v>
      </c>
      <c r="W44" s="213">
        <f>前台好评提成录入!W49*$E44</f>
        <v>0</v>
      </c>
      <c r="X44" s="213">
        <f>前台好评提成录入!X49*$E44</f>
        <v>0</v>
      </c>
      <c r="Y44" s="213">
        <f>前台好评提成录入!Y49*$E44</f>
        <v>0</v>
      </c>
      <c r="Z44" s="213">
        <f>前台好评提成录入!Z49*$E44</f>
        <v>0</v>
      </c>
      <c r="AA44" s="213">
        <f>前台好评提成录入!AA49*$E44</f>
        <v>0</v>
      </c>
      <c r="AB44" s="213">
        <f>前台好评提成录入!AB49*$E44</f>
        <v>0</v>
      </c>
      <c r="AC44" s="213">
        <f>前台好评提成录入!AC49*$E44</f>
        <v>0</v>
      </c>
      <c r="AD44" s="213">
        <f>前台好评提成录入!AD49*$E44</f>
        <v>0</v>
      </c>
      <c r="AE44" s="213">
        <f>前台好评提成录入!AE49*$E44</f>
        <v>0</v>
      </c>
      <c r="AF44" s="213">
        <f>前台好评提成录入!AF49*$E44</f>
        <v>0</v>
      </c>
      <c r="AG44" s="213">
        <f>前台好评提成录入!AG49*$E44</f>
        <v>0</v>
      </c>
      <c r="AH44" s="213">
        <f>前台好评提成录入!AH49*$E44</f>
        <v>0</v>
      </c>
      <c r="AI44" s="213">
        <f>前台好评提成录入!AI49*$E44</f>
        <v>0</v>
      </c>
      <c r="AJ44" s="213">
        <f>前台好评提成录入!AJ49*$E44</f>
        <v>0</v>
      </c>
      <c r="AK44" s="213">
        <f>前台好评提成录入!AK49*$E44</f>
        <v>0</v>
      </c>
      <c r="AL44" s="213">
        <f>前台好评提成录入!AL49*$E44</f>
        <v>0</v>
      </c>
    </row>
    <row r="45" s="178" customFormat="1" customHeight="1" spans="1:38">
      <c r="A45" s="161">
        <v>41</v>
      </c>
      <c r="B45" s="21" t="str">
        <f>前台好评提成录入!B50</f>
        <v>孙源</v>
      </c>
      <c r="C45" s="21" t="str">
        <f>前台好评提成录入!C50</f>
        <v>智行</v>
      </c>
      <c r="D45" s="21" t="str">
        <f>前台好评提成录入!D50</f>
        <v>条</v>
      </c>
      <c r="E45" s="21">
        <f>前台好评提成录入!E50</f>
        <v>5</v>
      </c>
      <c r="F45" s="21">
        <f>前台好评提成录入!F50</f>
        <v>0</v>
      </c>
      <c r="G45" s="21">
        <f>前台好评提成录入!G50</f>
        <v>0</v>
      </c>
      <c r="H45" s="213">
        <f>前台好评提成录入!H50*$E45</f>
        <v>0</v>
      </c>
      <c r="I45" s="213">
        <f>前台好评提成录入!I50*$E45</f>
        <v>0</v>
      </c>
      <c r="J45" s="213">
        <f>前台好评提成录入!J50*$E45</f>
        <v>0</v>
      </c>
      <c r="K45" s="213">
        <f>前台好评提成录入!K50*$E45</f>
        <v>0</v>
      </c>
      <c r="L45" s="213">
        <f>前台好评提成录入!L50*$E45</f>
        <v>0</v>
      </c>
      <c r="M45" s="213">
        <f>前台好评提成录入!M50*$E45</f>
        <v>0</v>
      </c>
      <c r="N45" s="213">
        <f>前台好评提成录入!N50*$E45</f>
        <v>0</v>
      </c>
      <c r="O45" s="213">
        <f>前台好评提成录入!O50*$E45</f>
        <v>0</v>
      </c>
      <c r="P45" s="213">
        <f>前台好评提成录入!P50*$E45</f>
        <v>0</v>
      </c>
      <c r="Q45" s="213">
        <f>前台好评提成录入!Q50*$E45</f>
        <v>0</v>
      </c>
      <c r="R45" s="213">
        <f>前台好评提成录入!R50*$E45</f>
        <v>0</v>
      </c>
      <c r="S45" s="213">
        <f>前台好评提成录入!S50*$E45</f>
        <v>0</v>
      </c>
      <c r="T45" s="213">
        <f>前台好评提成录入!T50*$E45</f>
        <v>0</v>
      </c>
      <c r="U45" s="213">
        <f>前台好评提成录入!U50*$E45</f>
        <v>0</v>
      </c>
      <c r="V45" s="213">
        <f>前台好评提成录入!V50*$E45</f>
        <v>0</v>
      </c>
      <c r="W45" s="213">
        <f>前台好评提成录入!W50*$E45</f>
        <v>0</v>
      </c>
      <c r="X45" s="213">
        <f>前台好评提成录入!X50*$E45</f>
        <v>0</v>
      </c>
      <c r="Y45" s="213">
        <f>前台好评提成录入!Y50*$E45</f>
        <v>0</v>
      </c>
      <c r="Z45" s="213">
        <f>前台好评提成录入!Z50*$E45</f>
        <v>0</v>
      </c>
      <c r="AA45" s="213">
        <f>前台好评提成录入!AA50*$E45</f>
        <v>0</v>
      </c>
      <c r="AB45" s="213">
        <f>前台好评提成录入!AB50*$E45</f>
        <v>0</v>
      </c>
      <c r="AC45" s="213">
        <f>前台好评提成录入!AC50*$E45</f>
        <v>0</v>
      </c>
      <c r="AD45" s="213">
        <f>前台好评提成录入!AD50*$E45</f>
        <v>0</v>
      </c>
      <c r="AE45" s="213">
        <f>前台好评提成录入!AE50*$E45</f>
        <v>0</v>
      </c>
      <c r="AF45" s="213">
        <f>前台好评提成录入!AF50*$E45</f>
        <v>0</v>
      </c>
      <c r="AG45" s="213">
        <f>前台好评提成录入!AG50*$E45</f>
        <v>0</v>
      </c>
      <c r="AH45" s="213">
        <f>前台好评提成录入!AH50*$E45</f>
        <v>0</v>
      </c>
      <c r="AI45" s="213">
        <f>前台好评提成录入!AI50*$E45</f>
        <v>0</v>
      </c>
      <c r="AJ45" s="213">
        <f>前台好评提成录入!AJ50*$E45</f>
        <v>0</v>
      </c>
      <c r="AK45" s="213">
        <f>前台好评提成录入!AK50*$E45</f>
        <v>0</v>
      </c>
      <c r="AL45" s="213">
        <f>前台好评提成录入!AL50*$E45</f>
        <v>0</v>
      </c>
    </row>
    <row r="46" s="178" customFormat="1" customHeight="1" spans="1:38">
      <c r="A46" s="161">
        <v>42</v>
      </c>
      <c r="B46" s="21" t="str">
        <f>前台好评提成录入!B51</f>
        <v>孙源</v>
      </c>
      <c r="C46" s="21" t="str">
        <f>前台好评提成录入!C51</f>
        <v>抖音</v>
      </c>
      <c r="D46" s="21" t="str">
        <f>前台好评提成录入!D51</f>
        <v>条</v>
      </c>
      <c r="E46" s="21">
        <f>前台好评提成录入!E51</f>
        <v>5</v>
      </c>
      <c r="F46" s="21">
        <f>前台好评提成录入!F51</f>
        <v>0</v>
      </c>
      <c r="G46" s="21">
        <f>前台好评提成录入!G51</f>
        <v>0</v>
      </c>
      <c r="H46" s="213">
        <f>前台好评提成录入!H51*$E46</f>
        <v>0</v>
      </c>
      <c r="I46" s="213">
        <f>前台好评提成录入!I51*$E46</f>
        <v>0</v>
      </c>
      <c r="J46" s="213">
        <f>前台好评提成录入!J51*$E46</f>
        <v>0</v>
      </c>
      <c r="K46" s="213">
        <f>前台好评提成录入!K51*$E46</f>
        <v>0</v>
      </c>
      <c r="L46" s="213">
        <f>前台好评提成录入!L51*$E46</f>
        <v>0</v>
      </c>
      <c r="M46" s="213">
        <f>前台好评提成录入!M51*$E46</f>
        <v>0</v>
      </c>
      <c r="N46" s="213">
        <f>前台好评提成录入!N51*$E46</f>
        <v>0</v>
      </c>
      <c r="O46" s="213">
        <f>前台好评提成录入!O51*$E46</f>
        <v>0</v>
      </c>
      <c r="P46" s="213">
        <f>前台好评提成录入!P51*$E46</f>
        <v>0</v>
      </c>
      <c r="Q46" s="213">
        <f>前台好评提成录入!Q51*$E46</f>
        <v>0</v>
      </c>
      <c r="R46" s="213">
        <f>前台好评提成录入!R51*$E46</f>
        <v>0</v>
      </c>
      <c r="S46" s="213">
        <f>前台好评提成录入!S51*$E46</f>
        <v>0</v>
      </c>
      <c r="T46" s="213">
        <f>前台好评提成录入!T51*$E46</f>
        <v>0</v>
      </c>
      <c r="U46" s="213">
        <f>前台好评提成录入!U51*$E46</f>
        <v>0</v>
      </c>
      <c r="V46" s="213">
        <f>前台好评提成录入!V51*$E46</f>
        <v>0</v>
      </c>
      <c r="W46" s="213">
        <f>前台好评提成录入!W51*$E46</f>
        <v>0</v>
      </c>
      <c r="X46" s="213">
        <f>前台好评提成录入!X51*$E46</f>
        <v>0</v>
      </c>
      <c r="Y46" s="213">
        <f>前台好评提成录入!Y51*$E46</f>
        <v>0</v>
      </c>
      <c r="Z46" s="213">
        <f>前台好评提成录入!Z51*$E46</f>
        <v>0</v>
      </c>
      <c r="AA46" s="213">
        <f>前台好评提成录入!AA51*$E46</f>
        <v>0</v>
      </c>
      <c r="AB46" s="213">
        <f>前台好评提成录入!AB51*$E46</f>
        <v>0</v>
      </c>
      <c r="AC46" s="213">
        <f>前台好评提成录入!AC51*$E46</f>
        <v>0</v>
      </c>
      <c r="AD46" s="213">
        <f>前台好评提成录入!AD51*$E46</f>
        <v>0</v>
      </c>
      <c r="AE46" s="213">
        <f>前台好评提成录入!AE51*$E46</f>
        <v>0</v>
      </c>
      <c r="AF46" s="213">
        <f>前台好评提成录入!AF51*$E46</f>
        <v>0</v>
      </c>
      <c r="AG46" s="213">
        <f>前台好评提成录入!AG51*$E46</f>
        <v>0</v>
      </c>
      <c r="AH46" s="213">
        <f>前台好评提成录入!AH51*$E46</f>
        <v>0</v>
      </c>
      <c r="AI46" s="213">
        <f>前台好评提成录入!AI51*$E46</f>
        <v>0</v>
      </c>
      <c r="AJ46" s="213">
        <f>前台好评提成录入!AJ51*$E46</f>
        <v>0</v>
      </c>
      <c r="AK46" s="213">
        <f>前台好评提成录入!AK51*$E46</f>
        <v>0</v>
      </c>
      <c r="AL46" s="213">
        <f>前台好评提成录入!AL51*$E46</f>
        <v>0</v>
      </c>
    </row>
    <row r="47" s="178" customFormat="1" customHeight="1" spans="1:38">
      <c r="A47" s="161">
        <v>43</v>
      </c>
      <c r="B47" s="21" t="str">
        <f>前台好评提成录入!B52</f>
        <v>孙源</v>
      </c>
      <c r="C47" s="21" t="str">
        <f>前台好评提成录入!C52</f>
        <v>美团</v>
      </c>
      <c r="D47" s="21" t="str">
        <f>前台好评提成录入!D52</f>
        <v>条</v>
      </c>
      <c r="E47" s="21">
        <f>前台好评提成录入!E52</f>
        <v>5</v>
      </c>
      <c r="F47" s="21">
        <f>前台好评提成录入!F52</f>
        <v>0</v>
      </c>
      <c r="G47" s="21">
        <f>前台好评提成录入!G52</f>
        <v>0</v>
      </c>
      <c r="H47" s="213">
        <f>前台好评提成录入!H52*$E47</f>
        <v>0</v>
      </c>
      <c r="I47" s="213">
        <f>前台好评提成录入!I52*$E47</f>
        <v>0</v>
      </c>
      <c r="J47" s="213">
        <f>前台好评提成录入!J52*$E47</f>
        <v>0</v>
      </c>
      <c r="K47" s="213">
        <f>前台好评提成录入!K52*$E47</f>
        <v>0</v>
      </c>
      <c r="L47" s="213">
        <f>前台好评提成录入!L52*$E47</f>
        <v>0</v>
      </c>
      <c r="M47" s="213">
        <f>前台好评提成录入!M52*$E47</f>
        <v>0</v>
      </c>
      <c r="N47" s="213">
        <f>前台好评提成录入!N52*$E47</f>
        <v>0</v>
      </c>
      <c r="O47" s="213">
        <f>前台好评提成录入!O52*$E47</f>
        <v>0</v>
      </c>
      <c r="P47" s="213">
        <f>前台好评提成录入!P52*$E47</f>
        <v>0</v>
      </c>
      <c r="Q47" s="213">
        <f>前台好评提成录入!Q52*$E47</f>
        <v>0</v>
      </c>
      <c r="R47" s="213">
        <f>前台好评提成录入!R52*$E47</f>
        <v>0</v>
      </c>
      <c r="S47" s="213">
        <f>前台好评提成录入!S52*$E47</f>
        <v>0</v>
      </c>
      <c r="T47" s="213">
        <f>前台好评提成录入!T52*$E47</f>
        <v>0</v>
      </c>
      <c r="U47" s="213">
        <f>前台好评提成录入!U52*$E47</f>
        <v>0</v>
      </c>
      <c r="V47" s="213">
        <f>前台好评提成录入!V52*$E47</f>
        <v>0</v>
      </c>
      <c r="W47" s="213">
        <f>前台好评提成录入!W52*$E47</f>
        <v>0</v>
      </c>
      <c r="X47" s="213">
        <f>前台好评提成录入!X52*$E47</f>
        <v>0</v>
      </c>
      <c r="Y47" s="213">
        <f>前台好评提成录入!Y52*$E47</f>
        <v>0</v>
      </c>
      <c r="Z47" s="213">
        <f>前台好评提成录入!Z52*$E47</f>
        <v>0</v>
      </c>
      <c r="AA47" s="213">
        <f>前台好评提成录入!AA52*$E47</f>
        <v>0</v>
      </c>
      <c r="AB47" s="213">
        <f>前台好评提成录入!AB52*$E47</f>
        <v>0</v>
      </c>
      <c r="AC47" s="213">
        <f>前台好评提成录入!AC52*$E47</f>
        <v>0</v>
      </c>
      <c r="AD47" s="213">
        <f>前台好评提成录入!AD52*$E47</f>
        <v>0</v>
      </c>
      <c r="AE47" s="213">
        <f>前台好评提成录入!AE52*$E47</f>
        <v>0</v>
      </c>
      <c r="AF47" s="213">
        <f>前台好评提成录入!AF52*$E47</f>
        <v>0</v>
      </c>
      <c r="AG47" s="213">
        <f>前台好评提成录入!AG52*$E47</f>
        <v>0</v>
      </c>
      <c r="AH47" s="213">
        <f>前台好评提成录入!AH52*$E47</f>
        <v>0</v>
      </c>
      <c r="AI47" s="213">
        <f>前台好评提成录入!AI52*$E47</f>
        <v>0</v>
      </c>
      <c r="AJ47" s="213">
        <f>前台好评提成录入!AJ52*$E47</f>
        <v>0</v>
      </c>
      <c r="AK47" s="213">
        <f>前台好评提成录入!AK52*$E47</f>
        <v>0</v>
      </c>
      <c r="AL47" s="213">
        <f>前台好评提成录入!AL52*$E47</f>
        <v>0</v>
      </c>
    </row>
    <row r="48" s="178" customFormat="1" customHeight="1" spans="1:38">
      <c r="A48" s="161">
        <v>44</v>
      </c>
      <c r="B48" s="21" t="str">
        <f>前台好评提成录入!B53</f>
        <v>孙源</v>
      </c>
      <c r="C48" s="21" t="str">
        <f>前台好评提成录入!C53</f>
        <v>飞猪</v>
      </c>
      <c r="D48" s="21" t="str">
        <f>前台好评提成录入!D53</f>
        <v>条</v>
      </c>
      <c r="E48" s="21">
        <f>前台好评提成录入!E53</f>
        <v>5</v>
      </c>
      <c r="F48" s="21">
        <f>前台好评提成录入!F53</f>
        <v>0</v>
      </c>
      <c r="G48" s="21">
        <f>前台好评提成录入!G53</f>
        <v>0</v>
      </c>
      <c r="H48" s="213">
        <f>前台好评提成录入!H53*$E48</f>
        <v>0</v>
      </c>
      <c r="I48" s="213">
        <f>前台好评提成录入!I53*$E48</f>
        <v>0</v>
      </c>
      <c r="J48" s="213">
        <f>前台好评提成录入!J53*$E48</f>
        <v>0</v>
      </c>
      <c r="K48" s="213">
        <f>前台好评提成录入!K53*$E48</f>
        <v>0</v>
      </c>
      <c r="L48" s="213">
        <f>前台好评提成录入!L53*$E48</f>
        <v>0</v>
      </c>
      <c r="M48" s="213">
        <f>前台好评提成录入!M53*$E48</f>
        <v>0</v>
      </c>
      <c r="N48" s="213">
        <f>前台好评提成录入!N53*$E48</f>
        <v>0</v>
      </c>
      <c r="O48" s="213">
        <f>前台好评提成录入!O53*$E48</f>
        <v>0</v>
      </c>
      <c r="P48" s="213">
        <f>前台好评提成录入!P53*$E48</f>
        <v>0</v>
      </c>
      <c r="Q48" s="213">
        <f>前台好评提成录入!Q53*$E48</f>
        <v>0</v>
      </c>
      <c r="R48" s="213">
        <f>前台好评提成录入!R53*$E48</f>
        <v>0</v>
      </c>
      <c r="S48" s="213">
        <f>前台好评提成录入!S53*$E48</f>
        <v>0</v>
      </c>
      <c r="T48" s="213">
        <f>前台好评提成录入!T53*$E48</f>
        <v>0</v>
      </c>
      <c r="U48" s="213">
        <f>前台好评提成录入!U53*$E48</f>
        <v>0</v>
      </c>
      <c r="V48" s="213">
        <f>前台好评提成录入!V53*$E48</f>
        <v>0</v>
      </c>
      <c r="W48" s="213">
        <f>前台好评提成录入!W53*$E48</f>
        <v>0</v>
      </c>
      <c r="X48" s="213">
        <f>前台好评提成录入!X53*$E48</f>
        <v>0</v>
      </c>
      <c r="Y48" s="213">
        <f>前台好评提成录入!Y53*$E48</f>
        <v>0</v>
      </c>
      <c r="Z48" s="213">
        <f>前台好评提成录入!Z53*$E48</f>
        <v>0</v>
      </c>
      <c r="AA48" s="213">
        <f>前台好评提成录入!AA53*$E48</f>
        <v>0</v>
      </c>
      <c r="AB48" s="213">
        <f>前台好评提成录入!AB53*$E48</f>
        <v>0</v>
      </c>
      <c r="AC48" s="213">
        <f>前台好评提成录入!AC53*$E48</f>
        <v>0</v>
      </c>
      <c r="AD48" s="213">
        <f>前台好评提成录入!AD53*$E48</f>
        <v>0</v>
      </c>
      <c r="AE48" s="213">
        <f>前台好评提成录入!AE53*$E48</f>
        <v>0</v>
      </c>
      <c r="AF48" s="213">
        <f>前台好评提成录入!AF53*$E48</f>
        <v>0</v>
      </c>
      <c r="AG48" s="213">
        <f>前台好评提成录入!AG53*$E48</f>
        <v>0</v>
      </c>
      <c r="AH48" s="213">
        <f>前台好评提成录入!AH53*$E48</f>
        <v>0</v>
      </c>
      <c r="AI48" s="213">
        <f>前台好评提成录入!AI53*$E48</f>
        <v>0</v>
      </c>
      <c r="AJ48" s="213">
        <f>前台好评提成录入!AJ53*$E48</f>
        <v>0</v>
      </c>
      <c r="AK48" s="213">
        <f>前台好评提成录入!AK53*$E48</f>
        <v>0</v>
      </c>
      <c r="AL48" s="213">
        <f>前台好评提成录入!AL53*$E48</f>
        <v>0</v>
      </c>
    </row>
    <row r="49" s="178" customFormat="1" customHeight="1" spans="1:38">
      <c r="A49" s="161">
        <v>45</v>
      </c>
      <c r="B49" s="21" t="str">
        <f>前台好评提成录入!B54</f>
        <v>孙源</v>
      </c>
      <c r="C49" s="21" t="str">
        <f>前台好评提成录入!C54</f>
        <v>官网</v>
      </c>
      <c r="D49" s="21" t="str">
        <f>前台好评提成录入!D54</f>
        <v>条</v>
      </c>
      <c r="E49" s="21">
        <f>前台好评提成录入!E54</f>
        <v>5</v>
      </c>
      <c r="F49" s="21">
        <f>前台好评提成录入!F54</f>
        <v>0</v>
      </c>
      <c r="G49" s="21">
        <f>前台好评提成录入!G54</f>
        <v>0</v>
      </c>
      <c r="H49" s="213">
        <f>前台好评提成录入!H54*$E49</f>
        <v>0</v>
      </c>
      <c r="I49" s="213">
        <f>前台好评提成录入!I54*$E49</f>
        <v>0</v>
      </c>
      <c r="J49" s="213">
        <f>前台好评提成录入!J54*$E49</f>
        <v>0</v>
      </c>
      <c r="K49" s="213">
        <f>前台好评提成录入!K54*$E49</f>
        <v>0</v>
      </c>
      <c r="L49" s="213">
        <f>前台好评提成录入!L54*$E49</f>
        <v>0</v>
      </c>
      <c r="M49" s="213">
        <f>前台好评提成录入!M54*$E49</f>
        <v>0</v>
      </c>
      <c r="N49" s="213">
        <f>前台好评提成录入!N54*$E49</f>
        <v>0</v>
      </c>
      <c r="O49" s="213">
        <f>前台好评提成录入!O54*$E49</f>
        <v>0</v>
      </c>
      <c r="P49" s="213">
        <f>前台好评提成录入!P54*$E49</f>
        <v>0</v>
      </c>
      <c r="Q49" s="213">
        <f>前台好评提成录入!Q54*$E49</f>
        <v>0</v>
      </c>
      <c r="R49" s="213">
        <f>前台好评提成录入!R54*$E49</f>
        <v>0</v>
      </c>
      <c r="S49" s="213">
        <f>前台好评提成录入!S54*$E49</f>
        <v>0</v>
      </c>
      <c r="T49" s="213">
        <f>前台好评提成录入!T54*$E49</f>
        <v>0</v>
      </c>
      <c r="U49" s="213">
        <f>前台好评提成录入!U54*$E49</f>
        <v>0</v>
      </c>
      <c r="V49" s="213">
        <f>前台好评提成录入!V54*$E49</f>
        <v>0</v>
      </c>
      <c r="W49" s="213">
        <f>前台好评提成录入!W54*$E49</f>
        <v>0</v>
      </c>
      <c r="X49" s="213">
        <f>前台好评提成录入!X54*$E49</f>
        <v>0</v>
      </c>
      <c r="Y49" s="213">
        <f>前台好评提成录入!Y54*$E49</f>
        <v>0</v>
      </c>
      <c r="Z49" s="213">
        <f>前台好评提成录入!Z54*$E49</f>
        <v>0</v>
      </c>
      <c r="AA49" s="213">
        <f>前台好评提成录入!AA54*$E49</f>
        <v>0</v>
      </c>
      <c r="AB49" s="213">
        <f>前台好评提成录入!AB54*$E49</f>
        <v>0</v>
      </c>
      <c r="AC49" s="213">
        <f>前台好评提成录入!AC54*$E49</f>
        <v>0</v>
      </c>
      <c r="AD49" s="213">
        <f>前台好评提成录入!AD54*$E49</f>
        <v>0</v>
      </c>
      <c r="AE49" s="213">
        <f>前台好评提成录入!AE54*$E49</f>
        <v>0</v>
      </c>
      <c r="AF49" s="213">
        <f>前台好评提成录入!AF54*$E49</f>
        <v>0</v>
      </c>
      <c r="AG49" s="213">
        <f>前台好评提成录入!AG54*$E49</f>
        <v>0</v>
      </c>
      <c r="AH49" s="213">
        <f>前台好评提成录入!AH54*$E49</f>
        <v>0</v>
      </c>
      <c r="AI49" s="213">
        <f>前台好评提成录入!AI54*$E49</f>
        <v>0</v>
      </c>
      <c r="AJ49" s="213">
        <f>前台好评提成录入!AJ54*$E49</f>
        <v>0</v>
      </c>
      <c r="AK49" s="213">
        <f>前台好评提成录入!AK54*$E49</f>
        <v>0</v>
      </c>
      <c r="AL49" s="213">
        <f>前台好评提成录入!AL54*$E49</f>
        <v>0</v>
      </c>
    </row>
    <row r="50" s="178" customFormat="1" customHeight="1" spans="1:38">
      <c r="A50" s="161">
        <v>46</v>
      </c>
      <c r="B50" s="21" t="str">
        <f>前台好评提成录入!B55</f>
        <v>宋雨霏</v>
      </c>
      <c r="C50" s="21" t="str">
        <f>前台好评提成录入!C55</f>
        <v>携程</v>
      </c>
      <c r="D50" s="21" t="str">
        <f>前台好评提成录入!D55</f>
        <v>条</v>
      </c>
      <c r="E50" s="21">
        <f>前台好评提成录入!E55</f>
        <v>5</v>
      </c>
      <c r="F50" s="21">
        <f>前台好评提成录入!F55</f>
        <v>0</v>
      </c>
      <c r="G50" s="21">
        <f>前台好评提成录入!G55</f>
        <v>0</v>
      </c>
      <c r="H50" s="213">
        <f>前台好评提成录入!H55*$E50</f>
        <v>0</v>
      </c>
      <c r="I50" s="213">
        <f>前台好评提成录入!I55*$E50</f>
        <v>0</v>
      </c>
      <c r="J50" s="213">
        <f>前台好评提成录入!J55*$E50</f>
        <v>0</v>
      </c>
      <c r="K50" s="213">
        <f>前台好评提成录入!K55*$E50</f>
        <v>0</v>
      </c>
      <c r="L50" s="213">
        <f>前台好评提成录入!L55*$E50</f>
        <v>0</v>
      </c>
      <c r="M50" s="213">
        <f>前台好评提成录入!M55*$E50</f>
        <v>0</v>
      </c>
      <c r="N50" s="213">
        <f>前台好评提成录入!N55*$E50</f>
        <v>0</v>
      </c>
      <c r="O50" s="213">
        <f>前台好评提成录入!O55*$E50</f>
        <v>0</v>
      </c>
      <c r="P50" s="213">
        <f>前台好评提成录入!P55*$E50</f>
        <v>0</v>
      </c>
      <c r="Q50" s="213">
        <f>前台好评提成录入!Q55*$E50</f>
        <v>0</v>
      </c>
      <c r="R50" s="213">
        <f>前台好评提成录入!R55*$E50</f>
        <v>0</v>
      </c>
      <c r="S50" s="213">
        <f>前台好评提成录入!S55*$E50</f>
        <v>0</v>
      </c>
      <c r="T50" s="213">
        <f>前台好评提成录入!T55*$E50</f>
        <v>0</v>
      </c>
      <c r="U50" s="213">
        <f>前台好评提成录入!U55*$E50</f>
        <v>0</v>
      </c>
      <c r="V50" s="213">
        <f>前台好评提成录入!V55*$E50</f>
        <v>0</v>
      </c>
      <c r="W50" s="213">
        <f>前台好评提成录入!W55*$E50</f>
        <v>0</v>
      </c>
      <c r="X50" s="213">
        <f>前台好评提成录入!X55*$E50</f>
        <v>0</v>
      </c>
      <c r="Y50" s="213">
        <f>前台好评提成录入!Y55*$E50</f>
        <v>0</v>
      </c>
      <c r="Z50" s="213">
        <f>前台好评提成录入!Z55*$E50</f>
        <v>0</v>
      </c>
      <c r="AA50" s="213">
        <f>前台好评提成录入!AA55*$E50</f>
        <v>0</v>
      </c>
      <c r="AB50" s="213">
        <f>前台好评提成录入!AB55*$E50</f>
        <v>0</v>
      </c>
      <c r="AC50" s="213">
        <f>前台好评提成录入!AC55*$E50</f>
        <v>0</v>
      </c>
      <c r="AD50" s="213">
        <f>前台好评提成录入!AD55*$E50</f>
        <v>0</v>
      </c>
      <c r="AE50" s="213">
        <f>前台好评提成录入!AE55*$E50</f>
        <v>0</v>
      </c>
      <c r="AF50" s="213">
        <f>前台好评提成录入!AF55*$E50</f>
        <v>0</v>
      </c>
      <c r="AG50" s="213">
        <f>前台好评提成录入!AG55*$E50</f>
        <v>0</v>
      </c>
      <c r="AH50" s="213">
        <f>前台好评提成录入!AH55*$E50</f>
        <v>0</v>
      </c>
      <c r="AI50" s="213">
        <f>前台好评提成录入!AI55*$E50</f>
        <v>0</v>
      </c>
      <c r="AJ50" s="213">
        <f>前台好评提成录入!AJ55*$E50</f>
        <v>0</v>
      </c>
      <c r="AK50" s="213">
        <f>前台好评提成录入!AK55*$E50</f>
        <v>0</v>
      </c>
      <c r="AL50" s="213">
        <f>前台好评提成录入!AL55*$E50</f>
        <v>0</v>
      </c>
    </row>
    <row r="51" s="178" customFormat="1" customHeight="1" spans="1:38">
      <c r="A51" s="161">
        <v>47</v>
      </c>
      <c r="B51" s="21" t="str">
        <f>前台好评提成录入!B56</f>
        <v>宋雨霏</v>
      </c>
      <c r="C51" s="21" t="str">
        <f>前台好评提成录入!C56</f>
        <v>携程优质</v>
      </c>
      <c r="D51" s="21" t="str">
        <f>前台好评提成录入!D56</f>
        <v>条</v>
      </c>
      <c r="E51" s="21">
        <f>前台好评提成录入!E56</f>
        <v>15</v>
      </c>
      <c r="F51" s="21">
        <f>前台好评提成录入!F56</f>
        <v>0</v>
      </c>
      <c r="G51" s="21" t="str">
        <f>前台好评提成录入!G56</f>
        <v> -   </v>
      </c>
      <c r="H51" s="213">
        <f>前台好评提成录入!H56*$E51</f>
        <v>0</v>
      </c>
      <c r="I51" s="213">
        <f>前台好评提成录入!I56*$E51</f>
        <v>0</v>
      </c>
      <c r="J51" s="213">
        <f>前台好评提成录入!J56*$E51</f>
        <v>0</v>
      </c>
      <c r="K51" s="213">
        <f>前台好评提成录入!K56*$E51</f>
        <v>0</v>
      </c>
      <c r="L51" s="213">
        <f>前台好评提成录入!L56*$E51</f>
        <v>0</v>
      </c>
      <c r="M51" s="213">
        <f>前台好评提成录入!M56*$E51</f>
        <v>0</v>
      </c>
      <c r="N51" s="213">
        <f>前台好评提成录入!N56*$E51</f>
        <v>0</v>
      </c>
      <c r="O51" s="213">
        <f>前台好评提成录入!O56*$E51</f>
        <v>0</v>
      </c>
      <c r="P51" s="213">
        <f>前台好评提成录入!P56*$E51</f>
        <v>0</v>
      </c>
      <c r="Q51" s="213">
        <f>前台好评提成录入!Q56*$E51</f>
        <v>0</v>
      </c>
      <c r="R51" s="213">
        <f>前台好评提成录入!R56*$E51</f>
        <v>0</v>
      </c>
      <c r="S51" s="213">
        <f>前台好评提成录入!S56*$E51</f>
        <v>0</v>
      </c>
      <c r="T51" s="213">
        <f>前台好评提成录入!T56*$E51</f>
        <v>0</v>
      </c>
      <c r="U51" s="213">
        <f>前台好评提成录入!U56*$E51</f>
        <v>0</v>
      </c>
      <c r="V51" s="213">
        <f>前台好评提成录入!V56*$E51</f>
        <v>0</v>
      </c>
      <c r="W51" s="213">
        <f>前台好评提成录入!W56*$E51</f>
        <v>0</v>
      </c>
      <c r="X51" s="213">
        <f>前台好评提成录入!X56*$E51</f>
        <v>0</v>
      </c>
      <c r="Y51" s="213">
        <f>前台好评提成录入!Y56*$E51</f>
        <v>0</v>
      </c>
      <c r="Z51" s="213">
        <f>前台好评提成录入!Z56*$E51</f>
        <v>0</v>
      </c>
      <c r="AA51" s="213">
        <f>前台好评提成录入!AA56*$E51</f>
        <v>0</v>
      </c>
      <c r="AB51" s="213">
        <f>前台好评提成录入!AB56*$E51</f>
        <v>0</v>
      </c>
      <c r="AC51" s="213">
        <f>前台好评提成录入!AC56*$E51</f>
        <v>0</v>
      </c>
      <c r="AD51" s="213">
        <f>前台好评提成录入!AD56*$E51</f>
        <v>0</v>
      </c>
      <c r="AE51" s="213">
        <f>前台好评提成录入!AE56*$E51</f>
        <v>0</v>
      </c>
      <c r="AF51" s="213">
        <f>前台好评提成录入!AF56*$E51</f>
        <v>0</v>
      </c>
      <c r="AG51" s="213">
        <f>前台好评提成录入!AG56*$E51</f>
        <v>0</v>
      </c>
      <c r="AH51" s="213">
        <f>前台好评提成录入!AH56*$E51</f>
        <v>0</v>
      </c>
      <c r="AI51" s="213">
        <f>前台好评提成录入!AI56*$E51</f>
        <v>0</v>
      </c>
      <c r="AJ51" s="213">
        <f>前台好评提成录入!AJ56*$E51</f>
        <v>0</v>
      </c>
      <c r="AK51" s="213">
        <f>前台好评提成录入!AK56*$E51</f>
        <v>0</v>
      </c>
      <c r="AL51" s="213">
        <f>前台好评提成录入!AL56*$E51</f>
        <v>0</v>
      </c>
    </row>
    <row r="52" s="178" customFormat="1" customHeight="1" spans="1:38">
      <c r="A52" s="161">
        <v>48</v>
      </c>
      <c r="B52" s="21" t="str">
        <f>前台好评提成录入!B57</f>
        <v>宋雨霏</v>
      </c>
      <c r="C52" s="21" t="str">
        <f>前台好评提成录入!C57</f>
        <v>黑/金优质</v>
      </c>
      <c r="D52" s="21" t="str">
        <f>前台好评提成录入!D57</f>
        <v>条</v>
      </c>
      <c r="E52" s="21">
        <f>前台好评提成录入!E57</f>
        <v>30</v>
      </c>
      <c r="F52" s="21">
        <f>前台好评提成录入!F57</f>
        <v>0</v>
      </c>
      <c r="G52" s="21" t="str">
        <f>前台好评提成录入!G57</f>
        <v> -   </v>
      </c>
      <c r="H52" s="213">
        <f>前台好评提成录入!H57*$E52</f>
        <v>0</v>
      </c>
      <c r="I52" s="213">
        <f>前台好评提成录入!I57*$E52</f>
        <v>0</v>
      </c>
      <c r="J52" s="213">
        <f>前台好评提成录入!J57*$E52</f>
        <v>0</v>
      </c>
      <c r="K52" s="213">
        <f>前台好评提成录入!K57*$E52</f>
        <v>0</v>
      </c>
      <c r="L52" s="213">
        <f>前台好评提成录入!L57*$E52</f>
        <v>0</v>
      </c>
      <c r="M52" s="213">
        <f>前台好评提成录入!M57*$E52</f>
        <v>0</v>
      </c>
      <c r="N52" s="213">
        <f>前台好评提成录入!N57*$E52</f>
        <v>0</v>
      </c>
      <c r="O52" s="213">
        <f>前台好评提成录入!O57*$E52</f>
        <v>0</v>
      </c>
      <c r="P52" s="213">
        <f>前台好评提成录入!P57*$E52</f>
        <v>0</v>
      </c>
      <c r="Q52" s="213">
        <f>前台好评提成录入!Q57*$E52</f>
        <v>0</v>
      </c>
      <c r="R52" s="213">
        <f>前台好评提成录入!R57*$E52</f>
        <v>0</v>
      </c>
      <c r="S52" s="213">
        <f>前台好评提成录入!S57*$E52</f>
        <v>0</v>
      </c>
      <c r="T52" s="213">
        <f>前台好评提成录入!T57*$E52</f>
        <v>0</v>
      </c>
      <c r="U52" s="213">
        <f>前台好评提成录入!U57*$E52</f>
        <v>0</v>
      </c>
      <c r="V52" s="213">
        <f>前台好评提成录入!V57*$E52</f>
        <v>0</v>
      </c>
      <c r="W52" s="213">
        <f>前台好评提成录入!W57*$E52</f>
        <v>0</v>
      </c>
      <c r="X52" s="213">
        <f>前台好评提成录入!X57*$E52</f>
        <v>0</v>
      </c>
      <c r="Y52" s="213">
        <f>前台好评提成录入!Y57*$E52</f>
        <v>0</v>
      </c>
      <c r="Z52" s="213">
        <f>前台好评提成录入!Z57*$E52</f>
        <v>0</v>
      </c>
      <c r="AA52" s="213">
        <f>前台好评提成录入!AA57*$E52</f>
        <v>0</v>
      </c>
      <c r="AB52" s="213">
        <f>前台好评提成录入!AB57*$E52</f>
        <v>0</v>
      </c>
      <c r="AC52" s="213">
        <f>前台好评提成录入!AC57*$E52</f>
        <v>0</v>
      </c>
      <c r="AD52" s="213">
        <f>前台好评提成录入!AD57*$E52</f>
        <v>0</v>
      </c>
      <c r="AE52" s="213">
        <f>前台好评提成录入!AE57*$E52</f>
        <v>0</v>
      </c>
      <c r="AF52" s="213">
        <f>前台好评提成录入!AF57*$E52</f>
        <v>0</v>
      </c>
      <c r="AG52" s="213">
        <f>前台好评提成录入!AG57*$E52</f>
        <v>0</v>
      </c>
      <c r="AH52" s="213">
        <f>前台好评提成录入!AH57*$E52</f>
        <v>0</v>
      </c>
      <c r="AI52" s="213">
        <f>前台好评提成录入!AI57*$E52</f>
        <v>0</v>
      </c>
      <c r="AJ52" s="213">
        <f>前台好评提成录入!AJ57*$E52</f>
        <v>0</v>
      </c>
      <c r="AK52" s="213">
        <f>前台好评提成录入!AK57*$E52</f>
        <v>0</v>
      </c>
      <c r="AL52" s="213">
        <f>前台好评提成录入!AL57*$E52</f>
        <v>0</v>
      </c>
    </row>
    <row r="53" s="178" customFormat="1" customHeight="1" spans="1:38">
      <c r="A53" s="161">
        <v>49</v>
      </c>
      <c r="B53" s="21" t="str">
        <f>前台好评提成录入!B58</f>
        <v>宋雨霏</v>
      </c>
      <c r="C53" s="21" t="str">
        <f>前台好评提成录入!C58</f>
        <v>去哪儿</v>
      </c>
      <c r="D53" s="21" t="str">
        <f>前台好评提成录入!D58</f>
        <v>条</v>
      </c>
      <c r="E53" s="21">
        <f>前台好评提成录入!E58</f>
        <v>5</v>
      </c>
      <c r="F53" s="21">
        <f>前台好评提成录入!F58</f>
        <v>0</v>
      </c>
      <c r="G53" s="21">
        <f>前台好评提成录入!G58</f>
        <v>0</v>
      </c>
      <c r="H53" s="213">
        <f>前台好评提成录入!H58*$E53</f>
        <v>0</v>
      </c>
      <c r="I53" s="213">
        <f>前台好评提成录入!I58*$E53</f>
        <v>0</v>
      </c>
      <c r="J53" s="213">
        <f>前台好评提成录入!J58*$E53</f>
        <v>0</v>
      </c>
      <c r="K53" s="213">
        <f>前台好评提成录入!K58*$E53</f>
        <v>0</v>
      </c>
      <c r="L53" s="213">
        <f>前台好评提成录入!L58*$E53</f>
        <v>0</v>
      </c>
      <c r="M53" s="213">
        <f>前台好评提成录入!M58*$E53</f>
        <v>0</v>
      </c>
      <c r="N53" s="213">
        <f>前台好评提成录入!N58*$E53</f>
        <v>0</v>
      </c>
      <c r="O53" s="213">
        <f>前台好评提成录入!O58*$E53</f>
        <v>0</v>
      </c>
      <c r="P53" s="213">
        <f>前台好评提成录入!P58*$E53</f>
        <v>0</v>
      </c>
      <c r="Q53" s="213">
        <f>前台好评提成录入!Q58*$E53</f>
        <v>0</v>
      </c>
      <c r="R53" s="213">
        <f>前台好评提成录入!R58*$E53</f>
        <v>0</v>
      </c>
      <c r="S53" s="213">
        <f>前台好评提成录入!S58*$E53</f>
        <v>0</v>
      </c>
      <c r="T53" s="213">
        <f>前台好评提成录入!T58*$E53</f>
        <v>0</v>
      </c>
      <c r="U53" s="213">
        <f>前台好评提成录入!U58*$E53</f>
        <v>0</v>
      </c>
      <c r="V53" s="213">
        <f>前台好评提成录入!V58*$E53</f>
        <v>0</v>
      </c>
      <c r="W53" s="213">
        <f>前台好评提成录入!W58*$E53</f>
        <v>0</v>
      </c>
      <c r="X53" s="213">
        <f>前台好评提成录入!X58*$E53</f>
        <v>0</v>
      </c>
      <c r="Y53" s="213">
        <f>前台好评提成录入!Y58*$E53</f>
        <v>0</v>
      </c>
      <c r="Z53" s="213">
        <f>前台好评提成录入!Z58*$E53</f>
        <v>0</v>
      </c>
      <c r="AA53" s="213">
        <f>前台好评提成录入!AA58*$E53</f>
        <v>0</v>
      </c>
      <c r="AB53" s="213">
        <f>前台好评提成录入!AB58*$E53</f>
        <v>0</v>
      </c>
      <c r="AC53" s="213">
        <f>前台好评提成录入!AC58*$E53</f>
        <v>0</v>
      </c>
      <c r="AD53" s="213">
        <f>前台好评提成录入!AD58*$E53</f>
        <v>0</v>
      </c>
      <c r="AE53" s="213">
        <f>前台好评提成录入!AE58*$E53</f>
        <v>0</v>
      </c>
      <c r="AF53" s="213">
        <f>前台好评提成录入!AF58*$E53</f>
        <v>0</v>
      </c>
      <c r="AG53" s="213">
        <f>前台好评提成录入!AG58*$E53</f>
        <v>0</v>
      </c>
      <c r="AH53" s="213">
        <f>前台好评提成录入!AH58*$E53</f>
        <v>0</v>
      </c>
      <c r="AI53" s="213">
        <f>前台好评提成录入!AI58*$E53</f>
        <v>0</v>
      </c>
      <c r="AJ53" s="213">
        <f>前台好评提成录入!AJ58*$E53</f>
        <v>0</v>
      </c>
      <c r="AK53" s="213">
        <f>前台好评提成录入!AK58*$E53</f>
        <v>0</v>
      </c>
      <c r="AL53" s="213">
        <f>前台好评提成录入!AL58*$E53</f>
        <v>0</v>
      </c>
    </row>
    <row r="54" s="178" customFormat="1" customHeight="1" spans="1:38">
      <c r="A54" s="161">
        <v>50</v>
      </c>
      <c r="B54" s="21" t="str">
        <f>前台好评提成录入!B59</f>
        <v>宋雨霏</v>
      </c>
      <c r="C54" s="21" t="str">
        <f>前台好评提成录入!C59</f>
        <v>同程</v>
      </c>
      <c r="D54" s="21" t="str">
        <f>前台好评提成录入!D59</f>
        <v>条</v>
      </c>
      <c r="E54" s="21">
        <f>前台好评提成录入!E59</f>
        <v>5</v>
      </c>
      <c r="F54" s="21">
        <f>前台好评提成录入!F59</f>
        <v>0</v>
      </c>
      <c r="G54" s="21" t="str">
        <f>前台好评提成录入!G59</f>
        <v> -   </v>
      </c>
      <c r="H54" s="213">
        <f>前台好评提成录入!H59*$E54</f>
        <v>0</v>
      </c>
      <c r="I54" s="213">
        <f>前台好评提成录入!I59*$E54</f>
        <v>0</v>
      </c>
      <c r="J54" s="213">
        <f>前台好评提成录入!J59*$E54</f>
        <v>0</v>
      </c>
      <c r="K54" s="213">
        <f>前台好评提成录入!K59*$E54</f>
        <v>0</v>
      </c>
      <c r="L54" s="213">
        <f>前台好评提成录入!L59*$E54</f>
        <v>0</v>
      </c>
      <c r="M54" s="213">
        <f>前台好评提成录入!M59*$E54</f>
        <v>0</v>
      </c>
      <c r="N54" s="213">
        <f>前台好评提成录入!N59*$E54</f>
        <v>0</v>
      </c>
      <c r="O54" s="213">
        <f>前台好评提成录入!O59*$E54</f>
        <v>0</v>
      </c>
      <c r="P54" s="213">
        <f>前台好评提成录入!P59*$E54</f>
        <v>0</v>
      </c>
      <c r="Q54" s="213">
        <f>前台好评提成录入!Q59*$E54</f>
        <v>0</v>
      </c>
      <c r="R54" s="213">
        <f>前台好评提成录入!R59*$E54</f>
        <v>0</v>
      </c>
      <c r="S54" s="213">
        <f>前台好评提成录入!S59*$E54</f>
        <v>0</v>
      </c>
      <c r="T54" s="213">
        <f>前台好评提成录入!T59*$E54</f>
        <v>0</v>
      </c>
      <c r="U54" s="213">
        <f>前台好评提成录入!U59*$E54</f>
        <v>0</v>
      </c>
      <c r="V54" s="213">
        <f>前台好评提成录入!V59*$E54</f>
        <v>0</v>
      </c>
      <c r="W54" s="213">
        <f>前台好评提成录入!W59*$E54</f>
        <v>0</v>
      </c>
      <c r="X54" s="213">
        <f>前台好评提成录入!X59*$E54</f>
        <v>0</v>
      </c>
      <c r="Y54" s="213">
        <f>前台好评提成录入!Y59*$E54</f>
        <v>0</v>
      </c>
      <c r="Z54" s="213">
        <f>前台好评提成录入!Z59*$E54</f>
        <v>0</v>
      </c>
      <c r="AA54" s="213">
        <f>前台好评提成录入!AA59*$E54</f>
        <v>0</v>
      </c>
      <c r="AB54" s="213">
        <f>前台好评提成录入!AB59*$E54</f>
        <v>0</v>
      </c>
      <c r="AC54" s="213">
        <f>前台好评提成录入!AC59*$E54</f>
        <v>0</v>
      </c>
      <c r="AD54" s="213">
        <f>前台好评提成录入!AD59*$E54</f>
        <v>0</v>
      </c>
      <c r="AE54" s="213">
        <f>前台好评提成录入!AE59*$E54</f>
        <v>0</v>
      </c>
      <c r="AF54" s="213">
        <f>前台好评提成录入!AF59*$E54</f>
        <v>0</v>
      </c>
      <c r="AG54" s="213">
        <f>前台好评提成录入!AG59*$E54</f>
        <v>0</v>
      </c>
      <c r="AH54" s="213">
        <f>前台好评提成录入!AH59*$E54</f>
        <v>0</v>
      </c>
      <c r="AI54" s="213">
        <f>前台好评提成录入!AI59*$E54</f>
        <v>0</v>
      </c>
      <c r="AJ54" s="213">
        <f>前台好评提成录入!AJ59*$E54</f>
        <v>0</v>
      </c>
      <c r="AK54" s="213">
        <f>前台好评提成录入!AK59*$E54</f>
        <v>0</v>
      </c>
      <c r="AL54" s="213">
        <f>前台好评提成录入!AL59*$E54</f>
        <v>0</v>
      </c>
    </row>
    <row r="55" s="178" customFormat="1" customHeight="1" spans="1:38">
      <c r="A55" s="161">
        <v>51</v>
      </c>
      <c r="B55" s="21" t="str">
        <f>前台好评提成录入!B60</f>
        <v>宋雨霏</v>
      </c>
      <c r="C55" s="21" t="str">
        <f>前台好评提成录入!C60</f>
        <v>智行</v>
      </c>
      <c r="D55" s="21" t="str">
        <f>前台好评提成录入!D60</f>
        <v>条</v>
      </c>
      <c r="E55" s="21">
        <f>前台好评提成录入!E60</f>
        <v>5</v>
      </c>
      <c r="F55" s="21">
        <f>前台好评提成录入!F60</f>
        <v>0</v>
      </c>
      <c r="G55" s="21" t="str">
        <f>前台好评提成录入!G60</f>
        <v> -   </v>
      </c>
      <c r="H55" s="213">
        <f>前台好评提成录入!H60*$E55</f>
        <v>0</v>
      </c>
      <c r="I55" s="213">
        <f>前台好评提成录入!I60*$E55</f>
        <v>0</v>
      </c>
      <c r="J55" s="213">
        <f>前台好评提成录入!J60*$E55</f>
        <v>0</v>
      </c>
      <c r="K55" s="213">
        <f>前台好评提成录入!K60*$E55</f>
        <v>0</v>
      </c>
      <c r="L55" s="213">
        <f>前台好评提成录入!L60*$E55</f>
        <v>0</v>
      </c>
      <c r="M55" s="213">
        <f>前台好评提成录入!M60*$E55</f>
        <v>0</v>
      </c>
      <c r="N55" s="213">
        <f>前台好评提成录入!N60*$E55</f>
        <v>0</v>
      </c>
      <c r="O55" s="213">
        <f>前台好评提成录入!O60*$E55</f>
        <v>0</v>
      </c>
      <c r="P55" s="213">
        <f>前台好评提成录入!P60*$E55</f>
        <v>0</v>
      </c>
      <c r="Q55" s="213">
        <f>前台好评提成录入!Q60*$E55</f>
        <v>0</v>
      </c>
      <c r="R55" s="213">
        <f>前台好评提成录入!R60*$E55</f>
        <v>0</v>
      </c>
      <c r="S55" s="213">
        <f>前台好评提成录入!S60*$E55</f>
        <v>0</v>
      </c>
      <c r="T55" s="213">
        <f>前台好评提成录入!T60*$E55</f>
        <v>0</v>
      </c>
      <c r="U55" s="213">
        <f>前台好评提成录入!U60*$E55</f>
        <v>0</v>
      </c>
      <c r="V55" s="213">
        <f>前台好评提成录入!V60*$E55</f>
        <v>0</v>
      </c>
      <c r="W55" s="213">
        <f>前台好评提成录入!W60*$E55</f>
        <v>0</v>
      </c>
      <c r="X55" s="213">
        <f>前台好评提成录入!X60*$E55</f>
        <v>0</v>
      </c>
      <c r="Y55" s="213">
        <f>前台好评提成录入!Y60*$E55</f>
        <v>0</v>
      </c>
      <c r="Z55" s="213">
        <f>前台好评提成录入!Z60*$E55</f>
        <v>0</v>
      </c>
      <c r="AA55" s="213">
        <f>前台好评提成录入!AA60*$E55</f>
        <v>0</v>
      </c>
      <c r="AB55" s="213">
        <f>前台好评提成录入!AB60*$E55</f>
        <v>0</v>
      </c>
      <c r="AC55" s="213">
        <f>前台好评提成录入!AC60*$E55</f>
        <v>0</v>
      </c>
      <c r="AD55" s="213">
        <f>前台好评提成录入!AD60*$E55</f>
        <v>0</v>
      </c>
      <c r="AE55" s="213">
        <f>前台好评提成录入!AE60*$E55</f>
        <v>0</v>
      </c>
      <c r="AF55" s="213">
        <f>前台好评提成录入!AF60*$E55</f>
        <v>0</v>
      </c>
      <c r="AG55" s="213">
        <f>前台好评提成录入!AG60*$E55</f>
        <v>0</v>
      </c>
      <c r="AH55" s="213">
        <f>前台好评提成录入!AH60*$E55</f>
        <v>0</v>
      </c>
      <c r="AI55" s="213">
        <f>前台好评提成录入!AI60*$E55</f>
        <v>0</v>
      </c>
      <c r="AJ55" s="213">
        <f>前台好评提成录入!AJ60*$E55</f>
        <v>0</v>
      </c>
      <c r="AK55" s="213">
        <f>前台好评提成录入!AK60*$E55</f>
        <v>0</v>
      </c>
      <c r="AL55" s="213">
        <f>前台好评提成录入!AL60*$E55</f>
        <v>0</v>
      </c>
    </row>
    <row r="56" s="178" customFormat="1" customHeight="1" spans="1:38">
      <c r="A56" s="161">
        <v>52</v>
      </c>
      <c r="B56" s="21" t="str">
        <f>前台好评提成录入!B61</f>
        <v>宋雨霏</v>
      </c>
      <c r="C56" s="21" t="str">
        <f>前台好评提成录入!C61</f>
        <v>抖音</v>
      </c>
      <c r="D56" s="21" t="str">
        <f>前台好评提成录入!D61</f>
        <v>条</v>
      </c>
      <c r="E56" s="21">
        <f>前台好评提成录入!E61</f>
        <v>5</v>
      </c>
      <c r="F56" s="21">
        <f>前台好评提成录入!F61</f>
        <v>0</v>
      </c>
      <c r="G56" s="21" t="str">
        <f>前台好评提成录入!G61</f>
        <v> -   </v>
      </c>
      <c r="H56" s="213">
        <f>前台好评提成录入!H61*$E56</f>
        <v>0</v>
      </c>
      <c r="I56" s="213">
        <f>前台好评提成录入!I61*$E56</f>
        <v>0</v>
      </c>
      <c r="J56" s="213">
        <f>前台好评提成录入!J61*$E56</f>
        <v>0</v>
      </c>
      <c r="K56" s="213">
        <f>前台好评提成录入!K61*$E56</f>
        <v>0</v>
      </c>
      <c r="L56" s="213">
        <f>前台好评提成录入!L61*$E56</f>
        <v>0</v>
      </c>
      <c r="M56" s="213">
        <f>前台好评提成录入!M61*$E56</f>
        <v>0</v>
      </c>
      <c r="N56" s="213">
        <f>前台好评提成录入!N61*$E56</f>
        <v>0</v>
      </c>
      <c r="O56" s="213">
        <f>前台好评提成录入!O61*$E56</f>
        <v>0</v>
      </c>
      <c r="P56" s="213">
        <f>前台好评提成录入!P61*$E56</f>
        <v>0</v>
      </c>
      <c r="Q56" s="213">
        <f>前台好评提成录入!Q61*$E56</f>
        <v>0</v>
      </c>
      <c r="R56" s="213">
        <f>前台好评提成录入!R61*$E56</f>
        <v>0</v>
      </c>
      <c r="S56" s="213">
        <f>前台好评提成录入!S61*$E56</f>
        <v>0</v>
      </c>
      <c r="T56" s="213">
        <f>前台好评提成录入!T61*$E56</f>
        <v>0</v>
      </c>
      <c r="U56" s="213">
        <f>前台好评提成录入!U61*$E56</f>
        <v>0</v>
      </c>
      <c r="V56" s="213">
        <f>前台好评提成录入!V61*$E56</f>
        <v>0</v>
      </c>
      <c r="W56" s="213">
        <f>前台好评提成录入!W61*$E56</f>
        <v>0</v>
      </c>
      <c r="X56" s="213">
        <f>前台好评提成录入!X61*$E56</f>
        <v>0</v>
      </c>
      <c r="Y56" s="213">
        <f>前台好评提成录入!Y61*$E56</f>
        <v>0</v>
      </c>
      <c r="Z56" s="213">
        <f>前台好评提成录入!Z61*$E56</f>
        <v>0</v>
      </c>
      <c r="AA56" s="213">
        <f>前台好评提成录入!AA61*$E56</f>
        <v>0</v>
      </c>
      <c r="AB56" s="213">
        <f>前台好评提成录入!AB61*$E56</f>
        <v>0</v>
      </c>
      <c r="AC56" s="213">
        <f>前台好评提成录入!AC61*$E56</f>
        <v>0</v>
      </c>
      <c r="AD56" s="213">
        <f>前台好评提成录入!AD61*$E56</f>
        <v>0</v>
      </c>
      <c r="AE56" s="213">
        <f>前台好评提成录入!AE61*$E56</f>
        <v>0</v>
      </c>
      <c r="AF56" s="213">
        <f>前台好评提成录入!AF61*$E56</f>
        <v>0</v>
      </c>
      <c r="AG56" s="213">
        <f>前台好评提成录入!AG61*$E56</f>
        <v>0</v>
      </c>
      <c r="AH56" s="213">
        <f>前台好评提成录入!AH61*$E56</f>
        <v>0</v>
      </c>
      <c r="AI56" s="213">
        <f>前台好评提成录入!AI61*$E56</f>
        <v>0</v>
      </c>
      <c r="AJ56" s="213">
        <f>前台好评提成录入!AJ61*$E56</f>
        <v>0</v>
      </c>
      <c r="AK56" s="213">
        <f>前台好评提成录入!AK61*$E56</f>
        <v>0</v>
      </c>
      <c r="AL56" s="213">
        <f>前台好评提成录入!AL61*$E56</f>
        <v>0</v>
      </c>
    </row>
    <row r="57" s="178" customFormat="1" customHeight="1" spans="1:38">
      <c r="A57" s="161">
        <v>53</v>
      </c>
      <c r="B57" s="21" t="str">
        <f>前台好评提成录入!B62</f>
        <v>宋雨霏</v>
      </c>
      <c r="C57" s="21" t="str">
        <f>前台好评提成录入!C62</f>
        <v>美团</v>
      </c>
      <c r="D57" s="21" t="str">
        <f>前台好评提成录入!D62</f>
        <v>条</v>
      </c>
      <c r="E57" s="21">
        <f>前台好评提成录入!E62</f>
        <v>5</v>
      </c>
      <c r="F57" s="21">
        <f>前台好评提成录入!F62</f>
        <v>0</v>
      </c>
      <c r="G57" s="21">
        <f>前台好评提成录入!G62</f>
        <v>0</v>
      </c>
      <c r="H57" s="213">
        <f>前台好评提成录入!H62*$E57</f>
        <v>0</v>
      </c>
      <c r="I57" s="213">
        <f>前台好评提成录入!I62*$E57</f>
        <v>0</v>
      </c>
      <c r="J57" s="213">
        <f>前台好评提成录入!J62*$E57</f>
        <v>0</v>
      </c>
      <c r="K57" s="213">
        <f>前台好评提成录入!K62*$E57</f>
        <v>0</v>
      </c>
      <c r="L57" s="213">
        <f>前台好评提成录入!L62*$E57</f>
        <v>0</v>
      </c>
      <c r="M57" s="213">
        <f>前台好评提成录入!M62*$E57</f>
        <v>0</v>
      </c>
      <c r="N57" s="213">
        <f>前台好评提成录入!N62*$E57</f>
        <v>0</v>
      </c>
      <c r="O57" s="213">
        <f>前台好评提成录入!O62*$E57</f>
        <v>0</v>
      </c>
      <c r="P57" s="213">
        <f>前台好评提成录入!P62*$E57</f>
        <v>0</v>
      </c>
      <c r="Q57" s="213">
        <f>前台好评提成录入!Q62*$E57</f>
        <v>0</v>
      </c>
      <c r="R57" s="213">
        <f>前台好评提成录入!R62*$E57</f>
        <v>0</v>
      </c>
      <c r="S57" s="213">
        <f>前台好评提成录入!S62*$E57</f>
        <v>0</v>
      </c>
      <c r="T57" s="213">
        <f>前台好评提成录入!T62*$E57</f>
        <v>0</v>
      </c>
      <c r="U57" s="213">
        <f>前台好评提成录入!U62*$E57</f>
        <v>0</v>
      </c>
      <c r="V57" s="213">
        <f>前台好评提成录入!V62*$E57</f>
        <v>0</v>
      </c>
      <c r="W57" s="213">
        <f>前台好评提成录入!W62*$E57</f>
        <v>0</v>
      </c>
      <c r="X57" s="213">
        <f>前台好评提成录入!X62*$E57</f>
        <v>0</v>
      </c>
      <c r="Y57" s="213">
        <f>前台好评提成录入!Y62*$E57</f>
        <v>0</v>
      </c>
      <c r="Z57" s="213">
        <f>前台好评提成录入!Z62*$E57</f>
        <v>0</v>
      </c>
      <c r="AA57" s="213">
        <f>前台好评提成录入!AA62*$E57</f>
        <v>0</v>
      </c>
      <c r="AB57" s="213">
        <f>前台好评提成录入!AB62*$E57</f>
        <v>0</v>
      </c>
      <c r="AC57" s="213">
        <f>前台好评提成录入!AC62*$E57</f>
        <v>0</v>
      </c>
      <c r="AD57" s="213">
        <f>前台好评提成录入!AD62*$E57</f>
        <v>0</v>
      </c>
      <c r="AE57" s="213">
        <f>前台好评提成录入!AE62*$E57</f>
        <v>0</v>
      </c>
      <c r="AF57" s="213">
        <f>前台好评提成录入!AF62*$E57</f>
        <v>0</v>
      </c>
      <c r="AG57" s="213">
        <f>前台好评提成录入!AG62*$E57</f>
        <v>0</v>
      </c>
      <c r="AH57" s="213">
        <f>前台好评提成录入!AH62*$E57</f>
        <v>0</v>
      </c>
      <c r="AI57" s="213">
        <f>前台好评提成录入!AI62*$E57</f>
        <v>0</v>
      </c>
      <c r="AJ57" s="213">
        <f>前台好评提成录入!AJ62*$E57</f>
        <v>0</v>
      </c>
      <c r="AK57" s="213">
        <f>前台好评提成录入!AK62*$E57</f>
        <v>0</v>
      </c>
      <c r="AL57" s="213">
        <f>前台好评提成录入!AL62*$E57</f>
        <v>0</v>
      </c>
    </row>
    <row r="58" s="178" customFormat="1" customHeight="1" spans="1:38">
      <c r="A58" s="161">
        <v>54</v>
      </c>
      <c r="B58" s="21" t="str">
        <f>前台好评提成录入!B63</f>
        <v>宋雨霏</v>
      </c>
      <c r="C58" s="21" t="str">
        <f>前台好评提成录入!C63</f>
        <v>飞猪</v>
      </c>
      <c r="D58" s="21" t="str">
        <f>前台好评提成录入!D63</f>
        <v>条</v>
      </c>
      <c r="E58" s="21">
        <f>前台好评提成录入!E63</f>
        <v>5</v>
      </c>
      <c r="F58" s="21">
        <f>前台好评提成录入!F63</f>
        <v>0</v>
      </c>
      <c r="G58" s="21" t="str">
        <f>前台好评提成录入!G63</f>
        <v> -   </v>
      </c>
      <c r="H58" s="213">
        <f>前台好评提成录入!H63*$E58</f>
        <v>0</v>
      </c>
      <c r="I58" s="213">
        <f>前台好评提成录入!I63*$E58</f>
        <v>0</v>
      </c>
      <c r="J58" s="213">
        <f>前台好评提成录入!J63*$E58</f>
        <v>0</v>
      </c>
      <c r="K58" s="213">
        <f>前台好评提成录入!K63*$E58</f>
        <v>0</v>
      </c>
      <c r="L58" s="213">
        <f>前台好评提成录入!L63*$E58</f>
        <v>0</v>
      </c>
      <c r="M58" s="213">
        <f>前台好评提成录入!M63*$E58</f>
        <v>0</v>
      </c>
      <c r="N58" s="213">
        <f>前台好评提成录入!N63*$E58</f>
        <v>0</v>
      </c>
      <c r="O58" s="213">
        <f>前台好评提成录入!O63*$E58</f>
        <v>0</v>
      </c>
      <c r="P58" s="213">
        <f>前台好评提成录入!P63*$E58</f>
        <v>0</v>
      </c>
      <c r="Q58" s="213">
        <f>前台好评提成录入!Q63*$E58</f>
        <v>0</v>
      </c>
      <c r="R58" s="213">
        <f>前台好评提成录入!R63*$E58</f>
        <v>0</v>
      </c>
      <c r="S58" s="213">
        <f>前台好评提成录入!S63*$E58</f>
        <v>0</v>
      </c>
      <c r="T58" s="213">
        <f>前台好评提成录入!T63*$E58</f>
        <v>0</v>
      </c>
      <c r="U58" s="213">
        <f>前台好评提成录入!U63*$E58</f>
        <v>0</v>
      </c>
      <c r="V58" s="213">
        <f>前台好评提成录入!V63*$E58</f>
        <v>0</v>
      </c>
      <c r="W58" s="213">
        <f>前台好评提成录入!W63*$E58</f>
        <v>0</v>
      </c>
      <c r="X58" s="213">
        <f>前台好评提成录入!X63*$E58</f>
        <v>0</v>
      </c>
      <c r="Y58" s="213">
        <f>前台好评提成录入!Y63*$E58</f>
        <v>0</v>
      </c>
      <c r="Z58" s="213">
        <f>前台好评提成录入!Z63*$E58</f>
        <v>0</v>
      </c>
      <c r="AA58" s="213">
        <f>前台好评提成录入!AA63*$E58</f>
        <v>0</v>
      </c>
      <c r="AB58" s="213">
        <f>前台好评提成录入!AB63*$E58</f>
        <v>0</v>
      </c>
      <c r="AC58" s="213">
        <f>前台好评提成录入!AC63*$E58</f>
        <v>0</v>
      </c>
      <c r="AD58" s="213">
        <f>前台好评提成录入!AD63*$E58</f>
        <v>0</v>
      </c>
      <c r="AE58" s="213">
        <f>前台好评提成录入!AE63*$E58</f>
        <v>0</v>
      </c>
      <c r="AF58" s="213">
        <f>前台好评提成录入!AF63*$E58</f>
        <v>0</v>
      </c>
      <c r="AG58" s="213">
        <f>前台好评提成录入!AG63*$E58</f>
        <v>0</v>
      </c>
      <c r="AH58" s="213">
        <f>前台好评提成录入!AH63*$E58</f>
        <v>0</v>
      </c>
      <c r="AI58" s="213">
        <f>前台好评提成录入!AI63*$E58</f>
        <v>0</v>
      </c>
      <c r="AJ58" s="213">
        <f>前台好评提成录入!AJ63*$E58</f>
        <v>0</v>
      </c>
      <c r="AK58" s="213">
        <f>前台好评提成录入!AK63*$E58</f>
        <v>0</v>
      </c>
      <c r="AL58" s="213">
        <f>前台好评提成录入!AL63*$E58</f>
        <v>0</v>
      </c>
    </row>
    <row r="59" s="178" customFormat="1" customHeight="1" spans="1:38">
      <c r="A59" s="161">
        <v>55</v>
      </c>
      <c r="B59" s="21" t="str">
        <f>前台好评提成录入!B64</f>
        <v>宋雨霏</v>
      </c>
      <c r="C59" s="21" t="str">
        <f>前台好评提成录入!C64</f>
        <v>官网</v>
      </c>
      <c r="D59" s="21" t="str">
        <f>前台好评提成录入!D64</f>
        <v>条</v>
      </c>
      <c r="E59" s="21">
        <f>前台好评提成录入!E64</f>
        <v>5</v>
      </c>
      <c r="F59" s="21">
        <f>前台好评提成录入!F64</f>
        <v>0</v>
      </c>
      <c r="G59" s="21" t="str">
        <f>前台好评提成录入!G64</f>
        <v> -   </v>
      </c>
      <c r="H59" s="213">
        <f>前台好评提成录入!H64*$E59</f>
        <v>0</v>
      </c>
      <c r="I59" s="213">
        <f>前台好评提成录入!I64*$E59</f>
        <v>0</v>
      </c>
      <c r="J59" s="213">
        <f>前台好评提成录入!J64*$E59</f>
        <v>0</v>
      </c>
      <c r="K59" s="213">
        <f>前台好评提成录入!K64*$E59</f>
        <v>0</v>
      </c>
      <c r="L59" s="213">
        <f>前台好评提成录入!L64*$E59</f>
        <v>0</v>
      </c>
      <c r="M59" s="213">
        <f>前台好评提成录入!M64*$E59</f>
        <v>0</v>
      </c>
      <c r="N59" s="213">
        <f>前台好评提成录入!N64*$E59</f>
        <v>0</v>
      </c>
      <c r="O59" s="213">
        <f>前台好评提成录入!O64*$E59</f>
        <v>0</v>
      </c>
      <c r="P59" s="213">
        <f>前台好评提成录入!P64*$E59</f>
        <v>0</v>
      </c>
      <c r="Q59" s="213">
        <f>前台好评提成录入!Q64*$E59</f>
        <v>0</v>
      </c>
      <c r="R59" s="213">
        <f>前台好评提成录入!R64*$E59</f>
        <v>0</v>
      </c>
      <c r="S59" s="213">
        <f>前台好评提成录入!S64*$E59</f>
        <v>0</v>
      </c>
      <c r="T59" s="213">
        <f>前台好评提成录入!T64*$E59</f>
        <v>0</v>
      </c>
      <c r="U59" s="213">
        <f>前台好评提成录入!U64*$E59</f>
        <v>0</v>
      </c>
      <c r="V59" s="213">
        <f>前台好评提成录入!V64*$E59</f>
        <v>0</v>
      </c>
      <c r="W59" s="213">
        <f>前台好评提成录入!W64*$E59</f>
        <v>0</v>
      </c>
      <c r="X59" s="213">
        <f>前台好评提成录入!X64*$E59</f>
        <v>0</v>
      </c>
      <c r="Y59" s="213">
        <f>前台好评提成录入!Y64*$E59</f>
        <v>0</v>
      </c>
      <c r="Z59" s="213">
        <f>前台好评提成录入!Z64*$E59</f>
        <v>0</v>
      </c>
      <c r="AA59" s="213">
        <f>前台好评提成录入!AA64*$E59</f>
        <v>0</v>
      </c>
      <c r="AB59" s="213">
        <f>前台好评提成录入!AB64*$E59</f>
        <v>0</v>
      </c>
      <c r="AC59" s="213">
        <f>前台好评提成录入!AC64*$E59</f>
        <v>0</v>
      </c>
      <c r="AD59" s="213">
        <f>前台好评提成录入!AD64*$E59</f>
        <v>0</v>
      </c>
      <c r="AE59" s="213">
        <f>前台好评提成录入!AE64*$E59</f>
        <v>0</v>
      </c>
      <c r="AF59" s="213">
        <f>前台好评提成录入!AF64*$E59</f>
        <v>0</v>
      </c>
      <c r="AG59" s="213">
        <f>前台好评提成录入!AG64*$E59</f>
        <v>0</v>
      </c>
      <c r="AH59" s="213">
        <f>前台好评提成录入!AH64*$E59</f>
        <v>0</v>
      </c>
      <c r="AI59" s="213">
        <f>前台好评提成录入!AI64*$E59</f>
        <v>0</v>
      </c>
      <c r="AJ59" s="213">
        <f>前台好评提成录入!AJ64*$E59</f>
        <v>0</v>
      </c>
      <c r="AK59" s="213">
        <f>前台好评提成录入!AK64*$E59</f>
        <v>0</v>
      </c>
      <c r="AL59" s="213">
        <f>前台好评提成录入!AL64*$E59</f>
        <v>0</v>
      </c>
    </row>
    <row r="60" s="178" customFormat="1" customHeight="1" spans="1:38">
      <c r="A60" s="161">
        <v>56</v>
      </c>
      <c r="B60" s="21" t="str">
        <f>前台好评提成录入!B65</f>
        <v>李龙梅</v>
      </c>
      <c r="C60" s="21" t="str">
        <f>前台好评提成录入!C65</f>
        <v>携程</v>
      </c>
      <c r="D60" s="21" t="str">
        <f>前台好评提成录入!D65</f>
        <v>条</v>
      </c>
      <c r="E60" s="21">
        <f>前台好评提成录入!E65</f>
        <v>5</v>
      </c>
      <c r="F60" s="21">
        <f>前台好评提成录入!F65</f>
        <v>3</v>
      </c>
      <c r="G60" s="21">
        <f>前台好评提成录入!G65</f>
        <v>15</v>
      </c>
      <c r="H60" s="213">
        <f>前台好评提成录入!H65*$E60</f>
        <v>15</v>
      </c>
      <c r="I60" s="213">
        <f>前台好评提成录入!I65*$E60</f>
        <v>0</v>
      </c>
      <c r="J60" s="213">
        <f>前台好评提成录入!J65*$E60</f>
        <v>0</v>
      </c>
      <c r="K60" s="213">
        <f>前台好评提成录入!K65*$E60</f>
        <v>0</v>
      </c>
      <c r="L60" s="213">
        <f>前台好评提成录入!L65*$E60</f>
        <v>0</v>
      </c>
      <c r="M60" s="213">
        <f>前台好评提成录入!M65*$E60</f>
        <v>0</v>
      </c>
      <c r="N60" s="213">
        <f>前台好评提成录入!N65*$E60</f>
        <v>0</v>
      </c>
      <c r="O60" s="213">
        <f>前台好评提成录入!O65*$E60</f>
        <v>0</v>
      </c>
      <c r="P60" s="213">
        <f>前台好评提成录入!P65*$E60</f>
        <v>0</v>
      </c>
      <c r="Q60" s="213">
        <f>前台好评提成录入!Q65*$E60</f>
        <v>0</v>
      </c>
      <c r="R60" s="213">
        <f>前台好评提成录入!R65*$E60</f>
        <v>0</v>
      </c>
      <c r="S60" s="213">
        <f>前台好评提成录入!S65*$E60</f>
        <v>0</v>
      </c>
      <c r="T60" s="213">
        <f>前台好评提成录入!T65*$E60</f>
        <v>0</v>
      </c>
      <c r="U60" s="213">
        <f>前台好评提成录入!U65*$E60</f>
        <v>0</v>
      </c>
      <c r="V60" s="213">
        <f>前台好评提成录入!V65*$E60</f>
        <v>0</v>
      </c>
      <c r="W60" s="213">
        <f>前台好评提成录入!W65*$E60</f>
        <v>0</v>
      </c>
      <c r="X60" s="213">
        <f>前台好评提成录入!X65*$E60</f>
        <v>0</v>
      </c>
      <c r="Y60" s="213">
        <f>前台好评提成录入!Y65*$E60</f>
        <v>0</v>
      </c>
      <c r="Z60" s="213">
        <f>前台好评提成录入!Z65*$E60</f>
        <v>0</v>
      </c>
      <c r="AA60" s="213">
        <f>前台好评提成录入!AA65*$E60</f>
        <v>0</v>
      </c>
      <c r="AB60" s="213">
        <f>前台好评提成录入!AB65*$E60</f>
        <v>0</v>
      </c>
      <c r="AC60" s="213">
        <f>前台好评提成录入!AC65*$E60</f>
        <v>0</v>
      </c>
      <c r="AD60" s="213">
        <f>前台好评提成录入!AD65*$E60</f>
        <v>0</v>
      </c>
      <c r="AE60" s="213">
        <f>前台好评提成录入!AE65*$E60</f>
        <v>0</v>
      </c>
      <c r="AF60" s="213">
        <f>前台好评提成录入!AF65*$E60</f>
        <v>0</v>
      </c>
      <c r="AG60" s="213">
        <f>前台好评提成录入!AG65*$E60</f>
        <v>0</v>
      </c>
      <c r="AH60" s="213">
        <f>前台好评提成录入!AH65*$E60</f>
        <v>0</v>
      </c>
      <c r="AI60" s="213">
        <f>前台好评提成录入!AI65*$E60</f>
        <v>0</v>
      </c>
      <c r="AJ60" s="213">
        <f>前台好评提成录入!AJ65*$E60</f>
        <v>0</v>
      </c>
      <c r="AK60" s="213">
        <f>前台好评提成录入!AK65*$E60</f>
        <v>0</v>
      </c>
      <c r="AL60" s="213">
        <f>前台好评提成录入!AL65*$E60</f>
        <v>0</v>
      </c>
    </row>
    <row r="61" s="178" customFormat="1" customHeight="1" spans="1:38">
      <c r="A61" s="161">
        <v>57</v>
      </c>
      <c r="B61" s="21" t="str">
        <f>前台好评提成录入!B66</f>
        <v>李龙梅</v>
      </c>
      <c r="C61" s="21" t="str">
        <f>前台好评提成录入!C66</f>
        <v>携程优质</v>
      </c>
      <c r="D61" s="21" t="str">
        <f>前台好评提成录入!D66</f>
        <v>条</v>
      </c>
      <c r="E61" s="21">
        <f>前台好评提成录入!E66</f>
        <v>15</v>
      </c>
      <c r="F61" s="21">
        <f>前台好评提成录入!F66</f>
        <v>3</v>
      </c>
      <c r="G61" s="21">
        <f>前台好评提成录入!G66</f>
        <v>45</v>
      </c>
      <c r="H61" s="213">
        <f>前台好评提成录入!H66*$E61</f>
        <v>45</v>
      </c>
      <c r="I61" s="213">
        <f>前台好评提成录入!I66*$E61</f>
        <v>0</v>
      </c>
      <c r="J61" s="213">
        <f>前台好评提成录入!J66*$E61</f>
        <v>0</v>
      </c>
      <c r="K61" s="213">
        <f>前台好评提成录入!K66*$E61</f>
        <v>0</v>
      </c>
      <c r="L61" s="213">
        <f>前台好评提成录入!L66*$E61</f>
        <v>0</v>
      </c>
      <c r="M61" s="213">
        <f>前台好评提成录入!M66*$E61</f>
        <v>0</v>
      </c>
      <c r="N61" s="213">
        <f>前台好评提成录入!N66*$E61</f>
        <v>0</v>
      </c>
      <c r="O61" s="213">
        <f>前台好评提成录入!O66*$E61</f>
        <v>0</v>
      </c>
      <c r="P61" s="213">
        <f>前台好评提成录入!P66*$E61</f>
        <v>0</v>
      </c>
      <c r="Q61" s="213">
        <f>前台好评提成录入!Q66*$E61</f>
        <v>0</v>
      </c>
      <c r="R61" s="213">
        <f>前台好评提成录入!R66*$E61</f>
        <v>0</v>
      </c>
      <c r="S61" s="213">
        <f>前台好评提成录入!S66*$E61</f>
        <v>0</v>
      </c>
      <c r="T61" s="213">
        <f>前台好评提成录入!T66*$E61</f>
        <v>0</v>
      </c>
      <c r="U61" s="213">
        <f>前台好评提成录入!U66*$E61</f>
        <v>0</v>
      </c>
      <c r="V61" s="213">
        <f>前台好评提成录入!V66*$E61</f>
        <v>0</v>
      </c>
      <c r="W61" s="213">
        <f>前台好评提成录入!W66*$E61</f>
        <v>0</v>
      </c>
      <c r="X61" s="213">
        <f>前台好评提成录入!X66*$E61</f>
        <v>0</v>
      </c>
      <c r="Y61" s="213">
        <f>前台好评提成录入!Y66*$E61</f>
        <v>0</v>
      </c>
      <c r="Z61" s="213">
        <f>前台好评提成录入!Z66*$E61</f>
        <v>0</v>
      </c>
      <c r="AA61" s="213">
        <f>前台好评提成录入!AA66*$E61</f>
        <v>0</v>
      </c>
      <c r="AB61" s="213">
        <f>前台好评提成录入!AB66*$E61</f>
        <v>0</v>
      </c>
      <c r="AC61" s="213">
        <f>前台好评提成录入!AC66*$E61</f>
        <v>0</v>
      </c>
      <c r="AD61" s="213">
        <f>前台好评提成录入!AD66*$E61</f>
        <v>0</v>
      </c>
      <c r="AE61" s="213">
        <f>前台好评提成录入!AE66*$E61</f>
        <v>0</v>
      </c>
      <c r="AF61" s="213">
        <f>前台好评提成录入!AF66*$E61</f>
        <v>0</v>
      </c>
      <c r="AG61" s="213">
        <f>前台好评提成录入!AG66*$E61</f>
        <v>0</v>
      </c>
      <c r="AH61" s="213">
        <f>前台好评提成录入!AH66*$E61</f>
        <v>0</v>
      </c>
      <c r="AI61" s="213">
        <f>前台好评提成录入!AI66*$E61</f>
        <v>0</v>
      </c>
      <c r="AJ61" s="213">
        <f>前台好评提成录入!AJ66*$E61</f>
        <v>0</v>
      </c>
      <c r="AK61" s="213">
        <f>前台好评提成录入!AK66*$E61</f>
        <v>0</v>
      </c>
      <c r="AL61" s="213">
        <f>前台好评提成录入!AL66*$E61</f>
        <v>0</v>
      </c>
    </row>
    <row r="62" s="178" customFormat="1" customHeight="1" spans="1:38">
      <c r="A62" s="161">
        <v>58</v>
      </c>
      <c r="B62" s="21" t="str">
        <f>前台好评提成录入!B67</f>
        <v>李龙梅</v>
      </c>
      <c r="C62" s="21" t="str">
        <f>前台好评提成录入!C67</f>
        <v>黑/金优质</v>
      </c>
      <c r="D62" s="21" t="str">
        <f>前台好评提成录入!D67</f>
        <v>条</v>
      </c>
      <c r="E62" s="21">
        <f>前台好评提成录入!E67</f>
        <v>30</v>
      </c>
      <c r="F62" s="21">
        <f>前台好评提成录入!F67</f>
        <v>1</v>
      </c>
      <c r="G62" s="21">
        <f>前台好评提成录入!G67</f>
        <v>30</v>
      </c>
      <c r="H62" s="213">
        <f>前台好评提成录入!H67*$E62</f>
        <v>30</v>
      </c>
      <c r="I62" s="213">
        <f>前台好评提成录入!I67*$E62</f>
        <v>0</v>
      </c>
      <c r="J62" s="213">
        <f>前台好评提成录入!J67*$E62</f>
        <v>0</v>
      </c>
      <c r="K62" s="213">
        <f>前台好评提成录入!K67*$E62</f>
        <v>0</v>
      </c>
      <c r="L62" s="213">
        <f>前台好评提成录入!L67*$E62</f>
        <v>0</v>
      </c>
      <c r="M62" s="213">
        <f>前台好评提成录入!M67*$E62</f>
        <v>0</v>
      </c>
      <c r="N62" s="213">
        <f>前台好评提成录入!N67*$E62</f>
        <v>0</v>
      </c>
      <c r="O62" s="213">
        <f>前台好评提成录入!O67*$E62</f>
        <v>0</v>
      </c>
      <c r="P62" s="213">
        <f>前台好评提成录入!P67*$E62</f>
        <v>0</v>
      </c>
      <c r="Q62" s="213">
        <f>前台好评提成录入!Q67*$E62</f>
        <v>0</v>
      </c>
      <c r="R62" s="213">
        <f>前台好评提成录入!R67*$E62</f>
        <v>0</v>
      </c>
      <c r="S62" s="213">
        <f>前台好评提成录入!S67*$E62</f>
        <v>0</v>
      </c>
      <c r="T62" s="213">
        <f>前台好评提成录入!T67*$E62</f>
        <v>0</v>
      </c>
      <c r="U62" s="213">
        <f>前台好评提成录入!U67*$E62</f>
        <v>0</v>
      </c>
      <c r="V62" s="213">
        <f>前台好评提成录入!V67*$E62</f>
        <v>0</v>
      </c>
      <c r="W62" s="213">
        <f>前台好评提成录入!W67*$E62</f>
        <v>0</v>
      </c>
      <c r="X62" s="213">
        <f>前台好评提成录入!X67*$E62</f>
        <v>0</v>
      </c>
      <c r="Y62" s="213">
        <f>前台好评提成录入!Y67*$E62</f>
        <v>0</v>
      </c>
      <c r="Z62" s="213">
        <f>前台好评提成录入!Z67*$E62</f>
        <v>0</v>
      </c>
      <c r="AA62" s="213">
        <f>前台好评提成录入!AA67*$E62</f>
        <v>0</v>
      </c>
      <c r="AB62" s="213">
        <f>前台好评提成录入!AB67*$E62</f>
        <v>0</v>
      </c>
      <c r="AC62" s="213">
        <f>前台好评提成录入!AC67*$E62</f>
        <v>0</v>
      </c>
      <c r="AD62" s="213">
        <f>前台好评提成录入!AD67*$E62</f>
        <v>0</v>
      </c>
      <c r="AE62" s="213">
        <f>前台好评提成录入!AE67*$E62</f>
        <v>0</v>
      </c>
      <c r="AF62" s="213">
        <f>前台好评提成录入!AF67*$E62</f>
        <v>0</v>
      </c>
      <c r="AG62" s="213">
        <f>前台好评提成录入!AG67*$E62</f>
        <v>0</v>
      </c>
      <c r="AH62" s="213">
        <f>前台好评提成录入!AH67*$E62</f>
        <v>0</v>
      </c>
      <c r="AI62" s="213">
        <f>前台好评提成录入!AI67*$E62</f>
        <v>0</v>
      </c>
      <c r="AJ62" s="213">
        <f>前台好评提成录入!AJ67*$E62</f>
        <v>0</v>
      </c>
      <c r="AK62" s="213">
        <f>前台好评提成录入!AK67*$E62</f>
        <v>0</v>
      </c>
      <c r="AL62" s="213">
        <f>前台好评提成录入!AL67*$E62</f>
        <v>0</v>
      </c>
    </row>
    <row r="63" s="178" customFormat="1" customHeight="1" spans="1:38">
      <c r="A63" s="161">
        <v>59</v>
      </c>
      <c r="B63" s="21" t="str">
        <f>前台好评提成录入!B68</f>
        <v>李龙梅</v>
      </c>
      <c r="C63" s="21" t="str">
        <f>前台好评提成录入!C68</f>
        <v>去哪儿</v>
      </c>
      <c r="D63" s="21" t="str">
        <f>前台好评提成录入!D68</f>
        <v>条</v>
      </c>
      <c r="E63" s="21">
        <f>前台好评提成录入!E68</f>
        <v>5</v>
      </c>
      <c r="F63" s="21">
        <f>前台好评提成录入!F68</f>
        <v>0</v>
      </c>
      <c r="G63" s="21">
        <f>前台好评提成录入!G68</f>
        <v>0</v>
      </c>
      <c r="H63" s="213">
        <f>前台好评提成录入!H68*$E63</f>
        <v>0</v>
      </c>
      <c r="I63" s="213">
        <f>前台好评提成录入!I68*$E63</f>
        <v>0</v>
      </c>
      <c r="J63" s="213">
        <f>前台好评提成录入!J68*$E63</f>
        <v>0</v>
      </c>
      <c r="K63" s="213">
        <f>前台好评提成录入!K68*$E63</f>
        <v>0</v>
      </c>
      <c r="L63" s="213">
        <f>前台好评提成录入!L68*$E63</f>
        <v>0</v>
      </c>
      <c r="M63" s="213">
        <f>前台好评提成录入!M68*$E63</f>
        <v>0</v>
      </c>
      <c r="N63" s="213">
        <f>前台好评提成录入!N68*$E63</f>
        <v>0</v>
      </c>
      <c r="O63" s="213">
        <f>前台好评提成录入!O68*$E63</f>
        <v>0</v>
      </c>
      <c r="P63" s="213">
        <f>前台好评提成录入!P68*$E63</f>
        <v>0</v>
      </c>
      <c r="Q63" s="213">
        <f>前台好评提成录入!Q68*$E63</f>
        <v>0</v>
      </c>
      <c r="R63" s="213">
        <f>前台好评提成录入!R68*$E63</f>
        <v>0</v>
      </c>
      <c r="S63" s="213">
        <f>前台好评提成录入!S68*$E63</f>
        <v>0</v>
      </c>
      <c r="T63" s="213">
        <f>前台好评提成录入!T68*$E63</f>
        <v>0</v>
      </c>
      <c r="U63" s="213">
        <f>前台好评提成录入!U68*$E63</f>
        <v>0</v>
      </c>
      <c r="V63" s="213">
        <f>前台好评提成录入!V68*$E63</f>
        <v>0</v>
      </c>
      <c r="W63" s="213">
        <f>前台好评提成录入!W68*$E63</f>
        <v>0</v>
      </c>
      <c r="X63" s="213">
        <f>前台好评提成录入!X68*$E63</f>
        <v>0</v>
      </c>
      <c r="Y63" s="213">
        <f>前台好评提成录入!Y68*$E63</f>
        <v>0</v>
      </c>
      <c r="Z63" s="213">
        <f>前台好评提成录入!Z68*$E63</f>
        <v>0</v>
      </c>
      <c r="AA63" s="213">
        <f>前台好评提成录入!AA68*$E63</f>
        <v>0</v>
      </c>
      <c r="AB63" s="213">
        <f>前台好评提成录入!AB68*$E63</f>
        <v>0</v>
      </c>
      <c r="AC63" s="213">
        <f>前台好评提成录入!AC68*$E63</f>
        <v>0</v>
      </c>
      <c r="AD63" s="213">
        <f>前台好评提成录入!AD68*$E63</f>
        <v>0</v>
      </c>
      <c r="AE63" s="213">
        <f>前台好评提成录入!AE68*$E63</f>
        <v>0</v>
      </c>
      <c r="AF63" s="213">
        <f>前台好评提成录入!AF68*$E63</f>
        <v>0</v>
      </c>
      <c r="AG63" s="213">
        <f>前台好评提成录入!AG68*$E63</f>
        <v>0</v>
      </c>
      <c r="AH63" s="213">
        <f>前台好评提成录入!AH68*$E63</f>
        <v>0</v>
      </c>
      <c r="AI63" s="213">
        <f>前台好评提成录入!AI68*$E63</f>
        <v>0</v>
      </c>
      <c r="AJ63" s="213">
        <f>前台好评提成录入!AJ68*$E63</f>
        <v>0</v>
      </c>
      <c r="AK63" s="213">
        <f>前台好评提成录入!AK68*$E63</f>
        <v>0</v>
      </c>
      <c r="AL63" s="213">
        <f>前台好评提成录入!AL68*$E63</f>
        <v>0</v>
      </c>
    </row>
    <row r="64" s="178" customFormat="1" customHeight="1" spans="1:38">
      <c r="A64" s="161">
        <v>60</v>
      </c>
      <c r="B64" s="21" t="str">
        <f>前台好评提成录入!B69</f>
        <v>李龙梅</v>
      </c>
      <c r="C64" s="21" t="str">
        <f>前台好评提成录入!C69</f>
        <v>同程</v>
      </c>
      <c r="D64" s="21" t="str">
        <f>前台好评提成录入!D69</f>
        <v>条</v>
      </c>
      <c r="E64" s="21">
        <f>前台好评提成录入!E69</f>
        <v>5</v>
      </c>
      <c r="F64" s="21">
        <f>前台好评提成录入!F69</f>
        <v>0</v>
      </c>
      <c r="G64" s="21">
        <f>前台好评提成录入!G69</f>
        <v>0</v>
      </c>
      <c r="H64" s="213">
        <f>前台好评提成录入!H69*$E64</f>
        <v>0</v>
      </c>
      <c r="I64" s="213">
        <f>前台好评提成录入!I69*$E64</f>
        <v>0</v>
      </c>
      <c r="J64" s="213">
        <f>前台好评提成录入!J69*$E64</f>
        <v>0</v>
      </c>
      <c r="K64" s="213">
        <f>前台好评提成录入!K69*$E64</f>
        <v>0</v>
      </c>
      <c r="L64" s="213">
        <f>前台好评提成录入!L69*$E64</f>
        <v>0</v>
      </c>
      <c r="M64" s="213">
        <f>前台好评提成录入!M69*$E64</f>
        <v>0</v>
      </c>
      <c r="N64" s="213">
        <f>前台好评提成录入!N69*$E64</f>
        <v>0</v>
      </c>
      <c r="O64" s="213">
        <f>前台好评提成录入!O69*$E64</f>
        <v>0</v>
      </c>
      <c r="P64" s="213">
        <f>前台好评提成录入!P69*$E64</f>
        <v>0</v>
      </c>
      <c r="Q64" s="213">
        <f>前台好评提成录入!Q69*$E64</f>
        <v>0</v>
      </c>
      <c r="R64" s="213">
        <f>前台好评提成录入!R69*$E64</f>
        <v>0</v>
      </c>
      <c r="S64" s="213">
        <f>前台好评提成录入!S69*$E64</f>
        <v>0</v>
      </c>
      <c r="T64" s="213">
        <f>前台好评提成录入!T69*$E64</f>
        <v>0</v>
      </c>
      <c r="U64" s="213">
        <f>前台好评提成录入!U69*$E64</f>
        <v>0</v>
      </c>
      <c r="V64" s="213">
        <f>前台好评提成录入!V69*$E64</f>
        <v>0</v>
      </c>
      <c r="W64" s="213">
        <f>前台好评提成录入!W69*$E64</f>
        <v>0</v>
      </c>
      <c r="X64" s="213">
        <f>前台好评提成录入!X69*$E64</f>
        <v>0</v>
      </c>
      <c r="Y64" s="213">
        <f>前台好评提成录入!Y69*$E64</f>
        <v>0</v>
      </c>
      <c r="Z64" s="213">
        <f>前台好评提成录入!Z69*$E64</f>
        <v>0</v>
      </c>
      <c r="AA64" s="213">
        <f>前台好评提成录入!AA69*$E64</f>
        <v>0</v>
      </c>
      <c r="AB64" s="213">
        <f>前台好评提成录入!AB69*$E64</f>
        <v>0</v>
      </c>
      <c r="AC64" s="213">
        <f>前台好评提成录入!AC69*$E64</f>
        <v>0</v>
      </c>
      <c r="AD64" s="213">
        <f>前台好评提成录入!AD69*$E64</f>
        <v>0</v>
      </c>
      <c r="AE64" s="213">
        <f>前台好评提成录入!AE69*$E64</f>
        <v>0</v>
      </c>
      <c r="AF64" s="213">
        <f>前台好评提成录入!AF69*$E64</f>
        <v>0</v>
      </c>
      <c r="AG64" s="213">
        <f>前台好评提成录入!AG69*$E64</f>
        <v>0</v>
      </c>
      <c r="AH64" s="213">
        <f>前台好评提成录入!AH69*$E64</f>
        <v>0</v>
      </c>
      <c r="AI64" s="213">
        <f>前台好评提成录入!AI69*$E64</f>
        <v>0</v>
      </c>
      <c r="AJ64" s="213">
        <f>前台好评提成录入!AJ69*$E64</f>
        <v>0</v>
      </c>
      <c r="AK64" s="213">
        <f>前台好评提成录入!AK69*$E64</f>
        <v>0</v>
      </c>
      <c r="AL64" s="213">
        <f>前台好评提成录入!AL69*$E64</f>
        <v>0</v>
      </c>
    </row>
    <row r="65" s="178" customFormat="1" customHeight="1" spans="1:38">
      <c r="A65" s="161">
        <v>61</v>
      </c>
      <c r="B65" s="21" t="str">
        <f>前台好评提成录入!B70</f>
        <v>李龙梅</v>
      </c>
      <c r="C65" s="21" t="str">
        <f>前台好评提成录入!C70</f>
        <v>智行</v>
      </c>
      <c r="D65" s="21" t="str">
        <f>前台好评提成录入!D70</f>
        <v>条</v>
      </c>
      <c r="E65" s="21">
        <f>前台好评提成录入!E70</f>
        <v>5</v>
      </c>
      <c r="F65" s="21">
        <f>前台好评提成录入!F70</f>
        <v>0</v>
      </c>
      <c r="G65" s="21">
        <f>前台好评提成录入!G70</f>
        <v>0</v>
      </c>
      <c r="H65" s="213">
        <f>前台好评提成录入!H70*$E65</f>
        <v>0</v>
      </c>
      <c r="I65" s="213">
        <f>前台好评提成录入!I70*$E65</f>
        <v>0</v>
      </c>
      <c r="J65" s="213">
        <f>前台好评提成录入!J70*$E65</f>
        <v>0</v>
      </c>
      <c r="K65" s="213">
        <f>前台好评提成录入!K70*$E65</f>
        <v>0</v>
      </c>
      <c r="L65" s="213">
        <f>前台好评提成录入!L70*$E65</f>
        <v>0</v>
      </c>
      <c r="M65" s="213">
        <f>前台好评提成录入!M70*$E65</f>
        <v>0</v>
      </c>
      <c r="N65" s="213">
        <f>前台好评提成录入!N70*$E65</f>
        <v>0</v>
      </c>
      <c r="O65" s="213">
        <f>前台好评提成录入!O70*$E65</f>
        <v>0</v>
      </c>
      <c r="P65" s="213">
        <f>前台好评提成录入!P70*$E65</f>
        <v>0</v>
      </c>
      <c r="Q65" s="213">
        <f>前台好评提成录入!Q70*$E65</f>
        <v>0</v>
      </c>
      <c r="R65" s="213">
        <f>前台好评提成录入!R70*$E65</f>
        <v>0</v>
      </c>
      <c r="S65" s="213">
        <f>前台好评提成录入!S70*$E65</f>
        <v>0</v>
      </c>
      <c r="T65" s="213">
        <f>前台好评提成录入!T70*$E65</f>
        <v>0</v>
      </c>
      <c r="U65" s="213">
        <f>前台好评提成录入!U70*$E65</f>
        <v>0</v>
      </c>
      <c r="V65" s="213">
        <f>前台好评提成录入!V70*$E65</f>
        <v>0</v>
      </c>
      <c r="W65" s="213">
        <f>前台好评提成录入!W70*$E65</f>
        <v>0</v>
      </c>
      <c r="X65" s="213">
        <f>前台好评提成录入!X70*$E65</f>
        <v>0</v>
      </c>
      <c r="Y65" s="213">
        <f>前台好评提成录入!Y70*$E65</f>
        <v>0</v>
      </c>
      <c r="Z65" s="213">
        <f>前台好评提成录入!Z70*$E65</f>
        <v>0</v>
      </c>
      <c r="AA65" s="213">
        <f>前台好评提成录入!AA70*$E65</f>
        <v>0</v>
      </c>
      <c r="AB65" s="213">
        <f>前台好评提成录入!AB70*$E65</f>
        <v>0</v>
      </c>
      <c r="AC65" s="213">
        <f>前台好评提成录入!AC70*$E65</f>
        <v>0</v>
      </c>
      <c r="AD65" s="213">
        <f>前台好评提成录入!AD70*$E65</f>
        <v>0</v>
      </c>
      <c r="AE65" s="213">
        <f>前台好评提成录入!AE70*$E65</f>
        <v>0</v>
      </c>
      <c r="AF65" s="213">
        <f>前台好评提成录入!AF70*$E65</f>
        <v>0</v>
      </c>
      <c r="AG65" s="213">
        <f>前台好评提成录入!AG70*$E65</f>
        <v>0</v>
      </c>
      <c r="AH65" s="213">
        <f>前台好评提成录入!AH70*$E65</f>
        <v>0</v>
      </c>
      <c r="AI65" s="213">
        <f>前台好评提成录入!AI70*$E65</f>
        <v>0</v>
      </c>
      <c r="AJ65" s="213">
        <f>前台好评提成录入!AJ70*$E65</f>
        <v>0</v>
      </c>
      <c r="AK65" s="213">
        <f>前台好评提成录入!AK70*$E65</f>
        <v>0</v>
      </c>
      <c r="AL65" s="213">
        <f>前台好评提成录入!AL70*$E65</f>
        <v>0</v>
      </c>
    </row>
    <row r="66" s="178" customFormat="1" customHeight="1" spans="1:38">
      <c r="A66" s="161">
        <v>62</v>
      </c>
      <c r="B66" s="21" t="str">
        <f>前台好评提成录入!B71</f>
        <v>李龙梅</v>
      </c>
      <c r="C66" s="21" t="str">
        <f>前台好评提成录入!C71</f>
        <v>抖音</v>
      </c>
      <c r="D66" s="21" t="str">
        <f>前台好评提成录入!D71</f>
        <v>条</v>
      </c>
      <c r="E66" s="21">
        <f>前台好评提成录入!E71</f>
        <v>5</v>
      </c>
      <c r="F66" s="21">
        <f>前台好评提成录入!F71</f>
        <v>1</v>
      </c>
      <c r="G66" s="21">
        <f>前台好评提成录入!G71</f>
        <v>5</v>
      </c>
      <c r="H66" s="213">
        <f>前台好评提成录入!H71*$E66</f>
        <v>5</v>
      </c>
      <c r="I66" s="213">
        <f>前台好评提成录入!I71*$E66</f>
        <v>0</v>
      </c>
      <c r="J66" s="213">
        <f>前台好评提成录入!J71*$E66</f>
        <v>0</v>
      </c>
      <c r="K66" s="213">
        <f>前台好评提成录入!K71*$E66</f>
        <v>0</v>
      </c>
      <c r="L66" s="213">
        <f>前台好评提成录入!L71*$E66</f>
        <v>0</v>
      </c>
      <c r="M66" s="213">
        <f>前台好评提成录入!M71*$E66</f>
        <v>0</v>
      </c>
      <c r="N66" s="213">
        <f>前台好评提成录入!N71*$E66</f>
        <v>0</v>
      </c>
      <c r="O66" s="213">
        <f>前台好评提成录入!O71*$E66</f>
        <v>0</v>
      </c>
      <c r="P66" s="213">
        <f>前台好评提成录入!P71*$E66</f>
        <v>0</v>
      </c>
      <c r="Q66" s="213">
        <f>前台好评提成录入!Q71*$E66</f>
        <v>0</v>
      </c>
      <c r="R66" s="213">
        <f>前台好评提成录入!R71*$E66</f>
        <v>0</v>
      </c>
      <c r="S66" s="213">
        <f>前台好评提成录入!S71*$E66</f>
        <v>0</v>
      </c>
      <c r="T66" s="213">
        <f>前台好评提成录入!T71*$E66</f>
        <v>0</v>
      </c>
      <c r="U66" s="213">
        <f>前台好评提成录入!U71*$E66</f>
        <v>0</v>
      </c>
      <c r="V66" s="213">
        <f>前台好评提成录入!V71*$E66</f>
        <v>0</v>
      </c>
      <c r="W66" s="213">
        <f>前台好评提成录入!W71*$E66</f>
        <v>0</v>
      </c>
      <c r="X66" s="213">
        <f>前台好评提成录入!X71*$E66</f>
        <v>0</v>
      </c>
      <c r="Y66" s="213">
        <f>前台好评提成录入!Y71*$E66</f>
        <v>0</v>
      </c>
      <c r="Z66" s="213">
        <f>前台好评提成录入!Z71*$E66</f>
        <v>0</v>
      </c>
      <c r="AA66" s="213">
        <f>前台好评提成录入!AA71*$E66</f>
        <v>0</v>
      </c>
      <c r="AB66" s="213">
        <f>前台好评提成录入!AB71*$E66</f>
        <v>0</v>
      </c>
      <c r="AC66" s="213">
        <f>前台好评提成录入!AC71*$E66</f>
        <v>0</v>
      </c>
      <c r="AD66" s="213">
        <f>前台好评提成录入!AD71*$E66</f>
        <v>0</v>
      </c>
      <c r="AE66" s="213">
        <f>前台好评提成录入!AE71*$E66</f>
        <v>0</v>
      </c>
      <c r="AF66" s="213">
        <f>前台好评提成录入!AF71*$E66</f>
        <v>0</v>
      </c>
      <c r="AG66" s="213">
        <f>前台好评提成录入!AG71*$E66</f>
        <v>0</v>
      </c>
      <c r="AH66" s="213">
        <f>前台好评提成录入!AH71*$E66</f>
        <v>0</v>
      </c>
      <c r="AI66" s="213">
        <f>前台好评提成录入!AI71*$E66</f>
        <v>0</v>
      </c>
      <c r="AJ66" s="213">
        <f>前台好评提成录入!AJ71*$E66</f>
        <v>0</v>
      </c>
      <c r="AK66" s="213">
        <f>前台好评提成录入!AK71*$E66</f>
        <v>0</v>
      </c>
      <c r="AL66" s="213">
        <f>前台好评提成录入!AL71*$E66</f>
        <v>0</v>
      </c>
    </row>
    <row r="67" s="178" customFormat="1" customHeight="1" spans="1:38">
      <c r="A67" s="161">
        <v>63</v>
      </c>
      <c r="B67" s="21" t="str">
        <f>前台好评提成录入!B72</f>
        <v>李龙梅</v>
      </c>
      <c r="C67" s="21" t="str">
        <f>前台好评提成录入!C72</f>
        <v>美团</v>
      </c>
      <c r="D67" s="21" t="str">
        <f>前台好评提成录入!D72</f>
        <v>条</v>
      </c>
      <c r="E67" s="21">
        <f>前台好评提成录入!E72</f>
        <v>5</v>
      </c>
      <c r="F67" s="21">
        <f>前台好评提成录入!F72</f>
        <v>3</v>
      </c>
      <c r="G67" s="21">
        <f>前台好评提成录入!G72</f>
        <v>15</v>
      </c>
      <c r="H67" s="213">
        <f>前台好评提成录入!H72*$E67</f>
        <v>15</v>
      </c>
      <c r="I67" s="213">
        <f>前台好评提成录入!I72*$E67</f>
        <v>0</v>
      </c>
      <c r="J67" s="213">
        <f>前台好评提成录入!J72*$E67</f>
        <v>0</v>
      </c>
      <c r="K67" s="213">
        <f>前台好评提成录入!K72*$E67</f>
        <v>0</v>
      </c>
      <c r="L67" s="213">
        <f>前台好评提成录入!L72*$E67</f>
        <v>0</v>
      </c>
      <c r="M67" s="213">
        <f>前台好评提成录入!M72*$E67</f>
        <v>0</v>
      </c>
      <c r="N67" s="213">
        <f>前台好评提成录入!N72*$E67</f>
        <v>0</v>
      </c>
      <c r="O67" s="213">
        <f>前台好评提成录入!O72*$E67</f>
        <v>0</v>
      </c>
      <c r="P67" s="213">
        <f>前台好评提成录入!P72*$E67</f>
        <v>0</v>
      </c>
      <c r="Q67" s="213">
        <f>前台好评提成录入!Q72*$E67</f>
        <v>0</v>
      </c>
      <c r="R67" s="213">
        <f>前台好评提成录入!R72*$E67</f>
        <v>0</v>
      </c>
      <c r="S67" s="213">
        <f>前台好评提成录入!S72*$E67</f>
        <v>0</v>
      </c>
      <c r="T67" s="213">
        <f>前台好评提成录入!T72*$E67</f>
        <v>0</v>
      </c>
      <c r="U67" s="213">
        <f>前台好评提成录入!U72*$E67</f>
        <v>0</v>
      </c>
      <c r="V67" s="213">
        <f>前台好评提成录入!V72*$E67</f>
        <v>0</v>
      </c>
      <c r="W67" s="213">
        <f>前台好评提成录入!W72*$E67</f>
        <v>0</v>
      </c>
      <c r="X67" s="213">
        <f>前台好评提成录入!X72*$E67</f>
        <v>0</v>
      </c>
      <c r="Y67" s="213">
        <f>前台好评提成录入!Y72*$E67</f>
        <v>0</v>
      </c>
      <c r="Z67" s="213">
        <f>前台好评提成录入!Z72*$E67</f>
        <v>0</v>
      </c>
      <c r="AA67" s="213">
        <f>前台好评提成录入!AA72*$E67</f>
        <v>0</v>
      </c>
      <c r="AB67" s="213">
        <f>前台好评提成录入!AB72*$E67</f>
        <v>0</v>
      </c>
      <c r="AC67" s="213">
        <f>前台好评提成录入!AC72*$E67</f>
        <v>0</v>
      </c>
      <c r="AD67" s="213">
        <f>前台好评提成录入!AD72*$E67</f>
        <v>0</v>
      </c>
      <c r="AE67" s="213">
        <f>前台好评提成录入!AE72*$E67</f>
        <v>0</v>
      </c>
      <c r="AF67" s="213">
        <f>前台好评提成录入!AF72*$E67</f>
        <v>0</v>
      </c>
      <c r="AG67" s="213">
        <f>前台好评提成录入!AG72*$E67</f>
        <v>0</v>
      </c>
      <c r="AH67" s="213">
        <f>前台好评提成录入!AH72*$E67</f>
        <v>0</v>
      </c>
      <c r="AI67" s="213">
        <f>前台好评提成录入!AI72*$E67</f>
        <v>0</v>
      </c>
      <c r="AJ67" s="213">
        <f>前台好评提成录入!AJ72*$E67</f>
        <v>0</v>
      </c>
      <c r="AK67" s="213">
        <f>前台好评提成录入!AK72*$E67</f>
        <v>0</v>
      </c>
      <c r="AL67" s="213">
        <f>前台好评提成录入!AL72*$E67</f>
        <v>0</v>
      </c>
    </row>
    <row r="68" s="178" customFormat="1" customHeight="1" spans="1:38">
      <c r="A68" s="161">
        <v>64</v>
      </c>
      <c r="B68" s="21" t="str">
        <f>前台好评提成录入!B73</f>
        <v>李龙梅</v>
      </c>
      <c r="C68" s="21" t="str">
        <f>前台好评提成录入!C73</f>
        <v>飞猪</v>
      </c>
      <c r="D68" s="21" t="str">
        <f>前台好评提成录入!D73</f>
        <v>条</v>
      </c>
      <c r="E68" s="21">
        <f>前台好评提成录入!E73</f>
        <v>5</v>
      </c>
      <c r="F68" s="21">
        <f>前台好评提成录入!F73</f>
        <v>1</v>
      </c>
      <c r="G68" s="21">
        <f>前台好评提成录入!G73</f>
        <v>5</v>
      </c>
      <c r="H68" s="213">
        <f>前台好评提成录入!H73*$E68</f>
        <v>5</v>
      </c>
      <c r="I68" s="213">
        <f>前台好评提成录入!I73*$E68</f>
        <v>0</v>
      </c>
      <c r="J68" s="213">
        <f>前台好评提成录入!J73*$E68</f>
        <v>0</v>
      </c>
      <c r="K68" s="213">
        <f>前台好评提成录入!K73*$E68</f>
        <v>0</v>
      </c>
      <c r="L68" s="213">
        <f>前台好评提成录入!L73*$E68</f>
        <v>0</v>
      </c>
      <c r="M68" s="213">
        <f>前台好评提成录入!M73*$E68</f>
        <v>0</v>
      </c>
      <c r="N68" s="213">
        <f>前台好评提成录入!N73*$E68</f>
        <v>0</v>
      </c>
      <c r="O68" s="213">
        <f>前台好评提成录入!O73*$E68</f>
        <v>0</v>
      </c>
      <c r="P68" s="213">
        <f>前台好评提成录入!P73*$E68</f>
        <v>0</v>
      </c>
      <c r="Q68" s="213">
        <f>前台好评提成录入!Q73*$E68</f>
        <v>0</v>
      </c>
      <c r="R68" s="213">
        <f>前台好评提成录入!R73*$E68</f>
        <v>0</v>
      </c>
      <c r="S68" s="213">
        <f>前台好评提成录入!S73*$E68</f>
        <v>0</v>
      </c>
      <c r="T68" s="213">
        <f>前台好评提成录入!T73*$E68</f>
        <v>0</v>
      </c>
      <c r="U68" s="213">
        <f>前台好评提成录入!U73*$E68</f>
        <v>0</v>
      </c>
      <c r="V68" s="213">
        <f>前台好评提成录入!V73*$E68</f>
        <v>0</v>
      </c>
      <c r="W68" s="213">
        <f>前台好评提成录入!W73*$E68</f>
        <v>0</v>
      </c>
      <c r="X68" s="213">
        <f>前台好评提成录入!X73*$E68</f>
        <v>0</v>
      </c>
      <c r="Y68" s="213">
        <f>前台好评提成录入!Y73*$E68</f>
        <v>0</v>
      </c>
      <c r="Z68" s="213">
        <f>前台好评提成录入!Z73*$E68</f>
        <v>0</v>
      </c>
      <c r="AA68" s="213">
        <f>前台好评提成录入!AA73*$E68</f>
        <v>0</v>
      </c>
      <c r="AB68" s="213">
        <f>前台好评提成录入!AB73*$E68</f>
        <v>0</v>
      </c>
      <c r="AC68" s="213">
        <f>前台好评提成录入!AC73*$E68</f>
        <v>0</v>
      </c>
      <c r="AD68" s="213">
        <f>前台好评提成录入!AD73*$E68</f>
        <v>0</v>
      </c>
      <c r="AE68" s="213">
        <f>前台好评提成录入!AE73*$E68</f>
        <v>0</v>
      </c>
      <c r="AF68" s="213">
        <f>前台好评提成录入!AF73*$E68</f>
        <v>0</v>
      </c>
      <c r="AG68" s="213">
        <f>前台好评提成录入!AG73*$E68</f>
        <v>0</v>
      </c>
      <c r="AH68" s="213">
        <f>前台好评提成录入!AH73*$E68</f>
        <v>0</v>
      </c>
      <c r="AI68" s="213">
        <f>前台好评提成录入!AI73*$E68</f>
        <v>0</v>
      </c>
      <c r="AJ68" s="213">
        <f>前台好评提成录入!AJ73*$E68</f>
        <v>0</v>
      </c>
      <c r="AK68" s="213">
        <f>前台好评提成录入!AK73*$E68</f>
        <v>0</v>
      </c>
      <c r="AL68" s="213">
        <f>前台好评提成录入!AL73*$E68</f>
        <v>0</v>
      </c>
    </row>
    <row r="69" s="178" customFormat="1" customHeight="1" spans="1:38">
      <c r="A69" s="161">
        <v>65</v>
      </c>
      <c r="B69" s="21" t="str">
        <f>前台好评提成录入!B74</f>
        <v>李龙梅</v>
      </c>
      <c r="C69" s="21" t="str">
        <f>前台好评提成录入!C74</f>
        <v>官网</v>
      </c>
      <c r="D69" s="21" t="str">
        <f>前台好评提成录入!D74</f>
        <v>条</v>
      </c>
      <c r="E69" s="21">
        <f>前台好评提成录入!E74</f>
        <v>5</v>
      </c>
      <c r="F69" s="21">
        <f>前台好评提成录入!F74</f>
        <v>0</v>
      </c>
      <c r="G69" s="21">
        <f>前台好评提成录入!G74</f>
        <v>0</v>
      </c>
      <c r="H69" s="213">
        <f>前台好评提成录入!H74*$E69</f>
        <v>0</v>
      </c>
      <c r="I69" s="213">
        <f>前台好评提成录入!I74*$E69</f>
        <v>0</v>
      </c>
      <c r="J69" s="213">
        <f>前台好评提成录入!J74*$E69</f>
        <v>0</v>
      </c>
      <c r="K69" s="213">
        <f>前台好评提成录入!K74*$E69</f>
        <v>0</v>
      </c>
      <c r="L69" s="213">
        <f>前台好评提成录入!L74*$E69</f>
        <v>0</v>
      </c>
      <c r="M69" s="213">
        <f>前台好评提成录入!M74*$E69</f>
        <v>0</v>
      </c>
      <c r="N69" s="213">
        <f>前台好评提成录入!N74*$E69</f>
        <v>0</v>
      </c>
      <c r="O69" s="213">
        <f>前台好评提成录入!O74*$E69</f>
        <v>0</v>
      </c>
      <c r="P69" s="213">
        <f>前台好评提成录入!P74*$E69</f>
        <v>0</v>
      </c>
      <c r="Q69" s="213">
        <f>前台好评提成录入!Q74*$E69</f>
        <v>0</v>
      </c>
      <c r="R69" s="213">
        <f>前台好评提成录入!R74*$E69</f>
        <v>0</v>
      </c>
      <c r="S69" s="213">
        <f>前台好评提成录入!S74*$E69</f>
        <v>0</v>
      </c>
      <c r="T69" s="213">
        <f>前台好评提成录入!T74*$E69</f>
        <v>0</v>
      </c>
      <c r="U69" s="213">
        <f>前台好评提成录入!U74*$E69</f>
        <v>0</v>
      </c>
      <c r="V69" s="213">
        <f>前台好评提成录入!V74*$E69</f>
        <v>0</v>
      </c>
      <c r="W69" s="213">
        <f>前台好评提成录入!W74*$E69</f>
        <v>0</v>
      </c>
      <c r="X69" s="213">
        <f>前台好评提成录入!X74*$E69</f>
        <v>0</v>
      </c>
      <c r="Y69" s="213">
        <f>前台好评提成录入!Y74*$E69</f>
        <v>0</v>
      </c>
      <c r="Z69" s="213">
        <f>前台好评提成录入!Z74*$E69</f>
        <v>0</v>
      </c>
      <c r="AA69" s="213">
        <f>前台好评提成录入!AA74*$E69</f>
        <v>0</v>
      </c>
      <c r="AB69" s="213">
        <f>前台好评提成录入!AB74*$E69</f>
        <v>0</v>
      </c>
      <c r="AC69" s="213">
        <f>前台好评提成录入!AC74*$E69</f>
        <v>0</v>
      </c>
      <c r="AD69" s="213">
        <f>前台好评提成录入!AD74*$E69</f>
        <v>0</v>
      </c>
      <c r="AE69" s="213">
        <f>前台好评提成录入!AE74*$E69</f>
        <v>0</v>
      </c>
      <c r="AF69" s="213">
        <f>前台好评提成录入!AF74*$E69</f>
        <v>0</v>
      </c>
      <c r="AG69" s="213">
        <f>前台好评提成录入!AG74*$E69</f>
        <v>0</v>
      </c>
      <c r="AH69" s="213">
        <f>前台好评提成录入!AH74*$E69</f>
        <v>0</v>
      </c>
      <c r="AI69" s="213">
        <f>前台好评提成录入!AI74*$E69</f>
        <v>0</v>
      </c>
      <c r="AJ69" s="213">
        <f>前台好评提成录入!AJ74*$E69</f>
        <v>0</v>
      </c>
      <c r="AK69" s="213">
        <f>前台好评提成录入!AK74*$E69</f>
        <v>0</v>
      </c>
      <c r="AL69" s="213">
        <f>前台好评提成录入!AL74*$E69</f>
        <v>0</v>
      </c>
    </row>
    <row r="70" s="178" customFormat="1" customHeight="1" spans="1:38">
      <c r="A70" s="161">
        <v>66</v>
      </c>
      <c r="B70" s="21" t="str">
        <f>前台好评提成录入!B75</f>
        <v>吴怡</v>
      </c>
      <c r="C70" s="21" t="str">
        <f>前台好评提成录入!C75</f>
        <v>携程</v>
      </c>
      <c r="D70" s="21" t="str">
        <f>前台好评提成录入!D75</f>
        <v>条</v>
      </c>
      <c r="E70" s="21">
        <f>前台好评提成录入!E75</f>
        <v>5</v>
      </c>
      <c r="F70" s="21">
        <f>前台好评提成录入!F75</f>
        <v>0</v>
      </c>
      <c r="G70" s="21">
        <f>前台好评提成录入!G75</f>
        <v>0</v>
      </c>
      <c r="H70" s="213">
        <f>前台好评提成录入!H75*$E70</f>
        <v>0</v>
      </c>
      <c r="I70" s="213">
        <f>前台好评提成录入!I75*$E70</f>
        <v>0</v>
      </c>
      <c r="J70" s="213">
        <f>前台好评提成录入!J75*$E70</f>
        <v>0</v>
      </c>
      <c r="K70" s="213">
        <f>前台好评提成录入!K75*$E70</f>
        <v>0</v>
      </c>
      <c r="L70" s="213">
        <f>前台好评提成录入!L75*$E70</f>
        <v>0</v>
      </c>
      <c r="M70" s="213">
        <f>前台好评提成录入!M75*$E70</f>
        <v>0</v>
      </c>
      <c r="N70" s="213">
        <f>前台好评提成录入!N75*$E70</f>
        <v>0</v>
      </c>
      <c r="O70" s="213">
        <f>前台好评提成录入!O75*$E70</f>
        <v>0</v>
      </c>
      <c r="P70" s="213">
        <f>前台好评提成录入!P75*$E70</f>
        <v>0</v>
      </c>
      <c r="Q70" s="213">
        <f>前台好评提成录入!Q75*$E70</f>
        <v>0</v>
      </c>
      <c r="R70" s="213">
        <f>前台好评提成录入!R75*$E70</f>
        <v>0</v>
      </c>
      <c r="S70" s="213">
        <f>前台好评提成录入!S75*$E70</f>
        <v>0</v>
      </c>
      <c r="T70" s="213">
        <f>前台好评提成录入!T75*$E70</f>
        <v>0</v>
      </c>
      <c r="U70" s="213">
        <f>前台好评提成录入!U75*$E70</f>
        <v>0</v>
      </c>
      <c r="V70" s="213">
        <f>前台好评提成录入!V75*$E70</f>
        <v>0</v>
      </c>
      <c r="W70" s="213">
        <f>前台好评提成录入!W75*$E70</f>
        <v>0</v>
      </c>
      <c r="X70" s="213">
        <f>前台好评提成录入!X75*$E70</f>
        <v>0</v>
      </c>
      <c r="Y70" s="213">
        <f>前台好评提成录入!Y75*$E70</f>
        <v>0</v>
      </c>
      <c r="Z70" s="213">
        <f>前台好评提成录入!Z75*$E70</f>
        <v>0</v>
      </c>
      <c r="AA70" s="213">
        <f>前台好评提成录入!AA75*$E70</f>
        <v>0</v>
      </c>
      <c r="AB70" s="213">
        <f>前台好评提成录入!AB75*$E70</f>
        <v>0</v>
      </c>
      <c r="AC70" s="213">
        <f>前台好评提成录入!AC75*$E70</f>
        <v>0</v>
      </c>
      <c r="AD70" s="213">
        <f>前台好评提成录入!AD75*$E70</f>
        <v>0</v>
      </c>
      <c r="AE70" s="213">
        <f>前台好评提成录入!AE75*$E70</f>
        <v>0</v>
      </c>
      <c r="AF70" s="213">
        <f>前台好评提成录入!AF75*$E70</f>
        <v>0</v>
      </c>
      <c r="AG70" s="213">
        <f>前台好评提成录入!AG75*$E70</f>
        <v>0</v>
      </c>
      <c r="AH70" s="213">
        <f>前台好评提成录入!AH75*$E70</f>
        <v>0</v>
      </c>
      <c r="AI70" s="213">
        <f>前台好评提成录入!AI75*$E70</f>
        <v>0</v>
      </c>
      <c r="AJ70" s="213">
        <f>前台好评提成录入!AJ75*$E70</f>
        <v>0</v>
      </c>
      <c r="AK70" s="213">
        <f>前台好评提成录入!AK75*$E70</f>
        <v>0</v>
      </c>
      <c r="AL70" s="213">
        <f>前台好评提成录入!AL75*$E70</f>
        <v>0</v>
      </c>
    </row>
    <row r="71" s="178" customFormat="1" customHeight="1" spans="1:38">
      <c r="A71" s="161">
        <v>67</v>
      </c>
      <c r="B71" s="21" t="str">
        <f>前台好评提成录入!B76</f>
        <v>吴怡</v>
      </c>
      <c r="C71" s="21" t="str">
        <f>前台好评提成录入!C76</f>
        <v>携程优质</v>
      </c>
      <c r="D71" s="21" t="str">
        <f>前台好评提成录入!D76</f>
        <v>条</v>
      </c>
      <c r="E71" s="21">
        <f>前台好评提成录入!E76</f>
        <v>15</v>
      </c>
      <c r="F71" s="21">
        <f>前台好评提成录入!F76</f>
        <v>0</v>
      </c>
      <c r="G71" s="21">
        <f>前台好评提成录入!G76</f>
        <v>0</v>
      </c>
      <c r="H71" s="213">
        <f>前台好评提成录入!H76*$E71</f>
        <v>0</v>
      </c>
      <c r="I71" s="213">
        <f>前台好评提成录入!I76*$E71</f>
        <v>0</v>
      </c>
      <c r="J71" s="213">
        <f>前台好评提成录入!J76*$E71</f>
        <v>0</v>
      </c>
      <c r="K71" s="213">
        <f>前台好评提成录入!K76*$E71</f>
        <v>0</v>
      </c>
      <c r="L71" s="213">
        <f>前台好评提成录入!L76*$E71</f>
        <v>0</v>
      </c>
      <c r="M71" s="213">
        <f>前台好评提成录入!M76*$E71</f>
        <v>0</v>
      </c>
      <c r="N71" s="213">
        <f>前台好评提成录入!N76*$E71</f>
        <v>0</v>
      </c>
      <c r="O71" s="213">
        <f>前台好评提成录入!O76*$E71</f>
        <v>0</v>
      </c>
      <c r="P71" s="213">
        <f>前台好评提成录入!P76*$E71</f>
        <v>0</v>
      </c>
      <c r="Q71" s="213">
        <f>前台好评提成录入!Q76*$E71</f>
        <v>0</v>
      </c>
      <c r="R71" s="213">
        <f>前台好评提成录入!R76*$E71</f>
        <v>0</v>
      </c>
      <c r="S71" s="213">
        <f>前台好评提成录入!S76*$E71</f>
        <v>0</v>
      </c>
      <c r="T71" s="213">
        <f>前台好评提成录入!T76*$E71</f>
        <v>0</v>
      </c>
      <c r="U71" s="213">
        <f>前台好评提成录入!U76*$E71</f>
        <v>0</v>
      </c>
      <c r="V71" s="213">
        <f>前台好评提成录入!V76*$E71</f>
        <v>0</v>
      </c>
      <c r="W71" s="213">
        <f>前台好评提成录入!W76*$E71</f>
        <v>0</v>
      </c>
      <c r="X71" s="213">
        <f>前台好评提成录入!X76*$E71</f>
        <v>0</v>
      </c>
      <c r="Y71" s="213">
        <f>前台好评提成录入!Y76*$E71</f>
        <v>0</v>
      </c>
      <c r="Z71" s="213">
        <f>前台好评提成录入!Z76*$E71</f>
        <v>0</v>
      </c>
      <c r="AA71" s="213">
        <f>前台好评提成录入!AA76*$E71</f>
        <v>0</v>
      </c>
      <c r="AB71" s="213">
        <f>前台好评提成录入!AB76*$E71</f>
        <v>0</v>
      </c>
      <c r="AC71" s="213">
        <f>前台好评提成录入!AC76*$E71</f>
        <v>0</v>
      </c>
      <c r="AD71" s="213">
        <f>前台好评提成录入!AD76*$E71</f>
        <v>0</v>
      </c>
      <c r="AE71" s="213">
        <f>前台好评提成录入!AE76*$E71</f>
        <v>0</v>
      </c>
      <c r="AF71" s="213">
        <f>前台好评提成录入!AF76*$E71</f>
        <v>0</v>
      </c>
      <c r="AG71" s="213">
        <f>前台好评提成录入!AG76*$E71</f>
        <v>0</v>
      </c>
      <c r="AH71" s="213">
        <f>前台好评提成录入!AH76*$E71</f>
        <v>0</v>
      </c>
      <c r="AI71" s="213">
        <f>前台好评提成录入!AI76*$E71</f>
        <v>0</v>
      </c>
      <c r="AJ71" s="213">
        <f>前台好评提成录入!AJ76*$E71</f>
        <v>0</v>
      </c>
      <c r="AK71" s="213">
        <f>前台好评提成录入!AK76*$E71</f>
        <v>0</v>
      </c>
      <c r="AL71" s="213">
        <f>前台好评提成录入!AL76*$E71</f>
        <v>0</v>
      </c>
    </row>
    <row r="72" s="178" customFormat="1" customHeight="1" spans="1:38">
      <c r="A72" s="161">
        <v>68</v>
      </c>
      <c r="B72" s="21" t="str">
        <f>前台好评提成录入!B77</f>
        <v>吴怡</v>
      </c>
      <c r="C72" s="21" t="str">
        <f>前台好评提成录入!C77</f>
        <v>黑/金优质</v>
      </c>
      <c r="D72" s="21" t="str">
        <f>前台好评提成录入!D77</f>
        <v>条</v>
      </c>
      <c r="E72" s="21">
        <f>前台好评提成录入!E77</f>
        <v>30</v>
      </c>
      <c r="F72" s="21">
        <f>前台好评提成录入!F77</f>
        <v>0</v>
      </c>
      <c r="G72" s="21">
        <f>前台好评提成录入!G77</f>
        <v>0</v>
      </c>
      <c r="H72" s="213">
        <f>前台好评提成录入!H77*$E72</f>
        <v>0</v>
      </c>
      <c r="I72" s="213">
        <f>前台好评提成录入!I77*$E72</f>
        <v>0</v>
      </c>
      <c r="J72" s="213">
        <f>前台好评提成录入!J77*$E72</f>
        <v>0</v>
      </c>
      <c r="K72" s="213">
        <f>前台好评提成录入!K77*$E72</f>
        <v>0</v>
      </c>
      <c r="L72" s="213">
        <f>前台好评提成录入!L77*$E72</f>
        <v>0</v>
      </c>
      <c r="M72" s="213">
        <f>前台好评提成录入!M77*$E72</f>
        <v>0</v>
      </c>
      <c r="N72" s="213">
        <f>前台好评提成录入!N77*$E72</f>
        <v>0</v>
      </c>
      <c r="O72" s="213">
        <f>前台好评提成录入!O77*$E72</f>
        <v>0</v>
      </c>
      <c r="P72" s="213">
        <f>前台好评提成录入!P77*$E72</f>
        <v>0</v>
      </c>
      <c r="Q72" s="213">
        <f>前台好评提成录入!Q77*$E72</f>
        <v>0</v>
      </c>
      <c r="R72" s="213">
        <f>前台好评提成录入!R77*$E72</f>
        <v>0</v>
      </c>
      <c r="S72" s="213">
        <f>前台好评提成录入!S77*$E72</f>
        <v>0</v>
      </c>
      <c r="T72" s="213">
        <f>前台好评提成录入!T77*$E72</f>
        <v>0</v>
      </c>
      <c r="U72" s="213">
        <f>前台好评提成录入!U77*$E72</f>
        <v>0</v>
      </c>
      <c r="V72" s="213">
        <f>前台好评提成录入!V77*$E72</f>
        <v>0</v>
      </c>
      <c r="W72" s="213">
        <f>前台好评提成录入!W77*$E72</f>
        <v>0</v>
      </c>
      <c r="X72" s="213">
        <f>前台好评提成录入!X77*$E72</f>
        <v>0</v>
      </c>
      <c r="Y72" s="213">
        <f>前台好评提成录入!Y77*$E72</f>
        <v>0</v>
      </c>
      <c r="Z72" s="213">
        <f>前台好评提成录入!Z77*$E72</f>
        <v>0</v>
      </c>
      <c r="AA72" s="213">
        <f>前台好评提成录入!AA77*$E72</f>
        <v>0</v>
      </c>
      <c r="AB72" s="213">
        <f>前台好评提成录入!AB77*$E72</f>
        <v>0</v>
      </c>
      <c r="AC72" s="213">
        <f>前台好评提成录入!AC77*$E72</f>
        <v>0</v>
      </c>
      <c r="AD72" s="213">
        <f>前台好评提成录入!AD77*$E72</f>
        <v>0</v>
      </c>
      <c r="AE72" s="213">
        <f>前台好评提成录入!AE77*$E72</f>
        <v>0</v>
      </c>
      <c r="AF72" s="213">
        <f>前台好评提成录入!AF77*$E72</f>
        <v>0</v>
      </c>
      <c r="AG72" s="213">
        <f>前台好评提成录入!AG77*$E72</f>
        <v>0</v>
      </c>
      <c r="AH72" s="213">
        <f>前台好评提成录入!AH77*$E72</f>
        <v>0</v>
      </c>
      <c r="AI72" s="213">
        <f>前台好评提成录入!AI77*$E72</f>
        <v>0</v>
      </c>
      <c r="AJ72" s="213">
        <f>前台好评提成录入!AJ77*$E72</f>
        <v>0</v>
      </c>
      <c r="AK72" s="213">
        <f>前台好评提成录入!AK77*$E72</f>
        <v>0</v>
      </c>
      <c r="AL72" s="213">
        <f>前台好评提成录入!AL77*$E72</f>
        <v>0</v>
      </c>
    </row>
    <row r="73" s="178" customFormat="1" customHeight="1" spans="1:38">
      <c r="A73" s="161">
        <v>69</v>
      </c>
      <c r="B73" s="21" t="str">
        <f>前台好评提成录入!B78</f>
        <v>吴怡</v>
      </c>
      <c r="C73" s="21" t="str">
        <f>前台好评提成录入!C78</f>
        <v>去哪儿</v>
      </c>
      <c r="D73" s="21" t="str">
        <f>前台好评提成录入!D78</f>
        <v>条</v>
      </c>
      <c r="E73" s="21">
        <f>前台好评提成录入!E78</f>
        <v>5</v>
      </c>
      <c r="F73" s="21">
        <f>前台好评提成录入!F78</f>
        <v>6</v>
      </c>
      <c r="G73" s="21">
        <f>前台好评提成录入!G78</f>
        <v>30</v>
      </c>
      <c r="H73" s="213">
        <f>前台好评提成录入!H78*$E73</f>
        <v>30</v>
      </c>
      <c r="I73" s="213">
        <f>前台好评提成录入!I78*$E73</f>
        <v>0</v>
      </c>
      <c r="J73" s="213">
        <f>前台好评提成录入!J78*$E73</f>
        <v>0</v>
      </c>
      <c r="K73" s="213">
        <f>前台好评提成录入!K78*$E73</f>
        <v>0</v>
      </c>
      <c r="L73" s="213">
        <f>前台好评提成录入!L78*$E73</f>
        <v>0</v>
      </c>
      <c r="M73" s="213">
        <f>前台好评提成录入!M78*$E73</f>
        <v>0</v>
      </c>
      <c r="N73" s="213">
        <f>前台好评提成录入!N78*$E73</f>
        <v>0</v>
      </c>
      <c r="O73" s="213">
        <f>前台好评提成录入!O78*$E73</f>
        <v>0</v>
      </c>
      <c r="P73" s="213">
        <f>前台好评提成录入!P78*$E73</f>
        <v>0</v>
      </c>
      <c r="Q73" s="213">
        <f>前台好评提成录入!Q78*$E73</f>
        <v>0</v>
      </c>
      <c r="R73" s="213">
        <f>前台好评提成录入!R78*$E73</f>
        <v>0</v>
      </c>
      <c r="S73" s="213">
        <f>前台好评提成录入!S78*$E73</f>
        <v>0</v>
      </c>
      <c r="T73" s="213">
        <f>前台好评提成录入!T78*$E73</f>
        <v>0</v>
      </c>
      <c r="U73" s="213">
        <f>前台好评提成录入!U78*$E73</f>
        <v>0</v>
      </c>
      <c r="V73" s="213">
        <f>前台好评提成录入!V78*$E73</f>
        <v>0</v>
      </c>
      <c r="W73" s="213">
        <f>前台好评提成录入!W78*$E73</f>
        <v>0</v>
      </c>
      <c r="X73" s="213">
        <f>前台好评提成录入!X78*$E73</f>
        <v>0</v>
      </c>
      <c r="Y73" s="213">
        <f>前台好评提成录入!Y78*$E73</f>
        <v>0</v>
      </c>
      <c r="Z73" s="213">
        <f>前台好评提成录入!Z78*$E73</f>
        <v>0</v>
      </c>
      <c r="AA73" s="213">
        <f>前台好评提成录入!AA78*$E73</f>
        <v>0</v>
      </c>
      <c r="AB73" s="213">
        <f>前台好评提成录入!AB78*$E73</f>
        <v>0</v>
      </c>
      <c r="AC73" s="213">
        <f>前台好评提成录入!AC78*$E73</f>
        <v>0</v>
      </c>
      <c r="AD73" s="213">
        <f>前台好评提成录入!AD78*$E73</f>
        <v>0</v>
      </c>
      <c r="AE73" s="213">
        <f>前台好评提成录入!AE78*$E73</f>
        <v>0</v>
      </c>
      <c r="AF73" s="213">
        <f>前台好评提成录入!AF78*$E73</f>
        <v>0</v>
      </c>
      <c r="AG73" s="213">
        <f>前台好评提成录入!AG78*$E73</f>
        <v>0</v>
      </c>
      <c r="AH73" s="213">
        <f>前台好评提成录入!AH78*$E73</f>
        <v>0</v>
      </c>
      <c r="AI73" s="213">
        <f>前台好评提成录入!AI78*$E73</f>
        <v>0</v>
      </c>
      <c r="AJ73" s="213">
        <f>前台好评提成录入!AJ78*$E73</f>
        <v>0</v>
      </c>
      <c r="AK73" s="213">
        <f>前台好评提成录入!AK78*$E73</f>
        <v>0</v>
      </c>
      <c r="AL73" s="213">
        <f>前台好评提成录入!AL78*$E73</f>
        <v>0</v>
      </c>
    </row>
    <row r="74" s="178" customFormat="1" customHeight="1" spans="1:38">
      <c r="A74" s="161">
        <v>70</v>
      </c>
      <c r="B74" s="21" t="str">
        <f>前台好评提成录入!B79</f>
        <v>吴怡</v>
      </c>
      <c r="C74" s="21" t="str">
        <f>前台好评提成录入!C79</f>
        <v>同程</v>
      </c>
      <c r="D74" s="21" t="str">
        <f>前台好评提成录入!D79</f>
        <v>条</v>
      </c>
      <c r="E74" s="21">
        <f>前台好评提成录入!E79</f>
        <v>5</v>
      </c>
      <c r="F74" s="21">
        <f>前台好评提成录入!F79</f>
        <v>4</v>
      </c>
      <c r="G74" s="21">
        <f>前台好评提成录入!G79</f>
        <v>20</v>
      </c>
      <c r="H74" s="213">
        <f>前台好评提成录入!H79*$E74</f>
        <v>20</v>
      </c>
      <c r="I74" s="213">
        <f>前台好评提成录入!I79*$E74</f>
        <v>0</v>
      </c>
      <c r="J74" s="213">
        <f>前台好评提成录入!J79*$E74</f>
        <v>0</v>
      </c>
      <c r="K74" s="213">
        <f>前台好评提成录入!K79*$E74</f>
        <v>0</v>
      </c>
      <c r="L74" s="213">
        <f>前台好评提成录入!L79*$E74</f>
        <v>0</v>
      </c>
      <c r="M74" s="213">
        <f>前台好评提成录入!M79*$E74</f>
        <v>0</v>
      </c>
      <c r="N74" s="213">
        <f>前台好评提成录入!N79*$E74</f>
        <v>0</v>
      </c>
      <c r="O74" s="213">
        <f>前台好评提成录入!O79*$E74</f>
        <v>0</v>
      </c>
      <c r="P74" s="213">
        <f>前台好评提成录入!P79*$E74</f>
        <v>0</v>
      </c>
      <c r="Q74" s="213">
        <f>前台好评提成录入!Q79*$E74</f>
        <v>0</v>
      </c>
      <c r="R74" s="213">
        <f>前台好评提成录入!R79*$E74</f>
        <v>0</v>
      </c>
      <c r="S74" s="213">
        <f>前台好评提成录入!S79*$E74</f>
        <v>0</v>
      </c>
      <c r="T74" s="213">
        <f>前台好评提成录入!T79*$E74</f>
        <v>0</v>
      </c>
      <c r="U74" s="213">
        <f>前台好评提成录入!U79*$E74</f>
        <v>0</v>
      </c>
      <c r="V74" s="213">
        <f>前台好评提成录入!V79*$E74</f>
        <v>0</v>
      </c>
      <c r="W74" s="213">
        <f>前台好评提成录入!W79*$E74</f>
        <v>0</v>
      </c>
      <c r="X74" s="213">
        <f>前台好评提成录入!X79*$E74</f>
        <v>0</v>
      </c>
      <c r="Y74" s="213">
        <f>前台好评提成录入!Y79*$E74</f>
        <v>0</v>
      </c>
      <c r="Z74" s="213">
        <f>前台好评提成录入!Z79*$E74</f>
        <v>0</v>
      </c>
      <c r="AA74" s="213">
        <f>前台好评提成录入!AA79*$E74</f>
        <v>0</v>
      </c>
      <c r="AB74" s="213">
        <f>前台好评提成录入!AB79*$E74</f>
        <v>0</v>
      </c>
      <c r="AC74" s="213">
        <f>前台好评提成录入!AC79*$E74</f>
        <v>0</v>
      </c>
      <c r="AD74" s="213">
        <f>前台好评提成录入!AD79*$E74</f>
        <v>0</v>
      </c>
      <c r="AE74" s="213">
        <f>前台好评提成录入!AE79*$E74</f>
        <v>0</v>
      </c>
      <c r="AF74" s="213">
        <f>前台好评提成录入!AF79*$E74</f>
        <v>0</v>
      </c>
      <c r="AG74" s="213">
        <f>前台好评提成录入!AG79*$E74</f>
        <v>0</v>
      </c>
      <c r="AH74" s="213">
        <f>前台好评提成录入!AH79*$E74</f>
        <v>0</v>
      </c>
      <c r="AI74" s="213">
        <f>前台好评提成录入!AI79*$E74</f>
        <v>0</v>
      </c>
      <c r="AJ74" s="213">
        <f>前台好评提成录入!AJ79*$E74</f>
        <v>0</v>
      </c>
      <c r="AK74" s="213">
        <f>前台好评提成录入!AK79*$E74</f>
        <v>0</v>
      </c>
      <c r="AL74" s="213">
        <f>前台好评提成录入!AL79*$E74</f>
        <v>0</v>
      </c>
    </row>
    <row r="75" s="178" customFormat="1" customHeight="1" spans="1:38">
      <c r="A75" s="161">
        <v>71</v>
      </c>
      <c r="B75" s="21" t="str">
        <f>前台好评提成录入!B80</f>
        <v>吴怡</v>
      </c>
      <c r="C75" s="21" t="str">
        <f>前台好评提成录入!C80</f>
        <v>智行</v>
      </c>
      <c r="D75" s="21" t="str">
        <f>前台好评提成录入!D80</f>
        <v>条</v>
      </c>
      <c r="E75" s="21">
        <f>前台好评提成录入!E80</f>
        <v>5</v>
      </c>
      <c r="F75" s="21">
        <f>前台好评提成录入!F80</f>
        <v>0</v>
      </c>
      <c r="G75" s="21">
        <f>前台好评提成录入!G80</f>
        <v>0</v>
      </c>
      <c r="H75" s="213">
        <f>前台好评提成录入!H80*$E75</f>
        <v>0</v>
      </c>
      <c r="I75" s="213">
        <f>前台好评提成录入!I80*$E75</f>
        <v>0</v>
      </c>
      <c r="J75" s="213">
        <f>前台好评提成录入!J80*$E75</f>
        <v>0</v>
      </c>
      <c r="K75" s="213">
        <f>前台好评提成录入!K80*$E75</f>
        <v>0</v>
      </c>
      <c r="L75" s="213">
        <f>前台好评提成录入!L80*$E75</f>
        <v>0</v>
      </c>
      <c r="M75" s="213">
        <f>前台好评提成录入!M80*$E75</f>
        <v>0</v>
      </c>
      <c r="N75" s="213">
        <f>前台好评提成录入!N80*$E75</f>
        <v>0</v>
      </c>
      <c r="O75" s="213">
        <f>前台好评提成录入!O80*$E75</f>
        <v>0</v>
      </c>
      <c r="P75" s="213">
        <f>前台好评提成录入!P80*$E75</f>
        <v>0</v>
      </c>
      <c r="Q75" s="213">
        <f>前台好评提成录入!Q80*$E75</f>
        <v>0</v>
      </c>
      <c r="R75" s="213">
        <f>前台好评提成录入!R80*$E75</f>
        <v>0</v>
      </c>
      <c r="S75" s="213">
        <f>前台好评提成录入!S80*$E75</f>
        <v>0</v>
      </c>
      <c r="T75" s="213">
        <f>前台好评提成录入!T80*$E75</f>
        <v>0</v>
      </c>
      <c r="U75" s="213">
        <f>前台好评提成录入!U80*$E75</f>
        <v>0</v>
      </c>
      <c r="V75" s="213">
        <f>前台好评提成录入!V80*$E75</f>
        <v>0</v>
      </c>
      <c r="W75" s="213">
        <f>前台好评提成录入!W80*$E75</f>
        <v>0</v>
      </c>
      <c r="X75" s="213">
        <f>前台好评提成录入!X80*$E75</f>
        <v>0</v>
      </c>
      <c r="Y75" s="213">
        <f>前台好评提成录入!Y80*$E75</f>
        <v>0</v>
      </c>
      <c r="Z75" s="213">
        <f>前台好评提成录入!Z80*$E75</f>
        <v>0</v>
      </c>
      <c r="AA75" s="213">
        <f>前台好评提成录入!AA80*$E75</f>
        <v>0</v>
      </c>
      <c r="AB75" s="213">
        <f>前台好评提成录入!AB80*$E75</f>
        <v>0</v>
      </c>
      <c r="AC75" s="213">
        <f>前台好评提成录入!AC80*$E75</f>
        <v>0</v>
      </c>
      <c r="AD75" s="213">
        <f>前台好评提成录入!AD80*$E75</f>
        <v>0</v>
      </c>
      <c r="AE75" s="213">
        <f>前台好评提成录入!AE80*$E75</f>
        <v>0</v>
      </c>
      <c r="AF75" s="213">
        <f>前台好评提成录入!AF80*$E75</f>
        <v>0</v>
      </c>
      <c r="AG75" s="213">
        <f>前台好评提成录入!AG80*$E75</f>
        <v>0</v>
      </c>
      <c r="AH75" s="213">
        <f>前台好评提成录入!AH80*$E75</f>
        <v>0</v>
      </c>
      <c r="AI75" s="213">
        <f>前台好评提成录入!AI80*$E75</f>
        <v>0</v>
      </c>
      <c r="AJ75" s="213">
        <f>前台好评提成录入!AJ80*$E75</f>
        <v>0</v>
      </c>
      <c r="AK75" s="213">
        <f>前台好评提成录入!AK80*$E75</f>
        <v>0</v>
      </c>
      <c r="AL75" s="213">
        <f>前台好评提成录入!AL80*$E75</f>
        <v>0</v>
      </c>
    </row>
    <row r="76" s="178" customFormat="1" customHeight="1" spans="1:38">
      <c r="A76" s="161">
        <v>72</v>
      </c>
      <c r="B76" s="21" t="str">
        <f>前台好评提成录入!B81</f>
        <v>吴怡</v>
      </c>
      <c r="C76" s="21" t="str">
        <f>前台好评提成录入!C81</f>
        <v>抖音</v>
      </c>
      <c r="D76" s="21" t="str">
        <f>前台好评提成录入!D81</f>
        <v>条</v>
      </c>
      <c r="E76" s="21">
        <f>前台好评提成录入!E81</f>
        <v>5</v>
      </c>
      <c r="F76" s="21">
        <f>前台好评提成录入!F81</f>
        <v>9</v>
      </c>
      <c r="G76" s="21">
        <f>前台好评提成录入!G81</f>
        <v>45</v>
      </c>
      <c r="H76" s="213">
        <f>前台好评提成录入!H81*$E76</f>
        <v>45</v>
      </c>
      <c r="I76" s="213">
        <f>前台好评提成录入!I81*$E76</f>
        <v>0</v>
      </c>
      <c r="J76" s="213">
        <f>前台好评提成录入!J81*$E76</f>
        <v>0</v>
      </c>
      <c r="K76" s="213">
        <f>前台好评提成录入!K81*$E76</f>
        <v>0</v>
      </c>
      <c r="L76" s="213">
        <f>前台好评提成录入!L81*$E76</f>
        <v>0</v>
      </c>
      <c r="M76" s="213">
        <f>前台好评提成录入!M81*$E76</f>
        <v>0</v>
      </c>
      <c r="N76" s="213">
        <f>前台好评提成录入!N81*$E76</f>
        <v>0</v>
      </c>
      <c r="O76" s="213">
        <f>前台好评提成录入!O81*$E76</f>
        <v>0</v>
      </c>
      <c r="P76" s="213">
        <f>前台好评提成录入!P81*$E76</f>
        <v>0</v>
      </c>
      <c r="Q76" s="213">
        <f>前台好评提成录入!Q81*$E76</f>
        <v>0</v>
      </c>
      <c r="R76" s="213">
        <f>前台好评提成录入!R81*$E76</f>
        <v>0</v>
      </c>
      <c r="S76" s="213">
        <f>前台好评提成录入!S81*$E76</f>
        <v>0</v>
      </c>
      <c r="T76" s="213">
        <f>前台好评提成录入!T81*$E76</f>
        <v>0</v>
      </c>
      <c r="U76" s="213">
        <f>前台好评提成录入!U81*$E76</f>
        <v>0</v>
      </c>
      <c r="V76" s="213">
        <f>前台好评提成录入!V81*$E76</f>
        <v>0</v>
      </c>
      <c r="W76" s="213">
        <f>前台好评提成录入!W81*$E76</f>
        <v>0</v>
      </c>
      <c r="X76" s="213">
        <f>前台好评提成录入!X81*$E76</f>
        <v>0</v>
      </c>
      <c r="Y76" s="213">
        <f>前台好评提成录入!Y81*$E76</f>
        <v>0</v>
      </c>
      <c r="Z76" s="213">
        <f>前台好评提成录入!Z81*$E76</f>
        <v>0</v>
      </c>
      <c r="AA76" s="213">
        <f>前台好评提成录入!AA81*$E76</f>
        <v>0</v>
      </c>
      <c r="AB76" s="213">
        <f>前台好评提成录入!AB81*$E76</f>
        <v>0</v>
      </c>
      <c r="AC76" s="213">
        <f>前台好评提成录入!AC81*$E76</f>
        <v>0</v>
      </c>
      <c r="AD76" s="213">
        <f>前台好评提成录入!AD81*$E76</f>
        <v>0</v>
      </c>
      <c r="AE76" s="213">
        <f>前台好评提成录入!AE81*$E76</f>
        <v>0</v>
      </c>
      <c r="AF76" s="213">
        <f>前台好评提成录入!AF81*$E76</f>
        <v>0</v>
      </c>
      <c r="AG76" s="213">
        <f>前台好评提成录入!AG81*$E76</f>
        <v>0</v>
      </c>
      <c r="AH76" s="213">
        <f>前台好评提成录入!AH81*$E76</f>
        <v>0</v>
      </c>
      <c r="AI76" s="213">
        <f>前台好评提成录入!AI81*$E76</f>
        <v>0</v>
      </c>
      <c r="AJ76" s="213">
        <f>前台好评提成录入!AJ81*$E76</f>
        <v>0</v>
      </c>
      <c r="AK76" s="213">
        <f>前台好评提成录入!AK81*$E76</f>
        <v>0</v>
      </c>
      <c r="AL76" s="213">
        <f>前台好评提成录入!AL81*$E76</f>
        <v>0</v>
      </c>
    </row>
    <row r="77" s="178" customFormat="1" customHeight="1" spans="1:38">
      <c r="A77" s="161">
        <v>73</v>
      </c>
      <c r="B77" s="21" t="str">
        <f>前台好评提成录入!B82</f>
        <v>吴怡</v>
      </c>
      <c r="C77" s="21" t="str">
        <f>前台好评提成录入!C82</f>
        <v>美团</v>
      </c>
      <c r="D77" s="21" t="str">
        <f>前台好评提成录入!D82</f>
        <v>条</v>
      </c>
      <c r="E77" s="21">
        <f>前台好评提成录入!E82</f>
        <v>5</v>
      </c>
      <c r="F77" s="21">
        <f>前台好评提成录入!F82</f>
        <v>49</v>
      </c>
      <c r="G77" s="21">
        <f>前台好评提成录入!G82</f>
        <v>245</v>
      </c>
      <c r="H77" s="213">
        <f>前台好评提成录入!H82*$E77</f>
        <v>245</v>
      </c>
      <c r="I77" s="213">
        <f>前台好评提成录入!I82*$E77</f>
        <v>0</v>
      </c>
      <c r="J77" s="213">
        <f>前台好评提成录入!J82*$E77</f>
        <v>0</v>
      </c>
      <c r="K77" s="213">
        <f>前台好评提成录入!K82*$E77</f>
        <v>0</v>
      </c>
      <c r="L77" s="213">
        <f>前台好评提成录入!L82*$E77</f>
        <v>0</v>
      </c>
      <c r="M77" s="213">
        <f>前台好评提成录入!M82*$E77</f>
        <v>0</v>
      </c>
      <c r="N77" s="213">
        <f>前台好评提成录入!N82*$E77</f>
        <v>0</v>
      </c>
      <c r="O77" s="213">
        <f>前台好评提成录入!O82*$E77</f>
        <v>0</v>
      </c>
      <c r="P77" s="213">
        <f>前台好评提成录入!P82*$E77</f>
        <v>0</v>
      </c>
      <c r="Q77" s="213">
        <f>前台好评提成录入!Q82*$E77</f>
        <v>0</v>
      </c>
      <c r="R77" s="213">
        <f>前台好评提成录入!R82*$E77</f>
        <v>0</v>
      </c>
      <c r="S77" s="213">
        <f>前台好评提成录入!S82*$E77</f>
        <v>0</v>
      </c>
      <c r="T77" s="213">
        <f>前台好评提成录入!T82*$E77</f>
        <v>0</v>
      </c>
      <c r="U77" s="213">
        <f>前台好评提成录入!U82*$E77</f>
        <v>0</v>
      </c>
      <c r="V77" s="213">
        <f>前台好评提成录入!V82*$E77</f>
        <v>0</v>
      </c>
      <c r="W77" s="213">
        <f>前台好评提成录入!W82*$E77</f>
        <v>0</v>
      </c>
      <c r="X77" s="213">
        <f>前台好评提成录入!X82*$E77</f>
        <v>0</v>
      </c>
      <c r="Y77" s="213">
        <f>前台好评提成录入!Y82*$E77</f>
        <v>0</v>
      </c>
      <c r="Z77" s="213">
        <f>前台好评提成录入!Z82*$E77</f>
        <v>0</v>
      </c>
      <c r="AA77" s="213">
        <f>前台好评提成录入!AA82*$E77</f>
        <v>0</v>
      </c>
      <c r="AB77" s="213">
        <f>前台好评提成录入!AB82*$E77</f>
        <v>0</v>
      </c>
      <c r="AC77" s="213">
        <f>前台好评提成录入!AC82*$E77</f>
        <v>0</v>
      </c>
      <c r="AD77" s="213">
        <f>前台好评提成录入!AD82*$E77</f>
        <v>0</v>
      </c>
      <c r="AE77" s="213">
        <f>前台好评提成录入!AE82*$E77</f>
        <v>0</v>
      </c>
      <c r="AF77" s="213">
        <f>前台好评提成录入!AF82*$E77</f>
        <v>0</v>
      </c>
      <c r="AG77" s="213">
        <f>前台好评提成录入!AG82*$E77</f>
        <v>0</v>
      </c>
      <c r="AH77" s="213">
        <f>前台好评提成录入!AH82*$E77</f>
        <v>0</v>
      </c>
      <c r="AI77" s="213">
        <f>前台好评提成录入!AI82*$E77</f>
        <v>0</v>
      </c>
      <c r="AJ77" s="213">
        <f>前台好评提成录入!AJ82*$E77</f>
        <v>0</v>
      </c>
      <c r="AK77" s="213">
        <f>前台好评提成录入!AK82*$E77</f>
        <v>0</v>
      </c>
      <c r="AL77" s="213">
        <f>前台好评提成录入!AL82*$E77</f>
        <v>0</v>
      </c>
    </row>
    <row r="78" s="178" customFormat="1" customHeight="1" spans="1:38">
      <c r="A78" s="161">
        <v>74</v>
      </c>
      <c r="B78" s="21" t="str">
        <f>前台好评提成录入!B83</f>
        <v>吴怡</v>
      </c>
      <c r="C78" s="21" t="str">
        <f>前台好评提成录入!C83</f>
        <v>飞猪</v>
      </c>
      <c r="D78" s="21" t="str">
        <f>前台好评提成录入!D83</f>
        <v>条</v>
      </c>
      <c r="E78" s="21">
        <f>前台好评提成录入!E83</f>
        <v>5</v>
      </c>
      <c r="F78" s="21">
        <f>前台好评提成录入!F83</f>
        <v>6</v>
      </c>
      <c r="G78" s="21">
        <f>前台好评提成录入!G83</f>
        <v>30</v>
      </c>
      <c r="H78" s="213">
        <f>前台好评提成录入!H83*$E78</f>
        <v>30</v>
      </c>
      <c r="I78" s="213">
        <f>前台好评提成录入!I83*$E78</f>
        <v>0</v>
      </c>
      <c r="J78" s="213">
        <f>前台好评提成录入!J83*$E78</f>
        <v>0</v>
      </c>
      <c r="K78" s="213">
        <f>前台好评提成录入!K83*$E78</f>
        <v>0</v>
      </c>
      <c r="L78" s="213">
        <f>前台好评提成录入!L83*$E78</f>
        <v>0</v>
      </c>
      <c r="M78" s="213">
        <f>前台好评提成录入!M83*$E78</f>
        <v>0</v>
      </c>
      <c r="N78" s="213">
        <f>前台好评提成录入!N83*$E78</f>
        <v>0</v>
      </c>
      <c r="O78" s="213">
        <f>前台好评提成录入!O83*$E78</f>
        <v>0</v>
      </c>
      <c r="P78" s="213">
        <f>前台好评提成录入!P83*$E78</f>
        <v>0</v>
      </c>
      <c r="Q78" s="213">
        <f>前台好评提成录入!Q83*$E78</f>
        <v>0</v>
      </c>
      <c r="R78" s="213">
        <f>前台好评提成录入!R83*$E78</f>
        <v>0</v>
      </c>
      <c r="S78" s="213">
        <f>前台好评提成录入!S83*$E78</f>
        <v>0</v>
      </c>
      <c r="T78" s="213">
        <f>前台好评提成录入!T83*$E78</f>
        <v>0</v>
      </c>
      <c r="U78" s="213">
        <f>前台好评提成录入!U83*$E78</f>
        <v>0</v>
      </c>
      <c r="V78" s="213">
        <f>前台好评提成录入!V83*$E78</f>
        <v>0</v>
      </c>
      <c r="W78" s="213">
        <f>前台好评提成录入!W83*$E78</f>
        <v>0</v>
      </c>
      <c r="X78" s="213">
        <f>前台好评提成录入!X83*$E78</f>
        <v>0</v>
      </c>
      <c r="Y78" s="213">
        <f>前台好评提成录入!Y83*$E78</f>
        <v>0</v>
      </c>
      <c r="Z78" s="213">
        <f>前台好评提成录入!Z83*$E78</f>
        <v>0</v>
      </c>
      <c r="AA78" s="213">
        <f>前台好评提成录入!AA83*$E78</f>
        <v>0</v>
      </c>
      <c r="AB78" s="213">
        <f>前台好评提成录入!AB83*$E78</f>
        <v>0</v>
      </c>
      <c r="AC78" s="213">
        <f>前台好评提成录入!AC83*$E78</f>
        <v>0</v>
      </c>
      <c r="AD78" s="213">
        <f>前台好评提成录入!AD83*$E78</f>
        <v>0</v>
      </c>
      <c r="AE78" s="213">
        <f>前台好评提成录入!AE83*$E78</f>
        <v>0</v>
      </c>
      <c r="AF78" s="213">
        <f>前台好评提成录入!AF83*$E78</f>
        <v>0</v>
      </c>
      <c r="AG78" s="213">
        <f>前台好评提成录入!AG83*$E78</f>
        <v>0</v>
      </c>
      <c r="AH78" s="213">
        <f>前台好评提成录入!AH83*$E78</f>
        <v>0</v>
      </c>
      <c r="AI78" s="213">
        <f>前台好评提成录入!AI83*$E78</f>
        <v>0</v>
      </c>
      <c r="AJ78" s="213">
        <f>前台好评提成录入!AJ83*$E78</f>
        <v>0</v>
      </c>
      <c r="AK78" s="213">
        <f>前台好评提成录入!AK83*$E78</f>
        <v>0</v>
      </c>
      <c r="AL78" s="213">
        <f>前台好评提成录入!AL83*$E78</f>
        <v>0</v>
      </c>
    </row>
    <row r="79" s="178" customFormat="1" customHeight="1" spans="1:38">
      <c r="A79" s="161">
        <v>75</v>
      </c>
      <c r="B79" s="21" t="str">
        <f>前台好评提成录入!B84</f>
        <v>吴怡</v>
      </c>
      <c r="C79" s="21" t="str">
        <f>前台好评提成录入!C84</f>
        <v>官网</v>
      </c>
      <c r="D79" s="21" t="str">
        <f>前台好评提成录入!D84</f>
        <v>条</v>
      </c>
      <c r="E79" s="21">
        <f>前台好评提成录入!E84</f>
        <v>5</v>
      </c>
      <c r="F79" s="21">
        <f>前台好评提成录入!F84</f>
        <v>0</v>
      </c>
      <c r="G79" s="21">
        <f>前台好评提成录入!G84</f>
        <v>0</v>
      </c>
      <c r="H79" s="213">
        <f>前台好评提成录入!H84*$E79</f>
        <v>0</v>
      </c>
      <c r="I79" s="213">
        <f>前台好评提成录入!I84*$E79</f>
        <v>0</v>
      </c>
      <c r="J79" s="213">
        <f>前台好评提成录入!J84*$E79</f>
        <v>0</v>
      </c>
      <c r="K79" s="213">
        <f>前台好评提成录入!K84*$E79</f>
        <v>0</v>
      </c>
      <c r="L79" s="213">
        <f>前台好评提成录入!L84*$E79</f>
        <v>0</v>
      </c>
      <c r="M79" s="213">
        <f>前台好评提成录入!M84*$E79</f>
        <v>0</v>
      </c>
      <c r="N79" s="213">
        <f>前台好评提成录入!N84*$E79</f>
        <v>0</v>
      </c>
      <c r="O79" s="213">
        <f>前台好评提成录入!O84*$E79</f>
        <v>0</v>
      </c>
      <c r="P79" s="213">
        <f>前台好评提成录入!P84*$E79</f>
        <v>0</v>
      </c>
      <c r="Q79" s="213">
        <f>前台好评提成录入!Q84*$E79</f>
        <v>0</v>
      </c>
      <c r="R79" s="213">
        <f>前台好评提成录入!R84*$E79</f>
        <v>0</v>
      </c>
      <c r="S79" s="213">
        <f>前台好评提成录入!S84*$E79</f>
        <v>0</v>
      </c>
      <c r="T79" s="213">
        <f>前台好评提成录入!T84*$E79</f>
        <v>0</v>
      </c>
      <c r="U79" s="213">
        <f>前台好评提成录入!U84*$E79</f>
        <v>0</v>
      </c>
      <c r="V79" s="213">
        <f>前台好评提成录入!V84*$E79</f>
        <v>0</v>
      </c>
      <c r="W79" s="213">
        <f>前台好评提成录入!W84*$E79</f>
        <v>0</v>
      </c>
      <c r="X79" s="213">
        <f>前台好评提成录入!X84*$E79</f>
        <v>0</v>
      </c>
      <c r="Y79" s="213">
        <f>前台好评提成录入!Y84*$E79</f>
        <v>0</v>
      </c>
      <c r="Z79" s="213">
        <f>前台好评提成录入!Z84*$E79</f>
        <v>0</v>
      </c>
      <c r="AA79" s="213">
        <f>前台好评提成录入!AA84*$E79</f>
        <v>0</v>
      </c>
      <c r="AB79" s="213">
        <f>前台好评提成录入!AB84*$E79</f>
        <v>0</v>
      </c>
      <c r="AC79" s="213">
        <f>前台好评提成录入!AC84*$E79</f>
        <v>0</v>
      </c>
      <c r="AD79" s="213">
        <f>前台好评提成录入!AD84*$E79</f>
        <v>0</v>
      </c>
      <c r="AE79" s="213">
        <f>前台好评提成录入!AE84*$E79</f>
        <v>0</v>
      </c>
      <c r="AF79" s="213">
        <f>前台好评提成录入!AF84*$E79</f>
        <v>0</v>
      </c>
      <c r="AG79" s="213">
        <f>前台好评提成录入!AG84*$E79</f>
        <v>0</v>
      </c>
      <c r="AH79" s="213">
        <f>前台好评提成录入!AH84*$E79</f>
        <v>0</v>
      </c>
      <c r="AI79" s="213">
        <f>前台好评提成录入!AI84*$E79</f>
        <v>0</v>
      </c>
      <c r="AJ79" s="213">
        <f>前台好评提成录入!AJ84*$E79</f>
        <v>0</v>
      </c>
      <c r="AK79" s="213">
        <f>前台好评提成录入!AK84*$E79</f>
        <v>0</v>
      </c>
      <c r="AL79" s="213">
        <f>前台好评提成录入!AL84*$E79</f>
        <v>0</v>
      </c>
    </row>
    <row r="80" s="178" customFormat="1" customHeight="1" spans="1:38">
      <c r="A80" s="161">
        <v>76</v>
      </c>
      <c r="B80" s="21" t="str">
        <f>前台好评提成录入!B85</f>
        <v>邹璇</v>
      </c>
      <c r="C80" s="21" t="str">
        <f>前台好评提成录入!C85</f>
        <v>携程</v>
      </c>
      <c r="D80" s="21" t="str">
        <f>前台好评提成录入!D85</f>
        <v>条</v>
      </c>
      <c r="E80" s="21">
        <f>前台好评提成录入!E85</f>
        <v>5</v>
      </c>
      <c r="F80" s="21">
        <f>前台好评提成录入!F85</f>
        <v>0</v>
      </c>
      <c r="G80" s="21">
        <f>前台好评提成录入!G85</f>
        <v>0</v>
      </c>
      <c r="H80" s="213">
        <f>前台好评提成录入!H85*$E80</f>
        <v>0</v>
      </c>
      <c r="I80" s="213">
        <f>前台好评提成录入!I85*$E80</f>
        <v>0</v>
      </c>
      <c r="J80" s="213">
        <f>前台好评提成录入!J85*$E80</f>
        <v>0</v>
      </c>
      <c r="K80" s="213">
        <f>前台好评提成录入!K85*$E80</f>
        <v>0</v>
      </c>
      <c r="L80" s="213">
        <f>前台好评提成录入!L85*$E80</f>
        <v>0</v>
      </c>
      <c r="M80" s="213">
        <f>前台好评提成录入!M85*$E80</f>
        <v>0</v>
      </c>
      <c r="N80" s="213">
        <f>前台好评提成录入!N85*$E80</f>
        <v>0</v>
      </c>
      <c r="O80" s="213">
        <f>前台好评提成录入!O85*$E80</f>
        <v>0</v>
      </c>
      <c r="P80" s="213">
        <f>前台好评提成录入!P85*$E80</f>
        <v>0</v>
      </c>
      <c r="Q80" s="213">
        <f>前台好评提成录入!Q85*$E80</f>
        <v>0</v>
      </c>
      <c r="R80" s="213">
        <f>前台好评提成录入!R85*$E80</f>
        <v>0</v>
      </c>
      <c r="S80" s="213">
        <f>前台好评提成录入!S85*$E80</f>
        <v>0</v>
      </c>
      <c r="T80" s="213">
        <f>前台好评提成录入!T85*$E80</f>
        <v>0</v>
      </c>
      <c r="U80" s="213">
        <f>前台好评提成录入!U85*$E80</f>
        <v>0</v>
      </c>
      <c r="V80" s="213">
        <f>前台好评提成录入!V85*$E80</f>
        <v>0</v>
      </c>
      <c r="W80" s="213">
        <f>前台好评提成录入!W85*$E80</f>
        <v>0</v>
      </c>
      <c r="X80" s="213">
        <f>前台好评提成录入!X85*$E80</f>
        <v>0</v>
      </c>
      <c r="Y80" s="213">
        <f>前台好评提成录入!Y85*$E80</f>
        <v>0</v>
      </c>
      <c r="Z80" s="213">
        <f>前台好评提成录入!Z85*$E80</f>
        <v>0</v>
      </c>
      <c r="AA80" s="213">
        <f>前台好评提成录入!AA85*$E80</f>
        <v>0</v>
      </c>
      <c r="AB80" s="213">
        <f>前台好评提成录入!AB85*$E80</f>
        <v>0</v>
      </c>
      <c r="AC80" s="213">
        <f>前台好评提成录入!AC85*$E80</f>
        <v>0</v>
      </c>
      <c r="AD80" s="213">
        <f>前台好评提成录入!AD85*$E80</f>
        <v>0</v>
      </c>
      <c r="AE80" s="213">
        <f>前台好评提成录入!AE85*$E80</f>
        <v>0</v>
      </c>
      <c r="AF80" s="213">
        <f>前台好评提成录入!AF85*$E80</f>
        <v>0</v>
      </c>
      <c r="AG80" s="213">
        <f>前台好评提成录入!AG85*$E80</f>
        <v>0</v>
      </c>
      <c r="AH80" s="213">
        <f>前台好评提成录入!AH85*$E80</f>
        <v>0</v>
      </c>
      <c r="AI80" s="213">
        <f>前台好评提成录入!AI85*$E80</f>
        <v>0</v>
      </c>
      <c r="AJ80" s="213">
        <f>前台好评提成录入!AJ85*$E80</f>
        <v>0</v>
      </c>
      <c r="AK80" s="213">
        <f>前台好评提成录入!AK85*$E80</f>
        <v>0</v>
      </c>
      <c r="AL80" s="213">
        <f>前台好评提成录入!AL85*$E80</f>
        <v>0</v>
      </c>
    </row>
    <row r="81" s="178" customFormat="1" customHeight="1" spans="1:38">
      <c r="A81" s="161">
        <v>77</v>
      </c>
      <c r="B81" s="21" t="str">
        <f>前台好评提成录入!B86</f>
        <v>邹璇</v>
      </c>
      <c r="C81" s="21" t="str">
        <f>前台好评提成录入!C86</f>
        <v>携程优质</v>
      </c>
      <c r="D81" s="21" t="str">
        <f>前台好评提成录入!D86</f>
        <v>条</v>
      </c>
      <c r="E81" s="21">
        <f>前台好评提成录入!E86</f>
        <v>15</v>
      </c>
      <c r="F81" s="21">
        <f>前台好评提成录入!F86</f>
        <v>0</v>
      </c>
      <c r="G81" s="21">
        <f>前台好评提成录入!G86</f>
        <v>0</v>
      </c>
      <c r="H81" s="213">
        <f>前台好评提成录入!H86*$E81</f>
        <v>0</v>
      </c>
      <c r="I81" s="213">
        <f>前台好评提成录入!I86*$E81</f>
        <v>0</v>
      </c>
      <c r="J81" s="213">
        <f>前台好评提成录入!J86*$E81</f>
        <v>0</v>
      </c>
      <c r="K81" s="213">
        <f>前台好评提成录入!K86*$E81</f>
        <v>0</v>
      </c>
      <c r="L81" s="213">
        <f>前台好评提成录入!L86*$E81</f>
        <v>0</v>
      </c>
      <c r="M81" s="213">
        <f>前台好评提成录入!M86*$E81</f>
        <v>0</v>
      </c>
      <c r="N81" s="213">
        <f>前台好评提成录入!N86*$E81</f>
        <v>0</v>
      </c>
      <c r="O81" s="213">
        <f>前台好评提成录入!O86*$E81</f>
        <v>0</v>
      </c>
      <c r="P81" s="213">
        <f>前台好评提成录入!P86*$E81</f>
        <v>0</v>
      </c>
      <c r="Q81" s="213">
        <f>前台好评提成录入!Q86*$E81</f>
        <v>0</v>
      </c>
      <c r="R81" s="213">
        <f>前台好评提成录入!R86*$E81</f>
        <v>0</v>
      </c>
      <c r="S81" s="213">
        <f>前台好评提成录入!S86*$E81</f>
        <v>0</v>
      </c>
      <c r="T81" s="213">
        <f>前台好评提成录入!T86*$E81</f>
        <v>0</v>
      </c>
      <c r="U81" s="213">
        <f>前台好评提成录入!U86*$E81</f>
        <v>0</v>
      </c>
      <c r="V81" s="213">
        <f>前台好评提成录入!V86*$E81</f>
        <v>0</v>
      </c>
      <c r="W81" s="213">
        <f>前台好评提成录入!W86*$E81</f>
        <v>0</v>
      </c>
      <c r="X81" s="213">
        <f>前台好评提成录入!X86*$E81</f>
        <v>0</v>
      </c>
      <c r="Y81" s="213">
        <f>前台好评提成录入!Y86*$E81</f>
        <v>0</v>
      </c>
      <c r="Z81" s="213">
        <f>前台好评提成录入!Z86*$E81</f>
        <v>0</v>
      </c>
      <c r="AA81" s="213">
        <f>前台好评提成录入!AA86*$E81</f>
        <v>0</v>
      </c>
      <c r="AB81" s="213">
        <f>前台好评提成录入!AB86*$E81</f>
        <v>0</v>
      </c>
      <c r="AC81" s="213">
        <f>前台好评提成录入!AC86*$E81</f>
        <v>0</v>
      </c>
      <c r="AD81" s="213">
        <f>前台好评提成录入!AD86*$E81</f>
        <v>0</v>
      </c>
      <c r="AE81" s="213">
        <f>前台好评提成录入!AE86*$E81</f>
        <v>0</v>
      </c>
      <c r="AF81" s="213">
        <f>前台好评提成录入!AF86*$E81</f>
        <v>0</v>
      </c>
      <c r="AG81" s="213">
        <f>前台好评提成录入!AG86*$E81</f>
        <v>0</v>
      </c>
      <c r="AH81" s="213">
        <f>前台好评提成录入!AH86*$E81</f>
        <v>0</v>
      </c>
      <c r="AI81" s="213">
        <f>前台好评提成录入!AI86*$E81</f>
        <v>0</v>
      </c>
      <c r="AJ81" s="213">
        <f>前台好评提成录入!AJ86*$E81</f>
        <v>0</v>
      </c>
      <c r="AK81" s="213">
        <f>前台好评提成录入!AK86*$E81</f>
        <v>0</v>
      </c>
      <c r="AL81" s="213">
        <f>前台好评提成录入!AL86*$E81</f>
        <v>0</v>
      </c>
    </row>
    <row r="82" s="178" customFormat="1" customHeight="1" spans="1:38">
      <c r="A82" s="161">
        <v>78</v>
      </c>
      <c r="B82" s="21" t="str">
        <f>前台好评提成录入!B87</f>
        <v>邹璇</v>
      </c>
      <c r="C82" s="21" t="str">
        <f>前台好评提成录入!C87</f>
        <v>黑/金优质</v>
      </c>
      <c r="D82" s="21" t="str">
        <f>前台好评提成录入!D87</f>
        <v>条</v>
      </c>
      <c r="E82" s="21">
        <f>前台好评提成录入!E87</f>
        <v>30</v>
      </c>
      <c r="F82" s="21">
        <f>前台好评提成录入!F87</f>
        <v>0</v>
      </c>
      <c r="G82" s="21">
        <f>前台好评提成录入!G87</f>
        <v>0</v>
      </c>
      <c r="H82" s="213">
        <f>前台好评提成录入!H87*$E82</f>
        <v>0</v>
      </c>
      <c r="I82" s="213">
        <f>前台好评提成录入!I87*$E82</f>
        <v>0</v>
      </c>
      <c r="J82" s="213">
        <f>前台好评提成录入!J87*$E82</f>
        <v>0</v>
      </c>
      <c r="K82" s="213">
        <f>前台好评提成录入!K87*$E82</f>
        <v>0</v>
      </c>
      <c r="L82" s="213">
        <f>前台好评提成录入!L87*$E82</f>
        <v>0</v>
      </c>
      <c r="M82" s="213">
        <f>前台好评提成录入!M87*$E82</f>
        <v>0</v>
      </c>
      <c r="N82" s="213">
        <f>前台好评提成录入!N87*$E82</f>
        <v>0</v>
      </c>
      <c r="O82" s="213">
        <f>前台好评提成录入!O87*$E82</f>
        <v>0</v>
      </c>
      <c r="P82" s="213">
        <f>前台好评提成录入!P87*$E82</f>
        <v>0</v>
      </c>
      <c r="Q82" s="213">
        <f>前台好评提成录入!Q87*$E82</f>
        <v>0</v>
      </c>
      <c r="R82" s="213">
        <f>前台好评提成录入!R87*$E82</f>
        <v>0</v>
      </c>
      <c r="S82" s="213">
        <f>前台好评提成录入!S87*$E82</f>
        <v>0</v>
      </c>
      <c r="T82" s="213">
        <f>前台好评提成录入!T87*$E82</f>
        <v>0</v>
      </c>
      <c r="U82" s="213">
        <f>前台好评提成录入!U87*$E82</f>
        <v>0</v>
      </c>
      <c r="V82" s="213">
        <f>前台好评提成录入!V87*$E82</f>
        <v>0</v>
      </c>
      <c r="W82" s="213">
        <f>前台好评提成录入!W87*$E82</f>
        <v>0</v>
      </c>
      <c r="X82" s="213">
        <f>前台好评提成录入!X87*$E82</f>
        <v>0</v>
      </c>
      <c r="Y82" s="213">
        <f>前台好评提成录入!Y87*$E82</f>
        <v>0</v>
      </c>
      <c r="Z82" s="213">
        <f>前台好评提成录入!Z87*$E82</f>
        <v>0</v>
      </c>
      <c r="AA82" s="213">
        <f>前台好评提成录入!AA87*$E82</f>
        <v>0</v>
      </c>
      <c r="AB82" s="213">
        <f>前台好评提成录入!AB87*$E82</f>
        <v>0</v>
      </c>
      <c r="AC82" s="213">
        <f>前台好评提成录入!AC87*$E82</f>
        <v>0</v>
      </c>
      <c r="AD82" s="213">
        <f>前台好评提成录入!AD87*$E82</f>
        <v>0</v>
      </c>
      <c r="AE82" s="213">
        <f>前台好评提成录入!AE87*$E82</f>
        <v>0</v>
      </c>
      <c r="AF82" s="213">
        <f>前台好评提成录入!AF87*$E82</f>
        <v>0</v>
      </c>
      <c r="AG82" s="213">
        <f>前台好评提成录入!AG87*$E82</f>
        <v>0</v>
      </c>
      <c r="AH82" s="213">
        <f>前台好评提成录入!AH87*$E82</f>
        <v>0</v>
      </c>
      <c r="AI82" s="213">
        <f>前台好评提成录入!AI87*$E82</f>
        <v>0</v>
      </c>
      <c r="AJ82" s="213">
        <f>前台好评提成录入!AJ87*$E82</f>
        <v>0</v>
      </c>
      <c r="AK82" s="213">
        <f>前台好评提成录入!AK87*$E82</f>
        <v>0</v>
      </c>
      <c r="AL82" s="213">
        <f>前台好评提成录入!AL87*$E82</f>
        <v>0</v>
      </c>
    </row>
    <row r="83" s="178" customFormat="1" customHeight="1" spans="1:38">
      <c r="A83" s="161">
        <v>79</v>
      </c>
      <c r="B83" s="21" t="str">
        <f>前台好评提成录入!B88</f>
        <v>邹璇</v>
      </c>
      <c r="C83" s="21" t="str">
        <f>前台好评提成录入!C88</f>
        <v>去哪儿</v>
      </c>
      <c r="D83" s="21" t="str">
        <f>前台好评提成录入!D88</f>
        <v>条</v>
      </c>
      <c r="E83" s="21">
        <f>前台好评提成录入!E88</f>
        <v>5</v>
      </c>
      <c r="F83" s="21">
        <f>前台好评提成录入!F88</f>
        <v>0</v>
      </c>
      <c r="G83" s="21">
        <f>前台好评提成录入!G88</f>
        <v>0</v>
      </c>
      <c r="H83" s="213">
        <f>前台好评提成录入!H88*$E83</f>
        <v>0</v>
      </c>
      <c r="I83" s="213">
        <f>前台好评提成录入!I88*$E83</f>
        <v>0</v>
      </c>
      <c r="J83" s="213">
        <f>前台好评提成录入!J88*$E83</f>
        <v>0</v>
      </c>
      <c r="K83" s="213">
        <f>前台好评提成录入!K88*$E83</f>
        <v>0</v>
      </c>
      <c r="L83" s="213">
        <f>前台好评提成录入!L88*$E83</f>
        <v>0</v>
      </c>
      <c r="M83" s="213">
        <f>前台好评提成录入!M88*$E83</f>
        <v>0</v>
      </c>
      <c r="N83" s="213">
        <f>前台好评提成录入!N88*$E83</f>
        <v>0</v>
      </c>
      <c r="O83" s="213">
        <f>前台好评提成录入!O88*$E83</f>
        <v>0</v>
      </c>
      <c r="P83" s="213">
        <f>前台好评提成录入!P88*$E83</f>
        <v>0</v>
      </c>
      <c r="Q83" s="213">
        <f>前台好评提成录入!Q88*$E83</f>
        <v>0</v>
      </c>
      <c r="R83" s="213">
        <f>前台好评提成录入!R88*$E83</f>
        <v>0</v>
      </c>
      <c r="S83" s="213">
        <f>前台好评提成录入!S88*$E83</f>
        <v>0</v>
      </c>
      <c r="T83" s="213">
        <f>前台好评提成录入!T88*$E83</f>
        <v>0</v>
      </c>
      <c r="U83" s="213">
        <f>前台好评提成录入!U88*$E83</f>
        <v>0</v>
      </c>
      <c r="V83" s="213">
        <f>前台好评提成录入!V88*$E83</f>
        <v>0</v>
      </c>
      <c r="W83" s="213">
        <f>前台好评提成录入!W88*$E83</f>
        <v>0</v>
      </c>
      <c r="X83" s="213">
        <f>前台好评提成录入!X88*$E83</f>
        <v>0</v>
      </c>
      <c r="Y83" s="213">
        <f>前台好评提成录入!Y88*$E83</f>
        <v>0</v>
      </c>
      <c r="Z83" s="213">
        <f>前台好评提成录入!Z88*$E83</f>
        <v>0</v>
      </c>
      <c r="AA83" s="213">
        <f>前台好评提成录入!AA88*$E83</f>
        <v>0</v>
      </c>
      <c r="AB83" s="213">
        <f>前台好评提成录入!AB88*$E83</f>
        <v>0</v>
      </c>
      <c r="AC83" s="213">
        <f>前台好评提成录入!AC88*$E83</f>
        <v>0</v>
      </c>
      <c r="AD83" s="213">
        <f>前台好评提成录入!AD88*$E83</f>
        <v>0</v>
      </c>
      <c r="AE83" s="213">
        <f>前台好评提成录入!AE88*$E83</f>
        <v>0</v>
      </c>
      <c r="AF83" s="213">
        <f>前台好评提成录入!AF88*$E83</f>
        <v>0</v>
      </c>
      <c r="AG83" s="213">
        <f>前台好评提成录入!AG88*$E83</f>
        <v>0</v>
      </c>
      <c r="AH83" s="213">
        <f>前台好评提成录入!AH88*$E83</f>
        <v>0</v>
      </c>
      <c r="AI83" s="213">
        <f>前台好评提成录入!AI88*$E83</f>
        <v>0</v>
      </c>
      <c r="AJ83" s="213">
        <f>前台好评提成录入!AJ88*$E83</f>
        <v>0</v>
      </c>
      <c r="AK83" s="213">
        <f>前台好评提成录入!AK88*$E83</f>
        <v>0</v>
      </c>
      <c r="AL83" s="213">
        <f>前台好评提成录入!AL88*$E83</f>
        <v>0</v>
      </c>
    </row>
    <row r="84" s="178" customFormat="1" customHeight="1" spans="1:38">
      <c r="A84" s="161">
        <v>80</v>
      </c>
      <c r="B84" s="21" t="str">
        <f>前台好评提成录入!B89</f>
        <v>邹璇</v>
      </c>
      <c r="C84" s="21" t="str">
        <f>前台好评提成录入!C89</f>
        <v>同程</v>
      </c>
      <c r="D84" s="21" t="str">
        <f>前台好评提成录入!D89</f>
        <v>条</v>
      </c>
      <c r="E84" s="21">
        <f>前台好评提成录入!E89</f>
        <v>5</v>
      </c>
      <c r="F84" s="21">
        <f>前台好评提成录入!F89</f>
        <v>0</v>
      </c>
      <c r="G84" s="21">
        <f>前台好评提成录入!G89</f>
        <v>0</v>
      </c>
      <c r="H84" s="213">
        <f>前台好评提成录入!H89*$E84</f>
        <v>0</v>
      </c>
      <c r="I84" s="213">
        <f>前台好评提成录入!I89*$E84</f>
        <v>0</v>
      </c>
      <c r="J84" s="213">
        <f>前台好评提成录入!J89*$E84</f>
        <v>0</v>
      </c>
      <c r="K84" s="213">
        <f>前台好评提成录入!K89*$E84</f>
        <v>0</v>
      </c>
      <c r="L84" s="213">
        <f>前台好评提成录入!L89*$E84</f>
        <v>0</v>
      </c>
      <c r="M84" s="213">
        <f>前台好评提成录入!M89*$E84</f>
        <v>0</v>
      </c>
      <c r="N84" s="213">
        <f>前台好评提成录入!N89*$E84</f>
        <v>0</v>
      </c>
      <c r="O84" s="213">
        <f>前台好评提成录入!O89*$E84</f>
        <v>0</v>
      </c>
      <c r="P84" s="213">
        <f>前台好评提成录入!P89*$E84</f>
        <v>0</v>
      </c>
      <c r="Q84" s="213">
        <f>前台好评提成录入!Q89*$E84</f>
        <v>0</v>
      </c>
      <c r="R84" s="213">
        <f>前台好评提成录入!R89*$E84</f>
        <v>0</v>
      </c>
      <c r="S84" s="213">
        <f>前台好评提成录入!S89*$E84</f>
        <v>0</v>
      </c>
      <c r="T84" s="213">
        <f>前台好评提成录入!T89*$E84</f>
        <v>0</v>
      </c>
      <c r="U84" s="213">
        <f>前台好评提成录入!U89*$E84</f>
        <v>0</v>
      </c>
      <c r="V84" s="213">
        <f>前台好评提成录入!V89*$E84</f>
        <v>0</v>
      </c>
      <c r="W84" s="213">
        <f>前台好评提成录入!W89*$E84</f>
        <v>0</v>
      </c>
      <c r="X84" s="213">
        <f>前台好评提成录入!X89*$E84</f>
        <v>0</v>
      </c>
      <c r="Y84" s="213">
        <f>前台好评提成录入!Y89*$E84</f>
        <v>0</v>
      </c>
      <c r="Z84" s="213">
        <f>前台好评提成录入!Z89*$E84</f>
        <v>0</v>
      </c>
      <c r="AA84" s="213">
        <f>前台好评提成录入!AA89*$E84</f>
        <v>0</v>
      </c>
      <c r="AB84" s="213">
        <f>前台好评提成录入!AB89*$E84</f>
        <v>0</v>
      </c>
      <c r="AC84" s="213">
        <f>前台好评提成录入!AC89*$E84</f>
        <v>0</v>
      </c>
      <c r="AD84" s="213">
        <f>前台好评提成录入!AD89*$E84</f>
        <v>0</v>
      </c>
      <c r="AE84" s="213">
        <f>前台好评提成录入!AE89*$E84</f>
        <v>0</v>
      </c>
      <c r="AF84" s="213">
        <f>前台好评提成录入!AF89*$E84</f>
        <v>0</v>
      </c>
      <c r="AG84" s="213">
        <f>前台好评提成录入!AG89*$E84</f>
        <v>0</v>
      </c>
      <c r="AH84" s="213">
        <f>前台好评提成录入!AH89*$E84</f>
        <v>0</v>
      </c>
      <c r="AI84" s="213">
        <f>前台好评提成录入!AI89*$E84</f>
        <v>0</v>
      </c>
      <c r="AJ84" s="213">
        <f>前台好评提成录入!AJ89*$E84</f>
        <v>0</v>
      </c>
      <c r="AK84" s="213">
        <f>前台好评提成录入!AK89*$E84</f>
        <v>0</v>
      </c>
      <c r="AL84" s="213">
        <f>前台好评提成录入!AL89*$E84</f>
        <v>0</v>
      </c>
    </row>
    <row r="85" s="178" customFormat="1" customHeight="1" spans="1:38">
      <c r="A85" s="161">
        <v>81</v>
      </c>
      <c r="B85" s="21" t="str">
        <f>前台好评提成录入!B90</f>
        <v>邹璇</v>
      </c>
      <c r="C85" s="21" t="str">
        <f>前台好评提成录入!C90</f>
        <v>智行</v>
      </c>
      <c r="D85" s="21" t="str">
        <f>前台好评提成录入!D90</f>
        <v>条</v>
      </c>
      <c r="E85" s="21">
        <f>前台好评提成录入!E90</f>
        <v>5</v>
      </c>
      <c r="F85" s="21">
        <f>前台好评提成录入!F90</f>
        <v>0</v>
      </c>
      <c r="G85" s="21">
        <f>前台好评提成录入!G90</f>
        <v>0</v>
      </c>
      <c r="H85" s="213">
        <f>前台好评提成录入!H90*$E85</f>
        <v>0</v>
      </c>
      <c r="I85" s="213">
        <f>前台好评提成录入!I90*$E85</f>
        <v>0</v>
      </c>
      <c r="J85" s="213">
        <f>前台好评提成录入!J90*$E85</f>
        <v>0</v>
      </c>
      <c r="K85" s="213">
        <f>前台好评提成录入!K90*$E85</f>
        <v>0</v>
      </c>
      <c r="L85" s="213">
        <f>前台好评提成录入!L90*$E85</f>
        <v>0</v>
      </c>
      <c r="M85" s="213">
        <f>前台好评提成录入!M90*$E85</f>
        <v>0</v>
      </c>
      <c r="N85" s="213">
        <f>前台好评提成录入!N90*$E85</f>
        <v>0</v>
      </c>
      <c r="O85" s="213">
        <f>前台好评提成录入!O90*$E85</f>
        <v>0</v>
      </c>
      <c r="P85" s="213">
        <f>前台好评提成录入!P90*$E85</f>
        <v>0</v>
      </c>
      <c r="Q85" s="213">
        <f>前台好评提成录入!Q90*$E85</f>
        <v>0</v>
      </c>
      <c r="R85" s="213">
        <f>前台好评提成录入!R90*$E85</f>
        <v>0</v>
      </c>
      <c r="S85" s="213">
        <f>前台好评提成录入!S90*$E85</f>
        <v>0</v>
      </c>
      <c r="T85" s="213">
        <f>前台好评提成录入!T90*$E85</f>
        <v>0</v>
      </c>
      <c r="U85" s="213">
        <f>前台好评提成录入!U90*$E85</f>
        <v>0</v>
      </c>
      <c r="V85" s="213">
        <f>前台好评提成录入!V90*$E85</f>
        <v>0</v>
      </c>
      <c r="W85" s="213">
        <f>前台好评提成录入!W90*$E85</f>
        <v>0</v>
      </c>
      <c r="X85" s="213">
        <f>前台好评提成录入!X90*$E85</f>
        <v>0</v>
      </c>
      <c r="Y85" s="213">
        <f>前台好评提成录入!Y90*$E85</f>
        <v>0</v>
      </c>
      <c r="Z85" s="213">
        <f>前台好评提成录入!Z90*$E85</f>
        <v>0</v>
      </c>
      <c r="AA85" s="213">
        <f>前台好评提成录入!AA90*$E85</f>
        <v>0</v>
      </c>
      <c r="AB85" s="213">
        <f>前台好评提成录入!AB90*$E85</f>
        <v>0</v>
      </c>
      <c r="AC85" s="213">
        <f>前台好评提成录入!AC90*$E85</f>
        <v>0</v>
      </c>
      <c r="AD85" s="213">
        <f>前台好评提成录入!AD90*$E85</f>
        <v>0</v>
      </c>
      <c r="AE85" s="213">
        <f>前台好评提成录入!AE90*$E85</f>
        <v>0</v>
      </c>
      <c r="AF85" s="213">
        <f>前台好评提成录入!AF90*$E85</f>
        <v>0</v>
      </c>
      <c r="AG85" s="213">
        <f>前台好评提成录入!AG90*$E85</f>
        <v>0</v>
      </c>
      <c r="AH85" s="213">
        <f>前台好评提成录入!AH90*$E85</f>
        <v>0</v>
      </c>
      <c r="AI85" s="213">
        <f>前台好评提成录入!AI90*$E85</f>
        <v>0</v>
      </c>
      <c r="AJ85" s="213">
        <f>前台好评提成录入!AJ90*$E85</f>
        <v>0</v>
      </c>
      <c r="AK85" s="213">
        <f>前台好评提成录入!AK90*$E85</f>
        <v>0</v>
      </c>
      <c r="AL85" s="213">
        <f>前台好评提成录入!AL90*$E85</f>
        <v>0</v>
      </c>
    </row>
    <row r="86" s="178" customFormat="1" customHeight="1" spans="1:38">
      <c r="A86" s="161">
        <v>82</v>
      </c>
      <c r="B86" s="21" t="str">
        <f>前台好评提成录入!B91</f>
        <v>邹璇</v>
      </c>
      <c r="C86" s="21" t="str">
        <f>前台好评提成录入!C91</f>
        <v>抖音</v>
      </c>
      <c r="D86" s="21" t="str">
        <f>前台好评提成录入!D91</f>
        <v>条</v>
      </c>
      <c r="E86" s="21">
        <f>前台好评提成录入!E91</f>
        <v>5</v>
      </c>
      <c r="F86" s="21">
        <f>前台好评提成录入!F91</f>
        <v>1</v>
      </c>
      <c r="G86" s="21">
        <f>前台好评提成录入!G91</f>
        <v>5</v>
      </c>
      <c r="H86" s="213">
        <f>前台好评提成录入!H91*$E86</f>
        <v>5</v>
      </c>
      <c r="I86" s="213">
        <f>前台好评提成录入!I91*$E86</f>
        <v>0</v>
      </c>
      <c r="J86" s="213">
        <f>前台好评提成录入!J91*$E86</f>
        <v>0</v>
      </c>
      <c r="K86" s="213">
        <f>前台好评提成录入!K91*$E86</f>
        <v>0</v>
      </c>
      <c r="L86" s="213">
        <f>前台好评提成录入!L91*$E86</f>
        <v>0</v>
      </c>
      <c r="M86" s="213">
        <f>前台好评提成录入!M91*$E86</f>
        <v>0</v>
      </c>
      <c r="N86" s="213">
        <f>前台好评提成录入!N91*$E86</f>
        <v>0</v>
      </c>
      <c r="O86" s="213">
        <f>前台好评提成录入!O91*$E86</f>
        <v>0</v>
      </c>
      <c r="P86" s="213">
        <f>前台好评提成录入!P91*$E86</f>
        <v>0</v>
      </c>
      <c r="Q86" s="213">
        <f>前台好评提成录入!Q91*$E86</f>
        <v>0</v>
      </c>
      <c r="R86" s="213">
        <f>前台好评提成录入!R91*$E86</f>
        <v>0</v>
      </c>
      <c r="S86" s="213">
        <f>前台好评提成录入!S91*$E86</f>
        <v>0</v>
      </c>
      <c r="T86" s="213">
        <f>前台好评提成录入!T91*$E86</f>
        <v>0</v>
      </c>
      <c r="U86" s="213">
        <f>前台好评提成录入!U91*$E86</f>
        <v>0</v>
      </c>
      <c r="V86" s="213">
        <f>前台好评提成录入!V91*$E86</f>
        <v>0</v>
      </c>
      <c r="W86" s="213">
        <f>前台好评提成录入!W91*$E86</f>
        <v>0</v>
      </c>
      <c r="X86" s="213">
        <f>前台好评提成录入!X91*$E86</f>
        <v>0</v>
      </c>
      <c r="Y86" s="213">
        <f>前台好评提成录入!Y91*$E86</f>
        <v>0</v>
      </c>
      <c r="Z86" s="213">
        <f>前台好评提成录入!Z91*$E86</f>
        <v>0</v>
      </c>
      <c r="AA86" s="213">
        <f>前台好评提成录入!AA91*$E86</f>
        <v>0</v>
      </c>
      <c r="AB86" s="213">
        <f>前台好评提成录入!AB91*$E86</f>
        <v>0</v>
      </c>
      <c r="AC86" s="213">
        <f>前台好评提成录入!AC91*$E86</f>
        <v>0</v>
      </c>
      <c r="AD86" s="213">
        <f>前台好评提成录入!AD91*$E86</f>
        <v>0</v>
      </c>
      <c r="AE86" s="213">
        <f>前台好评提成录入!AE91*$E86</f>
        <v>0</v>
      </c>
      <c r="AF86" s="213">
        <f>前台好评提成录入!AF91*$E86</f>
        <v>0</v>
      </c>
      <c r="AG86" s="213">
        <f>前台好评提成录入!AG91*$E86</f>
        <v>0</v>
      </c>
      <c r="AH86" s="213">
        <f>前台好评提成录入!AH91*$E86</f>
        <v>0</v>
      </c>
      <c r="AI86" s="213">
        <f>前台好评提成录入!AI91*$E86</f>
        <v>0</v>
      </c>
      <c r="AJ86" s="213">
        <f>前台好评提成录入!AJ91*$E86</f>
        <v>0</v>
      </c>
      <c r="AK86" s="213">
        <f>前台好评提成录入!AK91*$E86</f>
        <v>0</v>
      </c>
      <c r="AL86" s="213">
        <f>前台好评提成录入!AL91*$E86</f>
        <v>0</v>
      </c>
    </row>
    <row r="87" s="178" customFormat="1" customHeight="1" spans="1:38">
      <c r="A87" s="161">
        <v>83</v>
      </c>
      <c r="B87" s="21" t="str">
        <f>前台好评提成录入!B92</f>
        <v>邹璇</v>
      </c>
      <c r="C87" s="21" t="str">
        <f>前台好评提成录入!C92</f>
        <v>美团</v>
      </c>
      <c r="D87" s="21" t="str">
        <f>前台好评提成录入!D92</f>
        <v>条</v>
      </c>
      <c r="E87" s="21">
        <f>前台好评提成录入!E92</f>
        <v>5</v>
      </c>
      <c r="F87" s="21">
        <f>前台好评提成录入!F92</f>
        <v>2</v>
      </c>
      <c r="G87" s="21">
        <f>前台好评提成录入!G92</f>
        <v>10</v>
      </c>
      <c r="H87" s="213">
        <f>前台好评提成录入!H92*$E87</f>
        <v>10</v>
      </c>
      <c r="I87" s="213">
        <f>前台好评提成录入!I92*$E87</f>
        <v>0</v>
      </c>
      <c r="J87" s="213">
        <f>前台好评提成录入!J92*$E87</f>
        <v>0</v>
      </c>
      <c r="K87" s="213">
        <f>前台好评提成录入!K92*$E87</f>
        <v>0</v>
      </c>
      <c r="L87" s="213">
        <f>前台好评提成录入!L92*$E87</f>
        <v>0</v>
      </c>
      <c r="M87" s="213">
        <f>前台好评提成录入!M92*$E87</f>
        <v>0</v>
      </c>
      <c r="N87" s="213">
        <f>前台好评提成录入!N92*$E87</f>
        <v>0</v>
      </c>
      <c r="O87" s="213">
        <f>前台好评提成录入!O92*$E87</f>
        <v>0</v>
      </c>
      <c r="P87" s="213">
        <f>前台好评提成录入!P92*$E87</f>
        <v>0</v>
      </c>
      <c r="Q87" s="213">
        <f>前台好评提成录入!Q92*$E87</f>
        <v>0</v>
      </c>
      <c r="R87" s="213">
        <f>前台好评提成录入!R92*$E87</f>
        <v>0</v>
      </c>
      <c r="S87" s="213">
        <f>前台好评提成录入!S92*$E87</f>
        <v>0</v>
      </c>
      <c r="T87" s="213">
        <f>前台好评提成录入!T92*$E87</f>
        <v>0</v>
      </c>
      <c r="U87" s="213">
        <f>前台好评提成录入!U92*$E87</f>
        <v>0</v>
      </c>
      <c r="V87" s="213">
        <f>前台好评提成录入!V92*$E87</f>
        <v>0</v>
      </c>
      <c r="W87" s="213">
        <f>前台好评提成录入!W92*$E87</f>
        <v>0</v>
      </c>
      <c r="X87" s="213">
        <f>前台好评提成录入!X92*$E87</f>
        <v>0</v>
      </c>
      <c r="Y87" s="213">
        <f>前台好评提成录入!Y92*$E87</f>
        <v>0</v>
      </c>
      <c r="Z87" s="213">
        <f>前台好评提成录入!Z92*$E87</f>
        <v>0</v>
      </c>
      <c r="AA87" s="213">
        <f>前台好评提成录入!AA92*$E87</f>
        <v>0</v>
      </c>
      <c r="AB87" s="213">
        <f>前台好评提成录入!AB92*$E87</f>
        <v>0</v>
      </c>
      <c r="AC87" s="213">
        <f>前台好评提成录入!AC92*$E87</f>
        <v>0</v>
      </c>
      <c r="AD87" s="213">
        <f>前台好评提成录入!AD92*$E87</f>
        <v>0</v>
      </c>
      <c r="AE87" s="213">
        <f>前台好评提成录入!AE92*$E87</f>
        <v>0</v>
      </c>
      <c r="AF87" s="213">
        <f>前台好评提成录入!AF92*$E87</f>
        <v>0</v>
      </c>
      <c r="AG87" s="213">
        <f>前台好评提成录入!AG92*$E87</f>
        <v>0</v>
      </c>
      <c r="AH87" s="213">
        <f>前台好评提成录入!AH92*$E87</f>
        <v>0</v>
      </c>
      <c r="AI87" s="213">
        <f>前台好评提成录入!AI92*$E87</f>
        <v>0</v>
      </c>
      <c r="AJ87" s="213">
        <f>前台好评提成录入!AJ92*$E87</f>
        <v>0</v>
      </c>
      <c r="AK87" s="213">
        <f>前台好评提成录入!AK92*$E87</f>
        <v>0</v>
      </c>
      <c r="AL87" s="213">
        <f>前台好评提成录入!AL92*$E87</f>
        <v>0</v>
      </c>
    </row>
    <row r="88" s="178" customFormat="1" customHeight="1" spans="1:38">
      <c r="A88" s="161">
        <v>84</v>
      </c>
      <c r="B88" s="21" t="str">
        <f>前台好评提成录入!B93</f>
        <v>邹璇</v>
      </c>
      <c r="C88" s="21" t="str">
        <f>前台好评提成录入!C93</f>
        <v>飞猪</v>
      </c>
      <c r="D88" s="21" t="str">
        <f>前台好评提成录入!D93</f>
        <v>条</v>
      </c>
      <c r="E88" s="21">
        <f>前台好评提成录入!E93</f>
        <v>5</v>
      </c>
      <c r="F88" s="21">
        <f>前台好评提成录入!F93</f>
        <v>0</v>
      </c>
      <c r="G88" s="21">
        <f>前台好评提成录入!G93</f>
        <v>0</v>
      </c>
      <c r="H88" s="213">
        <f>前台好评提成录入!H93*$E88</f>
        <v>0</v>
      </c>
      <c r="I88" s="213">
        <f>前台好评提成录入!I93*$E88</f>
        <v>0</v>
      </c>
      <c r="J88" s="213">
        <f>前台好评提成录入!J93*$E88</f>
        <v>0</v>
      </c>
      <c r="K88" s="213">
        <f>前台好评提成录入!K93*$E88</f>
        <v>0</v>
      </c>
      <c r="L88" s="213">
        <f>前台好评提成录入!L93*$E88</f>
        <v>0</v>
      </c>
      <c r="M88" s="213">
        <f>前台好评提成录入!M93*$E88</f>
        <v>0</v>
      </c>
      <c r="N88" s="213">
        <f>前台好评提成录入!N93*$E88</f>
        <v>0</v>
      </c>
      <c r="O88" s="213">
        <f>前台好评提成录入!O93*$E88</f>
        <v>0</v>
      </c>
      <c r="P88" s="213">
        <f>前台好评提成录入!P93*$E88</f>
        <v>0</v>
      </c>
      <c r="Q88" s="213">
        <f>前台好评提成录入!Q93*$E88</f>
        <v>0</v>
      </c>
      <c r="R88" s="213">
        <f>前台好评提成录入!R93*$E88</f>
        <v>0</v>
      </c>
      <c r="S88" s="213">
        <f>前台好评提成录入!S93*$E88</f>
        <v>0</v>
      </c>
      <c r="T88" s="213">
        <f>前台好评提成录入!T93*$E88</f>
        <v>0</v>
      </c>
      <c r="U88" s="213">
        <f>前台好评提成录入!U93*$E88</f>
        <v>0</v>
      </c>
      <c r="V88" s="213">
        <f>前台好评提成录入!V93*$E88</f>
        <v>0</v>
      </c>
      <c r="W88" s="213">
        <f>前台好评提成录入!W93*$E88</f>
        <v>0</v>
      </c>
      <c r="X88" s="213">
        <f>前台好评提成录入!X93*$E88</f>
        <v>0</v>
      </c>
      <c r="Y88" s="213">
        <f>前台好评提成录入!Y93*$E88</f>
        <v>0</v>
      </c>
      <c r="Z88" s="213">
        <f>前台好评提成录入!Z93*$E88</f>
        <v>0</v>
      </c>
      <c r="AA88" s="213">
        <f>前台好评提成录入!AA93*$E88</f>
        <v>0</v>
      </c>
      <c r="AB88" s="213">
        <f>前台好评提成录入!AB93*$E88</f>
        <v>0</v>
      </c>
      <c r="AC88" s="213">
        <f>前台好评提成录入!AC93*$E88</f>
        <v>0</v>
      </c>
      <c r="AD88" s="213">
        <f>前台好评提成录入!AD93*$E88</f>
        <v>0</v>
      </c>
      <c r="AE88" s="213">
        <f>前台好评提成录入!AE93*$E88</f>
        <v>0</v>
      </c>
      <c r="AF88" s="213">
        <f>前台好评提成录入!AF93*$E88</f>
        <v>0</v>
      </c>
      <c r="AG88" s="213">
        <f>前台好评提成录入!AG93*$E88</f>
        <v>0</v>
      </c>
      <c r="AH88" s="213">
        <f>前台好评提成录入!AH93*$E88</f>
        <v>0</v>
      </c>
      <c r="AI88" s="213">
        <f>前台好评提成录入!AI93*$E88</f>
        <v>0</v>
      </c>
      <c r="AJ88" s="213">
        <f>前台好评提成录入!AJ93*$E88</f>
        <v>0</v>
      </c>
      <c r="AK88" s="213">
        <f>前台好评提成录入!AK93*$E88</f>
        <v>0</v>
      </c>
      <c r="AL88" s="213">
        <f>前台好评提成录入!AL93*$E88</f>
        <v>0</v>
      </c>
    </row>
    <row r="89" s="178" customFormat="1" customHeight="1" spans="1:38">
      <c r="A89" s="161">
        <v>85</v>
      </c>
      <c r="B89" s="21" t="str">
        <f>前台好评提成录入!B94</f>
        <v>邹璇</v>
      </c>
      <c r="C89" s="21" t="str">
        <f>前台好评提成录入!C94</f>
        <v>官网</v>
      </c>
      <c r="D89" s="21" t="str">
        <f>前台好评提成录入!D94</f>
        <v>条</v>
      </c>
      <c r="E89" s="21">
        <f>前台好评提成录入!E94</f>
        <v>5</v>
      </c>
      <c r="F89" s="21">
        <f>前台好评提成录入!F94</f>
        <v>0</v>
      </c>
      <c r="G89" s="21">
        <f>前台好评提成录入!G94</f>
        <v>0</v>
      </c>
      <c r="H89" s="213">
        <f>前台好评提成录入!H94*$E89</f>
        <v>0</v>
      </c>
      <c r="I89" s="213">
        <f>前台好评提成录入!I94*$E89</f>
        <v>0</v>
      </c>
      <c r="J89" s="213">
        <f>前台好评提成录入!J94*$E89</f>
        <v>0</v>
      </c>
      <c r="K89" s="213">
        <f>前台好评提成录入!K94*$E89</f>
        <v>0</v>
      </c>
      <c r="L89" s="213">
        <f>前台好评提成录入!L94*$E89</f>
        <v>0</v>
      </c>
      <c r="M89" s="213">
        <f>前台好评提成录入!M94*$E89</f>
        <v>0</v>
      </c>
      <c r="N89" s="213">
        <f>前台好评提成录入!N94*$E89</f>
        <v>0</v>
      </c>
      <c r="O89" s="213">
        <f>前台好评提成录入!O94*$E89</f>
        <v>0</v>
      </c>
      <c r="P89" s="213">
        <f>前台好评提成录入!P94*$E89</f>
        <v>0</v>
      </c>
      <c r="Q89" s="213">
        <f>前台好评提成录入!Q94*$E89</f>
        <v>0</v>
      </c>
      <c r="R89" s="213">
        <f>前台好评提成录入!R94*$E89</f>
        <v>0</v>
      </c>
      <c r="S89" s="213">
        <f>前台好评提成录入!S94*$E89</f>
        <v>0</v>
      </c>
      <c r="T89" s="213">
        <f>前台好评提成录入!T94*$E89</f>
        <v>0</v>
      </c>
      <c r="U89" s="213">
        <f>前台好评提成录入!U94*$E89</f>
        <v>0</v>
      </c>
      <c r="V89" s="213">
        <f>前台好评提成录入!V94*$E89</f>
        <v>0</v>
      </c>
      <c r="W89" s="213">
        <f>前台好评提成录入!W94*$E89</f>
        <v>0</v>
      </c>
      <c r="X89" s="213">
        <f>前台好评提成录入!X94*$E89</f>
        <v>0</v>
      </c>
      <c r="Y89" s="213">
        <f>前台好评提成录入!Y94*$E89</f>
        <v>0</v>
      </c>
      <c r="Z89" s="213">
        <f>前台好评提成录入!Z94*$E89</f>
        <v>0</v>
      </c>
      <c r="AA89" s="213">
        <f>前台好评提成录入!AA94*$E89</f>
        <v>0</v>
      </c>
      <c r="AB89" s="213">
        <f>前台好评提成录入!AB94*$E89</f>
        <v>0</v>
      </c>
      <c r="AC89" s="213">
        <f>前台好评提成录入!AC94*$E89</f>
        <v>0</v>
      </c>
      <c r="AD89" s="213">
        <f>前台好评提成录入!AD94*$E89</f>
        <v>0</v>
      </c>
      <c r="AE89" s="213">
        <f>前台好评提成录入!AE94*$E89</f>
        <v>0</v>
      </c>
      <c r="AF89" s="213">
        <f>前台好评提成录入!AF94*$E89</f>
        <v>0</v>
      </c>
      <c r="AG89" s="213">
        <f>前台好评提成录入!AG94*$E89</f>
        <v>0</v>
      </c>
      <c r="AH89" s="213">
        <f>前台好评提成录入!AH94*$E89</f>
        <v>0</v>
      </c>
      <c r="AI89" s="213">
        <f>前台好评提成录入!AI94*$E89</f>
        <v>0</v>
      </c>
      <c r="AJ89" s="213">
        <f>前台好评提成录入!AJ94*$E89</f>
        <v>0</v>
      </c>
      <c r="AK89" s="213">
        <f>前台好评提成录入!AK94*$E89</f>
        <v>0</v>
      </c>
      <c r="AL89" s="213">
        <f>前台好评提成录入!AL94*$E89</f>
        <v>0</v>
      </c>
    </row>
    <row r="90" s="178" customFormat="1" customHeight="1" spans="1:38">
      <c r="A90" s="161">
        <v>86</v>
      </c>
      <c r="B90" s="21">
        <f>前台好评提成录入!B95</f>
        <v>0</v>
      </c>
      <c r="C90" s="21">
        <f>前台好评提成录入!C95</f>
        <v>0</v>
      </c>
      <c r="D90" s="21" t="str">
        <f>前台好评提成录入!D95</f>
        <v>条</v>
      </c>
      <c r="E90" s="21">
        <f>前台好评提成录入!E95</f>
        <v>0</v>
      </c>
      <c r="F90" s="21">
        <f>前台好评提成录入!F95</f>
        <v>0</v>
      </c>
      <c r="G90" s="21">
        <f>前台好评提成录入!G95</f>
        <v>0</v>
      </c>
      <c r="H90" s="213">
        <f>前台好评提成录入!H95*$E90</f>
        <v>0</v>
      </c>
      <c r="I90" s="213">
        <f>前台好评提成录入!I95*$E90</f>
        <v>0</v>
      </c>
      <c r="J90" s="213">
        <f>前台好评提成录入!J95*$E90</f>
        <v>0</v>
      </c>
      <c r="K90" s="213">
        <f>前台好评提成录入!K95*$E90</f>
        <v>0</v>
      </c>
      <c r="L90" s="213">
        <f>前台好评提成录入!L95*$E90</f>
        <v>0</v>
      </c>
      <c r="M90" s="213">
        <f>前台好评提成录入!M95*$E90</f>
        <v>0</v>
      </c>
      <c r="N90" s="213">
        <f>前台好评提成录入!N95*$E90</f>
        <v>0</v>
      </c>
      <c r="O90" s="213">
        <f>前台好评提成录入!O95*$E90</f>
        <v>0</v>
      </c>
      <c r="P90" s="213">
        <f>前台好评提成录入!P95*$E90</f>
        <v>0</v>
      </c>
      <c r="Q90" s="213">
        <f>前台好评提成录入!Q95*$E90</f>
        <v>0</v>
      </c>
      <c r="R90" s="213">
        <f>前台好评提成录入!R95*$E90</f>
        <v>0</v>
      </c>
      <c r="S90" s="213">
        <f>前台好评提成录入!S95*$E90</f>
        <v>0</v>
      </c>
      <c r="T90" s="213">
        <f>前台好评提成录入!T95*$E90</f>
        <v>0</v>
      </c>
      <c r="U90" s="213">
        <f>前台好评提成录入!U95*$E90</f>
        <v>0</v>
      </c>
      <c r="V90" s="213">
        <f>前台好评提成录入!V95*$E90</f>
        <v>0</v>
      </c>
      <c r="W90" s="213">
        <f>前台好评提成录入!W95*$E90</f>
        <v>0</v>
      </c>
      <c r="X90" s="213">
        <f>前台好评提成录入!X95*$E90</f>
        <v>0</v>
      </c>
      <c r="Y90" s="213">
        <f>前台好评提成录入!Y95*$E90</f>
        <v>0</v>
      </c>
      <c r="Z90" s="213">
        <f>前台好评提成录入!Z95*$E90</f>
        <v>0</v>
      </c>
      <c r="AA90" s="213">
        <f>前台好评提成录入!AA95*$E90</f>
        <v>0</v>
      </c>
      <c r="AB90" s="213">
        <f>前台好评提成录入!AB95*$E90</f>
        <v>0</v>
      </c>
      <c r="AC90" s="213">
        <f>前台好评提成录入!AC95*$E90</f>
        <v>0</v>
      </c>
      <c r="AD90" s="213">
        <f>前台好评提成录入!AD95*$E90</f>
        <v>0</v>
      </c>
      <c r="AE90" s="213">
        <f>前台好评提成录入!AE95*$E90</f>
        <v>0</v>
      </c>
      <c r="AF90" s="213">
        <f>前台好评提成录入!AF95*$E90</f>
        <v>0</v>
      </c>
      <c r="AG90" s="213">
        <f>前台好评提成录入!AG95*$E90</f>
        <v>0</v>
      </c>
      <c r="AH90" s="213">
        <f>前台好评提成录入!AH95*$E90</f>
        <v>0</v>
      </c>
      <c r="AI90" s="213">
        <f>前台好评提成录入!AI95*$E90</f>
        <v>0</v>
      </c>
      <c r="AJ90" s="213">
        <f>前台好评提成录入!AJ95*$E90</f>
        <v>0</v>
      </c>
      <c r="AK90" s="213">
        <f>前台好评提成录入!AK95*$E90</f>
        <v>0</v>
      </c>
      <c r="AL90" s="213">
        <f>前台好评提成录入!AL95*$E90</f>
        <v>0</v>
      </c>
    </row>
    <row r="91" s="178" customFormat="1" customHeight="1" spans="1:38">
      <c r="A91" s="161">
        <v>87</v>
      </c>
      <c r="B91" s="21">
        <f>前台好评提成录入!B96</f>
        <v>0</v>
      </c>
      <c r="C91" s="21">
        <f>前台好评提成录入!C96</f>
        <v>0</v>
      </c>
      <c r="D91" s="21" t="str">
        <f>前台好评提成录入!D96</f>
        <v>条</v>
      </c>
      <c r="E91" s="21">
        <f>前台好评提成录入!E96</f>
        <v>0</v>
      </c>
      <c r="F91" s="21">
        <f>前台好评提成录入!F96</f>
        <v>0</v>
      </c>
      <c r="G91" s="21">
        <f>前台好评提成录入!G96</f>
        <v>0</v>
      </c>
      <c r="H91" s="213">
        <f>前台好评提成录入!H96*$E91</f>
        <v>0</v>
      </c>
      <c r="I91" s="213">
        <f>前台好评提成录入!I96*$E91</f>
        <v>0</v>
      </c>
      <c r="J91" s="213">
        <f>前台好评提成录入!J96*$E91</f>
        <v>0</v>
      </c>
      <c r="K91" s="213">
        <f>前台好评提成录入!K96*$E91</f>
        <v>0</v>
      </c>
      <c r="L91" s="213">
        <f>前台好评提成录入!L96*$E91</f>
        <v>0</v>
      </c>
      <c r="M91" s="213">
        <f>前台好评提成录入!M96*$E91</f>
        <v>0</v>
      </c>
      <c r="N91" s="213">
        <f>前台好评提成录入!N96*$E91</f>
        <v>0</v>
      </c>
      <c r="O91" s="213">
        <f>前台好评提成录入!O96*$E91</f>
        <v>0</v>
      </c>
      <c r="P91" s="213">
        <f>前台好评提成录入!P96*$E91</f>
        <v>0</v>
      </c>
      <c r="Q91" s="213">
        <f>前台好评提成录入!Q96*$E91</f>
        <v>0</v>
      </c>
      <c r="R91" s="213">
        <f>前台好评提成录入!R96*$E91</f>
        <v>0</v>
      </c>
      <c r="S91" s="213">
        <f>前台好评提成录入!S96*$E91</f>
        <v>0</v>
      </c>
      <c r="T91" s="213">
        <f>前台好评提成录入!T96*$E91</f>
        <v>0</v>
      </c>
      <c r="U91" s="213">
        <f>前台好评提成录入!U96*$E91</f>
        <v>0</v>
      </c>
      <c r="V91" s="213">
        <f>前台好评提成录入!V96*$E91</f>
        <v>0</v>
      </c>
      <c r="W91" s="213">
        <f>前台好评提成录入!W96*$E91</f>
        <v>0</v>
      </c>
      <c r="X91" s="213">
        <f>前台好评提成录入!X96*$E91</f>
        <v>0</v>
      </c>
      <c r="Y91" s="213">
        <f>前台好评提成录入!Y96*$E91</f>
        <v>0</v>
      </c>
      <c r="Z91" s="213">
        <f>前台好评提成录入!Z96*$E91</f>
        <v>0</v>
      </c>
      <c r="AA91" s="213">
        <f>前台好评提成录入!AA96*$E91</f>
        <v>0</v>
      </c>
      <c r="AB91" s="213">
        <f>前台好评提成录入!AB96*$E91</f>
        <v>0</v>
      </c>
      <c r="AC91" s="213">
        <f>前台好评提成录入!AC96*$E91</f>
        <v>0</v>
      </c>
      <c r="AD91" s="213">
        <f>前台好评提成录入!AD96*$E91</f>
        <v>0</v>
      </c>
      <c r="AE91" s="213">
        <f>前台好评提成录入!AE96*$E91</f>
        <v>0</v>
      </c>
      <c r="AF91" s="213">
        <f>前台好评提成录入!AF96*$E91</f>
        <v>0</v>
      </c>
      <c r="AG91" s="213">
        <f>前台好评提成录入!AG96*$E91</f>
        <v>0</v>
      </c>
      <c r="AH91" s="213">
        <f>前台好评提成录入!AH96*$E91</f>
        <v>0</v>
      </c>
      <c r="AI91" s="213">
        <f>前台好评提成录入!AI96*$E91</f>
        <v>0</v>
      </c>
      <c r="AJ91" s="213">
        <f>前台好评提成录入!AJ96*$E91</f>
        <v>0</v>
      </c>
      <c r="AK91" s="213">
        <f>前台好评提成录入!AK96*$E91</f>
        <v>0</v>
      </c>
      <c r="AL91" s="213">
        <f>前台好评提成录入!AL96*$E91</f>
        <v>0</v>
      </c>
    </row>
    <row r="92" s="178" customFormat="1" customHeight="1" spans="1:38">
      <c r="A92" s="161">
        <v>88</v>
      </c>
      <c r="B92" s="21">
        <f>前台好评提成录入!B97</f>
        <v>0</v>
      </c>
      <c r="C92" s="21">
        <f>前台好评提成录入!C97</f>
        <v>0</v>
      </c>
      <c r="D92" s="21" t="str">
        <f>前台好评提成录入!D97</f>
        <v>条</v>
      </c>
      <c r="E92" s="21">
        <f>前台好评提成录入!E97</f>
        <v>0</v>
      </c>
      <c r="F92" s="21">
        <f>前台好评提成录入!F97</f>
        <v>0</v>
      </c>
      <c r="G92" s="21">
        <f>前台好评提成录入!G97</f>
        <v>0</v>
      </c>
      <c r="H92" s="213">
        <f>前台好评提成录入!H97*$E92</f>
        <v>0</v>
      </c>
      <c r="I92" s="213">
        <f>前台好评提成录入!I97*$E92</f>
        <v>0</v>
      </c>
      <c r="J92" s="213">
        <f>前台好评提成录入!J97*$E92</f>
        <v>0</v>
      </c>
      <c r="K92" s="213">
        <f>前台好评提成录入!K97*$E92</f>
        <v>0</v>
      </c>
      <c r="L92" s="213">
        <f>前台好评提成录入!L97*$E92</f>
        <v>0</v>
      </c>
      <c r="M92" s="213">
        <f>前台好评提成录入!M97*$E92</f>
        <v>0</v>
      </c>
      <c r="N92" s="213">
        <f>前台好评提成录入!N97*$E92</f>
        <v>0</v>
      </c>
      <c r="O92" s="213">
        <f>前台好评提成录入!O97*$E92</f>
        <v>0</v>
      </c>
      <c r="P92" s="213">
        <f>前台好评提成录入!P97*$E92</f>
        <v>0</v>
      </c>
      <c r="Q92" s="213">
        <f>前台好评提成录入!Q97*$E92</f>
        <v>0</v>
      </c>
      <c r="R92" s="213">
        <f>前台好评提成录入!R97*$E92</f>
        <v>0</v>
      </c>
      <c r="S92" s="213">
        <f>前台好评提成录入!S97*$E92</f>
        <v>0</v>
      </c>
      <c r="T92" s="213">
        <f>前台好评提成录入!T97*$E92</f>
        <v>0</v>
      </c>
      <c r="U92" s="213">
        <f>前台好评提成录入!U97*$E92</f>
        <v>0</v>
      </c>
      <c r="V92" s="213">
        <f>前台好评提成录入!V97*$E92</f>
        <v>0</v>
      </c>
      <c r="W92" s="213">
        <f>前台好评提成录入!W97*$E92</f>
        <v>0</v>
      </c>
      <c r="X92" s="213">
        <f>前台好评提成录入!X97*$E92</f>
        <v>0</v>
      </c>
      <c r="Y92" s="213">
        <f>前台好评提成录入!Y97*$E92</f>
        <v>0</v>
      </c>
      <c r="Z92" s="213">
        <f>前台好评提成录入!Z97*$E92</f>
        <v>0</v>
      </c>
      <c r="AA92" s="213">
        <f>前台好评提成录入!AA97*$E92</f>
        <v>0</v>
      </c>
      <c r="AB92" s="213">
        <f>前台好评提成录入!AB97*$E92</f>
        <v>0</v>
      </c>
      <c r="AC92" s="213">
        <f>前台好评提成录入!AC97*$E92</f>
        <v>0</v>
      </c>
      <c r="AD92" s="213">
        <f>前台好评提成录入!AD97*$E92</f>
        <v>0</v>
      </c>
      <c r="AE92" s="213">
        <f>前台好评提成录入!AE97*$E92</f>
        <v>0</v>
      </c>
      <c r="AF92" s="213">
        <f>前台好评提成录入!AF97*$E92</f>
        <v>0</v>
      </c>
      <c r="AG92" s="213">
        <f>前台好评提成录入!AG97*$E92</f>
        <v>0</v>
      </c>
      <c r="AH92" s="213">
        <f>前台好评提成录入!AH97*$E92</f>
        <v>0</v>
      </c>
      <c r="AI92" s="213">
        <f>前台好评提成录入!AI97*$E92</f>
        <v>0</v>
      </c>
      <c r="AJ92" s="213">
        <f>前台好评提成录入!AJ97*$E92</f>
        <v>0</v>
      </c>
      <c r="AK92" s="213">
        <f>前台好评提成录入!AK97*$E92</f>
        <v>0</v>
      </c>
      <c r="AL92" s="213">
        <f>前台好评提成录入!AL97*$E92</f>
        <v>0</v>
      </c>
    </row>
    <row r="93" s="178" customFormat="1" customHeight="1" spans="1:38">
      <c r="A93" s="161">
        <v>89</v>
      </c>
      <c r="B93" s="21">
        <f>前台好评提成录入!B98</f>
        <v>0</v>
      </c>
      <c r="C93" s="21">
        <f>前台好评提成录入!C98</f>
        <v>0</v>
      </c>
      <c r="D93" s="21" t="str">
        <f>前台好评提成录入!D98</f>
        <v>条</v>
      </c>
      <c r="E93" s="21">
        <f>前台好评提成录入!E98</f>
        <v>0</v>
      </c>
      <c r="F93" s="21">
        <f>前台好评提成录入!F98</f>
        <v>0</v>
      </c>
      <c r="G93" s="21">
        <f>前台好评提成录入!G98</f>
        <v>0</v>
      </c>
      <c r="H93" s="213">
        <f>前台好评提成录入!H98*$E93</f>
        <v>0</v>
      </c>
      <c r="I93" s="213">
        <f>前台好评提成录入!I98*$E93</f>
        <v>0</v>
      </c>
      <c r="J93" s="213">
        <f>前台好评提成录入!J98*$E93</f>
        <v>0</v>
      </c>
      <c r="K93" s="213">
        <f>前台好评提成录入!K98*$E93</f>
        <v>0</v>
      </c>
      <c r="L93" s="213">
        <f>前台好评提成录入!L98*$E93</f>
        <v>0</v>
      </c>
      <c r="M93" s="213">
        <f>前台好评提成录入!M98*$E93</f>
        <v>0</v>
      </c>
      <c r="N93" s="213">
        <f>前台好评提成录入!N98*$E93</f>
        <v>0</v>
      </c>
      <c r="O93" s="213">
        <f>前台好评提成录入!O98*$E93</f>
        <v>0</v>
      </c>
      <c r="P93" s="213">
        <f>前台好评提成录入!P98*$E93</f>
        <v>0</v>
      </c>
      <c r="Q93" s="213">
        <f>前台好评提成录入!Q98*$E93</f>
        <v>0</v>
      </c>
      <c r="R93" s="213">
        <f>前台好评提成录入!R98*$E93</f>
        <v>0</v>
      </c>
      <c r="S93" s="213">
        <f>前台好评提成录入!S98*$E93</f>
        <v>0</v>
      </c>
      <c r="T93" s="213">
        <f>前台好评提成录入!T98*$E93</f>
        <v>0</v>
      </c>
      <c r="U93" s="213">
        <f>前台好评提成录入!U98*$E93</f>
        <v>0</v>
      </c>
      <c r="V93" s="213">
        <f>前台好评提成录入!V98*$E93</f>
        <v>0</v>
      </c>
      <c r="W93" s="213">
        <f>前台好评提成录入!W98*$E93</f>
        <v>0</v>
      </c>
      <c r="X93" s="213">
        <f>前台好评提成录入!X98*$E93</f>
        <v>0</v>
      </c>
      <c r="Y93" s="213">
        <f>前台好评提成录入!Y98*$E93</f>
        <v>0</v>
      </c>
      <c r="Z93" s="213">
        <f>前台好评提成录入!Z98*$E93</f>
        <v>0</v>
      </c>
      <c r="AA93" s="213">
        <f>前台好评提成录入!AA98*$E93</f>
        <v>0</v>
      </c>
      <c r="AB93" s="213">
        <f>前台好评提成录入!AB98*$E93</f>
        <v>0</v>
      </c>
      <c r="AC93" s="213">
        <f>前台好评提成录入!AC98*$E93</f>
        <v>0</v>
      </c>
      <c r="AD93" s="213">
        <f>前台好评提成录入!AD98*$E93</f>
        <v>0</v>
      </c>
      <c r="AE93" s="213">
        <f>前台好评提成录入!AE98*$E93</f>
        <v>0</v>
      </c>
      <c r="AF93" s="213">
        <f>前台好评提成录入!AF98*$E93</f>
        <v>0</v>
      </c>
      <c r="AG93" s="213">
        <f>前台好评提成录入!AG98*$E93</f>
        <v>0</v>
      </c>
      <c r="AH93" s="213">
        <f>前台好评提成录入!AH98*$E93</f>
        <v>0</v>
      </c>
      <c r="AI93" s="213">
        <f>前台好评提成录入!AI98*$E93</f>
        <v>0</v>
      </c>
      <c r="AJ93" s="213">
        <f>前台好评提成录入!AJ98*$E93</f>
        <v>0</v>
      </c>
      <c r="AK93" s="213">
        <f>前台好评提成录入!AK98*$E93</f>
        <v>0</v>
      </c>
      <c r="AL93" s="213">
        <f>前台好评提成录入!AL98*$E93</f>
        <v>0</v>
      </c>
    </row>
    <row r="94" s="178" customFormat="1" customHeight="1" spans="1:38">
      <c r="A94" s="161">
        <v>90</v>
      </c>
      <c r="B94" s="21">
        <f>前台好评提成录入!B99</f>
        <v>0</v>
      </c>
      <c r="C94" s="21">
        <f>前台好评提成录入!C99</f>
        <v>0</v>
      </c>
      <c r="D94" s="21" t="str">
        <f>前台好评提成录入!D99</f>
        <v>条</v>
      </c>
      <c r="E94" s="21">
        <f>前台好评提成录入!E99</f>
        <v>0</v>
      </c>
      <c r="F94" s="21">
        <f>前台好评提成录入!F99</f>
        <v>0</v>
      </c>
      <c r="G94" s="21">
        <f>前台好评提成录入!G99</f>
        <v>0</v>
      </c>
      <c r="H94" s="213">
        <f>前台好评提成录入!H99*$E94</f>
        <v>0</v>
      </c>
      <c r="I94" s="213">
        <f>前台好评提成录入!I99*$E94</f>
        <v>0</v>
      </c>
      <c r="J94" s="213">
        <f>前台好评提成录入!J99*$E94</f>
        <v>0</v>
      </c>
      <c r="K94" s="213">
        <f>前台好评提成录入!K99*$E94</f>
        <v>0</v>
      </c>
      <c r="L94" s="213">
        <f>前台好评提成录入!L99*$E94</f>
        <v>0</v>
      </c>
      <c r="M94" s="213">
        <f>前台好评提成录入!M99*$E94</f>
        <v>0</v>
      </c>
      <c r="N94" s="213">
        <f>前台好评提成录入!N99*$E94</f>
        <v>0</v>
      </c>
      <c r="O94" s="213">
        <f>前台好评提成录入!O99*$E94</f>
        <v>0</v>
      </c>
      <c r="P94" s="213">
        <f>前台好评提成录入!P99*$E94</f>
        <v>0</v>
      </c>
      <c r="Q94" s="213">
        <f>前台好评提成录入!Q99*$E94</f>
        <v>0</v>
      </c>
      <c r="R94" s="213">
        <f>前台好评提成录入!R99*$E94</f>
        <v>0</v>
      </c>
      <c r="S94" s="213">
        <f>前台好评提成录入!S99*$E94</f>
        <v>0</v>
      </c>
      <c r="T94" s="213">
        <f>前台好评提成录入!T99*$E94</f>
        <v>0</v>
      </c>
      <c r="U94" s="213">
        <f>前台好评提成录入!U99*$E94</f>
        <v>0</v>
      </c>
      <c r="V94" s="213">
        <f>前台好评提成录入!V99*$E94</f>
        <v>0</v>
      </c>
      <c r="W94" s="213">
        <f>前台好评提成录入!W99*$E94</f>
        <v>0</v>
      </c>
      <c r="X94" s="213">
        <f>前台好评提成录入!X99*$E94</f>
        <v>0</v>
      </c>
      <c r="Y94" s="213">
        <f>前台好评提成录入!Y99*$E94</f>
        <v>0</v>
      </c>
      <c r="Z94" s="213">
        <f>前台好评提成录入!Z99*$E94</f>
        <v>0</v>
      </c>
      <c r="AA94" s="213">
        <f>前台好评提成录入!AA99*$E94</f>
        <v>0</v>
      </c>
      <c r="AB94" s="213">
        <f>前台好评提成录入!AB99*$E94</f>
        <v>0</v>
      </c>
      <c r="AC94" s="213">
        <f>前台好评提成录入!AC99*$E94</f>
        <v>0</v>
      </c>
      <c r="AD94" s="213">
        <f>前台好评提成录入!AD99*$E94</f>
        <v>0</v>
      </c>
      <c r="AE94" s="213">
        <f>前台好评提成录入!AE99*$E94</f>
        <v>0</v>
      </c>
      <c r="AF94" s="213">
        <f>前台好评提成录入!AF99*$E94</f>
        <v>0</v>
      </c>
      <c r="AG94" s="213">
        <f>前台好评提成录入!AG99*$E94</f>
        <v>0</v>
      </c>
      <c r="AH94" s="213">
        <f>前台好评提成录入!AH99*$E94</f>
        <v>0</v>
      </c>
      <c r="AI94" s="213">
        <f>前台好评提成录入!AI99*$E94</f>
        <v>0</v>
      </c>
      <c r="AJ94" s="213">
        <f>前台好评提成录入!AJ99*$E94</f>
        <v>0</v>
      </c>
      <c r="AK94" s="213">
        <f>前台好评提成录入!AK99*$E94</f>
        <v>0</v>
      </c>
      <c r="AL94" s="213">
        <f>前台好评提成录入!AL99*$E94</f>
        <v>0</v>
      </c>
    </row>
    <row r="95" s="178" customFormat="1" customHeight="1" spans="1:38">
      <c r="A95" s="161">
        <v>91</v>
      </c>
      <c r="B95" s="21">
        <f>前台好评提成录入!B100</f>
        <v>0</v>
      </c>
      <c r="C95" s="21">
        <f>前台好评提成录入!C100</f>
        <v>0</v>
      </c>
      <c r="D95" s="21" t="str">
        <f>前台好评提成录入!D100</f>
        <v>条</v>
      </c>
      <c r="E95" s="21">
        <f>前台好评提成录入!E100</f>
        <v>0</v>
      </c>
      <c r="F95" s="21">
        <f>前台好评提成录入!F100</f>
        <v>0</v>
      </c>
      <c r="G95" s="21">
        <f>前台好评提成录入!G100</f>
        <v>0</v>
      </c>
      <c r="H95" s="213">
        <f>前台好评提成录入!H100*$E95</f>
        <v>0</v>
      </c>
      <c r="I95" s="213">
        <f>前台好评提成录入!I100*$E95</f>
        <v>0</v>
      </c>
      <c r="J95" s="213">
        <f>前台好评提成录入!J100*$E95</f>
        <v>0</v>
      </c>
      <c r="K95" s="213">
        <f>前台好评提成录入!K100*$E95</f>
        <v>0</v>
      </c>
      <c r="L95" s="213">
        <f>前台好评提成录入!L100*$E95</f>
        <v>0</v>
      </c>
      <c r="M95" s="213">
        <f>前台好评提成录入!M100*$E95</f>
        <v>0</v>
      </c>
      <c r="N95" s="213">
        <f>前台好评提成录入!N100*$E95</f>
        <v>0</v>
      </c>
      <c r="O95" s="213">
        <f>前台好评提成录入!O100*$E95</f>
        <v>0</v>
      </c>
      <c r="P95" s="213">
        <f>前台好评提成录入!P100*$E95</f>
        <v>0</v>
      </c>
      <c r="Q95" s="213">
        <f>前台好评提成录入!Q100*$E95</f>
        <v>0</v>
      </c>
      <c r="R95" s="213">
        <f>前台好评提成录入!R100*$E95</f>
        <v>0</v>
      </c>
      <c r="S95" s="213">
        <f>前台好评提成录入!S100*$E95</f>
        <v>0</v>
      </c>
      <c r="T95" s="213">
        <f>前台好评提成录入!T100*$E95</f>
        <v>0</v>
      </c>
      <c r="U95" s="213">
        <f>前台好评提成录入!U100*$E95</f>
        <v>0</v>
      </c>
      <c r="V95" s="213">
        <f>前台好评提成录入!V100*$E95</f>
        <v>0</v>
      </c>
      <c r="W95" s="213">
        <f>前台好评提成录入!W100*$E95</f>
        <v>0</v>
      </c>
      <c r="X95" s="213">
        <f>前台好评提成录入!X100*$E95</f>
        <v>0</v>
      </c>
      <c r="Y95" s="213">
        <f>前台好评提成录入!Y100*$E95</f>
        <v>0</v>
      </c>
      <c r="Z95" s="213">
        <f>前台好评提成录入!Z100*$E95</f>
        <v>0</v>
      </c>
      <c r="AA95" s="213">
        <f>前台好评提成录入!AA100*$E95</f>
        <v>0</v>
      </c>
      <c r="AB95" s="213">
        <f>前台好评提成录入!AB100*$E95</f>
        <v>0</v>
      </c>
      <c r="AC95" s="213">
        <f>前台好评提成录入!AC100*$E95</f>
        <v>0</v>
      </c>
      <c r="AD95" s="213">
        <f>前台好评提成录入!AD100*$E95</f>
        <v>0</v>
      </c>
      <c r="AE95" s="213">
        <f>前台好评提成录入!AE100*$E95</f>
        <v>0</v>
      </c>
      <c r="AF95" s="213">
        <f>前台好评提成录入!AF100*$E95</f>
        <v>0</v>
      </c>
      <c r="AG95" s="213">
        <f>前台好评提成录入!AG100*$E95</f>
        <v>0</v>
      </c>
      <c r="AH95" s="213">
        <f>前台好评提成录入!AH100*$E95</f>
        <v>0</v>
      </c>
      <c r="AI95" s="213">
        <f>前台好评提成录入!AI100*$E95</f>
        <v>0</v>
      </c>
      <c r="AJ95" s="213">
        <f>前台好评提成录入!AJ100*$E95</f>
        <v>0</v>
      </c>
      <c r="AK95" s="213">
        <f>前台好评提成录入!AK100*$E95</f>
        <v>0</v>
      </c>
      <c r="AL95" s="213">
        <f>前台好评提成录入!AL100*$E95</f>
        <v>0</v>
      </c>
    </row>
    <row r="96" s="178" customFormat="1" customHeight="1" spans="1:38">
      <c r="A96" s="161">
        <v>92</v>
      </c>
      <c r="B96" s="21">
        <f>前台好评提成录入!B101</f>
        <v>0</v>
      </c>
      <c r="C96" s="21">
        <f>前台好评提成录入!C101</f>
        <v>0</v>
      </c>
      <c r="D96" s="21" t="str">
        <f>前台好评提成录入!D101</f>
        <v>条</v>
      </c>
      <c r="E96" s="21">
        <f>前台好评提成录入!E101</f>
        <v>0</v>
      </c>
      <c r="F96" s="21">
        <f>前台好评提成录入!F101</f>
        <v>0</v>
      </c>
      <c r="G96" s="21">
        <f>前台好评提成录入!G101</f>
        <v>0</v>
      </c>
      <c r="H96" s="213">
        <f>前台好评提成录入!H101*$E96</f>
        <v>0</v>
      </c>
      <c r="I96" s="213">
        <f>前台好评提成录入!I101*$E96</f>
        <v>0</v>
      </c>
      <c r="J96" s="213">
        <f>前台好评提成录入!J101*$E96</f>
        <v>0</v>
      </c>
      <c r="K96" s="213">
        <f>前台好评提成录入!K101*$E96</f>
        <v>0</v>
      </c>
      <c r="L96" s="213">
        <f>前台好评提成录入!L101*$E96</f>
        <v>0</v>
      </c>
      <c r="M96" s="213">
        <f>前台好评提成录入!M101*$E96</f>
        <v>0</v>
      </c>
      <c r="N96" s="213">
        <f>前台好评提成录入!N101*$E96</f>
        <v>0</v>
      </c>
      <c r="O96" s="213">
        <f>前台好评提成录入!O101*$E96</f>
        <v>0</v>
      </c>
      <c r="P96" s="213">
        <f>前台好评提成录入!P101*$E96</f>
        <v>0</v>
      </c>
      <c r="Q96" s="213">
        <f>前台好评提成录入!Q101*$E96</f>
        <v>0</v>
      </c>
      <c r="R96" s="213">
        <f>前台好评提成录入!R101*$E96</f>
        <v>0</v>
      </c>
      <c r="S96" s="213">
        <f>前台好评提成录入!S101*$E96</f>
        <v>0</v>
      </c>
      <c r="T96" s="213">
        <f>前台好评提成录入!T101*$E96</f>
        <v>0</v>
      </c>
      <c r="U96" s="213">
        <f>前台好评提成录入!U101*$E96</f>
        <v>0</v>
      </c>
      <c r="V96" s="213">
        <f>前台好评提成录入!V101*$E96</f>
        <v>0</v>
      </c>
      <c r="W96" s="213">
        <f>前台好评提成录入!W101*$E96</f>
        <v>0</v>
      </c>
      <c r="X96" s="213">
        <f>前台好评提成录入!X101*$E96</f>
        <v>0</v>
      </c>
      <c r="Y96" s="213">
        <f>前台好评提成录入!Y101*$E96</f>
        <v>0</v>
      </c>
      <c r="Z96" s="213">
        <f>前台好评提成录入!Z101*$E96</f>
        <v>0</v>
      </c>
      <c r="AA96" s="213">
        <f>前台好评提成录入!AA101*$E96</f>
        <v>0</v>
      </c>
      <c r="AB96" s="213">
        <f>前台好评提成录入!AB101*$E96</f>
        <v>0</v>
      </c>
      <c r="AC96" s="213">
        <f>前台好评提成录入!AC101*$E96</f>
        <v>0</v>
      </c>
      <c r="AD96" s="213">
        <f>前台好评提成录入!AD101*$E96</f>
        <v>0</v>
      </c>
      <c r="AE96" s="213">
        <f>前台好评提成录入!AE101*$E96</f>
        <v>0</v>
      </c>
      <c r="AF96" s="213">
        <f>前台好评提成录入!AF101*$E96</f>
        <v>0</v>
      </c>
      <c r="AG96" s="213">
        <f>前台好评提成录入!AG101*$E96</f>
        <v>0</v>
      </c>
      <c r="AH96" s="213">
        <f>前台好评提成录入!AH101*$E96</f>
        <v>0</v>
      </c>
      <c r="AI96" s="213">
        <f>前台好评提成录入!AI101*$E96</f>
        <v>0</v>
      </c>
      <c r="AJ96" s="213">
        <f>前台好评提成录入!AJ101*$E96</f>
        <v>0</v>
      </c>
      <c r="AK96" s="213">
        <f>前台好评提成录入!AK101*$E96</f>
        <v>0</v>
      </c>
      <c r="AL96" s="213">
        <f>前台好评提成录入!AL101*$E96</f>
        <v>0</v>
      </c>
    </row>
    <row r="97" s="178" customFormat="1" customHeight="1" spans="1:38">
      <c r="A97" s="161">
        <v>93</v>
      </c>
      <c r="B97" s="21">
        <f>前台好评提成录入!B102</f>
        <v>0</v>
      </c>
      <c r="C97" s="21">
        <f>前台好评提成录入!C102</f>
        <v>0</v>
      </c>
      <c r="D97" s="21" t="str">
        <f>前台好评提成录入!D102</f>
        <v>条</v>
      </c>
      <c r="E97" s="21">
        <f>前台好评提成录入!E102</f>
        <v>0</v>
      </c>
      <c r="F97" s="21">
        <f>前台好评提成录入!F102</f>
        <v>0</v>
      </c>
      <c r="G97" s="21">
        <f>前台好评提成录入!G102</f>
        <v>0</v>
      </c>
      <c r="H97" s="213">
        <f>前台好评提成录入!H102*$E97</f>
        <v>0</v>
      </c>
      <c r="I97" s="213">
        <f>前台好评提成录入!I102*$E97</f>
        <v>0</v>
      </c>
      <c r="J97" s="213">
        <f>前台好评提成录入!J102*$E97</f>
        <v>0</v>
      </c>
      <c r="K97" s="213">
        <f>前台好评提成录入!K102*$E97</f>
        <v>0</v>
      </c>
      <c r="L97" s="213">
        <f>前台好评提成录入!L102*$E97</f>
        <v>0</v>
      </c>
      <c r="M97" s="213">
        <f>前台好评提成录入!M102*$E97</f>
        <v>0</v>
      </c>
      <c r="N97" s="213">
        <f>前台好评提成录入!N102*$E97</f>
        <v>0</v>
      </c>
      <c r="O97" s="213">
        <f>前台好评提成录入!O102*$E97</f>
        <v>0</v>
      </c>
      <c r="P97" s="213">
        <f>前台好评提成录入!P102*$E97</f>
        <v>0</v>
      </c>
      <c r="Q97" s="213">
        <f>前台好评提成录入!Q102*$E97</f>
        <v>0</v>
      </c>
      <c r="R97" s="213">
        <f>前台好评提成录入!R102*$E97</f>
        <v>0</v>
      </c>
      <c r="S97" s="213">
        <f>前台好评提成录入!S102*$E97</f>
        <v>0</v>
      </c>
      <c r="T97" s="213">
        <f>前台好评提成录入!T102*$E97</f>
        <v>0</v>
      </c>
      <c r="U97" s="213">
        <f>前台好评提成录入!U102*$E97</f>
        <v>0</v>
      </c>
      <c r="V97" s="213">
        <f>前台好评提成录入!V102*$E97</f>
        <v>0</v>
      </c>
      <c r="W97" s="213">
        <f>前台好评提成录入!W102*$E97</f>
        <v>0</v>
      </c>
      <c r="X97" s="213">
        <f>前台好评提成录入!X102*$E97</f>
        <v>0</v>
      </c>
      <c r="Y97" s="213">
        <f>前台好评提成录入!Y102*$E97</f>
        <v>0</v>
      </c>
      <c r="Z97" s="213">
        <f>前台好评提成录入!Z102*$E97</f>
        <v>0</v>
      </c>
      <c r="AA97" s="213">
        <f>前台好评提成录入!AA102*$E97</f>
        <v>0</v>
      </c>
      <c r="AB97" s="213">
        <f>前台好评提成录入!AB102*$E97</f>
        <v>0</v>
      </c>
      <c r="AC97" s="213">
        <f>前台好评提成录入!AC102*$E97</f>
        <v>0</v>
      </c>
      <c r="AD97" s="213">
        <f>前台好评提成录入!AD102*$E97</f>
        <v>0</v>
      </c>
      <c r="AE97" s="213">
        <f>前台好评提成录入!AE102*$E97</f>
        <v>0</v>
      </c>
      <c r="AF97" s="213">
        <f>前台好评提成录入!AF102*$E97</f>
        <v>0</v>
      </c>
      <c r="AG97" s="213">
        <f>前台好评提成录入!AG102*$E97</f>
        <v>0</v>
      </c>
      <c r="AH97" s="213">
        <f>前台好评提成录入!AH102*$E97</f>
        <v>0</v>
      </c>
      <c r="AI97" s="213">
        <f>前台好评提成录入!AI102*$E97</f>
        <v>0</v>
      </c>
      <c r="AJ97" s="213">
        <f>前台好评提成录入!AJ102*$E97</f>
        <v>0</v>
      </c>
      <c r="AK97" s="213">
        <f>前台好评提成录入!AK102*$E97</f>
        <v>0</v>
      </c>
      <c r="AL97" s="213">
        <f>前台好评提成录入!AL102*$E97</f>
        <v>0</v>
      </c>
    </row>
    <row r="98" s="178" customFormat="1" customHeight="1" spans="1:38">
      <c r="A98" s="161">
        <v>94</v>
      </c>
      <c r="B98" s="21">
        <f>前台好评提成录入!B103</f>
        <v>0</v>
      </c>
      <c r="C98" s="21">
        <f>前台好评提成录入!C103</f>
        <v>0</v>
      </c>
      <c r="D98" s="21" t="str">
        <f>前台好评提成录入!D103</f>
        <v>条</v>
      </c>
      <c r="E98" s="21">
        <f>前台好评提成录入!E103</f>
        <v>0</v>
      </c>
      <c r="F98" s="21">
        <f>前台好评提成录入!F103</f>
        <v>0</v>
      </c>
      <c r="G98" s="21">
        <f>前台好评提成录入!G103</f>
        <v>0</v>
      </c>
      <c r="H98" s="213">
        <f>前台好评提成录入!H103*$E98</f>
        <v>0</v>
      </c>
      <c r="I98" s="213">
        <f>前台好评提成录入!I103*$E98</f>
        <v>0</v>
      </c>
      <c r="J98" s="213">
        <f>前台好评提成录入!J103*$E98</f>
        <v>0</v>
      </c>
      <c r="K98" s="213">
        <f>前台好评提成录入!K103*$E98</f>
        <v>0</v>
      </c>
      <c r="L98" s="213">
        <f>前台好评提成录入!L103*$E98</f>
        <v>0</v>
      </c>
      <c r="M98" s="213">
        <f>前台好评提成录入!M103*$E98</f>
        <v>0</v>
      </c>
      <c r="N98" s="213">
        <f>前台好评提成录入!N103*$E98</f>
        <v>0</v>
      </c>
      <c r="O98" s="213">
        <f>前台好评提成录入!O103*$E98</f>
        <v>0</v>
      </c>
      <c r="P98" s="213">
        <f>前台好评提成录入!P103*$E98</f>
        <v>0</v>
      </c>
      <c r="Q98" s="213">
        <f>前台好评提成录入!Q103*$E98</f>
        <v>0</v>
      </c>
      <c r="R98" s="213">
        <f>前台好评提成录入!R103*$E98</f>
        <v>0</v>
      </c>
      <c r="S98" s="213">
        <f>前台好评提成录入!S103*$E98</f>
        <v>0</v>
      </c>
      <c r="T98" s="213">
        <f>前台好评提成录入!T103*$E98</f>
        <v>0</v>
      </c>
      <c r="U98" s="213">
        <f>前台好评提成录入!U103*$E98</f>
        <v>0</v>
      </c>
      <c r="V98" s="213">
        <f>前台好评提成录入!V103*$E98</f>
        <v>0</v>
      </c>
      <c r="W98" s="213">
        <f>前台好评提成录入!W103*$E98</f>
        <v>0</v>
      </c>
      <c r="X98" s="213">
        <f>前台好评提成录入!X103*$E98</f>
        <v>0</v>
      </c>
      <c r="Y98" s="213">
        <f>前台好评提成录入!Y103*$E98</f>
        <v>0</v>
      </c>
      <c r="Z98" s="213">
        <f>前台好评提成录入!Z103*$E98</f>
        <v>0</v>
      </c>
      <c r="AA98" s="213">
        <f>前台好评提成录入!AA103*$E98</f>
        <v>0</v>
      </c>
      <c r="AB98" s="213">
        <f>前台好评提成录入!AB103*$E98</f>
        <v>0</v>
      </c>
      <c r="AC98" s="213">
        <f>前台好评提成录入!AC103*$E98</f>
        <v>0</v>
      </c>
      <c r="AD98" s="213">
        <f>前台好评提成录入!AD103*$E98</f>
        <v>0</v>
      </c>
      <c r="AE98" s="213">
        <f>前台好评提成录入!AE103*$E98</f>
        <v>0</v>
      </c>
      <c r="AF98" s="213">
        <f>前台好评提成录入!AF103*$E98</f>
        <v>0</v>
      </c>
      <c r="AG98" s="213">
        <f>前台好评提成录入!AG103*$E98</f>
        <v>0</v>
      </c>
      <c r="AH98" s="213">
        <f>前台好评提成录入!AH103*$E98</f>
        <v>0</v>
      </c>
      <c r="AI98" s="213">
        <f>前台好评提成录入!AI103*$E98</f>
        <v>0</v>
      </c>
      <c r="AJ98" s="213">
        <f>前台好评提成录入!AJ103*$E98</f>
        <v>0</v>
      </c>
      <c r="AK98" s="213">
        <f>前台好评提成录入!AK103*$E98</f>
        <v>0</v>
      </c>
      <c r="AL98" s="213">
        <f>前台好评提成录入!AL103*$E98</f>
        <v>0</v>
      </c>
    </row>
    <row r="99" s="178" customFormat="1" customHeight="1" spans="1:38">
      <c r="A99" s="161">
        <v>95</v>
      </c>
      <c r="B99" s="21">
        <f>前台好评提成录入!B104</f>
        <v>0</v>
      </c>
      <c r="C99" s="21">
        <f>前台好评提成录入!C104</f>
        <v>0</v>
      </c>
      <c r="D99" s="21" t="str">
        <f>前台好评提成录入!D104</f>
        <v>条</v>
      </c>
      <c r="E99" s="21">
        <f>前台好评提成录入!E104</f>
        <v>0</v>
      </c>
      <c r="F99" s="21">
        <f>前台好评提成录入!F104</f>
        <v>0</v>
      </c>
      <c r="G99" s="21">
        <f>前台好评提成录入!G104</f>
        <v>0</v>
      </c>
      <c r="H99" s="213">
        <f>前台好评提成录入!H104*$E99</f>
        <v>0</v>
      </c>
      <c r="I99" s="213">
        <f>前台好评提成录入!I104*$E99</f>
        <v>0</v>
      </c>
      <c r="J99" s="213">
        <f>前台好评提成录入!J104*$E99</f>
        <v>0</v>
      </c>
      <c r="K99" s="213">
        <f>前台好评提成录入!K104*$E99</f>
        <v>0</v>
      </c>
      <c r="L99" s="213">
        <f>前台好评提成录入!L104*$E99</f>
        <v>0</v>
      </c>
      <c r="M99" s="213">
        <f>前台好评提成录入!M104*$E99</f>
        <v>0</v>
      </c>
      <c r="N99" s="213">
        <f>前台好评提成录入!N104*$E99</f>
        <v>0</v>
      </c>
      <c r="O99" s="213">
        <f>前台好评提成录入!O104*$E99</f>
        <v>0</v>
      </c>
      <c r="P99" s="213">
        <f>前台好评提成录入!P104*$E99</f>
        <v>0</v>
      </c>
      <c r="Q99" s="213">
        <f>前台好评提成录入!Q104*$E99</f>
        <v>0</v>
      </c>
      <c r="R99" s="213">
        <f>前台好评提成录入!R104*$E99</f>
        <v>0</v>
      </c>
      <c r="S99" s="213">
        <f>前台好评提成录入!S104*$E99</f>
        <v>0</v>
      </c>
      <c r="T99" s="213">
        <f>前台好评提成录入!T104*$E99</f>
        <v>0</v>
      </c>
      <c r="U99" s="213">
        <f>前台好评提成录入!U104*$E99</f>
        <v>0</v>
      </c>
      <c r="V99" s="213">
        <f>前台好评提成录入!V104*$E99</f>
        <v>0</v>
      </c>
      <c r="W99" s="213">
        <f>前台好评提成录入!W104*$E99</f>
        <v>0</v>
      </c>
      <c r="X99" s="213">
        <f>前台好评提成录入!X104*$E99</f>
        <v>0</v>
      </c>
      <c r="Y99" s="213">
        <f>前台好评提成录入!Y104*$E99</f>
        <v>0</v>
      </c>
      <c r="Z99" s="213">
        <f>前台好评提成录入!Z104*$E99</f>
        <v>0</v>
      </c>
      <c r="AA99" s="213">
        <f>前台好评提成录入!AA104*$E99</f>
        <v>0</v>
      </c>
      <c r="AB99" s="213">
        <f>前台好评提成录入!AB104*$E99</f>
        <v>0</v>
      </c>
      <c r="AC99" s="213">
        <f>前台好评提成录入!AC104*$E99</f>
        <v>0</v>
      </c>
      <c r="AD99" s="213">
        <f>前台好评提成录入!AD104*$E99</f>
        <v>0</v>
      </c>
      <c r="AE99" s="213">
        <f>前台好评提成录入!AE104*$E99</f>
        <v>0</v>
      </c>
      <c r="AF99" s="213">
        <f>前台好评提成录入!AF104*$E99</f>
        <v>0</v>
      </c>
      <c r="AG99" s="213">
        <f>前台好评提成录入!AG104*$E99</f>
        <v>0</v>
      </c>
      <c r="AH99" s="213">
        <f>前台好评提成录入!AH104*$E99</f>
        <v>0</v>
      </c>
      <c r="AI99" s="213">
        <f>前台好评提成录入!AI104*$E99</f>
        <v>0</v>
      </c>
      <c r="AJ99" s="213">
        <f>前台好评提成录入!AJ104*$E99</f>
        <v>0</v>
      </c>
      <c r="AK99" s="213">
        <f>前台好评提成录入!AK104*$E99</f>
        <v>0</v>
      </c>
      <c r="AL99" s="213">
        <f>前台好评提成录入!AL104*$E99</f>
        <v>0</v>
      </c>
    </row>
    <row r="100" s="178" customFormat="1" customHeight="1" spans="1:38">
      <c r="A100" s="161">
        <v>96</v>
      </c>
      <c r="B100" s="21">
        <f>前台好评提成录入!B105</f>
        <v>0</v>
      </c>
      <c r="C100" s="21">
        <f>前台好评提成录入!C105</f>
        <v>0</v>
      </c>
      <c r="D100" s="21" t="str">
        <f>前台好评提成录入!D105</f>
        <v>条</v>
      </c>
      <c r="E100" s="21">
        <f>前台好评提成录入!E105</f>
        <v>0</v>
      </c>
      <c r="F100" s="21">
        <f>前台好评提成录入!F105</f>
        <v>0</v>
      </c>
      <c r="G100" s="21">
        <f>前台好评提成录入!G105</f>
        <v>0</v>
      </c>
      <c r="H100" s="213">
        <f>前台好评提成录入!H105*$E100</f>
        <v>0</v>
      </c>
      <c r="I100" s="213">
        <f>前台好评提成录入!I105*$E100</f>
        <v>0</v>
      </c>
      <c r="J100" s="213">
        <f>前台好评提成录入!J105*$E100</f>
        <v>0</v>
      </c>
      <c r="K100" s="213">
        <f>前台好评提成录入!K105*$E100</f>
        <v>0</v>
      </c>
      <c r="L100" s="213">
        <f>前台好评提成录入!L105*$E100</f>
        <v>0</v>
      </c>
      <c r="M100" s="213">
        <f>前台好评提成录入!M105*$E100</f>
        <v>0</v>
      </c>
      <c r="N100" s="213">
        <f>前台好评提成录入!N105*$E100</f>
        <v>0</v>
      </c>
      <c r="O100" s="213">
        <f>前台好评提成录入!O105*$E100</f>
        <v>0</v>
      </c>
      <c r="P100" s="213">
        <f>前台好评提成录入!P105*$E100</f>
        <v>0</v>
      </c>
      <c r="Q100" s="213">
        <f>前台好评提成录入!Q105*$E100</f>
        <v>0</v>
      </c>
      <c r="R100" s="213">
        <f>前台好评提成录入!R105*$E100</f>
        <v>0</v>
      </c>
      <c r="S100" s="213">
        <f>前台好评提成录入!S105*$E100</f>
        <v>0</v>
      </c>
      <c r="T100" s="213">
        <f>前台好评提成录入!T105*$E100</f>
        <v>0</v>
      </c>
      <c r="U100" s="213">
        <f>前台好评提成录入!U105*$E100</f>
        <v>0</v>
      </c>
      <c r="V100" s="213">
        <f>前台好评提成录入!V105*$E100</f>
        <v>0</v>
      </c>
      <c r="W100" s="213">
        <f>前台好评提成录入!W105*$E100</f>
        <v>0</v>
      </c>
      <c r="X100" s="213">
        <f>前台好评提成录入!X105*$E100</f>
        <v>0</v>
      </c>
      <c r="Y100" s="213">
        <f>前台好评提成录入!Y105*$E100</f>
        <v>0</v>
      </c>
      <c r="Z100" s="213">
        <f>前台好评提成录入!Z105*$E100</f>
        <v>0</v>
      </c>
      <c r="AA100" s="213">
        <f>前台好评提成录入!AA105*$E100</f>
        <v>0</v>
      </c>
      <c r="AB100" s="213">
        <f>前台好评提成录入!AB105*$E100</f>
        <v>0</v>
      </c>
      <c r="AC100" s="213">
        <f>前台好评提成录入!AC105*$E100</f>
        <v>0</v>
      </c>
      <c r="AD100" s="213">
        <f>前台好评提成录入!AD105*$E100</f>
        <v>0</v>
      </c>
      <c r="AE100" s="213">
        <f>前台好评提成录入!AE105*$E100</f>
        <v>0</v>
      </c>
      <c r="AF100" s="213">
        <f>前台好评提成录入!AF105*$E100</f>
        <v>0</v>
      </c>
      <c r="AG100" s="213">
        <f>前台好评提成录入!AG105*$E100</f>
        <v>0</v>
      </c>
      <c r="AH100" s="213">
        <f>前台好评提成录入!AH105*$E100</f>
        <v>0</v>
      </c>
      <c r="AI100" s="213">
        <f>前台好评提成录入!AI105*$E100</f>
        <v>0</v>
      </c>
      <c r="AJ100" s="213">
        <f>前台好评提成录入!AJ105*$E100</f>
        <v>0</v>
      </c>
      <c r="AK100" s="213">
        <f>前台好评提成录入!AK105*$E100</f>
        <v>0</v>
      </c>
      <c r="AL100" s="213">
        <f>前台好评提成录入!AL105*$E100</f>
        <v>0</v>
      </c>
    </row>
    <row r="101" s="178" customFormat="1" customHeight="1" spans="1:38">
      <c r="A101" s="161">
        <v>97</v>
      </c>
      <c r="B101" s="21">
        <f>前台好评提成录入!B106</f>
        <v>0</v>
      </c>
      <c r="C101" s="21">
        <f>前台好评提成录入!C106</f>
        <v>0</v>
      </c>
      <c r="D101" s="21" t="str">
        <f>前台好评提成录入!D106</f>
        <v>条</v>
      </c>
      <c r="E101" s="21">
        <f>前台好评提成录入!E106</f>
        <v>0</v>
      </c>
      <c r="F101" s="21">
        <f>前台好评提成录入!F106</f>
        <v>0</v>
      </c>
      <c r="G101" s="21">
        <f>前台好评提成录入!G106</f>
        <v>0</v>
      </c>
      <c r="H101" s="213">
        <f>前台好评提成录入!H106*$E101</f>
        <v>0</v>
      </c>
      <c r="I101" s="213">
        <f>前台好评提成录入!I106*$E101</f>
        <v>0</v>
      </c>
      <c r="J101" s="213">
        <f>前台好评提成录入!J106*$E101</f>
        <v>0</v>
      </c>
      <c r="K101" s="213">
        <f>前台好评提成录入!K106*$E101</f>
        <v>0</v>
      </c>
      <c r="L101" s="213">
        <f>前台好评提成录入!L106*$E101</f>
        <v>0</v>
      </c>
      <c r="M101" s="213">
        <f>前台好评提成录入!M106*$E101</f>
        <v>0</v>
      </c>
      <c r="N101" s="213">
        <f>前台好评提成录入!N106*$E101</f>
        <v>0</v>
      </c>
      <c r="O101" s="213">
        <f>前台好评提成录入!O106*$E101</f>
        <v>0</v>
      </c>
      <c r="P101" s="213">
        <f>前台好评提成录入!P106*$E101</f>
        <v>0</v>
      </c>
      <c r="Q101" s="213">
        <f>前台好评提成录入!Q106*$E101</f>
        <v>0</v>
      </c>
      <c r="R101" s="213">
        <f>前台好评提成录入!R106*$E101</f>
        <v>0</v>
      </c>
      <c r="S101" s="213">
        <f>前台好评提成录入!S106*$E101</f>
        <v>0</v>
      </c>
      <c r="T101" s="213">
        <f>前台好评提成录入!T106*$E101</f>
        <v>0</v>
      </c>
      <c r="U101" s="213">
        <f>前台好评提成录入!U106*$E101</f>
        <v>0</v>
      </c>
      <c r="V101" s="213">
        <f>前台好评提成录入!V106*$E101</f>
        <v>0</v>
      </c>
      <c r="W101" s="213">
        <f>前台好评提成录入!W106*$E101</f>
        <v>0</v>
      </c>
      <c r="X101" s="213">
        <f>前台好评提成录入!X106*$E101</f>
        <v>0</v>
      </c>
      <c r="Y101" s="213">
        <f>前台好评提成录入!Y106*$E101</f>
        <v>0</v>
      </c>
      <c r="Z101" s="213">
        <f>前台好评提成录入!Z106*$E101</f>
        <v>0</v>
      </c>
      <c r="AA101" s="213">
        <f>前台好评提成录入!AA106*$E101</f>
        <v>0</v>
      </c>
      <c r="AB101" s="213">
        <f>前台好评提成录入!AB106*$E101</f>
        <v>0</v>
      </c>
      <c r="AC101" s="213">
        <f>前台好评提成录入!AC106*$E101</f>
        <v>0</v>
      </c>
      <c r="AD101" s="213">
        <f>前台好评提成录入!AD106*$E101</f>
        <v>0</v>
      </c>
      <c r="AE101" s="213">
        <f>前台好评提成录入!AE106*$E101</f>
        <v>0</v>
      </c>
      <c r="AF101" s="213">
        <f>前台好评提成录入!AF106*$E101</f>
        <v>0</v>
      </c>
      <c r="AG101" s="213">
        <f>前台好评提成录入!AG106*$E101</f>
        <v>0</v>
      </c>
      <c r="AH101" s="213">
        <f>前台好评提成录入!AH106*$E101</f>
        <v>0</v>
      </c>
      <c r="AI101" s="213">
        <f>前台好评提成录入!AI106*$E101</f>
        <v>0</v>
      </c>
      <c r="AJ101" s="213">
        <f>前台好评提成录入!AJ106*$E101</f>
        <v>0</v>
      </c>
      <c r="AK101" s="213">
        <f>前台好评提成录入!AK106*$E101</f>
        <v>0</v>
      </c>
      <c r="AL101" s="213">
        <f>前台好评提成录入!AL106*$E101</f>
        <v>0</v>
      </c>
    </row>
    <row r="102" s="178" customFormat="1" customHeight="1" spans="1:38">
      <c r="A102" s="161">
        <v>98</v>
      </c>
      <c r="B102" s="21">
        <f>前台好评提成录入!B107</f>
        <v>0</v>
      </c>
      <c r="C102" s="21">
        <f>前台好评提成录入!C107</f>
        <v>0</v>
      </c>
      <c r="D102" s="21" t="str">
        <f>前台好评提成录入!D107</f>
        <v>条</v>
      </c>
      <c r="E102" s="21">
        <f>前台好评提成录入!E107</f>
        <v>0</v>
      </c>
      <c r="F102" s="21">
        <f>前台好评提成录入!F107</f>
        <v>0</v>
      </c>
      <c r="G102" s="21">
        <f>前台好评提成录入!G107</f>
        <v>0</v>
      </c>
      <c r="H102" s="213">
        <f>前台好评提成录入!H107*$E102</f>
        <v>0</v>
      </c>
      <c r="I102" s="213">
        <f>前台好评提成录入!I107*$E102</f>
        <v>0</v>
      </c>
      <c r="J102" s="213">
        <f>前台好评提成录入!J107*$E102</f>
        <v>0</v>
      </c>
      <c r="K102" s="213">
        <f>前台好评提成录入!K107*$E102</f>
        <v>0</v>
      </c>
      <c r="L102" s="213">
        <f>前台好评提成录入!L107*$E102</f>
        <v>0</v>
      </c>
      <c r="M102" s="213">
        <f>前台好评提成录入!M107*$E102</f>
        <v>0</v>
      </c>
      <c r="N102" s="213">
        <f>前台好评提成录入!N107*$E102</f>
        <v>0</v>
      </c>
      <c r="O102" s="213">
        <f>前台好评提成录入!O107*$E102</f>
        <v>0</v>
      </c>
      <c r="P102" s="213">
        <f>前台好评提成录入!P107*$E102</f>
        <v>0</v>
      </c>
      <c r="Q102" s="213">
        <f>前台好评提成录入!Q107*$E102</f>
        <v>0</v>
      </c>
      <c r="R102" s="213">
        <f>前台好评提成录入!R107*$E102</f>
        <v>0</v>
      </c>
      <c r="S102" s="213">
        <f>前台好评提成录入!S107*$E102</f>
        <v>0</v>
      </c>
      <c r="T102" s="213">
        <f>前台好评提成录入!T107*$E102</f>
        <v>0</v>
      </c>
      <c r="U102" s="213">
        <f>前台好评提成录入!U107*$E102</f>
        <v>0</v>
      </c>
      <c r="V102" s="213">
        <f>前台好评提成录入!V107*$E102</f>
        <v>0</v>
      </c>
      <c r="W102" s="213">
        <f>前台好评提成录入!W107*$E102</f>
        <v>0</v>
      </c>
      <c r="X102" s="213">
        <f>前台好评提成录入!X107*$E102</f>
        <v>0</v>
      </c>
      <c r="Y102" s="213">
        <f>前台好评提成录入!Y107*$E102</f>
        <v>0</v>
      </c>
      <c r="Z102" s="213">
        <f>前台好评提成录入!Z107*$E102</f>
        <v>0</v>
      </c>
      <c r="AA102" s="213">
        <f>前台好评提成录入!AA107*$E102</f>
        <v>0</v>
      </c>
      <c r="AB102" s="213">
        <f>前台好评提成录入!AB107*$E102</f>
        <v>0</v>
      </c>
      <c r="AC102" s="213">
        <f>前台好评提成录入!AC107*$E102</f>
        <v>0</v>
      </c>
      <c r="AD102" s="213">
        <f>前台好评提成录入!AD107*$E102</f>
        <v>0</v>
      </c>
      <c r="AE102" s="213">
        <f>前台好评提成录入!AE107*$E102</f>
        <v>0</v>
      </c>
      <c r="AF102" s="213">
        <f>前台好评提成录入!AF107*$E102</f>
        <v>0</v>
      </c>
      <c r="AG102" s="213">
        <f>前台好评提成录入!AG107*$E102</f>
        <v>0</v>
      </c>
      <c r="AH102" s="213">
        <f>前台好评提成录入!AH107*$E102</f>
        <v>0</v>
      </c>
      <c r="AI102" s="213">
        <f>前台好评提成录入!AI107*$E102</f>
        <v>0</v>
      </c>
      <c r="AJ102" s="213">
        <f>前台好评提成录入!AJ107*$E102</f>
        <v>0</v>
      </c>
      <c r="AK102" s="213">
        <f>前台好评提成录入!AK107*$E102</f>
        <v>0</v>
      </c>
      <c r="AL102" s="213">
        <f>前台好评提成录入!AL107*$E102</f>
        <v>0</v>
      </c>
    </row>
    <row r="103" s="178" customFormat="1" customHeight="1" spans="1:38">
      <c r="A103" s="161">
        <v>99</v>
      </c>
      <c r="B103" s="21">
        <f>前台好评提成录入!B108</f>
        <v>0</v>
      </c>
      <c r="C103" s="21">
        <f>前台好评提成录入!C108</f>
        <v>0</v>
      </c>
      <c r="D103" s="21" t="str">
        <f>前台好评提成录入!D108</f>
        <v>条</v>
      </c>
      <c r="E103" s="21">
        <f>前台好评提成录入!E108</f>
        <v>0</v>
      </c>
      <c r="F103" s="21">
        <f>前台好评提成录入!F108</f>
        <v>0</v>
      </c>
      <c r="G103" s="21">
        <f>前台好评提成录入!G108</f>
        <v>0</v>
      </c>
      <c r="H103" s="213">
        <f>前台好评提成录入!H108*$E103</f>
        <v>0</v>
      </c>
      <c r="I103" s="213">
        <f>前台好评提成录入!I108*$E103</f>
        <v>0</v>
      </c>
      <c r="J103" s="213">
        <f>前台好评提成录入!J108*$E103</f>
        <v>0</v>
      </c>
      <c r="K103" s="213">
        <f>前台好评提成录入!K108*$E103</f>
        <v>0</v>
      </c>
      <c r="L103" s="213">
        <f>前台好评提成录入!L108*$E103</f>
        <v>0</v>
      </c>
      <c r="M103" s="213">
        <f>前台好评提成录入!M108*$E103</f>
        <v>0</v>
      </c>
      <c r="N103" s="213">
        <f>前台好评提成录入!N108*$E103</f>
        <v>0</v>
      </c>
      <c r="O103" s="213">
        <f>前台好评提成录入!O108*$E103</f>
        <v>0</v>
      </c>
      <c r="P103" s="213">
        <f>前台好评提成录入!P108*$E103</f>
        <v>0</v>
      </c>
      <c r="Q103" s="213">
        <f>前台好评提成录入!Q108*$E103</f>
        <v>0</v>
      </c>
      <c r="R103" s="213">
        <f>前台好评提成录入!R108*$E103</f>
        <v>0</v>
      </c>
      <c r="S103" s="213">
        <f>前台好评提成录入!S108*$E103</f>
        <v>0</v>
      </c>
      <c r="T103" s="213">
        <f>前台好评提成录入!T108*$E103</f>
        <v>0</v>
      </c>
      <c r="U103" s="213">
        <f>前台好评提成录入!U108*$E103</f>
        <v>0</v>
      </c>
      <c r="V103" s="213">
        <f>前台好评提成录入!V108*$E103</f>
        <v>0</v>
      </c>
      <c r="W103" s="213">
        <f>前台好评提成录入!W108*$E103</f>
        <v>0</v>
      </c>
      <c r="X103" s="213">
        <f>前台好评提成录入!X108*$E103</f>
        <v>0</v>
      </c>
      <c r="Y103" s="213">
        <f>前台好评提成录入!Y108*$E103</f>
        <v>0</v>
      </c>
      <c r="Z103" s="213">
        <f>前台好评提成录入!Z108*$E103</f>
        <v>0</v>
      </c>
      <c r="AA103" s="213">
        <f>前台好评提成录入!AA108*$E103</f>
        <v>0</v>
      </c>
      <c r="AB103" s="213">
        <f>前台好评提成录入!AB108*$E103</f>
        <v>0</v>
      </c>
      <c r="AC103" s="213">
        <f>前台好评提成录入!AC108*$E103</f>
        <v>0</v>
      </c>
      <c r="AD103" s="213">
        <f>前台好评提成录入!AD108*$E103</f>
        <v>0</v>
      </c>
      <c r="AE103" s="213">
        <f>前台好评提成录入!AE108*$E103</f>
        <v>0</v>
      </c>
      <c r="AF103" s="213">
        <f>前台好评提成录入!AF108*$E103</f>
        <v>0</v>
      </c>
      <c r="AG103" s="213">
        <f>前台好评提成录入!AG108*$E103</f>
        <v>0</v>
      </c>
      <c r="AH103" s="213">
        <f>前台好评提成录入!AH108*$E103</f>
        <v>0</v>
      </c>
      <c r="AI103" s="213">
        <f>前台好评提成录入!AI108*$E103</f>
        <v>0</v>
      </c>
      <c r="AJ103" s="213">
        <f>前台好评提成录入!AJ108*$E103</f>
        <v>0</v>
      </c>
      <c r="AK103" s="213">
        <f>前台好评提成录入!AK108*$E103</f>
        <v>0</v>
      </c>
      <c r="AL103" s="213">
        <f>前台好评提成录入!AL108*$E103</f>
        <v>0</v>
      </c>
    </row>
    <row r="104" s="178" customFormat="1" customHeight="1" spans="1:38">
      <c r="A104" s="161">
        <v>100</v>
      </c>
      <c r="B104" s="21">
        <f>前台好评提成录入!B109</f>
        <v>0</v>
      </c>
      <c r="C104" s="21">
        <f>前台好评提成录入!C109</f>
        <v>0</v>
      </c>
      <c r="D104" s="21" t="str">
        <f>前台好评提成录入!D109</f>
        <v>条</v>
      </c>
      <c r="E104" s="21">
        <f>前台好评提成录入!E109</f>
        <v>0</v>
      </c>
      <c r="F104" s="21">
        <f>前台好评提成录入!F109</f>
        <v>0</v>
      </c>
      <c r="G104" s="21">
        <f>前台好评提成录入!G109</f>
        <v>0</v>
      </c>
      <c r="H104" s="213">
        <f>前台好评提成录入!H109*$E104</f>
        <v>0</v>
      </c>
      <c r="I104" s="213">
        <f>前台好评提成录入!I109*$E104</f>
        <v>0</v>
      </c>
      <c r="J104" s="213">
        <f>前台好评提成录入!J109*$E104</f>
        <v>0</v>
      </c>
      <c r="K104" s="213">
        <f>前台好评提成录入!K109*$E104</f>
        <v>0</v>
      </c>
      <c r="L104" s="213">
        <f>前台好评提成录入!L109*$E104</f>
        <v>0</v>
      </c>
      <c r="M104" s="213">
        <f>前台好评提成录入!M109*$E104</f>
        <v>0</v>
      </c>
      <c r="N104" s="213">
        <f>前台好评提成录入!N109*$E104</f>
        <v>0</v>
      </c>
      <c r="O104" s="213">
        <f>前台好评提成录入!O109*$E104</f>
        <v>0</v>
      </c>
      <c r="P104" s="213">
        <f>前台好评提成录入!P109*$E104</f>
        <v>0</v>
      </c>
      <c r="Q104" s="213">
        <f>前台好评提成录入!Q109*$E104</f>
        <v>0</v>
      </c>
      <c r="R104" s="213">
        <f>前台好评提成录入!R109*$E104</f>
        <v>0</v>
      </c>
      <c r="S104" s="213">
        <f>前台好评提成录入!S109*$E104</f>
        <v>0</v>
      </c>
      <c r="T104" s="213">
        <f>前台好评提成录入!T109*$E104</f>
        <v>0</v>
      </c>
      <c r="U104" s="213">
        <f>前台好评提成录入!U109*$E104</f>
        <v>0</v>
      </c>
      <c r="V104" s="213">
        <f>前台好评提成录入!V109*$E104</f>
        <v>0</v>
      </c>
      <c r="W104" s="213">
        <f>前台好评提成录入!W109*$E104</f>
        <v>0</v>
      </c>
      <c r="X104" s="213">
        <f>前台好评提成录入!X109*$E104</f>
        <v>0</v>
      </c>
      <c r="Y104" s="213">
        <f>前台好评提成录入!Y109*$E104</f>
        <v>0</v>
      </c>
      <c r="Z104" s="213">
        <f>前台好评提成录入!Z109*$E104</f>
        <v>0</v>
      </c>
      <c r="AA104" s="213">
        <f>前台好评提成录入!AA109*$E104</f>
        <v>0</v>
      </c>
      <c r="AB104" s="213">
        <f>前台好评提成录入!AB109*$E104</f>
        <v>0</v>
      </c>
      <c r="AC104" s="213">
        <f>前台好评提成录入!AC109*$E104</f>
        <v>0</v>
      </c>
      <c r="AD104" s="213">
        <f>前台好评提成录入!AD109*$E104</f>
        <v>0</v>
      </c>
      <c r="AE104" s="213">
        <f>前台好评提成录入!AE109*$E104</f>
        <v>0</v>
      </c>
      <c r="AF104" s="213">
        <f>前台好评提成录入!AF109*$E104</f>
        <v>0</v>
      </c>
      <c r="AG104" s="213">
        <f>前台好评提成录入!AG109*$E104</f>
        <v>0</v>
      </c>
      <c r="AH104" s="213">
        <f>前台好评提成录入!AH109*$E104</f>
        <v>0</v>
      </c>
      <c r="AI104" s="213">
        <f>前台好评提成录入!AI109*$E104</f>
        <v>0</v>
      </c>
      <c r="AJ104" s="213">
        <f>前台好评提成录入!AJ109*$E104</f>
        <v>0</v>
      </c>
      <c r="AK104" s="213">
        <f>前台好评提成录入!AK109*$E104</f>
        <v>0</v>
      </c>
      <c r="AL104" s="213">
        <f>前台好评提成录入!AL109*$E104</f>
        <v>0</v>
      </c>
    </row>
    <row r="105" customHeight="1" spans="1:38">
      <c r="A105" s="193"/>
      <c r="B105" s="6" t="s">
        <v>62</v>
      </c>
      <c r="C105" s="193"/>
      <c r="D105" s="193"/>
      <c r="E105" s="193"/>
      <c r="F105" s="190">
        <f>SUMIF($H$4:$I$4,$F$4,$H105:$I105)</f>
        <v>2266</v>
      </c>
      <c r="G105" s="191">
        <f>+E105*F105</f>
        <v>0</v>
      </c>
      <c r="H105" s="224">
        <f t="shared" ref="H105:AL105" si="0">SUM(H5:H104)</f>
        <v>2266</v>
      </c>
      <c r="I105" s="224">
        <f t="shared" si="0"/>
        <v>0</v>
      </c>
      <c r="J105" s="224">
        <f t="shared" si="0"/>
        <v>0</v>
      </c>
      <c r="K105" s="224">
        <f t="shared" si="0"/>
        <v>0</v>
      </c>
      <c r="L105" s="224">
        <f t="shared" si="0"/>
        <v>0</v>
      </c>
      <c r="M105" s="224">
        <f t="shared" si="0"/>
        <v>0</v>
      </c>
      <c r="N105" s="224">
        <f t="shared" si="0"/>
        <v>0</v>
      </c>
      <c r="O105" s="224">
        <f t="shared" si="0"/>
        <v>0</v>
      </c>
      <c r="P105" s="224">
        <f t="shared" si="0"/>
        <v>0</v>
      </c>
      <c r="Q105" s="224">
        <f t="shared" si="0"/>
        <v>0</v>
      </c>
      <c r="R105" s="224">
        <f t="shared" si="0"/>
        <v>0</v>
      </c>
      <c r="S105" s="224">
        <f t="shared" si="0"/>
        <v>0</v>
      </c>
      <c r="T105" s="224">
        <f t="shared" si="0"/>
        <v>0</v>
      </c>
      <c r="U105" s="224">
        <f t="shared" si="0"/>
        <v>0</v>
      </c>
      <c r="V105" s="224">
        <f t="shared" si="0"/>
        <v>0</v>
      </c>
      <c r="W105" s="224">
        <f t="shared" si="0"/>
        <v>0</v>
      </c>
      <c r="X105" s="224">
        <f t="shared" si="0"/>
        <v>0</v>
      </c>
      <c r="Y105" s="224">
        <f t="shared" si="0"/>
        <v>0</v>
      </c>
      <c r="Z105" s="224">
        <f t="shared" si="0"/>
        <v>0</v>
      </c>
      <c r="AA105" s="224">
        <f t="shared" si="0"/>
        <v>0</v>
      </c>
      <c r="AB105" s="224">
        <f t="shared" si="0"/>
        <v>0</v>
      </c>
      <c r="AC105" s="224">
        <f t="shared" si="0"/>
        <v>0</v>
      </c>
      <c r="AD105" s="224">
        <f t="shared" si="0"/>
        <v>0</v>
      </c>
      <c r="AE105" s="224">
        <f t="shared" si="0"/>
        <v>0</v>
      </c>
      <c r="AF105" s="224">
        <f t="shared" si="0"/>
        <v>0</v>
      </c>
      <c r="AG105" s="224">
        <f t="shared" si="0"/>
        <v>0</v>
      </c>
      <c r="AH105" s="224">
        <f t="shared" si="0"/>
        <v>0</v>
      </c>
      <c r="AI105" s="224">
        <f t="shared" si="0"/>
        <v>0</v>
      </c>
      <c r="AJ105" s="224">
        <f t="shared" si="0"/>
        <v>0</v>
      </c>
      <c r="AK105" s="224">
        <f t="shared" si="0"/>
        <v>0</v>
      </c>
      <c r="AL105" s="224">
        <f t="shared" si="0"/>
        <v>0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D1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75"/>
  <sheetViews>
    <sheetView workbookViewId="0">
      <selection activeCell="N82" sqref="N82"/>
    </sheetView>
  </sheetViews>
  <sheetFormatPr defaultColWidth="9" defaultRowHeight="25" customHeight="1"/>
  <cols>
    <col min="1" max="1" width="4.75" style="179"/>
    <col min="2" max="2" width="17.625" style="179"/>
    <col min="3" max="3" width="8.25833333333333" style="179"/>
    <col min="4" max="5" width="5.125" style="179"/>
    <col min="6" max="6" width="4.75" style="180"/>
    <col min="7" max="7" width="7.25833333333333" style="181"/>
    <col min="8" max="9" width="7.375" style="179"/>
  </cols>
  <sheetData>
    <row r="1" s="177" customFormat="1" ht="40" customHeight="1" spans="1:38">
      <c r="A1" s="182"/>
      <c r="B1" s="148" t="s">
        <v>298</v>
      </c>
      <c r="C1" s="148"/>
      <c r="D1" s="148"/>
      <c r="E1" s="182"/>
      <c r="F1" s="183"/>
      <c r="G1" s="184"/>
      <c r="H1" s="182"/>
      <c r="I1" s="182"/>
    </row>
    <row r="2" s="177" customFormat="1" ht="15" customHeight="1" spans="1:38">
      <c r="A2" s="182"/>
      <c r="B2" s="185" t="s">
        <v>2</v>
      </c>
      <c r="C2" s="182"/>
      <c r="D2" s="182"/>
      <c r="E2" s="182"/>
      <c r="F2" s="183"/>
      <c r="G2" s="184"/>
      <c r="H2" s="195"/>
      <c r="I2" s="182"/>
    </row>
    <row r="3" s="18" customFormat="1" customHeight="1" spans="1:38">
      <c r="A3" s="155" t="s">
        <v>3</v>
      </c>
      <c r="B3" s="155" t="s">
        <v>126</v>
      </c>
      <c r="C3" s="155" t="s">
        <v>5</v>
      </c>
      <c r="D3" s="155" t="s">
        <v>6</v>
      </c>
      <c r="E3" s="155" t="s">
        <v>64</v>
      </c>
      <c r="F3" s="217"/>
      <c r="G3" s="156" t="s">
        <v>65</v>
      </c>
      <c r="H3" s="197" t="s">
        <v>9</v>
      </c>
      <c r="I3" s="197" t="s">
        <v>10</v>
      </c>
      <c r="J3" s="197" t="s">
        <v>11</v>
      </c>
      <c r="K3" s="197" t="s">
        <v>12</v>
      </c>
      <c r="L3" s="197" t="s">
        <v>13</v>
      </c>
      <c r="M3" s="197" t="s">
        <v>14</v>
      </c>
      <c r="N3" s="197" t="s">
        <v>15</v>
      </c>
      <c r="O3" s="197" t="s">
        <v>16</v>
      </c>
      <c r="P3" s="197" t="s">
        <v>17</v>
      </c>
      <c r="Q3" s="197" t="s">
        <v>18</v>
      </c>
      <c r="R3" s="197" t="s">
        <v>19</v>
      </c>
      <c r="S3" s="197" t="s">
        <v>20</v>
      </c>
      <c r="T3" s="197" t="s">
        <v>21</v>
      </c>
      <c r="U3" s="197" t="s">
        <v>22</v>
      </c>
      <c r="V3" s="197" t="s">
        <v>23</v>
      </c>
      <c r="W3" s="197" t="s">
        <v>24</v>
      </c>
      <c r="X3" s="197" t="s">
        <v>25</v>
      </c>
      <c r="Y3" s="197" t="s">
        <v>26</v>
      </c>
      <c r="Z3" s="197" t="s">
        <v>27</v>
      </c>
      <c r="AA3" s="197" t="s">
        <v>28</v>
      </c>
      <c r="AB3" s="197" t="s">
        <v>29</v>
      </c>
      <c r="AC3" s="197" t="s">
        <v>30</v>
      </c>
      <c r="AD3" s="197" t="s">
        <v>31</v>
      </c>
      <c r="AE3" s="197" t="s">
        <v>32</v>
      </c>
      <c r="AF3" s="197" t="s">
        <v>33</v>
      </c>
      <c r="AG3" s="197" t="s">
        <v>34</v>
      </c>
      <c r="AH3" s="197" t="s">
        <v>35</v>
      </c>
      <c r="AI3" s="197" t="s">
        <v>36</v>
      </c>
      <c r="AJ3" s="197" t="s">
        <v>37</v>
      </c>
      <c r="AK3" s="197" t="s">
        <v>38</v>
      </c>
      <c r="AL3" s="197" t="s">
        <v>39</v>
      </c>
    </row>
    <row r="4" s="18" customFormat="1" customHeight="1" spans="1:38">
      <c r="A4" s="158"/>
      <c r="B4" s="158"/>
      <c r="C4" s="158"/>
      <c r="D4" s="158"/>
      <c r="E4" s="158"/>
      <c r="F4" s="218" t="s">
        <v>299</v>
      </c>
      <c r="G4" s="159"/>
      <c r="H4" s="20" t="s">
        <v>8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0" t="s">
        <v>8</v>
      </c>
      <c r="V4" s="20" t="s">
        <v>8</v>
      </c>
      <c r="W4" s="20" t="s">
        <v>8</v>
      </c>
      <c r="X4" s="20" t="s">
        <v>8</v>
      </c>
      <c r="Y4" s="20" t="s">
        <v>8</v>
      </c>
      <c r="Z4" s="20" t="s">
        <v>8</v>
      </c>
      <c r="AA4" s="20" t="s">
        <v>8</v>
      </c>
      <c r="AB4" s="20" t="s">
        <v>8</v>
      </c>
      <c r="AC4" s="20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8</v>
      </c>
      <c r="AI4" s="20" t="s">
        <v>8</v>
      </c>
      <c r="AJ4" s="20" t="s">
        <v>8</v>
      </c>
      <c r="AK4" s="20" t="s">
        <v>8</v>
      </c>
      <c r="AL4" s="20" t="s">
        <v>8</v>
      </c>
    </row>
    <row r="5" s="178" customFormat="1" customHeight="1" spans="1:38">
      <c r="A5" s="161">
        <v>1</v>
      </c>
      <c r="B5" s="21" t="str">
        <f>会员卡提成录入!B5</f>
        <v>李龙梅</v>
      </c>
      <c r="C5" s="21" t="str">
        <f>会员卡提成录入!C5</f>
        <v>金卡</v>
      </c>
      <c r="D5" s="21" t="str">
        <f>会员卡提成录入!D5</f>
        <v>张</v>
      </c>
      <c r="E5" s="21">
        <f>会员卡提成录入!E5</f>
        <v>11</v>
      </c>
      <c r="F5" s="21">
        <f>会员卡提成录入!F5</f>
        <v>0</v>
      </c>
      <c r="G5" s="21">
        <f>会员卡提成录入!G5</f>
        <v>0</v>
      </c>
      <c r="H5" s="213">
        <f>前台好评提成录入!H5*$E5</f>
        <v>715</v>
      </c>
      <c r="I5" s="213">
        <f>前台好评提成录入!I5*$E5</f>
        <v>0</v>
      </c>
      <c r="J5" s="213">
        <f>前台好评提成录入!J5*$E5</f>
        <v>0</v>
      </c>
      <c r="K5" s="213">
        <f>前台好评提成录入!K5*$E5</f>
        <v>0</v>
      </c>
      <c r="L5" s="213">
        <f>前台好评提成录入!L5*$E5</f>
        <v>0</v>
      </c>
      <c r="M5" s="213">
        <f>前台好评提成录入!M5*$E5</f>
        <v>0</v>
      </c>
      <c r="N5" s="213">
        <f>前台好评提成录入!N5*$E5</f>
        <v>0</v>
      </c>
      <c r="O5" s="213">
        <f>前台好评提成录入!O5*$E5</f>
        <v>0</v>
      </c>
      <c r="P5" s="213">
        <f>前台好评提成录入!P5*$E5</f>
        <v>0</v>
      </c>
      <c r="Q5" s="213">
        <f>前台好评提成录入!Q5*$E5</f>
        <v>0</v>
      </c>
      <c r="R5" s="213">
        <f>前台好评提成录入!R5*$E5</f>
        <v>0</v>
      </c>
      <c r="S5" s="213">
        <f>前台好评提成录入!S5*$E5</f>
        <v>0</v>
      </c>
      <c r="T5" s="213">
        <f>前台好评提成录入!T5*$E5</f>
        <v>0</v>
      </c>
      <c r="U5" s="213">
        <f>前台好评提成录入!U5*$E5</f>
        <v>0</v>
      </c>
      <c r="V5" s="213">
        <f>前台好评提成录入!V5*$E5</f>
        <v>0</v>
      </c>
      <c r="W5" s="213">
        <f>前台好评提成录入!W5*$E5</f>
        <v>0</v>
      </c>
      <c r="X5" s="213">
        <f>前台好评提成录入!X5*$E5</f>
        <v>0</v>
      </c>
      <c r="Y5" s="213">
        <f>前台好评提成录入!Y5*$E5</f>
        <v>0</v>
      </c>
      <c r="Z5" s="213">
        <f>前台好评提成录入!Z5*$E5</f>
        <v>0</v>
      </c>
      <c r="AA5" s="213">
        <f>前台好评提成录入!AA5*$E5</f>
        <v>0</v>
      </c>
      <c r="AB5" s="213">
        <f>前台好评提成录入!AB5*$E5</f>
        <v>0</v>
      </c>
      <c r="AC5" s="213">
        <f>前台好评提成录入!AC5*$E5</f>
        <v>0</v>
      </c>
      <c r="AD5" s="213">
        <f>前台好评提成录入!AD5*$E5</f>
        <v>0</v>
      </c>
      <c r="AE5" s="213">
        <f>前台好评提成录入!AE5*$E5</f>
        <v>0</v>
      </c>
      <c r="AF5" s="213">
        <f>前台好评提成录入!AF5*$E5</f>
        <v>0</v>
      </c>
      <c r="AG5" s="213">
        <f>前台好评提成录入!AG5*$E5</f>
        <v>0</v>
      </c>
      <c r="AH5" s="213">
        <f>前台好评提成录入!AH5*$E5</f>
        <v>0</v>
      </c>
      <c r="AI5" s="213">
        <f>前台好评提成录入!AI5*$E5</f>
        <v>0</v>
      </c>
      <c r="AJ5" s="213">
        <f>前台好评提成录入!AJ5*$E5</f>
        <v>0</v>
      </c>
      <c r="AK5" s="213">
        <f>前台好评提成录入!AK5*$E5</f>
        <v>0</v>
      </c>
      <c r="AL5" s="213">
        <f>前台好评提成录入!AL5*$E5</f>
        <v>0</v>
      </c>
    </row>
    <row r="6" s="178" customFormat="1" customHeight="1" spans="1:38">
      <c r="A6" s="161">
        <v>2</v>
      </c>
      <c r="B6" s="21" t="str">
        <f>会员卡提成录入!B6</f>
        <v>李龙梅</v>
      </c>
      <c r="C6" s="21" t="str">
        <f>会员卡提成录入!C6</f>
        <v>银卡</v>
      </c>
      <c r="D6" s="21" t="str">
        <f>会员卡提成录入!D6</f>
        <v>张</v>
      </c>
      <c r="E6" s="21">
        <f>会员卡提成录入!E6</f>
        <v>5</v>
      </c>
      <c r="F6" s="21">
        <f>会员卡提成录入!F6</f>
        <v>1</v>
      </c>
      <c r="G6" s="21">
        <f>会员卡提成录入!G6</f>
        <v>5</v>
      </c>
      <c r="H6" s="213">
        <f>前台好评提成录入!H8*$E6</f>
        <v>0</v>
      </c>
      <c r="I6" s="213">
        <f>前台好评提成录入!I8*$E6</f>
        <v>0</v>
      </c>
      <c r="J6" s="213">
        <f>前台好评提成录入!J8*$E6</f>
        <v>0</v>
      </c>
      <c r="K6" s="213">
        <f>前台好评提成录入!K8*$E6</f>
        <v>0</v>
      </c>
      <c r="L6" s="213">
        <f>前台好评提成录入!L8*$E6</f>
        <v>0</v>
      </c>
      <c r="M6" s="213">
        <f>前台好评提成录入!M8*$E6</f>
        <v>0</v>
      </c>
      <c r="N6" s="213">
        <f>前台好评提成录入!N8*$E6</f>
        <v>0</v>
      </c>
      <c r="O6" s="213">
        <f>前台好评提成录入!O8*$E6</f>
        <v>0</v>
      </c>
      <c r="P6" s="213">
        <f>前台好评提成录入!P8*$E6</f>
        <v>0</v>
      </c>
      <c r="Q6" s="213">
        <f>前台好评提成录入!Q8*$E6</f>
        <v>0</v>
      </c>
      <c r="R6" s="213">
        <f>前台好评提成录入!R8*$E6</f>
        <v>0</v>
      </c>
      <c r="S6" s="213">
        <f>前台好评提成录入!S8*$E6</f>
        <v>0</v>
      </c>
      <c r="T6" s="213">
        <f>前台好评提成录入!T8*$E6</f>
        <v>0</v>
      </c>
      <c r="U6" s="213">
        <f>前台好评提成录入!U8*$E6</f>
        <v>0</v>
      </c>
      <c r="V6" s="213">
        <f>前台好评提成录入!V8*$E6</f>
        <v>0</v>
      </c>
      <c r="W6" s="213">
        <f>前台好评提成录入!W8*$E6</f>
        <v>0</v>
      </c>
      <c r="X6" s="213">
        <f>前台好评提成录入!X8*$E6</f>
        <v>0</v>
      </c>
      <c r="Y6" s="213">
        <f>前台好评提成录入!Y8*$E6</f>
        <v>0</v>
      </c>
      <c r="Z6" s="213">
        <f>前台好评提成录入!Z8*$E6</f>
        <v>0</v>
      </c>
      <c r="AA6" s="213">
        <f>前台好评提成录入!AA8*$E6</f>
        <v>0</v>
      </c>
      <c r="AB6" s="213">
        <f>前台好评提成录入!AB8*$E6</f>
        <v>0</v>
      </c>
      <c r="AC6" s="213">
        <f>前台好评提成录入!AC8*$E6</f>
        <v>0</v>
      </c>
      <c r="AD6" s="213">
        <f>前台好评提成录入!AD8*$E6</f>
        <v>0</v>
      </c>
      <c r="AE6" s="213">
        <f>前台好评提成录入!AE8*$E6</f>
        <v>0</v>
      </c>
      <c r="AF6" s="213">
        <f>前台好评提成录入!AF8*$E6</f>
        <v>0</v>
      </c>
      <c r="AG6" s="213">
        <f>前台好评提成录入!AG8*$E6</f>
        <v>0</v>
      </c>
      <c r="AH6" s="213">
        <f>前台好评提成录入!AH8*$E6</f>
        <v>0</v>
      </c>
      <c r="AI6" s="213">
        <f>前台好评提成录入!AI8*$E6</f>
        <v>0</v>
      </c>
      <c r="AJ6" s="213">
        <f>前台好评提成录入!AJ8*$E6</f>
        <v>0</v>
      </c>
      <c r="AK6" s="213">
        <f>前台好评提成录入!AK8*$E6</f>
        <v>0</v>
      </c>
      <c r="AL6" s="213">
        <f>前台好评提成录入!AL8*$E6</f>
        <v>0</v>
      </c>
    </row>
    <row r="7" s="178" customFormat="1" customHeight="1" spans="1:38">
      <c r="A7" s="161">
        <v>3</v>
      </c>
      <c r="B7" s="21" t="str">
        <f>会员卡提成录入!B7</f>
        <v>李龙梅</v>
      </c>
      <c r="C7" s="21" t="str">
        <f>会员卡提成录入!C7</f>
        <v>白金卡</v>
      </c>
      <c r="D7" s="21" t="str">
        <f>会员卡提成录入!D7</f>
        <v>张</v>
      </c>
      <c r="E7" s="21">
        <f>会员卡提成录入!E7</f>
        <v>20</v>
      </c>
      <c r="F7" s="21">
        <f>会员卡提成录入!F7</f>
        <v>0</v>
      </c>
      <c r="G7" s="21">
        <f>会员卡提成录入!G7</f>
        <v>0</v>
      </c>
      <c r="H7" s="213">
        <f>前台好评提成录入!H9*$E7</f>
        <v>0</v>
      </c>
      <c r="I7" s="213">
        <f>前台好评提成录入!I9*$E7</f>
        <v>0</v>
      </c>
      <c r="J7" s="213">
        <f>前台好评提成录入!J9*$E7</f>
        <v>0</v>
      </c>
      <c r="K7" s="213">
        <f>前台好评提成录入!K9*$E7</f>
        <v>0</v>
      </c>
      <c r="L7" s="213">
        <f>前台好评提成录入!L9*$E7</f>
        <v>0</v>
      </c>
      <c r="M7" s="213">
        <f>前台好评提成录入!M9*$E7</f>
        <v>0</v>
      </c>
      <c r="N7" s="213">
        <f>前台好评提成录入!N9*$E7</f>
        <v>0</v>
      </c>
      <c r="O7" s="213">
        <f>前台好评提成录入!O9*$E7</f>
        <v>0</v>
      </c>
      <c r="P7" s="213">
        <f>前台好评提成录入!P9*$E7</f>
        <v>0</v>
      </c>
      <c r="Q7" s="213">
        <f>前台好评提成录入!Q9*$E7</f>
        <v>0</v>
      </c>
      <c r="R7" s="213">
        <f>前台好评提成录入!R9*$E7</f>
        <v>0</v>
      </c>
      <c r="S7" s="213">
        <f>前台好评提成录入!S9*$E7</f>
        <v>0</v>
      </c>
      <c r="T7" s="213">
        <f>前台好评提成录入!T9*$E7</f>
        <v>0</v>
      </c>
      <c r="U7" s="213">
        <f>前台好评提成录入!U9*$E7</f>
        <v>0</v>
      </c>
      <c r="V7" s="213">
        <f>前台好评提成录入!V9*$E7</f>
        <v>0</v>
      </c>
      <c r="W7" s="213">
        <f>前台好评提成录入!W9*$E7</f>
        <v>0</v>
      </c>
      <c r="X7" s="213">
        <f>前台好评提成录入!X9*$E7</f>
        <v>0</v>
      </c>
      <c r="Y7" s="213">
        <f>前台好评提成录入!Y9*$E7</f>
        <v>0</v>
      </c>
      <c r="Z7" s="213">
        <f>前台好评提成录入!Z9*$E7</f>
        <v>0</v>
      </c>
      <c r="AA7" s="213">
        <f>前台好评提成录入!AA9*$E7</f>
        <v>0</v>
      </c>
      <c r="AB7" s="213">
        <f>前台好评提成录入!AB9*$E7</f>
        <v>0</v>
      </c>
      <c r="AC7" s="213">
        <f>前台好评提成录入!AC9*$E7</f>
        <v>0</v>
      </c>
      <c r="AD7" s="213">
        <f>前台好评提成录入!AD9*$E7</f>
        <v>0</v>
      </c>
      <c r="AE7" s="213">
        <f>前台好评提成录入!AE9*$E7</f>
        <v>0</v>
      </c>
      <c r="AF7" s="213">
        <f>前台好评提成录入!AF9*$E7</f>
        <v>0</v>
      </c>
      <c r="AG7" s="213">
        <f>前台好评提成录入!AG9*$E7</f>
        <v>0</v>
      </c>
      <c r="AH7" s="213">
        <f>前台好评提成录入!AH9*$E7</f>
        <v>0</v>
      </c>
      <c r="AI7" s="213">
        <f>前台好评提成录入!AI9*$E7</f>
        <v>0</v>
      </c>
      <c r="AJ7" s="213">
        <f>前台好评提成录入!AJ9*$E7</f>
        <v>0</v>
      </c>
      <c r="AK7" s="213">
        <f>前台好评提成录入!AK9*$E7</f>
        <v>0</v>
      </c>
      <c r="AL7" s="213">
        <f>前台好评提成录入!AL9*$E7</f>
        <v>0</v>
      </c>
    </row>
    <row r="8" s="178" customFormat="1" customHeight="1" spans="1:38">
      <c r="A8" s="161">
        <v>4</v>
      </c>
      <c r="B8" s="21" t="str">
        <f>会员卡提成录入!B8</f>
        <v>王增</v>
      </c>
      <c r="C8" s="21" t="str">
        <f>会员卡提成录入!C8</f>
        <v>金卡</v>
      </c>
      <c r="D8" s="21" t="str">
        <f>会员卡提成录入!D8</f>
        <v>张</v>
      </c>
      <c r="E8" s="21">
        <f>会员卡提成录入!E8</f>
        <v>11</v>
      </c>
      <c r="F8" s="21">
        <f>会员卡提成录入!F8</f>
        <v>20</v>
      </c>
      <c r="G8" s="21">
        <f>会员卡提成录入!G8</f>
        <v>220</v>
      </c>
      <c r="H8" s="213">
        <f>前台好评提成录入!H10*$E8</f>
        <v>0</v>
      </c>
      <c r="I8" s="213">
        <f>前台好评提成录入!I10*$E8</f>
        <v>0</v>
      </c>
      <c r="J8" s="213">
        <f>前台好评提成录入!J10*$E8</f>
        <v>0</v>
      </c>
      <c r="K8" s="213">
        <f>前台好评提成录入!K10*$E8</f>
        <v>0</v>
      </c>
      <c r="L8" s="213">
        <f>前台好评提成录入!L10*$E8</f>
        <v>0</v>
      </c>
      <c r="M8" s="213">
        <f>前台好评提成录入!M10*$E8</f>
        <v>0</v>
      </c>
      <c r="N8" s="213">
        <f>前台好评提成录入!N10*$E8</f>
        <v>0</v>
      </c>
      <c r="O8" s="213">
        <f>前台好评提成录入!O10*$E8</f>
        <v>0</v>
      </c>
      <c r="P8" s="213">
        <f>前台好评提成录入!P10*$E8</f>
        <v>0</v>
      </c>
      <c r="Q8" s="213">
        <f>前台好评提成录入!Q10*$E8</f>
        <v>0</v>
      </c>
      <c r="R8" s="213">
        <f>前台好评提成录入!R10*$E8</f>
        <v>0</v>
      </c>
      <c r="S8" s="213">
        <f>前台好评提成录入!S10*$E8</f>
        <v>0</v>
      </c>
      <c r="T8" s="213">
        <f>前台好评提成录入!T10*$E8</f>
        <v>0</v>
      </c>
      <c r="U8" s="213">
        <f>前台好评提成录入!U10*$E8</f>
        <v>0</v>
      </c>
      <c r="V8" s="213">
        <f>前台好评提成录入!V10*$E8</f>
        <v>0</v>
      </c>
      <c r="W8" s="213">
        <f>前台好评提成录入!W10*$E8</f>
        <v>0</v>
      </c>
      <c r="X8" s="213">
        <f>前台好评提成录入!X10*$E8</f>
        <v>0</v>
      </c>
      <c r="Y8" s="213">
        <f>前台好评提成录入!Y10*$E8</f>
        <v>0</v>
      </c>
      <c r="Z8" s="213">
        <f>前台好评提成录入!Z10*$E8</f>
        <v>0</v>
      </c>
      <c r="AA8" s="213">
        <f>前台好评提成录入!AA10*$E8</f>
        <v>0</v>
      </c>
      <c r="AB8" s="213">
        <f>前台好评提成录入!AB10*$E8</f>
        <v>0</v>
      </c>
      <c r="AC8" s="213">
        <f>前台好评提成录入!AC10*$E8</f>
        <v>0</v>
      </c>
      <c r="AD8" s="213">
        <f>前台好评提成录入!AD10*$E8</f>
        <v>0</v>
      </c>
      <c r="AE8" s="213">
        <f>前台好评提成录入!AE10*$E8</f>
        <v>0</v>
      </c>
      <c r="AF8" s="213">
        <f>前台好评提成录入!AF10*$E8</f>
        <v>0</v>
      </c>
      <c r="AG8" s="213">
        <f>前台好评提成录入!AG10*$E8</f>
        <v>0</v>
      </c>
      <c r="AH8" s="213">
        <f>前台好评提成录入!AH10*$E8</f>
        <v>0</v>
      </c>
      <c r="AI8" s="213">
        <f>前台好评提成录入!AI10*$E8</f>
        <v>0</v>
      </c>
      <c r="AJ8" s="213">
        <f>前台好评提成录入!AJ10*$E8</f>
        <v>0</v>
      </c>
      <c r="AK8" s="213">
        <f>前台好评提成录入!AK10*$E8</f>
        <v>0</v>
      </c>
      <c r="AL8" s="213">
        <f>前台好评提成录入!AL10*$E8</f>
        <v>0</v>
      </c>
    </row>
    <row r="9" s="178" customFormat="1" customHeight="1" spans="1:38">
      <c r="A9" s="161">
        <v>5</v>
      </c>
      <c r="B9" s="21" t="str">
        <f>会员卡提成录入!B9</f>
        <v>王增</v>
      </c>
      <c r="C9" s="21" t="str">
        <f>会员卡提成录入!C9</f>
        <v>银卡</v>
      </c>
      <c r="D9" s="21" t="str">
        <f>会员卡提成录入!D9</f>
        <v>张</v>
      </c>
      <c r="E9" s="21">
        <f>会员卡提成录入!E9</f>
        <v>5</v>
      </c>
      <c r="F9" s="21">
        <f>会员卡提成录入!F9</f>
        <v>25</v>
      </c>
      <c r="G9" s="21">
        <f>会员卡提成录入!G9</f>
        <v>125</v>
      </c>
      <c r="H9" s="213">
        <f>前台好评提成录入!H11*$E9</f>
        <v>0</v>
      </c>
      <c r="I9" s="213">
        <f>前台好评提成录入!I11*$E9</f>
        <v>0</v>
      </c>
      <c r="J9" s="213">
        <f>前台好评提成录入!J11*$E9</f>
        <v>0</v>
      </c>
      <c r="K9" s="213">
        <f>前台好评提成录入!K11*$E9</f>
        <v>0</v>
      </c>
      <c r="L9" s="213">
        <f>前台好评提成录入!L11*$E9</f>
        <v>0</v>
      </c>
      <c r="M9" s="213">
        <f>前台好评提成录入!M11*$E9</f>
        <v>0</v>
      </c>
      <c r="N9" s="213">
        <f>前台好评提成录入!N11*$E9</f>
        <v>0</v>
      </c>
      <c r="O9" s="213">
        <f>前台好评提成录入!O11*$E9</f>
        <v>0</v>
      </c>
      <c r="P9" s="213">
        <f>前台好评提成录入!P11*$E9</f>
        <v>0</v>
      </c>
      <c r="Q9" s="213">
        <f>前台好评提成录入!Q11*$E9</f>
        <v>0</v>
      </c>
      <c r="R9" s="213">
        <f>前台好评提成录入!R11*$E9</f>
        <v>0</v>
      </c>
      <c r="S9" s="213">
        <f>前台好评提成录入!S11*$E9</f>
        <v>0</v>
      </c>
      <c r="T9" s="213">
        <f>前台好评提成录入!T11*$E9</f>
        <v>0</v>
      </c>
      <c r="U9" s="213">
        <f>前台好评提成录入!U11*$E9</f>
        <v>0</v>
      </c>
      <c r="V9" s="213">
        <f>前台好评提成录入!V11*$E9</f>
        <v>0</v>
      </c>
      <c r="W9" s="213">
        <f>前台好评提成录入!W11*$E9</f>
        <v>0</v>
      </c>
      <c r="X9" s="213">
        <f>前台好评提成录入!X11*$E9</f>
        <v>0</v>
      </c>
      <c r="Y9" s="213">
        <f>前台好评提成录入!Y11*$E9</f>
        <v>0</v>
      </c>
      <c r="Z9" s="213">
        <f>前台好评提成录入!Z11*$E9</f>
        <v>0</v>
      </c>
      <c r="AA9" s="213">
        <f>前台好评提成录入!AA11*$E9</f>
        <v>0</v>
      </c>
      <c r="AB9" s="213">
        <f>前台好评提成录入!AB11*$E9</f>
        <v>0</v>
      </c>
      <c r="AC9" s="213">
        <f>前台好评提成录入!AC11*$E9</f>
        <v>0</v>
      </c>
      <c r="AD9" s="213">
        <f>前台好评提成录入!AD11*$E9</f>
        <v>0</v>
      </c>
      <c r="AE9" s="213">
        <f>前台好评提成录入!AE11*$E9</f>
        <v>0</v>
      </c>
      <c r="AF9" s="213">
        <f>前台好评提成录入!AF11*$E9</f>
        <v>0</v>
      </c>
      <c r="AG9" s="213">
        <f>前台好评提成录入!AG11*$E9</f>
        <v>0</v>
      </c>
      <c r="AH9" s="213">
        <f>前台好评提成录入!AH11*$E9</f>
        <v>0</v>
      </c>
      <c r="AI9" s="213">
        <f>前台好评提成录入!AI11*$E9</f>
        <v>0</v>
      </c>
      <c r="AJ9" s="213">
        <f>前台好评提成录入!AJ11*$E9</f>
        <v>0</v>
      </c>
      <c r="AK9" s="213">
        <f>前台好评提成录入!AK11*$E9</f>
        <v>0</v>
      </c>
      <c r="AL9" s="213">
        <f>前台好评提成录入!AL11*$E9</f>
        <v>0</v>
      </c>
    </row>
    <row r="10" ht="16.5" spans="1:38">
      <c r="A10" s="161"/>
      <c r="B10" s="21"/>
      <c r="C10" s="21"/>
      <c r="D10" s="21"/>
      <c r="E10" s="21"/>
      <c r="F10" s="21"/>
      <c r="G10" s="21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</row>
    <row r="11" s="178" customFormat="1" customHeight="1" spans="1:38">
      <c r="A11" s="161">
        <v>7</v>
      </c>
      <c r="B11" s="21" t="str">
        <f>会员卡提成录入!B11</f>
        <v>翟芮瑶</v>
      </c>
      <c r="C11" s="21" t="str">
        <f>会员卡提成录入!C11</f>
        <v>金卡</v>
      </c>
      <c r="D11" s="21" t="str">
        <f>会员卡提成录入!D11</f>
        <v>张</v>
      </c>
      <c r="E11" s="21">
        <f>会员卡提成录入!E11</f>
        <v>11</v>
      </c>
      <c r="F11" s="21">
        <f>会员卡提成录入!F11</f>
        <v>9</v>
      </c>
      <c r="G11" s="21">
        <f>会员卡提成录入!G11</f>
        <v>99</v>
      </c>
      <c r="H11" s="213">
        <f>前台好评提成录入!H13*$E11</f>
        <v>0</v>
      </c>
      <c r="I11" s="213">
        <f>前台好评提成录入!I13*$E11</f>
        <v>0</v>
      </c>
      <c r="J11" s="213">
        <f>前台好评提成录入!J13*$E11</f>
        <v>0</v>
      </c>
      <c r="K11" s="213">
        <f>前台好评提成录入!K13*$E11</f>
        <v>0</v>
      </c>
      <c r="L11" s="213">
        <f>前台好评提成录入!L13*$E11</f>
        <v>0</v>
      </c>
      <c r="M11" s="213">
        <f>前台好评提成录入!M13*$E11</f>
        <v>0</v>
      </c>
      <c r="N11" s="213">
        <f>前台好评提成录入!N13*$E11</f>
        <v>0</v>
      </c>
      <c r="O11" s="213">
        <f>前台好评提成录入!O13*$E11</f>
        <v>0</v>
      </c>
      <c r="P11" s="213">
        <f>前台好评提成录入!P13*$E11</f>
        <v>0</v>
      </c>
      <c r="Q11" s="213">
        <f>前台好评提成录入!Q13*$E11</f>
        <v>0</v>
      </c>
      <c r="R11" s="213">
        <f>前台好评提成录入!R13*$E11</f>
        <v>0</v>
      </c>
      <c r="S11" s="213">
        <f>前台好评提成录入!S13*$E11</f>
        <v>0</v>
      </c>
      <c r="T11" s="213">
        <f>前台好评提成录入!T13*$E11</f>
        <v>0</v>
      </c>
      <c r="U11" s="213">
        <f>前台好评提成录入!U13*$E11</f>
        <v>0</v>
      </c>
      <c r="V11" s="213">
        <f>前台好评提成录入!V13*$E11</f>
        <v>0</v>
      </c>
      <c r="W11" s="213">
        <f>前台好评提成录入!W13*$E11</f>
        <v>0</v>
      </c>
      <c r="X11" s="213">
        <f>前台好评提成录入!X13*$E11</f>
        <v>0</v>
      </c>
      <c r="Y11" s="213">
        <f>前台好评提成录入!Y13*$E11</f>
        <v>0</v>
      </c>
      <c r="Z11" s="213">
        <f>前台好评提成录入!Z13*$E11</f>
        <v>0</v>
      </c>
      <c r="AA11" s="213">
        <f>前台好评提成录入!AA13*$E11</f>
        <v>0</v>
      </c>
      <c r="AB11" s="213">
        <f>前台好评提成录入!AB13*$E11</f>
        <v>0</v>
      </c>
      <c r="AC11" s="213">
        <f>前台好评提成录入!AC13*$E11</f>
        <v>0</v>
      </c>
      <c r="AD11" s="213">
        <f>前台好评提成录入!AD13*$E11</f>
        <v>0</v>
      </c>
      <c r="AE11" s="213">
        <f>前台好评提成录入!AE13*$E11</f>
        <v>0</v>
      </c>
      <c r="AF11" s="213">
        <f>前台好评提成录入!AF13*$E11</f>
        <v>0</v>
      </c>
      <c r="AG11" s="213">
        <f>前台好评提成录入!AG13*$E11</f>
        <v>0</v>
      </c>
      <c r="AH11" s="213">
        <f>前台好评提成录入!AH13*$E11</f>
        <v>0</v>
      </c>
      <c r="AI11" s="213">
        <f>前台好评提成录入!AI13*$E11</f>
        <v>0</v>
      </c>
      <c r="AJ11" s="213">
        <f>前台好评提成录入!AJ13*$E11</f>
        <v>0</v>
      </c>
      <c r="AK11" s="213">
        <f>前台好评提成录入!AK13*$E11</f>
        <v>0</v>
      </c>
      <c r="AL11" s="213">
        <f>前台好评提成录入!AL13*$E11</f>
        <v>0</v>
      </c>
    </row>
    <row r="12" s="178" customFormat="1" customHeight="1" spans="1:38">
      <c r="A12" s="161">
        <v>8</v>
      </c>
      <c r="B12" s="21" t="str">
        <f>会员卡提成录入!B12</f>
        <v>翟芮瑶</v>
      </c>
      <c r="C12" s="21" t="str">
        <f>会员卡提成录入!C12</f>
        <v>银卡</v>
      </c>
      <c r="D12" s="21" t="str">
        <f>会员卡提成录入!D12</f>
        <v>张</v>
      </c>
      <c r="E12" s="21">
        <f>会员卡提成录入!E12</f>
        <v>5</v>
      </c>
      <c r="F12" s="21">
        <f>会员卡提成录入!F12</f>
        <v>11</v>
      </c>
      <c r="G12" s="21">
        <f>会员卡提成录入!G12</f>
        <v>55</v>
      </c>
      <c r="H12" s="213">
        <f>前台好评提成录入!H16*$E12</f>
        <v>5</v>
      </c>
      <c r="I12" s="213">
        <f>前台好评提成录入!I16*$E12</f>
        <v>0</v>
      </c>
      <c r="J12" s="213">
        <f>前台好评提成录入!J16*$E12</f>
        <v>0</v>
      </c>
      <c r="K12" s="213">
        <f>前台好评提成录入!K16*$E12</f>
        <v>0</v>
      </c>
      <c r="L12" s="213">
        <f>前台好评提成录入!L16*$E12</f>
        <v>0</v>
      </c>
      <c r="M12" s="213">
        <f>前台好评提成录入!M16*$E12</f>
        <v>0</v>
      </c>
      <c r="N12" s="213">
        <f>前台好评提成录入!N16*$E12</f>
        <v>0</v>
      </c>
      <c r="O12" s="213">
        <f>前台好评提成录入!O16*$E12</f>
        <v>0</v>
      </c>
      <c r="P12" s="213">
        <f>前台好评提成录入!P16*$E12</f>
        <v>0</v>
      </c>
      <c r="Q12" s="213">
        <f>前台好评提成录入!Q16*$E12</f>
        <v>0</v>
      </c>
      <c r="R12" s="213">
        <f>前台好评提成录入!R16*$E12</f>
        <v>0</v>
      </c>
      <c r="S12" s="213">
        <f>前台好评提成录入!S16*$E12</f>
        <v>0</v>
      </c>
      <c r="T12" s="213">
        <f>前台好评提成录入!T16*$E12</f>
        <v>0</v>
      </c>
      <c r="U12" s="213">
        <f>前台好评提成录入!U16*$E12</f>
        <v>0</v>
      </c>
      <c r="V12" s="213">
        <f>前台好评提成录入!V16*$E12</f>
        <v>0</v>
      </c>
      <c r="W12" s="213">
        <f>前台好评提成录入!W16*$E12</f>
        <v>0</v>
      </c>
      <c r="X12" s="213">
        <f>前台好评提成录入!X16*$E12</f>
        <v>0</v>
      </c>
      <c r="Y12" s="213">
        <f>前台好评提成录入!Y16*$E12</f>
        <v>0</v>
      </c>
      <c r="Z12" s="213">
        <f>前台好评提成录入!Z16*$E12</f>
        <v>0</v>
      </c>
      <c r="AA12" s="213">
        <f>前台好评提成录入!AA16*$E12</f>
        <v>0</v>
      </c>
      <c r="AB12" s="213">
        <f>前台好评提成录入!AB16*$E12</f>
        <v>0</v>
      </c>
      <c r="AC12" s="213">
        <f>前台好评提成录入!AC16*$E12</f>
        <v>0</v>
      </c>
      <c r="AD12" s="213">
        <f>前台好评提成录入!AD16*$E12</f>
        <v>0</v>
      </c>
      <c r="AE12" s="213">
        <f>前台好评提成录入!AE16*$E12</f>
        <v>0</v>
      </c>
      <c r="AF12" s="213">
        <f>前台好评提成录入!AF16*$E12</f>
        <v>0</v>
      </c>
      <c r="AG12" s="213">
        <f>前台好评提成录入!AG16*$E12</f>
        <v>0</v>
      </c>
      <c r="AH12" s="213">
        <f>前台好评提成录入!AH16*$E12</f>
        <v>0</v>
      </c>
      <c r="AI12" s="213">
        <f>前台好评提成录入!AI16*$E12</f>
        <v>0</v>
      </c>
      <c r="AJ12" s="213">
        <f>前台好评提成录入!AJ16*$E12</f>
        <v>0</v>
      </c>
      <c r="AK12" s="213">
        <f>前台好评提成录入!AK16*$E12</f>
        <v>0</v>
      </c>
      <c r="AL12" s="213">
        <f>前台好评提成录入!AL16*$E12</f>
        <v>0</v>
      </c>
    </row>
    <row r="13" s="178" customFormat="1" customHeight="1" spans="1:38">
      <c r="A13" s="161">
        <v>9</v>
      </c>
      <c r="B13" s="21" t="str">
        <f>会员卡提成录入!B13</f>
        <v>翟芮瑶</v>
      </c>
      <c r="C13" s="21" t="str">
        <f>会员卡提成录入!C13</f>
        <v>白金卡</v>
      </c>
      <c r="D13" s="21" t="str">
        <f>会员卡提成录入!D13</f>
        <v>张</v>
      </c>
      <c r="E13" s="21">
        <f>会员卡提成录入!E13</f>
        <v>20</v>
      </c>
      <c r="F13" s="21">
        <f>会员卡提成录入!F13</f>
        <v>1</v>
      </c>
      <c r="G13" s="21">
        <f>会员卡提成录入!G13</f>
        <v>20</v>
      </c>
      <c r="H13" s="213">
        <f>前台好评提成录入!H17*$E13</f>
        <v>0</v>
      </c>
      <c r="I13" s="213">
        <f>前台好评提成录入!I17*$E13</f>
        <v>0</v>
      </c>
      <c r="J13" s="213">
        <f>前台好评提成录入!J17*$E13</f>
        <v>0</v>
      </c>
      <c r="K13" s="213">
        <f>前台好评提成录入!K17*$E13</f>
        <v>0</v>
      </c>
      <c r="L13" s="213">
        <f>前台好评提成录入!L17*$E13</f>
        <v>0</v>
      </c>
      <c r="M13" s="213">
        <f>前台好评提成录入!M17*$E13</f>
        <v>0</v>
      </c>
      <c r="N13" s="213">
        <f>前台好评提成录入!N17*$E13</f>
        <v>0</v>
      </c>
      <c r="O13" s="213">
        <f>前台好评提成录入!O17*$E13</f>
        <v>0</v>
      </c>
      <c r="P13" s="213">
        <f>前台好评提成录入!P17*$E13</f>
        <v>0</v>
      </c>
      <c r="Q13" s="213">
        <f>前台好评提成录入!Q17*$E13</f>
        <v>0</v>
      </c>
      <c r="R13" s="213">
        <f>前台好评提成录入!R17*$E13</f>
        <v>0</v>
      </c>
      <c r="S13" s="213">
        <f>前台好评提成录入!S17*$E13</f>
        <v>0</v>
      </c>
      <c r="T13" s="213">
        <f>前台好评提成录入!T17*$E13</f>
        <v>0</v>
      </c>
      <c r="U13" s="213">
        <f>前台好评提成录入!U17*$E13</f>
        <v>0</v>
      </c>
      <c r="V13" s="213">
        <f>前台好评提成录入!V17*$E13</f>
        <v>0</v>
      </c>
      <c r="W13" s="213">
        <f>前台好评提成录入!W17*$E13</f>
        <v>0</v>
      </c>
      <c r="X13" s="213">
        <f>前台好评提成录入!X17*$E13</f>
        <v>0</v>
      </c>
      <c r="Y13" s="213">
        <f>前台好评提成录入!Y17*$E13</f>
        <v>0</v>
      </c>
      <c r="Z13" s="213">
        <f>前台好评提成录入!Z17*$E13</f>
        <v>0</v>
      </c>
      <c r="AA13" s="213">
        <f>前台好评提成录入!AA17*$E13</f>
        <v>0</v>
      </c>
      <c r="AB13" s="213">
        <f>前台好评提成录入!AB17*$E13</f>
        <v>0</v>
      </c>
      <c r="AC13" s="213">
        <f>前台好评提成录入!AC17*$E13</f>
        <v>0</v>
      </c>
      <c r="AD13" s="213">
        <f>前台好评提成录入!AD17*$E13</f>
        <v>0</v>
      </c>
      <c r="AE13" s="213">
        <f>前台好评提成录入!AE17*$E13</f>
        <v>0</v>
      </c>
      <c r="AF13" s="213">
        <f>前台好评提成录入!AF17*$E13</f>
        <v>0</v>
      </c>
      <c r="AG13" s="213">
        <f>前台好评提成录入!AG17*$E13</f>
        <v>0</v>
      </c>
      <c r="AH13" s="213">
        <f>前台好评提成录入!AH17*$E13</f>
        <v>0</v>
      </c>
      <c r="AI13" s="213">
        <f>前台好评提成录入!AI17*$E13</f>
        <v>0</v>
      </c>
      <c r="AJ13" s="213">
        <f>前台好评提成录入!AJ17*$E13</f>
        <v>0</v>
      </c>
      <c r="AK13" s="213">
        <f>前台好评提成录入!AK17*$E13</f>
        <v>0</v>
      </c>
      <c r="AL13" s="213">
        <f>前台好评提成录入!AL17*$E13</f>
        <v>0</v>
      </c>
    </row>
    <row r="14" s="178" customFormat="1" customHeight="1" spans="1:38">
      <c r="A14" s="161">
        <v>10</v>
      </c>
      <c r="B14" s="21" t="str">
        <f>会员卡提成录入!B14</f>
        <v>孙源</v>
      </c>
      <c r="C14" s="21" t="str">
        <f>会员卡提成录入!C14</f>
        <v>金卡</v>
      </c>
      <c r="D14" s="21" t="str">
        <f>会员卡提成录入!D14</f>
        <v>张</v>
      </c>
      <c r="E14" s="21">
        <f>会员卡提成录入!E14</f>
        <v>11</v>
      </c>
      <c r="F14" s="21">
        <f>会员卡提成录入!F14</f>
        <v>7</v>
      </c>
      <c r="G14" s="21">
        <f>会员卡提成录入!G14</f>
        <v>77</v>
      </c>
      <c r="H14" s="213">
        <f>前台好评提成录入!H18*$E14</f>
        <v>0</v>
      </c>
      <c r="I14" s="213">
        <f>前台好评提成录入!I18*$E14</f>
        <v>0</v>
      </c>
      <c r="J14" s="213">
        <f>前台好评提成录入!J18*$E14</f>
        <v>0</v>
      </c>
      <c r="K14" s="213">
        <f>前台好评提成录入!K18*$E14</f>
        <v>0</v>
      </c>
      <c r="L14" s="213">
        <f>前台好评提成录入!L18*$E14</f>
        <v>0</v>
      </c>
      <c r="M14" s="213">
        <f>前台好评提成录入!M18*$E14</f>
        <v>0</v>
      </c>
      <c r="N14" s="213">
        <f>前台好评提成录入!N18*$E14</f>
        <v>0</v>
      </c>
      <c r="O14" s="213">
        <f>前台好评提成录入!O18*$E14</f>
        <v>0</v>
      </c>
      <c r="P14" s="213">
        <f>前台好评提成录入!P18*$E14</f>
        <v>0</v>
      </c>
      <c r="Q14" s="213">
        <f>前台好评提成录入!Q18*$E14</f>
        <v>0</v>
      </c>
      <c r="R14" s="213">
        <f>前台好评提成录入!R18*$E14</f>
        <v>0</v>
      </c>
      <c r="S14" s="213">
        <f>前台好评提成录入!S18*$E14</f>
        <v>0</v>
      </c>
      <c r="T14" s="213">
        <f>前台好评提成录入!T18*$E14</f>
        <v>0</v>
      </c>
      <c r="U14" s="213">
        <f>前台好评提成录入!U18*$E14</f>
        <v>0</v>
      </c>
      <c r="V14" s="213">
        <f>前台好评提成录入!V18*$E14</f>
        <v>0</v>
      </c>
      <c r="W14" s="213">
        <f>前台好评提成录入!W18*$E14</f>
        <v>0</v>
      </c>
      <c r="X14" s="213">
        <f>前台好评提成录入!X18*$E14</f>
        <v>0</v>
      </c>
      <c r="Y14" s="213">
        <f>前台好评提成录入!Y18*$E14</f>
        <v>0</v>
      </c>
      <c r="Z14" s="213">
        <f>前台好评提成录入!Z18*$E14</f>
        <v>0</v>
      </c>
      <c r="AA14" s="213">
        <f>前台好评提成录入!AA18*$E14</f>
        <v>0</v>
      </c>
      <c r="AB14" s="213">
        <f>前台好评提成录入!AB18*$E14</f>
        <v>0</v>
      </c>
      <c r="AC14" s="213">
        <f>前台好评提成录入!AC18*$E14</f>
        <v>0</v>
      </c>
      <c r="AD14" s="213">
        <f>前台好评提成录入!AD18*$E14</f>
        <v>0</v>
      </c>
      <c r="AE14" s="213">
        <f>前台好评提成录入!AE18*$E14</f>
        <v>0</v>
      </c>
      <c r="AF14" s="213">
        <f>前台好评提成录入!AF18*$E14</f>
        <v>0</v>
      </c>
      <c r="AG14" s="213">
        <f>前台好评提成录入!AG18*$E14</f>
        <v>0</v>
      </c>
      <c r="AH14" s="213">
        <f>前台好评提成录入!AH18*$E14</f>
        <v>0</v>
      </c>
      <c r="AI14" s="213">
        <f>前台好评提成录入!AI18*$E14</f>
        <v>0</v>
      </c>
      <c r="AJ14" s="213">
        <f>前台好评提成录入!AJ18*$E14</f>
        <v>0</v>
      </c>
      <c r="AK14" s="213">
        <f>前台好评提成录入!AK18*$E14</f>
        <v>0</v>
      </c>
      <c r="AL14" s="213">
        <f>前台好评提成录入!AL18*$E14</f>
        <v>0</v>
      </c>
    </row>
    <row r="15" s="178" customFormat="1" customHeight="1" spans="1:38">
      <c r="A15" s="161">
        <v>11</v>
      </c>
      <c r="B15" s="21" t="str">
        <f>会员卡提成录入!B15</f>
        <v>孙源</v>
      </c>
      <c r="C15" s="21" t="str">
        <f>会员卡提成录入!C15</f>
        <v>银卡</v>
      </c>
      <c r="D15" s="21" t="str">
        <f>会员卡提成录入!D15</f>
        <v>张</v>
      </c>
      <c r="E15" s="21">
        <f>会员卡提成录入!E15</f>
        <v>5</v>
      </c>
      <c r="F15" s="21">
        <f>会员卡提成录入!F15</f>
        <v>12</v>
      </c>
      <c r="G15" s="21">
        <f>会员卡提成录入!G15</f>
        <v>60</v>
      </c>
      <c r="H15" s="213">
        <f>前台好评提成录入!H19*$E15</f>
        <v>5</v>
      </c>
      <c r="I15" s="213">
        <f>前台好评提成录入!I19*$E15</f>
        <v>0</v>
      </c>
      <c r="J15" s="213">
        <f>前台好评提成录入!J19*$E15</f>
        <v>0</v>
      </c>
      <c r="K15" s="213">
        <f>前台好评提成录入!K19*$E15</f>
        <v>0</v>
      </c>
      <c r="L15" s="213">
        <f>前台好评提成录入!L19*$E15</f>
        <v>0</v>
      </c>
      <c r="M15" s="213">
        <f>前台好评提成录入!M19*$E15</f>
        <v>0</v>
      </c>
      <c r="N15" s="213">
        <f>前台好评提成录入!N19*$E15</f>
        <v>0</v>
      </c>
      <c r="O15" s="213">
        <f>前台好评提成录入!O19*$E15</f>
        <v>0</v>
      </c>
      <c r="P15" s="213">
        <f>前台好评提成录入!P19*$E15</f>
        <v>0</v>
      </c>
      <c r="Q15" s="213">
        <f>前台好评提成录入!Q19*$E15</f>
        <v>0</v>
      </c>
      <c r="R15" s="213">
        <f>前台好评提成录入!R19*$E15</f>
        <v>0</v>
      </c>
      <c r="S15" s="213">
        <f>前台好评提成录入!S19*$E15</f>
        <v>0</v>
      </c>
      <c r="T15" s="213">
        <f>前台好评提成录入!T19*$E15</f>
        <v>0</v>
      </c>
      <c r="U15" s="213">
        <f>前台好评提成录入!U19*$E15</f>
        <v>0</v>
      </c>
      <c r="V15" s="213">
        <f>前台好评提成录入!V19*$E15</f>
        <v>0</v>
      </c>
      <c r="W15" s="213">
        <f>前台好评提成录入!W19*$E15</f>
        <v>0</v>
      </c>
      <c r="X15" s="213">
        <f>前台好评提成录入!X19*$E15</f>
        <v>0</v>
      </c>
      <c r="Y15" s="213">
        <f>前台好评提成录入!Y19*$E15</f>
        <v>0</v>
      </c>
      <c r="Z15" s="213">
        <f>前台好评提成录入!Z19*$E15</f>
        <v>0</v>
      </c>
      <c r="AA15" s="213">
        <f>前台好评提成录入!AA19*$E15</f>
        <v>0</v>
      </c>
      <c r="AB15" s="213">
        <f>前台好评提成录入!AB19*$E15</f>
        <v>0</v>
      </c>
      <c r="AC15" s="213">
        <f>前台好评提成录入!AC19*$E15</f>
        <v>0</v>
      </c>
      <c r="AD15" s="213">
        <f>前台好评提成录入!AD19*$E15</f>
        <v>0</v>
      </c>
      <c r="AE15" s="213">
        <f>前台好评提成录入!AE19*$E15</f>
        <v>0</v>
      </c>
      <c r="AF15" s="213">
        <f>前台好评提成录入!AF19*$E15</f>
        <v>0</v>
      </c>
      <c r="AG15" s="213">
        <f>前台好评提成录入!AG19*$E15</f>
        <v>0</v>
      </c>
      <c r="AH15" s="213">
        <f>前台好评提成录入!AH19*$E15</f>
        <v>0</v>
      </c>
      <c r="AI15" s="213">
        <f>前台好评提成录入!AI19*$E15</f>
        <v>0</v>
      </c>
      <c r="AJ15" s="213">
        <f>前台好评提成录入!AJ19*$E15</f>
        <v>0</v>
      </c>
      <c r="AK15" s="213">
        <f>前台好评提成录入!AK19*$E15</f>
        <v>0</v>
      </c>
      <c r="AL15" s="213">
        <f>前台好评提成录入!AL19*$E15</f>
        <v>0</v>
      </c>
    </row>
    <row r="16" s="178" customFormat="1" customHeight="1" spans="1:38">
      <c r="A16" s="161">
        <v>12</v>
      </c>
      <c r="B16" s="21" t="str">
        <f>会员卡提成录入!B16</f>
        <v>孙源</v>
      </c>
      <c r="C16" s="21" t="str">
        <f>会员卡提成录入!C16</f>
        <v>白金卡</v>
      </c>
      <c r="D16" s="21" t="str">
        <f>会员卡提成录入!D16</f>
        <v>张</v>
      </c>
      <c r="E16" s="21">
        <f>会员卡提成录入!E16</f>
        <v>20</v>
      </c>
      <c r="F16" s="21">
        <f>会员卡提成录入!F16</f>
        <v>0</v>
      </c>
      <c r="G16" s="21">
        <f>会员卡提成录入!G16</f>
        <v>0</v>
      </c>
      <c r="H16" s="213">
        <f>前台好评提成录入!H20*$E16</f>
        <v>0</v>
      </c>
      <c r="I16" s="213">
        <f>前台好评提成录入!I20*$E16</f>
        <v>0</v>
      </c>
      <c r="J16" s="213">
        <f>前台好评提成录入!J20*$E16</f>
        <v>0</v>
      </c>
      <c r="K16" s="213">
        <f>前台好评提成录入!K20*$E16</f>
        <v>0</v>
      </c>
      <c r="L16" s="213">
        <f>前台好评提成录入!L20*$E16</f>
        <v>0</v>
      </c>
      <c r="M16" s="213">
        <f>前台好评提成录入!M20*$E16</f>
        <v>0</v>
      </c>
      <c r="N16" s="213">
        <f>前台好评提成录入!N20*$E16</f>
        <v>0</v>
      </c>
      <c r="O16" s="213">
        <f>前台好评提成录入!O20*$E16</f>
        <v>0</v>
      </c>
      <c r="P16" s="213">
        <f>前台好评提成录入!P20*$E16</f>
        <v>0</v>
      </c>
      <c r="Q16" s="213">
        <f>前台好评提成录入!Q20*$E16</f>
        <v>0</v>
      </c>
      <c r="R16" s="213">
        <f>前台好评提成录入!R20*$E16</f>
        <v>0</v>
      </c>
      <c r="S16" s="213">
        <f>前台好评提成录入!S20*$E16</f>
        <v>0</v>
      </c>
      <c r="T16" s="213">
        <f>前台好评提成录入!T20*$E16</f>
        <v>0</v>
      </c>
      <c r="U16" s="213">
        <f>前台好评提成录入!U20*$E16</f>
        <v>0</v>
      </c>
      <c r="V16" s="213">
        <f>前台好评提成录入!V20*$E16</f>
        <v>0</v>
      </c>
      <c r="W16" s="213">
        <f>前台好评提成录入!W20*$E16</f>
        <v>0</v>
      </c>
      <c r="X16" s="213">
        <f>前台好评提成录入!X20*$E16</f>
        <v>0</v>
      </c>
      <c r="Y16" s="213">
        <f>前台好评提成录入!Y20*$E16</f>
        <v>0</v>
      </c>
      <c r="Z16" s="213">
        <f>前台好评提成录入!Z20*$E16</f>
        <v>0</v>
      </c>
      <c r="AA16" s="213">
        <f>前台好评提成录入!AA20*$E16</f>
        <v>0</v>
      </c>
      <c r="AB16" s="213">
        <f>前台好评提成录入!AB20*$E16</f>
        <v>0</v>
      </c>
      <c r="AC16" s="213">
        <f>前台好评提成录入!AC20*$E16</f>
        <v>0</v>
      </c>
      <c r="AD16" s="213">
        <f>前台好评提成录入!AD20*$E16</f>
        <v>0</v>
      </c>
      <c r="AE16" s="213">
        <f>前台好评提成录入!AE20*$E16</f>
        <v>0</v>
      </c>
      <c r="AF16" s="213">
        <f>前台好评提成录入!AF20*$E16</f>
        <v>0</v>
      </c>
      <c r="AG16" s="213">
        <f>前台好评提成录入!AG20*$E16</f>
        <v>0</v>
      </c>
      <c r="AH16" s="213">
        <f>前台好评提成录入!AH20*$E16</f>
        <v>0</v>
      </c>
      <c r="AI16" s="213">
        <f>前台好评提成录入!AI20*$E16</f>
        <v>0</v>
      </c>
      <c r="AJ16" s="213">
        <f>前台好评提成录入!AJ20*$E16</f>
        <v>0</v>
      </c>
      <c r="AK16" s="213">
        <f>前台好评提成录入!AK20*$E16</f>
        <v>0</v>
      </c>
      <c r="AL16" s="213">
        <f>前台好评提成录入!AL20*$E16</f>
        <v>0</v>
      </c>
    </row>
    <row r="17" s="178" customFormat="1" customHeight="1" spans="1:38">
      <c r="A17" s="161">
        <v>13</v>
      </c>
      <c r="B17" s="21" t="str">
        <f>会员卡提成录入!B17</f>
        <v>张馨月</v>
      </c>
      <c r="C17" s="21" t="str">
        <f>会员卡提成录入!C17</f>
        <v>金卡</v>
      </c>
      <c r="D17" s="21" t="str">
        <f>会员卡提成录入!D17</f>
        <v>张</v>
      </c>
      <c r="E17" s="21">
        <f>会员卡提成录入!E17</f>
        <v>11</v>
      </c>
      <c r="F17" s="21">
        <f>会员卡提成录入!F17</f>
        <v>3</v>
      </c>
      <c r="G17" s="21">
        <f>会员卡提成录入!G17</f>
        <v>33</v>
      </c>
      <c r="H17" s="213">
        <f>前台好评提成录入!H21*$E17</f>
        <v>22</v>
      </c>
      <c r="I17" s="213">
        <f>前台好评提成录入!I21*$E17</f>
        <v>0</v>
      </c>
      <c r="J17" s="213">
        <f>前台好评提成录入!J21*$E17</f>
        <v>0</v>
      </c>
      <c r="K17" s="213">
        <f>前台好评提成录入!K21*$E17</f>
        <v>0</v>
      </c>
      <c r="L17" s="213">
        <f>前台好评提成录入!L21*$E17</f>
        <v>0</v>
      </c>
      <c r="M17" s="213">
        <f>前台好评提成录入!M21*$E17</f>
        <v>0</v>
      </c>
      <c r="N17" s="213">
        <f>前台好评提成录入!N21*$E17</f>
        <v>0</v>
      </c>
      <c r="O17" s="213">
        <f>前台好评提成录入!O21*$E17</f>
        <v>0</v>
      </c>
      <c r="P17" s="213">
        <f>前台好评提成录入!P21*$E17</f>
        <v>0</v>
      </c>
      <c r="Q17" s="213">
        <f>前台好评提成录入!Q21*$E17</f>
        <v>0</v>
      </c>
      <c r="R17" s="213">
        <f>前台好评提成录入!R21*$E17</f>
        <v>0</v>
      </c>
      <c r="S17" s="213">
        <f>前台好评提成录入!S21*$E17</f>
        <v>0</v>
      </c>
      <c r="T17" s="213">
        <f>前台好评提成录入!T21*$E17</f>
        <v>0</v>
      </c>
      <c r="U17" s="213">
        <f>前台好评提成录入!U21*$E17</f>
        <v>0</v>
      </c>
      <c r="V17" s="213">
        <f>前台好评提成录入!V21*$E17</f>
        <v>0</v>
      </c>
      <c r="W17" s="213">
        <f>前台好评提成录入!W21*$E17</f>
        <v>0</v>
      </c>
      <c r="X17" s="213">
        <f>前台好评提成录入!X21*$E17</f>
        <v>0</v>
      </c>
      <c r="Y17" s="213">
        <f>前台好评提成录入!Y21*$E17</f>
        <v>0</v>
      </c>
      <c r="Z17" s="213">
        <f>前台好评提成录入!Z21*$E17</f>
        <v>0</v>
      </c>
      <c r="AA17" s="213">
        <f>前台好评提成录入!AA21*$E17</f>
        <v>0</v>
      </c>
      <c r="AB17" s="213">
        <f>前台好评提成录入!AB21*$E17</f>
        <v>0</v>
      </c>
      <c r="AC17" s="213">
        <f>前台好评提成录入!AC21*$E17</f>
        <v>0</v>
      </c>
      <c r="AD17" s="213">
        <f>前台好评提成录入!AD21*$E17</f>
        <v>0</v>
      </c>
      <c r="AE17" s="213">
        <f>前台好评提成录入!AE21*$E17</f>
        <v>0</v>
      </c>
      <c r="AF17" s="213">
        <f>前台好评提成录入!AF21*$E17</f>
        <v>0</v>
      </c>
      <c r="AG17" s="213">
        <f>前台好评提成录入!AG21*$E17</f>
        <v>0</v>
      </c>
      <c r="AH17" s="213">
        <f>前台好评提成录入!AH21*$E17</f>
        <v>0</v>
      </c>
      <c r="AI17" s="213">
        <f>前台好评提成录入!AI21*$E17</f>
        <v>0</v>
      </c>
      <c r="AJ17" s="213">
        <f>前台好评提成录入!AJ21*$E17</f>
        <v>0</v>
      </c>
      <c r="AK17" s="213">
        <f>前台好评提成录入!AK21*$E17</f>
        <v>0</v>
      </c>
      <c r="AL17" s="213">
        <f>前台好评提成录入!AL21*$E17</f>
        <v>0</v>
      </c>
    </row>
    <row r="18" s="178" customFormat="1" customHeight="1" spans="1:38">
      <c r="A18" s="161">
        <v>14</v>
      </c>
      <c r="B18" s="21" t="str">
        <f>会员卡提成录入!B18</f>
        <v>张馨月</v>
      </c>
      <c r="C18" s="21" t="str">
        <f>会员卡提成录入!C18</f>
        <v>银卡</v>
      </c>
      <c r="D18" s="21" t="str">
        <f>会员卡提成录入!D18</f>
        <v>张</v>
      </c>
      <c r="E18" s="21">
        <f>会员卡提成录入!E18</f>
        <v>5</v>
      </c>
      <c r="F18" s="21">
        <f>会员卡提成录入!F18</f>
        <v>5</v>
      </c>
      <c r="G18" s="21">
        <f>会员卡提成录入!G18</f>
        <v>25</v>
      </c>
      <c r="H18" s="213">
        <f>前台好评提成录入!H22*$E18</f>
        <v>100</v>
      </c>
      <c r="I18" s="213">
        <f>前台好评提成录入!I22*$E18</f>
        <v>0</v>
      </c>
      <c r="J18" s="213">
        <f>前台好评提成录入!J22*$E18</f>
        <v>0</v>
      </c>
      <c r="K18" s="213">
        <f>前台好评提成录入!K22*$E18</f>
        <v>0</v>
      </c>
      <c r="L18" s="213">
        <f>前台好评提成录入!L22*$E18</f>
        <v>0</v>
      </c>
      <c r="M18" s="213">
        <f>前台好评提成录入!M22*$E18</f>
        <v>0</v>
      </c>
      <c r="N18" s="213">
        <f>前台好评提成录入!N22*$E18</f>
        <v>0</v>
      </c>
      <c r="O18" s="213">
        <f>前台好评提成录入!O22*$E18</f>
        <v>0</v>
      </c>
      <c r="P18" s="213">
        <f>前台好评提成录入!P22*$E18</f>
        <v>0</v>
      </c>
      <c r="Q18" s="213">
        <f>前台好评提成录入!Q22*$E18</f>
        <v>0</v>
      </c>
      <c r="R18" s="213">
        <f>前台好评提成录入!R22*$E18</f>
        <v>0</v>
      </c>
      <c r="S18" s="213">
        <f>前台好评提成录入!S22*$E18</f>
        <v>0</v>
      </c>
      <c r="T18" s="213">
        <f>前台好评提成录入!T22*$E18</f>
        <v>0</v>
      </c>
      <c r="U18" s="213">
        <f>前台好评提成录入!U22*$E18</f>
        <v>0</v>
      </c>
      <c r="V18" s="213">
        <f>前台好评提成录入!V22*$E18</f>
        <v>0</v>
      </c>
      <c r="W18" s="213">
        <f>前台好评提成录入!W22*$E18</f>
        <v>0</v>
      </c>
      <c r="X18" s="213">
        <f>前台好评提成录入!X22*$E18</f>
        <v>0</v>
      </c>
      <c r="Y18" s="213">
        <f>前台好评提成录入!Y22*$E18</f>
        <v>0</v>
      </c>
      <c r="Z18" s="213">
        <f>前台好评提成录入!Z22*$E18</f>
        <v>0</v>
      </c>
      <c r="AA18" s="213">
        <f>前台好评提成录入!AA22*$E18</f>
        <v>0</v>
      </c>
      <c r="AB18" s="213">
        <f>前台好评提成录入!AB22*$E18</f>
        <v>0</v>
      </c>
      <c r="AC18" s="213">
        <f>前台好评提成录入!AC22*$E18</f>
        <v>0</v>
      </c>
      <c r="AD18" s="213">
        <f>前台好评提成录入!AD22*$E18</f>
        <v>0</v>
      </c>
      <c r="AE18" s="213">
        <f>前台好评提成录入!AE22*$E18</f>
        <v>0</v>
      </c>
      <c r="AF18" s="213">
        <f>前台好评提成录入!AF22*$E18</f>
        <v>0</v>
      </c>
      <c r="AG18" s="213">
        <f>前台好评提成录入!AG22*$E18</f>
        <v>0</v>
      </c>
      <c r="AH18" s="213">
        <f>前台好评提成录入!AH22*$E18</f>
        <v>0</v>
      </c>
      <c r="AI18" s="213">
        <f>前台好评提成录入!AI22*$E18</f>
        <v>0</v>
      </c>
      <c r="AJ18" s="213">
        <f>前台好评提成录入!AJ22*$E18</f>
        <v>0</v>
      </c>
      <c r="AK18" s="213">
        <f>前台好评提成录入!AK22*$E18</f>
        <v>0</v>
      </c>
      <c r="AL18" s="213">
        <f>前台好评提成录入!AL22*$E18</f>
        <v>0</v>
      </c>
    </row>
    <row r="19" s="178" customFormat="1" customHeight="1" spans="1:38">
      <c r="A19" s="161">
        <v>15</v>
      </c>
      <c r="B19" s="21" t="str">
        <f>会员卡提成录入!B19</f>
        <v>张馨月</v>
      </c>
      <c r="C19" s="21" t="str">
        <f>会员卡提成录入!C19</f>
        <v>白金卡</v>
      </c>
      <c r="D19" s="21" t="str">
        <f>会员卡提成录入!D19</f>
        <v>张</v>
      </c>
      <c r="E19" s="21">
        <f>会员卡提成录入!E19</f>
        <v>20</v>
      </c>
      <c r="F19" s="21">
        <f>会员卡提成录入!F19</f>
        <v>0</v>
      </c>
      <c r="G19" s="21">
        <f>会员卡提成录入!G19</f>
        <v>0</v>
      </c>
      <c r="H19" s="213">
        <f>前台好评提成录入!H23*$E19</f>
        <v>20</v>
      </c>
      <c r="I19" s="213">
        <f>前台好评提成录入!I23*$E19</f>
        <v>0</v>
      </c>
      <c r="J19" s="213">
        <f>前台好评提成录入!J23*$E19</f>
        <v>0</v>
      </c>
      <c r="K19" s="213">
        <f>前台好评提成录入!K23*$E19</f>
        <v>0</v>
      </c>
      <c r="L19" s="213">
        <f>前台好评提成录入!L23*$E19</f>
        <v>0</v>
      </c>
      <c r="M19" s="213">
        <f>前台好评提成录入!M23*$E19</f>
        <v>0</v>
      </c>
      <c r="N19" s="213">
        <f>前台好评提成录入!N23*$E19</f>
        <v>0</v>
      </c>
      <c r="O19" s="213">
        <f>前台好评提成录入!O23*$E19</f>
        <v>0</v>
      </c>
      <c r="P19" s="213">
        <f>前台好评提成录入!P23*$E19</f>
        <v>0</v>
      </c>
      <c r="Q19" s="213">
        <f>前台好评提成录入!Q23*$E19</f>
        <v>0</v>
      </c>
      <c r="R19" s="213">
        <f>前台好评提成录入!R23*$E19</f>
        <v>0</v>
      </c>
      <c r="S19" s="213">
        <f>前台好评提成录入!S23*$E19</f>
        <v>0</v>
      </c>
      <c r="T19" s="213">
        <f>前台好评提成录入!T23*$E19</f>
        <v>0</v>
      </c>
      <c r="U19" s="213">
        <f>前台好评提成录入!U23*$E19</f>
        <v>0</v>
      </c>
      <c r="V19" s="213">
        <f>前台好评提成录入!V23*$E19</f>
        <v>0</v>
      </c>
      <c r="W19" s="213">
        <f>前台好评提成录入!W23*$E19</f>
        <v>0</v>
      </c>
      <c r="X19" s="213">
        <f>前台好评提成录入!X23*$E19</f>
        <v>0</v>
      </c>
      <c r="Y19" s="213">
        <f>前台好评提成录入!Y23*$E19</f>
        <v>0</v>
      </c>
      <c r="Z19" s="213">
        <f>前台好评提成录入!Z23*$E19</f>
        <v>0</v>
      </c>
      <c r="AA19" s="213">
        <f>前台好评提成录入!AA23*$E19</f>
        <v>0</v>
      </c>
      <c r="AB19" s="213">
        <f>前台好评提成录入!AB23*$E19</f>
        <v>0</v>
      </c>
      <c r="AC19" s="213">
        <f>前台好评提成录入!AC23*$E19</f>
        <v>0</v>
      </c>
      <c r="AD19" s="213">
        <f>前台好评提成录入!AD23*$E19</f>
        <v>0</v>
      </c>
      <c r="AE19" s="213">
        <f>前台好评提成录入!AE23*$E19</f>
        <v>0</v>
      </c>
      <c r="AF19" s="213">
        <f>前台好评提成录入!AF23*$E19</f>
        <v>0</v>
      </c>
      <c r="AG19" s="213">
        <f>前台好评提成录入!AG23*$E19</f>
        <v>0</v>
      </c>
      <c r="AH19" s="213">
        <f>前台好评提成录入!AH23*$E19</f>
        <v>0</v>
      </c>
      <c r="AI19" s="213">
        <f>前台好评提成录入!AI23*$E19</f>
        <v>0</v>
      </c>
      <c r="AJ19" s="213">
        <f>前台好评提成录入!AJ23*$E19</f>
        <v>0</v>
      </c>
      <c r="AK19" s="213">
        <f>前台好评提成录入!AK23*$E19</f>
        <v>0</v>
      </c>
      <c r="AL19" s="213">
        <f>前台好评提成录入!AL23*$E19</f>
        <v>0</v>
      </c>
    </row>
    <row r="20" s="178" customFormat="1" customHeight="1" spans="1:38">
      <c r="A20" s="161">
        <v>16</v>
      </c>
      <c r="B20" s="21" t="str">
        <f>会员卡提成录入!B20</f>
        <v>宋雨霏</v>
      </c>
      <c r="C20" s="21" t="str">
        <f>会员卡提成录入!C20</f>
        <v>金卡</v>
      </c>
      <c r="D20" s="21" t="str">
        <f>会员卡提成录入!D20</f>
        <v>张</v>
      </c>
      <c r="E20" s="21">
        <f>会员卡提成录入!E20</f>
        <v>11</v>
      </c>
      <c r="F20" s="21">
        <f>会员卡提成录入!F20</f>
        <v>0</v>
      </c>
      <c r="G20" s="21">
        <f>会员卡提成录入!G20</f>
        <v>0</v>
      </c>
      <c r="H20" s="213">
        <f>前台好评提成录入!H24*$E20</f>
        <v>77</v>
      </c>
      <c r="I20" s="213">
        <f>前台好评提成录入!I24*$E20</f>
        <v>0</v>
      </c>
      <c r="J20" s="213">
        <f>前台好评提成录入!J24*$E20</f>
        <v>0</v>
      </c>
      <c r="K20" s="213">
        <f>前台好评提成录入!K24*$E20</f>
        <v>0</v>
      </c>
      <c r="L20" s="213">
        <f>前台好评提成录入!L24*$E20</f>
        <v>0</v>
      </c>
      <c r="M20" s="213">
        <f>前台好评提成录入!M24*$E20</f>
        <v>0</v>
      </c>
      <c r="N20" s="213">
        <f>前台好评提成录入!N24*$E20</f>
        <v>0</v>
      </c>
      <c r="O20" s="213">
        <f>前台好评提成录入!O24*$E20</f>
        <v>0</v>
      </c>
      <c r="P20" s="213">
        <f>前台好评提成录入!P24*$E20</f>
        <v>0</v>
      </c>
      <c r="Q20" s="213">
        <f>前台好评提成录入!Q24*$E20</f>
        <v>0</v>
      </c>
      <c r="R20" s="213">
        <f>前台好评提成录入!R24*$E20</f>
        <v>0</v>
      </c>
      <c r="S20" s="213">
        <f>前台好评提成录入!S24*$E20</f>
        <v>0</v>
      </c>
      <c r="T20" s="213">
        <f>前台好评提成录入!T24*$E20</f>
        <v>0</v>
      </c>
      <c r="U20" s="213">
        <f>前台好评提成录入!U24*$E20</f>
        <v>0</v>
      </c>
      <c r="V20" s="213">
        <f>前台好评提成录入!V24*$E20</f>
        <v>0</v>
      </c>
      <c r="W20" s="213">
        <f>前台好评提成录入!W24*$E20</f>
        <v>0</v>
      </c>
      <c r="X20" s="213">
        <f>前台好评提成录入!X24*$E20</f>
        <v>0</v>
      </c>
      <c r="Y20" s="213">
        <f>前台好评提成录入!Y24*$E20</f>
        <v>0</v>
      </c>
      <c r="Z20" s="213">
        <f>前台好评提成录入!Z24*$E20</f>
        <v>0</v>
      </c>
      <c r="AA20" s="213">
        <f>前台好评提成录入!AA24*$E20</f>
        <v>0</v>
      </c>
      <c r="AB20" s="213">
        <f>前台好评提成录入!AB24*$E20</f>
        <v>0</v>
      </c>
      <c r="AC20" s="213">
        <f>前台好评提成录入!AC24*$E20</f>
        <v>0</v>
      </c>
      <c r="AD20" s="213">
        <f>前台好评提成录入!AD24*$E20</f>
        <v>0</v>
      </c>
      <c r="AE20" s="213">
        <f>前台好评提成录入!AE24*$E20</f>
        <v>0</v>
      </c>
      <c r="AF20" s="213">
        <f>前台好评提成录入!AF24*$E20</f>
        <v>0</v>
      </c>
      <c r="AG20" s="213">
        <f>前台好评提成录入!AG24*$E20</f>
        <v>0</v>
      </c>
      <c r="AH20" s="213">
        <f>前台好评提成录入!AH24*$E20</f>
        <v>0</v>
      </c>
      <c r="AI20" s="213">
        <f>前台好评提成录入!AI24*$E20</f>
        <v>0</v>
      </c>
      <c r="AJ20" s="213">
        <f>前台好评提成录入!AJ24*$E20</f>
        <v>0</v>
      </c>
      <c r="AK20" s="213">
        <f>前台好评提成录入!AK24*$E20</f>
        <v>0</v>
      </c>
      <c r="AL20" s="213">
        <f>前台好评提成录入!AL24*$E20</f>
        <v>0</v>
      </c>
    </row>
    <row r="21" s="178" customFormat="1" customHeight="1" spans="1:38">
      <c r="A21" s="161">
        <v>17</v>
      </c>
      <c r="B21" s="21" t="str">
        <f>会员卡提成录入!B21</f>
        <v>宋雨霏</v>
      </c>
      <c r="C21" s="21" t="str">
        <f>会员卡提成录入!C21</f>
        <v>银卡</v>
      </c>
      <c r="D21" s="21" t="str">
        <f>会员卡提成录入!D21</f>
        <v>张</v>
      </c>
      <c r="E21" s="21">
        <f>会员卡提成录入!E21</f>
        <v>5</v>
      </c>
      <c r="F21" s="21">
        <f>会员卡提成录入!F21</f>
        <v>0</v>
      </c>
      <c r="G21" s="21">
        <f>会员卡提成录入!G21</f>
        <v>0</v>
      </c>
      <c r="H21" s="213">
        <f>前台好评提成录入!H25*$E21</f>
        <v>0</v>
      </c>
      <c r="I21" s="213">
        <f>前台好评提成录入!I25*$E21</f>
        <v>0</v>
      </c>
      <c r="J21" s="213">
        <f>前台好评提成录入!J25*$E21</f>
        <v>0</v>
      </c>
      <c r="K21" s="213">
        <f>前台好评提成录入!K25*$E21</f>
        <v>0</v>
      </c>
      <c r="L21" s="213">
        <f>前台好评提成录入!L25*$E21</f>
        <v>0</v>
      </c>
      <c r="M21" s="213">
        <f>前台好评提成录入!M25*$E21</f>
        <v>0</v>
      </c>
      <c r="N21" s="213">
        <f>前台好评提成录入!N25*$E21</f>
        <v>0</v>
      </c>
      <c r="O21" s="213">
        <f>前台好评提成录入!O25*$E21</f>
        <v>0</v>
      </c>
      <c r="P21" s="213">
        <f>前台好评提成录入!P25*$E21</f>
        <v>0</v>
      </c>
      <c r="Q21" s="213">
        <f>前台好评提成录入!Q25*$E21</f>
        <v>0</v>
      </c>
      <c r="R21" s="213">
        <f>前台好评提成录入!R25*$E21</f>
        <v>0</v>
      </c>
      <c r="S21" s="213">
        <f>前台好评提成录入!S25*$E21</f>
        <v>0</v>
      </c>
      <c r="T21" s="213">
        <f>前台好评提成录入!T25*$E21</f>
        <v>0</v>
      </c>
      <c r="U21" s="213">
        <f>前台好评提成录入!U25*$E21</f>
        <v>0</v>
      </c>
      <c r="V21" s="213">
        <f>前台好评提成录入!V25*$E21</f>
        <v>0</v>
      </c>
      <c r="W21" s="213">
        <f>前台好评提成录入!W25*$E21</f>
        <v>0</v>
      </c>
      <c r="X21" s="213">
        <f>前台好评提成录入!X25*$E21</f>
        <v>0</v>
      </c>
      <c r="Y21" s="213">
        <f>前台好评提成录入!Y25*$E21</f>
        <v>0</v>
      </c>
      <c r="Z21" s="213">
        <f>前台好评提成录入!Z25*$E21</f>
        <v>0</v>
      </c>
      <c r="AA21" s="213">
        <f>前台好评提成录入!AA25*$E21</f>
        <v>0</v>
      </c>
      <c r="AB21" s="213">
        <f>前台好评提成录入!AB25*$E21</f>
        <v>0</v>
      </c>
      <c r="AC21" s="213">
        <f>前台好评提成录入!AC25*$E21</f>
        <v>0</v>
      </c>
      <c r="AD21" s="213">
        <f>前台好评提成录入!AD25*$E21</f>
        <v>0</v>
      </c>
      <c r="AE21" s="213">
        <f>前台好评提成录入!AE25*$E21</f>
        <v>0</v>
      </c>
      <c r="AF21" s="213">
        <f>前台好评提成录入!AF25*$E21</f>
        <v>0</v>
      </c>
      <c r="AG21" s="213">
        <f>前台好评提成录入!AG25*$E21</f>
        <v>0</v>
      </c>
      <c r="AH21" s="213">
        <f>前台好评提成录入!AH25*$E21</f>
        <v>0</v>
      </c>
      <c r="AI21" s="213">
        <f>前台好评提成录入!AI25*$E21</f>
        <v>0</v>
      </c>
      <c r="AJ21" s="213">
        <f>前台好评提成录入!AJ25*$E21</f>
        <v>0</v>
      </c>
      <c r="AK21" s="213">
        <f>前台好评提成录入!AK25*$E21</f>
        <v>0</v>
      </c>
      <c r="AL21" s="213">
        <f>前台好评提成录入!AL25*$E21</f>
        <v>0</v>
      </c>
    </row>
    <row r="22" s="178" customFormat="1" customHeight="1" spans="1:38">
      <c r="A22" s="161">
        <v>18</v>
      </c>
      <c r="B22" s="21" t="str">
        <f>会员卡提成录入!B22</f>
        <v>宋雨霏</v>
      </c>
      <c r="C22" s="21" t="str">
        <f>会员卡提成录入!C22</f>
        <v>白金卡</v>
      </c>
      <c r="D22" s="21" t="str">
        <f>会员卡提成录入!D22</f>
        <v>张</v>
      </c>
      <c r="E22" s="21">
        <f>会员卡提成录入!E22</f>
        <v>20</v>
      </c>
      <c r="F22" s="21">
        <f>会员卡提成录入!F22</f>
        <v>1</v>
      </c>
      <c r="G22" s="21">
        <f>会员卡提成录入!G22</f>
        <v>20</v>
      </c>
      <c r="H22" s="213">
        <f>前台好评提成录入!H27*$E22</f>
        <v>20</v>
      </c>
      <c r="I22" s="213">
        <f>前台好评提成录入!I27*$E22</f>
        <v>0</v>
      </c>
      <c r="J22" s="213">
        <f>前台好评提成录入!J27*$E22</f>
        <v>0</v>
      </c>
      <c r="K22" s="213">
        <f>前台好评提成录入!K27*$E22</f>
        <v>0</v>
      </c>
      <c r="L22" s="213">
        <f>前台好评提成录入!L27*$E22</f>
        <v>0</v>
      </c>
      <c r="M22" s="213">
        <f>前台好评提成录入!M27*$E22</f>
        <v>0</v>
      </c>
      <c r="N22" s="213">
        <f>前台好评提成录入!N27*$E22</f>
        <v>0</v>
      </c>
      <c r="O22" s="213">
        <f>前台好评提成录入!O27*$E22</f>
        <v>0</v>
      </c>
      <c r="P22" s="213">
        <f>前台好评提成录入!P27*$E22</f>
        <v>0</v>
      </c>
      <c r="Q22" s="213">
        <f>前台好评提成录入!Q27*$E22</f>
        <v>0</v>
      </c>
      <c r="R22" s="213">
        <f>前台好评提成录入!R27*$E22</f>
        <v>0</v>
      </c>
      <c r="S22" s="213">
        <f>前台好评提成录入!S27*$E22</f>
        <v>0</v>
      </c>
      <c r="T22" s="213">
        <f>前台好评提成录入!T27*$E22</f>
        <v>0</v>
      </c>
      <c r="U22" s="213">
        <f>前台好评提成录入!U27*$E22</f>
        <v>0</v>
      </c>
      <c r="V22" s="213">
        <f>前台好评提成录入!V27*$E22</f>
        <v>0</v>
      </c>
      <c r="W22" s="213">
        <f>前台好评提成录入!W27*$E22</f>
        <v>0</v>
      </c>
      <c r="X22" s="213">
        <f>前台好评提成录入!X27*$E22</f>
        <v>0</v>
      </c>
      <c r="Y22" s="213">
        <f>前台好评提成录入!Y27*$E22</f>
        <v>0</v>
      </c>
      <c r="Z22" s="213">
        <f>前台好评提成录入!Z27*$E22</f>
        <v>0</v>
      </c>
      <c r="AA22" s="213">
        <f>前台好评提成录入!AA27*$E22</f>
        <v>0</v>
      </c>
      <c r="AB22" s="213">
        <f>前台好评提成录入!AB27*$E22</f>
        <v>0</v>
      </c>
      <c r="AC22" s="213">
        <f>前台好评提成录入!AC27*$E22</f>
        <v>0</v>
      </c>
      <c r="AD22" s="213">
        <f>前台好评提成录入!AD27*$E22</f>
        <v>0</v>
      </c>
      <c r="AE22" s="213">
        <f>前台好评提成录入!AE27*$E22</f>
        <v>0</v>
      </c>
      <c r="AF22" s="213">
        <f>前台好评提成录入!AF27*$E22</f>
        <v>0</v>
      </c>
      <c r="AG22" s="213">
        <f>前台好评提成录入!AG27*$E22</f>
        <v>0</v>
      </c>
      <c r="AH22" s="213">
        <f>前台好评提成录入!AH27*$E22</f>
        <v>0</v>
      </c>
      <c r="AI22" s="213">
        <f>前台好评提成录入!AI27*$E22</f>
        <v>0</v>
      </c>
      <c r="AJ22" s="213">
        <f>前台好评提成录入!AJ27*$E22</f>
        <v>0</v>
      </c>
      <c r="AK22" s="213">
        <f>前台好评提成录入!AK27*$E22</f>
        <v>0</v>
      </c>
      <c r="AL22" s="213">
        <f>前台好评提成录入!AL27*$E22</f>
        <v>0</v>
      </c>
    </row>
    <row r="23" s="178" customFormat="1" customHeight="1" spans="1:38">
      <c r="A23" s="161">
        <v>19</v>
      </c>
      <c r="B23" s="21" t="str">
        <f>会员卡提成录入!B23</f>
        <v>于子杭</v>
      </c>
      <c r="C23" s="21" t="str">
        <f>会员卡提成录入!C23</f>
        <v>金卡</v>
      </c>
      <c r="D23" s="21" t="str">
        <f>会员卡提成录入!D23</f>
        <v>张</v>
      </c>
      <c r="E23" s="21">
        <f>会员卡提成录入!E23</f>
        <v>11</v>
      </c>
      <c r="F23" s="21">
        <f>会员卡提成录入!F23</f>
        <v>1</v>
      </c>
      <c r="G23" s="21">
        <f>会员卡提成录入!G23</f>
        <v>11</v>
      </c>
      <c r="H23" s="213">
        <f>前台好评提成录入!H28*$E23</f>
        <v>44</v>
      </c>
      <c r="I23" s="213">
        <f>前台好评提成录入!I28*$E23</f>
        <v>0</v>
      </c>
      <c r="J23" s="213">
        <f>前台好评提成录入!J28*$E23</f>
        <v>0</v>
      </c>
      <c r="K23" s="213">
        <f>前台好评提成录入!K28*$E23</f>
        <v>0</v>
      </c>
      <c r="L23" s="213">
        <f>前台好评提成录入!L28*$E23</f>
        <v>0</v>
      </c>
      <c r="M23" s="213">
        <f>前台好评提成录入!M28*$E23</f>
        <v>0</v>
      </c>
      <c r="N23" s="213">
        <f>前台好评提成录入!N28*$E23</f>
        <v>0</v>
      </c>
      <c r="O23" s="213">
        <f>前台好评提成录入!O28*$E23</f>
        <v>0</v>
      </c>
      <c r="P23" s="213">
        <f>前台好评提成录入!P28*$E23</f>
        <v>0</v>
      </c>
      <c r="Q23" s="213">
        <f>前台好评提成录入!Q28*$E23</f>
        <v>0</v>
      </c>
      <c r="R23" s="213">
        <f>前台好评提成录入!R28*$E23</f>
        <v>0</v>
      </c>
      <c r="S23" s="213">
        <f>前台好评提成录入!S28*$E23</f>
        <v>0</v>
      </c>
      <c r="T23" s="213">
        <f>前台好评提成录入!T28*$E23</f>
        <v>0</v>
      </c>
      <c r="U23" s="213">
        <f>前台好评提成录入!U28*$E23</f>
        <v>0</v>
      </c>
      <c r="V23" s="213">
        <f>前台好评提成录入!V28*$E23</f>
        <v>0</v>
      </c>
      <c r="W23" s="213">
        <f>前台好评提成录入!W28*$E23</f>
        <v>0</v>
      </c>
      <c r="X23" s="213">
        <f>前台好评提成录入!X28*$E23</f>
        <v>0</v>
      </c>
      <c r="Y23" s="213">
        <f>前台好评提成录入!Y28*$E23</f>
        <v>0</v>
      </c>
      <c r="Z23" s="213">
        <f>前台好评提成录入!Z28*$E23</f>
        <v>0</v>
      </c>
      <c r="AA23" s="213">
        <f>前台好评提成录入!AA28*$E23</f>
        <v>0</v>
      </c>
      <c r="AB23" s="213">
        <f>前台好评提成录入!AB28*$E23</f>
        <v>0</v>
      </c>
      <c r="AC23" s="213">
        <f>前台好评提成录入!AC28*$E23</f>
        <v>0</v>
      </c>
      <c r="AD23" s="213">
        <f>前台好评提成录入!AD28*$E23</f>
        <v>0</v>
      </c>
      <c r="AE23" s="213">
        <f>前台好评提成录入!AE28*$E23</f>
        <v>0</v>
      </c>
      <c r="AF23" s="213">
        <f>前台好评提成录入!AF28*$E23</f>
        <v>0</v>
      </c>
      <c r="AG23" s="213">
        <f>前台好评提成录入!AG28*$E23</f>
        <v>0</v>
      </c>
      <c r="AH23" s="213">
        <f>前台好评提成录入!AH28*$E23</f>
        <v>0</v>
      </c>
      <c r="AI23" s="213">
        <f>前台好评提成录入!AI28*$E23</f>
        <v>0</v>
      </c>
      <c r="AJ23" s="213">
        <f>前台好评提成录入!AJ28*$E23</f>
        <v>0</v>
      </c>
      <c r="AK23" s="213">
        <f>前台好评提成录入!AK28*$E23</f>
        <v>0</v>
      </c>
      <c r="AL23" s="213">
        <f>前台好评提成录入!AL28*$E23</f>
        <v>0</v>
      </c>
    </row>
    <row r="24" s="178" customFormat="1" customHeight="1" spans="1:38">
      <c r="A24" s="161">
        <v>20</v>
      </c>
      <c r="B24" s="21" t="str">
        <f>会员卡提成录入!B24</f>
        <v>于子杭</v>
      </c>
      <c r="C24" s="21" t="str">
        <f>会员卡提成录入!C24</f>
        <v>银卡</v>
      </c>
      <c r="D24" s="21" t="str">
        <f>会员卡提成录入!D24</f>
        <v>张</v>
      </c>
      <c r="E24" s="21">
        <f>会员卡提成录入!E24</f>
        <v>5</v>
      </c>
      <c r="F24" s="21">
        <f>会员卡提成录入!F24</f>
        <v>1</v>
      </c>
      <c r="G24" s="21">
        <f>会员卡提成录入!G24</f>
        <v>5</v>
      </c>
      <c r="H24" s="213">
        <f>前台好评提成录入!H29*$E24</f>
        <v>5</v>
      </c>
      <c r="I24" s="213">
        <f>前台好评提成录入!I29*$E24</f>
        <v>0</v>
      </c>
      <c r="J24" s="213">
        <f>前台好评提成录入!J29*$E24</f>
        <v>0</v>
      </c>
      <c r="K24" s="213">
        <f>前台好评提成录入!K29*$E24</f>
        <v>0</v>
      </c>
      <c r="L24" s="213">
        <f>前台好评提成录入!L29*$E24</f>
        <v>0</v>
      </c>
      <c r="M24" s="213">
        <f>前台好评提成录入!M29*$E24</f>
        <v>0</v>
      </c>
      <c r="N24" s="213">
        <f>前台好评提成录入!N29*$E24</f>
        <v>0</v>
      </c>
      <c r="O24" s="213">
        <f>前台好评提成录入!O29*$E24</f>
        <v>0</v>
      </c>
      <c r="P24" s="213">
        <f>前台好评提成录入!P29*$E24</f>
        <v>0</v>
      </c>
      <c r="Q24" s="213">
        <f>前台好评提成录入!Q29*$E24</f>
        <v>0</v>
      </c>
      <c r="R24" s="213">
        <f>前台好评提成录入!R29*$E24</f>
        <v>0</v>
      </c>
      <c r="S24" s="213">
        <f>前台好评提成录入!S29*$E24</f>
        <v>0</v>
      </c>
      <c r="T24" s="213">
        <f>前台好评提成录入!T29*$E24</f>
        <v>0</v>
      </c>
      <c r="U24" s="213">
        <f>前台好评提成录入!U29*$E24</f>
        <v>0</v>
      </c>
      <c r="V24" s="213">
        <f>前台好评提成录入!V29*$E24</f>
        <v>0</v>
      </c>
      <c r="W24" s="213">
        <f>前台好评提成录入!W29*$E24</f>
        <v>0</v>
      </c>
      <c r="X24" s="213">
        <f>前台好评提成录入!X29*$E24</f>
        <v>0</v>
      </c>
      <c r="Y24" s="213">
        <f>前台好评提成录入!Y29*$E24</f>
        <v>0</v>
      </c>
      <c r="Z24" s="213">
        <f>前台好评提成录入!Z29*$E24</f>
        <v>0</v>
      </c>
      <c r="AA24" s="213">
        <f>前台好评提成录入!AA29*$E24</f>
        <v>0</v>
      </c>
      <c r="AB24" s="213">
        <f>前台好评提成录入!AB29*$E24</f>
        <v>0</v>
      </c>
      <c r="AC24" s="213">
        <f>前台好评提成录入!AC29*$E24</f>
        <v>0</v>
      </c>
      <c r="AD24" s="213">
        <f>前台好评提成录入!AD29*$E24</f>
        <v>0</v>
      </c>
      <c r="AE24" s="213">
        <f>前台好评提成录入!AE29*$E24</f>
        <v>0</v>
      </c>
      <c r="AF24" s="213">
        <f>前台好评提成录入!AF29*$E24</f>
        <v>0</v>
      </c>
      <c r="AG24" s="213">
        <f>前台好评提成录入!AG29*$E24</f>
        <v>0</v>
      </c>
      <c r="AH24" s="213">
        <f>前台好评提成录入!AH29*$E24</f>
        <v>0</v>
      </c>
      <c r="AI24" s="213">
        <f>前台好评提成录入!AI29*$E24</f>
        <v>0</v>
      </c>
      <c r="AJ24" s="213">
        <f>前台好评提成录入!AJ29*$E24</f>
        <v>0</v>
      </c>
      <c r="AK24" s="213">
        <f>前台好评提成录入!AK29*$E24</f>
        <v>0</v>
      </c>
      <c r="AL24" s="213">
        <f>前台好评提成录入!AL29*$E24</f>
        <v>0</v>
      </c>
    </row>
    <row r="25" s="178" customFormat="1" customHeight="1" spans="1:38">
      <c r="A25" s="161">
        <v>21</v>
      </c>
      <c r="B25" s="21" t="str">
        <f>会员卡提成录入!B25</f>
        <v>于子杭</v>
      </c>
      <c r="C25" s="21" t="str">
        <f>会员卡提成录入!C25</f>
        <v>白金卡</v>
      </c>
      <c r="D25" s="21" t="str">
        <f>会员卡提成录入!D25</f>
        <v>张</v>
      </c>
      <c r="E25" s="21">
        <f>会员卡提成录入!E25</f>
        <v>20</v>
      </c>
      <c r="F25" s="21">
        <f>会员卡提成录入!F25</f>
        <v>1</v>
      </c>
      <c r="G25" s="21">
        <f>会员卡提成录入!G25</f>
        <v>20</v>
      </c>
      <c r="H25" s="213">
        <f>前台好评提成录入!H30*$E25</f>
        <v>0</v>
      </c>
      <c r="I25" s="213">
        <f>前台好评提成录入!I30*$E25</f>
        <v>0</v>
      </c>
      <c r="J25" s="213">
        <f>前台好评提成录入!J30*$E25</f>
        <v>0</v>
      </c>
      <c r="K25" s="213">
        <f>前台好评提成录入!K30*$E25</f>
        <v>0</v>
      </c>
      <c r="L25" s="213">
        <f>前台好评提成录入!L30*$E25</f>
        <v>0</v>
      </c>
      <c r="M25" s="213">
        <f>前台好评提成录入!M30*$E25</f>
        <v>0</v>
      </c>
      <c r="N25" s="213">
        <f>前台好评提成录入!N30*$E25</f>
        <v>0</v>
      </c>
      <c r="O25" s="213">
        <f>前台好评提成录入!O30*$E25</f>
        <v>0</v>
      </c>
      <c r="P25" s="213">
        <f>前台好评提成录入!P30*$E25</f>
        <v>0</v>
      </c>
      <c r="Q25" s="213">
        <f>前台好评提成录入!Q30*$E25</f>
        <v>0</v>
      </c>
      <c r="R25" s="213">
        <f>前台好评提成录入!R30*$E25</f>
        <v>0</v>
      </c>
      <c r="S25" s="213">
        <f>前台好评提成录入!S30*$E25</f>
        <v>0</v>
      </c>
      <c r="T25" s="213">
        <f>前台好评提成录入!T30*$E25</f>
        <v>0</v>
      </c>
      <c r="U25" s="213">
        <f>前台好评提成录入!U30*$E25</f>
        <v>0</v>
      </c>
      <c r="V25" s="213">
        <f>前台好评提成录入!V30*$E25</f>
        <v>0</v>
      </c>
      <c r="W25" s="213">
        <f>前台好评提成录入!W30*$E25</f>
        <v>0</v>
      </c>
      <c r="X25" s="213">
        <f>前台好评提成录入!X30*$E25</f>
        <v>0</v>
      </c>
      <c r="Y25" s="213">
        <f>前台好评提成录入!Y30*$E25</f>
        <v>0</v>
      </c>
      <c r="Z25" s="213">
        <f>前台好评提成录入!Z30*$E25</f>
        <v>0</v>
      </c>
      <c r="AA25" s="213">
        <f>前台好评提成录入!AA30*$E25</f>
        <v>0</v>
      </c>
      <c r="AB25" s="213">
        <f>前台好评提成录入!AB30*$E25</f>
        <v>0</v>
      </c>
      <c r="AC25" s="213">
        <f>前台好评提成录入!AC30*$E25</f>
        <v>0</v>
      </c>
      <c r="AD25" s="213">
        <f>前台好评提成录入!AD30*$E25</f>
        <v>0</v>
      </c>
      <c r="AE25" s="213">
        <f>前台好评提成录入!AE30*$E25</f>
        <v>0</v>
      </c>
      <c r="AF25" s="213">
        <f>前台好评提成录入!AF30*$E25</f>
        <v>0</v>
      </c>
      <c r="AG25" s="213">
        <f>前台好评提成录入!AG30*$E25</f>
        <v>0</v>
      </c>
      <c r="AH25" s="213">
        <f>前台好评提成录入!AH30*$E25</f>
        <v>0</v>
      </c>
      <c r="AI25" s="213">
        <f>前台好评提成录入!AI30*$E25</f>
        <v>0</v>
      </c>
      <c r="AJ25" s="213">
        <f>前台好评提成录入!AJ30*$E25</f>
        <v>0</v>
      </c>
      <c r="AK25" s="213">
        <f>前台好评提成录入!AK30*$E25</f>
        <v>0</v>
      </c>
      <c r="AL25" s="213">
        <f>前台好评提成录入!AL30*$E25</f>
        <v>0</v>
      </c>
    </row>
    <row r="26" s="178" customFormat="1" customHeight="1" spans="1:38">
      <c r="A26" s="161">
        <v>22</v>
      </c>
      <c r="B26" s="21" t="str">
        <f>会员卡提成录入!B26</f>
        <v>徐嘉瑜</v>
      </c>
      <c r="C26" s="21" t="str">
        <f>会员卡提成录入!C26</f>
        <v>金卡</v>
      </c>
      <c r="D26" s="21" t="str">
        <f>会员卡提成录入!D26</f>
        <v>张</v>
      </c>
      <c r="E26" s="21">
        <f>会员卡提成录入!E26</f>
        <v>11</v>
      </c>
      <c r="F26" s="21">
        <f>会员卡提成录入!F26</f>
        <v>5</v>
      </c>
      <c r="G26" s="21">
        <f>会员卡提成录入!G26</f>
        <v>55</v>
      </c>
      <c r="H26" s="213">
        <f>前台好评提成录入!H31*$E26</f>
        <v>154</v>
      </c>
      <c r="I26" s="213">
        <f>前台好评提成录入!I31*$E26</f>
        <v>0</v>
      </c>
      <c r="J26" s="213">
        <f>前台好评提成录入!J31*$E26</f>
        <v>0</v>
      </c>
      <c r="K26" s="213">
        <f>前台好评提成录入!K31*$E26</f>
        <v>0</v>
      </c>
      <c r="L26" s="213">
        <f>前台好评提成录入!L31*$E26</f>
        <v>0</v>
      </c>
      <c r="M26" s="213">
        <f>前台好评提成录入!M31*$E26</f>
        <v>0</v>
      </c>
      <c r="N26" s="213">
        <f>前台好评提成录入!N31*$E26</f>
        <v>0</v>
      </c>
      <c r="O26" s="213">
        <f>前台好评提成录入!O31*$E26</f>
        <v>0</v>
      </c>
      <c r="P26" s="213">
        <f>前台好评提成录入!P31*$E26</f>
        <v>0</v>
      </c>
      <c r="Q26" s="213">
        <f>前台好评提成录入!Q31*$E26</f>
        <v>0</v>
      </c>
      <c r="R26" s="213">
        <f>前台好评提成录入!R31*$E26</f>
        <v>0</v>
      </c>
      <c r="S26" s="213">
        <f>前台好评提成录入!S31*$E26</f>
        <v>0</v>
      </c>
      <c r="T26" s="213">
        <f>前台好评提成录入!T31*$E26</f>
        <v>0</v>
      </c>
      <c r="U26" s="213">
        <f>前台好评提成录入!U31*$E26</f>
        <v>0</v>
      </c>
      <c r="V26" s="213">
        <f>前台好评提成录入!V31*$E26</f>
        <v>0</v>
      </c>
      <c r="W26" s="213">
        <f>前台好评提成录入!W31*$E26</f>
        <v>0</v>
      </c>
      <c r="X26" s="213">
        <f>前台好评提成录入!X31*$E26</f>
        <v>0</v>
      </c>
      <c r="Y26" s="213">
        <f>前台好评提成录入!Y31*$E26</f>
        <v>0</v>
      </c>
      <c r="Z26" s="213">
        <f>前台好评提成录入!Z31*$E26</f>
        <v>0</v>
      </c>
      <c r="AA26" s="213">
        <f>前台好评提成录入!AA31*$E26</f>
        <v>0</v>
      </c>
      <c r="AB26" s="213">
        <f>前台好评提成录入!AB31*$E26</f>
        <v>0</v>
      </c>
      <c r="AC26" s="213">
        <f>前台好评提成录入!AC31*$E26</f>
        <v>0</v>
      </c>
      <c r="AD26" s="213">
        <f>前台好评提成录入!AD31*$E26</f>
        <v>0</v>
      </c>
      <c r="AE26" s="213">
        <f>前台好评提成录入!AE31*$E26</f>
        <v>0</v>
      </c>
      <c r="AF26" s="213">
        <f>前台好评提成录入!AF31*$E26</f>
        <v>0</v>
      </c>
      <c r="AG26" s="213">
        <f>前台好评提成录入!AG31*$E26</f>
        <v>0</v>
      </c>
      <c r="AH26" s="213">
        <f>前台好评提成录入!AH31*$E26</f>
        <v>0</v>
      </c>
      <c r="AI26" s="213">
        <f>前台好评提成录入!AI31*$E26</f>
        <v>0</v>
      </c>
      <c r="AJ26" s="213">
        <f>前台好评提成录入!AJ31*$E26</f>
        <v>0</v>
      </c>
      <c r="AK26" s="213">
        <f>前台好评提成录入!AK31*$E26</f>
        <v>0</v>
      </c>
      <c r="AL26" s="213">
        <f>前台好评提成录入!AL31*$E26</f>
        <v>0</v>
      </c>
    </row>
    <row r="27" s="178" customFormat="1" customHeight="1" spans="1:38">
      <c r="A27" s="161">
        <v>23</v>
      </c>
      <c r="B27" s="21" t="str">
        <f>会员卡提成录入!B27</f>
        <v>徐嘉瑜</v>
      </c>
      <c r="C27" s="21" t="str">
        <f>会员卡提成录入!C27</f>
        <v>银卡</v>
      </c>
      <c r="D27" s="21" t="str">
        <f>会员卡提成录入!D27</f>
        <v>张</v>
      </c>
      <c r="E27" s="21">
        <f>会员卡提成录入!E27</f>
        <v>5</v>
      </c>
      <c r="F27" s="21">
        <f>会员卡提成录入!F27</f>
        <v>9</v>
      </c>
      <c r="G27" s="21">
        <f>会员卡提成录入!G27</f>
        <v>45</v>
      </c>
      <c r="H27" s="213">
        <f>前台好评提成录入!H32*$E27</f>
        <v>250</v>
      </c>
      <c r="I27" s="213">
        <f>前台好评提成录入!I32*$E27</f>
        <v>0</v>
      </c>
      <c r="J27" s="213">
        <f>前台好评提成录入!J32*$E27</f>
        <v>0</v>
      </c>
      <c r="K27" s="213">
        <f>前台好评提成录入!K32*$E27</f>
        <v>0</v>
      </c>
      <c r="L27" s="213">
        <f>前台好评提成录入!L32*$E27</f>
        <v>0</v>
      </c>
      <c r="M27" s="213">
        <f>前台好评提成录入!M32*$E27</f>
        <v>0</v>
      </c>
      <c r="N27" s="213">
        <f>前台好评提成录入!N32*$E27</f>
        <v>0</v>
      </c>
      <c r="O27" s="213">
        <f>前台好评提成录入!O32*$E27</f>
        <v>0</v>
      </c>
      <c r="P27" s="213">
        <f>前台好评提成录入!P32*$E27</f>
        <v>0</v>
      </c>
      <c r="Q27" s="213">
        <f>前台好评提成录入!Q32*$E27</f>
        <v>0</v>
      </c>
      <c r="R27" s="213">
        <f>前台好评提成录入!R32*$E27</f>
        <v>0</v>
      </c>
      <c r="S27" s="213">
        <f>前台好评提成录入!S32*$E27</f>
        <v>0</v>
      </c>
      <c r="T27" s="213">
        <f>前台好评提成录入!T32*$E27</f>
        <v>0</v>
      </c>
      <c r="U27" s="213">
        <f>前台好评提成录入!U32*$E27</f>
        <v>0</v>
      </c>
      <c r="V27" s="213">
        <f>前台好评提成录入!V32*$E27</f>
        <v>0</v>
      </c>
      <c r="W27" s="213">
        <f>前台好评提成录入!W32*$E27</f>
        <v>0</v>
      </c>
      <c r="X27" s="213">
        <f>前台好评提成录入!X32*$E27</f>
        <v>0</v>
      </c>
      <c r="Y27" s="213">
        <f>前台好评提成录入!Y32*$E27</f>
        <v>0</v>
      </c>
      <c r="Z27" s="213">
        <f>前台好评提成录入!Z32*$E27</f>
        <v>0</v>
      </c>
      <c r="AA27" s="213">
        <f>前台好评提成录入!AA32*$E27</f>
        <v>0</v>
      </c>
      <c r="AB27" s="213">
        <f>前台好评提成录入!AB32*$E27</f>
        <v>0</v>
      </c>
      <c r="AC27" s="213">
        <f>前台好评提成录入!AC32*$E27</f>
        <v>0</v>
      </c>
      <c r="AD27" s="213">
        <f>前台好评提成录入!AD32*$E27</f>
        <v>0</v>
      </c>
      <c r="AE27" s="213">
        <f>前台好评提成录入!AE32*$E27</f>
        <v>0</v>
      </c>
      <c r="AF27" s="213">
        <f>前台好评提成录入!AF32*$E27</f>
        <v>0</v>
      </c>
      <c r="AG27" s="213">
        <f>前台好评提成录入!AG32*$E27</f>
        <v>0</v>
      </c>
      <c r="AH27" s="213">
        <f>前台好评提成录入!AH32*$E27</f>
        <v>0</v>
      </c>
      <c r="AI27" s="213">
        <f>前台好评提成录入!AI32*$E27</f>
        <v>0</v>
      </c>
      <c r="AJ27" s="213">
        <f>前台好评提成录入!AJ32*$E27</f>
        <v>0</v>
      </c>
      <c r="AK27" s="213">
        <f>前台好评提成录入!AK32*$E27</f>
        <v>0</v>
      </c>
      <c r="AL27" s="213">
        <f>前台好评提成录入!AL32*$E27</f>
        <v>0</v>
      </c>
    </row>
    <row r="28" s="178" customFormat="1" customHeight="1" spans="1:38">
      <c r="A28" s="161">
        <v>24</v>
      </c>
      <c r="B28" s="21" t="str">
        <f>会员卡提成录入!B28</f>
        <v>徐嘉瑜</v>
      </c>
      <c r="C28" s="21" t="str">
        <f>会员卡提成录入!C28</f>
        <v>白金卡</v>
      </c>
      <c r="D28" s="21" t="str">
        <f>会员卡提成录入!D28</f>
        <v>张</v>
      </c>
      <c r="E28" s="21">
        <f>会员卡提成录入!E28</f>
        <v>20</v>
      </c>
      <c r="F28" s="21">
        <f>会员卡提成录入!F28</f>
        <v>0</v>
      </c>
      <c r="G28" s="21">
        <f>会员卡提成录入!G28</f>
        <v>0</v>
      </c>
      <c r="H28" s="213">
        <f>前台好评提成录入!H33*$E28</f>
        <v>20</v>
      </c>
      <c r="I28" s="213">
        <f>前台好评提成录入!I33*$E28</f>
        <v>0</v>
      </c>
      <c r="J28" s="213">
        <f>前台好评提成录入!J33*$E28</f>
        <v>0</v>
      </c>
      <c r="K28" s="213">
        <f>前台好评提成录入!K33*$E28</f>
        <v>0</v>
      </c>
      <c r="L28" s="213">
        <f>前台好评提成录入!L33*$E28</f>
        <v>0</v>
      </c>
      <c r="M28" s="213">
        <f>前台好评提成录入!M33*$E28</f>
        <v>0</v>
      </c>
      <c r="N28" s="213">
        <f>前台好评提成录入!N33*$E28</f>
        <v>0</v>
      </c>
      <c r="O28" s="213">
        <f>前台好评提成录入!O33*$E28</f>
        <v>0</v>
      </c>
      <c r="P28" s="213">
        <f>前台好评提成录入!P33*$E28</f>
        <v>0</v>
      </c>
      <c r="Q28" s="213">
        <f>前台好评提成录入!Q33*$E28</f>
        <v>0</v>
      </c>
      <c r="R28" s="213">
        <f>前台好评提成录入!R33*$E28</f>
        <v>0</v>
      </c>
      <c r="S28" s="213">
        <f>前台好评提成录入!S33*$E28</f>
        <v>0</v>
      </c>
      <c r="T28" s="213">
        <f>前台好评提成录入!T33*$E28</f>
        <v>0</v>
      </c>
      <c r="U28" s="213">
        <f>前台好评提成录入!U33*$E28</f>
        <v>0</v>
      </c>
      <c r="V28" s="213">
        <f>前台好评提成录入!V33*$E28</f>
        <v>0</v>
      </c>
      <c r="W28" s="213">
        <f>前台好评提成录入!W33*$E28</f>
        <v>0</v>
      </c>
      <c r="X28" s="213">
        <f>前台好评提成录入!X33*$E28</f>
        <v>0</v>
      </c>
      <c r="Y28" s="213">
        <f>前台好评提成录入!Y33*$E28</f>
        <v>0</v>
      </c>
      <c r="Z28" s="213">
        <f>前台好评提成录入!Z33*$E28</f>
        <v>0</v>
      </c>
      <c r="AA28" s="213">
        <f>前台好评提成录入!AA33*$E28</f>
        <v>0</v>
      </c>
      <c r="AB28" s="213">
        <f>前台好评提成录入!AB33*$E28</f>
        <v>0</v>
      </c>
      <c r="AC28" s="213">
        <f>前台好评提成录入!AC33*$E28</f>
        <v>0</v>
      </c>
      <c r="AD28" s="213">
        <f>前台好评提成录入!AD33*$E28</f>
        <v>0</v>
      </c>
      <c r="AE28" s="213">
        <f>前台好评提成录入!AE33*$E28</f>
        <v>0</v>
      </c>
      <c r="AF28" s="213">
        <f>前台好评提成录入!AF33*$E28</f>
        <v>0</v>
      </c>
      <c r="AG28" s="213">
        <f>前台好评提成录入!AG33*$E28</f>
        <v>0</v>
      </c>
      <c r="AH28" s="213">
        <f>前台好评提成录入!AH33*$E28</f>
        <v>0</v>
      </c>
      <c r="AI28" s="213">
        <f>前台好评提成录入!AI33*$E28</f>
        <v>0</v>
      </c>
      <c r="AJ28" s="213">
        <f>前台好评提成录入!AJ33*$E28</f>
        <v>0</v>
      </c>
      <c r="AK28" s="213">
        <f>前台好评提成录入!AK33*$E28</f>
        <v>0</v>
      </c>
      <c r="AL28" s="213">
        <f>前台好评提成录入!AL33*$E28</f>
        <v>0</v>
      </c>
    </row>
    <row r="29" s="178" customFormat="1" customHeight="1" spans="1:38">
      <c r="A29" s="161">
        <v>25</v>
      </c>
      <c r="B29" s="21" t="str">
        <f>会员卡提成录入!B29</f>
        <v>吴怡</v>
      </c>
      <c r="C29" s="21" t="str">
        <f>会员卡提成录入!C29</f>
        <v>金卡</v>
      </c>
      <c r="D29" s="21" t="str">
        <f>会员卡提成录入!D29</f>
        <v>张</v>
      </c>
      <c r="E29" s="21">
        <f>会员卡提成录入!E29</f>
        <v>11</v>
      </c>
      <c r="F29" s="21">
        <f>会员卡提成录入!F29</f>
        <v>2</v>
      </c>
      <c r="G29" s="21">
        <f>会员卡提成录入!G29</f>
        <v>22</v>
      </c>
      <c r="H29" s="213">
        <f>前台好评提成录入!H34*$E29</f>
        <v>286</v>
      </c>
      <c r="I29" s="213">
        <f>前台好评提成录入!I34*$E29</f>
        <v>0</v>
      </c>
      <c r="J29" s="213">
        <f>前台好评提成录入!J34*$E29</f>
        <v>0</v>
      </c>
      <c r="K29" s="213">
        <f>前台好评提成录入!K34*$E29</f>
        <v>0</v>
      </c>
      <c r="L29" s="213">
        <f>前台好评提成录入!L34*$E29</f>
        <v>0</v>
      </c>
      <c r="M29" s="213">
        <f>前台好评提成录入!M34*$E29</f>
        <v>0</v>
      </c>
      <c r="N29" s="213">
        <f>前台好评提成录入!N34*$E29</f>
        <v>0</v>
      </c>
      <c r="O29" s="213">
        <f>前台好评提成录入!O34*$E29</f>
        <v>0</v>
      </c>
      <c r="P29" s="213">
        <f>前台好评提成录入!P34*$E29</f>
        <v>0</v>
      </c>
      <c r="Q29" s="213">
        <f>前台好评提成录入!Q34*$E29</f>
        <v>0</v>
      </c>
      <c r="R29" s="213">
        <f>前台好评提成录入!R34*$E29</f>
        <v>0</v>
      </c>
      <c r="S29" s="213">
        <f>前台好评提成录入!S34*$E29</f>
        <v>0</v>
      </c>
      <c r="T29" s="213">
        <f>前台好评提成录入!T34*$E29</f>
        <v>0</v>
      </c>
      <c r="U29" s="213">
        <f>前台好评提成录入!U34*$E29</f>
        <v>0</v>
      </c>
      <c r="V29" s="213">
        <f>前台好评提成录入!V34*$E29</f>
        <v>0</v>
      </c>
      <c r="W29" s="213">
        <f>前台好评提成录入!W34*$E29</f>
        <v>0</v>
      </c>
      <c r="X29" s="213">
        <f>前台好评提成录入!X34*$E29</f>
        <v>0</v>
      </c>
      <c r="Y29" s="213">
        <f>前台好评提成录入!Y34*$E29</f>
        <v>0</v>
      </c>
      <c r="Z29" s="213">
        <f>前台好评提成录入!Z34*$E29</f>
        <v>0</v>
      </c>
      <c r="AA29" s="213">
        <f>前台好评提成录入!AA34*$E29</f>
        <v>0</v>
      </c>
      <c r="AB29" s="213">
        <f>前台好评提成录入!AB34*$E29</f>
        <v>0</v>
      </c>
      <c r="AC29" s="213">
        <f>前台好评提成录入!AC34*$E29</f>
        <v>0</v>
      </c>
      <c r="AD29" s="213">
        <f>前台好评提成录入!AD34*$E29</f>
        <v>0</v>
      </c>
      <c r="AE29" s="213">
        <f>前台好评提成录入!AE34*$E29</f>
        <v>0</v>
      </c>
      <c r="AF29" s="213">
        <f>前台好评提成录入!AF34*$E29</f>
        <v>0</v>
      </c>
      <c r="AG29" s="213">
        <f>前台好评提成录入!AG34*$E29</f>
        <v>0</v>
      </c>
      <c r="AH29" s="213">
        <f>前台好评提成录入!AH34*$E29</f>
        <v>0</v>
      </c>
      <c r="AI29" s="213">
        <f>前台好评提成录入!AI34*$E29</f>
        <v>0</v>
      </c>
      <c r="AJ29" s="213">
        <f>前台好评提成录入!AJ34*$E29</f>
        <v>0</v>
      </c>
      <c r="AK29" s="213">
        <f>前台好评提成录入!AK34*$E29</f>
        <v>0</v>
      </c>
      <c r="AL29" s="213">
        <f>前台好评提成录入!AL34*$E29</f>
        <v>0</v>
      </c>
    </row>
    <row r="30" s="178" customFormat="1" customHeight="1" spans="1:38">
      <c r="A30" s="161">
        <v>26</v>
      </c>
      <c r="B30" s="21" t="str">
        <f>会员卡提成录入!B30</f>
        <v>吴怡</v>
      </c>
      <c r="C30" s="21" t="str">
        <f>会员卡提成录入!C30</f>
        <v>银卡</v>
      </c>
      <c r="D30" s="21" t="str">
        <f>会员卡提成录入!D30</f>
        <v>张</v>
      </c>
      <c r="E30" s="21">
        <f>会员卡提成录入!E30</f>
        <v>5</v>
      </c>
      <c r="F30" s="21">
        <f>会员卡提成录入!F30</f>
        <v>8</v>
      </c>
      <c r="G30" s="21">
        <f>会员卡提成录入!G30</f>
        <v>40</v>
      </c>
      <c r="H30" s="213">
        <f>前台好评提成录入!H35*$E30</f>
        <v>10</v>
      </c>
      <c r="I30" s="213">
        <f>前台好评提成录入!I35*$E30</f>
        <v>0</v>
      </c>
      <c r="J30" s="213">
        <f>前台好评提成录入!J35*$E30</f>
        <v>0</v>
      </c>
      <c r="K30" s="213">
        <f>前台好评提成录入!K35*$E30</f>
        <v>0</v>
      </c>
      <c r="L30" s="213">
        <f>前台好评提成录入!L35*$E30</f>
        <v>0</v>
      </c>
      <c r="M30" s="213">
        <f>前台好评提成录入!M35*$E30</f>
        <v>0</v>
      </c>
      <c r="N30" s="213">
        <f>前台好评提成录入!N35*$E30</f>
        <v>0</v>
      </c>
      <c r="O30" s="213">
        <f>前台好评提成录入!O35*$E30</f>
        <v>0</v>
      </c>
      <c r="P30" s="213">
        <f>前台好评提成录入!P35*$E30</f>
        <v>0</v>
      </c>
      <c r="Q30" s="213">
        <f>前台好评提成录入!Q35*$E30</f>
        <v>0</v>
      </c>
      <c r="R30" s="213">
        <f>前台好评提成录入!R35*$E30</f>
        <v>0</v>
      </c>
      <c r="S30" s="213">
        <f>前台好评提成录入!S35*$E30</f>
        <v>0</v>
      </c>
      <c r="T30" s="213">
        <f>前台好评提成录入!T35*$E30</f>
        <v>0</v>
      </c>
      <c r="U30" s="213">
        <f>前台好评提成录入!U35*$E30</f>
        <v>0</v>
      </c>
      <c r="V30" s="213">
        <f>前台好评提成录入!V35*$E30</f>
        <v>0</v>
      </c>
      <c r="W30" s="213">
        <f>前台好评提成录入!W35*$E30</f>
        <v>0</v>
      </c>
      <c r="X30" s="213">
        <f>前台好评提成录入!X35*$E30</f>
        <v>0</v>
      </c>
      <c r="Y30" s="213">
        <f>前台好评提成录入!Y35*$E30</f>
        <v>0</v>
      </c>
      <c r="Z30" s="213">
        <f>前台好评提成录入!Z35*$E30</f>
        <v>0</v>
      </c>
      <c r="AA30" s="213">
        <f>前台好评提成录入!AA35*$E30</f>
        <v>0</v>
      </c>
      <c r="AB30" s="213">
        <f>前台好评提成录入!AB35*$E30</f>
        <v>0</v>
      </c>
      <c r="AC30" s="213">
        <f>前台好评提成录入!AC35*$E30</f>
        <v>0</v>
      </c>
      <c r="AD30" s="213">
        <f>前台好评提成录入!AD35*$E30</f>
        <v>0</v>
      </c>
      <c r="AE30" s="213">
        <f>前台好评提成录入!AE35*$E30</f>
        <v>0</v>
      </c>
      <c r="AF30" s="213">
        <f>前台好评提成录入!AF35*$E30</f>
        <v>0</v>
      </c>
      <c r="AG30" s="213">
        <f>前台好评提成录入!AG35*$E30</f>
        <v>0</v>
      </c>
      <c r="AH30" s="213">
        <f>前台好评提成录入!AH35*$E30</f>
        <v>0</v>
      </c>
      <c r="AI30" s="213">
        <f>前台好评提成录入!AI35*$E30</f>
        <v>0</v>
      </c>
      <c r="AJ30" s="213">
        <f>前台好评提成录入!AJ35*$E30</f>
        <v>0</v>
      </c>
      <c r="AK30" s="213">
        <f>前台好评提成录入!AK35*$E30</f>
        <v>0</v>
      </c>
      <c r="AL30" s="213">
        <f>前台好评提成录入!AL35*$E30</f>
        <v>0</v>
      </c>
    </row>
    <row r="31" s="178" customFormat="1" customHeight="1" spans="1:38">
      <c r="A31" s="161">
        <v>27</v>
      </c>
      <c r="B31" s="21" t="str">
        <f>会员卡提成录入!B31</f>
        <v>吴怡</v>
      </c>
      <c r="C31" s="21" t="str">
        <f>会员卡提成录入!C31</f>
        <v>白金卡</v>
      </c>
      <c r="D31" s="21" t="str">
        <f>会员卡提成录入!D31</f>
        <v>张</v>
      </c>
      <c r="E31" s="21">
        <f>会员卡提成录入!E31</f>
        <v>20</v>
      </c>
      <c r="F31" s="21">
        <f>会员卡提成录入!F31</f>
        <v>0</v>
      </c>
      <c r="G31" s="21">
        <f>会员卡提成录入!G31</f>
        <v>0</v>
      </c>
      <c r="H31" s="213">
        <f>前台好评提成录入!H36*$E31</f>
        <v>140</v>
      </c>
      <c r="I31" s="213">
        <f>前台好评提成录入!I36*$E31</f>
        <v>0</v>
      </c>
      <c r="J31" s="213">
        <f>前台好评提成录入!J36*$E31</f>
        <v>0</v>
      </c>
      <c r="K31" s="213">
        <f>前台好评提成录入!K36*$E31</f>
        <v>0</v>
      </c>
      <c r="L31" s="213">
        <f>前台好评提成录入!L36*$E31</f>
        <v>0</v>
      </c>
      <c r="M31" s="213">
        <f>前台好评提成录入!M36*$E31</f>
        <v>0</v>
      </c>
      <c r="N31" s="213">
        <f>前台好评提成录入!N36*$E31</f>
        <v>0</v>
      </c>
      <c r="O31" s="213">
        <f>前台好评提成录入!O36*$E31</f>
        <v>0</v>
      </c>
      <c r="P31" s="213">
        <f>前台好评提成录入!P36*$E31</f>
        <v>0</v>
      </c>
      <c r="Q31" s="213">
        <f>前台好评提成录入!Q36*$E31</f>
        <v>0</v>
      </c>
      <c r="R31" s="213">
        <f>前台好评提成录入!R36*$E31</f>
        <v>0</v>
      </c>
      <c r="S31" s="213">
        <f>前台好评提成录入!S36*$E31</f>
        <v>0</v>
      </c>
      <c r="T31" s="213">
        <f>前台好评提成录入!T36*$E31</f>
        <v>0</v>
      </c>
      <c r="U31" s="213">
        <f>前台好评提成录入!U36*$E31</f>
        <v>0</v>
      </c>
      <c r="V31" s="213">
        <f>前台好评提成录入!V36*$E31</f>
        <v>0</v>
      </c>
      <c r="W31" s="213">
        <f>前台好评提成录入!W36*$E31</f>
        <v>0</v>
      </c>
      <c r="X31" s="213">
        <f>前台好评提成录入!X36*$E31</f>
        <v>0</v>
      </c>
      <c r="Y31" s="213">
        <f>前台好评提成录入!Y36*$E31</f>
        <v>0</v>
      </c>
      <c r="Z31" s="213">
        <f>前台好评提成录入!Z36*$E31</f>
        <v>0</v>
      </c>
      <c r="AA31" s="213">
        <f>前台好评提成录入!AA36*$E31</f>
        <v>0</v>
      </c>
      <c r="AB31" s="213">
        <f>前台好评提成录入!AB36*$E31</f>
        <v>0</v>
      </c>
      <c r="AC31" s="213">
        <f>前台好评提成录入!AC36*$E31</f>
        <v>0</v>
      </c>
      <c r="AD31" s="213">
        <f>前台好评提成录入!AD36*$E31</f>
        <v>0</v>
      </c>
      <c r="AE31" s="213">
        <f>前台好评提成录入!AE36*$E31</f>
        <v>0</v>
      </c>
      <c r="AF31" s="213">
        <f>前台好评提成录入!AF36*$E31</f>
        <v>0</v>
      </c>
      <c r="AG31" s="213">
        <f>前台好评提成录入!AG36*$E31</f>
        <v>0</v>
      </c>
      <c r="AH31" s="213">
        <f>前台好评提成录入!AH36*$E31</f>
        <v>0</v>
      </c>
      <c r="AI31" s="213">
        <f>前台好评提成录入!AI36*$E31</f>
        <v>0</v>
      </c>
      <c r="AJ31" s="213">
        <f>前台好评提成录入!AJ36*$E31</f>
        <v>0</v>
      </c>
      <c r="AK31" s="213">
        <f>前台好评提成录入!AK36*$E31</f>
        <v>0</v>
      </c>
      <c r="AL31" s="213">
        <f>前台好评提成录入!AL36*$E31</f>
        <v>0</v>
      </c>
    </row>
    <row r="32" s="178" customFormat="1" customHeight="1" spans="1:38">
      <c r="A32" s="161">
        <v>28</v>
      </c>
      <c r="B32" s="21" t="str">
        <f>会员卡提成录入!B32</f>
        <v>刘昕</v>
      </c>
      <c r="C32" s="21" t="str">
        <f>会员卡提成录入!C32</f>
        <v>金卡</v>
      </c>
      <c r="D32" s="21" t="str">
        <f>会员卡提成录入!D32</f>
        <v>张</v>
      </c>
      <c r="E32" s="21">
        <f>会员卡提成录入!E32</f>
        <v>11</v>
      </c>
      <c r="F32" s="21">
        <f>会员卡提成录入!F32</f>
        <v>0</v>
      </c>
      <c r="G32" s="21">
        <f>会员卡提成录入!G32</f>
        <v>0</v>
      </c>
      <c r="H32" s="213">
        <f>前台好评提成录入!H37*$E32</f>
        <v>22</v>
      </c>
      <c r="I32" s="213">
        <f>前台好评提成录入!I37*$E32</f>
        <v>0</v>
      </c>
      <c r="J32" s="213">
        <f>前台好评提成录入!J37*$E32</f>
        <v>0</v>
      </c>
      <c r="K32" s="213">
        <f>前台好评提成录入!K37*$E32</f>
        <v>0</v>
      </c>
      <c r="L32" s="213">
        <f>前台好评提成录入!L37*$E32</f>
        <v>0</v>
      </c>
      <c r="M32" s="213">
        <f>前台好评提成录入!M37*$E32</f>
        <v>0</v>
      </c>
      <c r="N32" s="213">
        <f>前台好评提成录入!N37*$E32</f>
        <v>0</v>
      </c>
      <c r="O32" s="213">
        <f>前台好评提成录入!O37*$E32</f>
        <v>0</v>
      </c>
      <c r="P32" s="213">
        <f>前台好评提成录入!P37*$E32</f>
        <v>0</v>
      </c>
      <c r="Q32" s="213">
        <f>前台好评提成录入!Q37*$E32</f>
        <v>0</v>
      </c>
      <c r="R32" s="213">
        <f>前台好评提成录入!R37*$E32</f>
        <v>0</v>
      </c>
      <c r="S32" s="213">
        <f>前台好评提成录入!S37*$E32</f>
        <v>0</v>
      </c>
      <c r="T32" s="213">
        <f>前台好评提成录入!T37*$E32</f>
        <v>0</v>
      </c>
      <c r="U32" s="213">
        <f>前台好评提成录入!U37*$E32</f>
        <v>0</v>
      </c>
      <c r="V32" s="213">
        <f>前台好评提成录入!V37*$E32</f>
        <v>0</v>
      </c>
      <c r="W32" s="213">
        <f>前台好评提成录入!W37*$E32</f>
        <v>0</v>
      </c>
      <c r="X32" s="213">
        <f>前台好评提成录入!X37*$E32</f>
        <v>0</v>
      </c>
      <c r="Y32" s="213">
        <f>前台好评提成录入!Y37*$E32</f>
        <v>0</v>
      </c>
      <c r="Z32" s="213">
        <f>前台好评提成录入!Z37*$E32</f>
        <v>0</v>
      </c>
      <c r="AA32" s="213">
        <f>前台好评提成录入!AA37*$E32</f>
        <v>0</v>
      </c>
      <c r="AB32" s="213">
        <f>前台好评提成录入!AB37*$E32</f>
        <v>0</v>
      </c>
      <c r="AC32" s="213">
        <f>前台好评提成录入!AC37*$E32</f>
        <v>0</v>
      </c>
      <c r="AD32" s="213">
        <f>前台好评提成录入!AD37*$E32</f>
        <v>0</v>
      </c>
      <c r="AE32" s="213">
        <f>前台好评提成录入!AE37*$E32</f>
        <v>0</v>
      </c>
      <c r="AF32" s="213">
        <f>前台好评提成录入!AF37*$E32</f>
        <v>0</v>
      </c>
      <c r="AG32" s="213">
        <f>前台好评提成录入!AG37*$E32</f>
        <v>0</v>
      </c>
      <c r="AH32" s="213">
        <f>前台好评提成录入!AH37*$E32</f>
        <v>0</v>
      </c>
      <c r="AI32" s="213">
        <f>前台好评提成录入!AI37*$E32</f>
        <v>0</v>
      </c>
      <c r="AJ32" s="213">
        <f>前台好评提成录入!AJ37*$E32</f>
        <v>0</v>
      </c>
      <c r="AK32" s="213">
        <f>前台好评提成录入!AK37*$E32</f>
        <v>0</v>
      </c>
      <c r="AL32" s="213">
        <f>前台好评提成录入!AL37*$E32</f>
        <v>0</v>
      </c>
    </row>
    <row r="33" s="178" customFormat="1" customHeight="1" spans="1:38">
      <c r="A33" s="161">
        <v>29</v>
      </c>
      <c r="B33" s="21" t="str">
        <f>会员卡提成录入!B33</f>
        <v>刘昕</v>
      </c>
      <c r="C33" s="21" t="str">
        <f>会员卡提成录入!C33</f>
        <v>银卡</v>
      </c>
      <c r="D33" s="21" t="str">
        <f>会员卡提成录入!D33</f>
        <v>张</v>
      </c>
      <c r="E33" s="21">
        <f>会员卡提成录入!E33</f>
        <v>5</v>
      </c>
      <c r="F33" s="21">
        <f>会员卡提成录入!F33</f>
        <v>0</v>
      </c>
      <c r="G33" s="21">
        <f>会员卡提成录入!G33</f>
        <v>0</v>
      </c>
      <c r="H33" s="213">
        <f>前台好评提成录入!H38*$E33</f>
        <v>15</v>
      </c>
      <c r="I33" s="213">
        <f>前台好评提成录入!I38*$E33</f>
        <v>0</v>
      </c>
      <c r="J33" s="213">
        <f>前台好评提成录入!J38*$E33</f>
        <v>0</v>
      </c>
      <c r="K33" s="213">
        <f>前台好评提成录入!K38*$E33</f>
        <v>0</v>
      </c>
      <c r="L33" s="213">
        <f>前台好评提成录入!L38*$E33</f>
        <v>0</v>
      </c>
      <c r="M33" s="213">
        <f>前台好评提成录入!M38*$E33</f>
        <v>0</v>
      </c>
      <c r="N33" s="213">
        <f>前台好评提成录入!N38*$E33</f>
        <v>0</v>
      </c>
      <c r="O33" s="213">
        <f>前台好评提成录入!O38*$E33</f>
        <v>0</v>
      </c>
      <c r="P33" s="213">
        <f>前台好评提成录入!P38*$E33</f>
        <v>0</v>
      </c>
      <c r="Q33" s="213">
        <f>前台好评提成录入!Q38*$E33</f>
        <v>0</v>
      </c>
      <c r="R33" s="213">
        <f>前台好评提成录入!R38*$E33</f>
        <v>0</v>
      </c>
      <c r="S33" s="213">
        <f>前台好评提成录入!S38*$E33</f>
        <v>0</v>
      </c>
      <c r="T33" s="213">
        <f>前台好评提成录入!T38*$E33</f>
        <v>0</v>
      </c>
      <c r="U33" s="213">
        <f>前台好评提成录入!U38*$E33</f>
        <v>0</v>
      </c>
      <c r="V33" s="213">
        <f>前台好评提成录入!V38*$E33</f>
        <v>0</v>
      </c>
      <c r="W33" s="213">
        <f>前台好评提成录入!W38*$E33</f>
        <v>0</v>
      </c>
      <c r="X33" s="213">
        <f>前台好评提成录入!X38*$E33</f>
        <v>0</v>
      </c>
      <c r="Y33" s="213">
        <f>前台好评提成录入!Y38*$E33</f>
        <v>0</v>
      </c>
      <c r="Z33" s="213">
        <f>前台好评提成录入!Z38*$E33</f>
        <v>0</v>
      </c>
      <c r="AA33" s="213">
        <f>前台好评提成录入!AA38*$E33</f>
        <v>0</v>
      </c>
      <c r="AB33" s="213">
        <f>前台好评提成录入!AB38*$E33</f>
        <v>0</v>
      </c>
      <c r="AC33" s="213">
        <f>前台好评提成录入!AC38*$E33</f>
        <v>0</v>
      </c>
      <c r="AD33" s="213">
        <f>前台好评提成录入!AD38*$E33</f>
        <v>0</v>
      </c>
      <c r="AE33" s="213">
        <f>前台好评提成录入!AE38*$E33</f>
        <v>0</v>
      </c>
      <c r="AF33" s="213">
        <f>前台好评提成录入!AF38*$E33</f>
        <v>0</v>
      </c>
      <c r="AG33" s="213">
        <f>前台好评提成录入!AG38*$E33</f>
        <v>0</v>
      </c>
      <c r="AH33" s="213">
        <f>前台好评提成录入!AH38*$E33</f>
        <v>0</v>
      </c>
      <c r="AI33" s="213">
        <f>前台好评提成录入!AI38*$E33</f>
        <v>0</v>
      </c>
      <c r="AJ33" s="213">
        <f>前台好评提成录入!AJ38*$E33</f>
        <v>0</v>
      </c>
      <c r="AK33" s="213">
        <f>前台好评提成录入!AK38*$E33</f>
        <v>0</v>
      </c>
      <c r="AL33" s="213">
        <f>前台好评提成录入!AL38*$E33</f>
        <v>0</v>
      </c>
    </row>
    <row r="34" s="178" customFormat="1" customHeight="1" spans="1:38">
      <c r="A34" s="161">
        <v>30</v>
      </c>
      <c r="B34" s="21" t="str">
        <f>会员卡提成录入!B34</f>
        <v>刘昕</v>
      </c>
      <c r="C34" s="21" t="str">
        <f>会员卡提成录入!C34</f>
        <v>白金卡</v>
      </c>
      <c r="D34" s="21" t="str">
        <f>会员卡提成录入!D34</f>
        <v>张</v>
      </c>
      <c r="E34" s="21">
        <f>会员卡提成录入!E34</f>
        <v>20</v>
      </c>
      <c r="F34" s="21">
        <f>会员卡提成录入!F34</f>
        <v>0</v>
      </c>
      <c r="G34" s="21">
        <f>会员卡提成录入!G34</f>
        <v>0</v>
      </c>
      <c r="H34" s="213">
        <f>前台好评提成录入!H39*$E34</f>
        <v>0</v>
      </c>
      <c r="I34" s="213">
        <f>前台好评提成录入!I39*$E34</f>
        <v>0</v>
      </c>
      <c r="J34" s="213">
        <f>前台好评提成录入!J39*$E34</f>
        <v>0</v>
      </c>
      <c r="K34" s="213">
        <f>前台好评提成录入!K39*$E34</f>
        <v>0</v>
      </c>
      <c r="L34" s="213">
        <f>前台好评提成录入!L39*$E34</f>
        <v>0</v>
      </c>
      <c r="M34" s="213">
        <f>前台好评提成录入!M39*$E34</f>
        <v>0</v>
      </c>
      <c r="N34" s="213">
        <f>前台好评提成录入!N39*$E34</f>
        <v>0</v>
      </c>
      <c r="O34" s="213">
        <f>前台好评提成录入!O39*$E34</f>
        <v>0</v>
      </c>
      <c r="P34" s="213">
        <f>前台好评提成录入!P39*$E34</f>
        <v>0</v>
      </c>
      <c r="Q34" s="213">
        <f>前台好评提成录入!Q39*$E34</f>
        <v>0</v>
      </c>
      <c r="R34" s="213">
        <f>前台好评提成录入!R39*$E34</f>
        <v>0</v>
      </c>
      <c r="S34" s="213">
        <f>前台好评提成录入!S39*$E34</f>
        <v>0</v>
      </c>
      <c r="T34" s="213">
        <f>前台好评提成录入!T39*$E34</f>
        <v>0</v>
      </c>
      <c r="U34" s="213">
        <f>前台好评提成录入!U39*$E34</f>
        <v>0</v>
      </c>
      <c r="V34" s="213">
        <f>前台好评提成录入!V39*$E34</f>
        <v>0</v>
      </c>
      <c r="W34" s="213">
        <f>前台好评提成录入!W39*$E34</f>
        <v>0</v>
      </c>
      <c r="X34" s="213">
        <f>前台好评提成录入!X39*$E34</f>
        <v>0</v>
      </c>
      <c r="Y34" s="213">
        <f>前台好评提成录入!Y39*$E34</f>
        <v>0</v>
      </c>
      <c r="Z34" s="213">
        <f>前台好评提成录入!Z39*$E34</f>
        <v>0</v>
      </c>
      <c r="AA34" s="213">
        <f>前台好评提成录入!AA39*$E34</f>
        <v>0</v>
      </c>
      <c r="AB34" s="213">
        <f>前台好评提成录入!AB39*$E34</f>
        <v>0</v>
      </c>
      <c r="AC34" s="213">
        <f>前台好评提成录入!AC39*$E34</f>
        <v>0</v>
      </c>
      <c r="AD34" s="213">
        <f>前台好评提成录入!AD39*$E34</f>
        <v>0</v>
      </c>
      <c r="AE34" s="213">
        <f>前台好评提成录入!AE39*$E34</f>
        <v>0</v>
      </c>
      <c r="AF34" s="213">
        <f>前台好评提成录入!AF39*$E34</f>
        <v>0</v>
      </c>
      <c r="AG34" s="213">
        <f>前台好评提成录入!AG39*$E34</f>
        <v>0</v>
      </c>
      <c r="AH34" s="213">
        <f>前台好评提成录入!AH39*$E34</f>
        <v>0</v>
      </c>
      <c r="AI34" s="213">
        <f>前台好评提成录入!AI39*$E34</f>
        <v>0</v>
      </c>
      <c r="AJ34" s="213">
        <f>前台好评提成录入!AJ39*$E34</f>
        <v>0</v>
      </c>
      <c r="AK34" s="213">
        <f>前台好评提成录入!AK39*$E34</f>
        <v>0</v>
      </c>
      <c r="AL34" s="213">
        <f>前台好评提成录入!AL39*$E34</f>
        <v>0</v>
      </c>
    </row>
    <row r="35" s="178" customFormat="1" customHeight="1" spans="1:38">
      <c r="A35" s="161">
        <v>31</v>
      </c>
      <c r="B35" s="21">
        <f>会员卡提成录入!B35</f>
        <v>0</v>
      </c>
      <c r="C35" s="21">
        <f>会员卡提成录入!C35</f>
        <v>0</v>
      </c>
      <c r="D35" s="21">
        <f>会员卡提成录入!D35</f>
        <v>0</v>
      </c>
      <c r="E35" s="21">
        <f>会员卡提成录入!E35</f>
        <v>0</v>
      </c>
      <c r="F35" s="21">
        <f>会员卡提成录入!F35</f>
        <v>0</v>
      </c>
      <c r="G35" s="21">
        <f>会员卡提成录入!G35</f>
        <v>0</v>
      </c>
      <c r="H35" s="213">
        <f>前台好评提成录入!H40*$E35</f>
        <v>0</v>
      </c>
      <c r="I35" s="213">
        <f>前台好评提成录入!I40*$E35</f>
        <v>0</v>
      </c>
      <c r="J35" s="213">
        <f>前台好评提成录入!J40*$E35</f>
        <v>0</v>
      </c>
      <c r="K35" s="213">
        <f>前台好评提成录入!K40*$E35</f>
        <v>0</v>
      </c>
      <c r="L35" s="213">
        <f>前台好评提成录入!L40*$E35</f>
        <v>0</v>
      </c>
      <c r="M35" s="213">
        <f>前台好评提成录入!M40*$E35</f>
        <v>0</v>
      </c>
      <c r="N35" s="213">
        <f>前台好评提成录入!N40*$E35</f>
        <v>0</v>
      </c>
      <c r="O35" s="213">
        <f>前台好评提成录入!O40*$E35</f>
        <v>0</v>
      </c>
      <c r="P35" s="213">
        <f>前台好评提成录入!P40*$E35</f>
        <v>0</v>
      </c>
      <c r="Q35" s="213">
        <f>前台好评提成录入!Q40*$E35</f>
        <v>0</v>
      </c>
      <c r="R35" s="213">
        <f>前台好评提成录入!R40*$E35</f>
        <v>0</v>
      </c>
      <c r="S35" s="213">
        <f>前台好评提成录入!S40*$E35</f>
        <v>0</v>
      </c>
      <c r="T35" s="213">
        <f>前台好评提成录入!T40*$E35</f>
        <v>0</v>
      </c>
      <c r="U35" s="213">
        <f>前台好评提成录入!U40*$E35</f>
        <v>0</v>
      </c>
      <c r="V35" s="213">
        <f>前台好评提成录入!V40*$E35</f>
        <v>0</v>
      </c>
      <c r="W35" s="213">
        <f>前台好评提成录入!W40*$E35</f>
        <v>0</v>
      </c>
      <c r="X35" s="213">
        <f>前台好评提成录入!X40*$E35</f>
        <v>0</v>
      </c>
      <c r="Y35" s="213">
        <f>前台好评提成录入!Y40*$E35</f>
        <v>0</v>
      </c>
      <c r="Z35" s="213">
        <f>前台好评提成录入!Z40*$E35</f>
        <v>0</v>
      </c>
      <c r="AA35" s="213">
        <f>前台好评提成录入!AA40*$E35</f>
        <v>0</v>
      </c>
      <c r="AB35" s="213">
        <f>前台好评提成录入!AB40*$E35</f>
        <v>0</v>
      </c>
      <c r="AC35" s="213">
        <f>前台好评提成录入!AC40*$E35</f>
        <v>0</v>
      </c>
      <c r="AD35" s="213">
        <f>前台好评提成录入!AD40*$E35</f>
        <v>0</v>
      </c>
      <c r="AE35" s="213">
        <f>前台好评提成录入!AE40*$E35</f>
        <v>0</v>
      </c>
      <c r="AF35" s="213">
        <f>前台好评提成录入!AF40*$E35</f>
        <v>0</v>
      </c>
      <c r="AG35" s="213">
        <f>前台好评提成录入!AG40*$E35</f>
        <v>0</v>
      </c>
      <c r="AH35" s="213">
        <f>前台好评提成录入!AH40*$E35</f>
        <v>0</v>
      </c>
      <c r="AI35" s="213">
        <f>前台好评提成录入!AI40*$E35</f>
        <v>0</v>
      </c>
      <c r="AJ35" s="213">
        <f>前台好评提成录入!AJ40*$E35</f>
        <v>0</v>
      </c>
      <c r="AK35" s="213">
        <f>前台好评提成录入!AK40*$E35</f>
        <v>0</v>
      </c>
      <c r="AL35" s="213">
        <f>前台好评提成录入!AL40*$E35</f>
        <v>0</v>
      </c>
    </row>
    <row r="36" s="178" customFormat="1" customHeight="1" spans="1:38">
      <c r="A36" s="161">
        <v>32</v>
      </c>
      <c r="B36" s="21">
        <f>会员卡提成录入!B36</f>
        <v>0</v>
      </c>
      <c r="C36" s="21">
        <f>会员卡提成录入!C36</f>
        <v>0</v>
      </c>
      <c r="D36" s="21">
        <f>会员卡提成录入!D36</f>
        <v>0</v>
      </c>
      <c r="E36" s="21">
        <f>会员卡提成录入!E36</f>
        <v>0</v>
      </c>
      <c r="F36" s="21">
        <f>会员卡提成录入!F36</f>
        <v>0</v>
      </c>
      <c r="G36" s="21">
        <f>会员卡提成录入!G36</f>
        <v>0</v>
      </c>
      <c r="H36" s="213">
        <f>前台好评提成录入!H41*$E36</f>
        <v>0</v>
      </c>
      <c r="I36" s="213">
        <f>前台好评提成录入!I41*$E36</f>
        <v>0</v>
      </c>
      <c r="J36" s="213">
        <f>前台好评提成录入!J41*$E36</f>
        <v>0</v>
      </c>
      <c r="K36" s="213">
        <f>前台好评提成录入!K41*$E36</f>
        <v>0</v>
      </c>
      <c r="L36" s="213">
        <f>前台好评提成录入!L41*$E36</f>
        <v>0</v>
      </c>
      <c r="M36" s="213">
        <f>前台好评提成录入!M41*$E36</f>
        <v>0</v>
      </c>
      <c r="N36" s="213">
        <f>前台好评提成录入!N41*$E36</f>
        <v>0</v>
      </c>
      <c r="O36" s="213">
        <f>前台好评提成录入!O41*$E36</f>
        <v>0</v>
      </c>
      <c r="P36" s="213">
        <f>前台好评提成录入!P41*$E36</f>
        <v>0</v>
      </c>
      <c r="Q36" s="213">
        <f>前台好评提成录入!Q41*$E36</f>
        <v>0</v>
      </c>
      <c r="R36" s="213">
        <f>前台好评提成录入!R41*$E36</f>
        <v>0</v>
      </c>
      <c r="S36" s="213">
        <f>前台好评提成录入!S41*$E36</f>
        <v>0</v>
      </c>
      <c r="T36" s="213">
        <f>前台好评提成录入!T41*$E36</f>
        <v>0</v>
      </c>
      <c r="U36" s="213">
        <f>前台好评提成录入!U41*$E36</f>
        <v>0</v>
      </c>
      <c r="V36" s="213">
        <f>前台好评提成录入!V41*$E36</f>
        <v>0</v>
      </c>
      <c r="W36" s="213">
        <f>前台好评提成录入!W41*$E36</f>
        <v>0</v>
      </c>
      <c r="X36" s="213">
        <f>前台好评提成录入!X41*$E36</f>
        <v>0</v>
      </c>
      <c r="Y36" s="213">
        <f>前台好评提成录入!Y41*$E36</f>
        <v>0</v>
      </c>
      <c r="Z36" s="213">
        <f>前台好评提成录入!Z41*$E36</f>
        <v>0</v>
      </c>
      <c r="AA36" s="213">
        <f>前台好评提成录入!AA41*$E36</f>
        <v>0</v>
      </c>
      <c r="AB36" s="213">
        <f>前台好评提成录入!AB41*$E36</f>
        <v>0</v>
      </c>
      <c r="AC36" s="213">
        <f>前台好评提成录入!AC41*$E36</f>
        <v>0</v>
      </c>
      <c r="AD36" s="213">
        <f>前台好评提成录入!AD41*$E36</f>
        <v>0</v>
      </c>
      <c r="AE36" s="213">
        <f>前台好评提成录入!AE41*$E36</f>
        <v>0</v>
      </c>
      <c r="AF36" s="213">
        <f>前台好评提成录入!AF41*$E36</f>
        <v>0</v>
      </c>
      <c r="AG36" s="213">
        <f>前台好评提成录入!AG41*$E36</f>
        <v>0</v>
      </c>
      <c r="AH36" s="213">
        <f>前台好评提成录入!AH41*$E36</f>
        <v>0</v>
      </c>
      <c r="AI36" s="213">
        <f>前台好评提成录入!AI41*$E36</f>
        <v>0</v>
      </c>
      <c r="AJ36" s="213">
        <f>前台好评提成录入!AJ41*$E36</f>
        <v>0</v>
      </c>
      <c r="AK36" s="213">
        <f>前台好评提成录入!AK41*$E36</f>
        <v>0</v>
      </c>
      <c r="AL36" s="213">
        <f>前台好评提成录入!AL41*$E36</f>
        <v>0</v>
      </c>
    </row>
    <row r="37" s="178" customFormat="1" customHeight="1" spans="1:38">
      <c r="A37" s="161">
        <v>33</v>
      </c>
      <c r="B37" s="21">
        <f>会员卡提成录入!B37</f>
        <v>0</v>
      </c>
      <c r="C37" s="21">
        <f>会员卡提成录入!C37</f>
        <v>0</v>
      </c>
      <c r="D37" s="21">
        <f>会员卡提成录入!D37</f>
        <v>0</v>
      </c>
      <c r="E37" s="21">
        <f>会员卡提成录入!E37</f>
        <v>0</v>
      </c>
      <c r="F37" s="21">
        <f>会员卡提成录入!F37</f>
        <v>0</v>
      </c>
      <c r="G37" s="21">
        <f>会员卡提成录入!G37</f>
        <v>0</v>
      </c>
      <c r="H37" s="213">
        <f>前台好评提成录入!H42*$E37</f>
        <v>0</v>
      </c>
      <c r="I37" s="213">
        <f>前台好评提成录入!I42*$E37</f>
        <v>0</v>
      </c>
      <c r="J37" s="213">
        <f>前台好评提成录入!J42*$E37</f>
        <v>0</v>
      </c>
      <c r="K37" s="213">
        <f>前台好评提成录入!K42*$E37</f>
        <v>0</v>
      </c>
      <c r="L37" s="213">
        <f>前台好评提成录入!L42*$E37</f>
        <v>0</v>
      </c>
      <c r="M37" s="213">
        <f>前台好评提成录入!M42*$E37</f>
        <v>0</v>
      </c>
      <c r="N37" s="213">
        <f>前台好评提成录入!N42*$E37</f>
        <v>0</v>
      </c>
      <c r="O37" s="213">
        <f>前台好评提成录入!O42*$E37</f>
        <v>0</v>
      </c>
      <c r="P37" s="213">
        <f>前台好评提成录入!P42*$E37</f>
        <v>0</v>
      </c>
      <c r="Q37" s="213">
        <f>前台好评提成录入!Q42*$E37</f>
        <v>0</v>
      </c>
      <c r="R37" s="213">
        <f>前台好评提成录入!R42*$E37</f>
        <v>0</v>
      </c>
      <c r="S37" s="213">
        <f>前台好评提成录入!S42*$E37</f>
        <v>0</v>
      </c>
      <c r="T37" s="213">
        <f>前台好评提成录入!T42*$E37</f>
        <v>0</v>
      </c>
      <c r="U37" s="213">
        <f>前台好评提成录入!U42*$E37</f>
        <v>0</v>
      </c>
      <c r="V37" s="213">
        <f>前台好评提成录入!V42*$E37</f>
        <v>0</v>
      </c>
      <c r="W37" s="213">
        <f>前台好评提成录入!W42*$E37</f>
        <v>0</v>
      </c>
      <c r="X37" s="213">
        <f>前台好评提成录入!X42*$E37</f>
        <v>0</v>
      </c>
      <c r="Y37" s="213">
        <f>前台好评提成录入!Y42*$E37</f>
        <v>0</v>
      </c>
      <c r="Z37" s="213">
        <f>前台好评提成录入!Z42*$E37</f>
        <v>0</v>
      </c>
      <c r="AA37" s="213">
        <f>前台好评提成录入!AA42*$E37</f>
        <v>0</v>
      </c>
      <c r="AB37" s="213">
        <f>前台好评提成录入!AB42*$E37</f>
        <v>0</v>
      </c>
      <c r="AC37" s="213">
        <f>前台好评提成录入!AC42*$E37</f>
        <v>0</v>
      </c>
      <c r="AD37" s="213">
        <f>前台好评提成录入!AD42*$E37</f>
        <v>0</v>
      </c>
      <c r="AE37" s="213">
        <f>前台好评提成录入!AE42*$E37</f>
        <v>0</v>
      </c>
      <c r="AF37" s="213">
        <f>前台好评提成录入!AF42*$E37</f>
        <v>0</v>
      </c>
      <c r="AG37" s="213">
        <f>前台好评提成录入!AG42*$E37</f>
        <v>0</v>
      </c>
      <c r="AH37" s="213">
        <f>前台好评提成录入!AH42*$E37</f>
        <v>0</v>
      </c>
      <c r="AI37" s="213">
        <f>前台好评提成录入!AI42*$E37</f>
        <v>0</v>
      </c>
      <c r="AJ37" s="213">
        <f>前台好评提成录入!AJ42*$E37</f>
        <v>0</v>
      </c>
      <c r="AK37" s="213">
        <f>前台好评提成录入!AK42*$E37</f>
        <v>0</v>
      </c>
      <c r="AL37" s="213">
        <f>前台好评提成录入!AL42*$E37</f>
        <v>0</v>
      </c>
    </row>
    <row r="38" s="178" customFormat="1" customHeight="1" spans="1:38">
      <c r="A38" s="161">
        <v>34</v>
      </c>
      <c r="B38" s="21">
        <f>会员卡提成录入!B38</f>
        <v>0</v>
      </c>
      <c r="C38" s="21">
        <f>会员卡提成录入!C38</f>
        <v>0</v>
      </c>
      <c r="D38" s="21">
        <f>会员卡提成录入!D38</f>
        <v>0</v>
      </c>
      <c r="E38" s="21">
        <f>会员卡提成录入!E38</f>
        <v>0</v>
      </c>
      <c r="F38" s="21">
        <f>会员卡提成录入!F38</f>
        <v>0</v>
      </c>
      <c r="G38" s="21">
        <f>会员卡提成录入!G38</f>
        <v>0</v>
      </c>
      <c r="H38" s="213">
        <f>前台好评提成录入!H43*$E38</f>
        <v>0</v>
      </c>
      <c r="I38" s="213">
        <f>前台好评提成录入!I43*$E38</f>
        <v>0</v>
      </c>
      <c r="J38" s="213">
        <f>前台好评提成录入!J43*$E38</f>
        <v>0</v>
      </c>
      <c r="K38" s="213">
        <f>前台好评提成录入!K43*$E38</f>
        <v>0</v>
      </c>
      <c r="L38" s="213">
        <f>前台好评提成录入!L43*$E38</f>
        <v>0</v>
      </c>
      <c r="M38" s="213">
        <f>前台好评提成录入!M43*$E38</f>
        <v>0</v>
      </c>
      <c r="N38" s="213">
        <f>前台好评提成录入!N43*$E38</f>
        <v>0</v>
      </c>
      <c r="O38" s="213">
        <f>前台好评提成录入!O43*$E38</f>
        <v>0</v>
      </c>
      <c r="P38" s="213">
        <f>前台好评提成录入!P43*$E38</f>
        <v>0</v>
      </c>
      <c r="Q38" s="213">
        <f>前台好评提成录入!Q43*$E38</f>
        <v>0</v>
      </c>
      <c r="R38" s="213">
        <f>前台好评提成录入!R43*$E38</f>
        <v>0</v>
      </c>
      <c r="S38" s="213">
        <f>前台好评提成录入!S43*$E38</f>
        <v>0</v>
      </c>
      <c r="T38" s="213">
        <f>前台好评提成录入!T43*$E38</f>
        <v>0</v>
      </c>
      <c r="U38" s="213">
        <f>前台好评提成录入!U43*$E38</f>
        <v>0</v>
      </c>
      <c r="V38" s="213">
        <f>前台好评提成录入!V43*$E38</f>
        <v>0</v>
      </c>
      <c r="W38" s="213">
        <f>前台好评提成录入!W43*$E38</f>
        <v>0</v>
      </c>
      <c r="X38" s="213">
        <f>前台好评提成录入!X43*$E38</f>
        <v>0</v>
      </c>
      <c r="Y38" s="213">
        <f>前台好评提成录入!Y43*$E38</f>
        <v>0</v>
      </c>
      <c r="Z38" s="213">
        <f>前台好评提成录入!Z43*$E38</f>
        <v>0</v>
      </c>
      <c r="AA38" s="213">
        <f>前台好评提成录入!AA43*$E38</f>
        <v>0</v>
      </c>
      <c r="AB38" s="213">
        <f>前台好评提成录入!AB43*$E38</f>
        <v>0</v>
      </c>
      <c r="AC38" s="213">
        <f>前台好评提成录入!AC43*$E38</f>
        <v>0</v>
      </c>
      <c r="AD38" s="213">
        <f>前台好评提成录入!AD43*$E38</f>
        <v>0</v>
      </c>
      <c r="AE38" s="213">
        <f>前台好评提成录入!AE43*$E38</f>
        <v>0</v>
      </c>
      <c r="AF38" s="213">
        <f>前台好评提成录入!AF43*$E38</f>
        <v>0</v>
      </c>
      <c r="AG38" s="213">
        <f>前台好评提成录入!AG43*$E38</f>
        <v>0</v>
      </c>
      <c r="AH38" s="213">
        <f>前台好评提成录入!AH43*$E38</f>
        <v>0</v>
      </c>
      <c r="AI38" s="213">
        <f>前台好评提成录入!AI43*$E38</f>
        <v>0</v>
      </c>
      <c r="AJ38" s="213">
        <f>前台好评提成录入!AJ43*$E38</f>
        <v>0</v>
      </c>
      <c r="AK38" s="213">
        <f>前台好评提成录入!AK43*$E38</f>
        <v>0</v>
      </c>
      <c r="AL38" s="213">
        <f>前台好评提成录入!AL43*$E38</f>
        <v>0</v>
      </c>
    </row>
    <row r="39" s="178" customFormat="1" customHeight="1" spans="1:38">
      <c r="A39" s="161">
        <v>35</v>
      </c>
      <c r="B39" s="21">
        <f>会员卡提成录入!B39</f>
        <v>0</v>
      </c>
      <c r="C39" s="21">
        <f>会员卡提成录入!C39</f>
        <v>0</v>
      </c>
      <c r="D39" s="21">
        <f>会员卡提成录入!D39</f>
        <v>0</v>
      </c>
      <c r="E39" s="21">
        <f>会员卡提成录入!E39</f>
        <v>0</v>
      </c>
      <c r="F39" s="21">
        <f>会员卡提成录入!F39</f>
        <v>0</v>
      </c>
      <c r="G39" s="21">
        <f>会员卡提成录入!G39</f>
        <v>0</v>
      </c>
      <c r="H39" s="213">
        <f>前台好评提成录入!H44*$E39</f>
        <v>0</v>
      </c>
      <c r="I39" s="213">
        <f>前台好评提成录入!I44*$E39</f>
        <v>0</v>
      </c>
      <c r="J39" s="213">
        <f>前台好评提成录入!J44*$E39</f>
        <v>0</v>
      </c>
      <c r="K39" s="213">
        <f>前台好评提成录入!K44*$E39</f>
        <v>0</v>
      </c>
      <c r="L39" s="213">
        <f>前台好评提成录入!L44*$E39</f>
        <v>0</v>
      </c>
      <c r="M39" s="213">
        <f>前台好评提成录入!M44*$E39</f>
        <v>0</v>
      </c>
      <c r="N39" s="213">
        <f>前台好评提成录入!N44*$E39</f>
        <v>0</v>
      </c>
      <c r="O39" s="213">
        <f>前台好评提成录入!O44*$E39</f>
        <v>0</v>
      </c>
      <c r="P39" s="213">
        <f>前台好评提成录入!P44*$E39</f>
        <v>0</v>
      </c>
      <c r="Q39" s="213">
        <f>前台好评提成录入!Q44*$E39</f>
        <v>0</v>
      </c>
      <c r="R39" s="213">
        <f>前台好评提成录入!R44*$E39</f>
        <v>0</v>
      </c>
      <c r="S39" s="213">
        <f>前台好评提成录入!S44*$E39</f>
        <v>0</v>
      </c>
      <c r="T39" s="213">
        <f>前台好评提成录入!T44*$E39</f>
        <v>0</v>
      </c>
      <c r="U39" s="213">
        <f>前台好评提成录入!U44*$E39</f>
        <v>0</v>
      </c>
      <c r="V39" s="213">
        <f>前台好评提成录入!V44*$E39</f>
        <v>0</v>
      </c>
      <c r="W39" s="213">
        <f>前台好评提成录入!W44*$E39</f>
        <v>0</v>
      </c>
      <c r="X39" s="213">
        <f>前台好评提成录入!X44*$E39</f>
        <v>0</v>
      </c>
      <c r="Y39" s="213">
        <f>前台好评提成录入!Y44*$E39</f>
        <v>0</v>
      </c>
      <c r="Z39" s="213">
        <f>前台好评提成录入!Z44*$E39</f>
        <v>0</v>
      </c>
      <c r="AA39" s="213">
        <f>前台好评提成录入!AA44*$E39</f>
        <v>0</v>
      </c>
      <c r="AB39" s="213">
        <f>前台好评提成录入!AB44*$E39</f>
        <v>0</v>
      </c>
      <c r="AC39" s="213">
        <f>前台好评提成录入!AC44*$E39</f>
        <v>0</v>
      </c>
      <c r="AD39" s="213">
        <f>前台好评提成录入!AD44*$E39</f>
        <v>0</v>
      </c>
      <c r="AE39" s="213">
        <f>前台好评提成录入!AE44*$E39</f>
        <v>0</v>
      </c>
      <c r="AF39" s="213">
        <f>前台好评提成录入!AF44*$E39</f>
        <v>0</v>
      </c>
      <c r="AG39" s="213">
        <f>前台好评提成录入!AG44*$E39</f>
        <v>0</v>
      </c>
      <c r="AH39" s="213">
        <f>前台好评提成录入!AH44*$E39</f>
        <v>0</v>
      </c>
      <c r="AI39" s="213">
        <f>前台好评提成录入!AI44*$E39</f>
        <v>0</v>
      </c>
      <c r="AJ39" s="213">
        <f>前台好评提成录入!AJ44*$E39</f>
        <v>0</v>
      </c>
      <c r="AK39" s="213">
        <f>前台好评提成录入!AK44*$E39</f>
        <v>0</v>
      </c>
      <c r="AL39" s="213">
        <f>前台好评提成录入!AL44*$E39</f>
        <v>0</v>
      </c>
    </row>
    <row r="40" s="178" customFormat="1" customHeight="1" spans="1:38">
      <c r="A40" s="161">
        <v>36</v>
      </c>
      <c r="B40" s="21">
        <f>会员卡提成录入!B40</f>
        <v>0</v>
      </c>
      <c r="C40" s="21">
        <f>会员卡提成录入!C40</f>
        <v>0</v>
      </c>
      <c r="D40" s="21">
        <f>会员卡提成录入!D40</f>
        <v>0</v>
      </c>
      <c r="E40" s="21">
        <f>会员卡提成录入!E40</f>
        <v>0</v>
      </c>
      <c r="F40" s="21">
        <f>会员卡提成录入!F40</f>
        <v>0</v>
      </c>
      <c r="G40" s="21">
        <f>会员卡提成录入!G40</f>
        <v>0</v>
      </c>
      <c r="H40" s="213">
        <f>前台好评提成录入!H45*$E40</f>
        <v>0</v>
      </c>
      <c r="I40" s="213">
        <f>前台好评提成录入!I45*$E40</f>
        <v>0</v>
      </c>
      <c r="J40" s="213">
        <f>前台好评提成录入!J45*$E40</f>
        <v>0</v>
      </c>
      <c r="K40" s="213">
        <f>前台好评提成录入!K45*$E40</f>
        <v>0</v>
      </c>
      <c r="L40" s="213">
        <f>前台好评提成录入!L45*$E40</f>
        <v>0</v>
      </c>
      <c r="M40" s="213">
        <f>前台好评提成录入!M45*$E40</f>
        <v>0</v>
      </c>
      <c r="N40" s="213">
        <f>前台好评提成录入!N45*$E40</f>
        <v>0</v>
      </c>
      <c r="O40" s="213">
        <f>前台好评提成录入!O45*$E40</f>
        <v>0</v>
      </c>
      <c r="P40" s="213">
        <f>前台好评提成录入!P45*$E40</f>
        <v>0</v>
      </c>
      <c r="Q40" s="213">
        <f>前台好评提成录入!Q45*$E40</f>
        <v>0</v>
      </c>
      <c r="R40" s="213">
        <f>前台好评提成录入!R45*$E40</f>
        <v>0</v>
      </c>
      <c r="S40" s="213">
        <f>前台好评提成录入!S45*$E40</f>
        <v>0</v>
      </c>
      <c r="T40" s="213">
        <f>前台好评提成录入!T45*$E40</f>
        <v>0</v>
      </c>
      <c r="U40" s="213">
        <f>前台好评提成录入!U45*$E40</f>
        <v>0</v>
      </c>
      <c r="V40" s="213">
        <f>前台好评提成录入!V45*$E40</f>
        <v>0</v>
      </c>
      <c r="W40" s="213">
        <f>前台好评提成录入!W45*$E40</f>
        <v>0</v>
      </c>
      <c r="X40" s="213">
        <f>前台好评提成录入!X45*$E40</f>
        <v>0</v>
      </c>
      <c r="Y40" s="213">
        <f>前台好评提成录入!Y45*$E40</f>
        <v>0</v>
      </c>
      <c r="Z40" s="213">
        <f>前台好评提成录入!Z45*$E40</f>
        <v>0</v>
      </c>
      <c r="AA40" s="213">
        <f>前台好评提成录入!AA45*$E40</f>
        <v>0</v>
      </c>
      <c r="AB40" s="213">
        <f>前台好评提成录入!AB45*$E40</f>
        <v>0</v>
      </c>
      <c r="AC40" s="213">
        <f>前台好评提成录入!AC45*$E40</f>
        <v>0</v>
      </c>
      <c r="AD40" s="213">
        <f>前台好评提成录入!AD45*$E40</f>
        <v>0</v>
      </c>
      <c r="AE40" s="213">
        <f>前台好评提成录入!AE45*$E40</f>
        <v>0</v>
      </c>
      <c r="AF40" s="213">
        <f>前台好评提成录入!AF45*$E40</f>
        <v>0</v>
      </c>
      <c r="AG40" s="213">
        <f>前台好评提成录入!AG45*$E40</f>
        <v>0</v>
      </c>
      <c r="AH40" s="213">
        <f>前台好评提成录入!AH45*$E40</f>
        <v>0</v>
      </c>
      <c r="AI40" s="213">
        <f>前台好评提成录入!AI45*$E40</f>
        <v>0</v>
      </c>
      <c r="AJ40" s="213">
        <f>前台好评提成录入!AJ45*$E40</f>
        <v>0</v>
      </c>
      <c r="AK40" s="213">
        <f>前台好评提成录入!AK45*$E40</f>
        <v>0</v>
      </c>
      <c r="AL40" s="213">
        <f>前台好评提成录入!AL45*$E40</f>
        <v>0</v>
      </c>
    </row>
    <row r="41" s="178" customFormat="1" customHeight="1" spans="1:38">
      <c r="A41" s="161">
        <v>37</v>
      </c>
      <c r="B41" s="21">
        <f>会员卡提成录入!B41</f>
        <v>0</v>
      </c>
      <c r="C41" s="21">
        <f>会员卡提成录入!C41</f>
        <v>0</v>
      </c>
      <c r="D41" s="21">
        <f>会员卡提成录入!D41</f>
        <v>0</v>
      </c>
      <c r="E41" s="21">
        <f>会员卡提成录入!E41</f>
        <v>0</v>
      </c>
      <c r="F41" s="21">
        <f>会员卡提成录入!F41</f>
        <v>0</v>
      </c>
      <c r="G41" s="21">
        <f>会员卡提成录入!G41</f>
        <v>0</v>
      </c>
      <c r="H41" s="213">
        <f>前台好评提成录入!H46*$E41</f>
        <v>0</v>
      </c>
      <c r="I41" s="213">
        <f>前台好评提成录入!I46*$E41</f>
        <v>0</v>
      </c>
      <c r="J41" s="213">
        <f>前台好评提成录入!J46*$E41</f>
        <v>0</v>
      </c>
      <c r="K41" s="213">
        <f>前台好评提成录入!K46*$E41</f>
        <v>0</v>
      </c>
      <c r="L41" s="213">
        <f>前台好评提成录入!L46*$E41</f>
        <v>0</v>
      </c>
      <c r="M41" s="213">
        <f>前台好评提成录入!M46*$E41</f>
        <v>0</v>
      </c>
      <c r="N41" s="213">
        <f>前台好评提成录入!N46*$E41</f>
        <v>0</v>
      </c>
      <c r="O41" s="213">
        <f>前台好评提成录入!O46*$E41</f>
        <v>0</v>
      </c>
      <c r="P41" s="213">
        <f>前台好评提成录入!P46*$E41</f>
        <v>0</v>
      </c>
      <c r="Q41" s="213">
        <f>前台好评提成录入!Q46*$E41</f>
        <v>0</v>
      </c>
      <c r="R41" s="213">
        <f>前台好评提成录入!R46*$E41</f>
        <v>0</v>
      </c>
      <c r="S41" s="213">
        <f>前台好评提成录入!S46*$E41</f>
        <v>0</v>
      </c>
      <c r="T41" s="213">
        <f>前台好评提成录入!T46*$E41</f>
        <v>0</v>
      </c>
      <c r="U41" s="213">
        <f>前台好评提成录入!U46*$E41</f>
        <v>0</v>
      </c>
      <c r="V41" s="213">
        <f>前台好评提成录入!V46*$E41</f>
        <v>0</v>
      </c>
      <c r="W41" s="213">
        <f>前台好评提成录入!W46*$E41</f>
        <v>0</v>
      </c>
      <c r="X41" s="213">
        <f>前台好评提成录入!X46*$E41</f>
        <v>0</v>
      </c>
      <c r="Y41" s="213">
        <f>前台好评提成录入!Y46*$E41</f>
        <v>0</v>
      </c>
      <c r="Z41" s="213">
        <f>前台好评提成录入!Z46*$E41</f>
        <v>0</v>
      </c>
      <c r="AA41" s="213">
        <f>前台好评提成录入!AA46*$E41</f>
        <v>0</v>
      </c>
      <c r="AB41" s="213">
        <f>前台好评提成录入!AB46*$E41</f>
        <v>0</v>
      </c>
      <c r="AC41" s="213">
        <f>前台好评提成录入!AC46*$E41</f>
        <v>0</v>
      </c>
      <c r="AD41" s="213">
        <f>前台好评提成录入!AD46*$E41</f>
        <v>0</v>
      </c>
      <c r="AE41" s="213">
        <f>前台好评提成录入!AE46*$E41</f>
        <v>0</v>
      </c>
      <c r="AF41" s="213">
        <f>前台好评提成录入!AF46*$E41</f>
        <v>0</v>
      </c>
      <c r="AG41" s="213">
        <f>前台好评提成录入!AG46*$E41</f>
        <v>0</v>
      </c>
      <c r="AH41" s="213">
        <f>前台好评提成录入!AH46*$E41</f>
        <v>0</v>
      </c>
      <c r="AI41" s="213">
        <f>前台好评提成录入!AI46*$E41</f>
        <v>0</v>
      </c>
      <c r="AJ41" s="213">
        <f>前台好评提成录入!AJ46*$E41</f>
        <v>0</v>
      </c>
      <c r="AK41" s="213">
        <f>前台好评提成录入!AK46*$E41</f>
        <v>0</v>
      </c>
      <c r="AL41" s="213">
        <f>前台好评提成录入!AL46*$E41</f>
        <v>0</v>
      </c>
    </row>
    <row r="42" s="178" customFormat="1" customHeight="1" spans="1:38">
      <c r="A42" s="161">
        <v>38</v>
      </c>
      <c r="B42" s="21">
        <f>会员卡提成录入!B42</f>
        <v>0</v>
      </c>
      <c r="C42" s="21">
        <f>会员卡提成录入!C42</f>
        <v>0</v>
      </c>
      <c r="D42" s="21">
        <f>会员卡提成录入!D42</f>
        <v>0</v>
      </c>
      <c r="E42" s="21">
        <f>会员卡提成录入!E42</f>
        <v>0</v>
      </c>
      <c r="F42" s="21">
        <f>会员卡提成录入!F42</f>
        <v>0</v>
      </c>
      <c r="G42" s="21">
        <f>会员卡提成录入!G42</f>
        <v>0</v>
      </c>
      <c r="H42" s="213">
        <f>前台好评提成录入!H47*$E42</f>
        <v>0</v>
      </c>
      <c r="I42" s="213">
        <f>前台好评提成录入!I47*$E42</f>
        <v>0</v>
      </c>
      <c r="J42" s="213">
        <f>前台好评提成录入!J47*$E42</f>
        <v>0</v>
      </c>
      <c r="K42" s="213">
        <f>前台好评提成录入!K47*$E42</f>
        <v>0</v>
      </c>
      <c r="L42" s="213">
        <f>前台好评提成录入!L47*$E42</f>
        <v>0</v>
      </c>
      <c r="M42" s="213">
        <f>前台好评提成录入!M47*$E42</f>
        <v>0</v>
      </c>
      <c r="N42" s="213">
        <f>前台好评提成录入!N47*$E42</f>
        <v>0</v>
      </c>
      <c r="O42" s="213">
        <f>前台好评提成录入!O47*$E42</f>
        <v>0</v>
      </c>
      <c r="P42" s="213">
        <f>前台好评提成录入!P47*$E42</f>
        <v>0</v>
      </c>
      <c r="Q42" s="213">
        <f>前台好评提成录入!Q47*$E42</f>
        <v>0</v>
      </c>
      <c r="R42" s="213">
        <f>前台好评提成录入!R47*$E42</f>
        <v>0</v>
      </c>
      <c r="S42" s="213">
        <f>前台好评提成录入!S47*$E42</f>
        <v>0</v>
      </c>
      <c r="T42" s="213">
        <f>前台好评提成录入!T47*$E42</f>
        <v>0</v>
      </c>
      <c r="U42" s="213">
        <f>前台好评提成录入!U47*$E42</f>
        <v>0</v>
      </c>
      <c r="V42" s="213">
        <f>前台好评提成录入!V47*$E42</f>
        <v>0</v>
      </c>
      <c r="W42" s="213">
        <f>前台好评提成录入!W47*$E42</f>
        <v>0</v>
      </c>
      <c r="X42" s="213">
        <f>前台好评提成录入!X47*$E42</f>
        <v>0</v>
      </c>
      <c r="Y42" s="213">
        <f>前台好评提成录入!Y47*$E42</f>
        <v>0</v>
      </c>
      <c r="Z42" s="213">
        <f>前台好评提成录入!Z47*$E42</f>
        <v>0</v>
      </c>
      <c r="AA42" s="213">
        <f>前台好评提成录入!AA47*$E42</f>
        <v>0</v>
      </c>
      <c r="AB42" s="213">
        <f>前台好评提成录入!AB47*$E42</f>
        <v>0</v>
      </c>
      <c r="AC42" s="213">
        <f>前台好评提成录入!AC47*$E42</f>
        <v>0</v>
      </c>
      <c r="AD42" s="213">
        <f>前台好评提成录入!AD47*$E42</f>
        <v>0</v>
      </c>
      <c r="AE42" s="213">
        <f>前台好评提成录入!AE47*$E42</f>
        <v>0</v>
      </c>
      <c r="AF42" s="213">
        <f>前台好评提成录入!AF47*$E42</f>
        <v>0</v>
      </c>
      <c r="AG42" s="213">
        <f>前台好评提成录入!AG47*$E42</f>
        <v>0</v>
      </c>
      <c r="AH42" s="213">
        <f>前台好评提成录入!AH47*$E42</f>
        <v>0</v>
      </c>
      <c r="AI42" s="213">
        <f>前台好评提成录入!AI47*$E42</f>
        <v>0</v>
      </c>
      <c r="AJ42" s="213">
        <f>前台好评提成录入!AJ47*$E42</f>
        <v>0</v>
      </c>
      <c r="AK42" s="213">
        <f>前台好评提成录入!AK47*$E42</f>
        <v>0</v>
      </c>
      <c r="AL42" s="213">
        <f>前台好评提成录入!AL47*$E42</f>
        <v>0</v>
      </c>
    </row>
    <row r="43" s="178" customFormat="1" customHeight="1" spans="1:38">
      <c r="A43" s="161">
        <v>39</v>
      </c>
      <c r="B43" s="21">
        <f>会员卡提成录入!B43</f>
        <v>0</v>
      </c>
      <c r="C43" s="21">
        <f>会员卡提成录入!C43</f>
        <v>0</v>
      </c>
      <c r="D43" s="21">
        <f>会员卡提成录入!D43</f>
        <v>0</v>
      </c>
      <c r="E43" s="21">
        <f>会员卡提成录入!E43</f>
        <v>0</v>
      </c>
      <c r="F43" s="21">
        <f>会员卡提成录入!F43</f>
        <v>0</v>
      </c>
      <c r="G43" s="21">
        <f>会员卡提成录入!G43</f>
        <v>0</v>
      </c>
      <c r="H43" s="213">
        <f>前台好评提成录入!H48*$E43</f>
        <v>0</v>
      </c>
      <c r="I43" s="213">
        <f>前台好评提成录入!I48*$E43</f>
        <v>0</v>
      </c>
      <c r="J43" s="213">
        <f>前台好评提成录入!J48*$E43</f>
        <v>0</v>
      </c>
      <c r="K43" s="213">
        <f>前台好评提成录入!K48*$E43</f>
        <v>0</v>
      </c>
      <c r="L43" s="213">
        <f>前台好评提成录入!L48*$E43</f>
        <v>0</v>
      </c>
      <c r="M43" s="213">
        <f>前台好评提成录入!M48*$E43</f>
        <v>0</v>
      </c>
      <c r="N43" s="213">
        <f>前台好评提成录入!N48*$E43</f>
        <v>0</v>
      </c>
      <c r="O43" s="213">
        <f>前台好评提成录入!O48*$E43</f>
        <v>0</v>
      </c>
      <c r="P43" s="213">
        <f>前台好评提成录入!P48*$E43</f>
        <v>0</v>
      </c>
      <c r="Q43" s="213">
        <f>前台好评提成录入!Q48*$E43</f>
        <v>0</v>
      </c>
      <c r="R43" s="213">
        <f>前台好评提成录入!R48*$E43</f>
        <v>0</v>
      </c>
      <c r="S43" s="213">
        <f>前台好评提成录入!S48*$E43</f>
        <v>0</v>
      </c>
      <c r="T43" s="213">
        <f>前台好评提成录入!T48*$E43</f>
        <v>0</v>
      </c>
      <c r="U43" s="213">
        <f>前台好评提成录入!U48*$E43</f>
        <v>0</v>
      </c>
      <c r="V43" s="213">
        <f>前台好评提成录入!V48*$E43</f>
        <v>0</v>
      </c>
      <c r="W43" s="213">
        <f>前台好评提成录入!W48*$E43</f>
        <v>0</v>
      </c>
      <c r="X43" s="213">
        <f>前台好评提成录入!X48*$E43</f>
        <v>0</v>
      </c>
      <c r="Y43" s="213">
        <f>前台好评提成录入!Y48*$E43</f>
        <v>0</v>
      </c>
      <c r="Z43" s="213">
        <f>前台好评提成录入!Z48*$E43</f>
        <v>0</v>
      </c>
      <c r="AA43" s="213">
        <f>前台好评提成录入!AA48*$E43</f>
        <v>0</v>
      </c>
      <c r="AB43" s="213">
        <f>前台好评提成录入!AB48*$E43</f>
        <v>0</v>
      </c>
      <c r="AC43" s="213">
        <f>前台好评提成录入!AC48*$E43</f>
        <v>0</v>
      </c>
      <c r="AD43" s="213">
        <f>前台好评提成录入!AD48*$E43</f>
        <v>0</v>
      </c>
      <c r="AE43" s="213">
        <f>前台好评提成录入!AE48*$E43</f>
        <v>0</v>
      </c>
      <c r="AF43" s="213">
        <f>前台好评提成录入!AF48*$E43</f>
        <v>0</v>
      </c>
      <c r="AG43" s="213">
        <f>前台好评提成录入!AG48*$E43</f>
        <v>0</v>
      </c>
      <c r="AH43" s="213">
        <f>前台好评提成录入!AH48*$E43</f>
        <v>0</v>
      </c>
      <c r="AI43" s="213">
        <f>前台好评提成录入!AI48*$E43</f>
        <v>0</v>
      </c>
      <c r="AJ43" s="213">
        <f>前台好评提成录入!AJ48*$E43</f>
        <v>0</v>
      </c>
      <c r="AK43" s="213">
        <f>前台好评提成录入!AK48*$E43</f>
        <v>0</v>
      </c>
      <c r="AL43" s="213">
        <f>前台好评提成录入!AL48*$E43</f>
        <v>0</v>
      </c>
    </row>
    <row r="44" s="178" customFormat="1" customHeight="1" spans="1:38">
      <c r="A44" s="161">
        <v>40</v>
      </c>
      <c r="B44" s="21">
        <f>会员卡提成录入!B44</f>
        <v>0</v>
      </c>
      <c r="C44" s="21">
        <f>会员卡提成录入!C44</f>
        <v>0</v>
      </c>
      <c r="D44" s="21">
        <f>会员卡提成录入!D44</f>
        <v>0</v>
      </c>
      <c r="E44" s="21">
        <f>会员卡提成录入!E44</f>
        <v>0</v>
      </c>
      <c r="F44" s="21">
        <f>会员卡提成录入!F44</f>
        <v>0</v>
      </c>
      <c r="G44" s="21">
        <f>会员卡提成录入!G44</f>
        <v>0</v>
      </c>
      <c r="H44" s="213">
        <f>前台好评提成录入!H49*$E44</f>
        <v>0</v>
      </c>
      <c r="I44" s="213">
        <f>前台好评提成录入!I49*$E44</f>
        <v>0</v>
      </c>
      <c r="J44" s="213">
        <f>前台好评提成录入!J49*$E44</f>
        <v>0</v>
      </c>
      <c r="K44" s="213">
        <f>前台好评提成录入!K49*$E44</f>
        <v>0</v>
      </c>
      <c r="L44" s="213">
        <f>前台好评提成录入!L49*$E44</f>
        <v>0</v>
      </c>
      <c r="M44" s="213">
        <f>前台好评提成录入!M49*$E44</f>
        <v>0</v>
      </c>
      <c r="N44" s="213">
        <f>前台好评提成录入!N49*$E44</f>
        <v>0</v>
      </c>
      <c r="O44" s="213">
        <f>前台好评提成录入!O49*$E44</f>
        <v>0</v>
      </c>
      <c r="P44" s="213">
        <f>前台好评提成录入!P49*$E44</f>
        <v>0</v>
      </c>
      <c r="Q44" s="213">
        <f>前台好评提成录入!Q49*$E44</f>
        <v>0</v>
      </c>
      <c r="R44" s="213">
        <f>前台好评提成录入!R49*$E44</f>
        <v>0</v>
      </c>
      <c r="S44" s="213">
        <f>前台好评提成录入!S49*$E44</f>
        <v>0</v>
      </c>
      <c r="T44" s="213">
        <f>前台好评提成录入!T49*$E44</f>
        <v>0</v>
      </c>
      <c r="U44" s="213">
        <f>前台好评提成录入!U49*$E44</f>
        <v>0</v>
      </c>
      <c r="V44" s="213">
        <f>前台好评提成录入!V49*$E44</f>
        <v>0</v>
      </c>
      <c r="W44" s="213">
        <f>前台好评提成录入!W49*$E44</f>
        <v>0</v>
      </c>
      <c r="X44" s="213">
        <f>前台好评提成录入!X49*$E44</f>
        <v>0</v>
      </c>
      <c r="Y44" s="213">
        <f>前台好评提成录入!Y49*$E44</f>
        <v>0</v>
      </c>
      <c r="Z44" s="213">
        <f>前台好评提成录入!Z49*$E44</f>
        <v>0</v>
      </c>
      <c r="AA44" s="213">
        <f>前台好评提成录入!AA49*$E44</f>
        <v>0</v>
      </c>
      <c r="AB44" s="213">
        <f>前台好评提成录入!AB49*$E44</f>
        <v>0</v>
      </c>
      <c r="AC44" s="213">
        <f>前台好评提成录入!AC49*$E44</f>
        <v>0</v>
      </c>
      <c r="AD44" s="213">
        <f>前台好评提成录入!AD49*$E44</f>
        <v>0</v>
      </c>
      <c r="AE44" s="213">
        <f>前台好评提成录入!AE49*$E44</f>
        <v>0</v>
      </c>
      <c r="AF44" s="213">
        <f>前台好评提成录入!AF49*$E44</f>
        <v>0</v>
      </c>
      <c r="AG44" s="213">
        <f>前台好评提成录入!AG49*$E44</f>
        <v>0</v>
      </c>
      <c r="AH44" s="213">
        <f>前台好评提成录入!AH49*$E44</f>
        <v>0</v>
      </c>
      <c r="AI44" s="213">
        <f>前台好评提成录入!AI49*$E44</f>
        <v>0</v>
      </c>
      <c r="AJ44" s="213">
        <f>前台好评提成录入!AJ49*$E44</f>
        <v>0</v>
      </c>
      <c r="AK44" s="213">
        <f>前台好评提成录入!AK49*$E44</f>
        <v>0</v>
      </c>
      <c r="AL44" s="213">
        <f>前台好评提成录入!AL49*$E44</f>
        <v>0</v>
      </c>
    </row>
    <row r="45" s="178" customFormat="1" customHeight="1" spans="1:38">
      <c r="A45" s="161">
        <v>41</v>
      </c>
      <c r="B45" s="21">
        <f>会员卡提成录入!B45</f>
        <v>0</v>
      </c>
      <c r="C45" s="21">
        <f>会员卡提成录入!C45</f>
        <v>0</v>
      </c>
      <c r="D45" s="21">
        <f>会员卡提成录入!D45</f>
        <v>0</v>
      </c>
      <c r="E45" s="21">
        <f>会员卡提成录入!E45</f>
        <v>0</v>
      </c>
      <c r="F45" s="21">
        <f>会员卡提成录入!F45</f>
        <v>0</v>
      </c>
      <c r="G45" s="21">
        <f>会员卡提成录入!G45</f>
        <v>0</v>
      </c>
      <c r="H45" s="213">
        <f>前台好评提成录入!H50*$E45</f>
        <v>0</v>
      </c>
      <c r="I45" s="213">
        <f>前台好评提成录入!I50*$E45</f>
        <v>0</v>
      </c>
      <c r="J45" s="213">
        <f>前台好评提成录入!J50*$E45</f>
        <v>0</v>
      </c>
      <c r="K45" s="213">
        <f>前台好评提成录入!K50*$E45</f>
        <v>0</v>
      </c>
      <c r="L45" s="213">
        <f>前台好评提成录入!L50*$E45</f>
        <v>0</v>
      </c>
      <c r="M45" s="213">
        <f>前台好评提成录入!M50*$E45</f>
        <v>0</v>
      </c>
      <c r="N45" s="213">
        <f>前台好评提成录入!N50*$E45</f>
        <v>0</v>
      </c>
      <c r="O45" s="213">
        <f>前台好评提成录入!O50*$E45</f>
        <v>0</v>
      </c>
      <c r="P45" s="213">
        <f>前台好评提成录入!P50*$E45</f>
        <v>0</v>
      </c>
      <c r="Q45" s="213">
        <f>前台好评提成录入!Q50*$E45</f>
        <v>0</v>
      </c>
      <c r="R45" s="213">
        <f>前台好评提成录入!R50*$E45</f>
        <v>0</v>
      </c>
      <c r="S45" s="213">
        <f>前台好评提成录入!S50*$E45</f>
        <v>0</v>
      </c>
      <c r="T45" s="213">
        <f>前台好评提成录入!T50*$E45</f>
        <v>0</v>
      </c>
      <c r="U45" s="213">
        <f>前台好评提成录入!U50*$E45</f>
        <v>0</v>
      </c>
      <c r="V45" s="213">
        <f>前台好评提成录入!V50*$E45</f>
        <v>0</v>
      </c>
      <c r="W45" s="213">
        <f>前台好评提成录入!W50*$E45</f>
        <v>0</v>
      </c>
      <c r="X45" s="213">
        <f>前台好评提成录入!X50*$E45</f>
        <v>0</v>
      </c>
      <c r="Y45" s="213">
        <f>前台好评提成录入!Y50*$E45</f>
        <v>0</v>
      </c>
      <c r="Z45" s="213">
        <f>前台好评提成录入!Z50*$E45</f>
        <v>0</v>
      </c>
      <c r="AA45" s="213">
        <f>前台好评提成录入!AA50*$E45</f>
        <v>0</v>
      </c>
      <c r="AB45" s="213">
        <f>前台好评提成录入!AB50*$E45</f>
        <v>0</v>
      </c>
      <c r="AC45" s="213">
        <f>前台好评提成录入!AC50*$E45</f>
        <v>0</v>
      </c>
      <c r="AD45" s="213">
        <f>前台好评提成录入!AD50*$E45</f>
        <v>0</v>
      </c>
      <c r="AE45" s="213">
        <f>前台好评提成录入!AE50*$E45</f>
        <v>0</v>
      </c>
      <c r="AF45" s="213">
        <f>前台好评提成录入!AF50*$E45</f>
        <v>0</v>
      </c>
      <c r="AG45" s="213">
        <f>前台好评提成录入!AG50*$E45</f>
        <v>0</v>
      </c>
      <c r="AH45" s="213">
        <f>前台好评提成录入!AH50*$E45</f>
        <v>0</v>
      </c>
      <c r="AI45" s="213">
        <f>前台好评提成录入!AI50*$E45</f>
        <v>0</v>
      </c>
      <c r="AJ45" s="213">
        <f>前台好评提成录入!AJ50*$E45</f>
        <v>0</v>
      </c>
      <c r="AK45" s="213">
        <f>前台好评提成录入!AK50*$E45</f>
        <v>0</v>
      </c>
      <c r="AL45" s="213">
        <f>前台好评提成录入!AL50*$E45</f>
        <v>0</v>
      </c>
    </row>
    <row r="46" s="178" customFormat="1" customHeight="1" spans="1:38">
      <c r="A46" s="161">
        <v>42</v>
      </c>
      <c r="B46" s="21">
        <f>会员卡提成录入!B46</f>
        <v>0</v>
      </c>
      <c r="C46" s="21">
        <f>会员卡提成录入!C46</f>
        <v>0</v>
      </c>
      <c r="D46" s="21">
        <f>会员卡提成录入!D46</f>
        <v>0</v>
      </c>
      <c r="E46" s="21">
        <f>会员卡提成录入!E46</f>
        <v>0</v>
      </c>
      <c r="F46" s="21">
        <f>会员卡提成录入!F46</f>
        <v>0</v>
      </c>
      <c r="G46" s="21">
        <f>会员卡提成录入!G46</f>
        <v>0</v>
      </c>
      <c r="H46" s="213">
        <f>前台好评提成录入!H51*$E46</f>
        <v>0</v>
      </c>
      <c r="I46" s="213">
        <f>前台好评提成录入!I51*$E46</f>
        <v>0</v>
      </c>
      <c r="J46" s="213">
        <f>前台好评提成录入!J51*$E46</f>
        <v>0</v>
      </c>
      <c r="K46" s="213">
        <f>前台好评提成录入!K51*$E46</f>
        <v>0</v>
      </c>
      <c r="L46" s="213">
        <f>前台好评提成录入!L51*$E46</f>
        <v>0</v>
      </c>
      <c r="M46" s="213">
        <f>前台好评提成录入!M51*$E46</f>
        <v>0</v>
      </c>
      <c r="N46" s="213">
        <f>前台好评提成录入!N51*$E46</f>
        <v>0</v>
      </c>
      <c r="O46" s="213">
        <f>前台好评提成录入!O51*$E46</f>
        <v>0</v>
      </c>
      <c r="P46" s="213">
        <f>前台好评提成录入!P51*$E46</f>
        <v>0</v>
      </c>
      <c r="Q46" s="213">
        <f>前台好评提成录入!Q51*$E46</f>
        <v>0</v>
      </c>
      <c r="R46" s="213">
        <f>前台好评提成录入!R51*$E46</f>
        <v>0</v>
      </c>
      <c r="S46" s="213">
        <f>前台好评提成录入!S51*$E46</f>
        <v>0</v>
      </c>
      <c r="T46" s="213">
        <f>前台好评提成录入!T51*$E46</f>
        <v>0</v>
      </c>
      <c r="U46" s="213">
        <f>前台好评提成录入!U51*$E46</f>
        <v>0</v>
      </c>
      <c r="V46" s="213">
        <f>前台好评提成录入!V51*$E46</f>
        <v>0</v>
      </c>
      <c r="W46" s="213">
        <f>前台好评提成录入!W51*$E46</f>
        <v>0</v>
      </c>
      <c r="X46" s="213">
        <f>前台好评提成录入!X51*$E46</f>
        <v>0</v>
      </c>
      <c r="Y46" s="213">
        <f>前台好评提成录入!Y51*$E46</f>
        <v>0</v>
      </c>
      <c r="Z46" s="213">
        <f>前台好评提成录入!Z51*$E46</f>
        <v>0</v>
      </c>
      <c r="AA46" s="213">
        <f>前台好评提成录入!AA51*$E46</f>
        <v>0</v>
      </c>
      <c r="AB46" s="213">
        <f>前台好评提成录入!AB51*$E46</f>
        <v>0</v>
      </c>
      <c r="AC46" s="213">
        <f>前台好评提成录入!AC51*$E46</f>
        <v>0</v>
      </c>
      <c r="AD46" s="213">
        <f>前台好评提成录入!AD51*$E46</f>
        <v>0</v>
      </c>
      <c r="AE46" s="213">
        <f>前台好评提成录入!AE51*$E46</f>
        <v>0</v>
      </c>
      <c r="AF46" s="213">
        <f>前台好评提成录入!AF51*$E46</f>
        <v>0</v>
      </c>
      <c r="AG46" s="213">
        <f>前台好评提成录入!AG51*$E46</f>
        <v>0</v>
      </c>
      <c r="AH46" s="213">
        <f>前台好评提成录入!AH51*$E46</f>
        <v>0</v>
      </c>
      <c r="AI46" s="213">
        <f>前台好评提成录入!AI51*$E46</f>
        <v>0</v>
      </c>
      <c r="AJ46" s="213">
        <f>前台好评提成录入!AJ51*$E46</f>
        <v>0</v>
      </c>
      <c r="AK46" s="213">
        <f>前台好评提成录入!AK51*$E46</f>
        <v>0</v>
      </c>
      <c r="AL46" s="213">
        <f>前台好评提成录入!AL51*$E46</f>
        <v>0</v>
      </c>
    </row>
    <row r="47" s="178" customFormat="1" customHeight="1" spans="1:38">
      <c r="A47" s="161">
        <v>43</v>
      </c>
      <c r="B47" s="21">
        <f>会员卡提成录入!B47</f>
        <v>0</v>
      </c>
      <c r="C47" s="21">
        <f>会员卡提成录入!C47</f>
        <v>0</v>
      </c>
      <c r="D47" s="21">
        <f>会员卡提成录入!D47</f>
        <v>0</v>
      </c>
      <c r="E47" s="21">
        <f>会员卡提成录入!E47</f>
        <v>0</v>
      </c>
      <c r="F47" s="21">
        <f>会员卡提成录入!F47</f>
        <v>0</v>
      </c>
      <c r="G47" s="21">
        <f>会员卡提成录入!G47</f>
        <v>0</v>
      </c>
      <c r="H47" s="213">
        <f>前台好评提成录入!H52*$E47</f>
        <v>0</v>
      </c>
      <c r="I47" s="213">
        <f>前台好评提成录入!I52*$E47</f>
        <v>0</v>
      </c>
      <c r="J47" s="213">
        <f>前台好评提成录入!J52*$E47</f>
        <v>0</v>
      </c>
      <c r="K47" s="213">
        <f>前台好评提成录入!K52*$E47</f>
        <v>0</v>
      </c>
      <c r="L47" s="213">
        <f>前台好评提成录入!L52*$E47</f>
        <v>0</v>
      </c>
      <c r="M47" s="213">
        <f>前台好评提成录入!M52*$E47</f>
        <v>0</v>
      </c>
      <c r="N47" s="213">
        <f>前台好评提成录入!N52*$E47</f>
        <v>0</v>
      </c>
      <c r="O47" s="213">
        <f>前台好评提成录入!O52*$E47</f>
        <v>0</v>
      </c>
      <c r="P47" s="213">
        <f>前台好评提成录入!P52*$E47</f>
        <v>0</v>
      </c>
      <c r="Q47" s="213">
        <f>前台好评提成录入!Q52*$E47</f>
        <v>0</v>
      </c>
      <c r="R47" s="213">
        <f>前台好评提成录入!R52*$E47</f>
        <v>0</v>
      </c>
      <c r="S47" s="213">
        <f>前台好评提成录入!S52*$E47</f>
        <v>0</v>
      </c>
      <c r="T47" s="213">
        <f>前台好评提成录入!T52*$E47</f>
        <v>0</v>
      </c>
      <c r="U47" s="213">
        <f>前台好评提成录入!U52*$E47</f>
        <v>0</v>
      </c>
      <c r="V47" s="213">
        <f>前台好评提成录入!V52*$E47</f>
        <v>0</v>
      </c>
      <c r="W47" s="213">
        <f>前台好评提成录入!W52*$E47</f>
        <v>0</v>
      </c>
      <c r="X47" s="213">
        <f>前台好评提成录入!X52*$E47</f>
        <v>0</v>
      </c>
      <c r="Y47" s="213">
        <f>前台好评提成录入!Y52*$E47</f>
        <v>0</v>
      </c>
      <c r="Z47" s="213">
        <f>前台好评提成录入!Z52*$E47</f>
        <v>0</v>
      </c>
      <c r="AA47" s="213">
        <f>前台好评提成录入!AA52*$E47</f>
        <v>0</v>
      </c>
      <c r="AB47" s="213">
        <f>前台好评提成录入!AB52*$E47</f>
        <v>0</v>
      </c>
      <c r="AC47" s="213">
        <f>前台好评提成录入!AC52*$E47</f>
        <v>0</v>
      </c>
      <c r="AD47" s="213">
        <f>前台好评提成录入!AD52*$E47</f>
        <v>0</v>
      </c>
      <c r="AE47" s="213">
        <f>前台好评提成录入!AE52*$E47</f>
        <v>0</v>
      </c>
      <c r="AF47" s="213">
        <f>前台好评提成录入!AF52*$E47</f>
        <v>0</v>
      </c>
      <c r="AG47" s="213">
        <f>前台好评提成录入!AG52*$E47</f>
        <v>0</v>
      </c>
      <c r="AH47" s="213">
        <f>前台好评提成录入!AH52*$E47</f>
        <v>0</v>
      </c>
      <c r="AI47" s="213">
        <f>前台好评提成录入!AI52*$E47</f>
        <v>0</v>
      </c>
      <c r="AJ47" s="213">
        <f>前台好评提成录入!AJ52*$E47</f>
        <v>0</v>
      </c>
      <c r="AK47" s="213">
        <f>前台好评提成录入!AK52*$E47</f>
        <v>0</v>
      </c>
      <c r="AL47" s="213">
        <f>前台好评提成录入!AL52*$E47</f>
        <v>0</v>
      </c>
    </row>
    <row r="48" s="178" customFormat="1" customHeight="1" spans="1:38">
      <c r="A48" s="161">
        <v>44</v>
      </c>
      <c r="B48" s="21">
        <f>会员卡提成录入!B48</f>
        <v>0</v>
      </c>
      <c r="C48" s="21">
        <f>会员卡提成录入!C48</f>
        <v>0</v>
      </c>
      <c r="D48" s="21">
        <f>会员卡提成录入!D48</f>
        <v>0</v>
      </c>
      <c r="E48" s="21">
        <f>会员卡提成录入!E48</f>
        <v>0</v>
      </c>
      <c r="F48" s="21">
        <f>会员卡提成录入!F48</f>
        <v>0</v>
      </c>
      <c r="G48" s="21">
        <f>会员卡提成录入!G48</f>
        <v>0</v>
      </c>
      <c r="H48" s="213">
        <f>前台好评提成录入!H53*$E48</f>
        <v>0</v>
      </c>
      <c r="I48" s="213">
        <f>前台好评提成录入!I53*$E48</f>
        <v>0</v>
      </c>
      <c r="J48" s="213">
        <f>前台好评提成录入!J53*$E48</f>
        <v>0</v>
      </c>
      <c r="K48" s="213">
        <f>前台好评提成录入!K53*$E48</f>
        <v>0</v>
      </c>
      <c r="L48" s="213">
        <f>前台好评提成录入!L53*$E48</f>
        <v>0</v>
      </c>
      <c r="M48" s="213">
        <f>前台好评提成录入!M53*$E48</f>
        <v>0</v>
      </c>
      <c r="N48" s="213">
        <f>前台好评提成录入!N53*$E48</f>
        <v>0</v>
      </c>
      <c r="O48" s="213">
        <f>前台好评提成录入!O53*$E48</f>
        <v>0</v>
      </c>
      <c r="P48" s="213">
        <f>前台好评提成录入!P53*$E48</f>
        <v>0</v>
      </c>
      <c r="Q48" s="213">
        <f>前台好评提成录入!Q53*$E48</f>
        <v>0</v>
      </c>
      <c r="R48" s="213">
        <f>前台好评提成录入!R53*$E48</f>
        <v>0</v>
      </c>
      <c r="S48" s="213">
        <f>前台好评提成录入!S53*$E48</f>
        <v>0</v>
      </c>
      <c r="T48" s="213">
        <f>前台好评提成录入!T53*$E48</f>
        <v>0</v>
      </c>
      <c r="U48" s="213">
        <f>前台好评提成录入!U53*$E48</f>
        <v>0</v>
      </c>
      <c r="V48" s="213">
        <f>前台好评提成录入!V53*$E48</f>
        <v>0</v>
      </c>
      <c r="W48" s="213">
        <f>前台好评提成录入!W53*$E48</f>
        <v>0</v>
      </c>
      <c r="X48" s="213">
        <f>前台好评提成录入!X53*$E48</f>
        <v>0</v>
      </c>
      <c r="Y48" s="213">
        <f>前台好评提成录入!Y53*$E48</f>
        <v>0</v>
      </c>
      <c r="Z48" s="213">
        <f>前台好评提成录入!Z53*$E48</f>
        <v>0</v>
      </c>
      <c r="AA48" s="213">
        <f>前台好评提成录入!AA53*$E48</f>
        <v>0</v>
      </c>
      <c r="AB48" s="213">
        <f>前台好评提成录入!AB53*$E48</f>
        <v>0</v>
      </c>
      <c r="AC48" s="213">
        <f>前台好评提成录入!AC53*$E48</f>
        <v>0</v>
      </c>
      <c r="AD48" s="213">
        <f>前台好评提成录入!AD53*$E48</f>
        <v>0</v>
      </c>
      <c r="AE48" s="213">
        <f>前台好评提成录入!AE53*$E48</f>
        <v>0</v>
      </c>
      <c r="AF48" s="213">
        <f>前台好评提成录入!AF53*$E48</f>
        <v>0</v>
      </c>
      <c r="AG48" s="213">
        <f>前台好评提成录入!AG53*$E48</f>
        <v>0</v>
      </c>
      <c r="AH48" s="213">
        <f>前台好评提成录入!AH53*$E48</f>
        <v>0</v>
      </c>
      <c r="AI48" s="213">
        <f>前台好评提成录入!AI53*$E48</f>
        <v>0</v>
      </c>
      <c r="AJ48" s="213">
        <f>前台好评提成录入!AJ53*$E48</f>
        <v>0</v>
      </c>
      <c r="AK48" s="213">
        <f>前台好评提成录入!AK53*$E48</f>
        <v>0</v>
      </c>
      <c r="AL48" s="213">
        <f>前台好评提成录入!AL53*$E48</f>
        <v>0</v>
      </c>
    </row>
    <row r="49" s="178" customFormat="1" customHeight="1" spans="1:38">
      <c r="A49" s="161">
        <v>45</v>
      </c>
      <c r="B49" s="21">
        <f>会员卡提成录入!B49</f>
        <v>0</v>
      </c>
      <c r="C49" s="21">
        <f>会员卡提成录入!C49</f>
        <v>0</v>
      </c>
      <c r="D49" s="21">
        <f>会员卡提成录入!D49</f>
        <v>0</v>
      </c>
      <c r="E49" s="21">
        <f>会员卡提成录入!E49</f>
        <v>0</v>
      </c>
      <c r="F49" s="21">
        <f>会员卡提成录入!F49</f>
        <v>0</v>
      </c>
      <c r="G49" s="21">
        <f>会员卡提成录入!G49</f>
        <v>0</v>
      </c>
      <c r="H49" s="213">
        <f>前台好评提成录入!H54*$E49</f>
        <v>0</v>
      </c>
      <c r="I49" s="213">
        <f>前台好评提成录入!I54*$E49</f>
        <v>0</v>
      </c>
      <c r="J49" s="213">
        <f>前台好评提成录入!J54*$E49</f>
        <v>0</v>
      </c>
      <c r="K49" s="213">
        <f>前台好评提成录入!K54*$E49</f>
        <v>0</v>
      </c>
      <c r="L49" s="213">
        <f>前台好评提成录入!L54*$E49</f>
        <v>0</v>
      </c>
      <c r="M49" s="213">
        <f>前台好评提成录入!M54*$E49</f>
        <v>0</v>
      </c>
      <c r="N49" s="213">
        <f>前台好评提成录入!N54*$E49</f>
        <v>0</v>
      </c>
      <c r="O49" s="213">
        <f>前台好评提成录入!O54*$E49</f>
        <v>0</v>
      </c>
      <c r="P49" s="213">
        <f>前台好评提成录入!P54*$E49</f>
        <v>0</v>
      </c>
      <c r="Q49" s="213">
        <f>前台好评提成录入!Q54*$E49</f>
        <v>0</v>
      </c>
      <c r="R49" s="213">
        <f>前台好评提成录入!R54*$E49</f>
        <v>0</v>
      </c>
      <c r="S49" s="213">
        <f>前台好评提成录入!S54*$E49</f>
        <v>0</v>
      </c>
      <c r="T49" s="213">
        <f>前台好评提成录入!T54*$E49</f>
        <v>0</v>
      </c>
      <c r="U49" s="213">
        <f>前台好评提成录入!U54*$E49</f>
        <v>0</v>
      </c>
      <c r="V49" s="213">
        <f>前台好评提成录入!V54*$E49</f>
        <v>0</v>
      </c>
      <c r="W49" s="213">
        <f>前台好评提成录入!W54*$E49</f>
        <v>0</v>
      </c>
      <c r="X49" s="213">
        <f>前台好评提成录入!X54*$E49</f>
        <v>0</v>
      </c>
      <c r="Y49" s="213">
        <f>前台好评提成录入!Y54*$E49</f>
        <v>0</v>
      </c>
      <c r="Z49" s="213">
        <f>前台好评提成录入!Z54*$E49</f>
        <v>0</v>
      </c>
      <c r="AA49" s="213">
        <f>前台好评提成录入!AA54*$E49</f>
        <v>0</v>
      </c>
      <c r="AB49" s="213">
        <f>前台好评提成录入!AB54*$E49</f>
        <v>0</v>
      </c>
      <c r="AC49" s="213">
        <f>前台好评提成录入!AC54*$E49</f>
        <v>0</v>
      </c>
      <c r="AD49" s="213">
        <f>前台好评提成录入!AD54*$E49</f>
        <v>0</v>
      </c>
      <c r="AE49" s="213">
        <f>前台好评提成录入!AE54*$E49</f>
        <v>0</v>
      </c>
      <c r="AF49" s="213">
        <f>前台好评提成录入!AF54*$E49</f>
        <v>0</v>
      </c>
      <c r="AG49" s="213">
        <f>前台好评提成录入!AG54*$E49</f>
        <v>0</v>
      </c>
      <c r="AH49" s="213">
        <f>前台好评提成录入!AH54*$E49</f>
        <v>0</v>
      </c>
      <c r="AI49" s="213">
        <f>前台好评提成录入!AI54*$E49</f>
        <v>0</v>
      </c>
      <c r="AJ49" s="213">
        <f>前台好评提成录入!AJ54*$E49</f>
        <v>0</v>
      </c>
      <c r="AK49" s="213">
        <f>前台好评提成录入!AK54*$E49</f>
        <v>0</v>
      </c>
      <c r="AL49" s="213">
        <f>前台好评提成录入!AL54*$E49</f>
        <v>0</v>
      </c>
    </row>
    <row r="50" s="178" customFormat="1" customHeight="1" spans="1:38">
      <c r="A50" s="161">
        <v>46</v>
      </c>
      <c r="B50" s="21">
        <f>会员卡提成录入!B50</f>
        <v>0</v>
      </c>
      <c r="C50" s="21">
        <f>会员卡提成录入!C50</f>
        <v>0</v>
      </c>
      <c r="D50" s="21">
        <f>会员卡提成录入!D50</f>
        <v>0</v>
      </c>
      <c r="E50" s="21">
        <f>会员卡提成录入!E50</f>
        <v>0</v>
      </c>
      <c r="F50" s="21">
        <f>会员卡提成录入!F50</f>
        <v>0</v>
      </c>
      <c r="G50" s="21">
        <f>会员卡提成录入!G50</f>
        <v>0</v>
      </c>
      <c r="H50" s="213">
        <f>前台好评提成录入!H55*$E50</f>
        <v>0</v>
      </c>
      <c r="I50" s="213">
        <f>前台好评提成录入!I55*$E50</f>
        <v>0</v>
      </c>
      <c r="J50" s="213">
        <f>前台好评提成录入!J55*$E50</f>
        <v>0</v>
      </c>
      <c r="K50" s="213">
        <f>前台好评提成录入!K55*$E50</f>
        <v>0</v>
      </c>
      <c r="L50" s="213">
        <f>前台好评提成录入!L55*$E50</f>
        <v>0</v>
      </c>
      <c r="M50" s="213">
        <f>前台好评提成录入!M55*$E50</f>
        <v>0</v>
      </c>
      <c r="N50" s="213">
        <f>前台好评提成录入!N55*$E50</f>
        <v>0</v>
      </c>
      <c r="O50" s="213">
        <f>前台好评提成录入!O55*$E50</f>
        <v>0</v>
      </c>
      <c r="P50" s="213">
        <f>前台好评提成录入!P55*$E50</f>
        <v>0</v>
      </c>
      <c r="Q50" s="213">
        <f>前台好评提成录入!Q55*$E50</f>
        <v>0</v>
      </c>
      <c r="R50" s="213">
        <f>前台好评提成录入!R55*$E50</f>
        <v>0</v>
      </c>
      <c r="S50" s="213">
        <f>前台好评提成录入!S55*$E50</f>
        <v>0</v>
      </c>
      <c r="T50" s="213">
        <f>前台好评提成录入!T55*$E50</f>
        <v>0</v>
      </c>
      <c r="U50" s="213">
        <f>前台好评提成录入!U55*$E50</f>
        <v>0</v>
      </c>
      <c r="V50" s="213">
        <f>前台好评提成录入!V55*$E50</f>
        <v>0</v>
      </c>
      <c r="W50" s="213">
        <f>前台好评提成录入!W55*$E50</f>
        <v>0</v>
      </c>
      <c r="X50" s="213">
        <f>前台好评提成录入!X55*$E50</f>
        <v>0</v>
      </c>
      <c r="Y50" s="213">
        <f>前台好评提成录入!Y55*$E50</f>
        <v>0</v>
      </c>
      <c r="Z50" s="213">
        <f>前台好评提成录入!Z55*$E50</f>
        <v>0</v>
      </c>
      <c r="AA50" s="213">
        <f>前台好评提成录入!AA55*$E50</f>
        <v>0</v>
      </c>
      <c r="AB50" s="213">
        <f>前台好评提成录入!AB55*$E50</f>
        <v>0</v>
      </c>
      <c r="AC50" s="213">
        <f>前台好评提成录入!AC55*$E50</f>
        <v>0</v>
      </c>
      <c r="AD50" s="213">
        <f>前台好评提成录入!AD55*$E50</f>
        <v>0</v>
      </c>
      <c r="AE50" s="213">
        <f>前台好评提成录入!AE55*$E50</f>
        <v>0</v>
      </c>
      <c r="AF50" s="213">
        <f>前台好评提成录入!AF55*$E50</f>
        <v>0</v>
      </c>
      <c r="AG50" s="213">
        <f>前台好评提成录入!AG55*$E50</f>
        <v>0</v>
      </c>
      <c r="AH50" s="213">
        <f>前台好评提成录入!AH55*$E50</f>
        <v>0</v>
      </c>
      <c r="AI50" s="213">
        <f>前台好评提成录入!AI55*$E50</f>
        <v>0</v>
      </c>
      <c r="AJ50" s="213">
        <f>前台好评提成录入!AJ55*$E50</f>
        <v>0</v>
      </c>
      <c r="AK50" s="213">
        <f>前台好评提成录入!AK55*$E50</f>
        <v>0</v>
      </c>
      <c r="AL50" s="213">
        <f>前台好评提成录入!AL55*$E50</f>
        <v>0</v>
      </c>
    </row>
    <row r="51" s="178" customFormat="1" customHeight="1" spans="1:38">
      <c r="A51" s="161">
        <v>47</v>
      </c>
      <c r="B51" s="21">
        <f>会员卡提成录入!B51</f>
        <v>0</v>
      </c>
      <c r="C51" s="21">
        <f>会员卡提成录入!C51</f>
        <v>0</v>
      </c>
      <c r="D51" s="21">
        <f>会员卡提成录入!D51</f>
        <v>0</v>
      </c>
      <c r="E51" s="21">
        <f>会员卡提成录入!E51</f>
        <v>0</v>
      </c>
      <c r="F51" s="21">
        <f>会员卡提成录入!F51</f>
        <v>0</v>
      </c>
      <c r="G51" s="21">
        <f>会员卡提成录入!G51</f>
        <v>0</v>
      </c>
      <c r="H51" s="213">
        <f>前台好评提成录入!H56*$E51</f>
        <v>0</v>
      </c>
      <c r="I51" s="213">
        <f>前台好评提成录入!I56*$E51</f>
        <v>0</v>
      </c>
      <c r="J51" s="213">
        <f>前台好评提成录入!J56*$E51</f>
        <v>0</v>
      </c>
      <c r="K51" s="213">
        <f>前台好评提成录入!K56*$E51</f>
        <v>0</v>
      </c>
      <c r="L51" s="213">
        <f>前台好评提成录入!L56*$E51</f>
        <v>0</v>
      </c>
      <c r="M51" s="213">
        <f>前台好评提成录入!M56*$E51</f>
        <v>0</v>
      </c>
      <c r="N51" s="213">
        <f>前台好评提成录入!N56*$E51</f>
        <v>0</v>
      </c>
      <c r="O51" s="213">
        <f>前台好评提成录入!O56*$E51</f>
        <v>0</v>
      </c>
      <c r="P51" s="213">
        <f>前台好评提成录入!P56*$E51</f>
        <v>0</v>
      </c>
      <c r="Q51" s="213">
        <f>前台好评提成录入!Q56*$E51</f>
        <v>0</v>
      </c>
      <c r="R51" s="213">
        <f>前台好评提成录入!R56*$E51</f>
        <v>0</v>
      </c>
      <c r="S51" s="213">
        <f>前台好评提成录入!S56*$E51</f>
        <v>0</v>
      </c>
      <c r="T51" s="213">
        <f>前台好评提成录入!T56*$E51</f>
        <v>0</v>
      </c>
      <c r="U51" s="213">
        <f>前台好评提成录入!U56*$E51</f>
        <v>0</v>
      </c>
      <c r="V51" s="213">
        <f>前台好评提成录入!V56*$E51</f>
        <v>0</v>
      </c>
      <c r="W51" s="213">
        <f>前台好评提成录入!W56*$E51</f>
        <v>0</v>
      </c>
      <c r="X51" s="213">
        <f>前台好评提成录入!X56*$E51</f>
        <v>0</v>
      </c>
      <c r="Y51" s="213">
        <f>前台好评提成录入!Y56*$E51</f>
        <v>0</v>
      </c>
      <c r="Z51" s="213">
        <f>前台好评提成录入!Z56*$E51</f>
        <v>0</v>
      </c>
      <c r="AA51" s="213">
        <f>前台好评提成录入!AA56*$E51</f>
        <v>0</v>
      </c>
      <c r="AB51" s="213">
        <f>前台好评提成录入!AB56*$E51</f>
        <v>0</v>
      </c>
      <c r="AC51" s="213">
        <f>前台好评提成录入!AC56*$E51</f>
        <v>0</v>
      </c>
      <c r="AD51" s="213">
        <f>前台好评提成录入!AD56*$E51</f>
        <v>0</v>
      </c>
      <c r="AE51" s="213">
        <f>前台好评提成录入!AE56*$E51</f>
        <v>0</v>
      </c>
      <c r="AF51" s="213">
        <f>前台好评提成录入!AF56*$E51</f>
        <v>0</v>
      </c>
      <c r="AG51" s="213">
        <f>前台好评提成录入!AG56*$E51</f>
        <v>0</v>
      </c>
      <c r="AH51" s="213">
        <f>前台好评提成录入!AH56*$E51</f>
        <v>0</v>
      </c>
      <c r="AI51" s="213">
        <f>前台好评提成录入!AI56*$E51</f>
        <v>0</v>
      </c>
      <c r="AJ51" s="213">
        <f>前台好评提成录入!AJ56*$E51</f>
        <v>0</v>
      </c>
      <c r="AK51" s="213">
        <f>前台好评提成录入!AK56*$E51</f>
        <v>0</v>
      </c>
      <c r="AL51" s="213">
        <f>前台好评提成录入!AL56*$E51</f>
        <v>0</v>
      </c>
    </row>
    <row r="52" s="178" customFormat="1" customHeight="1" spans="1:38">
      <c r="A52" s="161">
        <v>48</v>
      </c>
      <c r="B52" s="21">
        <f>会员卡提成录入!B52</f>
        <v>0</v>
      </c>
      <c r="C52" s="21">
        <f>会员卡提成录入!C52</f>
        <v>0</v>
      </c>
      <c r="D52" s="21">
        <f>会员卡提成录入!D52</f>
        <v>0</v>
      </c>
      <c r="E52" s="21">
        <f>会员卡提成录入!E52</f>
        <v>0</v>
      </c>
      <c r="F52" s="21">
        <f>会员卡提成录入!F52</f>
        <v>0</v>
      </c>
      <c r="G52" s="21">
        <f>会员卡提成录入!G52</f>
        <v>0</v>
      </c>
      <c r="H52" s="213">
        <f>前台好评提成录入!H57*$E52</f>
        <v>0</v>
      </c>
      <c r="I52" s="213">
        <f>前台好评提成录入!I57*$E52</f>
        <v>0</v>
      </c>
      <c r="J52" s="213">
        <f>前台好评提成录入!J57*$E52</f>
        <v>0</v>
      </c>
      <c r="K52" s="213">
        <f>前台好评提成录入!K57*$E52</f>
        <v>0</v>
      </c>
      <c r="L52" s="213">
        <f>前台好评提成录入!L57*$E52</f>
        <v>0</v>
      </c>
      <c r="M52" s="213">
        <f>前台好评提成录入!M57*$E52</f>
        <v>0</v>
      </c>
      <c r="N52" s="213">
        <f>前台好评提成录入!N57*$E52</f>
        <v>0</v>
      </c>
      <c r="O52" s="213">
        <f>前台好评提成录入!O57*$E52</f>
        <v>0</v>
      </c>
      <c r="P52" s="213">
        <f>前台好评提成录入!P57*$E52</f>
        <v>0</v>
      </c>
      <c r="Q52" s="213">
        <f>前台好评提成录入!Q57*$E52</f>
        <v>0</v>
      </c>
      <c r="R52" s="213">
        <f>前台好评提成录入!R57*$E52</f>
        <v>0</v>
      </c>
      <c r="S52" s="213">
        <f>前台好评提成录入!S57*$E52</f>
        <v>0</v>
      </c>
      <c r="T52" s="213">
        <f>前台好评提成录入!T57*$E52</f>
        <v>0</v>
      </c>
      <c r="U52" s="213">
        <f>前台好评提成录入!U57*$E52</f>
        <v>0</v>
      </c>
      <c r="V52" s="213">
        <f>前台好评提成录入!V57*$E52</f>
        <v>0</v>
      </c>
      <c r="W52" s="213">
        <f>前台好评提成录入!W57*$E52</f>
        <v>0</v>
      </c>
      <c r="X52" s="213">
        <f>前台好评提成录入!X57*$E52</f>
        <v>0</v>
      </c>
      <c r="Y52" s="213">
        <f>前台好评提成录入!Y57*$E52</f>
        <v>0</v>
      </c>
      <c r="Z52" s="213">
        <f>前台好评提成录入!Z57*$E52</f>
        <v>0</v>
      </c>
      <c r="AA52" s="213">
        <f>前台好评提成录入!AA57*$E52</f>
        <v>0</v>
      </c>
      <c r="AB52" s="213">
        <f>前台好评提成录入!AB57*$E52</f>
        <v>0</v>
      </c>
      <c r="AC52" s="213">
        <f>前台好评提成录入!AC57*$E52</f>
        <v>0</v>
      </c>
      <c r="AD52" s="213">
        <f>前台好评提成录入!AD57*$E52</f>
        <v>0</v>
      </c>
      <c r="AE52" s="213">
        <f>前台好评提成录入!AE57*$E52</f>
        <v>0</v>
      </c>
      <c r="AF52" s="213">
        <f>前台好评提成录入!AF57*$E52</f>
        <v>0</v>
      </c>
      <c r="AG52" s="213">
        <f>前台好评提成录入!AG57*$E52</f>
        <v>0</v>
      </c>
      <c r="AH52" s="213">
        <f>前台好评提成录入!AH57*$E52</f>
        <v>0</v>
      </c>
      <c r="AI52" s="213">
        <f>前台好评提成录入!AI57*$E52</f>
        <v>0</v>
      </c>
      <c r="AJ52" s="213">
        <f>前台好评提成录入!AJ57*$E52</f>
        <v>0</v>
      </c>
      <c r="AK52" s="213">
        <f>前台好评提成录入!AK57*$E52</f>
        <v>0</v>
      </c>
      <c r="AL52" s="213">
        <f>前台好评提成录入!AL57*$E52</f>
        <v>0</v>
      </c>
    </row>
    <row r="53" s="178" customFormat="1" customHeight="1" spans="1:38">
      <c r="A53" s="161">
        <v>49</v>
      </c>
      <c r="B53" s="21">
        <f>会员卡提成录入!B53</f>
        <v>0</v>
      </c>
      <c r="C53" s="21">
        <f>会员卡提成录入!C53</f>
        <v>0</v>
      </c>
      <c r="D53" s="21">
        <f>会员卡提成录入!D53</f>
        <v>0</v>
      </c>
      <c r="E53" s="21">
        <f>会员卡提成录入!E53</f>
        <v>0</v>
      </c>
      <c r="F53" s="21">
        <f>会员卡提成录入!F53</f>
        <v>0</v>
      </c>
      <c r="G53" s="21">
        <f>会员卡提成录入!G53</f>
        <v>0</v>
      </c>
      <c r="H53" s="213">
        <f>前台好评提成录入!H58*$E53</f>
        <v>0</v>
      </c>
      <c r="I53" s="213">
        <f>前台好评提成录入!I58*$E53</f>
        <v>0</v>
      </c>
      <c r="J53" s="213">
        <f>前台好评提成录入!J58*$E53</f>
        <v>0</v>
      </c>
      <c r="K53" s="213">
        <f>前台好评提成录入!K58*$E53</f>
        <v>0</v>
      </c>
      <c r="L53" s="213">
        <f>前台好评提成录入!L58*$E53</f>
        <v>0</v>
      </c>
      <c r="M53" s="213">
        <f>前台好评提成录入!M58*$E53</f>
        <v>0</v>
      </c>
      <c r="N53" s="213">
        <f>前台好评提成录入!N58*$E53</f>
        <v>0</v>
      </c>
      <c r="O53" s="213">
        <f>前台好评提成录入!O58*$E53</f>
        <v>0</v>
      </c>
      <c r="P53" s="213">
        <f>前台好评提成录入!P58*$E53</f>
        <v>0</v>
      </c>
      <c r="Q53" s="213">
        <f>前台好评提成录入!Q58*$E53</f>
        <v>0</v>
      </c>
      <c r="R53" s="213">
        <f>前台好评提成录入!R58*$E53</f>
        <v>0</v>
      </c>
      <c r="S53" s="213">
        <f>前台好评提成录入!S58*$E53</f>
        <v>0</v>
      </c>
      <c r="T53" s="213">
        <f>前台好评提成录入!T58*$E53</f>
        <v>0</v>
      </c>
      <c r="U53" s="213">
        <f>前台好评提成录入!U58*$E53</f>
        <v>0</v>
      </c>
      <c r="V53" s="213">
        <f>前台好评提成录入!V58*$E53</f>
        <v>0</v>
      </c>
      <c r="W53" s="213">
        <f>前台好评提成录入!W58*$E53</f>
        <v>0</v>
      </c>
      <c r="X53" s="213">
        <f>前台好评提成录入!X58*$E53</f>
        <v>0</v>
      </c>
      <c r="Y53" s="213">
        <f>前台好评提成录入!Y58*$E53</f>
        <v>0</v>
      </c>
      <c r="Z53" s="213">
        <f>前台好评提成录入!Z58*$E53</f>
        <v>0</v>
      </c>
      <c r="AA53" s="213">
        <f>前台好评提成录入!AA58*$E53</f>
        <v>0</v>
      </c>
      <c r="AB53" s="213">
        <f>前台好评提成录入!AB58*$E53</f>
        <v>0</v>
      </c>
      <c r="AC53" s="213">
        <f>前台好评提成录入!AC58*$E53</f>
        <v>0</v>
      </c>
      <c r="AD53" s="213">
        <f>前台好评提成录入!AD58*$E53</f>
        <v>0</v>
      </c>
      <c r="AE53" s="213">
        <f>前台好评提成录入!AE58*$E53</f>
        <v>0</v>
      </c>
      <c r="AF53" s="213">
        <f>前台好评提成录入!AF58*$E53</f>
        <v>0</v>
      </c>
      <c r="AG53" s="213">
        <f>前台好评提成录入!AG58*$E53</f>
        <v>0</v>
      </c>
      <c r="AH53" s="213">
        <f>前台好评提成录入!AH58*$E53</f>
        <v>0</v>
      </c>
      <c r="AI53" s="213">
        <f>前台好评提成录入!AI58*$E53</f>
        <v>0</v>
      </c>
      <c r="AJ53" s="213">
        <f>前台好评提成录入!AJ58*$E53</f>
        <v>0</v>
      </c>
      <c r="AK53" s="213">
        <f>前台好评提成录入!AK58*$E53</f>
        <v>0</v>
      </c>
      <c r="AL53" s="213">
        <f>前台好评提成录入!AL58*$E53</f>
        <v>0</v>
      </c>
    </row>
    <row r="54" s="178" customFormat="1" customHeight="1" spans="1:38">
      <c r="A54" s="161">
        <v>50</v>
      </c>
      <c r="B54" s="21">
        <f>会员卡提成录入!B54</f>
        <v>0</v>
      </c>
      <c r="C54" s="21">
        <f>会员卡提成录入!C54</f>
        <v>0</v>
      </c>
      <c r="D54" s="21">
        <f>会员卡提成录入!D54</f>
        <v>0</v>
      </c>
      <c r="E54" s="21">
        <f>会员卡提成录入!E54</f>
        <v>0</v>
      </c>
      <c r="F54" s="21">
        <f>会员卡提成录入!F54</f>
        <v>0</v>
      </c>
      <c r="G54" s="21">
        <f>会员卡提成录入!G54</f>
        <v>0</v>
      </c>
      <c r="H54" s="213">
        <f>前台好评提成录入!H59*$E54</f>
        <v>0</v>
      </c>
      <c r="I54" s="213">
        <f>前台好评提成录入!I59*$E54</f>
        <v>0</v>
      </c>
      <c r="J54" s="213">
        <f>前台好评提成录入!J59*$E54</f>
        <v>0</v>
      </c>
      <c r="K54" s="213">
        <f>前台好评提成录入!K59*$E54</f>
        <v>0</v>
      </c>
      <c r="L54" s="213">
        <f>前台好评提成录入!L59*$E54</f>
        <v>0</v>
      </c>
      <c r="M54" s="213">
        <f>前台好评提成录入!M59*$E54</f>
        <v>0</v>
      </c>
      <c r="N54" s="213">
        <f>前台好评提成录入!N59*$E54</f>
        <v>0</v>
      </c>
      <c r="O54" s="213">
        <f>前台好评提成录入!O59*$E54</f>
        <v>0</v>
      </c>
      <c r="P54" s="213">
        <f>前台好评提成录入!P59*$E54</f>
        <v>0</v>
      </c>
      <c r="Q54" s="213">
        <f>前台好评提成录入!Q59*$E54</f>
        <v>0</v>
      </c>
      <c r="R54" s="213">
        <f>前台好评提成录入!R59*$E54</f>
        <v>0</v>
      </c>
      <c r="S54" s="213">
        <f>前台好评提成录入!S59*$E54</f>
        <v>0</v>
      </c>
      <c r="T54" s="213">
        <f>前台好评提成录入!T59*$E54</f>
        <v>0</v>
      </c>
      <c r="U54" s="213">
        <f>前台好评提成录入!U59*$E54</f>
        <v>0</v>
      </c>
      <c r="V54" s="213">
        <f>前台好评提成录入!V59*$E54</f>
        <v>0</v>
      </c>
      <c r="W54" s="213">
        <f>前台好评提成录入!W59*$E54</f>
        <v>0</v>
      </c>
      <c r="X54" s="213">
        <f>前台好评提成录入!X59*$E54</f>
        <v>0</v>
      </c>
      <c r="Y54" s="213">
        <f>前台好评提成录入!Y59*$E54</f>
        <v>0</v>
      </c>
      <c r="Z54" s="213">
        <f>前台好评提成录入!Z59*$E54</f>
        <v>0</v>
      </c>
      <c r="AA54" s="213">
        <f>前台好评提成录入!AA59*$E54</f>
        <v>0</v>
      </c>
      <c r="AB54" s="213">
        <f>前台好评提成录入!AB59*$E54</f>
        <v>0</v>
      </c>
      <c r="AC54" s="213">
        <f>前台好评提成录入!AC59*$E54</f>
        <v>0</v>
      </c>
      <c r="AD54" s="213">
        <f>前台好评提成录入!AD59*$E54</f>
        <v>0</v>
      </c>
      <c r="AE54" s="213">
        <f>前台好评提成录入!AE59*$E54</f>
        <v>0</v>
      </c>
      <c r="AF54" s="213">
        <f>前台好评提成录入!AF59*$E54</f>
        <v>0</v>
      </c>
      <c r="AG54" s="213">
        <f>前台好评提成录入!AG59*$E54</f>
        <v>0</v>
      </c>
      <c r="AH54" s="213">
        <f>前台好评提成录入!AH59*$E54</f>
        <v>0</v>
      </c>
      <c r="AI54" s="213">
        <f>前台好评提成录入!AI59*$E54</f>
        <v>0</v>
      </c>
      <c r="AJ54" s="213">
        <f>前台好评提成录入!AJ59*$E54</f>
        <v>0</v>
      </c>
      <c r="AK54" s="213">
        <f>前台好评提成录入!AK59*$E54</f>
        <v>0</v>
      </c>
      <c r="AL54" s="213">
        <f>前台好评提成录入!AL59*$E54</f>
        <v>0</v>
      </c>
    </row>
    <row r="55" s="178" customFormat="1" customHeight="1" spans="1:38">
      <c r="A55" s="161">
        <v>51</v>
      </c>
      <c r="B55" s="21">
        <f>会员卡提成录入!B55</f>
        <v>0</v>
      </c>
      <c r="C55" s="21">
        <f>会员卡提成录入!C55</f>
        <v>0</v>
      </c>
      <c r="D55" s="21">
        <f>会员卡提成录入!D55</f>
        <v>0</v>
      </c>
      <c r="E55" s="21">
        <f>会员卡提成录入!E55</f>
        <v>0</v>
      </c>
      <c r="F55" s="21">
        <f>会员卡提成录入!F55</f>
        <v>0</v>
      </c>
      <c r="G55" s="21">
        <f>会员卡提成录入!G55</f>
        <v>0</v>
      </c>
      <c r="H55" s="213">
        <f>前台好评提成录入!H60*$E55</f>
        <v>0</v>
      </c>
      <c r="I55" s="213">
        <f>前台好评提成录入!I60*$E55</f>
        <v>0</v>
      </c>
      <c r="J55" s="213">
        <f>前台好评提成录入!J60*$E55</f>
        <v>0</v>
      </c>
      <c r="K55" s="213">
        <f>前台好评提成录入!K60*$E55</f>
        <v>0</v>
      </c>
      <c r="L55" s="213">
        <f>前台好评提成录入!L60*$E55</f>
        <v>0</v>
      </c>
      <c r="M55" s="213">
        <f>前台好评提成录入!M60*$E55</f>
        <v>0</v>
      </c>
      <c r="N55" s="213">
        <f>前台好评提成录入!N60*$E55</f>
        <v>0</v>
      </c>
      <c r="O55" s="213">
        <f>前台好评提成录入!O60*$E55</f>
        <v>0</v>
      </c>
      <c r="P55" s="213">
        <f>前台好评提成录入!P60*$E55</f>
        <v>0</v>
      </c>
      <c r="Q55" s="213">
        <f>前台好评提成录入!Q60*$E55</f>
        <v>0</v>
      </c>
      <c r="R55" s="213">
        <f>前台好评提成录入!R60*$E55</f>
        <v>0</v>
      </c>
      <c r="S55" s="213">
        <f>前台好评提成录入!S60*$E55</f>
        <v>0</v>
      </c>
      <c r="T55" s="213">
        <f>前台好评提成录入!T60*$E55</f>
        <v>0</v>
      </c>
      <c r="U55" s="213">
        <f>前台好评提成录入!U60*$E55</f>
        <v>0</v>
      </c>
      <c r="V55" s="213">
        <f>前台好评提成录入!V60*$E55</f>
        <v>0</v>
      </c>
      <c r="W55" s="213">
        <f>前台好评提成录入!W60*$E55</f>
        <v>0</v>
      </c>
      <c r="X55" s="213">
        <f>前台好评提成录入!X60*$E55</f>
        <v>0</v>
      </c>
      <c r="Y55" s="213">
        <f>前台好评提成录入!Y60*$E55</f>
        <v>0</v>
      </c>
      <c r="Z55" s="213">
        <f>前台好评提成录入!Z60*$E55</f>
        <v>0</v>
      </c>
      <c r="AA55" s="213">
        <f>前台好评提成录入!AA60*$E55</f>
        <v>0</v>
      </c>
      <c r="AB55" s="213">
        <f>前台好评提成录入!AB60*$E55</f>
        <v>0</v>
      </c>
      <c r="AC55" s="213">
        <f>前台好评提成录入!AC60*$E55</f>
        <v>0</v>
      </c>
      <c r="AD55" s="213">
        <f>前台好评提成录入!AD60*$E55</f>
        <v>0</v>
      </c>
      <c r="AE55" s="213">
        <f>前台好评提成录入!AE60*$E55</f>
        <v>0</v>
      </c>
      <c r="AF55" s="213">
        <f>前台好评提成录入!AF60*$E55</f>
        <v>0</v>
      </c>
      <c r="AG55" s="213">
        <f>前台好评提成录入!AG60*$E55</f>
        <v>0</v>
      </c>
      <c r="AH55" s="213">
        <f>前台好评提成录入!AH60*$E55</f>
        <v>0</v>
      </c>
      <c r="AI55" s="213">
        <f>前台好评提成录入!AI60*$E55</f>
        <v>0</v>
      </c>
      <c r="AJ55" s="213">
        <f>前台好评提成录入!AJ60*$E55</f>
        <v>0</v>
      </c>
      <c r="AK55" s="213">
        <f>前台好评提成录入!AK60*$E55</f>
        <v>0</v>
      </c>
      <c r="AL55" s="213">
        <f>前台好评提成录入!AL60*$E55</f>
        <v>0</v>
      </c>
    </row>
    <row r="56" s="178" customFormat="1" customHeight="1" spans="1:38">
      <c r="A56" s="161">
        <v>52</v>
      </c>
      <c r="B56" s="21">
        <f>会员卡提成录入!B56</f>
        <v>0</v>
      </c>
      <c r="C56" s="21">
        <f>会员卡提成录入!C56</f>
        <v>0</v>
      </c>
      <c r="D56" s="21">
        <f>会员卡提成录入!D56</f>
        <v>0</v>
      </c>
      <c r="E56" s="21">
        <f>会员卡提成录入!E56</f>
        <v>0</v>
      </c>
      <c r="F56" s="21">
        <f>会员卡提成录入!F56</f>
        <v>0</v>
      </c>
      <c r="G56" s="21">
        <f>会员卡提成录入!G56</f>
        <v>0</v>
      </c>
      <c r="H56" s="213">
        <f>前台好评提成录入!H61*$E56</f>
        <v>0</v>
      </c>
      <c r="I56" s="213">
        <f>前台好评提成录入!I61*$E56</f>
        <v>0</v>
      </c>
      <c r="J56" s="213">
        <f>前台好评提成录入!J61*$E56</f>
        <v>0</v>
      </c>
      <c r="K56" s="213">
        <f>前台好评提成录入!K61*$E56</f>
        <v>0</v>
      </c>
      <c r="L56" s="213">
        <f>前台好评提成录入!L61*$E56</f>
        <v>0</v>
      </c>
      <c r="M56" s="213">
        <f>前台好评提成录入!M61*$E56</f>
        <v>0</v>
      </c>
      <c r="N56" s="213">
        <f>前台好评提成录入!N61*$E56</f>
        <v>0</v>
      </c>
      <c r="O56" s="213">
        <f>前台好评提成录入!O61*$E56</f>
        <v>0</v>
      </c>
      <c r="P56" s="213">
        <f>前台好评提成录入!P61*$E56</f>
        <v>0</v>
      </c>
      <c r="Q56" s="213">
        <f>前台好评提成录入!Q61*$E56</f>
        <v>0</v>
      </c>
      <c r="R56" s="213">
        <f>前台好评提成录入!R61*$E56</f>
        <v>0</v>
      </c>
      <c r="S56" s="213">
        <f>前台好评提成录入!S61*$E56</f>
        <v>0</v>
      </c>
      <c r="T56" s="213">
        <f>前台好评提成录入!T61*$E56</f>
        <v>0</v>
      </c>
      <c r="U56" s="213">
        <f>前台好评提成录入!U61*$E56</f>
        <v>0</v>
      </c>
      <c r="V56" s="213">
        <f>前台好评提成录入!V61*$E56</f>
        <v>0</v>
      </c>
      <c r="W56" s="213">
        <f>前台好评提成录入!W61*$E56</f>
        <v>0</v>
      </c>
      <c r="X56" s="213">
        <f>前台好评提成录入!X61*$E56</f>
        <v>0</v>
      </c>
      <c r="Y56" s="213">
        <f>前台好评提成录入!Y61*$E56</f>
        <v>0</v>
      </c>
      <c r="Z56" s="213">
        <f>前台好评提成录入!Z61*$E56</f>
        <v>0</v>
      </c>
      <c r="AA56" s="213">
        <f>前台好评提成录入!AA61*$E56</f>
        <v>0</v>
      </c>
      <c r="AB56" s="213">
        <f>前台好评提成录入!AB61*$E56</f>
        <v>0</v>
      </c>
      <c r="AC56" s="213">
        <f>前台好评提成录入!AC61*$E56</f>
        <v>0</v>
      </c>
      <c r="AD56" s="213">
        <f>前台好评提成录入!AD61*$E56</f>
        <v>0</v>
      </c>
      <c r="AE56" s="213">
        <f>前台好评提成录入!AE61*$E56</f>
        <v>0</v>
      </c>
      <c r="AF56" s="213">
        <f>前台好评提成录入!AF61*$E56</f>
        <v>0</v>
      </c>
      <c r="AG56" s="213">
        <f>前台好评提成录入!AG61*$E56</f>
        <v>0</v>
      </c>
      <c r="AH56" s="213">
        <f>前台好评提成录入!AH61*$E56</f>
        <v>0</v>
      </c>
      <c r="AI56" s="213">
        <f>前台好评提成录入!AI61*$E56</f>
        <v>0</v>
      </c>
      <c r="AJ56" s="213">
        <f>前台好评提成录入!AJ61*$E56</f>
        <v>0</v>
      </c>
      <c r="AK56" s="213">
        <f>前台好评提成录入!AK61*$E56</f>
        <v>0</v>
      </c>
      <c r="AL56" s="213">
        <f>前台好评提成录入!AL61*$E56</f>
        <v>0</v>
      </c>
    </row>
    <row r="57" s="178" customFormat="1" customHeight="1" spans="1:38">
      <c r="A57" s="161">
        <v>53</v>
      </c>
      <c r="B57" s="21">
        <f>会员卡提成录入!B57</f>
        <v>0</v>
      </c>
      <c r="C57" s="21">
        <f>会员卡提成录入!C57</f>
        <v>0</v>
      </c>
      <c r="D57" s="21">
        <f>会员卡提成录入!D57</f>
        <v>0</v>
      </c>
      <c r="E57" s="21">
        <f>会员卡提成录入!E57</f>
        <v>0</v>
      </c>
      <c r="F57" s="21">
        <f>会员卡提成录入!F57</f>
        <v>0</v>
      </c>
      <c r="G57" s="21">
        <f>会员卡提成录入!G57</f>
        <v>0</v>
      </c>
      <c r="H57" s="213">
        <f>前台好评提成录入!H62*$E57</f>
        <v>0</v>
      </c>
      <c r="I57" s="213">
        <f>前台好评提成录入!I62*$E57</f>
        <v>0</v>
      </c>
      <c r="J57" s="213">
        <f>前台好评提成录入!J62*$E57</f>
        <v>0</v>
      </c>
      <c r="K57" s="213">
        <f>前台好评提成录入!K62*$E57</f>
        <v>0</v>
      </c>
      <c r="L57" s="213">
        <f>前台好评提成录入!L62*$E57</f>
        <v>0</v>
      </c>
      <c r="M57" s="213">
        <f>前台好评提成录入!M62*$E57</f>
        <v>0</v>
      </c>
      <c r="N57" s="213">
        <f>前台好评提成录入!N62*$E57</f>
        <v>0</v>
      </c>
      <c r="O57" s="213">
        <f>前台好评提成录入!O62*$E57</f>
        <v>0</v>
      </c>
      <c r="P57" s="213">
        <f>前台好评提成录入!P62*$E57</f>
        <v>0</v>
      </c>
      <c r="Q57" s="213">
        <f>前台好评提成录入!Q62*$E57</f>
        <v>0</v>
      </c>
      <c r="R57" s="213">
        <f>前台好评提成录入!R62*$E57</f>
        <v>0</v>
      </c>
      <c r="S57" s="213">
        <f>前台好评提成录入!S62*$E57</f>
        <v>0</v>
      </c>
      <c r="T57" s="213">
        <f>前台好评提成录入!T62*$E57</f>
        <v>0</v>
      </c>
      <c r="U57" s="213">
        <f>前台好评提成录入!U62*$E57</f>
        <v>0</v>
      </c>
      <c r="V57" s="213">
        <f>前台好评提成录入!V62*$E57</f>
        <v>0</v>
      </c>
      <c r="W57" s="213">
        <f>前台好评提成录入!W62*$E57</f>
        <v>0</v>
      </c>
      <c r="X57" s="213">
        <f>前台好评提成录入!X62*$E57</f>
        <v>0</v>
      </c>
      <c r="Y57" s="213">
        <f>前台好评提成录入!Y62*$E57</f>
        <v>0</v>
      </c>
      <c r="Z57" s="213">
        <f>前台好评提成录入!Z62*$E57</f>
        <v>0</v>
      </c>
      <c r="AA57" s="213">
        <f>前台好评提成录入!AA62*$E57</f>
        <v>0</v>
      </c>
      <c r="AB57" s="213">
        <f>前台好评提成录入!AB62*$E57</f>
        <v>0</v>
      </c>
      <c r="AC57" s="213">
        <f>前台好评提成录入!AC62*$E57</f>
        <v>0</v>
      </c>
      <c r="AD57" s="213">
        <f>前台好评提成录入!AD62*$E57</f>
        <v>0</v>
      </c>
      <c r="AE57" s="213">
        <f>前台好评提成录入!AE62*$E57</f>
        <v>0</v>
      </c>
      <c r="AF57" s="213">
        <f>前台好评提成录入!AF62*$E57</f>
        <v>0</v>
      </c>
      <c r="AG57" s="213">
        <f>前台好评提成录入!AG62*$E57</f>
        <v>0</v>
      </c>
      <c r="AH57" s="213">
        <f>前台好评提成录入!AH62*$E57</f>
        <v>0</v>
      </c>
      <c r="AI57" s="213">
        <f>前台好评提成录入!AI62*$E57</f>
        <v>0</v>
      </c>
      <c r="AJ57" s="213">
        <f>前台好评提成录入!AJ62*$E57</f>
        <v>0</v>
      </c>
      <c r="AK57" s="213">
        <f>前台好评提成录入!AK62*$E57</f>
        <v>0</v>
      </c>
      <c r="AL57" s="213">
        <f>前台好评提成录入!AL62*$E57</f>
        <v>0</v>
      </c>
    </row>
    <row r="58" s="178" customFormat="1" customHeight="1" spans="1:38">
      <c r="A58" s="161">
        <v>54</v>
      </c>
      <c r="B58" s="21">
        <f>会员卡提成录入!B58</f>
        <v>0</v>
      </c>
      <c r="C58" s="21">
        <f>会员卡提成录入!C58</f>
        <v>0</v>
      </c>
      <c r="D58" s="21">
        <f>会员卡提成录入!D58</f>
        <v>0</v>
      </c>
      <c r="E58" s="21">
        <f>会员卡提成录入!E58</f>
        <v>0</v>
      </c>
      <c r="F58" s="21">
        <f>会员卡提成录入!F58</f>
        <v>0</v>
      </c>
      <c r="G58" s="21">
        <f>会员卡提成录入!G58</f>
        <v>0</v>
      </c>
      <c r="H58" s="213">
        <f>前台好评提成录入!H63*$E58</f>
        <v>0</v>
      </c>
      <c r="I58" s="213">
        <f>前台好评提成录入!I63*$E58</f>
        <v>0</v>
      </c>
      <c r="J58" s="213">
        <f>前台好评提成录入!J63*$E58</f>
        <v>0</v>
      </c>
      <c r="K58" s="213">
        <f>前台好评提成录入!K63*$E58</f>
        <v>0</v>
      </c>
      <c r="L58" s="213">
        <f>前台好评提成录入!L63*$E58</f>
        <v>0</v>
      </c>
      <c r="M58" s="213">
        <f>前台好评提成录入!M63*$E58</f>
        <v>0</v>
      </c>
      <c r="N58" s="213">
        <f>前台好评提成录入!N63*$E58</f>
        <v>0</v>
      </c>
      <c r="O58" s="213">
        <f>前台好评提成录入!O63*$E58</f>
        <v>0</v>
      </c>
      <c r="P58" s="213">
        <f>前台好评提成录入!P63*$E58</f>
        <v>0</v>
      </c>
      <c r="Q58" s="213">
        <f>前台好评提成录入!Q63*$E58</f>
        <v>0</v>
      </c>
      <c r="R58" s="213">
        <f>前台好评提成录入!R63*$E58</f>
        <v>0</v>
      </c>
      <c r="S58" s="213">
        <f>前台好评提成录入!S63*$E58</f>
        <v>0</v>
      </c>
      <c r="T58" s="213">
        <f>前台好评提成录入!T63*$E58</f>
        <v>0</v>
      </c>
      <c r="U58" s="213">
        <f>前台好评提成录入!U63*$E58</f>
        <v>0</v>
      </c>
      <c r="V58" s="213">
        <f>前台好评提成录入!V63*$E58</f>
        <v>0</v>
      </c>
      <c r="W58" s="213">
        <f>前台好评提成录入!W63*$E58</f>
        <v>0</v>
      </c>
      <c r="X58" s="213">
        <f>前台好评提成录入!X63*$E58</f>
        <v>0</v>
      </c>
      <c r="Y58" s="213">
        <f>前台好评提成录入!Y63*$E58</f>
        <v>0</v>
      </c>
      <c r="Z58" s="213">
        <f>前台好评提成录入!Z63*$E58</f>
        <v>0</v>
      </c>
      <c r="AA58" s="213">
        <f>前台好评提成录入!AA63*$E58</f>
        <v>0</v>
      </c>
      <c r="AB58" s="213">
        <f>前台好评提成录入!AB63*$E58</f>
        <v>0</v>
      </c>
      <c r="AC58" s="213">
        <f>前台好评提成录入!AC63*$E58</f>
        <v>0</v>
      </c>
      <c r="AD58" s="213">
        <f>前台好评提成录入!AD63*$E58</f>
        <v>0</v>
      </c>
      <c r="AE58" s="213">
        <f>前台好评提成录入!AE63*$E58</f>
        <v>0</v>
      </c>
      <c r="AF58" s="213">
        <f>前台好评提成录入!AF63*$E58</f>
        <v>0</v>
      </c>
      <c r="AG58" s="213">
        <f>前台好评提成录入!AG63*$E58</f>
        <v>0</v>
      </c>
      <c r="AH58" s="213">
        <f>前台好评提成录入!AH63*$E58</f>
        <v>0</v>
      </c>
      <c r="AI58" s="213">
        <f>前台好评提成录入!AI63*$E58</f>
        <v>0</v>
      </c>
      <c r="AJ58" s="213">
        <f>前台好评提成录入!AJ63*$E58</f>
        <v>0</v>
      </c>
      <c r="AK58" s="213">
        <f>前台好评提成录入!AK63*$E58</f>
        <v>0</v>
      </c>
      <c r="AL58" s="213">
        <f>前台好评提成录入!AL63*$E58</f>
        <v>0</v>
      </c>
    </row>
    <row r="59" s="178" customFormat="1" customHeight="1" spans="1:38">
      <c r="A59" s="161">
        <v>55</v>
      </c>
      <c r="B59" s="21">
        <f>会员卡提成录入!B59</f>
        <v>0</v>
      </c>
      <c r="C59" s="21">
        <f>会员卡提成录入!C59</f>
        <v>0</v>
      </c>
      <c r="D59" s="21">
        <f>会员卡提成录入!D59</f>
        <v>0</v>
      </c>
      <c r="E59" s="21">
        <f>会员卡提成录入!E59</f>
        <v>0</v>
      </c>
      <c r="F59" s="21">
        <f>会员卡提成录入!F59</f>
        <v>0</v>
      </c>
      <c r="G59" s="21">
        <f>会员卡提成录入!G59</f>
        <v>0</v>
      </c>
      <c r="H59" s="213">
        <f>前台好评提成录入!H64*$E59</f>
        <v>0</v>
      </c>
      <c r="I59" s="213">
        <f>前台好评提成录入!I64*$E59</f>
        <v>0</v>
      </c>
      <c r="J59" s="213">
        <f>前台好评提成录入!J64*$E59</f>
        <v>0</v>
      </c>
      <c r="K59" s="213">
        <f>前台好评提成录入!K64*$E59</f>
        <v>0</v>
      </c>
      <c r="L59" s="213">
        <f>前台好评提成录入!L64*$E59</f>
        <v>0</v>
      </c>
      <c r="M59" s="213">
        <f>前台好评提成录入!M64*$E59</f>
        <v>0</v>
      </c>
      <c r="N59" s="213">
        <f>前台好评提成录入!N64*$E59</f>
        <v>0</v>
      </c>
      <c r="O59" s="213">
        <f>前台好评提成录入!O64*$E59</f>
        <v>0</v>
      </c>
      <c r="P59" s="213">
        <f>前台好评提成录入!P64*$E59</f>
        <v>0</v>
      </c>
      <c r="Q59" s="213">
        <f>前台好评提成录入!Q64*$E59</f>
        <v>0</v>
      </c>
      <c r="R59" s="213">
        <f>前台好评提成录入!R64*$E59</f>
        <v>0</v>
      </c>
      <c r="S59" s="213">
        <f>前台好评提成录入!S64*$E59</f>
        <v>0</v>
      </c>
      <c r="T59" s="213">
        <f>前台好评提成录入!T64*$E59</f>
        <v>0</v>
      </c>
      <c r="U59" s="213">
        <f>前台好评提成录入!U64*$E59</f>
        <v>0</v>
      </c>
      <c r="V59" s="213">
        <f>前台好评提成录入!V64*$E59</f>
        <v>0</v>
      </c>
      <c r="W59" s="213">
        <f>前台好评提成录入!W64*$E59</f>
        <v>0</v>
      </c>
      <c r="X59" s="213">
        <f>前台好评提成录入!X64*$E59</f>
        <v>0</v>
      </c>
      <c r="Y59" s="213">
        <f>前台好评提成录入!Y64*$E59</f>
        <v>0</v>
      </c>
      <c r="Z59" s="213">
        <f>前台好评提成录入!Z64*$E59</f>
        <v>0</v>
      </c>
      <c r="AA59" s="213">
        <f>前台好评提成录入!AA64*$E59</f>
        <v>0</v>
      </c>
      <c r="AB59" s="213">
        <f>前台好评提成录入!AB64*$E59</f>
        <v>0</v>
      </c>
      <c r="AC59" s="213">
        <f>前台好评提成录入!AC64*$E59</f>
        <v>0</v>
      </c>
      <c r="AD59" s="213">
        <f>前台好评提成录入!AD64*$E59</f>
        <v>0</v>
      </c>
      <c r="AE59" s="213">
        <f>前台好评提成录入!AE64*$E59</f>
        <v>0</v>
      </c>
      <c r="AF59" s="213">
        <f>前台好评提成录入!AF64*$E59</f>
        <v>0</v>
      </c>
      <c r="AG59" s="213">
        <f>前台好评提成录入!AG64*$E59</f>
        <v>0</v>
      </c>
      <c r="AH59" s="213">
        <f>前台好评提成录入!AH64*$E59</f>
        <v>0</v>
      </c>
      <c r="AI59" s="213">
        <f>前台好评提成录入!AI64*$E59</f>
        <v>0</v>
      </c>
      <c r="AJ59" s="213">
        <f>前台好评提成录入!AJ64*$E59</f>
        <v>0</v>
      </c>
      <c r="AK59" s="213">
        <f>前台好评提成录入!AK64*$E59</f>
        <v>0</v>
      </c>
      <c r="AL59" s="213">
        <f>前台好评提成录入!AL64*$E59</f>
        <v>0</v>
      </c>
    </row>
    <row r="60" s="178" customFormat="1" customHeight="1" spans="1:38">
      <c r="A60" s="161">
        <v>56</v>
      </c>
      <c r="B60" s="21">
        <f>会员卡提成录入!B60</f>
        <v>0</v>
      </c>
      <c r="C60" s="21">
        <f>会员卡提成录入!C60</f>
        <v>0</v>
      </c>
      <c r="D60" s="21">
        <f>会员卡提成录入!D60</f>
        <v>0</v>
      </c>
      <c r="E60" s="21">
        <f>会员卡提成录入!E60</f>
        <v>0</v>
      </c>
      <c r="F60" s="21">
        <f>会员卡提成录入!F60</f>
        <v>0</v>
      </c>
      <c r="G60" s="21">
        <f>会员卡提成录入!G60</f>
        <v>0</v>
      </c>
      <c r="H60" s="213">
        <f>前台好评提成录入!H65*$E60</f>
        <v>0</v>
      </c>
      <c r="I60" s="213">
        <f>前台好评提成录入!I65*$E60</f>
        <v>0</v>
      </c>
      <c r="J60" s="213">
        <f>前台好评提成录入!J65*$E60</f>
        <v>0</v>
      </c>
      <c r="K60" s="213">
        <f>前台好评提成录入!K65*$E60</f>
        <v>0</v>
      </c>
      <c r="L60" s="213">
        <f>前台好评提成录入!L65*$E60</f>
        <v>0</v>
      </c>
      <c r="M60" s="213">
        <f>前台好评提成录入!M65*$E60</f>
        <v>0</v>
      </c>
      <c r="N60" s="213">
        <f>前台好评提成录入!N65*$E60</f>
        <v>0</v>
      </c>
      <c r="O60" s="213">
        <f>前台好评提成录入!O65*$E60</f>
        <v>0</v>
      </c>
      <c r="P60" s="213">
        <f>前台好评提成录入!P65*$E60</f>
        <v>0</v>
      </c>
      <c r="Q60" s="213">
        <f>前台好评提成录入!Q65*$E60</f>
        <v>0</v>
      </c>
      <c r="R60" s="213">
        <f>前台好评提成录入!R65*$E60</f>
        <v>0</v>
      </c>
      <c r="S60" s="213">
        <f>前台好评提成录入!S65*$E60</f>
        <v>0</v>
      </c>
      <c r="T60" s="213">
        <f>前台好评提成录入!T65*$E60</f>
        <v>0</v>
      </c>
      <c r="U60" s="213">
        <f>前台好评提成录入!U65*$E60</f>
        <v>0</v>
      </c>
      <c r="V60" s="213">
        <f>前台好评提成录入!V65*$E60</f>
        <v>0</v>
      </c>
      <c r="W60" s="213">
        <f>前台好评提成录入!W65*$E60</f>
        <v>0</v>
      </c>
      <c r="X60" s="213">
        <f>前台好评提成录入!X65*$E60</f>
        <v>0</v>
      </c>
      <c r="Y60" s="213">
        <f>前台好评提成录入!Y65*$E60</f>
        <v>0</v>
      </c>
      <c r="Z60" s="213">
        <f>前台好评提成录入!Z65*$E60</f>
        <v>0</v>
      </c>
      <c r="AA60" s="213">
        <f>前台好评提成录入!AA65*$E60</f>
        <v>0</v>
      </c>
      <c r="AB60" s="213">
        <f>前台好评提成录入!AB65*$E60</f>
        <v>0</v>
      </c>
      <c r="AC60" s="213">
        <f>前台好评提成录入!AC65*$E60</f>
        <v>0</v>
      </c>
      <c r="AD60" s="213">
        <f>前台好评提成录入!AD65*$E60</f>
        <v>0</v>
      </c>
      <c r="AE60" s="213">
        <f>前台好评提成录入!AE65*$E60</f>
        <v>0</v>
      </c>
      <c r="AF60" s="213">
        <f>前台好评提成录入!AF65*$E60</f>
        <v>0</v>
      </c>
      <c r="AG60" s="213">
        <f>前台好评提成录入!AG65*$E60</f>
        <v>0</v>
      </c>
      <c r="AH60" s="213">
        <f>前台好评提成录入!AH65*$E60</f>
        <v>0</v>
      </c>
      <c r="AI60" s="213">
        <f>前台好评提成录入!AI65*$E60</f>
        <v>0</v>
      </c>
      <c r="AJ60" s="213">
        <f>前台好评提成录入!AJ65*$E60</f>
        <v>0</v>
      </c>
      <c r="AK60" s="213">
        <f>前台好评提成录入!AK65*$E60</f>
        <v>0</v>
      </c>
      <c r="AL60" s="213">
        <f>前台好评提成录入!AL65*$E60</f>
        <v>0</v>
      </c>
    </row>
    <row r="61" s="178" customFormat="1" customHeight="1" spans="1:38">
      <c r="A61" s="161">
        <v>57</v>
      </c>
      <c r="B61" s="21">
        <f>会员卡提成录入!B61</f>
        <v>0</v>
      </c>
      <c r="C61" s="21">
        <f>会员卡提成录入!C61</f>
        <v>0</v>
      </c>
      <c r="D61" s="21">
        <f>会员卡提成录入!D61</f>
        <v>0</v>
      </c>
      <c r="E61" s="21">
        <f>会员卡提成录入!E61</f>
        <v>0</v>
      </c>
      <c r="F61" s="21">
        <f>会员卡提成录入!F61</f>
        <v>0</v>
      </c>
      <c r="G61" s="21">
        <f>会员卡提成录入!G61</f>
        <v>0</v>
      </c>
      <c r="H61" s="213">
        <f>前台好评提成录入!H66*$E61</f>
        <v>0</v>
      </c>
      <c r="I61" s="213">
        <f>前台好评提成录入!I66*$E61</f>
        <v>0</v>
      </c>
      <c r="J61" s="213">
        <f>前台好评提成录入!J66*$E61</f>
        <v>0</v>
      </c>
      <c r="K61" s="213">
        <f>前台好评提成录入!K66*$E61</f>
        <v>0</v>
      </c>
      <c r="L61" s="213">
        <f>前台好评提成录入!L66*$E61</f>
        <v>0</v>
      </c>
      <c r="M61" s="213">
        <f>前台好评提成录入!M66*$E61</f>
        <v>0</v>
      </c>
      <c r="N61" s="213">
        <f>前台好评提成录入!N66*$E61</f>
        <v>0</v>
      </c>
      <c r="O61" s="213">
        <f>前台好评提成录入!O66*$E61</f>
        <v>0</v>
      </c>
      <c r="P61" s="213">
        <f>前台好评提成录入!P66*$E61</f>
        <v>0</v>
      </c>
      <c r="Q61" s="213">
        <f>前台好评提成录入!Q66*$E61</f>
        <v>0</v>
      </c>
      <c r="R61" s="213">
        <f>前台好评提成录入!R66*$E61</f>
        <v>0</v>
      </c>
      <c r="S61" s="213">
        <f>前台好评提成录入!S66*$E61</f>
        <v>0</v>
      </c>
      <c r="T61" s="213">
        <f>前台好评提成录入!T66*$E61</f>
        <v>0</v>
      </c>
      <c r="U61" s="213">
        <f>前台好评提成录入!U66*$E61</f>
        <v>0</v>
      </c>
      <c r="V61" s="213">
        <f>前台好评提成录入!V66*$E61</f>
        <v>0</v>
      </c>
      <c r="W61" s="213">
        <f>前台好评提成录入!W66*$E61</f>
        <v>0</v>
      </c>
      <c r="X61" s="213">
        <f>前台好评提成录入!X66*$E61</f>
        <v>0</v>
      </c>
      <c r="Y61" s="213">
        <f>前台好评提成录入!Y66*$E61</f>
        <v>0</v>
      </c>
      <c r="Z61" s="213">
        <f>前台好评提成录入!Z66*$E61</f>
        <v>0</v>
      </c>
      <c r="AA61" s="213">
        <f>前台好评提成录入!AA66*$E61</f>
        <v>0</v>
      </c>
      <c r="AB61" s="213">
        <f>前台好评提成录入!AB66*$E61</f>
        <v>0</v>
      </c>
      <c r="AC61" s="213">
        <f>前台好评提成录入!AC66*$E61</f>
        <v>0</v>
      </c>
      <c r="AD61" s="213">
        <f>前台好评提成录入!AD66*$E61</f>
        <v>0</v>
      </c>
      <c r="AE61" s="213">
        <f>前台好评提成录入!AE66*$E61</f>
        <v>0</v>
      </c>
      <c r="AF61" s="213">
        <f>前台好评提成录入!AF66*$E61</f>
        <v>0</v>
      </c>
      <c r="AG61" s="213">
        <f>前台好评提成录入!AG66*$E61</f>
        <v>0</v>
      </c>
      <c r="AH61" s="213">
        <f>前台好评提成录入!AH66*$E61</f>
        <v>0</v>
      </c>
      <c r="AI61" s="213">
        <f>前台好评提成录入!AI66*$E61</f>
        <v>0</v>
      </c>
      <c r="AJ61" s="213">
        <f>前台好评提成录入!AJ66*$E61</f>
        <v>0</v>
      </c>
      <c r="AK61" s="213">
        <f>前台好评提成录入!AK66*$E61</f>
        <v>0</v>
      </c>
      <c r="AL61" s="213">
        <f>前台好评提成录入!AL66*$E61</f>
        <v>0</v>
      </c>
    </row>
    <row r="62" s="178" customFormat="1" customHeight="1" spans="1:38">
      <c r="A62" s="161">
        <v>58</v>
      </c>
      <c r="B62" s="21">
        <f>会员卡提成录入!B62</f>
        <v>0</v>
      </c>
      <c r="C62" s="21">
        <f>会员卡提成录入!C62</f>
        <v>0</v>
      </c>
      <c r="D62" s="21">
        <f>会员卡提成录入!D62</f>
        <v>0</v>
      </c>
      <c r="E62" s="21">
        <f>会员卡提成录入!E62</f>
        <v>0</v>
      </c>
      <c r="F62" s="21">
        <f>会员卡提成录入!F62</f>
        <v>0</v>
      </c>
      <c r="G62" s="21">
        <f>会员卡提成录入!G62</f>
        <v>0</v>
      </c>
      <c r="H62" s="213">
        <f>前台好评提成录入!H67*$E62</f>
        <v>0</v>
      </c>
      <c r="I62" s="213">
        <f>前台好评提成录入!I67*$E62</f>
        <v>0</v>
      </c>
      <c r="J62" s="213">
        <f>前台好评提成录入!J67*$E62</f>
        <v>0</v>
      </c>
      <c r="K62" s="213">
        <f>前台好评提成录入!K67*$E62</f>
        <v>0</v>
      </c>
      <c r="L62" s="213">
        <f>前台好评提成录入!L67*$E62</f>
        <v>0</v>
      </c>
      <c r="M62" s="213">
        <f>前台好评提成录入!M67*$E62</f>
        <v>0</v>
      </c>
      <c r="N62" s="213">
        <f>前台好评提成录入!N67*$E62</f>
        <v>0</v>
      </c>
      <c r="O62" s="213">
        <f>前台好评提成录入!O67*$E62</f>
        <v>0</v>
      </c>
      <c r="P62" s="213">
        <f>前台好评提成录入!P67*$E62</f>
        <v>0</v>
      </c>
      <c r="Q62" s="213">
        <f>前台好评提成录入!Q67*$E62</f>
        <v>0</v>
      </c>
      <c r="R62" s="213">
        <f>前台好评提成录入!R67*$E62</f>
        <v>0</v>
      </c>
      <c r="S62" s="213">
        <f>前台好评提成录入!S67*$E62</f>
        <v>0</v>
      </c>
      <c r="T62" s="213">
        <f>前台好评提成录入!T67*$E62</f>
        <v>0</v>
      </c>
      <c r="U62" s="213">
        <f>前台好评提成录入!U67*$E62</f>
        <v>0</v>
      </c>
      <c r="V62" s="213">
        <f>前台好评提成录入!V67*$E62</f>
        <v>0</v>
      </c>
      <c r="W62" s="213">
        <f>前台好评提成录入!W67*$E62</f>
        <v>0</v>
      </c>
      <c r="X62" s="213">
        <f>前台好评提成录入!X67*$E62</f>
        <v>0</v>
      </c>
      <c r="Y62" s="213">
        <f>前台好评提成录入!Y67*$E62</f>
        <v>0</v>
      </c>
      <c r="Z62" s="213">
        <f>前台好评提成录入!Z67*$E62</f>
        <v>0</v>
      </c>
      <c r="AA62" s="213">
        <f>前台好评提成录入!AA67*$E62</f>
        <v>0</v>
      </c>
      <c r="AB62" s="213">
        <f>前台好评提成录入!AB67*$E62</f>
        <v>0</v>
      </c>
      <c r="AC62" s="213">
        <f>前台好评提成录入!AC67*$E62</f>
        <v>0</v>
      </c>
      <c r="AD62" s="213">
        <f>前台好评提成录入!AD67*$E62</f>
        <v>0</v>
      </c>
      <c r="AE62" s="213">
        <f>前台好评提成录入!AE67*$E62</f>
        <v>0</v>
      </c>
      <c r="AF62" s="213">
        <f>前台好评提成录入!AF67*$E62</f>
        <v>0</v>
      </c>
      <c r="AG62" s="213">
        <f>前台好评提成录入!AG67*$E62</f>
        <v>0</v>
      </c>
      <c r="AH62" s="213">
        <f>前台好评提成录入!AH67*$E62</f>
        <v>0</v>
      </c>
      <c r="AI62" s="213">
        <f>前台好评提成录入!AI67*$E62</f>
        <v>0</v>
      </c>
      <c r="AJ62" s="213">
        <f>前台好评提成录入!AJ67*$E62</f>
        <v>0</v>
      </c>
      <c r="AK62" s="213">
        <f>前台好评提成录入!AK67*$E62</f>
        <v>0</v>
      </c>
      <c r="AL62" s="213">
        <f>前台好评提成录入!AL67*$E62</f>
        <v>0</v>
      </c>
    </row>
    <row r="63" s="178" customFormat="1" customHeight="1" spans="1:38">
      <c r="A63" s="161">
        <v>59</v>
      </c>
      <c r="B63" s="21">
        <f>会员卡提成录入!B63</f>
        <v>0</v>
      </c>
      <c r="C63" s="21">
        <f>会员卡提成录入!C63</f>
        <v>0</v>
      </c>
      <c r="D63" s="21">
        <f>会员卡提成录入!D63</f>
        <v>0</v>
      </c>
      <c r="E63" s="21">
        <f>会员卡提成录入!E63</f>
        <v>0</v>
      </c>
      <c r="F63" s="21">
        <f>会员卡提成录入!F63</f>
        <v>0</v>
      </c>
      <c r="G63" s="21">
        <f>会员卡提成录入!G63</f>
        <v>0</v>
      </c>
      <c r="H63" s="213">
        <f>前台好评提成录入!H68*$E63</f>
        <v>0</v>
      </c>
      <c r="I63" s="213">
        <f>前台好评提成录入!I68*$E63</f>
        <v>0</v>
      </c>
      <c r="J63" s="213">
        <f>前台好评提成录入!J68*$E63</f>
        <v>0</v>
      </c>
      <c r="K63" s="213">
        <f>前台好评提成录入!K68*$E63</f>
        <v>0</v>
      </c>
      <c r="L63" s="213">
        <f>前台好评提成录入!L68*$E63</f>
        <v>0</v>
      </c>
      <c r="M63" s="213">
        <f>前台好评提成录入!M68*$E63</f>
        <v>0</v>
      </c>
      <c r="N63" s="213">
        <f>前台好评提成录入!N68*$E63</f>
        <v>0</v>
      </c>
      <c r="O63" s="213">
        <f>前台好评提成录入!O68*$E63</f>
        <v>0</v>
      </c>
      <c r="P63" s="213">
        <f>前台好评提成录入!P68*$E63</f>
        <v>0</v>
      </c>
      <c r="Q63" s="213">
        <f>前台好评提成录入!Q68*$E63</f>
        <v>0</v>
      </c>
      <c r="R63" s="213">
        <f>前台好评提成录入!R68*$E63</f>
        <v>0</v>
      </c>
      <c r="S63" s="213">
        <f>前台好评提成录入!S68*$E63</f>
        <v>0</v>
      </c>
      <c r="T63" s="213">
        <f>前台好评提成录入!T68*$E63</f>
        <v>0</v>
      </c>
      <c r="U63" s="213">
        <f>前台好评提成录入!U68*$E63</f>
        <v>0</v>
      </c>
      <c r="V63" s="213">
        <f>前台好评提成录入!V68*$E63</f>
        <v>0</v>
      </c>
      <c r="W63" s="213">
        <f>前台好评提成录入!W68*$E63</f>
        <v>0</v>
      </c>
      <c r="X63" s="213">
        <f>前台好评提成录入!X68*$E63</f>
        <v>0</v>
      </c>
      <c r="Y63" s="213">
        <f>前台好评提成录入!Y68*$E63</f>
        <v>0</v>
      </c>
      <c r="Z63" s="213">
        <f>前台好评提成录入!Z68*$E63</f>
        <v>0</v>
      </c>
      <c r="AA63" s="213">
        <f>前台好评提成录入!AA68*$E63</f>
        <v>0</v>
      </c>
      <c r="AB63" s="213">
        <f>前台好评提成录入!AB68*$E63</f>
        <v>0</v>
      </c>
      <c r="AC63" s="213">
        <f>前台好评提成录入!AC68*$E63</f>
        <v>0</v>
      </c>
      <c r="AD63" s="213">
        <f>前台好评提成录入!AD68*$E63</f>
        <v>0</v>
      </c>
      <c r="AE63" s="213">
        <f>前台好评提成录入!AE68*$E63</f>
        <v>0</v>
      </c>
      <c r="AF63" s="213">
        <f>前台好评提成录入!AF68*$E63</f>
        <v>0</v>
      </c>
      <c r="AG63" s="213">
        <f>前台好评提成录入!AG68*$E63</f>
        <v>0</v>
      </c>
      <c r="AH63" s="213">
        <f>前台好评提成录入!AH68*$E63</f>
        <v>0</v>
      </c>
      <c r="AI63" s="213">
        <f>前台好评提成录入!AI68*$E63</f>
        <v>0</v>
      </c>
      <c r="AJ63" s="213">
        <f>前台好评提成录入!AJ68*$E63</f>
        <v>0</v>
      </c>
      <c r="AK63" s="213">
        <f>前台好评提成录入!AK68*$E63</f>
        <v>0</v>
      </c>
      <c r="AL63" s="213">
        <f>前台好评提成录入!AL68*$E63</f>
        <v>0</v>
      </c>
    </row>
    <row r="64" s="178" customFormat="1" customHeight="1" spans="1:38">
      <c r="A64" s="161">
        <v>60</v>
      </c>
      <c r="B64" s="21">
        <f>会员卡提成录入!B64</f>
        <v>0</v>
      </c>
      <c r="C64" s="21">
        <f>会员卡提成录入!C64</f>
        <v>0</v>
      </c>
      <c r="D64" s="21">
        <f>会员卡提成录入!D64</f>
        <v>0</v>
      </c>
      <c r="E64" s="21">
        <f>会员卡提成录入!E64</f>
        <v>0</v>
      </c>
      <c r="F64" s="21">
        <f>会员卡提成录入!F64</f>
        <v>0</v>
      </c>
      <c r="G64" s="21">
        <f>会员卡提成录入!G64</f>
        <v>0</v>
      </c>
      <c r="H64" s="213">
        <f>前台好评提成录入!H69*$E64</f>
        <v>0</v>
      </c>
      <c r="I64" s="213">
        <f>前台好评提成录入!I69*$E64</f>
        <v>0</v>
      </c>
      <c r="J64" s="213">
        <f>前台好评提成录入!J69*$E64</f>
        <v>0</v>
      </c>
      <c r="K64" s="213">
        <f>前台好评提成录入!K69*$E64</f>
        <v>0</v>
      </c>
      <c r="L64" s="213">
        <f>前台好评提成录入!L69*$E64</f>
        <v>0</v>
      </c>
      <c r="M64" s="213">
        <f>前台好评提成录入!M69*$E64</f>
        <v>0</v>
      </c>
      <c r="N64" s="213">
        <f>前台好评提成录入!N69*$E64</f>
        <v>0</v>
      </c>
      <c r="O64" s="213">
        <f>前台好评提成录入!O69*$E64</f>
        <v>0</v>
      </c>
      <c r="P64" s="213">
        <f>前台好评提成录入!P69*$E64</f>
        <v>0</v>
      </c>
      <c r="Q64" s="213">
        <f>前台好评提成录入!Q69*$E64</f>
        <v>0</v>
      </c>
      <c r="R64" s="213">
        <f>前台好评提成录入!R69*$E64</f>
        <v>0</v>
      </c>
      <c r="S64" s="213">
        <f>前台好评提成录入!S69*$E64</f>
        <v>0</v>
      </c>
      <c r="T64" s="213">
        <f>前台好评提成录入!T69*$E64</f>
        <v>0</v>
      </c>
      <c r="U64" s="213">
        <f>前台好评提成录入!U69*$E64</f>
        <v>0</v>
      </c>
      <c r="V64" s="213">
        <f>前台好评提成录入!V69*$E64</f>
        <v>0</v>
      </c>
      <c r="W64" s="213">
        <f>前台好评提成录入!W69*$E64</f>
        <v>0</v>
      </c>
      <c r="X64" s="213">
        <f>前台好评提成录入!X69*$E64</f>
        <v>0</v>
      </c>
      <c r="Y64" s="213">
        <f>前台好评提成录入!Y69*$E64</f>
        <v>0</v>
      </c>
      <c r="Z64" s="213">
        <f>前台好评提成录入!Z69*$E64</f>
        <v>0</v>
      </c>
      <c r="AA64" s="213">
        <f>前台好评提成录入!AA69*$E64</f>
        <v>0</v>
      </c>
      <c r="AB64" s="213">
        <f>前台好评提成录入!AB69*$E64</f>
        <v>0</v>
      </c>
      <c r="AC64" s="213">
        <f>前台好评提成录入!AC69*$E64</f>
        <v>0</v>
      </c>
      <c r="AD64" s="213">
        <f>前台好评提成录入!AD69*$E64</f>
        <v>0</v>
      </c>
      <c r="AE64" s="213">
        <f>前台好评提成录入!AE69*$E64</f>
        <v>0</v>
      </c>
      <c r="AF64" s="213">
        <f>前台好评提成录入!AF69*$E64</f>
        <v>0</v>
      </c>
      <c r="AG64" s="213">
        <f>前台好评提成录入!AG69*$E64</f>
        <v>0</v>
      </c>
      <c r="AH64" s="213">
        <f>前台好评提成录入!AH69*$E64</f>
        <v>0</v>
      </c>
      <c r="AI64" s="213">
        <f>前台好评提成录入!AI69*$E64</f>
        <v>0</v>
      </c>
      <c r="AJ64" s="213">
        <f>前台好评提成录入!AJ69*$E64</f>
        <v>0</v>
      </c>
      <c r="AK64" s="213">
        <f>前台好评提成录入!AK69*$E64</f>
        <v>0</v>
      </c>
      <c r="AL64" s="213">
        <f>前台好评提成录入!AL69*$E64</f>
        <v>0</v>
      </c>
    </row>
    <row r="65" s="178" customFormat="1" customHeight="1" spans="1:38">
      <c r="A65" s="161">
        <v>61</v>
      </c>
      <c r="B65" s="21">
        <f>会员卡提成录入!B65</f>
        <v>0</v>
      </c>
      <c r="C65" s="21">
        <f>会员卡提成录入!C65</f>
        <v>0</v>
      </c>
      <c r="D65" s="21">
        <f>会员卡提成录入!D65</f>
        <v>0</v>
      </c>
      <c r="E65" s="21">
        <f>会员卡提成录入!E65</f>
        <v>0</v>
      </c>
      <c r="F65" s="21">
        <f>会员卡提成录入!F65</f>
        <v>0</v>
      </c>
      <c r="G65" s="21">
        <f>会员卡提成录入!G65</f>
        <v>0</v>
      </c>
      <c r="H65" s="213">
        <f>前台好评提成录入!H70*$E65</f>
        <v>0</v>
      </c>
      <c r="I65" s="213">
        <f>前台好评提成录入!I70*$E65</f>
        <v>0</v>
      </c>
      <c r="J65" s="213">
        <f>前台好评提成录入!J70*$E65</f>
        <v>0</v>
      </c>
      <c r="K65" s="213">
        <f>前台好评提成录入!K70*$E65</f>
        <v>0</v>
      </c>
      <c r="L65" s="213">
        <f>前台好评提成录入!L70*$E65</f>
        <v>0</v>
      </c>
      <c r="M65" s="213">
        <f>前台好评提成录入!M70*$E65</f>
        <v>0</v>
      </c>
      <c r="N65" s="213">
        <f>前台好评提成录入!N70*$E65</f>
        <v>0</v>
      </c>
      <c r="O65" s="213">
        <f>前台好评提成录入!O70*$E65</f>
        <v>0</v>
      </c>
      <c r="P65" s="213">
        <f>前台好评提成录入!P70*$E65</f>
        <v>0</v>
      </c>
      <c r="Q65" s="213">
        <f>前台好评提成录入!Q70*$E65</f>
        <v>0</v>
      </c>
      <c r="R65" s="213">
        <f>前台好评提成录入!R70*$E65</f>
        <v>0</v>
      </c>
      <c r="S65" s="213">
        <f>前台好评提成录入!S70*$E65</f>
        <v>0</v>
      </c>
      <c r="T65" s="213">
        <f>前台好评提成录入!T70*$E65</f>
        <v>0</v>
      </c>
      <c r="U65" s="213">
        <f>前台好评提成录入!U70*$E65</f>
        <v>0</v>
      </c>
      <c r="V65" s="213">
        <f>前台好评提成录入!V70*$E65</f>
        <v>0</v>
      </c>
      <c r="W65" s="213">
        <f>前台好评提成录入!W70*$E65</f>
        <v>0</v>
      </c>
      <c r="X65" s="213">
        <f>前台好评提成录入!X70*$E65</f>
        <v>0</v>
      </c>
      <c r="Y65" s="213">
        <f>前台好评提成录入!Y70*$E65</f>
        <v>0</v>
      </c>
      <c r="Z65" s="213">
        <f>前台好评提成录入!Z70*$E65</f>
        <v>0</v>
      </c>
      <c r="AA65" s="213">
        <f>前台好评提成录入!AA70*$E65</f>
        <v>0</v>
      </c>
      <c r="AB65" s="213">
        <f>前台好评提成录入!AB70*$E65</f>
        <v>0</v>
      </c>
      <c r="AC65" s="213">
        <f>前台好评提成录入!AC70*$E65</f>
        <v>0</v>
      </c>
      <c r="AD65" s="213">
        <f>前台好评提成录入!AD70*$E65</f>
        <v>0</v>
      </c>
      <c r="AE65" s="213">
        <f>前台好评提成录入!AE70*$E65</f>
        <v>0</v>
      </c>
      <c r="AF65" s="213">
        <f>前台好评提成录入!AF70*$E65</f>
        <v>0</v>
      </c>
      <c r="AG65" s="213">
        <f>前台好评提成录入!AG70*$E65</f>
        <v>0</v>
      </c>
      <c r="AH65" s="213">
        <f>前台好评提成录入!AH70*$E65</f>
        <v>0</v>
      </c>
      <c r="AI65" s="213">
        <f>前台好评提成录入!AI70*$E65</f>
        <v>0</v>
      </c>
      <c r="AJ65" s="213">
        <f>前台好评提成录入!AJ70*$E65</f>
        <v>0</v>
      </c>
      <c r="AK65" s="213">
        <f>前台好评提成录入!AK70*$E65</f>
        <v>0</v>
      </c>
      <c r="AL65" s="213">
        <f>前台好评提成录入!AL70*$E65</f>
        <v>0</v>
      </c>
    </row>
    <row r="66" s="178" customFormat="1" customHeight="1" spans="1:38">
      <c r="A66" s="161">
        <v>62</v>
      </c>
      <c r="B66" s="21">
        <f>会员卡提成录入!B66</f>
        <v>0</v>
      </c>
      <c r="C66" s="21">
        <f>会员卡提成录入!C66</f>
        <v>0</v>
      </c>
      <c r="D66" s="21">
        <f>会员卡提成录入!D66</f>
        <v>0</v>
      </c>
      <c r="E66" s="21">
        <f>会员卡提成录入!E66</f>
        <v>0</v>
      </c>
      <c r="F66" s="21">
        <f>会员卡提成录入!F66</f>
        <v>0</v>
      </c>
      <c r="G66" s="21">
        <f>会员卡提成录入!G66</f>
        <v>0</v>
      </c>
      <c r="H66" s="213">
        <f>前台好评提成录入!H71*$E66</f>
        <v>0</v>
      </c>
      <c r="I66" s="213">
        <f>前台好评提成录入!I71*$E66</f>
        <v>0</v>
      </c>
      <c r="J66" s="213">
        <f>前台好评提成录入!J71*$E66</f>
        <v>0</v>
      </c>
      <c r="K66" s="213">
        <f>前台好评提成录入!K71*$E66</f>
        <v>0</v>
      </c>
      <c r="L66" s="213">
        <f>前台好评提成录入!L71*$E66</f>
        <v>0</v>
      </c>
      <c r="M66" s="213">
        <f>前台好评提成录入!M71*$E66</f>
        <v>0</v>
      </c>
      <c r="N66" s="213">
        <f>前台好评提成录入!N71*$E66</f>
        <v>0</v>
      </c>
      <c r="O66" s="213">
        <f>前台好评提成录入!O71*$E66</f>
        <v>0</v>
      </c>
      <c r="P66" s="213">
        <f>前台好评提成录入!P71*$E66</f>
        <v>0</v>
      </c>
      <c r="Q66" s="213">
        <f>前台好评提成录入!Q71*$E66</f>
        <v>0</v>
      </c>
      <c r="R66" s="213">
        <f>前台好评提成录入!R71*$E66</f>
        <v>0</v>
      </c>
      <c r="S66" s="213">
        <f>前台好评提成录入!S71*$E66</f>
        <v>0</v>
      </c>
      <c r="T66" s="213">
        <f>前台好评提成录入!T71*$E66</f>
        <v>0</v>
      </c>
      <c r="U66" s="213">
        <f>前台好评提成录入!U71*$E66</f>
        <v>0</v>
      </c>
      <c r="V66" s="213">
        <f>前台好评提成录入!V71*$E66</f>
        <v>0</v>
      </c>
      <c r="W66" s="213">
        <f>前台好评提成录入!W71*$E66</f>
        <v>0</v>
      </c>
      <c r="X66" s="213">
        <f>前台好评提成录入!X71*$E66</f>
        <v>0</v>
      </c>
      <c r="Y66" s="213">
        <f>前台好评提成录入!Y71*$E66</f>
        <v>0</v>
      </c>
      <c r="Z66" s="213">
        <f>前台好评提成录入!Z71*$E66</f>
        <v>0</v>
      </c>
      <c r="AA66" s="213">
        <f>前台好评提成录入!AA71*$E66</f>
        <v>0</v>
      </c>
      <c r="AB66" s="213">
        <f>前台好评提成录入!AB71*$E66</f>
        <v>0</v>
      </c>
      <c r="AC66" s="213">
        <f>前台好评提成录入!AC71*$E66</f>
        <v>0</v>
      </c>
      <c r="AD66" s="213">
        <f>前台好评提成录入!AD71*$E66</f>
        <v>0</v>
      </c>
      <c r="AE66" s="213">
        <f>前台好评提成录入!AE71*$E66</f>
        <v>0</v>
      </c>
      <c r="AF66" s="213">
        <f>前台好评提成录入!AF71*$E66</f>
        <v>0</v>
      </c>
      <c r="AG66" s="213">
        <f>前台好评提成录入!AG71*$E66</f>
        <v>0</v>
      </c>
      <c r="AH66" s="213">
        <f>前台好评提成录入!AH71*$E66</f>
        <v>0</v>
      </c>
      <c r="AI66" s="213">
        <f>前台好评提成录入!AI71*$E66</f>
        <v>0</v>
      </c>
      <c r="AJ66" s="213">
        <f>前台好评提成录入!AJ71*$E66</f>
        <v>0</v>
      </c>
      <c r="AK66" s="213">
        <f>前台好评提成录入!AK71*$E66</f>
        <v>0</v>
      </c>
      <c r="AL66" s="213">
        <f>前台好评提成录入!AL71*$E66</f>
        <v>0</v>
      </c>
    </row>
    <row r="67" s="178" customFormat="1" customHeight="1" spans="1:38">
      <c r="A67" s="161">
        <v>63</v>
      </c>
      <c r="B67" s="21">
        <f>会员卡提成录入!B67</f>
        <v>0</v>
      </c>
      <c r="C67" s="21">
        <f>会员卡提成录入!C67</f>
        <v>0</v>
      </c>
      <c r="D67" s="21">
        <f>会员卡提成录入!D67</f>
        <v>0</v>
      </c>
      <c r="E67" s="21">
        <f>会员卡提成录入!E67</f>
        <v>0</v>
      </c>
      <c r="F67" s="21">
        <f>会员卡提成录入!F67</f>
        <v>0</v>
      </c>
      <c r="G67" s="21">
        <f>会员卡提成录入!G67</f>
        <v>0</v>
      </c>
      <c r="H67" s="213">
        <f>前台好评提成录入!H72*$E67</f>
        <v>0</v>
      </c>
      <c r="I67" s="213">
        <f>前台好评提成录入!I72*$E67</f>
        <v>0</v>
      </c>
      <c r="J67" s="213">
        <f>前台好评提成录入!J72*$E67</f>
        <v>0</v>
      </c>
      <c r="K67" s="213">
        <f>前台好评提成录入!K72*$E67</f>
        <v>0</v>
      </c>
      <c r="L67" s="213">
        <f>前台好评提成录入!L72*$E67</f>
        <v>0</v>
      </c>
      <c r="M67" s="213">
        <f>前台好评提成录入!M72*$E67</f>
        <v>0</v>
      </c>
      <c r="N67" s="213">
        <f>前台好评提成录入!N72*$E67</f>
        <v>0</v>
      </c>
      <c r="O67" s="213">
        <f>前台好评提成录入!O72*$E67</f>
        <v>0</v>
      </c>
      <c r="P67" s="213">
        <f>前台好评提成录入!P72*$E67</f>
        <v>0</v>
      </c>
      <c r="Q67" s="213">
        <f>前台好评提成录入!Q72*$E67</f>
        <v>0</v>
      </c>
      <c r="R67" s="213">
        <f>前台好评提成录入!R72*$E67</f>
        <v>0</v>
      </c>
      <c r="S67" s="213">
        <f>前台好评提成录入!S72*$E67</f>
        <v>0</v>
      </c>
      <c r="T67" s="213">
        <f>前台好评提成录入!T72*$E67</f>
        <v>0</v>
      </c>
      <c r="U67" s="213">
        <f>前台好评提成录入!U72*$E67</f>
        <v>0</v>
      </c>
      <c r="V67" s="213">
        <f>前台好评提成录入!V72*$E67</f>
        <v>0</v>
      </c>
      <c r="W67" s="213">
        <f>前台好评提成录入!W72*$E67</f>
        <v>0</v>
      </c>
      <c r="X67" s="213">
        <f>前台好评提成录入!X72*$E67</f>
        <v>0</v>
      </c>
      <c r="Y67" s="213">
        <f>前台好评提成录入!Y72*$E67</f>
        <v>0</v>
      </c>
      <c r="Z67" s="213">
        <f>前台好评提成录入!Z72*$E67</f>
        <v>0</v>
      </c>
      <c r="AA67" s="213">
        <f>前台好评提成录入!AA72*$E67</f>
        <v>0</v>
      </c>
      <c r="AB67" s="213">
        <f>前台好评提成录入!AB72*$E67</f>
        <v>0</v>
      </c>
      <c r="AC67" s="213">
        <f>前台好评提成录入!AC72*$E67</f>
        <v>0</v>
      </c>
      <c r="AD67" s="213">
        <f>前台好评提成录入!AD72*$E67</f>
        <v>0</v>
      </c>
      <c r="AE67" s="213">
        <f>前台好评提成录入!AE72*$E67</f>
        <v>0</v>
      </c>
      <c r="AF67" s="213">
        <f>前台好评提成录入!AF72*$E67</f>
        <v>0</v>
      </c>
      <c r="AG67" s="213">
        <f>前台好评提成录入!AG72*$E67</f>
        <v>0</v>
      </c>
      <c r="AH67" s="213">
        <f>前台好评提成录入!AH72*$E67</f>
        <v>0</v>
      </c>
      <c r="AI67" s="213">
        <f>前台好评提成录入!AI72*$E67</f>
        <v>0</v>
      </c>
      <c r="AJ67" s="213">
        <f>前台好评提成录入!AJ72*$E67</f>
        <v>0</v>
      </c>
      <c r="AK67" s="213">
        <f>前台好评提成录入!AK72*$E67</f>
        <v>0</v>
      </c>
      <c r="AL67" s="213">
        <f>前台好评提成录入!AL72*$E67</f>
        <v>0</v>
      </c>
    </row>
    <row r="68" s="178" customFormat="1" customHeight="1" spans="1:38">
      <c r="A68" s="161">
        <v>64</v>
      </c>
      <c r="B68" s="21">
        <f>会员卡提成录入!B68</f>
        <v>0</v>
      </c>
      <c r="C68" s="21">
        <f>会员卡提成录入!C68</f>
        <v>0</v>
      </c>
      <c r="D68" s="21">
        <f>会员卡提成录入!D68</f>
        <v>0</v>
      </c>
      <c r="E68" s="21">
        <f>会员卡提成录入!E68</f>
        <v>0</v>
      </c>
      <c r="F68" s="21">
        <f>会员卡提成录入!F68</f>
        <v>0</v>
      </c>
      <c r="G68" s="21">
        <f>会员卡提成录入!G68</f>
        <v>0</v>
      </c>
      <c r="H68" s="213">
        <f>前台好评提成录入!H73*$E68</f>
        <v>0</v>
      </c>
      <c r="I68" s="213">
        <f>前台好评提成录入!I73*$E68</f>
        <v>0</v>
      </c>
      <c r="J68" s="213">
        <f>前台好评提成录入!J73*$E68</f>
        <v>0</v>
      </c>
      <c r="K68" s="213">
        <f>前台好评提成录入!K73*$E68</f>
        <v>0</v>
      </c>
      <c r="L68" s="213">
        <f>前台好评提成录入!L73*$E68</f>
        <v>0</v>
      </c>
      <c r="M68" s="213">
        <f>前台好评提成录入!M73*$E68</f>
        <v>0</v>
      </c>
      <c r="N68" s="213">
        <f>前台好评提成录入!N73*$E68</f>
        <v>0</v>
      </c>
      <c r="O68" s="213">
        <f>前台好评提成录入!O73*$E68</f>
        <v>0</v>
      </c>
      <c r="P68" s="213">
        <f>前台好评提成录入!P73*$E68</f>
        <v>0</v>
      </c>
      <c r="Q68" s="213">
        <f>前台好评提成录入!Q73*$E68</f>
        <v>0</v>
      </c>
      <c r="R68" s="213">
        <f>前台好评提成录入!R73*$E68</f>
        <v>0</v>
      </c>
      <c r="S68" s="213">
        <f>前台好评提成录入!S73*$E68</f>
        <v>0</v>
      </c>
      <c r="T68" s="213">
        <f>前台好评提成录入!T73*$E68</f>
        <v>0</v>
      </c>
      <c r="U68" s="213">
        <f>前台好评提成录入!U73*$E68</f>
        <v>0</v>
      </c>
      <c r="V68" s="213">
        <f>前台好评提成录入!V73*$E68</f>
        <v>0</v>
      </c>
      <c r="W68" s="213">
        <f>前台好评提成录入!W73*$E68</f>
        <v>0</v>
      </c>
      <c r="X68" s="213">
        <f>前台好评提成录入!X73*$E68</f>
        <v>0</v>
      </c>
      <c r="Y68" s="213">
        <f>前台好评提成录入!Y73*$E68</f>
        <v>0</v>
      </c>
      <c r="Z68" s="213">
        <f>前台好评提成录入!Z73*$E68</f>
        <v>0</v>
      </c>
      <c r="AA68" s="213">
        <f>前台好评提成录入!AA73*$E68</f>
        <v>0</v>
      </c>
      <c r="AB68" s="213">
        <f>前台好评提成录入!AB73*$E68</f>
        <v>0</v>
      </c>
      <c r="AC68" s="213">
        <f>前台好评提成录入!AC73*$E68</f>
        <v>0</v>
      </c>
      <c r="AD68" s="213">
        <f>前台好评提成录入!AD73*$E68</f>
        <v>0</v>
      </c>
      <c r="AE68" s="213">
        <f>前台好评提成录入!AE73*$E68</f>
        <v>0</v>
      </c>
      <c r="AF68" s="213">
        <f>前台好评提成录入!AF73*$E68</f>
        <v>0</v>
      </c>
      <c r="AG68" s="213">
        <f>前台好评提成录入!AG73*$E68</f>
        <v>0</v>
      </c>
      <c r="AH68" s="213">
        <f>前台好评提成录入!AH73*$E68</f>
        <v>0</v>
      </c>
      <c r="AI68" s="213">
        <f>前台好评提成录入!AI73*$E68</f>
        <v>0</v>
      </c>
      <c r="AJ68" s="213">
        <f>前台好评提成录入!AJ73*$E68</f>
        <v>0</v>
      </c>
      <c r="AK68" s="213">
        <f>前台好评提成录入!AK73*$E68</f>
        <v>0</v>
      </c>
      <c r="AL68" s="213">
        <f>前台好评提成录入!AL73*$E68</f>
        <v>0</v>
      </c>
    </row>
    <row r="69" s="178" customFormat="1" customHeight="1" spans="1:38">
      <c r="A69" s="161">
        <v>65</v>
      </c>
      <c r="B69" s="21">
        <f>会员卡提成录入!B69</f>
        <v>0</v>
      </c>
      <c r="C69" s="21">
        <f>会员卡提成录入!C69</f>
        <v>0</v>
      </c>
      <c r="D69" s="21">
        <f>会员卡提成录入!D69</f>
        <v>0</v>
      </c>
      <c r="E69" s="21">
        <f>会员卡提成录入!E69</f>
        <v>0</v>
      </c>
      <c r="F69" s="21">
        <f>会员卡提成录入!F69</f>
        <v>0</v>
      </c>
      <c r="G69" s="21">
        <f>会员卡提成录入!G69</f>
        <v>0</v>
      </c>
      <c r="H69" s="213">
        <f>前台好评提成录入!H74*$E69</f>
        <v>0</v>
      </c>
      <c r="I69" s="213">
        <f>前台好评提成录入!I74*$E69</f>
        <v>0</v>
      </c>
      <c r="J69" s="213">
        <f>前台好评提成录入!J74*$E69</f>
        <v>0</v>
      </c>
      <c r="K69" s="213">
        <f>前台好评提成录入!K74*$E69</f>
        <v>0</v>
      </c>
      <c r="L69" s="213">
        <f>前台好评提成录入!L74*$E69</f>
        <v>0</v>
      </c>
      <c r="M69" s="213">
        <f>前台好评提成录入!M74*$E69</f>
        <v>0</v>
      </c>
      <c r="N69" s="213">
        <f>前台好评提成录入!N74*$E69</f>
        <v>0</v>
      </c>
      <c r="O69" s="213">
        <f>前台好评提成录入!O74*$E69</f>
        <v>0</v>
      </c>
      <c r="P69" s="213">
        <f>前台好评提成录入!P74*$E69</f>
        <v>0</v>
      </c>
      <c r="Q69" s="213">
        <f>前台好评提成录入!Q74*$E69</f>
        <v>0</v>
      </c>
      <c r="R69" s="213">
        <f>前台好评提成录入!R74*$E69</f>
        <v>0</v>
      </c>
      <c r="S69" s="213">
        <f>前台好评提成录入!S74*$E69</f>
        <v>0</v>
      </c>
      <c r="T69" s="213">
        <f>前台好评提成录入!T74*$E69</f>
        <v>0</v>
      </c>
      <c r="U69" s="213">
        <f>前台好评提成录入!U74*$E69</f>
        <v>0</v>
      </c>
      <c r="V69" s="213">
        <f>前台好评提成录入!V74*$E69</f>
        <v>0</v>
      </c>
      <c r="W69" s="213">
        <f>前台好评提成录入!W74*$E69</f>
        <v>0</v>
      </c>
      <c r="X69" s="213">
        <f>前台好评提成录入!X74*$E69</f>
        <v>0</v>
      </c>
      <c r="Y69" s="213">
        <f>前台好评提成录入!Y74*$E69</f>
        <v>0</v>
      </c>
      <c r="Z69" s="213">
        <f>前台好评提成录入!Z74*$E69</f>
        <v>0</v>
      </c>
      <c r="AA69" s="213">
        <f>前台好评提成录入!AA74*$E69</f>
        <v>0</v>
      </c>
      <c r="AB69" s="213">
        <f>前台好评提成录入!AB74*$E69</f>
        <v>0</v>
      </c>
      <c r="AC69" s="213">
        <f>前台好评提成录入!AC74*$E69</f>
        <v>0</v>
      </c>
      <c r="AD69" s="213">
        <f>前台好评提成录入!AD74*$E69</f>
        <v>0</v>
      </c>
      <c r="AE69" s="213">
        <f>前台好评提成录入!AE74*$E69</f>
        <v>0</v>
      </c>
      <c r="AF69" s="213">
        <f>前台好评提成录入!AF74*$E69</f>
        <v>0</v>
      </c>
      <c r="AG69" s="213">
        <f>前台好评提成录入!AG74*$E69</f>
        <v>0</v>
      </c>
      <c r="AH69" s="213">
        <f>前台好评提成录入!AH74*$E69</f>
        <v>0</v>
      </c>
      <c r="AI69" s="213">
        <f>前台好评提成录入!AI74*$E69</f>
        <v>0</v>
      </c>
      <c r="AJ69" s="213">
        <f>前台好评提成录入!AJ74*$E69</f>
        <v>0</v>
      </c>
      <c r="AK69" s="213">
        <f>前台好评提成录入!AK74*$E69</f>
        <v>0</v>
      </c>
      <c r="AL69" s="213">
        <f>前台好评提成录入!AL74*$E69</f>
        <v>0</v>
      </c>
    </row>
    <row r="70" s="178" customFormat="1" customHeight="1" spans="1:38">
      <c r="A70" s="161">
        <v>66</v>
      </c>
      <c r="B70" s="21">
        <f>会员卡提成录入!B70</f>
        <v>0</v>
      </c>
      <c r="C70" s="21">
        <f>会员卡提成录入!C70</f>
        <v>0</v>
      </c>
      <c r="D70" s="21">
        <f>会员卡提成录入!D70</f>
        <v>0</v>
      </c>
      <c r="E70" s="21">
        <f>会员卡提成录入!E70</f>
        <v>0</v>
      </c>
      <c r="F70" s="21">
        <f>会员卡提成录入!F70</f>
        <v>0</v>
      </c>
      <c r="G70" s="21">
        <f>会员卡提成录入!G70</f>
        <v>0</v>
      </c>
      <c r="H70" s="213">
        <f>前台好评提成录入!H75*$E70</f>
        <v>0</v>
      </c>
      <c r="I70" s="213">
        <f>前台好评提成录入!I75*$E70</f>
        <v>0</v>
      </c>
      <c r="J70" s="213">
        <f>前台好评提成录入!J75*$E70</f>
        <v>0</v>
      </c>
      <c r="K70" s="213">
        <f>前台好评提成录入!K75*$E70</f>
        <v>0</v>
      </c>
      <c r="L70" s="213">
        <f>前台好评提成录入!L75*$E70</f>
        <v>0</v>
      </c>
      <c r="M70" s="213">
        <f>前台好评提成录入!M75*$E70</f>
        <v>0</v>
      </c>
      <c r="N70" s="213">
        <f>前台好评提成录入!N75*$E70</f>
        <v>0</v>
      </c>
      <c r="O70" s="213">
        <f>前台好评提成录入!O75*$E70</f>
        <v>0</v>
      </c>
      <c r="P70" s="213">
        <f>前台好评提成录入!P75*$E70</f>
        <v>0</v>
      </c>
      <c r="Q70" s="213">
        <f>前台好评提成录入!Q75*$E70</f>
        <v>0</v>
      </c>
      <c r="R70" s="213">
        <f>前台好评提成录入!R75*$E70</f>
        <v>0</v>
      </c>
      <c r="S70" s="213">
        <f>前台好评提成录入!S75*$E70</f>
        <v>0</v>
      </c>
      <c r="T70" s="213">
        <f>前台好评提成录入!T75*$E70</f>
        <v>0</v>
      </c>
      <c r="U70" s="213">
        <f>前台好评提成录入!U75*$E70</f>
        <v>0</v>
      </c>
      <c r="V70" s="213">
        <f>前台好评提成录入!V75*$E70</f>
        <v>0</v>
      </c>
      <c r="W70" s="213">
        <f>前台好评提成录入!W75*$E70</f>
        <v>0</v>
      </c>
      <c r="X70" s="213">
        <f>前台好评提成录入!X75*$E70</f>
        <v>0</v>
      </c>
      <c r="Y70" s="213">
        <f>前台好评提成录入!Y75*$E70</f>
        <v>0</v>
      </c>
      <c r="Z70" s="213">
        <f>前台好评提成录入!Z75*$E70</f>
        <v>0</v>
      </c>
      <c r="AA70" s="213">
        <f>前台好评提成录入!AA75*$E70</f>
        <v>0</v>
      </c>
      <c r="AB70" s="213">
        <f>前台好评提成录入!AB75*$E70</f>
        <v>0</v>
      </c>
      <c r="AC70" s="213">
        <f>前台好评提成录入!AC75*$E70</f>
        <v>0</v>
      </c>
      <c r="AD70" s="213">
        <f>前台好评提成录入!AD75*$E70</f>
        <v>0</v>
      </c>
      <c r="AE70" s="213">
        <f>前台好评提成录入!AE75*$E70</f>
        <v>0</v>
      </c>
      <c r="AF70" s="213">
        <f>前台好评提成录入!AF75*$E70</f>
        <v>0</v>
      </c>
      <c r="AG70" s="213">
        <f>前台好评提成录入!AG75*$E70</f>
        <v>0</v>
      </c>
      <c r="AH70" s="213">
        <f>前台好评提成录入!AH75*$E70</f>
        <v>0</v>
      </c>
      <c r="AI70" s="213">
        <f>前台好评提成录入!AI75*$E70</f>
        <v>0</v>
      </c>
      <c r="AJ70" s="213">
        <f>前台好评提成录入!AJ75*$E70</f>
        <v>0</v>
      </c>
      <c r="AK70" s="213">
        <f>前台好评提成录入!AK75*$E70</f>
        <v>0</v>
      </c>
      <c r="AL70" s="213">
        <f>前台好评提成录入!AL75*$E70</f>
        <v>0</v>
      </c>
    </row>
    <row r="71" s="178" customFormat="1" customHeight="1" spans="1:38">
      <c r="A71" s="161">
        <v>67</v>
      </c>
      <c r="B71" s="21">
        <f>会员卡提成录入!B71</f>
        <v>0</v>
      </c>
      <c r="C71" s="21">
        <f>会员卡提成录入!C71</f>
        <v>0</v>
      </c>
      <c r="D71" s="21">
        <f>会员卡提成录入!D71</f>
        <v>0</v>
      </c>
      <c r="E71" s="21">
        <f>会员卡提成录入!E71</f>
        <v>0</v>
      </c>
      <c r="F71" s="21">
        <f>会员卡提成录入!F71</f>
        <v>0</v>
      </c>
      <c r="G71" s="21">
        <f>会员卡提成录入!G71</f>
        <v>0</v>
      </c>
      <c r="H71" s="213">
        <f>前台好评提成录入!H76*$E71</f>
        <v>0</v>
      </c>
      <c r="I71" s="213">
        <f>前台好评提成录入!I76*$E71</f>
        <v>0</v>
      </c>
      <c r="J71" s="213">
        <f>前台好评提成录入!J76*$E71</f>
        <v>0</v>
      </c>
      <c r="K71" s="213">
        <f>前台好评提成录入!K76*$E71</f>
        <v>0</v>
      </c>
      <c r="L71" s="213">
        <f>前台好评提成录入!L76*$E71</f>
        <v>0</v>
      </c>
      <c r="M71" s="213">
        <f>前台好评提成录入!M76*$E71</f>
        <v>0</v>
      </c>
      <c r="N71" s="213">
        <f>前台好评提成录入!N76*$E71</f>
        <v>0</v>
      </c>
      <c r="O71" s="213">
        <f>前台好评提成录入!O76*$E71</f>
        <v>0</v>
      </c>
      <c r="P71" s="213">
        <f>前台好评提成录入!P76*$E71</f>
        <v>0</v>
      </c>
      <c r="Q71" s="213">
        <f>前台好评提成录入!Q76*$E71</f>
        <v>0</v>
      </c>
      <c r="R71" s="213">
        <f>前台好评提成录入!R76*$E71</f>
        <v>0</v>
      </c>
      <c r="S71" s="213">
        <f>前台好评提成录入!S76*$E71</f>
        <v>0</v>
      </c>
      <c r="T71" s="213">
        <f>前台好评提成录入!T76*$E71</f>
        <v>0</v>
      </c>
      <c r="U71" s="213">
        <f>前台好评提成录入!U76*$E71</f>
        <v>0</v>
      </c>
      <c r="V71" s="213">
        <f>前台好评提成录入!V76*$E71</f>
        <v>0</v>
      </c>
      <c r="W71" s="213">
        <f>前台好评提成录入!W76*$E71</f>
        <v>0</v>
      </c>
      <c r="X71" s="213">
        <f>前台好评提成录入!X76*$E71</f>
        <v>0</v>
      </c>
      <c r="Y71" s="213">
        <f>前台好评提成录入!Y76*$E71</f>
        <v>0</v>
      </c>
      <c r="Z71" s="213">
        <f>前台好评提成录入!Z76*$E71</f>
        <v>0</v>
      </c>
      <c r="AA71" s="213">
        <f>前台好评提成录入!AA76*$E71</f>
        <v>0</v>
      </c>
      <c r="AB71" s="213">
        <f>前台好评提成录入!AB76*$E71</f>
        <v>0</v>
      </c>
      <c r="AC71" s="213">
        <f>前台好评提成录入!AC76*$E71</f>
        <v>0</v>
      </c>
      <c r="AD71" s="213">
        <f>前台好评提成录入!AD76*$E71</f>
        <v>0</v>
      </c>
      <c r="AE71" s="213">
        <f>前台好评提成录入!AE76*$E71</f>
        <v>0</v>
      </c>
      <c r="AF71" s="213">
        <f>前台好评提成录入!AF76*$E71</f>
        <v>0</v>
      </c>
      <c r="AG71" s="213">
        <f>前台好评提成录入!AG76*$E71</f>
        <v>0</v>
      </c>
      <c r="AH71" s="213">
        <f>前台好评提成录入!AH76*$E71</f>
        <v>0</v>
      </c>
      <c r="AI71" s="213">
        <f>前台好评提成录入!AI76*$E71</f>
        <v>0</v>
      </c>
      <c r="AJ71" s="213">
        <f>前台好评提成录入!AJ76*$E71</f>
        <v>0</v>
      </c>
      <c r="AK71" s="213">
        <f>前台好评提成录入!AK76*$E71</f>
        <v>0</v>
      </c>
      <c r="AL71" s="213">
        <f>前台好评提成录入!AL76*$E71</f>
        <v>0</v>
      </c>
    </row>
    <row r="72" s="178" customFormat="1" customHeight="1" spans="1:38">
      <c r="A72" s="161">
        <v>68</v>
      </c>
      <c r="B72" s="21">
        <f>会员卡提成录入!B72</f>
        <v>0</v>
      </c>
      <c r="C72" s="21">
        <f>会员卡提成录入!C72</f>
        <v>0</v>
      </c>
      <c r="D72" s="21">
        <f>会员卡提成录入!D72</f>
        <v>0</v>
      </c>
      <c r="E72" s="21">
        <f>会员卡提成录入!E72</f>
        <v>0</v>
      </c>
      <c r="F72" s="21">
        <f>会员卡提成录入!F72</f>
        <v>0</v>
      </c>
      <c r="G72" s="21">
        <f>会员卡提成录入!G72</f>
        <v>0</v>
      </c>
      <c r="H72" s="213">
        <f>前台好评提成录入!H77*$E72</f>
        <v>0</v>
      </c>
      <c r="I72" s="213">
        <f>前台好评提成录入!I77*$E72</f>
        <v>0</v>
      </c>
      <c r="J72" s="213">
        <f>前台好评提成录入!J77*$E72</f>
        <v>0</v>
      </c>
      <c r="K72" s="213">
        <f>前台好评提成录入!K77*$E72</f>
        <v>0</v>
      </c>
      <c r="L72" s="213">
        <f>前台好评提成录入!L77*$E72</f>
        <v>0</v>
      </c>
      <c r="M72" s="213">
        <f>前台好评提成录入!M77*$E72</f>
        <v>0</v>
      </c>
      <c r="N72" s="213">
        <f>前台好评提成录入!N77*$E72</f>
        <v>0</v>
      </c>
      <c r="O72" s="213">
        <f>前台好评提成录入!O77*$E72</f>
        <v>0</v>
      </c>
      <c r="P72" s="213">
        <f>前台好评提成录入!P77*$E72</f>
        <v>0</v>
      </c>
      <c r="Q72" s="213">
        <f>前台好评提成录入!Q77*$E72</f>
        <v>0</v>
      </c>
      <c r="R72" s="213">
        <f>前台好评提成录入!R77*$E72</f>
        <v>0</v>
      </c>
      <c r="S72" s="213">
        <f>前台好评提成录入!S77*$E72</f>
        <v>0</v>
      </c>
      <c r="T72" s="213">
        <f>前台好评提成录入!T77*$E72</f>
        <v>0</v>
      </c>
      <c r="U72" s="213">
        <f>前台好评提成录入!U77*$E72</f>
        <v>0</v>
      </c>
      <c r="V72" s="213">
        <f>前台好评提成录入!V77*$E72</f>
        <v>0</v>
      </c>
      <c r="W72" s="213">
        <f>前台好评提成录入!W77*$E72</f>
        <v>0</v>
      </c>
      <c r="X72" s="213">
        <f>前台好评提成录入!X77*$E72</f>
        <v>0</v>
      </c>
      <c r="Y72" s="213">
        <f>前台好评提成录入!Y77*$E72</f>
        <v>0</v>
      </c>
      <c r="Z72" s="213">
        <f>前台好评提成录入!Z77*$E72</f>
        <v>0</v>
      </c>
      <c r="AA72" s="213">
        <f>前台好评提成录入!AA77*$E72</f>
        <v>0</v>
      </c>
      <c r="AB72" s="213">
        <f>前台好评提成录入!AB77*$E72</f>
        <v>0</v>
      </c>
      <c r="AC72" s="213">
        <f>前台好评提成录入!AC77*$E72</f>
        <v>0</v>
      </c>
      <c r="AD72" s="213">
        <f>前台好评提成录入!AD77*$E72</f>
        <v>0</v>
      </c>
      <c r="AE72" s="213">
        <f>前台好评提成录入!AE77*$E72</f>
        <v>0</v>
      </c>
      <c r="AF72" s="213">
        <f>前台好评提成录入!AF77*$E72</f>
        <v>0</v>
      </c>
      <c r="AG72" s="213">
        <f>前台好评提成录入!AG77*$E72</f>
        <v>0</v>
      </c>
      <c r="AH72" s="213">
        <f>前台好评提成录入!AH77*$E72</f>
        <v>0</v>
      </c>
      <c r="AI72" s="213">
        <f>前台好评提成录入!AI77*$E72</f>
        <v>0</v>
      </c>
      <c r="AJ72" s="213">
        <f>前台好评提成录入!AJ77*$E72</f>
        <v>0</v>
      </c>
      <c r="AK72" s="213">
        <f>前台好评提成录入!AK77*$E72</f>
        <v>0</v>
      </c>
      <c r="AL72" s="213">
        <f>前台好评提成录入!AL77*$E72</f>
        <v>0</v>
      </c>
    </row>
    <row r="73" s="178" customFormat="1" customHeight="1" spans="1:38">
      <c r="A73" s="161">
        <v>69</v>
      </c>
      <c r="B73" s="21">
        <f>会员卡提成录入!B73</f>
        <v>0</v>
      </c>
      <c r="C73" s="21">
        <f>会员卡提成录入!C73</f>
        <v>0</v>
      </c>
      <c r="D73" s="21">
        <f>会员卡提成录入!D73</f>
        <v>0</v>
      </c>
      <c r="E73" s="21">
        <f>会员卡提成录入!E73</f>
        <v>0</v>
      </c>
      <c r="F73" s="21">
        <f>会员卡提成录入!F73</f>
        <v>0</v>
      </c>
      <c r="G73" s="21">
        <f>会员卡提成录入!G73</f>
        <v>0</v>
      </c>
      <c r="H73" s="213">
        <f>前台好评提成录入!H78*$E73</f>
        <v>0</v>
      </c>
      <c r="I73" s="213">
        <f>前台好评提成录入!I78*$E73</f>
        <v>0</v>
      </c>
      <c r="J73" s="213">
        <f>前台好评提成录入!J78*$E73</f>
        <v>0</v>
      </c>
      <c r="K73" s="213">
        <f>前台好评提成录入!K78*$E73</f>
        <v>0</v>
      </c>
      <c r="L73" s="213">
        <f>前台好评提成录入!L78*$E73</f>
        <v>0</v>
      </c>
      <c r="M73" s="213">
        <f>前台好评提成录入!M78*$E73</f>
        <v>0</v>
      </c>
      <c r="N73" s="213">
        <f>前台好评提成录入!N78*$E73</f>
        <v>0</v>
      </c>
      <c r="O73" s="213">
        <f>前台好评提成录入!O78*$E73</f>
        <v>0</v>
      </c>
      <c r="P73" s="213">
        <f>前台好评提成录入!P78*$E73</f>
        <v>0</v>
      </c>
      <c r="Q73" s="213">
        <f>前台好评提成录入!Q78*$E73</f>
        <v>0</v>
      </c>
      <c r="R73" s="213">
        <f>前台好评提成录入!R78*$E73</f>
        <v>0</v>
      </c>
      <c r="S73" s="213">
        <f>前台好评提成录入!S78*$E73</f>
        <v>0</v>
      </c>
      <c r="T73" s="213">
        <f>前台好评提成录入!T78*$E73</f>
        <v>0</v>
      </c>
      <c r="U73" s="213">
        <f>前台好评提成录入!U78*$E73</f>
        <v>0</v>
      </c>
      <c r="V73" s="213">
        <f>前台好评提成录入!V78*$E73</f>
        <v>0</v>
      </c>
      <c r="W73" s="213">
        <f>前台好评提成录入!W78*$E73</f>
        <v>0</v>
      </c>
      <c r="X73" s="213">
        <f>前台好评提成录入!X78*$E73</f>
        <v>0</v>
      </c>
      <c r="Y73" s="213">
        <f>前台好评提成录入!Y78*$E73</f>
        <v>0</v>
      </c>
      <c r="Z73" s="213">
        <f>前台好评提成录入!Z78*$E73</f>
        <v>0</v>
      </c>
      <c r="AA73" s="213">
        <f>前台好评提成录入!AA78*$E73</f>
        <v>0</v>
      </c>
      <c r="AB73" s="213">
        <f>前台好评提成录入!AB78*$E73</f>
        <v>0</v>
      </c>
      <c r="AC73" s="213">
        <f>前台好评提成录入!AC78*$E73</f>
        <v>0</v>
      </c>
      <c r="AD73" s="213">
        <f>前台好评提成录入!AD78*$E73</f>
        <v>0</v>
      </c>
      <c r="AE73" s="213">
        <f>前台好评提成录入!AE78*$E73</f>
        <v>0</v>
      </c>
      <c r="AF73" s="213">
        <f>前台好评提成录入!AF78*$E73</f>
        <v>0</v>
      </c>
      <c r="AG73" s="213">
        <f>前台好评提成录入!AG78*$E73</f>
        <v>0</v>
      </c>
      <c r="AH73" s="213">
        <f>前台好评提成录入!AH78*$E73</f>
        <v>0</v>
      </c>
      <c r="AI73" s="213">
        <f>前台好评提成录入!AI78*$E73</f>
        <v>0</v>
      </c>
      <c r="AJ73" s="213">
        <f>前台好评提成录入!AJ78*$E73</f>
        <v>0</v>
      </c>
      <c r="AK73" s="213">
        <f>前台好评提成录入!AK78*$E73</f>
        <v>0</v>
      </c>
      <c r="AL73" s="213">
        <f>前台好评提成录入!AL78*$E73</f>
        <v>0</v>
      </c>
    </row>
    <row r="74" s="178" customFormat="1" customHeight="1" spans="1:38">
      <c r="A74" s="161">
        <v>70</v>
      </c>
      <c r="B74" s="21">
        <f>会员卡提成录入!B74</f>
        <v>0</v>
      </c>
      <c r="C74" s="21">
        <f>会员卡提成录入!C74</f>
        <v>0</v>
      </c>
      <c r="D74" s="21">
        <f>会员卡提成录入!D74</f>
        <v>0</v>
      </c>
      <c r="E74" s="21">
        <f>会员卡提成录入!E74</f>
        <v>0</v>
      </c>
      <c r="F74" s="21">
        <f>会员卡提成录入!F74</f>
        <v>0</v>
      </c>
      <c r="G74" s="21">
        <f>会员卡提成录入!G74</f>
        <v>0</v>
      </c>
      <c r="H74" s="213">
        <f>前台好评提成录入!H79*$E74</f>
        <v>0</v>
      </c>
      <c r="I74" s="213">
        <f>前台好评提成录入!I79*$E74</f>
        <v>0</v>
      </c>
      <c r="J74" s="213">
        <f>前台好评提成录入!J79*$E74</f>
        <v>0</v>
      </c>
      <c r="K74" s="213">
        <f>前台好评提成录入!K79*$E74</f>
        <v>0</v>
      </c>
      <c r="L74" s="213">
        <f>前台好评提成录入!L79*$E74</f>
        <v>0</v>
      </c>
      <c r="M74" s="213">
        <f>前台好评提成录入!M79*$E74</f>
        <v>0</v>
      </c>
      <c r="N74" s="213">
        <f>前台好评提成录入!N79*$E74</f>
        <v>0</v>
      </c>
      <c r="O74" s="213">
        <f>前台好评提成录入!O79*$E74</f>
        <v>0</v>
      </c>
      <c r="P74" s="213">
        <f>前台好评提成录入!P79*$E74</f>
        <v>0</v>
      </c>
      <c r="Q74" s="213">
        <f>前台好评提成录入!Q79*$E74</f>
        <v>0</v>
      </c>
      <c r="R74" s="213">
        <f>前台好评提成录入!R79*$E74</f>
        <v>0</v>
      </c>
      <c r="S74" s="213">
        <f>前台好评提成录入!S79*$E74</f>
        <v>0</v>
      </c>
      <c r="T74" s="213">
        <f>前台好评提成录入!T79*$E74</f>
        <v>0</v>
      </c>
      <c r="U74" s="213">
        <f>前台好评提成录入!U79*$E74</f>
        <v>0</v>
      </c>
      <c r="V74" s="213">
        <f>前台好评提成录入!V79*$E74</f>
        <v>0</v>
      </c>
      <c r="W74" s="213">
        <f>前台好评提成录入!W79*$E74</f>
        <v>0</v>
      </c>
      <c r="X74" s="213">
        <f>前台好评提成录入!X79*$E74</f>
        <v>0</v>
      </c>
      <c r="Y74" s="213">
        <f>前台好评提成录入!Y79*$E74</f>
        <v>0</v>
      </c>
      <c r="Z74" s="213">
        <f>前台好评提成录入!Z79*$E74</f>
        <v>0</v>
      </c>
      <c r="AA74" s="213">
        <f>前台好评提成录入!AA79*$E74</f>
        <v>0</v>
      </c>
      <c r="AB74" s="213">
        <f>前台好评提成录入!AB79*$E74</f>
        <v>0</v>
      </c>
      <c r="AC74" s="213">
        <f>前台好评提成录入!AC79*$E74</f>
        <v>0</v>
      </c>
      <c r="AD74" s="213">
        <f>前台好评提成录入!AD79*$E74</f>
        <v>0</v>
      </c>
      <c r="AE74" s="213">
        <f>前台好评提成录入!AE79*$E74</f>
        <v>0</v>
      </c>
      <c r="AF74" s="213">
        <f>前台好评提成录入!AF79*$E74</f>
        <v>0</v>
      </c>
      <c r="AG74" s="213">
        <f>前台好评提成录入!AG79*$E74</f>
        <v>0</v>
      </c>
      <c r="AH74" s="213">
        <f>前台好评提成录入!AH79*$E74</f>
        <v>0</v>
      </c>
      <c r="AI74" s="213">
        <f>前台好评提成录入!AI79*$E74</f>
        <v>0</v>
      </c>
      <c r="AJ74" s="213">
        <f>前台好评提成录入!AJ79*$E74</f>
        <v>0</v>
      </c>
      <c r="AK74" s="213">
        <f>前台好评提成录入!AK79*$E74</f>
        <v>0</v>
      </c>
      <c r="AL74" s="213">
        <f>前台好评提成录入!AL79*$E74</f>
        <v>0</v>
      </c>
    </row>
    <row r="75" s="179" customFormat="1" customHeight="1" spans="1:38">
      <c r="A75" s="193"/>
      <c r="B75" s="6" t="s">
        <v>303</v>
      </c>
      <c r="C75" s="193"/>
      <c r="D75" s="193"/>
      <c r="E75" s="193"/>
      <c r="F75" s="190">
        <f>SUMIF($H$4:$AL$4,$F$4,$H75:$AL75)</f>
        <v>0</v>
      </c>
      <c r="G75" s="194">
        <f t="shared" ref="G75:AL75" si="0">SUM(G5:G74)</f>
        <v>937</v>
      </c>
      <c r="H75" s="194">
        <f t="shared" si="0"/>
        <v>1910</v>
      </c>
      <c r="I75" s="194">
        <f t="shared" si="0"/>
        <v>0</v>
      </c>
      <c r="J75" s="194">
        <f t="shared" si="0"/>
        <v>0</v>
      </c>
      <c r="K75" s="194">
        <f t="shared" si="0"/>
        <v>0</v>
      </c>
      <c r="L75" s="194">
        <f t="shared" si="0"/>
        <v>0</v>
      </c>
      <c r="M75" s="194">
        <f t="shared" si="0"/>
        <v>0</v>
      </c>
      <c r="N75" s="194">
        <f t="shared" si="0"/>
        <v>0</v>
      </c>
      <c r="O75" s="194">
        <f t="shared" si="0"/>
        <v>0</v>
      </c>
      <c r="P75" s="194">
        <f t="shared" si="0"/>
        <v>0</v>
      </c>
      <c r="Q75" s="194">
        <f t="shared" si="0"/>
        <v>0</v>
      </c>
      <c r="R75" s="194">
        <f t="shared" si="0"/>
        <v>0</v>
      </c>
      <c r="S75" s="194">
        <f t="shared" si="0"/>
        <v>0</v>
      </c>
      <c r="T75" s="194">
        <f t="shared" si="0"/>
        <v>0</v>
      </c>
      <c r="U75" s="194">
        <f t="shared" si="0"/>
        <v>0</v>
      </c>
      <c r="V75" s="194">
        <f t="shared" si="0"/>
        <v>0</v>
      </c>
      <c r="W75" s="194">
        <f t="shared" si="0"/>
        <v>0</v>
      </c>
      <c r="X75" s="194">
        <f t="shared" si="0"/>
        <v>0</v>
      </c>
      <c r="Y75" s="194">
        <f t="shared" si="0"/>
        <v>0</v>
      </c>
      <c r="Z75" s="194">
        <f t="shared" si="0"/>
        <v>0</v>
      </c>
      <c r="AA75" s="194">
        <f t="shared" si="0"/>
        <v>0</v>
      </c>
      <c r="AB75" s="194">
        <f t="shared" si="0"/>
        <v>0</v>
      </c>
      <c r="AC75" s="194">
        <f t="shared" si="0"/>
        <v>0</v>
      </c>
      <c r="AD75" s="194">
        <f t="shared" si="0"/>
        <v>0</v>
      </c>
      <c r="AE75" s="194">
        <f t="shared" si="0"/>
        <v>0</v>
      </c>
      <c r="AF75" s="194">
        <f t="shared" si="0"/>
        <v>0</v>
      </c>
      <c r="AG75" s="194">
        <f t="shared" si="0"/>
        <v>0</v>
      </c>
      <c r="AH75" s="194">
        <f t="shared" si="0"/>
        <v>0</v>
      </c>
      <c r="AI75" s="194">
        <f t="shared" si="0"/>
        <v>0</v>
      </c>
      <c r="AJ75" s="194">
        <f t="shared" si="0"/>
        <v>0</v>
      </c>
      <c r="AK75" s="194">
        <f t="shared" si="0"/>
        <v>0</v>
      </c>
      <c r="AL75" s="194">
        <f t="shared" si="0"/>
        <v>0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B1:D1"/>
    <mergeCell ref="A3:A4"/>
    <mergeCell ref="B3:B4"/>
    <mergeCell ref="C3:C4"/>
    <mergeCell ref="D3:D4"/>
    <mergeCell ref="E3:E4"/>
    <mergeCell ref="G3:G4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前台增值物品出入库表  (2)">
    <tabColor rgb="FFFF0000"/>
    <pageSetUpPr fitToPage="1"/>
  </sheetPr>
  <dimension ref="A1:BW174"/>
  <sheetViews>
    <sheetView showGridLines="0" topLeftCell="N96" workbookViewId="0">
      <selection activeCell="P31" sqref="P31"/>
    </sheetView>
  </sheetViews>
  <sheetFormatPr defaultColWidth="9" defaultRowHeight="25" customHeight="1"/>
  <cols>
    <col min="1" max="1" width="4.75" style="143"/>
    <col min="2" max="2" width="15" style="143"/>
    <col min="3" max="3" width="8.25833333333333" style="143"/>
    <col min="4" max="4" width="5.125" style="143"/>
    <col min="5" max="5" width="9.81666666666667" style="143" customWidth="1"/>
    <col min="6" max="6" width="10.875" style="143"/>
    <col min="7" max="7" width="12.625" style="145"/>
    <col min="8" max="8" width="10.875" style="144"/>
    <col min="9" max="9" width="10.875" style="145"/>
    <col min="10" max="10" width="10.875" style="144"/>
    <col min="11" max="11" width="12.625" style="145"/>
    <col min="12" max="12" width="10.875" style="144"/>
    <col min="13" max="13" width="12.625" style="145"/>
    <col min="14" max="14" width="7.375" style="143"/>
    <col min="15" max="15" width="12.625" style="143"/>
    <col min="19" max="19" width="11.5"/>
    <col min="21" max="21" width="9.375"/>
    <col min="23" max="23" width="9.375"/>
    <col min="27" max="27" width="10.375"/>
    <col min="31" max="31" width="9.375"/>
    <col min="33" max="33" width="11.5"/>
    <col min="35" max="35" width="9.375"/>
    <col min="37" max="37" width="12.625"/>
    <col min="39" max="39" width="12.625"/>
    <col min="41" max="41" width="12.625"/>
  </cols>
  <sheetData>
    <row r="1" s="177" customFormat="1" ht="40" customHeight="1" spans="1:75">
      <c r="A1" s="148"/>
      <c r="B1" s="148" t="s">
        <v>124</v>
      </c>
      <c r="C1" s="148"/>
      <c r="D1" s="148"/>
      <c r="E1" s="148"/>
      <c r="F1" s="148"/>
      <c r="G1" s="148"/>
      <c r="H1" s="149"/>
      <c r="I1" s="150"/>
      <c r="J1" s="149"/>
      <c r="K1" s="150"/>
      <c r="L1" s="149"/>
      <c r="M1" s="150"/>
      <c r="N1" s="148"/>
      <c r="O1" s="14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s="177" customFormat="1" ht="15" customHeight="1" spans="1:75">
      <c r="A2" s="148"/>
      <c r="B2" s="15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215" t="s">
        <v>125</v>
      </c>
      <c r="O2" s="215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s="18" customFormat="1" customHeight="1" spans="1:75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64</v>
      </c>
      <c r="F3" s="20" t="s">
        <v>128</v>
      </c>
      <c r="G3" s="20" t="s">
        <v>129</v>
      </c>
      <c r="H3" s="20" t="s">
        <v>130</v>
      </c>
      <c r="I3" s="20" t="s">
        <v>131</v>
      </c>
      <c r="J3" s="20" t="s">
        <v>132</v>
      </c>
      <c r="K3" s="20" t="s">
        <v>65</v>
      </c>
      <c r="L3" s="20" t="s">
        <v>133</v>
      </c>
      <c r="M3" s="20" t="s">
        <v>129</v>
      </c>
      <c r="N3" s="20" t="s">
        <v>9</v>
      </c>
      <c r="O3" s="20"/>
      <c r="P3" s="20" t="s">
        <v>10</v>
      </c>
      <c r="Q3" s="20"/>
      <c r="R3" s="20" t="s">
        <v>11</v>
      </c>
      <c r="S3" s="20"/>
      <c r="T3" s="20" t="s">
        <v>12</v>
      </c>
      <c r="U3" s="20"/>
      <c r="V3" s="20" t="s">
        <v>13</v>
      </c>
      <c r="W3" s="20"/>
      <c r="X3" s="20" t="s">
        <v>14</v>
      </c>
      <c r="Y3" s="20"/>
      <c r="Z3" s="20" t="s">
        <v>15</v>
      </c>
      <c r="AA3" s="20"/>
      <c r="AB3" s="20" t="s">
        <v>16</v>
      </c>
      <c r="AC3" s="20"/>
      <c r="AD3" s="20" t="s">
        <v>17</v>
      </c>
      <c r="AE3" s="20"/>
      <c r="AF3" s="20" t="s">
        <v>18</v>
      </c>
      <c r="AG3" s="20"/>
      <c r="AH3" s="20" t="s">
        <v>19</v>
      </c>
      <c r="AI3" s="20"/>
      <c r="AJ3" s="20" t="s">
        <v>20</v>
      </c>
      <c r="AK3" s="20"/>
      <c r="AL3" s="20" t="s">
        <v>21</v>
      </c>
      <c r="AM3" s="20"/>
      <c r="AN3" s="20" t="s">
        <v>22</v>
      </c>
      <c r="AO3" s="20"/>
      <c r="AP3" s="20" t="s">
        <v>23</v>
      </c>
      <c r="AQ3" s="20"/>
      <c r="AR3" s="20" t="s">
        <v>24</v>
      </c>
      <c r="AS3" s="20"/>
      <c r="AT3" s="20" t="s">
        <v>25</v>
      </c>
      <c r="AU3" s="20"/>
      <c r="AV3" s="20" t="s">
        <v>26</v>
      </c>
      <c r="AW3" s="20"/>
      <c r="AX3" s="20" t="s">
        <v>27</v>
      </c>
      <c r="AY3" s="20"/>
      <c r="AZ3" s="20" t="s">
        <v>28</v>
      </c>
      <c r="BA3" s="20"/>
      <c r="BB3" s="20" t="s">
        <v>29</v>
      </c>
      <c r="BC3" s="20"/>
      <c r="BD3" s="20" t="s">
        <v>30</v>
      </c>
      <c r="BE3" s="20"/>
      <c r="BF3" s="20" t="s">
        <v>31</v>
      </c>
      <c r="BG3" s="20"/>
      <c r="BH3" s="20" t="s">
        <v>32</v>
      </c>
      <c r="BI3" s="20"/>
      <c r="BJ3" s="20" t="s">
        <v>33</v>
      </c>
      <c r="BK3" s="20"/>
      <c r="BL3" s="20" t="s">
        <v>34</v>
      </c>
      <c r="BM3" s="20"/>
      <c r="BN3" s="20" t="s">
        <v>35</v>
      </c>
      <c r="BO3" s="20"/>
      <c r="BP3" s="20" t="s">
        <v>36</v>
      </c>
      <c r="BQ3" s="20"/>
      <c r="BR3" s="20" t="s">
        <v>37</v>
      </c>
      <c r="BS3" s="20"/>
      <c r="BT3" s="20" t="s">
        <v>38</v>
      </c>
      <c r="BU3" s="20"/>
      <c r="BV3" s="20" t="s">
        <v>39</v>
      </c>
      <c r="BW3" s="20"/>
    </row>
    <row r="4" s="18" customFormat="1" customHeight="1" spans="1:75">
      <c r="A4" s="210"/>
      <c r="B4" s="210"/>
      <c r="C4" s="210"/>
      <c r="D4" s="210"/>
      <c r="E4" s="210"/>
      <c r="F4" s="20"/>
      <c r="G4" s="20"/>
      <c r="H4" s="20"/>
      <c r="I4" s="20"/>
      <c r="J4" s="20"/>
      <c r="K4" s="20"/>
      <c r="L4" s="20"/>
      <c r="M4" s="20"/>
      <c r="N4" s="20" t="s">
        <v>134</v>
      </c>
      <c r="O4" s="20" t="s">
        <v>135</v>
      </c>
      <c r="P4" s="20" t="s">
        <v>134</v>
      </c>
      <c r="Q4" s="20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78" customFormat="1" customHeight="1" spans="1:75">
      <c r="A5" s="161">
        <v>1</v>
      </c>
      <c r="B5" s="162" t="str">
        <f>前台增值物品出入库录入!B5</f>
        <v>剃须刀</v>
      </c>
      <c r="C5" s="162">
        <f>前台增值物品出入库录入!C5</f>
        <v>0</v>
      </c>
      <c r="D5" s="162" t="str">
        <f>前台增值物品出入库录入!D5</f>
        <v>个</v>
      </c>
      <c r="E5" s="162">
        <f>前台增值物品出入库录入!E5</f>
        <v>1.2</v>
      </c>
      <c r="F5" s="162">
        <f>前台增值物品出入库录入!F5</f>
        <v>0</v>
      </c>
      <c r="G5" s="162">
        <f>前台增值物品出入库录入!G5</f>
        <v>0</v>
      </c>
      <c r="H5" s="162">
        <f>前台增值物品出入库录入!H5</f>
        <v>0</v>
      </c>
      <c r="I5" s="162">
        <f>前台增值物品出入库录入!I5</f>
        <v>0</v>
      </c>
      <c r="J5" s="162">
        <f>前台增值物品出入库录入!J5</f>
        <v>0</v>
      </c>
      <c r="K5" s="162">
        <f>前台增值物品出入库录入!K5</f>
        <v>0</v>
      </c>
      <c r="L5" s="162">
        <f>前台增值物品出入库录入!L5</f>
        <v>0</v>
      </c>
      <c r="M5" s="162">
        <f>前台增值物品出入库录入!M5</f>
        <v>0</v>
      </c>
      <c r="N5" s="133">
        <f>前台增值物品出入库录入!N5*$E5</f>
        <v>0</v>
      </c>
      <c r="O5" s="133">
        <f>前台增值物品出入库录入!O5*$E5</f>
        <v>0</v>
      </c>
      <c r="P5" s="133">
        <f>前台增值物品出入库录入!P5*$E5</f>
        <v>0</v>
      </c>
      <c r="Q5" s="133">
        <f>前台增值物品出入库录入!Q5*$E5</f>
        <v>0</v>
      </c>
      <c r="R5" s="133">
        <f>前台增值物品出入库录入!R5*$E5</f>
        <v>0</v>
      </c>
      <c r="S5" s="133">
        <f>前台增值物品出入库录入!S5*$E5</f>
        <v>0</v>
      </c>
      <c r="T5" s="133">
        <f>前台增值物品出入库录入!T5*$E5</f>
        <v>0</v>
      </c>
      <c r="U5" s="133">
        <f>前台增值物品出入库录入!U5*$E5</f>
        <v>0</v>
      </c>
      <c r="V5" s="133">
        <f>前台增值物品出入库录入!V5*$E5</f>
        <v>0</v>
      </c>
      <c r="W5" s="133">
        <f>前台增值物品出入库录入!W5*$E5</f>
        <v>0</v>
      </c>
      <c r="X5" s="133">
        <f>前台增值物品出入库录入!X5*$E5</f>
        <v>0</v>
      </c>
      <c r="Y5" s="133">
        <f>前台增值物品出入库录入!Y5*$E5</f>
        <v>0</v>
      </c>
      <c r="Z5" s="133">
        <f>前台增值物品出入库录入!Z5*$E5</f>
        <v>0</v>
      </c>
      <c r="AA5" s="133">
        <f>前台增值物品出入库录入!AA5*$E5</f>
        <v>0</v>
      </c>
      <c r="AB5" s="133">
        <f>前台增值物品出入库录入!AB5*$E5</f>
        <v>0</v>
      </c>
      <c r="AC5" s="133">
        <f>前台增值物品出入库录入!AC5*$E5</f>
        <v>0</v>
      </c>
      <c r="AD5" s="133">
        <f>前台增值物品出入库录入!AD5*$E5</f>
        <v>0</v>
      </c>
      <c r="AE5" s="133">
        <f>前台增值物品出入库录入!AE5*$E5</f>
        <v>0</v>
      </c>
      <c r="AF5" s="133">
        <f>前台增值物品出入库录入!AF5*$E5</f>
        <v>0</v>
      </c>
      <c r="AG5" s="133">
        <f>前台增值物品出入库录入!AG5*$E5</f>
        <v>0</v>
      </c>
      <c r="AH5" s="133">
        <f>前台增值物品出入库录入!AH5*$E5</f>
        <v>0</v>
      </c>
      <c r="AI5" s="133">
        <f>前台增值物品出入库录入!AI5*$E5</f>
        <v>0</v>
      </c>
      <c r="AJ5" s="133">
        <f>前台增值物品出入库录入!AJ5*$E5</f>
        <v>0</v>
      </c>
      <c r="AK5" s="133">
        <f>前台增值物品出入库录入!AK5*$E5</f>
        <v>0</v>
      </c>
      <c r="AL5" s="133">
        <f>前台增值物品出入库录入!AL5*$E5</f>
        <v>0</v>
      </c>
      <c r="AM5" s="133">
        <f>前台增值物品出入库录入!AM5*$E5</f>
        <v>0</v>
      </c>
      <c r="AN5" s="133">
        <f>前台增值物品出入库录入!AN5*$E5</f>
        <v>0</v>
      </c>
      <c r="AO5" s="133">
        <f>前台增值物品出入库录入!AO5*$E5</f>
        <v>0</v>
      </c>
      <c r="AP5" s="133">
        <f>前台增值物品出入库录入!AP5*$E5</f>
        <v>0</v>
      </c>
      <c r="AQ5" s="133">
        <f>前台增值物品出入库录入!AQ5*$E5</f>
        <v>0</v>
      </c>
      <c r="AR5" s="133">
        <f>前台增值物品出入库录入!AR5*$E5</f>
        <v>0</v>
      </c>
      <c r="AS5" s="133">
        <f>前台增值物品出入库录入!AS5*$E5</f>
        <v>0</v>
      </c>
      <c r="AT5" s="133">
        <f>前台增值物品出入库录入!AT5*$E5</f>
        <v>0</v>
      </c>
      <c r="AU5" s="133">
        <f>前台增值物品出入库录入!AU5*$E5</f>
        <v>0</v>
      </c>
      <c r="AV5" s="133">
        <f>前台增值物品出入库录入!AV5*$E5</f>
        <v>0</v>
      </c>
      <c r="AW5" s="133">
        <f>前台增值物品出入库录入!AW5*$E5</f>
        <v>0</v>
      </c>
      <c r="AX5" s="133">
        <f>前台增值物品出入库录入!AX5*$E5</f>
        <v>0</v>
      </c>
      <c r="AY5" s="133">
        <f>前台增值物品出入库录入!AY5*$E5</f>
        <v>0</v>
      </c>
      <c r="AZ5" s="133">
        <f>前台增值物品出入库录入!AZ5*$E5</f>
        <v>0</v>
      </c>
      <c r="BA5" s="133">
        <f>前台增值物品出入库录入!BA5*$E5</f>
        <v>0</v>
      </c>
      <c r="BB5" s="133">
        <f>前台增值物品出入库录入!BB5*$E5</f>
        <v>0</v>
      </c>
      <c r="BC5" s="133">
        <f>前台增值物品出入库录入!BC5*$E5</f>
        <v>0</v>
      </c>
      <c r="BD5" s="133">
        <f>前台增值物品出入库录入!BD5*$E5</f>
        <v>0</v>
      </c>
      <c r="BE5" s="133">
        <f>前台增值物品出入库录入!BE5*$E5</f>
        <v>0</v>
      </c>
      <c r="BF5" s="133">
        <f>前台增值物品出入库录入!BF5*$E5</f>
        <v>0</v>
      </c>
      <c r="BG5" s="133">
        <f>前台增值物品出入库录入!BG5*$E5</f>
        <v>0</v>
      </c>
      <c r="BH5" s="133">
        <f>前台增值物品出入库录入!BH5*$E5</f>
        <v>0</v>
      </c>
      <c r="BI5" s="133">
        <f>前台增值物品出入库录入!BI5*$E5</f>
        <v>0</v>
      </c>
      <c r="BJ5" s="133">
        <f>前台增值物品出入库录入!BJ5*$E5</f>
        <v>0</v>
      </c>
      <c r="BK5" s="133">
        <f>前台增值物品出入库录入!BK5*$E5</f>
        <v>0</v>
      </c>
      <c r="BL5" s="133">
        <f>前台增值物品出入库录入!BL5*$E5</f>
        <v>0</v>
      </c>
      <c r="BM5" s="133">
        <f>前台增值物品出入库录入!BM5*$E5</f>
        <v>0</v>
      </c>
      <c r="BN5" s="133">
        <f>前台增值物品出入库录入!BN5*$E5</f>
        <v>0</v>
      </c>
      <c r="BO5" s="133">
        <f>前台增值物品出入库录入!BO5*$E5</f>
        <v>0</v>
      </c>
      <c r="BP5" s="133">
        <f>前台增值物品出入库录入!BP5*$E5</f>
        <v>0</v>
      </c>
      <c r="BQ5" s="133">
        <f>前台增值物品出入库录入!BQ5*$E5</f>
        <v>0</v>
      </c>
      <c r="BR5" s="133">
        <f>前台增值物品出入库录入!BR5*$E5</f>
        <v>0</v>
      </c>
      <c r="BS5" s="133">
        <f>前台增值物品出入库录入!BS5*$E5</f>
        <v>0</v>
      </c>
      <c r="BT5" s="133">
        <f>前台增值物品出入库录入!BT5*$E5</f>
        <v>0</v>
      </c>
      <c r="BU5" s="133">
        <f>前台增值物品出入库录入!BU5*$E5</f>
        <v>0</v>
      </c>
      <c r="BV5" s="133">
        <f>前台增值物品出入库录入!BV5*$E5</f>
        <v>0</v>
      </c>
      <c r="BW5" s="133">
        <f>前台增值物品出入库录入!BW5*$E5</f>
        <v>0</v>
      </c>
    </row>
    <row r="6" s="178" customFormat="1" customHeight="1" spans="1:75">
      <c r="A6" s="161">
        <v>2</v>
      </c>
      <c r="B6" s="162" t="str">
        <f>前台增值物品出入库录入!B6</f>
        <v>费用报销单</v>
      </c>
      <c r="C6" s="162">
        <f>前台增值物品出入库录入!C6</f>
        <v>0</v>
      </c>
      <c r="D6" s="162" t="str">
        <f>前台增值物品出入库录入!D6</f>
        <v>个</v>
      </c>
      <c r="E6" s="162">
        <f>前台增值物品出入库录入!E6</f>
        <v>2</v>
      </c>
      <c r="F6" s="162">
        <f>前台增值物品出入库录入!F6</f>
        <v>5</v>
      </c>
      <c r="G6" s="162">
        <f>前台增值物品出入库录入!G6</f>
        <v>10</v>
      </c>
      <c r="H6" s="162">
        <f>前台增值物品出入库录入!H6</f>
        <v>0</v>
      </c>
      <c r="I6" s="162">
        <f>前台增值物品出入库录入!I6</f>
        <v>0</v>
      </c>
      <c r="J6" s="162">
        <f>前台增值物品出入库录入!J6</f>
        <v>0</v>
      </c>
      <c r="K6" s="162">
        <f>前台增值物品出入库录入!K6</f>
        <v>0</v>
      </c>
      <c r="L6" s="162">
        <f>前台增值物品出入库录入!L6</f>
        <v>5</v>
      </c>
      <c r="M6" s="162">
        <f>前台增值物品出入库录入!M6</f>
        <v>10</v>
      </c>
      <c r="N6" s="133">
        <f>前台增值物品出入库录入!N6*$E6</f>
        <v>0</v>
      </c>
      <c r="O6" s="133">
        <f>前台增值物品出入库录入!O6*$E6</f>
        <v>0</v>
      </c>
      <c r="P6" s="133">
        <f>前台增值物品出入库录入!P6*$E6</f>
        <v>0</v>
      </c>
      <c r="Q6" s="133">
        <f>前台增值物品出入库录入!Q6*$E6</f>
        <v>0</v>
      </c>
      <c r="R6" s="133">
        <f>前台增值物品出入库录入!R6*$E6</f>
        <v>0</v>
      </c>
      <c r="S6" s="133">
        <f>前台增值物品出入库录入!S6*$E6</f>
        <v>0</v>
      </c>
      <c r="T6" s="133">
        <f>前台增值物品出入库录入!T6*$E6</f>
        <v>0</v>
      </c>
      <c r="U6" s="133">
        <f>前台增值物品出入库录入!U6*$E6</f>
        <v>0</v>
      </c>
      <c r="V6" s="133">
        <f>前台增值物品出入库录入!V6*$E6</f>
        <v>0</v>
      </c>
      <c r="W6" s="133">
        <f>前台增值物品出入库录入!W6*$E6</f>
        <v>0</v>
      </c>
      <c r="X6" s="133">
        <f>前台增值物品出入库录入!X6*$E6</f>
        <v>0</v>
      </c>
      <c r="Y6" s="133">
        <f>前台增值物品出入库录入!Y6*$E6</f>
        <v>0</v>
      </c>
      <c r="Z6" s="133">
        <f>前台增值物品出入库录入!Z6*$E6</f>
        <v>0</v>
      </c>
      <c r="AA6" s="133">
        <f>前台增值物品出入库录入!AA6*$E6</f>
        <v>0</v>
      </c>
      <c r="AB6" s="133">
        <f>前台增值物品出入库录入!AB6*$E6</f>
        <v>0</v>
      </c>
      <c r="AC6" s="133">
        <f>前台增值物品出入库录入!AC6*$E6</f>
        <v>0</v>
      </c>
      <c r="AD6" s="133">
        <f>前台增值物品出入库录入!AD6*$E6</f>
        <v>0</v>
      </c>
      <c r="AE6" s="133">
        <f>前台增值物品出入库录入!AE6*$E6</f>
        <v>0</v>
      </c>
      <c r="AF6" s="133">
        <f>前台增值物品出入库录入!AF6*$E6</f>
        <v>0</v>
      </c>
      <c r="AG6" s="133">
        <f>前台增值物品出入库录入!AG6*$E6</f>
        <v>0</v>
      </c>
      <c r="AH6" s="133">
        <f>前台增值物品出入库录入!AH6*$E6</f>
        <v>0</v>
      </c>
      <c r="AI6" s="133">
        <f>前台增值物品出入库录入!AI6*$E6</f>
        <v>0</v>
      </c>
      <c r="AJ6" s="133">
        <f>前台增值物品出入库录入!AJ6*$E6</f>
        <v>0</v>
      </c>
      <c r="AK6" s="133">
        <f>前台增值物品出入库录入!AK6*$E6</f>
        <v>0</v>
      </c>
      <c r="AL6" s="133">
        <f>前台增值物品出入库录入!AL6*$E6</f>
        <v>0</v>
      </c>
      <c r="AM6" s="133">
        <f>前台增值物品出入库录入!AM6*$E6</f>
        <v>0</v>
      </c>
      <c r="AN6" s="133">
        <f>前台增值物品出入库录入!AN6*$E6</f>
        <v>0</v>
      </c>
      <c r="AO6" s="133">
        <f>前台增值物品出入库录入!AO6*$E6</f>
        <v>0</v>
      </c>
      <c r="AP6" s="133">
        <f>前台增值物品出入库录入!AP6*$E6</f>
        <v>0</v>
      </c>
      <c r="AQ6" s="133">
        <f>前台增值物品出入库录入!AQ6*$E6</f>
        <v>0</v>
      </c>
      <c r="AR6" s="133">
        <f>前台增值物品出入库录入!AR6*$E6</f>
        <v>0</v>
      </c>
      <c r="AS6" s="133">
        <f>前台增值物品出入库录入!AS6*$E6</f>
        <v>0</v>
      </c>
      <c r="AT6" s="133">
        <f>前台增值物品出入库录入!AT6*$E6</f>
        <v>0</v>
      </c>
      <c r="AU6" s="133">
        <f>前台增值物品出入库录入!AU6*$E6</f>
        <v>0</v>
      </c>
      <c r="AV6" s="133">
        <f>前台增值物品出入库录入!AV6*$E6</f>
        <v>0</v>
      </c>
      <c r="AW6" s="133">
        <f>前台增值物品出入库录入!AW6*$E6</f>
        <v>0</v>
      </c>
      <c r="AX6" s="133">
        <f>前台增值物品出入库录入!AX6*$E6</f>
        <v>0</v>
      </c>
      <c r="AY6" s="133">
        <f>前台增值物品出入库录入!AY6*$E6</f>
        <v>0</v>
      </c>
      <c r="AZ6" s="133">
        <f>前台增值物品出入库录入!AZ6*$E6</f>
        <v>0</v>
      </c>
      <c r="BA6" s="133">
        <f>前台增值物品出入库录入!BA6*$E6</f>
        <v>0</v>
      </c>
      <c r="BB6" s="133">
        <f>前台增值物品出入库录入!BB6*$E6</f>
        <v>0</v>
      </c>
      <c r="BC6" s="133">
        <f>前台增值物品出入库录入!BC6*$E6</f>
        <v>0</v>
      </c>
      <c r="BD6" s="133">
        <f>前台增值物品出入库录入!BD6*$E6</f>
        <v>0</v>
      </c>
      <c r="BE6" s="133">
        <f>前台增值物品出入库录入!BE6*$E6</f>
        <v>0</v>
      </c>
      <c r="BF6" s="133">
        <f>前台增值物品出入库录入!BF6*$E6</f>
        <v>0</v>
      </c>
      <c r="BG6" s="133">
        <f>前台增值物品出入库录入!BG6*$E6</f>
        <v>0</v>
      </c>
      <c r="BH6" s="133">
        <f>前台增值物品出入库录入!BH6*$E6</f>
        <v>0</v>
      </c>
      <c r="BI6" s="133">
        <f>前台增值物品出入库录入!BI6*$E6</f>
        <v>0</v>
      </c>
      <c r="BJ6" s="133">
        <f>前台增值物品出入库录入!BJ6*$E6</f>
        <v>0</v>
      </c>
      <c r="BK6" s="133">
        <f>前台增值物品出入库录入!BK6*$E6</f>
        <v>0</v>
      </c>
      <c r="BL6" s="133">
        <f>前台增值物品出入库录入!BL6*$E6</f>
        <v>0</v>
      </c>
      <c r="BM6" s="133">
        <f>前台增值物品出入库录入!BM6*$E6</f>
        <v>0</v>
      </c>
      <c r="BN6" s="133">
        <f>前台增值物品出入库录入!BN6*$E6</f>
        <v>0</v>
      </c>
      <c r="BO6" s="133">
        <f>前台增值物品出入库录入!BO6*$E6</f>
        <v>0</v>
      </c>
      <c r="BP6" s="133">
        <f>前台增值物品出入库录入!BP6*$E6</f>
        <v>0</v>
      </c>
      <c r="BQ6" s="133">
        <f>前台增值物品出入库录入!BQ6*$E6</f>
        <v>0</v>
      </c>
      <c r="BR6" s="133">
        <f>前台增值物品出入库录入!BR6*$E6</f>
        <v>0</v>
      </c>
      <c r="BS6" s="133">
        <f>前台增值物品出入库录入!BS6*$E6</f>
        <v>0</v>
      </c>
      <c r="BT6" s="133">
        <f>前台增值物品出入库录入!BT6*$E6</f>
        <v>0</v>
      </c>
      <c r="BU6" s="133">
        <f>前台增值物品出入库录入!BU6*$E6</f>
        <v>0</v>
      </c>
      <c r="BV6" s="133">
        <f>前台增值物品出入库录入!BV6*$E6</f>
        <v>0</v>
      </c>
      <c r="BW6" s="133">
        <f>前台增值物品出入库录入!BW6*$E6</f>
        <v>0</v>
      </c>
    </row>
    <row r="7" s="178" customFormat="1" customHeight="1" spans="1:75">
      <c r="A7" s="161">
        <v>3</v>
      </c>
      <c r="B7" s="162" t="str">
        <f>前台增值物品出入库录入!B7</f>
        <v>记号笔</v>
      </c>
      <c r="C7" s="162">
        <f>前台增值物品出入库录入!C7</f>
        <v>0</v>
      </c>
      <c r="D7" s="162" t="str">
        <f>前台增值物品出入库录入!D7</f>
        <v>个</v>
      </c>
      <c r="E7" s="162">
        <f>前台增值物品出入库录入!E7</f>
        <v>0.398</v>
      </c>
      <c r="F7" s="162">
        <f>前台增值物品出入库录入!F7</f>
        <v>35</v>
      </c>
      <c r="G7" s="162">
        <f>前台增值物品出入库录入!G7</f>
        <v>13.93</v>
      </c>
      <c r="H7" s="162">
        <f>前台增值物品出入库录入!H7</f>
        <v>0</v>
      </c>
      <c r="I7" s="162">
        <f>前台增值物品出入库录入!I7</f>
        <v>0</v>
      </c>
      <c r="J7" s="162">
        <f>前台增值物品出入库录入!J7</f>
        <v>4</v>
      </c>
      <c r="K7" s="162">
        <f>前台增值物品出入库录入!K7</f>
        <v>1.592</v>
      </c>
      <c r="L7" s="162">
        <f>前台增值物品出入库录入!L7</f>
        <v>31</v>
      </c>
      <c r="M7" s="162">
        <f>前台增值物品出入库录入!M7</f>
        <v>12.338</v>
      </c>
      <c r="N7" s="133">
        <f>前台增值物品出入库录入!N7*$E7</f>
        <v>0</v>
      </c>
      <c r="O7" s="133">
        <f>前台增值物品出入库录入!O7*$E7</f>
        <v>0.398</v>
      </c>
      <c r="P7" s="133">
        <f>前台增值物品出入库录入!P7*$E7</f>
        <v>0</v>
      </c>
      <c r="Q7" s="133">
        <f>前台增值物品出入库录入!Q7*$E7</f>
        <v>0</v>
      </c>
      <c r="R7" s="133">
        <f>前台增值物品出入库录入!R7*$E7</f>
        <v>0</v>
      </c>
      <c r="S7" s="133">
        <f>前台增值物品出入库录入!S7*$E7</f>
        <v>0</v>
      </c>
      <c r="T7" s="133">
        <f>前台增值物品出入库录入!T7*$E7</f>
        <v>0</v>
      </c>
      <c r="U7" s="133">
        <f>前台增值物品出入库录入!U7*$E7</f>
        <v>0</v>
      </c>
      <c r="V7" s="133">
        <f>前台增值物品出入库录入!V7*$E7</f>
        <v>0</v>
      </c>
      <c r="W7" s="133">
        <f>前台增值物品出入库录入!W7*$E7</f>
        <v>0</v>
      </c>
      <c r="X7" s="133">
        <f>前台增值物品出入库录入!X7*$E7</f>
        <v>0</v>
      </c>
      <c r="Y7" s="133">
        <f>前台增值物品出入库录入!Y7*$E7</f>
        <v>0</v>
      </c>
      <c r="Z7" s="133">
        <f>前台增值物品出入库录入!Z7*$E7</f>
        <v>0</v>
      </c>
      <c r="AA7" s="133">
        <f>前台增值物品出入库录入!AA7*$E7</f>
        <v>0</v>
      </c>
      <c r="AB7" s="133">
        <f>前台增值物品出入库录入!AB7*$E7</f>
        <v>0</v>
      </c>
      <c r="AC7" s="133">
        <f>前台增值物品出入库录入!AC7*$E7</f>
        <v>0</v>
      </c>
      <c r="AD7" s="133">
        <f>前台增值物品出入库录入!AD7*$E7</f>
        <v>0</v>
      </c>
      <c r="AE7" s="133">
        <f>前台增值物品出入库录入!AE7*$E7</f>
        <v>0</v>
      </c>
      <c r="AF7" s="133">
        <f>前台增值物品出入库录入!AF7*$E7</f>
        <v>0</v>
      </c>
      <c r="AG7" s="133">
        <f>前台增值物品出入库录入!AG7*$E7</f>
        <v>0</v>
      </c>
      <c r="AH7" s="133">
        <f>前台增值物品出入库录入!AH7*$E7</f>
        <v>0</v>
      </c>
      <c r="AI7" s="133">
        <f>前台增值物品出入库录入!AI7*$E7</f>
        <v>0</v>
      </c>
      <c r="AJ7" s="133">
        <f>前台增值物品出入库录入!AJ7*$E7</f>
        <v>0</v>
      </c>
      <c r="AK7" s="133">
        <f>前台增值物品出入库录入!AK7*$E7</f>
        <v>0</v>
      </c>
      <c r="AL7" s="133">
        <f>前台增值物品出入库录入!AL7*$E7</f>
        <v>0</v>
      </c>
      <c r="AM7" s="133">
        <f>前台增值物品出入库录入!AM7*$E7</f>
        <v>0</v>
      </c>
      <c r="AN7" s="133">
        <f>前台增值物品出入库录入!AN7*$E7</f>
        <v>0</v>
      </c>
      <c r="AO7" s="133">
        <f>前台增值物品出入库录入!AO7*$E7</f>
        <v>0</v>
      </c>
      <c r="AP7" s="133">
        <f>前台增值物品出入库录入!AP7*$E7</f>
        <v>0</v>
      </c>
      <c r="AQ7" s="133">
        <f>前台增值物品出入库录入!AQ7*$E7</f>
        <v>0</v>
      </c>
      <c r="AR7" s="133">
        <f>前台增值物品出入库录入!AR7*$E7</f>
        <v>0</v>
      </c>
      <c r="AS7" s="133">
        <f>前台增值物品出入库录入!AS7*$E7</f>
        <v>0</v>
      </c>
      <c r="AT7" s="133">
        <f>前台增值物品出入库录入!AT7*$E7</f>
        <v>0</v>
      </c>
      <c r="AU7" s="133">
        <f>前台增值物品出入库录入!AU7*$E7</f>
        <v>0</v>
      </c>
      <c r="AV7" s="133">
        <f>前台增值物品出入库录入!AV7*$E7</f>
        <v>0</v>
      </c>
      <c r="AW7" s="133">
        <f>前台增值物品出入库录入!AW7*$E7</f>
        <v>0</v>
      </c>
      <c r="AX7" s="133">
        <f>前台增值物品出入库录入!AX7*$E7</f>
        <v>0</v>
      </c>
      <c r="AY7" s="133">
        <f>前台增值物品出入库录入!AY7*$E7</f>
        <v>0</v>
      </c>
      <c r="AZ7" s="133">
        <f>前台增值物品出入库录入!AZ7*$E7</f>
        <v>0</v>
      </c>
      <c r="BA7" s="133">
        <f>前台增值物品出入库录入!BA7*$E7</f>
        <v>0</v>
      </c>
      <c r="BB7" s="133">
        <f>前台增值物品出入库录入!BB7*$E7</f>
        <v>0</v>
      </c>
      <c r="BC7" s="133">
        <f>前台增值物品出入库录入!BC7*$E7</f>
        <v>0</v>
      </c>
      <c r="BD7" s="133">
        <f>前台增值物品出入库录入!BD7*$E7</f>
        <v>0</v>
      </c>
      <c r="BE7" s="133">
        <f>前台增值物品出入库录入!BE7*$E7</f>
        <v>0</v>
      </c>
      <c r="BF7" s="133">
        <f>前台增值物品出入库录入!BF7*$E7</f>
        <v>0</v>
      </c>
      <c r="BG7" s="133">
        <f>前台增值物品出入库录入!BG7*$E7</f>
        <v>0</v>
      </c>
      <c r="BH7" s="133">
        <f>前台增值物品出入库录入!BH7*$E7</f>
        <v>0</v>
      </c>
      <c r="BI7" s="133">
        <f>前台增值物品出入库录入!BI7*$E7</f>
        <v>0</v>
      </c>
      <c r="BJ7" s="133">
        <f>前台增值物品出入库录入!BJ7*$E7</f>
        <v>0</v>
      </c>
      <c r="BK7" s="133">
        <f>前台增值物品出入库录入!BK7*$E7</f>
        <v>1.194</v>
      </c>
      <c r="BL7" s="133">
        <f>前台增值物品出入库录入!BL7*$E7</f>
        <v>0</v>
      </c>
      <c r="BM7" s="133">
        <f>前台增值物品出入库录入!BM7*$E7</f>
        <v>0</v>
      </c>
      <c r="BN7" s="133">
        <f>前台增值物品出入库录入!BN7*$E7</f>
        <v>0</v>
      </c>
      <c r="BO7" s="133">
        <f>前台增值物品出入库录入!BO7*$E7</f>
        <v>0</v>
      </c>
      <c r="BP7" s="133">
        <f>前台增值物品出入库录入!BP7*$E7</f>
        <v>0</v>
      </c>
      <c r="BQ7" s="133">
        <f>前台增值物品出入库录入!BQ7*$E7</f>
        <v>0</v>
      </c>
      <c r="BR7" s="133">
        <f>前台增值物品出入库录入!BR7*$E7</f>
        <v>0</v>
      </c>
      <c r="BS7" s="133">
        <f>前台增值物品出入库录入!BS7*$E7</f>
        <v>0</v>
      </c>
      <c r="BT7" s="133">
        <f>前台增值物品出入库录入!BT7*$E7</f>
        <v>0</v>
      </c>
      <c r="BU7" s="133">
        <f>前台增值物品出入库录入!BU7*$E7</f>
        <v>0</v>
      </c>
      <c r="BV7" s="133">
        <f>前台增值物品出入库录入!BV7*$E7</f>
        <v>0</v>
      </c>
      <c r="BW7" s="133">
        <f>前台增值物品出入库录入!BW7*$E7</f>
        <v>0</v>
      </c>
    </row>
    <row r="8" s="178" customFormat="1" customHeight="1" spans="1:75">
      <c r="A8" s="161">
        <v>4</v>
      </c>
      <c r="B8" s="162" t="str">
        <f>前台增值物品出入库录入!B8</f>
        <v>前台交接本</v>
      </c>
      <c r="C8" s="162">
        <f>前台增值物品出入库录入!C8</f>
        <v>0</v>
      </c>
      <c r="D8" s="162" t="str">
        <f>前台增值物品出入库录入!D8</f>
        <v>个</v>
      </c>
      <c r="E8" s="162">
        <f>前台增值物品出入库录入!E8</f>
        <v>7</v>
      </c>
      <c r="F8" s="162">
        <f>前台增值物品出入库录入!F8</f>
        <v>27</v>
      </c>
      <c r="G8" s="162">
        <f>前台增值物品出入库录入!G8</f>
        <v>189</v>
      </c>
      <c r="H8" s="162">
        <f>前台增值物品出入库录入!H8</f>
        <v>0</v>
      </c>
      <c r="I8" s="162">
        <f>前台增值物品出入库录入!I8</f>
        <v>0</v>
      </c>
      <c r="J8" s="162">
        <f>前台增值物品出入库录入!J8</f>
        <v>2</v>
      </c>
      <c r="K8" s="162">
        <f>前台增值物品出入库录入!K8</f>
        <v>14</v>
      </c>
      <c r="L8" s="162">
        <f>前台增值物品出入库录入!L8</f>
        <v>25</v>
      </c>
      <c r="M8" s="162">
        <f>前台增值物品出入库录入!M8</f>
        <v>175</v>
      </c>
      <c r="N8" s="133">
        <f>前台增值物品出入库录入!N8*$E8</f>
        <v>0</v>
      </c>
      <c r="O8" s="133">
        <f>前台增值物品出入库录入!O8*$E8</f>
        <v>7</v>
      </c>
      <c r="P8" s="133">
        <f>前台增值物品出入库录入!P8*$E8</f>
        <v>0</v>
      </c>
      <c r="Q8" s="133">
        <f>前台增值物品出入库录入!Q8*$E8</f>
        <v>0</v>
      </c>
      <c r="R8" s="133">
        <f>前台增值物品出入库录入!R8*$E8</f>
        <v>0</v>
      </c>
      <c r="S8" s="133">
        <f>前台增值物品出入库录入!S8*$E8</f>
        <v>0</v>
      </c>
      <c r="T8" s="133">
        <f>前台增值物品出入库录入!T8*$E8</f>
        <v>0</v>
      </c>
      <c r="U8" s="133">
        <f>前台增值物品出入库录入!U8*$E8</f>
        <v>0</v>
      </c>
      <c r="V8" s="133">
        <f>前台增值物品出入库录入!V8*$E8</f>
        <v>0</v>
      </c>
      <c r="W8" s="133">
        <f>前台增值物品出入库录入!W8*$E8</f>
        <v>0</v>
      </c>
      <c r="X8" s="133">
        <f>前台增值物品出入库录入!X8*$E8</f>
        <v>0</v>
      </c>
      <c r="Y8" s="133">
        <f>前台增值物品出入库录入!Y8*$E8</f>
        <v>0</v>
      </c>
      <c r="Z8" s="133">
        <f>前台增值物品出入库录入!Z8*$E8</f>
        <v>0</v>
      </c>
      <c r="AA8" s="133">
        <f>前台增值物品出入库录入!AA8*$E8</f>
        <v>0</v>
      </c>
      <c r="AB8" s="133">
        <f>前台增值物品出入库录入!AB8*$E8</f>
        <v>0</v>
      </c>
      <c r="AC8" s="133">
        <f>前台增值物品出入库录入!AC8*$E8</f>
        <v>0</v>
      </c>
      <c r="AD8" s="133">
        <f>前台增值物品出入库录入!AD8*$E8</f>
        <v>0</v>
      </c>
      <c r="AE8" s="133">
        <f>前台增值物品出入库录入!AE8*$E8</f>
        <v>0</v>
      </c>
      <c r="AF8" s="133">
        <f>前台增值物品出入库录入!AF8*$E8</f>
        <v>0</v>
      </c>
      <c r="AG8" s="133">
        <f>前台增值物品出入库录入!AG8*$E8</f>
        <v>0</v>
      </c>
      <c r="AH8" s="133">
        <f>前台增值物品出入库录入!AH8*$E8</f>
        <v>0</v>
      </c>
      <c r="AI8" s="133">
        <f>前台增值物品出入库录入!AI8*$E8</f>
        <v>0</v>
      </c>
      <c r="AJ8" s="133">
        <f>前台增值物品出入库录入!AJ8*$E8</f>
        <v>0</v>
      </c>
      <c r="AK8" s="133">
        <f>前台增值物品出入库录入!AK8*$E8</f>
        <v>0</v>
      </c>
      <c r="AL8" s="133">
        <f>前台增值物品出入库录入!AL8*$E8</f>
        <v>0</v>
      </c>
      <c r="AM8" s="133">
        <f>前台增值物品出入库录入!AM8*$E8</f>
        <v>0</v>
      </c>
      <c r="AN8" s="133">
        <f>前台增值物品出入库录入!AN8*$E8</f>
        <v>0</v>
      </c>
      <c r="AO8" s="133">
        <f>前台增值物品出入库录入!AO8*$E8</f>
        <v>0</v>
      </c>
      <c r="AP8" s="133">
        <f>前台增值物品出入库录入!AP8*$E8</f>
        <v>0</v>
      </c>
      <c r="AQ8" s="133">
        <f>前台增值物品出入库录入!AQ8*$E8</f>
        <v>0</v>
      </c>
      <c r="AR8" s="133">
        <f>前台增值物品出入库录入!AR8*$E8</f>
        <v>0</v>
      </c>
      <c r="AS8" s="133">
        <f>前台增值物品出入库录入!AS8*$E8</f>
        <v>0</v>
      </c>
      <c r="AT8" s="133">
        <f>前台增值物品出入库录入!AT8*$E8</f>
        <v>0</v>
      </c>
      <c r="AU8" s="133">
        <f>前台增值物品出入库录入!AU8*$E8</f>
        <v>0</v>
      </c>
      <c r="AV8" s="133">
        <f>前台增值物品出入库录入!AV8*$E8</f>
        <v>0</v>
      </c>
      <c r="AW8" s="133">
        <f>前台增值物品出入库录入!AW8*$E8</f>
        <v>0</v>
      </c>
      <c r="AX8" s="133">
        <f>前台增值物品出入库录入!AX8*$E8</f>
        <v>0</v>
      </c>
      <c r="AY8" s="133">
        <f>前台增值物品出入库录入!AY8*$E8</f>
        <v>0</v>
      </c>
      <c r="AZ8" s="133">
        <f>前台增值物品出入库录入!AZ8*$E8</f>
        <v>0</v>
      </c>
      <c r="BA8" s="133">
        <f>前台增值物品出入库录入!BA8*$E8</f>
        <v>0</v>
      </c>
      <c r="BB8" s="133">
        <f>前台增值物品出入库录入!BB8*$E8</f>
        <v>0</v>
      </c>
      <c r="BC8" s="133">
        <f>前台增值物品出入库录入!BC8*$E8</f>
        <v>0</v>
      </c>
      <c r="BD8" s="133">
        <f>前台增值物品出入库录入!BD8*$E8</f>
        <v>0</v>
      </c>
      <c r="BE8" s="133">
        <f>前台增值物品出入库录入!BE8*$E8</f>
        <v>0</v>
      </c>
      <c r="BF8" s="133">
        <f>前台增值物品出入库录入!BF8*$E8</f>
        <v>0</v>
      </c>
      <c r="BG8" s="133">
        <f>前台增值物品出入库录入!BG8*$E8</f>
        <v>0</v>
      </c>
      <c r="BH8" s="133">
        <f>前台增值物品出入库录入!BH8*$E8</f>
        <v>0</v>
      </c>
      <c r="BI8" s="133">
        <f>前台增值物品出入库录入!BI8*$E8</f>
        <v>0</v>
      </c>
      <c r="BJ8" s="133">
        <f>前台增值物品出入库录入!BJ8*$E8</f>
        <v>0</v>
      </c>
      <c r="BK8" s="133">
        <f>前台增值物品出入库录入!BK8*$E8</f>
        <v>7</v>
      </c>
      <c r="BL8" s="133">
        <f>前台增值物品出入库录入!BL8*$E8</f>
        <v>0</v>
      </c>
      <c r="BM8" s="133">
        <f>前台增值物品出入库录入!BM8*$E8</f>
        <v>0</v>
      </c>
      <c r="BN8" s="133">
        <f>前台增值物品出入库录入!BN8*$E8</f>
        <v>0</v>
      </c>
      <c r="BO8" s="133">
        <f>前台增值物品出入库录入!BO8*$E8</f>
        <v>0</v>
      </c>
      <c r="BP8" s="133">
        <f>前台增值物品出入库录入!BP8*$E8</f>
        <v>0</v>
      </c>
      <c r="BQ8" s="133">
        <f>前台增值物品出入库录入!BQ8*$E8</f>
        <v>0</v>
      </c>
      <c r="BR8" s="133">
        <f>前台增值物品出入库录入!BR8*$E8</f>
        <v>0</v>
      </c>
      <c r="BS8" s="133">
        <f>前台增值物品出入库录入!BS8*$E8</f>
        <v>0</v>
      </c>
      <c r="BT8" s="133">
        <f>前台增值物品出入库录入!BT8*$E8</f>
        <v>0</v>
      </c>
      <c r="BU8" s="133">
        <f>前台增值物品出入库录入!BU8*$E8</f>
        <v>0</v>
      </c>
      <c r="BV8" s="133">
        <f>前台增值物品出入库录入!BV8*$E8</f>
        <v>0</v>
      </c>
      <c r="BW8" s="133">
        <f>前台增值物品出入库录入!BW8*$E8</f>
        <v>0</v>
      </c>
    </row>
    <row r="9" s="178" customFormat="1" customHeight="1" spans="1:75">
      <c r="A9" s="161">
        <v>5</v>
      </c>
      <c r="B9" s="162" t="str">
        <f>前台增值物品出入库录入!B9</f>
        <v>遗留物品登记表</v>
      </c>
      <c r="C9" s="162">
        <f>前台增值物品出入库录入!C9</f>
        <v>0</v>
      </c>
      <c r="D9" s="162" t="str">
        <f>前台增值物品出入库录入!D9</f>
        <v>个</v>
      </c>
      <c r="E9" s="162">
        <f>前台增值物品出入库录入!E9</f>
        <v>7</v>
      </c>
      <c r="F9" s="162">
        <f>前台增值物品出入库录入!F9</f>
        <v>4</v>
      </c>
      <c r="G9" s="162">
        <f>前台增值物品出入库录入!G9</f>
        <v>28</v>
      </c>
      <c r="H9" s="162">
        <f>前台增值物品出入库录入!H9</f>
        <v>0</v>
      </c>
      <c r="I9" s="162">
        <f>前台增值物品出入库录入!I9</f>
        <v>0</v>
      </c>
      <c r="J9" s="162">
        <f>前台增值物品出入库录入!J9</f>
        <v>0</v>
      </c>
      <c r="K9" s="162">
        <f>前台增值物品出入库录入!K9</f>
        <v>0</v>
      </c>
      <c r="L9" s="162">
        <f>前台增值物品出入库录入!L9</f>
        <v>4</v>
      </c>
      <c r="M9" s="162">
        <f>前台增值物品出入库录入!M9</f>
        <v>28</v>
      </c>
      <c r="N9" s="133">
        <f>前台增值物品出入库录入!N9*$E9</f>
        <v>0</v>
      </c>
      <c r="O9" s="133">
        <f>前台增值物品出入库录入!O9*$E9</f>
        <v>0</v>
      </c>
      <c r="P9" s="133">
        <f>前台增值物品出入库录入!P9*$E9</f>
        <v>0</v>
      </c>
      <c r="Q9" s="133">
        <f>前台增值物品出入库录入!Q9*$E9</f>
        <v>0</v>
      </c>
      <c r="R9" s="133">
        <f>前台增值物品出入库录入!R9*$E9</f>
        <v>0</v>
      </c>
      <c r="S9" s="133">
        <f>前台增值物品出入库录入!S9*$E9</f>
        <v>0</v>
      </c>
      <c r="T9" s="133">
        <f>前台增值物品出入库录入!T9*$E9</f>
        <v>0</v>
      </c>
      <c r="U9" s="133">
        <f>前台增值物品出入库录入!U9*$E9</f>
        <v>0</v>
      </c>
      <c r="V9" s="133">
        <f>前台增值物品出入库录入!V9*$E9</f>
        <v>0</v>
      </c>
      <c r="W9" s="133">
        <f>前台增值物品出入库录入!W9*$E9</f>
        <v>0</v>
      </c>
      <c r="X9" s="133">
        <f>前台增值物品出入库录入!X9*$E9</f>
        <v>0</v>
      </c>
      <c r="Y9" s="133">
        <f>前台增值物品出入库录入!Y9*$E9</f>
        <v>0</v>
      </c>
      <c r="Z9" s="133">
        <f>前台增值物品出入库录入!Z9*$E9</f>
        <v>0</v>
      </c>
      <c r="AA9" s="133">
        <f>前台增值物品出入库录入!AA9*$E9</f>
        <v>0</v>
      </c>
      <c r="AB9" s="133">
        <f>前台增值物品出入库录入!AB9*$E9</f>
        <v>0</v>
      </c>
      <c r="AC9" s="133">
        <f>前台增值物品出入库录入!AC9*$E9</f>
        <v>0</v>
      </c>
      <c r="AD9" s="133">
        <f>前台增值物品出入库录入!AD9*$E9</f>
        <v>0</v>
      </c>
      <c r="AE9" s="133">
        <f>前台增值物品出入库录入!AE9*$E9</f>
        <v>0</v>
      </c>
      <c r="AF9" s="133">
        <f>前台增值物品出入库录入!AF9*$E9</f>
        <v>0</v>
      </c>
      <c r="AG9" s="133">
        <f>前台增值物品出入库录入!AG9*$E9</f>
        <v>0</v>
      </c>
      <c r="AH9" s="133">
        <f>前台增值物品出入库录入!AH9*$E9</f>
        <v>0</v>
      </c>
      <c r="AI9" s="133">
        <f>前台增值物品出入库录入!AI9*$E9</f>
        <v>0</v>
      </c>
      <c r="AJ9" s="133">
        <f>前台增值物品出入库录入!AJ9*$E9</f>
        <v>0</v>
      </c>
      <c r="AK9" s="133">
        <f>前台增值物品出入库录入!AK9*$E9</f>
        <v>0</v>
      </c>
      <c r="AL9" s="133">
        <f>前台增值物品出入库录入!AL9*$E9</f>
        <v>0</v>
      </c>
      <c r="AM9" s="133">
        <f>前台增值物品出入库录入!AM9*$E9</f>
        <v>0</v>
      </c>
      <c r="AN9" s="133">
        <f>前台增值物品出入库录入!AN9*$E9</f>
        <v>0</v>
      </c>
      <c r="AO9" s="133">
        <f>前台增值物品出入库录入!AO9*$E9</f>
        <v>0</v>
      </c>
      <c r="AP9" s="133">
        <f>前台增值物品出入库录入!AP9*$E9</f>
        <v>0</v>
      </c>
      <c r="AQ9" s="133">
        <f>前台增值物品出入库录入!AQ9*$E9</f>
        <v>0</v>
      </c>
      <c r="AR9" s="133">
        <f>前台增值物品出入库录入!AR9*$E9</f>
        <v>0</v>
      </c>
      <c r="AS9" s="133">
        <f>前台增值物品出入库录入!AS9*$E9</f>
        <v>0</v>
      </c>
      <c r="AT9" s="133">
        <f>前台增值物品出入库录入!AT9*$E9</f>
        <v>0</v>
      </c>
      <c r="AU9" s="133">
        <f>前台增值物品出入库录入!AU9*$E9</f>
        <v>0</v>
      </c>
      <c r="AV9" s="133">
        <f>前台增值物品出入库录入!AV9*$E9</f>
        <v>0</v>
      </c>
      <c r="AW9" s="133">
        <f>前台增值物品出入库录入!AW9*$E9</f>
        <v>0</v>
      </c>
      <c r="AX9" s="133">
        <f>前台增值物品出入库录入!AX9*$E9</f>
        <v>0</v>
      </c>
      <c r="AY9" s="133">
        <f>前台增值物品出入库录入!AY9*$E9</f>
        <v>0</v>
      </c>
      <c r="AZ9" s="133">
        <f>前台增值物品出入库录入!AZ9*$E9</f>
        <v>0</v>
      </c>
      <c r="BA9" s="133">
        <f>前台增值物品出入库录入!BA9*$E9</f>
        <v>0</v>
      </c>
      <c r="BB9" s="133">
        <f>前台增值物品出入库录入!BB9*$E9</f>
        <v>0</v>
      </c>
      <c r="BC9" s="133">
        <f>前台增值物品出入库录入!BC9*$E9</f>
        <v>0</v>
      </c>
      <c r="BD9" s="133">
        <f>前台增值物品出入库录入!BD9*$E9</f>
        <v>0</v>
      </c>
      <c r="BE9" s="133">
        <f>前台增值物品出入库录入!BE9*$E9</f>
        <v>0</v>
      </c>
      <c r="BF9" s="133">
        <f>前台增值物品出入库录入!BF9*$E9</f>
        <v>0</v>
      </c>
      <c r="BG9" s="133">
        <f>前台增值物品出入库录入!BG9*$E9</f>
        <v>0</v>
      </c>
      <c r="BH9" s="133">
        <f>前台增值物品出入库录入!BH9*$E9</f>
        <v>0</v>
      </c>
      <c r="BI9" s="133">
        <f>前台增值物品出入库录入!BI9*$E9</f>
        <v>0</v>
      </c>
      <c r="BJ9" s="133">
        <f>前台增值物品出入库录入!BJ9*$E9</f>
        <v>0</v>
      </c>
      <c r="BK9" s="133">
        <f>前台增值物品出入库录入!BK9*$E9</f>
        <v>0</v>
      </c>
      <c r="BL9" s="133">
        <f>前台增值物品出入库录入!BL9*$E9</f>
        <v>0</v>
      </c>
      <c r="BM9" s="133">
        <f>前台增值物品出入库录入!BM9*$E9</f>
        <v>0</v>
      </c>
      <c r="BN9" s="133">
        <f>前台增值物品出入库录入!BN9*$E9</f>
        <v>0</v>
      </c>
      <c r="BO9" s="133">
        <f>前台增值物品出入库录入!BO9*$E9</f>
        <v>0</v>
      </c>
      <c r="BP9" s="133">
        <f>前台增值物品出入库录入!BP9*$E9</f>
        <v>0</v>
      </c>
      <c r="BQ9" s="133">
        <f>前台增值物品出入库录入!BQ9*$E9</f>
        <v>0</v>
      </c>
      <c r="BR9" s="133">
        <f>前台增值物品出入库录入!BR9*$E9</f>
        <v>0</v>
      </c>
      <c r="BS9" s="133">
        <f>前台增值物品出入库录入!BS9*$E9</f>
        <v>0</v>
      </c>
      <c r="BT9" s="133">
        <f>前台增值物品出入库录入!BT9*$E9</f>
        <v>0</v>
      </c>
      <c r="BU9" s="133">
        <f>前台增值物品出入库录入!BU9*$E9</f>
        <v>0</v>
      </c>
      <c r="BV9" s="133">
        <f>前台增值物品出入库录入!BV9*$E9</f>
        <v>0</v>
      </c>
      <c r="BW9" s="133">
        <f>前台增值物品出入库录入!BW9*$E9</f>
        <v>0</v>
      </c>
    </row>
    <row r="10" s="178" customFormat="1" customHeight="1" spans="1:75">
      <c r="A10" s="161">
        <v>6</v>
      </c>
      <c r="B10" s="162" t="str">
        <f>前台增值物品出入库录入!B10</f>
        <v>前台预抵本</v>
      </c>
      <c r="C10" s="162">
        <f>前台增值物品出入库录入!C10</f>
        <v>0</v>
      </c>
      <c r="D10" s="162" t="str">
        <f>前台增值物品出入库录入!D10</f>
        <v>个</v>
      </c>
      <c r="E10" s="162">
        <f>前台增值物品出入库录入!E10</f>
        <v>7</v>
      </c>
      <c r="F10" s="162">
        <f>前台增值物品出入库录入!F10</f>
        <v>11</v>
      </c>
      <c r="G10" s="162">
        <f>前台增值物品出入库录入!G10</f>
        <v>77</v>
      </c>
      <c r="H10" s="162">
        <f>前台增值物品出入库录入!H10</f>
        <v>0</v>
      </c>
      <c r="I10" s="162">
        <f>前台增值物品出入库录入!I10</f>
        <v>0</v>
      </c>
      <c r="J10" s="162">
        <f>前台增值物品出入库录入!J10</f>
        <v>0</v>
      </c>
      <c r="K10" s="162">
        <f>前台增值物品出入库录入!K10</f>
        <v>0</v>
      </c>
      <c r="L10" s="162">
        <f>前台增值物品出入库录入!L10</f>
        <v>11</v>
      </c>
      <c r="M10" s="162">
        <f>前台增值物品出入库录入!M10</f>
        <v>77</v>
      </c>
      <c r="N10" s="133">
        <f>前台增值物品出入库录入!N10*$E10</f>
        <v>0</v>
      </c>
      <c r="O10" s="133">
        <f>前台增值物品出入库录入!O10*$E10</f>
        <v>0</v>
      </c>
      <c r="P10" s="133">
        <f>前台增值物品出入库录入!P10*$E10</f>
        <v>0</v>
      </c>
      <c r="Q10" s="133">
        <f>前台增值物品出入库录入!Q10*$E10</f>
        <v>0</v>
      </c>
      <c r="R10" s="133">
        <f>前台增值物品出入库录入!R10*$E10</f>
        <v>0</v>
      </c>
      <c r="S10" s="133">
        <f>前台增值物品出入库录入!S10*$E10</f>
        <v>0</v>
      </c>
      <c r="T10" s="133">
        <f>前台增值物品出入库录入!T10*$E10</f>
        <v>0</v>
      </c>
      <c r="U10" s="133">
        <f>前台增值物品出入库录入!U10*$E10</f>
        <v>0</v>
      </c>
      <c r="V10" s="133">
        <f>前台增值物品出入库录入!V10*$E10</f>
        <v>0</v>
      </c>
      <c r="W10" s="133">
        <f>前台增值物品出入库录入!W10*$E10</f>
        <v>0</v>
      </c>
      <c r="X10" s="133">
        <f>前台增值物品出入库录入!X10*$E10</f>
        <v>0</v>
      </c>
      <c r="Y10" s="133">
        <f>前台增值物品出入库录入!Y10*$E10</f>
        <v>0</v>
      </c>
      <c r="Z10" s="133">
        <f>前台增值物品出入库录入!Z10*$E10</f>
        <v>0</v>
      </c>
      <c r="AA10" s="133">
        <f>前台增值物品出入库录入!AA10*$E10</f>
        <v>0</v>
      </c>
      <c r="AB10" s="133">
        <f>前台增值物品出入库录入!AB10*$E10</f>
        <v>0</v>
      </c>
      <c r="AC10" s="133">
        <f>前台增值物品出入库录入!AC10*$E10</f>
        <v>0</v>
      </c>
      <c r="AD10" s="133">
        <f>前台增值物品出入库录入!AD10*$E10</f>
        <v>0</v>
      </c>
      <c r="AE10" s="133">
        <f>前台增值物品出入库录入!AE10*$E10</f>
        <v>0</v>
      </c>
      <c r="AF10" s="133">
        <f>前台增值物品出入库录入!AF10*$E10</f>
        <v>0</v>
      </c>
      <c r="AG10" s="133">
        <f>前台增值物品出入库录入!AG10*$E10</f>
        <v>0</v>
      </c>
      <c r="AH10" s="133">
        <f>前台增值物品出入库录入!AH10*$E10</f>
        <v>0</v>
      </c>
      <c r="AI10" s="133">
        <f>前台增值物品出入库录入!AI10*$E10</f>
        <v>0</v>
      </c>
      <c r="AJ10" s="133">
        <f>前台增值物品出入库录入!AJ10*$E10</f>
        <v>0</v>
      </c>
      <c r="AK10" s="133">
        <f>前台增值物品出入库录入!AK10*$E10</f>
        <v>0</v>
      </c>
      <c r="AL10" s="133">
        <f>前台增值物品出入库录入!AL10*$E10</f>
        <v>0</v>
      </c>
      <c r="AM10" s="133">
        <f>前台增值物品出入库录入!AM10*$E10</f>
        <v>0</v>
      </c>
      <c r="AN10" s="133">
        <f>前台增值物品出入库录入!AN10*$E10</f>
        <v>0</v>
      </c>
      <c r="AO10" s="133">
        <f>前台增值物品出入库录入!AO10*$E10</f>
        <v>0</v>
      </c>
      <c r="AP10" s="133">
        <f>前台增值物品出入库录入!AP10*$E10</f>
        <v>0</v>
      </c>
      <c r="AQ10" s="133">
        <f>前台增值物品出入库录入!AQ10*$E10</f>
        <v>0</v>
      </c>
      <c r="AR10" s="133">
        <f>前台增值物品出入库录入!AR10*$E10</f>
        <v>0</v>
      </c>
      <c r="AS10" s="133">
        <f>前台增值物品出入库录入!AS10*$E10</f>
        <v>0</v>
      </c>
      <c r="AT10" s="133">
        <f>前台增值物品出入库录入!AT10*$E10</f>
        <v>0</v>
      </c>
      <c r="AU10" s="133">
        <f>前台增值物品出入库录入!AU10*$E10</f>
        <v>0</v>
      </c>
      <c r="AV10" s="133">
        <f>前台增值物品出入库录入!AV10*$E10</f>
        <v>0</v>
      </c>
      <c r="AW10" s="133">
        <f>前台增值物品出入库录入!AW10*$E10</f>
        <v>0</v>
      </c>
      <c r="AX10" s="133">
        <f>前台增值物品出入库录入!AX10*$E10</f>
        <v>0</v>
      </c>
      <c r="AY10" s="133">
        <f>前台增值物品出入库录入!AY10*$E10</f>
        <v>0</v>
      </c>
      <c r="AZ10" s="133">
        <f>前台增值物品出入库录入!AZ10*$E10</f>
        <v>0</v>
      </c>
      <c r="BA10" s="133">
        <f>前台增值物品出入库录入!BA10*$E10</f>
        <v>0</v>
      </c>
      <c r="BB10" s="133">
        <f>前台增值物品出入库录入!BB10*$E10</f>
        <v>0</v>
      </c>
      <c r="BC10" s="133">
        <f>前台增值物品出入库录入!BC10*$E10</f>
        <v>0</v>
      </c>
      <c r="BD10" s="133">
        <f>前台增值物品出入库录入!BD10*$E10</f>
        <v>0</v>
      </c>
      <c r="BE10" s="133">
        <f>前台增值物品出入库录入!BE10*$E10</f>
        <v>0</v>
      </c>
      <c r="BF10" s="133">
        <f>前台增值物品出入库录入!BF10*$E10</f>
        <v>0</v>
      </c>
      <c r="BG10" s="133">
        <f>前台增值物品出入库录入!BG10*$E10</f>
        <v>0</v>
      </c>
      <c r="BH10" s="133">
        <f>前台增值物品出入库录入!BH10*$E10</f>
        <v>0</v>
      </c>
      <c r="BI10" s="133">
        <f>前台增值物品出入库录入!BI10*$E10</f>
        <v>0</v>
      </c>
      <c r="BJ10" s="133">
        <f>前台增值物品出入库录入!BJ10*$E10</f>
        <v>0</v>
      </c>
      <c r="BK10" s="133">
        <f>前台增值物品出入库录入!BK10*$E10</f>
        <v>0</v>
      </c>
      <c r="BL10" s="133">
        <f>前台增值物品出入库录入!BL10*$E10</f>
        <v>0</v>
      </c>
      <c r="BM10" s="133">
        <f>前台增值物品出入库录入!BM10*$E10</f>
        <v>0</v>
      </c>
      <c r="BN10" s="133">
        <f>前台增值物品出入库录入!BN10*$E10</f>
        <v>0</v>
      </c>
      <c r="BO10" s="133">
        <f>前台增值物品出入库录入!BO10*$E10</f>
        <v>0</v>
      </c>
      <c r="BP10" s="133">
        <f>前台增值物品出入库录入!BP10*$E10</f>
        <v>0</v>
      </c>
      <c r="BQ10" s="133">
        <f>前台增值物品出入库录入!BQ10*$E10</f>
        <v>0</v>
      </c>
      <c r="BR10" s="133">
        <f>前台增值物品出入库录入!BR10*$E10</f>
        <v>0</v>
      </c>
      <c r="BS10" s="133">
        <f>前台增值物品出入库录入!BS10*$E10</f>
        <v>0</v>
      </c>
      <c r="BT10" s="133">
        <f>前台增值物品出入库录入!BT10*$E10</f>
        <v>0</v>
      </c>
      <c r="BU10" s="133">
        <f>前台增值物品出入库录入!BU10*$E10</f>
        <v>0</v>
      </c>
      <c r="BV10" s="133">
        <f>前台增值物品出入库录入!BV10*$E10</f>
        <v>0</v>
      </c>
      <c r="BW10" s="133">
        <f>前台增值物品出入库录入!BW10*$E10</f>
        <v>0</v>
      </c>
    </row>
    <row r="11" s="178" customFormat="1" customHeight="1" spans="1:75">
      <c r="A11" s="161">
        <v>7</v>
      </c>
      <c r="B11" s="162" t="str">
        <f>前台增值物品出入库录入!B11</f>
        <v>会议记录表</v>
      </c>
      <c r="C11" s="162">
        <f>前台增值物品出入库录入!C11</f>
        <v>0</v>
      </c>
      <c r="D11" s="162" t="str">
        <f>前台增值物品出入库录入!D11</f>
        <v>个</v>
      </c>
      <c r="E11" s="162">
        <f>前台增值物品出入库录入!E11</f>
        <v>7</v>
      </c>
      <c r="F11" s="162">
        <f>前台增值物品出入库录入!F11</f>
        <v>15</v>
      </c>
      <c r="G11" s="162">
        <f>前台增值物品出入库录入!G11</f>
        <v>105</v>
      </c>
      <c r="H11" s="162">
        <f>前台增值物品出入库录入!H11</f>
        <v>0</v>
      </c>
      <c r="I11" s="162">
        <f>前台增值物品出入库录入!I11</f>
        <v>0</v>
      </c>
      <c r="J11" s="162">
        <f>前台增值物品出入库录入!J11</f>
        <v>0</v>
      </c>
      <c r="K11" s="162">
        <f>前台增值物品出入库录入!K11</f>
        <v>0</v>
      </c>
      <c r="L11" s="162">
        <f>前台增值物品出入库录入!L11</f>
        <v>15</v>
      </c>
      <c r="M11" s="162">
        <f>前台增值物品出入库录入!M11</f>
        <v>105</v>
      </c>
      <c r="N11" s="133">
        <f>前台增值物品出入库录入!N11*$E11</f>
        <v>0</v>
      </c>
      <c r="O11" s="133">
        <f>前台增值物品出入库录入!O11*$E11</f>
        <v>0</v>
      </c>
      <c r="P11" s="133">
        <f>前台增值物品出入库录入!P11*$E11</f>
        <v>0</v>
      </c>
      <c r="Q11" s="133">
        <f>前台增值物品出入库录入!Q11*$E11</f>
        <v>0</v>
      </c>
      <c r="R11" s="133">
        <f>前台增值物品出入库录入!R11*$E11</f>
        <v>0</v>
      </c>
      <c r="S11" s="133">
        <f>前台增值物品出入库录入!S11*$E11</f>
        <v>0</v>
      </c>
      <c r="T11" s="133">
        <f>前台增值物品出入库录入!T11*$E11</f>
        <v>0</v>
      </c>
      <c r="U11" s="133">
        <f>前台增值物品出入库录入!U11*$E11</f>
        <v>0</v>
      </c>
      <c r="V11" s="133">
        <f>前台增值物品出入库录入!V11*$E11</f>
        <v>0</v>
      </c>
      <c r="W11" s="133">
        <f>前台增值物品出入库录入!W11*$E11</f>
        <v>0</v>
      </c>
      <c r="X11" s="133">
        <f>前台增值物品出入库录入!X11*$E11</f>
        <v>0</v>
      </c>
      <c r="Y11" s="133">
        <f>前台增值物品出入库录入!Y11*$E11</f>
        <v>0</v>
      </c>
      <c r="Z11" s="133">
        <f>前台增值物品出入库录入!Z11*$E11</f>
        <v>0</v>
      </c>
      <c r="AA11" s="133">
        <f>前台增值物品出入库录入!AA11*$E11</f>
        <v>0</v>
      </c>
      <c r="AB11" s="133">
        <f>前台增值物品出入库录入!AB11*$E11</f>
        <v>0</v>
      </c>
      <c r="AC11" s="133">
        <f>前台增值物品出入库录入!AC11*$E11</f>
        <v>0</v>
      </c>
      <c r="AD11" s="133">
        <f>前台增值物品出入库录入!AD11*$E11</f>
        <v>0</v>
      </c>
      <c r="AE11" s="133">
        <f>前台增值物品出入库录入!AE11*$E11</f>
        <v>0</v>
      </c>
      <c r="AF11" s="133">
        <f>前台增值物品出入库录入!AF11*$E11</f>
        <v>0</v>
      </c>
      <c r="AG11" s="133">
        <f>前台增值物品出入库录入!AG11*$E11</f>
        <v>0</v>
      </c>
      <c r="AH11" s="133">
        <f>前台增值物品出入库录入!AH11*$E11</f>
        <v>0</v>
      </c>
      <c r="AI11" s="133">
        <f>前台增值物品出入库录入!AI11*$E11</f>
        <v>0</v>
      </c>
      <c r="AJ11" s="133">
        <f>前台增值物品出入库录入!AJ11*$E11</f>
        <v>0</v>
      </c>
      <c r="AK11" s="133">
        <f>前台增值物品出入库录入!AK11*$E11</f>
        <v>0</v>
      </c>
      <c r="AL11" s="133">
        <f>前台增值物品出入库录入!AL11*$E11</f>
        <v>0</v>
      </c>
      <c r="AM11" s="133">
        <f>前台增值物品出入库录入!AM11*$E11</f>
        <v>0</v>
      </c>
      <c r="AN11" s="133">
        <f>前台增值物品出入库录入!AN11*$E11</f>
        <v>0</v>
      </c>
      <c r="AO11" s="133">
        <f>前台增值物品出入库录入!AO11*$E11</f>
        <v>0</v>
      </c>
      <c r="AP11" s="133">
        <f>前台增值物品出入库录入!AP11*$E11</f>
        <v>0</v>
      </c>
      <c r="AQ11" s="133">
        <f>前台增值物品出入库录入!AQ11*$E11</f>
        <v>0</v>
      </c>
      <c r="AR11" s="133">
        <f>前台增值物品出入库录入!AR11*$E11</f>
        <v>0</v>
      </c>
      <c r="AS11" s="133">
        <f>前台增值物品出入库录入!AS11*$E11</f>
        <v>0</v>
      </c>
      <c r="AT11" s="133">
        <f>前台增值物品出入库录入!AT11*$E11</f>
        <v>0</v>
      </c>
      <c r="AU11" s="133">
        <f>前台增值物品出入库录入!AU11*$E11</f>
        <v>0</v>
      </c>
      <c r="AV11" s="133">
        <f>前台增值物品出入库录入!AV11*$E11</f>
        <v>0</v>
      </c>
      <c r="AW11" s="133">
        <f>前台增值物品出入库录入!AW11*$E11</f>
        <v>0</v>
      </c>
      <c r="AX11" s="133">
        <f>前台增值物品出入库录入!AX11*$E11</f>
        <v>0</v>
      </c>
      <c r="AY11" s="133">
        <f>前台增值物品出入库录入!AY11*$E11</f>
        <v>0</v>
      </c>
      <c r="AZ11" s="133">
        <f>前台增值物品出入库录入!AZ11*$E11</f>
        <v>0</v>
      </c>
      <c r="BA11" s="133">
        <f>前台增值物品出入库录入!BA11*$E11</f>
        <v>0</v>
      </c>
      <c r="BB11" s="133">
        <f>前台增值物品出入库录入!BB11*$E11</f>
        <v>0</v>
      </c>
      <c r="BC11" s="133">
        <f>前台增值物品出入库录入!BC11*$E11</f>
        <v>0</v>
      </c>
      <c r="BD11" s="133">
        <f>前台增值物品出入库录入!BD11*$E11</f>
        <v>0</v>
      </c>
      <c r="BE11" s="133">
        <f>前台增值物品出入库录入!BE11*$E11</f>
        <v>0</v>
      </c>
      <c r="BF11" s="133">
        <f>前台增值物品出入库录入!BF11*$E11</f>
        <v>0</v>
      </c>
      <c r="BG11" s="133">
        <f>前台增值物品出入库录入!BG11*$E11</f>
        <v>0</v>
      </c>
      <c r="BH11" s="133">
        <f>前台增值物品出入库录入!BH11*$E11</f>
        <v>0</v>
      </c>
      <c r="BI11" s="133">
        <f>前台增值物品出入库录入!BI11*$E11</f>
        <v>0</v>
      </c>
      <c r="BJ11" s="133">
        <f>前台增值物品出入库录入!BJ11*$E11</f>
        <v>0</v>
      </c>
      <c r="BK11" s="133">
        <f>前台增值物品出入库录入!BK11*$E11</f>
        <v>0</v>
      </c>
      <c r="BL11" s="133">
        <f>前台增值物品出入库录入!BL11*$E11</f>
        <v>0</v>
      </c>
      <c r="BM11" s="133">
        <f>前台增值物品出入库录入!BM11*$E11</f>
        <v>0</v>
      </c>
      <c r="BN11" s="133">
        <f>前台增值物品出入库录入!BN11*$E11</f>
        <v>0</v>
      </c>
      <c r="BO11" s="133">
        <f>前台增值物品出入库录入!BO11*$E11</f>
        <v>0</v>
      </c>
      <c r="BP11" s="133">
        <f>前台增值物品出入库录入!BP11*$E11</f>
        <v>0</v>
      </c>
      <c r="BQ11" s="133">
        <f>前台增值物品出入库录入!BQ11*$E11</f>
        <v>0</v>
      </c>
      <c r="BR11" s="133">
        <f>前台增值物品出入库录入!BR11*$E11</f>
        <v>0</v>
      </c>
      <c r="BS11" s="133">
        <f>前台增值物品出入库录入!BS11*$E11</f>
        <v>0</v>
      </c>
      <c r="BT11" s="133">
        <f>前台增值物品出入库录入!BT11*$E11</f>
        <v>0</v>
      </c>
      <c r="BU11" s="133">
        <f>前台增值物品出入库录入!BU11*$E11</f>
        <v>0</v>
      </c>
      <c r="BV11" s="133">
        <f>前台增值物品出入库录入!BV11*$E11</f>
        <v>0</v>
      </c>
      <c r="BW11" s="133">
        <f>前台增值物品出入库录入!BW11*$E11</f>
        <v>0</v>
      </c>
    </row>
    <row r="12" s="178" customFormat="1" customHeight="1" spans="1:75">
      <c r="A12" s="161">
        <v>8</v>
      </c>
      <c r="B12" s="162" t="str">
        <f>前台增值物品出入库录入!B12</f>
        <v>A4纸2</v>
      </c>
      <c r="C12" s="162">
        <f>前台增值物品出入库录入!C12</f>
        <v>0</v>
      </c>
      <c r="D12" s="162" t="str">
        <f>前台增值物品出入库录入!D12</f>
        <v>张</v>
      </c>
      <c r="E12" s="162">
        <f>前台增值物品出入库录入!E12</f>
        <v>0.0354</v>
      </c>
      <c r="F12" s="162">
        <f>前台增值物品出入库录入!F12</f>
        <v>300</v>
      </c>
      <c r="G12" s="162">
        <f>前台增值物品出入库录入!G12</f>
        <v>10.62</v>
      </c>
      <c r="H12" s="162">
        <f>前台增值物品出入库录入!H12</f>
        <v>0</v>
      </c>
      <c r="I12" s="162">
        <f>前台增值物品出入库录入!I12</f>
        <v>0</v>
      </c>
      <c r="J12" s="162">
        <f>前台增值物品出入库录入!J12</f>
        <v>300</v>
      </c>
      <c r="K12" s="162">
        <f>前台增值物品出入库录入!K12</f>
        <v>10.62</v>
      </c>
      <c r="L12" s="162">
        <f>前台增值物品出入库录入!L12</f>
        <v>0</v>
      </c>
      <c r="M12" s="162">
        <f>前台增值物品出入库录入!M12</f>
        <v>0</v>
      </c>
      <c r="N12" s="133">
        <f>前台增值物品出入库录入!N12*$E12</f>
        <v>0</v>
      </c>
      <c r="O12" s="133">
        <f>前台增值物品出入库录入!O12*$E12</f>
        <v>3.54</v>
      </c>
      <c r="P12" s="133">
        <f>前台增值物品出入库录入!P12*$E12</f>
        <v>0</v>
      </c>
      <c r="Q12" s="133">
        <f>前台增值物品出入库录入!Q12*$E12</f>
        <v>0</v>
      </c>
      <c r="R12" s="133">
        <f>前台增值物品出入库录入!R12*$E12</f>
        <v>0</v>
      </c>
      <c r="S12" s="133">
        <f>前台增值物品出入库录入!S12*$E12</f>
        <v>0</v>
      </c>
      <c r="T12" s="133">
        <f>前台增值物品出入库录入!T12*$E12</f>
        <v>0</v>
      </c>
      <c r="U12" s="133">
        <f>前台增值物品出入库录入!U12*$E12</f>
        <v>0</v>
      </c>
      <c r="V12" s="133">
        <f>前台增值物品出入库录入!V12*$E12</f>
        <v>0</v>
      </c>
      <c r="W12" s="133">
        <f>前台增值物品出入库录入!W12*$E12</f>
        <v>0</v>
      </c>
      <c r="X12" s="133">
        <f>前台增值物品出入库录入!X12*$E12</f>
        <v>0</v>
      </c>
      <c r="Y12" s="133">
        <f>前台增值物品出入库录入!Y12*$E12</f>
        <v>0</v>
      </c>
      <c r="Z12" s="133">
        <f>前台增值物品出入库录入!Z12*$E12</f>
        <v>0</v>
      </c>
      <c r="AA12" s="133">
        <f>前台增值物品出入库录入!AA12*$E12</f>
        <v>0</v>
      </c>
      <c r="AB12" s="133">
        <f>前台增值物品出入库录入!AB12*$E12</f>
        <v>0</v>
      </c>
      <c r="AC12" s="133">
        <f>前台增值物品出入库录入!AC12*$E12</f>
        <v>0</v>
      </c>
      <c r="AD12" s="133">
        <f>前台增值物品出入库录入!AD12*$E12</f>
        <v>0</v>
      </c>
      <c r="AE12" s="133">
        <f>前台增值物品出入库录入!AE12*$E12</f>
        <v>0</v>
      </c>
      <c r="AF12" s="133">
        <f>前台增值物品出入库录入!AF12*$E12</f>
        <v>0</v>
      </c>
      <c r="AG12" s="133">
        <f>前台增值物品出入库录入!AG12*$E12</f>
        <v>0</v>
      </c>
      <c r="AH12" s="133">
        <f>前台增值物品出入库录入!AH12*$E12</f>
        <v>0</v>
      </c>
      <c r="AI12" s="133">
        <f>前台增值物品出入库录入!AI12*$E12</f>
        <v>0</v>
      </c>
      <c r="AJ12" s="133">
        <f>前台增值物品出入库录入!AJ12*$E12</f>
        <v>0</v>
      </c>
      <c r="AK12" s="133">
        <f>前台增值物品出入库录入!AK12*$E12</f>
        <v>0</v>
      </c>
      <c r="AL12" s="133">
        <f>前台增值物品出入库录入!AL12*$E12</f>
        <v>0</v>
      </c>
      <c r="AM12" s="133">
        <f>前台增值物品出入库录入!AM12*$E12</f>
        <v>3.54</v>
      </c>
      <c r="AN12" s="133">
        <f>前台增值物品出入库录入!AN12*$E12</f>
        <v>0</v>
      </c>
      <c r="AO12" s="133">
        <f>前台增值物品出入库录入!AO12*$E12</f>
        <v>0</v>
      </c>
      <c r="AP12" s="133">
        <f>前台增值物品出入库录入!AP12*$E12</f>
        <v>0</v>
      </c>
      <c r="AQ12" s="133">
        <f>前台增值物品出入库录入!AQ12*$E12</f>
        <v>0</v>
      </c>
      <c r="AR12" s="133">
        <f>前台增值物品出入库录入!AR12*$E12</f>
        <v>0</v>
      </c>
      <c r="AS12" s="133">
        <f>前台增值物品出入库录入!AS12*$E12</f>
        <v>3.54</v>
      </c>
      <c r="AT12" s="133">
        <f>前台增值物品出入库录入!AT12*$E12</f>
        <v>0</v>
      </c>
      <c r="AU12" s="133">
        <f>前台增值物品出入库录入!AU12*$E12</f>
        <v>0</v>
      </c>
      <c r="AV12" s="133">
        <f>前台增值物品出入库录入!AV12*$E12</f>
        <v>0</v>
      </c>
      <c r="AW12" s="133">
        <f>前台增值物品出入库录入!AW12*$E12</f>
        <v>0</v>
      </c>
      <c r="AX12" s="133">
        <f>前台增值物品出入库录入!AX12*$E12</f>
        <v>0</v>
      </c>
      <c r="AY12" s="133">
        <f>前台增值物品出入库录入!AY12*$E12</f>
        <v>0</v>
      </c>
      <c r="AZ12" s="133">
        <f>前台增值物品出入库录入!AZ12*$E12</f>
        <v>0</v>
      </c>
      <c r="BA12" s="133">
        <f>前台增值物品出入库录入!BA12*$E12</f>
        <v>0</v>
      </c>
      <c r="BB12" s="133">
        <f>前台增值物品出入库录入!BB12*$E12</f>
        <v>0</v>
      </c>
      <c r="BC12" s="133">
        <f>前台增值物品出入库录入!BC12*$E12</f>
        <v>0</v>
      </c>
      <c r="BD12" s="133">
        <f>前台增值物品出入库录入!BD12*$E12</f>
        <v>0</v>
      </c>
      <c r="BE12" s="133">
        <f>前台增值物品出入库录入!BE12*$E12</f>
        <v>0</v>
      </c>
      <c r="BF12" s="133">
        <f>前台增值物品出入库录入!BF12*$E12</f>
        <v>0</v>
      </c>
      <c r="BG12" s="133">
        <f>前台增值物品出入库录入!BG12*$E12</f>
        <v>0</v>
      </c>
      <c r="BH12" s="133">
        <f>前台增值物品出入库录入!BH12*$E12</f>
        <v>0</v>
      </c>
      <c r="BI12" s="133">
        <f>前台增值物品出入库录入!BI12*$E12</f>
        <v>0</v>
      </c>
      <c r="BJ12" s="133">
        <f>前台增值物品出入库录入!BJ12*$E12</f>
        <v>0</v>
      </c>
      <c r="BK12" s="133">
        <f>前台增值物品出入库录入!BK12*$E12</f>
        <v>0</v>
      </c>
      <c r="BL12" s="133">
        <f>前台增值物品出入库录入!BL12*$E12</f>
        <v>0</v>
      </c>
      <c r="BM12" s="133">
        <f>前台增值物品出入库录入!BM12*$E12</f>
        <v>0</v>
      </c>
      <c r="BN12" s="133">
        <f>前台增值物品出入库录入!BN12*$E12</f>
        <v>0</v>
      </c>
      <c r="BO12" s="133">
        <f>前台增值物品出入库录入!BO12*$E12</f>
        <v>0</v>
      </c>
      <c r="BP12" s="133">
        <f>前台增值物品出入库录入!BP12*$E12</f>
        <v>0</v>
      </c>
      <c r="BQ12" s="133">
        <f>前台增值物品出入库录入!BQ12*$E12</f>
        <v>0</v>
      </c>
      <c r="BR12" s="133">
        <f>前台增值物品出入库录入!BR12*$E12</f>
        <v>0</v>
      </c>
      <c r="BS12" s="133">
        <f>前台增值物品出入库录入!BS12*$E12</f>
        <v>0</v>
      </c>
      <c r="BT12" s="133">
        <f>前台增值物品出入库录入!BT12*$E12</f>
        <v>0</v>
      </c>
      <c r="BU12" s="133">
        <f>前台增值物品出入库录入!BU12*$E12</f>
        <v>0</v>
      </c>
      <c r="BV12" s="133">
        <f>前台增值物品出入库录入!BV12*$E12</f>
        <v>0</v>
      </c>
      <c r="BW12" s="133">
        <f>前台增值物品出入库录入!BW12*$E12</f>
        <v>0</v>
      </c>
    </row>
    <row r="13" s="178" customFormat="1" customHeight="1" spans="1:75">
      <c r="A13" s="161">
        <v>9</v>
      </c>
      <c r="B13" s="162" t="str">
        <f>前台增值物品出入库录入!B13</f>
        <v>纸碟子</v>
      </c>
      <c r="C13" s="162">
        <f>前台增值物品出入库录入!C13</f>
        <v>0</v>
      </c>
      <c r="D13" s="162" t="str">
        <f>前台增值物品出入库录入!D13</f>
        <v>个</v>
      </c>
      <c r="E13" s="162">
        <f>前台增值物品出入库录入!E13</f>
        <v>0.06384</v>
      </c>
      <c r="F13" s="162">
        <f>前台增值物品出入库录入!F13</f>
        <v>360</v>
      </c>
      <c r="G13" s="162">
        <f>前台增值物品出入库录入!G13</f>
        <v>22.9824</v>
      </c>
      <c r="H13" s="162">
        <f>前台增值物品出入库录入!H13</f>
        <v>0</v>
      </c>
      <c r="I13" s="162">
        <f>前台增值物品出入库录入!I13</f>
        <v>0</v>
      </c>
      <c r="J13" s="162">
        <f>前台增值物品出入库录入!J13</f>
        <v>360</v>
      </c>
      <c r="K13" s="162">
        <f>前台增值物品出入库录入!K13</f>
        <v>22.9824</v>
      </c>
      <c r="L13" s="162">
        <f>前台增值物品出入库录入!L13</f>
        <v>0</v>
      </c>
      <c r="M13" s="162">
        <f>前台增值物品出入库录入!M13</f>
        <v>0</v>
      </c>
      <c r="N13" s="133">
        <f>前台增值物品出入库录入!N13*$E13</f>
        <v>0</v>
      </c>
      <c r="O13" s="133">
        <f>前台增值物品出入库录入!O13*$E13</f>
        <v>1.2768</v>
      </c>
      <c r="P13" s="133">
        <f>前台增值物品出入库录入!P13*$E13</f>
        <v>0</v>
      </c>
      <c r="Q13" s="133">
        <f>前台增值物品出入库录入!Q13*$E13</f>
        <v>1.2768</v>
      </c>
      <c r="R13" s="133">
        <f>前台增值物品出入库录入!R13*$E13</f>
        <v>0</v>
      </c>
      <c r="S13" s="133">
        <f>前台增值物品出入库录入!S13*$E13</f>
        <v>1.2768</v>
      </c>
      <c r="T13" s="133">
        <f>前台增值物品出入库录入!T13*$E13</f>
        <v>0</v>
      </c>
      <c r="U13" s="133">
        <f>前台增值物品出入库录入!U13*$E13</f>
        <v>1.2768</v>
      </c>
      <c r="V13" s="133">
        <f>前台增值物品出入库录入!V13*$E13</f>
        <v>0</v>
      </c>
      <c r="W13" s="133">
        <f>前台增值物品出入库录入!W13*$E13</f>
        <v>1.2768</v>
      </c>
      <c r="X13" s="133">
        <f>前台增值物品出入库录入!X13*$E13</f>
        <v>0</v>
      </c>
      <c r="Y13" s="133">
        <f>前台增值物品出入库录入!Y13*$E13</f>
        <v>0</v>
      </c>
      <c r="Z13" s="133">
        <f>前台增值物品出入库录入!Z13*$E13</f>
        <v>0</v>
      </c>
      <c r="AA13" s="133">
        <f>前台增值物品出入库录入!AA13*$E13</f>
        <v>1.2768</v>
      </c>
      <c r="AB13" s="133">
        <f>前台增值物品出入库录入!AB13*$E13</f>
        <v>0</v>
      </c>
      <c r="AC13" s="133">
        <f>前台增值物品出入库录入!AC13*$E13</f>
        <v>0</v>
      </c>
      <c r="AD13" s="133">
        <f>前台增值物品出入库录入!AD13*$E13</f>
        <v>0</v>
      </c>
      <c r="AE13" s="133">
        <f>前台增值物品出入库录入!AE13*$E13</f>
        <v>1.2768</v>
      </c>
      <c r="AF13" s="133">
        <f>前台增值物品出入库录入!AF13*$E13</f>
        <v>0</v>
      </c>
      <c r="AG13" s="133">
        <f>前台增值物品出入库录入!AG13*$E13</f>
        <v>1.2768</v>
      </c>
      <c r="AH13" s="133">
        <f>前台增值物品出入库录入!AH13*$E13</f>
        <v>0</v>
      </c>
      <c r="AI13" s="133">
        <f>前台增值物品出入库录入!AI13*$E13</f>
        <v>0</v>
      </c>
      <c r="AJ13" s="133">
        <f>前台增值物品出入库录入!AJ13*$E13</f>
        <v>0</v>
      </c>
      <c r="AK13" s="133">
        <f>前台增值物品出入库录入!AK13*$E13</f>
        <v>1.2768</v>
      </c>
      <c r="AL13" s="133">
        <f>前台增值物品出入库录入!AL13*$E13</f>
        <v>0</v>
      </c>
      <c r="AM13" s="133">
        <f>前台增值物品出入库录入!AM13*$E13</f>
        <v>0</v>
      </c>
      <c r="AN13" s="133">
        <f>前台增值物品出入库录入!AN13*$E13</f>
        <v>0</v>
      </c>
      <c r="AO13" s="133">
        <f>前台增值物品出入库录入!AO13*$E13</f>
        <v>0</v>
      </c>
      <c r="AP13" s="133">
        <f>前台增值物品出入库录入!AP13*$E13</f>
        <v>0</v>
      </c>
      <c r="AQ13" s="133">
        <f>前台增值物品出入库录入!AQ13*$E13</f>
        <v>0</v>
      </c>
      <c r="AR13" s="133">
        <f>前台增值物品出入库录入!AR13*$E13</f>
        <v>0</v>
      </c>
      <c r="AS13" s="133">
        <f>前台增值物品出入库录入!AS13*$E13</f>
        <v>0</v>
      </c>
      <c r="AT13" s="133">
        <f>前台增值物品出入库录入!AT13*$E13</f>
        <v>0</v>
      </c>
      <c r="AU13" s="133">
        <f>前台增值物品出入库录入!AU13*$E13</f>
        <v>0</v>
      </c>
      <c r="AV13" s="133">
        <f>前台增值物品出入库录入!AV13*$E13</f>
        <v>0</v>
      </c>
      <c r="AW13" s="133">
        <f>前台增值物品出入库录入!AW13*$E13</f>
        <v>0</v>
      </c>
      <c r="AX13" s="133">
        <f>前台增值物品出入库录入!AX13*$E13</f>
        <v>0</v>
      </c>
      <c r="AY13" s="133">
        <f>前台增值物品出入库录入!AY13*$E13</f>
        <v>0</v>
      </c>
      <c r="AZ13" s="133">
        <f>前台增值物品出入库录入!AZ13*$E13</f>
        <v>0</v>
      </c>
      <c r="BA13" s="133">
        <f>前台增值物品出入库录入!BA13*$E13</f>
        <v>0</v>
      </c>
      <c r="BB13" s="133">
        <f>前台增值物品出入库录入!BB13*$E13</f>
        <v>0</v>
      </c>
      <c r="BC13" s="133">
        <f>前台增值物品出入库录入!BC13*$E13</f>
        <v>0</v>
      </c>
      <c r="BD13" s="133">
        <f>前台增值物品出入库录入!BD13*$E13</f>
        <v>0</v>
      </c>
      <c r="BE13" s="133">
        <f>前台增值物品出入库录入!BE13*$E13</f>
        <v>0</v>
      </c>
      <c r="BF13" s="133">
        <f>前台增值物品出入库录入!BF13*$E13</f>
        <v>0</v>
      </c>
      <c r="BG13" s="133">
        <f>前台增值物品出入库录入!BG13*$E13</f>
        <v>0</v>
      </c>
      <c r="BH13" s="133">
        <f>前台增值物品出入库录入!BH13*$E13</f>
        <v>0</v>
      </c>
      <c r="BI13" s="133">
        <f>前台增值物品出入库录入!BI13*$E13</f>
        <v>0</v>
      </c>
      <c r="BJ13" s="133">
        <f>前台增值物品出入库录入!BJ13*$E13</f>
        <v>0</v>
      </c>
      <c r="BK13" s="133">
        <f>前台增值物品出入库录入!BK13*$E13</f>
        <v>11.4912</v>
      </c>
      <c r="BL13" s="133">
        <f>前台增值物品出入库录入!BL13*$E13</f>
        <v>0</v>
      </c>
      <c r="BM13" s="133">
        <f>前台增值物品出入库录入!BM13*$E13</f>
        <v>0</v>
      </c>
      <c r="BN13" s="133">
        <f>前台增值物品出入库录入!BN13*$E13</f>
        <v>0</v>
      </c>
      <c r="BO13" s="133">
        <f>前台增值物品出入库录入!BO13*$E13</f>
        <v>0</v>
      </c>
      <c r="BP13" s="133">
        <f>前台增值物品出入库录入!BP13*$E13</f>
        <v>0</v>
      </c>
      <c r="BQ13" s="133">
        <f>前台增值物品出入库录入!BQ13*$E13</f>
        <v>0</v>
      </c>
      <c r="BR13" s="133">
        <f>前台增值物品出入库录入!BR13*$E13</f>
        <v>0</v>
      </c>
      <c r="BS13" s="133">
        <f>前台增值物品出入库录入!BS13*$E13</f>
        <v>0</v>
      </c>
      <c r="BT13" s="133">
        <f>前台增值物品出入库录入!BT13*$E13</f>
        <v>0</v>
      </c>
      <c r="BU13" s="133">
        <f>前台增值物品出入库录入!BU13*$E13</f>
        <v>0</v>
      </c>
      <c r="BV13" s="133">
        <f>前台增值物品出入库录入!BV13*$E13</f>
        <v>0</v>
      </c>
      <c r="BW13" s="133">
        <f>前台增值物品出入库录入!BW13*$E13</f>
        <v>0</v>
      </c>
    </row>
    <row r="14" s="178" customFormat="1" customHeight="1" spans="1:75">
      <c r="A14" s="161">
        <v>10</v>
      </c>
      <c r="B14" s="162" t="str">
        <f>前台增值物品出入库录入!B14</f>
        <v>口罩</v>
      </c>
      <c r="C14" s="162">
        <f>前台增值物品出入库录入!C14</f>
        <v>0</v>
      </c>
      <c r="D14" s="162" t="str">
        <f>前台增值物品出入库录入!D14</f>
        <v>个</v>
      </c>
      <c r="E14" s="162">
        <f>前台增值物品出入库录入!E14</f>
        <v>0.115</v>
      </c>
      <c r="F14" s="162">
        <f>前台增值物品出入库录入!F14</f>
        <v>199</v>
      </c>
      <c r="G14" s="162">
        <f>前台增值物品出入库录入!G14</f>
        <v>22.885</v>
      </c>
      <c r="H14" s="162">
        <f>前台增值物品出入库录入!H14</f>
        <v>0</v>
      </c>
      <c r="I14" s="162">
        <f>前台增值物品出入库录入!I14</f>
        <v>0</v>
      </c>
      <c r="J14" s="162">
        <f>前台增值物品出入库录入!J14</f>
        <v>57</v>
      </c>
      <c r="K14" s="162">
        <f>前台增值物品出入库录入!K14</f>
        <v>6.555</v>
      </c>
      <c r="L14" s="162">
        <f>前台增值物品出入库录入!L14</f>
        <v>142</v>
      </c>
      <c r="M14" s="162">
        <f>前台增值物品出入库录入!M14</f>
        <v>16.33</v>
      </c>
      <c r="N14" s="133">
        <f>前台增值物品出入库录入!N14*$E14</f>
        <v>0</v>
      </c>
      <c r="O14" s="133">
        <f>前台增值物品出入库录入!O14*$E14</f>
        <v>0.575</v>
      </c>
      <c r="P14" s="133">
        <f>前台增值物品出入库录入!P14*$E14</f>
        <v>0</v>
      </c>
      <c r="Q14" s="133">
        <f>前台增值物品出入库录入!Q14*$E14</f>
        <v>0</v>
      </c>
      <c r="R14" s="133">
        <f>前台增值物品出入库录入!R14*$E14</f>
        <v>0</v>
      </c>
      <c r="S14" s="133">
        <f>前台增值物品出入库录入!S14*$E14</f>
        <v>0.69</v>
      </c>
      <c r="T14" s="133">
        <f>前台增值物品出入库录入!T14*$E14</f>
        <v>0</v>
      </c>
      <c r="U14" s="133">
        <f>前台增值物品出入库录入!U14*$E14</f>
        <v>0</v>
      </c>
      <c r="V14" s="133">
        <f>前台增值物品出入库录入!V14*$E14</f>
        <v>0</v>
      </c>
      <c r="W14" s="133">
        <f>前台增值物品出入库录入!W14*$E14</f>
        <v>0.575</v>
      </c>
      <c r="X14" s="133">
        <f>前台增值物品出入库录入!X14*$E14</f>
        <v>0</v>
      </c>
      <c r="Y14" s="133">
        <f>前台增值物品出入库录入!Y14*$E14</f>
        <v>0</v>
      </c>
      <c r="Z14" s="133">
        <f>前台增值物品出入库录入!Z14*$E14</f>
        <v>0</v>
      </c>
      <c r="AA14" s="133">
        <f>前台增值物品出入库录入!AA14*$E14</f>
        <v>0</v>
      </c>
      <c r="AB14" s="133">
        <f>前台增值物品出入库录入!AB14*$E14</f>
        <v>0</v>
      </c>
      <c r="AC14" s="133">
        <f>前台增值物品出入库录入!AC14*$E14</f>
        <v>0</v>
      </c>
      <c r="AD14" s="133">
        <f>前台增值物品出入库录入!AD14*$E14</f>
        <v>0</v>
      </c>
      <c r="AE14" s="133">
        <f>前台增值物品出入库录入!AE14*$E14</f>
        <v>0</v>
      </c>
      <c r="AF14" s="133">
        <f>前台增值物品出入库录入!AF14*$E14</f>
        <v>0</v>
      </c>
      <c r="AG14" s="133">
        <f>前台增值物品出入库录入!AG14*$E14</f>
        <v>0</v>
      </c>
      <c r="AH14" s="133">
        <f>前台增值物品出入库录入!AH14*$E14</f>
        <v>0</v>
      </c>
      <c r="AI14" s="133">
        <f>前台增值物品出入库录入!AI14*$E14</f>
        <v>0</v>
      </c>
      <c r="AJ14" s="133">
        <f>前台增值物品出入库录入!AJ14*$E14</f>
        <v>0</v>
      </c>
      <c r="AK14" s="133">
        <f>前台增值物品出入库录入!AK14*$E14</f>
        <v>0</v>
      </c>
      <c r="AL14" s="133">
        <f>前台增值物品出入库录入!AL14*$E14</f>
        <v>0</v>
      </c>
      <c r="AM14" s="133">
        <f>前台增值物品出入库录入!AM14*$E14</f>
        <v>1.725</v>
      </c>
      <c r="AN14" s="133">
        <f>前台增值物品出入库录入!AN14*$E14</f>
        <v>0</v>
      </c>
      <c r="AO14" s="133">
        <f>前台增值物品出入库录入!AO14*$E14</f>
        <v>0</v>
      </c>
      <c r="AP14" s="133">
        <f>前台增值物品出入库录入!AP14*$E14</f>
        <v>0</v>
      </c>
      <c r="AQ14" s="133">
        <f>前台增值物品出入库录入!AQ14*$E14</f>
        <v>1.15</v>
      </c>
      <c r="AR14" s="133">
        <f>前台增值物品出入库录入!AR14*$E14</f>
        <v>0</v>
      </c>
      <c r="AS14" s="133">
        <f>前台增值物品出入库录入!AS14*$E14</f>
        <v>0</v>
      </c>
      <c r="AT14" s="133">
        <f>前台增值物品出入库录入!AT14*$E14</f>
        <v>0</v>
      </c>
      <c r="AU14" s="133">
        <f>前台增值物品出入库录入!AU14*$E14</f>
        <v>0</v>
      </c>
      <c r="AV14" s="133">
        <f>前台增值物品出入库录入!AV14*$E14</f>
        <v>0</v>
      </c>
      <c r="AW14" s="133">
        <f>前台增值物品出入库录入!AW14*$E14</f>
        <v>0</v>
      </c>
      <c r="AX14" s="133">
        <f>前台增值物品出入库录入!AX14*$E14</f>
        <v>0</v>
      </c>
      <c r="AY14" s="133">
        <f>前台增值物品出入库录入!AY14*$E14</f>
        <v>0</v>
      </c>
      <c r="AZ14" s="133">
        <f>前台增值物品出入库录入!AZ14*$E14</f>
        <v>0</v>
      </c>
      <c r="BA14" s="133">
        <f>前台增值物品出入库录入!BA14*$E14</f>
        <v>0</v>
      </c>
      <c r="BB14" s="133">
        <f>前台增值物品出入库录入!BB14*$E14</f>
        <v>0</v>
      </c>
      <c r="BC14" s="133">
        <f>前台增值物品出入库录入!BC14*$E14</f>
        <v>0</v>
      </c>
      <c r="BD14" s="133">
        <f>前台增值物品出入库录入!BD14*$E14</f>
        <v>0</v>
      </c>
      <c r="BE14" s="133">
        <f>前台增值物品出入库录入!BE14*$E14</f>
        <v>0</v>
      </c>
      <c r="BF14" s="133">
        <f>前台增值物品出入库录入!BF14*$E14</f>
        <v>0</v>
      </c>
      <c r="BG14" s="133">
        <f>前台增值物品出入库录入!BG14*$E14</f>
        <v>0</v>
      </c>
      <c r="BH14" s="133">
        <f>前台增值物品出入库录入!BH14*$E14</f>
        <v>0</v>
      </c>
      <c r="BI14" s="133">
        <f>前台增值物品出入库录入!BI14*$E14</f>
        <v>0</v>
      </c>
      <c r="BJ14" s="133">
        <f>前台增值物品出入库录入!BJ14*$E14</f>
        <v>0</v>
      </c>
      <c r="BK14" s="133">
        <f>前台增值物品出入库录入!BK14*$E14</f>
        <v>0.23</v>
      </c>
      <c r="BL14" s="133">
        <f>前台增值物品出入库录入!BL14*$E14</f>
        <v>0</v>
      </c>
      <c r="BM14" s="133">
        <f>前台增值物品出入库录入!BM14*$E14</f>
        <v>0.23</v>
      </c>
      <c r="BN14" s="133">
        <f>前台增值物品出入库录入!BN14*$E14</f>
        <v>0</v>
      </c>
      <c r="BO14" s="133">
        <f>前台增值物品出入库录入!BO14*$E14</f>
        <v>0.115</v>
      </c>
      <c r="BP14" s="133">
        <f>前台增值物品出入库录入!BP14*$E14</f>
        <v>0</v>
      </c>
      <c r="BQ14" s="133">
        <f>前台增值物品出入库录入!BQ14*$E14</f>
        <v>0</v>
      </c>
      <c r="BR14" s="133">
        <f>前台增值物品出入库录入!BR14*$E14</f>
        <v>0</v>
      </c>
      <c r="BS14" s="133">
        <f>前台增值物品出入库录入!BS14*$E14</f>
        <v>0.115</v>
      </c>
      <c r="BT14" s="133">
        <f>前台增值物品出入库录入!BT14*$E14</f>
        <v>0</v>
      </c>
      <c r="BU14" s="133">
        <f>前台增值物品出入库录入!BU14*$E14</f>
        <v>0.575</v>
      </c>
      <c r="BV14" s="133">
        <f>前台增值物品出入库录入!BV14*$E14</f>
        <v>0</v>
      </c>
      <c r="BW14" s="133">
        <f>前台增值物品出入库录入!BW14*$E14</f>
        <v>0.575</v>
      </c>
    </row>
    <row r="15" s="178" customFormat="1" customHeight="1" spans="1:75">
      <c r="A15" s="161">
        <v>11</v>
      </c>
      <c r="B15" s="162" t="str">
        <f>前台增值物品出入库录入!B15</f>
        <v>文件盒</v>
      </c>
      <c r="C15" s="162">
        <f>前台增值物品出入库录入!C15</f>
        <v>0</v>
      </c>
      <c r="D15" s="162" t="str">
        <f>前台增值物品出入库录入!D15</f>
        <v>个</v>
      </c>
      <c r="E15" s="162">
        <f>前台增值物品出入库录入!E15</f>
        <v>4.495</v>
      </c>
      <c r="F15" s="162">
        <f>前台增值物品出入库录入!F15</f>
        <v>3</v>
      </c>
      <c r="G15" s="162">
        <f>前台增值物品出入库录入!G15</f>
        <v>13.485</v>
      </c>
      <c r="H15" s="162">
        <f>前台增值物品出入库录入!H15</f>
        <v>0</v>
      </c>
      <c r="I15" s="162">
        <f>前台增值物品出入库录入!I15</f>
        <v>0</v>
      </c>
      <c r="J15" s="162">
        <f>前台增值物品出入库录入!J15</f>
        <v>2</v>
      </c>
      <c r="K15" s="162">
        <f>前台增值物品出入库录入!K15</f>
        <v>8.99</v>
      </c>
      <c r="L15" s="162">
        <f>前台增值物品出入库录入!L15</f>
        <v>1</v>
      </c>
      <c r="M15" s="162">
        <f>前台增值物品出入库录入!M15</f>
        <v>4.495</v>
      </c>
      <c r="N15" s="133">
        <f>前台增值物品出入库录入!N15*$E15</f>
        <v>0</v>
      </c>
      <c r="O15" s="133">
        <f>前台增值物品出入库录入!O15*$E15</f>
        <v>0</v>
      </c>
      <c r="P15" s="133">
        <f>前台增值物品出入库录入!P15*$E15</f>
        <v>0</v>
      </c>
      <c r="Q15" s="133">
        <f>前台增值物品出入库录入!Q15*$E15</f>
        <v>0</v>
      </c>
      <c r="R15" s="133">
        <f>前台增值物品出入库录入!R15*$E15</f>
        <v>0</v>
      </c>
      <c r="S15" s="133">
        <f>前台增值物品出入库录入!S15*$E15</f>
        <v>0</v>
      </c>
      <c r="T15" s="133">
        <f>前台增值物品出入库录入!T15*$E15</f>
        <v>0</v>
      </c>
      <c r="U15" s="133">
        <f>前台增值物品出入库录入!U15*$E15</f>
        <v>0</v>
      </c>
      <c r="V15" s="133">
        <f>前台增值物品出入库录入!V15*$E15</f>
        <v>0</v>
      </c>
      <c r="W15" s="133">
        <f>前台增值物品出入库录入!W15*$E15</f>
        <v>0</v>
      </c>
      <c r="X15" s="133">
        <f>前台增值物品出入库录入!X15*$E15</f>
        <v>0</v>
      </c>
      <c r="Y15" s="133">
        <f>前台增值物品出入库录入!Y15*$E15</f>
        <v>0</v>
      </c>
      <c r="Z15" s="133">
        <f>前台增值物品出入库录入!Z15*$E15</f>
        <v>0</v>
      </c>
      <c r="AA15" s="133">
        <f>前台增值物品出入库录入!AA15*$E15</f>
        <v>0</v>
      </c>
      <c r="AB15" s="133">
        <f>前台增值物品出入库录入!AB15*$E15</f>
        <v>0</v>
      </c>
      <c r="AC15" s="133">
        <f>前台增值物品出入库录入!AC15*$E15</f>
        <v>0</v>
      </c>
      <c r="AD15" s="133">
        <f>前台增值物品出入库录入!AD15*$E15</f>
        <v>0</v>
      </c>
      <c r="AE15" s="133">
        <f>前台增值物品出入库录入!AE15*$E15</f>
        <v>0</v>
      </c>
      <c r="AF15" s="133">
        <f>前台增值物品出入库录入!AF15*$E15</f>
        <v>0</v>
      </c>
      <c r="AG15" s="133">
        <f>前台增值物品出入库录入!AG15*$E15</f>
        <v>0</v>
      </c>
      <c r="AH15" s="133">
        <f>前台增值物品出入库录入!AH15*$E15</f>
        <v>0</v>
      </c>
      <c r="AI15" s="133">
        <f>前台增值物品出入库录入!AI15*$E15</f>
        <v>0</v>
      </c>
      <c r="AJ15" s="133">
        <f>前台增值物品出入库录入!AJ15*$E15</f>
        <v>0</v>
      </c>
      <c r="AK15" s="133">
        <f>前台增值物品出入库录入!AK15*$E15</f>
        <v>0</v>
      </c>
      <c r="AL15" s="133">
        <f>前台增值物品出入库录入!AL15*$E15</f>
        <v>0</v>
      </c>
      <c r="AM15" s="133">
        <f>前台增值物品出入库录入!AM15*$E15</f>
        <v>0</v>
      </c>
      <c r="AN15" s="133">
        <f>前台增值物品出入库录入!AN15*$E15</f>
        <v>0</v>
      </c>
      <c r="AO15" s="133">
        <f>前台增值物品出入库录入!AO15*$E15</f>
        <v>0</v>
      </c>
      <c r="AP15" s="133">
        <f>前台增值物品出入库录入!AP15*$E15</f>
        <v>0</v>
      </c>
      <c r="AQ15" s="133">
        <f>前台增值物品出入库录入!AQ15*$E15</f>
        <v>0</v>
      </c>
      <c r="AR15" s="133">
        <f>前台增值物品出入库录入!AR15*$E15</f>
        <v>0</v>
      </c>
      <c r="AS15" s="133">
        <f>前台增值物品出入库录入!AS15*$E15</f>
        <v>0</v>
      </c>
      <c r="AT15" s="133">
        <f>前台增值物品出入库录入!AT15*$E15</f>
        <v>0</v>
      </c>
      <c r="AU15" s="133">
        <f>前台增值物品出入库录入!AU15*$E15</f>
        <v>0</v>
      </c>
      <c r="AV15" s="133">
        <f>前台增值物品出入库录入!AV15*$E15</f>
        <v>0</v>
      </c>
      <c r="AW15" s="133">
        <f>前台增值物品出入库录入!AW15*$E15</f>
        <v>0</v>
      </c>
      <c r="AX15" s="133">
        <f>前台增值物品出入库录入!AX15*$E15</f>
        <v>0</v>
      </c>
      <c r="AY15" s="133">
        <f>前台增值物品出入库录入!AY15*$E15</f>
        <v>0</v>
      </c>
      <c r="AZ15" s="133">
        <f>前台增值物品出入库录入!AZ15*$E15</f>
        <v>0</v>
      </c>
      <c r="BA15" s="133">
        <f>前台增值物品出入库录入!BA15*$E15</f>
        <v>0</v>
      </c>
      <c r="BB15" s="133">
        <f>前台增值物品出入库录入!BB15*$E15</f>
        <v>0</v>
      </c>
      <c r="BC15" s="133">
        <f>前台增值物品出入库录入!BC15*$E15</f>
        <v>0</v>
      </c>
      <c r="BD15" s="133">
        <f>前台增值物品出入库录入!BD15*$E15</f>
        <v>0</v>
      </c>
      <c r="BE15" s="133">
        <f>前台增值物品出入库录入!BE15*$E15</f>
        <v>0</v>
      </c>
      <c r="BF15" s="133">
        <f>前台增值物品出入库录入!BF15*$E15</f>
        <v>0</v>
      </c>
      <c r="BG15" s="133">
        <f>前台增值物品出入库录入!BG15*$E15</f>
        <v>4.495</v>
      </c>
      <c r="BH15" s="133">
        <f>前台增值物品出入库录入!BH15*$E15</f>
        <v>0</v>
      </c>
      <c r="BI15" s="133">
        <f>前台增值物品出入库录入!BI15*$E15</f>
        <v>0</v>
      </c>
      <c r="BJ15" s="133">
        <f>前台增值物品出入库录入!BJ15*$E15</f>
        <v>0</v>
      </c>
      <c r="BK15" s="133">
        <f>前台增值物品出入库录入!BK15*$E15</f>
        <v>0</v>
      </c>
      <c r="BL15" s="133">
        <f>前台增值物品出入库录入!BL15*$E15</f>
        <v>0</v>
      </c>
      <c r="BM15" s="133">
        <f>前台增值物品出入库录入!BM15*$E15</f>
        <v>4.495</v>
      </c>
      <c r="BN15" s="133">
        <f>前台增值物品出入库录入!BN15*$E15</f>
        <v>0</v>
      </c>
      <c r="BO15" s="133">
        <f>前台增值物品出入库录入!BO15*$E15</f>
        <v>0</v>
      </c>
      <c r="BP15" s="133">
        <f>前台增值物品出入库录入!BP15*$E15</f>
        <v>0</v>
      </c>
      <c r="BQ15" s="133">
        <f>前台增值物品出入库录入!BQ15*$E15</f>
        <v>0</v>
      </c>
      <c r="BR15" s="133">
        <f>前台增值物品出入库录入!BR15*$E15</f>
        <v>0</v>
      </c>
      <c r="BS15" s="133">
        <f>前台增值物品出入库录入!BS15*$E15</f>
        <v>0</v>
      </c>
      <c r="BT15" s="133">
        <f>前台增值物品出入库录入!BT15*$E15</f>
        <v>0</v>
      </c>
      <c r="BU15" s="133">
        <f>前台增值物品出入库录入!BU15*$E15</f>
        <v>0</v>
      </c>
      <c r="BV15" s="133">
        <f>前台增值物品出入库录入!BV15*$E15</f>
        <v>0</v>
      </c>
      <c r="BW15" s="133">
        <f>前台增值物品出入库录入!BW15*$E15</f>
        <v>0</v>
      </c>
    </row>
    <row r="16" s="178" customFormat="1" customHeight="1" spans="1:75">
      <c r="A16" s="161">
        <v>12</v>
      </c>
      <c r="B16" s="162" t="str">
        <f>前台增值物品出入库录入!B16</f>
        <v>壁纸刀</v>
      </c>
      <c r="C16" s="162">
        <f>前台增值物品出入库录入!C16</f>
        <v>0</v>
      </c>
      <c r="D16" s="162" t="str">
        <f>前台增值物品出入库录入!D16</f>
        <v>个</v>
      </c>
      <c r="E16" s="162">
        <f>前台增值物品出入库录入!E16</f>
        <v>3.495</v>
      </c>
      <c r="F16" s="162">
        <f>前台增值物品出入库录入!F16</f>
        <v>4</v>
      </c>
      <c r="G16" s="162">
        <f>前台增值物品出入库录入!G16</f>
        <v>13.98</v>
      </c>
      <c r="H16" s="162">
        <f>前台增值物品出入库录入!H16</f>
        <v>0</v>
      </c>
      <c r="I16" s="162">
        <f>前台增值物品出入库录入!I16</f>
        <v>0</v>
      </c>
      <c r="J16" s="162">
        <f>前台增值物品出入库录入!J16</f>
        <v>4</v>
      </c>
      <c r="K16" s="162">
        <f>前台增值物品出入库录入!K16</f>
        <v>13.98</v>
      </c>
      <c r="L16" s="162">
        <f>前台增值物品出入库录入!L16</f>
        <v>0</v>
      </c>
      <c r="M16" s="162">
        <f>前台增值物品出入库录入!M16</f>
        <v>0</v>
      </c>
      <c r="N16" s="133">
        <f>前台增值物品出入库录入!N16*$E16</f>
        <v>0</v>
      </c>
      <c r="O16" s="133">
        <f>前台增值物品出入库录入!O16*$E16</f>
        <v>3.495</v>
      </c>
      <c r="P16" s="133">
        <f>前台增值物品出入库录入!P16*$E16</f>
        <v>0</v>
      </c>
      <c r="Q16" s="133">
        <f>前台增值物品出入库录入!Q16*$E16</f>
        <v>0</v>
      </c>
      <c r="R16" s="133">
        <f>前台增值物品出入库录入!R16*$E16</f>
        <v>0</v>
      </c>
      <c r="S16" s="133">
        <f>前台增值物品出入库录入!S16*$E16</f>
        <v>0</v>
      </c>
      <c r="T16" s="133">
        <f>前台增值物品出入库录入!T16*$E16</f>
        <v>0</v>
      </c>
      <c r="U16" s="133">
        <f>前台增值物品出入库录入!U16*$E16</f>
        <v>0</v>
      </c>
      <c r="V16" s="133">
        <f>前台增值物品出入库录入!V16*$E16</f>
        <v>0</v>
      </c>
      <c r="W16" s="133">
        <f>前台增值物品出入库录入!W16*$E16</f>
        <v>0</v>
      </c>
      <c r="X16" s="133">
        <f>前台增值物品出入库录入!X16*$E16</f>
        <v>0</v>
      </c>
      <c r="Y16" s="133">
        <f>前台增值物品出入库录入!Y16*$E16</f>
        <v>0</v>
      </c>
      <c r="Z16" s="133">
        <f>前台增值物品出入库录入!Z16*$E16</f>
        <v>0</v>
      </c>
      <c r="AA16" s="133">
        <f>前台增值物品出入库录入!AA16*$E16</f>
        <v>0</v>
      </c>
      <c r="AB16" s="133">
        <f>前台增值物品出入库录入!AB16*$E16</f>
        <v>0</v>
      </c>
      <c r="AC16" s="133">
        <f>前台增值物品出入库录入!AC16*$E16</f>
        <v>0</v>
      </c>
      <c r="AD16" s="133">
        <f>前台增值物品出入库录入!AD16*$E16</f>
        <v>0</v>
      </c>
      <c r="AE16" s="133">
        <f>前台增值物品出入库录入!AE16*$E16</f>
        <v>0</v>
      </c>
      <c r="AF16" s="133">
        <f>前台增值物品出入库录入!AF16*$E16</f>
        <v>0</v>
      </c>
      <c r="AG16" s="133">
        <f>前台增值物品出入库录入!AG16*$E16</f>
        <v>0</v>
      </c>
      <c r="AH16" s="133">
        <f>前台增值物品出入库录入!AH16*$E16</f>
        <v>0</v>
      </c>
      <c r="AI16" s="133">
        <f>前台增值物品出入库录入!AI16*$E16</f>
        <v>0</v>
      </c>
      <c r="AJ16" s="133">
        <f>前台增值物品出入库录入!AJ16*$E16</f>
        <v>0</v>
      </c>
      <c r="AK16" s="133">
        <f>前台增值物品出入库录入!AK16*$E16</f>
        <v>0</v>
      </c>
      <c r="AL16" s="133">
        <f>前台增值物品出入库录入!AL16*$E16</f>
        <v>0</v>
      </c>
      <c r="AM16" s="133">
        <f>前台增值物品出入库录入!AM16*$E16</f>
        <v>0</v>
      </c>
      <c r="AN16" s="133">
        <f>前台增值物品出入库录入!AN16*$E16</f>
        <v>0</v>
      </c>
      <c r="AO16" s="133">
        <f>前台增值物品出入库录入!AO16*$E16</f>
        <v>0</v>
      </c>
      <c r="AP16" s="133">
        <f>前台增值物品出入库录入!AP16*$E16</f>
        <v>0</v>
      </c>
      <c r="AQ16" s="133">
        <f>前台增值物品出入库录入!AQ16*$E16</f>
        <v>0</v>
      </c>
      <c r="AR16" s="133">
        <f>前台增值物品出入库录入!AR16*$E16</f>
        <v>0</v>
      </c>
      <c r="AS16" s="133">
        <f>前台增值物品出入库录入!AS16*$E16</f>
        <v>0</v>
      </c>
      <c r="AT16" s="133">
        <f>前台增值物品出入库录入!AT16*$E16</f>
        <v>0</v>
      </c>
      <c r="AU16" s="133">
        <f>前台增值物品出入库录入!AU16*$E16</f>
        <v>0</v>
      </c>
      <c r="AV16" s="133">
        <f>前台增值物品出入库录入!AV16*$E16</f>
        <v>0</v>
      </c>
      <c r="AW16" s="133">
        <f>前台增值物品出入库录入!AW16*$E16</f>
        <v>0</v>
      </c>
      <c r="AX16" s="133">
        <f>前台增值物品出入库录入!AX16*$E16</f>
        <v>0</v>
      </c>
      <c r="AY16" s="133">
        <f>前台增值物品出入库录入!AY16*$E16</f>
        <v>0</v>
      </c>
      <c r="AZ16" s="133">
        <f>前台增值物品出入库录入!AZ16*$E16</f>
        <v>0</v>
      </c>
      <c r="BA16" s="133">
        <f>前台增值物品出入库录入!BA16*$E16</f>
        <v>0</v>
      </c>
      <c r="BB16" s="133">
        <f>前台增值物品出入库录入!BB16*$E16</f>
        <v>0</v>
      </c>
      <c r="BC16" s="133">
        <f>前台增值物品出入库录入!BC16*$E16</f>
        <v>0</v>
      </c>
      <c r="BD16" s="133">
        <f>前台增值物品出入库录入!BD16*$E16</f>
        <v>0</v>
      </c>
      <c r="BE16" s="133">
        <f>前台增值物品出入库录入!BE16*$E16</f>
        <v>0</v>
      </c>
      <c r="BF16" s="133">
        <f>前台增值物品出入库录入!BF16*$E16</f>
        <v>0</v>
      </c>
      <c r="BG16" s="133">
        <f>前台增值物品出入库录入!BG16*$E16</f>
        <v>0</v>
      </c>
      <c r="BH16" s="133">
        <f>前台增值物品出入库录入!BH16*$E16</f>
        <v>0</v>
      </c>
      <c r="BI16" s="133">
        <f>前台增值物品出入库录入!BI16*$E16</f>
        <v>0</v>
      </c>
      <c r="BJ16" s="133">
        <f>前台增值物品出入库录入!BJ16*$E16</f>
        <v>0</v>
      </c>
      <c r="BK16" s="133">
        <f>前台增值物品出入库录入!BK16*$E16</f>
        <v>10.485</v>
      </c>
      <c r="BL16" s="133">
        <f>前台增值物品出入库录入!BL16*$E16</f>
        <v>0</v>
      </c>
      <c r="BM16" s="133">
        <f>前台增值物品出入库录入!BM16*$E16</f>
        <v>0</v>
      </c>
      <c r="BN16" s="133">
        <f>前台增值物品出入库录入!BN16*$E16</f>
        <v>0</v>
      </c>
      <c r="BO16" s="133">
        <f>前台增值物品出入库录入!BO16*$E16</f>
        <v>0</v>
      </c>
      <c r="BP16" s="133">
        <f>前台增值物品出入库录入!BP16*$E16</f>
        <v>0</v>
      </c>
      <c r="BQ16" s="133">
        <f>前台增值物品出入库录入!BQ16*$E16</f>
        <v>0</v>
      </c>
      <c r="BR16" s="133">
        <f>前台增值物品出入库录入!BR16*$E16</f>
        <v>0</v>
      </c>
      <c r="BS16" s="133">
        <f>前台增值物品出入库录入!BS16*$E16</f>
        <v>0</v>
      </c>
      <c r="BT16" s="133">
        <f>前台增值物品出入库录入!BT16*$E16</f>
        <v>0</v>
      </c>
      <c r="BU16" s="133">
        <f>前台增值物品出入库录入!BU16*$E16</f>
        <v>0</v>
      </c>
      <c r="BV16" s="133">
        <f>前台增值物品出入库录入!BV16*$E16</f>
        <v>0</v>
      </c>
      <c r="BW16" s="133">
        <f>前台增值物品出入库录入!BW16*$E16</f>
        <v>0</v>
      </c>
    </row>
    <row r="17" s="178" customFormat="1" customHeight="1" spans="1:75">
      <c r="A17" s="161">
        <v>13</v>
      </c>
      <c r="B17" s="162" t="str">
        <f>前台增值物品出入库录入!B17</f>
        <v>铅笔</v>
      </c>
      <c r="C17" s="162">
        <f>前台增值物品出入库录入!C17</f>
        <v>0</v>
      </c>
      <c r="D17" s="162" t="str">
        <f>前台增值物品出入库录入!D17</f>
        <v>个</v>
      </c>
      <c r="E17" s="162">
        <f>前台增值物品出入库录入!E17</f>
        <v>0.3779</v>
      </c>
      <c r="F17" s="162">
        <f>前台增值物品出入库录入!F17</f>
        <v>59</v>
      </c>
      <c r="G17" s="162">
        <f>前台增值物品出入库录入!G17</f>
        <v>22.2961</v>
      </c>
      <c r="H17" s="162">
        <f>前台增值物品出入库录入!H17</f>
        <v>0</v>
      </c>
      <c r="I17" s="162">
        <f>前台增值物品出入库录入!I17</f>
        <v>0</v>
      </c>
      <c r="J17" s="162">
        <f>前台增值物品出入库录入!J17</f>
        <v>14</v>
      </c>
      <c r="K17" s="162">
        <f>前台增值物品出入库录入!K17</f>
        <v>5.2906</v>
      </c>
      <c r="L17" s="162">
        <f>前台增值物品出入库录入!L17</f>
        <v>45</v>
      </c>
      <c r="M17" s="162">
        <f>前台增值物品出入库录入!M17</f>
        <v>17.0055</v>
      </c>
      <c r="N17" s="133">
        <f>前台增值物品出入库录入!N17*$E17</f>
        <v>0</v>
      </c>
      <c r="O17" s="133">
        <f>前台增值物品出入库录入!O17*$E17</f>
        <v>0</v>
      </c>
      <c r="P17" s="133">
        <f>前台增值物品出入库录入!P17*$E17</f>
        <v>0</v>
      </c>
      <c r="Q17" s="133">
        <f>前台增值物品出入库录入!Q17*$E17</f>
        <v>0</v>
      </c>
      <c r="R17" s="133">
        <f>前台增值物品出入库录入!R17*$E17</f>
        <v>0</v>
      </c>
      <c r="S17" s="133">
        <f>前台增值物品出入库录入!S17*$E17</f>
        <v>0</v>
      </c>
      <c r="T17" s="133">
        <f>前台增值物品出入库录入!T17*$E17</f>
        <v>0</v>
      </c>
      <c r="U17" s="133">
        <f>前台增值物品出入库录入!U17*$E17</f>
        <v>0</v>
      </c>
      <c r="V17" s="133">
        <f>前台增值物品出入库录入!V17*$E17</f>
        <v>0</v>
      </c>
      <c r="W17" s="133">
        <f>前台增值物品出入库录入!W17*$E17</f>
        <v>0</v>
      </c>
      <c r="X17" s="133">
        <f>前台增值物品出入库录入!X17*$E17</f>
        <v>0</v>
      </c>
      <c r="Y17" s="133">
        <f>前台增值物品出入库录入!Y17*$E17</f>
        <v>0</v>
      </c>
      <c r="Z17" s="133">
        <f>前台增值物品出入库录入!Z17*$E17</f>
        <v>0</v>
      </c>
      <c r="AA17" s="133">
        <f>前台增值物品出入库录入!AA17*$E17</f>
        <v>0</v>
      </c>
      <c r="AB17" s="133">
        <f>前台增值物品出入库录入!AB17*$E17</f>
        <v>0</v>
      </c>
      <c r="AC17" s="133">
        <f>前台增值物品出入库录入!AC17*$E17</f>
        <v>0</v>
      </c>
      <c r="AD17" s="133">
        <f>前台增值物品出入库录入!AD17*$E17</f>
        <v>0</v>
      </c>
      <c r="AE17" s="133">
        <f>前台增值物品出入库录入!AE17*$E17</f>
        <v>0</v>
      </c>
      <c r="AF17" s="133">
        <f>前台增值物品出入库录入!AF17*$E17</f>
        <v>0</v>
      </c>
      <c r="AG17" s="133">
        <f>前台增值物品出入库录入!AG17*$E17</f>
        <v>0</v>
      </c>
      <c r="AH17" s="133">
        <f>前台增值物品出入库录入!AH17*$E17</f>
        <v>0</v>
      </c>
      <c r="AI17" s="133">
        <f>前台增值物品出入库录入!AI17*$E17</f>
        <v>0</v>
      </c>
      <c r="AJ17" s="133">
        <f>前台增值物品出入库录入!AJ17*$E17</f>
        <v>0</v>
      </c>
      <c r="AK17" s="133">
        <f>前台增值物品出入库录入!AK17*$E17</f>
        <v>0</v>
      </c>
      <c r="AL17" s="133">
        <f>前台增值物品出入库录入!AL17*$E17</f>
        <v>0</v>
      </c>
      <c r="AM17" s="133">
        <f>前台增值物品出入库录入!AM17*$E17</f>
        <v>0</v>
      </c>
      <c r="AN17" s="133">
        <f>前台增值物品出入库录入!AN17*$E17</f>
        <v>0</v>
      </c>
      <c r="AO17" s="133">
        <f>前台增值物品出入库录入!AO17*$E17</f>
        <v>0</v>
      </c>
      <c r="AP17" s="133">
        <f>前台增值物品出入库录入!AP17*$E17</f>
        <v>0</v>
      </c>
      <c r="AQ17" s="133">
        <f>前台增值物品出入库录入!AQ17*$E17</f>
        <v>0</v>
      </c>
      <c r="AR17" s="133">
        <f>前台增值物品出入库录入!AR17*$E17</f>
        <v>0</v>
      </c>
      <c r="AS17" s="133">
        <f>前台增值物品出入库录入!AS17*$E17</f>
        <v>1.8895</v>
      </c>
      <c r="AT17" s="133">
        <f>前台增值物品出入库录入!AT17*$E17</f>
        <v>0</v>
      </c>
      <c r="AU17" s="133">
        <f>前台增值物品出入库录入!AU17*$E17</f>
        <v>0</v>
      </c>
      <c r="AV17" s="133">
        <f>前台增值物品出入库录入!AV17*$E17</f>
        <v>0</v>
      </c>
      <c r="AW17" s="133">
        <f>前台增值物品出入库录入!AW17*$E17</f>
        <v>0</v>
      </c>
      <c r="AX17" s="133">
        <f>前台增值物品出入库录入!AX17*$E17</f>
        <v>0</v>
      </c>
      <c r="AY17" s="133">
        <f>前台增值物品出入库录入!AY17*$E17</f>
        <v>0</v>
      </c>
      <c r="AZ17" s="133">
        <f>前台增值物品出入库录入!AZ17*$E17</f>
        <v>0</v>
      </c>
      <c r="BA17" s="133">
        <f>前台增值物品出入库录入!BA17*$E17</f>
        <v>0</v>
      </c>
      <c r="BB17" s="133">
        <f>前台增值物品出入库录入!BB17*$E17</f>
        <v>0</v>
      </c>
      <c r="BC17" s="133">
        <f>前台增值物品出入库录入!BC17*$E17</f>
        <v>0</v>
      </c>
      <c r="BD17" s="133">
        <f>前台增值物品出入库录入!BD17*$E17</f>
        <v>0</v>
      </c>
      <c r="BE17" s="133">
        <f>前台增值物品出入库录入!BE17*$E17</f>
        <v>0</v>
      </c>
      <c r="BF17" s="133">
        <f>前台增值物品出入库录入!BF17*$E17</f>
        <v>0</v>
      </c>
      <c r="BG17" s="133">
        <f>前台增值物品出入库录入!BG17*$E17</f>
        <v>0</v>
      </c>
      <c r="BH17" s="133">
        <f>前台增值物品出入库录入!BH17*$E17</f>
        <v>0</v>
      </c>
      <c r="BI17" s="133">
        <f>前台增值物品出入库录入!BI17*$E17</f>
        <v>0</v>
      </c>
      <c r="BJ17" s="133">
        <f>前台增值物品出入库录入!BJ17*$E17</f>
        <v>0</v>
      </c>
      <c r="BK17" s="133">
        <f>前台增值物品出入库录入!BK17*$E17</f>
        <v>0</v>
      </c>
      <c r="BL17" s="133">
        <f>前台增值物品出入库录入!BL17*$E17</f>
        <v>0</v>
      </c>
      <c r="BM17" s="133">
        <f>前台增值物品出入库录入!BM17*$E17</f>
        <v>0</v>
      </c>
      <c r="BN17" s="133">
        <f>前台增值物品出入库录入!BN17*$E17</f>
        <v>0</v>
      </c>
      <c r="BO17" s="133">
        <f>前台增值物品出入库录入!BO17*$E17</f>
        <v>0</v>
      </c>
      <c r="BP17" s="133">
        <f>前台增值物品出入库录入!BP17*$E17</f>
        <v>0</v>
      </c>
      <c r="BQ17" s="133">
        <f>前台增值物品出入库录入!BQ17*$E17</f>
        <v>0</v>
      </c>
      <c r="BR17" s="133">
        <f>前台增值物品出入库录入!BR17*$E17</f>
        <v>0</v>
      </c>
      <c r="BS17" s="133">
        <f>前台增值物品出入库录入!BS17*$E17</f>
        <v>0.3779</v>
      </c>
      <c r="BT17" s="133">
        <f>前台增值物品出入库录入!BT17*$E17</f>
        <v>0</v>
      </c>
      <c r="BU17" s="133">
        <f>前台增值物品出入库录入!BU17*$E17</f>
        <v>2.2674</v>
      </c>
      <c r="BV17" s="133">
        <f>前台增值物品出入库录入!BV17*$E17</f>
        <v>0</v>
      </c>
      <c r="BW17" s="133">
        <f>前台增值物品出入库录入!BW17*$E17</f>
        <v>0.7558</v>
      </c>
    </row>
    <row r="18" s="178" customFormat="1" customHeight="1" spans="1:75">
      <c r="A18" s="161">
        <v>14</v>
      </c>
      <c r="B18" s="162" t="str">
        <f>前台增值物品出入库录入!B18</f>
        <v>拖把</v>
      </c>
      <c r="C18" s="162">
        <f>前台增值物品出入库录入!C18</f>
        <v>0</v>
      </c>
      <c r="D18" s="162" t="str">
        <f>前台增值物品出入库录入!D18</f>
        <v>个</v>
      </c>
      <c r="E18" s="162">
        <f>前台增值物品出入库录入!E18</f>
        <v>29.6</v>
      </c>
      <c r="F18" s="162">
        <f>前台增值物品出入库录入!F18</f>
        <v>0</v>
      </c>
      <c r="G18" s="162">
        <f>前台增值物品出入库录入!G18</f>
        <v>0</v>
      </c>
      <c r="H18" s="162">
        <f>前台增值物品出入库录入!H18</f>
        <v>1</v>
      </c>
      <c r="I18" s="162">
        <f>前台增值物品出入库录入!I18</f>
        <v>29.6</v>
      </c>
      <c r="J18" s="162">
        <f>前台增值物品出入库录入!J18</f>
        <v>1</v>
      </c>
      <c r="K18" s="162">
        <f>前台增值物品出入库录入!K18</f>
        <v>29.6</v>
      </c>
      <c r="L18" s="162">
        <f>前台增值物品出入库录入!L18</f>
        <v>0</v>
      </c>
      <c r="M18" s="162">
        <f>前台增值物品出入库录入!M18</f>
        <v>0</v>
      </c>
      <c r="N18" s="133">
        <f>前台增值物品出入库录入!N18*$E18</f>
        <v>0</v>
      </c>
      <c r="O18" s="133">
        <f>前台增值物品出入库录入!O18*$E18</f>
        <v>0</v>
      </c>
      <c r="P18" s="133">
        <f>前台增值物品出入库录入!P18*$E18</f>
        <v>0</v>
      </c>
      <c r="Q18" s="133">
        <f>前台增值物品出入库录入!Q18*$E18</f>
        <v>0</v>
      </c>
      <c r="R18" s="133">
        <f>前台增值物品出入库录入!R18*$E18</f>
        <v>0</v>
      </c>
      <c r="S18" s="133">
        <f>前台增值物品出入库录入!S18*$E18</f>
        <v>0</v>
      </c>
      <c r="T18" s="133">
        <f>前台增值物品出入库录入!T18*$E18</f>
        <v>0</v>
      </c>
      <c r="U18" s="133">
        <f>前台增值物品出入库录入!U18*$E18</f>
        <v>0</v>
      </c>
      <c r="V18" s="133">
        <f>前台增值物品出入库录入!V18*$E18</f>
        <v>29.6</v>
      </c>
      <c r="W18" s="133">
        <f>前台增值物品出入库录入!W18*$E18</f>
        <v>0</v>
      </c>
      <c r="X18" s="133">
        <f>前台增值物品出入库录入!X18*$E18</f>
        <v>0</v>
      </c>
      <c r="Y18" s="133">
        <f>前台增值物品出入库录入!Y18*$E18</f>
        <v>0</v>
      </c>
      <c r="Z18" s="133">
        <f>前台增值物品出入库录入!Z18*$E18</f>
        <v>0</v>
      </c>
      <c r="AA18" s="133">
        <f>前台增值物品出入库录入!AA18*$E18</f>
        <v>0</v>
      </c>
      <c r="AB18" s="133">
        <f>前台增值物品出入库录入!AB18*$E18</f>
        <v>0</v>
      </c>
      <c r="AC18" s="133">
        <f>前台增值物品出入库录入!AC18*$E18</f>
        <v>0</v>
      </c>
      <c r="AD18" s="133">
        <f>前台增值物品出入库录入!AD18*$E18</f>
        <v>0</v>
      </c>
      <c r="AE18" s="133">
        <f>前台增值物品出入库录入!AE18*$E18</f>
        <v>0</v>
      </c>
      <c r="AF18" s="133">
        <f>前台增值物品出入库录入!AF18*$E18</f>
        <v>0</v>
      </c>
      <c r="AG18" s="133">
        <f>前台增值物品出入库录入!AG18*$E18</f>
        <v>0</v>
      </c>
      <c r="AH18" s="133">
        <f>前台增值物品出入库录入!AH18*$E18</f>
        <v>0</v>
      </c>
      <c r="AI18" s="133">
        <f>前台增值物品出入库录入!AI18*$E18</f>
        <v>0</v>
      </c>
      <c r="AJ18" s="133">
        <f>前台增值物品出入库录入!AJ18*$E18</f>
        <v>0</v>
      </c>
      <c r="AK18" s="133">
        <f>前台增值物品出入库录入!AK18*$E18</f>
        <v>0</v>
      </c>
      <c r="AL18" s="133">
        <f>前台增值物品出入库录入!AL18*$E18</f>
        <v>0</v>
      </c>
      <c r="AM18" s="133">
        <f>前台增值物品出入库录入!AM18*$E18</f>
        <v>0</v>
      </c>
      <c r="AN18" s="133">
        <f>前台增值物品出入库录入!AN18*$E18</f>
        <v>0</v>
      </c>
      <c r="AO18" s="133">
        <f>前台增值物品出入库录入!AO18*$E18</f>
        <v>0</v>
      </c>
      <c r="AP18" s="133">
        <f>前台增值物品出入库录入!AP18*$E18</f>
        <v>0</v>
      </c>
      <c r="AQ18" s="133">
        <f>前台增值物品出入库录入!AQ18*$E18</f>
        <v>0</v>
      </c>
      <c r="AR18" s="133">
        <f>前台增值物品出入库录入!AR18*$E18</f>
        <v>0</v>
      </c>
      <c r="AS18" s="133">
        <f>前台增值物品出入库录入!AS18*$E18</f>
        <v>0</v>
      </c>
      <c r="AT18" s="133">
        <f>前台增值物品出入库录入!AT18*$E18</f>
        <v>0</v>
      </c>
      <c r="AU18" s="133">
        <f>前台增值物品出入库录入!AU18*$E18</f>
        <v>0</v>
      </c>
      <c r="AV18" s="133">
        <f>前台增值物品出入库录入!AV18*$E18</f>
        <v>0</v>
      </c>
      <c r="AW18" s="133">
        <f>前台增值物品出入库录入!AW18*$E18</f>
        <v>0</v>
      </c>
      <c r="AX18" s="133">
        <f>前台增值物品出入库录入!AX18*$E18</f>
        <v>0</v>
      </c>
      <c r="AY18" s="133">
        <f>前台增值物品出入库录入!AY18*$E18</f>
        <v>0</v>
      </c>
      <c r="AZ18" s="133">
        <f>前台增值物品出入库录入!AZ18*$E18</f>
        <v>0</v>
      </c>
      <c r="BA18" s="133">
        <f>前台增值物品出入库录入!BA18*$E18</f>
        <v>0</v>
      </c>
      <c r="BB18" s="133">
        <f>前台增值物品出入库录入!BB18*$E18</f>
        <v>0</v>
      </c>
      <c r="BC18" s="133">
        <f>前台增值物品出入库录入!BC18*$E18</f>
        <v>0</v>
      </c>
      <c r="BD18" s="133">
        <f>前台增值物品出入库录入!BD18*$E18</f>
        <v>0</v>
      </c>
      <c r="BE18" s="133">
        <f>前台增值物品出入库录入!BE18*$E18</f>
        <v>0</v>
      </c>
      <c r="BF18" s="133">
        <f>前台增值物品出入库录入!BF18*$E18</f>
        <v>0</v>
      </c>
      <c r="BG18" s="133">
        <f>前台增值物品出入库录入!BG18*$E18</f>
        <v>0</v>
      </c>
      <c r="BH18" s="133">
        <f>前台增值物品出入库录入!BH18*$E18</f>
        <v>0</v>
      </c>
      <c r="BI18" s="133">
        <f>前台增值物品出入库录入!BI18*$E18</f>
        <v>29.6</v>
      </c>
      <c r="BJ18" s="133">
        <f>前台增值物品出入库录入!BJ18*$E18</f>
        <v>0</v>
      </c>
      <c r="BK18" s="133">
        <f>前台增值物品出入库录入!BK18*$E18</f>
        <v>0</v>
      </c>
      <c r="BL18" s="133">
        <f>前台增值物品出入库录入!BL18*$E18</f>
        <v>0</v>
      </c>
      <c r="BM18" s="133">
        <f>前台增值物品出入库录入!BM18*$E18</f>
        <v>0</v>
      </c>
      <c r="BN18" s="133">
        <f>前台增值物品出入库录入!BN18*$E18</f>
        <v>0</v>
      </c>
      <c r="BO18" s="133">
        <f>前台增值物品出入库录入!BO18*$E18</f>
        <v>0</v>
      </c>
      <c r="BP18" s="133">
        <f>前台增值物品出入库录入!BP18*$E18</f>
        <v>0</v>
      </c>
      <c r="BQ18" s="133">
        <f>前台增值物品出入库录入!BQ18*$E18</f>
        <v>0</v>
      </c>
      <c r="BR18" s="133">
        <f>前台增值物品出入库录入!BR18*$E18</f>
        <v>0</v>
      </c>
      <c r="BS18" s="133">
        <f>前台增值物品出入库录入!BS18*$E18</f>
        <v>0</v>
      </c>
      <c r="BT18" s="133">
        <f>前台增值物品出入库录入!BT18*$E18</f>
        <v>0</v>
      </c>
      <c r="BU18" s="133">
        <f>前台增值物品出入库录入!BU18*$E18</f>
        <v>0</v>
      </c>
      <c r="BV18" s="133">
        <f>前台增值物品出入库录入!BV18*$E18</f>
        <v>0</v>
      </c>
      <c r="BW18" s="133">
        <f>前台增值物品出入库录入!BW18*$E18</f>
        <v>0</v>
      </c>
    </row>
    <row r="19" s="178" customFormat="1" customHeight="1" spans="1:75">
      <c r="A19" s="161">
        <v>15</v>
      </c>
      <c r="B19" s="162" t="str">
        <f>前台增值物品出入库录入!B19</f>
        <v>削笔刀</v>
      </c>
      <c r="C19" s="162">
        <f>前台增值物品出入库录入!C19</f>
        <v>0</v>
      </c>
      <c r="D19" s="162" t="str">
        <f>前台增值物品出入库录入!D19</f>
        <v>个</v>
      </c>
      <c r="E19" s="162">
        <f>前台增值物品出入库录入!E19</f>
        <v>9.5</v>
      </c>
      <c r="F19" s="162">
        <f>前台增值物品出入库录入!F19</f>
        <v>2</v>
      </c>
      <c r="G19" s="162">
        <f>前台增值物品出入库录入!G19</f>
        <v>19</v>
      </c>
      <c r="H19" s="162">
        <f>前台增值物品出入库录入!H19</f>
        <v>0</v>
      </c>
      <c r="I19" s="162">
        <f>前台增值物品出入库录入!I19</f>
        <v>0</v>
      </c>
      <c r="J19" s="162">
        <f>前台增值物品出入库录入!J19</f>
        <v>0</v>
      </c>
      <c r="K19" s="162">
        <f>前台增值物品出入库录入!K19</f>
        <v>0</v>
      </c>
      <c r="L19" s="162">
        <f>前台增值物品出入库录入!L19</f>
        <v>2</v>
      </c>
      <c r="M19" s="162">
        <f>前台增值物品出入库录入!M19</f>
        <v>19</v>
      </c>
      <c r="N19" s="133">
        <f>前台增值物品出入库录入!N19*$E19</f>
        <v>0</v>
      </c>
      <c r="O19" s="133">
        <f>前台增值物品出入库录入!O19*$E19</f>
        <v>0</v>
      </c>
      <c r="P19" s="133">
        <f>前台增值物品出入库录入!P19*$E19</f>
        <v>0</v>
      </c>
      <c r="Q19" s="133">
        <f>前台增值物品出入库录入!Q19*$E19</f>
        <v>0</v>
      </c>
      <c r="R19" s="133">
        <f>前台增值物品出入库录入!R19*$E19</f>
        <v>0</v>
      </c>
      <c r="S19" s="133">
        <f>前台增值物品出入库录入!S19*$E19</f>
        <v>0</v>
      </c>
      <c r="T19" s="133">
        <f>前台增值物品出入库录入!T19*$E19</f>
        <v>0</v>
      </c>
      <c r="U19" s="133">
        <f>前台增值物品出入库录入!U19*$E19</f>
        <v>0</v>
      </c>
      <c r="V19" s="133">
        <f>前台增值物品出入库录入!V19*$E19</f>
        <v>0</v>
      </c>
      <c r="W19" s="133">
        <f>前台增值物品出入库录入!W19*$E19</f>
        <v>0</v>
      </c>
      <c r="X19" s="133">
        <f>前台增值物品出入库录入!X19*$E19</f>
        <v>0</v>
      </c>
      <c r="Y19" s="133">
        <f>前台增值物品出入库录入!Y19*$E19</f>
        <v>0</v>
      </c>
      <c r="Z19" s="133">
        <f>前台增值物品出入库录入!Z19*$E19</f>
        <v>0</v>
      </c>
      <c r="AA19" s="133">
        <f>前台增值物品出入库录入!AA19*$E19</f>
        <v>0</v>
      </c>
      <c r="AB19" s="133">
        <f>前台增值物品出入库录入!AB19*$E19</f>
        <v>0</v>
      </c>
      <c r="AC19" s="133">
        <f>前台增值物品出入库录入!AC19*$E19</f>
        <v>0</v>
      </c>
      <c r="AD19" s="133">
        <f>前台增值物品出入库录入!AD19*$E19</f>
        <v>0</v>
      </c>
      <c r="AE19" s="133">
        <f>前台增值物品出入库录入!AE19*$E19</f>
        <v>0</v>
      </c>
      <c r="AF19" s="133">
        <f>前台增值物品出入库录入!AF19*$E19</f>
        <v>0</v>
      </c>
      <c r="AG19" s="133">
        <f>前台增值物品出入库录入!AG19*$E19</f>
        <v>0</v>
      </c>
      <c r="AH19" s="133">
        <f>前台增值物品出入库录入!AH19*$E19</f>
        <v>0</v>
      </c>
      <c r="AI19" s="133">
        <f>前台增值物品出入库录入!AI19*$E19</f>
        <v>0</v>
      </c>
      <c r="AJ19" s="133">
        <f>前台增值物品出入库录入!AJ19*$E19</f>
        <v>0</v>
      </c>
      <c r="AK19" s="133">
        <f>前台增值物品出入库录入!AK19*$E19</f>
        <v>0</v>
      </c>
      <c r="AL19" s="133">
        <f>前台增值物品出入库录入!AL19*$E19</f>
        <v>0</v>
      </c>
      <c r="AM19" s="133">
        <f>前台增值物品出入库录入!AM19*$E19</f>
        <v>0</v>
      </c>
      <c r="AN19" s="133">
        <f>前台增值物品出入库录入!AN19*$E19</f>
        <v>0</v>
      </c>
      <c r="AO19" s="133">
        <f>前台增值物品出入库录入!AO19*$E19</f>
        <v>0</v>
      </c>
      <c r="AP19" s="133">
        <f>前台增值物品出入库录入!AP19*$E19</f>
        <v>0</v>
      </c>
      <c r="AQ19" s="133">
        <f>前台增值物品出入库录入!AQ19*$E19</f>
        <v>0</v>
      </c>
      <c r="AR19" s="133">
        <f>前台增值物品出入库录入!AR19*$E19</f>
        <v>0</v>
      </c>
      <c r="AS19" s="133">
        <f>前台增值物品出入库录入!AS19*$E19</f>
        <v>0</v>
      </c>
      <c r="AT19" s="133">
        <f>前台增值物品出入库录入!AT19*$E19</f>
        <v>0</v>
      </c>
      <c r="AU19" s="133">
        <f>前台增值物品出入库录入!AU19*$E19</f>
        <v>0</v>
      </c>
      <c r="AV19" s="133">
        <f>前台增值物品出入库录入!AV19*$E19</f>
        <v>0</v>
      </c>
      <c r="AW19" s="133">
        <f>前台增值物品出入库录入!AW19*$E19</f>
        <v>0</v>
      </c>
      <c r="AX19" s="133">
        <f>前台增值物品出入库录入!AX19*$E19</f>
        <v>0</v>
      </c>
      <c r="AY19" s="133">
        <f>前台增值物品出入库录入!AY19*$E19</f>
        <v>0</v>
      </c>
      <c r="AZ19" s="133">
        <f>前台增值物品出入库录入!AZ19*$E19</f>
        <v>0</v>
      </c>
      <c r="BA19" s="133">
        <f>前台增值物品出入库录入!BA19*$E19</f>
        <v>0</v>
      </c>
      <c r="BB19" s="133">
        <f>前台增值物品出入库录入!BB19*$E19</f>
        <v>0</v>
      </c>
      <c r="BC19" s="133">
        <f>前台增值物品出入库录入!BC19*$E19</f>
        <v>0</v>
      </c>
      <c r="BD19" s="133">
        <f>前台增值物品出入库录入!BD19*$E19</f>
        <v>0</v>
      </c>
      <c r="BE19" s="133">
        <f>前台增值物品出入库录入!BE19*$E19</f>
        <v>0</v>
      </c>
      <c r="BF19" s="133">
        <f>前台增值物品出入库录入!BF19*$E19</f>
        <v>0</v>
      </c>
      <c r="BG19" s="133">
        <f>前台增值物品出入库录入!BG19*$E19</f>
        <v>0</v>
      </c>
      <c r="BH19" s="133">
        <f>前台增值物品出入库录入!BH19*$E19</f>
        <v>0</v>
      </c>
      <c r="BI19" s="133">
        <f>前台增值物品出入库录入!BI19*$E19</f>
        <v>0</v>
      </c>
      <c r="BJ19" s="133">
        <f>前台增值物品出入库录入!BJ19*$E19</f>
        <v>0</v>
      </c>
      <c r="BK19" s="133">
        <f>前台增值物品出入库录入!BK19*$E19</f>
        <v>0</v>
      </c>
      <c r="BL19" s="133">
        <f>前台增值物品出入库录入!BL19*$E19</f>
        <v>0</v>
      </c>
      <c r="BM19" s="133">
        <f>前台增值物品出入库录入!BM19*$E19</f>
        <v>0</v>
      </c>
      <c r="BN19" s="133">
        <f>前台增值物品出入库录入!BN19*$E19</f>
        <v>0</v>
      </c>
      <c r="BO19" s="133">
        <f>前台增值物品出入库录入!BO19*$E19</f>
        <v>0</v>
      </c>
      <c r="BP19" s="133">
        <f>前台增值物品出入库录入!BP19*$E19</f>
        <v>0</v>
      </c>
      <c r="BQ19" s="133">
        <f>前台增值物品出入库录入!BQ19*$E19</f>
        <v>0</v>
      </c>
      <c r="BR19" s="133">
        <f>前台增值物品出入库录入!BR19*$E19</f>
        <v>0</v>
      </c>
      <c r="BS19" s="133">
        <f>前台增值物品出入库录入!BS19*$E19</f>
        <v>0</v>
      </c>
      <c r="BT19" s="133">
        <f>前台增值物品出入库录入!BT19*$E19</f>
        <v>0</v>
      </c>
      <c r="BU19" s="133">
        <f>前台增值物品出入库录入!BU19*$E19</f>
        <v>0</v>
      </c>
      <c r="BV19" s="133">
        <f>前台增值物品出入库录入!BV19*$E19</f>
        <v>0</v>
      </c>
      <c r="BW19" s="133">
        <f>前台增值物品出入库录入!BW19*$E19</f>
        <v>0</v>
      </c>
    </row>
    <row r="20" s="178" customFormat="1" customHeight="1" spans="1:75">
      <c r="A20" s="161">
        <v>16</v>
      </c>
      <c r="B20" s="162" t="str">
        <f>前台增值物品出入库录入!B21</f>
        <v>茉莉花</v>
      </c>
      <c r="C20" s="162">
        <f>前台增值物品出入库录入!C21</f>
        <v>0</v>
      </c>
      <c r="D20" s="162" t="str">
        <f>前台增值物品出入库录入!D21</f>
        <v>个</v>
      </c>
      <c r="E20" s="162">
        <f>前台增值物品出入库录入!E21</f>
        <v>19.9</v>
      </c>
      <c r="F20" s="162">
        <f>前台增值物品出入库录入!F21</f>
        <v>1</v>
      </c>
      <c r="G20" s="162">
        <f>前台增值物品出入库录入!G21</f>
        <v>19.9</v>
      </c>
      <c r="H20" s="162">
        <f>前台增值物品出入库录入!H21</f>
        <v>0</v>
      </c>
      <c r="I20" s="162">
        <f>前台增值物品出入库录入!I21</f>
        <v>0</v>
      </c>
      <c r="J20" s="162">
        <f>前台增值物品出入库录入!J21</f>
        <v>1</v>
      </c>
      <c r="K20" s="162">
        <f>前台增值物品出入库录入!K21</f>
        <v>19.9</v>
      </c>
      <c r="L20" s="162">
        <f>前台增值物品出入库录入!L21</f>
        <v>0</v>
      </c>
      <c r="M20" s="162">
        <f>前台增值物品出入库录入!M21</f>
        <v>0</v>
      </c>
      <c r="N20" s="133">
        <f>前台增值物品出入库录入!N21*$E20</f>
        <v>0</v>
      </c>
      <c r="O20" s="133">
        <f>前台增值物品出入库录入!O21*$E20</f>
        <v>19.9</v>
      </c>
      <c r="P20" s="133">
        <f>前台增值物品出入库录入!P21*$E20</f>
        <v>0</v>
      </c>
      <c r="Q20" s="133">
        <f>前台增值物品出入库录入!Q21*$E20</f>
        <v>0</v>
      </c>
      <c r="R20" s="133">
        <f>前台增值物品出入库录入!R21*$E20</f>
        <v>0</v>
      </c>
      <c r="S20" s="133">
        <f>前台增值物品出入库录入!S21*$E20</f>
        <v>0</v>
      </c>
      <c r="T20" s="133">
        <f>前台增值物品出入库录入!T21*$E20</f>
        <v>0</v>
      </c>
      <c r="U20" s="133">
        <f>前台增值物品出入库录入!U21*$E20</f>
        <v>0</v>
      </c>
      <c r="V20" s="133">
        <f>前台增值物品出入库录入!V21*$E20</f>
        <v>0</v>
      </c>
      <c r="W20" s="133">
        <f>前台增值物品出入库录入!W21*$E20</f>
        <v>0</v>
      </c>
      <c r="X20" s="133">
        <f>前台增值物品出入库录入!X21*$E20</f>
        <v>0</v>
      </c>
      <c r="Y20" s="133">
        <f>前台增值物品出入库录入!Y21*$E20</f>
        <v>0</v>
      </c>
      <c r="Z20" s="133">
        <f>前台增值物品出入库录入!Z21*$E20</f>
        <v>0</v>
      </c>
      <c r="AA20" s="133">
        <f>前台增值物品出入库录入!AA21*$E20</f>
        <v>0</v>
      </c>
      <c r="AB20" s="133">
        <f>前台增值物品出入库录入!AB21*$E20</f>
        <v>0</v>
      </c>
      <c r="AC20" s="133">
        <f>前台增值物品出入库录入!AC21*$E20</f>
        <v>0</v>
      </c>
      <c r="AD20" s="133">
        <f>前台增值物品出入库录入!AD21*$E20</f>
        <v>0</v>
      </c>
      <c r="AE20" s="133">
        <f>前台增值物品出入库录入!AE21*$E20</f>
        <v>0</v>
      </c>
      <c r="AF20" s="133">
        <f>前台增值物品出入库录入!AF21*$E20</f>
        <v>0</v>
      </c>
      <c r="AG20" s="133">
        <f>前台增值物品出入库录入!AG21*$E20</f>
        <v>0</v>
      </c>
      <c r="AH20" s="133">
        <f>前台增值物品出入库录入!AH21*$E20</f>
        <v>0</v>
      </c>
      <c r="AI20" s="133">
        <f>前台增值物品出入库录入!AI21*$E20</f>
        <v>0</v>
      </c>
      <c r="AJ20" s="133">
        <f>前台增值物品出入库录入!AJ21*$E20</f>
        <v>0</v>
      </c>
      <c r="AK20" s="133">
        <f>前台增值物品出入库录入!AK21*$E20</f>
        <v>0</v>
      </c>
      <c r="AL20" s="133">
        <f>前台增值物品出入库录入!AL21*$E20</f>
        <v>0</v>
      </c>
      <c r="AM20" s="133">
        <f>前台增值物品出入库录入!AM21*$E20</f>
        <v>0</v>
      </c>
      <c r="AN20" s="133">
        <f>前台增值物品出入库录入!AN21*$E20</f>
        <v>0</v>
      </c>
      <c r="AO20" s="133">
        <f>前台增值物品出入库录入!AO21*$E20</f>
        <v>0</v>
      </c>
      <c r="AP20" s="133">
        <f>前台增值物品出入库录入!AP21*$E20</f>
        <v>0</v>
      </c>
      <c r="AQ20" s="133">
        <f>前台增值物品出入库录入!AQ21*$E20</f>
        <v>0</v>
      </c>
      <c r="AR20" s="133">
        <f>前台增值物品出入库录入!AR21*$E20</f>
        <v>0</v>
      </c>
      <c r="AS20" s="133">
        <f>前台增值物品出入库录入!AS21*$E20</f>
        <v>0</v>
      </c>
      <c r="AT20" s="133">
        <f>前台增值物品出入库录入!AT21*$E20</f>
        <v>0</v>
      </c>
      <c r="AU20" s="133">
        <f>前台增值物品出入库录入!AU21*$E20</f>
        <v>0</v>
      </c>
      <c r="AV20" s="133">
        <f>前台增值物品出入库录入!AV21*$E20</f>
        <v>0</v>
      </c>
      <c r="AW20" s="133">
        <f>前台增值物品出入库录入!AW21*$E20</f>
        <v>0</v>
      </c>
      <c r="AX20" s="133">
        <f>前台增值物品出入库录入!AX21*$E20</f>
        <v>0</v>
      </c>
      <c r="AY20" s="133">
        <f>前台增值物品出入库录入!AY21*$E20</f>
        <v>0</v>
      </c>
      <c r="AZ20" s="133">
        <f>前台增值物品出入库录入!AZ21*$E20</f>
        <v>0</v>
      </c>
      <c r="BA20" s="133">
        <f>前台增值物品出入库录入!BA21*$E20</f>
        <v>0</v>
      </c>
      <c r="BB20" s="133">
        <f>前台增值物品出入库录入!BB21*$E20</f>
        <v>0</v>
      </c>
      <c r="BC20" s="133">
        <f>前台增值物品出入库录入!BC21*$E20</f>
        <v>0</v>
      </c>
      <c r="BD20" s="133">
        <f>前台增值物品出入库录入!BD21*$E20</f>
        <v>0</v>
      </c>
      <c r="BE20" s="133">
        <f>前台增值物品出入库录入!BE21*$E20</f>
        <v>0</v>
      </c>
      <c r="BF20" s="133">
        <f>前台增值物品出入库录入!BF21*$E20</f>
        <v>0</v>
      </c>
      <c r="BG20" s="133">
        <f>前台增值物品出入库录入!BG21*$E20</f>
        <v>0</v>
      </c>
      <c r="BH20" s="133">
        <f>前台增值物品出入库录入!BH21*$E20</f>
        <v>0</v>
      </c>
      <c r="BI20" s="133">
        <f>前台增值物品出入库录入!BI21*$E20</f>
        <v>0</v>
      </c>
      <c r="BJ20" s="133">
        <f>前台增值物品出入库录入!BJ21*$E20</f>
        <v>0</v>
      </c>
      <c r="BK20" s="133">
        <f>前台增值物品出入库录入!BK21*$E20</f>
        <v>0</v>
      </c>
      <c r="BL20" s="133">
        <f>前台增值物品出入库录入!BL21*$E20</f>
        <v>0</v>
      </c>
      <c r="BM20" s="133">
        <f>前台增值物品出入库录入!BM21*$E20</f>
        <v>0</v>
      </c>
      <c r="BN20" s="133">
        <f>前台增值物品出入库录入!BN21*$E20</f>
        <v>0</v>
      </c>
      <c r="BO20" s="133">
        <f>前台增值物品出入库录入!BO21*$E20</f>
        <v>0</v>
      </c>
      <c r="BP20" s="133">
        <f>前台增值物品出入库录入!BP21*$E20</f>
        <v>0</v>
      </c>
      <c r="BQ20" s="133">
        <f>前台增值物品出入库录入!BQ21*$E20</f>
        <v>0</v>
      </c>
      <c r="BR20" s="133">
        <f>前台增值物品出入库录入!BR21*$E20</f>
        <v>0</v>
      </c>
      <c r="BS20" s="133">
        <f>前台增值物品出入库录入!BS21*$E20</f>
        <v>0</v>
      </c>
      <c r="BT20" s="133">
        <f>前台增值物品出入库录入!BT21*$E20</f>
        <v>0</v>
      </c>
      <c r="BU20" s="133">
        <f>前台增值物品出入库录入!BU21*$E20</f>
        <v>0</v>
      </c>
      <c r="BV20" s="133">
        <f>前台增值物品出入库录入!BV21*$E20</f>
        <v>0</v>
      </c>
      <c r="BW20" s="133">
        <f>前台增值物品出入库录入!BW21*$E20</f>
        <v>0</v>
      </c>
    </row>
    <row r="21" s="178" customFormat="1" customHeight="1" spans="1:75">
      <c r="A21" s="161">
        <v>17</v>
      </c>
      <c r="B21" s="162" t="str">
        <f>前台增值物品出入库录入!B22</f>
        <v>中性笔</v>
      </c>
      <c r="C21" s="162">
        <f>前台增值物品出入库录入!C22</f>
        <v>0</v>
      </c>
      <c r="D21" s="162" t="str">
        <f>前台增值物品出入库录入!D22</f>
        <v>个</v>
      </c>
      <c r="E21" s="162">
        <f>前台增值物品出入库录入!E22</f>
        <v>1.060555556</v>
      </c>
      <c r="F21" s="162">
        <f>前台增值物品出入库录入!F22</f>
        <v>26</v>
      </c>
      <c r="G21" s="162">
        <f>前台增值物品出入库录入!G22</f>
        <v>27.574444456</v>
      </c>
      <c r="H21" s="162">
        <f>前台增值物品出入库录入!H22</f>
        <v>0</v>
      </c>
      <c r="I21" s="162">
        <f>前台增值物品出入库录入!I22</f>
        <v>0</v>
      </c>
      <c r="J21" s="162">
        <f>前台增值物品出入库录入!J22</f>
        <v>11</v>
      </c>
      <c r="K21" s="162">
        <f>前台增值物品出入库录入!K22</f>
        <v>11.666111116</v>
      </c>
      <c r="L21" s="162">
        <f>前台增值物品出入库录入!L22</f>
        <v>15</v>
      </c>
      <c r="M21" s="162">
        <f>前台增值物品出入库录入!M22</f>
        <v>15.90833334</v>
      </c>
      <c r="N21" s="133">
        <f>前台增值物品出入库录入!N22*$E21</f>
        <v>0</v>
      </c>
      <c r="O21" s="133">
        <f>前台增值物品出入库录入!O22*$E21</f>
        <v>0</v>
      </c>
      <c r="P21" s="133">
        <f>前台增值物品出入库录入!P22*$E21</f>
        <v>0</v>
      </c>
      <c r="Q21" s="133">
        <f>前台增值物品出入库录入!Q22*$E21</f>
        <v>0</v>
      </c>
      <c r="R21" s="133">
        <f>前台增值物品出入库录入!R22*$E21</f>
        <v>0</v>
      </c>
      <c r="S21" s="133">
        <f>前台增值物品出入库录入!S22*$E21</f>
        <v>0</v>
      </c>
      <c r="T21" s="133">
        <f>前台增值物品出入库录入!T22*$E21</f>
        <v>0</v>
      </c>
      <c r="U21" s="133">
        <f>前台增值物品出入库录入!U22*$E21</f>
        <v>0</v>
      </c>
      <c r="V21" s="133">
        <f>前台增值物品出入库录入!V22*$E21</f>
        <v>0</v>
      </c>
      <c r="W21" s="133">
        <f>前台增值物品出入库录入!W22*$E21</f>
        <v>0</v>
      </c>
      <c r="X21" s="133">
        <f>前台增值物品出入库录入!X22*$E21</f>
        <v>0</v>
      </c>
      <c r="Y21" s="133">
        <f>前台增值物品出入库录入!Y22*$E21</f>
        <v>0</v>
      </c>
      <c r="Z21" s="133">
        <f>前台增值物品出入库录入!Z22*$E21</f>
        <v>0</v>
      </c>
      <c r="AA21" s="133">
        <f>前台增值物品出入库录入!AA22*$E21</f>
        <v>0</v>
      </c>
      <c r="AB21" s="133">
        <f>前台增值物品出入库录入!AB22*$E21</f>
        <v>0</v>
      </c>
      <c r="AC21" s="133">
        <f>前台增值物品出入库录入!AC22*$E21</f>
        <v>0</v>
      </c>
      <c r="AD21" s="133">
        <f>前台增值物品出入库录入!AD22*$E21</f>
        <v>0</v>
      </c>
      <c r="AE21" s="133">
        <f>前台增值物品出入库录入!AE22*$E21</f>
        <v>0</v>
      </c>
      <c r="AF21" s="133">
        <f>前台增值物品出入库录入!AF22*$E21</f>
        <v>0</v>
      </c>
      <c r="AG21" s="133">
        <f>前台增值物品出入库录入!AG22*$E21</f>
        <v>0</v>
      </c>
      <c r="AH21" s="133">
        <f>前台增值物品出入库录入!AH22*$E21</f>
        <v>0</v>
      </c>
      <c r="AI21" s="133">
        <f>前台增值物品出入库录入!AI22*$E21</f>
        <v>0</v>
      </c>
      <c r="AJ21" s="133">
        <f>前台增值物品出入库录入!AJ22*$E21</f>
        <v>0</v>
      </c>
      <c r="AK21" s="133">
        <f>前台增值物品出入库录入!AK22*$E21</f>
        <v>0</v>
      </c>
      <c r="AL21" s="133">
        <f>前台增值物品出入库录入!AL22*$E21</f>
        <v>0</v>
      </c>
      <c r="AM21" s="133">
        <f>前台增值物品出入库录入!AM22*$E21</f>
        <v>0</v>
      </c>
      <c r="AN21" s="133">
        <f>前台增值物品出入库录入!AN22*$E21</f>
        <v>0</v>
      </c>
      <c r="AO21" s="133">
        <f>前台增值物品出入库录入!AO22*$E21</f>
        <v>0</v>
      </c>
      <c r="AP21" s="133">
        <f>前台增值物品出入库录入!AP22*$E21</f>
        <v>0</v>
      </c>
      <c r="AQ21" s="133">
        <f>前台增值物品出入库录入!AQ22*$E21</f>
        <v>0</v>
      </c>
      <c r="AR21" s="133">
        <f>前台增值物品出入库录入!AR22*$E21</f>
        <v>0</v>
      </c>
      <c r="AS21" s="133">
        <f>前台增值物品出入库录入!AS22*$E21</f>
        <v>0</v>
      </c>
      <c r="AT21" s="133">
        <f>前台增值物品出入库录入!AT22*$E21</f>
        <v>0</v>
      </c>
      <c r="AU21" s="133">
        <f>前台增值物品出入库录入!AU22*$E21</f>
        <v>0</v>
      </c>
      <c r="AV21" s="133">
        <f>前台增值物品出入库录入!AV22*$E21</f>
        <v>0</v>
      </c>
      <c r="AW21" s="133">
        <f>前台增值物品出入库录入!AW22*$E21</f>
        <v>0</v>
      </c>
      <c r="AX21" s="133">
        <f>前台增值物品出入库录入!AX22*$E21</f>
        <v>0</v>
      </c>
      <c r="AY21" s="133">
        <f>前台增值物品出入库录入!AY22*$E21</f>
        <v>0</v>
      </c>
      <c r="AZ21" s="133">
        <f>前台增值物品出入库录入!AZ22*$E21</f>
        <v>0</v>
      </c>
      <c r="BA21" s="133">
        <f>前台增值物品出入库录入!BA22*$E21</f>
        <v>3.181666668</v>
      </c>
      <c r="BB21" s="133">
        <f>前台增值物品出入库录入!BB22*$E21</f>
        <v>0</v>
      </c>
      <c r="BC21" s="133">
        <f>前台增值物品出入库录入!BC22*$E21</f>
        <v>3.181666668</v>
      </c>
      <c r="BD21" s="133">
        <f>前台增值物品出入库录入!BD22*$E21</f>
        <v>0</v>
      </c>
      <c r="BE21" s="133">
        <f>前台增值物品出入库录入!BE22*$E21</f>
        <v>0</v>
      </c>
      <c r="BF21" s="133">
        <f>前台增值物品出入库录入!BF22*$E21</f>
        <v>0</v>
      </c>
      <c r="BG21" s="133">
        <f>前台增值物品出入库录入!BG22*$E21</f>
        <v>0</v>
      </c>
      <c r="BH21" s="133">
        <f>前台增值物品出入库录入!BH22*$E21</f>
        <v>0</v>
      </c>
      <c r="BI21" s="133">
        <f>前台增值物品出入库录入!BI22*$E21</f>
        <v>2.121111112</v>
      </c>
      <c r="BJ21" s="133">
        <f>前台增值物品出入库录入!BJ22*$E21</f>
        <v>0</v>
      </c>
      <c r="BK21" s="133">
        <f>前台增值物品出入库录入!BK22*$E21</f>
        <v>1.060555556</v>
      </c>
      <c r="BL21" s="133">
        <f>前台增值物品出入库录入!BL22*$E21</f>
        <v>0</v>
      </c>
      <c r="BM21" s="133">
        <f>前台增值物品出入库录入!BM22*$E21</f>
        <v>2.121111112</v>
      </c>
      <c r="BN21" s="133">
        <f>前台增值物品出入库录入!BN22*$E21</f>
        <v>0</v>
      </c>
      <c r="BO21" s="133">
        <f>前台增值物品出入库录入!BO22*$E21</f>
        <v>0</v>
      </c>
      <c r="BP21" s="133">
        <f>前台增值物品出入库录入!BP22*$E21</f>
        <v>0</v>
      </c>
      <c r="BQ21" s="133">
        <f>前台增值物品出入库录入!BQ22*$E21</f>
        <v>0</v>
      </c>
      <c r="BR21" s="133">
        <f>前台增值物品出入库录入!BR22*$E21</f>
        <v>0</v>
      </c>
      <c r="BS21" s="133">
        <f>前台增值物品出入库录入!BS22*$E21</f>
        <v>0</v>
      </c>
      <c r="BT21" s="133">
        <f>前台增值物品出入库录入!BT22*$E21</f>
        <v>0</v>
      </c>
      <c r="BU21" s="133">
        <f>前台增值物品出入库录入!BU22*$E21</f>
        <v>0</v>
      </c>
      <c r="BV21" s="133">
        <f>前台增值物品出入库录入!BV22*$E21</f>
        <v>0</v>
      </c>
      <c r="BW21" s="133">
        <f>前台增值物品出入库录入!BW22*$E21</f>
        <v>0</v>
      </c>
    </row>
    <row r="22" s="178" customFormat="1" customHeight="1" spans="1:75">
      <c r="A22" s="161">
        <v>18</v>
      </c>
      <c r="B22" s="162" t="str">
        <f>前台增值物品出入库录入!B23</f>
        <v>标签纸</v>
      </c>
      <c r="C22" s="162">
        <f>前台增值物品出入库录入!C23</f>
        <v>0</v>
      </c>
      <c r="D22" s="162" t="str">
        <f>前台增值物品出入库录入!D23</f>
        <v>个</v>
      </c>
      <c r="E22" s="162">
        <f>前台增值物品出入库录入!E23</f>
        <v>0.0653</v>
      </c>
      <c r="F22" s="162">
        <f>前台增值物品出入库录入!F23</f>
        <v>50</v>
      </c>
      <c r="G22" s="162">
        <f>前台增值物品出入库录入!G23</f>
        <v>3.265</v>
      </c>
      <c r="H22" s="162">
        <f>前台增值物品出入库录入!H23</f>
        <v>0</v>
      </c>
      <c r="I22" s="162">
        <f>前台增值物品出入库录入!I23</f>
        <v>0</v>
      </c>
      <c r="J22" s="162">
        <f>前台增值物品出入库录入!J23</f>
        <v>22</v>
      </c>
      <c r="K22" s="162">
        <f>前台增值物品出入库录入!K23</f>
        <v>1.4366</v>
      </c>
      <c r="L22" s="162">
        <f>前台增值物品出入库录入!L23</f>
        <v>28</v>
      </c>
      <c r="M22" s="162">
        <f>前台增值物品出入库录入!M23</f>
        <v>1.8284</v>
      </c>
      <c r="N22" s="133">
        <f>前台增值物品出入库录入!N23*$E22</f>
        <v>0</v>
      </c>
      <c r="O22" s="133">
        <f>前台增值物品出入库录入!O23*$E22</f>
        <v>0.1306</v>
      </c>
      <c r="P22" s="133">
        <f>前台增值物品出入库录入!P23*$E22</f>
        <v>0</v>
      </c>
      <c r="Q22" s="133">
        <f>前台增值物品出入库录入!Q23*$E22</f>
        <v>0</v>
      </c>
      <c r="R22" s="133">
        <f>前台增值物品出入库录入!R23*$E22</f>
        <v>0</v>
      </c>
      <c r="S22" s="133">
        <f>前台增值物品出入库录入!S23*$E22</f>
        <v>0</v>
      </c>
      <c r="T22" s="133">
        <f>前台增值物品出入库录入!T23*$E22</f>
        <v>0</v>
      </c>
      <c r="U22" s="133">
        <f>前台增值物品出入库录入!U23*$E22</f>
        <v>0</v>
      </c>
      <c r="V22" s="133">
        <f>前台增值物品出入库录入!V23*$E22</f>
        <v>0</v>
      </c>
      <c r="W22" s="133">
        <f>前台增值物品出入库录入!W23*$E22</f>
        <v>0</v>
      </c>
      <c r="X22" s="133">
        <f>前台增值物品出入库录入!X23*$E22</f>
        <v>0</v>
      </c>
      <c r="Y22" s="133">
        <f>前台增值物品出入库录入!Y23*$E22</f>
        <v>0</v>
      </c>
      <c r="Z22" s="133">
        <f>前台增值物品出入库录入!Z23*$E22</f>
        <v>0</v>
      </c>
      <c r="AA22" s="133">
        <f>前台增值物品出入库录入!AA23*$E22</f>
        <v>0</v>
      </c>
      <c r="AB22" s="133">
        <f>前台增值物品出入库录入!AB23*$E22</f>
        <v>0</v>
      </c>
      <c r="AC22" s="133">
        <f>前台增值物品出入库录入!AC23*$E22</f>
        <v>0</v>
      </c>
      <c r="AD22" s="133">
        <f>前台增值物品出入库录入!AD23*$E22</f>
        <v>0</v>
      </c>
      <c r="AE22" s="133">
        <f>前台增值物品出入库录入!AE23*$E22</f>
        <v>0</v>
      </c>
      <c r="AF22" s="133">
        <f>前台增值物品出入库录入!AF23*$E22</f>
        <v>0</v>
      </c>
      <c r="AG22" s="133">
        <f>前台增值物品出入库录入!AG23*$E22</f>
        <v>0</v>
      </c>
      <c r="AH22" s="133">
        <f>前台增值物品出入库录入!AH23*$E22</f>
        <v>0</v>
      </c>
      <c r="AI22" s="133">
        <f>前台增值物品出入库录入!AI23*$E22</f>
        <v>0</v>
      </c>
      <c r="AJ22" s="133">
        <f>前台增值物品出入库录入!AJ23*$E22</f>
        <v>0</v>
      </c>
      <c r="AK22" s="133">
        <f>前台增值物品出入库录入!AK23*$E22</f>
        <v>0</v>
      </c>
      <c r="AL22" s="133">
        <f>前台增值物品出入库录入!AL23*$E22</f>
        <v>0</v>
      </c>
      <c r="AM22" s="133">
        <f>前台增值物品出入库录入!AM23*$E22</f>
        <v>0</v>
      </c>
      <c r="AN22" s="133">
        <f>前台增值物品出入库录入!AN23*$E22</f>
        <v>0</v>
      </c>
      <c r="AO22" s="133">
        <f>前台增值物品出入库录入!AO23*$E22</f>
        <v>0</v>
      </c>
      <c r="AP22" s="133">
        <f>前台增值物品出入库录入!AP23*$E22</f>
        <v>0</v>
      </c>
      <c r="AQ22" s="133">
        <f>前台增值物品出入库录入!AQ23*$E22</f>
        <v>0</v>
      </c>
      <c r="AR22" s="133">
        <f>前台增值物品出入库录入!AR23*$E22</f>
        <v>0</v>
      </c>
      <c r="AS22" s="133">
        <f>前台增值物品出入库录入!AS23*$E22</f>
        <v>0</v>
      </c>
      <c r="AT22" s="133">
        <f>前台增值物品出入库录入!AT23*$E22</f>
        <v>0</v>
      </c>
      <c r="AU22" s="133">
        <f>前台增值物品出入库录入!AU23*$E22</f>
        <v>0.3265</v>
      </c>
      <c r="AV22" s="133">
        <f>前台增值物品出入库录入!AV23*$E22</f>
        <v>0</v>
      </c>
      <c r="AW22" s="133">
        <f>前台增值物品出入库录入!AW23*$E22</f>
        <v>0.1959</v>
      </c>
      <c r="AX22" s="133">
        <f>前台增值物品出入库录入!AX23*$E22</f>
        <v>0</v>
      </c>
      <c r="AY22" s="133">
        <f>前台增值物品出入库录入!AY23*$E22</f>
        <v>0.653</v>
      </c>
      <c r="AZ22" s="133">
        <f>前台增值物品出入库录入!AZ23*$E22</f>
        <v>0</v>
      </c>
      <c r="BA22" s="133">
        <f>前台增值物品出入库录入!BA23*$E22</f>
        <v>0</v>
      </c>
      <c r="BB22" s="133">
        <f>前台增值物品出入库录入!BB23*$E22</f>
        <v>0</v>
      </c>
      <c r="BC22" s="133">
        <f>前台增值物品出入库录入!BC23*$E22</f>
        <v>0</v>
      </c>
      <c r="BD22" s="133">
        <f>前台增值物品出入库录入!BD23*$E22</f>
        <v>0</v>
      </c>
      <c r="BE22" s="133">
        <f>前台增值物品出入库录入!BE23*$E22</f>
        <v>0</v>
      </c>
      <c r="BF22" s="133">
        <f>前台增值物品出入库录入!BF23*$E22</f>
        <v>0</v>
      </c>
      <c r="BG22" s="133">
        <f>前台增值物品出入库录入!BG23*$E22</f>
        <v>0</v>
      </c>
      <c r="BH22" s="133">
        <f>前台增值物品出入库录入!BH23*$E22</f>
        <v>0</v>
      </c>
      <c r="BI22" s="133">
        <f>前台增值物品出入库录入!BI23*$E22</f>
        <v>0</v>
      </c>
      <c r="BJ22" s="133">
        <f>前台增值物品出入库录入!BJ23*$E22</f>
        <v>0</v>
      </c>
      <c r="BK22" s="133">
        <f>前台增值物品出入库录入!BK23*$E22</f>
        <v>0.1306</v>
      </c>
      <c r="BL22" s="133">
        <f>前台增值物品出入库录入!BL23*$E22</f>
        <v>0</v>
      </c>
      <c r="BM22" s="133">
        <f>前台增值物品出入库录入!BM23*$E22</f>
        <v>0</v>
      </c>
      <c r="BN22" s="133">
        <f>前台增值物品出入库录入!BN23*$E22</f>
        <v>0</v>
      </c>
      <c r="BO22" s="133">
        <f>前台增值物品出入库录入!BO23*$E22</f>
        <v>0</v>
      </c>
      <c r="BP22" s="133">
        <f>前台增值物品出入库录入!BP23*$E22</f>
        <v>0</v>
      </c>
      <c r="BQ22" s="133">
        <f>前台增值物品出入库录入!BQ23*$E22</f>
        <v>0</v>
      </c>
      <c r="BR22" s="133">
        <f>前台增值物品出入库录入!BR23*$E22</f>
        <v>0</v>
      </c>
      <c r="BS22" s="133">
        <f>前台增值物品出入库录入!BS23*$E22</f>
        <v>0</v>
      </c>
      <c r="BT22" s="133">
        <f>前台增值物品出入库录入!BT23*$E22</f>
        <v>0</v>
      </c>
      <c r="BU22" s="133">
        <f>前台增值物品出入库录入!BU23*$E22</f>
        <v>0</v>
      </c>
      <c r="BV22" s="133">
        <f>前台增值物品出入库录入!BV23*$E22</f>
        <v>0</v>
      </c>
      <c r="BW22" s="133">
        <f>前台增值物品出入库录入!BW23*$E22</f>
        <v>0</v>
      </c>
    </row>
    <row r="23" s="178" customFormat="1" customHeight="1" spans="1:75">
      <c r="A23" s="161">
        <v>19</v>
      </c>
      <c r="B23" s="162" t="str">
        <f>前台增值物品出入库录入!B24</f>
        <v>订书机</v>
      </c>
      <c r="C23" s="162">
        <f>前台增值物品出入库录入!C24</f>
        <v>0</v>
      </c>
      <c r="D23" s="162" t="str">
        <f>前台增值物品出入库录入!D24</f>
        <v>个</v>
      </c>
      <c r="E23" s="162">
        <f>前台增值物品出入库录入!E24</f>
        <v>3.31</v>
      </c>
      <c r="F23" s="162">
        <f>前台增值物品出入库录入!F24</f>
        <v>1</v>
      </c>
      <c r="G23" s="162">
        <f>前台增值物品出入库录入!G24</f>
        <v>3.31</v>
      </c>
      <c r="H23" s="162">
        <f>前台增值物品出入库录入!H24</f>
        <v>0</v>
      </c>
      <c r="I23" s="162">
        <f>前台增值物品出入库录入!I24</f>
        <v>0</v>
      </c>
      <c r="J23" s="162">
        <f>前台增值物品出入库录入!J24</f>
        <v>0</v>
      </c>
      <c r="K23" s="162">
        <f>前台增值物品出入库录入!K24</f>
        <v>0</v>
      </c>
      <c r="L23" s="162">
        <f>前台增值物品出入库录入!L24</f>
        <v>1</v>
      </c>
      <c r="M23" s="162">
        <f>前台增值物品出入库录入!M24</f>
        <v>3.31</v>
      </c>
      <c r="N23" s="133">
        <f>前台增值物品出入库录入!N24*$E23</f>
        <v>0</v>
      </c>
      <c r="O23" s="133">
        <f>前台增值物品出入库录入!O24*$E23</f>
        <v>0</v>
      </c>
      <c r="P23" s="133">
        <f>前台增值物品出入库录入!P24*$E23</f>
        <v>0</v>
      </c>
      <c r="Q23" s="133">
        <f>前台增值物品出入库录入!Q24*$E23</f>
        <v>0</v>
      </c>
      <c r="R23" s="133">
        <f>前台增值物品出入库录入!R24*$E23</f>
        <v>0</v>
      </c>
      <c r="S23" s="133">
        <f>前台增值物品出入库录入!S24*$E23</f>
        <v>0</v>
      </c>
      <c r="T23" s="133">
        <f>前台增值物品出入库录入!T24*$E23</f>
        <v>0</v>
      </c>
      <c r="U23" s="133">
        <f>前台增值物品出入库录入!U24*$E23</f>
        <v>0</v>
      </c>
      <c r="V23" s="133">
        <f>前台增值物品出入库录入!V24*$E23</f>
        <v>0</v>
      </c>
      <c r="W23" s="133">
        <f>前台增值物品出入库录入!W24*$E23</f>
        <v>0</v>
      </c>
      <c r="X23" s="133">
        <f>前台增值物品出入库录入!X24*$E23</f>
        <v>0</v>
      </c>
      <c r="Y23" s="133">
        <f>前台增值物品出入库录入!Y24*$E23</f>
        <v>0</v>
      </c>
      <c r="Z23" s="133">
        <f>前台增值物品出入库录入!Z24*$E23</f>
        <v>0</v>
      </c>
      <c r="AA23" s="133">
        <f>前台增值物品出入库录入!AA24*$E23</f>
        <v>0</v>
      </c>
      <c r="AB23" s="133">
        <f>前台增值物品出入库录入!AB24*$E23</f>
        <v>0</v>
      </c>
      <c r="AC23" s="133">
        <f>前台增值物品出入库录入!AC24*$E23</f>
        <v>0</v>
      </c>
      <c r="AD23" s="133">
        <f>前台增值物品出入库录入!AD24*$E23</f>
        <v>0</v>
      </c>
      <c r="AE23" s="133">
        <f>前台增值物品出入库录入!AE24*$E23</f>
        <v>0</v>
      </c>
      <c r="AF23" s="133">
        <f>前台增值物品出入库录入!AF24*$E23</f>
        <v>0</v>
      </c>
      <c r="AG23" s="133">
        <f>前台增值物品出入库录入!AG24*$E23</f>
        <v>0</v>
      </c>
      <c r="AH23" s="133">
        <f>前台增值物品出入库录入!AH24*$E23</f>
        <v>0</v>
      </c>
      <c r="AI23" s="133">
        <f>前台增值物品出入库录入!AI24*$E23</f>
        <v>0</v>
      </c>
      <c r="AJ23" s="133">
        <f>前台增值物品出入库录入!AJ24*$E23</f>
        <v>0</v>
      </c>
      <c r="AK23" s="133">
        <f>前台增值物品出入库录入!AK24*$E23</f>
        <v>0</v>
      </c>
      <c r="AL23" s="133">
        <f>前台增值物品出入库录入!AL24*$E23</f>
        <v>0</v>
      </c>
      <c r="AM23" s="133">
        <f>前台增值物品出入库录入!AM24*$E23</f>
        <v>0</v>
      </c>
      <c r="AN23" s="133">
        <f>前台增值物品出入库录入!AN24*$E23</f>
        <v>0</v>
      </c>
      <c r="AO23" s="133">
        <f>前台增值物品出入库录入!AO24*$E23</f>
        <v>0</v>
      </c>
      <c r="AP23" s="133">
        <f>前台增值物品出入库录入!AP24*$E23</f>
        <v>0</v>
      </c>
      <c r="AQ23" s="133">
        <f>前台增值物品出入库录入!AQ24*$E23</f>
        <v>0</v>
      </c>
      <c r="AR23" s="133">
        <f>前台增值物品出入库录入!AR24*$E23</f>
        <v>0</v>
      </c>
      <c r="AS23" s="133">
        <f>前台增值物品出入库录入!AS24*$E23</f>
        <v>0</v>
      </c>
      <c r="AT23" s="133">
        <f>前台增值物品出入库录入!AT24*$E23</f>
        <v>0</v>
      </c>
      <c r="AU23" s="133">
        <f>前台增值物品出入库录入!AU24*$E23</f>
        <v>0</v>
      </c>
      <c r="AV23" s="133">
        <f>前台增值物品出入库录入!AV24*$E23</f>
        <v>0</v>
      </c>
      <c r="AW23" s="133">
        <f>前台增值物品出入库录入!AW24*$E23</f>
        <v>0</v>
      </c>
      <c r="AX23" s="133">
        <f>前台增值物品出入库录入!AX24*$E23</f>
        <v>0</v>
      </c>
      <c r="AY23" s="133">
        <f>前台增值物品出入库录入!AY24*$E23</f>
        <v>0</v>
      </c>
      <c r="AZ23" s="133">
        <f>前台增值物品出入库录入!AZ24*$E23</f>
        <v>0</v>
      </c>
      <c r="BA23" s="133">
        <f>前台增值物品出入库录入!BA24*$E23</f>
        <v>0</v>
      </c>
      <c r="BB23" s="133">
        <f>前台增值物品出入库录入!BB24*$E23</f>
        <v>0</v>
      </c>
      <c r="BC23" s="133">
        <f>前台增值物品出入库录入!BC24*$E23</f>
        <v>0</v>
      </c>
      <c r="BD23" s="133">
        <f>前台增值物品出入库录入!BD24*$E23</f>
        <v>0</v>
      </c>
      <c r="BE23" s="133">
        <f>前台增值物品出入库录入!BE24*$E23</f>
        <v>0</v>
      </c>
      <c r="BF23" s="133">
        <f>前台增值物品出入库录入!BF24*$E23</f>
        <v>0</v>
      </c>
      <c r="BG23" s="133">
        <f>前台增值物品出入库录入!BG24*$E23</f>
        <v>0</v>
      </c>
      <c r="BH23" s="133">
        <f>前台增值物品出入库录入!BH24*$E23</f>
        <v>0</v>
      </c>
      <c r="BI23" s="133">
        <f>前台增值物品出入库录入!BI24*$E23</f>
        <v>0</v>
      </c>
      <c r="BJ23" s="133">
        <f>前台增值物品出入库录入!BJ24*$E23</f>
        <v>0</v>
      </c>
      <c r="BK23" s="133">
        <f>前台增值物品出入库录入!BK24*$E23</f>
        <v>0</v>
      </c>
      <c r="BL23" s="133">
        <f>前台增值物品出入库录入!BL24*$E23</f>
        <v>0</v>
      </c>
      <c r="BM23" s="133">
        <f>前台增值物品出入库录入!BM24*$E23</f>
        <v>0</v>
      </c>
      <c r="BN23" s="133">
        <f>前台增值物品出入库录入!BN24*$E23</f>
        <v>0</v>
      </c>
      <c r="BO23" s="133">
        <f>前台增值物品出入库录入!BO24*$E23</f>
        <v>0</v>
      </c>
      <c r="BP23" s="133">
        <f>前台增值物品出入库录入!BP24*$E23</f>
        <v>0</v>
      </c>
      <c r="BQ23" s="133">
        <f>前台增值物品出入库录入!BQ24*$E23</f>
        <v>0</v>
      </c>
      <c r="BR23" s="133">
        <f>前台增值物品出入库录入!BR24*$E23</f>
        <v>0</v>
      </c>
      <c r="BS23" s="133">
        <f>前台增值物品出入库录入!BS24*$E23</f>
        <v>0</v>
      </c>
      <c r="BT23" s="133">
        <f>前台增值物品出入库录入!BT24*$E23</f>
        <v>0</v>
      </c>
      <c r="BU23" s="133">
        <f>前台增值物品出入库录入!BU24*$E23</f>
        <v>0</v>
      </c>
      <c r="BV23" s="133">
        <f>前台增值物品出入库录入!BV24*$E23</f>
        <v>0</v>
      </c>
      <c r="BW23" s="133">
        <f>前台增值物品出入库录入!BW24*$E23</f>
        <v>0</v>
      </c>
    </row>
    <row r="24" s="178" customFormat="1" customHeight="1" spans="1:75">
      <c r="A24" s="161">
        <v>20</v>
      </c>
      <c r="B24" s="162" t="str">
        <f>前台增值物品出入库录入!B25</f>
        <v>订书钉</v>
      </c>
      <c r="C24" s="162">
        <f>前台增值物品出入库录入!C25</f>
        <v>0</v>
      </c>
      <c r="D24" s="162" t="str">
        <f>前台增值物品出入库录入!D25</f>
        <v>个</v>
      </c>
      <c r="E24" s="162">
        <f>前台增值物品出入库录入!E25</f>
        <v>3.31</v>
      </c>
      <c r="F24" s="162">
        <f>前台增值物品出入库录入!F25</f>
        <v>8</v>
      </c>
      <c r="G24" s="162">
        <f>前台增值物品出入库录入!G25</f>
        <v>26.48</v>
      </c>
      <c r="H24" s="162">
        <f>前台增值物品出入库录入!H25</f>
        <v>0</v>
      </c>
      <c r="I24" s="162">
        <f>前台增值物品出入库录入!I25</f>
        <v>0</v>
      </c>
      <c r="J24" s="162">
        <f>前台增值物品出入库录入!J25</f>
        <v>0</v>
      </c>
      <c r="K24" s="162">
        <f>前台增值物品出入库录入!K25</f>
        <v>0</v>
      </c>
      <c r="L24" s="162">
        <f>前台增值物品出入库录入!L25</f>
        <v>8</v>
      </c>
      <c r="M24" s="162">
        <f>前台增值物品出入库录入!M25</f>
        <v>26.48</v>
      </c>
      <c r="N24" s="133">
        <f>前台增值物品出入库录入!N25*$E24</f>
        <v>0</v>
      </c>
      <c r="O24" s="133">
        <f>前台增值物品出入库录入!O25*$E24</f>
        <v>0</v>
      </c>
      <c r="P24" s="133">
        <f>前台增值物品出入库录入!P25*$E24</f>
        <v>0</v>
      </c>
      <c r="Q24" s="133">
        <f>前台增值物品出入库录入!Q25*$E24</f>
        <v>0</v>
      </c>
      <c r="R24" s="133">
        <f>前台增值物品出入库录入!R25*$E24</f>
        <v>0</v>
      </c>
      <c r="S24" s="133">
        <f>前台增值物品出入库录入!S25*$E24</f>
        <v>0</v>
      </c>
      <c r="T24" s="133">
        <f>前台增值物品出入库录入!T25*$E24</f>
        <v>0</v>
      </c>
      <c r="U24" s="133">
        <f>前台增值物品出入库录入!U25*$E24</f>
        <v>0</v>
      </c>
      <c r="V24" s="133">
        <f>前台增值物品出入库录入!V25*$E24</f>
        <v>0</v>
      </c>
      <c r="W24" s="133">
        <f>前台增值物品出入库录入!W25*$E24</f>
        <v>0</v>
      </c>
      <c r="X24" s="133">
        <f>前台增值物品出入库录入!X25*$E24</f>
        <v>0</v>
      </c>
      <c r="Y24" s="133">
        <f>前台增值物品出入库录入!Y25*$E24</f>
        <v>0</v>
      </c>
      <c r="Z24" s="133">
        <f>前台增值物品出入库录入!Z25*$E24</f>
        <v>0</v>
      </c>
      <c r="AA24" s="133">
        <f>前台增值物品出入库录入!AA25*$E24</f>
        <v>0</v>
      </c>
      <c r="AB24" s="133">
        <f>前台增值物品出入库录入!AB25*$E24</f>
        <v>0</v>
      </c>
      <c r="AC24" s="133">
        <f>前台增值物品出入库录入!AC25*$E24</f>
        <v>0</v>
      </c>
      <c r="AD24" s="133">
        <f>前台增值物品出入库录入!AD25*$E24</f>
        <v>0</v>
      </c>
      <c r="AE24" s="133">
        <f>前台增值物品出入库录入!AE25*$E24</f>
        <v>0</v>
      </c>
      <c r="AF24" s="133">
        <f>前台增值物品出入库录入!AF25*$E24</f>
        <v>0</v>
      </c>
      <c r="AG24" s="133">
        <f>前台增值物品出入库录入!AG25*$E24</f>
        <v>0</v>
      </c>
      <c r="AH24" s="133">
        <f>前台增值物品出入库录入!AH25*$E24</f>
        <v>0</v>
      </c>
      <c r="AI24" s="133">
        <f>前台增值物品出入库录入!AI25*$E24</f>
        <v>0</v>
      </c>
      <c r="AJ24" s="133">
        <f>前台增值物品出入库录入!AJ25*$E24</f>
        <v>0</v>
      </c>
      <c r="AK24" s="133">
        <f>前台增值物品出入库录入!AK25*$E24</f>
        <v>0</v>
      </c>
      <c r="AL24" s="133">
        <f>前台增值物品出入库录入!AL25*$E24</f>
        <v>0</v>
      </c>
      <c r="AM24" s="133">
        <f>前台增值物品出入库录入!AM25*$E24</f>
        <v>0</v>
      </c>
      <c r="AN24" s="133">
        <f>前台增值物品出入库录入!AN25*$E24</f>
        <v>0</v>
      </c>
      <c r="AO24" s="133">
        <f>前台增值物品出入库录入!AO25*$E24</f>
        <v>0</v>
      </c>
      <c r="AP24" s="133">
        <f>前台增值物品出入库录入!AP25*$E24</f>
        <v>0</v>
      </c>
      <c r="AQ24" s="133">
        <f>前台增值物品出入库录入!AQ25*$E24</f>
        <v>0</v>
      </c>
      <c r="AR24" s="133">
        <f>前台增值物品出入库录入!AR25*$E24</f>
        <v>0</v>
      </c>
      <c r="AS24" s="133">
        <f>前台增值物品出入库录入!AS25*$E24</f>
        <v>0</v>
      </c>
      <c r="AT24" s="133">
        <f>前台增值物品出入库录入!AT25*$E24</f>
        <v>0</v>
      </c>
      <c r="AU24" s="133">
        <f>前台增值物品出入库录入!AU25*$E24</f>
        <v>0</v>
      </c>
      <c r="AV24" s="133">
        <f>前台增值物品出入库录入!AV25*$E24</f>
        <v>0</v>
      </c>
      <c r="AW24" s="133">
        <f>前台增值物品出入库录入!AW25*$E24</f>
        <v>0</v>
      </c>
      <c r="AX24" s="133">
        <f>前台增值物品出入库录入!AX25*$E24</f>
        <v>0</v>
      </c>
      <c r="AY24" s="133">
        <f>前台增值物品出入库录入!AY25*$E24</f>
        <v>0</v>
      </c>
      <c r="AZ24" s="133">
        <f>前台增值物品出入库录入!AZ25*$E24</f>
        <v>0</v>
      </c>
      <c r="BA24" s="133">
        <f>前台增值物品出入库录入!BA25*$E24</f>
        <v>0</v>
      </c>
      <c r="BB24" s="133">
        <f>前台增值物品出入库录入!BB25*$E24</f>
        <v>0</v>
      </c>
      <c r="BC24" s="133">
        <f>前台增值物品出入库录入!BC25*$E24</f>
        <v>0</v>
      </c>
      <c r="BD24" s="133">
        <f>前台增值物品出入库录入!BD25*$E24</f>
        <v>0</v>
      </c>
      <c r="BE24" s="133">
        <f>前台增值物品出入库录入!BE25*$E24</f>
        <v>0</v>
      </c>
      <c r="BF24" s="133">
        <f>前台增值物品出入库录入!BF25*$E24</f>
        <v>0</v>
      </c>
      <c r="BG24" s="133">
        <f>前台增值物品出入库录入!BG25*$E24</f>
        <v>0</v>
      </c>
      <c r="BH24" s="133">
        <f>前台增值物品出入库录入!BH25*$E24</f>
        <v>0</v>
      </c>
      <c r="BI24" s="133">
        <f>前台增值物品出入库录入!BI25*$E24</f>
        <v>0</v>
      </c>
      <c r="BJ24" s="133">
        <f>前台增值物品出入库录入!BJ25*$E24</f>
        <v>0</v>
      </c>
      <c r="BK24" s="133">
        <f>前台增值物品出入库录入!BK25*$E24</f>
        <v>0</v>
      </c>
      <c r="BL24" s="133">
        <f>前台增值物品出入库录入!BL25*$E24</f>
        <v>0</v>
      </c>
      <c r="BM24" s="133">
        <f>前台增值物品出入库录入!BM25*$E24</f>
        <v>0</v>
      </c>
      <c r="BN24" s="133">
        <f>前台增值物品出入库录入!BN25*$E24</f>
        <v>0</v>
      </c>
      <c r="BO24" s="133">
        <f>前台增值物品出入库录入!BO25*$E24</f>
        <v>0</v>
      </c>
      <c r="BP24" s="133">
        <f>前台增值物品出入库录入!BP25*$E24</f>
        <v>0</v>
      </c>
      <c r="BQ24" s="133">
        <f>前台增值物品出入库录入!BQ25*$E24</f>
        <v>0</v>
      </c>
      <c r="BR24" s="133">
        <f>前台增值物品出入库录入!BR25*$E24</f>
        <v>0</v>
      </c>
      <c r="BS24" s="133">
        <f>前台增值物品出入库录入!BS25*$E24</f>
        <v>0</v>
      </c>
      <c r="BT24" s="133">
        <f>前台增值物品出入库录入!BT25*$E24</f>
        <v>0</v>
      </c>
      <c r="BU24" s="133">
        <f>前台增值物品出入库录入!BU25*$E24</f>
        <v>0</v>
      </c>
      <c r="BV24" s="133">
        <f>前台增值物品出入库录入!BV25*$E24</f>
        <v>0</v>
      </c>
      <c r="BW24" s="133">
        <f>前台增值物品出入库录入!BW25*$E24</f>
        <v>0</v>
      </c>
    </row>
    <row r="25" s="178" customFormat="1" customHeight="1" spans="1:75">
      <c r="A25" s="161">
        <v>21</v>
      </c>
      <c r="B25" s="162" t="str">
        <f>前台增值物品出入库录入!B26</f>
        <v>固体胶</v>
      </c>
      <c r="C25" s="162">
        <f>前台增值物品出入库录入!C26</f>
        <v>0</v>
      </c>
      <c r="D25" s="162" t="str">
        <f>前台增值物品出入库录入!D26</f>
        <v>个</v>
      </c>
      <c r="E25" s="162">
        <f>前台增值物品出入库录入!E26</f>
        <v>1.991666667</v>
      </c>
      <c r="F25" s="162">
        <f>前台增值物品出入库录入!F26</f>
        <v>4</v>
      </c>
      <c r="G25" s="162">
        <f>前台增值物品出入库录入!G26</f>
        <v>7.966666668</v>
      </c>
      <c r="H25" s="162">
        <f>前台增值物品出入库录入!H26</f>
        <v>0</v>
      </c>
      <c r="I25" s="162">
        <f>前台增值物品出入库录入!I26</f>
        <v>0</v>
      </c>
      <c r="J25" s="162">
        <f>前台增值物品出入库录入!J26</f>
        <v>1</v>
      </c>
      <c r="K25" s="162">
        <f>前台增值物品出入库录入!K26</f>
        <v>1.991666667</v>
      </c>
      <c r="L25" s="162">
        <f>前台增值物品出入库录入!L26</f>
        <v>3</v>
      </c>
      <c r="M25" s="162">
        <f>前台增值物品出入库录入!M26</f>
        <v>5.975000001</v>
      </c>
      <c r="N25" s="133">
        <f>前台增值物品出入库录入!N26*$E25</f>
        <v>0</v>
      </c>
      <c r="O25" s="133">
        <f>前台增值物品出入库录入!O26*$E25</f>
        <v>0</v>
      </c>
      <c r="P25" s="133">
        <f>前台增值物品出入库录入!P26*$E25</f>
        <v>0</v>
      </c>
      <c r="Q25" s="133">
        <f>前台增值物品出入库录入!Q26*$E25</f>
        <v>1.991666667</v>
      </c>
      <c r="R25" s="133">
        <f>前台增值物品出入库录入!R26*$E25</f>
        <v>0</v>
      </c>
      <c r="S25" s="133">
        <f>前台增值物品出入库录入!S26*$E25</f>
        <v>0</v>
      </c>
      <c r="T25" s="133">
        <f>前台增值物品出入库录入!T26*$E25</f>
        <v>0</v>
      </c>
      <c r="U25" s="133">
        <f>前台增值物品出入库录入!U26*$E25</f>
        <v>0</v>
      </c>
      <c r="V25" s="133">
        <f>前台增值物品出入库录入!V26*$E25</f>
        <v>0</v>
      </c>
      <c r="W25" s="133">
        <f>前台增值物品出入库录入!W26*$E25</f>
        <v>0</v>
      </c>
      <c r="X25" s="133">
        <f>前台增值物品出入库录入!X26*$E25</f>
        <v>0</v>
      </c>
      <c r="Y25" s="133">
        <f>前台增值物品出入库录入!Y26*$E25</f>
        <v>0</v>
      </c>
      <c r="Z25" s="133">
        <f>前台增值物品出入库录入!Z26*$E25</f>
        <v>0</v>
      </c>
      <c r="AA25" s="133">
        <f>前台增值物品出入库录入!AA26*$E25</f>
        <v>0</v>
      </c>
      <c r="AB25" s="133">
        <f>前台增值物品出入库录入!AB26*$E25</f>
        <v>0</v>
      </c>
      <c r="AC25" s="133">
        <f>前台增值物品出入库录入!AC26*$E25</f>
        <v>0</v>
      </c>
      <c r="AD25" s="133">
        <f>前台增值物品出入库录入!AD26*$E25</f>
        <v>0</v>
      </c>
      <c r="AE25" s="133">
        <f>前台增值物品出入库录入!AE26*$E25</f>
        <v>0</v>
      </c>
      <c r="AF25" s="133">
        <f>前台增值物品出入库录入!AF26*$E25</f>
        <v>0</v>
      </c>
      <c r="AG25" s="133">
        <f>前台增值物品出入库录入!AG26*$E25</f>
        <v>0</v>
      </c>
      <c r="AH25" s="133">
        <f>前台增值物品出入库录入!AH26*$E25</f>
        <v>0</v>
      </c>
      <c r="AI25" s="133">
        <f>前台增值物品出入库录入!AI26*$E25</f>
        <v>0</v>
      </c>
      <c r="AJ25" s="133">
        <f>前台增值物品出入库录入!AJ26*$E25</f>
        <v>0</v>
      </c>
      <c r="AK25" s="133">
        <f>前台增值物品出入库录入!AK26*$E25</f>
        <v>0</v>
      </c>
      <c r="AL25" s="133">
        <f>前台增值物品出入库录入!AL26*$E25</f>
        <v>0</v>
      </c>
      <c r="AM25" s="133">
        <f>前台增值物品出入库录入!AM26*$E25</f>
        <v>0</v>
      </c>
      <c r="AN25" s="133">
        <f>前台增值物品出入库录入!AN26*$E25</f>
        <v>0</v>
      </c>
      <c r="AO25" s="133">
        <f>前台增值物品出入库录入!AO26*$E25</f>
        <v>0</v>
      </c>
      <c r="AP25" s="133">
        <f>前台增值物品出入库录入!AP26*$E25</f>
        <v>0</v>
      </c>
      <c r="AQ25" s="133">
        <f>前台增值物品出入库录入!AQ26*$E25</f>
        <v>0</v>
      </c>
      <c r="AR25" s="133">
        <f>前台增值物品出入库录入!AR26*$E25</f>
        <v>0</v>
      </c>
      <c r="AS25" s="133">
        <f>前台增值物品出入库录入!AS26*$E25</f>
        <v>0</v>
      </c>
      <c r="AT25" s="133">
        <f>前台增值物品出入库录入!AT26*$E25</f>
        <v>0</v>
      </c>
      <c r="AU25" s="133">
        <f>前台增值物品出入库录入!AU26*$E25</f>
        <v>0</v>
      </c>
      <c r="AV25" s="133">
        <f>前台增值物品出入库录入!AV26*$E25</f>
        <v>0</v>
      </c>
      <c r="AW25" s="133">
        <f>前台增值物品出入库录入!AW26*$E25</f>
        <v>0</v>
      </c>
      <c r="AX25" s="133">
        <f>前台增值物品出入库录入!AX26*$E25</f>
        <v>0</v>
      </c>
      <c r="AY25" s="133">
        <f>前台增值物品出入库录入!AY26*$E25</f>
        <v>0</v>
      </c>
      <c r="AZ25" s="133">
        <f>前台增值物品出入库录入!AZ26*$E25</f>
        <v>0</v>
      </c>
      <c r="BA25" s="133">
        <f>前台增值物品出入库录入!BA26*$E25</f>
        <v>0</v>
      </c>
      <c r="BB25" s="133">
        <f>前台增值物品出入库录入!BB26*$E25</f>
        <v>0</v>
      </c>
      <c r="BC25" s="133">
        <f>前台增值物品出入库录入!BC26*$E25</f>
        <v>0</v>
      </c>
      <c r="BD25" s="133">
        <f>前台增值物品出入库录入!BD26*$E25</f>
        <v>0</v>
      </c>
      <c r="BE25" s="133">
        <f>前台增值物品出入库录入!BE26*$E25</f>
        <v>0</v>
      </c>
      <c r="BF25" s="133">
        <f>前台增值物品出入库录入!BF26*$E25</f>
        <v>0</v>
      </c>
      <c r="BG25" s="133">
        <f>前台增值物品出入库录入!BG26*$E25</f>
        <v>0</v>
      </c>
      <c r="BH25" s="133">
        <f>前台增值物品出入库录入!BH26*$E25</f>
        <v>0</v>
      </c>
      <c r="BI25" s="133">
        <f>前台增值物品出入库录入!BI26*$E25</f>
        <v>0</v>
      </c>
      <c r="BJ25" s="133">
        <f>前台增值物品出入库录入!BJ26*$E25</f>
        <v>0</v>
      </c>
      <c r="BK25" s="133">
        <f>前台增值物品出入库录入!BK26*$E25</f>
        <v>0</v>
      </c>
      <c r="BL25" s="133">
        <f>前台增值物品出入库录入!BL26*$E25</f>
        <v>0</v>
      </c>
      <c r="BM25" s="133">
        <f>前台增值物品出入库录入!BM26*$E25</f>
        <v>0</v>
      </c>
      <c r="BN25" s="133">
        <f>前台增值物品出入库录入!BN26*$E25</f>
        <v>0</v>
      </c>
      <c r="BO25" s="133">
        <f>前台增值物品出入库录入!BO26*$E25</f>
        <v>0</v>
      </c>
      <c r="BP25" s="133">
        <f>前台增值物品出入库录入!BP26*$E25</f>
        <v>0</v>
      </c>
      <c r="BQ25" s="133">
        <f>前台增值物品出入库录入!BQ26*$E25</f>
        <v>0</v>
      </c>
      <c r="BR25" s="133">
        <f>前台增值物品出入库录入!BR26*$E25</f>
        <v>0</v>
      </c>
      <c r="BS25" s="133">
        <f>前台增值物品出入库录入!BS26*$E25</f>
        <v>0</v>
      </c>
      <c r="BT25" s="133">
        <f>前台增值物品出入库录入!BT26*$E25</f>
        <v>0</v>
      </c>
      <c r="BU25" s="133">
        <f>前台增值物品出入库录入!BU26*$E25</f>
        <v>0</v>
      </c>
      <c r="BV25" s="133">
        <f>前台增值物品出入库录入!BV26*$E25</f>
        <v>0</v>
      </c>
      <c r="BW25" s="133">
        <f>前台增值物品出入库录入!BW26*$E25</f>
        <v>0</v>
      </c>
    </row>
    <row r="26" s="178" customFormat="1" customHeight="1" spans="1:75">
      <c r="A26" s="161">
        <v>22</v>
      </c>
      <c r="B26" s="162" t="str">
        <f>前台增值物品出入库录入!B27</f>
        <v>棉签</v>
      </c>
      <c r="C26" s="162">
        <f>前台增值物品出入库录入!C27</f>
        <v>0</v>
      </c>
      <c r="D26" s="162" t="str">
        <f>前台增值物品出入库录入!D27</f>
        <v>个</v>
      </c>
      <c r="E26" s="162">
        <f>前台增值物品出入库录入!E27</f>
        <v>0.01681875</v>
      </c>
      <c r="F26" s="162">
        <f>前台增值物品出入库录入!F27</f>
        <v>642</v>
      </c>
      <c r="G26" s="162">
        <f>前台增值物品出入库录入!G27</f>
        <v>10.7976375</v>
      </c>
      <c r="H26" s="162">
        <f>前台增值物品出入库录入!H27</f>
        <v>0</v>
      </c>
      <c r="I26" s="162">
        <f>前台增值物品出入库录入!I27</f>
        <v>0</v>
      </c>
      <c r="J26" s="162">
        <f>前台增值物品出入库录入!J27</f>
        <v>211</v>
      </c>
      <c r="K26" s="162">
        <f>前台增值物品出入库录入!K27</f>
        <v>3.54875625</v>
      </c>
      <c r="L26" s="162">
        <f>前台增值物品出入库录入!L27</f>
        <v>431</v>
      </c>
      <c r="M26" s="162">
        <f>前台增值物品出入库录入!M27</f>
        <v>7.24888125</v>
      </c>
      <c r="N26" s="133">
        <f>前台增值物品出入库录入!N27*$E26</f>
        <v>0</v>
      </c>
      <c r="O26" s="133">
        <f>前台增值物品出入库录入!O27*$E26</f>
        <v>0</v>
      </c>
      <c r="P26" s="133">
        <f>前台增值物品出入库录入!P27*$E26</f>
        <v>0</v>
      </c>
      <c r="Q26" s="133">
        <f>前台增值物品出入库录入!Q27*$E26</f>
        <v>0.5045625</v>
      </c>
      <c r="R26" s="133">
        <f>前台增值物品出入库录入!R27*$E26</f>
        <v>0</v>
      </c>
      <c r="S26" s="133">
        <f>前台增值物品出入库录入!S27*$E26</f>
        <v>0.25228125</v>
      </c>
      <c r="T26" s="133">
        <f>前台增值物品出入库录入!T27*$E26</f>
        <v>0</v>
      </c>
      <c r="U26" s="133">
        <f>前台增值物品出入库录入!U27*$E26</f>
        <v>0</v>
      </c>
      <c r="V26" s="133">
        <f>前台增值物品出入库录入!V27*$E26</f>
        <v>0</v>
      </c>
      <c r="W26" s="133">
        <f>前台增值物品出入库录入!W27*$E26</f>
        <v>0.1681875</v>
      </c>
      <c r="X26" s="133">
        <f>前台增值物品出入库录入!X27*$E26</f>
        <v>0</v>
      </c>
      <c r="Y26" s="133">
        <f>前台增值物品出入库录入!Y27*$E26</f>
        <v>0</v>
      </c>
      <c r="Z26" s="133">
        <f>前台增值物品出入库录入!Z27*$E26</f>
        <v>0</v>
      </c>
      <c r="AA26" s="133">
        <f>前台增值物品出入库录入!AA27*$E26</f>
        <v>0.25228125</v>
      </c>
      <c r="AB26" s="133">
        <f>前台增值物品出入库录入!AB27*$E26</f>
        <v>0</v>
      </c>
      <c r="AC26" s="133">
        <f>前台增值物品出入库录入!AC27*$E26</f>
        <v>0</v>
      </c>
      <c r="AD26" s="133">
        <f>前台增值物品出入库录入!AD27*$E26</f>
        <v>0</v>
      </c>
      <c r="AE26" s="133">
        <f>前台增值物品出入库录入!AE27*$E26</f>
        <v>0</v>
      </c>
      <c r="AF26" s="133">
        <f>前台增值物品出入库录入!AF27*$E26</f>
        <v>0</v>
      </c>
      <c r="AG26" s="133">
        <f>前台增值物品出入库录入!AG27*$E26</f>
        <v>0</v>
      </c>
      <c r="AH26" s="133">
        <f>前台增值物品出入库录入!AH27*$E26</f>
        <v>0</v>
      </c>
      <c r="AI26" s="133">
        <f>前台增值物品出入库录入!AI27*$E26</f>
        <v>0</v>
      </c>
      <c r="AJ26" s="133">
        <f>前台增值物品出入库录入!AJ27*$E26</f>
        <v>0</v>
      </c>
      <c r="AK26" s="133">
        <f>前台增值物品出入库录入!AK27*$E26</f>
        <v>0.336375</v>
      </c>
      <c r="AL26" s="133">
        <f>前台增值物品出入库录入!AL27*$E26</f>
        <v>0</v>
      </c>
      <c r="AM26" s="133">
        <f>前台增值物品出入库录入!AM27*$E26</f>
        <v>0.08409375</v>
      </c>
      <c r="AN26" s="133">
        <f>前台增值物品出入库录入!AN27*$E26</f>
        <v>0</v>
      </c>
      <c r="AO26" s="133">
        <f>前台增值物品出入库录入!AO27*$E26</f>
        <v>0.25228125</v>
      </c>
      <c r="AP26" s="133">
        <f>前台增值物品出入库录入!AP27*$E26</f>
        <v>0</v>
      </c>
      <c r="AQ26" s="133">
        <f>前台增值物品出入库录入!AQ27*$E26</f>
        <v>0</v>
      </c>
      <c r="AR26" s="133">
        <f>前台增值物品出入库录入!AR27*$E26</f>
        <v>0</v>
      </c>
      <c r="AS26" s="133">
        <f>前台增值物品出入库录入!AS27*$E26</f>
        <v>0.336375</v>
      </c>
      <c r="AT26" s="133">
        <f>前台增值物品出入库录入!AT27*$E26</f>
        <v>0</v>
      </c>
      <c r="AU26" s="133">
        <f>前台增值物品出入库录入!AU27*$E26</f>
        <v>0</v>
      </c>
      <c r="AV26" s="133">
        <f>前台增值物品出入库录入!AV27*$E26</f>
        <v>0</v>
      </c>
      <c r="AW26" s="133">
        <f>前台增值物品出入库录入!AW27*$E26</f>
        <v>0.08409375</v>
      </c>
      <c r="AX26" s="133">
        <f>前台增值物品出入库录入!AX27*$E26</f>
        <v>0</v>
      </c>
      <c r="AY26" s="133">
        <f>前台增值物品出入库录入!AY27*$E26</f>
        <v>0.08409375</v>
      </c>
      <c r="AZ26" s="133">
        <f>前台增值物品出入库录入!AZ27*$E26</f>
        <v>0</v>
      </c>
      <c r="BA26" s="133">
        <f>前台增值物品出入库录入!BA27*$E26</f>
        <v>0</v>
      </c>
      <c r="BB26" s="133">
        <f>前台增值物品出入库录入!BB27*$E26</f>
        <v>0</v>
      </c>
      <c r="BC26" s="133">
        <f>前台增值物品出入库录入!BC27*$E26</f>
        <v>0.25228125</v>
      </c>
      <c r="BD26" s="133">
        <f>前台增值物品出入库录入!BD27*$E26</f>
        <v>0</v>
      </c>
      <c r="BE26" s="133">
        <f>前台增值物品出入库录入!BE27*$E26</f>
        <v>0.05045625</v>
      </c>
      <c r="BF26" s="133">
        <f>前台增值物品出入库录入!BF27*$E26</f>
        <v>0</v>
      </c>
      <c r="BG26" s="133">
        <f>前台增值物品出入库录入!BG27*$E26</f>
        <v>0.0336375</v>
      </c>
      <c r="BH26" s="133">
        <f>前台增值物品出入库录入!BH27*$E26</f>
        <v>0</v>
      </c>
      <c r="BI26" s="133">
        <f>前台增值物品出入库录入!BI27*$E26</f>
        <v>0.01681875</v>
      </c>
      <c r="BJ26" s="133">
        <f>前台增值物品出入库录入!BJ27*$E26</f>
        <v>0</v>
      </c>
      <c r="BK26" s="133">
        <f>前台增值物品出入库录入!BK27*$E26</f>
        <v>0.1681875</v>
      </c>
      <c r="BL26" s="133">
        <f>前台增值物品出入库录入!BL27*$E26</f>
        <v>0</v>
      </c>
      <c r="BM26" s="133">
        <f>前台增值物品出入库录入!BM27*$E26</f>
        <v>0.1681875</v>
      </c>
      <c r="BN26" s="133">
        <f>前台增值物品出入库录入!BN27*$E26</f>
        <v>0</v>
      </c>
      <c r="BO26" s="133">
        <f>前台增值物品出入库录入!BO27*$E26</f>
        <v>0</v>
      </c>
      <c r="BP26" s="133">
        <f>前台增值物品出入库录入!BP27*$E26</f>
        <v>0</v>
      </c>
      <c r="BQ26" s="133">
        <f>前台增值物品出入库录入!BQ27*$E26</f>
        <v>0.08409375</v>
      </c>
      <c r="BR26" s="133">
        <f>前台增值物品出入库录入!BR27*$E26</f>
        <v>0</v>
      </c>
      <c r="BS26" s="133">
        <f>前台增值物品出入库录入!BS27*$E26</f>
        <v>0.1681875</v>
      </c>
      <c r="BT26" s="133">
        <f>前台增值物品出入库录入!BT27*$E26</f>
        <v>0</v>
      </c>
      <c r="BU26" s="133">
        <f>前台增值物品出入库录入!BU27*$E26</f>
        <v>0.25228125</v>
      </c>
      <c r="BV26" s="133">
        <f>前台增值物品出入库录入!BV27*$E26</f>
        <v>0</v>
      </c>
      <c r="BW26" s="133">
        <f>前台增值物品出入库录入!BW27*$E26</f>
        <v>0</v>
      </c>
    </row>
    <row r="27" s="178" customFormat="1" customHeight="1" spans="1:75">
      <c r="A27" s="161">
        <v>23</v>
      </c>
      <c r="B27" s="162" t="str">
        <f>前台增值物品出入库录入!B28</f>
        <v>胶带+切割器</v>
      </c>
      <c r="C27" s="162">
        <f>前台增值物品出入库录入!C28</f>
        <v>0</v>
      </c>
      <c r="D27" s="162" t="str">
        <f>前台增值物品出入库录入!D28</f>
        <v>个</v>
      </c>
      <c r="E27" s="162">
        <f>前台增值物品出入库录入!E28</f>
        <v>0.695675676</v>
      </c>
      <c r="F27" s="162">
        <f>前台增值物品出入库录入!F28</f>
        <v>15</v>
      </c>
      <c r="G27" s="162">
        <f>前台增值物品出入库录入!G28</f>
        <v>10.43513514</v>
      </c>
      <c r="H27" s="162">
        <f>前台增值物品出入库录入!H28</f>
        <v>0</v>
      </c>
      <c r="I27" s="162">
        <f>前台增值物品出入库录入!I28</f>
        <v>0</v>
      </c>
      <c r="J27" s="162">
        <f>前台增值物品出入库录入!J28</f>
        <v>0</v>
      </c>
      <c r="K27" s="162">
        <f>前台增值物品出入库录入!K28</f>
        <v>0</v>
      </c>
      <c r="L27" s="162">
        <f>前台增值物品出入库录入!L28</f>
        <v>15</v>
      </c>
      <c r="M27" s="162">
        <f>前台增值物品出入库录入!M28</f>
        <v>10.43513514</v>
      </c>
      <c r="N27" s="133">
        <f>前台增值物品出入库录入!N28*$E27</f>
        <v>0</v>
      </c>
      <c r="O27" s="133">
        <f>前台增值物品出入库录入!O28*$E27</f>
        <v>0</v>
      </c>
      <c r="P27" s="133">
        <f>前台增值物品出入库录入!P28*$E27</f>
        <v>0</v>
      </c>
      <c r="Q27" s="133">
        <f>前台增值物品出入库录入!Q28*$E27</f>
        <v>0</v>
      </c>
      <c r="R27" s="133">
        <f>前台增值物品出入库录入!R28*$E27</f>
        <v>0</v>
      </c>
      <c r="S27" s="133">
        <f>前台增值物品出入库录入!S28*$E27</f>
        <v>0</v>
      </c>
      <c r="T27" s="133">
        <f>前台增值物品出入库录入!T28*$E27</f>
        <v>0</v>
      </c>
      <c r="U27" s="133">
        <f>前台增值物品出入库录入!U28*$E27</f>
        <v>0</v>
      </c>
      <c r="V27" s="133">
        <f>前台增值物品出入库录入!V28*$E27</f>
        <v>0</v>
      </c>
      <c r="W27" s="133">
        <f>前台增值物品出入库录入!W28*$E27</f>
        <v>0</v>
      </c>
      <c r="X27" s="133">
        <f>前台增值物品出入库录入!X28*$E27</f>
        <v>0</v>
      </c>
      <c r="Y27" s="133">
        <f>前台增值物品出入库录入!Y28*$E27</f>
        <v>0</v>
      </c>
      <c r="Z27" s="133">
        <f>前台增值物品出入库录入!Z28*$E27</f>
        <v>0</v>
      </c>
      <c r="AA27" s="133">
        <f>前台增值物品出入库录入!AA28*$E27</f>
        <v>0</v>
      </c>
      <c r="AB27" s="133">
        <f>前台增值物品出入库录入!AB28*$E27</f>
        <v>0</v>
      </c>
      <c r="AC27" s="133">
        <f>前台增值物品出入库录入!AC28*$E27</f>
        <v>0</v>
      </c>
      <c r="AD27" s="133">
        <f>前台增值物品出入库录入!AD28*$E27</f>
        <v>0</v>
      </c>
      <c r="AE27" s="133">
        <f>前台增值物品出入库录入!AE28*$E27</f>
        <v>0</v>
      </c>
      <c r="AF27" s="133">
        <f>前台增值物品出入库录入!AF28*$E27</f>
        <v>0</v>
      </c>
      <c r="AG27" s="133">
        <f>前台增值物品出入库录入!AG28*$E27</f>
        <v>0</v>
      </c>
      <c r="AH27" s="133">
        <f>前台增值物品出入库录入!AH28*$E27</f>
        <v>0</v>
      </c>
      <c r="AI27" s="133">
        <f>前台增值物品出入库录入!AI28*$E27</f>
        <v>0</v>
      </c>
      <c r="AJ27" s="133">
        <f>前台增值物品出入库录入!AJ28*$E27</f>
        <v>0</v>
      </c>
      <c r="AK27" s="133">
        <f>前台增值物品出入库录入!AK28*$E27</f>
        <v>0</v>
      </c>
      <c r="AL27" s="133">
        <f>前台增值物品出入库录入!AL28*$E27</f>
        <v>0</v>
      </c>
      <c r="AM27" s="133">
        <f>前台增值物品出入库录入!AM28*$E27</f>
        <v>0</v>
      </c>
      <c r="AN27" s="133">
        <f>前台增值物品出入库录入!AN28*$E27</f>
        <v>0</v>
      </c>
      <c r="AO27" s="133">
        <f>前台增值物品出入库录入!AO28*$E27</f>
        <v>0</v>
      </c>
      <c r="AP27" s="133">
        <f>前台增值物品出入库录入!AP28*$E27</f>
        <v>0</v>
      </c>
      <c r="AQ27" s="133">
        <f>前台增值物品出入库录入!AQ28*$E27</f>
        <v>0</v>
      </c>
      <c r="AR27" s="133">
        <f>前台增值物品出入库录入!AR28*$E27</f>
        <v>0</v>
      </c>
      <c r="AS27" s="133">
        <f>前台增值物品出入库录入!AS28*$E27</f>
        <v>0</v>
      </c>
      <c r="AT27" s="133">
        <f>前台增值物品出入库录入!AT28*$E27</f>
        <v>0</v>
      </c>
      <c r="AU27" s="133">
        <f>前台增值物品出入库录入!AU28*$E27</f>
        <v>0</v>
      </c>
      <c r="AV27" s="133">
        <f>前台增值物品出入库录入!AV28*$E27</f>
        <v>0</v>
      </c>
      <c r="AW27" s="133">
        <f>前台增值物品出入库录入!AW28*$E27</f>
        <v>0</v>
      </c>
      <c r="AX27" s="133">
        <f>前台增值物品出入库录入!AX28*$E27</f>
        <v>0</v>
      </c>
      <c r="AY27" s="133">
        <f>前台增值物品出入库录入!AY28*$E27</f>
        <v>0</v>
      </c>
      <c r="AZ27" s="133">
        <f>前台增值物品出入库录入!AZ28*$E27</f>
        <v>0</v>
      </c>
      <c r="BA27" s="133">
        <f>前台增值物品出入库录入!BA28*$E27</f>
        <v>0</v>
      </c>
      <c r="BB27" s="133">
        <f>前台增值物品出入库录入!BB28*$E27</f>
        <v>0</v>
      </c>
      <c r="BC27" s="133">
        <f>前台增值物品出入库录入!BC28*$E27</f>
        <v>0</v>
      </c>
      <c r="BD27" s="133">
        <f>前台增值物品出入库录入!BD28*$E27</f>
        <v>0</v>
      </c>
      <c r="BE27" s="133">
        <f>前台增值物品出入库录入!BE28*$E27</f>
        <v>0</v>
      </c>
      <c r="BF27" s="133">
        <f>前台增值物品出入库录入!BF28*$E27</f>
        <v>0</v>
      </c>
      <c r="BG27" s="133">
        <f>前台增值物品出入库录入!BG28*$E27</f>
        <v>0</v>
      </c>
      <c r="BH27" s="133">
        <f>前台增值物品出入库录入!BH28*$E27</f>
        <v>0</v>
      </c>
      <c r="BI27" s="133">
        <f>前台增值物品出入库录入!BI28*$E27</f>
        <v>0</v>
      </c>
      <c r="BJ27" s="133">
        <f>前台增值物品出入库录入!BJ28*$E27</f>
        <v>0</v>
      </c>
      <c r="BK27" s="133">
        <f>前台增值物品出入库录入!BK28*$E27</f>
        <v>0</v>
      </c>
      <c r="BL27" s="133">
        <f>前台增值物品出入库录入!BL28*$E27</f>
        <v>0</v>
      </c>
      <c r="BM27" s="133">
        <f>前台增值物品出入库录入!BM28*$E27</f>
        <v>0</v>
      </c>
      <c r="BN27" s="133">
        <f>前台增值物品出入库录入!BN28*$E27</f>
        <v>0</v>
      </c>
      <c r="BO27" s="133">
        <f>前台增值物品出入库录入!BO28*$E27</f>
        <v>0</v>
      </c>
      <c r="BP27" s="133">
        <f>前台增值物品出入库录入!BP28*$E27</f>
        <v>0</v>
      </c>
      <c r="BQ27" s="133">
        <f>前台增值物品出入库录入!BQ28*$E27</f>
        <v>0</v>
      </c>
      <c r="BR27" s="133">
        <f>前台增值物品出入库录入!BR28*$E27</f>
        <v>0</v>
      </c>
      <c r="BS27" s="133">
        <f>前台增值物品出入库录入!BS28*$E27</f>
        <v>0</v>
      </c>
      <c r="BT27" s="133">
        <f>前台增值物品出入库录入!BT28*$E27</f>
        <v>0</v>
      </c>
      <c r="BU27" s="133">
        <f>前台增值物品出入库录入!BU28*$E27</f>
        <v>0</v>
      </c>
      <c r="BV27" s="133">
        <f>前台增值物品出入库录入!BV28*$E27</f>
        <v>0</v>
      </c>
      <c r="BW27" s="133">
        <f>前台增值物品出入库录入!BW28*$E27</f>
        <v>0</v>
      </c>
    </row>
    <row r="28" s="178" customFormat="1" customHeight="1" spans="1:75">
      <c r="A28" s="161">
        <v>24</v>
      </c>
      <c r="B28" s="162" t="str">
        <f>前台增值物品出入库录入!B29</f>
        <v>回形针</v>
      </c>
      <c r="C28" s="162">
        <f>前台增值物品出入库录入!C29</f>
        <v>0</v>
      </c>
      <c r="D28" s="162" t="str">
        <f>前台增值物品出入库录入!D29</f>
        <v>个</v>
      </c>
      <c r="E28" s="162">
        <f>前台增值物品出入库录入!E29</f>
        <v>0.0109</v>
      </c>
      <c r="F28" s="162">
        <f>前台增值物品出入库录入!F29</f>
        <v>1483</v>
      </c>
      <c r="G28" s="162">
        <f>前台增值物品出入库录入!G29</f>
        <v>16.1647</v>
      </c>
      <c r="H28" s="162">
        <f>前台增值物品出入库录入!H29</f>
        <v>0</v>
      </c>
      <c r="I28" s="162">
        <f>前台增值物品出入库录入!I29</f>
        <v>0</v>
      </c>
      <c r="J28" s="162">
        <f>前台增值物品出入库录入!J29</f>
        <v>255</v>
      </c>
      <c r="K28" s="162">
        <f>前台增值物品出入库录入!K29</f>
        <v>2.7795</v>
      </c>
      <c r="L28" s="162">
        <f>前台增值物品出入库录入!L29</f>
        <v>1228</v>
      </c>
      <c r="M28" s="162">
        <f>前台增值物品出入库录入!M29</f>
        <v>13.3852</v>
      </c>
      <c r="N28" s="133">
        <f>前台增值物品出入库录入!N29*$E28</f>
        <v>0</v>
      </c>
      <c r="O28" s="133">
        <f>前台增值物品出入库录入!O29*$E28</f>
        <v>0.545</v>
      </c>
      <c r="P28" s="133">
        <f>前台增值物品出入库录入!P29*$E28</f>
        <v>0</v>
      </c>
      <c r="Q28" s="133">
        <f>前台增值物品出入库录入!Q29*$E28</f>
        <v>0.545</v>
      </c>
      <c r="R28" s="133">
        <f>前台增值物品出入库录入!R29*$E28</f>
        <v>0</v>
      </c>
      <c r="S28" s="133">
        <f>前台增值物品出入库录入!S29*$E28</f>
        <v>0</v>
      </c>
      <c r="T28" s="133">
        <f>前台增值物品出入库录入!T29*$E28</f>
        <v>0</v>
      </c>
      <c r="U28" s="133">
        <f>前台增值物品出入库录入!U29*$E28</f>
        <v>0</v>
      </c>
      <c r="V28" s="133">
        <f>前台增值物品出入库录入!V29*$E28</f>
        <v>0</v>
      </c>
      <c r="W28" s="133">
        <f>前台增值物品出入库录入!W29*$E28</f>
        <v>0.327</v>
      </c>
      <c r="X28" s="133">
        <f>前台增值物品出入库录入!X29*$E28</f>
        <v>0</v>
      </c>
      <c r="Y28" s="133">
        <f>前台增值物品出入库录入!Y29*$E28</f>
        <v>0</v>
      </c>
      <c r="Z28" s="133">
        <f>前台增值物品出入库录入!Z29*$E28</f>
        <v>0</v>
      </c>
      <c r="AA28" s="133">
        <f>前台增值物品出入库录入!AA29*$E28</f>
        <v>0</v>
      </c>
      <c r="AB28" s="133">
        <f>前台增值物品出入库录入!AB29*$E28</f>
        <v>0</v>
      </c>
      <c r="AC28" s="133">
        <f>前台增值物品出入库录入!AC29*$E28</f>
        <v>0</v>
      </c>
      <c r="AD28" s="133">
        <f>前台增值物品出入库录入!AD29*$E28</f>
        <v>0</v>
      </c>
      <c r="AE28" s="133">
        <f>前台增值物品出入库录入!AE29*$E28</f>
        <v>0</v>
      </c>
      <c r="AF28" s="133">
        <f>前台增值物品出入库录入!AF29*$E28</f>
        <v>0</v>
      </c>
      <c r="AG28" s="133">
        <f>前台增值物品出入库录入!AG29*$E28</f>
        <v>0</v>
      </c>
      <c r="AH28" s="133">
        <f>前台增值物品出入库录入!AH29*$E28</f>
        <v>0</v>
      </c>
      <c r="AI28" s="133">
        <f>前台增值物品出入库录入!AI29*$E28</f>
        <v>0</v>
      </c>
      <c r="AJ28" s="133">
        <f>前台增值物品出入库录入!AJ29*$E28</f>
        <v>0</v>
      </c>
      <c r="AK28" s="133">
        <f>前台增值物品出入库录入!AK29*$E28</f>
        <v>0</v>
      </c>
      <c r="AL28" s="133">
        <f>前台增值物品出入库录入!AL29*$E28</f>
        <v>0</v>
      </c>
      <c r="AM28" s="133">
        <f>前台增值物品出入库录入!AM29*$E28</f>
        <v>0</v>
      </c>
      <c r="AN28" s="133">
        <f>前台增值物品出入库录入!AN29*$E28</f>
        <v>0</v>
      </c>
      <c r="AO28" s="133">
        <f>前台增值物品出入库录入!AO29*$E28</f>
        <v>0</v>
      </c>
      <c r="AP28" s="133">
        <f>前台增值物品出入库录入!AP29*$E28</f>
        <v>0</v>
      </c>
      <c r="AQ28" s="133">
        <f>前台增值物品出入库录入!AQ29*$E28</f>
        <v>0</v>
      </c>
      <c r="AR28" s="133">
        <f>前台增值物品出入库录入!AR29*$E28</f>
        <v>0</v>
      </c>
      <c r="AS28" s="133">
        <f>前台增值物品出入库录入!AS29*$E28</f>
        <v>0</v>
      </c>
      <c r="AT28" s="133">
        <f>前台增值物品出入库录入!AT29*$E28</f>
        <v>0</v>
      </c>
      <c r="AU28" s="133">
        <f>前台增值物品出入库录入!AU29*$E28</f>
        <v>0</v>
      </c>
      <c r="AV28" s="133">
        <f>前台增值物品出入库录入!AV29*$E28</f>
        <v>0</v>
      </c>
      <c r="AW28" s="133">
        <f>前台增值物品出入库录入!AW29*$E28</f>
        <v>0</v>
      </c>
      <c r="AX28" s="133">
        <f>前台增值物品出入库录入!AX29*$E28</f>
        <v>0</v>
      </c>
      <c r="AY28" s="133">
        <f>前台增值物品出入库录入!AY29*$E28</f>
        <v>0.327</v>
      </c>
      <c r="AZ28" s="133">
        <f>前台增值物品出入库录入!AZ29*$E28</f>
        <v>0</v>
      </c>
      <c r="BA28" s="133">
        <f>前台增值物品出入库录入!BA29*$E28</f>
        <v>0</v>
      </c>
      <c r="BB28" s="133">
        <f>前台增值物品出入库录入!BB29*$E28</f>
        <v>0</v>
      </c>
      <c r="BC28" s="133">
        <f>前台增值物品出入库录入!BC29*$E28</f>
        <v>0.218</v>
      </c>
      <c r="BD28" s="133">
        <f>前台增值物品出入库录入!BD29*$E28</f>
        <v>0</v>
      </c>
      <c r="BE28" s="133">
        <f>前台增值物品出入库录入!BE29*$E28</f>
        <v>0.218</v>
      </c>
      <c r="BF28" s="133">
        <f>前台增值物品出入库录入!BF29*$E28</f>
        <v>0</v>
      </c>
      <c r="BG28" s="133">
        <f>前台增值物品出入库录入!BG29*$E28</f>
        <v>0</v>
      </c>
      <c r="BH28" s="133">
        <f>前台增值物品出入库录入!BH29*$E28</f>
        <v>0</v>
      </c>
      <c r="BI28" s="133">
        <f>前台增值物品出入库录入!BI29*$E28</f>
        <v>0</v>
      </c>
      <c r="BJ28" s="133">
        <f>前台增值物品出入库录入!BJ29*$E28</f>
        <v>0</v>
      </c>
      <c r="BK28" s="133">
        <f>前台增值物品出入库录入!BK29*$E28</f>
        <v>0</v>
      </c>
      <c r="BL28" s="133">
        <f>前台增值物品出入库录入!BL29*$E28</f>
        <v>0</v>
      </c>
      <c r="BM28" s="133">
        <f>前台增值物品出入库录入!BM29*$E28</f>
        <v>0.327</v>
      </c>
      <c r="BN28" s="133">
        <f>前台增值物品出入库录入!BN29*$E28</f>
        <v>0</v>
      </c>
      <c r="BO28" s="133">
        <f>前台增值物品出入库录入!BO29*$E28</f>
        <v>0</v>
      </c>
      <c r="BP28" s="133">
        <f>前台增值物品出入库录入!BP29*$E28</f>
        <v>0</v>
      </c>
      <c r="BQ28" s="133">
        <f>前台增值物品出入库录入!BQ29*$E28</f>
        <v>0.109</v>
      </c>
      <c r="BR28" s="133">
        <f>前台增值物品出入库录入!BR29*$E28</f>
        <v>0</v>
      </c>
      <c r="BS28" s="133">
        <f>前台增值物品出入库录入!BS29*$E28</f>
        <v>0</v>
      </c>
      <c r="BT28" s="133">
        <f>前台增值物品出入库录入!BT29*$E28</f>
        <v>0</v>
      </c>
      <c r="BU28" s="133">
        <f>前台增值物品出入库录入!BU29*$E28</f>
        <v>0.1635</v>
      </c>
      <c r="BV28" s="133">
        <f>前台增值物品出入库录入!BV29*$E28</f>
        <v>0</v>
      </c>
      <c r="BW28" s="133">
        <f>前台增值物品出入库录入!BW29*$E28</f>
        <v>0</v>
      </c>
    </row>
    <row r="29" s="178" customFormat="1" customHeight="1" spans="1:75">
      <c r="A29" s="161">
        <v>25</v>
      </c>
      <c r="B29" s="162" t="str">
        <f>前台增值物品出入库录入!B30</f>
        <v>卷尺子</v>
      </c>
      <c r="C29" s="162">
        <f>前台增值物品出入库录入!C30</f>
        <v>0</v>
      </c>
      <c r="D29" s="162" t="str">
        <f>前台增值物品出入库录入!D30</f>
        <v>个</v>
      </c>
      <c r="E29" s="162">
        <f>前台增值物品出入库录入!E30</f>
        <v>1.5475</v>
      </c>
      <c r="F29" s="162">
        <f>前台增值物品出入库录入!F30</f>
        <v>0</v>
      </c>
      <c r="G29" s="162">
        <f>前台增值物品出入库录入!G30</f>
        <v>0</v>
      </c>
      <c r="H29" s="162">
        <f>前台增值物品出入库录入!H30</f>
        <v>0</v>
      </c>
      <c r="I29" s="162">
        <f>前台增值物品出入库录入!I30</f>
        <v>0</v>
      </c>
      <c r="J29" s="162">
        <f>前台增值物品出入库录入!J30</f>
        <v>0</v>
      </c>
      <c r="K29" s="162">
        <f>前台增值物品出入库录入!K30</f>
        <v>0</v>
      </c>
      <c r="L29" s="162">
        <f>前台增值物品出入库录入!L30</f>
        <v>0</v>
      </c>
      <c r="M29" s="162">
        <f>前台增值物品出入库录入!M30</f>
        <v>0</v>
      </c>
      <c r="N29" s="133">
        <f>前台增值物品出入库录入!N30*$E29</f>
        <v>0</v>
      </c>
      <c r="O29" s="133">
        <f>前台增值物品出入库录入!O30*$E29</f>
        <v>0</v>
      </c>
      <c r="P29" s="133">
        <f>前台增值物品出入库录入!P30*$E29</f>
        <v>0</v>
      </c>
      <c r="Q29" s="133">
        <f>前台增值物品出入库录入!Q30*$E29</f>
        <v>0</v>
      </c>
      <c r="R29" s="133">
        <f>前台增值物品出入库录入!R30*$E29</f>
        <v>0</v>
      </c>
      <c r="S29" s="133">
        <f>前台增值物品出入库录入!S30*$E29</f>
        <v>0</v>
      </c>
      <c r="T29" s="133">
        <f>前台增值物品出入库录入!T30*$E29</f>
        <v>0</v>
      </c>
      <c r="U29" s="133">
        <f>前台增值物品出入库录入!U30*$E29</f>
        <v>0</v>
      </c>
      <c r="V29" s="133">
        <f>前台增值物品出入库录入!V30*$E29</f>
        <v>0</v>
      </c>
      <c r="W29" s="133">
        <f>前台增值物品出入库录入!W30*$E29</f>
        <v>0</v>
      </c>
      <c r="X29" s="133">
        <f>前台增值物品出入库录入!X30*$E29</f>
        <v>0</v>
      </c>
      <c r="Y29" s="133">
        <f>前台增值物品出入库录入!Y30*$E29</f>
        <v>0</v>
      </c>
      <c r="Z29" s="133">
        <f>前台增值物品出入库录入!Z30*$E29</f>
        <v>0</v>
      </c>
      <c r="AA29" s="133">
        <f>前台增值物品出入库录入!AA30*$E29</f>
        <v>0</v>
      </c>
      <c r="AB29" s="133">
        <f>前台增值物品出入库录入!AB30*$E29</f>
        <v>0</v>
      </c>
      <c r="AC29" s="133">
        <f>前台增值物品出入库录入!AC30*$E29</f>
        <v>0</v>
      </c>
      <c r="AD29" s="133">
        <f>前台增值物品出入库录入!AD30*$E29</f>
        <v>0</v>
      </c>
      <c r="AE29" s="133">
        <f>前台增值物品出入库录入!AE30*$E29</f>
        <v>0</v>
      </c>
      <c r="AF29" s="133">
        <f>前台增值物品出入库录入!AF30*$E29</f>
        <v>0</v>
      </c>
      <c r="AG29" s="133">
        <f>前台增值物品出入库录入!AG30*$E29</f>
        <v>0</v>
      </c>
      <c r="AH29" s="133">
        <f>前台增值物品出入库录入!AH30*$E29</f>
        <v>0</v>
      </c>
      <c r="AI29" s="133">
        <f>前台增值物品出入库录入!AI30*$E29</f>
        <v>0</v>
      </c>
      <c r="AJ29" s="133">
        <f>前台增值物品出入库录入!AJ30*$E29</f>
        <v>0</v>
      </c>
      <c r="AK29" s="133">
        <f>前台增值物品出入库录入!AK30*$E29</f>
        <v>0</v>
      </c>
      <c r="AL29" s="133">
        <f>前台增值物品出入库录入!AL30*$E29</f>
        <v>0</v>
      </c>
      <c r="AM29" s="133">
        <f>前台增值物品出入库录入!AM30*$E29</f>
        <v>0</v>
      </c>
      <c r="AN29" s="133">
        <f>前台增值物品出入库录入!AN30*$E29</f>
        <v>0</v>
      </c>
      <c r="AO29" s="133">
        <f>前台增值物品出入库录入!AO30*$E29</f>
        <v>0</v>
      </c>
      <c r="AP29" s="133">
        <f>前台增值物品出入库录入!AP30*$E29</f>
        <v>0</v>
      </c>
      <c r="AQ29" s="133">
        <f>前台增值物品出入库录入!AQ30*$E29</f>
        <v>0</v>
      </c>
      <c r="AR29" s="133">
        <f>前台增值物品出入库录入!AR30*$E29</f>
        <v>0</v>
      </c>
      <c r="AS29" s="133">
        <f>前台增值物品出入库录入!AS30*$E29</f>
        <v>0</v>
      </c>
      <c r="AT29" s="133">
        <f>前台增值物品出入库录入!AT30*$E29</f>
        <v>0</v>
      </c>
      <c r="AU29" s="133">
        <f>前台增值物品出入库录入!AU30*$E29</f>
        <v>0</v>
      </c>
      <c r="AV29" s="133">
        <f>前台增值物品出入库录入!AV30*$E29</f>
        <v>0</v>
      </c>
      <c r="AW29" s="133">
        <f>前台增值物品出入库录入!AW30*$E29</f>
        <v>0</v>
      </c>
      <c r="AX29" s="133">
        <f>前台增值物品出入库录入!AX30*$E29</f>
        <v>0</v>
      </c>
      <c r="AY29" s="133">
        <f>前台增值物品出入库录入!AY30*$E29</f>
        <v>0</v>
      </c>
      <c r="AZ29" s="133">
        <f>前台增值物品出入库录入!AZ30*$E29</f>
        <v>0</v>
      </c>
      <c r="BA29" s="133">
        <f>前台增值物品出入库录入!BA30*$E29</f>
        <v>0</v>
      </c>
      <c r="BB29" s="133">
        <f>前台增值物品出入库录入!BB30*$E29</f>
        <v>0</v>
      </c>
      <c r="BC29" s="133">
        <f>前台增值物品出入库录入!BC30*$E29</f>
        <v>0</v>
      </c>
      <c r="BD29" s="133">
        <f>前台增值物品出入库录入!BD30*$E29</f>
        <v>0</v>
      </c>
      <c r="BE29" s="133">
        <f>前台增值物品出入库录入!BE30*$E29</f>
        <v>0</v>
      </c>
      <c r="BF29" s="133">
        <f>前台增值物品出入库录入!BF30*$E29</f>
        <v>0</v>
      </c>
      <c r="BG29" s="133">
        <f>前台增值物品出入库录入!BG30*$E29</f>
        <v>0</v>
      </c>
      <c r="BH29" s="133">
        <f>前台增值物品出入库录入!BH30*$E29</f>
        <v>0</v>
      </c>
      <c r="BI29" s="133">
        <f>前台增值物品出入库录入!BI30*$E29</f>
        <v>0</v>
      </c>
      <c r="BJ29" s="133">
        <f>前台增值物品出入库录入!BJ30*$E29</f>
        <v>0</v>
      </c>
      <c r="BK29" s="133">
        <f>前台增值物品出入库录入!BK30*$E29</f>
        <v>0</v>
      </c>
      <c r="BL29" s="133">
        <f>前台增值物品出入库录入!BL30*$E29</f>
        <v>0</v>
      </c>
      <c r="BM29" s="133">
        <f>前台增值物品出入库录入!BM30*$E29</f>
        <v>0</v>
      </c>
      <c r="BN29" s="133">
        <f>前台增值物品出入库录入!BN30*$E29</f>
        <v>0</v>
      </c>
      <c r="BO29" s="133">
        <f>前台增值物品出入库录入!BO30*$E29</f>
        <v>0</v>
      </c>
      <c r="BP29" s="133">
        <f>前台增值物品出入库录入!BP30*$E29</f>
        <v>0</v>
      </c>
      <c r="BQ29" s="133">
        <f>前台增值物品出入库录入!BQ30*$E29</f>
        <v>0</v>
      </c>
      <c r="BR29" s="133">
        <f>前台增值物品出入库录入!BR30*$E29</f>
        <v>0</v>
      </c>
      <c r="BS29" s="133">
        <f>前台增值物品出入库录入!BS30*$E29</f>
        <v>0</v>
      </c>
      <c r="BT29" s="133">
        <f>前台增值物品出入库录入!BT30*$E29</f>
        <v>0</v>
      </c>
      <c r="BU29" s="133">
        <f>前台增值物品出入库录入!BU30*$E29</f>
        <v>0</v>
      </c>
      <c r="BV29" s="133">
        <f>前台增值物品出入库录入!BV30*$E29</f>
        <v>0</v>
      </c>
      <c r="BW29" s="133">
        <f>前台增值物品出入库录入!BW30*$E29</f>
        <v>0</v>
      </c>
    </row>
    <row r="30" s="178" customFormat="1" customHeight="1" spans="1:75">
      <c r="A30" s="161">
        <v>26</v>
      </c>
      <c r="B30" s="162" t="str">
        <f>前台增值物品出入库录入!B31</f>
        <v>便利贴</v>
      </c>
      <c r="C30" s="162">
        <f>前台增值物品出入库录入!C31</f>
        <v>0</v>
      </c>
      <c r="D30" s="162" t="str">
        <f>前台增值物品出入库录入!D31</f>
        <v>个</v>
      </c>
      <c r="E30" s="162">
        <f>前台增值物品出入库录入!E31</f>
        <v>0.6915</v>
      </c>
      <c r="F30" s="162">
        <f>前台增值物品出入库录入!F31</f>
        <v>7</v>
      </c>
      <c r="G30" s="162">
        <f>前台增值物品出入库录入!G31</f>
        <v>4.8405</v>
      </c>
      <c r="H30" s="162">
        <f>前台增值物品出入库录入!H31</f>
        <v>0</v>
      </c>
      <c r="I30" s="162">
        <f>前台增值物品出入库录入!I31</f>
        <v>0</v>
      </c>
      <c r="J30" s="162">
        <f>前台增值物品出入库录入!J31</f>
        <v>4</v>
      </c>
      <c r="K30" s="162">
        <f>前台增值物品出入库录入!K31</f>
        <v>2.766</v>
      </c>
      <c r="L30" s="162">
        <f>前台增值物品出入库录入!L31</f>
        <v>3</v>
      </c>
      <c r="M30" s="162">
        <f>前台增值物品出入库录入!M31</f>
        <v>2.0745</v>
      </c>
      <c r="N30" s="133">
        <f>前台增值物品出入库录入!N31*$E30</f>
        <v>0</v>
      </c>
      <c r="O30" s="133">
        <f>前台增值物品出入库录入!O31*$E30</f>
        <v>0</v>
      </c>
      <c r="P30" s="133">
        <f>前台增值物品出入库录入!P31*$E30</f>
        <v>0</v>
      </c>
      <c r="Q30" s="133">
        <f>前台增值物品出入库录入!Q31*$E30</f>
        <v>0</v>
      </c>
      <c r="R30" s="133">
        <f>前台增值物品出入库录入!R31*$E30</f>
        <v>0</v>
      </c>
      <c r="S30" s="133">
        <f>前台增值物品出入库录入!S31*$E30</f>
        <v>0</v>
      </c>
      <c r="T30" s="133">
        <f>前台增值物品出入库录入!T31*$E30</f>
        <v>0</v>
      </c>
      <c r="U30" s="133">
        <f>前台增值物品出入库录入!U31*$E30</f>
        <v>0</v>
      </c>
      <c r="V30" s="133">
        <f>前台增值物品出入库录入!V31*$E30</f>
        <v>0</v>
      </c>
      <c r="W30" s="133">
        <f>前台增值物品出入库录入!W31*$E30</f>
        <v>0</v>
      </c>
      <c r="X30" s="133">
        <f>前台增值物品出入库录入!X31*$E30</f>
        <v>0</v>
      </c>
      <c r="Y30" s="133">
        <f>前台增值物品出入库录入!Y31*$E30</f>
        <v>0</v>
      </c>
      <c r="Z30" s="133">
        <f>前台增值物品出入库录入!Z31*$E30</f>
        <v>0</v>
      </c>
      <c r="AA30" s="133">
        <f>前台增值物品出入库录入!AA31*$E30</f>
        <v>0</v>
      </c>
      <c r="AB30" s="133">
        <f>前台增值物品出入库录入!AB31*$E30</f>
        <v>0</v>
      </c>
      <c r="AC30" s="133">
        <f>前台增值物品出入库录入!AC31*$E30</f>
        <v>0</v>
      </c>
      <c r="AD30" s="133">
        <f>前台增值物品出入库录入!AD31*$E30</f>
        <v>0</v>
      </c>
      <c r="AE30" s="133">
        <f>前台增值物品出入库录入!AE31*$E30</f>
        <v>0</v>
      </c>
      <c r="AF30" s="133">
        <f>前台增值物品出入库录入!AF31*$E30</f>
        <v>0</v>
      </c>
      <c r="AG30" s="133">
        <f>前台增值物品出入库录入!AG31*$E30</f>
        <v>0</v>
      </c>
      <c r="AH30" s="133">
        <f>前台增值物品出入库录入!AH31*$E30</f>
        <v>0</v>
      </c>
      <c r="AI30" s="133">
        <f>前台增值物品出入库录入!AI31*$E30</f>
        <v>0</v>
      </c>
      <c r="AJ30" s="133">
        <f>前台增值物品出入库录入!AJ31*$E30</f>
        <v>0</v>
      </c>
      <c r="AK30" s="133">
        <f>前台增值物品出入库录入!AK31*$E30</f>
        <v>0</v>
      </c>
      <c r="AL30" s="133">
        <f>前台增值物品出入库录入!AL31*$E30</f>
        <v>0</v>
      </c>
      <c r="AM30" s="133">
        <f>前台增值物品出入库录入!AM31*$E30</f>
        <v>0</v>
      </c>
      <c r="AN30" s="133">
        <f>前台增值物品出入库录入!AN31*$E30</f>
        <v>0</v>
      </c>
      <c r="AO30" s="133">
        <f>前台增值物品出入库录入!AO31*$E30</f>
        <v>0</v>
      </c>
      <c r="AP30" s="133">
        <f>前台增值物品出入库录入!AP31*$E30</f>
        <v>0</v>
      </c>
      <c r="AQ30" s="133">
        <f>前台增值物品出入库录入!AQ31*$E30</f>
        <v>0</v>
      </c>
      <c r="AR30" s="133">
        <f>前台增值物品出入库录入!AR31*$E30</f>
        <v>0</v>
      </c>
      <c r="AS30" s="133">
        <f>前台增值物品出入库录入!AS31*$E30</f>
        <v>0</v>
      </c>
      <c r="AT30" s="133">
        <f>前台增值物品出入库录入!AT31*$E30</f>
        <v>0</v>
      </c>
      <c r="AU30" s="133">
        <f>前台增值物品出入库录入!AU31*$E30</f>
        <v>0</v>
      </c>
      <c r="AV30" s="133">
        <f>前台增值物品出入库录入!AV31*$E30</f>
        <v>0</v>
      </c>
      <c r="AW30" s="133">
        <f>前台增值物品出入库录入!AW31*$E30</f>
        <v>0</v>
      </c>
      <c r="AX30" s="133">
        <f>前台增值物品出入库录入!AX31*$E30</f>
        <v>0</v>
      </c>
      <c r="AY30" s="133">
        <f>前台增值物品出入库录入!AY31*$E30</f>
        <v>0</v>
      </c>
      <c r="AZ30" s="133">
        <f>前台增值物品出入库录入!AZ31*$E30</f>
        <v>0</v>
      </c>
      <c r="BA30" s="133">
        <f>前台增值物品出入库录入!BA31*$E30</f>
        <v>1.383</v>
      </c>
      <c r="BB30" s="133">
        <f>前台增值物品出入库录入!BB31*$E30</f>
        <v>0</v>
      </c>
      <c r="BC30" s="133">
        <f>前台增值物品出入库录入!BC31*$E30</f>
        <v>0</v>
      </c>
      <c r="BD30" s="133">
        <f>前台增值物品出入库录入!BD31*$E30</f>
        <v>0</v>
      </c>
      <c r="BE30" s="133">
        <f>前台增值物品出入库录入!BE31*$E30</f>
        <v>0.6915</v>
      </c>
      <c r="BF30" s="133">
        <f>前台增值物品出入库录入!BF31*$E30</f>
        <v>0</v>
      </c>
      <c r="BG30" s="133">
        <f>前台增值物品出入库录入!BG31*$E30</f>
        <v>0</v>
      </c>
      <c r="BH30" s="133">
        <f>前台增值物品出入库录入!BH31*$E30</f>
        <v>0</v>
      </c>
      <c r="BI30" s="133">
        <f>前台增值物品出入库录入!BI31*$E30</f>
        <v>0</v>
      </c>
      <c r="BJ30" s="133">
        <f>前台增值物品出入库录入!BJ31*$E30</f>
        <v>0</v>
      </c>
      <c r="BK30" s="133">
        <f>前台增值物品出入库录入!BK31*$E30</f>
        <v>0</v>
      </c>
      <c r="BL30" s="133">
        <f>前台增值物品出入库录入!BL31*$E30</f>
        <v>0</v>
      </c>
      <c r="BM30" s="133">
        <f>前台增值物品出入库录入!BM31*$E30</f>
        <v>0.6915</v>
      </c>
      <c r="BN30" s="133">
        <f>前台增值物品出入库录入!BN31*$E30</f>
        <v>0</v>
      </c>
      <c r="BO30" s="133">
        <f>前台增值物品出入库录入!BO31*$E30</f>
        <v>0</v>
      </c>
      <c r="BP30" s="133">
        <f>前台增值物品出入库录入!BP31*$E30</f>
        <v>0</v>
      </c>
      <c r="BQ30" s="133">
        <f>前台增值物品出入库录入!BQ31*$E30</f>
        <v>0</v>
      </c>
      <c r="BR30" s="133">
        <f>前台增值物品出入库录入!BR31*$E30</f>
        <v>0</v>
      </c>
      <c r="BS30" s="133">
        <f>前台增值物品出入库录入!BS31*$E30</f>
        <v>0</v>
      </c>
      <c r="BT30" s="133">
        <f>前台增值物品出入库录入!BT31*$E30</f>
        <v>0</v>
      </c>
      <c r="BU30" s="133">
        <f>前台增值物品出入库录入!BU31*$E30</f>
        <v>0</v>
      </c>
      <c r="BV30" s="133">
        <f>前台增值物品出入库录入!BV31*$E30</f>
        <v>0</v>
      </c>
      <c r="BW30" s="133">
        <f>前台增值物品出入库录入!BW31*$E30</f>
        <v>0</v>
      </c>
    </row>
    <row r="31" s="178" customFormat="1" customHeight="1" spans="1:75">
      <c r="A31" s="161">
        <v>27</v>
      </c>
      <c r="B31" s="162" t="str">
        <f>前台增值物品出入库录入!B32</f>
        <v>A4透明袋</v>
      </c>
      <c r="C31" s="162">
        <f>前台增值物品出入库录入!C32</f>
        <v>0</v>
      </c>
      <c r="D31" s="162" t="str">
        <f>前台增值物品出入库录入!D32</f>
        <v>个</v>
      </c>
      <c r="E31" s="162">
        <f>前台增值物品出入库录入!E32</f>
        <v>0.408</v>
      </c>
      <c r="F31" s="162">
        <f>前台增值物品出入库录入!F32</f>
        <v>98</v>
      </c>
      <c r="G31" s="162">
        <f>前台增值物品出入库录入!G32</f>
        <v>39.984</v>
      </c>
      <c r="H31" s="162">
        <f>前台增值物品出入库录入!H32</f>
        <v>0</v>
      </c>
      <c r="I31" s="162">
        <f>前台增值物品出入库录入!I32</f>
        <v>0</v>
      </c>
      <c r="J31" s="162">
        <f>前台增值物品出入库录入!J32</f>
        <v>48</v>
      </c>
      <c r="K31" s="162">
        <f>前台增值物品出入库录入!K32</f>
        <v>19.584</v>
      </c>
      <c r="L31" s="162">
        <f>前台增值物品出入库录入!L32</f>
        <v>50</v>
      </c>
      <c r="M31" s="162">
        <f>前台增值物品出入库录入!M32</f>
        <v>20.4</v>
      </c>
      <c r="N31" s="133">
        <f>前台增值物品出入库录入!N32*$E31</f>
        <v>0</v>
      </c>
      <c r="O31" s="133">
        <f>前台增值物品出入库录入!O32*$E31</f>
        <v>8.16</v>
      </c>
      <c r="P31" s="133">
        <f>前台增值物品出入库录入!P32*$E31</f>
        <v>0</v>
      </c>
      <c r="Q31" s="133">
        <f>前台增值物品出入库录入!Q32*$E31</f>
        <v>0</v>
      </c>
      <c r="R31" s="133">
        <f>前台增值物品出入库录入!R32*$E31</f>
        <v>0</v>
      </c>
      <c r="S31" s="133">
        <f>前台增值物品出入库录入!S32*$E31</f>
        <v>4.08</v>
      </c>
      <c r="T31" s="133">
        <f>前台增值物品出入库录入!T32*$E31</f>
        <v>0</v>
      </c>
      <c r="U31" s="133">
        <f>前台增值物品出入库录入!U32*$E31</f>
        <v>0</v>
      </c>
      <c r="V31" s="133">
        <f>前台增值物品出入库录入!V32*$E31</f>
        <v>0</v>
      </c>
      <c r="W31" s="133">
        <f>前台增值物品出入库录入!W32*$E31</f>
        <v>2.04</v>
      </c>
      <c r="X31" s="133">
        <f>前台增值物品出入库录入!X32*$E31</f>
        <v>0</v>
      </c>
      <c r="Y31" s="133">
        <f>前台增值物品出入库录入!Y32*$E31</f>
        <v>0</v>
      </c>
      <c r="Z31" s="133">
        <f>前台增值物品出入库录入!Z32*$E31</f>
        <v>0</v>
      </c>
      <c r="AA31" s="133">
        <f>前台增值物品出入库录入!AA32*$E31</f>
        <v>2.04</v>
      </c>
      <c r="AB31" s="133">
        <f>前台增值物品出入库录入!AB32*$E31</f>
        <v>0</v>
      </c>
      <c r="AC31" s="133">
        <f>前台增值物品出入库录入!AC32*$E31</f>
        <v>0</v>
      </c>
      <c r="AD31" s="133">
        <f>前台增值物品出入库录入!AD32*$E31</f>
        <v>0</v>
      </c>
      <c r="AE31" s="133">
        <f>前台增值物品出入库录入!AE32*$E31</f>
        <v>0</v>
      </c>
      <c r="AF31" s="133">
        <f>前台增值物品出入库录入!AF32*$E31</f>
        <v>0</v>
      </c>
      <c r="AG31" s="133">
        <f>前台增值物品出入库录入!AG32*$E31</f>
        <v>0</v>
      </c>
      <c r="AH31" s="133">
        <f>前台增值物品出入库录入!AH32*$E31</f>
        <v>0</v>
      </c>
      <c r="AI31" s="133">
        <f>前台增值物品出入库录入!AI32*$E31</f>
        <v>0</v>
      </c>
      <c r="AJ31" s="133">
        <f>前台增值物品出入库录入!AJ32*$E31</f>
        <v>0</v>
      </c>
      <c r="AK31" s="133">
        <f>前台增值物品出入库录入!AK32*$E31</f>
        <v>0</v>
      </c>
      <c r="AL31" s="133">
        <f>前台增值物品出入库录入!AL32*$E31</f>
        <v>0</v>
      </c>
      <c r="AM31" s="133">
        <f>前台增值物品出入库录入!AM32*$E31</f>
        <v>0</v>
      </c>
      <c r="AN31" s="133">
        <f>前台增值物品出入库录入!AN32*$E31</f>
        <v>0</v>
      </c>
      <c r="AO31" s="133">
        <f>前台增值物品出入库录入!AO32*$E31</f>
        <v>0</v>
      </c>
      <c r="AP31" s="133">
        <f>前台增值物品出入库录入!AP32*$E31</f>
        <v>0</v>
      </c>
      <c r="AQ31" s="133">
        <f>前台增值物品出入库录入!AQ32*$E31</f>
        <v>0</v>
      </c>
      <c r="AR31" s="133">
        <f>前台增值物品出入库录入!AR32*$E31</f>
        <v>0</v>
      </c>
      <c r="AS31" s="133">
        <f>前台增值物品出入库录入!AS32*$E31</f>
        <v>0</v>
      </c>
      <c r="AT31" s="133">
        <f>前台增值物品出入库录入!AT32*$E31</f>
        <v>0</v>
      </c>
      <c r="AU31" s="133">
        <f>前台增值物品出入库录入!AU32*$E31</f>
        <v>0</v>
      </c>
      <c r="AV31" s="133">
        <f>前台增值物品出入库录入!AV32*$E31</f>
        <v>0</v>
      </c>
      <c r="AW31" s="133">
        <f>前台增值物品出入库录入!AW32*$E31</f>
        <v>0</v>
      </c>
      <c r="AX31" s="133">
        <f>前台增值物品出入库录入!AX32*$E31</f>
        <v>0</v>
      </c>
      <c r="AY31" s="133">
        <f>前台增值物品出入库录入!AY32*$E31</f>
        <v>0</v>
      </c>
      <c r="AZ31" s="133">
        <f>前台增值物品出入库录入!AZ32*$E31</f>
        <v>0</v>
      </c>
      <c r="BA31" s="133">
        <f>前台增值物品出入库录入!BA32*$E31</f>
        <v>0</v>
      </c>
      <c r="BB31" s="133">
        <f>前台增值物品出入库录入!BB32*$E31</f>
        <v>0</v>
      </c>
      <c r="BC31" s="133">
        <f>前台增值物品出入库录入!BC32*$E31</f>
        <v>1.632</v>
      </c>
      <c r="BD31" s="133">
        <f>前台增值物品出入库录入!BD32*$E31</f>
        <v>0</v>
      </c>
      <c r="BE31" s="133">
        <f>前台增值物品出入库录入!BE32*$E31</f>
        <v>0</v>
      </c>
      <c r="BF31" s="133">
        <f>前台增值物品出入库录入!BF32*$E31</f>
        <v>0</v>
      </c>
      <c r="BG31" s="133">
        <f>前台增值物品出入库录入!BG32*$E31</f>
        <v>1.632</v>
      </c>
      <c r="BH31" s="133">
        <f>前台增值物品出入库录入!BH32*$E31</f>
        <v>0</v>
      </c>
      <c r="BI31" s="133">
        <f>前台增值物品出入库录入!BI32*$E31</f>
        <v>0</v>
      </c>
      <c r="BJ31" s="133">
        <f>前台增值物品出入库录入!BJ32*$E31</f>
        <v>0</v>
      </c>
      <c r="BK31" s="133">
        <f>前台增值物品出入库录入!BK32*$E31</f>
        <v>0</v>
      </c>
      <c r="BL31" s="133">
        <f>前台增值物品出入库录入!BL32*$E31</f>
        <v>0</v>
      </c>
      <c r="BM31" s="133">
        <f>前台增值物品出入库录入!BM32*$E31</f>
        <v>0</v>
      </c>
      <c r="BN31" s="133">
        <f>前台增值物品出入库录入!BN32*$E31</f>
        <v>0</v>
      </c>
      <c r="BO31" s="133">
        <f>前台增值物品出入库录入!BO32*$E31</f>
        <v>0</v>
      </c>
      <c r="BP31" s="133">
        <f>前台增值物品出入库录入!BP32*$E31</f>
        <v>0</v>
      </c>
      <c r="BQ31" s="133">
        <f>前台增值物品出入库录入!BQ32*$E31</f>
        <v>0</v>
      </c>
      <c r="BR31" s="133">
        <f>前台增值物品出入库录入!BR32*$E31</f>
        <v>0</v>
      </c>
      <c r="BS31" s="133">
        <f>前台增值物品出入库录入!BS32*$E31</f>
        <v>0</v>
      </c>
      <c r="BT31" s="133">
        <f>前台增值物品出入库录入!BT32*$E31</f>
        <v>0</v>
      </c>
      <c r="BU31" s="133">
        <f>前台增值物品出入库录入!BU32*$E31</f>
        <v>0</v>
      </c>
      <c r="BV31" s="133">
        <f>前台增值物品出入库录入!BV32*$E31</f>
        <v>0</v>
      </c>
      <c r="BW31" s="133">
        <f>前台增值物品出入库录入!BW32*$E31</f>
        <v>0</v>
      </c>
    </row>
    <row r="32" s="178" customFormat="1" customHeight="1" spans="1:75">
      <c r="A32" s="161">
        <v>28</v>
      </c>
      <c r="B32" s="162" t="str">
        <f>前台增值物品出入库录入!B33</f>
        <v>文件夹</v>
      </c>
      <c r="C32" s="162">
        <f>前台增值物品出入库录入!C33</f>
        <v>0</v>
      </c>
      <c r="D32" s="162" t="str">
        <f>前台增值物品出入库录入!D33</f>
        <v>个</v>
      </c>
      <c r="E32" s="162">
        <f>前台增值物品出入库录入!E33</f>
        <v>4.9</v>
      </c>
      <c r="F32" s="162">
        <f>前台增值物品出入库录入!F33</f>
        <v>3</v>
      </c>
      <c r="G32" s="162">
        <f>前台增值物品出入库录入!G33</f>
        <v>14.7</v>
      </c>
      <c r="H32" s="162">
        <f>前台增值物品出入库录入!H33</f>
        <v>0</v>
      </c>
      <c r="I32" s="162">
        <f>前台增值物品出入库录入!I33</f>
        <v>0</v>
      </c>
      <c r="J32" s="162">
        <f>前台增值物品出入库录入!J33</f>
        <v>0</v>
      </c>
      <c r="K32" s="162">
        <f>前台增值物品出入库录入!K33</f>
        <v>0</v>
      </c>
      <c r="L32" s="162">
        <f>前台增值物品出入库录入!L33</f>
        <v>3</v>
      </c>
      <c r="M32" s="162">
        <f>前台增值物品出入库录入!M33</f>
        <v>14.7</v>
      </c>
      <c r="N32" s="133">
        <f>前台增值物品出入库录入!N33*$E32</f>
        <v>0</v>
      </c>
      <c r="O32" s="133">
        <f>前台增值物品出入库录入!O33*$E32</f>
        <v>0</v>
      </c>
      <c r="P32" s="133">
        <f>前台增值物品出入库录入!P33*$E32</f>
        <v>0</v>
      </c>
      <c r="Q32" s="133">
        <f>前台增值物品出入库录入!Q33*$E32</f>
        <v>0</v>
      </c>
      <c r="R32" s="133">
        <f>前台增值物品出入库录入!R33*$E32</f>
        <v>0</v>
      </c>
      <c r="S32" s="133">
        <f>前台增值物品出入库录入!S33*$E32</f>
        <v>0</v>
      </c>
      <c r="T32" s="133">
        <f>前台增值物品出入库录入!T33*$E32</f>
        <v>0</v>
      </c>
      <c r="U32" s="133">
        <f>前台增值物品出入库录入!U33*$E32</f>
        <v>0</v>
      </c>
      <c r="V32" s="133">
        <f>前台增值物品出入库录入!V33*$E32</f>
        <v>0</v>
      </c>
      <c r="W32" s="133">
        <f>前台增值物品出入库录入!W33*$E32</f>
        <v>0</v>
      </c>
      <c r="X32" s="133">
        <f>前台增值物品出入库录入!X33*$E32</f>
        <v>0</v>
      </c>
      <c r="Y32" s="133">
        <f>前台增值物品出入库录入!Y33*$E32</f>
        <v>0</v>
      </c>
      <c r="Z32" s="133">
        <f>前台增值物品出入库录入!Z33*$E32</f>
        <v>0</v>
      </c>
      <c r="AA32" s="133">
        <f>前台增值物品出入库录入!AA33*$E32</f>
        <v>0</v>
      </c>
      <c r="AB32" s="133">
        <f>前台增值物品出入库录入!AB33*$E32</f>
        <v>0</v>
      </c>
      <c r="AC32" s="133">
        <f>前台增值物品出入库录入!AC33*$E32</f>
        <v>0</v>
      </c>
      <c r="AD32" s="133">
        <f>前台增值物品出入库录入!AD33*$E32</f>
        <v>0</v>
      </c>
      <c r="AE32" s="133">
        <f>前台增值物品出入库录入!AE33*$E32</f>
        <v>0</v>
      </c>
      <c r="AF32" s="133">
        <f>前台增值物品出入库录入!AF33*$E32</f>
        <v>0</v>
      </c>
      <c r="AG32" s="133">
        <f>前台增值物品出入库录入!AG33*$E32</f>
        <v>0</v>
      </c>
      <c r="AH32" s="133">
        <f>前台增值物品出入库录入!AH33*$E32</f>
        <v>0</v>
      </c>
      <c r="AI32" s="133">
        <f>前台增值物品出入库录入!AI33*$E32</f>
        <v>0</v>
      </c>
      <c r="AJ32" s="133">
        <f>前台增值物品出入库录入!AJ33*$E32</f>
        <v>0</v>
      </c>
      <c r="AK32" s="133">
        <f>前台增值物品出入库录入!AK33*$E32</f>
        <v>0</v>
      </c>
      <c r="AL32" s="133">
        <f>前台增值物品出入库录入!AL33*$E32</f>
        <v>0</v>
      </c>
      <c r="AM32" s="133">
        <f>前台增值物品出入库录入!AM33*$E32</f>
        <v>0</v>
      </c>
      <c r="AN32" s="133">
        <f>前台增值物品出入库录入!AN33*$E32</f>
        <v>0</v>
      </c>
      <c r="AO32" s="133">
        <f>前台增值物品出入库录入!AO33*$E32</f>
        <v>0</v>
      </c>
      <c r="AP32" s="133">
        <f>前台增值物品出入库录入!AP33*$E32</f>
        <v>0</v>
      </c>
      <c r="AQ32" s="133">
        <f>前台增值物品出入库录入!AQ33*$E32</f>
        <v>0</v>
      </c>
      <c r="AR32" s="133">
        <f>前台增值物品出入库录入!AR33*$E32</f>
        <v>0</v>
      </c>
      <c r="AS32" s="133">
        <f>前台增值物品出入库录入!AS33*$E32</f>
        <v>0</v>
      </c>
      <c r="AT32" s="133">
        <f>前台增值物品出入库录入!AT33*$E32</f>
        <v>0</v>
      </c>
      <c r="AU32" s="133">
        <f>前台增值物品出入库录入!AU33*$E32</f>
        <v>0</v>
      </c>
      <c r="AV32" s="133">
        <f>前台增值物品出入库录入!AV33*$E32</f>
        <v>0</v>
      </c>
      <c r="AW32" s="133">
        <f>前台增值物品出入库录入!AW33*$E32</f>
        <v>0</v>
      </c>
      <c r="AX32" s="133">
        <f>前台增值物品出入库录入!AX33*$E32</f>
        <v>0</v>
      </c>
      <c r="AY32" s="133">
        <f>前台增值物品出入库录入!AY33*$E32</f>
        <v>0</v>
      </c>
      <c r="AZ32" s="133">
        <f>前台增值物品出入库录入!AZ33*$E32</f>
        <v>0</v>
      </c>
      <c r="BA32" s="133">
        <f>前台增值物品出入库录入!BA33*$E32</f>
        <v>0</v>
      </c>
      <c r="BB32" s="133">
        <f>前台增值物品出入库录入!BB33*$E32</f>
        <v>0</v>
      </c>
      <c r="BC32" s="133">
        <f>前台增值物品出入库录入!BC33*$E32</f>
        <v>0</v>
      </c>
      <c r="BD32" s="133">
        <f>前台增值物品出入库录入!BD33*$E32</f>
        <v>0</v>
      </c>
      <c r="BE32" s="133">
        <f>前台增值物品出入库录入!BE33*$E32</f>
        <v>0</v>
      </c>
      <c r="BF32" s="133">
        <f>前台增值物品出入库录入!BF33*$E32</f>
        <v>0</v>
      </c>
      <c r="BG32" s="133">
        <f>前台增值物品出入库录入!BG33*$E32</f>
        <v>0</v>
      </c>
      <c r="BH32" s="133">
        <f>前台增值物品出入库录入!BH33*$E32</f>
        <v>0</v>
      </c>
      <c r="BI32" s="133">
        <f>前台增值物品出入库录入!BI33*$E32</f>
        <v>0</v>
      </c>
      <c r="BJ32" s="133">
        <f>前台增值物品出入库录入!BJ33*$E32</f>
        <v>0</v>
      </c>
      <c r="BK32" s="133">
        <f>前台增值物品出入库录入!BK33*$E32</f>
        <v>0</v>
      </c>
      <c r="BL32" s="133">
        <f>前台增值物品出入库录入!BL33*$E32</f>
        <v>0</v>
      </c>
      <c r="BM32" s="133">
        <f>前台增值物品出入库录入!BM33*$E32</f>
        <v>0</v>
      </c>
      <c r="BN32" s="133">
        <f>前台增值物品出入库录入!BN33*$E32</f>
        <v>0</v>
      </c>
      <c r="BO32" s="133">
        <f>前台增值物品出入库录入!BO33*$E32</f>
        <v>0</v>
      </c>
      <c r="BP32" s="133">
        <f>前台增值物品出入库录入!BP33*$E32</f>
        <v>0</v>
      </c>
      <c r="BQ32" s="133">
        <f>前台增值物品出入库录入!BQ33*$E32</f>
        <v>0</v>
      </c>
      <c r="BR32" s="133">
        <f>前台增值物品出入库录入!BR33*$E32</f>
        <v>0</v>
      </c>
      <c r="BS32" s="133">
        <f>前台增值物品出入库录入!BS33*$E32</f>
        <v>0</v>
      </c>
      <c r="BT32" s="133">
        <f>前台增值物品出入库录入!BT33*$E32</f>
        <v>0</v>
      </c>
      <c r="BU32" s="133">
        <f>前台增值物品出入库录入!BU33*$E32</f>
        <v>0</v>
      </c>
      <c r="BV32" s="133">
        <f>前台增值物品出入库录入!BV33*$E32</f>
        <v>0</v>
      </c>
      <c r="BW32" s="133">
        <f>前台增值物品出入库录入!BW33*$E32</f>
        <v>0</v>
      </c>
    </row>
    <row r="33" s="178" customFormat="1" customHeight="1" spans="1:75">
      <c r="A33" s="161">
        <v>29</v>
      </c>
      <c r="B33" s="162" t="str">
        <f>前台增值物品出入库录入!B34</f>
        <v>发绳2</v>
      </c>
      <c r="C33" s="162">
        <f>前台增值物品出入库录入!C34</f>
        <v>0</v>
      </c>
      <c r="D33" s="162" t="str">
        <f>前台增值物品出入库录入!D34</f>
        <v>个</v>
      </c>
      <c r="E33" s="162">
        <f>前台增值物品出入库录入!E34</f>
        <v>0.0298</v>
      </c>
      <c r="F33" s="162">
        <f>前台增值物品出入库录入!F34</f>
        <v>0</v>
      </c>
      <c r="G33" s="162">
        <f>前台增值物品出入库录入!G34</f>
        <v>0</v>
      </c>
      <c r="H33" s="162">
        <f>前台增值物品出入库录入!H34</f>
        <v>500</v>
      </c>
      <c r="I33" s="162">
        <f>前台增值物品出入库录入!I34</f>
        <v>14.9</v>
      </c>
      <c r="J33" s="162">
        <f>前台增值物品出入库录入!J34</f>
        <v>69</v>
      </c>
      <c r="K33" s="162">
        <f>前台增值物品出入库录入!K34</f>
        <v>2.0562</v>
      </c>
      <c r="L33" s="162">
        <f>前台增值物品出入库录入!L34</f>
        <v>431</v>
      </c>
      <c r="M33" s="162">
        <f>前台增值物品出入库录入!M34</f>
        <v>12.8438</v>
      </c>
      <c r="N33" s="133">
        <f>前台增值物品出入库录入!N34*$E33</f>
        <v>0</v>
      </c>
      <c r="O33" s="133">
        <f>前台增值物品出入库录入!O34*$E33</f>
        <v>0</v>
      </c>
      <c r="P33" s="133">
        <f>前台增值物品出入库录入!P34*$E33</f>
        <v>0</v>
      </c>
      <c r="Q33" s="133">
        <f>前台增值物品出入库录入!Q34*$E33</f>
        <v>0</v>
      </c>
      <c r="R33" s="133">
        <f>前台增值物品出入库录入!R34*$E33</f>
        <v>0</v>
      </c>
      <c r="S33" s="133">
        <f>前台增值物品出入库录入!S34*$E33</f>
        <v>0</v>
      </c>
      <c r="T33" s="133">
        <f>前台增值物品出入库录入!T34*$E33</f>
        <v>0</v>
      </c>
      <c r="U33" s="133">
        <f>前台增值物品出入库录入!U34*$E33</f>
        <v>0</v>
      </c>
      <c r="V33" s="133">
        <f>前台增值物品出入库录入!V34*$E33</f>
        <v>14.9</v>
      </c>
      <c r="W33" s="133">
        <f>前台增值物品出入库录入!W34*$E33</f>
        <v>0</v>
      </c>
      <c r="X33" s="133">
        <f>前台增值物品出入库录入!X34*$E33</f>
        <v>0</v>
      </c>
      <c r="Y33" s="133">
        <f>前台增值物品出入库录入!Y34*$E33</f>
        <v>0</v>
      </c>
      <c r="Z33" s="133">
        <f>前台增值物品出入库录入!Z34*$E33</f>
        <v>0</v>
      </c>
      <c r="AA33" s="133">
        <f>前台增值物品出入库录入!AA34*$E33</f>
        <v>0</v>
      </c>
      <c r="AB33" s="133">
        <f>前台增值物品出入库录入!AB34*$E33</f>
        <v>0</v>
      </c>
      <c r="AC33" s="133">
        <f>前台增值物品出入库录入!AC34*$E33</f>
        <v>0</v>
      </c>
      <c r="AD33" s="133">
        <f>前台增值物品出入库录入!AD34*$E33</f>
        <v>0</v>
      </c>
      <c r="AE33" s="133">
        <f>前台增值物品出入库录入!AE34*$E33</f>
        <v>0</v>
      </c>
      <c r="AF33" s="133">
        <f>前台增值物品出入库录入!AF34*$E33</f>
        <v>0</v>
      </c>
      <c r="AG33" s="133">
        <f>前台增值物品出入库录入!AG34*$E33</f>
        <v>0</v>
      </c>
      <c r="AH33" s="133">
        <f>前台增值物品出入库录入!AH34*$E33</f>
        <v>0</v>
      </c>
      <c r="AI33" s="133">
        <f>前台增值物品出入库录入!AI34*$E33</f>
        <v>0</v>
      </c>
      <c r="AJ33" s="133">
        <f>前台增值物品出入库录入!AJ34*$E33</f>
        <v>0</v>
      </c>
      <c r="AK33" s="133">
        <f>前台增值物品出入库录入!AK34*$E33</f>
        <v>0</v>
      </c>
      <c r="AL33" s="133">
        <f>前台增值物品出入库录入!AL34*$E33</f>
        <v>0</v>
      </c>
      <c r="AM33" s="133">
        <f>前台增值物品出入库录入!AM34*$E33</f>
        <v>0</v>
      </c>
      <c r="AN33" s="133">
        <f>前台增值物品出入库录入!AN34*$E33</f>
        <v>0</v>
      </c>
      <c r="AO33" s="133">
        <f>前台增值物品出入库录入!AO34*$E33</f>
        <v>0.149</v>
      </c>
      <c r="AP33" s="133">
        <f>前台增值物品出入库录入!AP34*$E33</f>
        <v>0</v>
      </c>
      <c r="AQ33" s="133">
        <f>前台增值物品出入库录入!AQ34*$E33</f>
        <v>0.149</v>
      </c>
      <c r="AR33" s="133">
        <f>前台增值物品出入库录入!AR34*$E33</f>
        <v>0</v>
      </c>
      <c r="AS33" s="133">
        <f>前台增值物品出入库录入!AS34*$E33</f>
        <v>0.298</v>
      </c>
      <c r="AT33" s="133">
        <f>前台增值物品出入库录入!AT34*$E33</f>
        <v>0</v>
      </c>
      <c r="AU33" s="133">
        <f>前台增值物品出入库录入!AU34*$E33</f>
        <v>0</v>
      </c>
      <c r="AV33" s="133">
        <f>前台增值物品出入库录入!AV34*$E33</f>
        <v>0</v>
      </c>
      <c r="AW33" s="133">
        <f>前台增值物品出入库录入!AW34*$E33</f>
        <v>0</v>
      </c>
      <c r="AX33" s="133">
        <f>前台增值物品出入库录入!AX34*$E33</f>
        <v>0</v>
      </c>
      <c r="AY33" s="133">
        <f>前台增值物品出入库录入!AY34*$E33</f>
        <v>0</v>
      </c>
      <c r="AZ33" s="133">
        <f>前台增值物品出入库录入!AZ34*$E33</f>
        <v>0</v>
      </c>
      <c r="BA33" s="133">
        <f>前台增值物品出入库录入!BA34*$E33</f>
        <v>0</v>
      </c>
      <c r="BB33" s="133">
        <f>前台增值物品出入库录入!BB34*$E33</f>
        <v>0</v>
      </c>
      <c r="BC33" s="133">
        <f>前台增值物品出入库录入!BC34*$E33</f>
        <v>0.149</v>
      </c>
      <c r="BD33" s="133">
        <f>前台增值物品出入库录入!BD34*$E33</f>
        <v>0</v>
      </c>
      <c r="BE33" s="133">
        <f>前台增值物品出入库录入!BE34*$E33</f>
        <v>0.149</v>
      </c>
      <c r="BF33" s="133">
        <f>前台增值物品出入库录入!BF34*$E33</f>
        <v>0</v>
      </c>
      <c r="BG33" s="133">
        <f>前台增值物品出入库录入!BG34*$E33</f>
        <v>0.149</v>
      </c>
      <c r="BH33" s="133">
        <f>前台增值物品出入库录入!BH34*$E33</f>
        <v>0</v>
      </c>
      <c r="BI33" s="133">
        <f>前台增值物品出入库录入!BI34*$E33</f>
        <v>0</v>
      </c>
      <c r="BJ33" s="133">
        <f>前台增值物品出入库录入!BJ34*$E33</f>
        <v>0</v>
      </c>
      <c r="BK33" s="133">
        <f>前台增值物品出入库录入!BK34*$E33</f>
        <v>0.596</v>
      </c>
      <c r="BL33" s="133">
        <f>前台增值物品出入库录入!BL34*$E33</f>
        <v>0</v>
      </c>
      <c r="BM33" s="133">
        <f>前台增值物品出入库录入!BM34*$E33</f>
        <v>0.149</v>
      </c>
      <c r="BN33" s="133">
        <f>前台增值物品出入库录入!BN34*$E33</f>
        <v>0</v>
      </c>
      <c r="BO33" s="133">
        <f>前台增值物品出入库录入!BO34*$E33</f>
        <v>0.0894</v>
      </c>
      <c r="BP33" s="133">
        <f>前台增值物品出入库录入!BP34*$E33</f>
        <v>0</v>
      </c>
      <c r="BQ33" s="133">
        <f>前台增值物品出入库录入!BQ34*$E33</f>
        <v>0.1192</v>
      </c>
      <c r="BR33" s="133">
        <f>前台增值物品出入库录入!BR34*$E33</f>
        <v>0</v>
      </c>
      <c r="BS33" s="133">
        <f>前台增值物品出入库录入!BS34*$E33</f>
        <v>0.0596</v>
      </c>
      <c r="BT33" s="133">
        <f>前台增值物品出入库录入!BT34*$E33</f>
        <v>0</v>
      </c>
      <c r="BU33" s="133">
        <f>前台增值物品出入库录入!BU34*$E33</f>
        <v>0</v>
      </c>
      <c r="BV33" s="133">
        <f>前台增值物品出入库录入!BV34*$E33</f>
        <v>0</v>
      </c>
      <c r="BW33" s="133">
        <f>前台增值物品出入库录入!BW34*$E33</f>
        <v>0</v>
      </c>
    </row>
    <row r="34" s="178" customFormat="1" customHeight="1" spans="1:75">
      <c r="A34" s="161">
        <v>30</v>
      </c>
      <c r="B34" s="162" t="str">
        <f>前台增值物品出入库录入!B35</f>
        <v>文件袋</v>
      </c>
      <c r="C34" s="162">
        <f>前台增值物品出入库录入!C35</f>
        <v>0</v>
      </c>
      <c r="D34" s="162" t="str">
        <f>前台增值物品出入库录入!D35</f>
        <v>个</v>
      </c>
      <c r="E34" s="162">
        <f>前台增值物品出入库录入!E35</f>
        <v>2.64</v>
      </c>
      <c r="F34" s="162">
        <f>前台增值物品出入库录入!F35</f>
        <v>20</v>
      </c>
      <c r="G34" s="162">
        <f>前台增值物品出入库录入!G35</f>
        <v>52.8</v>
      </c>
      <c r="H34" s="162">
        <f>前台增值物品出入库录入!H35</f>
        <v>0</v>
      </c>
      <c r="I34" s="162">
        <f>前台增值物品出入库录入!I35</f>
        <v>0</v>
      </c>
      <c r="J34" s="162">
        <f>前台增值物品出入库录入!J35</f>
        <v>0</v>
      </c>
      <c r="K34" s="162">
        <f>前台增值物品出入库录入!K35</f>
        <v>0</v>
      </c>
      <c r="L34" s="162">
        <f>前台增值物品出入库录入!L35</f>
        <v>20</v>
      </c>
      <c r="M34" s="162">
        <f>前台增值物品出入库录入!M35</f>
        <v>52.8</v>
      </c>
      <c r="N34" s="133">
        <f>前台增值物品出入库录入!N35*$E34</f>
        <v>0</v>
      </c>
      <c r="O34" s="133">
        <f>前台增值物品出入库录入!O35*$E34</f>
        <v>0</v>
      </c>
      <c r="P34" s="133">
        <f>前台增值物品出入库录入!P35*$E34</f>
        <v>0</v>
      </c>
      <c r="Q34" s="133">
        <f>前台增值物品出入库录入!Q35*$E34</f>
        <v>0</v>
      </c>
      <c r="R34" s="133">
        <f>前台增值物品出入库录入!R35*$E34</f>
        <v>0</v>
      </c>
      <c r="S34" s="133">
        <f>前台增值物品出入库录入!S35*$E34</f>
        <v>0</v>
      </c>
      <c r="T34" s="133">
        <f>前台增值物品出入库录入!T35*$E34</f>
        <v>0</v>
      </c>
      <c r="U34" s="133">
        <f>前台增值物品出入库录入!U35*$E34</f>
        <v>0</v>
      </c>
      <c r="V34" s="133">
        <f>前台增值物品出入库录入!V35*$E34</f>
        <v>0</v>
      </c>
      <c r="W34" s="133">
        <f>前台增值物品出入库录入!W35*$E34</f>
        <v>0</v>
      </c>
      <c r="X34" s="133">
        <f>前台增值物品出入库录入!X35*$E34</f>
        <v>0</v>
      </c>
      <c r="Y34" s="133">
        <f>前台增值物品出入库录入!Y35*$E34</f>
        <v>0</v>
      </c>
      <c r="Z34" s="133">
        <f>前台增值物品出入库录入!Z35*$E34</f>
        <v>0</v>
      </c>
      <c r="AA34" s="133">
        <f>前台增值物品出入库录入!AA35*$E34</f>
        <v>0</v>
      </c>
      <c r="AB34" s="133">
        <f>前台增值物品出入库录入!AB35*$E34</f>
        <v>0</v>
      </c>
      <c r="AC34" s="133">
        <f>前台增值物品出入库录入!AC35*$E34</f>
        <v>0</v>
      </c>
      <c r="AD34" s="133">
        <f>前台增值物品出入库录入!AD35*$E34</f>
        <v>0</v>
      </c>
      <c r="AE34" s="133">
        <f>前台增值物品出入库录入!AE35*$E34</f>
        <v>0</v>
      </c>
      <c r="AF34" s="133">
        <f>前台增值物品出入库录入!AF35*$E34</f>
        <v>0</v>
      </c>
      <c r="AG34" s="133">
        <f>前台增值物品出入库录入!AG35*$E34</f>
        <v>0</v>
      </c>
      <c r="AH34" s="133">
        <f>前台增值物品出入库录入!AH35*$E34</f>
        <v>0</v>
      </c>
      <c r="AI34" s="133">
        <f>前台增值物品出入库录入!AI35*$E34</f>
        <v>0</v>
      </c>
      <c r="AJ34" s="133">
        <f>前台增值物品出入库录入!AJ35*$E34</f>
        <v>0</v>
      </c>
      <c r="AK34" s="133">
        <f>前台增值物品出入库录入!AK35*$E34</f>
        <v>0</v>
      </c>
      <c r="AL34" s="133">
        <f>前台增值物品出入库录入!AL35*$E34</f>
        <v>0</v>
      </c>
      <c r="AM34" s="133">
        <f>前台增值物品出入库录入!AM35*$E34</f>
        <v>0</v>
      </c>
      <c r="AN34" s="133">
        <f>前台增值物品出入库录入!AN35*$E34</f>
        <v>0</v>
      </c>
      <c r="AO34" s="133">
        <f>前台增值物品出入库录入!AO35*$E34</f>
        <v>0</v>
      </c>
      <c r="AP34" s="133">
        <f>前台增值物品出入库录入!AP35*$E34</f>
        <v>0</v>
      </c>
      <c r="AQ34" s="133">
        <f>前台增值物品出入库录入!AQ35*$E34</f>
        <v>0</v>
      </c>
      <c r="AR34" s="133">
        <f>前台增值物品出入库录入!AR35*$E34</f>
        <v>0</v>
      </c>
      <c r="AS34" s="133">
        <f>前台增值物品出入库录入!AS35*$E34</f>
        <v>0</v>
      </c>
      <c r="AT34" s="133">
        <f>前台增值物品出入库录入!AT35*$E34</f>
        <v>0</v>
      </c>
      <c r="AU34" s="133">
        <f>前台增值物品出入库录入!AU35*$E34</f>
        <v>0</v>
      </c>
      <c r="AV34" s="133">
        <f>前台增值物品出入库录入!AV35*$E34</f>
        <v>0</v>
      </c>
      <c r="AW34" s="133">
        <f>前台增值物品出入库录入!AW35*$E34</f>
        <v>0</v>
      </c>
      <c r="AX34" s="133">
        <f>前台增值物品出入库录入!AX35*$E34</f>
        <v>0</v>
      </c>
      <c r="AY34" s="133">
        <f>前台增值物品出入库录入!AY35*$E34</f>
        <v>0</v>
      </c>
      <c r="AZ34" s="133">
        <f>前台增值物品出入库录入!AZ35*$E34</f>
        <v>0</v>
      </c>
      <c r="BA34" s="133">
        <f>前台增值物品出入库录入!BA35*$E34</f>
        <v>0</v>
      </c>
      <c r="BB34" s="133">
        <f>前台增值物品出入库录入!BB35*$E34</f>
        <v>0</v>
      </c>
      <c r="BC34" s="133">
        <f>前台增值物品出入库录入!BC35*$E34</f>
        <v>0</v>
      </c>
      <c r="BD34" s="133">
        <f>前台增值物品出入库录入!BD35*$E34</f>
        <v>0</v>
      </c>
      <c r="BE34" s="133">
        <f>前台增值物品出入库录入!BE35*$E34</f>
        <v>0</v>
      </c>
      <c r="BF34" s="133">
        <f>前台增值物品出入库录入!BF35*$E34</f>
        <v>0</v>
      </c>
      <c r="BG34" s="133">
        <f>前台增值物品出入库录入!BG35*$E34</f>
        <v>0</v>
      </c>
      <c r="BH34" s="133">
        <f>前台增值物品出入库录入!BH35*$E34</f>
        <v>0</v>
      </c>
      <c r="BI34" s="133">
        <f>前台增值物品出入库录入!BI35*$E34</f>
        <v>0</v>
      </c>
      <c r="BJ34" s="133">
        <f>前台增值物品出入库录入!BJ35*$E34</f>
        <v>0</v>
      </c>
      <c r="BK34" s="133">
        <f>前台增值物品出入库录入!BK35*$E34</f>
        <v>0</v>
      </c>
      <c r="BL34" s="133">
        <f>前台增值物品出入库录入!BL35*$E34</f>
        <v>0</v>
      </c>
      <c r="BM34" s="133">
        <f>前台增值物品出入库录入!BM35*$E34</f>
        <v>0</v>
      </c>
      <c r="BN34" s="133">
        <f>前台增值物品出入库录入!BN35*$E34</f>
        <v>0</v>
      </c>
      <c r="BO34" s="133">
        <f>前台增值物品出入库录入!BO35*$E34</f>
        <v>0</v>
      </c>
      <c r="BP34" s="133">
        <f>前台增值物品出入库录入!BP35*$E34</f>
        <v>0</v>
      </c>
      <c r="BQ34" s="133">
        <f>前台增值物品出入库录入!BQ35*$E34</f>
        <v>0</v>
      </c>
      <c r="BR34" s="133">
        <f>前台增值物品出入库录入!BR35*$E34</f>
        <v>0</v>
      </c>
      <c r="BS34" s="133">
        <f>前台增值物品出入库录入!BS35*$E34</f>
        <v>0</v>
      </c>
      <c r="BT34" s="133">
        <f>前台增值物品出入库录入!BT35*$E34</f>
        <v>0</v>
      </c>
      <c r="BU34" s="133">
        <f>前台增值物品出入库录入!BU35*$E34</f>
        <v>0</v>
      </c>
      <c r="BV34" s="133">
        <f>前台增值物品出入库录入!BV35*$E34</f>
        <v>0</v>
      </c>
      <c r="BW34" s="133">
        <f>前台增值物品出入库录入!BW35*$E34</f>
        <v>0</v>
      </c>
    </row>
    <row r="35" s="178" customFormat="1" customHeight="1" spans="1:75">
      <c r="A35" s="161">
        <v>31</v>
      </c>
      <c r="B35" s="162" t="str">
        <f>前台增值物品出入库录入!B36</f>
        <v>燕尾夹</v>
      </c>
      <c r="C35" s="162">
        <f>前台增值物品出入库录入!C36</f>
        <v>0</v>
      </c>
      <c r="D35" s="162" t="str">
        <f>前台增值物品出入库录入!D36</f>
        <v>个</v>
      </c>
      <c r="E35" s="162">
        <f>前台增值物品出入库录入!E36</f>
        <v>0.632</v>
      </c>
      <c r="F35" s="162">
        <f>前台增值物品出入库录入!F36</f>
        <v>3</v>
      </c>
      <c r="G35" s="162">
        <f>前台增值物品出入库录入!G36</f>
        <v>1.896</v>
      </c>
      <c r="H35" s="162">
        <f>前台增值物品出入库录入!H36</f>
        <v>0</v>
      </c>
      <c r="I35" s="162">
        <f>前台增值物品出入库录入!I36</f>
        <v>0</v>
      </c>
      <c r="J35" s="162">
        <f>前台增值物品出入库录入!J36</f>
        <v>3</v>
      </c>
      <c r="K35" s="162">
        <f>前台增值物品出入库录入!K36</f>
        <v>1.896</v>
      </c>
      <c r="L35" s="162">
        <f>前台增值物品出入库录入!L36</f>
        <v>0</v>
      </c>
      <c r="M35" s="162">
        <f>前台增值物品出入库录入!M36</f>
        <v>0</v>
      </c>
      <c r="N35" s="133">
        <f>前台增值物品出入库录入!N36*$E35</f>
        <v>0</v>
      </c>
      <c r="O35" s="133">
        <f>前台增值物品出入库录入!O36*$E35</f>
        <v>0</v>
      </c>
      <c r="P35" s="133">
        <f>前台增值物品出入库录入!P36*$E35</f>
        <v>0</v>
      </c>
      <c r="Q35" s="133">
        <f>前台增值物品出入库录入!Q36*$E35</f>
        <v>0</v>
      </c>
      <c r="R35" s="133">
        <f>前台增值物品出入库录入!R36*$E35</f>
        <v>0</v>
      </c>
      <c r="S35" s="133">
        <f>前台增值物品出入库录入!S36*$E35</f>
        <v>0</v>
      </c>
      <c r="T35" s="133">
        <f>前台增值物品出入库录入!T36*$E35</f>
        <v>0</v>
      </c>
      <c r="U35" s="133">
        <f>前台增值物品出入库录入!U36*$E35</f>
        <v>0</v>
      </c>
      <c r="V35" s="133">
        <f>前台增值物品出入库录入!V36*$E35</f>
        <v>0</v>
      </c>
      <c r="W35" s="133">
        <f>前台增值物品出入库录入!W36*$E35</f>
        <v>0</v>
      </c>
      <c r="X35" s="133">
        <f>前台增值物品出入库录入!X36*$E35</f>
        <v>0</v>
      </c>
      <c r="Y35" s="133">
        <f>前台增值物品出入库录入!Y36*$E35</f>
        <v>0</v>
      </c>
      <c r="Z35" s="133">
        <f>前台增值物品出入库录入!Z36*$E35</f>
        <v>0</v>
      </c>
      <c r="AA35" s="133">
        <f>前台增值物品出入库录入!AA36*$E35</f>
        <v>0</v>
      </c>
      <c r="AB35" s="133">
        <f>前台增值物品出入库录入!AB36*$E35</f>
        <v>0</v>
      </c>
      <c r="AC35" s="133">
        <f>前台增值物品出入库录入!AC36*$E35</f>
        <v>0</v>
      </c>
      <c r="AD35" s="133">
        <f>前台增值物品出入库录入!AD36*$E35</f>
        <v>0</v>
      </c>
      <c r="AE35" s="133">
        <f>前台增值物品出入库录入!AE36*$E35</f>
        <v>0</v>
      </c>
      <c r="AF35" s="133">
        <f>前台增值物品出入库录入!AF36*$E35</f>
        <v>0</v>
      </c>
      <c r="AG35" s="133">
        <f>前台增值物品出入库录入!AG36*$E35</f>
        <v>0</v>
      </c>
      <c r="AH35" s="133">
        <f>前台增值物品出入库录入!AH36*$E35</f>
        <v>0</v>
      </c>
      <c r="AI35" s="133">
        <f>前台增值物品出入库录入!AI36*$E35</f>
        <v>0</v>
      </c>
      <c r="AJ35" s="133">
        <f>前台增值物品出入库录入!AJ36*$E35</f>
        <v>0</v>
      </c>
      <c r="AK35" s="133">
        <f>前台增值物品出入库录入!AK36*$E35</f>
        <v>0</v>
      </c>
      <c r="AL35" s="133">
        <f>前台增值物品出入库录入!AL36*$E35</f>
        <v>0</v>
      </c>
      <c r="AM35" s="133">
        <f>前台增值物品出入库录入!AM36*$E35</f>
        <v>0</v>
      </c>
      <c r="AN35" s="133">
        <f>前台增值物品出入库录入!AN36*$E35</f>
        <v>0</v>
      </c>
      <c r="AO35" s="133">
        <f>前台增值物品出入库录入!AO36*$E35</f>
        <v>0</v>
      </c>
      <c r="AP35" s="133">
        <f>前台增值物品出入库录入!AP36*$E35</f>
        <v>0</v>
      </c>
      <c r="AQ35" s="133">
        <f>前台增值物品出入库录入!AQ36*$E35</f>
        <v>0</v>
      </c>
      <c r="AR35" s="133">
        <f>前台增值物品出入库录入!AR36*$E35</f>
        <v>0</v>
      </c>
      <c r="AS35" s="133">
        <f>前台增值物品出入库录入!AS36*$E35</f>
        <v>0</v>
      </c>
      <c r="AT35" s="133">
        <f>前台增值物品出入库录入!AT36*$E35</f>
        <v>0</v>
      </c>
      <c r="AU35" s="133">
        <f>前台增值物品出入库录入!AU36*$E35</f>
        <v>0</v>
      </c>
      <c r="AV35" s="133">
        <f>前台增值物品出入库录入!AV36*$E35</f>
        <v>0</v>
      </c>
      <c r="AW35" s="133">
        <f>前台增值物品出入库录入!AW36*$E35</f>
        <v>0</v>
      </c>
      <c r="AX35" s="133">
        <f>前台增值物品出入库录入!AX36*$E35</f>
        <v>0</v>
      </c>
      <c r="AY35" s="133">
        <f>前台增值物品出入库录入!AY36*$E35</f>
        <v>0</v>
      </c>
      <c r="AZ35" s="133">
        <f>前台增值物品出入库录入!AZ36*$E35</f>
        <v>0</v>
      </c>
      <c r="BA35" s="133">
        <f>前台增值物品出入库录入!BA36*$E35</f>
        <v>0</v>
      </c>
      <c r="BB35" s="133">
        <f>前台增值物品出入库录入!BB36*$E35</f>
        <v>0</v>
      </c>
      <c r="BC35" s="133">
        <f>前台增值物品出入库录入!BC36*$E35</f>
        <v>1.896</v>
      </c>
      <c r="BD35" s="133">
        <f>前台增值物品出入库录入!BD36*$E35</f>
        <v>0</v>
      </c>
      <c r="BE35" s="133">
        <f>前台增值物品出入库录入!BE36*$E35</f>
        <v>0</v>
      </c>
      <c r="BF35" s="133">
        <f>前台增值物品出入库录入!BF36*$E35</f>
        <v>0</v>
      </c>
      <c r="BG35" s="133">
        <f>前台增值物品出入库录入!BG36*$E35</f>
        <v>0</v>
      </c>
      <c r="BH35" s="133">
        <f>前台增值物品出入库录入!BH36*$E35</f>
        <v>0</v>
      </c>
      <c r="BI35" s="133">
        <f>前台增值物品出入库录入!BI36*$E35</f>
        <v>0</v>
      </c>
      <c r="BJ35" s="133">
        <f>前台增值物品出入库录入!BJ36*$E35</f>
        <v>0</v>
      </c>
      <c r="BK35" s="133">
        <f>前台增值物品出入库录入!BK36*$E35</f>
        <v>0</v>
      </c>
      <c r="BL35" s="133">
        <f>前台增值物品出入库录入!BL36*$E35</f>
        <v>0</v>
      </c>
      <c r="BM35" s="133">
        <f>前台增值物品出入库录入!BM36*$E35</f>
        <v>0</v>
      </c>
      <c r="BN35" s="133">
        <f>前台增值物品出入库录入!BN36*$E35</f>
        <v>0</v>
      </c>
      <c r="BO35" s="133">
        <f>前台增值物品出入库录入!BO36*$E35</f>
        <v>0</v>
      </c>
      <c r="BP35" s="133">
        <f>前台增值物品出入库录入!BP36*$E35</f>
        <v>0</v>
      </c>
      <c r="BQ35" s="133">
        <f>前台增值物品出入库录入!BQ36*$E35</f>
        <v>0</v>
      </c>
      <c r="BR35" s="133">
        <f>前台增值物品出入库录入!BR36*$E35</f>
        <v>0</v>
      </c>
      <c r="BS35" s="133">
        <f>前台增值物品出入库录入!BS36*$E35</f>
        <v>0</v>
      </c>
      <c r="BT35" s="133">
        <f>前台增值物品出入库录入!BT36*$E35</f>
        <v>0</v>
      </c>
      <c r="BU35" s="133">
        <f>前台增值物品出入库录入!BU36*$E35</f>
        <v>0</v>
      </c>
      <c r="BV35" s="133">
        <f>前台增值物品出入库录入!BV36*$E35</f>
        <v>0</v>
      </c>
      <c r="BW35" s="133">
        <f>前台增值物品出入库录入!BW36*$E35</f>
        <v>0</v>
      </c>
    </row>
    <row r="36" s="178" customFormat="1" customHeight="1" spans="1:75">
      <c r="A36" s="161">
        <v>32</v>
      </c>
      <c r="B36" s="162" t="str">
        <f>前台增值物品出入库录入!B37</f>
        <v>笔筒</v>
      </c>
      <c r="C36" s="162">
        <f>前台增值物品出入库录入!C37</f>
        <v>0</v>
      </c>
      <c r="D36" s="162" t="str">
        <f>前台增值物品出入库录入!D37</f>
        <v>个</v>
      </c>
      <c r="E36" s="162">
        <f>前台增值物品出入库录入!E37</f>
        <v>2.9925</v>
      </c>
      <c r="F36" s="162">
        <f>前台增值物品出入库录入!F37</f>
        <v>2</v>
      </c>
      <c r="G36" s="162">
        <f>前台增值物品出入库录入!G37</f>
        <v>5.985</v>
      </c>
      <c r="H36" s="162">
        <f>前台增值物品出入库录入!H37</f>
        <v>0</v>
      </c>
      <c r="I36" s="162">
        <f>前台增值物品出入库录入!I37</f>
        <v>0</v>
      </c>
      <c r="J36" s="162">
        <f>前台增值物品出入库录入!J37</f>
        <v>0</v>
      </c>
      <c r="K36" s="162">
        <f>前台增值物品出入库录入!K37</f>
        <v>0</v>
      </c>
      <c r="L36" s="162">
        <f>前台增值物品出入库录入!L37</f>
        <v>2</v>
      </c>
      <c r="M36" s="162">
        <f>前台增值物品出入库录入!M37</f>
        <v>5.985</v>
      </c>
      <c r="N36" s="133">
        <f>前台增值物品出入库录入!N37*$E36</f>
        <v>0</v>
      </c>
      <c r="O36" s="133">
        <f>前台增值物品出入库录入!O37*$E36</f>
        <v>0</v>
      </c>
      <c r="P36" s="133">
        <f>前台增值物品出入库录入!P37*$E36</f>
        <v>0</v>
      </c>
      <c r="Q36" s="133">
        <f>前台增值物品出入库录入!Q37*$E36</f>
        <v>0</v>
      </c>
      <c r="R36" s="133">
        <f>前台增值物品出入库录入!R37*$E36</f>
        <v>0</v>
      </c>
      <c r="S36" s="133">
        <f>前台增值物品出入库录入!S37*$E36</f>
        <v>0</v>
      </c>
      <c r="T36" s="133">
        <f>前台增值物品出入库录入!T37*$E36</f>
        <v>0</v>
      </c>
      <c r="U36" s="133">
        <f>前台增值物品出入库录入!U37*$E36</f>
        <v>0</v>
      </c>
      <c r="V36" s="133">
        <f>前台增值物品出入库录入!V37*$E36</f>
        <v>0</v>
      </c>
      <c r="W36" s="133">
        <f>前台增值物品出入库录入!W37*$E36</f>
        <v>0</v>
      </c>
      <c r="X36" s="133">
        <f>前台增值物品出入库录入!X37*$E36</f>
        <v>0</v>
      </c>
      <c r="Y36" s="133">
        <f>前台增值物品出入库录入!Y37*$E36</f>
        <v>0</v>
      </c>
      <c r="Z36" s="133">
        <f>前台增值物品出入库录入!Z37*$E36</f>
        <v>0</v>
      </c>
      <c r="AA36" s="133">
        <f>前台增值物品出入库录入!AA37*$E36</f>
        <v>0</v>
      </c>
      <c r="AB36" s="133">
        <f>前台增值物品出入库录入!AB37*$E36</f>
        <v>0</v>
      </c>
      <c r="AC36" s="133">
        <f>前台增值物品出入库录入!AC37*$E36</f>
        <v>0</v>
      </c>
      <c r="AD36" s="133">
        <f>前台增值物品出入库录入!AD37*$E36</f>
        <v>0</v>
      </c>
      <c r="AE36" s="133">
        <f>前台增值物品出入库录入!AE37*$E36</f>
        <v>0</v>
      </c>
      <c r="AF36" s="133">
        <f>前台增值物品出入库录入!AF37*$E36</f>
        <v>0</v>
      </c>
      <c r="AG36" s="133">
        <f>前台增值物品出入库录入!AG37*$E36</f>
        <v>0</v>
      </c>
      <c r="AH36" s="133">
        <f>前台增值物品出入库录入!AH37*$E36</f>
        <v>0</v>
      </c>
      <c r="AI36" s="133">
        <f>前台增值物品出入库录入!AI37*$E36</f>
        <v>0</v>
      </c>
      <c r="AJ36" s="133">
        <f>前台增值物品出入库录入!AJ37*$E36</f>
        <v>0</v>
      </c>
      <c r="AK36" s="133">
        <f>前台增值物品出入库录入!AK37*$E36</f>
        <v>0</v>
      </c>
      <c r="AL36" s="133">
        <f>前台增值物品出入库录入!AL37*$E36</f>
        <v>0</v>
      </c>
      <c r="AM36" s="133">
        <f>前台增值物品出入库录入!AM37*$E36</f>
        <v>0</v>
      </c>
      <c r="AN36" s="133">
        <f>前台增值物品出入库录入!AN37*$E36</f>
        <v>0</v>
      </c>
      <c r="AO36" s="133">
        <f>前台增值物品出入库录入!AO37*$E36</f>
        <v>0</v>
      </c>
      <c r="AP36" s="133">
        <f>前台增值物品出入库录入!AP37*$E36</f>
        <v>0</v>
      </c>
      <c r="AQ36" s="133">
        <f>前台增值物品出入库录入!AQ37*$E36</f>
        <v>0</v>
      </c>
      <c r="AR36" s="133">
        <f>前台增值物品出入库录入!AR37*$E36</f>
        <v>0</v>
      </c>
      <c r="AS36" s="133">
        <f>前台增值物品出入库录入!AS37*$E36</f>
        <v>0</v>
      </c>
      <c r="AT36" s="133">
        <f>前台增值物品出入库录入!AT37*$E36</f>
        <v>0</v>
      </c>
      <c r="AU36" s="133">
        <f>前台增值物品出入库录入!AU37*$E36</f>
        <v>0</v>
      </c>
      <c r="AV36" s="133">
        <f>前台增值物品出入库录入!AV37*$E36</f>
        <v>0</v>
      </c>
      <c r="AW36" s="133">
        <f>前台增值物品出入库录入!AW37*$E36</f>
        <v>0</v>
      </c>
      <c r="AX36" s="133">
        <f>前台增值物品出入库录入!AX37*$E36</f>
        <v>0</v>
      </c>
      <c r="AY36" s="133">
        <f>前台增值物品出入库录入!AY37*$E36</f>
        <v>0</v>
      </c>
      <c r="AZ36" s="133">
        <f>前台增值物品出入库录入!AZ37*$E36</f>
        <v>0</v>
      </c>
      <c r="BA36" s="133">
        <f>前台增值物品出入库录入!BA37*$E36</f>
        <v>0</v>
      </c>
      <c r="BB36" s="133">
        <f>前台增值物品出入库录入!BB37*$E36</f>
        <v>0</v>
      </c>
      <c r="BC36" s="133">
        <f>前台增值物品出入库录入!BC37*$E36</f>
        <v>0</v>
      </c>
      <c r="BD36" s="133">
        <f>前台增值物品出入库录入!BD37*$E36</f>
        <v>0</v>
      </c>
      <c r="BE36" s="133">
        <f>前台增值物品出入库录入!BE37*$E36</f>
        <v>0</v>
      </c>
      <c r="BF36" s="133">
        <f>前台增值物品出入库录入!BF37*$E36</f>
        <v>0</v>
      </c>
      <c r="BG36" s="133">
        <f>前台增值物品出入库录入!BG37*$E36</f>
        <v>0</v>
      </c>
      <c r="BH36" s="133">
        <f>前台增值物品出入库录入!BH37*$E36</f>
        <v>0</v>
      </c>
      <c r="BI36" s="133">
        <f>前台增值物品出入库录入!BI37*$E36</f>
        <v>0</v>
      </c>
      <c r="BJ36" s="133">
        <f>前台增值物品出入库录入!BJ37*$E36</f>
        <v>0</v>
      </c>
      <c r="BK36" s="133">
        <f>前台增值物品出入库录入!BK37*$E36</f>
        <v>0</v>
      </c>
      <c r="BL36" s="133">
        <f>前台增值物品出入库录入!BL37*$E36</f>
        <v>0</v>
      </c>
      <c r="BM36" s="133">
        <f>前台增值物品出入库录入!BM37*$E36</f>
        <v>0</v>
      </c>
      <c r="BN36" s="133">
        <f>前台增值物品出入库录入!BN37*$E36</f>
        <v>0</v>
      </c>
      <c r="BO36" s="133">
        <f>前台增值物品出入库录入!BO37*$E36</f>
        <v>0</v>
      </c>
      <c r="BP36" s="133">
        <f>前台增值物品出入库录入!BP37*$E36</f>
        <v>0</v>
      </c>
      <c r="BQ36" s="133">
        <f>前台增值物品出入库录入!BQ37*$E36</f>
        <v>0</v>
      </c>
      <c r="BR36" s="133">
        <f>前台增值物品出入库录入!BR37*$E36</f>
        <v>0</v>
      </c>
      <c r="BS36" s="133">
        <f>前台增值物品出入库录入!BS37*$E36</f>
        <v>0</v>
      </c>
      <c r="BT36" s="133">
        <f>前台增值物品出入库录入!BT37*$E36</f>
        <v>0</v>
      </c>
      <c r="BU36" s="133">
        <f>前台增值物品出入库录入!BU37*$E36</f>
        <v>0</v>
      </c>
      <c r="BV36" s="133">
        <f>前台增值物品出入库录入!BV37*$E36</f>
        <v>0</v>
      </c>
      <c r="BW36" s="133">
        <f>前台增值物品出入库录入!BW37*$E36</f>
        <v>0</v>
      </c>
    </row>
    <row r="37" s="178" customFormat="1" customHeight="1" spans="1:75">
      <c r="A37" s="161">
        <v>33</v>
      </c>
      <c r="B37" s="162" t="str">
        <f>前台增值物品出入库录入!B38</f>
        <v>酒精棉签</v>
      </c>
      <c r="C37" s="162">
        <f>前台增值物品出入库录入!C38</f>
        <v>0</v>
      </c>
      <c r="D37" s="162" t="str">
        <f>前台增值物品出入库录入!D38</f>
        <v>个</v>
      </c>
      <c r="E37" s="162">
        <f>前台增值物品出入库录入!E38</f>
        <v>0.0798</v>
      </c>
      <c r="F37" s="162">
        <f>前台增值物品出入库录入!F38</f>
        <v>901</v>
      </c>
      <c r="G37" s="162">
        <f>前台增值物品出入库录入!G38</f>
        <v>71.8998</v>
      </c>
      <c r="H37" s="162">
        <f>前台增值物品出入库录入!H38</f>
        <v>0</v>
      </c>
      <c r="I37" s="162">
        <f>前台增值物品出入库录入!I38</f>
        <v>0</v>
      </c>
      <c r="J37" s="162">
        <f>前台增值物品出入库录入!J38</f>
        <v>300</v>
      </c>
      <c r="K37" s="162">
        <f>前台增值物品出入库录入!K38</f>
        <v>23.94</v>
      </c>
      <c r="L37" s="162">
        <f>前台增值物品出入库录入!L38</f>
        <v>601</v>
      </c>
      <c r="M37" s="162">
        <f>前台增值物品出入库录入!M38</f>
        <v>47.9598</v>
      </c>
      <c r="N37" s="133">
        <f>前台增值物品出入库录入!N38*$E37</f>
        <v>0</v>
      </c>
      <c r="O37" s="133">
        <f>前台增值物品出入库录入!O38*$E37</f>
        <v>2.394</v>
      </c>
      <c r="P37" s="133">
        <f>前台增值物品出入库录入!P38*$E37</f>
        <v>0</v>
      </c>
      <c r="Q37" s="133">
        <f>前台增值物品出入库录入!Q38*$E37</f>
        <v>0</v>
      </c>
      <c r="R37" s="133">
        <f>前台增值物品出入库录入!R38*$E37</f>
        <v>0</v>
      </c>
      <c r="S37" s="133">
        <f>前台增值物品出入库录入!S38*$E37</f>
        <v>1.197</v>
      </c>
      <c r="T37" s="133">
        <f>前台增值物品出入库录入!T38*$E37</f>
        <v>0</v>
      </c>
      <c r="U37" s="133">
        <f>前台增值物品出入库录入!U38*$E37</f>
        <v>0</v>
      </c>
      <c r="V37" s="133">
        <f>前台增值物品出入库录入!V38*$E37</f>
        <v>0</v>
      </c>
      <c r="W37" s="133">
        <f>前台增值物品出入库录入!W38*$E37</f>
        <v>1.596</v>
      </c>
      <c r="X37" s="133">
        <f>前台增值物品出入库录入!X38*$E37</f>
        <v>0</v>
      </c>
      <c r="Y37" s="133">
        <f>前台增值物品出入库录入!Y38*$E37</f>
        <v>0</v>
      </c>
      <c r="Z37" s="133">
        <f>前台增值物品出入库录入!Z38*$E37</f>
        <v>0</v>
      </c>
      <c r="AA37" s="133">
        <f>前台增值物品出入库录入!AA38*$E37</f>
        <v>1.995</v>
      </c>
      <c r="AB37" s="133">
        <f>前台增值物品出入库录入!AB38*$E37</f>
        <v>0</v>
      </c>
      <c r="AC37" s="133">
        <f>前台增值物品出入库录入!AC38*$E37</f>
        <v>1.197</v>
      </c>
      <c r="AD37" s="133">
        <f>前台增值物品出入库录入!AD38*$E37</f>
        <v>0</v>
      </c>
      <c r="AE37" s="133">
        <f>前台增值物品出入库录入!AE38*$E37</f>
        <v>1.197</v>
      </c>
      <c r="AF37" s="133">
        <f>前台增值物品出入库录入!AF38*$E37</f>
        <v>0</v>
      </c>
      <c r="AG37" s="133">
        <f>前台增值物品出入库录入!AG38*$E37</f>
        <v>0.798</v>
      </c>
      <c r="AH37" s="133">
        <f>前台增值物品出入库录入!AH38*$E37</f>
        <v>0</v>
      </c>
      <c r="AI37" s="133">
        <f>前台增值物品出入库录入!AI38*$E37</f>
        <v>0</v>
      </c>
      <c r="AJ37" s="133">
        <f>前台增值物品出入库录入!AJ38*$E37</f>
        <v>0</v>
      </c>
      <c r="AK37" s="133">
        <f>前台增值物品出入库录入!AK38*$E37</f>
        <v>0.798</v>
      </c>
      <c r="AL37" s="133">
        <f>前台增值物品出入库录入!AL38*$E37</f>
        <v>0</v>
      </c>
      <c r="AM37" s="133">
        <f>前台增值物品出入库录入!AM38*$E37</f>
        <v>0</v>
      </c>
      <c r="AN37" s="133">
        <f>前台增值物品出入库录入!AN38*$E37</f>
        <v>0</v>
      </c>
      <c r="AO37" s="133">
        <f>前台增值物品出入库录入!AO38*$E37</f>
        <v>0</v>
      </c>
      <c r="AP37" s="133">
        <f>前台增值物品出入库录入!AP38*$E37</f>
        <v>0</v>
      </c>
      <c r="AQ37" s="133">
        <f>前台增值物品出入库录入!AQ38*$E37</f>
        <v>0</v>
      </c>
      <c r="AR37" s="133">
        <f>前台增值物品出入库录入!AR38*$E37</f>
        <v>0</v>
      </c>
      <c r="AS37" s="133">
        <f>前台增值物品出入库录入!AS38*$E37</f>
        <v>0.798</v>
      </c>
      <c r="AT37" s="133">
        <f>前台增值物品出入库录入!AT38*$E37</f>
        <v>0</v>
      </c>
      <c r="AU37" s="133">
        <f>前台增值物品出入库录入!AU38*$E37</f>
        <v>0.798</v>
      </c>
      <c r="AV37" s="133">
        <f>前台增值物品出入库录入!AV38*$E37</f>
        <v>0</v>
      </c>
      <c r="AW37" s="133">
        <f>前台增值物品出入库录入!AW38*$E37</f>
        <v>1.197</v>
      </c>
      <c r="AX37" s="133">
        <f>前台增值物品出入库录入!AX38*$E37</f>
        <v>0</v>
      </c>
      <c r="AY37" s="133">
        <f>前台增值物品出入库录入!AY38*$E37</f>
        <v>0.798</v>
      </c>
      <c r="AZ37" s="133">
        <f>前台增值物品出入库录入!AZ38*$E37</f>
        <v>0</v>
      </c>
      <c r="BA37" s="133">
        <f>前台增值物品出入库录入!BA38*$E37</f>
        <v>1.197</v>
      </c>
      <c r="BB37" s="133">
        <f>前台增值物品出入库录入!BB38*$E37</f>
        <v>0</v>
      </c>
      <c r="BC37" s="133">
        <f>前台增值物品出入库录入!BC38*$E37</f>
        <v>0</v>
      </c>
      <c r="BD37" s="133">
        <f>前台增值物品出入库录入!BD38*$E37</f>
        <v>0</v>
      </c>
      <c r="BE37" s="133">
        <f>前台增值物品出入库录入!BE38*$E37</f>
        <v>1.596</v>
      </c>
      <c r="BF37" s="133">
        <f>前台增值物品出入库录入!BF38*$E37</f>
        <v>0</v>
      </c>
      <c r="BG37" s="133">
        <f>前台增值物品出入库录入!BG38*$E37</f>
        <v>0</v>
      </c>
      <c r="BH37" s="133">
        <f>前台增值物品出入库录入!BH38*$E37</f>
        <v>0</v>
      </c>
      <c r="BI37" s="133">
        <f>前台增值物品出入库录入!BI38*$E37</f>
        <v>1.197</v>
      </c>
      <c r="BJ37" s="133">
        <f>前台增值物品出入库录入!BJ38*$E37</f>
        <v>0</v>
      </c>
      <c r="BK37" s="133">
        <f>前台增值物品出入库录入!BK38*$E37</f>
        <v>1.197</v>
      </c>
      <c r="BL37" s="133">
        <f>前台增值物品出入库录入!BL38*$E37</f>
        <v>0</v>
      </c>
      <c r="BM37" s="133">
        <f>前台增值物品出入库录入!BM38*$E37</f>
        <v>0.798</v>
      </c>
      <c r="BN37" s="133">
        <f>前台增值物品出入库录入!BN38*$E37</f>
        <v>0</v>
      </c>
      <c r="BO37" s="133">
        <f>前台增值物品出入库录入!BO38*$E37</f>
        <v>0</v>
      </c>
      <c r="BP37" s="133">
        <f>前台增值物品出入库录入!BP38*$E37</f>
        <v>0</v>
      </c>
      <c r="BQ37" s="133">
        <f>前台增值物品出入库录入!BQ38*$E37</f>
        <v>1.197</v>
      </c>
      <c r="BR37" s="133">
        <f>前台增值物品出入库录入!BR38*$E37</f>
        <v>0</v>
      </c>
      <c r="BS37" s="133">
        <f>前台增值物品出入库录入!BS38*$E37</f>
        <v>0.399</v>
      </c>
      <c r="BT37" s="133">
        <f>前台增值物品出入库录入!BT38*$E37</f>
        <v>0</v>
      </c>
      <c r="BU37" s="133">
        <f>前台增值物品出入库录入!BU38*$E37</f>
        <v>0.798</v>
      </c>
      <c r="BV37" s="133">
        <f>前台增值物品出入库录入!BV38*$E37</f>
        <v>0</v>
      </c>
      <c r="BW37" s="133">
        <f>前台增值物品出入库录入!BW38*$E37</f>
        <v>0.798</v>
      </c>
    </row>
    <row r="38" s="178" customFormat="1" customHeight="1" spans="1:75">
      <c r="A38" s="161">
        <v>34</v>
      </c>
      <c r="B38" s="162" t="str">
        <f>前台增值物品出入库录入!B39</f>
        <v>柠檬汁</v>
      </c>
      <c r="C38" s="162">
        <f>前台增值物品出入库录入!C39</f>
        <v>0</v>
      </c>
      <c r="D38" s="162" t="str">
        <f>前台增值物品出入库录入!D39</f>
        <v>瓶</v>
      </c>
      <c r="E38" s="162">
        <f>前台增值物品出入库录入!E39</f>
        <v>29.335</v>
      </c>
      <c r="F38" s="162">
        <f>前台增值物品出入库录入!F39</f>
        <v>0</v>
      </c>
      <c r="G38" s="162">
        <f>前台增值物品出入库录入!G39</f>
        <v>0</v>
      </c>
      <c r="H38" s="162">
        <f>前台增值物品出入库录入!H39</f>
        <v>2</v>
      </c>
      <c r="I38" s="162">
        <f>前台增值物品出入库录入!I39</f>
        <v>58.67</v>
      </c>
      <c r="J38" s="162">
        <f>前台增值物品出入库录入!J39</f>
        <v>2</v>
      </c>
      <c r="K38" s="162">
        <f>前台增值物品出入库录入!K39</f>
        <v>58.67</v>
      </c>
      <c r="L38" s="162">
        <f>前台增值物品出入库录入!L39</f>
        <v>0</v>
      </c>
      <c r="M38" s="162">
        <f>前台增值物品出入库录入!M39</f>
        <v>0</v>
      </c>
      <c r="N38" s="133">
        <f>前台增值物品出入库录入!N39*$E38</f>
        <v>0</v>
      </c>
      <c r="O38" s="133">
        <f>前台增值物品出入库录入!O39*$E38</f>
        <v>0</v>
      </c>
      <c r="P38" s="133">
        <f>前台增值物品出入库录入!P39*$E38</f>
        <v>0</v>
      </c>
      <c r="Q38" s="133">
        <f>前台增值物品出入库录入!Q39*$E38</f>
        <v>0</v>
      </c>
      <c r="R38" s="133">
        <f>前台增值物品出入库录入!R39*$E38</f>
        <v>0</v>
      </c>
      <c r="S38" s="133">
        <f>前台增值物品出入库录入!S39*$E38</f>
        <v>0</v>
      </c>
      <c r="T38" s="133">
        <f>前台增值物品出入库录入!T39*$E38</f>
        <v>0</v>
      </c>
      <c r="U38" s="133">
        <f>前台增值物品出入库录入!U39*$E38</f>
        <v>0</v>
      </c>
      <c r="V38" s="133">
        <f>前台增值物品出入库录入!V39*$E38</f>
        <v>58.67</v>
      </c>
      <c r="W38" s="133">
        <f>前台增值物品出入库录入!W39*$E38</f>
        <v>29.335</v>
      </c>
      <c r="X38" s="133">
        <f>前台增值物品出入库录入!X39*$E38</f>
        <v>0</v>
      </c>
      <c r="Y38" s="133">
        <f>前台增值物品出入库录入!Y39*$E38</f>
        <v>0</v>
      </c>
      <c r="Z38" s="133">
        <f>前台增值物品出入库录入!Z39*$E38</f>
        <v>0</v>
      </c>
      <c r="AA38" s="133">
        <f>前台增值物品出入库录入!AA39*$E38</f>
        <v>0</v>
      </c>
      <c r="AB38" s="133">
        <f>前台增值物品出入库录入!AB39*$E38</f>
        <v>0</v>
      </c>
      <c r="AC38" s="133">
        <f>前台增值物品出入库录入!AC39*$E38</f>
        <v>0</v>
      </c>
      <c r="AD38" s="133">
        <f>前台增值物品出入库录入!AD39*$E38</f>
        <v>0</v>
      </c>
      <c r="AE38" s="133">
        <f>前台增值物品出入库录入!AE39*$E38</f>
        <v>0</v>
      </c>
      <c r="AF38" s="133">
        <f>前台增值物品出入库录入!AF39*$E38</f>
        <v>0</v>
      </c>
      <c r="AG38" s="133">
        <f>前台增值物品出入库录入!AG39*$E38</f>
        <v>0</v>
      </c>
      <c r="AH38" s="133">
        <f>前台增值物品出入库录入!AH39*$E38</f>
        <v>0</v>
      </c>
      <c r="AI38" s="133">
        <f>前台增值物品出入库录入!AI39*$E38</f>
        <v>0</v>
      </c>
      <c r="AJ38" s="133">
        <f>前台增值物品出入库录入!AJ39*$E38</f>
        <v>0</v>
      </c>
      <c r="AK38" s="133">
        <f>前台增值物品出入库录入!AK39*$E38</f>
        <v>0</v>
      </c>
      <c r="AL38" s="133">
        <f>前台增值物品出入库录入!AL39*$E38</f>
        <v>0</v>
      </c>
      <c r="AM38" s="133">
        <f>前台增值物品出入库录入!AM39*$E38</f>
        <v>0</v>
      </c>
      <c r="AN38" s="133">
        <f>前台增值物品出入库录入!AN39*$E38</f>
        <v>0</v>
      </c>
      <c r="AO38" s="133">
        <f>前台增值物品出入库录入!AO39*$E38</f>
        <v>0</v>
      </c>
      <c r="AP38" s="133">
        <f>前台增值物品出入库录入!AP39*$E38</f>
        <v>0</v>
      </c>
      <c r="AQ38" s="133">
        <f>前台增值物品出入库录入!AQ39*$E38</f>
        <v>0</v>
      </c>
      <c r="AR38" s="133">
        <f>前台增值物品出入库录入!AR39*$E38</f>
        <v>0</v>
      </c>
      <c r="AS38" s="133">
        <f>前台增值物品出入库录入!AS39*$E38</f>
        <v>0</v>
      </c>
      <c r="AT38" s="133">
        <f>前台增值物品出入库录入!AT39*$E38</f>
        <v>0</v>
      </c>
      <c r="AU38" s="133">
        <f>前台增值物品出入库录入!AU39*$E38</f>
        <v>0</v>
      </c>
      <c r="AV38" s="133">
        <f>前台增值物品出入库录入!AV39*$E38</f>
        <v>0</v>
      </c>
      <c r="AW38" s="133">
        <f>前台增值物品出入库录入!AW39*$E38</f>
        <v>0</v>
      </c>
      <c r="AX38" s="133">
        <f>前台增值物品出入库录入!AX39*$E38</f>
        <v>0</v>
      </c>
      <c r="AY38" s="133">
        <f>前台增值物品出入库录入!AY39*$E38</f>
        <v>0</v>
      </c>
      <c r="AZ38" s="133">
        <f>前台增值物品出入库录入!AZ39*$E38</f>
        <v>0</v>
      </c>
      <c r="BA38" s="133">
        <f>前台增值物品出入库录入!BA39*$E38</f>
        <v>0</v>
      </c>
      <c r="BB38" s="133">
        <f>前台增值物品出入库录入!BB39*$E38</f>
        <v>0</v>
      </c>
      <c r="BC38" s="133">
        <f>前台增值物品出入库录入!BC39*$E38</f>
        <v>0</v>
      </c>
      <c r="BD38" s="133">
        <f>前台增值物品出入库录入!BD39*$E38</f>
        <v>0</v>
      </c>
      <c r="BE38" s="133">
        <f>前台增值物品出入库录入!BE39*$E38</f>
        <v>0</v>
      </c>
      <c r="BF38" s="133">
        <f>前台增值物品出入库录入!BF39*$E38</f>
        <v>0</v>
      </c>
      <c r="BG38" s="133">
        <f>前台增值物品出入库录入!BG39*$E38</f>
        <v>0</v>
      </c>
      <c r="BH38" s="133">
        <f>前台增值物品出入库录入!BH39*$E38</f>
        <v>0</v>
      </c>
      <c r="BI38" s="133">
        <f>前台增值物品出入库录入!BI39*$E38</f>
        <v>0</v>
      </c>
      <c r="BJ38" s="133">
        <f>前台增值物品出入库录入!BJ39*$E38</f>
        <v>0</v>
      </c>
      <c r="BK38" s="133">
        <f>前台增值物品出入库录入!BK39*$E38</f>
        <v>29.335</v>
      </c>
      <c r="BL38" s="133">
        <f>前台增值物品出入库录入!BL39*$E38</f>
        <v>0</v>
      </c>
      <c r="BM38" s="133">
        <f>前台增值物品出入库录入!BM39*$E38</f>
        <v>0</v>
      </c>
      <c r="BN38" s="133">
        <f>前台增值物品出入库录入!BN39*$E38</f>
        <v>0</v>
      </c>
      <c r="BO38" s="133">
        <f>前台增值物品出入库录入!BO39*$E38</f>
        <v>0</v>
      </c>
      <c r="BP38" s="133">
        <f>前台增值物品出入库录入!BP39*$E38</f>
        <v>0</v>
      </c>
      <c r="BQ38" s="133">
        <f>前台增值物品出入库录入!BQ39*$E38</f>
        <v>0</v>
      </c>
      <c r="BR38" s="133">
        <f>前台增值物品出入库录入!BR39*$E38</f>
        <v>0</v>
      </c>
      <c r="BS38" s="133">
        <f>前台增值物品出入库录入!BS39*$E38</f>
        <v>0</v>
      </c>
      <c r="BT38" s="133">
        <f>前台增值物品出入库录入!BT39*$E38</f>
        <v>0</v>
      </c>
      <c r="BU38" s="133">
        <f>前台增值物品出入库录入!BU39*$E38</f>
        <v>0</v>
      </c>
      <c r="BV38" s="133">
        <f>前台增值物品出入库录入!BV39*$E38</f>
        <v>0</v>
      </c>
      <c r="BW38" s="133">
        <f>前台增值物品出入库录入!BW39*$E38</f>
        <v>0</v>
      </c>
    </row>
    <row r="39" s="178" customFormat="1" customHeight="1" spans="1:75">
      <c r="A39" s="161">
        <v>35</v>
      </c>
      <c r="B39" s="162" t="str">
        <f>前台增值物品出入库录入!B40</f>
        <v>火柴4</v>
      </c>
      <c r="C39" s="162">
        <f>前台增值物品出入库录入!C40</f>
        <v>0</v>
      </c>
      <c r="D39" s="162" t="str">
        <f>前台增值物品出入库录入!D40</f>
        <v>个</v>
      </c>
      <c r="E39" s="162">
        <f>前台增值物品出入库录入!E40</f>
        <v>0.2071</v>
      </c>
      <c r="F39" s="162">
        <f>前台增值物品出入库录入!F40</f>
        <v>450</v>
      </c>
      <c r="G39" s="162">
        <f>前台增值物品出入库录入!G40</f>
        <v>93.195</v>
      </c>
      <c r="H39" s="162">
        <f>前台增值物品出入库录入!H40</f>
        <v>0</v>
      </c>
      <c r="I39" s="162">
        <f>前台增值物品出入库录入!I40</f>
        <v>0</v>
      </c>
      <c r="J39" s="162">
        <f>前台增值物品出入库录入!J40</f>
        <v>192</v>
      </c>
      <c r="K39" s="162">
        <f>前台增值物品出入库录入!K40</f>
        <v>39.7632</v>
      </c>
      <c r="L39" s="162">
        <f>前台增值物品出入库录入!L40</f>
        <v>258</v>
      </c>
      <c r="M39" s="162">
        <f>前台增值物品出入库录入!M40</f>
        <v>53.4318</v>
      </c>
      <c r="N39" s="133">
        <f>前台增值物品出入库录入!N40*$E39</f>
        <v>0</v>
      </c>
      <c r="O39" s="133">
        <f>前台增值物品出入库录入!O40*$E39</f>
        <v>10.355</v>
      </c>
      <c r="P39" s="133">
        <f>前台增值物品出入库录入!P40*$E39</f>
        <v>0</v>
      </c>
      <c r="Q39" s="133">
        <f>前台增值物品出入库录入!Q40*$E39</f>
        <v>0</v>
      </c>
      <c r="R39" s="133">
        <f>前台增值物品出入库录入!R40*$E39</f>
        <v>0</v>
      </c>
      <c r="S39" s="133">
        <f>前台增值物品出入库录入!S40*$E39</f>
        <v>4.142</v>
      </c>
      <c r="T39" s="133">
        <f>前台增值物品出入库录入!T40*$E39</f>
        <v>0</v>
      </c>
      <c r="U39" s="133">
        <f>前台增值物品出入库录入!U40*$E39</f>
        <v>0</v>
      </c>
      <c r="V39" s="133">
        <f>前台增值物品出入库录入!V40*$E39</f>
        <v>0</v>
      </c>
      <c r="W39" s="133">
        <f>前台增值物品出入库录入!W40*$E39</f>
        <v>3.1065</v>
      </c>
      <c r="X39" s="133">
        <f>前台增值物品出入库录入!X40*$E39</f>
        <v>0</v>
      </c>
      <c r="Y39" s="133">
        <f>前台增值物品出入库录入!Y40*$E39</f>
        <v>0</v>
      </c>
      <c r="Z39" s="133">
        <f>前台增值物品出入库录入!Z40*$E39</f>
        <v>0</v>
      </c>
      <c r="AA39" s="133">
        <f>前台增值物品出入库录入!AA40*$E39</f>
        <v>2.071</v>
      </c>
      <c r="AB39" s="133">
        <f>前台增值物品出入库录入!AB40*$E39</f>
        <v>0</v>
      </c>
      <c r="AC39" s="133">
        <f>前台增值物品出入库录入!AC40*$E39</f>
        <v>0</v>
      </c>
      <c r="AD39" s="133">
        <f>前台增值物品出入库录入!AD40*$E39</f>
        <v>0</v>
      </c>
      <c r="AE39" s="133">
        <f>前台增值物品出入库录入!AE40*$E39</f>
        <v>1.0355</v>
      </c>
      <c r="AF39" s="133">
        <f>前台增值物品出入库录入!AF40*$E39</f>
        <v>0</v>
      </c>
      <c r="AG39" s="133">
        <f>前台增值物品出入库录入!AG40*$E39</f>
        <v>0</v>
      </c>
      <c r="AH39" s="133">
        <f>前台增值物品出入库录入!AH40*$E39</f>
        <v>0</v>
      </c>
      <c r="AI39" s="133">
        <f>前台增值物品出入库录入!AI40*$E39</f>
        <v>1.0355</v>
      </c>
      <c r="AJ39" s="133">
        <f>前台增值物品出入库录入!AJ40*$E39</f>
        <v>0</v>
      </c>
      <c r="AK39" s="133">
        <f>前台增值物品出入库录入!AK40*$E39</f>
        <v>1.0355</v>
      </c>
      <c r="AL39" s="133">
        <f>前台增值物品出入库录入!AL40*$E39</f>
        <v>0</v>
      </c>
      <c r="AM39" s="133">
        <f>前台增值物品出入库录入!AM40*$E39</f>
        <v>1.0355</v>
      </c>
      <c r="AN39" s="133">
        <f>前台增值物品出入库录入!AN40*$E39</f>
        <v>0</v>
      </c>
      <c r="AO39" s="133">
        <f>前台增值物品出入库录入!AO40*$E39</f>
        <v>2.071</v>
      </c>
      <c r="AP39" s="133">
        <f>前台增值物品出入库录入!AP40*$E39</f>
        <v>0</v>
      </c>
      <c r="AQ39" s="133">
        <f>前台增值物品出入库录入!AQ40*$E39</f>
        <v>1.0355</v>
      </c>
      <c r="AR39" s="133">
        <f>前台增值物品出入库录入!AR40*$E39</f>
        <v>0</v>
      </c>
      <c r="AS39" s="133">
        <f>前台增值物品出入库录入!AS40*$E39</f>
        <v>2.071</v>
      </c>
      <c r="AT39" s="133">
        <f>前台增值物品出入库录入!AT40*$E39</f>
        <v>0</v>
      </c>
      <c r="AU39" s="133">
        <f>前台增值物品出入库录入!AU40*$E39</f>
        <v>1.2426</v>
      </c>
      <c r="AV39" s="133">
        <f>前台增值物品出入库录入!AV40*$E39</f>
        <v>0</v>
      </c>
      <c r="AW39" s="133">
        <f>前台增值物品出入库录入!AW40*$E39</f>
        <v>1.0355</v>
      </c>
      <c r="AX39" s="133">
        <f>前台增值物品出入库录入!AX40*$E39</f>
        <v>0</v>
      </c>
      <c r="AY39" s="133">
        <f>前台增值物品出入库录入!AY40*$E39</f>
        <v>0</v>
      </c>
      <c r="AZ39" s="133">
        <f>前台增值物品出入库录入!AZ40*$E39</f>
        <v>0</v>
      </c>
      <c r="BA39" s="133">
        <f>前台增值物品出入库录入!BA40*$E39</f>
        <v>0.8284</v>
      </c>
      <c r="BB39" s="133">
        <f>前台增值物品出入库录入!BB40*$E39</f>
        <v>0</v>
      </c>
      <c r="BC39" s="133">
        <f>前台增值物品出入库录入!BC40*$E39</f>
        <v>1.0355</v>
      </c>
      <c r="BD39" s="133">
        <f>前台增值物品出入库录入!BD40*$E39</f>
        <v>0</v>
      </c>
      <c r="BE39" s="133">
        <f>前台增值物品出入库录入!BE40*$E39</f>
        <v>1.0355</v>
      </c>
      <c r="BF39" s="133">
        <f>前台增值物品出入库录入!BF40*$E39</f>
        <v>0</v>
      </c>
      <c r="BG39" s="133">
        <f>前台增值物品出入库录入!BG40*$E39</f>
        <v>0.6213</v>
      </c>
      <c r="BH39" s="133">
        <f>前台增值物品出入库录入!BH40*$E39</f>
        <v>0</v>
      </c>
      <c r="BI39" s="133">
        <f>前台增值物品出入库录入!BI40*$E39</f>
        <v>1.0355</v>
      </c>
      <c r="BJ39" s="133">
        <f>前台增值物品出入库录入!BJ40*$E39</f>
        <v>0</v>
      </c>
      <c r="BK39" s="133">
        <f>前台增值物品出入库录入!BK40*$E39</f>
        <v>2.071</v>
      </c>
      <c r="BL39" s="133">
        <f>前台增值物品出入库录入!BL40*$E39</f>
        <v>0</v>
      </c>
      <c r="BM39" s="133">
        <f>前台增值物品出入库录入!BM40*$E39</f>
        <v>0</v>
      </c>
      <c r="BN39" s="133">
        <f>前台增值物品出入库录入!BN40*$E39</f>
        <v>0</v>
      </c>
      <c r="BO39" s="133">
        <f>前台增值物品出入库录入!BO40*$E39</f>
        <v>0</v>
      </c>
      <c r="BP39" s="133">
        <f>前台增值物品出入库录入!BP40*$E39</f>
        <v>0</v>
      </c>
      <c r="BQ39" s="133">
        <f>前台增值物品出入库录入!BQ40*$E39</f>
        <v>1.0355</v>
      </c>
      <c r="BR39" s="133">
        <f>前台增值物品出入库录入!BR40*$E39</f>
        <v>0</v>
      </c>
      <c r="BS39" s="133">
        <f>前台增值物品出入库录入!BS40*$E39</f>
        <v>0.6213</v>
      </c>
      <c r="BT39" s="133">
        <f>前台增值物品出入库录入!BT40*$E39</f>
        <v>0</v>
      </c>
      <c r="BU39" s="133">
        <f>前台增值物品出入库录入!BU40*$E39</f>
        <v>0.2071</v>
      </c>
      <c r="BV39" s="133">
        <f>前台增值物品出入库录入!BV40*$E39</f>
        <v>0</v>
      </c>
      <c r="BW39" s="133">
        <f>前台增值物品出入库录入!BW40*$E39</f>
        <v>0</v>
      </c>
    </row>
    <row r="40" s="178" customFormat="1" customHeight="1" spans="1:75">
      <c r="A40" s="161">
        <v>36</v>
      </c>
      <c r="B40" s="162" t="str">
        <f>前台增值物品出入库录入!B41</f>
        <v>雨伞</v>
      </c>
      <c r="C40" s="162">
        <f>前台增值物品出入库录入!C41</f>
        <v>0</v>
      </c>
      <c r="D40" s="162" t="str">
        <f>前台增值物品出入库录入!D41</f>
        <v>个</v>
      </c>
      <c r="E40" s="162">
        <f>前台增值物品出入库录入!E41</f>
        <v>30</v>
      </c>
      <c r="F40" s="162">
        <f>前台增值物品出入库录入!F41</f>
        <v>2</v>
      </c>
      <c r="G40" s="162">
        <f>前台增值物品出入库录入!G41</f>
        <v>60</v>
      </c>
      <c r="H40" s="162">
        <f>前台增值物品出入库录入!H41</f>
        <v>0</v>
      </c>
      <c r="I40" s="162">
        <f>前台增值物品出入库录入!I41</f>
        <v>0</v>
      </c>
      <c r="J40" s="162">
        <f>前台增值物品出入库录入!J41</f>
        <v>0</v>
      </c>
      <c r="K40" s="162">
        <f>前台增值物品出入库录入!K41</f>
        <v>0</v>
      </c>
      <c r="L40" s="162">
        <f>前台增值物品出入库录入!L41</f>
        <v>2</v>
      </c>
      <c r="M40" s="162">
        <f>前台增值物品出入库录入!M41</f>
        <v>60</v>
      </c>
      <c r="N40" s="133">
        <f>前台增值物品出入库录入!N41*$E40</f>
        <v>0</v>
      </c>
      <c r="O40" s="133">
        <f>前台增值物品出入库录入!O41*$E40</f>
        <v>0</v>
      </c>
      <c r="P40" s="133">
        <f>前台增值物品出入库录入!P41*$E40</f>
        <v>0</v>
      </c>
      <c r="Q40" s="133">
        <f>前台增值物品出入库录入!Q41*$E40</f>
        <v>0</v>
      </c>
      <c r="R40" s="133">
        <f>前台增值物品出入库录入!R41*$E40</f>
        <v>0</v>
      </c>
      <c r="S40" s="133">
        <f>前台增值物品出入库录入!S41*$E40</f>
        <v>0</v>
      </c>
      <c r="T40" s="133">
        <f>前台增值物品出入库录入!T41*$E40</f>
        <v>0</v>
      </c>
      <c r="U40" s="133">
        <f>前台增值物品出入库录入!U41*$E40</f>
        <v>0</v>
      </c>
      <c r="V40" s="133">
        <f>前台增值物品出入库录入!V41*$E40</f>
        <v>0</v>
      </c>
      <c r="W40" s="133">
        <f>前台增值物品出入库录入!W41*$E40</f>
        <v>0</v>
      </c>
      <c r="X40" s="133">
        <f>前台增值物品出入库录入!X41*$E40</f>
        <v>0</v>
      </c>
      <c r="Y40" s="133">
        <f>前台增值物品出入库录入!Y41*$E40</f>
        <v>0</v>
      </c>
      <c r="Z40" s="133">
        <f>前台增值物品出入库录入!Z41*$E40</f>
        <v>0</v>
      </c>
      <c r="AA40" s="133">
        <f>前台增值物品出入库录入!AA41*$E40</f>
        <v>0</v>
      </c>
      <c r="AB40" s="133">
        <f>前台增值物品出入库录入!AB41*$E40</f>
        <v>0</v>
      </c>
      <c r="AC40" s="133">
        <f>前台增值物品出入库录入!AC41*$E40</f>
        <v>0</v>
      </c>
      <c r="AD40" s="133">
        <f>前台增值物品出入库录入!AD41*$E40</f>
        <v>0</v>
      </c>
      <c r="AE40" s="133">
        <f>前台增值物品出入库录入!AE41*$E40</f>
        <v>0</v>
      </c>
      <c r="AF40" s="133">
        <f>前台增值物品出入库录入!AF41*$E40</f>
        <v>0</v>
      </c>
      <c r="AG40" s="133">
        <f>前台增值物品出入库录入!AG41*$E40</f>
        <v>0</v>
      </c>
      <c r="AH40" s="133">
        <f>前台增值物品出入库录入!AH41*$E40</f>
        <v>0</v>
      </c>
      <c r="AI40" s="133">
        <f>前台增值物品出入库录入!AI41*$E40</f>
        <v>0</v>
      </c>
      <c r="AJ40" s="133">
        <f>前台增值物品出入库录入!AJ41*$E40</f>
        <v>0</v>
      </c>
      <c r="AK40" s="133">
        <f>前台增值物品出入库录入!AK41*$E40</f>
        <v>0</v>
      </c>
      <c r="AL40" s="133">
        <f>前台增值物品出入库录入!AL41*$E40</f>
        <v>0</v>
      </c>
      <c r="AM40" s="133">
        <f>前台增值物品出入库录入!AM41*$E40</f>
        <v>0</v>
      </c>
      <c r="AN40" s="133">
        <f>前台增值物品出入库录入!AN41*$E40</f>
        <v>0</v>
      </c>
      <c r="AO40" s="133">
        <f>前台增值物品出入库录入!AO41*$E40</f>
        <v>0</v>
      </c>
      <c r="AP40" s="133">
        <f>前台增值物品出入库录入!AP41*$E40</f>
        <v>0</v>
      </c>
      <c r="AQ40" s="133">
        <f>前台增值物品出入库录入!AQ41*$E40</f>
        <v>0</v>
      </c>
      <c r="AR40" s="133">
        <f>前台增值物品出入库录入!AR41*$E40</f>
        <v>0</v>
      </c>
      <c r="AS40" s="133">
        <f>前台增值物品出入库录入!AS41*$E40</f>
        <v>0</v>
      </c>
      <c r="AT40" s="133">
        <f>前台增值物品出入库录入!AT41*$E40</f>
        <v>0</v>
      </c>
      <c r="AU40" s="133">
        <f>前台增值物品出入库录入!AU41*$E40</f>
        <v>0</v>
      </c>
      <c r="AV40" s="133">
        <f>前台增值物品出入库录入!AV41*$E40</f>
        <v>0</v>
      </c>
      <c r="AW40" s="133">
        <f>前台增值物品出入库录入!AW41*$E40</f>
        <v>0</v>
      </c>
      <c r="AX40" s="133">
        <f>前台增值物品出入库录入!AX41*$E40</f>
        <v>0</v>
      </c>
      <c r="AY40" s="133">
        <f>前台增值物品出入库录入!AY41*$E40</f>
        <v>0</v>
      </c>
      <c r="AZ40" s="133">
        <f>前台增值物品出入库录入!AZ41*$E40</f>
        <v>0</v>
      </c>
      <c r="BA40" s="133">
        <f>前台增值物品出入库录入!BA41*$E40</f>
        <v>0</v>
      </c>
      <c r="BB40" s="133">
        <f>前台增值物品出入库录入!BB41*$E40</f>
        <v>0</v>
      </c>
      <c r="BC40" s="133">
        <f>前台增值物品出入库录入!BC41*$E40</f>
        <v>0</v>
      </c>
      <c r="BD40" s="133">
        <f>前台增值物品出入库录入!BD41*$E40</f>
        <v>0</v>
      </c>
      <c r="BE40" s="133">
        <f>前台增值物品出入库录入!BE41*$E40</f>
        <v>0</v>
      </c>
      <c r="BF40" s="133">
        <f>前台增值物品出入库录入!BF41*$E40</f>
        <v>0</v>
      </c>
      <c r="BG40" s="133">
        <f>前台增值物品出入库录入!BG41*$E40</f>
        <v>0</v>
      </c>
      <c r="BH40" s="133">
        <f>前台增值物品出入库录入!BH41*$E40</f>
        <v>0</v>
      </c>
      <c r="BI40" s="133">
        <f>前台增值物品出入库录入!BI41*$E40</f>
        <v>0</v>
      </c>
      <c r="BJ40" s="133">
        <f>前台增值物品出入库录入!BJ41*$E40</f>
        <v>0</v>
      </c>
      <c r="BK40" s="133">
        <f>前台增值物品出入库录入!BK41*$E40</f>
        <v>0</v>
      </c>
      <c r="BL40" s="133">
        <f>前台增值物品出入库录入!BL41*$E40</f>
        <v>0</v>
      </c>
      <c r="BM40" s="133">
        <f>前台增值物品出入库录入!BM41*$E40</f>
        <v>0</v>
      </c>
      <c r="BN40" s="133">
        <f>前台增值物品出入库录入!BN41*$E40</f>
        <v>0</v>
      </c>
      <c r="BO40" s="133">
        <f>前台增值物品出入库录入!BO41*$E40</f>
        <v>0</v>
      </c>
      <c r="BP40" s="133">
        <f>前台增值物品出入库录入!BP41*$E40</f>
        <v>0</v>
      </c>
      <c r="BQ40" s="133">
        <f>前台增值物品出入库录入!BQ41*$E40</f>
        <v>0</v>
      </c>
      <c r="BR40" s="133">
        <f>前台增值物品出入库录入!BR41*$E40</f>
        <v>0</v>
      </c>
      <c r="BS40" s="133">
        <f>前台增值物品出入库录入!BS41*$E40</f>
        <v>0</v>
      </c>
      <c r="BT40" s="133">
        <f>前台增值物品出入库录入!BT41*$E40</f>
        <v>0</v>
      </c>
      <c r="BU40" s="133">
        <f>前台增值物品出入库录入!BU41*$E40</f>
        <v>0</v>
      </c>
      <c r="BV40" s="133">
        <f>前台增值物品出入库录入!BV41*$E40</f>
        <v>0</v>
      </c>
      <c r="BW40" s="133">
        <f>前台增值物品出入库录入!BW41*$E40</f>
        <v>0</v>
      </c>
    </row>
    <row r="41" s="178" customFormat="1" customHeight="1" spans="1:75">
      <c r="A41" s="161">
        <v>37</v>
      </c>
      <c r="B41" s="162" t="str">
        <f>前台增值物品出入库录入!B43</f>
        <v>档案袋（底2.8）</v>
      </c>
      <c r="C41" s="162">
        <f>前台增值物品出入库录入!C43</f>
        <v>0</v>
      </c>
      <c r="D41" s="162" t="str">
        <f>前台增值物品出入库录入!D43</f>
        <v>个</v>
      </c>
      <c r="E41" s="162">
        <f>前台增值物品出入库录入!E43</f>
        <v>0.5</v>
      </c>
      <c r="F41" s="162">
        <f>前台增值物品出入库录入!F43</f>
        <v>16</v>
      </c>
      <c r="G41" s="162">
        <f>前台增值物品出入库录入!G43</f>
        <v>8</v>
      </c>
      <c r="H41" s="162">
        <f>前台增值物品出入库录入!H43</f>
        <v>0</v>
      </c>
      <c r="I41" s="162">
        <f>前台增值物品出入库录入!I43</f>
        <v>0</v>
      </c>
      <c r="J41" s="162">
        <f>前台增值物品出入库录入!J43</f>
        <v>1</v>
      </c>
      <c r="K41" s="162">
        <f>前台增值物品出入库录入!K43</f>
        <v>0.5</v>
      </c>
      <c r="L41" s="162">
        <f>前台增值物品出入库录入!L43</f>
        <v>15</v>
      </c>
      <c r="M41" s="162">
        <f>前台增值物品出入库录入!M43</f>
        <v>7.5</v>
      </c>
      <c r="N41" s="133">
        <f>前台增值物品出入库录入!N43*$E41</f>
        <v>0</v>
      </c>
      <c r="O41" s="133">
        <f>前台增值物品出入库录入!O43*$E41</f>
        <v>0</v>
      </c>
      <c r="P41" s="133">
        <f>前台增值物品出入库录入!P43*$E41</f>
        <v>0</v>
      </c>
      <c r="Q41" s="133">
        <f>前台增值物品出入库录入!Q43*$E41</f>
        <v>0</v>
      </c>
      <c r="R41" s="133">
        <f>前台增值物品出入库录入!R43*$E41</f>
        <v>0</v>
      </c>
      <c r="S41" s="133">
        <f>前台增值物品出入库录入!S43*$E41</f>
        <v>0</v>
      </c>
      <c r="T41" s="133">
        <f>前台增值物品出入库录入!T43*$E41</f>
        <v>0</v>
      </c>
      <c r="U41" s="133">
        <f>前台增值物品出入库录入!U43*$E41</f>
        <v>0</v>
      </c>
      <c r="V41" s="133">
        <f>前台增值物品出入库录入!V43*$E41</f>
        <v>0</v>
      </c>
      <c r="W41" s="133">
        <f>前台增值物品出入库录入!W43*$E41</f>
        <v>0</v>
      </c>
      <c r="X41" s="133">
        <f>前台增值物品出入库录入!X43*$E41</f>
        <v>0</v>
      </c>
      <c r="Y41" s="133">
        <f>前台增值物品出入库录入!Y43*$E41</f>
        <v>0</v>
      </c>
      <c r="Z41" s="133">
        <f>前台增值物品出入库录入!Z43*$E41</f>
        <v>0</v>
      </c>
      <c r="AA41" s="133">
        <f>前台增值物品出入库录入!AA43*$E41</f>
        <v>0</v>
      </c>
      <c r="AB41" s="133">
        <f>前台增值物品出入库录入!AB43*$E41</f>
        <v>0</v>
      </c>
      <c r="AC41" s="133">
        <f>前台增值物品出入库录入!AC43*$E41</f>
        <v>0</v>
      </c>
      <c r="AD41" s="133">
        <f>前台增值物品出入库录入!AD43*$E41</f>
        <v>0</v>
      </c>
      <c r="AE41" s="133">
        <f>前台增值物品出入库录入!AE43*$E41</f>
        <v>0</v>
      </c>
      <c r="AF41" s="133">
        <f>前台增值物品出入库录入!AF43*$E41</f>
        <v>0</v>
      </c>
      <c r="AG41" s="133">
        <f>前台增值物品出入库录入!AG43*$E41</f>
        <v>0</v>
      </c>
      <c r="AH41" s="133">
        <f>前台增值物品出入库录入!AH43*$E41</f>
        <v>0</v>
      </c>
      <c r="AI41" s="133">
        <f>前台增值物品出入库录入!AI43*$E41</f>
        <v>0</v>
      </c>
      <c r="AJ41" s="133">
        <f>前台增值物品出入库录入!AJ43*$E41</f>
        <v>0</v>
      </c>
      <c r="AK41" s="133">
        <f>前台增值物品出入库录入!AK43*$E41</f>
        <v>0</v>
      </c>
      <c r="AL41" s="133">
        <f>前台增值物品出入库录入!AL43*$E41</f>
        <v>0</v>
      </c>
      <c r="AM41" s="133">
        <f>前台增值物品出入库录入!AM43*$E41</f>
        <v>0</v>
      </c>
      <c r="AN41" s="133">
        <f>前台增值物品出入库录入!AN43*$E41</f>
        <v>0</v>
      </c>
      <c r="AO41" s="133">
        <f>前台增值物品出入库录入!AO43*$E41</f>
        <v>0</v>
      </c>
      <c r="AP41" s="133">
        <f>前台增值物品出入库录入!AP43*$E41</f>
        <v>0</v>
      </c>
      <c r="AQ41" s="133">
        <f>前台增值物品出入库录入!AQ43*$E41</f>
        <v>0</v>
      </c>
      <c r="AR41" s="133">
        <f>前台增值物品出入库录入!AR43*$E41</f>
        <v>0</v>
      </c>
      <c r="AS41" s="133">
        <f>前台增值物品出入库录入!AS43*$E41</f>
        <v>0</v>
      </c>
      <c r="AT41" s="133">
        <f>前台增值物品出入库录入!AT43*$E41</f>
        <v>0</v>
      </c>
      <c r="AU41" s="133">
        <f>前台增值物品出入库录入!AU43*$E41</f>
        <v>0</v>
      </c>
      <c r="AV41" s="133">
        <f>前台增值物品出入库录入!AV43*$E41</f>
        <v>0</v>
      </c>
      <c r="AW41" s="133">
        <f>前台增值物品出入库录入!AW43*$E41</f>
        <v>0</v>
      </c>
      <c r="AX41" s="133">
        <f>前台增值物品出入库录入!AX43*$E41</f>
        <v>0</v>
      </c>
      <c r="AY41" s="133">
        <f>前台增值物品出入库录入!AY43*$E41</f>
        <v>0</v>
      </c>
      <c r="AZ41" s="133">
        <f>前台增值物品出入库录入!AZ43*$E41</f>
        <v>0</v>
      </c>
      <c r="BA41" s="133">
        <f>前台增值物品出入库录入!BA43*$E41</f>
        <v>0</v>
      </c>
      <c r="BB41" s="133">
        <f>前台增值物品出入库录入!BB43*$E41</f>
        <v>0</v>
      </c>
      <c r="BC41" s="133">
        <f>前台增值物品出入库录入!BC43*$E41</f>
        <v>0</v>
      </c>
      <c r="BD41" s="133">
        <f>前台增值物品出入库录入!BD43*$E41</f>
        <v>0</v>
      </c>
      <c r="BE41" s="133">
        <f>前台增值物品出入库录入!BE43*$E41</f>
        <v>0</v>
      </c>
      <c r="BF41" s="133">
        <f>前台增值物品出入库录入!BF43*$E41</f>
        <v>0</v>
      </c>
      <c r="BG41" s="133">
        <f>前台增值物品出入库录入!BG43*$E41</f>
        <v>0</v>
      </c>
      <c r="BH41" s="133">
        <f>前台增值物品出入库录入!BH43*$E41</f>
        <v>0</v>
      </c>
      <c r="BI41" s="133">
        <f>前台增值物品出入库录入!BI43*$E41</f>
        <v>0.5</v>
      </c>
      <c r="BJ41" s="133">
        <f>前台增值物品出入库录入!BJ43*$E41</f>
        <v>0</v>
      </c>
      <c r="BK41" s="133">
        <f>前台增值物品出入库录入!BK43*$E41</f>
        <v>0</v>
      </c>
      <c r="BL41" s="133">
        <f>前台增值物品出入库录入!BL43*$E41</f>
        <v>0</v>
      </c>
      <c r="BM41" s="133">
        <f>前台增值物品出入库录入!BM43*$E41</f>
        <v>0</v>
      </c>
      <c r="BN41" s="133">
        <f>前台增值物品出入库录入!BN43*$E41</f>
        <v>0</v>
      </c>
      <c r="BO41" s="133">
        <f>前台增值物品出入库录入!BO43*$E41</f>
        <v>0</v>
      </c>
      <c r="BP41" s="133">
        <f>前台增值物品出入库录入!BP43*$E41</f>
        <v>0</v>
      </c>
      <c r="BQ41" s="133">
        <f>前台增值物品出入库录入!BQ43*$E41</f>
        <v>0</v>
      </c>
      <c r="BR41" s="133">
        <f>前台增值物品出入库录入!BR43*$E41</f>
        <v>0</v>
      </c>
      <c r="BS41" s="133">
        <f>前台增值物品出入库录入!BS43*$E41</f>
        <v>0</v>
      </c>
      <c r="BT41" s="133">
        <f>前台增值物品出入库录入!BT43*$E41</f>
        <v>0</v>
      </c>
      <c r="BU41" s="133">
        <f>前台增值物品出入库录入!BU43*$E41</f>
        <v>0</v>
      </c>
      <c r="BV41" s="133">
        <f>前台增值物品出入库录入!BV43*$E41</f>
        <v>0</v>
      </c>
      <c r="BW41" s="133">
        <f>前台增值物品出入库录入!BW43*$E41</f>
        <v>0</v>
      </c>
    </row>
    <row r="42" s="178" customFormat="1" customHeight="1" spans="1:75">
      <c r="A42" s="161">
        <v>38</v>
      </c>
      <c r="B42" s="162" t="str">
        <f>前台增值物品出入库录入!B44</f>
        <v>夹板</v>
      </c>
      <c r="C42" s="162">
        <f>前台增值物品出入库录入!C44</f>
        <v>0</v>
      </c>
      <c r="D42" s="162" t="str">
        <f>前台增值物品出入库录入!D44</f>
        <v>个</v>
      </c>
      <c r="E42" s="162">
        <f>前台增值物品出入库录入!E44</f>
        <v>4.5</v>
      </c>
      <c r="F42" s="162">
        <f>前台增值物品出入库录入!F44</f>
        <v>3</v>
      </c>
      <c r="G42" s="162">
        <f>前台增值物品出入库录入!G44</f>
        <v>13.5</v>
      </c>
      <c r="H42" s="162">
        <f>前台增值物品出入库录入!H44</f>
        <v>0</v>
      </c>
      <c r="I42" s="162">
        <f>前台增值物品出入库录入!I44</f>
        <v>0</v>
      </c>
      <c r="J42" s="162">
        <f>前台增值物品出入库录入!J44</f>
        <v>1</v>
      </c>
      <c r="K42" s="162">
        <f>前台增值物品出入库录入!K44</f>
        <v>4.5</v>
      </c>
      <c r="L42" s="162">
        <f>前台增值物品出入库录入!L44</f>
        <v>2</v>
      </c>
      <c r="M42" s="162">
        <f>前台增值物品出入库录入!M44</f>
        <v>9</v>
      </c>
      <c r="N42" s="133">
        <f>前台增值物品出入库录入!N44*$E42</f>
        <v>0</v>
      </c>
      <c r="O42" s="133">
        <f>前台增值物品出入库录入!O44*$E42</f>
        <v>0</v>
      </c>
      <c r="P42" s="133">
        <f>前台增值物品出入库录入!P44*$E42</f>
        <v>0</v>
      </c>
      <c r="Q42" s="133">
        <f>前台增值物品出入库录入!Q44*$E42</f>
        <v>0</v>
      </c>
      <c r="R42" s="133">
        <f>前台增值物品出入库录入!R44*$E42</f>
        <v>0</v>
      </c>
      <c r="S42" s="133">
        <f>前台增值物品出入库录入!S44*$E42</f>
        <v>0</v>
      </c>
      <c r="T42" s="133">
        <f>前台增值物品出入库录入!T44*$E42</f>
        <v>0</v>
      </c>
      <c r="U42" s="133">
        <f>前台增值物品出入库录入!U44*$E42</f>
        <v>0</v>
      </c>
      <c r="V42" s="133">
        <f>前台增值物品出入库录入!V44*$E42</f>
        <v>0</v>
      </c>
      <c r="W42" s="133">
        <f>前台增值物品出入库录入!W44*$E42</f>
        <v>0</v>
      </c>
      <c r="X42" s="133">
        <f>前台增值物品出入库录入!X44*$E42</f>
        <v>0</v>
      </c>
      <c r="Y42" s="133">
        <f>前台增值物品出入库录入!Y44*$E42</f>
        <v>0</v>
      </c>
      <c r="Z42" s="133">
        <f>前台增值物品出入库录入!Z44*$E42</f>
        <v>0</v>
      </c>
      <c r="AA42" s="133">
        <f>前台增值物品出入库录入!AA44*$E42</f>
        <v>0</v>
      </c>
      <c r="AB42" s="133">
        <f>前台增值物品出入库录入!AB44*$E42</f>
        <v>0</v>
      </c>
      <c r="AC42" s="133">
        <f>前台增值物品出入库录入!AC44*$E42</f>
        <v>0</v>
      </c>
      <c r="AD42" s="133">
        <f>前台增值物品出入库录入!AD44*$E42</f>
        <v>0</v>
      </c>
      <c r="AE42" s="133">
        <f>前台增值物品出入库录入!AE44*$E42</f>
        <v>0</v>
      </c>
      <c r="AF42" s="133">
        <f>前台增值物品出入库录入!AF44*$E42</f>
        <v>0</v>
      </c>
      <c r="AG42" s="133">
        <f>前台增值物品出入库录入!AG44*$E42</f>
        <v>0</v>
      </c>
      <c r="AH42" s="133">
        <f>前台增值物品出入库录入!AH44*$E42</f>
        <v>0</v>
      </c>
      <c r="AI42" s="133">
        <f>前台增值物品出入库录入!AI44*$E42</f>
        <v>0</v>
      </c>
      <c r="AJ42" s="133">
        <f>前台增值物品出入库录入!AJ44*$E42</f>
        <v>0</v>
      </c>
      <c r="AK42" s="133">
        <f>前台增值物品出入库录入!AK44*$E42</f>
        <v>0</v>
      </c>
      <c r="AL42" s="133">
        <f>前台增值物品出入库录入!AL44*$E42</f>
        <v>0</v>
      </c>
      <c r="AM42" s="133">
        <f>前台增值物品出入库录入!AM44*$E42</f>
        <v>0</v>
      </c>
      <c r="AN42" s="133">
        <f>前台增值物品出入库录入!AN44*$E42</f>
        <v>0</v>
      </c>
      <c r="AO42" s="133">
        <f>前台增值物品出入库录入!AO44*$E42</f>
        <v>0</v>
      </c>
      <c r="AP42" s="133">
        <f>前台增值物品出入库录入!AP44*$E42</f>
        <v>0</v>
      </c>
      <c r="AQ42" s="133">
        <f>前台增值物品出入库录入!AQ44*$E42</f>
        <v>0</v>
      </c>
      <c r="AR42" s="133">
        <f>前台增值物品出入库录入!AR44*$E42</f>
        <v>0</v>
      </c>
      <c r="AS42" s="133">
        <f>前台增值物品出入库录入!AS44*$E42</f>
        <v>0</v>
      </c>
      <c r="AT42" s="133">
        <f>前台增值物品出入库录入!AT44*$E42</f>
        <v>0</v>
      </c>
      <c r="AU42" s="133">
        <f>前台增值物品出入库录入!AU44*$E42</f>
        <v>0</v>
      </c>
      <c r="AV42" s="133">
        <f>前台增值物品出入库录入!AV44*$E42</f>
        <v>0</v>
      </c>
      <c r="AW42" s="133">
        <f>前台增值物品出入库录入!AW44*$E42</f>
        <v>0</v>
      </c>
      <c r="AX42" s="133">
        <f>前台增值物品出入库录入!AX44*$E42</f>
        <v>0</v>
      </c>
      <c r="AY42" s="133">
        <f>前台增值物品出入库录入!AY44*$E42</f>
        <v>0</v>
      </c>
      <c r="AZ42" s="133">
        <f>前台增值物品出入库录入!AZ44*$E42</f>
        <v>0</v>
      </c>
      <c r="BA42" s="133">
        <f>前台增值物品出入库录入!BA44*$E42</f>
        <v>0</v>
      </c>
      <c r="BB42" s="133">
        <f>前台增值物品出入库录入!BB44*$E42</f>
        <v>0</v>
      </c>
      <c r="BC42" s="133">
        <f>前台增值物品出入库录入!BC44*$E42</f>
        <v>0</v>
      </c>
      <c r="BD42" s="133">
        <f>前台增值物品出入库录入!BD44*$E42</f>
        <v>0</v>
      </c>
      <c r="BE42" s="133">
        <f>前台增值物品出入库录入!BE44*$E42</f>
        <v>0</v>
      </c>
      <c r="BF42" s="133">
        <f>前台增值物品出入库录入!BF44*$E42</f>
        <v>0</v>
      </c>
      <c r="BG42" s="133">
        <f>前台增值物品出入库录入!BG44*$E42</f>
        <v>0</v>
      </c>
      <c r="BH42" s="133">
        <f>前台增值物品出入库录入!BH44*$E42</f>
        <v>0</v>
      </c>
      <c r="BI42" s="133">
        <f>前台增值物品出入库录入!BI44*$E42</f>
        <v>0</v>
      </c>
      <c r="BJ42" s="133">
        <f>前台增值物品出入库录入!BJ44*$E42</f>
        <v>0</v>
      </c>
      <c r="BK42" s="133">
        <f>前台增值物品出入库录入!BK44*$E42</f>
        <v>4.5</v>
      </c>
      <c r="BL42" s="133">
        <f>前台增值物品出入库录入!BL44*$E42</f>
        <v>0</v>
      </c>
      <c r="BM42" s="133">
        <f>前台增值物品出入库录入!BM44*$E42</f>
        <v>0</v>
      </c>
      <c r="BN42" s="133">
        <f>前台增值物品出入库录入!BN44*$E42</f>
        <v>0</v>
      </c>
      <c r="BO42" s="133">
        <f>前台增值物品出入库录入!BO44*$E42</f>
        <v>0</v>
      </c>
      <c r="BP42" s="133">
        <f>前台增值物品出入库录入!BP44*$E42</f>
        <v>0</v>
      </c>
      <c r="BQ42" s="133">
        <f>前台增值物品出入库录入!BQ44*$E42</f>
        <v>0</v>
      </c>
      <c r="BR42" s="133">
        <f>前台增值物品出入库录入!BR44*$E42</f>
        <v>0</v>
      </c>
      <c r="BS42" s="133">
        <f>前台增值物品出入库录入!BS44*$E42</f>
        <v>0</v>
      </c>
      <c r="BT42" s="133">
        <f>前台增值物品出入库录入!BT44*$E42</f>
        <v>0</v>
      </c>
      <c r="BU42" s="133">
        <f>前台增值物品出入库录入!BU44*$E42</f>
        <v>0</v>
      </c>
      <c r="BV42" s="133">
        <f>前台增值物品出入库录入!BV44*$E42</f>
        <v>0</v>
      </c>
      <c r="BW42" s="133">
        <f>前台增值物品出入库录入!BW44*$E42</f>
        <v>0</v>
      </c>
    </row>
    <row r="43" s="178" customFormat="1" customHeight="1" spans="1:75">
      <c r="A43" s="161">
        <v>39</v>
      </c>
      <c r="B43" s="162" t="str">
        <f>前台增值物品出入库录入!B45</f>
        <v>磨砂身份证套宽口</v>
      </c>
      <c r="C43" s="162">
        <f>前台增值物品出入库录入!C45</f>
        <v>0</v>
      </c>
      <c r="D43" s="162" t="str">
        <f>前台增值物品出入库录入!D45</f>
        <v>个</v>
      </c>
      <c r="E43" s="162">
        <f>前台增值物品出入库录入!E45</f>
        <v>0.1</v>
      </c>
      <c r="F43" s="162">
        <f>前台增值物品出入库录入!F45</f>
        <v>1889</v>
      </c>
      <c r="G43" s="162">
        <f>前台增值物品出入库录入!G45</f>
        <v>188.9</v>
      </c>
      <c r="H43" s="162">
        <f>前台增值物品出入库录入!H45</f>
        <v>0</v>
      </c>
      <c r="I43" s="162">
        <f>前台增值物品出入库录入!I45</f>
        <v>0</v>
      </c>
      <c r="J43" s="162">
        <f>前台增值物品出入库录入!J45</f>
        <v>250</v>
      </c>
      <c r="K43" s="162">
        <f>前台增值物品出入库录入!K45</f>
        <v>25</v>
      </c>
      <c r="L43" s="162">
        <f>前台增值物品出入库录入!L45</f>
        <v>1639</v>
      </c>
      <c r="M43" s="162">
        <f>前台增值物品出入库录入!M45</f>
        <v>163.9</v>
      </c>
      <c r="N43" s="133">
        <f>前台增值物品出入库录入!N45*$E43</f>
        <v>0</v>
      </c>
      <c r="O43" s="133">
        <f>前台增值物品出入库录入!O45*$E43</f>
        <v>10</v>
      </c>
      <c r="P43" s="133">
        <f>前台增值物品出入库录入!P45*$E43</f>
        <v>0</v>
      </c>
      <c r="Q43" s="133">
        <f>前台增值物品出入库录入!Q45*$E43</f>
        <v>0</v>
      </c>
      <c r="R43" s="133">
        <f>前台增值物品出入库录入!R45*$E43</f>
        <v>0</v>
      </c>
      <c r="S43" s="133">
        <f>前台增值物品出入库录入!S45*$E43</f>
        <v>15</v>
      </c>
      <c r="T43" s="133">
        <f>前台增值物品出入库录入!T45*$E43</f>
        <v>0</v>
      </c>
      <c r="U43" s="133">
        <f>前台增值物品出入库录入!U45*$E43</f>
        <v>0</v>
      </c>
      <c r="V43" s="133">
        <f>前台增值物品出入库录入!V45*$E43</f>
        <v>0</v>
      </c>
      <c r="W43" s="133">
        <f>前台增值物品出入库录入!W45*$E43</f>
        <v>0</v>
      </c>
      <c r="X43" s="133">
        <f>前台增值物品出入库录入!X45*$E43</f>
        <v>0</v>
      </c>
      <c r="Y43" s="133">
        <f>前台增值物品出入库录入!Y45*$E43</f>
        <v>0</v>
      </c>
      <c r="Z43" s="133">
        <f>前台增值物品出入库录入!Z45*$E43</f>
        <v>0</v>
      </c>
      <c r="AA43" s="133">
        <f>前台增值物品出入库录入!AA45*$E43</f>
        <v>0</v>
      </c>
      <c r="AB43" s="133">
        <f>前台增值物品出入库录入!AB45*$E43</f>
        <v>0</v>
      </c>
      <c r="AC43" s="133">
        <f>前台增值物品出入库录入!AC45*$E43</f>
        <v>0</v>
      </c>
      <c r="AD43" s="133">
        <f>前台增值物品出入库录入!AD45*$E43</f>
        <v>0</v>
      </c>
      <c r="AE43" s="133">
        <f>前台增值物品出入库录入!AE45*$E43</f>
        <v>0</v>
      </c>
      <c r="AF43" s="133">
        <f>前台增值物品出入库录入!AF45*$E43</f>
        <v>0</v>
      </c>
      <c r="AG43" s="133">
        <f>前台增值物品出入库录入!AG45*$E43</f>
        <v>0</v>
      </c>
      <c r="AH43" s="133">
        <f>前台增值物品出入库录入!AH45*$E43</f>
        <v>0</v>
      </c>
      <c r="AI43" s="133">
        <f>前台增值物品出入库录入!AI45*$E43</f>
        <v>0</v>
      </c>
      <c r="AJ43" s="133">
        <f>前台增值物品出入库录入!AJ45*$E43</f>
        <v>0</v>
      </c>
      <c r="AK43" s="133">
        <f>前台增值物品出入库录入!AK45*$E43</f>
        <v>0</v>
      </c>
      <c r="AL43" s="133">
        <f>前台增值物品出入库录入!AL45*$E43</f>
        <v>0</v>
      </c>
      <c r="AM43" s="133">
        <f>前台增值物品出入库录入!AM45*$E43</f>
        <v>0</v>
      </c>
      <c r="AN43" s="133">
        <f>前台增值物品出入库录入!AN45*$E43</f>
        <v>0</v>
      </c>
      <c r="AO43" s="133">
        <f>前台增值物品出入库录入!AO45*$E43</f>
        <v>0</v>
      </c>
      <c r="AP43" s="133">
        <f>前台增值物品出入库录入!AP45*$E43</f>
        <v>0</v>
      </c>
      <c r="AQ43" s="133">
        <f>前台增值物品出入库录入!AQ45*$E43</f>
        <v>0</v>
      </c>
      <c r="AR43" s="133">
        <f>前台增值物品出入库录入!AR45*$E43</f>
        <v>0</v>
      </c>
      <c r="AS43" s="133">
        <f>前台增值物品出入库录入!AS45*$E43</f>
        <v>0</v>
      </c>
      <c r="AT43" s="133">
        <f>前台增值物品出入库录入!AT45*$E43</f>
        <v>0</v>
      </c>
      <c r="AU43" s="133">
        <f>前台增值物品出入库录入!AU45*$E43</f>
        <v>0</v>
      </c>
      <c r="AV43" s="133">
        <f>前台增值物品出入库录入!AV45*$E43</f>
        <v>0</v>
      </c>
      <c r="AW43" s="133">
        <f>前台增值物品出入库录入!AW45*$E43</f>
        <v>0</v>
      </c>
      <c r="AX43" s="133">
        <f>前台增值物品出入库录入!AX45*$E43</f>
        <v>0</v>
      </c>
      <c r="AY43" s="133">
        <f>前台增值物品出入库录入!AY45*$E43</f>
        <v>0</v>
      </c>
      <c r="AZ43" s="133">
        <f>前台增值物品出入库录入!AZ45*$E43</f>
        <v>0</v>
      </c>
      <c r="BA43" s="133">
        <f>前台增值物品出入库录入!BA45*$E43</f>
        <v>0</v>
      </c>
      <c r="BB43" s="133">
        <f>前台增值物品出入库录入!BB45*$E43</f>
        <v>0</v>
      </c>
      <c r="BC43" s="133">
        <f>前台增值物品出入库录入!BC45*$E43</f>
        <v>0</v>
      </c>
      <c r="BD43" s="133">
        <f>前台增值物品出入库录入!BD45*$E43</f>
        <v>0</v>
      </c>
      <c r="BE43" s="133">
        <f>前台增值物品出入库录入!BE45*$E43</f>
        <v>0</v>
      </c>
      <c r="BF43" s="133">
        <f>前台增值物品出入库录入!BF45*$E43</f>
        <v>0</v>
      </c>
      <c r="BG43" s="133">
        <f>前台增值物品出入库录入!BG45*$E43</f>
        <v>0</v>
      </c>
      <c r="BH43" s="133">
        <f>前台增值物品出入库录入!BH45*$E43</f>
        <v>0</v>
      </c>
      <c r="BI43" s="133">
        <f>前台增值物品出入库录入!BI45*$E43</f>
        <v>0</v>
      </c>
      <c r="BJ43" s="133">
        <f>前台增值物品出入库录入!BJ45*$E43</f>
        <v>0</v>
      </c>
      <c r="BK43" s="133">
        <f>前台增值物品出入库录入!BK45*$E43</f>
        <v>0</v>
      </c>
      <c r="BL43" s="133">
        <f>前台增值物品出入库录入!BL45*$E43</f>
        <v>0</v>
      </c>
      <c r="BM43" s="133">
        <f>前台增值物品出入库录入!BM45*$E43</f>
        <v>0</v>
      </c>
      <c r="BN43" s="133">
        <f>前台增值物品出入库录入!BN45*$E43</f>
        <v>0</v>
      </c>
      <c r="BO43" s="133">
        <f>前台增值物品出入库录入!BO45*$E43</f>
        <v>0</v>
      </c>
      <c r="BP43" s="133">
        <f>前台增值物品出入库录入!BP45*$E43</f>
        <v>0</v>
      </c>
      <c r="BQ43" s="133">
        <f>前台增值物品出入库录入!BQ45*$E43</f>
        <v>0</v>
      </c>
      <c r="BR43" s="133">
        <f>前台增值物品出入库录入!BR45*$E43</f>
        <v>0</v>
      </c>
      <c r="BS43" s="133">
        <f>前台增值物品出入库录入!BS45*$E43</f>
        <v>0</v>
      </c>
      <c r="BT43" s="133">
        <f>前台增值物品出入库录入!BT45*$E43</f>
        <v>0</v>
      </c>
      <c r="BU43" s="133">
        <f>前台增值物品出入库录入!BU45*$E43</f>
        <v>0</v>
      </c>
      <c r="BV43" s="133">
        <f>前台增值物品出入库录入!BV45*$E43</f>
        <v>0</v>
      </c>
      <c r="BW43" s="133">
        <f>前台增值物品出入库录入!BW45*$E43</f>
        <v>0</v>
      </c>
    </row>
    <row r="44" s="178" customFormat="1" customHeight="1" spans="1:75">
      <c r="A44" s="161">
        <v>40</v>
      </c>
      <c r="B44" s="162" t="str">
        <f>前台增值物品出入库录入!B46</f>
        <v>指甲刀</v>
      </c>
      <c r="C44" s="162">
        <f>前台增值物品出入库录入!C46</f>
        <v>0</v>
      </c>
      <c r="D44" s="162" t="str">
        <f>前台增值物品出入库录入!D46</f>
        <v>个</v>
      </c>
      <c r="E44" s="162">
        <f>前台增值物品出入库录入!E46</f>
        <v>0.506</v>
      </c>
      <c r="F44" s="162">
        <f>前台增值物品出入库录入!F46</f>
        <v>0</v>
      </c>
      <c r="G44" s="162">
        <f>前台增值物品出入库录入!G46</f>
        <v>0</v>
      </c>
      <c r="H44" s="162">
        <f>前台增值物品出入库录入!H46</f>
        <v>120</v>
      </c>
      <c r="I44" s="162">
        <f>前台增值物品出入库录入!I46</f>
        <v>60.72</v>
      </c>
      <c r="J44" s="162">
        <f>前台增值物品出入库录入!J46</f>
        <v>14</v>
      </c>
      <c r="K44" s="162">
        <f>前台增值物品出入库录入!K46</f>
        <v>7.084</v>
      </c>
      <c r="L44" s="162">
        <f>前台增值物品出入库录入!L46</f>
        <v>106</v>
      </c>
      <c r="M44" s="162">
        <f>前台增值物品出入库录入!M46</f>
        <v>53.636</v>
      </c>
      <c r="N44" s="133">
        <f>前台增值物品出入库录入!N46*$E44</f>
        <v>0</v>
      </c>
      <c r="O44" s="133">
        <f>前台增值物品出入库录入!O46*$E44</f>
        <v>0</v>
      </c>
      <c r="P44" s="133">
        <f>前台增值物品出入库录入!P46*$E44</f>
        <v>0</v>
      </c>
      <c r="Q44" s="133">
        <f>前台增值物品出入库录入!Q46*$E44</f>
        <v>0</v>
      </c>
      <c r="R44" s="133">
        <f>前台增值物品出入库录入!R46*$E44</f>
        <v>0</v>
      </c>
      <c r="S44" s="133">
        <f>前台增值物品出入库录入!S46*$E44</f>
        <v>0</v>
      </c>
      <c r="T44" s="133">
        <f>前台增值物品出入库录入!T46*$E44</f>
        <v>0</v>
      </c>
      <c r="U44" s="133">
        <f>前台增值物品出入库录入!U46*$E44</f>
        <v>0</v>
      </c>
      <c r="V44" s="133">
        <f>前台增值物品出入库录入!V46*$E44</f>
        <v>60.72</v>
      </c>
      <c r="W44" s="133">
        <f>前台增值物品出入库录入!W46*$E44</f>
        <v>0</v>
      </c>
      <c r="X44" s="133">
        <f>前台增值物品出入库录入!X46*$E44</f>
        <v>0</v>
      </c>
      <c r="Y44" s="133">
        <f>前台增值物品出入库录入!Y46*$E44</f>
        <v>0</v>
      </c>
      <c r="Z44" s="133">
        <f>前台增值物品出入库录入!Z46*$E44</f>
        <v>0</v>
      </c>
      <c r="AA44" s="133">
        <f>前台增值物品出入库录入!AA46*$E44</f>
        <v>0</v>
      </c>
      <c r="AB44" s="133">
        <f>前台增值物品出入库录入!AB46*$E44</f>
        <v>0</v>
      </c>
      <c r="AC44" s="133">
        <f>前台增值物品出入库录入!AC46*$E44</f>
        <v>0</v>
      </c>
      <c r="AD44" s="133">
        <f>前台增值物品出入库录入!AD46*$E44</f>
        <v>0</v>
      </c>
      <c r="AE44" s="133">
        <f>前台增值物品出入库录入!AE46*$E44</f>
        <v>0</v>
      </c>
      <c r="AF44" s="133">
        <f>前台增值物品出入库录入!AF46*$E44</f>
        <v>0</v>
      </c>
      <c r="AG44" s="133">
        <f>前台增值物品出入库录入!AG46*$E44</f>
        <v>0</v>
      </c>
      <c r="AH44" s="133">
        <f>前台增值物品出入库录入!AH46*$E44</f>
        <v>0</v>
      </c>
      <c r="AI44" s="133">
        <f>前台增值物品出入库录入!AI46*$E44</f>
        <v>0</v>
      </c>
      <c r="AJ44" s="133">
        <f>前台增值物品出入库录入!AJ46*$E44</f>
        <v>0</v>
      </c>
      <c r="AK44" s="133">
        <f>前台增值物品出入库录入!AK46*$E44</f>
        <v>0</v>
      </c>
      <c r="AL44" s="133">
        <f>前台增值物品出入库录入!AL46*$E44</f>
        <v>0</v>
      </c>
      <c r="AM44" s="133">
        <f>前台增值物品出入库录入!AM46*$E44</f>
        <v>0</v>
      </c>
      <c r="AN44" s="133">
        <f>前台增值物品出入库录入!AN46*$E44</f>
        <v>0</v>
      </c>
      <c r="AO44" s="133">
        <f>前台增值物品出入库录入!AO46*$E44</f>
        <v>0</v>
      </c>
      <c r="AP44" s="133">
        <f>前台增值物品出入库录入!AP46*$E44</f>
        <v>0</v>
      </c>
      <c r="AQ44" s="133">
        <f>前台增值物品出入库录入!AQ46*$E44</f>
        <v>0</v>
      </c>
      <c r="AR44" s="133">
        <f>前台增值物品出入库录入!AR46*$E44</f>
        <v>0</v>
      </c>
      <c r="AS44" s="133">
        <f>前台增值物品出入库录入!AS46*$E44</f>
        <v>0</v>
      </c>
      <c r="AT44" s="133">
        <f>前台增值物品出入库录入!AT46*$E44</f>
        <v>0</v>
      </c>
      <c r="AU44" s="133">
        <f>前台增值物品出入库录入!AU46*$E44</f>
        <v>0.506</v>
      </c>
      <c r="AV44" s="133">
        <f>前台增值物品出入库录入!AV46*$E44</f>
        <v>0</v>
      </c>
      <c r="AW44" s="133">
        <f>前台增值物品出入库录入!AW46*$E44</f>
        <v>1.012</v>
      </c>
      <c r="AX44" s="133">
        <f>前台增值物品出入库录入!AX46*$E44</f>
        <v>0</v>
      </c>
      <c r="AY44" s="133">
        <f>前台增值物品出入库录入!AY46*$E44</f>
        <v>1.518</v>
      </c>
      <c r="AZ44" s="133">
        <f>前台增值物品出入库录入!AZ46*$E44</f>
        <v>0</v>
      </c>
      <c r="BA44" s="133">
        <f>前台增值物品出入库录入!BA46*$E44</f>
        <v>0</v>
      </c>
      <c r="BB44" s="133">
        <f>前台增值物品出入库录入!BB46*$E44</f>
        <v>0</v>
      </c>
      <c r="BC44" s="133">
        <f>前台增值物品出入库录入!BC46*$E44</f>
        <v>1.518</v>
      </c>
      <c r="BD44" s="133">
        <f>前台增值物品出入库录入!BD46*$E44</f>
        <v>0</v>
      </c>
      <c r="BE44" s="133">
        <f>前台增值物品出入库录入!BE46*$E44</f>
        <v>0</v>
      </c>
      <c r="BF44" s="133">
        <f>前台增值物品出入库录入!BF46*$E44</f>
        <v>0</v>
      </c>
      <c r="BG44" s="133">
        <f>前台增值物品出入库录入!BG46*$E44</f>
        <v>0</v>
      </c>
      <c r="BH44" s="133">
        <f>前台增值物品出入库录入!BH46*$E44</f>
        <v>0</v>
      </c>
      <c r="BI44" s="133">
        <f>前台增值物品出入库录入!BI46*$E44</f>
        <v>2.53</v>
      </c>
      <c r="BJ44" s="133">
        <f>前台增值物品出入库录入!BJ46*$E44</f>
        <v>0</v>
      </c>
      <c r="BK44" s="133">
        <f>前台增值物品出入库录入!BK46*$E44</f>
        <v>0</v>
      </c>
      <c r="BL44" s="133">
        <f>前台增值物品出入库录入!BL46*$E44</f>
        <v>0</v>
      </c>
      <c r="BM44" s="133">
        <f>前台增值物品出入库录入!BM46*$E44</f>
        <v>0</v>
      </c>
      <c r="BN44" s="133">
        <f>前台增值物品出入库录入!BN46*$E44</f>
        <v>0</v>
      </c>
      <c r="BO44" s="133">
        <f>前台增值物品出入库录入!BO46*$E44</f>
        <v>0</v>
      </c>
      <c r="BP44" s="133">
        <f>前台增值物品出入库录入!BP46*$E44</f>
        <v>0</v>
      </c>
      <c r="BQ44" s="133">
        <f>前台增值物品出入库录入!BQ46*$E44</f>
        <v>0</v>
      </c>
      <c r="BR44" s="133">
        <f>前台增值物品出入库录入!BR46*$E44</f>
        <v>0</v>
      </c>
      <c r="BS44" s="133">
        <f>前台增值物品出入库录入!BS46*$E44</f>
        <v>0</v>
      </c>
      <c r="BT44" s="133">
        <f>前台增值物品出入库录入!BT46*$E44</f>
        <v>0</v>
      </c>
      <c r="BU44" s="133">
        <f>前台增值物品出入库录入!BU46*$E44</f>
        <v>0</v>
      </c>
      <c r="BV44" s="133">
        <f>前台增值物品出入库录入!BV46*$E44</f>
        <v>0</v>
      </c>
      <c r="BW44" s="133">
        <f>前台增值物品出入库录入!BW46*$E44</f>
        <v>0</v>
      </c>
    </row>
    <row r="45" s="178" customFormat="1" customHeight="1" spans="1:75">
      <c r="A45" s="161">
        <v>41</v>
      </c>
      <c r="B45" s="162" t="str">
        <f>前台增值物品出入库录入!B47</f>
        <v>量杯</v>
      </c>
      <c r="C45" s="162">
        <f>前台增值物品出入库录入!C47</f>
        <v>0</v>
      </c>
      <c r="D45" s="162" t="str">
        <f>前台增值物品出入库录入!D47</f>
        <v>个</v>
      </c>
      <c r="E45" s="162">
        <f>前台增值物品出入库录入!E47</f>
        <v>9.04</v>
      </c>
      <c r="F45" s="162">
        <f>前台增值物品出入库录入!F47</f>
        <v>0</v>
      </c>
      <c r="G45" s="162">
        <f>前台增值物品出入库录入!G47</f>
        <v>0</v>
      </c>
      <c r="H45" s="162">
        <f>前台增值物品出入库录入!H47</f>
        <v>0</v>
      </c>
      <c r="I45" s="162">
        <f>前台增值物品出入库录入!I47</f>
        <v>0</v>
      </c>
      <c r="J45" s="162">
        <f>前台增值物品出入库录入!J47</f>
        <v>0</v>
      </c>
      <c r="K45" s="162">
        <f>前台增值物品出入库录入!K47</f>
        <v>0</v>
      </c>
      <c r="L45" s="162">
        <f>前台增值物品出入库录入!L47</f>
        <v>0</v>
      </c>
      <c r="M45" s="162">
        <f>前台增值物品出入库录入!M47</f>
        <v>0</v>
      </c>
      <c r="N45" s="133">
        <f>前台增值物品出入库录入!N47*$E45</f>
        <v>0</v>
      </c>
      <c r="O45" s="133">
        <f>前台增值物品出入库录入!O47*$E45</f>
        <v>0</v>
      </c>
      <c r="P45" s="133">
        <f>前台增值物品出入库录入!P47*$E45</f>
        <v>0</v>
      </c>
      <c r="Q45" s="133">
        <f>前台增值物品出入库录入!Q47*$E45</f>
        <v>0</v>
      </c>
      <c r="R45" s="133">
        <f>前台增值物品出入库录入!R47*$E45</f>
        <v>0</v>
      </c>
      <c r="S45" s="133">
        <f>前台增值物品出入库录入!S47*$E45</f>
        <v>0</v>
      </c>
      <c r="T45" s="133">
        <f>前台增值物品出入库录入!T47*$E45</f>
        <v>0</v>
      </c>
      <c r="U45" s="133">
        <f>前台增值物品出入库录入!U47*$E45</f>
        <v>0</v>
      </c>
      <c r="V45" s="133">
        <f>前台增值物品出入库录入!V47*$E45</f>
        <v>0</v>
      </c>
      <c r="W45" s="133">
        <f>前台增值物品出入库录入!W47*$E45</f>
        <v>0</v>
      </c>
      <c r="X45" s="133">
        <f>前台增值物品出入库录入!X47*$E45</f>
        <v>0</v>
      </c>
      <c r="Y45" s="133">
        <f>前台增值物品出入库录入!Y47*$E45</f>
        <v>0</v>
      </c>
      <c r="Z45" s="133">
        <f>前台增值物品出入库录入!Z47*$E45</f>
        <v>0</v>
      </c>
      <c r="AA45" s="133">
        <f>前台增值物品出入库录入!AA47*$E45</f>
        <v>0</v>
      </c>
      <c r="AB45" s="133">
        <f>前台增值物品出入库录入!AB47*$E45</f>
        <v>0</v>
      </c>
      <c r="AC45" s="133">
        <f>前台增值物品出入库录入!AC47*$E45</f>
        <v>0</v>
      </c>
      <c r="AD45" s="133">
        <f>前台增值物品出入库录入!AD47*$E45</f>
        <v>0</v>
      </c>
      <c r="AE45" s="133">
        <f>前台增值物品出入库录入!AE47*$E45</f>
        <v>0</v>
      </c>
      <c r="AF45" s="133">
        <f>前台增值物品出入库录入!AF47*$E45</f>
        <v>0</v>
      </c>
      <c r="AG45" s="133">
        <f>前台增值物品出入库录入!AG47*$E45</f>
        <v>0</v>
      </c>
      <c r="AH45" s="133">
        <f>前台增值物品出入库录入!AH47*$E45</f>
        <v>0</v>
      </c>
      <c r="AI45" s="133">
        <f>前台增值物品出入库录入!AI47*$E45</f>
        <v>0</v>
      </c>
      <c r="AJ45" s="133">
        <f>前台增值物品出入库录入!AJ47*$E45</f>
        <v>0</v>
      </c>
      <c r="AK45" s="133">
        <f>前台增值物品出入库录入!AK47*$E45</f>
        <v>0</v>
      </c>
      <c r="AL45" s="133">
        <f>前台增值物品出入库录入!AL47*$E45</f>
        <v>0</v>
      </c>
      <c r="AM45" s="133">
        <f>前台增值物品出入库录入!AM47*$E45</f>
        <v>0</v>
      </c>
      <c r="AN45" s="133">
        <f>前台增值物品出入库录入!AN47*$E45</f>
        <v>0</v>
      </c>
      <c r="AO45" s="133">
        <f>前台增值物品出入库录入!AO47*$E45</f>
        <v>0</v>
      </c>
      <c r="AP45" s="133">
        <f>前台增值物品出入库录入!AP47*$E45</f>
        <v>0</v>
      </c>
      <c r="AQ45" s="133">
        <f>前台增值物品出入库录入!AQ47*$E45</f>
        <v>0</v>
      </c>
      <c r="AR45" s="133">
        <f>前台增值物品出入库录入!AR47*$E45</f>
        <v>0</v>
      </c>
      <c r="AS45" s="133">
        <f>前台增值物品出入库录入!AS47*$E45</f>
        <v>0</v>
      </c>
      <c r="AT45" s="133">
        <f>前台增值物品出入库录入!AT47*$E45</f>
        <v>0</v>
      </c>
      <c r="AU45" s="133">
        <f>前台增值物品出入库录入!AU47*$E45</f>
        <v>0</v>
      </c>
      <c r="AV45" s="133">
        <f>前台增值物品出入库录入!AV47*$E45</f>
        <v>0</v>
      </c>
      <c r="AW45" s="133">
        <f>前台增值物品出入库录入!AW47*$E45</f>
        <v>0</v>
      </c>
      <c r="AX45" s="133">
        <f>前台增值物品出入库录入!AX47*$E45</f>
        <v>0</v>
      </c>
      <c r="AY45" s="133">
        <f>前台增值物品出入库录入!AY47*$E45</f>
        <v>0</v>
      </c>
      <c r="AZ45" s="133">
        <f>前台增值物品出入库录入!AZ47*$E45</f>
        <v>0</v>
      </c>
      <c r="BA45" s="133">
        <f>前台增值物品出入库录入!BA47*$E45</f>
        <v>0</v>
      </c>
      <c r="BB45" s="133">
        <f>前台增值物品出入库录入!BB47*$E45</f>
        <v>0</v>
      </c>
      <c r="BC45" s="133">
        <f>前台增值物品出入库录入!BC47*$E45</f>
        <v>0</v>
      </c>
      <c r="BD45" s="133">
        <f>前台增值物品出入库录入!BD47*$E45</f>
        <v>0</v>
      </c>
      <c r="BE45" s="133">
        <f>前台增值物品出入库录入!BE47*$E45</f>
        <v>0</v>
      </c>
      <c r="BF45" s="133">
        <f>前台增值物品出入库录入!BF47*$E45</f>
        <v>0</v>
      </c>
      <c r="BG45" s="133">
        <f>前台增值物品出入库录入!BG47*$E45</f>
        <v>0</v>
      </c>
      <c r="BH45" s="133">
        <f>前台增值物品出入库录入!BH47*$E45</f>
        <v>0</v>
      </c>
      <c r="BI45" s="133">
        <f>前台增值物品出入库录入!BI47*$E45</f>
        <v>0</v>
      </c>
      <c r="BJ45" s="133">
        <f>前台增值物品出入库录入!BJ47*$E45</f>
        <v>0</v>
      </c>
      <c r="BK45" s="133">
        <f>前台增值物品出入库录入!BK47*$E45</f>
        <v>0</v>
      </c>
      <c r="BL45" s="133">
        <f>前台增值物品出入库录入!BL47*$E45</f>
        <v>0</v>
      </c>
      <c r="BM45" s="133">
        <f>前台增值物品出入库录入!BM47*$E45</f>
        <v>0</v>
      </c>
      <c r="BN45" s="133">
        <f>前台增值物品出入库录入!BN47*$E45</f>
        <v>0</v>
      </c>
      <c r="BO45" s="133">
        <f>前台增值物品出入库录入!BO47*$E45</f>
        <v>0</v>
      </c>
      <c r="BP45" s="133">
        <f>前台增值物品出入库录入!BP47*$E45</f>
        <v>0</v>
      </c>
      <c r="BQ45" s="133">
        <f>前台增值物品出入库录入!BQ47*$E45</f>
        <v>0</v>
      </c>
      <c r="BR45" s="133">
        <f>前台增值物品出入库录入!BR47*$E45</f>
        <v>0</v>
      </c>
      <c r="BS45" s="133">
        <f>前台增值物品出入库录入!BS47*$E45</f>
        <v>0</v>
      </c>
      <c r="BT45" s="133">
        <f>前台增值物品出入库录入!BT47*$E45</f>
        <v>0</v>
      </c>
      <c r="BU45" s="133">
        <f>前台增值物品出入库录入!BU47*$E45</f>
        <v>0</v>
      </c>
      <c r="BV45" s="133">
        <f>前台增值物品出入库录入!BV47*$E45</f>
        <v>0</v>
      </c>
      <c r="BW45" s="133">
        <f>前台增值物品出入库录入!BW47*$E45</f>
        <v>0</v>
      </c>
    </row>
    <row r="46" s="178" customFormat="1" customHeight="1" spans="1:75">
      <c r="A46" s="161">
        <v>42</v>
      </c>
      <c r="B46" s="162" t="str">
        <f>前台增值物品出入库录入!B48</f>
        <v>黑色发卡一字夹</v>
      </c>
      <c r="C46" s="162">
        <f>前台增值物品出入库录入!C48</f>
        <v>0</v>
      </c>
      <c r="D46" s="162" t="str">
        <f>前台增值物品出入库录入!D48</f>
        <v>个</v>
      </c>
      <c r="E46" s="162">
        <f>前台增值物品出入库录入!E48</f>
        <v>0.1</v>
      </c>
      <c r="F46" s="162">
        <f>前台增值物品出入库录入!F48</f>
        <v>117</v>
      </c>
      <c r="G46" s="162">
        <f>前台增值物品出入库录入!G48</f>
        <v>11.7</v>
      </c>
      <c r="H46" s="162">
        <f>前台增值物品出入库录入!H48</f>
        <v>0</v>
      </c>
      <c r="I46" s="162">
        <f>前台增值物品出入库录入!I48</f>
        <v>0</v>
      </c>
      <c r="J46" s="162">
        <f>前台增值物品出入库录入!J48</f>
        <v>65</v>
      </c>
      <c r="K46" s="162">
        <f>前台增值物品出入库录入!K48</f>
        <v>6.5</v>
      </c>
      <c r="L46" s="162">
        <f>前台增值物品出入库录入!L48</f>
        <v>52</v>
      </c>
      <c r="M46" s="162">
        <f>前台增值物品出入库录入!M48</f>
        <v>5.2</v>
      </c>
      <c r="N46" s="133">
        <f>前台增值物品出入库录入!N48*$E46</f>
        <v>0</v>
      </c>
      <c r="O46" s="133">
        <f>前台增值物品出入库录入!O48*$E46</f>
        <v>2</v>
      </c>
      <c r="P46" s="133">
        <f>前台增值物品出入库录入!P48*$E46</f>
        <v>0</v>
      </c>
      <c r="Q46" s="133">
        <f>前台增值物品出入库录入!Q48*$E46</f>
        <v>0</v>
      </c>
      <c r="R46" s="133">
        <f>前台增值物品出入库录入!R48*$E46</f>
        <v>0</v>
      </c>
      <c r="S46" s="133">
        <f>前台增值物品出入库录入!S48*$E46</f>
        <v>1.5</v>
      </c>
      <c r="T46" s="133">
        <f>前台增值物品出入库录入!T48*$E46</f>
        <v>0</v>
      </c>
      <c r="U46" s="133">
        <f>前台增值物品出入库录入!U48*$E46</f>
        <v>0</v>
      </c>
      <c r="V46" s="133">
        <f>前台增值物品出入库录入!V48*$E46</f>
        <v>0</v>
      </c>
      <c r="W46" s="133">
        <f>前台增值物品出入库录入!W48*$E46</f>
        <v>0</v>
      </c>
      <c r="X46" s="133">
        <f>前台增值物品出入库录入!X48*$E46</f>
        <v>0</v>
      </c>
      <c r="Y46" s="133">
        <f>前台增值物品出入库录入!Y48*$E46</f>
        <v>0</v>
      </c>
      <c r="Z46" s="133">
        <f>前台增值物品出入库录入!Z48*$E46</f>
        <v>0</v>
      </c>
      <c r="AA46" s="133">
        <f>前台增值物品出入库录入!AA48*$E46</f>
        <v>0</v>
      </c>
      <c r="AB46" s="133">
        <f>前台增值物品出入库录入!AB48*$E46</f>
        <v>0</v>
      </c>
      <c r="AC46" s="133">
        <f>前台增值物品出入库录入!AC48*$E46</f>
        <v>0</v>
      </c>
      <c r="AD46" s="133">
        <f>前台增值物品出入库录入!AD48*$E46</f>
        <v>0</v>
      </c>
      <c r="AE46" s="133">
        <f>前台增值物品出入库录入!AE48*$E46</f>
        <v>0</v>
      </c>
      <c r="AF46" s="133">
        <f>前台增值物品出入库录入!AF48*$E46</f>
        <v>0</v>
      </c>
      <c r="AG46" s="133">
        <f>前台增值物品出入库录入!AG48*$E46</f>
        <v>0</v>
      </c>
      <c r="AH46" s="133">
        <f>前台增值物品出入库录入!AH48*$E46</f>
        <v>0</v>
      </c>
      <c r="AI46" s="133">
        <f>前台增值物品出入库录入!AI48*$E46</f>
        <v>0</v>
      </c>
      <c r="AJ46" s="133">
        <f>前台增值物品出入库录入!AJ48*$E46</f>
        <v>0</v>
      </c>
      <c r="AK46" s="133">
        <f>前台增值物品出入库录入!AK48*$E46</f>
        <v>0</v>
      </c>
      <c r="AL46" s="133">
        <f>前台增值物品出入库录入!AL48*$E46</f>
        <v>0</v>
      </c>
      <c r="AM46" s="133">
        <f>前台增值物品出入库录入!AM48*$E46</f>
        <v>0</v>
      </c>
      <c r="AN46" s="133">
        <f>前台增值物品出入库录入!AN48*$E46</f>
        <v>0</v>
      </c>
      <c r="AO46" s="133">
        <f>前台增值物品出入库录入!AO48*$E46</f>
        <v>0</v>
      </c>
      <c r="AP46" s="133">
        <f>前台增值物品出入库录入!AP48*$E46</f>
        <v>0</v>
      </c>
      <c r="AQ46" s="133">
        <f>前台增值物品出入库录入!AQ48*$E46</f>
        <v>0</v>
      </c>
      <c r="AR46" s="133">
        <f>前台增值物品出入库录入!AR48*$E46</f>
        <v>0</v>
      </c>
      <c r="AS46" s="133">
        <f>前台增值物品出入库录入!AS48*$E46</f>
        <v>0</v>
      </c>
      <c r="AT46" s="133">
        <f>前台增值物品出入库录入!AT48*$E46</f>
        <v>0</v>
      </c>
      <c r="AU46" s="133">
        <f>前台增值物品出入库录入!AU48*$E46</f>
        <v>0</v>
      </c>
      <c r="AV46" s="133">
        <f>前台增值物品出入库录入!AV48*$E46</f>
        <v>0</v>
      </c>
      <c r="AW46" s="133">
        <f>前台增值物品出入库录入!AW48*$E46</f>
        <v>0</v>
      </c>
      <c r="AX46" s="133">
        <f>前台增值物品出入库录入!AX48*$E46</f>
        <v>0</v>
      </c>
      <c r="AY46" s="133">
        <f>前台增值物品出入库录入!AY48*$E46</f>
        <v>0</v>
      </c>
      <c r="AZ46" s="133">
        <f>前台增值物品出入库录入!AZ48*$E46</f>
        <v>0</v>
      </c>
      <c r="BA46" s="133">
        <f>前台增值物品出入库录入!BA48*$E46</f>
        <v>1</v>
      </c>
      <c r="BB46" s="133">
        <f>前台增值物品出入库录入!BB48*$E46</f>
        <v>0</v>
      </c>
      <c r="BC46" s="133">
        <f>前台增值物品出入库录入!BC48*$E46</f>
        <v>0</v>
      </c>
      <c r="BD46" s="133">
        <f>前台增值物品出入库录入!BD48*$E46</f>
        <v>0</v>
      </c>
      <c r="BE46" s="133">
        <f>前台增值物品出入库录入!BE48*$E46</f>
        <v>0</v>
      </c>
      <c r="BF46" s="133">
        <f>前台增值物品出入库录入!BF48*$E46</f>
        <v>0</v>
      </c>
      <c r="BG46" s="133">
        <f>前台增值物品出入库录入!BG48*$E46</f>
        <v>0</v>
      </c>
      <c r="BH46" s="133">
        <f>前台增值物品出入库录入!BH48*$E46</f>
        <v>0</v>
      </c>
      <c r="BI46" s="133">
        <f>前台增值物品出入库录入!BI48*$E46</f>
        <v>0.5</v>
      </c>
      <c r="BJ46" s="133">
        <f>前台增值物品出入库录入!BJ48*$E46</f>
        <v>0</v>
      </c>
      <c r="BK46" s="133">
        <f>前台增值物品出入库录入!BK48*$E46</f>
        <v>0</v>
      </c>
      <c r="BL46" s="133">
        <f>前台增值物品出入库录入!BL48*$E46</f>
        <v>0</v>
      </c>
      <c r="BM46" s="133">
        <f>前台增值物品出入库录入!BM48*$E46</f>
        <v>1</v>
      </c>
      <c r="BN46" s="133">
        <f>前台增值物品出入库录入!BN48*$E46</f>
        <v>0</v>
      </c>
      <c r="BO46" s="133">
        <f>前台增值物品出入库录入!BO48*$E46</f>
        <v>0</v>
      </c>
      <c r="BP46" s="133">
        <f>前台增值物品出入库录入!BP48*$E46</f>
        <v>0</v>
      </c>
      <c r="BQ46" s="133">
        <f>前台增值物品出入库录入!BQ48*$E46</f>
        <v>0.5</v>
      </c>
      <c r="BR46" s="133">
        <f>前台增值物品出入库录入!BR48*$E46</f>
        <v>0</v>
      </c>
      <c r="BS46" s="133">
        <f>前台增值物品出入库录入!BS48*$E46</f>
        <v>0</v>
      </c>
      <c r="BT46" s="133">
        <f>前台增值物品出入库录入!BT48*$E46</f>
        <v>0</v>
      </c>
      <c r="BU46" s="133">
        <f>前台增值物品出入库录入!BU48*$E46</f>
        <v>0</v>
      </c>
      <c r="BV46" s="133">
        <f>前台增值物品出入库录入!BV48*$E46</f>
        <v>0</v>
      </c>
      <c r="BW46" s="133">
        <f>前台增值物品出入库录入!BW48*$E46</f>
        <v>0</v>
      </c>
    </row>
    <row r="47" s="178" customFormat="1" customHeight="1" spans="1:75">
      <c r="A47" s="161">
        <v>44</v>
      </c>
      <c r="B47" s="162" t="str">
        <f>前台增值物品出入库录入!B49</f>
        <v>创可贴</v>
      </c>
      <c r="C47" s="162">
        <f>前台增值物品出入库录入!C49</f>
        <v>0</v>
      </c>
      <c r="D47" s="162" t="str">
        <f>前台增值物品出入库录入!D49</f>
        <v>个</v>
      </c>
      <c r="E47" s="162">
        <f>前台增值物品出入库录入!E49</f>
        <v>0.2</v>
      </c>
      <c r="F47" s="162">
        <f>前台增值物品出入库录入!F49</f>
        <v>100</v>
      </c>
      <c r="G47" s="162">
        <f>前台增值物品出入库录入!G49</f>
        <v>20</v>
      </c>
      <c r="H47" s="162">
        <f>前台增值物品出入库录入!H49</f>
        <v>0</v>
      </c>
      <c r="I47" s="162">
        <f>前台增值物品出入库录入!I49</f>
        <v>0</v>
      </c>
      <c r="J47" s="162">
        <f>前台增值物品出入库录入!J49</f>
        <v>50</v>
      </c>
      <c r="K47" s="162">
        <f>前台增值物品出入库录入!K49</f>
        <v>10</v>
      </c>
      <c r="L47" s="162">
        <f>前台增值物品出入库录入!L49</f>
        <v>50</v>
      </c>
      <c r="M47" s="162">
        <f>前台增值物品出入库录入!M49</f>
        <v>10</v>
      </c>
      <c r="N47" s="133">
        <f>前台增值物品出入库录入!N49*$E47</f>
        <v>0</v>
      </c>
      <c r="O47" s="133">
        <f>前台增值物品出入库录入!O49*$E47</f>
        <v>1</v>
      </c>
      <c r="P47" s="133">
        <f>前台增值物品出入库录入!P49*$E47</f>
        <v>0</v>
      </c>
      <c r="Q47" s="133">
        <f>前台增值物品出入库录入!Q49*$E47</f>
        <v>0</v>
      </c>
      <c r="R47" s="133">
        <f>前台增值物品出入库录入!R49*$E47</f>
        <v>0</v>
      </c>
      <c r="S47" s="133">
        <f>前台增值物品出入库录入!S49*$E47</f>
        <v>0</v>
      </c>
      <c r="T47" s="133">
        <f>前台增值物品出入库录入!T49*$E47</f>
        <v>0</v>
      </c>
      <c r="U47" s="133">
        <f>前台增值物品出入库录入!U49*$E47</f>
        <v>1</v>
      </c>
      <c r="V47" s="133">
        <f>前台增值物品出入库录入!V49*$E47</f>
        <v>0</v>
      </c>
      <c r="W47" s="133">
        <f>前台增值物品出入库录入!W49*$E47</f>
        <v>0</v>
      </c>
      <c r="X47" s="133">
        <f>前台增值物品出入库录入!X49*$E47</f>
        <v>0</v>
      </c>
      <c r="Y47" s="133">
        <f>前台增值物品出入库录入!Y49*$E47</f>
        <v>0</v>
      </c>
      <c r="Z47" s="133">
        <f>前台增值物品出入库录入!Z49*$E47</f>
        <v>0</v>
      </c>
      <c r="AA47" s="133">
        <f>前台增值物品出入库录入!AA49*$E47</f>
        <v>0</v>
      </c>
      <c r="AB47" s="133">
        <f>前台增值物品出入库录入!AB49*$E47</f>
        <v>0</v>
      </c>
      <c r="AC47" s="133">
        <f>前台增值物品出入库录入!AC49*$E47</f>
        <v>1.2</v>
      </c>
      <c r="AD47" s="133">
        <f>前台增值物品出入库录入!AD49*$E47</f>
        <v>0</v>
      </c>
      <c r="AE47" s="133">
        <f>前台增值物品出入库录入!AE49*$E47</f>
        <v>0</v>
      </c>
      <c r="AF47" s="133">
        <f>前台增值物品出入库录入!AF49*$E47</f>
        <v>0</v>
      </c>
      <c r="AG47" s="133">
        <f>前台增值物品出入库录入!AG49*$E47</f>
        <v>0</v>
      </c>
      <c r="AH47" s="133">
        <f>前台增值物品出入库录入!AH49*$E47</f>
        <v>0</v>
      </c>
      <c r="AI47" s="133">
        <f>前台增值物品出入库录入!AI49*$E47</f>
        <v>0</v>
      </c>
      <c r="AJ47" s="133">
        <f>前台增值物品出入库录入!AJ49*$E47</f>
        <v>0</v>
      </c>
      <c r="AK47" s="133">
        <f>前台增值物品出入库录入!AK49*$E47</f>
        <v>0</v>
      </c>
      <c r="AL47" s="133">
        <f>前台增值物品出入库录入!AL49*$E47</f>
        <v>0</v>
      </c>
      <c r="AM47" s="133">
        <f>前台增值物品出入库录入!AM49*$E47</f>
        <v>0</v>
      </c>
      <c r="AN47" s="133">
        <f>前台增值物品出入库录入!AN49*$E47</f>
        <v>0</v>
      </c>
      <c r="AO47" s="133">
        <f>前台增值物品出入库录入!AO49*$E47</f>
        <v>0</v>
      </c>
      <c r="AP47" s="133">
        <f>前台增值物品出入库录入!AP49*$E47</f>
        <v>0</v>
      </c>
      <c r="AQ47" s="133">
        <f>前台增值物品出入库录入!AQ49*$E47</f>
        <v>0.2</v>
      </c>
      <c r="AR47" s="133">
        <f>前台增值物品出入库录入!AR49*$E47</f>
        <v>0</v>
      </c>
      <c r="AS47" s="133">
        <f>前台增值物品出入库录入!AS49*$E47</f>
        <v>0.4</v>
      </c>
      <c r="AT47" s="133">
        <f>前台增值物品出入库录入!AT49*$E47</f>
        <v>0</v>
      </c>
      <c r="AU47" s="133">
        <f>前台增值物品出入库录入!AU49*$E47</f>
        <v>0</v>
      </c>
      <c r="AV47" s="133">
        <f>前台增值物品出入库录入!AV49*$E47</f>
        <v>0</v>
      </c>
      <c r="AW47" s="133">
        <f>前台增值物品出入库录入!AW49*$E47</f>
        <v>0</v>
      </c>
      <c r="AX47" s="133">
        <f>前台增值物品出入库录入!AX49*$E47</f>
        <v>0</v>
      </c>
      <c r="AY47" s="133">
        <f>前台增值物品出入库录入!AY49*$E47</f>
        <v>0</v>
      </c>
      <c r="AZ47" s="133">
        <f>前台增值物品出入库录入!AZ49*$E47</f>
        <v>0</v>
      </c>
      <c r="BA47" s="133">
        <f>前台增值物品出入库录入!BA49*$E47</f>
        <v>1</v>
      </c>
      <c r="BB47" s="133">
        <f>前台增值物品出入库录入!BB49*$E47</f>
        <v>0</v>
      </c>
      <c r="BC47" s="133">
        <f>前台增值物品出入库录入!BC49*$E47</f>
        <v>1</v>
      </c>
      <c r="BD47" s="133">
        <f>前台增值物品出入库录入!BD49*$E47</f>
        <v>0</v>
      </c>
      <c r="BE47" s="133">
        <f>前台增值物品出入库录入!BE49*$E47</f>
        <v>2</v>
      </c>
      <c r="BF47" s="133">
        <f>前台增值物品出入库录入!BF49*$E47</f>
        <v>0</v>
      </c>
      <c r="BG47" s="133">
        <f>前台增值物品出入库录入!BG49*$E47</f>
        <v>0.8</v>
      </c>
      <c r="BH47" s="133">
        <f>前台增值物品出入库录入!BH49*$E47</f>
        <v>0</v>
      </c>
      <c r="BI47" s="133">
        <f>前台增值物品出入库录入!BI49*$E47</f>
        <v>0.2</v>
      </c>
      <c r="BJ47" s="133">
        <f>前台增值物品出入库录入!BJ49*$E47</f>
        <v>0</v>
      </c>
      <c r="BK47" s="133">
        <f>前台增值物品出入库录入!BK49*$E47</f>
        <v>0</v>
      </c>
      <c r="BL47" s="133">
        <f>前台增值物品出入库录入!BL49*$E47</f>
        <v>0</v>
      </c>
      <c r="BM47" s="133">
        <f>前台增值物品出入库录入!BM49*$E47</f>
        <v>1.2</v>
      </c>
      <c r="BN47" s="133">
        <f>前台增值物品出入库录入!BN49*$E47</f>
        <v>0</v>
      </c>
      <c r="BO47" s="133">
        <f>前台增值物品出入库录入!BO49*$E47</f>
        <v>0</v>
      </c>
      <c r="BP47" s="133">
        <f>前台增值物品出入库录入!BP49*$E47</f>
        <v>0</v>
      </c>
      <c r="BQ47" s="133">
        <f>前台增值物品出入库录入!BQ49*$E47</f>
        <v>0</v>
      </c>
      <c r="BR47" s="133">
        <f>前台增值物品出入库录入!BR49*$E47</f>
        <v>0</v>
      </c>
      <c r="BS47" s="133">
        <f>前台增值物品出入库录入!BS49*$E47</f>
        <v>0</v>
      </c>
      <c r="BT47" s="133">
        <f>前台增值物品出入库录入!BT49*$E47</f>
        <v>0</v>
      </c>
      <c r="BU47" s="133">
        <f>前台增值物品出入库录入!BU49*$E47</f>
        <v>0</v>
      </c>
      <c r="BV47" s="133">
        <f>前台增值物品出入库录入!BV49*$E47</f>
        <v>0</v>
      </c>
      <c r="BW47" s="133">
        <f>前台增值物品出入库录入!BW49*$E47</f>
        <v>0</v>
      </c>
    </row>
    <row r="48" s="178" customFormat="1" customHeight="1" spans="1:75">
      <c r="A48" s="161">
        <v>45</v>
      </c>
      <c r="B48" s="162" t="str">
        <f>前台增值物品出入库录入!B50</f>
        <v>吸水纸</v>
      </c>
      <c r="C48" s="162">
        <f>前台增值物品出入库录入!C50</f>
        <v>0</v>
      </c>
      <c r="D48" s="162" t="str">
        <f>前台增值物品出入库录入!D50</f>
        <v>片</v>
      </c>
      <c r="E48" s="162">
        <f>前台增值物品出入库录入!E50</f>
        <v>0.3975</v>
      </c>
      <c r="F48" s="162">
        <f>前台增值物品出入库录入!F50</f>
        <v>0</v>
      </c>
      <c r="G48" s="162">
        <f>前台增值物品出入库录入!G50</f>
        <v>0</v>
      </c>
      <c r="H48" s="162">
        <f>前台增值物品出入库录入!H50</f>
        <v>100</v>
      </c>
      <c r="I48" s="162">
        <f>前台增值物品出入库录入!I50</f>
        <v>39.75</v>
      </c>
      <c r="J48" s="162">
        <f>前台增值物品出入库录入!J50</f>
        <v>60</v>
      </c>
      <c r="K48" s="162">
        <f>前台增值物品出入库录入!K50</f>
        <v>23.85</v>
      </c>
      <c r="L48" s="162">
        <f>前台增值物品出入库录入!L50</f>
        <v>40</v>
      </c>
      <c r="M48" s="162">
        <f>前台增值物品出入库录入!M50</f>
        <v>15.9</v>
      </c>
      <c r="N48" s="133">
        <f>前台增值物品出入库录入!N50*$E48</f>
        <v>0</v>
      </c>
      <c r="O48" s="133">
        <f>前台增值物品出入库录入!O50*$E48</f>
        <v>0</v>
      </c>
      <c r="P48" s="133">
        <f>前台增值物品出入库录入!P50*$E48</f>
        <v>0</v>
      </c>
      <c r="Q48" s="133">
        <f>前台增值物品出入库录入!Q50*$E48</f>
        <v>0</v>
      </c>
      <c r="R48" s="133">
        <f>前台增值物品出入库录入!R50*$E48</f>
        <v>0</v>
      </c>
      <c r="S48" s="133">
        <f>前台增值物品出入库录入!S50*$E48</f>
        <v>0</v>
      </c>
      <c r="T48" s="133">
        <f>前台增值物品出入库录入!T50*$E48</f>
        <v>0</v>
      </c>
      <c r="U48" s="133">
        <f>前台增值物品出入库录入!U50*$E48</f>
        <v>0</v>
      </c>
      <c r="V48" s="133">
        <f>前台增值物品出入库录入!V50*$E48</f>
        <v>39.75</v>
      </c>
      <c r="W48" s="133">
        <f>前台增值物品出入库录入!W50*$E48</f>
        <v>0</v>
      </c>
      <c r="X48" s="133">
        <f>前台增值物品出入库录入!X50*$E48</f>
        <v>0</v>
      </c>
      <c r="Y48" s="133">
        <f>前台增值物品出入库录入!Y50*$E48</f>
        <v>0</v>
      </c>
      <c r="Z48" s="133">
        <f>前台增值物品出入库录入!Z50*$E48</f>
        <v>0</v>
      </c>
      <c r="AA48" s="133">
        <f>前台增值物品出入库录入!AA50*$E48</f>
        <v>0</v>
      </c>
      <c r="AB48" s="133">
        <f>前台增值物品出入库录入!AB50*$E48</f>
        <v>0</v>
      </c>
      <c r="AC48" s="133">
        <f>前台增值物品出入库录入!AC50*$E48</f>
        <v>0</v>
      </c>
      <c r="AD48" s="133">
        <f>前台增值物品出入库录入!AD50*$E48</f>
        <v>0</v>
      </c>
      <c r="AE48" s="133">
        <f>前台增值物品出入库录入!AE50*$E48</f>
        <v>0</v>
      </c>
      <c r="AF48" s="133">
        <f>前台增值物品出入库录入!AF50*$E48</f>
        <v>0</v>
      </c>
      <c r="AG48" s="133">
        <f>前台增值物品出入库录入!AG50*$E48</f>
        <v>0</v>
      </c>
      <c r="AH48" s="133">
        <f>前台增值物品出入库录入!AH50*$E48</f>
        <v>0</v>
      </c>
      <c r="AI48" s="133">
        <f>前台增值物品出入库录入!AI50*$E48</f>
        <v>0</v>
      </c>
      <c r="AJ48" s="133">
        <f>前台增值物品出入库录入!AJ50*$E48</f>
        <v>0</v>
      </c>
      <c r="AK48" s="133">
        <f>前台增值物品出入库录入!AK50*$E48</f>
        <v>0</v>
      </c>
      <c r="AL48" s="133">
        <f>前台增值物品出入库录入!AL50*$E48</f>
        <v>0</v>
      </c>
      <c r="AM48" s="133">
        <f>前台增值物品出入库录入!AM50*$E48</f>
        <v>0</v>
      </c>
      <c r="AN48" s="133">
        <f>前台增值物品出入库录入!AN50*$E48</f>
        <v>0</v>
      </c>
      <c r="AO48" s="133">
        <f>前台增值物品出入库录入!AO50*$E48</f>
        <v>0</v>
      </c>
      <c r="AP48" s="133">
        <f>前台增值物品出入库录入!AP50*$E48</f>
        <v>0</v>
      </c>
      <c r="AQ48" s="133">
        <f>前台增值物品出入库录入!AQ50*$E48</f>
        <v>0</v>
      </c>
      <c r="AR48" s="133">
        <f>前台增值物品出入库录入!AR50*$E48</f>
        <v>0</v>
      </c>
      <c r="AS48" s="133">
        <f>前台增值物品出入库录入!AS50*$E48</f>
        <v>0</v>
      </c>
      <c r="AT48" s="133">
        <f>前台增值物品出入库录入!AT50*$E48</f>
        <v>0</v>
      </c>
      <c r="AU48" s="133">
        <f>前台增值物品出入库录入!AU50*$E48</f>
        <v>0</v>
      </c>
      <c r="AV48" s="133">
        <f>前台增值物品出入库录入!AV50*$E48</f>
        <v>0</v>
      </c>
      <c r="AW48" s="133">
        <f>前台增值物品出入库录入!AW50*$E48</f>
        <v>0</v>
      </c>
      <c r="AX48" s="133">
        <f>前台增值物品出入库录入!AX50*$E48</f>
        <v>0</v>
      </c>
      <c r="AY48" s="133">
        <f>前台增值物品出入库录入!AY50*$E48</f>
        <v>0</v>
      </c>
      <c r="AZ48" s="133">
        <f>前台增值物品出入库录入!AZ50*$E48</f>
        <v>0</v>
      </c>
      <c r="BA48" s="133">
        <f>前台增值物品出入库录入!BA50*$E48</f>
        <v>0</v>
      </c>
      <c r="BB48" s="133">
        <f>前台增值物品出入库录入!BB50*$E48</f>
        <v>0</v>
      </c>
      <c r="BC48" s="133">
        <f>前台增值物品出入库录入!BC50*$E48</f>
        <v>0</v>
      </c>
      <c r="BD48" s="133">
        <f>前台增值物品出入库录入!BD50*$E48</f>
        <v>0</v>
      </c>
      <c r="BE48" s="133">
        <f>前台增值物品出入库录入!BE50*$E48</f>
        <v>0</v>
      </c>
      <c r="BF48" s="133">
        <f>前台增值物品出入库录入!BF50*$E48</f>
        <v>0</v>
      </c>
      <c r="BG48" s="133">
        <f>前台增值物品出入库录入!BG50*$E48</f>
        <v>0</v>
      </c>
      <c r="BH48" s="133">
        <f>前台增值物品出入库录入!BH50*$E48</f>
        <v>0</v>
      </c>
      <c r="BI48" s="133">
        <f>前台增值物品出入库录入!BI50*$E48</f>
        <v>23.85</v>
      </c>
      <c r="BJ48" s="133">
        <f>前台增值物品出入库录入!BJ50*$E48</f>
        <v>0</v>
      </c>
      <c r="BK48" s="133">
        <f>前台增值物品出入库录入!BK50*$E48</f>
        <v>0</v>
      </c>
      <c r="BL48" s="133">
        <f>前台增值物品出入库录入!BL50*$E48</f>
        <v>0</v>
      </c>
      <c r="BM48" s="133">
        <f>前台增值物品出入库录入!BM50*$E48</f>
        <v>0</v>
      </c>
      <c r="BN48" s="133">
        <f>前台增值物品出入库录入!BN50*$E48</f>
        <v>0</v>
      </c>
      <c r="BO48" s="133">
        <f>前台增值物品出入库录入!BO50*$E48</f>
        <v>0</v>
      </c>
      <c r="BP48" s="133">
        <f>前台增值物品出入库录入!BP50*$E48</f>
        <v>0</v>
      </c>
      <c r="BQ48" s="133">
        <f>前台增值物品出入库录入!BQ50*$E48</f>
        <v>0</v>
      </c>
      <c r="BR48" s="133">
        <f>前台增值物品出入库录入!BR50*$E48</f>
        <v>0</v>
      </c>
      <c r="BS48" s="133">
        <f>前台增值物品出入库录入!BS50*$E48</f>
        <v>0</v>
      </c>
      <c r="BT48" s="133">
        <f>前台增值物品出入库录入!BT50*$E48</f>
        <v>0</v>
      </c>
      <c r="BU48" s="133">
        <f>前台增值物品出入库录入!BU50*$E48</f>
        <v>0</v>
      </c>
      <c r="BV48" s="133">
        <f>前台增值物品出入库录入!BV50*$E48</f>
        <v>0</v>
      </c>
      <c r="BW48" s="133">
        <f>前台增值物品出入库录入!BW50*$E48</f>
        <v>0</v>
      </c>
    </row>
    <row r="49" s="178" customFormat="1" customHeight="1" spans="1:75">
      <c r="A49" s="161">
        <v>46</v>
      </c>
      <c r="B49" s="162" t="str">
        <f>前台增值物品出入库录入!B51</f>
        <v>文件盒宽</v>
      </c>
      <c r="C49" s="162">
        <f>前台增值物品出入库录入!C51</f>
        <v>0</v>
      </c>
      <c r="D49" s="162" t="str">
        <f>前台增值物品出入库录入!D51</f>
        <v>个</v>
      </c>
      <c r="E49" s="162">
        <f>前台增值物品出入库录入!E51</f>
        <v>5</v>
      </c>
      <c r="F49" s="162">
        <f>前台增值物品出入库录入!F51</f>
        <v>6</v>
      </c>
      <c r="G49" s="162">
        <f>前台增值物品出入库录入!G51</f>
        <v>30</v>
      </c>
      <c r="H49" s="162">
        <f>前台增值物品出入库录入!H51</f>
        <v>0</v>
      </c>
      <c r="I49" s="162">
        <f>前台增值物品出入库录入!I51</f>
        <v>0</v>
      </c>
      <c r="J49" s="162">
        <f>前台增值物品出入库录入!J51</f>
        <v>0</v>
      </c>
      <c r="K49" s="162">
        <f>前台增值物品出入库录入!K51</f>
        <v>0</v>
      </c>
      <c r="L49" s="162">
        <f>前台增值物品出入库录入!L51</f>
        <v>6</v>
      </c>
      <c r="M49" s="162">
        <f>前台增值物品出入库录入!M51</f>
        <v>30</v>
      </c>
      <c r="N49" s="133">
        <f>前台增值物品出入库录入!N51*$E49</f>
        <v>0</v>
      </c>
      <c r="O49" s="133">
        <f>前台增值物品出入库录入!O51*$E49</f>
        <v>0</v>
      </c>
      <c r="P49" s="133">
        <f>前台增值物品出入库录入!P51*$E49</f>
        <v>0</v>
      </c>
      <c r="Q49" s="133">
        <f>前台增值物品出入库录入!Q51*$E49</f>
        <v>0</v>
      </c>
      <c r="R49" s="133">
        <f>前台增值物品出入库录入!R51*$E49</f>
        <v>0</v>
      </c>
      <c r="S49" s="133">
        <f>前台增值物品出入库录入!S51*$E49</f>
        <v>0</v>
      </c>
      <c r="T49" s="133">
        <f>前台增值物品出入库录入!T51*$E49</f>
        <v>0</v>
      </c>
      <c r="U49" s="133">
        <f>前台增值物品出入库录入!U51*$E49</f>
        <v>0</v>
      </c>
      <c r="V49" s="133">
        <f>前台增值物品出入库录入!V51*$E49</f>
        <v>0</v>
      </c>
      <c r="W49" s="133">
        <f>前台增值物品出入库录入!W51*$E49</f>
        <v>0</v>
      </c>
      <c r="X49" s="133">
        <f>前台增值物品出入库录入!X51*$E49</f>
        <v>0</v>
      </c>
      <c r="Y49" s="133">
        <f>前台增值物品出入库录入!Y51*$E49</f>
        <v>0</v>
      </c>
      <c r="Z49" s="133">
        <f>前台增值物品出入库录入!Z51*$E49</f>
        <v>0</v>
      </c>
      <c r="AA49" s="133">
        <f>前台增值物品出入库录入!AA51*$E49</f>
        <v>0</v>
      </c>
      <c r="AB49" s="133">
        <f>前台增值物品出入库录入!AB51*$E49</f>
        <v>0</v>
      </c>
      <c r="AC49" s="133">
        <f>前台增值物品出入库录入!AC51*$E49</f>
        <v>0</v>
      </c>
      <c r="AD49" s="133">
        <f>前台增值物品出入库录入!AD51*$E49</f>
        <v>0</v>
      </c>
      <c r="AE49" s="133">
        <f>前台增值物品出入库录入!AE51*$E49</f>
        <v>0</v>
      </c>
      <c r="AF49" s="133">
        <f>前台增值物品出入库录入!AF51*$E49</f>
        <v>0</v>
      </c>
      <c r="AG49" s="133">
        <f>前台增值物品出入库录入!AG51*$E49</f>
        <v>0</v>
      </c>
      <c r="AH49" s="133">
        <f>前台增值物品出入库录入!AH51*$E49</f>
        <v>0</v>
      </c>
      <c r="AI49" s="133">
        <f>前台增值物品出入库录入!AI51*$E49</f>
        <v>0</v>
      </c>
      <c r="AJ49" s="133">
        <f>前台增值物品出入库录入!AJ51*$E49</f>
        <v>0</v>
      </c>
      <c r="AK49" s="133">
        <f>前台增值物品出入库录入!AK51*$E49</f>
        <v>0</v>
      </c>
      <c r="AL49" s="133">
        <f>前台增值物品出入库录入!AL51*$E49</f>
        <v>0</v>
      </c>
      <c r="AM49" s="133">
        <f>前台增值物品出入库录入!AM51*$E49</f>
        <v>0</v>
      </c>
      <c r="AN49" s="133">
        <f>前台增值物品出入库录入!AN51*$E49</f>
        <v>0</v>
      </c>
      <c r="AO49" s="133">
        <f>前台增值物品出入库录入!AO51*$E49</f>
        <v>0</v>
      </c>
      <c r="AP49" s="133">
        <f>前台增值物品出入库录入!AP51*$E49</f>
        <v>0</v>
      </c>
      <c r="AQ49" s="133">
        <f>前台增值物品出入库录入!AQ51*$E49</f>
        <v>0</v>
      </c>
      <c r="AR49" s="133">
        <f>前台增值物品出入库录入!AR51*$E49</f>
        <v>0</v>
      </c>
      <c r="AS49" s="133">
        <f>前台增值物品出入库录入!AS51*$E49</f>
        <v>0</v>
      </c>
      <c r="AT49" s="133">
        <f>前台增值物品出入库录入!AT51*$E49</f>
        <v>0</v>
      </c>
      <c r="AU49" s="133">
        <f>前台增值物品出入库录入!AU51*$E49</f>
        <v>0</v>
      </c>
      <c r="AV49" s="133">
        <f>前台增值物品出入库录入!AV51*$E49</f>
        <v>0</v>
      </c>
      <c r="AW49" s="133">
        <f>前台增值物品出入库录入!AW51*$E49</f>
        <v>0</v>
      </c>
      <c r="AX49" s="133">
        <f>前台增值物品出入库录入!AX51*$E49</f>
        <v>0</v>
      </c>
      <c r="AY49" s="133">
        <f>前台增值物品出入库录入!AY51*$E49</f>
        <v>0</v>
      </c>
      <c r="AZ49" s="133">
        <f>前台增值物品出入库录入!AZ51*$E49</f>
        <v>0</v>
      </c>
      <c r="BA49" s="133">
        <f>前台增值物品出入库录入!BA51*$E49</f>
        <v>0</v>
      </c>
      <c r="BB49" s="133">
        <f>前台增值物品出入库录入!BB51*$E49</f>
        <v>0</v>
      </c>
      <c r="BC49" s="133">
        <f>前台增值物品出入库录入!BC51*$E49</f>
        <v>0</v>
      </c>
      <c r="BD49" s="133">
        <f>前台增值物品出入库录入!BD51*$E49</f>
        <v>0</v>
      </c>
      <c r="BE49" s="133">
        <f>前台增值物品出入库录入!BE51*$E49</f>
        <v>0</v>
      </c>
      <c r="BF49" s="133">
        <f>前台增值物品出入库录入!BF51*$E49</f>
        <v>0</v>
      </c>
      <c r="BG49" s="133">
        <f>前台增值物品出入库录入!BG51*$E49</f>
        <v>0</v>
      </c>
      <c r="BH49" s="133">
        <f>前台增值物品出入库录入!BH51*$E49</f>
        <v>0</v>
      </c>
      <c r="BI49" s="133">
        <f>前台增值物品出入库录入!BI51*$E49</f>
        <v>0</v>
      </c>
      <c r="BJ49" s="133">
        <f>前台增值物品出入库录入!BJ51*$E49</f>
        <v>0</v>
      </c>
      <c r="BK49" s="133">
        <f>前台增值物品出入库录入!BK51*$E49</f>
        <v>0</v>
      </c>
      <c r="BL49" s="133">
        <f>前台增值物品出入库录入!BL51*$E49</f>
        <v>0</v>
      </c>
      <c r="BM49" s="133">
        <f>前台增值物品出入库录入!BM51*$E49</f>
        <v>0</v>
      </c>
      <c r="BN49" s="133">
        <f>前台增值物品出入库录入!BN51*$E49</f>
        <v>0</v>
      </c>
      <c r="BO49" s="133">
        <f>前台增值物品出入库录入!BO51*$E49</f>
        <v>0</v>
      </c>
      <c r="BP49" s="133">
        <f>前台增值物品出入库录入!BP51*$E49</f>
        <v>0</v>
      </c>
      <c r="BQ49" s="133">
        <f>前台增值物品出入库录入!BQ51*$E49</f>
        <v>0</v>
      </c>
      <c r="BR49" s="133">
        <f>前台增值物品出入库录入!BR51*$E49</f>
        <v>0</v>
      </c>
      <c r="BS49" s="133">
        <f>前台增值物品出入库录入!BS51*$E49</f>
        <v>0</v>
      </c>
      <c r="BT49" s="133">
        <f>前台增值物品出入库录入!BT51*$E49</f>
        <v>0</v>
      </c>
      <c r="BU49" s="133">
        <f>前台增值物品出入库录入!BU51*$E49</f>
        <v>0</v>
      </c>
      <c r="BV49" s="133">
        <f>前台增值物品出入库录入!BV51*$E49</f>
        <v>0</v>
      </c>
      <c r="BW49" s="133">
        <f>前台增值物品出入库录入!BW51*$E49</f>
        <v>0</v>
      </c>
    </row>
    <row r="50" s="178" customFormat="1" customHeight="1" spans="1:75">
      <c r="A50" s="161">
        <v>47</v>
      </c>
      <c r="B50" s="162" t="str">
        <f>前台增值物品出入库录入!B52</f>
        <v>垃圾桶</v>
      </c>
      <c r="C50" s="162">
        <f>前台增值物品出入库录入!C52</f>
        <v>0</v>
      </c>
      <c r="D50" s="162" t="str">
        <f>前台增值物品出入库录入!D52</f>
        <v>个</v>
      </c>
      <c r="E50" s="162">
        <f>前台增值物品出入库录入!E52</f>
        <v>69.9</v>
      </c>
      <c r="F50" s="162">
        <f>前台增值物品出入库录入!F52</f>
        <v>0</v>
      </c>
      <c r="G50" s="162">
        <f>前台增值物品出入库录入!G52</f>
        <v>0</v>
      </c>
      <c r="H50" s="162">
        <f>前台增值物品出入库录入!H52</f>
        <v>1</v>
      </c>
      <c r="I50" s="162">
        <f>前台增值物品出入库录入!I52</f>
        <v>69.9</v>
      </c>
      <c r="J50" s="162">
        <f>前台增值物品出入库录入!J52</f>
        <v>1</v>
      </c>
      <c r="K50" s="162">
        <f>前台增值物品出入库录入!K52</f>
        <v>69.9</v>
      </c>
      <c r="L50" s="162">
        <f>前台增值物品出入库录入!L52</f>
        <v>0</v>
      </c>
      <c r="M50" s="162">
        <f>前台增值物品出入库录入!M52</f>
        <v>0</v>
      </c>
      <c r="N50" s="133">
        <f>前台增值物品出入库录入!N52*$E50</f>
        <v>0</v>
      </c>
      <c r="O50" s="133">
        <f>前台增值物品出入库录入!O52*$E50</f>
        <v>0</v>
      </c>
      <c r="P50" s="133">
        <f>前台增值物品出入库录入!P52*$E50</f>
        <v>0</v>
      </c>
      <c r="Q50" s="133">
        <f>前台增值物品出入库录入!Q52*$E50</f>
        <v>0</v>
      </c>
      <c r="R50" s="133">
        <f>前台增值物品出入库录入!R52*$E50</f>
        <v>69.9</v>
      </c>
      <c r="S50" s="133">
        <f>前台增值物品出入库录入!S52*$E50</f>
        <v>69.9</v>
      </c>
      <c r="T50" s="133">
        <f>前台增值物品出入库录入!T52*$E50</f>
        <v>0</v>
      </c>
      <c r="U50" s="133">
        <f>前台增值物品出入库录入!U52*$E50</f>
        <v>0</v>
      </c>
      <c r="V50" s="133">
        <f>前台增值物品出入库录入!V52*$E50</f>
        <v>0</v>
      </c>
      <c r="W50" s="133">
        <f>前台增值物品出入库录入!W52*$E50</f>
        <v>0</v>
      </c>
      <c r="X50" s="133">
        <f>前台增值物品出入库录入!X52*$E50</f>
        <v>0</v>
      </c>
      <c r="Y50" s="133">
        <f>前台增值物品出入库录入!Y52*$E50</f>
        <v>0</v>
      </c>
      <c r="Z50" s="133">
        <f>前台增值物品出入库录入!Z52*$E50</f>
        <v>0</v>
      </c>
      <c r="AA50" s="133">
        <f>前台增值物品出入库录入!AA52*$E50</f>
        <v>0</v>
      </c>
      <c r="AB50" s="133">
        <f>前台增值物品出入库录入!AB52*$E50</f>
        <v>0</v>
      </c>
      <c r="AC50" s="133">
        <f>前台增值物品出入库录入!AC52*$E50</f>
        <v>0</v>
      </c>
      <c r="AD50" s="133">
        <f>前台增值物品出入库录入!AD52*$E50</f>
        <v>0</v>
      </c>
      <c r="AE50" s="133">
        <f>前台增值物品出入库录入!AE52*$E50</f>
        <v>0</v>
      </c>
      <c r="AF50" s="133">
        <f>前台增值物品出入库录入!AF52*$E50</f>
        <v>0</v>
      </c>
      <c r="AG50" s="133">
        <f>前台增值物品出入库录入!AG52*$E50</f>
        <v>0</v>
      </c>
      <c r="AH50" s="133">
        <f>前台增值物品出入库录入!AH52*$E50</f>
        <v>0</v>
      </c>
      <c r="AI50" s="133">
        <f>前台增值物品出入库录入!AI52*$E50</f>
        <v>0</v>
      </c>
      <c r="AJ50" s="133">
        <f>前台增值物品出入库录入!AJ52*$E50</f>
        <v>0</v>
      </c>
      <c r="AK50" s="133">
        <f>前台增值物品出入库录入!AK52*$E50</f>
        <v>0</v>
      </c>
      <c r="AL50" s="133">
        <f>前台增值物品出入库录入!AL52*$E50</f>
        <v>0</v>
      </c>
      <c r="AM50" s="133">
        <f>前台增值物品出入库录入!AM52*$E50</f>
        <v>0</v>
      </c>
      <c r="AN50" s="133">
        <f>前台增值物品出入库录入!AN52*$E50</f>
        <v>0</v>
      </c>
      <c r="AO50" s="133">
        <f>前台增值物品出入库录入!AO52*$E50</f>
        <v>0</v>
      </c>
      <c r="AP50" s="133">
        <f>前台增值物品出入库录入!AP52*$E50</f>
        <v>0</v>
      </c>
      <c r="AQ50" s="133">
        <f>前台增值物品出入库录入!AQ52*$E50</f>
        <v>0</v>
      </c>
      <c r="AR50" s="133">
        <f>前台增值物品出入库录入!AR52*$E50</f>
        <v>0</v>
      </c>
      <c r="AS50" s="133">
        <f>前台增值物品出入库录入!AS52*$E50</f>
        <v>0</v>
      </c>
      <c r="AT50" s="133">
        <f>前台增值物品出入库录入!AT52*$E50</f>
        <v>0</v>
      </c>
      <c r="AU50" s="133">
        <f>前台增值物品出入库录入!AU52*$E50</f>
        <v>0</v>
      </c>
      <c r="AV50" s="133">
        <f>前台增值物品出入库录入!AV52*$E50</f>
        <v>0</v>
      </c>
      <c r="AW50" s="133">
        <f>前台增值物品出入库录入!AW52*$E50</f>
        <v>0</v>
      </c>
      <c r="AX50" s="133">
        <f>前台增值物品出入库录入!AX52*$E50</f>
        <v>0</v>
      </c>
      <c r="AY50" s="133">
        <f>前台增值物品出入库录入!AY52*$E50</f>
        <v>0</v>
      </c>
      <c r="AZ50" s="133">
        <f>前台增值物品出入库录入!AZ52*$E50</f>
        <v>0</v>
      </c>
      <c r="BA50" s="133">
        <f>前台增值物品出入库录入!BA52*$E50</f>
        <v>0</v>
      </c>
      <c r="BB50" s="133">
        <f>前台增值物品出入库录入!BB52*$E50</f>
        <v>0</v>
      </c>
      <c r="BC50" s="133">
        <f>前台增值物品出入库录入!BC52*$E50</f>
        <v>0</v>
      </c>
      <c r="BD50" s="133">
        <f>前台增值物品出入库录入!BD52*$E50</f>
        <v>0</v>
      </c>
      <c r="BE50" s="133">
        <f>前台增值物品出入库录入!BE52*$E50</f>
        <v>0</v>
      </c>
      <c r="BF50" s="133">
        <f>前台增值物品出入库录入!BF52*$E50</f>
        <v>0</v>
      </c>
      <c r="BG50" s="133">
        <f>前台增值物品出入库录入!BG52*$E50</f>
        <v>0</v>
      </c>
      <c r="BH50" s="133">
        <f>前台增值物品出入库录入!BH52*$E50</f>
        <v>0</v>
      </c>
      <c r="BI50" s="133">
        <f>前台增值物品出入库录入!BI52*$E50</f>
        <v>0</v>
      </c>
      <c r="BJ50" s="133">
        <f>前台增值物品出入库录入!BJ52*$E50</f>
        <v>0</v>
      </c>
      <c r="BK50" s="133">
        <f>前台增值物品出入库录入!BK52*$E50</f>
        <v>0</v>
      </c>
      <c r="BL50" s="133">
        <f>前台增值物品出入库录入!BL52*$E50</f>
        <v>0</v>
      </c>
      <c r="BM50" s="133">
        <f>前台增值物品出入库录入!BM52*$E50</f>
        <v>0</v>
      </c>
      <c r="BN50" s="133">
        <f>前台增值物品出入库录入!BN52*$E50</f>
        <v>0</v>
      </c>
      <c r="BO50" s="133">
        <f>前台增值物品出入库录入!BO52*$E50</f>
        <v>0</v>
      </c>
      <c r="BP50" s="133">
        <f>前台增值物品出入库录入!BP52*$E50</f>
        <v>0</v>
      </c>
      <c r="BQ50" s="133">
        <f>前台增值物品出入库录入!BQ52*$E50</f>
        <v>0</v>
      </c>
      <c r="BR50" s="133">
        <f>前台增值物品出入库录入!BR52*$E50</f>
        <v>0</v>
      </c>
      <c r="BS50" s="133">
        <f>前台增值物品出入库录入!BS52*$E50</f>
        <v>0</v>
      </c>
      <c r="BT50" s="133">
        <f>前台增值物品出入库录入!BT52*$E50</f>
        <v>0</v>
      </c>
      <c r="BU50" s="133">
        <f>前台增值物品出入库录入!BU52*$E50</f>
        <v>0</v>
      </c>
      <c r="BV50" s="133">
        <f>前台增值物品出入库录入!BV52*$E50</f>
        <v>0</v>
      </c>
      <c r="BW50" s="133">
        <f>前台增值物品出入库录入!BW52*$E50</f>
        <v>0</v>
      </c>
    </row>
    <row r="51" s="178" customFormat="1" customHeight="1" spans="1:75">
      <c r="A51" s="161">
        <v>48</v>
      </c>
      <c r="B51" s="162" t="str">
        <f>前台增值物品出入库录入!B53</f>
        <v>黑色头绳</v>
      </c>
      <c r="C51" s="162">
        <f>前台增值物品出入库录入!C53</f>
        <v>0</v>
      </c>
      <c r="D51" s="162" t="str">
        <f>前台增值物品出入库录入!D53</f>
        <v>个</v>
      </c>
      <c r="E51" s="162">
        <f>前台增值物品出入库录入!E53</f>
        <v>0.059</v>
      </c>
      <c r="F51" s="162">
        <f>前台增值物品出入库录入!F53</f>
        <v>50</v>
      </c>
      <c r="G51" s="162">
        <f>前台增值物品出入库录入!G53</f>
        <v>2.95</v>
      </c>
      <c r="H51" s="162">
        <f>前台增值物品出入库录入!H53</f>
        <v>0</v>
      </c>
      <c r="I51" s="162">
        <f>前台增值物品出入库录入!I53</f>
        <v>0</v>
      </c>
      <c r="J51" s="162">
        <f>前台增值物品出入库录入!J53</f>
        <v>12</v>
      </c>
      <c r="K51" s="162">
        <f>前台增值物品出入库录入!K53</f>
        <v>0.708</v>
      </c>
      <c r="L51" s="162">
        <f>前台增值物品出入库录入!L53</f>
        <v>38</v>
      </c>
      <c r="M51" s="162">
        <f>前台增值物品出入库录入!M53</f>
        <v>2.242</v>
      </c>
      <c r="N51" s="133">
        <f>前台增值物品出入库录入!N53*$E51</f>
        <v>0</v>
      </c>
      <c r="O51" s="133">
        <f>前台增值物品出入库录入!O53*$E51</f>
        <v>0.118</v>
      </c>
      <c r="P51" s="133">
        <f>前台增值物品出入库录入!P53*$E51</f>
        <v>0</v>
      </c>
      <c r="Q51" s="133">
        <f>前台增值物品出入库录入!Q53*$E51</f>
        <v>0</v>
      </c>
      <c r="R51" s="133">
        <f>前台增值物品出入库录入!R53*$E51</f>
        <v>0</v>
      </c>
      <c r="S51" s="133">
        <f>前台增值物品出入库录入!S53*$E51</f>
        <v>0.59</v>
      </c>
      <c r="T51" s="133">
        <f>前台增值物品出入库录入!T53*$E51</f>
        <v>0</v>
      </c>
      <c r="U51" s="133">
        <f>前台增值物品出入库录入!U53*$E51</f>
        <v>0</v>
      </c>
      <c r="V51" s="133">
        <f>前台增值物品出入库录入!V53*$E51</f>
        <v>0</v>
      </c>
      <c r="W51" s="133">
        <f>前台增值物品出入库录入!W53*$E51</f>
        <v>0</v>
      </c>
      <c r="X51" s="133">
        <f>前台增值物品出入库录入!X53*$E51</f>
        <v>0</v>
      </c>
      <c r="Y51" s="133">
        <f>前台增值物品出入库录入!Y53*$E51</f>
        <v>0</v>
      </c>
      <c r="Z51" s="133">
        <f>前台增值物品出入库录入!Z53*$E51</f>
        <v>0</v>
      </c>
      <c r="AA51" s="133">
        <f>前台增值物品出入库录入!AA53*$E51</f>
        <v>0</v>
      </c>
      <c r="AB51" s="133">
        <f>前台增值物品出入库录入!AB53*$E51</f>
        <v>0</v>
      </c>
      <c r="AC51" s="133">
        <f>前台增值物品出入库录入!AC53*$E51</f>
        <v>0</v>
      </c>
      <c r="AD51" s="133">
        <f>前台增值物品出入库录入!AD53*$E51</f>
        <v>0</v>
      </c>
      <c r="AE51" s="133">
        <f>前台增值物品出入库录入!AE53*$E51</f>
        <v>0</v>
      </c>
      <c r="AF51" s="133">
        <f>前台增值物品出入库录入!AF53*$E51</f>
        <v>0</v>
      </c>
      <c r="AG51" s="133">
        <f>前台增值物品出入库录入!AG53*$E51</f>
        <v>0</v>
      </c>
      <c r="AH51" s="133">
        <f>前台增值物品出入库录入!AH53*$E51</f>
        <v>0</v>
      </c>
      <c r="AI51" s="133">
        <f>前台增值物品出入库录入!AI53*$E51</f>
        <v>0</v>
      </c>
      <c r="AJ51" s="133">
        <f>前台增值物品出入库录入!AJ53*$E51</f>
        <v>0</v>
      </c>
      <c r="AK51" s="133">
        <f>前台增值物品出入库录入!AK53*$E51</f>
        <v>0</v>
      </c>
      <c r="AL51" s="133">
        <f>前台增值物品出入库录入!AL53*$E51</f>
        <v>0</v>
      </c>
      <c r="AM51" s="133">
        <f>前台增值物品出入库录入!AM53*$E51</f>
        <v>0</v>
      </c>
      <c r="AN51" s="133">
        <f>前台增值物品出入库录入!AN53*$E51</f>
        <v>0</v>
      </c>
      <c r="AO51" s="133">
        <f>前台增值物品出入库录入!AO53*$E51</f>
        <v>0</v>
      </c>
      <c r="AP51" s="133">
        <f>前台增值物品出入库录入!AP53*$E51</f>
        <v>0</v>
      </c>
      <c r="AQ51" s="133">
        <f>前台增值物品出入库录入!AQ53*$E51</f>
        <v>0</v>
      </c>
      <c r="AR51" s="133">
        <f>前台增值物品出入库录入!AR53*$E51</f>
        <v>0</v>
      </c>
      <c r="AS51" s="133">
        <f>前台增值物品出入库录入!AS53*$E51</f>
        <v>0</v>
      </c>
      <c r="AT51" s="133">
        <f>前台增值物品出入库录入!AT53*$E51</f>
        <v>0</v>
      </c>
      <c r="AU51" s="133">
        <f>前台增值物品出入库录入!AU53*$E51</f>
        <v>0</v>
      </c>
      <c r="AV51" s="133">
        <f>前台增值物品出入库录入!AV53*$E51</f>
        <v>0</v>
      </c>
      <c r="AW51" s="133">
        <f>前台增值物品出入库录入!AW53*$E51</f>
        <v>0</v>
      </c>
      <c r="AX51" s="133">
        <f>前台增值物品出入库录入!AX53*$E51</f>
        <v>0</v>
      </c>
      <c r="AY51" s="133">
        <f>前台增值物品出入库录入!AY53*$E51</f>
        <v>0</v>
      </c>
      <c r="AZ51" s="133">
        <f>前台增值物品出入库录入!AZ53*$E51</f>
        <v>0</v>
      </c>
      <c r="BA51" s="133">
        <f>前台增值物品出入库录入!BA53*$E51</f>
        <v>0</v>
      </c>
      <c r="BB51" s="133">
        <f>前台增值物品出入库录入!BB53*$E51</f>
        <v>0</v>
      </c>
      <c r="BC51" s="133">
        <f>前台增值物品出入库录入!BC53*$E51</f>
        <v>0</v>
      </c>
      <c r="BD51" s="133">
        <f>前台增值物品出入库录入!BD53*$E51</f>
        <v>0</v>
      </c>
      <c r="BE51" s="133">
        <f>前台增值物品出入库录入!BE53*$E51</f>
        <v>0</v>
      </c>
      <c r="BF51" s="133">
        <f>前台增值物品出入库录入!BF53*$E51</f>
        <v>0</v>
      </c>
      <c r="BG51" s="133">
        <f>前台增值物品出入库录入!BG53*$E51</f>
        <v>0</v>
      </c>
      <c r="BH51" s="133">
        <f>前台增值物品出入库录入!BH53*$E51</f>
        <v>0</v>
      </c>
      <c r="BI51" s="133">
        <f>前台增值物品出入库录入!BI53*$E51</f>
        <v>0</v>
      </c>
      <c r="BJ51" s="133">
        <f>前台增值物品出入库录入!BJ53*$E51</f>
        <v>0</v>
      </c>
      <c r="BK51" s="133">
        <f>前台增值物品出入库录入!BK53*$E51</f>
        <v>0</v>
      </c>
      <c r="BL51" s="133">
        <f>前台增值物品出入库录入!BL53*$E51</f>
        <v>0</v>
      </c>
      <c r="BM51" s="133">
        <f>前台增值物品出入库录入!BM53*$E51</f>
        <v>0</v>
      </c>
      <c r="BN51" s="133">
        <f>前台增值物品出入库录入!BN53*$E51</f>
        <v>0</v>
      </c>
      <c r="BO51" s="133">
        <f>前台增值物品出入库录入!BO53*$E51</f>
        <v>0</v>
      </c>
      <c r="BP51" s="133">
        <f>前台增值物品出入库录入!BP53*$E51</f>
        <v>0</v>
      </c>
      <c r="BQ51" s="133">
        <f>前台增值物品出入库录入!BQ53*$E51</f>
        <v>0</v>
      </c>
      <c r="BR51" s="133">
        <f>前台增值物品出入库录入!BR53*$E51</f>
        <v>0</v>
      </c>
      <c r="BS51" s="133">
        <f>前台增值物品出入库录入!BS53*$E51</f>
        <v>0</v>
      </c>
      <c r="BT51" s="133">
        <f>前台增值物品出入库录入!BT53*$E51</f>
        <v>0</v>
      </c>
      <c r="BU51" s="133">
        <f>前台增值物品出入库录入!BU53*$E51</f>
        <v>0</v>
      </c>
      <c r="BV51" s="133">
        <f>前台增值物品出入库录入!BV53*$E51</f>
        <v>0</v>
      </c>
      <c r="BW51" s="133">
        <f>前台增值物品出入库录入!BW53*$E51</f>
        <v>0</v>
      </c>
    </row>
    <row r="52" s="178" customFormat="1" customHeight="1" spans="1:75">
      <c r="A52" s="161">
        <v>49</v>
      </c>
      <c r="B52" s="162" t="str">
        <f>前台增值物品出入库录入!B54</f>
        <v>白砂糖</v>
      </c>
      <c r="C52" s="162">
        <f>前台增值物品出入库录入!C54</f>
        <v>0</v>
      </c>
      <c r="D52" s="162" t="str">
        <f>前台增值物品出入库录入!D54</f>
        <v>个</v>
      </c>
      <c r="E52" s="162">
        <f>前台增值物品出入库录入!E54</f>
        <v>0.1138</v>
      </c>
      <c r="F52" s="162">
        <f>前台增值物品出入库录入!F54</f>
        <v>748</v>
      </c>
      <c r="G52" s="162">
        <f>前台增值物品出入库录入!G54</f>
        <v>85.1224</v>
      </c>
      <c r="H52" s="162">
        <f>前台增值物品出入库录入!H54</f>
        <v>0</v>
      </c>
      <c r="I52" s="162">
        <f>前台增值物品出入库录入!I54</f>
        <v>0</v>
      </c>
      <c r="J52" s="162">
        <f>前台增值物品出入库录入!J54</f>
        <v>748</v>
      </c>
      <c r="K52" s="162">
        <f>前台增值物品出入库录入!K54</f>
        <v>85.1224</v>
      </c>
      <c r="L52" s="162">
        <f>前台增值物品出入库录入!L54</f>
        <v>0</v>
      </c>
      <c r="M52" s="162">
        <f>前台增值物品出入库录入!M54</f>
        <v>0</v>
      </c>
      <c r="N52" s="133">
        <f>前台增值物品出入库录入!N54*$E52</f>
        <v>0</v>
      </c>
      <c r="O52" s="133">
        <f>前台增值物品出入库录入!O54*$E52</f>
        <v>11.38</v>
      </c>
      <c r="P52" s="133">
        <f>前台增值物品出入库录入!P54*$E52</f>
        <v>0</v>
      </c>
      <c r="Q52" s="133">
        <f>前台增值物品出入库录入!Q54*$E52</f>
        <v>0</v>
      </c>
      <c r="R52" s="133">
        <f>前台增值物品出入库录入!R54*$E52</f>
        <v>0</v>
      </c>
      <c r="S52" s="133">
        <f>前台增值物品出入库录入!S54*$E52</f>
        <v>5.69</v>
      </c>
      <c r="T52" s="133">
        <f>前台增值物品出入库录入!T54*$E52</f>
        <v>0</v>
      </c>
      <c r="U52" s="133">
        <f>前台增值物品出入库录入!U54*$E52</f>
        <v>0</v>
      </c>
      <c r="V52" s="133">
        <f>前台增值物品出入库录入!V54*$E52</f>
        <v>0</v>
      </c>
      <c r="W52" s="133">
        <f>前台增值物品出入库录入!W54*$E52</f>
        <v>11.38</v>
      </c>
      <c r="X52" s="133">
        <f>前台增值物品出入库录入!X54*$E52</f>
        <v>0</v>
      </c>
      <c r="Y52" s="133">
        <f>前台增值物品出入库录入!Y54*$E52</f>
        <v>0</v>
      </c>
      <c r="Z52" s="133">
        <f>前台增值物品出入库录入!Z54*$E52</f>
        <v>0</v>
      </c>
      <c r="AA52" s="133">
        <f>前台增值物品出入库录入!AA54*$E52</f>
        <v>4.552</v>
      </c>
      <c r="AB52" s="133">
        <f>前台增值物品出入库录入!AB54*$E52</f>
        <v>0</v>
      </c>
      <c r="AC52" s="133">
        <f>前台增值物品出入库录入!AC54*$E52</f>
        <v>0</v>
      </c>
      <c r="AD52" s="133">
        <f>前台增值物品出入库录入!AD54*$E52</f>
        <v>0</v>
      </c>
      <c r="AE52" s="133">
        <f>前台增值物品出入库录入!AE54*$E52</f>
        <v>11.38</v>
      </c>
      <c r="AF52" s="133">
        <f>前台增值物品出入库录入!AF54*$E52</f>
        <v>0</v>
      </c>
      <c r="AG52" s="133">
        <f>前台增值物品出入库录入!AG54*$E52</f>
        <v>0</v>
      </c>
      <c r="AH52" s="133">
        <f>前台增值物品出入库录入!AH54*$E52</f>
        <v>0</v>
      </c>
      <c r="AI52" s="133">
        <f>前台增值物品出入库录入!AI54*$E52</f>
        <v>0</v>
      </c>
      <c r="AJ52" s="133">
        <f>前台增值物品出入库录入!AJ54*$E52</f>
        <v>0</v>
      </c>
      <c r="AK52" s="133">
        <f>前台增值物品出入库录入!AK54*$E52</f>
        <v>11.38</v>
      </c>
      <c r="AL52" s="133">
        <f>前台增值物品出入库录入!AL54*$E52</f>
        <v>0</v>
      </c>
      <c r="AM52" s="133">
        <f>前台增值物品出入库录入!AM54*$E52</f>
        <v>0</v>
      </c>
      <c r="AN52" s="133">
        <f>前台增值物品出入库录入!AN54*$E52</f>
        <v>0</v>
      </c>
      <c r="AO52" s="133">
        <f>前台增值物品出入库录入!AO54*$E52</f>
        <v>0</v>
      </c>
      <c r="AP52" s="133">
        <f>前台增值物品出入库录入!AP54*$E52</f>
        <v>0</v>
      </c>
      <c r="AQ52" s="133">
        <f>前台增值物品出入库录入!AQ54*$E52</f>
        <v>11.38</v>
      </c>
      <c r="AR52" s="133">
        <f>前台增值物品出入库录入!AR54*$E52</f>
        <v>0</v>
      </c>
      <c r="AS52" s="133">
        <f>前台增值物品出入库录入!AS54*$E52</f>
        <v>0</v>
      </c>
      <c r="AT52" s="133">
        <f>前台增值物品出入库录入!AT54*$E52</f>
        <v>0</v>
      </c>
      <c r="AU52" s="133">
        <f>前台增值物品出入库录入!AU54*$E52</f>
        <v>0</v>
      </c>
      <c r="AV52" s="133">
        <f>前台增值物品出入库录入!AV54*$E52</f>
        <v>0</v>
      </c>
      <c r="AW52" s="133">
        <f>前台增值物品出入库录入!AW54*$E52</f>
        <v>0</v>
      </c>
      <c r="AX52" s="133">
        <f>前台增值物品出入库录入!AX54*$E52</f>
        <v>0</v>
      </c>
      <c r="AY52" s="133">
        <f>前台增值物品出入库录入!AY54*$E52</f>
        <v>0</v>
      </c>
      <c r="AZ52" s="133">
        <f>前台增值物品出入库录入!AZ54*$E52</f>
        <v>0</v>
      </c>
      <c r="BA52" s="133">
        <f>前台增值物品出入库录入!BA54*$E52</f>
        <v>0</v>
      </c>
      <c r="BB52" s="133">
        <f>前台增值物品出入库录入!BB54*$E52</f>
        <v>0</v>
      </c>
      <c r="BC52" s="133">
        <f>前台增值物品出入库录入!BC54*$E52</f>
        <v>5.69</v>
      </c>
      <c r="BD52" s="133">
        <f>前台增值物品出入库录入!BD54*$E52</f>
        <v>0</v>
      </c>
      <c r="BE52" s="133">
        <f>前台增值物品出入库录入!BE54*$E52</f>
        <v>0</v>
      </c>
      <c r="BF52" s="133">
        <f>前台增值物品出入库录入!BF54*$E52</f>
        <v>0</v>
      </c>
      <c r="BG52" s="133">
        <f>前台增值物品出入库录入!BG54*$E52</f>
        <v>0</v>
      </c>
      <c r="BH52" s="133">
        <f>前台增值物品出入库录入!BH54*$E52</f>
        <v>0</v>
      </c>
      <c r="BI52" s="133">
        <f>前台增值物品出入库录入!BI54*$E52</f>
        <v>12.2904</v>
      </c>
      <c r="BJ52" s="133">
        <f>前台增值物品出入库录入!BJ54*$E52</f>
        <v>0</v>
      </c>
      <c r="BK52" s="133">
        <f>前台增值物品出入库录入!BK54*$E52</f>
        <v>0</v>
      </c>
      <c r="BL52" s="133">
        <f>前台增值物品出入库录入!BL54*$E52</f>
        <v>0</v>
      </c>
      <c r="BM52" s="133">
        <f>前台增值物品出入库录入!BM54*$E52</f>
        <v>0</v>
      </c>
      <c r="BN52" s="133">
        <f>前台增值物品出入库录入!BN54*$E52</f>
        <v>0</v>
      </c>
      <c r="BO52" s="133">
        <f>前台增值物品出入库录入!BO54*$E52</f>
        <v>0</v>
      </c>
      <c r="BP52" s="133">
        <f>前台增值物品出入库录入!BP54*$E52</f>
        <v>0</v>
      </c>
      <c r="BQ52" s="133">
        <f>前台增值物品出入库录入!BQ54*$E52</f>
        <v>0</v>
      </c>
      <c r="BR52" s="133">
        <f>前台增值物品出入库录入!BR54*$E52</f>
        <v>0</v>
      </c>
      <c r="BS52" s="133">
        <f>前台增值物品出入库录入!BS54*$E52</f>
        <v>0</v>
      </c>
      <c r="BT52" s="133">
        <f>前台增值物品出入库录入!BT54*$E52</f>
        <v>0</v>
      </c>
      <c r="BU52" s="133">
        <f>前台增值物品出入库录入!BU54*$E52</f>
        <v>0</v>
      </c>
      <c r="BV52" s="133">
        <f>前台增值物品出入库录入!BV54*$E52</f>
        <v>0</v>
      </c>
      <c r="BW52" s="133">
        <f>前台增值物品出入库录入!BW54*$E52</f>
        <v>0</v>
      </c>
    </row>
    <row r="53" s="178" customFormat="1" customHeight="1" spans="1:75">
      <c r="A53" s="161">
        <v>50</v>
      </c>
      <c r="B53" s="162" t="str">
        <f>前台增值物品出入库录入!B55</f>
        <v>杀虫剂</v>
      </c>
      <c r="C53" s="162">
        <f>前台增值物品出入库录入!C55</f>
        <v>0</v>
      </c>
      <c r="D53" s="162" t="str">
        <f>前台增值物品出入库录入!D55</f>
        <v>个</v>
      </c>
      <c r="E53" s="162">
        <f>前台增值物品出入库录入!E55</f>
        <v>18.88</v>
      </c>
      <c r="F53" s="162">
        <f>前台增值物品出入库录入!F55</f>
        <v>0</v>
      </c>
      <c r="G53" s="162">
        <f>前台增值物品出入库录入!G55</f>
        <v>0</v>
      </c>
      <c r="H53" s="162">
        <f>前台增值物品出入库录入!H55</f>
        <v>1</v>
      </c>
      <c r="I53" s="162">
        <f>前台增值物品出入库录入!I55</f>
        <v>18.88</v>
      </c>
      <c r="J53" s="162">
        <f>前台增值物品出入库录入!J55</f>
        <v>1</v>
      </c>
      <c r="K53" s="162">
        <f>前台增值物品出入库录入!K55</f>
        <v>18.88</v>
      </c>
      <c r="L53" s="162">
        <f>前台增值物品出入库录入!L55</f>
        <v>0</v>
      </c>
      <c r="M53" s="162">
        <f>前台增值物品出入库录入!M55</f>
        <v>0</v>
      </c>
      <c r="N53" s="133">
        <f>前台增值物品出入库录入!N55*$E53</f>
        <v>0</v>
      </c>
      <c r="O53" s="133">
        <f>前台增值物品出入库录入!O55*$E53</f>
        <v>0</v>
      </c>
      <c r="P53" s="133">
        <f>前台增值物品出入库录入!P55*$E53</f>
        <v>0</v>
      </c>
      <c r="Q53" s="133">
        <f>前台增值物品出入库录入!Q55*$E53</f>
        <v>0</v>
      </c>
      <c r="R53" s="133">
        <f>前台增值物品出入库录入!R55*$E53</f>
        <v>18.88</v>
      </c>
      <c r="S53" s="133">
        <f>前台增值物品出入库录入!S55*$E53</f>
        <v>0</v>
      </c>
      <c r="T53" s="133">
        <f>前台增值物品出入库录入!T55*$E53</f>
        <v>0</v>
      </c>
      <c r="U53" s="133">
        <f>前台增值物品出入库录入!U55*$E53</f>
        <v>0</v>
      </c>
      <c r="V53" s="133">
        <f>前台增值物品出入库录入!V55*$E53</f>
        <v>0</v>
      </c>
      <c r="W53" s="133">
        <f>前台增值物品出入库录入!W55*$E53</f>
        <v>0</v>
      </c>
      <c r="X53" s="133">
        <f>前台增值物品出入库录入!X55*$E53</f>
        <v>0</v>
      </c>
      <c r="Y53" s="133">
        <f>前台增值物品出入库录入!Y55*$E53</f>
        <v>0</v>
      </c>
      <c r="Z53" s="133">
        <f>前台增值物品出入库录入!Z55*$E53</f>
        <v>0</v>
      </c>
      <c r="AA53" s="133">
        <f>前台增值物品出入库录入!AA55*$E53</f>
        <v>0</v>
      </c>
      <c r="AB53" s="133">
        <f>前台增值物品出入库录入!AB55*$E53</f>
        <v>0</v>
      </c>
      <c r="AC53" s="133">
        <f>前台增值物品出入库录入!AC55*$E53</f>
        <v>0</v>
      </c>
      <c r="AD53" s="133">
        <f>前台增值物品出入库录入!AD55*$E53</f>
        <v>0</v>
      </c>
      <c r="AE53" s="133">
        <f>前台增值物品出入库录入!AE55*$E53</f>
        <v>0</v>
      </c>
      <c r="AF53" s="133">
        <f>前台增值物品出入库录入!AF55*$E53</f>
        <v>0</v>
      </c>
      <c r="AG53" s="133">
        <f>前台增值物品出入库录入!AG55*$E53</f>
        <v>0</v>
      </c>
      <c r="AH53" s="133">
        <f>前台增值物品出入库录入!AH55*$E53</f>
        <v>0</v>
      </c>
      <c r="AI53" s="133">
        <f>前台增值物品出入库录入!AI55*$E53</f>
        <v>0</v>
      </c>
      <c r="AJ53" s="133">
        <f>前台增值物品出入库录入!AJ55*$E53</f>
        <v>0</v>
      </c>
      <c r="AK53" s="133">
        <f>前台增值物品出入库录入!AK55*$E53</f>
        <v>0</v>
      </c>
      <c r="AL53" s="133">
        <f>前台增值物品出入库录入!AL55*$E53</f>
        <v>0</v>
      </c>
      <c r="AM53" s="133">
        <f>前台增值物品出入库录入!AM55*$E53</f>
        <v>0</v>
      </c>
      <c r="AN53" s="133">
        <f>前台增值物品出入库录入!AN55*$E53</f>
        <v>0</v>
      </c>
      <c r="AO53" s="133">
        <f>前台增值物品出入库录入!AO55*$E53</f>
        <v>0</v>
      </c>
      <c r="AP53" s="133">
        <f>前台增值物品出入库录入!AP55*$E53</f>
        <v>0</v>
      </c>
      <c r="AQ53" s="133">
        <f>前台增值物品出入库录入!AQ55*$E53</f>
        <v>0</v>
      </c>
      <c r="AR53" s="133">
        <f>前台增值物品出入库录入!AR55*$E53</f>
        <v>0</v>
      </c>
      <c r="AS53" s="133">
        <f>前台增值物品出入库录入!AS55*$E53</f>
        <v>0</v>
      </c>
      <c r="AT53" s="133">
        <f>前台增值物品出入库录入!AT55*$E53</f>
        <v>0</v>
      </c>
      <c r="AU53" s="133">
        <f>前台增值物品出入库录入!AU55*$E53</f>
        <v>0</v>
      </c>
      <c r="AV53" s="133">
        <f>前台增值物品出入库录入!AV55*$E53</f>
        <v>0</v>
      </c>
      <c r="AW53" s="133">
        <f>前台增值物品出入库录入!AW55*$E53</f>
        <v>0</v>
      </c>
      <c r="AX53" s="133">
        <f>前台增值物品出入库录入!AX55*$E53</f>
        <v>0</v>
      </c>
      <c r="AY53" s="133">
        <f>前台增值物品出入库录入!AY55*$E53</f>
        <v>0</v>
      </c>
      <c r="AZ53" s="133">
        <f>前台增值物品出入库录入!AZ55*$E53</f>
        <v>0</v>
      </c>
      <c r="BA53" s="133">
        <f>前台增值物品出入库录入!BA55*$E53</f>
        <v>0</v>
      </c>
      <c r="BB53" s="133">
        <f>前台增值物品出入库录入!BB55*$E53</f>
        <v>0</v>
      </c>
      <c r="BC53" s="133">
        <f>前台增值物品出入库录入!BC55*$E53</f>
        <v>0</v>
      </c>
      <c r="BD53" s="133">
        <f>前台增值物品出入库录入!BD55*$E53</f>
        <v>0</v>
      </c>
      <c r="BE53" s="133">
        <f>前台增值物品出入库录入!BE55*$E53</f>
        <v>0</v>
      </c>
      <c r="BF53" s="133">
        <f>前台增值物品出入库录入!BF55*$E53</f>
        <v>0</v>
      </c>
      <c r="BG53" s="133">
        <f>前台增值物品出入库录入!BG55*$E53</f>
        <v>0</v>
      </c>
      <c r="BH53" s="133">
        <f>前台增值物品出入库录入!BH55*$E53</f>
        <v>0</v>
      </c>
      <c r="BI53" s="133">
        <f>前台增值物品出入库录入!BI55*$E53</f>
        <v>18.88</v>
      </c>
      <c r="BJ53" s="133">
        <f>前台增值物品出入库录入!BJ55*$E53</f>
        <v>0</v>
      </c>
      <c r="BK53" s="133">
        <f>前台增值物品出入库录入!BK55*$E53</f>
        <v>0</v>
      </c>
      <c r="BL53" s="133">
        <f>前台增值物品出入库录入!BL55*$E53</f>
        <v>0</v>
      </c>
      <c r="BM53" s="133">
        <f>前台增值物品出入库录入!BM55*$E53</f>
        <v>0</v>
      </c>
      <c r="BN53" s="133">
        <f>前台增值物品出入库录入!BN55*$E53</f>
        <v>0</v>
      </c>
      <c r="BO53" s="133">
        <f>前台增值物品出入库录入!BO55*$E53</f>
        <v>0</v>
      </c>
      <c r="BP53" s="133">
        <f>前台增值物品出入库录入!BP55*$E53</f>
        <v>0</v>
      </c>
      <c r="BQ53" s="133">
        <f>前台增值物品出入库录入!BQ55*$E53</f>
        <v>0</v>
      </c>
      <c r="BR53" s="133">
        <f>前台增值物品出入库录入!BR55*$E53</f>
        <v>0</v>
      </c>
      <c r="BS53" s="133">
        <f>前台增值物品出入库录入!BS55*$E53</f>
        <v>0</v>
      </c>
      <c r="BT53" s="133">
        <f>前台增值物品出入库录入!BT55*$E53</f>
        <v>0</v>
      </c>
      <c r="BU53" s="133">
        <f>前台增值物品出入库录入!BU55*$E53</f>
        <v>0</v>
      </c>
      <c r="BV53" s="133">
        <f>前台增值物品出入库录入!BV55*$E53</f>
        <v>0</v>
      </c>
      <c r="BW53" s="133">
        <f>前台增值物品出入库录入!BW55*$E53</f>
        <v>0</v>
      </c>
    </row>
    <row r="54" s="178" customFormat="1" customHeight="1" spans="1:75">
      <c r="A54" s="161">
        <v>51</v>
      </c>
      <c r="B54" s="162" t="str">
        <f>前台增值物品出入库录入!B56</f>
        <v>果酱</v>
      </c>
      <c r="C54" s="162">
        <f>前台增值物品出入库录入!C56</f>
        <v>0</v>
      </c>
      <c r="D54" s="162" t="str">
        <f>前台增值物品出入库录入!D56</f>
        <v>个</v>
      </c>
      <c r="E54" s="162">
        <f>前台增值物品出入库录入!E56</f>
        <v>23.8</v>
      </c>
      <c r="F54" s="162">
        <f>前台增值物品出入库录入!F56</f>
        <v>0</v>
      </c>
      <c r="G54" s="162">
        <f>前台增值物品出入库录入!G56</f>
        <v>0</v>
      </c>
      <c r="H54" s="162">
        <f>前台增值物品出入库录入!H56</f>
        <v>1</v>
      </c>
      <c r="I54" s="162">
        <f>前台增值物品出入库录入!I56</f>
        <v>23.8</v>
      </c>
      <c r="J54" s="162">
        <f>前台增值物品出入库录入!J56</f>
        <v>1</v>
      </c>
      <c r="K54" s="162">
        <f>前台增值物品出入库录入!K56</f>
        <v>23.8</v>
      </c>
      <c r="L54" s="162">
        <f>前台增值物品出入库录入!L56</f>
        <v>0</v>
      </c>
      <c r="M54" s="162">
        <f>前台增值物品出入库录入!M56</f>
        <v>0</v>
      </c>
      <c r="N54" s="133">
        <f>前台增值物品出入库录入!N56*$E54</f>
        <v>0</v>
      </c>
      <c r="O54" s="133">
        <f>前台增值物品出入库录入!O56*$E54</f>
        <v>0</v>
      </c>
      <c r="P54" s="133">
        <f>前台增值物品出入库录入!P56*$E54</f>
        <v>0</v>
      </c>
      <c r="Q54" s="133">
        <f>前台增值物品出入库录入!Q56*$E54</f>
        <v>0</v>
      </c>
      <c r="R54" s="133">
        <f>前台增值物品出入库录入!R56*$E54</f>
        <v>0</v>
      </c>
      <c r="S54" s="133">
        <f>前台增值物品出入库录入!S56*$E54</f>
        <v>0</v>
      </c>
      <c r="T54" s="133">
        <f>前台增值物品出入库录入!T56*$E54</f>
        <v>0</v>
      </c>
      <c r="U54" s="133">
        <f>前台增值物品出入库录入!U56*$E54</f>
        <v>0</v>
      </c>
      <c r="V54" s="133">
        <f>前台增值物品出入库录入!V56*$E54</f>
        <v>23.8</v>
      </c>
      <c r="W54" s="133">
        <f>前台增值物品出入库录入!W56*$E54</f>
        <v>0</v>
      </c>
      <c r="X54" s="133">
        <f>前台增值物品出入库录入!X56*$E54</f>
        <v>0</v>
      </c>
      <c r="Y54" s="133">
        <f>前台增值物品出入库录入!Y56*$E54</f>
        <v>0</v>
      </c>
      <c r="Z54" s="133">
        <f>前台增值物品出入库录入!Z56*$E54</f>
        <v>0</v>
      </c>
      <c r="AA54" s="133">
        <f>前台增值物品出入库录入!AA56*$E54</f>
        <v>0</v>
      </c>
      <c r="AB54" s="133">
        <f>前台增值物品出入库录入!AB56*$E54</f>
        <v>0</v>
      </c>
      <c r="AC54" s="133">
        <f>前台增值物品出入库录入!AC56*$E54</f>
        <v>0</v>
      </c>
      <c r="AD54" s="133">
        <f>前台增值物品出入库录入!AD56*$E54</f>
        <v>0</v>
      </c>
      <c r="AE54" s="133">
        <f>前台增值物品出入库录入!AE56*$E54</f>
        <v>0</v>
      </c>
      <c r="AF54" s="133">
        <f>前台增值物品出入库录入!AF56*$E54</f>
        <v>0</v>
      </c>
      <c r="AG54" s="133">
        <f>前台增值物品出入库录入!AG56*$E54</f>
        <v>0</v>
      </c>
      <c r="AH54" s="133">
        <f>前台增值物品出入库录入!AH56*$E54</f>
        <v>0</v>
      </c>
      <c r="AI54" s="133">
        <f>前台增值物品出入库录入!AI56*$E54</f>
        <v>0</v>
      </c>
      <c r="AJ54" s="133">
        <f>前台增值物品出入库录入!AJ56*$E54</f>
        <v>0</v>
      </c>
      <c r="AK54" s="133">
        <f>前台增值物品出入库录入!AK56*$E54</f>
        <v>0</v>
      </c>
      <c r="AL54" s="133">
        <f>前台增值物品出入库录入!AL56*$E54</f>
        <v>0</v>
      </c>
      <c r="AM54" s="133">
        <f>前台增值物品出入库录入!AM56*$E54</f>
        <v>0</v>
      </c>
      <c r="AN54" s="133">
        <f>前台增值物品出入库录入!AN56*$E54</f>
        <v>0</v>
      </c>
      <c r="AO54" s="133">
        <f>前台增值物品出入库录入!AO56*$E54</f>
        <v>0</v>
      </c>
      <c r="AP54" s="133">
        <f>前台增值物品出入库录入!AP56*$E54</f>
        <v>0</v>
      </c>
      <c r="AQ54" s="133">
        <f>前台增值物品出入库录入!AQ56*$E54</f>
        <v>0</v>
      </c>
      <c r="AR54" s="133">
        <f>前台增值物品出入库录入!AR56*$E54</f>
        <v>0</v>
      </c>
      <c r="AS54" s="133">
        <f>前台增值物品出入库录入!AS56*$E54</f>
        <v>0</v>
      </c>
      <c r="AT54" s="133">
        <f>前台增值物品出入库录入!AT56*$E54</f>
        <v>0</v>
      </c>
      <c r="AU54" s="133">
        <f>前台增值物品出入库录入!AU56*$E54</f>
        <v>0</v>
      </c>
      <c r="AV54" s="133">
        <f>前台增值物品出入库录入!AV56*$E54</f>
        <v>0</v>
      </c>
      <c r="AW54" s="133">
        <f>前台增值物品出入库录入!AW56*$E54</f>
        <v>0</v>
      </c>
      <c r="AX54" s="133">
        <f>前台增值物品出入库录入!AX56*$E54</f>
        <v>0</v>
      </c>
      <c r="AY54" s="133">
        <f>前台增值物品出入库录入!AY56*$E54</f>
        <v>0</v>
      </c>
      <c r="AZ54" s="133">
        <f>前台增值物品出入库录入!AZ56*$E54</f>
        <v>0</v>
      </c>
      <c r="BA54" s="133">
        <f>前台增值物品出入库录入!BA56*$E54</f>
        <v>0</v>
      </c>
      <c r="BB54" s="133">
        <f>前台增值物品出入库录入!BB56*$E54</f>
        <v>0</v>
      </c>
      <c r="BC54" s="133">
        <f>前台增值物品出入库录入!BC56*$E54</f>
        <v>0</v>
      </c>
      <c r="BD54" s="133">
        <f>前台增值物品出入库录入!BD56*$E54</f>
        <v>0</v>
      </c>
      <c r="BE54" s="133">
        <f>前台增值物品出入库录入!BE56*$E54</f>
        <v>0</v>
      </c>
      <c r="BF54" s="133">
        <f>前台增值物品出入库录入!BF56*$E54</f>
        <v>0</v>
      </c>
      <c r="BG54" s="133">
        <f>前台增值物品出入库录入!BG56*$E54</f>
        <v>0</v>
      </c>
      <c r="BH54" s="133">
        <f>前台增值物品出入库录入!BH56*$E54</f>
        <v>0</v>
      </c>
      <c r="BI54" s="133">
        <f>前台增值物品出入库录入!BI56*$E54</f>
        <v>23.8</v>
      </c>
      <c r="BJ54" s="133">
        <f>前台增值物品出入库录入!BJ56*$E54</f>
        <v>0</v>
      </c>
      <c r="BK54" s="133">
        <f>前台增值物品出入库录入!BK56*$E54</f>
        <v>0</v>
      </c>
      <c r="BL54" s="133">
        <f>前台增值物品出入库录入!BL56*$E54</f>
        <v>0</v>
      </c>
      <c r="BM54" s="133">
        <f>前台增值物品出入库录入!BM56*$E54</f>
        <v>0</v>
      </c>
      <c r="BN54" s="133">
        <f>前台增值物品出入库录入!BN56*$E54</f>
        <v>0</v>
      </c>
      <c r="BO54" s="133">
        <f>前台增值物品出入库录入!BO56*$E54</f>
        <v>0</v>
      </c>
      <c r="BP54" s="133">
        <f>前台增值物品出入库录入!BP56*$E54</f>
        <v>0</v>
      </c>
      <c r="BQ54" s="133">
        <f>前台增值物品出入库录入!BQ56*$E54</f>
        <v>0</v>
      </c>
      <c r="BR54" s="133">
        <f>前台增值物品出入库录入!BR56*$E54</f>
        <v>0</v>
      </c>
      <c r="BS54" s="133">
        <f>前台增值物品出入库录入!BS56*$E54</f>
        <v>0</v>
      </c>
      <c r="BT54" s="133">
        <f>前台增值物品出入库录入!BT56*$E54</f>
        <v>0</v>
      </c>
      <c r="BU54" s="133">
        <f>前台增值物品出入库录入!BU56*$E54</f>
        <v>0</v>
      </c>
      <c r="BV54" s="133">
        <f>前台增值物品出入库录入!BV56*$E54</f>
        <v>0</v>
      </c>
      <c r="BW54" s="133">
        <f>前台增值物品出入库录入!BW56*$E54</f>
        <v>0</v>
      </c>
    </row>
    <row r="55" s="178" customFormat="1" customHeight="1" spans="1:75">
      <c r="A55" s="161">
        <v>52</v>
      </c>
      <c r="B55" s="162" t="str">
        <f>前台增值物品出入库录入!B57</f>
        <v>果酱2</v>
      </c>
      <c r="C55" s="162">
        <f>前台增值物品出入库录入!C57</f>
        <v>0</v>
      </c>
      <c r="D55" s="162" t="str">
        <f>前台增值物品出入库录入!D57</f>
        <v>个</v>
      </c>
      <c r="E55" s="162">
        <f>前台增值物品出入库录入!E57</f>
        <v>13.8</v>
      </c>
      <c r="F55" s="162">
        <f>前台增值物品出入库录入!F57</f>
        <v>0</v>
      </c>
      <c r="G55" s="162">
        <f>前台增值物品出入库录入!G57</f>
        <v>0</v>
      </c>
      <c r="H55" s="162">
        <f>前台增值物品出入库录入!H57</f>
        <v>1</v>
      </c>
      <c r="I55" s="162">
        <f>前台增值物品出入库录入!I57</f>
        <v>13.8</v>
      </c>
      <c r="J55" s="162">
        <f>前台增值物品出入库录入!J57</f>
        <v>1</v>
      </c>
      <c r="K55" s="162">
        <f>前台增值物品出入库录入!K57</f>
        <v>13.8</v>
      </c>
      <c r="L55" s="162">
        <f>前台增值物品出入库录入!L57</f>
        <v>0</v>
      </c>
      <c r="M55" s="162">
        <f>前台增值物品出入库录入!M57</f>
        <v>0</v>
      </c>
      <c r="N55" s="133">
        <f>前台增值物品出入库录入!N57*$E55</f>
        <v>0</v>
      </c>
      <c r="O55" s="133">
        <f>前台增值物品出入库录入!O57*$E55</f>
        <v>0</v>
      </c>
      <c r="P55" s="133">
        <f>前台增值物品出入库录入!P57*$E55</f>
        <v>0</v>
      </c>
      <c r="Q55" s="133">
        <f>前台增值物品出入库录入!Q57*$E55</f>
        <v>0</v>
      </c>
      <c r="R55" s="133">
        <f>前台增值物品出入库录入!R57*$E55</f>
        <v>13.8</v>
      </c>
      <c r="S55" s="133">
        <f>前台增值物品出入库录入!S57*$E55</f>
        <v>0</v>
      </c>
      <c r="T55" s="133">
        <f>前台增值物品出入库录入!T57*$E55</f>
        <v>0</v>
      </c>
      <c r="U55" s="133">
        <f>前台增值物品出入库录入!U57*$E55</f>
        <v>0</v>
      </c>
      <c r="V55" s="133">
        <f>前台增值物品出入库录入!V57*$E55</f>
        <v>0</v>
      </c>
      <c r="W55" s="133">
        <f>前台增值物品出入库录入!W57*$E55</f>
        <v>0</v>
      </c>
      <c r="X55" s="133">
        <f>前台增值物品出入库录入!X57*$E55</f>
        <v>0</v>
      </c>
      <c r="Y55" s="133">
        <f>前台增值物品出入库录入!Y57*$E55</f>
        <v>0</v>
      </c>
      <c r="Z55" s="133">
        <f>前台增值物品出入库录入!Z57*$E55</f>
        <v>0</v>
      </c>
      <c r="AA55" s="133">
        <f>前台增值物品出入库录入!AA57*$E55</f>
        <v>0</v>
      </c>
      <c r="AB55" s="133">
        <f>前台增值物品出入库录入!AB57*$E55</f>
        <v>0</v>
      </c>
      <c r="AC55" s="133">
        <f>前台增值物品出入库录入!AC57*$E55</f>
        <v>0</v>
      </c>
      <c r="AD55" s="133">
        <f>前台增值物品出入库录入!AD57*$E55</f>
        <v>0</v>
      </c>
      <c r="AE55" s="133">
        <f>前台增值物品出入库录入!AE57*$E55</f>
        <v>0</v>
      </c>
      <c r="AF55" s="133">
        <f>前台增值物品出入库录入!AF57*$E55</f>
        <v>0</v>
      </c>
      <c r="AG55" s="133">
        <f>前台增值物品出入库录入!AG57*$E55</f>
        <v>0</v>
      </c>
      <c r="AH55" s="133">
        <f>前台增值物品出入库录入!AH57*$E55</f>
        <v>0</v>
      </c>
      <c r="AI55" s="133">
        <f>前台增值物品出入库录入!AI57*$E55</f>
        <v>0</v>
      </c>
      <c r="AJ55" s="133">
        <f>前台增值物品出入库录入!AJ57*$E55</f>
        <v>0</v>
      </c>
      <c r="AK55" s="133">
        <f>前台增值物品出入库录入!AK57*$E55</f>
        <v>0</v>
      </c>
      <c r="AL55" s="133">
        <f>前台增值物品出入库录入!AL57*$E55</f>
        <v>0</v>
      </c>
      <c r="AM55" s="133">
        <f>前台增值物品出入库录入!AM57*$E55</f>
        <v>0</v>
      </c>
      <c r="AN55" s="133">
        <f>前台增值物品出入库录入!AN57*$E55</f>
        <v>0</v>
      </c>
      <c r="AO55" s="133">
        <f>前台增值物品出入库录入!AO57*$E55</f>
        <v>0</v>
      </c>
      <c r="AP55" s="133">
        <f>前台增值物品出入库录入!AP57*$E55</f>
        <v>0</v>
      </c>
      <c r="AQ55" s="133">
        <f>前台增值物品出入库录入!AQ57*$E55</f>
        <v>0</v>
      </c>
      <c r="AR55" s="133">
        <f>前台增值物品出入库录入!AR57*$E55</f>
        <v>0</v>
      </c>
      <c r="AS55" s="133">
        <f>前台增值物品出入库录入!AS57*$E55</f>
        <v>0</v>
      </c>
      <c r="AT55" s="133">
        <f>前台增值物品出入库录入!AT57*$E55</f>
        <v>0</v>
      </c>
      <c r="AU55" s="133">
        <f>前台增值物品出入库录入!AU57*$E55</f>
        <v>0</v>
      </c>
      <c r="AV55" s="133">
        <f>前台增值物品出入库录入!AV57*$E55</f>
        <v>0</v>
      </c>
      <c r="AW55" s="133">
        <f>前台增值物品出入库录入!AW57*$E55</f>
        <v>0</v>
      </c>
      <c r="AX55" s="133">
        <f>前台增值物品出入库录入!AX57*$E55</f>
        <v>0</v>
      </c>
      <c r="AY55" s="133">
        <f>前台增值物品出入库录入!AY57*$E55</f>
        <v>0</v>
      </c>
      <c r="AZ55" s="133">
        <f>前台增值物品出入库录入!AZ57*$E55</f>
        <v>0</v>
      </c>
      <c r="BA55" s="133">
        <f>前台增值物品出入库录入!BA57*$E55</f>
        <v>0</v>
      </c>
      <c r="BB55" s="133">
        <f>前台增值物品出入库录入!BB57*$E55</f>
        <v>0</v>
      </c>
      <c r="BC55" s="133">
        <f>前台增值物品出入库录入!BC57*$E55</f>
        <v>0</v>
      </c>
      <c r="BD55" s="133">
        <f>前台增值物品出入库录入!BD57*$E55</f>
        <v>0</v>
      </c>
      <c r="BE55" s="133">
        <f>前台增值物品出入库录入!BE57*$E55</f>
        <v>0</v>
      </c>
      <c r="BF55" s="133">
        <f>前台增值物品出入库录入!BF57*$E55</f>
        <v>0</v>
      </c>
      <c r="BG55" s="133">
        <f>前台增值物品出入库录入!BG57*$E55</f>
        <v>0</v>
      </c>
      <c r="BH55" s="133">
        <f>前台增值物品出入库录入!BH57*$E55</f>
        <v>0</v>
      </c>
      <c r="BI55" s="133">
        <f>前台增值物品出入库录入!BI57*$E55</f>
        <v>13.8</v>
      </c>
      <c r="BJ55" s="133">
        <f>前台增值物品出入库录入!BJ57*$E55</f>
        <v>0</v>
      </c>
      <c r="BK55" s="133">
        <f>前台增值物品出入库录入!BK57*$E55</f>
        <v>0</v>
      </c>
      <c r="BL55" s="133">
        <f>前台增值物品出入库录入!BL57*$E55</f>
        <v>0</v>
      </c>
      <c r="BM55" s="133">
        <f>前台增值物品出入库录入!BM57*$E55</f>
        <v>0</v>
      </c>
      <c r="BN55" s="133">
        <f>前台增值物品出入库录入!BN57*$E55</f>
        <v>0</v>
      </c>
      <c r="BO55" s="133">
        <f>前台增值物品出入库录入!BO57*$E55</f>
        <v>0</v>
      </c>
      <c r="BP55" s="133">
        <f>前台增值物品出入库录入!BP57*$E55</f>
        <v>0</v>
      </c>
      <c r="BQ55" s="133">
        <f>前台增值物品出入库录入!BQ57*$E55</f>
        <v>0</v>
      </c>
      <c r="BR55" s="133">
        <f>前台增值物品出入库录入!BR57*$E55</f>
        <v>0</v>
      </c>
      <c r="BS55" s="133">
        <f>前台增值物品出入库录入!BS57*$E55</f>
        <v>0</v>
      </c>
      <c r="BT55" s="133">
        <f>前台增值物品出入库录入!BT57*$E55</f>
        <v>0</v>
      </c>
      <c r="BU55" s="133">
        <f>前台增值物品出入库录入!BU57*$E55</f>
        <v>0</v>
      </c>
      <c r="BV55" s="133">
        <f>前台增值物品出入库录入!BV57*$E55</f>
        <v>0</v>
      </c>
      <c r="BW55" s="133">
        <f>前台增值物品出入库录入!BW57*$E55</f>
        <v>0</v>
      </c>
    </row>
    <row r="56" s="178" customFormat="1" customHeight="1" spans="1:75">
      <c r="A56" s="161">
        <v>53</v>
      </c>
      <c r="B56" s="162" t="str">
        <f>前台增值物品出入库录入!B58</f>
        <v>剪指刀</v>
      </c>
      <c r="C56" s="162">
        <f>前台增值物品出入库录入!C58</f>
        <v>0</v>
      </c>
      <c r="D56" s="162" t="str">
        <f>前台增值物品出入库录入!D58</f>
        <v>个</v>
      </c>
      <c r="E56" s="162">
        <f>前台增值物品出入库录入!E58</f>
        <v>0.85</v>
      </c>
      <c r="F56" s="162">
        <f>前台增值物品出入库录入!F58</f>
        <v>40</v>
      </c>
      <c r="G56" s="162">
        <f>前台增值物品出入库录入!G58</f>
        <v>34</v>
      </c>
      <c r="H56" s="162">
        <f>前台增值物品出入库录入!H58</f>
        <v>0</v>
      </c>
      <c r="I56" s="162">
        <f>前台增值物品出入库录入!I58</f>
        <v>0</v>
      </c>
      <c r="J56" s="162">
        <f>前台增值物品出入库录入!J58</f>
        <v>40</v>
      </c>
      <c r="K56" s="162">
        <f>前台增值物品出入库录入!K58</f>
        <v>34</v>
      </c>
      <c r="L56" s="162">
        <f>前台增值物品出入库录入!L58</f>
        <v>0</v>
      </c>
      <c r="M56" s="162">
        <f>前台增值物品出入库录入!M58</f>
        <v>0</v>
      </c>
      <c r="N56" s="133">
        <f>前台增值物品出入库录入!N58*$E56</f>
        <v>0</v>
      </c>
      <c r="O56" s="133">
        <f>前台增值物品出入库录入!O58*$E56</f>
        <v>8.5</v>
      </c>
      <c r="P56" s="133">
        <f>前台增值物品出入库录入!P58*$E56</f>
        <v>0</v>
      </c>
      <c r="Q56" s="133">
        <f>前台增值物品出入库录入!Q58*$E56</f>
        <v>0</v>
      </c>
      <c r="R56" s="133">
        <f>前台增值物品出入库录入!R58*$E56</f>
        <v>0</v>
      </c>
      <c r="S56" s="133">
        <f>前台增值物品出入库录入!S58*$E56</f>
        <v>0</v>
      </c>
      <c r="T56" s="133">
        <f>前台增值物品出入库录入!T58*$E56</f>
        <v>0</v>
      </c>
      <c r="U56" s="133">
        <f>前台增值物品出入库录入!U58*$E56</f>
        <v>0</v>
      </c>
      <c r="V56" s="133">
        <f>前台增值物品出入库录入!V58*$E56</f>
        <v>0</v>
      </c>
      <c r="W56" s="133">
        <f>前台增值物品出入库录入!W58*$E56</f>
        <v>4.25</v>
      </c>
      <c r="X56" s="133">
        <f>前台增值物品出入库录入!X58*$E56</f>
        <v>0</v>
      </c>
      <c r="Y56" s="133">
        <f>前台增值物品出入库录入!Y58*$E56</f>
        <v>0</v>
      </c>
      <c r="Z56" s="133">
        <f>前台增值物品出入库录入!Z58*$E56</f>
        <v>0</v>
      </c>
      <c r="AA56" s="133">
        <f>前台增值物品出入库录入!AA58*$E56</f>
        <v>0</v>
      </c>
      <c r="AB56" s="133">
        <f>前台增值物品出入库录入!AB58*$E56</f>
        <v>0</v>
      </c>
      <c r="AC56" s="133">
        <f>前台增值物品出入库录入!AC58*$E56</f>
        <v>0</v>
      </c>
      <c r="AD56" s="133">
        <f>前台增值物品出入库录入!AD58*$E56</f>
        <v>0</v>
      </c>
      <c r="AE56" s="133">
        <f>前台增值物品出入库录入!AE58*$E56</f>
        <v>0</v>
      </c>
      <c r="AF56" s="133">
        <f>前台增值物品出入库录入!AF58*$E56</f>
        <v>0</v>
      </c>
      <c r="AG56" s="133">
        <f>前台增值物品出入库录入!AG58*$E56</f>
        <v>0</v>
      </c>
      <c r="AH56" s="133">
        <f>前台增值物品出入库录入!AH58*$E56</f>
        <v>0</v>
      </c>
      <c r="AI56" s="133">
        <f>前台增值物品出入库录入!AI58*$E56</f>
        <v>0</v>
      </c>
      <c r="AJ56" s="133">
        <f>前台增值物品出入库录入!AJ58*$E56</f>
        <v>0</v>
      </c>
      <c r="AK56" s="133">
        <f>前台增值物品出入库录入!AK58*$E56</f>
        <v>0</v>
      </c>
      <c r="AL56" s="133">
        <f>前台增值物品出入库录入!AL58*$E56</f>
        <v>0</v>
      </c>
      <c r="AM56" s="133">
        <f>前台增值物品出入库录入!AM58*$E56</f>
        <v>0</v>
      </c>
      <c r="AN56" s="133">
        <f>前台增值物品出入库录入!AN58*$E56</f>
        <v>0</v>
      </c>
      <c r="AO56" s="133">
        <f>前台增值物品出入库录入!AO58*$E56</f>
        <v>0</v>
      </c>
      <c r="AP56" s="133">
        <f>前台增值物品出入库录入!AP58*$E56</f>
        <v>0</v>
      </c>
      <c r="AQ56" s="133">
        <f>前台增值物品出入库录入!AQ58*$E56</f>
        <v>0</v>
      </c>
      <c r="AR56" s="133">
        <f>前台增值物品出入库录入!AR58*$E56</f>
        <v>0</v>
      </c>
      <c r="AS56" s="133">
        <f>前台增值物品出入库录入!AS58*$E56</f>
        <v>0</v>
      </c>
      <c r="AT56" s="133">
        <f>前台增值物品出入库录入!AT58*$E56</f>
        <v>0</v>
      </c>
      <c r="AU56" s="133">
        <f>前台增值物品出入库录入!AU58*$E56</f>
        <v>4.25</v>
      </c>
      <c r="AV56" s="133">
        <f>前台增值物品出入库录入!AV58*$E56</f>
        <v>0</v>
      </c>
      <c r="AW56" s="133">
        <f>前台增值物品出入库录入!AW58*$E56</f>
        <v>4.25</v>
      </c>
      <c r="AX56" s="133">
        <f>前台增值物品出入库录入!AX58*$E56</f>
        <v>0</v>
      </c>
      <c r="AY56" s="133">
        <f>前台增值物品出入库录入!AY58*$E56</f>
        <v>4.25</v>
      </c>
      <c r="AZ56" s="133">
        <f>前台增值物品出入库录入!AZ58*$E56</f>
        <v>0</v>
      </c>
      <c r="BA56" s="133">
        <f>前台增值物品出入库录入!BA58*$E56</f>
        <v>8.5</v>
      </c>
      <c r="BB56" s="133">
        <f>前台增值物品出入库录入!BB58*$E56</f>
        <v>0</v>
      </c>
      <c r="BC56" s="133">
        <f>前台增值物品出入库录入!BC58*$E56</f>
        <v>0</v>
      </c>
      <c r="BD56" s="133">
        <f>前台增值物品出入库录入!BD58*$E56</f>
        <v>0</v>
      </c>
      <c r="BE56" s="133">
        <f>前台增值物品出入库录入!BE58*$E56</f>
        <v>0</v>
      </c>
      <c r="BF56" s="133">
        <f>前台增值物品出入库录入!BF58*$E56</f>
        <v>0</v>
      </c>
      <c r="BG56" s="133">
        <f>前台增值物品出入库录入!BG58*$E56</f>
        <v>0</v>
      </c>
      <c r="BH56" s="133">
        <f>前台增值物品出入库录入!BH58*$E56</f>
        <v>0</v>
      </c>
      <c r="BI56" s="133">
        <f>前台增值物品出入库录入!BI58*$E56</f>
        <v>0</v>
      </c>
      <c r="BJ56" s="133">
        <f>前台增值物品出入库录入!BJ58*$E56</f>
        <v>0</v>
      </c>
      <c r="BK56" s="133">
        <f>前台增值物品出入库录入!BK58*$E56</f>
        <v>0</v>
      </c>
      <c r="BL56" s="133">
        <f>前台增值物品出入库录入!BL58*$E56</f>
        <v>0</v>
      </c>
      <c r="BM56" s="133">
        <f>前台增值物品出入库录入!BM58*$E56</f>
        <v>0</v>
      </c>
      <c r="BN56" s="133">
        <f>前台增值物品出入库录入!BN58*$E56</f>
        <v>0</v>
      </c>
      <c r="BO56" s="133">
        <f>前台增值物品出入库录入!BO58*$E56</f>
        <v>0</v>
      </c>
      <c r="BP56" s="133">
        <f>前台增值物品出入库录入!BP58*$E56</f>
        <v>0</v>
      </c>
      <c r="BQ56" s="133">
        <f>前台增值物品出入库录入!BQ58*$E56</f>
        <v>0</v>
      </c>
      <c r="BR56" s="133">
        <f>前台增值物品出入库录入!BR58*$E56</f>
        <v>0</v>
      </c>
      <c r="BS56" s="133">
        <f>前台增值物品出入库录入!BS58*$E56</f>
        <v>0</v>
      </c>
      <c r="BT56" s="133">
        <f>前台增值物品出入库录入!BT58*$E56</f>
        <v>0</v>
      </c>
      <c r="BU56" s="133">
        <f>前台增值物品出入库录入!BU58*$E56</f>
        <v>0</v>
      </c>
      <c r="BV56" s="133">
        <f>前台增值物品出入库录入!BV58*$E56</f>
        <v>0</v>
      </c>
      <c r="BW56" s="133">
        <f>前台增值物品出入库录入!BW58*$E56</f>
        <v>0</v>
      </c>
    </row>
    <row r="57" s="178" customFormat="1" customHeight="1" spans="1:75">
      <c r="A57" s="161">
        <v>56</v>
      </c>
      <c r="B57" s="162" t="str">
        <f>前台增值物品出入库录入!B59</f>
        <v>挖耳勺</v>
      </c>
      <c r="C57" s="162">
        <f>前台增值物品出入库录入!C59</f>
        <v>0</v>
      </c>
      <c r="D57" s="162" t="str">
        <f>前台增值物品出入库录入!D59</f>
        <v>个</v>
      </c>
      <c r="E57" s="162">
        <f>前台增值物品出入库录入!E59</f>
        <v>0.228</v>
      </c>
      <c r="F57" s="162">
        <f>前台增值物品出入库录入!F59</f>
        <v>123</v>
      </c>
      <c r="G57" s="162">
        <f>前台增值物品出入库录入!G59</f>
        <v>28.044</v>
      </c>
      <c r="H57" s="162">
        <f>前台增值物品出入库录入!H59</f>
        <v>0</v>
      </c>
      <c r="I57" s="162">
        <f>前台增值物品出入库录入!I59</f>
        <v>0</v>
      </c>
      <c r="J57" s="162">
        <f>前台增值物品出入库录入!J59</f>
        <v>23</v>
      </c>
      <c r="K57" s="162">
        <f>前台增值物品出入库录入!K59</f>
        <v>5.244</v>
      </c>
      <c r="L57" s="162">
        <f>前台增值物品出入库录入!L59</f>
        <v>100</v>
      </c>
      <c r="M57" s="162">
        <f>前台增值物品出入库录入!M59</f>
        <v>22.8</v>
      </c>
      <c r="N57" s="133">
        <f>前台增值物品出入库录入!N59*$E57</f>
        <v>0</v>
      </c>
      <c r="O57" s="133">
        <f>前台增值物品出入库录入!O59*$E57</f>
        <v>0</v>
      </c>
      <c r="P57" s="133">
        <f>前台增值物品出入库录入!P59*$E57</f>
        <v>0</v>
      </c>
      <c r="Q57" s="133">
        <f>前台增值物品出入库录入!Q59*$E57</f>
        <v>0.684</v>
      </c>
      <c r="R57" s="133">
        <f>前台增值物品出入库录入!R59*$E57</f>
        <v>0</v>
      </c>
      <c r="S57" s="133">
        <f>前台增值物品出入库录入!S59*$E57</f>
        <v>0</v>
      </c>
      <c r="T57" s="133">
        <f>前台增值物品出入库录入!T59*$E57</f>
        <v>0</v>
      </c>
      <c r="U57" s="133">
        <f>前台增值物品出入库录入!U59*$E57</f>
        <v>0</v>
      </c>
      <c r="V57" s="133">
        <f>前台增值物品出入库录入!V59*$E57</f>
        <v>0</v>
      </c>
      <c r="W57" s="133">
        <f>前台增值物品出入库录入!W59*$E57</f>
        <v>1.14</v>
      </c>
      <c r="X57" s="133">
        <f>前台增值物品出入库录入!X59*$E57</f>
        <v>0</v>
      </c>
      <c r="Y57" s="133">
        <f>前台增值物品出入库录入!Y59*$E57</f>
        <v>0</v>
      </c>
      <c r="Z57" s="133">
        <f>前台增值物品出入库录入!Z59*$E57</f>
        <v>0</v>
      </c>
      <c r="AA57" s="133">
        <f>前台增值物品出入库录入!AA59*$E57</f>
        <v>0.456</v>
      </c>
      <c r="AB57" s="133">
        <f>前台增值物品出入库录入!AB59*$E57</f>
        <v>0</v>
      </c>
      <c r="AC57" s="133">
        <f>前台增值物品出入库录入!AC59*$E57</f>
        <v>0</v>
      </c>
      <c r="AD57" s="133">
        <f>前台增值物品出入库录入!AD59*$E57</f>
        <v>0</v>
      </c>
      <c r="AE57" s="133">
        <f>前台增值物品出入库录入!AE59*$E57</f>
        <v>0.912</v>
      </c>
      <c r="AF57" s="133">
        <f>前台增值物品出入库录入!AF59*$E57</f>
        <v>0</v>
      </c>
      <c r="AG57" s="133">
        <f>前台增值物品出入库录入!AG59*$E57</f>
        <v>0</v>
      </c>
      <c r="AH57" s="133">
        <f>前台增值物品出入库录入!AH59*$E57</f>
        <v>0</v>
      </c>
      <c r="AI57" s="133">
        <f>前台增值物品出入库录入!AI59*$E57</f>
        <v>0</v>
      </c>
      <c r="AJ57" s="133">
        <f>前台增值物品出入库录入!AJ59*$E57</f>
        <v>0</v>
      </c>
      <c r="AK57" s="133">
        <f>前台增值物品出入库录入!AK59*$E57</f>
        <v>0</v>
      </c>
      <c r="AL57" s="133">
        <f>前台增值物品出入库录入!AL59*$E57</f>
        <v>0</v>
      </c>
      <c r="AM57" s="133">
        <f>前台增值物品出入库录入!AM59*$E57</f>
        <v>0</v>
      </c>
      <c r="AN57" s="133">
        <f>前台增值物品出入库录入!AN59*$E57</f>
        <v>0</v>
      </c>
      <c r="AO57" s="133">
        <f>前台增值物品出入库录入!AO59*$E57</f>
        <v>0</v>
      </c>
      <c r="AP57" s="133">
        <f>前台增值物品出入库录入!AP59*$E57</f>
        <v>0</v>
      </c>
      <c r="AQ57" s="133">
        <f>前台增值物品出入库录入!AQ59*$E57</f>
        <v>0</v>
      </c>
      <c r="AR57" s="133">
        <f>前台增值物品出入库录入!AR59*$E57</f>
        <v>0</v>
      </c>
      <c r="AS57" s="133">
        <f>前台增值物品出入库录入!AS59*$E57</f>
        <v>0.912</v>
      </c>
      <c r="AT57" s="133">
        <f>前台增值物品出入库录入!AT59*$E57</f>
        <v>0</v>
      </c>
      <c r="AU57" s="133">
        <f>前台增值物品出入库录入!AU59*$E57</f>
        <v>0.456</v>
      </c>
      <c r="AV57" s="133">
        <f>前台增值物品出入库录入!AV59*$E57</f>
        <v>0</v>
      </c>
      <c r="AW57" s="133">
        <f>前台增值物品出入库录入!AW59*$E57</f>
        <v>0</v>
      </c>
      <c r="AX57" s="133">
        <f>前台增值物品出入库录入!AX59*$E57</f>
        <v>0</v>
      </c>
      <c r="AY57" s="133">
        <f>前台增值物品出入库录入!AY59*$E57</f>
        <v>0.228</v>
      </c>
      <c r="AZ57" s="133">
        <f>前台增值物品出入库录入!AZ59*$E57</f>
        <v>0</v>
      </c>
      <c r="BA57" s="133">
        <f>前台增值物品出入库录入!BA59*$E57</f>
        <v>0</v>
      </c>
      <c r="BB57" s="133">
        <f>前台增值物品出入库录入!BB59*$E57</f>
        <v>0</v>
      </c>
      <c r="BC57" s="133">
        <f>前台增值物品出入库录入!BC59*$E57</f>
        <v>0</v>
      </c>
      <c r="BD57" s="133">
        <f>前台增值物品出入库录入!BD59*$E57</f>
        <v>0</v>
      </c>
      <c r="BE57" s="133">
        <f>前台增值物品出入库录入!BE59*$E57</f>
        <v>0.228</v>
      </c>
      <c r="BF57" s="133">
        <f>前台增值物品出入库录入!BF59*$E57</f>
        <v>0</v>
      </c>
      <c r="BG57" s="133">
        <f>前台增值物品出入库录入!BG59*$E57</f>
        <v>0</v>
      </c>
      <c r="BH57" s="133">
        <f>前台增值物品出入库录入!BH59*$E57</f>
        <v>0</v>
      </c>
      <c r="BI57" s="133">
        <f>前台增值物品出入库录入!BI59*$E57</f>
        <v>0.228</v>
      </c>
      <c r="BJ57" s="133">
        <f>前台增值物品出入库录入!BJ59*$E57</f>
        <v>0</v>
      </c>
      <c r="BK57" s="133">
        <f>前台增值物品出入库录入!BK59*$E57</f>
        <v>0</v>
      </c>
      <c r="BL57" s="133">
        <f>前台增值物品出入库录入!BL59*$E57</f>
        <v>0</v>
      </c>
      <c r="BM57" s="133">
        <f>前台增值物品出入库录入!BM59*$E57</f>
        <v>0</v>
      </c>
      <c r="BN57" s="133">
        <f>前台增值物品出入库录入!BN59*$E57</f>
        <v>0</v>
      </c>
      <c r="BO57" s="133">
        <f>前台增值物品出入库录入!BO59*$E57</f>
        <v>0</v>
      </c>
      <c r="BP57" s="133">
        <f>前台增值物品出入库录入!BP59*$E57</f>
        <v>0</v>
      </c>
      <c r="BQ57" s="133">
        <f>前台增值物品出入库录入!BQ59*$E57</f>
        <v>0</v>
      </c>
      <c r="BR57" s="133">
        <f>前台增值物品出入库录入!BR59*$E57</f>
        <v>0</v>
      </c>
      <c r="BS57" s="133">
        <f>前台增值物品出入库录入!BS59*$E57</f>
        <v>0</v>
      </c>
      <c r="BT57" s="133">
        <f>前台增值物品出入库录入!BT59*$E57</f>
        <v>0</v>
      </c>
      <c r="BU57" s="133">
        <f>前台增值物品出入库录入!BU59*$E57</f>
        <v>0</v>
      </c>
      <c r="BV57" s="133">
        <f>前台增值物品出入库录入!BV59*$E57</f>
        <v>0</v>
      </c>
      <c r="BW57" s="133">
        <f>前台增值物品出入库录入!BW59*$E57</f>
        <v>0</v>
      </c>
    </row>
    <row r="58" s="178" customFormat="1" customHeight="1" spans="1:75">
      <c r="A58" s="161">
        <v>57</v>
      </c>
      <c r="B58" s="162" t="str">
        <f>前台增值物品出入库录入!B60</f>
        <v>笔壳</v>
      </c>
      <c r="C58" s="162">
        <f>前台增值物品出入库录入!C60</f>
        <v>0</v>
      </c>
      <c r="D58" s="162" t="str">
        <f>前台增值物品出入库录入!D60</f>
        <v>个</v>
      </c>
      <c r="E58" s="162">
        <f>前台增值物品出入库录入!E60</f>
        <v>0.477</v>
      </c>
      <c r="F58" s="162">
        <f>前台增值物品出入库录入!F60</f>
        <v>0</v>
      </c>
      <c r="G58" s="162">
        <f>前台增值物品出入库录入!G60</f>
        <v>0</v>
      </c>
      <c r="H58" s="162">
        <f>前台增值物品出入库录入!H60</f>
        <v>10</v>
      </c>
      <c r="I58" s="162">
        <f>前台增值物品出入库录入!I60</f>
        <v>4.77</v>
      </c>
      <c r="J58" s="162">
        <f>前台增值物品出入库录入!J60</f>
        <v>0</v>
      </c>
      <c r="K58" s="162">
        <f>前台增值物品出入库录入!K60</f>
        <v>0</v>
      </c>
      <c r="L58" s="162">
        <f>前台增值物品出入库录入!L60</f>
        <v>10</v>
      </c>
      <c r="M58" s="162">
        <f>前台增值物品出入库录入!M60</f>
        <v>4.77</v>
      </c>
      <c r="N58" s="133">
        <f>前台增值物品出入库录入!N60*$E58</f>
        <v>0</v>
      </c>
      <c r="O58" s="133">
        <f>前台增值物品出入库录入!O60*$E58</f>
        <v>0</v>
      </c>
      <c r="P58" s="133">
        <f>前台增值物品出入库录入!P60*$E58</f>
        <v>0</v>
      </c>
      <c r="Q58" s="133">
        <f>前台增值物品出入库录入!Q60*$E58</f>
        <v>0</v>
      </c>
      <c r="R58" s="133">
        <f>前台增值物品出入库录入!R60*$E58</f>
        <v>4.77</v>
      </c>
      <c r="S58" s="133">
        <f>前台增值物品出入库录入!S60*$E58</f>
        <v>0</v>
      </c>
      <c r="T58" s="133">
        <f>前台增值物品出入库录入!T60*$E58</f>
        <v>0</v>
      </c>
      <c r="U58" s="133">
        <f>前台增值物品出入库录入!U60*$E58</f>
        <v>0</v>
      </c>
      <c r="V58" s="133">
        <f>前台增值物品出入库录入!V60*$E58</f>
        <v>0</v>
      </c>
      <c r="W58" s="133">
        <f>前台增值物品出入库录入!W60*$E58</f>
        <v>0</v>
      </c>
      <c r="X58" s="133">
        <f>前台增值物品出入库录入!X60*$E58</f>
        <v>0</v>
      </c>
      <c r="Y58" s="133">
        <f>前台增值物品出入库录入!Y60*$E58</f>
        <v>0</v>
      </c>
      <c r="Z58" s="133">
        <f>前台增值物品出入库录入!Z60*$E58</f>
        <v>0</v>
      </c>
      <c r="AA58" s="133">
        <f>前台增值物品出入库录入!AA60*$E58</f>
        <v>0</v>
      </c>
      <c r="AB58" s="133">
        <f>前台增值物品出入库录入!AB60*$E58</f>
        <v>0</v>
      </c>
      <c r="AC58" s="133">
        <f>前台增值物品出入库录入!AC60*$E58</f>
        <v>0</v>
      </c>
      <c r="AD58" s="133">
        <f>前台增值物品出入库录入!AD60*$E58</f>
        <v>0</v>
      </c>
      <c r="AE58" s="133">
        <f>前台增值物品出入库录入!AE60*$E58</f>
        <v>0</v>
      </c>
      <c r="AF58" s="133">
        <f>前台增值物品出入库录入!AF60*$E58</f>
        <v>0</v>
      </c>
      <c r="AG58" s="133">
        <f>前台增值物品出入库录入!AG60*$E58</f>
        <v>0</v>
      </c>
      <c r="AH58" s="133">
        <f>前台增值物品出入库录入!AH60*$E58</f>
        <v>0</v>
      </c>
      <c r="AI58" s="133">
        <f>前台增值物品出入库录入!AI60*$E58</f>
        <v>0</v>
      </c>
      <c r="AJ58" s="133">
        <f>前台增值物品出入库录入!AJ60*$E58</f>
        <v>0</v>
      </c>
      <c r="AK58" s="133">
        <f>前台增值物品出入库录入!AK60*$E58</f>
        <v>0</v>
      </c>
      <c r="AL58" s="133">
        <f>前台增值物品出入库录入!AL60*$E58</f>
        <v>0</v>
      </c>
      <c r="AM58" s="133">
        <f>前台增值物品出入库录入!AM60*$E58</f>
        <v>0</v>
      </c>
      <c r="AN58" s="133">
        <f>前台增值物品出入库录入!AN60*$E58</f>
        <v>0</v>
      </c>
      <c r="AO58" s="133">
        <f>前台增值物品出入库录入!AO60*$E58</f>
        <v>0</v>
      </c>
      <c r="AP58" s="133">
        <f>前台增值物品出入库录入!AP60*$E58</f>
        <v>0</v>
      </c>
      <c r="AQ58" s="133">
        <f>前台增值物品出入库录入!AQ60*$E58</f>
        <v>0</v>
      </c>
      <c r="AR58" s="133">
        <f>前台增值物品出入库录入!AR60*$E58</f>
        <v>0</v>
      </c>
      <c r="AS58" s="133">
        <f>前台增值物品出入库录入!AS60*$E58</f>
        <v>0</v>
      </c>
      <c r="AT58" s="133">
        <f>前台增值物品出入库录入!AT60*$E58</f>
        <v>0</v>
      </c>
      <c r="AU58" s="133">
        <f>前台增值物品出入库录入!AU60*$E58</f>
        <v>0</v>
      </c>
      <c r="AV58" s="133">
        <f>前台增值物品出入库录入!AV60*$E58</f>
        <v>0</v>
      </c>
      <c r="AW58" s="133">
        <f>前台增值物品出入库录入!AW60*$E58</f>
        <v>0</v>
      </c>
      <c r="AX58" s="133">
        <f>前台增值物品出入库录入!AX60*$E58</f>
        <v>0</v>
      </c>
      <c r="AY58" s="133">
        <f>前台增值物品出入库录入!AY60*$E58</f>
        <v>0</v>
      </c>
      <c r="AZ58" s="133">
        <f>前台增值物品出入库录入!AZ60*$E58</f>
        <v>0</v>
      </c>
      <c r="BA58" s="133">
        <f>前台增值物品出入库录入!BA60*$E58</f>
        <v>0</v>
      </c>
      <c r="BB58" s="133">
        <f>前台增值物品出入库录入!BB60*$E58</f>
        <v>0</v>
      </c>
      <c r="BC58" s="133">
        <f>前台增值物品出入库录入!BC60*$E58</f>
        <v>0</v>
      </c>
      <c r="BD58" s="133">
        <f>前台增值物品出入库录入!BD60*$E58</f>
        <v>0</v>
      </c>
      <c r="BE58" s="133">
        <f>前台增值物品出入库录入!BE60*$E58</f>
        <v>0</v>
      </c>
      <c r="BF58" s="133">
        <f>前台增值物品出入库录入!BF60*$E58</f>
        <v>0</v>
      </c>
      <c r="BG58" s="133">
        <f>前台增值物品出入库录入!BG60*$E58</f>
        <v>0</v>
      </c>
      <c r="BH58" s="133">
        <f>前台增值物品出入库录入!BH60*$E58</f>
        <v>0</v>
      </c>
      <c r="BI58" s="133">
        <f>前台增值物品出入库录入!BI60*$E58</f>
        <v>0</v>
      </c>
      <c r="BJ58" s="133">
        <f>前台增值物品出入库录入!BJ60*$E58</f>
        <v>0</v>
      </c>
      <c r="BK58" s="133">
        <f>前台增值物品出入库录入!BK60*$E58</f>
        <v>0</v>
      </c>
      <c r="BL58" s="133">
        <f>前台增值物品出入库录入!BL60*$E58</f>
        <v>0</v>
      </c>
      <c r="BM58" s="133">
        <f>前台增值物品出入库录入!BM60*$E58</f>
        <v>0</v>
      </c>
      <c r="BN58" s="133">
        <f>前台增值物品出入库录入!BN60*$E58</f>
        <v>0</v>
      </c>
      <c r="BO58" s="133">
        <f>前台增值物品出入库录入!BO60*$E58</f>
        <v>0</v>
      </c>
      <c r="BP58" s="133">
        <f>前台增值物品出入库录入!BP60*$E58</f>
        <v>0</v>
      </c>
      <c r="BQ58" s="133">
        <f>前台增值物品出入库录入!BQ60*$E58</f>
        <v>0</v>
      </c>
      <c r="BR58" s="133">
        <f>前台增值物品出入库录入!BR60*$E58</f>
        <v>0</v>
      </c>
      <c r="BS58" s="133">
        <f>前台增值物品出入库录入!BS60*$E58</f>
        <v>0</v>
      </c>
      <c r="BT58" s="133">
        <f>前台增值物品出入库录入!BT60*$E58</f>
        <v>0</v>
      </c>
      <c r="BU58" s="133">
        <f>前台增值物品出入库录入!BU60*$E58</f>
        <v>0</v>
      </c>
      <c r="BV58" s="133">
        <f>前台增值物品出入库录入!BV60*$E58</f>
        <v>0</v>
      </c>
      <c r="BW58" s="133">
        <f>前台增值物品出入库录入!BW60*$E58</f>
        <v>0</v>
      </c>
    </row>
    <row r="59" s="178" customFormat="1" customHeight="1" spans="1:75">
      <c r="A59" s="161">
        <v>58</v>
      </c>
      <c r="B59" s="162" t="str">
        <f>前台增值物品出入库录入!B61</f>
        <v>金超霸5号电池</v>
      </c>
      <c r="C59" s="162">
        <f>前台增值物品出入库录入!C61</f>
        <v>0</v>
      </c>
      <c r="D59" s="162" t="str">
        <f>前台增值物品出入库录入!D61</f>
        <v>个</v>
      </c>
      <c r="E59" s="162">
        <f>前台增值物品出入库录入!E61</f>
        <v>1.1854</v>
      </c>
      <c r="F59" s="162">
        <f>前台增值物品出入库录入!F61</f>
        <v>15</v>
      </c>
      <c r="G59" s="162">
        <f>前台增值物品出入库录入!G61</f>
        <v>17.781</v>
      </c>
      <c r="H59" s="162">
        <f>前台增值物品出入库录入!H61</f>
        <v>0</v>
      </c>
      <c r="I59" s="162">
        <f>前台增值物品出入库录入!I61</f>
        <v>0</v>
      </c>
      <c r="J59" s="162">
        <f>前台增值物品出入库录入!J61</f>
        <v>11</v>
      </c>
      <c r="K59" s="162">
        <f>前台增值物品出入库录入!K61</f>
        <v>13.0394</v>
      </c>
      <c r="L59" s="162">
        <f>前台增值物品出入库录入!L61</f>
        <v>4</v>
      </c>
      <c r="M59" s="162">
        <f>前台增值物品出入库录入!M61</f>
        <v>4.7416</v>
      </c>
      <c r="N59" s="133">
        <f>前台增值物品出入库录入!N61*$E59</f>
        <v>0</v>
      </c>
      <c r="O59" s="133">
        <f>前台增值物品出入库录入!O61*$E59</f>
        <v>0</v>
      </c>
      <c r="P59" s="133">
        <f>前台增值物品出入库录入!P61*$E59</f>
        <v>0</v>
      </c>
      <c r="Q59" s="133">
        <f>前台增值物品出入库录入!Q61*$E59</f>
        <v>0</v>
      </c>
      <c r="R59" s="133">
        <f>前台增值物品出入库录入!R61*$E59</f>
        <v>0</v>
      </c>
      <c r="S59" s="133">
        <f>前台增值物品出入库录入!S61*$E59</f>
        <v>2.3708</v>
      </c>
      <c r="T59" s="133">
        <f>前台增值物品出入库录入!T61*$E59</f>
        <v>0</v>
      </c>
      <c r="U59" s="133">
        <f>前台增值物品出入库录入!U61*$E59</f>
        <v>1.1854</v>
      </c>
      <c r="V59" s="133">
        <f>前台增值物品出入库录入!V61*$E59</f>
        <v>0</v>
      </c>
      <c r="W59" s="133">
        <f>前台增值物品出入库录入!W61*$E59</f>
        <v>1.1854</v>
      </c>
      <c r="X59" s="133">
        <f>前台增值物品出入库录入!X61*$E59</f>
        <v>0</v>
      </c>
      <c r="Y59" s="133">
        <f>前台增值物品出入库录入!Y61*$E59</f>
        <v>0</v>
      </c>
      <c r="Z59" s="133">
        <f>前台增值物品出入库录入!Z61*$E59</f>
        <v>0</v>
      </c>
      <c r="AA59" s="133">
        <f>前台增值物品出入库录入!AA61*$E59</f>
        <v>3.5562</v>
      </c>
      <c r="AB59" s="133">
        <f>前台增值物品出入库录入!AB61*$E59</f>
        <v>0</v>
      </c>
      <c r="AC59" s="133">
        <f>前台增值物品出入库录入!AC61*$E59</f>
        <v>0</v>
      </c>
      <c r="AD59" s="133">
        <f>前台增值物品出入库录入!AD61*$E59</f>
        <v>0</v>
      </c>
      <c r="AE59" s="133">
        <f>前台增值物品出入库录入!AE61*$E59</f>
        <v>0</v>
      </c>
      <c r="AF59" s="133">
        <f>前台增值物品出入库录入!AF61*$E59</f>
        <v>0</v>
      </c>
      <c r="AG59" s="133">
        <f>前台增值物品出入库录入!AG61*$E59</f>
        <v>0</v>
      </c>
      <c r="AH59" s="133">
        <f>前台增值物品出入库录入!AH61*$E59</f>
        <v>0</v>
      </c>
      <c r="AI59" s="133">
        <f>前台增值物品出入库录入!AI61*$E59</f>
        <v>0</v>
      </c>
      <c r="AJ59" s="133">
        <f>前台增值物品出入库录入!AJ61*$E59</f>
        <v>0</v>
      </c>
      <c r="AK59" s="133">
        <f>前台增值物品出入库录入!AK61*$E59</f>
        <v>0</v>
      </c>
      <c r="AL59" s="133">
        <f>前台增值物品出入库录入!AL61*$E59</f>
        <v>0</v>
      </c>
      <c r="AM59" s="133">
        <f>前台增值物品出入库录入!AM61*$E59</f>
        <v>0</v>
      </c>
      <c r="AN59" s="133">
        <f>前台增值物品出入库录入!AN61*$E59</f>
        <v>0</v>
      </c>
      <c r="AO59" s="133">
        <f>前台增值物品出入库录入!AO61*$E59</f>
        <v>0</v>
      </c>
      <c r="AP59" s="133">
        <f>前台增值物品出入库录入!AP61*$E59</f>
        <v>0</v>
      </c>
      <c r="AQ59" s="133">
        <f>前台增值物品出入库录入!AQ61*$E59</f>
        <v>0</v>
      </c>
      <c r="AR59" s="133">
        <f>前台增值物品出入库录入!AR61*$E59</f>
        <v>0</v>
      </c>
      <c r="AS59" s="133">
        <f>前台增值物品出入库录入!AS61*$E59</f>
        <v>0</v>
      </c>
      <c r="AT59" s="133">
        <f>前台增值物品出入库录入!AT61*$E59</f>
        <v>0</v>
      </c>
      <c r="AU59" s="133">
        <f>前台增值物品出入库录入!AU61*$E59</f>
        <v>0</v>
      </c>
      <c r="AV59" s="133">
        <f>前台增值物品出入库录入!AV61*$E59</f>
        <v>0</v>
      </c>
      <c r="AW59" s="133">
        <f>前台增值物品出入库录入!AW61*$E59</f>
        <v>0</v>
      </c>
      <c r="AX59" s="133">
        <f>前台增值物品出入库录入!AX61*$E59</f>
        <v>0</v>
      </c>
      <c r="AY59" s="133">
        <f>前台增值物品出入库录入!AY61*$E59</f>
        <v>0</v>
      </c>
      <c r="AZ59" s="133">
        <f>前台增值物品出入库录入!AZ61*$E59</f>
        <v>0</v>
      </c>
      <c r="BA59" s="133">
        <f>前台增值物品出入库录入!BA61*$E59</f>
        <v>0</v>
      </c>
      <c r="BB59" s="133">
        <f>前台增值物品出入库录入!BB61*$E59</f>
        <v>0</v>
      </c>
      <c r="BC59" s="133">
        <f>前台增值物品出入库录入!BC61*$E59</f>
        <v>0</v>
      </c>
      <c r="BD59" s="133">
        <f>前台增值物品出入库录入!BD61*$E59</f>
        <v>0</v>
      </c>
      <c r="BE59" s="133">
        <f>前台增值物品出入库录入!BE61*$E59</f>
        <v>0</v>
      </c>
      <c r="BF59" s="133">
        <f>前台增值物品出入库录入!BF61*$E59</f>
        <v>0</v>
      </c>
      <c r="BG59" s="133">
        <f>前台增值物品出入库录入!BG61*$E59</f>
        <v>0</v>
      </c>
      <c r="BH59" s="133">
        <f>前台增值物品出入库录入!BH61*$E59</f>
        <v>0</v>
      </c>
      <c r="BI59" s="133">
        <f>前台增值物品出入库录入!BI61*$E59</f>
        <v>0</v>
      </c>
      <c r="BJ59" s="133">
        <f>前台增值物品出入库录入!BJ61*$E59</f>
        <v>0</v>
      </c>
      <c r="BK59" s="133">
        <f>前台增值物品出入库录入!BK61*$E59</f>
        <v>0</v>
      </c>
      <c r="BL59" s="133">
        <f>前台增值物品出入库录入!BL61*$E59</f>
        <v>0</v>
      </c>
      <c r="BM59" s="133">
        <f>前台增值物品出入库录入!BM61*$E59</f>
        <v>4.7416</v>
      </c>
      <c r="BN59" s="133">
        <f>前台增值物品出入库录入!BN61*$E59</f>
        <v>0</v>
      </c>
      <c r="BO59" s="133">
        <f>前台增值物品出入库录入!BO61*$E59</f>
        <v>0</v>
      </c>
      <c r="BP59" s="133">
        <f>前台增值物品出入库录入!BP61*$E59</f>
        <v>0</v>
      </c>
      <c r="BQ59" s="133">
        <f>前台增值物品出入库录入!BQ61*$E59</f>
        <v>0</v>
      </c>
      <c r="BR59" s="133">
        <f>前台增值物品出入库录入!BR61*$E59</f>
        <v>0</v>
      </c>
      <c r="BS59" s="133">
        <f>前台增值物品出入库录入!BS61*$E59</f>
        <v>0</v>
      </c>
      <c r="BT59" s="133">
        <f>前台增值物品出入库录入!BT61*$E59</f>
        <v>0</v>
      </c>
      <c r="BU59" s="133">
        <f>前台增值物品出入库录入!BU61*$E59</f>
        <v>0</v>
      </c>
      <c r="BV59" s="133">
        <f>前台增值物品出入库录入!BV61*$E59</f>
        <v>0</v>
      </c>
      <c r="BW59" s="133">
        <f>前台增值物品出入库录入!BW61*$E59</f>
        <v>0</v>
      </c>
    </row>
    <row r="60" s="178" customFormat="1" customHeight="1" spans="1:75">
      <c r="A60" s="161">
        <v>59</v>
      </c>
      <c r="B60" s="162" t="str">
        <f>前台增值物品出入库录入!B62</f>
        <v>沥水垫</v>
      </c>
      <c r="C60" s="162">
        <f>前台增值物品出入库录入!C62</f>
        <v>0</v>
      </c>
      <c r="D60" s="162" t="str">
        <f>前台增值物品出入库录入!D62</f>
        <v>个</v>
      </c>
      <c r="E60" s="162">
        <f>前台增值物品出入库录入!E62</f>
        <v>20.8</v>
      </c>
      <c r="F60" s="162">
        <f>前台增值物品出入库录入!F62</f>
        <v>1</v>
      </c>
      <c r="G60" s="162">
        <f>前台增值物品出入库录入!G62</f>
        <v>20.8</v>
      </c>
      <c r="H60" s="162">
        <f>前台增值物品出入库录入!H62</f>
        <v>0</v>
      </c>
      <c r="I60" s="162">
        <f>前台增值物品出入库录入!I62</f>
        <v>0</v>
      </c>
      <c r="J60" s="162">
        <f>前台增值物品出入库录入!J62</f>
        <v>1</v>
      </c>
      <c r="K60" s="162">
        <f>前台增值物品出入库录入!K62</f>
        <v>20.8</v>
      </c>
      <c r="L60" s="162">
        <f>前台增值物品出入库录入!L62</f>
        <v>0</v>
      </c>
      <c r="M60" s="162">
        <f>前台增值物品出入库录入!M62</f>
        <v>0</v>
      </c>
      <c r="N60" s="133">
        <f>前台增值物品出入库录入!N62*$E60</f>
        <v>0</v>
      </c>
      <c r="O60" s="133">
        <f>前台增值物品出入库录入!O62*$E60</f>
        <v>20.8</v>
      </c>
      <c r="P60" s="133">
        <f>前台增值物品出入库录入!P62*$E60</f>
        <v>0</v>
      </c>
      <c r="Q60" s="133">
        <f>前台增值物品出入库录入!Q62*$E60</f>
        <v>0</v>
      </c>
      <c r="R60" s="133">
        <f>前台增值物品出入库录入!R62*$E60</f>
        <v>0</v>
      </c>
      <c r="S60" s="133">
        <f>前台增值物品出入库录入!S62*$E60</f>
        <v>0</v>
      </c>
      <c r="T60" s="133">
        <f>前台增值物品出入库录入!T62*$E60</f>
        <v>0</v>
      </c>
      <c r="U60" s="133">
        <f>前台增值物品出入库录入!U62*$E60</f>
        <v>0</v>
      </c>
      <c r="V60" s="133">
        <f>前台增值物品出入库录入!V62*$E60</f>
        <v>0</v>
      </c>
      <c r="W60" s="133">
        <f>前台增值物品出入库录入!W62*$E60</f>
        <v>0</v>
      </c>
      <c r="X60" s="133">
        <f>前台增值物品出入库录入!X62*$E60</f>
        <v>0</v>
      </c>
      <c r="Y60" s="133">
        <f>前台增值物品出入库录入!Y62*$E60</f>
        <v>0</v>
      </c>
      <c r="Z60" s="133">
        <f>前台增值物品出入库录入!Z62*$E60</f>
        <v>0</v>
      </c>
      <c r="AA60" s="133">
        <f>前台增值物品出入库录入!AA62*$E60</f>
        <v>0</v>
      </c>
      <c r="AB60" s="133">
        <f>前台增值物品出入库录入!AB62*$E60</f>
        <v>0</v>
      </c>
      <c r="AC60" s="133">
        <f>前台增值物品出入库录入!AC62*$E60</f>
        <v>0</v>
      </c>
      <c r="AD60" s="133">
        <f>前台增值物品出入库录入!AD62*$E60</f>
        <v>0</v>
      </c>
      <c r="AE60" s="133">
        <f>前台增值物品出入库录入!AE62*$E60</f>
        <v>0</v>
      </c>
      <c r="AF60" s="133">
        <f>前台增值物品出入库录入!AF62*$E60</f>
        <v>0</v>
      </c>
      <c r="AG60" s="133">
        <f>前台增值物品出入库录入!AG62*$E60</f>
        <v>0</v>
      </c>
      <c r="AH60" s="133">
        <f>前台增值物品出入库录入!AH62*$E60</f>
        <v>0</v>
      </c>
      <c r="AI60" s="133">
        <f>前台增值物品出入库录入!AI62*$E60</f>
        <v>0</v>
      </c>
      <c r="AJ60" s="133">
        <f>前台增值物品出入库录入!AJ62*$E60</f>
        <v>0</v>
      </c>
      <c r="AK60" s="133">
        <f>前台增值物品出入库录入!AK62*$E60</f>
        <v>0</v>
      </c>
      <c r="AL60" s="133">
        <f>前台增值物品出入库录入!AL62*$E60</f>
        <v>0</v>
      </c>
      <c r="AM60" s="133">
        <f>前台增值物品出入库录入!AM62*$E60</f>
        <v>0</v>
      </c>
      <c r="AN60" s="133">
        <f>前台增值物品出入库录入!AN62*$E60</f>
        <v>0</v>
      </c>
      <c r="AO60" s="133">
        <f>前台增值物品出入库录入!AO62*$E60</f>
        <v>0</v>
      </c>
      <c r="AP60" s="133">
        <f>前台增值物品出入库录入!AP62*$E60</f>
        <v>0</v>
      </c>
      <c r="AQ60" s="133">
        <f>前台增值物品出入库录入!AQ62*$E60</f>
        <v>0</v>
      </c>
      <c r="AR60" s="133">
        <f>前台增值物品出入库录入!AR62*$E60</f>
        <v>0</v>
      </c>
      <c r="AS60" s="133">
        <f>前台增值物品出入库录入!AS62*$E60</f>
        <v>0</v>
      </c>
      <c r="AT60" s="133">
        <f>前台增值物品出入库录入!AT62*$E60</f>
        <v>0</v>
      </c>
      <c r="AU60" s="133">
        <f>前台增值物品出入库录入!AU62*$E60</f>
        <v>0</v>
      </c>
      <c r="AV60" s="133">
        <f>前台增值物品出入库录入!AV62*$E60</f>
        <v>0</v>
      </c>
      <c r="AW60" s="133">
        <f>前台增值物品出入库录入!AW62*$E60</f>
        <v>0</v>
      </c>
      <c r="AX60" s="133">
        <f>前台增值物品出入库录入!AX62*$E60</f>
        <v>0</v>
      </c>
      <c r="AY60" s="133">
        <f>前台增值物品出入库录入!AY62*$E60</f>
        <v>0</v>
      </c>
      <c r="AZ60" s="133">
        <f>前台增值物品出入库录入!AZ62*$E60</f>
        <v>0</v>
      </c>
      <c r="BA60" s="133">
        <f>前台增值物品出入库录入!BA62*$E60</f>
        <v>0</v>
      </c>
      <c r="BB60" s="133">
        <f>前台增值物品出入库录入!BB62*$E60</f>
        <v>0</v>
      </c>
      <c r="BC60" s="133">
        <f>前台增值物品出入库录入!BC62*$E60</f>
        <v>0</v>
      </c>
      <c r="BD60" s="133">
        <f>前台增值物品出入库录入!BD62*$E60</f>
        <v>0</v>
      </c>
      <c r="BE60" s="133">
        <f>前台增值物品出入库录入!BE62*$E60</f>
        <v>0</v>
      </c>
      <c r="BF60" s="133">
        <f>前台增值物品出入库录入!BF62*$E60</f>
        <v>0</v>
      </c>
      <c r="BG60" s="133">
        <f>前台增值物品出入库录入!BG62*$E60</f>
        <v>0</v>
      </c>
      <c r="BH60" s="133">
        <f>前台增值物品出入库录入!BH62*$E60</f>
        <v>0</v>
      </c>
      <c r="BI60" s="133">
        <f>前台增值物品出入库录入!BI62*$E60</f>
        <v>0</v>
      </c>
      <c r="BJ60" s="133">
        <f>前台增值物品出入库录入!BJ62*$E60</f>
        <v>0</v>
      </c>
      <c r="BK60" s="133">
        <f>前台增值物品出入库录入!BK62*$E60</f>
        <v>0</v>
      </c>
      <c r="BL60" s="133">
        <f>前台增值物品出入库录入!BL62*$E60</f>
        <v>0</v>
      </c>
      <c r="BM60" s="133">
        <f>前台增值物品出入库录入!BM62*$E60</f>
        <v>0</v>
      </c>
      <c r="BN60" s="133">
        <f>前台增值物品出入库录入!BN62*$E60</f>
        <v>0</v>
      </c>
      <c r="BO60" s="133">
        <f>前台增值物品出入库录入!BO62*$E60</f>
        <v>0</v>
      </c>
      <c r="BP60" s="133">
        <f>前台增值物品出入库录入!BP62*$E60</f>
        <v>0</v>
      </c>
      <c r="BQ60" s="133">
        <f>前台增值物品出入库录入!BQ62*$E60</f>
        <v>0</v>
      </c>
      <c r="BR60" s="133">
        <f>前台增值物品出入库录入!BR62*$E60</f>
        <v>0</v>
      </c>
      <c r="BS60" s="133">
        <f>前台增值物品出入库录入!BS62*$E60</f>
        <v>0</v>
      </c>
      <c r="BT60" s="133">
        <f>前台增值物品出入库录入!BT62*$E60</f>
        <v>0</v>
      </c>
      <c r="BU60" s="133">
        <f>前台增值物品出入库录入!BU62*$E60</f>
        <v>0</v>
      </c>
      <c r="BV60" s="133">
        <f>前台增值物品出入库录入!BV62*$E60</f>
        <v>0</v>
      </c>
      <c r="BW60" s="133">
        <f>前台增值物品出入库录入!BW62*$E60</f>
        <v>0</v>
      </c>
    </row>
    <row r="61" s="178" customFormat="1" customHeight="1" spans="1:75">
      <c r="A61" s="161">
        <v>62</v>
      </c>
      <c r="B61" s="162" t="str">
        <f>前台增值物品出入库录入!B20</f>
        <v>橡皮筋</v>
      </c>
      <c r="C61" s="162">
        <f>前台增值物品出入库录入!C20</f>
        <v>0</v>
      </c>
      <c r="D61" s="162" t="str">
        <f>前台增值物品出入库录入!D20</f>
        <v>个</v>
      </c>
      <c r="E61" s="162">
        <f>前台增值物品出入库录入!E20</f>
        <v>0.28</v>
      </c>
      <c r="F61" s="162">
        <f>前台增值物品出入库录入!F20</f>
        <v>110</v>
      </c>
      <c r="G61" s="162">
        <f>前台增值物品出入库录入!G20</f>
        <v>30.8</v>
      </c>
      <c r="H61" s="162">
        <f>前台增值物品出入库录入!H20</f>
        <v>0</v>
      </c>
      <c r="I61" s="162">
        <f>前台增值物品出入库录入!I20</f>
        <v>0</v>
      </c>
      <c r="J61" s="162">
        <f>前台增值物品出入库录入!J20</f>
        <v>60</v>
      </c>
      <c r="K61" s="162">
        <f>前台增值物品出入库录入!K20</f>
        <v>16.8</v>
      </c>
      <c r="L61" s="162">
        <f>前台增值物品出入库录入!L20</f>
        <v>50</v>
      </c>
      <c r="M61" s="162">
        <f>前台增值物品出入库录入!M20</f>
        <v>14</v>
      </c>
      <c r="N61" s="133">
        <f>前台增值物品出入库录入!N20*$E61</f>
        <v>0</v>
      </c>
      <c r="O61" s="133">
        <f>前台增值物品出入库录入!O20*$E61</f>
        <v>0</v>
      </c>
      <c r="P61" s="133">
        <f>前台增值物品出入库录入!P20*$E61</f>
        <v>0</v>
      </c>
      <c r="Q61" s="133">
        <f>前台增值物品出入库录入!Q20*$E61</f>
        <v>0</v>
      </c>
      <c r="R61" s="133">
        <f>前台增值物品出入库录入!R20*$E61</f>
        <v>0</v>
      </c>
      <c r="S61" s="133">
        <f>前台增值物品出入库录入!S20*$E61</f>
        <v>0</v>
      </c>
      <c r="T61" s="133">
        <f>前台增值物品出入库录入!T20*$E61</f>
        <v>0</v>
      </c>
      <c r="U61" s="133">
        <f>前台增值物品出入库录入!U20*$E61</f>
        <v>0</v>
      </c>
      <c r="V61" s="133">
        <f>前台增值物品出入库录入!V20*$E61</f>
        <v>0</v>
      </c>
      <c r="W61" s="133">
        <f>前台增值物品出入库录入!W20*$E61</f>
        <v>0</v>
      </c>
      <c r="X61" s="133">
        <f>前台增值物品出入库录入!X20*$E61</f>
        <v>0</v>
      </c>
      <c r="Y61" s="133">
        <f>前台增值物品出入库录入!Y20*$E61</f>
        <v>0</v>
      </c>
      <c r="Z61" s="133">
        <f>前台增值物品出入库录入!Z20*$E61</f>
        <v>0</v>
      </c>
      <c r="AA61" s="133">
        <f>前台增值物品出入库录入!AA20*$E61</f>
        <v>0</v>
      </c>
      <c r="AB61" s="133">
        <f>前台增值物品出入库录入!AB20*$E61</f>
        <v>0</v>
      </c>
      <c r="AC61" s="133">
        <f>前台增值物品出入库录入!AC20*$E61</f>
        <v>0</v>
      </c>
      <c r="AD61" s="133">
        <f>前台增值物品出入库录入!AD20*$E61</f>
        <v>0</v>
      </c>
      <c r="AE61" s="133">
        <f>前台增值物品出入库录入!AE20*$E61</f>
        <v>0</v>
      </c>
      <c r="AF61" s="133">
        <f>前台增值物品出入库录入!AF20*$E61</f>
        <v>0</v>
      </c>
      <c r="AG61" s="133">
        <f>前台增值物品出入库录入!AG20*$E61</f>
        <v>0</v>
      </c>
      <c r="AH61" s="133">
        <f>前台增值物品出入库录入!AH20*$E61</f>
        <v>0</v>
      </c>
      <c r="AI61" s="133">
        <f>前台增值物品出入库录入!AI20*$E61</f>
        <v>0</v>
      </c>
      <c r="AJ61" s="133">
        <f>前台增值物品出入库录入!AJ20*$E61</f>
        <v>0</v>
      </c>
      <c r="AK61" s="133">
        <f>前台增值物品出入库录入!AK20*$E61</f>
        <v>0</v>
      </c>
      <c r="AL61" s="133">
        <f>前台增值物品出入库录入!AL20*$E61</f>
        <v>0</v>
      </c>
      <c r="AM61" s="133">
        <f>前台增值物品出入库录入!AM20*$E61</f>
        <v>0</v>
      </c>
      <c r="AN61" s="133">
        <f>前台增值物品出入库录入!AN20*$E61</f>
        <v>0</v>
      </c>
      <c r="AO61" s="133">
        <f>前台增值物品出入库录入!AO20*$E61</f>
        <v>0</v>
      </c>
      <c r="AP61" s="133">
        <f>前台增值物品出入库录入!AP20*$E61</f>
        <v>0</v>
      </c>
      <c r="AQ61" s="133">
        <f>前台增值物品出入库录入!AQ20*$E61</f>
        <v>2.8</v>
      </c>
      <c r="AR61" s="133">
        <f>前台增值物品出入库录入!AR20*$E61</f>
        <v>0</v>
      </c>
      <c r="AS61" s="133">
        <f>前台增值物品出入库录入!AS20*$E61</f>
        <v>0</v>
      </c>
      <c r="AT61" s="133">
        <f>前台增值物品出入库录入!AT20*$E61</f>
        <v>0</v>
      </c>
      <c r="AU61" s="133">
        <f>前台增值物品出入库录入!AU20*$E61</f>
        <v>2.8</v>
      </c>
      <c r="AV61" s="133">
        <f>前台增值物品出入库录入!AV20*$E61</f>
        <v>0</v>
      </c>
      <c r="AW61" s="133">
        <f>前台增值物品出入库录入!AW20*$E61</f>
        <v>0</v>
      </c>
      <c r="AX61" s="133">
        <f>前台增值物品出入库录入!AX20*$E61</f>
        <v>0</v>
      </c>
      <c r="AY61" s="133">
        <f>前台增值物品出入库录入!AY20*$E61</f>
        <v>2.8</v>
      </c>
      <c r="AZ61" s="133">
        <f>前台增值物品出入库录入!AZ20*$E61</f>
        <v>0</v>
      </c>
      <c r="BA61" s="133">
        <f>前台增值物品出入库录入!BA20*$E61</f>
        <v>0</v>
      </c>
      <c r="BB61" s="133">
        <f>前台增值物品出入库录入!BB20*$E61</f>
        <v>0</v>
      </c>
      <c r="BC61" s="133">
        <f>前台增值物品出入库录入!BC20*$E61</f>
        <v>2.8</v>
      </c>
      <c r="BD61" s="133">
        <f>前台增值物品出入库录入!BD20*$E61</f>
        <v>0</v>
      </c>
      <c r="BE61" s="133">
        <f>前台增值物品出入库录入!BE20*$E61</f>
        <v>0</v>
      </c>
      <c r="BF61" s="133">
        <f>前台增值物品出入库录入!BF20*$E61</f>
        <v>0</v>
      </c>
      <c r="BG61" s="133">
        <f>前台增值物品出入库录入!BG20*$E61</f>
        <v>0</v>
      </c>
      <c r="BH61" s="133">
        <f>前台增值物品出入库录入!BH20*$E61</f>
        <v>0</v>
      </c>
      <c r="BI61" s="133">
        <f>前台增值物品出入库录入!BI20*$E61</f>
        <v>0</v>
      </c>
      <c r="BJ61" s="133">
        <f>前台增值物品出入库录入!BJ20*$E61</f>
        <v>0</v>
      </c>
      <c r="BK61" s="133">
        <f>前台增值物品出入库录入!BK20*$E61</f>
        <v>5.6</v>
      </c>
      <c r="BL61" s="133">
        <f>前台增值物品出入库录入!BL20*$E61</f>
        <v>0</v>
      </c>
      <c r="BM61" s="133">
        <f>前台增值物品出入库录入!BM20*$E61</f>
        <v>0</v>
      </c>
      <c r="BN61" s="133">
        <f>前台增值物品出入库录入!BN20*$E61</f>
        <v>0</v>
      </c>
      <c r="BO61" s="133">
        <f>前台增值物品出入库录入!BO20*$E61</f>
        <v>0</v>
      </c>
      <c r="BP61" s="133">
        <f>前台增值物品出入库录入!BP20*$E61</f>
        <v>0</v>
      </c>
      <c r="BQ61" s="133">
        <f>前台增值物品出入库录入!BQ20*$E61</f>
        <v>0</v>
      </c>
      <c r="BR61" s="133">
        <f>前台增值物品出入库录入!BR20*$E61</f>
        <v>0</v>
      </c>
      <c r="BS61" s="133">
        <f>前台增值物品出入库录入!BS20*$E61</f>
        <v>0</v>
      </c>
      <c r="BT61" s="133">
        <f>前台增值物品出入库录入!BT20*$E61</f>
        <v>0</v>
      </c>
      <c r="BU61" s="133">
        <f>前台增值物品出入库录入!BU20*$E61</f>
        <v>0</v>
      </c>
      <c r="BV61" s="133">
        <f>前台增值物品出入库录入!BV20*$E61</f>
        <v>0</v>
      </c>
      <c r="BW61" s="133">
        <f>前台增值物品出入库录入!BW20*$E61</f>
        <v>0</v>
      </c>
    </row>
    <row r="62" s="178" customFormat="1" customHeight="1" spans="1:75">
      <c r="A62" s="161">
        <v>63</v>
      </c>
      <c r="B62" s="162" t="str">
        <f>前台增值物品出入库录入!B63</f>
        <v>果盘</v>
      </c>
      <c r="C62" s="162">
        <f>前台增值物品出入库录入!C63</f>
        <v>0</v>
      </c>
      <c r="D62" s="162" t="str">
        <f>前台增值物品出入库录入!D63</f>
        <v>个</v>
      </c>
      <c r="E62" s="162">
        <f>前台增值物品出入库录入!E63</f>
        <v>14.8</v>
      </c>
      <c r="F62" s="162">
        <f>前台增值物品出入库录入!F63</f>
        <v>1</v>
      </c>
      <c r="G62" s="162">
        <f>前台增值物品出入库录入!G63</f>
        <v>14.8</v>
      </c>
      <c r="H62" s="162">
        <f>前台增值物品出入库录入!H63</f>
        <v>0</v>
      </c>
      <c r="I62" s="162">
        <f>前台增值物品出入库录入!I63</f>
        <v>0</v>
      </c>
      <c r="J62" s="162">
        <f>前台增值物品出入库录入!J63</f>
        <v>1</v>
      </c>
      <c r="K62" s="162">
        <f>前台增值物品出入库录入!K63</f>
        <v>14.8</v>
      </c>
      <c r="L62" s="162">
        <f>前台增值物品出入库录入!L63</f>
        <v>0</v>
      </c>
      <c r="M62" s="162">
        <f>前台增值物品出入库录入!M63</f>
        <v>0</v>
      </c>
      <c r="N62" s="133">
        <f>前台增值物品出入库录入!N63*$E62</f>
        <v>0</v>
      </c>
      <c r="O62" s="133">
        <f>前台增值物品出入库录入!O63*$E62</f>
        <v>0</v>
      </c>
      <c r="P62" s="133">
        <f>前台增值物品出入库录入!P63*$E62</f>
        <v>0</v>
      </c>
      <c r="Q62" s="133">
        <f>前台增值物品出入库录入!Q63*$E62</f>
        <v>14.8</v>
      </c>
      <c r="R62" s="133">
        <f>前台增值物品出入库录入!R63*$E62</f>
        <v>0</v>
      </c>
      <c r="S62" s="133">
        <f>前台增值物品出入库录入!S63*$E62</f>
        <v>0</v>
      </c>
      <c r="T62" s="133">
        <f>前台增值物品出入库录入!T63*$E62</f>
        <v>0</v>
      </c>
      <c r="U62" s="133">
        <f>前台增值物品出入库录入!U63*$E62</f>
        <v>0</v>
      </c>
      <c r="V62" s="133">
        <f>前台增值物品出入库录入!V63*$E62</f>
        <v>0</v>
      </c>
      <c r="W62" s="133">
        <f>前台增值物品出入库录入!W63*$E62</f>
        <v>0</v>
      </c>
      <c r="X62" s="133">
        <f>前台增值物品出入库录入!X63*$E62</f>
        <v>0</v>
      </c>
      <c r="Y62" s="133">
        <f>前台增值物品出入库录入!Y63*$E62</f>
        <v>0</v>
      </c>
      <c r="Z62" s="133">
        <f>前台增值物品出入库录入!Z63*$E62</f>
        <v>0</v>
      </c>
      <c r="AA62" s="133">
        <f>前台增值物品出入库录入!AA63*$E62</f>
        <v>0</v>
      </c>
      <c r="AB62" s="133">
        <f>前台增值物品出入库录入!AB63*$E62</f>
        <v>0</v>
      </c>
      <c r="AC62" s="133">
        <f>前台增值物品出入库录入!AC63*$E62</f>
        <v>0</v>
      </c>
      <c r="AD62" s="133">
        <f>前台增值物品出入库录入!AD63*$E62</f>
        <v>0</v>
      </c>
      <c r="AE62" s="133">
        <f>前台增值物品出入库录入!AE63*$E62</f>
        <v>0</v>
      </c>
      <c r="AF62" s="133">
        <f>前台增值物品出入库录入!AF63*$E62</f>
        <v>0</v>
      </c>
      <c r="AG62" s="133">
        <f>前台增值物品出入库录入!AG63*$E62</f>
        <v>0</v>
      </c>
      <c r="AH62" s="133">
        <f>前台增值物品出入库录入!AH63*$E62</f>
        <v>0</v>
      </c>
      <c r="AI62" s="133">
        <f>前台增值物品出入库录入!AI63*$E62</f>
        <v>0</v>
      </c>
      <c r="AJ62" s="133">
        <f>前台增值物品出入库录入!AJ63*$E62</f>
        <v>0</v>
      </c>
      <c r="AK62" s="133">
        <f>前台增值物品出入库录入!AK63*$E62</f>
        <v>0</v>
      </c>
      <c r="AL62" s="133">
        <f>前台增值物品出入库录入!AL63*$E62</f>
        <v>0</v>
      </c>
      <c r="AM62" s="133">
        <f>前台增值物品出入库录入!AM63*$E62</f>
        <v>0</v>
      </c>
      <c r="AN62" s="133">
        <f>前台增值物品出入库录入!AN63*$E62</f>
        <v>0</v>
      </c>
      <c r="AO62" s="133">
        <f>前台增值物品出入库录入!AO63*$E62</f>
        <v>0</v>
      </c>
      <c r="AP62" s="133">
        <f>前台增值物品出入库录入!AP63*$E62</f>
        <v>0</v>
      </c>
      <c r="AQ62" s="133">
        <f>前台增值物品出入库录入!AQ63*$E62</f>
        <v>0</v>
      </c>
      <c r="AR62" s="133">
        <f>前台增值物品出入库录入!AR63*$E62</f>
        <v>0</v>
      </c>
      <c r="AS62" s="133">
        <f>前台增值物品出入库录入!AS63*$E62</f>
        <v>0</v>
      </c>
      <c r="AT62" s="133">
        <f>前台增值物品出入库录入!AT63*$E62</f>
        <v>0</v>
      </c>
      <c r="AU62" s="133">
        <f>前台增值物品出入库录入!AU63*$E62</f>
        <v>0</v>
      </c>
      <c r="AV62" s="133">
        <f>前台增值物品出入库录入!AV63*$E62</f>
        <v>0</v>
      </c>
      <c r="AW62" s="133">
        <f>前台增值物品出入库录入!AW63*$E62</f>
        <v>0</v>
      </c>
      <c r="AX62" s="133">
        <f>前台增值物品出入库录入!AX63*$E62</f>
        <v>0</v>
      </c>
      <c r="AY62" s="133">
        <f>前台增值物品出入库录入!AY63*$E62</f>
        <v>0</v>
      </c>
      <c r="AZ62" s="133">
        <f>前台增值物品出入库录入!AZ63*$E62</f>
        <v>0</v>
      </c>
      <c r="BA62" s="133">
        <f>前台增值物品出入库录入!BA63*$E62</f>
        <v>0</v>
      </c>
      <c r="BB62" s="133">
        <f>前台增值物品出入库录入!BB63*$E62</f>
        <v>0</v>
      </c>
      <c r="BC62" s="133">
        <f>前台增值物品出入库录入!BC63*$E62</f>
        <v>0</v>
      </c>
      <c r="BD62" s="133">
        <f>前台增值物品出入库录入!BD63*$E62</f>
        <v>0</v>
      </c>
      <c r="BE62" s="133">
        <f>前台增值物品出入库录入!BE63*$E62</f>
        <v>0</v>
      </c>
      <c r="BF62" s="133">
        <f>前台增值物品出入库录入!BF63*$E62</f>
        <v>0</v>
      </c>
      <c r="BG62" s="133">
        <f>前台增值物品出入库录入!BG63*$E62</f>
        <v>0</v>
      </c>
      <c r="BH62" s="133">
        <f>前台增值物品出入库录入!BH63*$E62</f>
        <v>0</v>
      </c>
      <c r="BI62" s="133">
        <f>前台增值物品出入库录入!BI63*$E62</f>
        <v>0</v>
      </c>
      <c r="BJ62" s="133">
        <f>前台增值物品出入库录入!BJ63*$E62</f>
        <v>0</v>
      </c>
      <c r="BK62" s="133">
        <f>前台增值物品出入库录入!BK63*$E62</f>
        <v>0</v>
      </c>
      <c r="BL62" s="133">
        <f>前台增值物品出入库录入!BL63*$E62</f>
        <v>0</v>
      </c>
      <c r="BM62" s="133">
        <f>前台增值物品出入库录入!BM63*$E62</f>
        <v>0</v>
      </c>
      <c r="BN62" s="133">
        <f>前台增值物品出入库录入!BN63*$E62</f>
        <v>0</v>
      </c>
      <c r="BO62" s="133">
        <f>前台增值物品出入库录入!BO63*$E62</f>
        <v>0</v>
      </c>
      <c r="BP62" s="133">
        <f>前台增值物品出入库录入!BP63*$E62</f>
        <v>0</v>
      </c>
      <c r="BQ62" s="133">
        <f>前台增值物品出入库录入!BQ63*$E62</f>
        <v>0</v>
      </c>
      <c r="BR62" s="133">
        <f>前台增值物品出入库录入!BR63*$E62</f>
        <v>0</v>
      </c>
      <c r="BS62" s="133">
        <f>前台增值物品出入库录入!BS63*$E62</f>
        <v>0</v>
      </c>
      <c r="BT62" s="133">
        <f>前台增值物品出入库录入!BT63*$E62</f>
        <v>0</v>
      </c>
      <c r="BU62" s="133">
        <f>前台增值物品出入库录入!BU63*$E62</f>
        <v>0</v>
      </c>
      <c r="BV62" s="133">
        <f>前台增值物品出入库录入!BV63*$E62</f>
        <v>0</v>
      </c>
      <c r="BW62" s="133">
        <f>前台增值物品出入库录入!BW63*$E62</f>
        <v>0</v>
      </c>
    </row>
    <row r="63" s="178" customFormat="1" customHeight="1" spans="1:75">
      <c r="A63" s="161">
        <v>64</v>
      </c>
      <c r="B63" s="162" t="str">
        <f>前台增值物品出入库录入!B64</f>
        <v>花露水湿巾</v>
      </c>
      <c r="C63" s="162">
        <f>前台增值物品出入库录入!C64</f>
        <v>0</v>
      </c>
      <c r="D63" s="162" t="str">
        <f>前台增值物品出入库录入!D64</f>
        <v>个</v>
      </c>
      <c r="E63" s="162">
        <f>前台增值物品出入库录入!E64</f>
        <v>0.033</v>
      </c>
      <c r="F63" s="162">
        <f>前台增值物品出入库录入!F64</f>
        <v>214</v>
      </c>
      <c r="G63" s="162">
        <f>前台增值物品出入库录入!G64</f>
        <v>7.062</v>
      </c>
      <c r="H63" s="162">
        <f>前台增值物品出入库录入!H64</f>
        <v>0</v>
      </c>
      <c r="I63" s="162">
        <f>前台增值物品出入库录入!I64</f>
        <v>0</v>
      </c>
      <c r="J63" s="162">
        <f>前台增值物品出入库录入!J64</f>
        <v>39</v>
      </c>
      <c r="K63" s="162">
        <f>前台增值物品出入库录入!K64</f>
        <v>1.287</v>
      </c>
      <c r="L63" s="162">
        <f>前台增值物品出入库录入!L64</f>
        <v>175</v>
      </c>
      <c r="M63" s="162">
        <f>前台增值物品出入库录入!M64</f>
        <v>5.775</v>
      </c>
      <c r="N63" s="133">
        <f>前台增值物品出入库录入!N64*$E63</f>
        <v>0</v>
      </c>
      <c r="O63" s="133">
        <f>前台增值物品出入库录入!O64*$E63</f>
        <v>0.33</v>
      </c>
      <c r="P63" s="133">
        <f>前台增值物品出入库录入!P64*$E63</f>
        <v>0</v>
      </c>
      <c r="Q63" s="133">
        <f>前台增值物品出入库录入!Q64*$E63</f>
        <v>0</v>
      </c>
      <c r="R63" s="133">
        <f>前台增值物品出入库录入!R64*$E63</f>
        <v>0</v>
      </c>
      <c r="S63" s="133">
        <f>前台增值物品出入库录入!S64*$E63</f>
        <v>0</v>
      </c>
      <c r="T63" s="133">
        <f>前台增值物品出入库录入!T64*$E63</f>
        <v>0</v>
      </c>
      <c r="U63" s="133">
        <f>前台增值物品出入库录入!U64*$E63</f>
        <v>0.165</v>
      </c>
      <c r="V63" s="133">
        <f>前台增值物品出入库录入!V64*$E63</f>
        <v>0</v>
      </c>
      <c r="W63" s="133">
        <f>前台增值物品出入库录入!W64*$E63</f>
        <v>0.297</v>
      </c>
      <c r="X63" s="133">
        <f>前台增值物品出入库录入!X64*$E63</f>
        <v>0</v>
      </c>
      <c r="Y63" s="133">
        <f>前台增值物品出入库录入!Y64*$E63</f>
        <v>0</v>
      </c>
      <c r="Z63" s="133">
        <f>前台增值物品出入库录入!Z64*$E63</f>
        <v>0</v>
      </c>
      <c r="AA63" s="133">
        <f>前台增值物品出入库录入!AA64*$E63</f>
        <v>0.33</v>
      </c>
      <c r="AB63" s="133">
        <f>前台增值物品出入库录入!AB64*$E63</f>
        <v>0</v>
      </c>
      <c r="AC63" s="133">
        <f>前台增值物品出入库录入!AC64*$E63</f>
        <v>0</v>
      </c>
      <c r="AD63" s="133">
        <f>前台增值物品出入库录入!AD64*$E63</f>
        <v>0</v>
      </c>
      <c r="AE63" s="133">
        <f>前台增值物品出入库录入!AE64*$E63</f>
        <v>0</v>
      </c>
      <c r="AF63" s="133">
        <f>前台增值物品出入库录入!AF64*$E63</f>
        <v>0</v>
      </c>
      <c r="AG63" s="133">
        <f>前台增值物品出入库录入!AG64*$E63</f>
        <v>0</v>
      </c>
      <c r="AH63" s="133">
        <f>前台增值物品出入库录入!AH64*$E63</f>
        <v>0</v>
      </c>
      <c r="AI63" s="133">
        <f>前台增值物品出入库录入!AI64*$E63</f>
        <v>0</v>
      </c>
      <c r="AJ63" s="133">
        <f>前台增值物品出入库录入!AJ64*$E63</f>
        <v>0</v>
      </c>
      <c r="AK63" s="133">
        <f>前台增值物品出入库录入!AK64*$E63</f>
        <v>0</v>
      </c>
      <c r="AL63" s="133">
        <f>前台增值物品出入库录入!AL64*$E63</f>
        <v>0</v>
      </c>
      <c r="AM63" s="133">
        <f>前台增值物品出入库录入!AM64*$E63</f>
        <v>0</v>
      </c>
      <c r="AN63" s="133">
        <f>前台增值物品出入库录入!AN64*$E63</f>
        <v>0</v>
      </c>
      <c r="AO63" s="133">
        <f>前台增值物品出入库录入!AO64*$E63</f>
        <v>0</v>
      </c>
      <c r="AP63" s="133">
        <f>前台增值物品出入库录入!AP64*$E63</f>
        <v>0</v>
      </c>
      <c r="AQ63" s="133">
        <f>前台增值物品出入库录入!AQ64*$E63</f>
        <v>0</v>
      </c>
      <c r="AR63" s="133">
        <f>前台增值物品出入库录入!AR64*$E63</f>
        <v>0</v>
      </c>
      <c r="AS63" s="133">
        <f>前台增值物品出入库录入!AS64*$E63</f>
        <v>0</v>
      </c>
      <c r="AT63" s="133">
        <f>前台增值物品出入库录入!AT64*$E63</f>
        <v>0</v>
      </c>
      <c r="AU63" s="133">
        <f>前台增值物品出入库录入!AU64*$E63</f>
        <v>0</v>
      </c>
      <c r="AV63" s="133">
        <f>前台增值物品出入库录入!AV64*$E63</f>
        <v>0</v>
      </c>
      <c r="AW63" s="133">
        <f>前台增值物品出入库录入!AW64*$E63</f>
        <v>0</v>
      </c>
      <c r="AX63" s="133">
        <f>前台增值物品出入库录入!AX64*$E63</f>
        <v>0</v>
      </c>
      <c r="AY63" s="133">
        <f>前台增值物品出入库录入!AY64*$E63</f>
        <v>0.165</v>
      </c>
      <c r="AZ63" s="133">
        <f>前台增值物品出入库录入!AZ64*$E63</f>
        <v>0</v>
      </c>
      <c r="BA63" s="133">
        <f>前台增值物品出入库录入!BA64*$E63</f>
        <v>0</v>
      </c>
      <c r="BB63" s="133">
        <f>前台增值物品出入库录入!BB64*$E63</f>
        <v>0</v>
      </c>
      <c r="BC63" s="133">
        <f>前台增值物品出入库录入!BC64*$E63</f>
        <v>0</v>
      </c>
      <c r="BD63" s="133">
        <f>前台增值物品出入库录入!BD64*$E63</f>
        <v>0</v>
      </c>
      <c r="BE63" s="133">
        <f>前台增值物品出入库录入!BE64*$E63</f>
        <v>0</v>
      </c>
      <c r="BF63" s="133">
        <f>前台增值物品出入库录入!BF64*$E63</f>
        <v>0</v>
      </c>
      <c r="BG63" s="133">
        <f>前台增值物品出入库录入!BG64*$E63</f>
        <v>0</v>
      </c>
      <c r="BH63" s="133">
        <f>前台增值物品出入库录入!BH64*$E63</f>
        <v>0</v>
      </c>
      <c r="BI63" s="133">
        <f>前台增值物品出入库录入!BI64*$E63</f>
        <v>0</v>
      </c>
      <c r="BJ63" s="133">
        <f>前台增值物品出入库录入!BJ64*$E63</f>
        <v>0</v>
      </c>
      <c r="BK63" s="133">
        <f>前台增值物品出入库录入!BK64*$E63</f>
        <v>0</v>
      </c>
      <c r="BL63" s="133">
        <f>前台增值物品出入库录入!BL64*$E63</f>
        <v>0</v>
      </c>
      <c r="BM63" s="133">
        <f>前台增值物品出入库录入!BM64*$E63</f>
        <v>0</v>
      </c>
      <c r="BN63" s="133">
        <f>前台增值物品出入库录入!BN64*$E63</f>
        <v>0</v>
      </c>
      <c r="BO63" s="133">
        <f>前台增值物品出入库录入!BO64*$E63</f>
        <v>0</v>
      </c>
      <c r="BP63" s="133">
        <f>前台增值物品出入库录入!BP64*$E63</f>
        <v>0</v>
      </c>
      <c r="BQ63" s="133">
        <f>前台增值物品出入库录入!BQ64*$E63</f>
        <v>0</v>
      </c>
      <c r="BR63" s="133">
        <f>前台增值物品出入库录入!BR64*$E63</f>
        <v>0</v>
      </c>
      <c r="BS63" s="133">
        <f>前台增值物品出入库录入!BS64*$E63</f>
        <v>0</v>
      </c>
      <c r="BT63" s="133">
        <f>前台增值物品出入库录入!BT64*$E63</f>
        <v>0</v>
      </c>
      <c r="BU63" s="133">
        <f>前台增值物品出入库录入!BU64*$E63</f>
        <v>0</v>
      </c>
      <c r="BV63" s="133">
        <f>前台增值物品出入库录入!BV64*$E63</f>
        <v>0</v>
      </c>
      <c r="BW63" s="133">
        <f>前台增值物品出入库录入!BW64*$E63</f>
        <v>0</v>
      </c>
    </row>
    <row r="64" s="178" customFormat="1" customHeight="1" spans="1:75">
      <c r="A64" s="161">
        <v>65</v>
      </c>
      <c r="B64" s="162" t="str">
        <f>前台增值物品出入库录入!B65</f>
        <v>椰子糖</v>
      </c>
      <c r="C64" s="162">
        <f>前台增值物品出入库录入!C65</f>
        <v>0</v>
      </c>
      <c r="D64" s="162" t="str">
        <f>前台增值物品出入库录入!D65</f>
        <v>个</v>
      </c>
      <c r="E64" s="162">
        <f>前台增值物品出入库录入!E65</f>
        <v>0.0357</v>
      </c>
      <c r="F64" s="162">
        <f>前台增值物品出入库录入!F65</f>
        <v>350</v>
      </c>
      <c r="G64" s="162">
        <f>前台增值物品出入库录入!G65</f>
        <v>12.495</v>
      </c>
      <c r="H64" s="162">
        <f>前台增值物品出入库录入!H65</f>
        <v>0</v>
      </c>
      <c r="I64" s="162">
        <f>前台增值物品出入库录入!I65</f>
        <v>0</v>
      </c>
      <c r="J64" s="162">
        <f>前台增值物品出入库录入!J65</f>
        <v>350</v>
      </c>
      <c r="K64" s="162">
        <f>前台增值物品出入库录入!K65</f>
        <v>12.495</v>
      </c>
      <c r="L64" s="162">
        <f>前台增值物品出入库录入!L65</f>
        <v>0</v>
      </c>
      <c r="M64" s="162">
        <f>前台增值物品出入库录入!M65</f>
        <v>0</v>
      </c>
      <c r="N64" s="133">
        <f>前台增值物品出入库录入!N65*$E64</f>
        <v>0</v>
      </c>
      <c r="O64" s="133">
        <f>前台增值物品出入库录入!O65*$E64</f>
        <v>0</v>
      </c>
      <c r="P64" s="133">
        <f>前台增值物品出入库录入!P65*$E64</f>
        <v>0</v>
      </c>
      <c r="Q64" s="133">
        <f>前台增值物品出入库录入!Q65*$E64</f>
        <v>1.785</v>
      </c>
      <c r="R64" s="133">
        <f>前台增值物品出入库录入!R65*$E64</f>
        <v>0</v>
      </c>
      <c r="S64" s="133">
        <f>前台增值物品出入库录入!S65*$E64</f>
        <v>0</v>
      </c>
      <c r="T64" s="133">
        <f>前台增值物品出入库录入!T65*$E64</f>
        <v>0</v>
      </c>
      <c r="U64" s="133">
        <f>前台增值物品出入库录入!U65*$E64</f>
        <v>0</v>
      </c>
      <c r="V64" s="133">
        <f>前台增值物品出入库录入!V65*$E64</f>
        <v>0</v>
      </c>
      <c r="W64" s="133">
        <f>前台增值物品出入库录入!W65*$E64</f>
        <v>1.785</v>
      </c>
      <c r="X64" s="133">
        <f>前台增值物品出入库录入!X65*$E64</f>
        <v>0</v>
      </c>
      <c r="Y64" s="133">
        <f>前台增值物品出入库录入!Y65*$E64</f>
        <v>0</v>
      </c>
      <c r="Z64" s="133">
        <f>前台增值物品出入库录入!Z65*$E64</f>
        <v>0</v>
      </c>
      <c r="AA64" s="133">
        <f>前台增值物品出入库录入!AA65*$E64</f>
        <v>0</v>
      </c>
      <c r="AB64" s="133">
        <f>前台增值物品出入库录入!AB65*$E64</f>
        <v>0</v>
      </c>
      <c r="AC64" s="133">
        <f>前台增值物品出入库录入!AC65*$E64</f>
        <v>0</v>
      </c>
      <c r="AD64" s="133">
        <f>前台增值物品出入库录入!AD65*$E64</f>
        <v>0</v>
      </c>
      <c r="AE64" s="133">
        <f>前台增值物品出入库录入!AE65*$E64</f>
        <v>1.785</v>
      </c>
      <c r="AF64" s="133">
        <f>前台增值物品出入库录入!AF65*$E64</f>
        <v>0</v>
      </c>
      <c r="AG64" s="133">
        <f>前台增值物品出入库录入!AG65*$E64</f>
        <v>0</v>
      </c>
      <c r="AH64" s="133">
        <f>前台增值物品出入库录入!AH65*$E64</f>
        <v>0</v>
      </c>
      <c r="AI64" s="133">
        <f>前台增值物品出入库录入!AI65*$E64</f>
        <v>0</v>
      </c>
      <c r="AJ64" s="133">
        <f>前台增值物品出入库录入!AJ65*$E64</f>
        <v>0</v>
      </c>
      <c r="AK64" s="133">
        <f>前台增值物品出入库录入!AK65*$E64</f>
        <v>0</v>
      </c>
      <c r="AL64" s="133">
        <f>前台增值物品出入库录入!AL65*$E64</f>
        <v>0</v>
      </c>
      <c r="AM64" s="133">
        <f>前台增值物品出入库录入!AM65*$E64</f>
        <v>0</v>
      </c>
      <c r="AN64" s="133">
        <f>前台增值物品出入库录入!AN65*$E64</f>
        <v>0</v>
      </c>
      <c r="AO64" s="133">
        <f>前台增值物品出入库录入!AO65*$E64</f>
        <v>0</v>
      </c>
      <c r="AP64" s="133">
        <f>前台增值物品出入库录入!AP65*$E64</f>
        <v>0</v>
      </c>
      <c r="AQ64" s="133">
        <f>前台增值物品出入库录入!AQ65*$E64</f>
        <v>0</v>
      </c>
      <c r="AR64" s="133">
        <f>前台增值物品出入库录入!AR65*$E64</f>
        <v>0</v>
      </c>
      <c r="AS64" s="133">
        <f>前台增值物品出入库录入!AS65*$E64</f>
        <v>0</v>
      </c>
      <c r="AT64" s="133">
        <f>前台增值物品出入库录入!AT65*$E64</f>
        <v>0</v>
      </c>
      <c r="AU64" s="133">
        <f>前台增值物品出入库录入!AU65*$E64</f>
        <v>0</v>
      </c>
      <c r="AV64" s="133">
        <f>前台增值物品出入库录入!AV65*$E64</f>
        <v>0</v>
      </c>
      <c r="AW64" s="133">
        <f>前台增值物品出入库录入!AW65*$E64</f>
        <v>0</v>
      </c>
      <c r="AX64" s="133">
        <f>前台增值物品出入库录入!AX65*$E64</f>
        <v>0</v>
      </c>
      <c r="AY64" s="133">
        <f>前台增值物品出入库录入!AY65*$E64</f>
        <v>3.57</v>
      </c>
      <c r="AZ64" s="133">
        <f>前台增值物品出入库录入!AZ65*$E64</f>
        <v>0</v>
      </c>
      <c r="BA64" s="133">
        <f>前台增值物品出入库录入!BA65*$E64</f>
        <v>0</v>
      </c>
      <c r="BB64" s="133">
        <f>前台增值物品出入库录入!BB65*$E64</f>
        <v>0</v>
      </c>
      <c r="BC64" s="133">
        <f>前台增值物品出入库录入!BC65*$E64</f>
        <v>3.57</v>
      </c>
      <c r="BD64" s="133">
        <f>前台增值物品出入库录入!BD65*$E64</f>
        <v>0</v>
      </c>
      <c r="BE64" s="133">
        <f>前台增值物品出入库录入!BE65*$E64</f>
        <v>0</v>
      </c>
      <c r="BF64" s="133">
        <f>前台增值物品出入库录入!BF65*$E64</f>
        <v>0</v>
      </c>
      <c r="BG64" s="133">
        <f>前台增值物品出入库录入!BG65*$E64</f>
        <v>0</v>
      </c>
      <c r="BH64" s="133">
        <f>前台增值物品出入库录入!BH65*$E64</f>
        <v>0</v>
      </c>
      <c r="BI64" s="133">
        <f>前台增值物品出入库录入!BI65*$E64</f>
        <v>0</v>
      </c>
      <c r="BJ64" s="133">
        <f>前台增值物品出入库录入!BJ65*$E64</f>
        <v>0</v>
      </c>
      <c r="BK64" s="133">
        <f>前台增值物品出入库录入!BK65*$E64</f>
        <v>0</v>
      </c>
      <c r="BL64" s="133">
        <f>前台增值物品出入库录入!BL65*$E64</f>
        <v>0</v>
      </c>
      <c r="BM64" s="133">
        <f>前台增值物品出入库录入!BM65*$E64</f>
        <v>0</v>
      </c>
      <c r="BN64" s="133">
        <f>前台增值物品出入库录入!BN65*$E64</f>
        <v>0</v>
      </c>
      <c r="BO64" s="133">
        <f>前台增值物品出入库录入!BO65*$E64</f>
        <v>0</v>
      </c>
      <c r="BP64" s="133">
        <f>前台增值物品出入库录入!BP65*$E64</f>
        <v>0</v>
      </c>
      <c r="BQ64" s="133">
        <f>前台增值物品出入库录入!BQ65*$E64</f>
        <v>0</v>
      </c>
      <c r="BR64" s="133">
        <f>前台增值物品出入库录入!BR65*$E64</f>
        <v>0</v>
      </c>
      <c r="BS64" s="133">
        <f>前台增值物品出入库录入!BS65*$E64</f>
        <v>0</v>
      </c>
      <c r="BT64" s="133">
        <f>前台增值物品出入库录入!BT65*$E64</f>
        <v>0</v>
      </c>
      <c r="BU64" s="133">
        <f>前台增值物品出入库录入!BU65*$E64</f>
        <v>0</v>
      </c>
      <c r="BV64" s="133">
        <f>前台增值物品出入库录入!BV65*$E64</f>
        <v>0</v>
      </c>
      <c r="BW64" s="133">
        <f>前台增值物品出入库录入!BW65*$E64</f>
        <v>0</v>
      </c>
    </row>
    <row r="65" s="178" customFormat="1" customHeight="1" spans="1:75">
      <c r="A65" s="161">
        <v>69</v>
      </c>
      <c r="B65" s="162" t="str">
        <f>前台增值物品出入库录入!B66</f>
        <v>圣诞节包装纸</v>
      </c>
      <c r="C65" s="162">
        <f>前台增值物品出入库录入!C66</f>
        <v>0</v>
      </c>
      <c r="D65" s="162" t="str">
        <f>前台增值物品出入库录入!D66</f>
        <v>个</v>
      </c>
      <c r="E65" s="162">
        <f>前台增值物品出入库录入!E66</f>
        <v>1.529</v>
      </c>
      <c r="F65" s="162">
        <f>前台增值物品出入库录入!F66</f>
        <v>10</v>
      </c>
      <c r="G65" s="162">
        <f>前台增值物品出入库录入!G66</f>
        <v>15.29</v>
      </c>
      <c r="H65" s="162">
        <f>前台增值物品出入库录入!H66</f>
        <v>0</v>
      </c>
      <c r="I65" s="162">
        <f>前台增值物品出入库录入!I66</f>
        <v>0</v>
      </c>
      <c r="J65" s="162">
        <f>前台增值物品出入库录入!J66</f>
        <v>0</v>
      </c>
      <c r="K65" s="162">
        <f>前台增值物品出入库录入!K66</f>
        <v>0</v>
      </c>
      <c r="L65" s="162">
        <f>前台增值物品出入库录入!L66</f>
        <v>10</v>
      </c>
      <c r="M65" s="162">
        <f>前台增值物品出入库录入!M66</f>
        <v>15.29</v>
      </c>
      <c r="N65" s="133">
        <f>前台增值物品出入库录入!N66*$E65</f>
        <v>0</v>
      </c>
      <c r="O65" s="133">
        <f>前台增值物品出入库录入!O66*$E65</f>
        <v>0</v>
      </c>
      <c r="P65" s="133">
        <f>前台增值物品出入库录入!P66*$E65</f>
        <v>0</v>
      </c>
      <c r="Q65" s="133">
        <f>前台增值物品出入库录入!Q66*$E65</f>
        <v>0</v>
      </c>
      <c r="R65" s="133">
        <f>前台增值物品出入库录入!R66*$E65</f>
        <v>0</v>
      </c>
      <c r="S65" s="133">
        <f>前台增值物品出入库录入!S66*$E65</f>
        <v>0</v>
      </c>
      <c r="T65" s="133">
        <f>前台增值物品出入库录入!T66*$E65</f>
        <v>0</v>
      </c>
      <c r="U65" s="133">
        <f>前台增值物品出入库录入!U66*$E65</f>
        <v>0</v>
      </c>
      <c r="V65" s="133">
        <f>前台增值物品出入库录入!V66*$E65</f>
        <v>0</v>
      </c>
      <c r="W65" s="133">
        <f>前台增值物品出入库录入!W66*$E65</f>
        <v>0</v>
      </c>
      <c r="X65" s="133">
        <f>前台增值物品出入库录入!X66*$E65</f>
        <v>0</v>
      </c>
      <c r="Y65" s="133">
        <f>前台增值物品出入库录入!Y66*$E65</f>
        <v>0</v>
      </c>
      <c r="Z65" s="133">
        <f>前台增值物品出入库录入!Z66*$E65</f>
        <v>0</v>
      </c>
      <c r="AA65" s="133">
        <f>前台增值物品出入库录入!AA66*$E65</f>
        <v>0</v>
      </c>
      <c r="AB65" s="133">
        <f>前台增值物品出入库录入!AB66*$E65</f>
        <v>0</v>
      </c>
      <c r="AC65" s="133">
        <f>前台增值物品出入库录入!AC66*$E65</f>
        <v>0</v>
      </c>
      <c r="AD65" s="133">
        <f>前台增值物品出入库录入!AD66*$E65</f>
        <v>0</v>
      </c>
      <c r="AE65" s="133">
        <f>前台增值物品出入库录入!AE66*$E65</f>
        <v>0</v>
      </c>
      <c r="AF65" s="133">
        <f>前台增值物品出入库录入!AF66*$E65</f>
        <v>0</v>
      </c>
      <c r="AG65" s="133">
        <f>前台增值物品出入库录入!AG66*$E65</f>
        <v>0</v>
      </c>
      <c r="AH65" s="133">
        <f>前台增值物品出入库录入!AH66*$E65</f>
        <v>0</v>
      </c>
      <c r="AI65" s="133">
        <f>前台增值物品出入库录入!AI66*$E65</f>
        <v>0</v>
      </c>
      <c r="AJ65" s="133">
        <f>前台增值物品出入库录入!AJ66*$E65</f>
        <v>0</v>
      </c>
      <c r="AK65" s="133">
        <f>前台增值物品出入库录入!AK66*$E65</f>
        <v>0</v>
      </c>
      <c r="AL65" s="133">
        <f>前台增值物品出入库录入!AL66*$E65</f>
        <v>0</v>
      </c>
      <c r="AM65" s="133">
        <f>前台增值物品出入库录入!AM66*$E65</f>
        <v>0</v>
      </c>
      <c r="AN65" s="133">
        <f>前台增值物品出入库录入!AN66*$E65</f>
        <v>0</v>
      </c>
      <c r="AO65" s="133">
        <f>前台增值物品出入库录入!AO66*$E65</f>
        <v>0</v>
      </c>
      <c r="AP65" s="133">
        <f>前台增值物品出入库录入!AP66*$E65</f>
        <v>0</v>
      </c>
      <c r="AQ65" s="133">
        <f>前台增值物品出入库录入!AQ66*$E65</f>
        <v>0</v>
      </c>
      <c r="AR65" s="133">
        <f>前台增值物品出入库录入!AR66*$E65</f>
        <v>0</v>
      </c>
      <c r="AS65" s="133">
        <f>前台增值物品出入库录入!AS66*$E65</f>
        <v>0</v>
      </c>
      <c r="AT65" s="133">
        <f>前台增值物品出入库录入!AT66*$E65</f>
        <v>0</v>
      </c>
      <c r="AU65" s="133">
        <f>前台增值物品出入库录入!AU66*$E65</f>
        <v>0</v>
      </c>
      <c r="AV65" s="133">
        <f>前台增值物品出入库录入!AV66*$E65</f>
        <v>0</v>
      </c>
      <c r="AW65" s="133">
        <f>前台增值物品出入库录入!AW66*$E65</f>
        <v>0</v>
      </c>
      <c r="AX65" s="133">
        <f>前台增值物品出入库录入!AX66*$E65</f>
        <v>0</v>
      </c>
      <c r="AY65" s="133">
        <f>前台增值物品出入库录入!AY66*$E65</f>
        <v>0</v>
      </c>
      <c r="AZ65" s="133">
        <f>前台增值物品出入库录入!AZ66*$E65</f>
        <v>0</v>
      </c>
      <c r="BA65" s="133">
        <f>前台增值物品出入库录入!BA66*$E65</f>
        <v>0</v>
      </c>
      <c r="BB65" s="133">
        <f>前台增值物品出入库录入!BB66*$E65</f>
        <v>0</v>
      </c>
      <c r="BC65" s="133">
        <f>前台增值物品出入库录入!BC66*$E65</f>
        <v>0</v>
      </c>
      <c r="BD65" s="133">
        <f>前台增值物品出入库录入!BD66*$E65</f>
        <v>0</v>
      </c>
      <c r="BE65" s="133">
        <f>前台增值物品出入库录入!BE66*$E65</f>
        <v>0</v>
      </c>
      <c r="BF65" s="133">
        <f>前台增值物品出入库录入!BF66*$E65</f>
        <v>0</v>
      </c>
      <c r="BG65" s="133">
        <f>前台增值物品出入库录入!BG66*$E65</f>
        <v>0</v>
      </c>
      <c r="BH65" s="133">
        <f>前台增值物品出入库录入!BH66*$E65</f>
        <v>0</v>
      </c>
      <c r="BI65" s="133">
        <f>前台增值物品出入库录入!BI66*$E65</f>
        <v>0</v>
      </c>
      <c r="BJ65" s="133">
        <f>前台增值物品出入库录入!BJ66*$E65</f>
        <v>0</v>
      </c>
      <c r="BK65" s="133">
        <f>前台增值物品出入库录入!BK66*$E65</f>
        <v>0</v>
      </c>
      <c r="BL65" s="133">
        <f>前台增值物品出入库录入!BL66*$E65</f>
        <v>0</v>
      </c>
      <c r="BM65" s="133">
        <f>前台增值物品出入库录入!BM66*$E65</f>
        <v>0</v>
      </c>
      <c r="BN65" s="133">
        <f>前台增值物品出入库录入!BN66*$E65</f>
        <v>0</v>
      </c>
      <c r="BO65" s="133">
        <f>前台增值物品出入库录入!BO66*$E65</f>
        <v>0</v>
      </c>
      <c r="BP65" s="133">
        <f>前台增值物品出入库录入!BP66*$E65</f>
        <v>0</v>
      </c>
      <c r="BQ65" s="133">
        <f>前台增值物品出入库录入!BQ66*$E65</f>
        <v>0</v>
      </c>
      <c r="BR65" s="133">
        <f>前台增值物品出入库录入!BR66*$E65</f>
        <v>0</v>
      </c>
      <c r="BS65" s="133">
        <f>前台增值物品出入库录入!BS66*$E65</f>
        <v>0</v>
      </c>
      <c r="BT65" s="133">
        <f>前台增值物品出入库录入!BT66*$E65</f>
        <v>0</v>
      </c>
      <c r="BU65" s="133">
        <f>前台增值物品出入库录入!BU66*$E65</f>
        <v>0</v>
      </c>
      <c r="BV65" s="133">
        <f>前台增值物品出入库录入!BV66*$E65</f>
        <v>0</v>
      </c>
      <c r="BW65" s="133">
        <f>前台增值物品出入库录入!BW66*$E65</f>
        <v>0</v>
      </c>
    </row>
    <row r="66" s="178" customFormat="1" customHeight="1" spans="1:75">
      <c r="A66" s="161">
        <v>70</v>
      </c>
      <c r="B66" s="162" t="str">
        <f>前台增值物品出入库录入!B67</f>
        <v>礼袋</v>
      </c>
      <c r="C66" s="162">
        <f>前台增值物品出入库录入!C67</f>
        <v>0</v>
      </c>
      <c r="D66" s="162" t="str">
        <f>前台增值物品出入库录入!D67</f>
        <v>个</v>
      </c>
      <c r="E66" s="162">
        <f>前台增值物品出入库录入!E67</f>
        <v>0.23</v>
      </c>
      <c r="F66" s="162">
        <f>前台增值物品出入库录入!F67</f>
        <v>937</v>
      </c>
      <c r="G66" s="162">
        <f>前台增值物品出入库录入!G67</f>
        <v>215.51</v>
      </c>
      <c r="H66" s="162">
        <f>前台增值物品出入库录入!H67</f>
        <v>0</v>
      </c>
      <c r="I66" s="162">
        <f>前台增值物品出入库录入!I67</f>
        <v>0</v>
      </c>
      <c r="J66" s="162">
        <f>前台增值物品出入库录入!J67</f>
        <v>500</v>
      </c>
      <c r="K66" s="162">
        <f>前台增值物品出入库录入!K67</f>
        <v>115</v>
      </c>
      <c r="L66" s="162">
        <f>前台增值物品出入库录入!L67</f>
        <v>437</v>
      </c>
      <c r="M66" s="162">
        <f>前台增值物品出入库录入!M67</f>
        <v>100.51</v>
      </c>
      <c r="N66" s="133">
        <f>前台增值物品出入库录入!N67*$E66</f>
        <v>0</v>
      </c>
      <c r="O66" s="133">
        <f>前台增值物品出入库录入!O67*$E66</f>
        <v>0</v>
      </c>
      <c r="P66" s="133">
        <f>前台增值物品出入库录入!P67*$E66</f>
        <v>0</v>
      </c>
      <c r="Q66" s="133">
        <f>前台增值物品出入库录入!Q67*$E66</f>
        <v>0</v>
      </c>
      <c r="R66" s="133">
        <f>前台增值物品出入库录入!R67*$E66</f>
        <v>0</v>
      </c>
      <c r="S66" s="133">
        <f>前台增值物品出入库录入!S67*$E66</f>
        <v>11.5</v>
      </c>
      <c r="T66" s="133">
        <f>前台增值物品出入库录入!T67*$E66</f>
        <v>0</v>
      </c>
      <c r="U66" s="133">
        <f>前台增值物品出入库录入!U67*$E66</f>
        <v>0</v>
      </c>
      <c r="V66" s="133">
        <f>前台增值物品出入库录入!V67*$E66</f>
        <v>0</v>
      </c>
      <c r="W66" s="133">
        <f>前台增值物品出入库录入!W67*$E66</f>
        <v>11.5</v>
      </c>
      <c r="X66" s="133">
        <f>前台增值物品出入库录入!X67*$E66</f>
        <v>0</v>
      </c>
      <c r="Y66" s="133">
        <f>前台增值物品出入库录入!Y67*$E66</f>
        <v>0</v>
      </c>
      <c r="Z66" s="133">
        <f>前台增值物品出入库录入!Z67*$E66</f>
        <v>0</v>
      </c>
      <c r="AA66" s="133">
        <f>前台增值物品出入库录入!AA67*$E66</f>
        <v>11.5</v>
      </c>
      <c r="AB66" s="133">
        <f>前台增值物品出入库录入!AB67*$E66</f>
        <v>0</v>
      </c>
      <c r="AC66" s="133">
        <f>前台增值物品出入库录入!AC67*$E66</f>
        <v>0</v>
      </c>
      <c r="AD66" s="133">
        <f>前台增值物品出入库录入!AD67*$E66</f>
        <v>0</v>
      </c>
      <c r="AE66" s="133">
        <f>前台增值物品出入库录入!AE67*$E66</f>
        <v>11.5</v>
      </c>
      <c r="AF66" s="133">
        <f>前台增值物品出入库录入!AF67*$E66</f>
        <v>0</v>
      </c>
      <c r="AG66" s="133">
        <f>前台增值物品出入库录入!AG67*$E66</f>
        <v>0</v>
      </c>
      <c r="AH66" s="133">
        <f>前台增值物品出入库录入!AH67*$E66</f>
        <v>0</v>
      </c>
      <c r="AI66" s="133">
        <f>前台增值物品出入库录入!AI67*$E66</f>
        <v>9.2</v>
      </c>
      <c r="AJ66" s="133">
        <f>前台增值物品出入库录入!AJ67*$E66</f>
        <v>0</v>
      </c>
      <c r="AK66" s="133">
        <f>前台增值物品出入库录入!AK67*$E66</f>
        <v>0</v>
      </c>
      <c r="AL66" s="133">
        <f>前台增值物品出入库录入!AL67*$E66</f>
        <v>0</v>
      </c>
      <c r="AM66" s="133">
        <f>前台增值物品出入库录入!AM67*$E66</f>
        <v>0</v>
      </c>
      <c r="AN66" s="133">
        <f>前台增值物品出入库录入!AN67*$E66</f>
        <v>0</v>
      </c>
      <c r="AO66" s="133">
        <f>前台增值物品出入库录入!AO67*$E66</f>
        <v>0</v>
      </c>
      <c r="AP66" s="133">
        <f>前台增值物品出入库录入!AP67*$E66</f>
        <v>0</v>
      </c>
      <c r="AQ66" s="133">
        <f>前台增值物品出入库录入!AQ67*$E66</f>
        <v>0</v>
      </c>
      <c r="AR66" s="133">
        <f>前台增值物品出入库录入!AR67*$E66</f>
        <v>0</v>
      </c>
      <c r="AS66" s="133">
        <f>前台增值物品出入库录入!AS67*$E66</f>
        <v>0</v>
      </c>
      <c r="AT66" s="133">
        <f>前台增值物品出入库录入!AT67*$E66</f>
        <v>0</v>
      </c>
      <c r="AU66" s="133">
        <f>前台增值物品出入库录入!AU67*$E66</f>
        <v>0</v>
      </c>
      <c r="AV66" s="133">
        <f>前台增值物品出入库录入!AV67*$E66</f>
        <v>0</v>
      </c>
      <c r="AW66" s="133">
        <f>前台增值物品出入库录入!AW67*$E66</f>
        <v>0</v>
      </c>
      <c r="AX66" s="133">
        <f>前台增值物品出入库录入!AX67*$E66</f>
        <v>0</v>
      </c>
      <c r="AY66" s="133">
        <f>前台增值物品出入库录入!AY67*$E66</f>
        <v>4.6</v>
      </c>
      <c r="AZ66" s="133">
        <f>前台增值物品出入库录入!AZ67*$E66</f>
        <v>0</v>
      </c>
      <c r="BA66" s="133">
        <f>前台增值物品出入库录入!BA67*$E66</f>
        <v>4.6</v>
      </c>
      <c r="BB66" s="133">
        <f>前台增值物品出入库录入!BB67*$E66</f>
        <v>0</v>
      </c>
      <c r="BC66" s="133">
        <f>前台增值物品出入库录入!BC67*$E66</f>
        <v>4.6</v>
      </c>
      <c r="BD66" s="133">
        <f>前台增值物品出入库录入!BD67*$E66</f>
        <v>0</v>
      </c>
      <c r="BE66" s="133">
        <f>前台增值物品出入库录入!BE67*$E66</f>
        <v>4.6</v>
      </c>
      <c r="BF66" s="133">
        <f>前台增值物品出入库录入!BF67*$E66</f>
        <v>0</v>
      </c>
      <c r="BG66" s="133">
        <f>前台增值物品出入库录入!BG67*$E66</f>
        <v>4.6</v>
      </c>
      <c r="BH66" s="133">
        <f>前台增值物品出入库录入!BH67*$E66</f>
        <v>0</v>
      </c>
      <c r="BI66" s="133">
        <f>前台增值物品出入库录入!BI67*$E66</f>
        <v>4.6</v>
      </c>
      <c r="BJ66" s="133">
        <f>前台增值物品出入库录入!BJ67*$E66</f>
        <v>0</v>
      </c>
      <c r="BK66" s="133">
        <f>前台增值物品出入库录入!BK67*$E66</f>
        <v>6.9</v>
      </c>
      <c r="BL66" s="133">
        <f>前台增值物品出入库录入!BL67*$E66</f>
        <v>0</v>
      </c>
      <c r="BM66" s="133">
        <f>前台增值物品出入库录入!BM67*$E66</f>
        <v>6.9</v>
      </c>
      <c r="BN66" s="133">
        <f>前台增值物品出入库录入!BN67*$E66</f>
        <v>0</v>
      </c>
      <c r="BO66" s="133">
        <f>前台增值物品出入库录入!BO67*$E66</f>
        <v>5.75</v>
      </c>
      <c r="BP66" s="133">
        <f>前台增值物品出入库录入!BP67*$E66</f>
        <v>0</v>
      </c>
      <c r="BQ66" s="133">
        <f>前台增值物品出入库录入!BQ67*$E66</f>
        <v>5.75</v>
      </c>
      <c r="BR66" s="133">
        <f>前台增值物品出入库录入!BR67*$E66</f>
        <v>0</v>
      </c>
      <c r="BS66" s="133">
        <f>前台增值物品出入库录入!BS67*$E66</f>
        <v>6.9</v>
      </c>
      <c r="BT66" s="133">
        <f>前台增值物品出入库录入!BT67*$E66</f>
        <v>0</v>
      </c>
      <c r="BU66" s="133">
        <f>前台增值物品出入库录入!BU67*$E66</f>
        <v>0</v>
      </c>
      <c r="BV66" s="133">
        <f>前台增值物品出入库录入!BV67*$E66</f>
        <v>0</v>
      </c>
      <c r="BW66" s="133">
        <f>前台增值物品出入库录入!BW67*$E66</f>
        <v>0</v>
      </c>
    </row>
    <row r="67" s="178" customFormat="1" customHeight="1" spans="1:75">
      <c r="A67" s="161">
        <v>71</v>
      </c>
      <c r="B67" s="162" t="str">
        <f>前台增值物品出入库录入!B68</f>
        <v>泡澡袋</v>
      </c>
      <c r="C67" s="162">
        <f>前台增值物品出入库录入!C68</f>
        <v>0</v>
      </c>
      <c r="D67" s="162" t="str">
        <f>前台增值物品出入库录入!D68</f>
        <v>个</v>
      </c>
      <c r="E67" s="162">
        <f>前台增值物品出入库录入!E68</f>
        <v>0.495</v>
      </c>
      <c r="F67" s="162">
        <f>前台增值物品出入库录入!F68</f>
        <v>47</v>
      </c>
      <c r="G67" s="162">
        <f>前台增值物品出入库录入!G68</f>
        <v>23.265</v>
      </c>
      <c r="H67" s="162">
        <f>前台增值物品出入库录入!H68</f>
        <v>0</v>
      </c>
      <c r="I67" s="162">
        <f>前台增值物品出入库录入!I68</f>
        <v>0</v>
      </c>
      <c r="J67" s="162">
        <f>前台增值物品出入库录入!J68</f>
        <v>47</v>
      </c>
      <c r="K67" s="162">
        <f>前台增值物品出入库录入!K68</f>
        <v>23.265</v>
      </c>
      <c r="L67" s="162">
        <f>前台增值物品出入库录入!L68</f>
        <v>0</v>
      </c>
      <c r="M67" s="162">
        <f>前台增值物品出入库录入!M68</f>
        <v>0</v>
      </c>
      <c r="N67" s="133">
        <f>前台增值物品出入库录入!N68*$E67</f>
        <v>0</v>
      </c>
      <c r="O67" s="133">
        <f>前台增值物品出入库录入!O68*$E67</f>
        <v>2.475</v>
      </c>
      <c r="P67" s="133">
        <f>前台增值物品出入库录入!P68*$E67</f>
        <v>0</v>
      </c>
      <c r="Q67" s="133">
        <f>前台增值物品出入库录入!Q68*$E67</f>
        <v>2.475</v>
      </c>
      <c r="R67" s="133">
        <f>前台增值物品出入库录入!R68*$E67</f>
        <v>0</v>
      </c>
      <c r="S67" s="133">
        <f>前台增值物品出入库录入!S68*$E67</f>
        <v>0</v>
      </c>
      <c r="T67" s="133">
        <f>前台增值物品出入库录入!T68*$E67</f>
        <v>0</v>
      </c>
      <c r="U67" s="133">
        <f>前台增值物品出入库录入!U68*$E67</f>
        <v>3.465</v>
      </c>
      <c r="V67" s="133">
        <f>前台增值物品出入库录入!V68*$E67</f>
        <v>0</v>
      </c>
      <c r="W67" s="133">
        <f>前台增值物品出入库录入!W68*$E67</f>
        <v>0</v>
      </c>
      <c r="X67" s="133">
        <f>前台增值物品出入库录入!X68*$E67</f>
        <v>0</v>
      </c>
      <c r="Y67" s="133">
        <f>前台增值物品出入库录入!Y68*$E67</f>
        <v>0</v>
      </c>
      <c r="Z67" s="133">
        <f>前台增值物品出入库录入!Z68*$E67</f>
        <v>0</v>
      </c>
      <c r="AA67" s="133">
        <f>前台增值物品出入库录入!AA68*$E67</f>
        <v>4.95</v>
      </c>
      <c r="AB67" s="133">
        <f>前台增值物品出入库录入!AB68*$E67</f>
        <v>0</v>
      </c>
      <c r="AC67" s="133">
        <f>前台增值物品出入库录入!AC68*$E67</f>
        <v>4.95</v>
      </c>
      <c r="AD67" s="133">
        <f>前台增值物品出入库录入!AD68*$E67</f>
        <v>0</v>
      </c>
      <c r="AE67" s="133">
        <f>前台增值物品出入库录入!AE68*$E67</f>
        <v>4.95</v>
      </c>
      <c r="AF67" s="133">
        <f>前台增值物品出入库录入!AF68*$E67</f>
        <v>0</v>
      </c>
      <c r="AG67" s="133">
        <f>前台增值物品出入库录入!AG68*$E67</f>
        <v>0</v>
      </c>
      <c r="AH67" s="133">
        <f>前台增值物品出入库录入!AH68*$E67</f>
        <v>0</v>
      </c>
      <c r="AI67" s="133">
        <f>前台增值物品出入库录入!AI68*$E67</f>
        <v>0</v>
      </c>
      <c r="AJ67" s="133">
        <f>前台增值物品出入库录入!AJ68*$E67</f>
        <v>0</v>
      </c>
      <c r="AK67" s="133">
        <f>前台增值物品出入库录入!AK68*$E67</f>
        <v>0</v>
      </c>
      <c r="AL67" s="133">
        <f>前台增值物品出入库录入!AL68*$E67</f>
        <v>0</v>
      </c>
      <c r="AM67" s="133">
        <f>前台增值物品出入库录入!AM68*$E67</f>
        <v>0</v>
      </c>
      <c r="AN67" s="133">
        <f>前台增值物品出入库录入!AN68*$E67</f>
        <v>0</v>
      </c>
      <c r="AO67" s="133">
        <f>前台增值物品出入库录入!AO68*$E67</f>
        <v>0</v>
      </c>
      <c r="AP67" s="133">
        <f>前台增值物品出入库录入!AP68*$E67</f>
        <v>0</v>
      </c>
      <c r="AQ67" s="133">
        <f>前台增值物品出入库录入!AQ68*$E67</f>
        <v>0</v>
      </c>
      <c r="AR67" s="133">
        <f>前台增值物品出入库录入!AR68*$E67</f>
        <v>0</v>
      </c>
      <c r="AS67" s="133">
        <f>前台增值物品出入库录入!AS68*$E67</f>
        <v>0</v>
      </c>
      <c r="AT67" s="133">
        <f>前台增值物品出入库录入!AT68*$E67</f>
        <v>0</v>
      </c>
      <c r="AU67" s="133">
        <f>前台增值物品出入库录入!AU68*$E67</f>
        <v>0</v>
      </c>
      <c r="AV67" s="133">
        <f>前台增值物品出入库录入!AV68*$E67</f>
        <v>0</v>
      </c>
      <c r="AW67" s="133">
        <f>前台增值物品出入库录入!AW68*$E67</f>
        <v>0</v>
      </c>
      <c r="AX67" s="133">
        <f>前台增值物品出入库录入!AX68*$E67</f>
        <v>0</v>
      </c>
      <c r="AY67" s="133">
        <f>前台增值物品出入库录入!AY68*$E67</f>
        <v>0</v>
      </c>
      <c r="AZ67" s="133">
        <f>前台增值物品出入库录入!AZ68*$E67</f>
        <v>0</v>
      </c>
      <c r="BA67" s="133">
        <f>前台增值物品出入库录入!BA68*$E67</f>
        <v>0</v>
      </c>
      <c r="BB67" s="133">
        <f>前台增值物品出入库录入!BB68*$E67</f>
        <v>0</v>
      </c>
      <c r="BC67" s="133">
        <f>前台增值物品出入库录入!BC68*$E67</f>
        <v>0</v>
      </c>
      <c r="BD67" s="133">
        <f>前台增值物品出入库录入!BD68*$E67</f>
        <v>0</v>
      </c>
      <c r="BE67" s="133">
        <f>前台增值物品出入库录入!BE68*$E67</f>
        <v>0</v>
      </c>
      <c r="BF67" s="133">
        <f>前台增值物品出入库录入!BF68*$E67</f>
        <v>0</v>
      </c>
      <c r="BG67" s="133">
        <f>前台增值物品出入库录入!BG68*$E67</f>
        <v>0</v>
      </c>
      <c r="BH67" s="133">
        <f>前台增值物品出入库录入!BH68*$E67</f>
        <v>0</v>
      </c>
      <c r="BI67" s="133">
        <f>前台增值物品出入库录入!BI68*$E67</f>
        <v>0</v>
      </c>
      <c r="BJ67" s="133">
        <f>前台增值物品出入库录入!BJ68*$E67</f>
        <v>0</v>
      </c>
      <c r="BK67" s="133">
        <f>前台增值物品出入库录入!BK68*$E67</f>
        <v>0</v>
      </c>
      <c r="BL67" s="133">
        <f>前台增值物品出入库录入!BL68*$E67</f>
        <v>0</v>
      </c>
      <c r="BM67" s="133">
        <f>前台增值物品出入库录入!BM68*$E67</f>
        <v>0</v>
      </c>
      <c r="BN67" s="133">
        <f>前台增值物品出入库录入!BN68*$E67</f>
        <v>0</v>
      </c>
      <c r="BO67" s="133">
        <f>前台增值物品出入库录入!BO68*$E67</f>
        <v>0</v>
      </c>
      <c r="BP67" s="133">
        <f>前台增值物品出入库录入!BP68*$E67</f>
        <v>0</v>
      </c>
      <c r="BQ67" s="133">
        <f>前台增值物品出入库录入!BQ68*$E67</f>
        <v>0</v>
      </c>
      <c r="BR67" s="133">
        <f>前台增值物品出入库录入!BR68*$E67</f>
        <v>0</v>
      </c>
      <c r="BS67" s="133">
        <f>前台增值物品出入库录入!BS68*$E67</f>
        <v>0</v>
      </c>
      <c r="BT67" s="133">
        <f>前台增值物品出入库录入!BT68*$E67</f>
        <v>0</v>
      </c>
      <c r="BU67" s="133">
        <f>前台增值物品出入库录入!BU68*$E67</f>
        <v>0</v>
      </c>
      <c r="BV67" s="133">
        <f>前台增值物品出入库录入!BV68*$E67</f>
        <v>0</v>
      </c>
      <c r="BW67" s="133">
        <f>前台增值物品出入库录入!BW68*$E67</f>
        <v>0</v>
      </c>
    </row>
    <row r="68" s="178" customFormat="1" customHeight="1" spans="1:75">
      <c r="A68" s="161">
        <v>72</v>
      </c>
      <c r="B68" s="162" t="str">
        <f>前台增值物品出入库录入!B69</f>
        <v>话梅糖</v>
      </c>
      <c r="C68" s="162">
        <f>前台增值物品出入库录入!C69</f>
        <v>0</v>
      </c>
      <c r="D68" s="162" t="str">
        <f>前台增值物品出入库录入!D69</f>
        <v>袋</v>
      </c>
      <c r="E68" s="162">
        <f>前台增值物品出入库录入!E69</f>
        <v>0.031</v>
      </c>
      <c r="F68" s="162">
        <f>前台增值物品出入库录入!F69</f>
        <v>350</v>
      </c>
      <c r="G68" s="162">
        <f>前台增值物品出入库录入!G69</f>
        <v>10.85</v>
      </c>
      <c r="H68" s="162">
        <f>前台增值物品出入库录入!H69</f>
        <v>0</v>
      </c>
      <c r="I68" s="162">
        <f>前台增值物品出入库录入!I69</f>
        <v>0</v>
      </c>
      <c r="J68" s="162">
        <f>前台增值物品出入库录入!J69</f>
        <v>350</v>
      </c>
      <c r="K68" s="162">
        <f>前台增值物品出入库录入!K69</f>
        <v>10.85</v>
      </c>
      <c r="L68" s="162">
        <f>前台增值物品出入库录入!L69</f>
        <v>0</v>
      </c>
      <c r="M68" s="162">
        <f>前台增值物品出入库录入!M69</f>
        <v>0</v>
      </c>
      <c r="N68" s="133">
        <f>前台增值物品出入库录入!N69*$E68</f>
        <v>0</v>
      </c>
      <c r="O68" s="133">
        <f>前台增值物品出入库录入!O69*$E68</f>
        <v>0</v>
      </c>
      <c r="P68" s="133">
        <f>前台增值物品出入库录入!P69*$E68</f>
        <v>0</v>
      </c>
      <c r="Q68" s="133">
        <f>前台增值物品出入库录入!Q69*$E68</f>
        <v>0</v>
      </c>
      <c r="R68" s="133">
        <f>前台增值物品出入库录入!R69*$E68</f>
        <v>0</v>
      </c>
      <c r="S68" s="133">
        <f>前台增值物品出入库录入!S69*$E68</f>
        <v>0</v>
      </c>
      <c r="T68" s="133">
        <f>前台增值物品出入库录入!T69*$E68</f>
        <v>0</v>
      </c>
      <c r="U68" s="133">
        <f>前台增值物品出入库录入!U69*$E68</f>
        <v>0</v>
      </c>
      <c r="V68" s="133">
        <f>前台增值物品出入库录入!V69*$E68</f>
        <v>0</v>
      </c>
      <c r="W68" s="133">
        <f>前台增值物品出入库录入!W69*$E68</f>
        <v>0</v>
      </c>
      <c r="X68" s="133">
        <f>前台增值物品出入库录入!X69*$E68</f>
        <v>0</v>
      </c>
      <c r="Y68" s="133">
        <f>前台增值物品出入库录入!Y69*$E68</f>
        <v>0</v>
      </c>
      <c r="Z68" s="133">
        <f>前台增值物品出入库录入!Z69*$E68</f>
        <v>0</v>
      </c>
      <c r="AA68" s="133">
        <f>前台增值物品出入库录入!AA69*$E68</f>
        <v>1.55</v>
      </c>
      <c r="AB68" s="133">
        <f>前台增值物品出入库录入!AB69*$E68</f>
        <v>0</v>
      </c>
      <c r="AC68" s="133">
        <f>前台增值物品出入库录入!AC69*$E68</f>
        <v>0</v>
      </c>
      <c r="AD68" s="133">
        <f>前台增值物品出入库录入!AD69*$E68</f>
        <v>0</v>
      </c>
      <c r="AE68" s="133">
        <f>前台增值物品出入库录入!AE69*$E68</f>
        <v>1.55</v>
      </c>
      <c r="AF68" s="133">
        <f>前台增值物品出入库录入!AF69*$E68</f>
        <v>0</v>
      </c>
      <c r="AG68" s="133">
        <f>前台增值物品出入库录入!AG69*$E68</f>
        <v>0</v>
      </c>
      <c r="AH68" s="133">
        <f>前台增值物品出入库录入!AH69*$E68</f>
        <v>0</v>
      </c>
      <c r="AI68" s="133">
        <f>前台增值物品出入库录入!AI69*$E68</f>
        <v>1.24</v>
      </c>
      <c r="AJ68" s="133">
        <f>前台增值物品出入库录入!AJ69*$E68</f>
        <v>0</v>
      </c>
      <c r="AK68" s="133">
        <f>前台增值物品出入库录入!AK69*$E68</f>
        <v>0</v>
      </c>
      <c r="AL68" s="133">
        <f>前台增值物品出入库录入!AL69*$E68</f>
        <v>0</v>
      </c>
      <c r="AM68" s="133">
        <f>前台增值物品出入库录入!AM69*$E68</f>
        <v>0</v>
      </c>
      <c r="AN68" s="133">
        <f>前台增值物品出入库录入!AN69*$E68</f>
        <v>0</v>
      </c>
      <c r="AO68" s="133">
        <f>前台增值物品出入库录入!AO69*$E68</f>
        <v>0</v>
      </c>
      <c r="AP68" s="133">
        <f>前台增值物品出入库录入!AP69*$E68</f>
        <v>0</v>
      </c>
      <c r="AQ68" s="133">
        <f>前台增值物品出入库录入!AQ69*$E68</f>
        <v>0</v>
      </c>
      <c r="AR68" s="133">
        <f>前台增值物品出入库录入!AR69*$E68</f>
        <v>0</v>
      </c>
      <c r="AS68" s="133">
        <f>前台增值物品出入库录入!AS69*$E68</f>
        <v>0</v>
      </c>
      <c r="AT68" s="133">
        <f>前台增值物品出入库录入!AT69*$E68</f>
        <v>0</v>
      </c>
      <c r="AU68" s="133">
        <f>前台增值物品出入库录入!AU69*$E68</f>
        <v>0.31</v>
      </c>
      <c r="AV68" s="133">
        <f>前台增值物品出入库录入!AV69*$E68</f>
        <v>0</v>
      </c>
      <c r="AW68" s="133">
        <f>前台增值物品出入库录入!AW69*$E68</f>
        <v>0</v>
      </c>
      <c r="AX68" s="133">
        <f>前台增值物品出入库录入!AX69*$E68</f>
        <v>0</v>
      </c>
      <c r="AY68" s="133">
        <f>前台增值物品出入库录入!AY69*$E68</f>
        <v>0</v>
      </c>
      <c r="AZ68" s="133">
        <f>前台增值物品出入库录入!AZ69*$E68</f>
        <v>0</v>
      </c>
      <c r="BA68" s="133">
        <f>前台增值物品出入库录入!BA69*$E68</f>
        <v>3.1</v>
      </c>
      <c r="BB68" s="133">
        <f>前台增值物品出入库录入!BB69*$E68</f>
        <v>0</v>
      </c>
      <c r="BC68" s="133">
        <f>前台增值物品出入库录入!BC69*$E68</f>
        <v>0</v>
      </c>
      <c r="BD68" s="133">
        <f>前台增值物品出入库录入!BD69*$E68</f>
        <v>0</v>
      </c>
      <c r="BE68" s="133">
        <f>前台增值物品出入库录入!BE69*$E68</f>
        <v>0</v>
      </c>
      <c r="BF68" s="133">
        <f>前台增值物品出入库录入!BF69*$E68</f>
        <v>0</v>
      </c>
      <c r="BG68" s="133">
        <f>前台增值物品出入库录入!BG69*$E68</f>
        <v>3.1</v>
      </c>
      <c r="BH68" s="133">
        <f>前台增值物品出入库录入!BH69*$E68</f>
        <v>0</v>
      </c>
      <c r="BI68" s="133">
        <f>前台增值物品出入库录入!BI69*$E68</f>
        <v>0</v>
      </c>
      <c r="BJ68" s="133">
        <f>前台增值物品出入库录入!BJ69*$E68</f>
        <v>0</v>
      </c>
      <c r="BK68" s="133">
        <f>前台增值物品出入库录入!BK69*$E68</f>
        <v>0</v>
      </c>
      <c r="BL68" s="133">
        <f>前台增值物品出入库录入!BL69*$E68</f>
        <v>0</v>
      </c>
      <c r="BM68" s="133">
        <f>前台增值物品出入库录入!BM69*$E68</f>
        <v>0</v>
      </c>
      <c r="BN68" s="133">
        <f>前台增值物品出入库录入!BN69*$E68</f>
        <v>0</v>
      </c>
      <c r="BO68" s="133">
        <f>前台增值物品出入库录入!BO69*$E68</f>
        <v>0</v>
      </c>
      <c r="BP68" s="133">
        <f>前台增值物品出入库录入!BP69*$E68</f>
        <v>0</v>
      </c>
      <c r="BQ68" s="133">
        <f>前台增值物品出入库录入!BQ69*$E68</f>
        <v>0</v>
      </c>
      <c r="BR68" s="133">
        <f>前台增值物品出入库录入!BR69*$E68</f>
        <v>0</v>
      </c>
      <c r="BS68" s="133">
        <f>前台增值物品出入库录入!BS69*$E68</f>
        <v>0</v>
      </c>
      <c r="BT68" s="133">
        <f>前台增值物品出入库录入!BT69*$E68</f>
        <v>0</v>
      </c>
      <c r="BU68" s="133">
        <f>前台增值物品出入库录入!BU69*$E68</f>
        <v>0</v>
      </c>
      <c r="BV68" s="133">
        <f>前台增值物品出入库录入!BV69*$E68</f>
        <v>0</v>
      </c>
      <c r="BW68" s="133">
        <f>前台增值物品出入库录入!BW69*$E68</f>
        <v>0</v>
      </c>
    </row>
    <row r="69" s="178" customFormat="1" customHeight="1" spans="1:75">
      <c r="A69" s="161">
        <v>73</v>
      </c>
      <c r="B69" s="162" t="str">
        <f>前台增值物品出入库录入!B70</f>
        <v>果汁硬糖</v>
      </c>
      <c r="C69" s="162">
        <f>前台增值物品出入库录入!C70</f>
        <v>0</v>
      </c>
      <c r="D69" s="162" t="str">
        <f>前台增值物品出入库录入!D70</f>
        <v>个</v>
      </c>
      <c r="E69" s="162">
        <f>前台增值物品出入库录入!E70</f>
        <v>0.0992</v>
      </c>
      <c r="F69" s="162">
        <f>前台增值物品出入库录入!F70</f>
        <v>0</v>
      </c>
      <c r="G69" s="162">
        <f>前台增值物品出入库录入!G70</f>
        <v>0</v>
      </c>
      <c r="H69" s="162">
        <f>前台增值物品出入库录入!H70</f>
        <v>500</v>
      </c>
      <c r="I69" s="162">
        <f>前台增值物品出入库录入!I70</f>
        <v>49.6</v>
      </c>
      <c r="J69" s="162">
        <f>前台增值物品出入库录入!J70</f>
        <v>300</v>
      </c>
      <c r="K69" s="162">
        <f>前台增值物品出入库录入!K70</f>
        <v>29.76</v>
      </c>
      <c r="L69" s="162">
        <f>前台增值物品出入库录入!L70</f>
        <v>200</v>
      </c>
      <c r="M69" s="162">
        <f>前台增值物品出入库录入!M70</f>
        <v>19.84</v>
      </c>
      <c r="N69" s="133">
        <f>前台增值物品出入库录入!N70*$E69</f>
        <v>0</v>
      </c>
      <c r="O69" s="133">
        <f>前台增值物品出入库录入!O70*$E69</f>
        <v>0</v>
      </c>
      <c r="P69" s="133">
        <f>前台增值物品出入库录入!P70*$E69</f>
        <v>0</v>
      </c>
      <c r="Q69" s="133">
        <f>前台增值物品出入库录入!Q70*$E69</f>
        <v>0</v>
      </c>
      <c r="R69" s="133">
        <f>前台增值物品出入库录入!R70*$E69</f>
        <v>0</v>
      </c>
      <c r="S69" s="133">
        <f>前台增值物品出入库录入!S70*$E69</f>
        <v>0</v>
      </c>
      <c r="T69" s="133">
        <f>前台增值物品出入库录入!T70*$E69</f>
        <v>0</v>
      </c>
      <c r="U69" s="133">
        <f>前台增值物品出入库录入!U70*$E69</f>
        <v>0</v>
      </c>
      <c r="V69" s="133">
        <f>前台增值物品出入库录入!V70*$E69</f>
        <v>0</v>
      </c>
      <c r="W69" s="133">
        <f>前台增值物品出入库录入!W70*$E69</f>
        <v>0</v>
      </c>
      <c r="X69" s="133">
        <f>前台增值物品出入库录入!X70*$E69</f>
        <v>0</v>
      </c>
      <c r="Y69" s="133">
        <f>前台增值物品出入库录入!Y70*$E69</f>
        <v>0</v>
      </c>
      <c r="Z69" s="133">
        <f>前台增值物品出入库录入!Z70*$E69</f>
        <v>49.6</v>
      </c>
      <c r="AA69" s="133">
        <f>前台增值物品出入库录入!AA70*$E69</f>
        <v>0</v>
      </c>
      <c r="AB69" s="133">
        <f>前台增值物品出入库录入!AB70*$E69</f>
        <v>0</v>
      </c>
      <c r="AC69" s="133">
        <f>前台增值物品出入库录入!AC70*$E69</f>
        <v>0</v>
      </c>
      <c r="AD69" s="133">
        <f>前台增值物品出入库录入!AD70*$E69</f>
        <v>0</v>
      </c>
      <c r="AE69" s="133">
        <f>前台增值物品出入库录入!AE70*$E69</f>
        <v>0</v>
      </c>
      <c r="AF69" s="133">
        <f>前台增值物品出入库录入!AF70*$E69</f>
        <v>0</v>
      </c>
      <c r="AG69" s="133">
        <f>前台增值物品出入库录入!AG70*$E69</f>
        <v>0</v>
      </c>
      <c r="AH69" s="133">
        <f>前台增值物品出入库录入!AH70*$E69</f>
        <v>0</v>
      </c>
      <c r="AI69" s="133">
        <f>前台增值物品出入库录入!AI70*$E69</f>
        <v>0</v>
      </c>
      <c r="AJ69" s="133">
        <f>前台增值物品出入库录入!AJ70*$E69</f>
        <v>0</v>
      </c>
      <c r="AK69" s="133">
        <f>前台增值物品出入库录入!AK70*$E69</f>
        <v>0</v>
      </c>
      <c r="AL69" s="133">
        <f>前台增值物品出入库录入!AL70*$E69</f>
        <v>0</v>
      </c>
      <c r="AM69" s="133">
        <f>前台增值物品出入库录入!AM70*$E69</f>
        <v>0</v>
      </c>
      <c r="AN69" s="133">
        <f>前台增值物品出入库录入!AN70*$E69</f>
        <v>0</v>
      </c>
      <c r="AO69" s="133">
        <f>前台增值物品出入库录入!AO70*$E69</f>
        <v>0</v>
      </c>
      <c r="AP69" s="133">
        <f>前台增值物品出入库录入!AP70*$E69</f>
        <v>0</v>
      </c>
      <c r="AQ69" s="133">
        <f>前台增值物品出入库录入!AQ70*$E69</f>
        <v>0</v>
      </c>
      <c r="AR69" s="133">
        <f>前台增值物品出入库录入!AR70*$E69</f>
        <v>0</v>
      </c>
      <c r="AS69" s="133">
        <f>前台增值物品出入库录入!AS70*$E69</f>
        <v>0</v>
      </c>
      <c r="AT69" s="133">
        <f>前台增值物品出入库录入!AT70*$E69</f>
        <v>0</v>
      </c>
      <c r="AU69" s="133">
        <f>前台增值物品出入库录入!AU70*$E69</f>
        <v>0</v>
      </c>
      <c r="AV69" s="133">
        <f>前台增值物品出入库录入!AV70*$E69</f>
        <v>0</v>
      </c>
      <c r="AW69" s="133">
        <f>前台增值物品出入库录入!AW70*$E69</f>
        <v>0</v>
      </c>
      <c r="AX69" s="133">
        <f>前台增值物品出入库录入!AX70*$E69</f>
        <v>0</v>
      </c>
      <c r="AY69" s="133">
        <f>前台增值物品出入库录入!AY70*$E69</f>
        <v>0</v>
      </c>
      <c r="AZ69" s="133">
        <f>前台增值物品出入库录入!AZ70*$E69</f>
        <v>0</v>
      </c>
      <c r="BA69" s="133">
        <f>前台增值物品出入库录入!BA70*$E69</f>
        <v>0</v>
      </c>
      <c r="BB69" s="133">
        <f>前台增值物品出入库录入!BB70*$E69</f>
        <v>0</v>
      </c>
      <c r="BC69" s="133">
        <f>前台增值物品出入库录入!BC70*$E69</f>
        <v>0</v>
      </c>
      <c r="BD69" s="133">
        <f>前台增值物品出入库录入!BD70*$E69</f>
        <v>0</v>
      </c>
      <c r="BE69" s="133">
        <f>前台增值物品出入库录入!BE70*$E69</f>
        <v>0</v>
      </c>
      <c r="BF69" s="133">
        <f>前台增值物品出入库录入!BF70*$E69</f>
        <v>0</v>
      </c>
      <c r="BG69" s="133">
        <f>前台增值物品出入库录入!BG70*$E69</f>
        <v>0</v>
      </c>
      <c r="BH69" s="133">
        <f>前台增值物品出入库录入!BH70*$E69</f>
        <v>0</v>
      </c>
      <c r="BI69" s="133">
        <f>前台增值物品出入库录入!BI70*$E69</f>
        <v>0</v>
      </c>
      <c r="BJ69" s="133">
        <f>前台增值物品出入库录入!BJ70*$E69</f>
        <v>0</v>
      </c>
      <c r="BK69" s="133">
        <f>前台增值物品出入库录入!BK70*$E69</f>
        <v>29.76</v>
      </c>
      <c r="BL69" s="133">
        <f>前台增值物品出入库录入!BL70*$E69</f>
        <v>0</v>
      </c>
      <c r="BM69" s="133">
        <f>前台增值物品出入库录入!BM70*$E69</f>
        <v>0</v>
      </c>
      <c r="BN69" s="133">
        <f>前台增值物品出入库录入!BN70*$E69</f>
        <v>0</v>
      </c>
      <c r="BO69" s="133">
        <f>前台增值物品出入库录入!BO70*$E69</f>
        <v>0</v>
      </c>
      <c r="BP69" s="133">
        <f>前台增值物品出入库录入!BP70*$E69</f>
        <v>0</v>
      </c>
      <c r="BQ69" s="133">
        <f>前台增值物品出入库录入!BQ70*$E69</f>
        <v>0</v>
      </c>
      <c r="BR69" s="133">
        <f>前台增值物品出入库录入!BR70*$E69</f>
        <v>0</v>
      </c>
      <c r="BS69" s="133">
        <f>前台增值物品出入库录入!BS70*$E69</f>
        <v>0</v>
      </c>
      <c r="BT69" s="133">
        <f>前台增值物品出入库录入!BT70*$E69</f>
        <v>0</v>
      </c>
      <c r="BU69" s="133">
        <f>前台增值物品出入库录入!BU70*$E69</f>
        <v>0</v>
      </c>
      <c r="BV69" s="133">
        <f>前台增值物品出入库录入!BV70*$E69</f>
        <v>0</v>
      </c>
      <c r="BW69" s="133">
        <f>前台增值物品出入库录入!BW70*$E69</f>
        <v>0</v>
      </c>
    </row>
    <row r="70" s="178" customFormat="1" customHeight="1" spans="1:75">
      <c r="A70" s="161">
        <v>74</v>
      </c>
      <c r="B70" s="162" t="str">
        <f>前台增值物品出入库录入!B71</f>
        <v>洗衣牌</v>
      </c>
      <c r="C70" s="162">
        <f>前台增值物品出入库录入!C71</f>
        <v>0</v>
      </c>
      <c r="D70" s="162" t="str">
        <f>前台增值物品出入库录入!D71</f>
        <v>个</v>
      </c>
      <c r="E70" s="162">
        <f>前台增值物品出入库录入!E71</f>
        <v>0.12</v>
      </c>
      <c r="F70" s="162">
        <f>前台增值物品出入库录入!F71</f>
        <v>3870</v>
      </c>
      <c r="G70" s="162">
        <f>前台增值物品出入库录入!G71</f>
        <v>464.4</v>
      </c>
      <c r="H70" s="162">
        <f>前台增值物品出入库录入!H71</f>
        <v>0</v>
      </c>
      <c r="I70" s="162">
        <f>前台增值物品出入库录入!I71</f>
        <v>0</v>
      </c>
      <c r="J70" s="162">
        <f>前台增值物品出入库录入!J71</f>
        <v>350</v>
      </c>
      <c r="K70" s="162">
        <f>前台增值物品出入库录入!K71</f>
        <v>42</v>
      </c>
      <c r="L70" s="162">
        <f>前台增值物品出入库录入!L71</f>
        <v>3520</v>
      </c>
      <c r="M70" s="162">
        <f>前台增值物品出入库录入!M71</f>
        <v>422.4</v>
      </c>
      <c r="N70" s="133">
        <f>前台增值物品出入库录入!N71*$E70</f>
        <v>0</v>
      </c>
      <c r="O70" s="133">
        <f>前台增值物品出入库录入!O71*$E70</f>
        <v>0</v>
      </c>
      <c r="P70" s="133">
        <f>前台增值物品出入库录入!P71*$E70</f>
        <v>0</v>
      </c>
      <c r="Q70" s="133">
        <f>前台增值物品出入库录入!Q71*$E70</f>
        <v>12</v>
      </c>
      <c r="R70" s="133">
        <f>前台增值物品出入库录入!R71*$E70</f>
        <v>0</v>
      </c>
      <c r="S70" s="133">
        <f>前台增值物品出入库录入!S71*$E70</f>
        <v>0</v>
      </c>
      <c r="T70" s="133">
        <f>前台增值物品出入库录入!T71*$E70</f>
        <v>0</v>
      </c>
      <c r="U70" s="133">
        <f>前台增值物品出入库录入!U71*$E70</f>
        <v>0</v>
      </c>
      <c r="V70" s="133">
        <f>前台增值物品出入库录入!V71*$E70</f>
        <v>0</v>
      </c>
      <c r="W70" s="133">
        <f>前台增值物品出入库录入!W71*$E70</f>
        <v>12</v>
      </c>
      <c r="X70" s="133">
        <f>前台增值物品出入库录入!X71*$E70</f>
        <v>0</v>
      </c>
      <c r="Y70" s="133">
        <f>前台增值物品出入库录入!Y71*$E70</f>
        <v>0</v>
      </c>
      <c r="Z70" s="133">
        <f>前台增值物品出入库录入!Z71*$E70</f>
        <v>0</v>
      </c>
      <c r="AA70" s="133">
        <f>前台增值物品出入库录入!AA71*$E70</f>
        <v>0</v>
      </c>
      <c r="AB70" s="133">
        <f>前台增值物品出入库录入!AB71*$E70</f>
        <v>0</v>
      </c>
      <c r="AC70" s="133">
        <f>前台增值物品出入库录入!AC71*$E70</f>
        <v>0</v>
      </c>
      <c r="AD70" s="133">
        <f>前台增值物品出入库录入!AD71*$E70</f>
        <v>0</v>
      </c>
      <c r="AE70" s="133">
        <f>前台增值物品出入库录入!AE71*$E70</f>
        <v>12</v>
      </c>
      <c r="AF70" s="133">
        <f>前台增值物品出入库录入!AF71*$E70</f>
        <v>0</v>
      </c>
      <c r="AG70" s="133">
        <f>前台增值物品出入库录入!AG71*$E70</f>
        <v>0</v>
      </c>
      <c r="AH70" s="133">
        <f>前台增值物品出入库录入!AH71*$E70</f>
        <v>0</v>
      </c>
      <c r="AI70" s="133">
        <f>前台增值物品出入库录入!AI71*$E70</f>
        <v>0</v>
      </c>
      <c r="AJ70" s="133">
        <f>前台增值物品出入库录入!AJ71*$E70</f>
        <v>0</v>
      </c>
      <c r="AK70" s="133">
        <f>前台增值物品出入库录入!AK71*$E70</f>
        <v>0</v>
      </c>
      <c r="AL70" s="133">
        <f>前台增值物品出入库录入!AL71*$E70</f>
        <v>0</v>
      </c>
      <c r="AM70" s="133">
        <f>前台增值物品出入库录入!AM71*$E70</f>
        <v>0</v>
      </c>
      <c r="AN70" s="133">
        <f>前台增值物品出入库录入!AN71*$E70</f>
        <v>0</v>
      </c>
      <c r="AO70" s="133">
        <f>前台增值物品出入库录入!AO71*$E70</f>
        <v>0</v>
      </c>
      <c r="AP70" s="133">
        <f>前台增值物品出入库录入!AP71*$E70</f>
        <v>0</v>
      </c>
      <c r="AQ70" s="133">
        <f>前台增值物品出入库录入!AQ71*$E70</f>
        <v>0</v>
      </c>
      <c r="AR70" s="133">
        <f>前台增值物品出入库录入!AR71*$E70</f>
        <v>0</v>
      </c>
      <c r="AS70" s="133">
        <f>前台增值物品出入库录入!AS71*$E70</f>
        <v>0</v>
      </c>
      <c r="AT70" s="133">
        <f>前台增值物品出入库录入!AT71*$E70</f>
        <v>0</v>
      </c>
      <c r="AU70" s="133">
        <f>前台增值物品出入库录入!AU71*$E70</f>
        <v>0</v>
      </c>
      <c r="AV70" s="133">
        <f>前台增值物品出入库录入!AV71*$E70</f>
        <v>0</v>
      </c>
      <c r="AW70" s="133">
        <f>前台增值物品出入库录入!AW71*$E70</f>
        <v>0</v>
      </c>
      <c r="AX70" s="133">
        <f>前台增值物品出入库录入!AX71*$E70</f>
        <v>0</v>
      </c>
      <c r="AY70" s="133">
        <f>前台增值物品出入库录入!AY71*$E70</f>
        <v>0</v>
      </c>
      <c r="AZ70" s="133">
        <f>前台增值物品出入库录入!AZ71*$E70</f>
        <v>0</v>
      </c>
      <c r="BA70" s="133">
        <f>前台增值物品出入库录入!BA71*$E70</f>
        <v>0</v>
      </c>
      <c r="BB70" s="133">
        <f>前台增值物品出入库录入!BB71*$E70</f>
        <v>0</v>
      </c>
      <c r="BC70" s="133">
        <f>前台增值物品出入库录入!BC71*$E70</f>
        <v>0</v>
      </c>
      <c r="BD70" s="133">
        <f>前台增值物品出入库录入!BD71*$E70</f>
        <v>0</v>
      </c>
      <c r="BE70" s="133">
        <f>前台增值物品出入库录入!BE71*$E70</f>
        <v>0</v>
      </c>
      <c r="BF70" s="133">
        <f>前台增值物品出入库录入!BF71*$E70</f>
        <v>0</v>
      </c>
      <c r="BG70" s="133">
        <f>前台增值物品出入库录入!BG71*$E70</f>
        <v>0</v>
      </c>
      <c r="BH70" s="133">
        <f>前台增值物品出入库录入!BH71*$E70</f>
        <v>0</v>
      </c>
      <c r="BI70" s="133">
        <f>前台增值物品出入库录入!BI71*$E70</f>
        <v>0</v>
      </c>
      <c r="BJ70" s="133">
        <f>前台增值物品出入库录入!BJ71*$E70</f>
        <v>0</v>
      </c>
      <c r="BK70" s="133">
        <f>前台增值物品出入库录入!BK71*$E70</f>
        <v>6</v>
      </c>
      <c r="BL70" s="133">
        <f>前台增值物品出入库录入!BL71*$E70</f>
        <v>0</v>
      </c>
      <c r="BM70" s="133">
        <f>前台增值物品出入库录入!BM71*$E70</f>
        <v>0</v>
      </c>
      <c r="BN70" s="133">
        <f>前台增值物品出入库录入!BN71*$E70</f>
        <v>0</v>
      </c>
      <c r="BO70" s="133">
        <f>前台增值物品出入库录入!BO71*$E70</f>
        <v>0</v>
      </c>
      <c r="BP70" s="133">
        <f>前台增值物品出入库录入!BP71*$E70</f>
        <v>0</v>
      </c>
      <c r="BQ70" s="133">
        <f>前台增值物品出入库录入!BQ71*$E70</f>
        <v>0</v>
      </c>
      <c r="BR70" s="133">
        <f>前台增值物品出入库录入!BR71*$E70</f>
        <v>0</v>
      </c>
      <c r="BS70" s="133">
        <f>前台增值物品出入库录入!BS71*$E70</f>
        <v>0</v>
      </c>
      <c r="BT70" s="133">
        <f>前台增值物品出入库录入!BT71*$E70</f>
        <v>0</v>
      </c>
      <c r="BU70" s="133">
        <f>前台增值物品出入库录入!BU71*$E70</f>
        <v>0</v>
      </c>
      <c r="BV70" s="133">
        <f>前台增值物品出入库录入!BV71*$E70</f>
        <v>0</v>
      </c>
      <c r="BW70" s="133">
        <f>前台增值物品出入库录入!BW71*$E70</f>
        <v>0</v>
      </c>
    </row>
    <row r="71" s="178" customFormat="1" customHeight="1" spans="1:75">
      <c r="A71" s="161">
        <v>75</v>
      </c>
      <c r="B71" s="162" t="str">
        <f>前台增值物品出入库录入!B72</f>
        <v>卸妆湿巾</v>
      </c>
      <c r="C71" s="162">
        <f>前台增值物品出入库录入!C72</f>
        <v>0</v>
      </c>
      <c r="D71" s="162" t="str">
        <f>前台增值物品出入库录入!D72</f>
        <v>个</v>
      </c>
      <c r="E71" s="162">
        <f>前台增值物品出入库录入!E72</f>
        <v>0.693</v>
      </c>
      <c r="F71" s="162">
        <f>前台增值物品出入库录入!F72</f>
        <v>0</v>
      </c>
      <c r="G71" s="162">
        <f>前台增值物品出入库录入!G72</f>
        <v>0</v>
      </c>
      <c r="H71" s="162">
        <f>前台增值物品出入库录入!H72</f>
        <v>0</v>
      </c>
      <c r="I71" s="162">
        <f>前台增值物品出入库录入!I72</f>
        <v>0</v>
      </c>
      <c r="J71" s="162">
        <f>前台增值物品出入库录入!J72</f>
        <v>0</v>
      </c>
      <c r="K71" s="162">
        <f>前台增值物品出入库录入!K72</f>
        <v>0</v>
      </c>
      <c r="L71" s="162">
        <f>前台增值物品出入库录入!L72</f>
        <v>0</v>
      </c>
      <c r="M71" s="162">
        <f>前台增值物品出入库录入!M72</f>
        <v>0</v>
      </c>
      <c r="N71" s="133">
        <f>前台增值物品出入库录入!N72*$E71</f>
        <v>0</v>
      </c>
      <c r="O71" s="133">
        <f>前台增值物品出入库录入!O72*$E71</f>
        <v>0</v>
      </c>
      <c r="P71" s="133">
        <f>前台增值物品出入库录入!P72*$E71</f>
        <v>0</v>
      </c>
      <c r="Q71" s="133">
        <f>前台增值物品出入库录入!Q72*$E71</f>
        <v>0</v>
      </c>
      <c r="R71" s="133">
        <f>前台增值物品出入库录入!R72*$E71</f>
        <v>0</v>
      </c>
      <c r="S71" s="133">
        <f>前台增值物品出入库录入!S72*$E71</f>
        <v>0</v>
      </c>
      <c r="T71" s="133">
        <f>前台增值物品出入库录入!T72*$E71</f>
        <v>0</v>
      </c>
      <c r="U71" s="133">
        <f>前台增值物品出入库录入!U72*$E71</f>
        <v>0</v>
      </c>
      <c r="V71" s="133">
        <f>前台增值物品出入库录入!V72*$E71</f>
        <v>0</v>
      </c>
      <c r="W71" s="133">
        <f>前台增值物品出入库录入!W72*$E71</f>
        <v>0</v>
      </c>
      <c r="X71" s="133">
        <f>前台增值物品出入库录入!X72*$E71</f>
        <v>0</v>
      </c>
      <c r="Y71" s="133">
        <f>前台增值物品出入库录入!Y72*$E71</f>
        <v>0</v>
      </c>
      <c r="Z71" s="133">
        <f>前台增值物品出入库录入!Z72*$E71</f>
        <v>0</v>
      </c>
      <c r="AA71" s="133">
        <f>前台增值物品出入库录入!AA72*$E71</f>
        <v>0</v>
      </c>
      <c r="AB71" s="133">
        <f>前台增值物品出入库录入!AB72*$E71</f>
        <v>0</v>
      </c>
      <c r="AC71" s="133">
        <f>前台增值物品出入库录入!AC72*$E71</f>
        <v>0</v>
      </c>
      <c r="AD71" s="133">
        <f>前台增值物品出入库录入!AD72*$E71</f>
        <v>0</v>
      </c>
      <c r="AE71" s="133">
        <f>前台增值物品出入库录入!AE72*$E71</f>
        <v>0</v>
      </c>
      <c r="AF71" s="133">
        <f>前台增值物品出入库录入!AF72*$E71</f>
        <v>0</v>
      </c>
      <c r="AG71" s="133">
        <f>前台增值物品出入库录入!AG72*$E71</f>
        <v>0</v>
      </c>
      <c r="AH71" s="133">
        <f>前台增值物品出入库录入!AH72*$E71</f>
        <v>0</v>
      </c>
      <c r="AI71" s="133">
        <f>前台增值物品出入库录入!AI72*$E71</f>
        <v>0</v>
      </c>
      <c r="AJ71" s="133">
        <f>前台增值物品出入库录入!AJ72*$E71</f>
        <v>0</v>
      </c>
      <c r="AK71" s="133">
        <f>前台增值物品出入库录入!AK72*$E71</f>
        <v>0</v>
      </c>
      <c r="AL71" s="133">
        <f>前台增值物品出入库录入!AL72*$E71</f>
        <v>0</v>
      </c>
      <c r="AM71" s="133">
        <f>前台增值物品出入库录入!AM72*$E71</f>
        <v>0</v>
      </c>
      <c r="AN71" s="133">
        <f>前台增值物品出入库录入!AN72*$E71</f>
        <v>0</v>
      </c>
      <c r="AO71" s="133">
        <f>前台增值物品出入库录入!AO72*$E71</f>
        <v>0</v>
      </c>
      <c r="AP71" s="133">
        <f>前台增值物品出入库录入!AP72*$E71</f>
        <v>0</v>
      </c>
      <c r="AQ71" s="133">
        <f>前台增值物品出入库录入!AQ72*$E71</f>
        <v>0</v>
      </c>
      <c r="AR71" s="133">
        <f>前台增值物品出入库录入!AR72*$E71</f>
        <v>0</v>
      </c>
      <c r="AS71" s="133">
        <f>前台增值物品出入库录入!AS72*$E71</f>
        <v>0</v>
      </c>
      <c r="AT71" s="133">
        <f>前台增值物品出入库录入!AT72*$E71</f>
        <v>0</v>
      </c>
      <c r="AU71" s="133">
        <f>前台增值物品出入库录入!AU72*$E71</f>
        <v>0</v>
      </c>
      <c r="AV71" s="133">
        <f>前台增值物品出入库录入!AV72*$E71</f>
        <v>0</v>
      </c>
      <c r="AW71" s="133">
        <f>前台增值物品出入库录入!AW72*$E71</f>
        <v>0</v>
      </c>
      <c r="AX71" s="133">
        <f>前台增值物品出入库录入!AX72*$E71</f>
        <v>0</v>
      </c>
      <c r="AY71" s="133">
        <f>前台增值物品出入库录入!AY72*$E71</f>
        <v>0</v>
      </c>
      <c r="AZ71" s="133">
        <f>前台增值物品出入库录入!AZ72*$E71</f>
        <v>0</v>
      </c>
      <c r="BA71" s="133">
        <f>前台增值物品出入库录入!BA72*$E71</f>
        <v>0</v>
      </c>
      <c r="BB71" s="133">
        <f>前台增值物品出入库录入!BB72*$E71</f>
        <v>0</v>
      </c>
      <c r="BC71" s="133">
        <f>前台增值物品出入库录入!BC72*$E71</f>
        <v>0</v>
      </c>
      <c r="BD71" s="133">
        <f>前台增值物品出入库录入!BD72*$E71</f>
        <v>0</v>
      </c>
      <c r="BE71" s="133">
        <f>前台增值物品出入库录入!BE72*$E71</f>
        <v>0</v>
      </c>
      <c r="BF71" s="133">
        <f>前台增值物品出入库录入!BF72*$E71</f>
        <v>0</v>
      </c>
      <c r="BG71" s="133">
        <f>前台增值物品出入库录入!BG72*$E71</f>
        <v>0</v>
      </c>
      <c r="BH71" s="133">
        <f>前台增值物品出入库录入!BH72*$E71</f>
        <v>0</v>
      </c>
      <c r="BI71" s="133">
        <f>前台增值物品出入库录入!BI72*$E71</f>
        <v>0</v>
      </c>
      <c r="BJ71" s="133">
        <f>前台增值物品出入库录入!BJ72*$E71</f>
        <v>0</v>
      </c>
      <c r="BK71" s="133">
        <f>前台增值物品出入库录入!BK72*$E71</f>
        <v>0</v>
      </c>
      <c r="BL71" s="133">
        <f>前台增值物品出入库录入!BL72*$E71</f>
        <v>0</v>
      </c>
      <c r="BM71" s="133">
        <f>前台增值物品出入库录入!BM72*$E71</f>
        <v>0</v>
      </c>
      <c r="BN71" s="133">
        <f>前台增值物品出入库录入!BN72*$E71</f>
        <v>0</v>
      </c>
      <c r="BO71" s="133">
        <f>前台增值物品出入库录入!BO72*$E71</f>
        <v>0</v>
      </c>
      <c r="BP71" s="133">
        <f>前台增值物品出入库录入!BP72*$E71</f>
        <v>0</v>
      </c>
      <c r="BQ71" s="133">
        <f>前台增值物品出入库录入!BQ72*$E71</f>
        <v>0</v>
      </c>
      <c r="BR71" s="133">
        <f>前台增值物品出入库录入!BR72*$E71</f>
        <v>0</v>
      </c>
      <c r="BS71" s="133">
        <f>前台增值物品出入库录入!BS72*$E71</f>
        <v>0</v>
      </c>
      <c r="BT71" s="133">
        <f>前台增值物品出入库录入!BT72*$E71</f>
        <v>0</v>
      </c>
      <c r="BU71" s="133">
        <f>前台增值物品出入库录入!BU72*$E71</f>
        <v>0</v>
      </c>
      <c r="BV71" s="133">
        <f>前台增值物品出入库录入!BV72*$E71</f>
        <v>0</v>
      </c>
      <c r="BW71" s="133">
        <f>前台增值物品出入库录入!BW72*$E71</f>
        <v>0</v>
      </c>
    </row>
    <row r="72" s="178" customFormat="1" customHeight="1" spans="1:75">
      <c r="A72" s="161">
        <v>76</v>
      </c>
      <c r="B72" s="162" t="str">
        <f>前台增值物品出入库录入!B73</f>
        <v>茶包全季小种红</v>
      </c>
      <c r="C72" s="162">
        <f>前台增值物品出入库录入!C73</f>
        <v>0</v>
      </c>
      <c r="D72" s="162" t="str">
        <f>前台增值物品出入库录入!D73</f>
        <v>包</v>
      </c>
      <c r="E72" s="162">
        <f>前台增值物品出入库录入!E73</f>
        <v>0.65</v>
      </c>
      <c r="F72" s="162">
        <f>前台增值物品出入库录入!F73</f>
        <v>49</v>
      </c>
      <c r="G72" s="162">
        <f>前台增值物品出入库录入!G73</f>
        <v>31.85</v>
      </c>
      <c r="H72" s="162">
        <f>前台增值物品出入库录入!H73</f>
        <v>15</v>
      </c>
      <c r="I72" s="162">
        <f>前台增值物品出入库录入!I73</f>
        <v>9.75</v>
      </c>
      <c r="J72" s="162">
        <f>前台增值物品出入库录入!J73</f>
        <v>40</v>
      </c>
      <c r="K72" s="162">
        <f>前台增值物品出入库录入!K73</f>
        <v>26</v>
      </c>
      <c r="L72" s="162">
        <f>前台增值物品出入库录入!L73</f>
        <v>24</v>
      </c>
      <c r="M72" s="162">
        <f>前台增值物品出入库录入!M73</f>
        <v>15.6</v>
      </c>
      <c r="N72" s="133">
        <f>前台增值物品出入库录入!N73*$E72</f>
        <v>0</v>
      </c>
      <c r="O72" s="133">
        <f>前台增值物品出入库录入!O73*$E72</f>
        <v>0</v>
      </c>
      <c r="P72" s="133">
        <f>前台增值物品出入库录入!P73*$E72</f>
        <v>0</v>
      </c>
      <c r="Q72" s="133">
        <f>前台增值物品出入库录入!Q73*$E72</f>
        <v>0</v>
      </c>
      <c r="R72" s="133">
        <f>前台增值物品出入库录入!R73*$E72</f>
        <v>0</v>
      </c>
      <c r="S72" s="133">
        <f>前台增值物品出入库录入!S73*$E72</f>
        <v>0</v>
      </c>
      <c r="T72" s="133">
        <f>前台增值物品出入库录入!T73*$E72</f>
        <v>0</v>
      </c>
      <c r="U72" s="133">
        <f>前台增值物品出入库录入!U73*$E72</f>
        <v>0</v>
      </c>
      <c r="V72" s="133">
        <f>前台增值物品出入库录入!V73*$E72</f>
        <v>0</v>
      </c>
      <c r="W72" s="133">
        <f>前台增值物品出入库录入!W73*$E72</f>
        <v>0</v>
      </c>
      <c r="X72" s="133">
        <f>前台增值物品出入库录入!X73*$E72</f>
        <v>9.75</v>
      </c>
      <c r="Y72" s="133">
        <f>前台增值物品出入库录入!Y73*$E72</f>
        <v>0</v>
      </c>
      <c r="Z72" s="133">
        <f>前台增值物品出入库录入!Z73*$E72</f>
        <v>0</v>
      </c>
      <c r="AA72" s="133">
        <f>前台增值物品出入库录入!AA73*$E72</f>
        <v>9.75</v>
      </c>
      <c r="AB72" s="133">
        <f>前台增值物品出入库录入!AB73*$E72</f>
        <v>0</v>
      </c>
      <c r="AC72" s="133">
        <f>前台增值物品出入库录入!AC73*$E72</f>
        <v>0</v>
      </c>
      <c r="AD72" s="133">
        <f>前台增值物品出入库录入!AD73*$E72</f>
        <v>0</v>
      </c>
      <c r="AE72" s="133">
        <f>前台增值物品出入库录入!AE73*$E72</f>
        <v>9.75</v>
      </c>
      <c r="AF72" s="133">
        <f>前台增值物品出入库录入!AF73*$E72</f>
        <v>0</v>
      </c>
      <c r="AG72" s="133">
        <f>前台增值物品出入库录入!AG73*$E72</f>
        <v>0</v>
      </c>
      <c r="AH72" s="133">
        <f>前台增值物品出入库录入!AH73*$E72</f>
        <v>0</v>
      </c>
      <c r="AI72" s="133">
        <f>前台增值物品出入库录入!AI73*$E72</f>
        <v>0</v>
      </c>
      <c r="AJ72" s="133">
        <f>前台增值物品出入库录入!AJ73*$E72</f>
        <v>0</v>
      </c>
      <c r="AK72" s="133">
        <f>前台增值物品出入库录入!AK73*$E72</f>
        <v>0</v>
      </c>
      <c r="AL72" s="133">
        <f>前台增值物品出入库录入!AL73*$E72</f>
        <v>0</v>
      </c>
      <c r="AM72" s="133">
        <f>前台增值物品出入库录入!AM73*$E72</f>
        <v>0</v>
      </c>
      <c r="AN72" s="133">
        <f>前台增值物品出入库录入!AN73*$E72</f>
        <v>0</v>
      </c>
      <c r="AO72" s="133">
        <f>前台增值物品出入库录入!AO73*$E72</f>
        <v>0</v>
      </c>
      <c r="AP72" s="133">
        <f>前台增值物品出入库录入!AP73*$E72</f>
        <v>0</v>
      </c>
      <c r="AQ72" s="133">
        <f>前台增值物品出入库录入!AQ73*$E72</f>
        <v>0</v>
      </c>
      <c r="AR72" s="133">
        <f>前台增值物品出入库录入!AR73*$E72</f>
        <v>0</v>
      </c>
      <c r="AS72" s="133">
        <f>前台增值物品出入库录入!AS73*$E72</f>
        <v>0</v>
      </c>
      <c r="AT72" s="133">
        <f>前台增值物品出入库录入!AT73*$E72</f>
        <v>0</v>
      </c>
      <c r="AU72" s="133">
        <f>前台增值物品出入库录入!AU73*$E72</f>
        <v>6.5</v>
      </c>
      <c r="AV72" s="133">
        <f>前台增值物品出入库录入!AV73*$E72</f>
        <v>0</v>
      </c>
      <c r="AW72" s="133">
        <f>前台增值物品出入库录入!AW73*$E72</f>
        <v>0</v>
      </c>
      <c r="AX72" s="133">
        <f>前台增值物品出入库录入!AX73*$E72</f>
        <v>0</v>
      </c>
      <c r="AY72" s="133">
        <f>前台增值物品出入库录入!AY73*$E72</f>
        <v>0</v>
      </c>
      <c r="AZ72" s="133">
        <f>前台增值物品出入库录入!AZ73*$E72</f>
        <v>0</v>
      </c>
      <c r="BA72" s="133">
        <f>前台增值物品出入库录入!BA73*$E72</f>
        <v>0</v>
      </c>
      <c r="BB72" s="133">
        <f>前台增值物品出入库录入!BB73*$E72</f>
        <v>0</v>
      </c>
      <c r="BC72" s="133">
        <f>前台增值物品出入库录入!BC73*$E72</f>
        <v>0</v>
      </c>
      <c r="BD72" s="133">
        <f>前台增值物品出入库录入!BD73*$E72</f>
        <v>0</v>
      </c>
      <c r="BE72" s="133">
        <f>前台增值物品出入库录入!BE73*$E72</f>
        <v>0</v>
      </c>
      <c r="BF72" s="133">
        <f>前台增值物品出入库录入!BF73*$E72</f>
        <v>0</v>
      </c>
      <c r="BG72" s="133">
        <f>前台增值物品出入库录入!BG73*$E72</f>
        <v>0</v>
      </c>
      <c r="BH72" s="133">
        <f>前台增值物品出入库录入!BH73*$E72</f>
        <v>0</v>
      </c>
      <c r="BI72" s="133">
        <f>前台增值物品出入库录入!BI73*$E72</f>
        <v>0</v>
      </c>
      <c r="BJ72" s="133">
        <f>前台增值物品出入库录入!BJ73*$E72</f>
        <v>0</v>
      </c>
      <c r="BK72" s="133">
        <f>前台增值物品出入库录入!BK73*$E72</f>
        <v>0</v>
      </c>
      <c r="BL72" s="133">
        <f>前台增值物品出入库录入!BL73*$E72</f>
        <v>0</v>
      </c>
      <c r="BM72" s="133">
        <f>前台增值物品出入库录入!BM73*$E72</f>
        <v>0</v>
      </c>
      <c r="BN72" s="133">
        <f>前台增值物品出入库录入!BN73*$E72</f>
        <v>0</v>
      </c>
      <c r="BO72" s="133">
        <f>前台增值物品出入库录入!BO73*$E72</f>
        <v>0</v>
      </c>
      <c r="BP72" s="133">
        <f>前台增值物品出入库录入!BP73*$E72</f>
        <v>0</v>
      </c>
      <c r="BQ72" s="133">
        <f>前台增值物品出入库录入!BQ73*$E72</f>
        <v>0</v>
      </c>
      <c r="BR72" s="133">
        <f>前台增值物品出入库录入!BR73*$E72</f>
        <v>0</v>
      </c>
      <c r="BS72" s="133">
        <f>前台增值物品出入库录入!BS73*$E72</f>
        <v>0</v>
      </c>
      <c r="BT72" s="133">
        <f>前台增值物品出入库录入!BT73*$E72</f>
        <v>0</v>
      </c>
      <c r="BU72" s="133">
        <f>前台增值物品出入库录入!BU73*$E72</f>
        <v>0</v>
      </c>
      <c r="BV72" s="133">
        <f>前台增值物品出入库录入!BV73*$E72</f>
        <v>0</v>
      </c>
      <c r="BW72" s="133">
        <f>前台增值物品出入库录入!BW73*$E72</f>
        <v>0</v>
      </c>
    </row>
    <row r="73" s="178" customFormat="1" customHeight="1" spans="1:75">
      <c r="A73" s="161">
        <v>77</v>
      </c>
      <c r="B73" s="162" t="str">
        <f>前台增值物品出入库录入!B74</f>
        <v>数据线</v>
      </c>
      <c r="C73" s="162">
        <f>前台增值物品出入库录入!C74</f>
        <v>0</v>
      </c>
      <c r="D73" s="162" t="str">
        <f>前台增值物品出入库录入!D74</f>
        <v>根</v>
      </c>
      <c r="E73" s="162">
        <f>前台增值物品出入库录入!E74</f>
        <v>14.72</v>
      </c>
      <c r="F73" s="162">
        <f>前台增值物品出入库录入!F74</f>
        <v>0</v>
      </c>
      <c r="G73" s="162">
        <f>前台增值物品出入库录入!G74</f>
        <v>0</v>
      </c>
      <c r="H73" s="162">
        <f>前台增值物品出入库录入!H74</f>
        <v>5</v>
      </c>
      <c r="I73" s="162">
        <f>前台增值物品出入库录入!I74</f>
        <v>73.6</v>
      </c>
      <c r="J73" s="162">
        <f>前台增值物品出入库录入!J74</f>
        <v>0</v>
      </c>
      <c r="K73" s="162">
        <f>前台增值物品出入库录入!K74</f>
        <v>0</v>
      </c>
      <c r="L73" s="162">
        <f>前台增值物品出入库录入!L74</f>
        <v>5</v>
      </c>
      <c r="M73" s="162">
        <f>前台增值物品出入库录入!M74</f>
        <v>73.6</v>
      </c>
      <c r="N73" s="133">
        <f>前台增值物品出入库录入!N74*$E73</f>
        <v>0</v>
      </c>
      <c r="O73" s="133">
        <f>前台增值物品出入库录入!O74*$E73</f>
        <v>0</v>
      </c>
      <c r="P73" s="133">
        <f>前台增值物品出入库录入!P74*$E73</f>
        <v>0</v>
      </c>
      <c r="Q73" s="133">
        <f>前台增值物品出入库录入!Q74*$E73</f>
        <v>0</v>
      </c>
      <c r="R73" s="133">
        <f>前台增值物品出入库录入!R74*$E73</f>
        <v>0</v>
      </c>
      <c r="S73" s="133">
        <f>前台增值物品出入库录入!S74*$E73</f>
        <v>0</v>
      </c>
      <c r="T73" s="133">
        <f>前台增值物品出入库录入!T74*$E73</f>
        <v>0</v>
      </c>
      <c r="U73" s="133">
        <f>前台增值物品出入库录入!U74*$E73</f>
        <v>0</v>
      </c>
      <c r="V73" s="133">
        <f>前台增值物品出入库录入!V74*$E73</f>
        <v>0</v>
      </c>
      <c r="W73" s="133">
        <f>前台增值物品出入库录入!W74*$E73</f>
        <v>0</v>
      </c>
      <c r="X73" s="133">
        <f>前台增值物品出入库录入!X74*$E73</f>
        <v>0</v>
      </c>
      <c r="Y73" s="133">
        <f>前台增值物品出入库录入!Y74*$E73</f>
        <v>0</v>
      </c>
      <c r="Z73" s="133">
        <f>前台增值物品出入库录入!Z74*$E73</f>
        <v>0</v>
      </c>
      <c r="AA73" s="133">
        <f>前台增值物品出入库录入!AA74*$E73</f>
        <v>0</v>
      </c>
      <c r="AB73" s="133">
        <f>前台增值物品出入库录入!AB74*$E73</f>
        <v>0</v>
      </c>
      <c r="AC73" s="133">
        <f>前台增值物品出入库录入!AC74*$E73</f>
        <v>0</v>
      </c>
      <c r="AD73" s="133">
        <f>前台增值物品出入库录入!AD74*$E73</f>
        <v>0</v>
      </c>
      <c r="AE73" s="133">
        <f>前台增值物品出入库录入!AE74*$E73</f>
        <v>0</v>
      </c>
      <c r="AF73" s="133">
        <f>前台增值物品出入库录入!AF74*$E73</f>
        <v>0</v>
      </c>
      <c r="AG73" s="133">
        <f>前台增值物品出入库录入!AG74*$E73</f>
        <v>0</v>
      </c>
      <c r="AH73" s="133">
        <f>前台增值物品出入库录入!AH74*$E73</f>
        <v>73.6</v>
      </c>
      <c r="AI73" s="133">
        <f>前台增值物品出入库录入!AI74*$E73</f>
        <v>0</v>
      </c>
      <c r="AJ73" s="133">
        <f>前台增值物品出入库录入!AJ74*$E73</f>
        <v>0</v>
      </c>
      <c r="AK73" s="133">
        <f>前台增值物品出入库录入!AK74*$E73</f>
        <v>0</v>
      </c>
      <c r="AL73" s="133">
        <f>前台增值物品出入库录入!AL74*$E73</f>
        <v>0</v>
      </c>
      <c r="AM73" s="133">
        <f>前台增值物品出入库录入!AM74*$E73</f>
        <v>0</v>
      </c>
      <c r="AN73" s="133">
        <f>前台增值物品出入库录入!AN74*$E73</f>
        <v>0</v>
      </c>
      <c r="AO73" s="133">
        <f>前台增值物品出入库录入!AO74*$E73</f>
        <v>0</v>
      </c>
      <c r="AP73" s="133">
        <f>前台增值物品出入库录入!AP74*$E73</f>
        <v>0</v>
      </c>
      <c r="AQ73" s="133">
        <f>前台增值物品出入库录入!AQ74*$E73</f>
        <v>0</v>
      </c>
      <c r="AR73" s="133">
        <f>前台增值物品出入库录入!AR74*$E73</f>
        <v>0</v>
      </c>
      <c r="AS73" s="133">
        <f>前台增值物品出入库录入!AS74*$E73</f>
        <v>0</v>
      </c>
      <c r="AT73" s="133">
        <f>前台增值物品出入库录入!AT74*$E73</f>
        <v>0</v>
      </c>
      <c r="AU73" s="133">
        <f>前台增值物品出入库录入!AU74*$E73</f>
        <v>0</v>
      </c>
      <c r="AV73" s="133">
        <f>前台增值物品出入库录入!AV74*$E73</f>
        <v>0</v>
      </c>
      <c r="AW73" s="133">
        <f>前台增值物品出入库录入!AW74*$E73</f>
        <v>0</v>
      </c>
      <c r="AX73" s="133">
        <f>前台增值物品出入库录入!AX74*$E73</f>
        <v>0</v>
      </c>
      <c r="AY73" s="133">
        <f>前台增值物品出入库录入!AY74*$E73</f>
        <v>0</v>
      </c>
      <c r="AZ73" s="133">
        <f>前台增值物品出入库录入!AZ74*$E73</f>
        <v>0</v>
      </c>
      <c r="BA73" s="133">
        <f>前台增值物品出入库录入!BA74*$E73</f>
        <v>0</v>
      </c>
      <c r="BB73" s="133">
        <f>前台增值物品出入库录入!BB74*$E73</f>
        <v>0</v>
      </c>
      <c r="BC73" s="133">
        <f>前台增值物品出入库录入!BC74*$E73</f>
        <v>0</v>
      </c>
      <c r="BD73" s="133">
        <f>前台增值物品出入库录入!BD74*$E73</f>
        <v>0</v>
      </c>
      <c r="BE73" s="133">
        <f>前台增值物品出入库录入!BE74*$E73</f>
        <v>0</v>
      </c>
      <c r="BF73" s="133">
        <f>前台增值物品出入库录入!BF74*$E73</f>
        <v>0</v>
      </c>
      <c r="BG73" s="133">
        <f>前台增值物品出入库录入!BG74*$E73</f>
        <v>0</v>
      </c>
      <c r="BH73" s="133">
        <f>前台增值物品出入库录入!BH74*$E73</f>
        <v>0</v>
      </c>
      <c r="BI73" s="133">
        <f>前台增值物品出入库录入!BI74*$E73</f>
        <v>0</v>
      </c>
      <c r="BJ73" s="133">
        <f>前台增值物品出入库录入!BJ74*$E73</f>
        <v>0</v>
      </c>
      <c r="BK73" s="133">
        <f>前台增值物品出入库录入!BK74*$E73</f>
        <v>0</v>
      </c>
      <c r="BL73" s="133">
        <f>前台增值物品出入库录入!BL74*$E73</f>
        <v>0</v>
      </c>
      <c r="BM73" s="133">
        <f>前台增值物品出入库录入!BM74*$E73</f>
        <v>0</v>
      </c>
      <c r="BN73" s="133">
        <f>前台增值物品出入库录入!BN74*$E73</f>
        <v>0</v>
      </c>
      <c r="BO73" s="133">
        <f>前台增值物品出入库录入!BO74*$E73</f>
        <v>0</v>
      </c>
      <c r="BP73" s="133">
        <f>前台增值物品出入库录入!BP74*$E73</f>
        <v>0</v>
      </c>
      <c r="BQ73" s="133">
        <f>前台增值物品出入库录入!BQ74*$E73</f>
        <v>0</v>
      </c>
      <c r="BR73" s="133">
        <f>前台增值物品出入库录入!BR74*$E73</f>
        <v>0</v>
      </c>
      <c r="BS73" s="133">
        <f>前台增值物品出入库录入!BS74*$E73</f>
        <v>0</v>
      </c>
      <c r="BT73" s="133">
        <f>前台增值物品出入库录入!BT74*$E73</f>
        <v>0</v>
      </c>
      <c r="BU73" s="133">
        <f>前台增值物品出入库录入!BU74*$E73</f>
        <v>0</v>
      </c>
      <c r="BV73" s="133">
        <f>前台增值物品出入库录入!BV74*$E73</f>
        <v>0</v>
      </c>
      <c r="BW73" s="133">
        <f>前台增值物品出入库录入!BW74*$E73</f>
        <v>0</v>
      </c>
    </row>
    <row r="74" s="178" customFormat="1" customHeight="1" spans="1:75">
      <c r="A74" s="161">
        <v>78</v>
      </c>
      <c r="B74" s="162" t="str">
        <f>前台增值物品出入库录入!B75</f>
        <v>咖啡糖</v>
      </c>
      <c r="C74" s="162">
        <f>前台增值物品出入库录入!C75</f>
        <v>0</v>
      </c>
      <c r="D74" s="162" t="str">
        <f>前台增值物品出入库录入!D75</f>
        <v>个</v>
      </c>
      <c r="E74" s="162">
        <f>前台增值物品出入库录入!E75</f>
        <v>0.01693</v>
      </c>
      <c r="F74" s="162">
        <f>前台增值物品出入库录入!F75</f>
        <v>0</v>
      </c>
      <c r="G74" s="162">
        <f>前台增值物品出入库录入!G75</f>
        <v>0</v>
      </c>
      <c r="H74" s="162">
        <f>前台增值物品出入库录入!H75</f>
        <v>2000</v>
      </c>
      <c r="I74" s="162">
        <f>前台增值物品出入库录入!I75</f>
        <v>33.86</v>
      </c>
      <c r="J74" s="162">
        <f>前台增值物品出入库录入!J75</f>
        <v>800</v>
      </c>
      <c r="K74" s="162">
        <f>前台增值物品出入库录入!K75</f>
        <v>13.544</v>
      </c>
      <c r="L74" s="162">
        <f>前台增值物品出入库录入!L75</f>
        <v>1200</v>
      </c>
      <c r="M74" s="162">
        <f>前台增值物品出入库录入!M75</f>
        <v>20.316</v>
      </c>
      <c r="N74" s="133">
        <f>前台增值物品出入库录入!N75*$E74</f>
        <v>0</v>
      </c>
      <c r="O74" s="133">
        <f>前台增值物品出入库录入!O75*$E74</f>
        <v>0</v>
      </c>
      <c r="P74" s="133">
        <f>前台增值物品出入库录入!P75*$E74</f>
        <v>33.86</v>
      </c>
      <c r="Q74" s="133">
        <f>前台增值物品出入库录入!Q75*$E74</f>
        <v>0</v>
      </c>
      <c r="R74" s="133">
        <f>前台增值物品出入库录入!R75*$E74</f>
        <v>0</v>
      </c>
      <c r="S74" s="133">
        <f>前台增值物品出入库录入!S75*$E74</f>
        <v>0</v>
      </c>
      <c r="T74" s="133">
        <f>前台增值物品出入库录入!T75*$E74</f>
        <v>0</v>
      </c>
      <c r="U74" s="133">
        <f>前台增值物品出入库录入!U75*$E74</f>
        <v>0</v>
      </c>
      <c r="V74" s="133">
        <f>前台增值物品出入库录入!V75*$E74</f>
        <v>0</v>
      </c>
      <c r="W74" s="133">
        <f>前台增值物品出入库录入!W75*$E74</f>
        <v>1.693</v>
      </c>
      <c r="X74" s="133">
        <f>前台增值物品出入库录入!X75*$E74</f>
        <v>0</v>
      </c>
      <c r="Y74" s="133">
        <f>前台增值物品出入库录入!Y75*$E74</f>
        <v>0</v>
      </c>
      <c r="Z74" s="133">
        <f>前台增值物品出入库录入!Z75*$E74</f>
        <v>0</v>
      </c>
      <c r="AA74" s="133">
        <f>前台增值物品出入库录入!AA75*$E74</f>
        <v>1.693</v>
      </c>
      <c r="AB74" s="133">
        <f>前台增值物品出入库录入!AB75*$E74</f>
        <v>0</v>
      </c>
      <c r="AC74" s="133">
        <f>前台增值物品出入库录入!AC75*$E74</f>
        <v>0</v>
      </c>
      <c r="AD74" s="133">
        <f>前台增值物品出入库录入!AD75*$E74</f>
        <v>0</v>
      </c>
      <c r="AE74" s="133">
        <f>前台增值物品出入库录入!AE75*$E74</f>
        <v>1.693</v>
      </c>
      <c r="AF74" s="133">
        <f>前台增值物品出入库录入!AF75*$E74</f>
        <v>0</v>
      </c>
      <c r="AG74" s="133">
        <f>前台增值物品出入库录入!AG75*$E74</f>
        <v>0</v>
      </c>
      <c r="AH74" s="133">
        <f>前台增值物品出入库录入!AH75*$E74</f>
        <v>0</v>
      </c>
      <c r="AI74" s="133">
        <f>前台增值物品出入库录入!AI75*$E74</f>
        <v>0</v>
      </c>
      <c r="AJ74" s="133">
        <f>前台增值物品出入库录入!AJ75*$E74</f>
        <v>0</v>
      </c>
      <c r="AK74" s="133">
        <f>前台增值物品出入库录入!AK75*$E74</f>
        <v>0</v>
      </c>
      <c r="AL74" s="133">
        <f>前台增值物品出入库录入!AL75*$E74</f>
        <v>0</v>
      </c>
      <c r="AM74" s="133">
        <f>前台增值物品出入库录入!AM75*$E74</f>
        <v>0</v>
      </c>
      <c r="AN74" s="133">
        <f>前台增值物品出入库录入!AN75*$E74</f>
        <v>0</v>
      </c>
      <c r="AO74" s="133">
        <f>前台增值物品出入库录入!AO75*$E74</f>
        <v>0</v>
      </c>
      <c r="AP74" s="133">
        <f>前台增值物品出入库录入!AP75*$E74</f>
        <v>0</v>
      </c>
      <c r="AQ74" s="133">
        <f>前台增值物品出入库录入!AQ75*$E74</f>
        <v>0</v>
      </c>
      <c r="AR74" s="133">
        <f>前台增值物品出入库录入!AR75*$E74</f>
        <v>0</v>
      </c>
      <c r="AS74" s="133">
        <f>前台增值物品出入库录入!AS75*$E74</f>
        <v>0</v>
      </c>
      <c r="AT74" s="133">
        <f>前台增值物品出入库录入!AT75*$E74</f>
        <v>0</v>
      </c>
      <c r="AU74" s="133">
        <f>前台增值物品出入库录入!AU75*$E74</f>
        <v>0</v>
      </c>
      <c r="AV74" s="133">
        <f>前台增值物品出入库录入!AV75*$E74</f>
        <v>0</v>
      </c>
      <c r="AW74" s="133">
        <f>前台增值物品出入库录入!AW75*$E74</f>
        <v>0</v>
      </c>
      <c r="AX74" s="133">
        <f>前台增值物品出入库录入!AX75*$E74</f>
        <v>0</v>
      </c>
      <c r="AY74" s="133">
        <f>前台增值物品出入库录入!AY75*$E74</f>
        <v>0</v>
      </c>
      <c r="AZ74" s="133">
        <f>前台增值物品出入库录入!AZ75*$E74</f>
        <v>0</v>
      </c>
      <c r="BA74" s="133">
        <f>前台增值物品出入库录入!BA75*$E74</f>
        <v>0</v>
      </c>
      <c r="BB74" s="133">
        <f>前台增值物品出入库录入!BB75*$E74</f>
        <v>0</v>
      </c>
      <c r="BC74" s="133">
        <f>前台增值物品出入库录入!BC75*$E74</f>
        <v>0</v>
      </c>
      <c r="BD74" s="133">
        <f>前台增值物品出入库录入!BD75*$E74</f>
        <v>0</v>
      </c>
      <c r="BE74" s="133">
        <f>前台增值物品出入库录入!BE75*$E74</f>
        <v>0</v>
      </c>
      <c r="BF74" s="133">
        <f>前台增值物品出入库录入!BF75*$E74</f>
        <v>0</v>
      </c>
      <c r="BG74" s="133">
        <f>前台增值物品出入库录入!BG75*$E74</f>
        <v>0</v>
      </c>
      <c r="BH74" s="133">
        <f>前台增值物品出入库录入!BH75*$E74</f>
        <v>0</v>
      </c>
      <c r="BI74" s="133">
        <f>前台增值物品出入库录入!BI75*$E74</f>
        <v>0</v>
      </c>
      <c r="BJ74" s="133">
        <f>前台增值物品出入库录入!BJ75*$E74</f>
        <v>0</v>
      </c>
      <c r="BK74" s="133">
        <f>前台增值物品出入库录入!BK75*$E74</f>
        <v>0</v>
      </c>
      <c r="BL74" s="133">
        <f>前台增值物品出入库录入!BL75*$E74</f>
        <v>0</v>
      </c>
      <c r="BM74" s="133">
        <f>前台增值物品出入库录入!BM75*$E74</f>
        <v>8.465</v>
      </c>
      <c r="BN74" s="133">
        <f>前台增值物品出入库录入!BN75*$E74</f>
        <v>0</v>
      </c>
      <c r="BO74" s="133">
        <f>前台增值物品出入库录入!BO75*$E74</f>
        <v>0</v>
      </c>
      <c r="BP74" s="133">
        <f>前台增值物品出入库录入!BP75*$E74</f>
        <v>0</v>
      </c>
      <c r="BQ74" s="133">
        <f>前台增值物品出入库录入!BQ75*$E74</f>
        <v>0</v>
      </c>
      <c r="BR74" s="133">
        <f>前台增值物品出入库录入!BR75*$E74</f>
        <v>0</v>
      </c>
      <c r="BS74" s="133">
        <f>前台增值物品出入库录入!BS75*$E74</f>
        <v>0</v>
      </c>
      <c r="BT74" s="133">
        <f>前台增值物品出入库录入!BT75*$E74</f>
        <v>0</v>
      </c>
      <c r="BU74" s="133">
        <f>前台增值物品出入库录入!BU75*$E74</f>
        <v>0</v>
      </c>
      <c r="BV74" s="133">
        <f>前台增值物品出入库录入!BV75*$E74</f>
        <v>0</v>
      </c>
      <c r="BW74" s="133">
        <f>前台增值物品出入库录入!BW75*$E74</f>
        <v>0</v>
      </c>
    </row>
    <row r="75" s="178" customFormat="1" customHeight="1" spans="1:75">
      <c r="A75" s="161">
        <v>79</v>
      </c>
      <c r="B75" s="162" t="str">
        <f>前台增值物品出入库录入!B76</f>
        <v>雨伞</v>
      </c>
      <c r="C75" s="162">
        <f>前台增值物品出入库录入!C76</f>
        <v>0</v>
      </c>
      <c r="D75" s="162" t="str">
        <f>前台增值物品出入库录入!D76</f>
        <v>把</v>
      </c>
      <c r="E75" s="162">
        <f>前台增值物品出入库录入!E76</f>
        <v>26.532</v>
      </c>
      <c r="F75" s="162">
        <f>前台增值物品出入库录入!F76</f>
        <v>0</v>
      </c>
      <c r="G75" s="162">
        <f>前台增值物品出入库录入!G76</f>
        <v>0</v>
      </c>
      <c r="H75" s="162">
        <f>前台增值物品出入库录入!H76</f>
        <v>10</v>
      </c>
      <c r="I75" s="162">
        <f>前台增值物品出入库录入!I76</f>
        <v>265.32</v>
      </c>
      <c r="J75" s="162">
        <f>前台增值物品出入库录入!J76</f>
        <v>0</v>
      </c>
      <c r="K75" s="162">
        <f>前台增值物品出入库录入!K76</f>
        <v>0</v>
      </c>
      <c r="L75" s="162">
        <f>前台增值物品出入库录入!L76</f>
        <v>10</v>
      </c>
      <c r="M75" s="162">
        <f>前台增值物品出入库录入!M76</f>
        <v>265.32</v>
      </c>
      <c r="N75" s="133">
        <f>前台增值物品出入库录入!N76*$E75</f>
        <v>0</v>
      </c>
      <c r="O75" s="133">
        <f>前台增值物品出入库录入!O76*$E75</f>
        <v>0</v>
      </c>
      <c r="P75" s="133">
        <f>前台增值物品出入库录入!P76*$E75</f>
        <v>0</v>
      </c>
      <c r="Q75" s="133">
        <f>前台增值物品出入库录入!Q76*$E75</f>
        <v>0</v>
      </c>
      <c r="R75" s="133">
        <f>前台增值物品出入库录入!R76*$E75</f>
        <v>0</v>
      </c>
      <c r="S75" s="133">
        <f>前台增值物品出入库录入!S76*$E75</f>
        <v>0</v>
      </c>
      <c r="T75" s="133">
        <f>前台增值物品出入库录入!T76*$E75</f>
        <v>0</v>
      </c>
      <c r="U75" s="133">
        <f>前台增值物品出入库录入!U76*$E75</f>
        <v>0</v>
      </c>
      <c r="V75" s="133">
        <f>前台增值物品出入库录入!V76*$E75</f>
        <v>0</v>
      </c>
      <c r="W75" s="133">
        <f>前台增值物品出入库录入!W76*$E75</f>
        <v>0</v>
      </c>
      <c r="X75" s="133">
        <f>前台增值物品出入库录入!X76*$E75</f>
        <v>0</v>
      </c>
      <c r="Y75" s="133">
        <f>前台增值物品出入库录入!Y76*$E75</f>
        <v>0</v>
      </c>
      <c r="Z75" s="133">
        <f>前台增值物品出入库录入!Z76*$E75</f>
        <v>0</v>
      </c>
      <c r="AA75" s="133">
        <f>前台增值物品出入库录入!AA76*$E75</f>
        <v>0</v>
      </c>
      <c r="AB75" s="133">
        <f>前台增值物品出入库录入!AB76*$E75</f>
        <v>0</v>
      </c>
      <c r="AC75" s="133">
        <f>前台增值物品出入库录入!AC76*$E75</f>
        <v>0</v>
      </c>
      <c r="AD75" s="133">
        <f>前台增值物品出入库录入!AD76*$E75</f>
        <v>265.32</v>
      </c>
      <c r="AE75" s="133">
        <f>前台增值物品出入库录入!AE76*$E75</f>
        <v>0</v>
      </c>
      <c r="AF75" s="133">
        <f>前台增值物品出入库录入!AF76*$E75</f>
        <v>0</v>
      </c>
      <c r="AG75" s="133">
        <f>前台增值物品出入库录入!AG76*$E75</f>
        <v>0</v>
      </c>
      <c r="AH75" s="133">
        <f>前台增值物品出入库录入!AH76*$E75</f>
        <v>0</v>
      </c>
      <c r="AI75" s="133">
        <f>前台增值物品出入库录入!AI76*$E75</f>
        <v>0</v>
      </c>
      <c r="AJ75" s="133">
        <f>前台增值物品出入库录入!AJ76*$E75</f>
        <v>0</v>
      </c>
      <c r="AK75" s="133">
        <f>前台增值物品出入库录入!AK76*$E75</f>
        <v>0</v>
      </c>
      <c r="AL75" s="133">
        <f>前台增值物品出入库录入!AL76*$E75</f>
        <v>0</v>
      </c>
      <c r="AM75" s="133">
        <f>前台增值物品出入库录入!AM76*$E75</f>
        <v>0</v>
      </c>
      <c r="AN75" s="133">
        <f>前台增值物品出入库录入!AN76*$E75</f>
        <v>0</v>
      </c>
      <c r="AO75" s="133">
        <f>前台增值物品出入库录入!AO76*$E75</f>
        <v>0</v>
      </c>
      <c r="AP75" s="133">
        <f>前台增值物品出入库录入!AP76*$E75</f>
        <v>0</v>
      </c>
      <c r="AQ75" s="133">
        <f>前台增值物品出入库录入!AQ76*$E75</f>
        <v>0</v>
      </c>
      <c r="AR75" s="133">
        <f>前台增值物品出入库录入!AR76*$E75</f>
        <v>0</v>
      </c>
      <c r="AS75" s="133">
        <f>前台增值物品出入库录入!AS76*$E75</f>
        <v>0</v>
      </c>
      <c r="AT75" s="133">
        <f>前台增值物品出入库录入!AT76*$E75</f>
        <v>0</v>
      </c>
      <c r="AU75" s="133">
        <f>前台增值物品出入库录入!AU76*$E75</f>
        <v>0</v>
      </c>
      <c r="AV75" s="133">
        <f>前台增值物品出入库录入!AV76*$E75</f>
        <v>0</v>
      </c>
      <c r="AW75" s="133">
        <f>前台增值物品出入库录入!AW76*$E75</f>
        <v>0</v>
      </c>
      <c r="AX75" s="133">
        <f>前台增值物品出入库录入!AX76*$E75</f>
        <v>0</v>
      </c>
      <c r="AY75" s="133">
        <f>前台增值物品出入库录入!AY76*$E75</f>
        <v>0</v>
      </c>
      <c r="AZ75" s="133">
        <f>前台增值物品出入库录入!AZ76*$E75</f>
        <v>0</v>
      </c>
      <c r="BA75" s="133">
        <f>前台增值物品出入库录入!BA76*$E75</f>
        <v>0</v>
      </c>
      <c r="BB75" s="133">
        <f>前台增值物品出入库录入!BB76*$E75</f>
        <v>0</v>
      </c>
      <c r="BC75" s="133">
        <f>前台增值物品出入库录入!BC76*$E75</f>
        <v>0</v>
      </c>
      <c r="BD75" s="133">
        <f>前台增值物品出入库录入!BD76*$E75</f>
        <v>0</v>
      </c>
      <c r="BE75" s="133">
        <f>前台增值物品出入库录入!BE76*$E75</f>
        <v>0</v>
      </c>
      <c r="BF75" s="133">
        <f>前台增值物品出入库录入!BF76*$E75</f>
        <v>0</v>
      </c>
      <c r="BG75" s="133">
        <f>前台增值物品出入库录入!BG76*$E75</f>
        <v>0</v>
      </c>
      <c r="BH75" s="133">
        <f>前台增值物品出入库录入!BH76*$E75</f>
        <v>0</v>
      </c>
      <c r="BI75" s="133">
        <f>前台增值物品出入库录入!BI76*$E75</f>
        <v>0</v>
      </c>
      <c r="BJ75" s="133">
        <f>前台增值物品出入库录入!BJ76*$E75</f>
        <v>0</v>
      </c>
      <c r="BK75" s="133">
        <f>前台增值物品出入库录入!BK76*$E75</f>
        <v>0</v>
      </c>
      <c r="BL75" s="133">
        <f>前台增值物品出入库录入!BL76*$E75</f>
        <v>0</v>
      </c>
      <c r="BM75" s="133">
        <f>前台增值物品出入库录入!BM76*$E75</f>
        <v>0</v>
      </c>
      <c r="BN75" s="133">
        <f>前台增值物品出入库录入!BN76*$E75</f>
        <v>0</v>
      </c>
      <c r="BO75" s="133">
        <f>前台增值物品出入库录入!BO76*$E75</f>
        <v>0</v>
      </c>
      <c r="BP75" s="133">
        <f>前台增值物品出入库录入!BP76*$E75</f>
        <v>0</v>
      </c>
      <c r="BQ75" s="133">
        <f>前台增值物品出入库录入!BQ76*$E75</f>
        <v>0</v>
      </c>
      <c r="BR75" s="133">
        <f>前台增值物品出入库录入!BR76*$E75</f>
        <v>0</v>
      </c>
      <c r="BS75" s="133">
        <f>前台增值物品出入库录入!BS76*$E75</f>
        <v>0</v>
      </c>
      <c r="BT75" s="133">
        <f>前台增值物品出入库录入!BT76*$E75</f>
        <v>0</v>
      </c>
      <c r="BU75" s="133">
        <f>前台增值物品出入库录入!BU76*$E75</f>
        <v>0</v>
      </c>
      <c r="BV75" s="133">
        <f>前台增值物品出入库录入!BV76*$E75</f>
        <v>0</v>
      </c>
      <c r="BW75" s="133">
        <f>前台增值物品出入库录入!BW76*$E75</f>
        <v>0</v>
      </c>
    </row>
    <row r="76" s="178" customFormat="1" customHeight="1" spans="1:75">
      <c r="A76" s="161">
        <v>80</v>
      </c>
      <c r="B76" s="162" t="str">
        <f>前台增值物品出入库录入!B77</f>
        <v>洗脸巾</v>
      </c>
      <c r="C76" s="162">
        <f>前台增值物品出入库录入!C77</f>
        <v>0</v>
      </c>
      <c r="D76" s="162" t="str">
        <f>前台增值物品出入库录入!D77</f>
        <v>个</v>
      </c>
      <c r="E76" s="162">
        <f>前台增值物品出入库录入!E77</f>
        <v>0.241</v>
      </c>
      <c r="F76" s="162">
        <f>前台增值物品出入库录入!F77</f>
        <v>30</v>
      </c>
      <c r="G76" s="162">
        <f>前台增值物品出入库录入!G77</f>
        <v>7.23</v>
      </c>
      <c r="H76" s="162">
        <f>前台增值物品出入库录入!H77</f>
        <v>0</v>
      </c>
      <c r="I76" s="162">
        <f>前台增值物品出入库录入!I77</f>
        <v>0</v>
      </c>
      <c r="J76" s="162">
        <f>前台增值物品出入库录入!J77</f>
        <v>30</v>
      </c>
      <c r="K76" s="162">
        <f>前台增值物品出入库录入!K77</f>
        <v>7.23</v>
      </c>
      <c r="L76" s="162">
        <f>前台增值物品出入库录入!L77</f>
        <v>0</v>
      </c>
      <c r="M76" s="162">
        <f>前台增值物品出入库录入!M77</f>
        <v>0</v>
      </c>
      <c r="N76" s="133">
        <f>前台增值物品出入库录入!N77*$E76</f>
        <v>0</v>
      </c>
      <c r="O76" s="133">
        <f>前台增值物品出入库录入!O77*$E76</f>
        <v>0</v>
      </c>
      <c r="P76" s="133">
        <f>前台增值物品出入库录入!P77*$E76</f>
        <v>0</v>
      </c>
      <c r="Q76" s="133">
        <f>前台增值物品出入库录入!Q77*$E76</f>
        <v>0</v>
      </c>
      <c r="R76" s="133">
        <f>前台增值物品出入库录入!R77*$E76</f>
        <v>0</v>
      </c>
      <c r="S76" s="133">
        <f>前台增值物品出入库录入!S77*$E76</f>
        <v>0</v>
      </c>
      <c r="T76" s="133">
        <f>前台增值物品出入库录入!T77*$E76</f>
        <v>0</v>
      </c>
      <c r="U76" s="133">
        <f>前台增值物品出入库录入!U77*$E76</f>
        <v>0</v>
      </c>
      <c r="V76" s="133">
        <f>前台增值物品出入库录入!V77*$E76</f>
        <v>0</v>
      </c>
      <c r="W76" s="133">
        <f>前台增值物品出入库录入!W77*$E76</f>
        <v>0</v>
      </c>
      <c r="X76" s="133">
        <f>前台增值物品出入库录入!X77*$E76</f>
        <v>0</v>
      </c>
      <c r="Y76" s="133">
        <f>前台增值物品出入库录入!Y77*$E76</f>
        <v>1.205</v>
      </c>
      <c r="Z76" s="133">
        <f>前台增值物品出入库录入!Z77*$E76</f>
        <v>0</v>
      </c>
      <c r="AA76" s="133">
        <f>前台增值物品出入库录入!AA77*$E76</f>
        <v>3.615</v>
      </c>
      <c r="AB76" s="133">
        <f>前台增值物品出入库录入!AB77*$E76</f>
        <v>0</v>
      </c>
      <c r="AC76" s="133">
        <f>前台增值物品出入库录入!AC77*$E76</f>
        <v>0</v>
      </c>
      <c r="AD76" s="133">
        <f>前台增值物品出入库录入!AD77*$E76</f>
        <v>0</v>
      </c>
      <c r="AE76" s="133">
        <f>前台增值物品出入库录入!AE77*$E76</f>
        <v>0</v>
      </c>
      <c r="AF76" s="133">
        <f>前台增值物品出入库录入!AF77*$E76</f>
        <v>0</v>
      </c>
      <c r="AG76" s="133">
        <f>前台增值物品出入库录入!AG77*$E76</f>
        <v>0</v>
      </c>
      <c r="AH76" s="133">
        <f>前台增值物品出入库录入!AH77*$E76</f>
        <v>0</v>
      </c>
      <c r="AI76" s="133">
        <f>前台增值物品出入库录入!AI77*$E76</f>
        <v>0</v>
      </c>
      <c r="AJ76" s="133">
        <f>前台增值物品出入库录入!AJ77*$E76</f>
        <v>0</v>
      </c>
      <c r="AK76" s="133">
        <f>前台增值物品出入库录入!AK77*$E76</f>
        <v>0</v>
      </c>
      <c r="AL76" s="133">
        <f>前台增值物品出入库录入!AL77*$E76</f>
        <v>0</v>
      </c>
      <c r="AM76" s="133">
        <f>前台增值物品出入库录入!AM77*$E76</f>
        <v>0</v>
      </c>
      <c r="AN76" s="133">
        <f>前台增值物品出入库录入!AN77*$E76</f>
        <v>0</v>
      </c>
      <c r="AO76" s="133">
        <f>前台增值物品出入库录入!AO77*$E76</f>
        <v>0</v>
      </c>
      <c r="AP76" s="133">
        <f>前台增值物品出入库录入!AP77*$E76</f>
        <v>0</v>
      </c>
      <c r="AQ76" s="133">
        <f>前台增值物品出入库录入!AQ77*$E76</f>
        <v>0</v>
      </c>
      <c r="AR76" s="133">
        <f>前台增值物品出入库录入!AR77*$E76</f>
        <v>0</v>
      </c>
      <c r="AS76" s="133">
        <f>前台增值物品出入库录入!AS77*$E76</f>
        <v>0</v>
      </c>
      <c r="AT76" s="133">
        <f>前台增值物品出入库录入!AT77*$E76</f>
        <v>0</v>
      </c>
      <c r="AU76" s="133">
        <f>前台增值物品出入库录入!AU77*$E76</f>
        <v>0</v>
      </c>
      <c r="AV76" s="133">
        <f>前台增值物品出入库录入!AV77*$E76</f>
        <v>0</v>
      </c>
      <c r="AW76" s="133">
        <f>前台增值物品出入库录入!AW77*$E76</f>
        <v>2.41</v>
      </c>
      <c r="AX76" s="133">
        <f>前台增值物品出入库录入!AX77*$E76</f>
        <v>0</v>
      </c>
      <c r="AY76" s="133">
        <f>前台增值物品出入库录入!AY77*$E76</f>
        <v>0</v>
      </c>
      <c r="AZ76" s="133">
        <f>前台增值物品出入库录入!AZ77*$E76</f>
        <v>0</v>
      </c>
      <c r="BA76" s="133">
        <f>前台增值物品出入库录入!BA77*$E76</f>
        <v>0</v>
      </c>
      <c r="BB76" s="133">
        <f>前台增值物品出入库录入!BB77*$E76</f>
        <v>0</v>
      </c>
      <c r="BC76" s="133">
        <f>前台增值物品出入库录入!BC77*$E76</f>
        <v>0</v>
      </c>
      <c r="BD76" s="133">
        <f>前台增值物品出入库录入!BD77*$E76</f>
        <v>0</v>
      </c>
      <c r="BE76" s="133">
        <f>前台增值物品出入库录入!BE77*$E76</f>
        <v>0</v>
      </c>
      <c r="BF76" s="133">
        <f>前台增值物品出入库录入!BF77*$E76</f>
        <v>0</v>
      </c>
      <c r="BG76" s="133">
        <f>前台增值物品出入库录入!BG77*$E76</f>
        <v>0</v>
      </c>
      <c r="BH76" s="133">
        <f>前台增值物品出入库录入!BH77*$E76</f>
        <v>0</v>
      </c>
      <c r="BI76" s="133">
        <f>前台增值物品出入库录入!BI77*$E76</f>
        <v>0</v>
      </c>
      <c r="BJ76" s="133">
        <f>前台增值物品出入库录入!BJ77*$E76</f>
        <v>0</v>
      </c>
      <c r="BK76" s="133">
        <f>前台增值物品出入库录入!BK77*$E76</f>
        <v>0</v>
      </c>
      <c r="BL76" s="133">
        <f>前台增值物品出入库录入!BL77*$E76</f>
        <v>0</v>
      </c>
      <c r="BM76" s="133">
        <f>前台增值物品出入库录入!BM77*$E76</f>
        <v>0</v>
      </c>
      <c r="BN76" s="133">
        <f>前台增值物品出入库录入!BN77*$E76</f>
        <v>0</v>
      </c>
      <c r="BO76" s="133">
        <f>前台增值物品出入库录入!BO77*$E76</f>
        <v>0</v>
      </c>
      <c r="BP76" s="133">
        <f>前台增值物品出入库录入!BP77*$E76</f>
        <v>0</v>
      </c>
      <c r="BQ76" s="133">
        <f>前台增值物品出入库录入!BQ77*$E76</f>
        <v>0</v>
      </c>
      <c r="BR76" s="133">
        <f>前台增值物品出入库录入!BR77*$E76</f>
        <v>0</v>
      </c>
      <c r="BS76" s="133">
        <f>前台增值物品出入库录入!BS77*$E76</f>
        <v>0</v>
      </c>
      <c r="BT76" s="133">
        <f>前台增值物品出入库录入!BT77*$E76</f>
        <v>0</v>
      </c>
      <c r="BU76" s="133">
        <f>前台增值物品出入库录入!BU77*$E76</f>
        <v>0</v>
      </c>
      <c r="BV76" s="133">
        <f>前台增值物品出入库录入!BV77*$E76</f>
        <v>0</v>
      </c>
      <c r="BW76" s="133">
        <f>前台增值物品出入库录入!BW77*$E76</f>
        <v>0</v>
      </c>
    </row>
    <row r="77" s="178" customFormat="1" customHeight="1" spans="1:75">
      <c r="A77" s="161">
        <v>81</v>
      </c>
      <c r="B77" s="162" t="str">
        <f>前台增值物品出入库录入!B78</f>
        <v>咖啡伴侣</v>
      </c>
      <c r="C77" s="162">
        <f>前台增值物品出入库录入!C78</f>
        <v>0</v>
      </c>
      <c r="D77" s="162" t="str">
        <f>前台增值物品出入库录入!D78</f>
        <v>个</v>
      </c>
      <c r="E77" s="162">
        <f>前台增值物品出入库录入!E78</f>
        <v>24.5</v>
      </c>
      <c r="F77" s="162">
        <f>前台增值物品出入库录入!F78</f>
        <v>0</v>
      </c>
      <c r="G77" s="162">
        <f>前台增值物品出入库录入!G78</f>
        <v>0</v>
      </c>
      <c r="H77" s="162">
        <f>前台增值物品出入库录入!H78</f>
        <v>4</v>
      </c>
      <c r="I77" s="162">
        <f>前台增值物品出入库录入!I78</f>
        <v>98</v>
      </c>
      <c r="J77" s="162">
        <f>前台增值物品出入库录入!J78</f>
        <v>2</v>
      </c>
      <c r="K77" s="162">
        <f>前台增值物品出入库录入!K78</f>
        <v>49</v>
      </c>
      <c r="L77" s="162">
        <f>前台增值物品出入库录入!L78</f>
        <v>2</v>
      </c>
      <c r="M77" s="162">
        <f>前台增值物品出入库录入!M78</f>
        <v>49</v>
      </c>
      <c r="N77" s="133">
        <f>前台增值物品出入库录入!N78*$E77</f>
        <v>0</v>
      </c>
      <c r="O77" s="133">
        <f>前台增值物品出入库录入!O78*$E77</f>
        <v>0</v>
      </c>
      <c r="P77" s="133">
        <f>前台增值物品出入库录入!P78*$E77</f>
        <v>0</v>
      </c>
      <c r="Q77" s="133">
        <f>前台增值物品出入库录入!Q78*$E77</f>
        <v>0</v>
      </c>
      <c r="R77" s="133">
        <f>前台增值物品出入库录入!R78*$E77</f>
        <v>0</v>
      </c>
      <c r="S77" s="133">
        <f>前台增值物品出入库录入!S78*$E77</f>
        <v>0</v>
      </c>
      <c r="T77" s="133">
        <f>前台增值物品出入库录入!T78*$E77</f>
        <v>0</v>
      </c>
      <c r="U77" s="133">
        <f>前台增值物品出入库录入!U78*$E77</f>
        <v>0</v>
      </c>
      <c r="V77" s="133">
        <f>前台增值物品出入库录入!V78*$E77</f>
        <v>0</v>
      </c>
      <c r="W77" s="133">
        <f>前台增值物品出入库录入!W78*$E77</f>
        <v>0</v>
      </c>
      <c r="X77" s="133">
        <f>前台增值物品出入库录入!X78*$E77</f>
        <v>0</v>
      </c>
      <c r="Y77" s="133">
        <f>前台增值物品出入库录入!Y78*$E77</f>
        <v>0</v>
      </c>
      <c r="Z77" s="133">
        <f>前台增值物品出入库录入!Z78*$E77</f>
        <v>0</v>
      </c>
      <c r="AA77" s="133">
        <f>前台增值物品出入库录入!AA78*$E77</f>
        <v>0</v>
      </c>
      <c r="AB77" s="133">
        <f>前台增值物品出入库录入!AB78*$E77</f>
        <v>0</v>
      </c>
      <c r="AC77" s="133">
        <f>前台增值物品出入库录入!AC78*$E77</f>
        <v>0</v>
      </c>
      <c r="AD77" s="133">
        <f>前台增值物品出入库录入!AD78*$E77</f>
        <v>0</v>
      </c>
      <c r="AE77" s="133">
        <f>前台增值物品出入库录入!AE78*$E77</f>
        <v>0</v>
      </c>
      <c r="AF77" s="133">
        <f>前台增值物品出入库录入!AF78*$E77</f>
        <v>0</v>
      </c>
      <c r="AG77" s="133">
        <f>前台增值物品出入库录入!AG78*$E77</f>
        <v>0</v>
      </c>
      <c r="AH77" s="133">
        <f>前台增值物品出入库录入!AH78*$E77</f>
        <v>98</v>
      </c>
      <c r="AI77" s="133">
        <f>前台增值物品出入库录入!AI78*$E77</f>
        <v>0</v>
      </c>
      <c r="AJ77" s="133">
        <f>前台增值物品出入库录入!AJ78*$E77</f>
        <v>0</v>
      </c>
      <c r="AK77" s="133">
        <f>前台增值物品出入库录入!AK78*$E77</f>
        <v>0</v>
      </c>
      <c r="AL77" s="133">
        <f>前台增值物品出入库录入!AL78*$E77</f>
        <v>0</v>
      </c>
      <c r="AM77" s="133">
        <f>前台增值物品出入库录入!AM78*$E77</f>
        <v>0</v>
      </c>
      <c r="AN77" s="133">
        <f>前台增值物品出入库录入!AN78*$E77</f>
        <v>0</v>
      </c>
      <c r="AO77" s="133">
        <f>前台增值物品出入库录入!AO78*$E77</f>
        <v>0</v>
      </c>
      <c r="AP77" s="133">
        <f>前台增值物品出入库录入!AP78*$E77</f>
        <v>0</v>
      </c>
      <c r="AQ77" s="133">
        <f>前台增值物品出入库录入!AQ78*$E77</f>
        <v>0</v>
      </c>
      <c r="AR77" s="133">
        <f>前台增值物品出入库录入!AR78*$E77</f>
        <v>0</v>
      </c>
      <c r="AS77" s="133">
        <f>前台增值物品出入库录入!AS78*$E77</f>
        <v>0</v>
      </c>
      <c r="AT77" s="133">
        <f>前台增值物品出入库录入!AT78*$E77</f>
        <v>0</v>
      </c>
      <c r="AU77" s="133">
        <f>前台增值物品出入库录入!AU78*$E77</f>
        <v>0</v>
      </c>
      <c r="AV77" s="133">
        <f>前台增值物品出入库录入!AV78*$E77</f>
        <v>0</v>
      </c>
      <c r="AW77" s="133">
        <f>前台增值物品出入库录入!AW78*$E77</f>
        <v>0</v>
      </c>
      <c r="AX77" s="133">
        <f>前台增值物品出入库录入!AX78*$E77</f>
        <v>0</v>
      </c>
      <c r="AY77" s="133">
        <f>前台增值物品出入库录入!AY78*$E77</f>
        <v>0</v>
      </c>
      <c r="AZ77" s="133">
        <f>前台增值物品出入库录入!AZ78*$E77</f>
        <v>0</v>
      </c>
      <c r="BA77" s="133">
        <f>前台增值物品出入库录入!BA78*$E77</f>
        <v>0</v>
      </c>
      <c r="BB77" s="133">
        <f>前台增值物品出入库录入!BB78*$E77</f>
        <v>0</v>
      </c>
      <c r="BC77" s="133">
        <f>前台增值物品出入库录入!BC78*$E77</f>
        <v>0</v>
      </c>
      <c r="BD77" s="133">
        <f>前台增值物品出入库录入!BD78*$E77</f>
        <v>0</v>
      </c>
      <c r="BE77" s="133">
        <f>前台增值物品出入库录入!BE78*$E77</f>
        <v>0</v>
      </c>
      <c r="BF77" s="133">
        <f>前台增值物品出入库录入!BF78*$E77</f>
        <v>0</v>
      </c>
      <c r="BG77" s="133">
        <f>前台增值物品出入库录入!BG78*$E77</f>
        <v>0</v>
      </c>
      <c r="BH77" s="133">
        <f>前台增值物品出入库录入!BH78*$E77</f>
        <v>0</v>
      </c>
      <c r="BI77" s="133">
        <f>前台增值物品出入库录入!BI78*$E77</f>
        <v>0</v>
      </c>
      <c r="BJ77" s="133">
        <f>前台增值物品出入库录入!BJ78*$E77</f>
        <v>0</v>
      </c>
      <c r="BK77" s="133">
        <f>前台增值物品出入库录入!BK78*$E77</f>
        <v>49</v>
      </c>
      <c r="BL77" s="133">
        <f>前台增值物品出入库录入!BL78*$E77</f>
        <v>0</v>
      </c>
      <c r="BM77" s="133">
        <f>前台增值物品出入库录入!BM78*$E77</f>
        <v>0</v>
      </c>
      <c r="BN77" s="133">
        <f>前台增值物品出入库录入!BN78*$E77</f>
        <v>0</v>
      </c>
      <c r="BO77" s="133">
        <f>前台增值物品出入库录入!BO78*$E77</f>
        <v>0</v>
      </c>
      <c r="BP77" s="133">
        <f>前台增值物品出入库录入!BP78*$E77</f>
        <v>0</v>
      </c>
      <c r="BQ77" s="133">
        <f>前台增值物品出入库录入!BQ78*$E77</f>
        <v>0</v>
      </c>
      <c r="BR77" s="133">
        <f>前台增值物品出入库录入!BR78*$E77</f>
        <v>0</v>
      </c>
      <c r="BS77" s="133">
        <f>前台增值物品出入库录入!BS78*$E77</f>
        <v>0</v>
      </c>
      <c r="BT77" s="133">
        <f>前台增值物品出入库录入!BT78*$E77</f>
        <v>0</v>
      </c>
      <c r="BU77" s="133">
        <f>前台增值物品出入库录入!BU78*$E77</f>
        <v>0</v>
      </c>
      <c r="BV77" s="133">
        <f>前台增值物品出入库录入!BV78*$E77</f>
        <v>0</v>
      </c>
      <c r="BW77" s="133">
        <f>前台增值物品出入库录入!BW78*$E77</f>
        <v>0</v>
      </c>
    </row>
    <row r="78" s="178" customFormat="1" customHeight="1" spans="1:75">
      <c r="A78" s="161">
        <v>82</v>
      </c>
      <c r="B78" s="162" t="str">
        <f>前台增值物品出入库录入!B79</f>
        <v>咖啡豆</v>
      </c>
      <c r="C78" s="162">
        <f>前台增值物品出入库录入!C79</f>
        <v>0</v>
      </c>
      <c r="D78" s="162" t="str">
        <f>前台增值物品出入库录入!D79</f>
        <v>袋</v>
      </c>
      <c r="E78" s="162">
        <f>前台增值物品出入库录入!E79</f>
        <v>33.5</v>
      </c>
      <c r="F78" s="162">
        <f>前台增值物品出入库录入!F79</f>
        <v>0</v>
      </c>
      <c r="G78" s="162">
        <f>前台增值物品出入库录入!G79</f>
        <v>0</v>
      </c>
      <c r="H78" s="162">
        <f>前台增值物品出入库录入!H79</f>
        <v>20</v>
      </c>
      <c r="I78" s="162">
        <f>前台增值物品出入库录入!I79</f>
        <v>670</v>
      </c>
      <c r="J78" s="162">
        <f>前台增值物品出入库录入!J79</f>
        <v>4</v>
      </c>
      <c r="K78" s="162">
        <f>前台增值物品出入库录入!K79</f>
        <v>134</v>
      </c>
      <c r="L78" s="162">
        <f>前台增值物品出入库录入!L79</f>
        <v>16</v>
      </c>
      <c r="M78" s="162">
        <f>前台增值物品出入库录入!M79</f>
        <v>536</v>
      </c>
      <c r="N78" s="133">
        <f>前台增值物品出入库录入!N79*$E78</f>
        <v>0</v>
      </c>
      <c r="O78" s="133">
        <f>前台增值物品出入库录入!O79*$E78</f>
        <v>0</v>
      </c>
      <c r="P78" s="133">
        <f>前台增值物品出入库录入!P79*$E78</f>
        <v>0</v>
      </c>
      <c r="Q78" s="133">
        <f>前台增值物品出入库录入!Q79*$E78</f>
        <v>0</v>
      </c>
      <c r="R78" s="133">
        <f>前台增值物品出入库录入!R79*$E78</f>
        <v>0</v>
      </c>
      <c r="S78" s="133">
        <f>前台增值物品出入库录入!S79*$E78</f>
        <v>0</v>
      </c>
      <c r="T78" s="133">
        <f>前台增值物品出入库录入!T79*$E78</f>
        <v>0</v>
      </c>
      <c r="U78" s="133">
        <f>前台增值物品出入库录入!U79*$E78</f>
        <v>0</v>
      </c>
      <c r="V78" s="133">
        <f>前台增值物品出入库录入!V79*$E78</f>
        <v>0</v>
      </c>
      <c r="W78" s="133">
        <f>前台增值物品出入库录入!W79*$E78</f>
        <v>0</v>
      </c>
      <c r="X78" s="133">
        <f>前台增值物品出入库录入!X79*$E78</f>
        <v>0</v>
      </c>
      <c r="Y78" s="133">
        <f>前台增值物品出入库录入!Y79*$E78</f>
        <v>0</v>
      </c>
      <c r="Z78" s="133">
        <f>前台增值物品出入库录入!Z79*$E78</f>
        <v>0</v>
      </c>
      <c r="AA78" s="133">
        <f>前台增值物品出入库录入!AA79*$E78</f>
        <v>0</v>
      </c>
      <c r="AB78" s="133">
        <f>前台增值物品出入库录入!AB79*$E78</f>
        <v>0</v>
      </c>
      <c r="AC78" s="133">
        <f>前台增值物品出入库录入!AC79*$E78</f>
        <v>0</v>
      </c>
      <c r="AD78" s="133">
        <f>前台增值物品出入库录入!AD79*$E78</f>
        <v>670</v>
      </c>
      <c r="AE78" s="133">
        <f>前台增值物品出入库录入!AE79*$E78</f>
        <v>0</v>
      </c>
      <c r="AF78" s="133">
        <f>前台增值物品出入库录入!AF79*$E78</f>
        <v>0</v>
      </c>
      <c r="AG78" s="133">
        <f>前台增值物品出入库录入!AG79*$E78</f>
        <v>0</v>
      </c>
      <c r="AH78" s="133">
        <f>前台增值物品出入库录入!AH79*$E78</f>
        <v>0</v>
      </c>
      <c r="AI78" s="133">
        <f>前台增值物品出入库录入!AI79*$E78</f>
        <v>0</v>
      </c>
      <c r="AJ78" s="133">
        <f>前台增值物品出入库录入!AJ79*$E78</f>
        <v>0</v>
      </c>
      <c r="AK78" s="133">
        <f>前台增值物品出入库录入!AK79*$E78</f>
        <v>0</v>
      </c>
      <c r="AL78" s="133">
        <f>前台增值物品出入库录入!AL79*$E78</f>
        <v>0</v>
      </c>
      <c r="AM78" s="133">
        <f>前台增值物品出入库录入!AM79*$E78</f>
        <v>0</v>
      </c>
      <c r="AN78" s="133">
        <f>前台增值物品出入库录入!AN79*$E78</f>
        <v>0</v>
      </c>
      <c r="AO78" s="133">
        <f>前台增值物品出入库录入!AO79*$E78</f>
        <v>0</v>
      </c>
      <c r="AP78" s="133">
        <f>前台增值物品出入库录入!AP79*$E78</f>
        <v>0</v>
      </c>
      <c r="AQ78" s="133">
        <f>前台增值物品出入库录入!AQ79*$E78</f>
        <v>0</v>
      </c>
      <c r="AR78" s="133">
        <f>前台增值物品出入库录入!AR79*$E78</f>
        <v>0</v>
      </c>
      <c r="AS78" s="133">
        <f>前台增值物品出入库录入!AS79*$E78</f>
        <v>0</v>
      </c>
      <c r="AT78" s="133">
        <f>前台增值物品出入库录入!AT79*$E78</f>
        <v>0</v>
      </c>
      <c r="AU78" s="133">
        <f>前台增值物品出入库录入!AU79*$E78</f>
        <v>0</v>
      </c>
      <c r="AV78" s="133">
        <f>前台增值物品出入库录入!AV79*$E78</f>
        <v>0</v>
      </c>
      <c r="AW78" s="133">
        <f>前台增值物品出入库录入!AW79*$E78</f>
        <v>0</v>
      </c>
      <c r="AX78" s="133">
        <f>前台增值物品出入库录入!AX79*$E78</f>
        <v>0</v>
      </c>
      <c r="AY78" s="133">
        <f>前台增值物品出入库录入!AY79*$E78</f>
        <v>0</v>
      </c>
      <c r="AZ78" s="133">
        <f>前台增值物品出入库录入!AZ79*$E78</f>
        <v>0</v>
      </c>
      <c r="BA78" s="133">
        <f>前台增值物品出入库录入!BA79*$E78</f>
        <v>0</v>
      </c>
      <c r="BB78" s="133">
        <f>前台增值物品出入库录入!BB79*$E78</f>
        <v>0</v>
      </c>
      <c r="BC78" s="133">
        <f>前台增值物品出入库录入!BC79*$E78</f>
        <v>0</v>
      </c>
      <c r="BD78" s="133">
        <f>前台增值物品出入库录入!BD79*$E78</f>
        <v>0</v>
      </c>
      <c r="BE78" s="133">
        <f>前台增值物品出入库录入!BE79*$E78</f>
        <v>0</v>
      </c>
      <c r="BF78" s="133">
        <f>前台增值物品出入库录入!BF79*$E78</f>
        <v>0</v>
      </c>
      <c r="BG78" s="133">
        <f>前台增值物品出入库录入!BG79*$E78</f>
        <v>0</v>
      </c>
      <c r="BH78" s="133">
        <f>前台增值物品出入库录入!BH79*$E78</f>
        <v>0</v>
      </c>
      <c r="BI78" s="133">
        <f>前台增值物品出入库录入!BI79*$E78</f>
        <v>0</v>
      </c>
      <c r="BJ78" s="133">
        <f>前台增值物品出入库录入!BJ79*$E78</f>
        <v>0</v>
      </c>
      <c r="BK78" s="133">
        <f>前台增值物品出入库录入!BK79*$E78</f>
        <v>0</v>
      </c>
      <c r="BL78" s="133">
        <f>前台增值物品出入库录入!BL79*$E78</f>
        <v>0</v>
      </c>
      <c r="BM78" s="133">
        <f>前台增值物品出入库录入!BM79*$E78</f>
        <v>67</v>
      </c>
      <c r="BN78" s="133">
        <f>前台增值物品出入库录入!BN79*$E78</f>
        <v>0</v>
      </c>
      <c r="BO78" s="133">
        <f>前台增值物品出入库录入!BO79*$E78</f>
        <v>33.5</v>
      </c>
      <c r="BP78" s="133">
        <f>前台增值物品出入库录入!BP79*$E78</f>
        <v>0</v>
      </c>
      <c r="BQ78" s="133">
        <f>前台增值物品出入库录入!BQ79*$E78</f>
        <v>33.5</v>
      </c>
      <c r="BR78" s="133">
        <f>前台增值物品出入库录入!BR79*$E78</f>
        <v>0</v>
      </c>
      <c r="BS78" s="133">
        <f>前台增值物品出入库录入!BS79*$E78</f>
        <v>0</v>
      </c>
      <c r="BT78" s="133">
        <f>前台增值物品出入库录入!BT79*$E78</f>
        <v>0</v>
      </c>
      <c r="BU78" s="133">
        <f>前台增值物品出入库录入!BU79*$E78</f>
        <v>0</v>
      </c>
      <c r="BV78" s="133">
        <f>前台增值物品出入库录入!BV79*$E78</f>
        <v>0</v>
      </c>
      <c r="BW78" s="133">
        <f>前台增值物品出入库录入!BW79*$E78</f>
        <v>0</v>
      </c>
    </row>
    <row r="79" s="178" customFormat="1" customHeight="1" spans="1:75">
      <c r="A79" s="161">
        <v>83</v>
      </c>
      <c r="B79" s="162" t="str">
        <f>前台增值物品出入库录入!B81</f>
        <v>针线包</v>
      </c>
      <c r="C79" s="162">
        <f>前台增值物品出入库录入!C81</f>
        <v>0</v>
      </c>
      <c r="D79" s="162" t="str">
        <f>前台增值物品出入库录入!D81</f>
        <v>个</v>
      </c>
      <c r="E79" s="162">
        <f>前台增值物品出入库录入!E81</f>
        <v>0.18</v>
      </c>
      <c r="F79" s="162">
        <f>前台增值物品出入库录入!F81</f>
        <v>180</v>
      </c>
      <c r="G79" s="162">
        <f>前台增值物品出入库录入!G81</f>
        <v>32.4</v>
      </c>
      <c r="H79" s="162">
        <f>前台增值物品出入库录入!H81</f>
        <v>0</v>
      </c>
      <c r="I79" s="162">
        <f>前台增值物品出入库录入!I81</f>
        <v>0</v>
      </c>
      <c r="J79" s="162">
        <f>前台增值物品出入库录入!J81</f>
        <v>81</v>
      </c>
      <c r="K79" s="162">
        <f>前台增值物品出入库录入!K81</f>
        <v>14.58</v>
      </c>
      <c r="L79" s="162">
        <f>前台增值物品出入库录入!L81</f>
        <v>99</v>
      </c>
      <c r="M79" s="162">
        <f>前台增值物品出入库录入!M81</f>
        <v>17.82</v>
      </c>
      <c r="N79" s="133">
        <f>前台增值物品出入库录入!N81*$E79</f>
        <v>0</v>
      </c>
      <c r="O79" s="133">
        <f>前台增值物品出入库录入!O81*$E79</f>
        <v>0.9</v>
      </c>
      <c r="P79" s="133">
        <f>前台增值物品出入库录入!P81*$E79</f>
        <v>0</v>
      </c>
      <c r="Q79" s="133">
        <f>前台增值物品出入库录入!Q81*$E79</f>
        <v>0</v>
      </c>
      <c r="R79" s="133">
        <f>前台增值物品出入库录入!R81*$E79</f>
        <v>0</v>
      </c>
      <c r="S79" s="133">
        <f>前台增值物品出入库录入!S81*$E79</f>
        <v>5.4</v>
      </c>
      <c r="T79" s="133">
        <f>前台增值物品出入库录入!T81*$E79</f>
        <v>0</v>
      </c>
      <c r="U79" s="133">
        <f>前台增值物品出入库录入!U81*$E79</f>
        <v>5.4</v>
      </c>
      <c r="V79" s="133">
        <f>前台增值物品出入库录入!V81*$E79</f>
        <v>0</v>
      </c>
      <c r="W79" s="133">
        <f>前台增值物品出入库录入!W81*$E79</f>
        <v>0</v>
      </c>
      <c r="X79" s="133">
        <f>前台增值物品出入库录入!X81*$E79</f>
        <v>0</v>
      </c>
      <c r="Y79" s="133">
        <f>前台增值物品出入库录入!Y81*$E79</f>
        <v>0</v>
      </c>
      <c r="Z79" s="133">
        <f>前台增值物品出入库录入!Z81*$E79</f>
        <v>0</v>
      </c>
      <c r="AA79" s="133">
        <f>前台增值物品出入库录入!AA81*$E79</f>
        <v>0</v>
      </c>
      <c r="AB79" s="133">
        <f>前台增值物品出入库录入!AB81*$E79</f>
        <v>0</v>
      </c>
      <c r="AC79" s="133">
        <f>前台增值物品出入库录入!AC81*$E79</f>
        <v>0</v>
      </c>
      <c r="AD79" s="133">
        <f>前台增值物品出入库录入!AD81*$E79</f>
        <v>0</v>
      </c>
      <c r="AE79" s="133">
        <f>前台增值物品出入库录入!AE81*$E79</f>
        <v>0</v>
      </c>
      <c r="AF79" s="133">
        <f>前台增值物品出入库录入!AF81*$E79</f>
        <v>0</v>
      </c>
      <c r="AG79" s="133">
        <f>前台增值物品出入库录入!AG81*$E79</f>
        <v>0</v>
      </c>
      <c r="AH79" s="133">
        <f>前台增值物品出入库录入!AH81*$E79</f>
        <v>0</v>
      </c>
      <c r="AI79" s="133">
        <f>前台增值物品出入库录入!AI81*$E79</f>
        <v>0</v>
      </c>
      <c r="AJ79" s="133">
        <f>前台增值物品出入库录入!AJ81*$E79</f>
        <v>0</v>
      </c>
      <c r="AK79" s="133">
        <f>前台增值物品出入库录入!AK81*$E79</f>
        <v>0</v>
      </c>
      <c r="AL79" s="133">
        <f>前台增值物品出入库录入!AL81*$E79</f>
        <v>0</v>
      </c>
      <c r="AM79" s="133">
        <f>前台增值物品出入库录入!AM81*$E79</f>
        <v>0</v>
      </c>
      <c r="AN79" s="133">
        <f>前台增值物品出入库录入!AN81*$E79</f>
        <v>0</v>
      </c>
      <c r="AO79" s="133">
        <f>前台增值物品出入库录入!AO81*$E79</f>
        <v>0</v>
      </c>
      <c r="AP79" s="133">
        <f>前台增值物品出入库录入!AP81*$E79</f>
        <v>0</v>
      </c>
      <c r="AQ79" s="133">
        <f>前台增值物品出入库录入!AQ81*$E79</f>
        <v>0</v>
      </c>
      <c r="AR79" s="133">
        <f>前台增值物品出入库录入!AR81*$E79</f>
        <v>0</v>
      </c>
      <c r="AS79" s="133">
        <f>前台增值物品出入库录入!AS81*$E79</f>
        <v>0</v>
      </c>
      <c r="AT79" s="133">
        <f>前台增值物品出入库录入!AT81*$E79</f>
        <v>0</v>
      </c>
      <c r="AU79" s="133">
        <f>前台增值物品出入库录入!AU81*$E79</f>
        <v>0.54</v>
      </c>
      <c r="AV79" s="133">
        <f>前台增值物品出入库录入!AV81*$E79</f>
        <v>0</v>
      </c>
      <c r="AW79" s="133">
        <f>前台增值物品出入库录入!AW81*$E79</f>
        <v>0.72</v>
      </c>
      <c r="AX79" s="133">
        <f>前台增值物品出入库录入!AX81*$E79</f>
        <v>0</v>
      </c>
      <c r="AY79" s="133">
        <f>前台增值物品出入库录入!AY81*$E79</f>
        <v>0.18</v>
      </c>
      <c r="AZ79" s="133">
        <f>前台增值物品出入库录入!AZ81*$E79</f>
        <v>0</v>
      </c>
      <c r="BA79" s="133">
        <f>前台增值物品出入库录入!BA81*$E79</f>
        <v>0.18</v>
      </c>
      <c r="BB79" s="133">
        <f>前台增值物品出入库录入!BB81*$E79</f>
        <v>0</v>
      </c>
      <c r="BC79" s="133">
        <f>前台增值物品出入库录入!BC81*$E79</f>
        <v>0.72</v>
      </c>
      <c r="BD79" s="133">
        <f>前台增值物品出入库录入!BD81*$E79</f>
        <v>0</v>
      </c>
      <c r="BE79" s="133">
        <f>前台增值物品出入库录入!BE81*$E79</f>
        <v>0.54</v>
      </c>
      <c r="BF79" s="133">
        <f>前台增值物品出入库录入!BF81*$E79</f>
        <v>0</v>
      </c>
      <c r="BG79" s="133">
        <f>前台增值物品出入库录入!BG81*$E79</f>
        <v>0</v>
      </c>
      <c r="BH79" s="133">
        <f>前台增值物品出入库录入!BH81*$E79</f>
        <v>0</v>
      </c>
      <c r="BI79" s="133">
        <f>前台增值物品出入库录入!BI81*$E79</f>
        <v>0</v>
      </c>
      <c r="BJ79" s="133">
        <f>前台增值物品出入库录入!BJ81*$E79</f>
        <v>0</v>
      </c>
      <c r="BK79" s="133">
        <f>前台增值物品出入库录入!BK81*$E79</f>
        <v>0</v>
      </c>
      <c r="BL79" s="133">
        <f>前台增值物品出入库录入!BL81*$E79</f>
        <v>0</v>
      </c>
      <c r="BM79" s="133">
        <f>前台增值物品出入库录入!BM81*$E79</f>
        <v>0</v>
      </c>
      <c r="BN79" s="133">
        <f>前台增值物品出入库录入!BN81*$E79</f>
        <v>0</v>
      </c>
      <c r="BO79" s="133">
        <f>前台增值物品出入库录入!BO81*$E79</f>
        <v>0</v>
      </c>
      <c r="BP79" s="133">
        <f>前台增值物品出入库录入!BP81*$E79</f>
        <v>0</v>
      </c>
      <c r="BQ79" s="133">
        <f>前台增值物品出入库录入!BQ81*$E79</f>
        <v>0</v>
      </c>
      <c r="BR79" s="133">
        <f>前台增值物品出入库录入!BR81*$E79</f>
        <v>0</v>
      </c>
      <c r="BS79" s="133">
        <f>前台增值物品出入库录入!BS81*$E79</f>
        <v>0</v>
      </c>
      <c r="BT79" s="133">
        <f>前台增值物品出入库录入!BT81*$E79</f>
        <v>0</v>
      </c>
      <c r="BU79" s="133">
        <f>前台增值物品出入库录入!BU81*$E79</f>
        <v>0</v>
      </c>
      <c r="BV79" s="133">
        <f>前台增值物品出入库录入!BV81*$E79</f>
        <v>0</v>
      </c>
      <c r="BW79" s="133">
        <f>前台增值物品出入库录入!BW81*$E79</f>
        <v>0</v>
      </c>
    </row>
    <row r="80" s="178" customFormat="1" customHeight="1" spans="1:75">
      <c r="A80" s="161">
        <v>84</v>
      </c>
      <c r="B80" s="162" t="str">
        <f>前台增值物品出入库录入!B82</f>
        <v>晨光K35黑色中性笔</v>
      </c>
      <c r="C80" s="162">
        <f>前台增值物品出入库录入!C82</f>
        <v>0</v>
      </c>
      <c r="D80" s="162" t="str">
        <f>前台增值物品出入库录入!D82</f>
        <v>支</v>
      </c>
      <c r="E80" s="162">
        <f>前台增值物品出入库录入!E82</f>
        <v>0.9771</v>
      </c>
      <c r="F80" s="162">
        <f>前台增值物品出入库录入!F82</f>
        <v>30</v>
      </c>
      <c r="G80" s="162">
        <f>前台增值物品出入库录入!G82</f>
        <v>29.313</v>
      </c>
      <c r="H80" s="162">
        <f>前台增值物品出入库录入!H82</f>
        <v>0</v>
      </c>
      <c r="I80" s="162">
        <f>前台增值物品出入库录入!I82</f>
        <v>0</v>
      </c>
      <c r="J80" s="162">
        <f>前台增值物品出入库录入!J82</f>
        <v>0</v>
      </c>
      <c r="K80" s="162">
        <f>前台增值物品出入库录入!K82</f>
        <v>0</v>
      </c>
      <c r="L80" s="162">
        <f>前台增值物品出入库录入!L82</f>
        <v>30</v>
      </c>
      <c r="M80" s="162">
        <f>前台增值物品出入库录入!M82</f>
        <v>29.313</v>
      </c>
      <c r="N80" s="133">
        <f>前台增值物品出入库录入!N82*$E80</f>
        <v>0</v>
      </c>
      <c r="O80" s="133">
        <f>前台增值物品出入库录入!O82*$E80</f>
        <v>0</v>
      </c>
      <c r="P80" s="133">
        <f>前台增值物品出入库录入!P82*$E80</f>
        <v>0</v>
      </c>
      <c r="Q80" s="133">
        <f>前台增值物品出入库录入!Q82*$E80</f>
        <v>0</v>
      </c>
      <c r="R80" s="133">
        <f>前台增值物品出入库录入!R82*$E80</f>
        <v>0</v>
      </c>
      <c r="S80" s="133">
        <f>前台增值物品出入库录入!S82*$E80</f>
        <v>0</v>
      </c>
      <c r="T80" s="133">
        <f>前台增值物品出入库录入!T82*$E80</f>
        <v>0</v>
      </c>
      <c r="U80" s="133">
        <f>前台增值物品出入库录入!U82*$E80</f>
        <v>0</v>
      </c>
      <c r="V80" s="133">
        <f>前台增值物品出入库录入!V82*$E80</f>
        <v>0</v>
      </c>
      <c r="W80" s="133">
        <f>前台增值物品出入库录入!W82*$E80</f>
        <v>0</v>
      </c>
      <c r="X80" s="133">
        <f>前台增值物品出入库录入!X82*$E80</f>
        <v>0</v>
      </c>
      <c r="Y80" s="133">
        <f>前台增值物品出入库录入!Y82*$E80</f>
        <v>0</v>
      </c>
      <c r="Z80" s="133">
        <f>前台增值物品出入库录入!Z82*$E80</f>
        <v>0</v>
      </c>
      <c r="AA80" s="133">
        <f>前台增值物品出入库录入!AA82*$E80</f>
        <v>0</v>
      </c>
      <c r="AB80" s="133">
        <f>前台增值物品出入库录入!AB82*$E80</f>
        <v>0</v>
      </c>
      <c r="AC80" s="133">
        <f>前台增值物品出入库录入!AC82*$E80</f>
        <v>0</v>
      </c>
      <c r="AD80" s="133">
        <f>前台增值物品出入库录入!AD82*$E80</f>
        <v>0</v>
      </c>
      <c r="AE80" s="133">
        <f>前台增值物品出入库录入!AE82*$E80</f>
        <v>0</v>
      </c>
      <c r="AF80" s="133">
        <f>前台增值物品出入库录入!AF82*$E80</f>
        <v>0</v>
      </c>
      <c r="AG80" s="133">
        <f>前台增值物品出入库录入!AG82*$E80</f>
        <v>0</v>
      </c>
      <c r="AH80" s="133">
        <f>前台增值物品出入库录入!AH82*$E80</f>
        <v>0</v>
      </c>
      <c r="AI80" s="133">
        <f>前台增值物品出入库录入!AI82*$E80</f>
        <v>0</v>
      </c>
      <c r="AJ80" s="133">
        <f>前台增值物品出入库录入!AJ82*$E80</f>
        <v>0</v>
      </c>
      <c r="AK80" s="133">
        <f>前台增值物品出入库录入!AK82*$E80</f>
        <v>0</v>
      </c>
      <c r="AL80" s="133">
        <f>前台增值物品出入库录入!AL82*$E80</f>
        <v>0</v>
      </c>
      <c r="AM80" s="133">
        <f>前台增值物品出入库录入!AM82*$E80</f>
        <v>0</v>
      </c>
      <c r="AN80" s="133">
        <f>前台增值物品出入库录入!AN82*$E80</f>
        <v>0</v>
      </c>
      <c r="AO80" s="133">
        <f>前台增值物品出入库录入!AO82*$E80</f>
        <v>0</v>
      </c>
      <c r="AP80" s="133">
        <f>前台增值物品出入库录入!AP82*$E80</f>
        <v>0</v>
      </c>
      <c r="AQ80" s="133">
        <f>前台增值物品出入库录入!AQ82*$E80</f>
        <v>0</v>
      </c>
      <c r="AR80" s="133">
        <f>前台增值物品出入库录入!AR82*$E80</f>
        <v>0</v>
      </c>
      <c r="AS80" s="133">
        <f>前台增值物品出入库录入!AS82*$E80</f>
        <v>0</v>
      </c>
      <c r="AT80" s="133">
        <f>前台增值物品出入库录入!AT82*$E80</f>
        <v>0</v>
      </c>
      <c r="AU80" s="133">
        <f>前台增值物品出入库录入!AU82*$E80</f>
        <v>0</v>
      </c>
      <c r="AV80" s="133">
        <f>前台增值物品出入库录入!AV82*$E80</f>
        <v>0</v>
      </c>
      <c r="AW80" s="133">
        <f>前台增值物品出入库录入!AW82*$E80</f>
        <v>0</v>
      </c>
      <c r="AX80" s="133">
        <f>前台增值物品出入库录入!AX82*$E80</f>
        <v>0</v>
      </c>
      <c r="AY80" s="133">
        <f>前台增值物品出入库录入!AY82*$E80</f>
        <v>0</v>
      </c>
      <c r="AZ80" s="133">
        <f>前台增值物品出入库录入!AZ82*$E80</f>
        <v>0</v>
      </c>
      <c r="BA80" s="133">
        <f>前台增值物品出入库录入!BA82*$E80</f>
        <v>0</v>
      </c>
      <c r="BB80" s="133">
        <f>前台增值物品出入库录入!BB82*$E80</f>
        <v>0</v>
      </c>
      <c r="BC80" s="133">
        <f>前台增值物品出入库录入!BC82*$E80</f>
        <v>0</v>
      </c>
      <c r="BD80" s="133">
        <f>前台增值物品出入库录入!BD82*$E80</f>
        <v>0</v>
      </c>
      <c r="BE80" s="133">
        <f>前台增值物品出入库录入!BE82*$E80</f>
        <v>0</v>
      </c>
      <c r="BF80" s="133">
        <f>前台增值物品出入库录入!BF82*$E80</f>
        <v>0</v>
      </c>
      <c r="BG80" s="133">
        <f>前台增值物品出入库录入!BG82*$E80</f>
        <v>0</v>
      </c>
      <c r="BH80" s="133">
        <f>前台增值物品出入库录入!BH82*$E80</f>
        <v>0</v>
      </c>
      <c r="BI80" s="133">
        <f>前台增值物品出入库录入!BI82*$E80</f>
        <v>0</v>
      </c>
      <c r="BJ80" s="133">
        <f>前台增值物品出入库录入!BJ82*$E80</f>
        <v>0</v>
      </c>
      <c r="BK80" s="133">
        <f>前台增值物品出入库录入!BK82*$E80</f>
        <v>0</v>
      </c>
      <c r="BL80" s="133">
        <f>前台增值物品出入库录入!BL82*$E80</f>
        <v>0</v>
      </c>
      <c r="BM80" s="133">
        <f>前台增值物品出入库录入!BM82*$E80</f>
        <v>0</v>
      </c>
      <c r="BN80" s="133">
        <f>前台增值物品出入库录入!BN82*$E80</f>
        <v>0</v>
      </c>
      <c r="BO80" s="133">
        <f>前台增值物品出入库录入!BO82*$E80</f>
        <v>0</v>
      </c>
      <c r="BP80" s="133">
        <f>前台增值物品出入库录入!BP82*$E80</f>
        <v>0</v>
      </c>
      <c r="BQ80" s="133">
        <f>前台增值物品出入库录入!BQ82*$E80</f>
        <v>0</v>
      </c>
      <c r="BR80" s="133">
        <f>前台增值物品出入库录入!BR82*$E80</f>
        <v>0</v>
      </c>
      <c r="BS80" s="133">
        <f>前台增值物品出入库录入!BS82*$E80</f>
        <v>0</v>
      </c>
      <c r="BT80" s="133">
        <f>前台增值物品出入库录入!BT82*$E80</f>
        <v>0</v>
      </c>
      <c r="BU80" s="133">
        <f>前台增值物品出入库录入!BU82*$E80</f>
        <v>0</v>
      </c>
      <c r="BV80" s="133">
        <f>前台增值物品出入库录入!BV82*$E80</f>
        <v>0</v>
      </c>
      <c r="BW80" s="133">
        <f>前台增值物品出入库录入!BW82*$E80</f>
        <v>0</v>
      </c>
    </row>
    <row r="81" s="178" customFormat="1" customHeight="1" spans="1:75">
      <c r="A81" s="161">
        <v>85</v>
      </c>
      <c r="B81" s="162" t="str">
        <f>前台增值物品出入库录入!B83</f>
        <v>印泥</v>
      </c>
      <c r="C81" s="162">
        <f>前台增值物品出入库录入!C83</f>
        <v>0</v>
      </c>
      <c r="D81" s="162" t="str">
        <f>前台增值物品出入库录入!D83</f>
        <v>片</v>
      </c>
      <c r="E81" s="162">
        <f>前台增值物品出入库录入!E83</f>
        <v>9.15</v>
      </c>
      <c r="F81" s="162">
        <f>前台增值物品出入库录入!F83</f>
        <v>0</v>
      </c>
      <c r="G81" s="162">
        <f>前台增值物品出入库录入!G83</f>
        <v>0</v>
      </c>
      <c r="H81" s="162">
        <f>前台增值物品出入库录入!H83</f>
        <v>0</v>
      </c>
      <c r="I81" s="162">
        <f>前台增值物品出入库录入!I83</f>
        <v>0</v>
      </c>
      <c r="J81" s="162">
        <f>前台增值物品出入库录入!J83</f>
        <v>0</v>
      </c>
      <c r="K81" s="162">
        <f>前台增值物品出入库录入!K83</f>
        <v>0</v>
      </c>
      <c r="L81" s="162">
        <f>前台增值物品出入库录入!L83</f>
        <v>0</v>
      </c>
      <c r="M81" s="162">
        <f>前台增值物品出入库录入!M83</f>
        <v>0</v>
      </c>
      <c r="N81" s="133">
        <f>前台增值物品出入库录入!N83*$E81</f>
        <v>0</v>
      </c>
      <c r="O81" s="133">
        <f>前台增值物品出入库录入!O83*$E81</f>
        <v>0</v>
      </c>
      <c r="P81" s="133">
        <f>前台增值物品出入库录入!P83*$E81</f>
        <v>0</v>
      </c>
      <c r="Q81" s="133">
        <f>前台增值物品出入库录入!Q83*$E81</f>
        <v>0</v>
      </c>
      <c r="R81" s="133">
        <f>前台增值物品出入库录入!R83*$E81</f>
        <v>0</v>
      </c>
      <c r="S81" s="133">
        <f>前台增值物品出入库录入!S83*$E81</f>
        <v>0</v>
      </c>
      <c r="T81" s="133">
        <f>前台增值物品出入库录入!T83*$E81</f>
        <v>0</v>
      </c>
      <c r="U81" s="133">
        <f>前台增值物品出入库录入!U83*$E81</f>
        <v>0</v>
      </c>
      <c r="V81" s="133">
        <f>前台增值物品出入库录入!V83*$E81</f>
        <v>0</v>
      </c>
      <c r="W81" s="133">
        <f>前台增值物品出入库录入!W83*$E81</f>
        <v>0</v>
      </c>
      <c r="X81" s="133">
        <f>前台增值物品出入库录入!X83*$E81</f>
        <v>0</v>
      </c>
      <c r="Y81" s="133">
        <f>前台增值物品出入库录入!Y83*$E81</f>
        <v>0</v>
      </c>
      <c r="Z81" s="133">
        <f>前台增值物品出入库录入!Z83*$E81</f>
        <v>0</v>
      </c>
      <c r="AA81" s="133">
        <f>前台增值物品出入库录入!AA83*$E81</f>
        <v>0</v>
      </c>
      <c r="AB81" s="133">
        <f>前台增值物品出入库录入!AB83*$E81</f>
        <v>0</v>
      </c>
      <c r="AC81" s="133">
        <f>前台增值物品出入库录入!AC83*$E81</f>
        <v>0</v>
      </c>
      <c r="AD81" s="133">
        <f>前台增值物品出入库录入!AD83*$E81</f>
        <v>0</v>
      </c>
      <c r="AE81" s="133">
        <f>前台增值物品出入库录入!AE83*$E81</f>
        <v>0</v>
      </c>
      <c r="AF81" s="133">
        <f>前台增值物品出入库录入!AF83*$E81</f>
        <v>0</v>
      </c>
      <c r="AG81" s="133">
        <f>前台增值物品出入库录入!AG83*$E81</f>
        <v>0</v>
      </c>
      <c r="AH81" s="133">
        <f>前台增值物品出入库录入!AH83*$E81</f>
        <v>0</v>
      </c>
      <c r="AI81" s="133">
        <f>前台增值物品出入库录入!AI83*$E81</f>
        <v>0</v>
      </c>
      <c r="AJ81" s="133">
        <f>前台增值物品出入库录入!AJ83*$E81</f>
        <v>0</v>
      </c>
      <c r="AK81" s="133">
        <f>前台增值物品出入库录入!AK83*$E81</f>
        <v>0</v>
      </c>
      <c r="AL81" s="133">
        <f>前台增值物品出入库录入!AL83*$E81</f>
        <v>0</v>
      </c>
      <c r="AM81" s="133">
        <f>前台增值物品出入库录入!AM83*$E81</f>
        <v>0</v>
      </c>
      <c r="AN81" s="133">
        <f>前台增值物品出入库录入!AN83*$E81</f>
        <v>0</v>
      </c>
      <c r="AO81" s="133">
        <f>前台增值物品出入库录入!AO83*$E81</f>
        <v>0</v>
      </c>
      <c r="AP81" s="133">
        <f>前台增值物品出入库录入!AP83*$E81</f>
        <v>0</v>
      </c>
      <c r="AQ81" s="133">
        <f>前台增值物品出入库录入!AQ83*$E81</f>
        <v>0</v>
      </c>
      <c r="AR81" s="133">
        <f>前台增值物品出入库录入!AR83*$E81</f>
        <v>0</v>
      </c>
      <c r="AS81" s="133">
        <f>前台增值物品出入库录入!AS83*$E81</f>
        <v>0</v>
      </c>
      <c r="AT81" s="133">
        <f>前台增值物品出入库录入!AT83*$E81</f>
        <v>0</v>
      </c>
      <c r="AU81" s="133">
        <f>前台增值物品出入库录入!AU83*$E81</f>
        <v>0</v>
      </c>
      <c r="AV81" s="133">
        <f>前台增值物品出入库录入!AV83*$E81</f>
        <v>0</v>
      </c>
      <c r="AW81" s="133">
        <f>前台增值物品出入库录入!AW83*$E81</f>
        <v>0</v>
      </c>
      <c r="AX81" s="133">
        <f>前台增值物品出入库录入!AX83*$E81</f>
        <v>0</v>
      </c>
      <c r="AY81" s="133">
        <f>前台增值物品出入库录入!AY83*$E81</f>
        <v>0</v>
      </c>
      <c r="AZ81" s="133">
        <f>前台增值物品出入库录入!AZ83*$E81</f>
        <v>0</v>
      </c>
      <c r="BA81" s="133">
        <f>前台增值物品出入库录入!BA83*$E81</f>
        <v>0</v>
      </c>
      <c r="BB81" s="133">
        <f>前台增值物品出入库录入!BB83*$E81</f>
        <v>0</v>
      </c>
      <c r="BC81" s="133">
        <f>前台增值物品出入库录入!BC83*$E81</f>
        <v>0</v>
      </c>
      <c r="BD81" s="133">
        <f>前台增值物品出入库录入!BD83*$E81</f>
        <v>0</v>
      </c>
      <c r="BE81" s="133">
        <f>前台增值物品出入库录入!BE83*$E81</f>
        <v>0</v>
      </c>
      <c r="BF81" s="133">
        <f>前台增值物品出入库录入!BF83*$E81</f>
        <v>0</v>
      </c>
      <c r="BG81" s="133">
        <f>前台增值物品出入库录入!BG83*$E81</f>
        <v>0</v>
      </c>
      <c r="BH81" s="133">
        <f>前台增值物品出入库录入!BH83*$E81</f>
        <v>0</v>
      </c>
      <c r="BI81" s="133">
        <f>前台增值物品出入库录入!BI83*$E81</f>
        <v>0</v>
      </c>
      <c r="BJ81" s="133">
        <f>前台增值物品出入库录入!BJ83*$E81</f>
        <v>0</v>
      </c>
      <c r="BK81" s="133">
        <f>前台增值物品出入库录入!BK83*$E81</f>
        <v>0</v>
      </c>
      <c r="BL81" s="133">
        <f>前台增值物品出入库录入!BL83*$E81</f>
        <v>0</v>
      </c>
      <c r="BM81" s="133">
        <f>前台增值物品出入库录入!BM83*$E81</f>
        <v>0</v>
      </c>
      <c r="BN81" s="133">
        <f>前台增值物品出入库录入!BN83*$E81</f>
        <v>0</v>
      </c>
      <c r="BO81" s="133">
        <f>前台增值物品出入库录入!BO83*$E81</f>
        <v>0</v>
      </c>
      <c r="BP81" s="133">
        <f>前台增值物品出入库录入!BP83*$E81</f>
        <v>0</v>
      </c>
      <c r="BQ81" s="133">
        <f>前台增值物品出入库录入!BQ83*$E81</f>
        <v>0</v>
      </c>
      <c r="BR81" s="133">
        <f>前台增值物品出入库录入!BR83*$E81</f>
        <v>0</v>
      </c>
      <c r="BS81" s="133">
        <f>前台增值物品出入库录入!BS83*$E81</f>
        <v>0</v>
      </c>
      <c r="BT81" s="133">
        <f>前台增值物品出入库录入!BT83*$E81</f>
        <v>0</v>
      </c>
      <c r="BU81" s="133">
        <f>前台增值物品出入库录入!BU83*$E81</f>
        <v>0</v>
      </c>
      <c r="BV81" s="133">
        <f>前台增值物品出入库录入!BV83*$E81</f>
        <v>0</v>
      </c>
      <c r="BW81" s="133">
        <f>前台增值物品出入库录入!BW83*$E81</f>
        <v>0</v>
      </c>
    </row>
    <row r="82" s="178" customFormat="1" customHeight="1" spans="1:75">
      <c r="A82" s="161">
        <v>86</v>
      </c>
      <c r="B82" s="162" t="str">
        <f>前台增值物品出入库录入!B84</f>
        <v>剃须刀（酒店）</v>
      </c>
      <c r="C82" s="162">
        <f>前台增值物品出入库录入!C84</f>
        <v>0</v>
      </c>
      <c r="D82" s="162" t="str">
        <f>前台增值物品出入库录入!D84</f>
        <v>个</v>
      </c>
      <c r="E82" s="162">
        <f>前台增值物品出入库录入!E84</f>
        <v>1.11</v>
      </c>
      <c r="F82" s="162">
        <f>前台增值物品出入库录入!F84</f>
        <v>0</v>
      </c>
      <c r="G82" s="162">
        <f>前台增值物品出入库录入!G84</f>
        <v>0</v>
      </c>
      <c r="H82" s="162">
        <f>前台增值物品出入库录入!H84</f>
        <v>0</v>
      </c>
      <c r="I82" s="162">
        <f>前台增值物品出入库录入!I84</f>
        <v>0</v>
      </c>
      <c r="J82" s="162">
        <f>前台增值物品出入库录入!J84</f>
        <v>0</v>
      </c>
      <c r="K82" s="162">
        <f>前台增值物品出入库录入!K84</f>
        <v>0</v>
      </c>
      <c r="L82" s="162">
        <f>前台增值物品出入库录入!L84</f>
        <v>0</v>
      </c>
      <c r="M82" s="162">
        <f>前台增值物品出入库录入!M84</f>
        <v>0</v>
      </c>
      <c r="N82" s="133">
        <f>前台增值物品出入库录入!N84*$E82</f>
        <v>0</v>
      </c>
      <c r="O82" s="133">
        <f>前台增值物品出入库录入!O84*$E82</f>
        <v>0</v>
      </c>
      <c r="P82" s="133">
        <f>前台增值物品出入库录入!P84*$E82</f>
        <v>0</v>
      </c>
      <c r="Q82" s="133">
        <f>前台增值物品出入库录入!Q84*$E82</f>
        <v>0</v>
      </c>
      <c r="R82" s="133">
        <f>前台增值物品出入库录入!R84*$E82</f>
        <v>0</v>
      </c>
      <c r="S82" s="133">
        <f>前台增值物品出入库录入!S84*$E82</f>
        <v>0</v>
      </c>
      <c r="T82" s="133">
        <f>前台增值物品出入库录入!T84*$E82</f>
        <v>0</v>
      </c>
      <c r="U82" s="133">
        <f>前台增值物品出入库录入!U84*$E82</f>
        <v>0</v>
      </c>
      <c r="V82" s="133">
        <f>前台增值物品出入库录入!V84*$E82</f>
        <v>0</v>
      </c>
      <c r="W82" s="133">
        <f>前台增值物品出入库录入!W84*$E82</f>
        <v>0</v>
      </c>
      <c r="X82" s="133">
        <f>前台增值物品出入库录入!X84*$E82</f>
        <v>0</v>
      </c>
      <c r="Y82" s="133">
        <f>前台增值物品出入库录入!Y84*$E82</f>
        <v>0</v>
      </c>
      <c r="Z82" s="133">
        <f>前台增值物品出入库录入!Z84*$E82</f>
        <v>0</v>
      </c>
      <c r="AA82" s="133">
        <f>前台增值物品出入库录入!AA84*$E82</f>
        <v>0</v>
      </c>
      <c r="AB82" s="133">
        <f>前台增值物品出入库录入!AB84*$E82</f>
        <v>0</v>
      </c>
      <c r="AC82" s="133">
        <f>前台增值物品出入库录入!AC84*$E82</f>
        <v>0</v>
      </c>
      <c r="AD82" s="133">
        <f>前台增值物品出入库录入!AD84*$E82</f>
        <v>0</v>
      </c>
      <c r="AE82" s="133">
        <f>前台增值物品出入库录入!AE84*$E82</f>
        <v>0</v>
      </c>
      <c r="AF82" s="133">
        <f>前台增值物品出入库录入!AF84*$E82</f>
        <v>0</v>
      </c>
      <c r="AG82" s="133">
        <f>前台增值物品出入库录入!AG84*$E82</f>
        <v>0</v>
      </c>
      <c r="AH82" s="133">
        <f>前台增值物品出入库录入!AH84*$E82</f>
        <v>0</v>
      </c>
      <c r="AI82" s="133">
        <f>前台增值物品出入库录入!AI84*$E82</f>
        <v>0</v>
      </c>
      <c r="AJ82" s="133">
        <f>前台增值物品出入库录入!AJ84*$E82</f>
        <v>0</v>
      </c>
      <c r="AK82" s="133">
        <f>前台增值物品出入库录入!AK84*$E82</f>
        <v>0</v>
      </c>
      <c r="AL82" s="133">
        <f>前台增值物品出入库录入!AL84*$E82</f>
        <v>0</v>
      </c>
      <c r="AM82" s="133">
        <f>前台增值物品出入库录入!AM84*$E82</f>
        <v>0</v>
      </c>
      <c r="AN82" s="133">
        <f>前台增值物品出入库录入!AN84*$E82</f>
        <v>0</v>
      </c>
      <c r="AO82" s="133">
        <f>前台增值物品出入库录入!AO84*$E82</f>
        <v>0</v>
      </c>
      <c r="AP82" s="133">
        <f>前台增值物品出入库录入!AP84*$E82</f>
        <v>0</v>
      </c>
      <c r="AQ82" s="133">
        <f>前台增值物品出入库录入!AQ84*$E82</f>
        <v>0</v>
      </c>
      <c r="AR82" s="133">
        <f>前台增值物品出入库录入!AR84*$E82</f>
        <v>0</v>
      </c>
      <c r="AS82" s="133">
        <f>前台增值物品出入库录入!AS84*$E82</f>
        <v>0</v>
      </c>
      <c r="AT82" s="133">
        <f>前台增值物品出入库录入!AT84*$E82</f>
        <v>0</v>
      </c>
      <c r="AU82" s="133">
        <f>前台增值物品出入库录入!AU84*$E82</f>
        <v>0</v>
      </c>
      <c r="AV82" s="133">
        <f>前台增值物品出入库录入!AV84*$E82</f>
        <v>0</v>
      </c>
      <c r="AW82" s="133">
        <f>前台增值物品出入库录入!AW84*$E82</f>
        <v>0</v>
      </c>
      <c r="AX82" s="133">
        <f>前台增值物品出入库录入!AX84*$E82</f>
        <v>0</v>
      </c>
      <c r="AY82" s="133">
        <f>前台增值物品出入库录入!AY84*$E82</f>
        <v>0</v>
      </c>
      <c r="AZ82" s="133">
        <f>前台增值物品出入库录入!AZ84*$E82</f>
        <v>0</v>
      </c>
      <c r="BA82" s="133">
        <f>前台增值物品出入库录入!BA84*$E82</f>
        <v>0</v>
      </c>
      <c r="BB82" s="133">
        <f>前台增值物品出入库录入!BB84*$E82</f>
        <v>0</v>
      </c>
      <c r="BC82" s="133">
        <f>前台增值物品出入库录入!BC84*$E82</f>
        <v>0</v>
      </c>
      <c r="BD82" s="133">
        <f>前台增值物品出入库录入!BD84*$E82</f>
        <v>0</v>
      </c>
      <c r="BE82" s="133">
        <f>前台增值物品出入库录入!BE84*$E82</f>
        <v>0</v>
      </c>
      <c r="BF82" s="133">
        <f>前台增值物品出入库录入!BF84*$E82</f>
        <v>0</v>
      </c>
      <c r="BG82" s="133">
        <f>前台增值物品出入库录入!BG84*$E82</f>
        <v>0</v>
      </c>
      <c r="BH82" s="133">
        <f>前台增值物品出入库录入!BH84*$E82</f>
        <v>0</v>
      </c>
      <c r="BI82" s="133">
        <f>前台增值物品出入库录入!BI84*$E82</f>
        <v>0</v>
      </c>
      <c r="BJ82" s="133">
        <f>前台增值物品出入库录入!BJ84*$E82</f>
        <v>0</v>
      </c>
      <c r="BK82" s="133">
        <f>前台增值物品出入库录入!BK84*$E82</f>
        <v>0</v>
      </c>
      <c r="BL82" s="133">
        <f>前台增值物品出入库录入!BL84*$E82</f>
        <v>0</v>
      </c>
      <c r="BM82" s="133">
        <f>前台增值物品出入库录入!BM84*$E82</f>
        <v>0</v>
      </c>
      <c r="BN82" s="133">
        <f>前台增值物品出入库录入!BN84*$E82</f>
        <v>0</v>
      </c>
      <c r="BO82" s="133">
        <f>前台增值物品出入库录入!BO84*$E82</f>
        <v>0</v>
      </c>
      <c r="BP82" s="133">
        <f>前台增值物品出入库录入!BP84*$E82</f>
        <v>0</v>
      </c>
      <c r="BQ82" s="133">
        <f>前台增值物品出入库录入!BQ84*$E82</f>
        <v>0</v>
      </c>
      <c r="BR82" s="133">
        <f>前台增值物品出入库录入!BR84*$E82</f>
        <v>0</v>
      </c>
      <c r="BS82" s="133">
        <f>前台增值物品出入库录入!BS84*$E82</f>
        <v>0</v>
      </c>
      <c r="BT82" s="133">
        <f>前台增值物品出入库录入!BT84*$E82</f>
        <v>0</v>
      </c>
      <c r="BU82" s="133">
        <f>前台增值物品出入库录入!BU84*$E82</f>
        <v>0</v>
      </c>
      <c r="BV82" s="133">
        <f>前台增值物品出入库录入!BV84*$E82</f>
        <v>0</v>
      </c>
      <c r="BW82" s="133">
        <f>前台增值物品出入库录入!BW84*$E82</f>
        <v>0</v>
      </c>
    </row>
    <row r="83" s="178" customFormat="1" customHeight="1" spans="1:75">
      <c r="A83" s="161">
        <v>87</v>
      </c>
      <c r="B83" s="162" t="str">
        <f>前台增值物品出入库录入!B85</f>
        <v>青柠</v>
      </c>
      <c r="C83" s="162">
        <f>前台增值物品出入库录入!C85</f>
        <v>0</v>
      </c>
      <c r="D83" s="162" t="str">
        <f>前台增值物品出入库录入!D85</f>
        <v>袋</v>
      </c>
      <c r="E83" s="162">
        <f>前台增值物品出入库录入!E85</f>
        <v>11.34</v>
      </c>
      <c r="F83" s="162">
        <f>前台增值物品出入库录入!F85</f>
        <v>0</v>
      </c>
      <c r="G83" s="162">
        <f>前台增值物品出入库录入!G85</f>
        <v>0</v>
      </c>
      <c r="H83" s="162">
        <f>前台增值物品出入库录入!H85</f>
        <v>0</v>
      </c>
      <c r="I83" s="162">
        <f>前台增值物品出入库录入!I85</f>
        <v>0</v>
      </c>
      <c r="J83" s="162">
        <f>前台增值物品出入库录入!J85</f>
        <v>0</v>
      </c>
      <c r="K83" s="162">
        <f>前台增值物品出入库录入!K85</f>
        <v>0</v>
      </c>
      <c r="L83" s="162">
        <f>前台增值物品出入库录入!L85</f>
        <v>0</v>
      </c>
      <c r="M83" s="162">
        <f>前台增值物品出入库录入!M85</f>
        <v>0</v>
      </c>
      <c r="N83" s="133">
        <f>前台增值物品出入库录入!N85*$E83</f>
        <v>0</v>
      </c>
      <c r="O83" s="133">
        <f>前台增值物品出入库录入!O85*$E83</f>
        <v>0</v>
      </c>
      <c r="P83" s="133">
        <f>前台增值物品出入库录入!P85*$E83</f>
        <v>0</v>
      </c>
      <c r="Q83" s="133">
        <f>前台增值物品出入库录入!Q85*$E83</f>
        <v>0</v>
      </c>
      <c r="R83" s="133">
        <f>前台增值物品出入库录入!R85*$E83</f>
        <v>0</v>
      </c>
      <c r="S83" s="133">
        <f>前台增值物品出入库录入!S85*$E83</f>
        <v>0</v>
      </c>
      <c r="T83" s="133">
        <f>前台增值物品出入库录入!T85*$E83</f>
        <v>0</v>
      </c>
      <c r="U83" s="133">
        <f>前台增值物品出入库录入!U85*$E83</f>
        <v>0</v>
      </c>
      <c r="V83" s="133">
        <f>前台增值物品出入库录入!V85*$E83</f>
        <v>0</v>
      </c>
      <c r="W83" s="133">
        <f>前台增值物品出入库录入!W85*$E83</f>
        <v>0</v>
      </c>
      <c r="X83" s="133">
        <f>前台增值物品出入库录入!X85*$E83</f>
        <v>0</v>
      </c>
      <c r="Y83" s="133">
        <f>前台增值物品出入库录入!Y85*$E83</f>
        <v>0</v>
      </c>
      <c r="Z83" s="133">
        <f>前台增值物品出入库录入!Z85*$E83</f>
        <v>0</v>
      </c>
      <c r="AA83" s="133">
        <f>前台增值物品出入库录入!AA85*$E83</f>
        <v>0</v>
      </c>
      <c r="AB83" s="133">
        <f>前台增值物品出入库录入!AB85*$E83</f>
        <v>0</v>
      </c>
      <c r="AC83" s="133">
        <f>前台增值物品出入库录入!AC85*$E83</f>
        <v>0</v>
      </c>
      <c r="AD83" s="133">
        <f>前台增值物品出入库录入!AD85*$E83</f>
        <v>0</v>
      </c>
      <c r="AE83" s="133">
        <f>前台增值物品出入库录入!AE85*$E83</f>
        <v>0</v>
      </c>
      <c r="AF83" s="133">
        <f>前台增值物品出入库录入!AF85*$E83</f>
        <v>0</v>
      </c>
      <c r="AG83" s="133">
        <f>前台增值物品出入库录入!AG85*$E83</f>
        <v>0</v>
      </c>
      <c r="AH83" s="133">
        <f>前台增值物品出入库录入!AH85*$E83</f>
        <v>0</v>
      </c>
      <c r="AI83" s="133">
        <f>前台增值物品出入库录入!AI85*$E83</f>
        <v>0</v>
      </c>
      <c r="AJ83" s="133">
        <f>前台增值物品出入库录入!AJ85*$E83</f>
        <v>0</v>
      </c>
      <c r="AK83" s="133">
        <f>前台增值物品出入库录入!AK85*$E83</f>
        <v>0</v>
      </c>
      <c r="AL83" s="133">
        <f>前台增值物品出入库录入!AL85*$E83</f>
        <v>0</v>
      </c>
      <c r="AM83" s="133">
        <f>前台增值物品出入库录入!AM85*$E83</f>
        <v>0</v>
      </c>
      <c r="AN83" s="133">
        <f>前台增值物品出入库录入!AN85*$E83</f>
        <v>0</v>
      </c>
      <c r="AO83" s="133">
        <f>前台增值物品出入库录入!AO85*$E83</f>
        <v>0</v>
      </c>
      <c r="AP83" s="133">
        <f>前台增值物品出入库录入!AP85*$E83</f>
        <v>0</v>
      </c>
      <c r="AQ83" s="133">
        <f>前台增值物品出入库录入!AQ85*$E83</f>
        <v>0</v>
      </c>
      <c r="AR83" s="133">
        <f>前台增值物品出入库录入!AR85*$E83</f>
        <v>0</v>
      </c>
      <c r="AS83" s="133">
        <f>前台增值物品出入库录入!AS85*$E83</f>
        <v>0</v>
      </c>
      <c r="AT83" s="133">
        <f>前台增值物品出入库录入!AT85*$E83</f>
        <v>0</v>
      </c>
      <c r="AU83" s="133">
        <f>前台增值物品出入库录入!AU85*$E83</f>
        <v>0</v>
      </c>
      <c r="AV83" s="133">
        <f>前台增值物品出入库录入!AV85*$E83</f>
        <v>0</v>
      </c>
      <c r="AW83" s="133">
        <f>前台增值物品出入库录入!AW85*$E83</f>
        <v>0</v>
      </c>
      <c r="AX83" s="133">
        <f>前台增值物品出入库录入!AX85*$E83</f>
        <v>0</v>
      </c>
      <c r="AY83" s="133">
        <f>前台增值物品出入库录入!AY85*$E83</f>
        <v>0</v>
      </c>
      <c r="AZ83" s="133">
        <f>前台增值物品出入库录入!AZ85*$E83</f>
        <v>0</v>
      </c>
      <c r="BA83" s="133">
        <f>前台增值物品出入库录入!BA85*$E83</f>
        <v>0</v>
      </c>
      <c r="BB83" s="133">
        <f>前台增值物品出入库录入!BB85*$E83</f>
        <v>0</v>
      </c>
      <c r="BC83" s="133">
        <f>前台增值物品出入库录入!BC85*$E83</f>
        <v>0</v>
      </c>
      <c r="BD83" s="133">
        <f>前台增值物品出入库录入!BD85*$E83</f>
        <v>0</v>
      </c>
      <c r="BE83" s="133">
        <f>前台增值物品出入库录入!BE85*$E83</f>
        <v>0</v>
      </c>
      <c r="BF83" s="133">
        <f>前台增值物品出入库录入!BF85*$E83</f>
        <v>0</v>
      </c>
      <c r="BG83" s="133">
        <f>前台增值物品出入库录入!BG85*$E83</f>
        <v>0</v>
      </c>
      <c r="BH83" s="133">
        <f>前台增值物品出入库录入!BH85*$E83</f>
        <v>0</v>
      </c>
      <c r="BI83" s="133">
        <f>前台增值物品出入库录入!BI85*$E83</f>
        <v>0</v>
      </c>
      <c r="BJ83" s="133">
        <f>前台增值物品出入库录入!BJ85*$E83</f>
        <v>0</v>
      </c>
      <c r="BK83" s="133">
        <f>前台增值物品出入库录入!BK85*$E83</f>
        <v>0</v>
      </c>
      <c r="BL83" s="133">
        <f>前台增值物品出入库录入!BL85*$E83</f>
        <v>0</v>
      </c>
      <c r="BM83" s="133">
        <f>前台增值物品出入库录入!BM85*$E83</f>
        <v>0</v>
      </c>
      <c r="BN83" s="133">
        <f>前台增值物品出入库录入!BN85*$E83</f>
        <v>0</v>
      </c>
      <c r="BO83" s="133">
        <f>前台增值物品出入库录入!BO85*$E83</f>
        <v>0</v>
      </c>
      <c r="BP83" s="133">
        <f>前台增值物品出入库录入!BP85*$E83</f>
        <v>0</v>
      </c>
      <c r="BQ83" s="133">
        <f>前台增值物品出入库录入!BQ85*$E83</f>
        <v>0</v>
      </c>
      <c r="BR83" s="133">
        <f>前台增值物品出入库录入!BR85*$E83</f>
        <v>0</v>
      </c>
      <c r="BS83" s="133">
        <f>前台增值物品出入库录入!BS85*$E83</f>
        <v>0</v>
      </c>
      <c r="BT83" s="133">
        <f>前台增值物品出入库录入!BT85*$E83</f>
        <v>0</v>
      </c>
      <c r="BU83" s="133">
        <f>前台增值物品出入库录入!BU85*$E83</f>
        <v>0</v>
      </c>
      <c r="BV83" s="133">
        <f>前台增值物品出入库录入!BV85*$E83</f>
        <v>0</v>
      </c>
      <c r="BW83" s="133">
        <f>前台增值物品出入库录入!BW85*$E83</f>
        <v>0</v>
      </c>
    </row>
    <row r="84" s="178" customFormat="1" customHeight="1" spans="1:75">
      <c r="A84" s="161">
        <v>88</v>
      </c>
      <c r="B84" s="162" t="str">
        <f>前台增值物品出入库录入!B86</f>
        <v>未成年登记本</v>
      </c>
      <c r="C84" s="162">
        <f>前台增值物品出入库录入!C86</f>
        <v>0</v>
      </c>
      <c r="D84" s="162" t="str">
        <f>前台增值物品出入库录入!D86</f>
        <v>本</v>
      </c>
      <c r="E84" s="162">
        <f>前台增值物品出入库录入!E86</f>
        <v>7.76</v>
      </c>
      <c r="F84" s="162">
        <f>前台增值物品出入库录入!F86</f>
        <v>2</v>
      </c>
      <c r="G84" s="162">
        <f>前台增值物品出入库录入!G86</f>
        <v>15.52</v>
      </c>
      <c r="H84" s="162">
        <f>前台增值物品出入库录入!H86</f>
        <v>0</v>
      </c>
      <c r="I84" s="162">
        <f>前台增值物品出入库录入!I86</f>
        <v>0</v>
      </c>
      <c r="J84" s="162">
        <f>前台增值物品出入库录入!J86</f>
        <v>0</v>
      </c>
      <c r="K84" s="162">
        <f>前台增值物品出入库录入!K86</f>
        <v>0</v>
      </c>
      <c r="L84" s="162">
        <f>前台增值物品出入库录入!L86</f>
        <v>2</v>
      </c>
      <c r="M84" s="162">
        <f>前台增值物品出入库录入!M86</f>
        <v>15.52</v>
      </c>
      <c r="N84" s="133">
        <f>前台增值物品出入库录入!N86*$E84</f>
        <v>0</v>
      </c>
      <c r="O84" s="133">
        <f>前台增值物品出入库录入!O86*$E84</f>
        <v>0</v>
      </c>
      <c r="P84" s="133">
        <f>前台增值物品出入库录入!P86*$E84</f>
        <v>0</v>
      </c>
      <c r="Q84" s="133">
        <f>前台增值物品出入库录入!Q86*$E84</f>
        <v>0</v>
      </c>
      <c r="R84" s="133">
        <f>前台增值物品出入库录入!R86*$E84</f>
        <v>0</v>
      </c>
      <c r="S84" s="133">
        <f>前台增值物品出入库录入!S86*$E84</f>
        <v>0</v>
      </c>
      <c r="T84" s="133">
        <f>前台增值物品出入库录入!T86*$E84</f>
        <v>0</v>
      </c>
      <c r="U84" s="133">
        <f>前台增值物品出入库录入!U86*$E84</f>
        <v>0</v>
      </c>
      <c r="V84" s="133">
        <f>前台增值物品出入库录入!V86*$E84</f>
        <v>0</v>
      </c>
      <c r="W84" s="133">
        <f>前台增值物品出入库录入!W86*$E84</f>
        <v>0</v>
      </c>
      <c r="X84" s="133">
        <f>前台增值物品出入库录入!X86*$E84</f>
        <v>0</v>
      </c>
      <c r="Y84" s="133">
        <f>前台增值物品出入库录入!Y86*$E84</f>
        <v>0</v>
      </c>
      <c r="Z84" s="133">
        <f>前台增值物品出入库录入!Z86*$E84</f>
        <v>0</v>
      </c>
      <c r="AA84" s="133">
        <f>前台增值物品出入库录入!AA86*$E84</f>
        <v>0</v>
      </c>
      <c r="AB84" s="133">
        <f>前台增值物品出入库录入!AB86*$E84</f>
        <v>0</v>
      </c>
      <c r="AC84" s="133">
        <f>前台增值物品出入库录入!AC86*$E84</f>
        <v>0</v>
      </c>
      <c r="AD84" s="133">
        <f>前台增值物品出入库录入!AD86*$E84</f>
        <v>0</v>
      </c>
      <c r="AE84" s="133">
        <f>前台增值物品出入库录入!AE86*$E84</f>
        <v>0</v>
      </c>
      <c r="AF84" s="133">
        <f>前台增值物品出入库录入!AF86*$E84</f>
        <v>0</v>
      </c>
      <c r="AG84" s="133">
        <f>前台增值物品出入库录入!AG86*$E84</f>
        <v>0</v>
      </c>
      <c r="AH84" s="133">
        <f>前台增值物品出入库录入!AH86*$E84</f>
        <v>0</v>
      </c>
      <c r="AI84" s="133">
        <f>前台增值物品出入库录入!AI86*$E84</f>
        <v>0</v>
      </c>
      <c r="AJ84" s="133">
        <f>前台增值物品出入库录入!AJ86*$E84</f>
        <v>0</v>
      </c>
      <c r="AK84" s="133">
        <f>前台增值物品出入库录入!AK86*$E84</f>
        <v>0</v>
      </c>
      <c r="AL84" s="133">
        <f>前台增值物品出入库录入!AL86*$E84</f>
        <v>0</v>
      </c>
      <c r="AM84" s="133">
        <f>前台增值物品出入库录入!AM86*$E84</f>
        <v>0</v>
      </c>
      <c r="AN84" s="133">
        <f>前台增值物品出入库录入!AN86*$E84</f>
        <v>0</v>
      </c>
      <c r="AO84" s="133">
        <f>前台增值物品出入库录入!AO86*$E84</f>
        <v>0</v>
      </c>
      <c r="AP84" s="133">
        <f>前台增值物品出入库录入!AP86*$E84</f>
        <v>0</v>
      </c>
      <c r="AQ84" s="133">
        <f>前台增值物品出入库录入!AQ86*$E84</f>
        <v>0</v>
      </c>
      <c r="AR84" s="133">
        <f>前台增值物品出入库录入!AR86*$E84</f>
        <v>0</v>
      </c>
      <c r="AS84" s="133">
        <f>前台增值物品出入库录入!AS86*$E84</f>
        <v>0</v>
      </c>
      <c r="AT84" s="133">
        <f>前台增值物品出入库录入!AT86*$E84</f>
        <v>0</v>
      </c>
      <c r="AU84" s="133">
        <f>前台增值物品出入库录入!AU86*$E84</f>
        <v>0</v>
      </c>
      <c r="AV84" s="133">
        <f>前台增值物品出入库录入!AV86*$E84</f>
        <v>0</v>
      </c>
      <c r="AW84" s="133">
        <f>前台增值物品出入库录入!AW86*$E84</f>
        <v>0</v>
      </c>
      <c r="AX84" s="133">
        <f>前台增值物品出入库录入!AX86*$E84</f>
        <v>0</v>
      </c>
      <c r="AY84" s="133">
        <f>前台增值物品出入库录入!AY86*$E84</f>
        <v>0</v>
      </c>
      <c r="AZ84" s="133">
        <f>前台增值物品出入库录入!AZ86*$E84</f>
        <v>0</v>
      </c>
      <c r="BA84" s="133">
        <f>前台增值物品出入库录入!BA86*$E84</f>
        <v>0</v>
      </c>
      <c r="BB84" s="133">
        <f>前台增值物品出入库录入!BB86*$E84</f>
        <v>0</v>
      </c>
      <c r="BC84" s="133">
        <f>前台增值物品出入库录入!BC86*$E84</f>
        <v>0</v>
      </c>
      <c r="BD84" s="133">
        <f>前台增值物品出入库录入!BD86*$E84</f>
        <v>0</v>
      </c>
      <c r="BE84" s="133">
        <f>前台增值物品出入库录入!BE86*$E84</f>
        <v>0</v>
      </c>
      <c r="BF84" s="133">
        <f>前台增值物品出入库录入!BF86*$E84</f>
        <v>0</v>
      </c>
      <c r="BG84" s="133">
        <f>前台增值物品出入库录入!BG86*$E84</f>
        <v>0</v>
      </c>
      <c r="BH84" s="133">
        <f>前台增值物品出入库录入!BH86*$E84</f>
        <v>0</v>
      </c>
      <c r="BI84" s="133">
        <f>前台增值物品出入库录入!BI86*$E84</f>
        <v>0</v>
      </c>
      <c r="BJ84" s="133">
        <f>前台增值物品出入库录入!BJ86*$E84</f>
        <v>0</v>
      </c>
      <c r="BK84" s="133">
        <f>前台增值物品出入库录入!BK86*$E84</f>
        <v>0</v>
      </c>
      <c r="BL84" s="133">
        <f>前台增值物品出入库录入!BL86*$E84</f>
        <v>0</v>
      </c>
      <c r="BM84" s="133">
        <f>前台增值物品出入库录入!BM86*$E84</f>
        <v>0</v>
      </c>
      <c r="BN84" s="133">
        <f>前台增值物品出入库录入!BN86*$E84</f>
        <v>0</v>
      </c>
      <c r="BO84" s="133">
        <f>前台增值物品出入库录入!BO86*$E84</f>
        <v>0</v>
      </c>
      <c r="BP84" s="133">
        <f>前台增值物品出入库录入!BP86*$E84</f>
        <v>0</v>
      </c>
      <c r="BQ84" s="133">
        <f>前台增值物品出入库录入!BQ86*$E84</f>
        <v>0</v>
      </c>
      <c r="BR84" s="133">
        <f>前台增值物品出入库录入!BR86*$E84</f>
        <v>0</v>
      </c>
      <c r="BS84" s="133">
        <f>前台增值物品出入库录入!BS86*$E84</f>
        <v>0</v>
      </c>
      <c r="BT84" s="133">
        <f>前台增值物品出入库录入!BT86*$E84</f>
        <v>0</v>
      </c>
      <c r="BU84" s="133">
        <f>前台增值物品出入库录入!BU86*$E84</f>
        <v>0</v>
      </c>
      <c r="BV84" s="133">
        <f>前台增值物品出入库录入!BV86*$E84</f>
        <v>0</v>
      </c>
      <c r="BW84" s="133">
        <f>前台增值物品出入库录入!BW86*$E84</f>
        <v>0</v>
      </c>
    </row>
    <row r="85" s="178" customFormat="1" customHeight="1" spans="1:75">
      <c r="A85" s="161">
        <v>89</v>
      </c>
      <c r="B85" s="162" t="str">
        <f>前台增值物品出入库录入!B87</f>
        <v>抽纸盒</v>
      </c>
      <c r="C85" s="162">
        <f>前台增值物品出入库录入!C87</f>
        <v>0</v>
      </c>
      <c r="D85" s="162" t="str">
        <f>前台增值物品出入库录入!D87</f>
        <v>个</v>
      </c>
      <c r="E85" s="162">
        <f>前台增值物品出入库录入!E87</f>
        <v>10.63</v>
      </c>
      <c r="F85" s="162">
        <f>前台增值物品出入库录入!F87</f>
        <v>0</v>
      </c>
      <c r="G85" s="162">
        <f>前台增值物品出入库录入!G87</f>
        <v>0</v>
      </c>
      <c r="H85" s="162">
        <f>前台增值物品出入库录入!H87</f>
        <v>0</v>
      </c>
      <c r="I85" s="162">
        <f>前台增值物品出入库录入!I87</f>
        <v>0</v>
      </c>
      <c r="J85" s="162">
        <f>前台增值物品出入库录入!J87</f>
        <v>0</v>
      </c>
      <c r="K85" s="162">
        <f>前台增值物品出入库录入!K87</f>
        <v>0</v>
      </c>
      <c r="L85" s="162">
        <f>前台增值物品出入库录入!L87</f>
        <v>0</v>
      </c>
      <c r="M85" s="162">
        <f>前台增值物品出入库录入!M87</f>
        <v>0</v>
      </c>
      <c r="N85" s="133">
        <f>前台增值物品出入库录入!N87*$E85</f>
        <v>0</v>
      </c>
      <c r="O85" s="133">
        <f>前台增值物品出入库录入!O87*$E85</f>
        <v>0</v>
      </c>
      <c r="P85" s="133">
        <f>前台增值物品出入库录入!P87*$E85</f>
        <v>0</v>
      </c>
      <c r="Q85" s="133">
        <f>前台增值物品出入库录入!Q87*$E85</f>
        <v>0</v>
      </c>
      <c r="R85" s="133">
        <f>前台增值物品出入库录入!R87*$E85</f>
        <v>0</v>
      </c>
      <c r="S85" s="133">
        <f>前台增值物品出入库录入!S87*$E85</f>
        <v>0</v>
      </c>
      <c r="T85" s="133">
        <f>前台增值物品出入库录入!T87*$E85</f>
        <v>0</v>
      </c>
      <c r="U85" s="133">
        <f>前台增值物品出入库录入!U87*$E85</f>
        <v>0</v>
      </c>
      <c r="V85" s="133">
        <f>前台增值物品出入库录入!V87*$E85</f>
        <v>0</v>
      </c>
      <c r="W85" s="133">
        <f>前台增值物品出入库录入!W87*$E85</f>
        <v>0</v>
      </c>
      <c r="X85" s="133">
        <f>前台增值物品出入库录入!X87*$E85</f>
        <v>0</v>
      </c>
      <c r="Y85" s="133">
        <f>前台增值物品出入库录入!Y87*$E85</f>
        <v>0</v>
      </c>
      <c r="Z85" s="133">
        <f>前台增值物品出入库录入!Z87*$E85</f>
        <v>0</v>
      </c>
      <c r="AA85" s="133">
        <f>前台增值物品出入库录入!AA87*$E85</f>
        <v>0</v>
      </c>
      <c r="AB85" s="133">
        <f>前台增值物品出入库录入!AB87*$E85</f>
        <v>0</v>
      </c>
      <c r="AC85" s="133">
        <f>前台增值物品出入库录入!AC87*$E85</f>
        <v>0</v>
      </c>
      <c r="AD85" s="133">
        <f>前台增值物品出入库录入!AD87*$E85</f>
        <v>0</v>
      </c>
      <c r="AE85" s="133">
        <f>前台增值物品出入库录入!AE87*$E85</f>
        <v>0</v>
      </c>
      <c r="AF85" s="133">
        <f>前台增值物品出入库录入!AF87*$E85</f>
        <v>0</v>
      </c>
      <c r="AG85" s="133">
        <f>前台增值物品出入库录入!AG87*$E85</f>
        <v>0</v>
      </c>
      <c r="AH85" s="133">
        <f>前台增值物品出入库录入!AH87*$E85</f>
        <v>0</v>
      </c>
      <c r="AI85" s="133">
        <f>前台增值物品出入库录入!AI87*$E85</f>
        <v>0</v>
      </c>
      <c r="AJ85" s="133">
        <f>前台增值物品出入库录入!AJ87*$E85</f>
        <v>0</v>
      </c>
      <c r="AK85" s="133">
        <f>前台增值物品出入库录入!AK87*$E85</f>
        <v>0</v>
      </c>
      <c r="AL85" s="133">
        <f>前台增值物品出入库录入!AL87*$E85</f>
        <v>0</v>
      </c>
      <c r="AM85" s="133">
        <f>前台增值物品出入库录入!AM87*$E85</f>
        <v>0</v>
      </c>
      <c r="AN85" s="133">
        <f>前台增值物品出入库录入!AN87*$E85</f>
        <v>0</v>
      </c>
      <c r="AO85" s="133">
        <f>前台增值物品出入库录入!AO87*$E85</f>
        <v>0</v>
      </c>
      <c r="AP85" s="133">
        <f>前台增值物品出入库录入!AP87*$E85</f>
        <v>0</v>
      </c>
      <c r="AQ85" s="133">
        <f>前台增值物品出入库录入!AQ87*$E85</f>
        <v>0</v>
      </c>
      <c r="AR85" s="133">
        <f>前台增值物品出入库录入!AR87*$E85</f>
        <v>0</v>
      </c>
      <c r="AS85" s="133">
        <f>前台增值物品出入库录入!AS87*$E85</f>
        <v>0</v>
      </c>
      <c r="AT85" s="133">
        <f>前台增值物品出入库录入!AT87*$E85</f>
        <v>0</v>
      </c>
      <c r="AU85" s="133">
        <f>前台增值物品出入库录入!AU87*$E85</f>
        <v>0</v>
      </c>
      <c r="AV85" s="133">
        <f>前台增值物品出入库录入!AV87*$E85</f>
        <v>0</v>
      </c>
      <c r="AW85" s="133">
        <f>前台增值物品出入库录入!AW87*$E85</f>
        <v>0</v>
      </c>
      <c r="AX85" s="133">
        <f>前台增值物品出入库录入!AX87*$E85</f>
        <v>0</v>
      </c>
      <c r="AY85" s="133">
        <f>前台增值物品出入库录入!AY87*$E85</f>
        <v>0</v>
      </c>
      <c r="AZ85" s="133">
        <f>前台增值物品出入库录入!AZ87*$E85</f>
        <v>0</v>
      </c>
      <c r="BA85" s="133">
        <f>前台增值物品出入库录入!BA87*$E85</f>
        <v>0</v>
      </c>
      <c r="BB85" s="133">
        <f>前台增值物品出入库录入!BB87*$E85</f>
        <v>0</v>
      </c>
      <c r="BC85" s="133">
        <f>前台增值物品出入库录入!BC87*$E85</f>
        <v>0</v>
      </c>
      <c r="BD85" s="133">
        <f>前台增值物品出入库录入!BD87*$E85</f>
        <v>0</v>
      </c>
      <c r="BE85" s="133">
        <f>前台增值物品出入库录入!BE87*$E85</f>
        <v>0</v>
      </c>
      <c r="BF85" s="133">
        <f>前台增值物品出入库录入!BF87*$E85</f>
        <v>0</v>
      </c>
      <c r="BG85" s="133">
        <f>前台增值物品出入库录入!BG87*$E85</f>
        <v>0</v>
      </c>
      <c r="BH85" s="133">
        <f>前台增值物品出入库录入!BH87*$E85</f>
        <v>0</v>
      </c>
      <c r="BI85" s="133">
        <f>前台增值物品出入库录入!BI87*$E85</f>
        <v>0</v>
      </c>
      <c r="BJ85" s="133">
        <f>前台增值物品出入库录入!BJ87*$E85</f>
        <v>0</v>
      </c>
      <c r="BK85" s="133">
        <f>前台增值物品出入库录入!BK87*$E85</f>
        <v>0</v>
      </c>
      <c r="BL85" s="133">
        <f>前台增值物品出入库录入!BL87*$E85</f>
        <v>0</v>
      </c>
      <c r="BM85" s="133">
        <f>前台增值物品出入库录入!BM87*$E85</f>
        <v>0</v>
      </c>
      <c r="BN85" s="133">
        <f>前台增值物品出入库录入!BN87*$E85</f>
        <v>0</v>
      </c>
      <c r="BO85" s="133">
        <f>前台增值物品出入库录入!BO87*$E85</f>
        <v>0</v>
      </c>
      <c r="BP85" s="133">
        <f>前台增值物品出入库录入!BP87*$E85</f>
        <v>0</v>
      </c>
      <c r="BQ85" s="133">
        <f>前台增值物品出入库录入!BQ87*$E85</f>
        <v>0</v>
      </c>
      <c r="BR85" s="133">
        <f>前台增值物品出入库录入!BR87*$E85</f>
        <v>0</v>
      </c>
      <c r="BS85" s="133">
        <f>前台增值物品出入库录入!BS87*$E85</f>
        <v>0</v>
      </c>
      <c r="BT85" s="133">
        <f>前台增值物品出入库录入!BT87*$E85</f>
        <v>0</v>
      </c>
      <c r="BU85" s="133">
        <f>前台增值物品出入库录入!BU87*$E85</f>
        <v>0</v>
      </c>
      <c r="BV85" s="133">
        <f>前台增值物品出入库录入!BV87*$E85</f>
        <v>0</v>
      </c>
      <c r="BW85" s="133">
        <f>前台增值物品出入库录入!BW87*$E85</f>
        <v>0</v>
      </c>
    </row>
    <row r="86" s="178" customFormat="1" customHeight="1" spans="1:75">
      <c r="A86" s="161">
        <v>90</v>
      </c>
      <c r="B86" s="162" t="str">
        <f>前台增值物品出入库录入!B88</f>
        <v>旺旺果汁</v>
      </c>
      <c r="C86" s="162">
        <f>前台增值物品出入库录入!C88</f>
        <v>0</v>
      </c>
      <c r="D86" s="162" t="str">
        <f>前台增值物品出入库录入!D88</f>
        <v>包</v>
      </c>
      <c r="E86" s="162">
        <f>前台增值物品出入库录入!E88</f>
        <v>0.6078</v>
      </c>
      <c r="F86" s="162">
        <f>前台增值物品出入库录入!F88</f>
        <v>0</v>
      </c>
      <c r="G86" s="162">
        <f>前台增值物品出入库录入!G88</f>
        <v>0</v>
      </c>
      <c r="H86" s="162">
        <f>前台增值物品出入库录入!H88</f>
        <v>0</v>
      </c>
      <c r="I86" s="162">
        <f>前台增值物品出入库录入!I88</f>
        <v>0</v>
      </c>
      <c r="J86" s="162">
        <f>前台增值物品出入库录入!J88</f>
        <v>0</v>
      </c>
      <c r="K86" s="162">
        <f>前台增值物品出入库录入!K88</f>
        <v>0</v>
      </c>
      <c r="L86" s="162">
        <f>前台增值物品出入库录入!L88</f>
        <v>0</v>
      </c>
      <c r="M86" s="162">
        <f>前台增值物品出入库录入!M88</f>
        <v>0</v>
      </c>
      <c r="N86" s="133">
        <f>前台增值物品出入库录入!N88*$E86</f>
        <v>0</v>
      </c>
      <c r="O86" s="133">
        <f>前台增值物品出入库录入!O88*$E86</f>
        <v>0</v>
      </c>
      <c r="P86" s="133">
        <f>前台增值物品出入库录入!P88*$E86</f>
        <v>0</v>
      </c>
      <c r="Q86" s="133">
        <f>前台增值物品出入库录入!Q88*$E86</f>
        <v>0</v>
      </c>
      <c r="R86" s="133">
        <f>前台增值物品出入库录入!R88*$E86</f>
        <v>0</v>
      </c>
      <c r="S86" s="133">
        <f>前台增值物品出入库录入!S88*$E86</f>
        <v>0</v>
      </c>
      <c r="T86" s="133">
        <f>前台增值物品出入库录入!T88*$E86</f>
        <v>0</v>
      </c>
      <c r="U86" s="133">
        <f>前台增值物品出入库录入!U88*$E86</f>
        <v>0</v>
      </c>
      <c r="V86" s="133">
        <f>前台增值物品出入库录入!V88*$E86</f>
        <v>0</v>
      </c>
      <c r="W86" s="133">
        <f>前台增值物品出入库录入!W88*$E86</f>
        <v>0</v>
      </c>
      <c r="X86" s="133">
        <f>前台增值物品出入库录入!X88*$E86</f>
        <v>0</v>
      </c>
      <c r="Y86" s="133">
        <f>前台增值物品出入库录入!Y88*$E86</f>
        <v>0</v>
      </c>
      <c r="Z86" s="133">
        <f>前台增值物品出入库录入!Z88*$E86</f>
        <v>0</v>
      </c>
      <c r="AA86" s="133">
        <f>前台增值物品出入库录入!AA88*$E86</f>
        <v>0</v>
      </c>
      <c r="AB86" s="133">
        <f>前台增值物品出入库录入!AB88*$E86</f>
        <v>0</v>
      </c>
      <c r="AC86" s="133">
        <f>前台增值物品出入库录入!AC88*$E86</f>
        <v>0</v>
      </c>
      <c r="AD86" s="133">
        <f>前台增值物品出入库录入!AD88*$E86</f>
        <v>0</v>
      </c>
      <c r="AE86" s="133">
        <f>前台增值物品出入库录入!AE88*$E86</f>
        <v>0</v>
      </c>
      <c r="AF86" s="133">
        <f>前台增值物品出入库录入!AF88*$E86</f>
        <v>0</v>
      </c>
      <c r="AG86" s="133">
        <f>前台增值物品出入库录入!AG88*$E86</f>
        <v>0</v>
      </c>
      <c r="AH86" s="133">
        <f>前台增值物品出入库录入!AH88*$E86</f>
        <v>0</v>
      </c>
      <c r="AI86" s="133">
        <f>前台增值物品出入库录入!AI88*$E86</f>
        <v>0</v>
      </c>
      <c r="AJ86" s="133">
        <f>前台增值物品出入库录入!AJ88*$E86</f>
        <v>0</v>
      </c>
      <c r="AK86" s="133">
        <f>前台增值物品出入库录入!AK88*$E86</f>
        <v>0</v>
      </c>
      <c r="AL86" s="133">
        <f>前台增值物品出入库录入!AL88*$E86</f>
        <v>0</v>
      </c>
      <c r="AM86" s="133">
        <f>前台增值物品出入库录入!AM88*$E86</f>
        <v>0</v>
      </c>
      <c r="AN86" s="133">
        <f>前台增值物品出入库录入!AN88*$E86</f>
        <v>0</v>
      </c>
      <c r="AO86" s="133">
        <f>前台增值物品出入库录入!AO88*$E86</f>
        <v>0</v>
      </c>
      <c r="AP86" s="133">
        <f>前台增值物品出入库录入!AP88*$E86</f>
        <v>0</v>
      </c>
      <c r="AQ86" s="133">
        <f>前台增值物品出入库录入!AQ88*$E86</f>
        <v>0</v>
      </c>
      <c r="AR86" s="133">
        <f>前台增值物品出入库录入!AR88*$E86</f>
        <v>0</v>
      </c>
      <c r="AS86" s="133">
        <f>前台增值物品出入库录入!AS88*$E86</f>
        <v>0</v>
      </c>
      <c r="AT86" s="133">
        <f>前台增值物品出入库录入!AT88*$E86</f>
        <v>0</v>
      </c>
      <c r="AU86" s="133">
        <f>前台增值物品出入库录入!AU88*$E86</f>
        <v>0</v>
      </c>
      <c r="AV86" s="133">
        <f>前台增值物品出入库录入!AV88*$E86</f>
        <v>0</v>
      </c>
      <c r="AW86" s="133">
        <f>前台增值物品出入库录入!AW88*$E86</f>
        <v>0</v>
      </c>
      <c r="AX86" s="133">
        <f>前台增值物品出入库录入!AX88*$E86</f>
        <v>0</v>
      </c>
      <c r="AY86" s="133">
        <f>前台增值物品出入库录入!AY88*$E86</f>
        <v>0</v>
      </c>
      <c r="AZ86" s="133">
        <f>前台增值物品出入库录入!AZ88*$E86</f>
        <v>0</v>
      </c>
      <c r="BA86" s="133">
        <f>前台增值物品出入库录入!BA88*$E86</f>
        <v>0</v>
      </c>
      <c r="BB86" s="133">
        <f>前台增值物品出入库录入!BB88*$E86</f>
        <v>0</v>
      </c>
      <c r="BC86" s="133">
        <f>前台增值物品出入库录入!BC88*$E86</f>
        <v>0</v>
      </c>
      <c r="BD86" s="133">
        <f>前台增值物品出入库录入!BD88*$E86</f>
        <v>0</v>
      </c>
      <c r="BE86" s="133">
        <f>前台增值物品出入库录入!BE88*$E86</f>
        <v>0</v>
      </c>
      <c r="BF86" s="133">
        <f>前台增值物品出入库录入!BF88*$E86</f>
        <v>0</v>
      </c>
      <c r="BG86" s="133">
        <f>前台增值物品出入库录入!BG88*$E86</f>
        <v>0</v>
      </c>
      <c r="BH86" s="133">
        <f>前台增值物品出入库录入!BH88*$E86</f>
        <v>0</v>
      </c>
      <c r="BI86" s="133">
        <f>前台增值物品出入库录入!BI88*$E86</f>
        <v>0</v>
      </c>
      <c r="BJ86" s="133">
        <f>前台增值物品出入库录入!BJ88*$E86</f>
        <v>0</v>
      </c>
      <c r="BK86" s="133">
        <f>前台增值物品出入库录入!BK88*$E86</f>
        <v>0</v>
      </c>
      <c r="BL86" s="133">
        <f>前台增值物品出入库录入!BL88*$E86</f>
        <v>0</v>
      </c>
      <c r="BM86" s="133">
        <f>前台增值物品出入库录入!BM88*$E86</f>
        <v>0</v>
      </c>
      <c r="BN86" s="133">
        <f>前台增值物品出入库录入!BN88*$E86</f>
        <v>0</v>
      </c>
      <c r="BO86" s="133">
        <f>前台增值物品出入库录入!BO88*$E86</f>
        <v>0</v>
      </c>
      <c r="BP86" s="133">
        <f>前台增值物品出入库录入!BP88*$E86</f>
        <v>0</v>
      </c>
      <c r="BQ86" s="133">
        <f>前台增值物品出入库录入!BQ88*$E86</f>
        <v>0</v>
      </c>
      <c r="BR86" s="133">
        <f>前台增值物品出入库录入!BR88*$E86</f>
        <v>0</v>
      </c>
      <c r="BS86" s="133">
        <f>前台增值物品出入库录入!BS88*$E86</f>
        <v>0</v>
      </c>
      <c r="BT86" s="133">
        <f>前台增值物品出入库录入!BT88*$E86</f>
        <v>0</v>
      </c>
      <c r="BU86" s="133">
        <f>前台增值物品出入库录入!BU88*$E86</f>
        <v>0</v>
      </c>
      <c r="BV86" s="133">
        <f>前台增值物品出入库录入!BV88*$E86</f>
        <v>0</v>
      </c>
      <c r="BW86" s="133">
        <f>前台增值物品出入库录入!BW88*$E86</f>
        <v>0</v>
      </c>
    </row>
    <row r="87" s="178" customFormat="1" customHeight="1" spans="1:75">
      <c r="A87" s="161">
        <v>91</v>
      </c>
      <c r="B87" s="162" t="str">
        <f>前台增值物品出入库录入!B89</f>
        <v>一次性纸盘</v>
      </c>
      <c r="C87" s="162">
        <f>前台增值物品出入库录入!C89</f>
        <v>0</v>
      </c>
      <c r="D87" s="162" t="str">
        <f>前台增值物品出入库录入!D89</f>
        <v>个</v>
      </c>
      <c r="E87" s="162">
        <f>前台增值物品出入库录入!E89</f>
        <v>0.34</v>
      </c>
      <c r="F87" s="162">
        <f>前台增值物品出入库录入!F89</f>
        <v>30</v>
      </c>
      <c r="G87" s="162">
        <f>前台增值物品出入库录入!G89</f>
        <v>10.2</v>
      </c>
      <c r="H87" s="162">
        <f>前台增值物品出入库录入!H89</f>
        <v>0</v>
      </c>
      <c r="I87" s="162">
        <f>前台增值物品出入库录入!I89</f>
        <v>0</v>
      </c>
      <c r="J87" s="162">
        <f>前台增值物品出入库录入!J89</f>
        <v>10</v>
      </c>
      <c r="K87" s="162">
        <f>前台增值物品出入库录入!K89</f>
        <v>3.4</v>
      </c>
      <c r="L87" s="162">
        <f>前台增值物品出入库录入!L89</f>
        <v>20</v>
      </c>
      <c r="M87" s="162">
        <f>前台增值物品出入库录入!M89</f>
        <v>6.8</v>
      </c>
      <c r="N87" s="133">
        <f>前台增值物品出入库录入!N89*$E87</f>
        <v>0</v>
      </c>
      <c r="O87" s="133">
        <f>前台增值物品出入库录入!O89*$E87</f>
        <v>0</v>
      </c>
      <c r="P87" s="133">
        <f>前台增值物品出入库录入!P89*$E87</f>
        <v>0</v>
      </c>
      <c r="Q87" s="133">
        <f>前台增值物品出入库录入!Q89*$E87</f>
        <v>0</v>
      </c>
      <c r="R87" s="133">
        <f>前台增值物品出入库录入!R89*$E87</f>
        <v>0</v>
      </c>
      <c r="S87" s="133">
        <f>前台增值物品出入库录入!S89*$E87</f>
        <v>0</v>
      </c>
      <c r="T87" s="133">
        <f>前台增值物品出入库录入!T89*$E87</f>
        <v>0</v>
      </c>
      <c r="U87" s="133">
        <f>前台增值物品出入库录入!U89*$E87</f>
        <v>0</v>
      </c>
      <c r="V87" s="133">
        <f>前台增值物品出入库录入!V89*$E87</f>
        <v>0</v>
      </c>
      <c r="W87" s="133">
        <f>前台增值物品出入库录入!W89*$E87</f>
        <v>0</v>
      </c>
      <c r="X87" s="133">
        <f>前台增值物品出入库录入!X89*$E87</f>
        <v>0</v>
      </c>
      <c r="Y87" s="133">
        <f>前台增值物品出入库录入!Y89*$E87</f>
        <v>0</v>
      </c>
      <c r="Z87" s="133">
        <f>前台增值物品出入库录入!Z89*$E87</f>
        <v>0</v>
      </c>
      <c r="AA87" s="133">
        <f>前台增值物品出入库录入!AA89*$E87</f>
        <v>0</v>
      </c>
      <c r="AB87" s="133">
        <f>前台增值物品出入库录入!AB89*$E87</f>
        <v>0</v>
      </c>
      <c r="AC87" s="133">
        <f>前台增值物品出入库录入!AC89*$E87</f>
        <v>0</v>
      </c>
      <c r="AD87" s="133">
        <f>前台增值物品出入库录入!AD89*$E87</f>
        <v>0</v>
      </c>
      <c r="AE87" s="133">
        <f>前台增值物品出入库录入!AE89*$E87</f>
        <v>0</v>
      </c>
      <c r="AF87" s="133">
        <f>前台增值物品出入库录入!AF89*$E87</f>
        <v>0</v>
      </c>
      <c r="AG87" s="133">
        <f>前台增值物品出入库录入!AG89*$E87</f>
        <v>0</v>
      </c>
      <c r="AH87" s="133">
        <f>前台增值物品出入库录入!AH89*$E87</f>
        <v>0</v>
      </c>
      <c r="AI87" s="133">
        <f>前台增值物品出入库录入!AI89*$E87</f>
        <v>0</v>
      </c>
      <c r="AJ87" s="133">
        <f>前台增值物品出入库录入!AJ89*$E87</f>
        <v>0</v>
      </c>
      <c r="AK87" s="133">
        <f>前台增值物品出入库录入!AK89*$E87</f>
        <v>0</v>
      </c>
      <c r="AL87" s="133">
        <f>前台增值物品出入库录入!AL89*$E87</f>
        <v>0</v>
      </c>
      <c r="AM87" s="133">
        <f>前台增值物品出入库录入!AM89*$E87</f>
        <v>0</v>
      </c>
      <c r="AN87" s="133">
        <f>前台增值物品出入库录入!AN89*$E87</f>
        <v>0</v>
      </c>
      <c r="AO87" s="133">
        <f>前台增值物品出入库录入!AO89*$E87</f>
        <v>0</v>
      </c>
      <c r="AP87" s="133">
        <f>前台增值物品出入库录入!AP89*$E87</f>
        <v>0</v>
      </c>
      <c r="AQ87" s="133">
        <f>前台增值物品出入库录入!AQ89*$E87</f>
        <v>0</v>
      </c>
      <c r="AR87" s="133">
        <f>前台增值物品出入库录入!AR89*$E87</f>
        <v>0</v>
      </c>
      <c r="AS87" s="133">
        <f>前台增值物品出入库录入!AS89*$E87</f>
        <v>0</v>
      </c>
      <c r="AT87" s="133">
        <f>前台增值物品出入库录入!AT89*$E87</f>
        <v>0</v>
      </c>
      <c r="AU87" s="133">
        <f>前台增值物品出入库录入!AU89*$E87</f>
        <v>0</v>
      </c>
      <c r="AV87" s="133">
        <f>前台增值物品出入库录入!AV89*$E87</f>
        <v>0</v>
      </c>
      <c r="AW87" s="133">
        <f>前台增值物品出入库录入!AW89*$E87</f>
        <v>0</v>
      </c>
      <c r="AX87" s="133">
        <f>前台增值物品出入库录入!AX89*$E87</f>
        <v>0</v>
      </c>
      <c r="AY87" s="133">
        <f>前台增值物品出入库录入!AY89*$E87</f>
        <v>3.4</v>
      </c>
      <c r="AZ87" s="133">
        <f>前台增值物品出入库录入!AZ89*$E87</f>
        <v>0</v>
      </c>
      <c r="BA87" s="133">
        <f>前台增值物品出入库录入!BA89*$E87</f>
        <v>0</v>
      </c>
      <c r="BB87" s="133">
        <f>前台增值物品出入库录入!BB89*$E87</f>
        <v>0</v>
      </c>
      <c r="BC87" s="133">
        <f>前台增值物品出入库录入!BC89*$E87</f>
        <v>0</v>
      </c>
      <c r="BD87" s="133">
        <f>前台增值物品出入库录入!BD89*$E87</f>
        <v>0</v>
      </c>
      <c r="BE87" s="133">
        <f>前台增值物品出入库录入!BE89*$E87</f>
        <v>0</v>
      </c>
      <c r="BF87" s="133">
        <f>前台增值物品出入库录入!BF89*$E87</f>
        <v>0</v>
      </c>
      <c r="BG87" s="133">
        <f>前台增值物品出入库录入!BG89*$E87</f>
        <v>0</v>
      </c>
      <c r="BH87" s="133">
        <f>前台增值物品出入库录入!BH89*$E87</f>
        <v>0</v>
      </c>
      <c r="BI87" s="133">
        <f>前台增值物品出入库录入!BI89*$E87</f>
        <v>0</v>
      </c>
      <c r="BJ87" s="133">
        <f>前台增值物品出入库录入!BJ89*$E87</f>
        <v>0</v>
      </c>
      <c r="BK87" s="133">
        <f>前台增值物品出入库录入!BK89*$E87</f>
        <v>0</v>
      </c>
      <c r="BL87" s="133">
        <f>前台增值物品出入库录入!BL89*$E87</f>
        <v>0</v>
      </c>
      <c r="BM87" s="133">
        <f>前台增值物品出入库录入!BM89*$E87</f>
        <v>0</v>
      </c>
      <c r="BN87" s="133">
        <f>前台增值物品出入库录入!BN89*$E87</f>
        <v>0</v>
      </c>
      <c r="BO87" s="133">
        <f>前台增值物品出入库录入!BO89*$E87</f>
        <v>0</v>
      </c>
      <c r="BP87" s="133">
        <f>前台增值物品出入库录入!BP89*$E87</f>
        <v>0</v>
      </c>
      <c r="BQ87" s="133">
        <f>前台增值物品出入库录入!BQ89*$E87</f>
        <v>0</v>
      </c>
      <c r="BR87" s="133">
        <f>前台增值物品出入库录入!BR89*$E87</f>
        <v>0</v>
      </c>
      <c r="BS87" s="133">
        <f>前台增值物品出入库录入!BS89*$E87</f>
        <v>0</v>
      </c>
      <c r="BT87" s="133">
        <f>前台增值物品出入库录入!BT89*$E87</f>
        <v>0</v>
      </c>
      <c r="BU87" s="133">
        <f>前台增值物品出入库录入!BU89*$E87</f>
        <v>0</v>
      </c>
      <c r="BV87" s="133">
        <f>前台增值物品出入库录入!BV89*$E87</f>
        <v>0</v>
      </c>
      <c r="BW87" s="133">
        <f>前台增值物品出入库录入!BW89*$E87</f>
        <v>0</v>
      </c>
    </row>
    <row r="88" s="178" customFormat="1" customHeight="1" spans="1:75">
      <c r="A88" s="161">
        <v>92</v>
      </c>
      <c r="B88" s="162" t="str">
        <f>前台增值物品出入库录入!B90</f>
        <v>胶带</v>
      </c>
      <c r="C88" s="162">
        <f>前台增值物品出入库录入!C90</f>
        <v>0</v>
      </c>
      <c r="D88" s="162" t="str">
        <f>前台增值物品出入库录入!D90</f>
        <v>个</v>
      </c>
      <c r="E88" s="162">
        <f>前台增值物品出入库录入!E90</f>
        <v>4.7</v>
      </c>
      <c r="F88" s="162">
        <f>前台增值物品出入库录入!F90</f>
        <v>4</v>
      </c>
      <c r="G88" s="162">
        <f>前台增值物品出入库录入!G90</f>
        <v>18.8</v>
      </c>
      <c r="H88" s="162">
        <f>前台增值物品出入库录入!H90</f>
        <v>0</v>
      </c>
      <c r="I88" s="162">
        <f>前台增值物品出入库录入!I90</f>
        <v>0</v>
      </c>
      <c r="J88" s="162">
        <f>前台增值物品出入库录入!J90</f>
        <v>1</v>
      </c>
      <c r="K88" s="162">
        <f>前台增值物品出入库录入!K90</f>
        <v>4.7</v>
      </c>
      <c r="L88" s="162">
        <f>前台增值物品出入库录入!L90</f>
        <v>3</v>
      </c>
      <c r="M88" s="162">
        <f>前台增值物品出入库录入!M90</f>
        <v>14.1</v>
      </c>
      <c r="N88" s="133">
        <f>前台增值物品出入库录入!N90*$E88</f>
        <v>0</v>
      </c>
      <c r="O88" s="133">
        <f>前台增值物品出入库录入!O90*$E88</f>
        <v>0</v>
      </c>
      <c r="P88" s="133">
        <f>前台增值物品出入库录入!P90*$E88</f>
        <v>0</v>
      </c>
      <c r="Q88" s="133">
        <f>前台增值物品出入库录入!Q90*$E88</f>
        <v>0</v>
      </c>
      <c r="R88" s="133">
        <f>前台增值物品出入库录入!R90*$E88</f>
        <v>0</v>
      </c>
      <c r="S88" s="133">
        <f>前台增值物品出入库录入!S90*$E88</f>
        <v>0</v>
      </c>
      <c r="T88" s="133">
        <f>前台增值物品出入库录入!T90*$E88</f>
        <v>0</v>
      </c>
      <c r="U88" s="133">
        <f>前台增值物品出入库录入!U90*$E88</f>
        <v>0</v>
      </c>
      <c r="V88" s="133">
        <f>前台增值物品出入库录入!V90*$E88</f>
        <v>0</v>
      </c>
      <c r="W88" s="133">
        <f>前台增值物品出入库录入!W90*$E88</f>
        <v>0</v>
      </c>
      <c r="X88" s="133">
        <f>前台增值物品出入库录入!X90*$E88</f>
        <v>0</v>
      </c>
      <c r="Y88" s="133">
        <f>前台增值物品出入库录入!Y90*$E88</f>
        <v>0</v>
      </c>
      <c r="Z88" s="133">
        <f>前台增值物品出入库录入!Z90*$E88</f>
        <v>0</v>
      </c>
      <c r="AA88" s="133">
        <f>前台增值物品出入库录入!AA90*$E88</f>
        <v>0</v>
      </c>
      <c r="AB88" s="133">
        <f>前台增值物品出入库录入!AB90*$E88</f>
        <v>0</v>
      </c>
      <c r="AC88" s="133">
        <f>前台增值物品出入库录入!AC90*$E88</f>
        <v>0</v>
      </c>
      <c r="AD88" s="133">
        <f>前台增值物品出入库录入!AD90*$E88</f>
        <v>0</v>
      </c>
      <c r="AE88" s="133">
        <f>前台增值物品出入库录入!AE90*$E88</f>
        <v>0</v>
      </c>
      <c r="AF88" s="133">
        <f>前台增值物品出入库录入!AF90*$E88</f>
        <v>0</v>
      </c>
      <c r="AG88" s="133">
        <f>前台增值物品出入库录入!AG90*$E88</f>
        <v>0</v>
      </c>
      <c r="AH88" s="133">
        <f>前台增值物品出入库录入!AH90*$E88</f>
        <v>0</v>
      </c>
      <c r="AI88" s="133">
        <f>前台增值物品出入库录入!AI90*$E88</f>
        <v>0</v>
      </c>
      <c r="AJ88" s="133">
        <f>前台增值物品出入库录入!AJ90*$E88</f>
        <v>0</v>
      </c>
      <c r="AK88" s="133">
        <f>前台增值物品出入库录入!AK90*$E88</f>
        <v>0</v>
      </c>
      <c r="AL88" s="133">
        <f>前台增值物品出入库录入!AL90*$E88</f>
        <v>0</v>
      </c>
      <c r="AM88" s="133">
        <f>前台增值物品出入库录入!AM90*$E88</f>
        <v>0</v>
      </c>
      <c r="AN88" s="133">
        <f>前台增值物品出入库录入!AN90*$E88</f>
        <v>0</v>
      </c>
      <c r="AO88" s="133">
        <f>前台增值物品出入库录入!AO90*$E88</f>
        <v>0</v>
      </c>
      <c r="AP88" s="133">
        <f>前台增值物品出入库录入!AP90*$E88</f>
        <v>0</v>
      </c>
      <c r="AQ88" s="133">
        <f>前台增值物品出入库录入!AQ90*$E88</f>
        <v>0</v>
      </c>
      <c r="AR88" s="133">
        <f>前台增值物品出入库录入!AR90*$E88</f>
        <v>0</v>
      </c>
      <c r="AS88" s="133">
        <f>前台增值物品出入库录入!AS90*$E88</f>
        <v>0</v>
      </c>
      <c r="AT88" s="133">
        <f>前台增值物品出入库录入!AT90*$E88</f>
        <v>0</v>
      </c>
      <c r="AU88" s="133">
        <f>前台增值物品出入库录入!AU90*$E88</f>
        <v>0</v>
      </c>
      <c r="AV88" s="133">
        <f>前台增值物品出入库录入!AV90*$E88</f>
        <v>0</v>
      </c>
      <c r="AW88" s="133">
        <f>前台增值物品出入库录入!AW90*$E88</f>
        <v>0</v>
      </c>
      <c r="AX88" s="133">
        <f>前台增值物品出入库录入!AX90*$E88</f>
        <v>0</v>
      </c>
      <c r="AY88" s="133">
        <f>前台增值物品出入库录入!AY90*$E88</f>
        <v>0</v>
      </c>
      <c r="AZ88" s="133">
        <f>前台增值物品出入库录入!AZ90*$E88</f>
        <v>0</v>
      </c>
      <c r="BA88" s="133">
        <f>前台增值物品出入库录入!BA90*$E88</f>
        <v>0</v>
      </c>
      <c r="BB88" s="133">
        <f>前台增值物品出入库录入!BB90*$E88</f>
        <v>0</v>
      </c>
      <c r="BC88" s="133">
        <f>前台增值物品出入库录入!BC90*$E88</f>
        <v>0</v>
      </c>
      <c r="BD88" s="133">
        <f>前台增值物品出入库录入!BD90*$E88</f>
        <v>0</v>
      </c>
      <c r="BE88" s="133">
        <f>前台增值物品出入库录入!BE90*$E88</f>
        <v>0</v>
      </c>
      <c r="BF88" s="133">
        <f>前台增值物品出入库录入!BF90*$E88</f>
        <v>0</v>
      </c>
      <c r="BG88" s="133">
        <f>前台增值物品出入库录入!BG90*$E88</f>
        <v>0</v>
      </c>
      <c r="BH88" s="133">
        <f>前台增值物品出入库录入!BH90*$E88</f>
        <v>0</v>
      </c>
      <c r="BI88" s="133">
        <f>前台增值物品出入库录入!BI90*$E88</f>
        <v>0</v>
      </c>
      <c r="BJ88" s="133">
        <f>前台增值物品出入库录入!BJ90*$E88</f>
        <v>0</v>
      </c>
      <c r="BK88" s="133">
        <f>前台增值物品出入库录入!BK90*$E88</f>
        <v>4.7</v>
      </c>
      <c r="BL88" s="133">
        <f>前台增值物品出入库录入!BL90*$E88</f>
        <v>0</v>
      </c>
      <c r="BM88" s="133">
        <f>前台增值物品出入库录入!BM90*$E88</f>
        <v>0</v>
      </c>
      <c r="BN88" s="133">
        <f>前台增值物品出入库录入!BN90*$E88</f>
        <v>0</v>
      </c>
      <c r="BO88" s="133">
        <f>前台增值物品出入库录入!BO90*$E88</f>
        <v>0</v>
      </c>
      <c r="BP88" s="133">
        <f>前台增值物品出入库录入!BP90*$E88</f>
        <v>0</v>
      </c>
      <c r="BQ88" s="133">
        <f>前台增值物品出入库录入!BQ90*$E88</f>
        <v>0</v>
      </c>
      <c r="BR88" s="133">
        <f>前台增值物品出入库录入!BR90*$E88</f>
        <v>0</v>
      </c>
      <c r="BS88" s="133">
        <f>前台增值物品出入库录入!BS90*$E88</f>
        <v>0</v>
      </c>
      <c r="BT88" s="133">
        <f>前台增值物品出入库录入!BT90*$E88</f>
        <v>0</v>
      </c>
      <c r="BU88" s="133">
        <f>前台增值物品出入库录入!BU90*$E88</f>
        <v>0</v>
      </c>
      <c r="BV88" s="133">
        <f>前台增值物品出入库录入!BV90*$E88</f>
        <v>0</v>
      </c>
      <c r="BW88" s="133">
        <f>前台增值物品出入库录入!BW90*$E88</f>
        <v>0</v>
      </c>
    </row>
    <row r="89" s="178" customFormat="1" customHeight="1" spans="1:75">
      <c r="A89" s="161">
        <v>93</v>
      </c>
      <c r="B89" s="162" t="str">
        <f>前台增值物品出入库录入!B91</f>
        <v>电梯固体香薰</v>
      </c>
      <c r="C89" s="162">
        <f>前台增值物品出入库录入!C91</f>
        <v>0</v>
      </c>
      <c r="D89" s="162" t="str">
        <f>前台增值物品出入库录入!D91</f>
        <v>个</v>
      </c>
      <c r="E89" s="162">
        <f>前台增值物品出入库录入!E91</f>
        <v>3.3</v>
      </c>
      <c r="F89" s="162">
        <f>前台增值物品出入库录入!F91</f>
        <v>18</v>
      </c>
      <c r="G89" s="162">
        <f>前台增值物品出入库录入!G91</f>
        <v>59.4</v>
      </c>
      <c r="H89" s="162">
        <f>前台增值物品出入库录入!H91</f>
        <v>0</v>
      </c>
      <c r="I89" s="162">
        <f>前台增值物品出入库录入!I91</f>
        <v>0</v>
      </c>
      <c r="J89" s="162">
        <f>前台增值物品出入库录入!J91</f>
        <v>6</v>
      </c>
      <c r="K89" s="162">
        <f>前台增值物品出入库录入!K91</f>
        <v>19.8</v>
      </c>
      <c r="L89" s="162">
        <f>前台增值物品出入库录入!L91</f>
        <v>12</v>
      </c>
      <c r="M89" s="162">
        <f>前台增值物品出入库录入!M91</f>
        <v>39.6</v>
      </c>
      <c r="N89" s="133">
        <f>前台增值物品出入库录入!N91*$E89</f>
        <v>0</v>
      </c>
      <c r="O89" s="133">
        <f>前台增值物品出入库录入!O91*$E89</f>
        <v>0</v>
      </c>
      <c r="P89" s="133">
        <f>前台增值物品出入库录入!P91*$E89</f>
        <v>0</v>
      </c>
      <c r="Q89" s="133">
        <f>前台增值物品出入库录入!Q91*$E89</f>
        <v>0</v>
      </c>
      <c r="R89" s="133">
        <f>前台增值物品出入库录入!R91*$E89</f>
        <v>0</v>
      </c>
      <c r="S89" s="133">
        <f>前台增值物品出入库录入!S91*$E89</f>
        <v>0</v>
      </c>
      <c r="T89" s="133">
        <f>前台增值物品出入库录入!T91*$E89</f>
        <v>0</v>
      </c>
      <c r="U89" s="133">
        <f>前台增值物品出入库录入!U91*$E89</f>
        <v>0</v>
      </c>
      <c r="V89" s="133">
        <f>前台增值物品出入库录入!V91*$E89</f>
        <v>0</v>
      </c>
      <c r="W89" s="133">
        <f>前台增值物品出入库录入!W91*$E89</f>
        <v>0</v>
      </c>
      <c r="X89" s="133">
        <f>前台增值物品出入库录入!X91*$E89</f>
        <v>0</v>
      </c>
      <c r="Y89" s="133">
        <f>前台增值物品出入库录入!Y91*$E89</f>
        <v>0</v>
      </c>
      <c r="Z89" s="133">
        <f>前台增值物品出入库录入!Z91*$E89</f>
        <v>0</v>
      </c>
      <c r="AA89" s="133">
        <f>前台增值物品出入库录入!AA91*$E89</f>
        <v>0</v>
      </c>
      <c r="AB89" s="133">
        <f>前台增值物品出入库录入!AB91*$E89</f>
        <v>0</v>
      </c>
      <c r="AC89" s="133">
        <f>前台增值物品出入库录入!AC91*$E89</f>
        <v>0</v>
      </c>
      <c r="AD89" s="133">
        <f>前台增值物品出入库录入!AD91*$E89</f>
        <v>0</v>
      </c>
      <c r="AE89" s="133">
        <f>前台增值物品出入库录入!AE91*$E89</f>
        <v>0</v>
      </c>
      <c r="AF89" s="133">
        <f>前台增值物品出入库录入!AF91*$E89</f>
        <v>0</v>
      </c>
      <c r="AG89" s="133">
        <f>前台增值物品出入库录入!AG91*$E89</f>
        <v>0</v>
      </c>
      <c r="AH89" s="133">
        <f>前台增值物品出入库录入!AH91*$E89</f>
        <v>0</v>
      </c>
      <c r="AI89" s="133">
        <f>前台增值物品出入库录入!AI91*$E89</f>
        <v>0</v>
      </c>
      <c r="AJ89" s="133">
        <f>前台增值物品出入库录入!AJ91*$E89</f>
        <v>0</v>
      </c>
      <c r="AK89" s="133">
        <f>前台增值物品出入库录入!AK91*$E89</f>
        <v>0</v>
      </c>
      <c r="AL89" s="133">
        <f>前台增值物品出入库录入!AL91*$E89</f>
        <v>0</v>
      </c>
      <c r="AM89" s="133">
        <f>前台增值物品出入库录入!AM91*$E89</f>
        <v>0</v>
      </c>
      <c r="AN89" s="133">
        <f>前台增值物品出入库录入!AN91*$E89</f>
        <v>0</v>
      </c>
      <c r="AO89" s="133">
        <f>前台增值物品出入库录入!AO91*$E89</f>
        <v>6.6</v>
      </c>
      <c r="AP89" s="133">
        <f>前台增值物品出入库录入!AP91*$E89</f>
        <v>0</v>
      </c>
      <c r="AQ89" s="133">
        <f>前台增值物品出入库录入!AQ91*$E89</f>
        <v>0</v>
      </c>
      <c r="AR89" s="133">
        <f>前台增值物品出入库录入!AR91*$E89</f>
        <v>0</v>
      </c>
      <c r="AS89" s="133">
        <f>前台增值物品出入库录入!AS91*$E89</f>
        <v>0</v>
      </c>
      <c r="AT89" s="133">
        <f>前台增值物品出入库录入!AT91*$E89</f>
        <v>0</v>
      </c>
      <c r="AU89" s="133">
        <f>前台增值物品出入库录入!AU91*$E89</f>
        <v>0</v>
      </c>
      <c r="AV89" s="133">
        <f>前台增值物品出入库录入!AV91*$E89</f>
        <v>0</v>
      </c>
      <c r="AW89" s="133">
        <f>前台增值物品出入库录入!AW91*$E89</f>
        <v>0</v>
      </c>
      <c r="AX89" s="133">
        <f>前台增值物品出入库录入!AX91*$E89</f>
        <v>0</v>
      </c>
      <c r="AY89" s="133">
        <f>前台增值物品出入库录入!AY91*$E89</f>
        <v>6.6</v>
      </c>
      <c r="AZ89" s="133">
        <f>前台增值物品出入库录入!AZ91*$E89</f>
        <v>0</v>
      </c>
      <c r="BA89" s="133">
        <f>前台增值物品出入库录入!BA91*$E89</f>
        <v>0</v>
      </c>
      <c r="BB89" s="133">
        <f>前台增值物品出入库录入!BB91*$E89</f>
        <v>0</v>
      </c>
      <c r="BC89" s="133">
        <f>前台增值物品出入库录入!BC91*$E89</f>
        <v>6.6</v>
      </c>
      <c r="BD89" s="133">
        <f>前台增值物品出入库录入!BD91*$E89</f>
        <v>0</v>
      </c>
      <c r="BE89" s="133">
        <f>前台增值物品出入库录入!BE91*$E89</f>
        <v>0</v>
      </c>
      <c r="BF89" s="133">
        <f>前台增值物品出入库录入!BF91*$E89</f>
        <v>0</v>
      </c>
      <c r="BG89" s="133">
        <f>前台增值物品出入库录入!BG91*$E89</f>
        <v>0</v>
      </c>
      <c r="BH89" s="133">
        <f>前台增值物品出入库录入!BH91*$E89</f>
        <v>0</v>
      </c>
      <c r="BI89" s="133">
        <f>前台增值物品出入库录入!BI91*$E89</f>
        <v>0</v>
      </c>
      <c r="BJ89" s="133">
        <f>前台增值物品出入库录入!BJ91*$E89</f>
        <v>0</v>
      </c>
      <c r="BK89" s="133">
        <f>前台增值物品出入库录入!BK91*$E89</f>
        <v>0</v>
      </c>
      <c r="BL89" s="133">
        <f>前台增值物品出入库录入!BL91*$E89</f>
        <v>0</v>
      </c>
      <c r="BM89" s="133">
        <f>前台增值物品出入库录入!BM91*$E89</f>
        <v>0</v>
      </c>
      <c r="BN89" s="133">
        <f>前台增值物品出入库录入!BN91*$E89</f>
        <v>0</v>
      </c>
      <c r="BO89" s="133">
        <f>前台增值物品出入库录入!BO91*$E89</f>
        <v>0</v>
      </c>
      <c r="BP89" s="133">
        <f>前台增值物品出入库录入!BP91*$E89</f>
        <v>0</v>
      </c>
      <c r="BQ89" s="133">
        <f>前台增值物品出入库录入!BQ91*$E89</f>
        <v>0</v>
      </c>
      <c r="BR89" s="133">
        <f>前台增值物品出入库录入!BR91*$E89</f>
        <v>0</v>
      </c>
      <c r="BS89" s="133">
        <f>前台增值物品出入库录入!BS91*$E89</f>
        <v>0</v>
      </c>
      <c r="BT89" s="133">
        <f>前台增值物品出入库录入!BT91*$E89</f>
        <v>0</v>
      </c>
      <c r="BU89" s="133">
        <f>前台增值物品出入库录入!BU91*$E89</f>
        <v>0</v>
      </c>
      <c r="BV89" s="133">
        <f>前台增值物品出入库录入!BV91*$E89</f>
        <v>0</v>
      </c>
      <c r="BW89" s="133">
        <f>前台增值物品出入库录入!BW91*$E89</f>
        <v>0</v>
      </c>
    </row>
    <row r="90" s="178" customFormat="1" customHeight="1" spans="1:75">
      <c r="A90" s="161">
        <v>94</v>
      </c>
      <c r="B90" s="162" t="str">
        <f>前台增值物品出入库录入!B92</f>
        <v>转换器</v>
      </c>
      <c r="C90" s="162">
        <f>前台增值物品出入库录入!C92</f>
        <v>0</v>
      </c>
      <c r="D90" s="162" t="str">
        <f>前台增值物品出入库录入!D92</f>
        <v>个</v>
      </c>
      <c r="E90" s="162">
        <f>前台增值物品出入库录入!E92</f>
        <v>17.31</v>
      </c>
      <c r="F90" s="162">
        <f>前台增值物品出入库录入!F92</f>
        <v>2</v>
      </c>
      <c r="G90" s="162">
        <f>前台增值物品出入库录入!G92</f>
        <v>34.62</v>
      </c>
      <c r="H90" s="162">
        <f>前台增值物品出入库录入!H92</f>
        <v>0</v>
      </c>
      <c r="I90" s="162">
        <f>前台增值物品出入库录入!I92</f>
        <v>0</v>
      </c>
      <c r="J90" s="162">
        <f>前台增值物品出入库录入!J92</f>
        <v>2</v>
      </c>
      <c r="K90" s="162">
        <f>前台增值物品出入库录入!K92</f>
        <v>34.62</v>
      </c>
      <c r="L90" s="162">
        <f>前台增值物品出入库录入!L92</f>
        <v>0</v>
      </c>
      <c r="M90" s="162">
        <f>前台增值物品出入库录入!M92</f>
        <v>0</v>
      </c>
      <c r="N90" s="133">
        <f>前台增值物品出入库录入!N92*$E90</f>
        <v>0</v>
      </c>
      <c r="O90" s="133">
        <f>前台增值物品出入库录入!O92*$E90</f>
        <v>0</v>
      </c>
      <c r="P90" s="133">
        <f>前台增值物品出入库录入!P92*$E90</f>
        <v>0</v>
      </c>
      <c r="Q90" s="133">
        <f>前台增值物品出入库录入!Q92*$E90</f>
        <v>0</v>
      </c>
      <c r="R90" s="133">
        <f>前台增值物品出入库录入!R92*$E90</f>
        <v>0</v>
      </c>
      <c r="S90" s="133">
        <f>前台增值物品出入库录入!S92*$E90</f>
        <v>0</v>
      </c>
      <c r="T90" s="133">
        <f>前台增值物品出入库录入!T92*$E90</f>
        <v>0</v>
      </c>
      <c r="U90" s="133">
        <f>前台增值物品出入库录入!U92*$E90</f>
        <v>0</v>
      </c>
      <c r="V90" s="133">
        <f>前台增值物品出入库录入!V92*$E90</f>
        <v>0</v>
      </c>
      <c r="W90" s="133">
        <f>前台增值物品出入库录入!W92*$E90</f>
        <v>0</v>
      </c>
      <c r="X90" s="133">
        <f>前台增值物品出入库录入!X92*$E90</f>
        <v>0</v>
      </c>
      <c r="Y90" s="133">
        <f>前台增值物品出入库录入!Y92*$E90</f>
        <v>34.62</v>
      </c>
      <c r="Z90" s="133">
        <f>前台增值物品出入库录入!Z92*$E90</f>
        <v>0</v>
      </c>
      <c r="AA90" s="133">
        <f>前台增值物品出入库录入!AA92*$E90</f>
        <v>0</v>
      </c>
      <c r="AB90" s="133">
        <f>前台增值物品出入库录入!AB92*$E90</f>
        <v>0</v>
      </c>
      <c r="AC90" s="133">
        <f>前台增值物品出入库录入!AC92*$E90</f>
        <v>0</v>
      </c>
      <c r="AD90" s="133">
        <f>前台增值物品出入库录入!AD92*$E90</f>
        <v>0</v>
      </c>
      <c r="AE90" s="133">
        <f>前台增值物品出入库录入!AE92*$E90</f>
        <v>0</v>
      </c>
      <c r="AF90" s="133">
        <f>前台增值物品出入库录入!AF92*$E90</f>
        <v>0</v>
      </c>
      <c r="AG90" s="133">
        <f>前台增值物品出入库录入!AG92*$E90</f>
        <v>0</v>
      </c>
      <c r="AH90" s="133">
        <f>前台增值物品出入库录入!AH92*$E90</f>
        <v>0</v>
      </c>
      <c r="AI90" s="133">
        <f>前台增值物品出入库录入!AI92*$E90</f>
        <v>0</v>
      </c>
      <c r="AJ90" s="133">
        <f>前台增值物品出入库录入!AJ92*$E90</f>
        <v>0</v>
      </c>
      <c r="AK90" s="133">
        <f>前台增值物品出入库录入!AK92*$E90</f>
        <v>0</v>
      </c>
      <c r="AL90" s="133">
        <f>前台增值物品出入库录入!AL92*$E90</f>
        <v>0</v>
      </c>
      <c r="AM90" s="133">
        <f>前台增值物品出入库录入!AM92*$E90</f>
        <v>0</v>
      </c>
      <c r="AN90" s="133">
        <f>前台增值物品出入库录入!AN92*$E90</f>
        <v>0</v>
      </c>
      <c r="AO90" s="133">
        <f>前台增值物品出入库录入!AO92*$E90</f>
        <v>0</v>
      </c>
      <c r="AP90" s="133">
        <f>前台增值物品出入库录入!AP92*$E90</f>
        <v>0</v>
      </c>
      <c r="AQ90" s="133">
        <f>前台增值物品出入库录入!AQ92*$E90</f>
        <v>0</v>
      </c>
      <c r="AR90" s="133">
        <f>前台增值物品出入库录入!AR92*$E90</f>
        <v>0</v>
      </c>
      <c r="AS90" s="133">
        <f>前台增值物品出入库录入!AS92*$E90</f>
        <v>0</v>
      </c>
      <c r="AT90" s="133">
        <f>前台增值物品出入库录入!AT92*$E90</f>
        <v>0</v>
      </c>
      <c r="AU90" s="133">
        <f>前台增值物品出入库录入!AU92*$E90</f>
        <v>0</v>
      </c>
      <c r="AV90" s="133">
        <f>前台增值物品出入库录入!AV92*$E90</f>
        <v>0</v>
      </c>
      <c r="AW90" s="133">
        <f>前台增值物品出入库录入!AW92*$E90</f>
        <v>0</v>
      </c>
      <c r="AX90" s="133">
        <f>前台增值物品出入库录入!AX92*$E90</f>
        <v>0</v>
      </c>
      <c r="AY90" s="133">
        <f>前台增值物品出入库录入!AY92*$E90</f>
        <v>0</v>
      </c>
      <c r="AZ90" s="133">
        <f>前台增值物品出入库录入!AZ92*$E90</f>
        <v>0</v>
      </c>
      <c r="BA90" s="133">
        <f>前台增值物品出入库录入!BA92*$E90</f>
        <v>0</v>
      </c>
      <c r="BB90" s="133">
        <f>前台增值物品出入库录入!BB92*$E90</f>
        <v>0</v>
      </c>
      <c r="BC90" s="133">
        <f>前台增值物品出入库录入!BC92*$E90</f>
        <v>0</v>
      </c>
      <c r="BD90" s="133">
        <f>前台增值物品出入库录入!BD92*$E90</f>
        <v>0</v>
      </c>
      <c r="BE90" s="133">
        <f>前台增值物品出入库录入!BE92*$E90</f>
        <v>0</v>
      </c>
      <c r="BF90" s="133">
        <f>前台增值物品出入库录入!BF92*$E90</f>
        <v>0</v>
      </c>
      <c r="BG90" s="133">
        <f>前台增值物品出入库录入!BG92*$E90</f>
        <v>0</v>
      </c>
      <c r="BH90" s="133">
        <f>前台增值物品出入库录入!BH92*$E90</f>
        <v>0</v>
      </c>
      <c r="BI90" s="133">
        <f>前台增值物品出入库录入!BI92*$E90</f>
        <v>0</v>
      </c>
      <c r="BJ90" s="133">
        <f>前台增值物品出入库录入!BJ92*$E90</f>
        <v>0</v>
      </c>
      <c r="BK90" s="133">
        <f>前台增值物品出入库录入!BK92*$E90</f>
        <v>0</v>
      </c>
      <c r="BL90" s="133">
        <f>前台增值物品出入库录入!BL92*$E90</f>
        <v>0</v>
      </c>
      <c r="BM90" s="133">
        <f>前台增值物品出入库录入!BM92*$E90</f>
        <v>0</v>
      </c>
      <c r="BN90" s="133">
        <f>前台增值物品出入库录入!BN92*$E90</f>
        <v>0</v>
      </c>
      <c r="BO90" s="133">
        <f>前台增值物品出入库录入!BO92*$E90</f>
        <v>0</v>
      </c>
      <c r="BP90" s="133">
        <f>前台增值物品出入库录入!BP92*$E90</f>
        <v>0</v>
      </c>
      <c r="BQ90" s="133">
        <f>前台增值物品出入库录入!BQ92*$E90</f>
        <v>0</v>
      </c>
      <c r="BR90" s="133">
        <f>前台增值物品出入库录入!BR92*$E90</f>
        <v>0</v>
      </c>
      <c r="BS90" s="133">
        <f>前台增值物品出入库录入!BS92*$E90</f>
        <v>0</v>
      </c>
      <c r="BT90" s="133">
        <f>前台增值物品出入库录入!BT92*$E90</f>
        <v>0</v>
      </c>
      <c r="BU90" s="133">
        <f>前台增值物品出入库录入!BU92*$E90</f>
        <v>0</v>
      </c>
      <c r="BV90" s="133">
        <f>前台增值物品出入库录入!BV92*$E90</f>
        <v>0</v>
      </c>
      <c r="BW90" s="133">
        <f>前台增值物品出入库录入!BW92*$E90</f>
        <v>0</v>
      </c>
    </row>
    <row r="91" s="178" customFormat="1" customHeight="1" spans="1:75">
      <c r="A91" s="161">
        <v>95</v>
      </c>
      <c r="B91" s="162" t="str">
        <f>前台增值物品出入库录入!B93</f>
        <v>束口袋</v>
      </c>
      <c r="C91" s="162">
        <f>前台增值物品出入库录入!C93</f>
        <v>0</v>
      </c>
      <c r="D91" s="162" t="str">
        <f>前台增值物品出入库录入!D93</f>
        <v>包</v>
      </c>
      <c r="E91" s="162">
        <f>前台增值物品出入库录入!E93</f>
        <v>0.543</v>
      </c>
      <c r="F91" s="162">
        <f>前台增值物品出入库录入!F93</f>
        <v>0</v>
      </c>
      <c r="G91" s="162">
        <f>前台增值物品出入库录入!G93</f>
        <v>0</v>
      </c>
      <c r="H91" s="162">
        <f>前台增值物品出入库录入!H93</f>
        <v>0</v>
      </c>
      <c r="I91" s="162">
        <f>前台增值物品出入库录入!I93</f>
        <v>0</v>
      </c>
      <c r="J91" s="162">
        <f>前台增值物品出入库录入!J93</f>
        <v>0</v>
      </c>
      <c r="K91" s="162">
        <f>前台增值物品出入库录入!K93</f>
        <v>0</v>
      </c>
      <c r="L91" s="162">
        <f>前台增值物品出入库录入!L93</f>
        <v>0</v>
      </c>
      <c r="M91" s="162">
        <f>前台增值物品出入库录入!M93</f>
        <v>0</v>
      </c>
      <c r="N91" s="133">
        <f>前台增值物品出入库录入!N93*$E91</f>
        <v>0</v>
      </c>
      <c r="O91" s="133">
        <f>前台增值物品出入库录入!O93*$E91</f>
        <v>0</v>
      </c>
      <c r="P91" s="133">
        <f>前台增值物品出入库录入!P93*$E91</f>
        <v>0</v>
      </c>
      <c r="Q91" s="133">
        <f>前台增值物品出入库录入!Q93*$E91</f>
        <v>0</v>
      </c>
      <c r="R91" s="133">
        <f>前台增值物品出入库录入!R93*$E91</f>
        <v>0</v>
      </c>
      <c r="S91" s="133">
        <f>前台增值物品出入库录入!S93*$E91</f>
        <v>0</v>
      </c>
      <c r="T91" s="133">
        <f>前台增值物品出入库录入!T93*$E91</f>
        <v>0</v>
      </c>
      <c r="U91" s="133">
        <f>前台增值物品出入库录入!U93*$E91</f>
        <v>0</v>
      </c>
      <c r="V91" s="133">
        <f>前台增值物品出入库录入!V93*$E91</f>
        <v>0</v>
      </c>
      <c r="W91" s="133">
        <f>前台增值物品出入库录入!W93*$E91</f>
        <v>0</v>
      </c>
      <c r="X91" s="133">
        <f>前台增值物品出入库录入!X93*$E91</f>
        <v>0</v>
      </c>
      <c r="Y91" s="133">
        <f>前台增值物品出入库录入!Y93*$E91</f>
        <v>0</v>
      </c>
      <c r="Z91" s="133">
        <f>前台增值物品出入库录入!Z93*$E91</f>
        <v>0</v>
      </c>
      <c r="AA91" s="133">
        <f>前台增值物品出入库录入!AA93*$E91</f>
        <v>0</v>
      </c>
      <c r="AB91" s="133">
        <f>前台增值物品出入库录入!AB93*$E91</f>
        <v>0</v>
      </c>
      <c r="AC91" s="133">
        <f>前台增值物品出入库录入!AC93*$E91</f>
        <v>0</v>
      </c>
      <c r="AD91" s="133">
        <f>前台增值物品出入库录入!AD93*$E91</f>
        <v>0</v>
      </c>
      <c r="AE91" s="133">
        <f>前台增值物品出入库录入!AE93*$E91</f>
        <v>0</v>
      </c>
      <c r="AF91" s="133">
        <f>前台增值物品出入库录入!AF93*$E91</f>
        <v>0</v>
      </c>
      <c r="AG91" s="133">
        <f>前台增值物品出入库录入!AG93*$E91</f>
        <v>0</v>
      </c>
      <c r="AH91" s="133">
        <f>前台增值物品出入库录入!AH93*$E91</f>
        <v>0</v>
      </c>
      <c r="AI91" s="133">
        <f>前台增值物品出入库录入!AI93*$E91</f>
        <v>0</v>
      </c>
      <c r="AJ91" s="133">
        <f>前台增值物品出入库录入!AJ93*$E91</f>
        <v>0</v>
      </c>
      <c r="AK91" s="133">
        <f>前台增值物品出入库录入!AK93*$E91</f>
        <v>0</v>
      </c>
      <c r="AL91" s="133">
        <f>前台增值物品出入库录入!AL93*$E91</f>
        <v>0</v>
      </c>
      <c r="AM91" s="133">
        <f>前台增值物品出入库录入!AM93*$E91</f>
        <v>0</v>
      </c>
      <c r="AN91" s="133">
        <f>前台增值物品出入库录入!AN93*$E91</f>
        <v>0</v>
      </c>
      <c r="AO91" s="133">
        <f>前台增值物品出入库录入!AO93*$E91</f>
        <v>0</v>
      </c>
      <c r="AP91" s="133">
        <f>前台增值物品出入库录入!AP93*$E91</f>
        <v>0</v>
      </c>
      <c r="AQ91" s="133">
        <f>前台增值物品出入库录入!AQ93*$E91</f>
        <v>0</v>
      </c>
      <c r="AR91" s="133">
        <f>前台增值物品出入库录入!AR93*$E91</f>
        <v>0</v>
      </c>
      <c r="AS91" s="133">
        <f>前台增值物品出入库录入!AS93*$E91</f>
        <v>0</v>
      </c>
      <c r="AT91" s="133">
        <f>前台增值物品出入库录入!AT93*$E91</f>
        <v>0</v>
      </c>
      <c r="AU91" s="133">
        <f>前台增值物品出入库录入!AU93*$E91</f>
        <v>0</v>
      </c>
      <c r="AV91" s="133">
        <f>前台增值物品出入库录入!AV93*$E91</f>
        <v>0</v>
      </c>
      <c r="AW91" s="133">
        <f>前台增值物品出入库录入!AW93*$E91</f>
        <v>0</v>
      </c>
      <c r="AX91" s="133">
        <f>前台增值物品出入库录入!AX93*$E91</f>
        <v>0</v>
      </c>
      <c r="AY91" s="133">
        <f>前台增值物品出入库录入!AY93*$E91</f>
        <v>0</v>
      </c>
      <c r="AZ91" s="133">
        <f>前台增值物品出入库录入!AZ93*$E91</f>
        <v>0</v>
      </c>
      <c r="BA91" s="133">
        <f>前台增值物品出入库录入!BA93*$E91</f>
        <v>0</v>
      </c>
      <c r="BB91" s="133">
        <f>前台增值物品出入库录入!BB93*$E91</f>
        <v>0</v>
      </c>
      <c r="BC91" s="133">
        <f>前台增值物品出入库录入!BC93*$E91</f>
        <v>0</v>
      </c>
      <c r="BD91" s="133">
        <f>前台增值物品出入库录入!BD93*$E91</f>
        <v>0</v>
      </c>
      <c r="BE91" s="133">
        <f>前台增值物品出入库录入!BE93*$E91</f>
        <v>0</v>
      </c>
      <c r="BF91" s="133">
        <f>前台增值物品出入库录入!BF93*$E91</f>
        <v>0</v>
      </c>
      <c r="BG91" s="133">
        <f>前台增值物品出入库录入!BG93*$E91</f>
        <v>0</v>
      </c>
      <c r="BH91" s="133">
        <f>前台增值物品出入库录入!BH93*$E91</f>
        <v>0</v>
      </c>
      <c r="BI91" s="133">
        <f>前台增值物品出入库录入!BI93*$E91</f>
        <v>0</v>
      </c>
      <c r="BJ91" s="133">
        <f>前台增值物品出入库录入!BJ93*$E91</f>
        <v>0</v>
      </c>
      <c r="BK91" s="133">
        <f>前台增值物品出入库录入!BK93*$E91</f>
        <v>0</v>
      </c>
      <c r="BL91" s="133">
        <f>前台增值物品出入库录入!BL93*$E91</f>
        <v>0</v>
      </c>
      <c r="BM91" s="133">
        <f>前台增值物品出入库录入!BM93*$E91</f>
        <v>0</v>
      </c>
      <c r="BN91" s="133">
        <f>前台增值物品出入库录入!BN93*$E91</f>
        <v>0</v>
      </c>
      <c r="BO91" s="133">
        <f>前台增值物品出入库录入!BO93*$E91</f>
        <v>0</v>
      </c>
      <c r="BP91" s="133">
        <f>前台增值物品出入库录入!BP93*$E91</f>
        <v>0</v>
      </c>
      <c r="BQ91" s="133">
        <f>前台增值物品出入库录入!BQ93*$E91</f>
        <v>0</v>
      </c>
      <c r="BR91" s="133">
        <f>前台增值物品出入库录入!BR93*$E91</f>
        <v>0</v>
      </c>
      <c r="BS91" s="133">
        <f>前台增值物品出入库录入!BS93*$E91</f>
        <v>0</v>
      </c>
      <c r="BT91" s="133">
        <f>前台增值物品出入库录入!BT93*$E91</f>
        <v>0</v>
      </c>
      <c r="BU91" s="133">
        <f>前台增值物品出入库录入!BU93*$E91</f>
        <v>0</v>
      </c>
      <c r="BV91" s="133">
        <f>前台增值物品出入库录入!BV93*$E91</f>
        <v>0</v>
      </c>
      <c r="BW91" s="133">
        <f>前台增值物品出入库录入!BW93*$E91</f>
        <v>0</v>
      </c>
    </row>
    <row r="92" s="178" customFormat="1" customHeight="1" spans="1:75">
      <c r="A92" s="161">
        <v>96</v>
      </c>
      <c r="B92" s="162" t="str">
        <f>前台增值物品出入库录入!B94</f>
        <v>杀虫剂</v>
      </c>
      <c r="C92" s="162">
        <f>前台增值物品出入库录入!C94</f>
        <v>0</v>
      </c>
      <c r="D92" s="162" t="str">
        <f>前台增值物品出入库录入!D94</f>
        <v>包</v>
      </c>
      <c r="E92" s="162">
        <f>前台增值物品出入库录入!E94</f>
        <v>13.9</v>
      </c>
      <c r="F92" s="162">
        <f>前台增值物品出入库录入!F94</f>
        <v>0</v>
      </c>
      <c r="G92" s="162">
        <f>前台增值物品出入库录入!G94</f>
        <v>0</v>
      </c>
      <c r="H92" s="162">
        <f>前台增值物品出入库录入!H94</f>
        <v>0</v>
      </c>
      <c r="I92" s="162">
        <f>前台增值物品出入库录入!I94</f>
        <v>0</v>
      </c>
      <c r="J92" s="162">
        <f>前台增值物品出入库录入!J94</f>
        <v>0</v>
      </c>
      <c r="K92" s="162">
        <f>前台增值物品出入库录入!K94</f>
        <v>0</v>
      </c>
      <c r="L92" s="162">
        <f>前台增值物品出入库录入!L94</f>
        <v>0</v>
      </c>
      <c r="M92" s="162">
        <f>前台增值物品出入库录入!M94</f>
        <v>0</v>
      </c>
      <c r="N92" s="133">
        <f>前台增值物品出入库录入!N94*$E92</f>
        <v>0</v>
      </c>
      <c r="O92" s="133">
        <f>前台增值物品出入库录入!O94*$E92</f>
        <v>0</v>
      </c>
      <c r="P92" s="133">
        <f>前台增值物品出入库录入!P94*$E92</f>
        <v>0</v>
      </c>
      <c r="Q92" s="133">
        <f>前台增值物品出入库录入!Q94*$E92</f>
        <v>0</v>
      </c>
      <c r="R92" s="133">
        <f>前台增值物品出入库录入!R94*$E92</f>
        <v>0</v>
      </c>
      <c r="S92" s="133">
        <f>前台增值物品出入库录入!S94*$E92</f>
        <v>0</v>
      </c>
      <c r="T92" s="133">
        <f>前台增值物品出入库录入!T94*$E92</f>
        <v>0</v>
      </c>
      <c r="U92" s="133">
        <f>前台增值物品出入库录入!U94*$E92</f>
        <v>0</v>
      </c>
      <c r="V92" s="133">
        <f>前台增值物品出入库录入!V94*$E92</f>
        <v>0</v>
      </c>
      <c r="W92" s="133">
        <f>前台增值物品出入库录入!W94*$E92</f>
        <v>0</v>
      </c>
      <c r="X92" s="133">
        <f>前台增值物品出入库录入!X94*$E92</f>
        <v>0</v>
      </c>
      <c r="Y92" s="133">
        <f>前台增值物品出入库录入!Y94*$E92</f>
        <v>0</v>
      </c>
      <c r="Z92" s="133">
        <f>前台增值物品出入库录入!Z94*$E92</f>
        <v>0</v>
      </c>
      <c r="AA92" s="133">
        <f>前台增值物品出入库录入!AA94*$E92</f>
        <v>0</v>
      </c>
      <c r="AB92" s="133">
        <f>前台增值物品出入库录入!AB94*$E92</f>
        <v>0</v>
      </c>
      <c r="AC92" s="133">
        <f>前台增值物品出入库录入!AC94*$E92</f>
        <v>0</v>
      </c>
      <c r="AD92" s="133">
        <f>前台增值物品出入库录入!AD94*$E92</f>
        <v>0</v>
      </c>
      <c r="AE92" s="133">
        <f>前台增值物品出入库录入!AE94*$E92</f>
        <v>0</v>
      </c>
      <c r="AF92" s="133">
        <f>前台增值物品出入库录入!AF94*$E92</f>
        <v>0</v>
      </c>
      <c r="AG92" s="133">
        <f>前台增值物品出入库录入!AG94*$E92</f>
        <v>0</v>
      </c>
      <c r="AH92" s="133">
        <f>前台增值物品出入库录入!AH94*$E92</f>
        <v>0</v>
      </c>
      <c r="AI92" s="133">
        <f>前台增值物品出入库录入!AI94*$E92</f>
        <v>0</v>
      </c>
      <c r="AJ92" s="133">
        <f>前台增值物品出入库录入!AJ94*$E92</f>
        <v>0</v>
      </c>
      <c r="AK92" s="133">
        <f>前台增值物品出入库录入!AK94*$E92</f>
        <v>0</v>
      </c>
      <c r="AL92" s="133">
        <f>前台增值物品出入库录入!AL94*$E92</f>
        <v>0</v>
      </c>
      <c r="AM92" s="133">
        <f>前台增值物品出入库录入!AM94*$E92</f>
        <v>0</v>
      </c>
      <c r="AN92" s="133">
        <f>前台增值物品出入库录入!AN94*$E92</f>
        <v>0</v>
      </c>
      <c r="AO92" s="133">
        <f>前台增值物品出入库录入!AO94*$E92</f>
        <v>0</v>
      </c>
      <c r="AP92" s="133">
        <f>前台增值物品出入库录入!AP94*$E92</f>
        <v>0</v>
      </c>
      <c r="AQ92" s="133">
        <f>前台增值物品出入库录入!AQ94*$E92</f>
        <v>0</v>
      </c>
      <c r="AR92" s="133">
        <f>前台增值物品出入库录入!AR94*$E92</f>
        <v>0</v>
      </c>
      <c r="AS92" s="133">
        <f>前台增值物品出入库录入!AS94*$E92</f>
        <v>0</v>
      </c>
      <c r="AT92" s="133">
        <f>前台增值物品出入库录入!AT94*$E92</f>
        <v>0</v>
      </c>
      <c r="AU92" s="133">
        <f>前台增值物品出入库录入!AU94*$E92</f>
        <v>0</v>
      </c>
      <c r="AV92" s="133">
        <f>前台增值物品出入库录入!AV94*$E92</f>
        <v>0</v>
      </c>
      <c r="AW92" s="133">
        <f>前台增值物品出入库录入!AW94*$E92</f>
        <v>0</v>
      </c>
      <c r="AX92" s="133">
        <f>前台增值物品出入库录入!AX94*$E92</f>
        <v>0</v>
      </c>
      <c r="AY92" s="133">
        <f>前台增值物品出入库录入!AY94*$E92</f>
        <v>0</v>
      </c>
      <c r="AZ92" s="133">
        <f>前台增值物品出入库录入!AZ94*$E92</f>
        <v>0</v>
      </c>
      <c r="BA92" s="133">
        <f>前台增值物品出入库录入!BA94*$E92</f>
        <v>0</v>
      </c>
      <c r="BB92" s="133">
        <f>前台增值物品出入库录入!BB94*$E92</f>
        <v>0</v>
      </c>
      <c r="BC92" s="133">
        <f>前台增值物品出入库录入!BC94*$E92</f>
        <v>0</v>
      </c>
      <c r="BD92" s="133">
        <f>前台增值物品出入库录入!BD94*$E92</f>
        <v>0</v>
      </c>
      <c r="BE92" s="133">
        <f>前台增值物品出入库录入!BE94*$E92</f>
        <v>0</v>
      </c>
      <c r="BF92" s="133">
        <f>前台增值物品出入库录入!BF94*$E92</f>
        <v>0</v>
      </c>
      <c r="BG92" s="133">
        <f>前台增值物品出入库录入!BG94*$E92</f>
        <v>0</v>
      </c>
      <c r="BH92" s="133">
        <f>前台增值物品出入库录入!BH94*$E92</f>
        <v>0</v>
      </c>
      <c r="BI92" s="133">
        <f>前台增值物品出入库录入!BI94*$E92</f>
        <v>0</v>
      </c>
      <c r="BJ92" s="133">
        <f>前台增值物品出入库录入!BJ94*$E92</f>
        <v>0</v>
      </c>
      <c r="BK92" s="133">
        <f>前台增值物品出入库录入!BK94*$E92</f>
        <v>0</v>
      </c>
      <c r="BL92" s="133">
        <f>前台增值物品出入库录入!BL94*$E92</f>
        <v>0</v>
      </c>
      <c r="BM92" s="133">
        <f>前台增值物品出入库录入!BM94*$E92</f>
        <v>0</v>
      </c>
      <c r="BN92" s="133">
        <f>前台增值物品出入库录入!BN94*$E92</f>
        <v>0</v>
      </c>
      <c r="BO92" s="133">
        <f>前台增值物品出入库录入!BO94*$E92</f>
        <v>0</v>
      </c>
      <c r="BP92" s="133">
        <f>前台增值物品出入库录入!BP94*$E92</f>
        <v>0</v>
      </c>
      <c r="BQ92" s="133">
        <f>前台增值物品出入库录入!BQ94*$E92</f>
        <v>0</v>
      </c>
      <c r="BR92" s="133">
        <f>前台增值物品出入库录入!BR94*$E92</f>
        <v>0</v>
      </c>
      <c r="BS92" s="133">
        <f>前台增值物品出入库录入!BS94*$E92</f>
        <v>0</v>
      </c>
      <c r="BT92" s="133">
        <f>前台增值物品出入库录入!BT94*$E92</f>
        <v>0</v>
      </c>
      <c r="BU92" s="133">
        <f>前台增值物品出入库录入!BU94*$E92</f>
        <v>0</v>
      </c>
      <c r="BV92" s="133">
        <f>前台增值物品出入库录入!BV94*$E92</f>
        <v>0</v>
      </c>
      <c r="BW92" s="133">
        <f>前台增值物品出入库录入!BW94*$E92</f>
        <v>0</v>
      </c>
    </row>
    <row r="93" s="178" customFormat="1" customHeight="1" spans="1:75">
      <c r="A93" s="161">
        <v>97</v>
      </c>
      <c r="B93" s="162" t="str">
        <f>前台增值物品出入库录入!B95</f>
        <v>水果软糖</v>
      </c>
      <c r="C93" s="162">
        <f>前台增值物品出入库录入!C95</f>
        <v>0</v>
      </c>
      <c r="D93" s="162" t="str">
        <f>前台增值物品出入库录入!D95</f>
        <v>包</v>
      </c>
      <c r="E93" s="162">
        <f>前台增值物品出入库录入!E95</f>
        <v>0.0466</v>
      </c>
      <c r="F93" s="162">
        <f>前台增值物品出入库录入!F95</f>
        <v>790</v>
      </c>
      <c r="G93" s="162">
        <f>前台增值物品出入库录入!G95</f>
        <v>36.814</v>
      </c>
      <c r="H93" s="162">
        <f>前台增值物品出入库录入!H95</f>
        <v>0</v>
      </c>
      <c r="I93" s="162">
        <f>前台增值物品出入库录入!I95</f>
        <v>0</v>
      </c>
      <c r="J93" s="162">
        <f>前台增值物品出入库录入!J95</f>
        <v>790</v>
      </c>
      <c r="K93" s="162">
        <f>前台增值物品出入库录入!K95</f>
        <v>36.814</v>
      </c>
      <c r="L93" s="162">
        <f>前台增值物品出入库录入!L95</f>
        <v>0</v>
      </c>
      <c r="M93" s="162">
        <f>前台增值物品出入库录入!M95</f>
        <v>0</v>
      </c>
      <c r="N93" s="133">
        <f>前台增值物品出入库录入!N95*$E93</f>
        <v>0</v>
      </c>
      <c r="O93" s="133">
        <f>前台增值物品出入库录入!O95*$E93</f>
        <v>0</v>
      </c>
      <c r="P93" s="133">
        <f>前台增值物品出入库录入!P95*$E93</f>
        <v>0</v>
      </c>
      <c r="Q93" s="133">
        <f>前台增值物品出入库录入!Q95*$E93</f>
        <v>0</v>
      </c>
      <c r="R93" s="133">
        <f>前台增值物品出入库录入!R95*$E93</f>
        <v>0</v>
      </c>
      <c r="S93" s="133">
        <f>前台增值物品出入库录入!S95*$E93</f>
        <v>0</v>
      </c>
      <c r="T93" s="133">
        <f>前台增值物品出入库录入!T95*$E93</f>
        <v>0</v>
      </c>
      <c r="U93" s="133">
        <f>前台增值物品出入库录入!U95*$E93</f>
        <v>0</v>
      </c>
      <c r="V93" s="133">
        <f>前台增值物品出入库录入!V95*$E93</f>
        <v>0</v>
      </c>
      <c r="W93" s="133">
        <f>前台增值物品出入库录入!W95*$E93</f>
        <v>0</v>
      </c>
      <c r="X93" s="133">
        <f>前台增值物品出入库录入!X95*$E93</f>
        <v>0</v>
      </c>
      <c r="Y93" s="133">
        <f>前台增值物品出入库录入!Y95*$E93</f>
        <v>6.99</v>
      </c>
      <c r="Z93" s="133">
        <f>前台增值物品出入库录入!Z95*$E93</f>
        <v>0</v>
      </c>
      <c r="AA93" s="133">
        <f>前台增值物品出入库录入!AA95*$E93</f>
        <v>6.99</v>
      </c>
      <c r="AB93" s="133">
        <f>前台增值物品出入库录入!AB95*$E93</f>
        <v>0</v>
      </c>
      <c r="AC93" s="133">
        <f>前台增值物品出入库录入!AC95*$E93</f>
        <v>9.32</v>
      </c>
      <c r="AD93" s="133">
        <f>前台增值物品出入库录入!AD95*$E93</f>
        <v>0</v>
      </c>
      <c r="AE93" s="133">
        <f>前台增值物品出入库录入!AE95*$E93</f>
        <v>13.514</v>
      </c>
      <c r="AF93" s="133">
        <f>前台增值物品出入库录入!AF95*$E93</f>
        <v>0</v>
      </c>
      <c r="AG93" s="133">
        <f>前台增值物品出入库录入!AG95*$E93</f>
        <v>0</v>
      </c>
      <c r="AH93" s="133">
        <f>前台增值物品出入库录入!AH95*$E93</f>
        <v>0</v>
      </c>
      <c r="AI93" s="133">
        <f>前台增值物品出入库录入!AI95*$E93</f>
        <v>0</v>
      </c>
      <c r="AJ93" s="133">
        <f>前台增值物品出入库录入!AJ95*$E93</f>
        <v>0</v>
      </c>
      <c r="AK93" s="133">
        <f>前台增值物品出入库录入!AK95*$E93</f>
        <v>0</v>
      </c>
      <c r="AL93" s="133">
        <f>前台增值物品出入库录入!AL95*$E93</f>
        <v>0</v>
      </c>
      <c r="AM93" s="133">
        <f>前台增值物品出入库录入!AM95*$E93</f>
        <v>0</v>
      </c>
      <c r="AN93" s="133">
        <f>前台增值物品出入库录入!AN95*$E93</f>
        <v>0</v>
      </c>
      <c r="AO93" s="133">
        <f>前台增值物品出入库录入!AO95*$E93</f>
        <v>0</v>
      </c>
      <c r="AP93" s="133">
        <f>前台增值物品出入库录入!AP95*$E93</f>
        <v>0</v>
      </c>
      <c r="AQ93" s="133">
        <f>前台增值物品出入库录入!AQ95*$E93</f>
        <v>0</v>
      </c>
      <c r="AR93" s="133">
        <f>前台增值物品出入库录入!AR95*$E93</f>
        <v>0</v>
      </c>
      <c r="AS93" s="133">
        <f>前台增值物品出入库录入!AS95*$E93</f>
        <v>0</v>
      </c>
      <c r="AT93" s="133">
        <f>前台增值物品出入库录入!AT95*$E93</f>
        <v>0</v>
      </c>
      <c r="AU93" s="133">
        <f>前台增值物品出入库录入!AU95*$E93</f>
        <v>0</v>
      </c>
      <c r="AV93" s="133">
        <f>前台增值物品出入库录入!AV95*$E93</f>
        <v>0</v>
      </c>
      <c r="AW93" s="133">
        <f>前台增值物品出入库录入!AW95*$E93</f>
        <v>0</v>
      </c>
      <c r="AX93" s="133">
        <f>前台增值物品出入库录入!AX95*$E93</f>
        <v>0</v>
      </c>
      <c r="AY93" s="133">
        <f>前台增值物品出入库录入!AY95*$E93</f>
        <v>0</v>
      </c>
      <c r="AZ93" s="133">
        <f>前台增值物品出入库录入!AZ95*$E93</f>
        <v>0</v>
      </c>
      <c r="BA93" s="133">
        <f>前台增值物品出入库录入!BA95*$E93</f>
        <v>0</v>
      </c>
      <c r="BB93" s="133">
        <f>前台增值物品出入库录入!BB95*$E93</f>
        <v>0</v>
      </c>
      <c r="BC93" s="133">
        <f>前台增值物品出入库录入!BC95*$E93</f>
        <v>0</v>
      </c>
      <c r="BD93" s="133">
        <f>前台增值物品出入库录入!BD95*$E93</f>
        <v>0</v>
      </c>
      <c r="BE93" s="133">
        <f>前台增值物品出入库录入!BE95*$E93</f>
        <v>0</v>
      </c>
      <c r="BF93" s="133">
        <f>前台增值物品出入库录入!BF95*$E93</f>
        <v>0</v>
      </c>
      <c r="BG93" s="133">
        <f>前台增值物品出入库录入!BG95*$E93</f>
        <v>0</v>
      </c>
      <c r="BH93" s="133">
        <f>前台增值物品出入库录入!BH95*$E93</f>
        <v>0</v>
      </c>
      <c r="BI93" s="133">
        <f>前台增值物品出入库录入!BI95*$E93</f>
        <v>0</v>
      </c>
      <c r="BJ93" s="133">
        <f>前台增值物品出入库录入!BJ95*$E93</f>
        <v>0</v>
      </c>
      <c r="BK93" s="133">
        <f>前台增值物品出入库录入!BK95*$E93</f>
        <v>0</v>
      </c>
      <c r="BL93" s="133">
        <f>前台增值物品出入库录入!BL95*$E93</f>
        <v>0</v>
      </c>
      <c r="BM93" s="133">
        <f>前台增值物品出入库录入!BM95*$E93</f>
        <v>0</v>
      </c>
      <c r="BN93" s="133">
        <f>前台增值物品出入库录入!BN95*$E93</f>
        <v>0</v>
      </c>
      <c r="BO93" s="133">
        <f>前台增值物品出入库录入!BO95*$E93</f>
        <v>0</v>
      </c>
      <c r="BP93" s="133">
        <f>前台增值物品出入库录入!BP95*$E93</f>
        <v>0</v>
      </c>
      <c r="BQ93" s="133">
        <f>前台增值物品出入库录入!BQ95*$E93</f>
        <v>0</v>
      </c>
      <c r="BR93" s="133">
        <f>前台增值物品出入库录入!BR95*$E93</f>
        <v>0</v>
      </c>
      <c r="BS93" s="133">
        <f>前台增值物品出入库录入!BS95*$E93</f>
        <v>0</v>
      </c>
      <c r="BT93" s="133">
        <f>前台增值物品出入库录入!BT95*$E93</f>
        <v>0</v>
      </c>
      <c r="BU93" s="133">
        <f>前台增值物品出入库录入!BU95*$E93</f>
        <v>0</v>
      </c>
      <c r="BV93" s="133">
        <f>前台增值物品出入库录入!BV95*$E93</f>
        <v>0</v>
      </c>
      <c r="BW93" s="133">
        <f>前台增值物品出入库录入!BW95*$E93</f>
        <v>0</v>
      </c>
    </row>
    <row r="94" s="178" customFormat="1" customHeight="1" spans="1:75">
      <c r="A94" s="161">
        <v>98</v>
      </c>
      <c r="B94" s="162" t="str">
        <f>前台增值物品出入库录入!B96</f>
        <v>燕尾夹</v>
      </c>
      <c r="C94" s="162">
        <f>前台增值物品出入库录入!C96</f>
        <v>0</v>
      </c>
      <c r="D94" s="162" t="str">
        <f>前台增值物品出入库录入!D96</f>
        <v>个</v>
      </c>
      <c r="E94" s="162">
        <f>前台增值物品出入库录入!E96</f>
        <v>14.89</v>
      </c>
      <c r="F94" s="162">
        <f>前台增值物品出入库录入!F96</f>
        <v>0</v>
      </c>
      <c r="G94" s="162">
        <f>前台增值物品出入库录入!G96</f>
        <v>0</v>
      </c>
      <c r="H94" s="162">
        <f>前台增值物品出入库录入!H96</f>
        <v>0</v>
      </c>
      <c r="I94" s="162">
        <f>前台增值物品出入库录入!I96</f>
        <v>0</v>
      </c>
      <c r="J94" s="162">
        <f>前台增值物品出入库录入!J96</f>
        <v>0</v>
      </c>
      <c r="K94" s="162">
        <f>前台增值物品出入库录入!K96</f>
        <v>0</v>
      </c>
      <c r="L94" s="162">
        <f>前台增值物品出入库录入!L96</f>
        <v>0</v>
      </c>
      <c r="M94" s="162">
        <f>前台增值物品出入库录入!M96</f>
        <v>0</v>
      </c>
      <c r="N94" s="133">
        <f>前台增值物品出入库录入!N96*$E94</f>
        <v>0</v>
      </c>
      <c r="O94" s="133">
        <f>前台增值物品出入库录入!O96*$E94</f>
        <v>0</v>
      </c>
      <c r="P94" s="133">
        <f>前台增值物品出入库录入!P96*$E94</f>
        <v>0</v>
      </c>
      <c r="Q94" s="133">
        <f>前台增值物品出入库录入!Q96*$E94</f>
        <v>0</v>
      </c>
      <c r="R94" s="133">
        <f>前台增值物品出入库录入!R96*$E94</f>
        <v>0</v>
      </c>
      <c r="S94" s="133">
        <f>前台增值物品出入库录入!S96*$E94</f>
        <v>0</v>
      </c>
      <c r="T94" s="133">
        <f>前台增值物品出入库录入!T96*$E94</f>
        <v>0</v>
      </c>
      <c r="U94" s="133">
        <f>前台增值物品出入库录入!U96*$E94</f>
        <v>0</v>
      </c>
      <c r="V94" s="133">
        <f>前台增值物品出入库录入!V96*$E94</f>
        <v>0</v>
      </c>
      <c r="W94" s="133">
        <f>前台增值物品出入库录入!W96*$E94</f>
        <v>0</v>
      </c>
      <c r="X94" s="133">
        <f>前台增值物品出入库录入!X96*$E94</f>
        <v>0</v>
      </c>
      <c r="Y94" s="133">
        <f>前台增值物品出入库录入!Y96*$E94</f>
        <v>0</v>
      </c>
      <c r="Z94" s="133">
        <f>前台增值物品出入库录入!Z96*$E94</f>
        <v>0</v>
      </c>
      <c r="AA94" s="133">
        <f>前台增值物品出入库录入!AA96*$E94</f>
        <v>0</v>
      </c>
      <c r="AB94" s="133">
        <f>前台增值物品出入库录入!AB96*$E94</f>
        <v>0</v>
      </c>
      <c r="AC94" s="133">
        <f>前台增值物品出入库录入!AC96*$E94</f>
        <v>0</v>
      </c>
      <c r="AD94" s="133">
        <f>前台增值物品出入库录入!AD96*$E94</f>
        <v>0</v>
      </c>
      <c r="AE94" s="133">
        <f>前台增值物品出入库录入!AE96*$E94</f>
        <v>0</v>
      </c>
      <c r="AF94" s="133">
        <f>前台增值物品出入库录入!AF96*$E94</f>
        <v>0</v>
      </c>
      <c r="AG94" s="133">
        <f>前台增值物品出入库录入!AG96*$E94</f>
        <v>0</v>
      </c>
      <c r="AH94" s="133">
        <f>前台增值物品出入库录入!AH96*$E94</f>
        <v>0</v>
      </c>
      <c r="AI94" s="133">
        <f>前台增值物品出入库录入!AI96*$E94</f>
        <v>0</v>
      </c>
      <c r="AJ94" s="133">
        <f>前台增值物品出入库录入!AJ96*$E94</f>
        <v>0</v>
      </c>
      <c r="AK94" s="133">
        <f>前台增值物品出入库录入!AK96*$E94</f>
        <v>0</v>
      </c>
      <c r="AL94" s="133">
        <f>前台增值物品出入库录入!AL96*$E94</f>
        <v>0</v>
      </c>
      <c r="AM94" s="133">
        <f>前台增值物品出入库录入!AM96*$E94</f>
        <v>0</v>
      </c>
      <c r="AN94" s="133">
        <f>前台增值物品出入库录入!AN96*$E94</f>
        <v>0</v>
      </c>
      <c r="AO94" s="133">
        <f>前台增值物品出入库录入!AO96*$E94</f>
        <v>0</v>
      </c>
      <c r="AP94" s="133">
        <f>前台增值物品出入库录入!AP96*$E94</f>
        <v>0</v>
      </c>
      <c r="AQ94" s="133">
        <f>前台增值物品出入库录入!AQ96*$E94</f>
        <v>0</v>
      </c>
      <c r="AR94" s="133">
        <f>前台增值物品出入库录入!AR96*$E94</f>
        <v>0</v>
      </c>
      <c r="AS94" s="133">
        <f>前台增值物品出入库录入!AS96*$E94</f>
        <v>0</v>
      </c>
      <c r="AT94" s="133">
        <f>前台增值物品出入库录入!AT96*$E94</f>
        <v>0</v>
      </c>
      <c r="AU94" s="133">
        <f>前台增值物品出入库录入!AU96*$E94</f>
        <v>0</v>
      </c>
      <c r="AV94" s="133">
        <f>前台增值物品出入库录入!AV96*$E94</f>
        <v>0</v>
      </c>
      <c r="AW94" s="133">
        <f>前台增值物品出入库录入!AW96*$E94</f>
        <v>0</v>
      </c>
      <c r="AX94" s="133">
        <f>前台增值物品出入库录入!AX96*$E94</f>
        <v>0</v>
      </c>
      <c r="AY94" s="133">
        <f>前台增值物品出入库录入!AY96*$E94</f>
        <v>0</v>
      </c>
      <c r="AZ94" s="133">
        <f>前台增值物品出入库录入!AZ96*$E94</f>
        <v>0</v>
      </c>
      <c r="BA94" s="133">
        <f>前台增值物品出入库录入!BA96*$E94</f>
        <v>0</v>
      </c>
      <c r="BB94" s="133">
        <f>前台增值物品出入库录入!BB96*$E94</f>
        <v>0</v>
      </c>
      <c r="BC94" s="133">
        <f>前台增值物品出入库录入!BC96*$E94</f>
        <v>0</v>
      </c>
      <c r="BD94" s="133">
        <f>前台增值物品出入库录入!BD96*$E94</f>
        <v>0</v>
      </c>
      <c r="BE94" s="133">
        <f>前台增值物品出入库录入!BE96*$E94</f>
        <v>0</v>
      </c>
      <c r="BF94" s="133">
        <f>前台增值物品出入库录入!BF96*$E94</f>
        <v>0</v>
      </c>
      <c r="BG94" s="133">
        <f>前台增值物品出入库录入!BG96*$E94</f>
        <v>0</v>
      </c>
      <c r="BH94" s="133">
        <f>前台增值物品出入库录入!BH96*$E94</f>
        <v>0</v>
      </c>
      <c r="BI94" s="133">
        <f>前台增值物品出入库录入!BI96*$E94</f>
        <v>0</v>
      </c>
      <c r="BJ94" s="133">
        <f>前台增值物品出入库录入!BJ96*$E94</f>
        <v>0</v>
      </c>
      <c r="BK94" s="133">
        <f>前台增值物品出入库录入!BK96*$E94</f>
        <v>0</v>
      </c>
      <c r="BL94" s="133">
        <f>前台增值物品出入库录入!BL96*$E94</f>
        <v>0</v>
      </c>
      <c r="BM94" s="133">
        <f>前台增值物品出入库录入!BM96*$E94</f>
        <v>0</v>
      </c>
      <c r="BN94" s="133">
        <f>前台增值物品出入库录入!BN96*$E94</f>
        <v>0</v>
      </c>
      <c r="BO94" s="133">
        <f>前台增值物品出入库录入!BO96*$E94</f>
        <v>0</v>
      </c>
      <c r="BP94" s="133">
        <f>前台增值物品出入库录入!BP96*$E94</f>
        <v>0</v>
      </c>
      <c r="BQ94" s="133">
        <f>前台增值物品出入库录入!BQ96*$E94</f>
        <v>0</v>
      </c>
      <c r="BR94" s="133">
        <f>前台增值物品出入库录入!BR96*$E94</f>
        <v>0</v>
      </c>
      <c r="BS94" s="133">
        <f>前台增值物品出入库录入!BS96*$E94</f>
        <v>0</v>
      </c>
      <c r="BT94" s="133">
        <f>前台增值物品出入库录入!BT96*$E94</f>
        <v>0</v>
      </c>
      <c r="BU94" s="133">
        <f>前台增值物品出入库录入!BU96*$E94</f>
        <v>0</v>
      </c>
      <c r="BV94" s="133">
        <f>前台增值物品出入库录入!BV96*$E94</f>
        <v>0</v>
      </c>
      <c r="BW94" s="133">
        <f>前台增值物品出入库录入!BW96*$E94</f>
        <v>0</v>
      </c>
    </row>
    <row r="95" s="178" customFormat="1" customHeight="1" spans="1:75">
      <c r="A95" s="161">
        <v>99</v>
      </c>
      <c r="B95" s="162" t="str">
        <f>前台增值物品出入库录入!B97</f>
        <v>酸梅粉</v>
      </c>
      <c r="C95" s="162">
        <f>前台增值物品出入库录入!C97</f>
        <v>0</v>
      </c>
      <c r="D95" s="162" t="str">
        <f>前台增值物品出入库录入!D97</f>
        <v>包</v>
      </c>
      <c r="E95" s="162">
        <f>前台增值物品出入库录入!E97</f>
        <v>17.227</v>
      </c>
      <c r="F95" s="162">
        <f>前台增值物品出入库录入!F97</f>
        <v>0</v>
      </c>
      <c r="G95" s="162">
        <f>前台增值物品出入库录入!G97</f>
        <v>0</v>
      </c>
      <c r="H95" s="162">
        <f>前台增值物品出入库录入!H97</f>
        <v>0</v>
      </c>
      <c r="I95" s="162">
        <f>前台增值物品出入库录入!I97</f>
        <v>0</v>
      </c>
      <c r="J95" s="162">
        <f>前台增值物品出入库录入!J97</f>
        <v>0</v>
      </c>
      <c r="K95" s="162">
        <f>前台增值物品出入库录入!K97</f>
        <v>0</v>
      </c>
      <c r="L95" s="162">
        <f>前台增值物品出入库录入!L97</f>
        <v>0</v>
      </c>
      <c r="M95" s="162">
        <f>前台增值物品出入库录入!M97</f>
        <v>0</v>
      </c>
      <c r="N95" s="133">
        <f>前台增值物品出入库录入!N97*$E95</f>
        <v>0</v>
      </c>
      <c r="O95" s="133">
        <f>前台增值物品出入库录入!O97*$E95</f>
        <v>0</v>
      </c>
      <c r="P95" s="133">
        <f>前台增值物品出入库录入!P97*$E95</f>
        <v>0</v>
      </c>
      <c r="Q95" s="133">
        <f>前台增值物品出入库录入!Q97*$E95</f>
        <v>0</v>
      </c>
      <c r="R95" s="133">
        <f>前台增值物品出入库录入!R97*$E95</f>
        <v>0</v>
      </c>
      <c r="S95" s="133">
        <f>前台增值物品出入库录入!S97*$E95</f>
        <v>0</v>
      </c>
      <c r="T95" s="133">
        <f>前台增值物品出入库录入!T97*$E95</f>
        <v>0</v>
      </c>
      <c r="U95" s="133">
        <f>前台增值物品出入库录入!U97*$E95</f>
        <v>0</v>
      </c>
      <c r="V95" s="133">
        <f>前台增值物品出入库录入!V97*$E95</f>
        <v>0</v>
      </c>
      <c r="W95" s="133">
        <f>前台增值物品出入库录入!W97*$E95</f>
        <v>0</v>
      </c>
      <c r="X95" s="133">
        <f>前台增值物品出入库录入!X97*$E95</f>
        <v>0</v>
      </c>
      <c r="Y95" s="133">
        <f>前台增值物品出入库录入!Y97*$E95</f>
        <v>0</v>
      </c>
      <c r="Z95" s="133">
        <f>前台增值物品出入库录入!Z97*$E95</f>
        <v>0</v>
      </c>
      <c r="AA95" s="133">
        <f>前台增值物品出入库录入!AA97*$E95</f>
        <v>0</v>
      </c>
      <c r="AB95" s="133">
        <f>前台增值物品出入库录入!AB97*$E95</f>
        <v>0</v>
      </c>
      <c r="AC95" s="133">
        <f>前台增值物品出入库录入!AC97*$E95</f>
        <v>0</v>
      </c>
      <c r="AD95" s="133">
        <f>前台增值物品出入库录入!AD97*$E95</f>
        <v>0</v>
      </c>
      <c r="AE95" s="133">
        <f>前台增值物品出入库录入!AE97*$E95</f>
        <v>0</v>
      </c>
      <c r="AF95" s="133">
        <f>前台增值物品出入库录入!AF97*$E95</f>
        <v>0</v>
      </c>
      <c r="AG95" s="133">
        <f>前台增值物品出入库录入!AG97*$E95</f>
        <v>0</v>
      </c>
      <c r="AH95" s="133">
        <f>前台增值物品出入库录入!AH97*$E95</f>
        <v>0</v>
      </c>
      <c r="AI95" s="133">
        <f>前台增值物品出入库录入!AI97*$E95</f>
        <v>0</v>
      </c>
      <c r="AJ95" s="133">
        <f>前台增值物品出入库录入!AJ97*$E95</f>
        <v>0</v>
      </c>
      <c r="AK95" s="133">
        <f>前台增值物品出入库录入!AK97*$E95</f>
        <v>0</v>
      </c>
      <c r="AL95" s="133">
        <f>前台增值物品出入库录入!AL97*$E95</f>
        <v>0</v>
      </c>
      <c r="AM95" s="133">
        <f>前台增值物品出入库录入!AM97*$E95</f>
        <v>0</v>
      </c>
      <c r="AN95" s="133">
        <f>前台增值物品出入库录入!AN97*$E95</f>
        <v>0</v>
      </c>
      <c r="AO95" s="133">
        <f>前台增值物品出入库录入!AO97*$E95</f>
        <v>0</v>
      </c>
      <c r="AP95" s="133">
        <f>前台增值物品出入库录入!AP97*$E95</f>
        <v>0</v>
      </c>
      <c r="AQ95" s="133">
        <f>前台增值物品出入库录入!AQ97*$E95</f>
        <v>0</v>
      </c>
      <c r="AR95" s="133">
        <f>前台增值物品出入库录入!AR97*$E95</f>
        <v>0</v>
      </c>
      <c r="AS95" s="133">
        <f>前台增值物品出入库录入!AS97*$E95</f>
        <v>0</v>
      </c>
      <c r="AT95" s="133">
        <f>前台增值物品出入库录入!AT97*$E95</f>
        <v>0</v>
      </c>
      <c r="AU95" s="133">
        <f>前台增值物品出入库录入!AU97*$E95</f>
        <v>0</v>
      </c>
      <c r="AV95" s="133">
        <f>前台增值物品出入库录入!AV97*$E95</f>
        <v>0</v>
      </c>
      <c r="AW95" s="133">
        <f>前台增值物品出入库录入!AW97*$E95</f>
        <v>0</v>
      </c>
      <c r="AX95" s="133">
        <f>前台增值物品出入库录入!AX97*$E95</f>
        <v>0</v>
      </c>
      <c r="AY95" s="133">
        <f>前台增值物品出入库录入!AY97*$E95</f>
        <v>0</v>
      </c>
      <c r="AZ95" s="133">
        <f>前台增值物品出入库录入!AZ97*$E95</f>
        <v>0</v>
      </c>
      <c r="BA95" s="133">
        <f>前台增值物品出入库录入!BA97*$E95</f>
        <v>0</v>
      </c>
      <c r="BB95" s="133">
        <f>前台增值物品出入库录入!BB97*$E95</f>
        <v>0</v>
      </c>
      <c r="BC95" s="133">
        <f>前台增值物品出入库录入!BC97*$E95</f>
        <v>0</v>
      </c>
      <c r="BD95" s="133">
        <f>前台增值物品出入库录入!BD97*$E95</f>
        <v>0</v>
      </c>
      <c r="BE95" s="133">
        <f>前台增值物品出入库录入!BE97*$E95</f>
        <v>0</v>
      </c>
      <c r="BF95" s="133">
        <f>前台增值物品出入库录入!BF97*$E95</f>
        <v>0</v>
      </c>
      <c r="BG95" s="133">
        <f>前台增值物品出入库录入!BG97*$E95</f>
        <v>0</v>
      </c>
      <c r="BH95" s="133">
        <f>前台增值物品出入库录入!BH97*$E95</f>
        <v>0</v>
      </c>
      <c r="BI95" s="133">
        <f>前台增值物品出入库录入!BI97*$E95</f>
        <v>0</v>
      </c>
      <c r="BJ95" s="133">
        <f>前台增值物品出入库录入!BJ97*$E95</f>
        <v>0</v>
      </c>
      <c r="BK95" s="133">
        <f>前台增值物品出入库录入!BK97*$E95</f>
        <v>0</v>
      </c>
      <c r="BL95" s="133">
        <f>前台增值物品出入库录入!BL97*$E95</f>
        <v>0</v>
      </c>
      <c r="BM95" s="133">
        <f>前台增值物品出入库录入!BM97*$E95</f>
        <v>0</v>
      </c>
      <c r="BN95" s="133">
        <f>前台增值物品出入库录入!BN97*$E95</f>
        <v>0</v>
      </c>
      <c r="BO95" s="133">
        <f>前台增值物品出入库录入!BO97*$E95</f>
        <v>0</v>
      </c>
      <c r="BP95" s="133">
        <f>前台增值物品出入库录入!BP97*$E95</f>
        <v>0</v>
      </c>
      <c r="BQ95" s="133">
        <f>前台增值物品出入库录入!BQ97*$E95</f>
        <v>0</v>
      </c>
      <c r="BR95" s="133">
        <f>前台增值物品出入库录入!BR97*$E95</f>
        <v>0</v>
      </c>
      <c r="BS95" s="133">
        <f>前台增值物品出入库录入!BS97*$E95</f>
        <v>0</v>
      </c>
      <c r="BT95" s="133">
        <f>前台增值物品出入库录入!BT97*$E95</f>
        <v>0</v>
      </c>
      <c r="BU95" s="133">
        <f>前台增值物品出入库录入!BU97*$E95</f>
        <v>0</v>
      </c>
      <c r="BV95" s="133">
        <f>前台增值物品出入库录入!BV97*$E95</f>
        <v>0</v>
      </c>
      <c r="BW95" s="133">
        <f>前台增值物品出入库录入!BW97*$E95</f>
        <v>0</v>
      </c>
    </row>
    <row r="96" s="178" customFormat="1" customHeight="1" spans="1:75">
      <c r="A96" s="161">
        <v>100</v>
      </c>
      <c r="B96" s="162" t="str">
        <f>前台增值物品出入库录入!B98</f>
        <v>气球</v>
      </c>
      <c r="C96" s="162">
        <f>前台增值物品出入库录入!C98</f>
        <v>0</v>
      </c>
      <c r="D96" s="162" t="str">
        <f>前台增值物品出入库录入!D98</f>
        <v>个</v>
      </c>
      <c r="E96" s="162">
        <f>前台增值物品出入库录入!E98</f>
        <v>0.216</v>
      </c>
      <c r="F96" s="162">
        <f>前台增值物品出入库录入!F98</f>
        <v>0</v>
      </c>
      <c r="G96" s="162">
        <f>前台增值物品出入库录入!G98</f>
        <v>0</v>
      </c>
      <c r="H96" s="162">
        <f>前台增值物品出入库录入!H98</f>
        <v>0</v>
      </c>
      <c r="I96" s="162">
        <f>前台增值物品出入库录入!I98</f>
        <v>0</v>
      </c>
      <c r="J96" s="162">
        <f>前台增值物品出入库录入!J98</f>
        <v>0</v>
      </c>
      <c r="K96" s="162">
        <f>前台增值物品出入库录入!K98</f>
        <v>0</v>
      </c>
      <c r="L96" s="162">
        <f>前台增值物品出入库录入!L98</f>
        <v>0</v>
      </c>
      <c r="M96" s="162">
        <f>前台增值物品出入库录入!M98</f>
        <v>0</v>
      </c>
      <c r="N96" s="133">
        <f>前台增值物品出入库录入!N98*$E96</f>
        <v>0</v>
      </c>
      <c r="O96" s="133">
        <f>前台增值物品出入库录入!O98*$E96</f>
        <v>0</v>
      </c>
      <c r="P96" s="133">
        <f>前台增值物品出入库录入!P98*$E96</f>
        <v>0</v>
      </c>
      <c r="Q96" s="133">
        <f>前台增值物品出入库录入!Q98*$E96</f>
        <v>0</v>
      </c>
      <c r="R96" s="133">
        <f>前台增值物品出入库录入!R98*$E96</f>
        <v>0</v>
      </c>
      <c r="S96" s="133">
        <f>前台增值物品出入库录入!S98*$E96</f>
        <v>0</v>
      </c>
      <c r="T96" s="133">
        <f>前台增值物品出入库录入!T98*$E96</f>
        <v>0</v>
      </c>
      <c r="U96" s="133">
        <f>前台增值物品出入库录入!U98*$E96</f>
        <v>0</v>
      </c>
      <c r="V96" s="133">
        <f>前台增值物品出入库录入!V98*$E96</f>
        <v>0</v>
      </c>
      <c r="W96" s="133">
        <f>前台增值物品出入库录入!W98*$E96</f>
        <v>0</v>
      </c>
      <c r="X96" s="133">
        <f>前台增值物品出入库录入!X98*$E96</f>
        <v>0</v>
      </c>
      <c r="Y96" s="133">
        <f>前台增值物品出入库录入!Y98*$E96</f>
        <v>0</v>
      </c>
      <c r="Z96" s="133">
        <f>前台增值物品出入库录入!Z98*$E96</f>
        <v>0</v>
      </c>
      <c r="AA96" s="133">
        <f>前台增值物品出入库录入!AA98*$E96</f>
        <v>0</v>
      </c>
      <c r="AB96" s="133">
        <f>前台增值物品出入库录入!AB98*$E96</f>
        <v>0</v>
      </c>
      <c r="AC96" s="133">
        <f>前台增值物品出入库录入!AC98*$E96</f>
        <v>0</v>
      </c>
      <c r="AD96" s="133">
        <f>前台增值物品出入库录入!AD98*$E96</f>
        <v>0</v>
      </c>
      <c r="AE96" s="133">
        <f>前台增值物品出入库录入!AE98*$E96</f>
        <v>0</v>
      </c>
      <c r="AF96" s="133">
        <f>前台增值物品出入库录入!AF98*$E96</f>
        <v>0</v>
      </c>
      <c r="AG96" s="133">
        <f>前台增值物品出入库录入!AG98*$E96</f>
        <v>0</v>
      </c>
      <c r="AH96" s="133">
        <f>前台增值物品出入库录入!AH98*$E96</f>
        <v>0</v>
      </c>
      <c r="AI96" s="133">
        <f>前台增值物品出入库录入!AI98*$E96</f>
        <v>0</v>
      </c>
      <c r="AJ96" s="133">
        <f>前台增值物品出入库录入!AJ98*$E96</f>
        <v>0</v>
      </c>
      <c r="AK96" s="133">
        <f>前台增值物品出入库录入!AK98*$E96</f>
        <v>0</v>
      </c>
      <c r="AL96" s="133">
        <f>前台增值物品出入库录入!AL98*$E96</f>
        <v>0</v>
      </c>
      <c r="AM96" s="133">
        <f>前台增值物品出入库录入!AM98*$E96</f>
        <v>0</v>
      </c>
      <c r="AN96" s="133">
        <f>前台增值物品出入库录入!AN98*$E96</f>
        <v>0</v>
      </c>
      <c r="AO96" s="133">
        <f>前台增值物品出入库录入!AO98*$E96</f>
        <v>0</v>
      </c>
      <c r="AP96" s="133">
        <f>前台增值物品出入库录入!AP98*$E96</f>
        <v>0</v>
      </c>
      <c r="AQ96" s="133">
        <f>前台增值物品出入库录入!AQ98*$E96</f>
        <v>0</v>
      </c>
      <c r="AR96" s="133">
        <f>前台增值物品出入库录入!AR98*$E96</f>
        <v>0</v>
      </c>
      <c r="AS96" s="133">
        <f>前台增值物品出入库录入!AS98*$E96</f>
        <v>0</v>
      </c>
      <c r="AT96" s="133">
        <f>前台增值物品出入库录入!AT98*$E96</f>
        <v>0</v>
      </c>
      <c r="AU96" s="133">
        <f>前台增值物品出入库录入!AU98*$E96</f>
        <v>0</v>
      </c>
      <c r="AV96" s="133">
        <f>前台增值物品出入库录入!AV98*$E96</f>
        <v>0</v>
      </c>
      <c r="AW96" s="133">
        <f>前台增值物品出入库录入!AW98*$E96</f>
        <v>0</v>
      </c>
      <c r="AX96" s="133">
        <f>前台增值物品出入库录入!AX98*$E96</f>
        <v>0</v>
      </c>
      <c r="AY96" s="133">
        <f>前台增值物品出入库录入!AY98*$E96</f>
        <v>0</v>
      </c>
      <c r="AZ96" s="133">
        <f>前台增值物品出入库录入!AZ98*$E96</f>
        <v>0</v>
      </c>
      <c r="BA96" s="133">
        <f>前台增值物品出入库录入!BA98*$E96</f>
        <v>0</v>
      </c>
      <c r="BB96" s="133">
        <f>前台增值物品出入库录入!BB98*$E96</f>
        <v>0</v>
      </c>
      <c r="BC96" s="133">
        <f>前台增值物品出入库录入!BC98*$E96</f>
        <v>0</v>
      </c>
      <c r="BD96" s="133">
        <f>前台增值物品出入库录入!BD98*$E96</f>
        <v>0</v>
      </c>
      <c r="BE96" s="133">
        <f>前台增值物品出入库录入!BE98*$E96</f>
        <v>0</v>
      </c>
      <c r="BF96" s="133">
        <f>前台增值物品出入库录入!BF98*$E96</f>
        <v>0</v>
      </c>
      <c r="BG96" s="133">
        <f>前台增值物品出入库录入!BG98*$E96</f>
        <v>0</v>
      </c>
      <c r="BH96" s="133">
        <f>前台增值物品出入库录入!BH98*$E96</f>
        <v>0</v>
      </c>
      <c r="BI96" s="133">
        <f>前台增值物品出入库录入!BI98*$E96</f>
        <v>0</v>
      </c>
      <c r="BJ96" s="133">
        <f>前台增值物品出入库录入!BJ98*$E96</f>
        <v>0</v>
      </c>
      <c r="BK96" s="133">
        <f>前台增值物品出入库录入!BK98*$E96</f>
        <v>0</v>
      </c>
      <c r="BL96" s="133">
        <f>前台增值物品出入库录入!BL98*$E96</f>
        <v>0</v>
      </c>
      <c r="BM96" s="133">
        <f>前台增值物品出入库录入!BM98*$E96</f>
        <v>0</v>
      </c>
      <c r="BN96" s="133">
        <f>前台增值物品出入库录入!BN98*$E96</f>
        <v>0</v>
      </c>
      <c r="BO96" s="133">
        <f>前台增值物品出入库录入!BO98*$E96</f>
        <v>0</v>
      </c>
      <c r="BP96" s="133">
        <f>前台增值物品出入库录入!BP98*$E96</f>
        <v>0</v>
      </c>
      <c r="BQ96" s="133">
        <f>前台增值物品出入库录入!BQ98*$E96</f>
        <v>0</v>
      </c>
      <c r="BR96" s="133">
        <f>前台增值物品出入库录入!BR98*$E96</f>
        <v>0</v>
      </c>
      <c r="BS96" s="133">
        <f>前台增值物品出入库录入!BS98*$E96</f>
        <v>0</v>
      </c>
      <c r="BT96" s="133">
        <f>前台增值物品出入库录入!BT98*$E96</f>
        <v>0</v>
      </c>
      <c r="BU96" s="133">
        <f>前台增值物品出入库录入!BU98*$E96</f>
        <v>0</v>
      </c>
      <c r="BV96" s="133">
        <f>前台增值物品出入库录入!BV98*$E96</f>
        <v>0</v>
      </c>
      <c r="BW96" s="133">
        <f>前台增值物品出入库录入!BW98*$E96</f>
        <v>0</v>
      </c>
    </row>
    <row r="97" s="178" customFormat="1" customHeight="1" spans="1:75">
      <c r="A97" s="161">
        <v>101</v>
      </c>
      <c r="B97" s="162" t="str">
        <f>前台增值物品出入库录入!B99</f>
        <v>清风手帕纸</v>
      </c>
      <c r="C97" s="162">
        <f>前台增值物品出入库录入!C99</f>
        <v>0</v>
      </c>
      <c r="D97" s="162" t="str">
        <f>前台增值物品出入库录入!D99</f>
        <v>个</v>
      </c>
      <c r="E97" s="162">
        <f>前台增值物品出入库录入!E99</f>
        <v>0.226</v>
      </c>
      <c r="F97" s="162">
        <f>前台增值物品出入库录入!F99</f>
        <v>0</v>
      </c>
      <c r="G97" s="162">
        <f>前台增值物品出入库录入!G99</f>
        <v>0</v>
      </c>
      <c r="H97" s="162">
        <f>前台增值物品出入库录入!H99</f>
        <v>0</v>
      </c>
      <c r="I97" s="162">
        <f>前台增值物品出入库录入!I99</f>
        <v>0</v>
      </c>
      <c r="J97" s="162">
        <f>前台增值物品出入库录入!J99</f>
        <v>0</v>
      </c>
      <c r="K97" s="162">
        <f>前台增值物品出入库录入!K99</f>
        <v>0</v>
      </c>
      <c r="L97" s="162">
        <f>前台增值物品出入库录入!L99</f>
        <v>0</v>
      </c>
      <c r="M97" s="162">
        <f>前台增值物品出入库录入!M99</f>
        <v>0</v>
      </c>
      <c r="N97" s="133">
        <f>前台增值物品出入库录入!N99*$E97</f>
        <v>0</v>
      </c>
      <c r="O97" s="133">
        <f>前台增值物品出入库录入!O99*$E97</f>
        <v>0</v>
      </c>
      <c r="P97" s="133">
        <f>前台增值物品出入库录入!P99*$E97</f>
        <v>0</v>
      </c>
      <c r="Q97" s="133">
        <f>前台增值物品出入库录入!Q99*$E97</f>
        <v>0</v>
      </c>
      <c r="R97" s="133">
        <f>前台增值物品出入库录入!R99*$E97</f>
        <v>0</v>
      </c>
      <c r="S97" s="133">
        <f>前台增值物品出入库录入!S99*$E97</f>
        <v>0</v>
      </c>
      <c r="T97" s="133">
        <f>前台增值物品出入库录入!T99*$E97</f>
        <v>0</v>
      </c>
      <c r="U97" s="133">
        <f>前台增值物品出入库录入!U99*$E97</f>
        <v>0</v>
      </c>
      <c r="V97" s="133">
        <f>前台增值物品出入库录入!V99*$E97</f>
        <v>0</v>
      </c>
      <c r="W97" s="133">
        <f>前台增值物品出入库录入!W99*$E97</f>
        <v>0</v>
      </c>
      <c r="X97" s="133">
        <f>前台增值物品出入库录入!X99*$E97</f>
        <v>0</v>
      </c>
      <c r="Y97" s="133">
        <f>前台增值物品出入库录入!Y99*$E97</f>
        <v>0</v>
      </c>
      <c r="Z97" s="133">
        <f>前台增值物品出入库录入!Z99*$E97</f>
        <v>0</v>
      </c>
      <c r="AA97" s="133">
        <f>前台增值物品出入库录入!AA99*$E97</f>
        <v>0</v>
      </c>
      <c r="AB97" s="133">
        <f>前台增值物品出入库录入!AB99*$E97</f>
        <v>0</v>
      </c>
      <c r="AC97" s="133">
        <f>前台增值物品出入库录入!AC99*$E97</f>
        <v>0</v>
      </c>
      <c r="AD97" s="133">
        <f>前台增值物品出入库录入!AD99*$E97</f>
        <v>0</v>
      </c>
      <c r="AE97" s="133">
        <f>前台增值物品出入库录入!AE99*$E97</f>
        <v>0</v>
      </c>
      <c r="AF97" s="133">
        <f>前台增值物品出入库录入!AF99*$E97</f>
        <v>0</v>
      </c>
      <c r="AG97" s="133">
        <f>前台增值物品出入库录入!AG99*$E97</f>
        <v>0</v>
      </c>
      <c r="AH97" s="133">
        <f>前台增值物品出入库录入!AH99*$E97</f>
        <v>0</v>
      </c>
      <c r="AI97" s="133">
        <f>前台增值物品出入库录入!AI99*$E97</f>
        <v>0</v>
      </c>
      <c r="AJ97" s="133">
        <f>前台增值物品出入库录入!AJ99*$E97</f>
        <v>0</v>
      </c>
      <c r="AK97" s="133">
        <f>前台增值物品出入库录入!AK99*$E97</f>
        <v>0</v>
      </c>
      <c r="AL97" s="133">
        <f>前台增值物品出入库录入!AL99*$E97</f>
        <v>0</v>
      </c>
      <c r="AM97" s="133">
        <f>前台增值物品出入库录入!AM99*$E97</f>
        <v>0</v>
      </c>
      <c r="AN97" s="133">
        <f>前台增值物品出入库录入!AN99*$E97</f>
        <v>0</v>
      </c>
      <c r="AO97" s="133">
        <f>前台增值物品出入库录入!AO99*$E97</f>
        <v>0</v>
      </c>
      <c r="AP97" s="133">
        <f>前台增值物品出入库录入!AP99*$E97</f>
        <v>0</v>
      </c>
      <c r="AQ97" s="133">
        <f>前台增值物品出入库录入!AQ99*$E97</f>
        <v>0</v>
      </c>
      <c r="AR97" s="133">
        <f>前台增值物品出入库录入!AR99*$E97</f>
        <v>0</v>
      </c>
      <c r="AS97" s="133">
        <f>前台增值物品出入库录入!AS99*$E97</f>
        <v>0</v>
      </c>
      <c r="AT97" s="133">
        <f>前台增值物品出入库录入!AT99*$E97</f>
        <v>0</v>
      </c>
      <c r="AU97" s="133">
        <f>前台增值物品出入库录入!AU99*$E97</f>
        <v>0</v>
      </c>
      <c r="AV97" s="133">
        <f>前台增值物品出入库录入!AV99*$E97</f>
        <v>0</v>
      </c>
      <c r="AW97" s="133">
        <f>前台增值物品出入库录入!AW99*$E97</f>
        <v>0</v>
      </c>
      <c r="AX97" s="133">
        <f>前台增值物品出入库录入!AX99*$E97</f>
        <v>0</v>
      </c>
      <c r="AY97" s="133">
        <f>前台增值物品出入库录入!AY99*$E97</f>
        <v>0</v>
      </c>
      <c r="AZ97" s="133">
        <f>前台增值物品出入库录入!AZ99*$E97</f>
        <v>0</v>
      </c>
      <c r="BA97" s="133">
        <f>前台增值物品出入库录入!BA99*$E97</f>
        <v>0</v>
      </c>
      <c r="BB97" s="133">
        <f>前台增值物品出入库录入!BB99*$E97</f>
        <v>0</v>
      </c>
      <c r="BC97" s="133">
        <f>前台增值物品出入库录入!BC99*$E97</f>
        <v>0</v>
      </c>
      <c r="BD97" s="133">
        <f>前台增值物品出入库录入!BD99*$E97</f>
        <v>0</v>
      </c>
      <c r="BE97" s="133">
        <f>前台增值物品出入库录入!BE99*$E97</f>
        <v>0</v>
      </c>
      <c r="BF97" s="133">
        <f>前台增值物品出入库录入!BF99*$E97</f>
        <v>0</v>
      </c>
      <c r="BG97" s="133">
        <f>前台增值物品出入库录入!BG99*$E97</f>
        <v>0</v>
      </c>
      <c r="BH97" s="133">
        <f>前台增值物品出入库录入!BH99*$E97</f>
        <v>0</v>
      </c>
      <c r="BI97" s="133">
        <f>前台增值物品出入库录入!BI99*$E97</f>
        <v>0</v>
      </c>
      <c r="BJ97" s="133">
        <f>前台增值物品出入库录入!BJ99*$E97</f>
        <v>0</v>
      </c>
      <c r="BK97" s="133">
        <f>前台增值物品出入库录入!BK99*$E97</f>
        <v>0</v>
      </c>
      <c r="BL97" s="133">
        <f>前台增值物品出入库录入!BL99*$E97</f>
        <v>0</v>
      </c>
      <c r="BM97" s="133">
        <f>前台增值物品出入库录入!BM99*$E97</f>
        <v>0</v>
      </c>
      <c r="BN97" s="133">
        <f>前台增值物品出入库录入!BN99*$E97</f>
        <v>0</v>
      </c>
      <c r="BO97" s="133">
        <f>前台增值物品出入库录入!BO99*$E97</f>
        <v>0</v>
      </c>
      <c r="BP97" s="133">
        <f>前台增值物品出入库录入!BP99*$E97</f>
        <v>0</v>
      </c>
      <c r="BQ97" s="133">
        <f>前台增值物品出入库录入!BQ99*$E97</f>
        <v>0</v>
      </c>
      <c r="BR97" s="133">
        <f>前台增值物品出入库录入!BR99*$E97</f>
        <v>0</v>
      </c>
      <c r="BS97" s="133">
        <f>前台增值物品出入库录入!BS99*$E97</f>
        <v>0</v>
      </c>
      <c r="BT97" s="133">
        <f>前台增值物品出入库录入!BT99*$E97</f>
        <v>0</v>
      </c>
      <c r="BU97" s="133">
        <f>前台增值物品出入库录入!BU99*$E97</f>
        <v>0</v>
      </c>
      <c r="BV97" s="133">
        <f>前台增值物品出入库录入!BV99*$E97</f>
        <v>0</v>
      </c>
      <c r="BW97" s="133">
        <f>前台增值物品出入库录入!BW99*$E97</f>
        <v>0</v>
      </c>
    </row>
    <row r="98" s="178" customFormat="1" customHeight="1" spans="1:75">
      <c r="A98" s="161">
        <v>102</v>
      </c>
      <c r="B98" s="162" t="str">
        <f>前台增值物品出入库录入!B100</f>
        <v>香薰石膏</v>
      </c>
      <c r="C98" s="162">
        <f>前台增值物品出入库录入!C100</f>
        <v>0</v>
      </c>
      <c r="D98" s="162" t="str">
        <f>前台增值物品出入库录入!D100</f>
        <v>个</v>
      </c>
      <c r="E98" s="162">
        <f>前台增值物品出入库录入!E100</f>
        <v>1.373</v>
      </c>
      <c r="F98" s="162">
        <f>前台增值物品出入库录入!F100</f>
        <v>0</v>
      </c>
      <c r="G98" s="162">
        <f>前台增值物品出入库录入!G100</f>
        <v>0</v>
      </c>
      <c r="H98" s="162">
        <f>前台增值物品出入库录入!H100</f>
        <v>0</v>
      </c>
      <c r="I98" s="162">
        <f>前台增值物品出入库录入!I100</f>
        <v>0</v>
      </c>
      <c r="J98" s="162">
        <f>前台增值物品出入库录入!J100</f>
        <v>0</v>
      </c>
      <c r="K98" s="162">
        <f>前台增值物品出入库录入!K100</f>
        <v>0</v>
      </c>
      <c r="L98" s="162">
        <f>前台增值物品出入库录入!L100</f>
        <v>0</v>
      </c>
      <c r="M98" s="162">
        <f>前台增值物品出入库录入!M100</f>
        <v>0</v>
      </c>
      <c r="N98" s="133">
        <f>前台增值物品出入库录入!N100*$E98</f>
        <v>0</v>
      </c>
      <c r="O98" s="133">
        <f>前台增值物品出入库录入!O100*$E98</f>
        <v>0</v>
      </c>
      <c r="P98" s="133">
        <f>前台增值物品出入库录入!P100*$E98</f>
        <v>0</v>
      </c>
      <c r="Q98" s="133">
        <f>前台增值物品出入库录入!Q100*$E98</f>
        <v>0</v>
      </c>
      <c r="R98" s="133">
        <f>前台增值物品出入库录入!R100*$E98</f>
        <v>0</v>
      </c>
      <c r="S98" s="133">
        <f>前台增值物品出入库录入!S100*$E98</f>
        <v>0</v>
      </c>
      <c r="T98" s="133">
        <f>前台增值物品出入库录入!T100*$E98</f>
        <v>0</v>
      </c>
      <c r="U98" s="133">
        <f>前台增值物品出入库录入!U100*$E98</f>
        <v>0</v>
      </c>
      <c r="V98" s="133">
        <f>前台增值物品出入库录入!V100*$E98</f>
        <v>0</v>
      </c>
      <c r="W98" s="133">
        <f>前台增值物品出入库录入!W100*$E98</f>
        <v>0</v>
      </c>
      <c r="X98" s="133">
        <f>前台增值物品出入库录入!X100*$E98</f>
        <v>0</v>
      </c>
      <c r="Y98" s="133">
        <f>前台增值物品出入库录入!Y100*$E98</f>
        <v>0</v>
      </c>
      <c r="Z98" s="133">
        <f>前台增值物品出入库录入!Z100*$E98</f>
        <v>0</v>
      </c>
      <c r="AA98" s="133">
        <f>前台增值物品出入库录入!AA100*$E98</f>
        <v>0</v>
      </c>
      <c r="AB98" s="133">
        <f>前台增值物品出入库录入!AB100*$E98</f>
        <v>0</v>
      </c>
      <c r="AC98" s="133">
        <f>前台增值物品出入库录入!AC100*$E98</f>
        <v>0</v>
      </c>
      <c r="AD98" s="133">
        <f>前台增值物品出入库录入!AD100*$E98</f>
        <v>0</v>
      </c>
      <c r="AE98" s="133">
        <f>前台增值物品出入库录入!AE100*$E98</f>
        <v>0</v>
      </c>
      <c r="AF98" s="133">
        <f>前台增值物品出入库录入!AF100*$E98</f>
        <v>0</v>
      </c>
      <c r="AG98" s="133">
        <f>前台增值物品出入库录入!AG100*$E98</f>
        <v>0</v>
      </c>
      <c r="AH98" s="133">
        <f>前台增值物品出入库录入!AH100*$E98</f>
        <v>0</v>
      </c>
      <c r="AI98" s="133">
        <f>前台增值物品出入库录入!AI100*$E98</f>
        <v>0</v>
      </c>
      <c r="AJ98" s="133">
        <f>前台增值物品出入库录入!AJ100*$E98</f>
        <v>0</v>
      </c>
      <c r="AK98" s="133">
        <f>前台增值物品出入库录入!AK100*$E98</f>
        <v>0</v>
      </c>
      <c r="AL98" s="133">
        <f>前台增值物品出入库录入!AL100*$E98</f>
        <v>0</v>
      </c>
      <c r="AM98" s="133">
        <f>前台增值物品出入库录入!AM100*$E98</f>
        <v>0</v>
      </c>
      <c r="AN98" s="133">
        <f>前台增值物品出入库录入!AN100*$E98</f>
        <v>0</v>
      </c>
      <c r="AO98" s="133">
        <f>前台增值物品出入库录入!AO100*$E98</f>
        <v>0</v>
      </c>
      <c r="AP98" s="133">
        <f>前台增值物品出入库录入!AP100*$E98</f>
        <v>0</v>
      </c>
      <c r="AQ98" s="133">
        <f>前台增值物品出入库录入!AQ100*$E98</f>
        <v>0</v>
      </c>
      <c r="AR98" s="133">
        <f>前台增值物品出入库录入!AR100*$E98</f>
        <v>0</v>
      </c>
      <c r="AS98" s="133">
        <f>前台增值物品出入库录入!AS100*$E98</f>
        <v>0</v>
      </c>
      <c r="AT98" s="133">
        <f>前台增值物品出入库录入!AT100*$E98</f>
        <v>0</v>
      </c>
      <c r="AU98" s="133">
        <f>前台增值物品出入库录入!AU100*$E98</f>
        <v>0</v>
      </c>
      <c r="AV98" s="133">
        <f>前台增值物品出入库录入!AV100*$E98</f>
        <v>0</v>
      </c>
      <c r="AW98" s="133">
        <f>前台增值物品出入库录入!AW100*$E98</f>
        <v>0</v>
      </c>
      <c r="AX98" s="133">
        <f>前台增值物品出入库录入!AX100*$E98</f>
        <v>0</v>
      </c>
      <c r="AY98" s="133">
        <f>前台增值物品出入库录入!AY100*$E98</f>
        <v>0</v>
      </c>
      <c r="AZ98" s="133">
        <f>前台增值物品出入库录入!AZ100*$E98</f>
        <v>0</v>
      </c>
      <c r="BA98" s="133">
        <f>前台增值物品出入库录入!BA100*$E98</f>
        <v>0</v>
      </c>
      <c r="BB98" s="133">
        <f>前台增值物品出入库录入!BB100*$E98</f>
        <v>0</v>
      </c>
      <c r="BC98" s="133">
        <f>前台增值物品出入库录入!BC100*$E98</f>
        <v>0</v>
      </c>
      <c r="BD98" s="133">
        <f>前台增值物品出入库录入!BD100*$E98</f>
        <v>0</v>
      </c>
      <c r="BE98" s="133">
        <f>前台增值物品出入库录入!BE100*$E98</f>
        <v>0</v>
      </c>
      <c r="BF98" s="133">
        <f>前台增值物品出入库录入!BF100*$E98</f>
        <v>0</v>
      </c>
      <c r="BG98" s="133">
        <f>前台增值物品出入库录入!BG100*$E98</f>
        <v>0</v>
      </c>
      <c r="BH98" s="133">
        <f>前台增值物品出入库录入!BH100*$E98</f>
        <v>0</v>
      </c>
      <c r="BI98" s="133">
        <f>前台增值物品出入库录入!BI100*$E98</f>
        <v>0</v>
      </c>
      <c r="BJ98" s="133">
        <f>前台增值物品出入库录入!BJ100*$E98</f>
        <v>0</v>
      </c>
      <c r="BK98" s="133">
        <f>前台增值物品出入库录入!BK100*$E98</f>
        <v>0</v>
      </c>
      <c r="BL98" s="133">
        <f>前台增值物品出入库录入!BL100*$E98</f>
        <v>0</v>
      </c>
      <c r="BM98" s="133">
        <f>前台增值物品出入库录入!BM100*$E98</f>
        <v>0</v>
      </c>
      <c r="BN98" s="133">
        <f>前台增值物品出入库录入!BN100*$E98</f>
        <v>0</v>
      </c>
      <c r="BO98" s="133">
        <f>前台增值物品出入库录入!BO100*$E98</f>
        <v>0</v>
      </c>
      <c r="BP98" s="133">
        <f>前台增值物品出入库录入!BP100*$E98</f>
        <v>0</v>
      </c>
      <c r="BQ98" s="133">
        <f>前台增值物品出入库录入!BQ100*$E98</f>
        <v>0</v>
      </c>
      <c r="BR98" s="133">
        <f>前台增值物品出入库录入!BR100*$E98</f>
        <v>0</v>
      </c>
      <c r="BS98" s="133">
        <f>前台增值物品出入库录入!BS100*$E98</f>
        <v>0</v>
      </c>
      <c r="BT98" s="133">
        <f>前台增值物品出入库录入!BT100*$E98</f>
        <v>0</v>
      </c>
      <c r="BU98" s="133">
        <f>前台增值物品出入库录入!BU100*$E98</f>
        <v>0</v>
      </c>
      <c r="BV98" s="133">
        <f>前台增值物品出入库录入!BV100*$E98</f>
        <v>0</v>
      </c>
      <c r="BW98" s="133">
        <f>前台增值物品出入库录入!BW100*$E98</f>
        <v>0</v>
      </c>
    </row>
    <row r="99" s="178" customFormat="1" customHeight="1" spans="1:75">
      <c r="A99" s="161">
        <v>103</v>
      </c>
      <c r="B99" s="162" t="str">
        <f>前台增值物品出入库录入!B101</f>
        <v>锁匙牌</v>
      </c>
      <c r="C99" s="162">
        <f>前台增值物品出入库录入!C101</f>
        <v>0</v>
      </c>
      <c r="D99" s="162" t="str">
        <f>前台增值物品出入库录入!D101</f>
        <v>个</v>
      </c>
      <c r="E99" s="162">
        <f>前台增值物品出入库录入!E101</f>
        <v>0.544</v>
      </c>
      <c r="F99" s="162">
        <f>前台增值物品出入库录入!F101</f>
        <v>0</v>
      </c>
      <c r="G99" s="162">
        <f>前台增值物品出入库录入!G101</f>
        <v>0</v>
      </c>
      <c r="H99" s="162">
        <f>前台增值物品出入库录入!H101</f>
        <v>0</v>
      </c>
      <c r="I99" s="162">
        <f>前台增值物品出入库录入!I101</f>
        <v>0</v>
      </c>
      <c r="J99" s="162">
        <f>前台增值物品出入库录入!J101</f>
        <v>0</v>
      </c>
      <c r="K99" s="162">
        <f>前台增值物品出入库录入!K101</f>
        <v>0</v>
      </c>
      <c r="L99" s="162">
        <f>前台增值物品出入库录入!L101</f>
        <v>0</v>
      </c>
      <c r="M99" s="162">
        <f>前台增值物品出入库录入!M101</f>
        <v>0</v>
      </c>
      <c r="N99" s="133">
        <f>前台增值物品出入库录入!N101*$E99</f>
        <v>0</v>
      </c>
      <c r="O99" s="133">
        <f>前台增值物品出入库录入!O101*$E99</f>
        <v>0</v>
      </c>
      <c r="P99" s="133">
        <f>前台增值物品出入库录入!P101*$E99</f>
        <v>0</v>
      </c>
      <c r="Q99" s="133">
        <f>前台增值物品出入库录入!Q101*$E99</f>
        <v>0</v>
      </c>
      <c r="R99" s="133">
        <f>前台增值物品出入库录入!R101*$E99</f>
        <v>0</v>
      </c>
      <c r="S99" s="133">
        <f>前台增值物品出入库录入!S101*$E99</f>
        <v>0</v>
      </c>
      <c r="T99" s="133">
        <f>前台增值物品出入库录入!T101*$E99</f>
        <v>0</v>
      </c>
      <c r="U99" s="133">
        <f>前台增值物品出入库录入!U101*$E99</f>
        <v>0</v>
      </c>
      <c r="V99" s="133">
        <f>前台增值物品出入库录入!V101*$E99</f>
        <v>0</v>
      </c>
      <c r="W99" s="133">
        <f>前台增值物品出入库录入!W101*$E99</f>
        <v>0</v>
      </c>
      <c r="X99" s="133">
        <f>前台增值物品出入库录入!X101*$E99</f>
        <v>0</v>
      </c>
      <c r="Y99" s="133">
        <f>前台增值物品出入库录入!Y101*$E99</f>
        <v>0</v>
      </c>
      <c r="Z99" s="133">
        <f>前台增值物品出入库录入!Z101*$E99</f>
        <v>0</v>
      </c>
      <c r="AA99" s="133">
        <f>前台增值物品出入库录入!AA101*$E99</f>
        <v>0</v>
      </c>
      <c r="AB99" s="133">
        <f>前台增值物品出入库录入!AB101*$E99</f>
        <v>0</v>
      </c>
      <c r="AC99" s="133">
        <f>前台增值物品出入库录入!AC101*$E99</f>
        <v>0</v>
      </c>
      <c r="AD99" s="133">
        <f>前台增值物品出入库录入!AD101*$E99</f>
        <v>0</v>
      </c>
      <c r="AE99" s="133">
        <f>前台增值物品出入库录入!AE101*$E99</f>
        <v>0</v>
      </c>
      <c r="AF99" s="133">
        <f>前台增值物品出入库录入!AF101*$E99</f>
        <v>0</v>
      </c>
      <c r="AG99" s="133">
        <f>前台增值物品出入库录入!AG101*$E99</f>
        <v>0</v>
      </c>
      <c r="AH99" s="133">
        <f>前台增值物品出入库录入!AH101*$E99</f>
        <v>0</v>
      </c>
      <c r="AI99" s="133">
        <f>前台增值物品出入库录入!AI101*$E99</f>
        <v>0</v>
      </c>
      <c r="AJ99" s="133">
        <f>前台增值物品出入库录入!AJ101*$E99</f>
        <v>0</v>
      </c>
      <c r="AK99" s="133">
        <f>前台增值物品出入库录入!AK101*$E99</f>
        <v>0</v>
      </c>
      <c r="AL99" s="133">
        <f>前台增值物品出入库录入!AL101*$E99</f>
        <v>0</v>
      </c>
      <c r="AM99" s="133">
        <f>前台增值物品出入库录入!AM101*$E99</f>
        <v>0</v>
      </c>
      <c r="AN99" s="133">
        <f>前台增值物品出入库录入!AN101*$E99</f>
        <v>0</v>
      </c>
      <c r="AO99" s="133">
        <f>前台增值物品出入库录入!AO101*$E99</f>
        <v>0</v>
      </c>
      <c r="AP99" s="133">
        <f>前台增值物品出入库录入!AP101*$E99</f>
        <v>0</v>
      </c>
      <c r="AQ99" s="133">
        <f>前台增值物品出入库录入!AQ101*$E99</f>
        <v>0</v>
      </c>
      <c r="AR99" s="133">
        <f>前台增值物品出入库录入!AR101*$E99</f>
        <v>0</v>
      </c>
      <c r="AS99" s="133">
        <f>前台增值物品出入库录入!AS101*$E99</f>
        <v>0</v>
      </c>
      <c r="AT99" s="133">
        <f>前台增值物品出入库录入!AT101*$E99</f>
        <v>0</v>
      </c>
      <c r="AU99" s="133">
        <f>前台增值物品出入库录入!AU101*$E99</f>
        <v>0</v>
      </c>
      <c r="AV99" s="133">
        <f>前台增值物品出入库录入!AV101*$E99</f>
        <v>0</v>
      </c>
      <c r="AW99" s="133">
        <f>前台增值物品出入库录入!AW101*$E99</f>
        <v>0</v>
      </c>
      <c r="AX99" s="133">
        <f>前台增值物品出入库录入!AX101*$E99</f>
        <v>0</v>
      </c>
      <c r="AY99" s="133">
        <f>前台增值物品出入库录入!AY101*$E99</f>
        <v>0</v>
      </c>
      <c r="AZ99" s="133">
        <f>前台增值物品出入库录入!AZ101*$E99</f>
        <v>0</v>
      </c>
      <c r="BA99" s="133">
        <f>前台增值物品出入库录入!BA101*$E99</f>
        <v>0</v>
      </c>
      <c r="BB99" s="133">
        <f>前台增值物品出入库录入!BB101*$E99</f>
        <v>0</v>
      </c>
      <c r="BC99" s="133">
        <f>前台增值物品出入库录入!BC101*$E99</f>
        <v>0</v>
      </c>
      <c r="BD99" s="133">
        <f>前台增值物品出入库录入!BD101*$E99</f>
        <v>0</v>
      </c>
      <c r="BE99" s="133">
        <f>前台增值物品出入库录入!BE101*$E99</f>
        <v>0</v>
      </c>
      <c r="BF99" s="133">
        <f>前台增值物品出入库录入!BF101*$E99</f>
        <v>0</v>
      </c>
      <c r="BG99" s="133">
        <f>前台增值物品出入库录入!BG101*$E99</f>
        <v>0</v>
      </c>
      <c r="BH99" s="133">
        <f>前台增值物品出入库录入!BH101*$E99</f>
        <v>0</v>
      </c>
      <c r="BI99" s="133">
        <f>前台增值物品出入库录入!BI101*$E99</f>
        <v>0</v>
      </c>
      <c r="BJ99" s="133">
        <f>前台增值物品出入库录入!BJ101*$E99</f>
        <v>0</v>
      </c>
      <c r="BK99" s="133">
        <f>前台增值物品出入库录入!BK101*$E99</f>
        <v>0</v>
      </c>
      <c r="BL99" s="133">
        <f>前台增值物品出入库录入!BL101*$E99</f>
        <v>0</v>
      </c>
      <c r="BM99" s="133">
        <f>前台增值物品出入库录入!BM101*$E99</f>
        <v>0</v>
      </c>
      <c r="BN99" s="133">
        <f>前台增值物品出入库录入!BN101*$E99</f>
        <v>0</v>
      </c>
      <c r="BO99" s="133">
        <f>前台增值物品出入库录入!BO101*$E99</f>
        <v>0</v>
      </c>
      <c r="BP99" s="133">
        <f>前台增值物品出入库录入!BP101*$E99</f>
        <v>0</v>
      </c>
      <c r="BQ99" s="133">
        <f>前台增值物品出入库录入!BQ101*$E99</f>
        <v>0</v>
      </c>
      <c r="BR99" s="133">
        <f>前台增值物品出入库录入!BR101*$E99</f>
        <v>0</v>
      </c>
      <c r="BS99" s="133">
        <f>前台增值物品出入库录入!BS101*$E99</f>
        <v>0</v>
      </c>
      <c r="BT99" s="133">
        <f>前台增值物品出入库录入!BT101*$E99</f>
        <v>0</v>
      </c>
      <c r="BU99" s="133">
        <f>前台增值物品出入库录入!BU101*$E99</f>
        <v>0</v>
      </c>
      <c r="BV99" s="133">
        <f>前台增值物品出入库录入!BV101*$E99</f>
        <v>0</v>
      </c>
      <c r="BW99" s="133">
        <f>前台增值物品出入库录入!BW101*$E99</f>
        <v>0</v>
      </c>
    </row>
    <row r="100" s="178" customFormat="1" customHeight="1" spans="1:75">
      <c r="A100" s="161">
        <v>104</v>
      </c>
      <c r="B100" s="162" t="str">
        <f>前台增值物品出入库录入!B102</f>
        <v>桃木梳子</v>
      </c>
      <c r="C100" s="162">
        <f>前台增值物品出入库录入!C102</f>
        <v>0</v>
      </c>
      <c r="D100" s="162" t="str">
        <f>前台增值物品出入库录入!D102</f>
        <v>个</v>
      </c>
      <c r="E100" s="162">
        <f>前台增值物品出入库录入!E102</f>
        <v>1.219</v>
      </c>
      <c r="F100" s="162">
        <f>前台增值物品出入库录入!F102</f>
        <v>0</v>
      </c>
      <c r="G100" s="162">
        <f>前台增值物品出入库录入!G102</f>
        <v>0</v>
      </c>
      <c r="H100" s="162">
        <f>前台增值物品出入库录入!H102</f>
        <v>0</v>
      </c>
      <c r="I100" s="162">
        <f>前台增值物品出入库录入!I102</f>
        <v>0</v>
      </c>
      <c r="J100" s="162">
        <f>前台增值物品出入库录入!J102</f>
        <v>0</v>
      </c>
      <c r="K100" s="162">
        <f>前台增值物品出入库录入!K102</f>
        <v>0</v>
      </c>
      <c r="L100" s="162">
        <f>前台增值物品出入库录入!L102</f>
        <v>0</v>
      </c>
      <c r="M100" s="162">
        <f>前台增值物品出入库录入!M102</f>
        <v>0</v>
      </c>
      <c r="N100" s="133">
        <f>前台增值物品出入库录入!N102*$E100</f>
        <v>0</v>
      </c>
      <c r="O100" s="133">
        <f>前台增值物品出入库录入!O102*$E100</f>
        <v>0</v>
      </c>
      <c r="P100" s="133">
        <f>前台增值物品出入库录入!P102*$E100</f>
        <v>0</v>
      </c>
      <c r="Q100" s="133">
        <f>前台增值物品出入库录入!Q102*$E100</f>
        <v>0</v>
      </c>
      <c r="R100" s="133">
        <f>前台增值物品出入库录入!R102*$E100</f>
        <v>0</v>
      </c>
      <c r="S100" s="133">
        <f>前台增值物品出入库录入!S102*$E100</f>
        <v>0</v>
      </c>
      <c r="T100" s="133">
        <f>前台增值物品出入库录入!T102*$E100</f>
        <v>0</v>
      </c>
      <c r="U100" s="133">
        <f>前台增值物品出入库录入!U102*$E100</f>
        <v>0</v>
      </c>
      <c r="V100" s="133">
        <f>前台增值物品出入库录入!V102*$E100</f>
        <v>0</v>
      </c>
      <c r="W100" s="133">
        <f>前台增值物品出入库录入!W102*$E100</f>
        <v>0</v>
      </c>
      <c r="X100" s="133">
        <f>前台增值物品出入库录入!X102*$E100</f>
        <v>0</v>
      </c>
      <c r="Y100" s="133">
        <f>前台增值物品出入库录入!Y102*$E100</f>
        <v>0</v>
      </c>
      <c r="Z100" s="133">
        <f>前台增值物品出入库录入!Z102*$E100</f>
        <v>0</v>
      </c>
      <c r="AA100" s="133">
        <f>前台增值物品出入库录入!AA102*$E100</f>
        <v>0</v>
      </c>
      <c r="AB100" s="133">
        <f>前台增值物品出入库录入!AB102*$E100</f>
        <v>0</v>
      </c>
      <c r="AC100" s="133">
        <f>前台增值物品出入库录入!AC102*$E100</f>
        <v>0</v>
      </c>
      <c r="AD100" s="133">
        <f>前台增值物品出入库录入!AD102*$E100</f>
        <v>0</v>
      </c>
      <c r="AE100" s="133">
        <f>前台增值物品出入库录入!AE102*$E100</f>
        <v>0</v>
      </c>
      <c r="AF100" s="133">
        <f>前台增值物品出入库录入!AF102*$E100</f>
        <v>0</v>
      </c>
      <c r="AG100" s="133">
        <f>前台增值物品出入库录入!AG102*$E100</f>
        <v>0</v>
      </c>
      <c r="AH100" s="133">
        <f>前台增值物品出入库录入!AH102*$E100</f>
        <v>0</v>
      </c>
      <c r="AI100" s="133">
        <f>前台增值物品出入库录入!AI102*$E100</f>
        <v>0</v>
      </c>
      <c r="AJ100" s="133">
        <f>前台增值物品出入库录入!AJ102*$E100</f>
        <v>0</v>
      </c>
      <c r="AK100" s="133">
        <f>前台增值物品出入库录入!AK102*$E100</f>
        <v>0</v>
      </c>
      <c r="AL100" s="133">
        <f>前台增值物品出入库录入!AL102*$E100</f>
        <v>0</v>
      </c>
      <c r="AM100" s="133">
        <f>前台增值物品出入库录入!AM102*$E100</f>
        <v>0</v>
      </c>
      <c r="AN100" s="133">
        <f>前台增值物品出入库录入!AN102*$E100</f>
        <v>0</v>
      </c>
      <c r="AO100" s="133">
        <f>前台增值物品出入库录入!AO102*$E100</f>
        <v>0</v>
      </c>
      <c r="AP100" s="133">
        <f>前台增值物品出入库录入!AP102*$E100</f>
        <v>0</v>
      </c>
      <c r="AQ100" s="133">
        <f>前台增值物品出入库录入!AQ102*$E100</f>
        <v>0</v>
      </c>
      <c r="AR100" s="133">
        <f>前台增值物品出入库录入!AR102*$E100</f>
        <v>0</v>
      </c>
      <c r="AS100" s="133">
        <f>前台增值物品出入库录入!AS102*$E100</f>
        <v>0</v>
      </c>
      <c r="AT100" s="133">
        <f>前台增值物品出入库录入!AT102*$E100</f>
        <v>0</v>
      </c>
      <c r="AU100" s="133">
        <f>前台增值物品出入库录入!AU102*$E100</f>
        <v>0</v>
      </c>
      <c r="AV100" s="133">
        <f>前台增值物品出入库录入!AV102*$E100</f>
        <v>0</v>
      </c>
      <c r="AW100" s="133">
        <f>前台增值物品出入库录入!AW102*$E100</f>
        <v>0</v>
      </c>
      <c r="AX100" s="133">
        <f>前台增值物品出入库录入!AX102*$E100</f>
        <v>0</v>
      </c>
      <c r="AY100" s="133">
        <f>前台增值物品出入库录入!AY102*$E100</f>
        <v>0</v>
      </c>
      <c r="AZ100" s="133">
        <f>前台增值物品出入库录入!AZ102*$E100</f>
        <v>0</v>
      </c>
      <c r="BA100" s="133">
        <f>前台增值物品出入库录入!BA102*$E100</f>
        <v>0</v>
      </c>
      <c r="BB100" s="133">
        <f>前台增值物品出入库录入!BB102*$E100</f>
        <v>0</v>
      </c>
      <c r="BC100" s="133">
        <f>前台增值物品出入库录入!BC102*$E100</f>
        <v>0</v>
      </c>
      <c r="BD100" s="133">
        <f>前台增值物品出入库录入!BD102*$E100</f>
        <v>0</v>
      </c>
      <c r="BE100" s="133">
        <f>前台增值物品出入库录入!BE102*$E100</f>
        <v>0</v>
      </c>
      <c r="BF100" s="133">
        <f>前台增值物品出入库录入!BF102*$E100</f>
        <v>0</v>
      </c>
      <c r="BG100" s="133">
        <f>前台增值物品出入库录入!BG102*$E100</f>
        <v>0</v>
      </c>
      <c r="BH100" s="133">
        <f>前台增值物品出入库录入!BH102*$E100</f>
        <v>0</v>
      </c>
      <c r="BI100" s="133">
        <f>前台增值物品出入库录入!BI102*$E100</f>
        <v>0</v>
      </c>
      <c r="BJ100" s="133">
        <f>前台增值物品出入库录入!BJ102*$E100</f>
        <v>0</v>
      </c>
      <c r="BK100" s="133">
        <f>前台增值物品出入库录入!BK102*$E100</f>
        <v>0</v>
      </c>
      <c r="BL100" s="133">
        <f>前台增值物品出入库录入!BL102*$E100</f>
        <v>0</v>
      </c>
      <c r="BM100" s="133">
        <f>前台增值物品出入库录入!BM102*$E100</f>
        <v>0</v>
      </c>
      <c r="BN100" s="133">
        <f>前台增值物品出入库录入!BN102*$E100</f>
        <v>0</v>
      </c>
      <c r="BO100" s="133">
        <f>前台增值物品出入库录入!BO102*$E100</f>
        <v>0</v>
      </c>
      <c r="BP100" s="133">
        <f>前台增值物品出入库录入!BP102*$E100</f>
        <v>0</v>
      </c>
      <c r="BQ100" s="133">
        <f>前台增值物品出入库录入!BQ102*$E100</f>
        <v>0</v>
      </c>
      <c r="BR100" s="133">
        <f>前台增值物品出入库录入!BR102*$E100</f>
        <v>0</v>
      </c>
      <c r="BS100" s="133">
        <f>前台增值物品出入库录入!BS102*$E100</f>
        <v>0</v>
      </c>
      <c r="BT100" s="133">
        <f>前台增值物品出入库录入!BT102*$E100</f>
        <v>0</v>
      </c>
      <c r="BU100" s="133">
        <f>前台增值物品出入库录入!BU102*$E100</f>
        <v>0</v>
      </c>
      <c r="BV100" s="133">
        <f>前台增值物品出入库录入!BV102*$E100</f>
        <v>0</v>
      </c>
      <c r="BW100" s="133">
        <f>前台增值物品出入库录入!BW102*$E100</f>
        <v>0</v>
      </c>
    </row>
    <row r="101" s="178" customFormat="1" customHeight="1" spans="1:75">
      <c r="A101" s="161">
        <v>105</v>
      </c>
      <c r="B101" s="162" t="str">
        <f>前台增值物品出入库录入!B103</f>
        <v>去油湿巾</v>
      </c>
      <c r="C101" s="162">
        <f>前台增值物品出入库录入!C103</f>
        <v>0</v>
      </c>
      <c r="D101" s="162" t="str">
        <f>前台增值物品出入库录入!D103</f>
        <v>个</v>
      </c>
      <c r="E101" s="162">
        <f>前台增值物品出入库录入!E103</f>
        <v>0.081</v>
      </c>
      <c r="F101" s="162">
        <f>前台增值物品出入库录入!F103</f>
        <v>45</v>
      </c>
      <c r="G101" s="162">
        <f>前台增值物品出入库录入!G103</f>
        <v>3.645</v>
      </c>
      <c r="H101" s="162">
        <f>前台增值物品出入库录入!H103</f>
        <v>0</v>
      </c>
      <c r="I101" s="162">
        <f>前台增值物品出入库录入!I103</f>
        <v>0</v>
      </c>
      <c r="J101" s="162">
        <f>前台增值物品出入库录入!J103</f>
        <v>0</v>
      </c>
      <c r="K101" s="162">
        <f>前台增值物品出入库录入!K103</f>
        <v>0</v>
      </c>
      <c r="L101" s="162">
        <f>前台增值物品出入库录入!L103</f>
        <v>45</v>
      </c>
      <c r="M101" s="162">
        <f>前台增值物品出入库录入!M103</f>
        <v>3.645</v>
      </c>
      <c r="N101" s="133">
        <f>前台增值物品出入库录入!N103*$E101</f>
        <v>0</v>
      </c>
      <c r="O101" s="133">
        <f>前台增值物品出入库录入!O103*$E101</f>
        <v>0</v>
      </c>
      <c r="P101" s="133">
        <f>前台增值物品出入库录入!P103*$E101</f>
        <v>0</v>
      </c>
      <c r="Q101" s="133">
        <f>前台增值物品出入库录入!Q103*$E101</f>
        <v>0</v>
      </c>
      <c r="R101" s="133">
        <f>前台增值物品出入库录入!R103*$E101</f>
        <v>0</v>
      </c>
      <c r="S101" s="133">
        <f>前台增值物品出入库录入!S103*$E101</f>
        <v>0</v>
      </c>
      <c r="T101" s="133">
        <f>前台增值物品出入库录入!T103*$E101</f>
        <v>0</v>
      </c>
      <c r="U101" s="133">
        <f>前台增值物品出入库录入!U103*$E101</f>
        <v>0</v>
      </c>
      <c r="V101" s="133">
        <f>前台增值物品出入库录入!V103*$E101</f>
        <v>0</v>
      </c>
      <c r="W101" s="133">
        <f>前台增值物品出入库录入!W103*$E101</f>
        <v>0</v>
      </c>
      <c r="X101" s="133">
        <f>前台增值物品出入库录入!X103*$E101</f>
        <v>0</v>
      </c>
      <c r="Y101" s="133">
        <f>前台增值物品出入库录入!Y103*$E101</f>
        <v>0</v>
      </c>
      <c r="Z101" s="133">
        <f>前台增值物品出入库录入!Z103*$E101</f>
        <v>0</v>
      </c>
      <c r="AA101" s="133">
        <f>前台增值物品出入库录入!AA103*$E101</f>
        <v>0</v>
      </c>
      <c r="AB101" s="133">
        <f>前台增值物品出入库录入!AB103*$E101</f>
        <v>0</v>
      </c>
      <c r="AC101" s="133">
        <f>前台增值物品出入库录入!AC103*$E101</f>
        <v>0</v>
      </c>
      <c r="AD101" s="133">
        <f>前台增值物品出入库录入!AD103*$E101</f>
        <v>0</v>
      </c>
      <c r="AE101" s="133">
        <f>前台增值物品出入库录入!AE103*$E101</f>
        <v>0</v>
      </c>
      <c r="AF101" s="133">
        <f>前台增值物品出入库录入!AF103*$E101</f>
        <v>0</v>
      </c>
      <c r="AG101" s="133">
        <f>前台增值物品出入库录入!AG103*$E101</f>
        <v>0</v>
      </c>
      <c r="AH101" s="133">
        <f>前台增值物品出入库录入!AH103*$E101</f>
        <v>0</v>
      </c>
      <c r="AI101" s="133">
        <f>前台增值物品出入库录入!AI103*$E101</f>
        <v>0</v>
      </c>
      <c r="AJ101" s="133">
        <f>前台增值物品出入库录入!AJ103*$E101</f>
        <v>0</v>
      </c>
      <c r="AK101" s="133">
        <f>前台增值物品出入库录入!AK103*$E101</f>
        <v>0</v>
      </c>
      <c r="AL101" s="133">
        <f>前台增值物品出入库录入!AL103*$E101</f>
        <v>0</v>
      </c>
      <c r="AM101" s="133">
        <f>前台增值物品出入库录入!AM103*$E101</f>
        <v>0</v>
      </c>
      <c r="AN101" s="133">
        <f>前台增值物品出入库录入!AN103*$E101</f>
        <v>0</v>
      </c>
      <c r="AO101" s="133">
        <f>前台增值物品出入库录入!AO103*$E101</f>
        <v>0</v>
      </c>
      <c r="AP101" s="133">
        <f>前台增值物品出入库录入!AP103*$E101</f>
        <v>0</v>
      </c>
      <c r="AQ101" s="133">
        <f>前台增值物品出入库录入!AQ103*$E101</f>
        <v>0</v>
      </c>
      <c r="AR101" s="133">
        <f>前台增值物品出入库录入!AR103*$E101</f>
        <v>0</v>
      </c>
      <c r="AS101" s="133">
        <f>前台增值物品出入库录入!AS103*$E101</f>
        <v>0</v>
      </c>
      <c r="AT101" s="133">
        <f>前台增值物品出入库录入!AT103*$E101</f>
        <v>0</v>
      </c>
      <c r="AU101" s="133">
        <f>前台增值物品出入库录入!AU103*$E101</f>
        <v>0</v>
      </c>
      <c r="AV101" s="133">
        <f>前台增值物品出入库录入!AV103*$E101</f>
        <v>0</v>
      </c>
      <c r="AW101" s="133">
        <f>前台增值物品出入库录入!AW103*$E101</f>
        <v>0</v>
      </c>
      <c r="AX101" s="133">
        <f>前台增值物品出入库录入!AX103*$E101</f>
        <v>0</v>
      </c>
      <c r="AY101" s="133">
        <f>前台增值物品出入库录入!AY103*$E101</f>
        <v>0</v>
      </c>
      <c r="AZ101" s="133">
        <f>前台增值物品出入库录入!AZ103*$E101</f>
        <v>0</v>
      </c>
      <c r="BA101" s="133">
        <f>前台增值物品出入库录入!BA103*$E101</f>
        <v>0</v>
      </c>
      <c r="BB101" s="133">
        <f>前台增值物品出入库录入!BB103*$E101</f>
        <v>0</v>
      </c>
      <c r="BC101" s="133">
        <f>前台增值物品出入库录入!BC103*$E101</f>
        <v>0</v>
      </c>
      <c r="BD101" s="133">
        <f>前台增值物品出入库录入!BD103*$E101</f>
        <v>0</v>
      </c>
      <c r="BE101" s="133">
        <f>前台增值物品出入库录入!BE103*$E101</f>
        <v>0</v>
      </c>
      <c r="BF101" s="133">
        <f>前台增值物品出入库录入!BF103*$E101</f>
        <v>0</v>
      </c>
      <c r="BG101" s="133">
        <f>前台增值物品出入库录入!BG103*$E101</f>
        <v>0</v>
      </c>
      <c r="BH101" s="133">
        <f>前台增值物品出入库录入!BH103*$E101</f>
        <v>0</v>
      </c>
      <c r="BI101" s="133">
        <f>前台增值物品出入库录入!BI103*$E101</f>
        <v>0</v>
      </c>
      <c r="BJ101" s="133">
        <f>前台增值物品出入库录入!BJ103*$E101</f>
        <v>0</v>
      </c>
      <c r="BK101" s="133">
        <f>前台增值物品出入库录入!BK103*$E101</f>
        <v>0</v>
      </c>
      <c r="BL101" s="133">
        <f>前台增值物品出入库录入!BL103*$E101</f>
        <v>0</v>
      </c>
      <c r="BM101" s="133">
        <f>前台增值物品出入库录入!BM103*$E101</f>
        <v>0</v>
      </c>
      <c r="BN101" s="133">
        <f>前台增值物品出入库录入!BN103*$E101</f>
        <v>0</v>
      </c>
      <c r="BO101" s="133">
        <f>前台增值物品出入库录入!BO103*$E101</f>
        <v>0</v>
      </c>
      <c r="BP101" s="133">
        <f>前台增值物品出入库录入!BP103*$E101</f>
        <v>0</v>
      </c>
      <c r="BQ101" s="133">
        <f>前台增值物品出入库录入!BQ103*$E101</f>
        <v>0</v>
      </c>
      <c r="BR101" s="133">
        <f>前台增值物品出入库录入!BR103*$E101</f>
        <v>0</v>
      </c>
      <c r="BS101" s="133">
        <f>前台增值物品出入库录入!BS103*$E101</f>
        <v>0</v>
      </c>
      <c r="BT101" s="133">
        <f>前台增值物品出入库录入!BT103*$E101</f>
        <v>0</v>
      </c>
      <c r="BU101" s="133">
        <f>前台增值物品出入库录入!BU103*$E101</f>
        <v>0</v>
      </c>
      <c r="BV101" s="133">
        <f>前台增值物品出入库录入!BV103*$E101</f>
        <v>0</v>
      </c>
      <c r="BW101" s="133">
        <f>前台增值物品出入库录入!BW103*$E101</f>
        <v>0</v>
      </c>
    </row>
    <row r="102" s="178" customFormat="1" customHeight="1" spans="1:75">
      <c r="A102" s="161">
        <v>106</v>
      </c>
      <c r="B102" s="162" t="str">
        <f>前台增值物品出入库录入!B104</f>
        <v>海绵拖把</v>
      </c>
      <c r="C102" s="162">
        <f>前台增值物品出入库录入!C104</f>
        <v>0</v>
      </c>
      <c r="D102" s="162" t="str">
        <f>前台增值物品出入库录入!D104</f>
        <v>个</v>
      </c>
      <c r="E102" s="162">
        <f>前台增值物品出入库录入!E104</f>
        <v>43.9</v>
      </c>
      <c r="F102" s="162">
        <f>前台增值物品出入库录入!F104</f>
        <v>0</v>
      </c>
      <c r="G102" s="162">
        <f>前台增值物品出入库录入!G104</f>
        <v>0</v>
      </c>
      <c r="H102" s="162">
        <f>前台增值物品出入库录入!H104</f>
        <v>0</v>
      </c>
      <c r="I102" s="162">
        <f>前台增值物品出入库录入!I104</f>
        <v>0</v>
      </c>
      <c r="J102" s="162">
        <f>前台增值物品出入库录入!J104</f>
        <v>0</v>
      </c>
      <c r="K102" s="162">
        <f>前台增值物品出入库录入!K104</f>
        <v>0</v>
      </c>
      <c r="L102" s="162">
        <f>前台增值物品出入库录入!L104</f>
        <v>0</v>
      </c>
      <c r="M102" s="162">
        <f>前台增值物品出入库录入!M104</f>
        <v>0</v>
      </c>
      <c r="N102" s="133">
        <f>前台增值物品出入库录入!N104*$E102</f>
        <v>0</v>
      </c>
      <c r="O102" s="133">
        <f>前台增值物品出入库录入!O104*$E102</f>
        <v>0</v>
      </c>
      <c r="P102" s="133">
        <f>前台增值物品出入库录入!P104*$E102</f>
        <v>0</v>
      </c>
      <c r="Q102" s="133">
        <f>前台增值物品出入库录入!Q104*$E102</f>
        <v>0</v>
      </c>
      <c r="R102" s="133">
        <f>前台增值物品出入库录入!R104*$E102</f>
        <v>0</v>
      </c>
      <c r="S102" s="133">
        <f>前台增值物品出入库录入!S104*$E102</f>
        <v>0</v>
      </c>
      <c r="T102" s="133">
        <f>前台增值物品出入库录入!T104*$E102</f>
        <v>0</v>
      </c>
      <c r="U102" s="133">
        <f>前台增值物品出入库录入!U104*$E102</f>
        <v>0</v>
      </c>
      <c r="V102" s="133">
        <f>前台增值物品出入库录入!V104*$E102</f>
        <v>0</v>
      </c>
      <c r="W102" s="133">
        <f>前台增值物品出入库录入!W104*$E102</f>
        <v>0</v>
      </c>
      <c r="X102" s="133">
        <f>前台增值物品出入库录入!X104*$E102</f>
        <v>0</v>
      </c>
      <c r="Y102" s="133">
        <f>前台增值物品出入库录入!Y104*$E102</f>
        <v>0</v>
      </c>
      <c r="Z102" s="133">
        <f>前台增值物品出入库录入!Z104*$E102</f>
        <v>0</v>
      </c>
      <c r="AA102" s="133">
        <f>前台增值物品出入库录入!AA104*$E102</f>
        <v>0</v>
      </c>
      <c r="AB102" s="133">
        <f>前台增值物品出入库录入!AB104*$E102</f>
        <v>0</v>
      </c>
      <c r="AC102" s="133">
        <f>前台增值物品出入库录入!AC104*$E102</f>
        <v>0</v>
      </c>
      <c r="AD102" s="133">
        <f>前台增值物品出入库录入!AD104*$E102</f>
        <v>0</v>
      </c>
      <c r="AE102" s="133">
        <f>前台增值物品出入库录入!AE104*$E102</f>
        <v>0</v>
      </c>
      <c r="AF102" s="133">
        <f>前台增值物品出入库录入!AF104*$E102</f>
        <v>0</v>
      </c>
      <c r="AG102" s="133">
        <f>前台增值物品出入库录入!AG104*$E102</f>
        <v>0</v>
      </c>
      <c r="AH102" s="133">
        <f>前台增值物品出入库录入!AH104*$E102</f>
        <v>0</v>
      </c>
      <c r="AI102" s="133">
        <f>前台增值物品出入库录入!AI104*$E102</f>
        <v>0</v>
      </c>
      <c r="AJ102" s="133">
        <f>前台增值物品出入库录入!AJ104*$E102</f>
        <v>0</v>
      </c>
      <c r="AK102" s="133">
        <f>前台增值物品出入库录入!AK104*$E102</f>
        <v>0</v>
      </c>
      <c r="AL102" s="133">
        <f>前台增值物品出入库录入!AL104*$E102</f>
        <v>0</v>
      </c>
      <c r="AM102" s="133">
        <f>前台增值物品出入库录入!AM104*$E102</f>
        <v>0</v>
      </c>
      <c r="AN102" s="133">
        <f>前台增值物品出入库录入!AN104*$E102</f>
        <v>0</v>
      </c>
      <c r="AO102" s="133">
        <f>前台增值物品出入库录入!AO104*$E102</f>
        <v>0</v>
      </c>
      <c r="AP102" s="133">
        <f>前台增值物品出入库录入!AP104*$E102</f>
        <v>0</v>
      </c>
      <c r="AQ102" s="133">
        <f>前台增值物品出入库录入!AQ104*$E102</f>
        <v>0</v>
      </c>
      <c r="AR102" s="133">
        <f>前台增值物品出入库录入!AR104*$E102</f>
        <v>0</v>
      </c>
      <c r="AS102" s="133">
        <f>前台增值物品出入库录入!AS104*$E102</f>
        <v>0</v>
      </c>
      <c r="AT102" s="133">
        <f>前台增值物品出入库录入!AT104*$E102</f>
        <v>0</v>
      </c>
      <c r="AU102" s="133">
        <f>前台增值物品出入库录入!AU104*$E102</f>
        <v>0</v>
      </c>
      <c r="AV102" s="133">
        <f>前台增值物品出入库录入!AV104*$E102</f>
        <v>0</v>
      </c>
      <c r="AW102" s="133">
        <f>前台增值物品出入库录入!AW104*$E102</f>
        <v>0</v>
      </c>
      <c r="AX102" s="133">
        <f>前台增值物品出入库录入!AX104*$E102</f>
        <v>0</v>
      </c>
      <c r="AY102" s="133">
        <f>前台增值物品出入库录入!AY104*$E102</f>
        <v>0</v>
      </c>
      <c r="AZ102" s="133">
        <f>前台增值物品出入库录入!AZ104*$E102</f>
        <v>0</v>
      </c>
      <c r="BA102" s="133">
        <f>前台增值物品出入库录入!BA104*$E102</f>
        <v>0</v>
      </c>
      <c r="BB102" s="133">
        <f>前台增值物品出入库录入!BB104*$E102</f>
        <v>0</v>
      </c>
      <c r="BC102" s="133">
        <f>前台增值物品出入库录入!BC104*$E102</f>
        <v>0</v>
      </c>
      <c r="BD102" s="133">
        <f>前台增值物品出入库录入!BD104*$E102</f>
        <v>0</v>
      </c>
      <c r="BE102" s="133">
        <f>前台增值物品出入库录入!BE104*$E102</f>
        <v>0</v>
      </c>
      <c r="BF102" s="133">
        <f>前台增值物品出入库录入!BF104*$E102</f>
        <v>0</v>
      </c>
      <c r="BG102" s="133">
        <f>前台增值物品出入库录入!BG104*$E102</f>
        <v>0</v>
      </c>
      <c r="BH102" s="133">
        <f>前台增值物品出入库录入!BH104*$E102</f>
        <v>0</v>
      </c>
      <c r="BI102" s="133">
        <f>前台增值物品出入库录入!BI104*$E102</f>
        <v>0</v>
      </c>
      <c r="BJ102" s="133">
        <f>前台增值物品出入库录入!BJ104*$E102</f>
        <v>0</v>
      </c>
      <c r="BK102" s="133">
        <f>前台增值物品出入库录入!BK104*$E102</f>
        <v>0</v>
      </c>
      <c r="BL102" s="133">
        <f>前台增值物品出入库录入!BL104*$E102</f>
        <v>0</v>
      </c>
      <c r="BM102" s="133">
        <f>前台增值物品出入库录入!BM104*$E102</f>
        <v>0</v>
      </c>
      <c r="BN102" s="133">
        <f>前台增值物品出入库录入!BN104*$E102</f>
        <v>0</v>
      </c>
      <c r="BO102" s="133">
        <f>前台增值物品出入库录入!BO104*$E102</f>
        <v>0</v>
      </c>
      <c r="BP102" s="133">
        <f>前台增值物品出入库录入!BP104*$E102</f>
        <v>0</v>
      </c>
      <c r="BQ102" s="133">
        <f>前台增值物品出入库录入!BQ104*$E102</f>
        <v>0</v>
      </c>
      <c r="BR102" s="133">
        <f>前台增值物品出入库录入!BR104*$E102</f>
        <v>0</v>
      </c>
      <c r="BS102" s="133">
        <f>前台增值物品出入库录入!BS104*$E102</f>
        <v>0</v>
      </c>
      <c r="BT102" s="133">
        <f>前台增值物品出入库录入!BT104*$E102</f>
        <v>0</v>
      </c>
      <c r="BU102" s="133">
        <f>前台增值物品出入库录入!BU104*$E102</f>
        <v>0</v>
      </c>
      <c r="BV102" s="133">
        <f>前台增值物品出入库录入!BV104*$E102</f>
        <v>0</v>
      </c>
      <c r="BW102" s="133">
        <f>前台增值物品出入库录入!BW104*$E102</f>
        <v>0</v>
      </c>
    </row>
    <row r="103" s="178" customFormat="1" customHeight="1" spans="1:75">
      <c r="A103" s="161">
        <v>107</v>
      </c>
      <c r="B103" s="162" t="str">
        <f>前台增值物品出入库录入!B105</f>
        <v>多功能工具箱</v>
      </c>
      <c r="C103" s="162">
        <f>前台增值物品出入库录入!C105</f>
        <v>0</v>
      </c>
      <c r="D103" s="162" t="str">
        <f>前台增值物品出入库录入!D105</f>
        <v>个</v>
      </c>
      <c r="E103" s="162">
        <f>前台增值物品出入库录入!E105</f>
        <v>69</v>
      </c>
      <c r="F103" s="162">
        <f>前台增值物品出入库录入!F105</f>
        <v>0</v>
      </c>
      <c r="G103" s="162">
        <f>前台增值物品出入库录入!G105</f>
        <v>0</v>
      </c>
      <c r="H103" s="162">
        <f>前台增值物品出入库录入!H105</f>
        <v>0</v>
      </c>
      <c r="I103" s="162">
        <f>前台增值物品出入库录入!I105</f>
        <v>0</v>
      </c>
      <c r="J103" s="162">
        <f>前台增值物品出入库录入!J105</f>
        <v>0</v>
      </c>
      <c r="K103" s="162">
        <f>前台增值物品出入库录入!K105</f>
        <v>0</v>
      </c>
      <c r="L103" s="162">
        <f>前台增值物品出入库录入!L105</f>
        <v>0</v>
      </c>
      <c r="M103" s="162">
        <f>前台增值物品出入库录入!M105</f>
        <v>0</v>
      </c>
      <c r="N103" s="133">
        <f>前台增值物品出入库录入!N105*$E103</f>
        <v>0</v>
      </c>
      <c r="O103" s="133">
        <f>前台增值物品出入库录入!O105*$E103</f>
        <v>0</v>
      </c>
      <c r="P103" s="133">
        <f>前台增值物品出入库录入!P105*$E103</f>
        <v>0</v>
      </c>
      <c r="Q103" s="133">
        <f>前台增值物品出入库录入!Q105*$E103</f>
        <v>0</v>
      </c>
      <c r="R103" s="133">
        <f>前台增值物品出入库录入!R105*$E103</f>
        <v>0</v>
      </c>
      <c r="S103" s="133">
        <f>前台增值物品出入库录入!S105*$E103</f>
        <v>0</v>
      </c>
      <c r="T103" s="133">
        <f>前台增值物品出入库录入!T105*$E103</f>
        <v>0</v>
      </c>
      <c r="U103" s="133">
        <f>前台增值物品出入库录入!U105*$E103</f>
        <v>0</v>
      </c>
      <c r="V103" s="133">
        <f>前台增值物品出入库录入!V105*$E103</f>
        <v>0</v>
      </c>
      <c r="W103" s="133">
        <f>前台增值物品出入库录入!W105*$E103</f>
        <v>0</v>
      </c>
      <c r="X103" s="133">
        <f>前台增值物品出入库录入!X105*$E103</f>
        <v>0</v>
      </c>
      <c r="Y103" s="133">
        <f>前台增值物品出入库录入!Y105*$E103</f>
        <v>0</v>
      </c>
      <c r="Z103" s="133">
        <f>前台增值物品出入库录入!Z105*$E103</f>
        <v>0</v>
      </c>
      <c r="AA103" s="133">
        <f>前台增值物品出入库录入!AA105*$E103</f>
        <v>0</v>
      </c>
      <c r="AB103" s="133">
        <f>前台增值物品出入库录入!AB105*$E103</f>
        <v>0</v>
      </c>
      <c r="AC103" s="133">
        <f>前台增值物品出入库录入!AC105*$E103</f>
        <v>0</v>
      </c>
      <c r="AD103" s="133">
        <f>前台增值物品出入库录入!AD105*$E103</f>
        <v>0</v>
      </c>
      <c r="AE103" s="133">
        <f>前台增值物品出入库录入!AE105*$E103</f>
        <v>0</v>
      </c>
      <c r="AF103" s="133">
        <f>前台增值物品出入库录入!AF105*$E103</f>
        <v>0</v>
      </c>
      <c r="AG103" s="133">
        <f>前台增值物品出入库录入!AG105*$E103</f>
        <v>0</v>
      </c>
      <c r="AH103" s="133">
        <f>前台增值物品出入库录入!AH105*$E103</f>
        <v>0</v>
      </c>
      <c r="AI103" s="133">
        <f>前台增值物品出入库录入!AI105*$E103</f>
        <v>0</v>
      </c>
      <c r="AJ103" s="133">
        <f>前台增值物品出入库录入!AJ105*$E103</f>
        <v>0</v>
      </c>
      <c r="AK103" s="133">
        <f>前台增值物品出入库录入!AK105*$E103</f>
        <v>0</v>
      </c>
      <c r="AL103" s="133">
        <f>前台增值物品出入库录入!AL105*$E103</f>
        <v>0</v>
      </c>
      <c r="AM103" s="133">
        <f>前台增值物品出入库录入!AM105*$E103</f>
        <v>0</v>
      </c>
      <c r="AN103" s="133">
        <f>前台增值物品出入库录入!AN105*$E103</f>
        <v>0</v>
      </c>
      <c r="AO103" s="133">
        <f>前台增值物品出入库录入!AO105*$E103</f>
        <v>0</v>
      </c>
      <c r="AP103" s="133">
        <f>前台增值物品出入库录入!AP105*$E103</f>
        <v>0</v>
      </c>
      <c r="AQ103" s="133">
        <f>前台增值物品出入库录入!AQ105*$E103</f>
        <v>0</v>
      </c>
      <c r="AR103" s="133">
        <f>前台增值物品出入库录入!AR105*$E103</f>
        <v>0</v>
      </c>
      <c r="AS103" s="133">
        <f>前台增值物品出入库录入!AS105*$E103</f>
        <v>0</v>
      </c>
      <c r="AT103" s="133">
        <f>前台增值物品出入库录入!AT105*$E103</f>
        <v>0</v>
      </c>
      <c r="AU103" s="133">
        <f>前台增值物品出入库录入!AU105*$E103</f>
        <v>0</v>
      </c>
      <c r="AV103" s="133">
        <f>前台增值物品出入库录入!AV105*$E103</f>
        <v>0</v>
      </c>
      <c r="AW103" s="133">
        <f>前台增值物品出入库录入!AW105*$E103</f>
        <v>0</v>
      </c>
      <c r="AX103" s="133">
        <f>前台增值物品出入库录入!AX105*$E103</f>
        <v>0</v>
      </c>
      <c r="AY103" s="133">
        <f>前台增值物品出入库录入!AY105*$E103</f>
        <v>0</v>
      </c>
      <c r="AZ103" s="133">
        <f>前台增值物品出入库录入!AZ105*$E103</f>
        <v>0</v>
      </c>
      <c r="BA103" s="133">
        <f>前台增值物品出入库录入!BA105*$E103</f>
        <v>0</v>
      </c>
      <c r="BB103" s="133">
        <f>前台增值物品出入库录入!BB105*$E103</f>
        <v>0</v>
      </c>
      <c r="BC103" s="133">
        <f>前台增值物品出入库录入!BC105*$E103</f>
        <v>0</v>
      </c>
      <c r="BD103" s="133">
        <f>前台增值物品出入库录入!BD105*$E103</f>
        <v>0</v>
      </c>
      <c r="BE103" s="133">
        <f>前台增值物品出入库录入!BE105*$E103</f>
        <v>0</v>
      </c>
      <c r="BF103" s="133">
        <f>前台增值物品出入库录入!BF105*$E103</f>
        <v>0</v>
      </c>
      <c r="BG103" s="133">
        <f>前台增值物品出入库录入!BG105*$E103</f>
        <v>0</v>
      </c>
      <c r="BH103" s="133">
        <f>前台增值物品出入库录入!BH105*$E103</f>
        <v>0</v>
      </c>
      <c r="BI103" s="133">
        <f>前台增值物品出入库录入!BI105*$E103</f>
        <v>0</v>
      </c>
      <c r="BJ103" s="133">
        <f>前台增值物品出入库录入!BJ105*$E103</f>
        <v>0</v>
      </c>
      <c r="BK103" s="133">
        <f>前台增值物品出入库录入!BK105*$E103</f>
        <v>0</v>
      </c>
      <c r="BL103" s="133">
        <f>前台增值物品出入库录入!BL105*$E103</f>
        <v>0</v>
      </c>
      <c r="BM103" s="133">
        <f>前台增值物品出入库录入!BM105*$E103</f>
        <v>0</v>
      </c>
      <c r="BN103" s="133">
        <f>前台增值物品出入库录入!BN105*$E103</f>
        <v>0</v>
      </c>
      <c r="BO103" s="133">
        <f>前台增值物品出入库录入!BO105*$E103</f>
        <v>0</v>
      </c>
      <c r="BP103" s="133">
        <f>前台增值物品出入库录入!BP105*$E103</f>
        <v>0</v>
      </c>
      <c r="BQ103" s="133">
        <f>前台增值物品出入库录入!BQ105*$E103</f>
        <v>0</v>
      </c>
      <c r="BR103" s="133">
        <f>前台增值物品出入库录入!BR105*$E103</f>
        <v>0</v>
      </c>
      <c r="BS103" s="133">
        <f>前台增值物品出入库录入!BS105*$E103</f>
        <v>0</v>
      </c>
      <c r="BT103" s="133">
        <f>前台增值物品出入库录入!BT105*$E103</f>
        <v>0</v>
      </c>
      <c r="BU103" s="133">
        <f>前台增值物品出入库录入!BU105*$E103</f>
        <v>0</v>
      </c>
      <c r="BV103" s="133">
        <f>前台增值物品出入库录入!BV105*$E103</f>
        <v>0</v>
      </c>
      <c r="BW103" s="133">
        <f>前台增值物品出入库录入!BW105*$E103</f>
        <v>0</v>
      </c>
    </row>
    <row r="104" s="178" customFormat="1" customHeight="1" spans="1:75">
      <c r="A104" s="161">
        <v>108</v>
      </c>
      <c r="B104" s="162" t="str">
        <f>前台增值物品出入库录入!B106</f>
        <v>国旗</v>
      </c>
      <c r="C104" s="162">
        <f>前台增值物品出入库录入!C106</f>
        <v>0</v>
      </c>
      <c r="D104" s="162" t="str">
        <f>前台增值物品出入库录入!D106</f>
        <v>个</v>
      </c>
      <c r="E104" s="162">
        <f>前台增值物品出入库录入!E106</f>
        <v>0.138</v>
      </c>
      <c r="F104" s="162">
        <f>前台增值物品出入库录入!F106</f>
        <v>30</v>
      </c>
      <c r="G104" s="162">
        <f>前台增值物品出入库录入!G106</f>
        <v>4.14</v>
      </c>
      <c r="H104" s="162">
        <f>前台增值物品出入库录入!H106</f>
        <v>0</v>
      </c>
      <c r="I104" s="162">
        <f>前台增值物品出入库录入!I106</f>
        <v>0</v>
      </c>
      <c r="J104" s="162">
        <f>前台增值物品出入库录入!J106</f>
        <v>0</v>
      </c>
      <c r="K104" s="162">
        <f>前台增值物品出入库录入!K106</f>
        <v>0</v>
      </c>
      <c r="L104" s="162">
        <f>前台增值物品出入库录入!L106</f>
        <v>30</v>
      </c>
      <c r="M104" s="162">
        <f>前台增值物品出入库录入!M106</f>
        <v>4.14</v>
      </c>
      <c r="N104" s="133">
        <f>前台增值物品出入库录入!N106*$E104</f>
        <v>0</v>
      </c>
      <c r="O104" s="133">
        <f>前台增值物品出入库录入!O106*$E104</f>
        <v>0</v>
      </c>
      <c r="P104" s="133">
        <f>前台增值物品出入库录入!P106*$E104</f>
        <v>0</v>
      </c>
      <c r="Q104" s="133">
        <f>前台增值物品出入库录入!Q106*$E104</f>
        <v>0</v>
      </c>
      <c r="R104" s="133">
        <f>前台增值物品出入库录入!R106*$E104</f>
        <v>0</v>
      </c>
      <c r="S104" s="133">
        <f>前台增值物品出入库录入!S106*$E104</f>
        <v>0</v>
      </c>
      <c r="T104" s="133">
        <f>前台增值物品出入库录入!T106*$E104</f>
        <v>0</v>
      </c>
      <c r="U104" s="133">
        <f>前台增值物品出入库录入!U106*$E104</f>
        <v>0</v>
      </c>
      <c r="V104" s="133">
        <f>前台增值物品出入库录入!V106*$E104</f>
        <v>0</v>
      </c>
      <c r="W104" s="133">
        <f>前台增值物品出入库录入!W106*$E104</f>
        <v>0</v>
      </c>
      <c r="X104" s="133">
        <f>前台增值物品出入库录入!X106*$E104</f>
        <v>0</v>
      </c>
      <c r="Y104" s="133">
        <f>前台增值物品出入库录入!Y106*$E104</f>
        <v>0</v>
      </c>
      <c r="Z104" s="133">
        <f>前台增值物品出入库录入!Z106*$E104</f>
        <v>0</v>
      </c>
      <c r="AA104" s="133">
        <f>前台增值物品出入库录入!AA106*$E104</f>
        <v>0</v>
      </c>
      <c r="AB104" s="133">
        <f>前台增值物品出入库录入!AB106*$E104</f>
        <v>0</v>
      </c>
      <c r="AC104" s="133">
        <f>前台增值物品出入库录入!AC106*$E104</f>
        <v>0</v>
      </c>
      <c r="AD104" s="133">
        <f>前台增值物品出入库录入!AD106*$E104</f>
        <v>0</v>
      </c>
      <c r="AE104" s="133">
        <f>前台增值物品出入库录入!AE106*$E104</f>
        <v>0</v>
      </c>
      <c r="AF104" s="133">
        <f>前台增值物品出入库录入!AF106*$E104</f>
        <v>0</v>
      </c>
      <c r="AG104" s="133">
        <f>前台增值物品出入库录入!AG106*$E104</f>
        <v>0</v>
      </c>
      <c r="AH104" s="133">
        <f>前台增值物品出入库录入!AH106*$E104</f>
        <v>0</v>
      </c>
      <c r="AI104" s="133">
        <f>前台增值物品出入库录入!AI106*$E104</f>
        <v>0</v>
      </c>
      <c r="AJ104" s="133">
        <f>前台增值物品出入库录入!AJ106*$E104</f>
        <v>0</v>
      </c>
      <c r="AK104" s="133">
        <f>前台增值物品出入库录入!AK106*$E104</f>
        <v>0</v>
      </c>
      <c r="AL104" s="133">
        <f>前台增值物品出入库录入!AL106*$E104</f>
        <v>0</v>
      </c>
      <c r="AM104" s="133">
        <f>前台增值物品出入库录入!AM106*$E104</f>
        <v>0</v>
      </c>
      <c r="AN104" s="133">
        <f>前台增值物品出入库录入!AN106*$E104</f>
        <v>0</v>
      </c>
      <c r="AO104" s="133">
        <f>前台增值物品出入库录入!AO106*$E104</f>
        <v>0</v>
      </c>
      <c r="AP104" s="133">
        <f>前台增值物品出入库录入!AP106*$E104</f>
        <v>0</v>
      </c>
      <c r="AQ104" s="133">
        <f>前台增值物品出入库录入!AQ106*$E104</f>
        <v>0</v>
      </c>
      <c r="AR104" s="133">
        <f>前台增值物品出入库录入!AR106*$E104</f>
        <v>0</v>
      </c>
      <c r="AS104" s="133">
        <f>前台增值物品出入库录入!AS106*$E104</f>
        <v>0</v>
      </c>
      <c r="AT104" s="133">
        <f>前台增值物品出入库录入!AT106*$E104</f>
        <v>0</v>
      </c>
      <c r="AU104" s="133">
        <f>前台增值物品出入库录入!AU106*$E104</f>
        <v>0</v>
      </c>
      <c r="AV104" s="133">
        <f>前台增值物品出入库录入!AV106*$E104</f>
        <v>0</v>
      </c>
      <c r="AW104" s="133">
        <f>前台增值物品出入库录入!AW106*$E104</f>
        <v>0</v>
      </c>
      <c r="AX104" s="133">
        <f>前台增值物品出入库录入!AX106*$E104</f>
        <v>0</v>
      </c>
      <c r="AY104" s="133">
        <f>前台增值物品出入库录入!AY106*$E104</f>
        <v>0</v>
      </c>
      <c r="AZ104" s="133">
        <f>前台增值物品出入库录入!AZ106*$E104</f>
        <v>0</v>
      </c>
      <c r="BA104" s="133">
        <f>前台增值物品出入库录入!BA106*$E104</f>
        <v>0</v>
      </c>
      <c r="BB104" s="133">
        <f>前台增值物品出入库录入!BB106*$E104</f>
        <v>0</v>
      </c>
      <c r="BC104" s="133">
        <f>前台增值物品出入库录入!BC106*$E104</f>
        <v>0</v>
      </c>
      <c r="BD104" s="133">
        <f>前台增值物品出入库录入!BD106*$E104</f>
        <v>0</v>
      </c>
      <c r="BE104" s="133">
        <f>前台增值物品出入库录入!BE106*$E104</f>
        <v>0</v>
      </c>
      <c r="BF104" s="133">
        <f>前台增值物品出入库录入!BF106*$E104</f>
        <v>0</v>
      </c>
      <c r="BG104" s="133">
        <f>前台增值物品出入库录入!BG106*$E104</f>
        <v>0</v>
      </c>
      <c r="BH104" s="133">
        <f>前台增值物品出入库录入!BH106*$E104</f>
        <v>0</v>
      </c>
      <c r="BI104" s="133">
        <f>前台增值物品出入库录入!BI106*$E104</f>
        <v>0</v>
      </c>
      <c r="BJ104" s="133">
        <f>前台增值物品出入库录入!BJ106*$E104</f>
        <v>0</v>
      </c>
      <c r="BK104" s="133">
        <f>前台增值物品出入库录入!BK106*$E104</f>
        <v>0</v>
      </c>
      <c r="BL104" s="133">
        <f>前台增值物品出入库录入!BL106*$E104</f>
        <v>0</v>
      </c>
      <c r="BM104" s="133">
        <f>前台增值物品出入库录入!BM106*$E104</f>
        <v>0</v>
      </c>
      <c r="BN104" s="133">
        <f>前台增值物品出入库录入!BN106*$E104</f>
        <v>0</v>
      </c>
      <c r="BO104" s="133">
        <f>前台增值物品出入库录入!BO106*$E104</f>
        <v>0</v>
      </c>
      <c r="BP104" s="133">
        <f>前台增值物品出入库录入!BP106*$E104</f>
        <v>0</v>
      </c>
      <c r="BQ104" s="133">
        <f>前台增值物品出入库录入!BQ106*$E104</f>
        <v>0</v>
      </c>
      <c r="BR104" s="133">
        <f>前台增值物品出入库录入!BR106*$E104</f>
        <v>0</v>
      </c>
      <c r="BS104" s="133">
        <f>前台增值物品出入库录入!BS106*$E104</f>
        <v>0</v>
      </c>
      <c r="BT104" s="133">
        <f>前台增值物品出入库录入!BT106*$E104</f>
        <v>0</v>
      </c>
      <c r="BU104" s="133">
        <f>前台增值物品出入库录入!BU106*$E104</f>
        <v>0</v>
      </c>
      <c r="BV104" s="133">
        <f>前台增值物品出入库录入!BV106*$E104</f>
        <v>0</v>
      </c>
      <c r="BW104" s="133">
        <f>前台增值物品出入库录入!BW106*$E104</f>
        <v>0</v>
      </c>
    </row>
    <row r="105" s="178" customFormat="1" customHeight="1" spans="1:75">
      <c r="A105" s="161">
        <v>109</v>
      </c>
      <c r="B105" s="162" t="str">
        <f>前台增值物品出入库录入!B107</f>
        <v>贴画</v>
      </c>
      <c r="C105" s="162">
        <f>前台增值物品出入库录入!C107</f>
        <v>0</v>
      </c>
      <c r="D105" s="162" t="str">
        <f>前台增值物品出入库录入!D107</f>
        <v>个</v>
      </c>
      <c r="E105" s="162">
        <f>前台增值物品出入库录入!E107</f>
        <v>0.535</v>
      </c>
      <c r="F105" s="162">
        <f>前台增值物品出入库录入!F107</f>
        <v>50</v>
      </c>
      <c r="G105" s="162">
        <f>前台增值物品出入库录入!G107</f>
        <v>26.75</v>
      </c>
      <c r="H105" s="162">
        <f>前台增值物品出入库录入!H107</f>
        <v>0</v>
      </c>
      <c r="I105" s="162">
        <f>前台增值物品出入库录入!I107</f>
        <v>0</v>
      </c>
      <c r="J105" s="162">
        <f>前台增值物品出入库录入!J107</f>
        <v>0</v>
      </c>
      <c r="K105" s="162">
        <f>前台增值物品出入库录入!K107</f>
        <v>0</v>
      </c>
      <c r="L105" s="162">
        <f>前台增值物品出入库录入!L107</f>
        <v>50</v>
      </c>
      <c r="M105" s="162">
        <f>前台增值物品出入库录入!M107</f>
        <v>26.75</v>
      </c>
      <c r="N105" s="133">
        <f>前台增值物品出入库录入!N107*$E105</f>
        <v>0</v>
      </c>
      <c r="O105" s="133">
        <f>前台增值物品出入库录入!O107*$E105</f>
        <v>0</v>
      </c>
      <c r="P105" s="133">
        <f>前台增值物品出入库录入!P107*$E105</f>
        <v>0</v>
      </c>
      <c r="Q105" s="133">
        <f>前台增值物品出入库录入!Q107*$E105</f>
        <v>0</v>
      </c>
      <c r="R105" s="133">
        <f>前台增值物品出入库录入!R107*$E105</f>
        <v>0</v>
      </c>
      <c r="S105" s="133">
        <f>前台增值物品出入库录入!S107*$E105</f>
        <v>0</v>
      </c>
      <c r="T105" s="133">
        <f>前台增值物品出入库录入!T107*$E105</f>
        <v>0</v>
      </c>
      <c r="U105" s="133">
        <f>前台增值物品出入库录入!U107*$E105</f>
        <v>0</v>
      </c>
      <c r="V105" s="133">
        <f>前台增值物品出入库录入!V107*$E105</f>
        <v>0</v>
      </c>
      <c r="W105" s="133">
        <f>前台增值物品出入库录入!W107*$E105</f>
        <v>0</v>
      </c>
      <c r="X105" s="133">
        <f>前台增值物品出入库录入!X107*$E105</f>
        <v>0</v>
      </c>
      <c r="Y105" s="133">
        <f>前台增值物品出入库录入!Y107*$E105</f>
        <v>0</v>
      </c>
      <c r="Z105" s="133">
        <f>前台增值物品出入库录入!Z107*$E105</f>
        <v>0</v>
      </c>
      <c r="AA105" s="133">
        <f>前台增值物品出入库录入!AA107*$E105</f>
        <v>0</v>
      </c>
      <c r="AB105" s="133">
        <f>前台增值物品出入库录入!AB107*$E105</f>
        <v>0</v>
      </c>
      <c r="AC105" s="133">
        <f>前台增值物品出入库录入!AC107*$E105</f>
        <v>0</v>
      </c>
      <c r="AD105" s="133">
        <f>前台增值物品出入库录入!AD107*$E105</f>
        <v>0</v>
      </c>
      <c r="AE105" s="133">
        <f>前台增值物品出入库录入!AE107*$E105</f>
        <v>0</v>
      </c>
      <c r="AF105" s="133">
        <f>前台增值物品出入库录入!AF107*$E105</f>
        <v>0</v>
      </c>
      <c r="AG105" s="133">
        <f>前台增值物品出入库录入!AG107*$E105</f>
        <v>0</v>
      </c>
      <c r="AH105" s="133">
        <f>前台增值物品出入库录入!AH107*$E105</f>
        <v>0</v>
      </c>
      <c r="AI105" s="133">
        <f>前台增值物品出入库录入!AI107*$E105</f>
        <v>0</v>
      </c>
      <c r="AJ105" s="133">
        <f>前台增值物品出入库录入!AJ107*$E105</f>
        <v>0</v>
      </c>
      <c r="AK105" s="133">
        <f>前台增值物品出入库录入!AK107*$E105</f>
        <v>0</v>
      </c>
      <c r="AL105" s="133">
        <f>前台增值物品出入库录入!AL107*$E105</f>
        <v>0</v>
      </c>
      <c r="AM105" s="133">
        <f>前台增值物品出入库录入!AM107*$E105</f>
        <v>0</v>
      </c>
      <c r="AN105" s="133">
        <f>前台增值物品出入库录入!AN107*$E105</f>
        <v>0</v>
      </c>
      <c r="AO105" s="133">
        <f>前台增值物品出入库录入!AO107*$E105</f>
        <v>0</v>
      </c>
      <c r="AP105" s="133">
        <f>前台增值物品出入库录入!AP107*$E105</f>
        <v>0</v>
      </c>
      <c r="AQ105" s="133">
        <f>前台增值物品出入库录入!AQ107*$E105</f>
        <v>0</v>
      </c>
      <c r="AR105" s="133">
        <f>前台增值物品出入库录入!AR107*$E105</f>
        <v>0</v>
      </c>
      <c r="AS105" s="133">
        <f>前台增值物品出入库录入!AS107*$E105</f>
        <v>0</v>
      </c>
      <c r="AT105" s="133">
        <f>前台增值物品出入库录入!AT107*$E105</f>
        <v>0</v>
      </c>
      <c r="AU105" s="133">
        <f>前台增值物品出入库录入!AU107*$E105</f>
        <v>0</v>
      </c>
      <c r="AV105" s="133">
        <f>前台增值物品出入库录入!AV107*$E105</f>
        <v>0</v>
      </c>
      <c r="AW105" s="133">
        <f>前台增值物品出入库录入!AW107*$E105</f>
        <v>0</v>
      </c>
      <c r="AX105" s="133">
        <f>前台增值物品出入库录入!AX107*$E105</f>
        <v>0</v>
      </c>
      <c r="AY105" s="133">
        <f>前台增值物品出入库录入!AY107*$E105</f>
        <v>0</v>
      </c>
      <c r="AZ105" s="133">
        <f>前台增值物品出入库录入!AZ107*$E105</f>
        <v>0</v>
      </c>
      <c r="BA105" s="133">
        <f>前台增值物品出入库录入!BA107*$E105</f>
        <v>0</v>
      </c>
      <c r="BB105" s="133">
        <f>前台增值物品出入库录入!BB107*$E105</f>
        <v>0</v>
      </c>
      <c r="BC105" s="133">
        <f>前台增值物品出入库录入!BC107*$E105</f>
        <v>0</v>
      </c>
      <c r="BD105" s="133">
        <f>前台增值物品出入库录入!BD107*$E105</f>
        <v>0</v>
      </c>
      <c r="BE105" s="133">
        <f>前台增值物品出入库录入!BE107*$E105</f>
        <v>0</v>
      </c>
      <c r="BF105" s="133">
        <f>前台增值物品出入库录入!BF107*$E105</f>
        <v>0</v>
      </c>
      <c r="BG105" s="133">
        <f>前台增值物品出入库录入!BG107*$E105</f>
        <v>0</v>
      </c>
      <c r="BH105" s="133">
        <f>前台增值物品出入库录入!BH107*$E105</f>
        <v>0</v>
      </c>
      <c r="BI105" s="133">
        <f>前台增值物品出入库录入!BI107*$E105</f>
        <v>0</v>
      </c>
      <c r="BJ105" s="133">
        <f>前台增值物品出入库录入!BJ107*$E105</f>
        <v>0</v>
      </c>
      <c r="BK105" s="133">
        <f>前台增值物品出入库录入!BK107*$E105</f>
        <v>0</v>
      </c>
      <c r="BL105" s="133">
        <f>前台增值物品出入库录入!BL107*$E105</f>
        <v>0</v>
      </c>
      <c r="BM105" s="133">
        <f>前台增值物品出入库录入!BM107*$E105</f>
        <v>0</v>
      </c>
      <c r="BN105" s="133">
        <f>前台增值物品出入库录入!BN107*$E105</f>
        <v>0</v>
      </c>
      <c r="BO105" s="133">
        <f>前台增值物品出入库录入!BO107*$E105</f>
        <v>0</v>
      </c>
      <c r="BP105" s="133">
        <f>前台增值物品出入库录入!BP107*$E105</f>
        <v>0</v>
      </c>
      <c r="BQ105" s="133">
        <f>前台增值物品出入库录入!BQ107*$E105</f>
        <v>0</v>
      </c>
      <c r="BR105" s="133">
        <f>前台增值物品出入库录入!BR107*$E105</f>
        <v>0</v>
      </c>
      <c r="BS105" s="133">
        <f>前台增值物品出入库录入!BS107*$E105</f>
        <v>0</v>
      </c>
      <c r="BT105" s="133">
        <f>前台增值物品出入库录入!BT107*$E105</f>
        <v>0</v>
      </c>
      <c r="BU105" s="133">
        <f>前台增值物品出入库录入!BU107*$E105</f>
        <v>0</v>
      </c>
      <c r="BV105" s="133">
        <f>前台增值物品出入库录入!BV107*$E105</f>
        <v>0</v>
      </c>
      <c r="BW105" s="133">
        <f>前台增值物品出入库录入!BW107*$E105</f>
        <v>0</v>
      </c>
    </row>
    <row r="106" s="178" customFormat="1" customHeight="1" spans="1:75">
      <c r="A106" s="161">
        <v>110</v>
      </c>
      <c r="B106" s="162" t="str">
        <f>前台增值物品出入库录入!B108</f>
        <v>温度计1</v>
      </c>
      <c r="C106" s="162">
        <f>前台增值物品出入库录入!C108</f>
        <v>0</v>
      </c>
      <c r="D106" s="162" t="str">
        <f>前台增值物品出入库录入!D108</f>
        <v>个</v>
      </c>
      <c r="E106" s="162">
        <f>前台增值物品出入库录入!E108</f>
        <v>6.96</v>
      </c>
      <c r="F106" s="162">
        <f>前台增值物品出入库录入!F108</f>
        <v>5</v>
      </c>
      <c r="G106" s="162">
        <f>前台增值物品出入库录入!G108</f>
        <v>34.8</v>
      </c>
      <c r="H106" s="162">
        <f>前台增值物品出入库录入!H108</f>
        <v>0</v>
      </c>
      <c r="I106" s="162">
        <f>前台增值物品出入库录入!I108</f>
        <v>0</v>
      </c>
      <c r="J106" s="162">
        <f>前台增值物品出入库录入!J108</f>
        <v>0</v>
      </c>
      <c r="K106" s="162">
        <f>前台增值物品出入库录入!K108</f>
        <v>0</v>
      </c>
      <c r="L106" s="162">
        <f>前台增值物品出入库录入!L108</f>
        <v>5</v>
      </c>
      <c r="M106" s="162">
        <f>前台增值物品出入库录入!M108</f>
        <v>34.8</v>
      </c>
      <c r="N106" s="133">
        <f>前台增值物品出入库录入!N108*$E106</f>
        <v>0</v>
      </c>
      <c r="O106" s="133">
        <f>前台增值物品出入库录入!O108*$E106</f>
        <v>0</v>
      </c>
      <c r="P106" s="133">
        <f>前台增值物品出入库录入!P108*$E106</f>
        <v>0</v>
      </c>
      <c r="Q106" s="133">
        <f>前台增值物品出入库录入!Q108*$E106</f>
        <v>0</v>
      </c>
      <c r="R106" s="133">
        <f>前台增值物品出入库录入!R108*$E106</f>
        <v>0</v>
      </c>
      <c r="S106" s="133">
        <f>前台增值物品出入库录入!S108*$E106</f>
        <v>0</v>
      </c>
      <c r="T106" s="133">
        <f>前台增值物品出入库录入!T108*$E106</f>
        <v>0</v>
      </c>
      <c r="U106" s="133">
        <f>前台增值物品出入库录入!U108*$E106</f>
        <v>0</v>
      </c>
      <c r="V106" s="133">
        <f>前台增值物品出入库录入!V108*$E106</f>
        <v>0</v>
      </c>
      <c r="W106" s="133">
        <f>前台增值物品出入库录入!W108*$E106</f>
        <v>0</v>
      </c>
      <c r="X106" s="133">
        <f>前台增值物品出入库录入!X108*$E106</f>
        <v>0</v>
      </c>
      <c r="Y106" s="133">
        <f>前台增值物品出入库录入!Y108*$E106</f>
        <v>0</v>
      </c>
      <c r="Z106" s="133">
        <f>前台增值物品出入库录入!Z108*$E106</f>
        <v>0</v>
      </c>
      <c r="AA106" s="133">
        <f>前台增值物品出入库录入!AA108*$E106</f>
        <v>0</v>
      </c>
      <c r="AB106" s="133">
        <f>前台增值物品出入库录入!AB108*$E106</f>
        <v>0</v>
      </c>
      <c r="AC106" s="133">
        <f>前台增值物品出入库录入!AC108*$E106</f>
        <v>0</v>
      </c>
      <c r="AD106" s="133">
        <f>前台增值物品出入库录入!AD108*$E106</f>
        <v>0</v>
      </c>
      <c r="AE106" s="133">
        <f>前台增值物品出入库录入!AE108*$E106</f>
        <v>0</v>
      </c>
      <c r="AF106" s="133">
        <f>前台增值物品出入库录入!AF108*$E106</f>
        <v>0</v>
      </c>
      <c r="AG106" s="133">
        <f>前台增值物品出入库录入!AG108*$E106</f>
        <v>0</v>
      </c>
      <c r="AH106" s="133">
        <f>前台增值物品出入库录入!AH108*$E106</f>
        <v>0</v>
      </c>
      <c r="AI106" s="133">
        <f>前台增值物品出入库录入!AI108*$E106</f>
        <v>0</v>
      </c>
      <c r="AJ106" s="133">
        <f>前台增值物品出入库录入!AJ108*$E106</f>
        <v>0</v>
      </c>
      <c r="AK106" s="133">
        <f>前台增值物品出入库录入!AK108*$E106</f>
        <v>0</v>
      </c>
      <c r="AL106" s="133">
        <f>前台增值物品出入库录入!AL108*$E106</f>
        <v>0</v>
      </c>
      <c r="AM106" s="133">
        <f>前台增值物品出入库录入!AM108*$E106</f>
        <v>0</v>
      </c>
      <c r="AN106" s="133">
        <f>前台增值物品出入库录入!AN108*$E106</f>
        <v>0</v>
      </c>
      <c r="AO106" s="133">
        <f>前台增值物品出入库录入!AO108*$E106</f>
        <v>0</v>
      </c>
      <c r="AP106" s="133">
        <f>前台增值物品出入库录入!AP108*$E106</f>
        <v>0</v>
      </c>
      <c r="AQ106" s="133">
        <f>前台增值物品出入库录入!AQ108*$E106</f>
        <v>0</v>
      </c>
      <c r="AR106" s="133">
        <f>前台增值物品出入库录入!AR108*$E106</f>
        <v>0</v>
      </c>
      <c r="AS106" s="133">
        <f>前台增值物品出入库录入!AS108*$E106</f>
        <v>0</v>
      </c>
      <c r="AT106" s="133">
        <f>前台增值物品出入库录入!AT108*$E106</f>
        <v>0</v>
      </c>
      <c r="AU106" s="133">
        <f>前台增值物品出入库录入!AU108*$E106</f>
        <v>0</v>
      </c>
      <c r="AV106" s="133">
        <f>前台增值物品出入库录入!AV108*$E106</f>
        <v>0</v>
      </c>
      <c r="AW106" s="133">
        <f>前台增值物品出入库录入!AW108*$E106</f>
        <v>0</v>
      </c>
      <c r="AX106" s="133">
        <f>前台增值物品出入库录入!AX108*$E106</f>
        <v>0</v>
      </c>
      <c r="AY106" s="133">
        <f>前台增值物品出入库录入!AY108*$E106</f>
        <v>0</v>
      </c>
      <c r="AZ106" s="133">
        <f>前台增值物品出入库录入!AZ108*$E106</f>
        <v>0</v>
      </c>
      <c r="BA106" s="133">
        <f>前台增值物品出入库录入!BA108*$E106</f>
        <v>0</v>
      </c>
      <c r="BB106" s="133">
        <f>前台增值物品出入库录入!BB108*$E106</f>
        <v>0</v>
      </c>
      <c r="BC106" s="133">
        <f>前台增值物品出入库录入!BC108*$E106</f>
        <v>0</v>
      </c>
      <c r="BD106" s="133">
        <f>前台增值物品出入库录入!BD108*$E106</f>
        <v>0</v>
      </c>
      <c r="BE106" s="133">
        <f>前台增值物品出入库录入!BE108*$E106</f>
        <v>0</v>
      </c>
      <c r="BF106" s="133">
        <f>前台增值物品出入库录入!BF108*$E106</f>
        <v>0</v>
      </c>
      <c r="BG106" s="133">
        <f>前台增值物品出入库录入!BG108*$E106</f>
        <v>0</v>
      </c>
      <c r="BH106" s="133">
        <f>前台增值物品出入库录入!BH108*$E106</f>
        <v>0</v>
      </c>
      <c r="BI106" s="133">
        <f>前台增值物品出入库录入!BI108*$E106</f>
        <v>0</v>
      </c>
      <c r="BJ106" s="133">
        <f>前台增值物品出入库录入!BJ108*$E106</f>
        <v>0</v>
      </c>
      <c r="BK106" s="133">
        <f>前台增值物品出入库录入!BK108*$E106</f>
        <v>0</v>
      </c>
      <c r="BL106" s="133">
        <f>前台增值物品出入库录入!BL108*$E106</f>
        <v>0</v>
      </c>
      <c r="BM106" s="133">
        <f>前台增值物品出入库录入!BM108*$E106</f>
        <v>0</v>
      </c>
      <c r="BN106" s="133">
        <f>前台增值物品出入库录入!BN108*$E106</f>
        <v>0</v>
      </c>
      <c r="BO106" s="133">
        <f>前台增值物品出入库录入!BO108*$E106</f>
        <v>0</v>
      </c>
      <c r="BP106" s="133">
        <f>前台增值物品出入库录入!BP108*$E106</f>
        <v>0</v>
      </c>
      <c r="BQ106" s="133">
        <f>前台增值物品出入库录入!BQ108*$E106</f>
        <v>0</v>
      </c>
      <c r="BR106" s="133">
        <f>前台增值物品出入库录入!BR108*$E106</f>
        <v>0</v>
      </c>
      <c r="BS106" s="133">
        <f>前台增值物品出入库录入!BS108*$E106</f>
        <v>0</v>
      </c>
      <c r="BT106" s="133">
        <f>前台增值物品出入库录入!BT108*$E106</f>
        <v>0</v>
      </c>
      <c r="BU106" s="133">
        <f>前台增值物品出入库录入!BU108*$E106</f>
        <v>0</v>
      </c>
      <c r="BV106" s="133">
        <f>前台增值物品出入库录入!BV108*$E106</f>
        <v>0</v>
      </c>
      <c r="BW106" s="133">
        <f>前台增值物品出入库录入!BW108*$E106</f>
        <v>0</v>
      </c>
    </row>
    <row r="107" s="178" customFormat="1" customHeight="1" spans="1:75">
      <c r="A107" s="161">
        <v>111</v>
      </c>
      <c r="B107" s="162" t="str">
        <f>前台增值物品出入库录入!B109</f>
        <v>打气泵</v>
      </c>
      <c r="C107" s="162">
        <f>前台增值物品出入库录入!C109</f>
        <v>0</v>
      </c>
      <c r="D107" s="162" t="str">
        <f>前台增值物品出入库录入!D109</f>
        <v>个</v>
      </c>
      <c r="E107" s="162">
        <f>前台增值物品出入库录入!E109</f>
        <v>44.5</v>
      </c>
      <c r="F107" s="162">
        <f>前台增值物品出入库录入!F109</f>
        <v>1</v>
      </c>
      <c r="G107" s="162">
        <f>前台增值物品出入库录入!G109</f>
        <v>44.5</v>
      </c>
      <c r="H107" s="162">
        <f>前台增值物品出入库录入!H109</f>
        <v>0</v>
      </c>
      <c r="I107" s="162">
        <f>前台增值物品出入库录入!I109</f>
        <v>0</v>
      </c>
      <c r="J107" s="162">
        <f>前台增值物品出入库录入!J109</f>
        <v>0</v>
      </c>
      <c r="K107" s="162">
        <f>前台增值物品出入库录入!K109</f>
        <v>0</v>
      </c>
      <c r="L107" s="162">
        <f>前台增值物品出入库录入!L109</f>
        <v>1</v>
      </c>
      <c r="M107" s="162">
        <f>前台增值物品出入库录入!M109</f>
        <v>44.5</v>
      </c>
      <c r="N107" s="133">
        <f>前台增值物品出入库录入!N109*$E107</f>
        <v>0</v>
      </c>
      <c r="O107" s="133">
        <f>前台增值物品出入库录入!O109*$E107</f>
        <v>0</v>
      </c>
      <c r="P107" s="133">
        <f>前台增值物品出入库录入!P109*$E107</f>
        <v>0</v>
      </c>
      <c r="Q107" s="133">
        <f>前台增值物品出入库录入!Q109*$E107</f>
        <v>0</v>
      </c>
      <c r="R107" s="133">
        <f>前台增值物品出入库录入!R109*$E107</f>
        <v>0</v>
      </c>
      <c r="S107" s="133">
        <f>前台增值物品出入库录入!S109*$E107</f>
        <v>0</v>
      </c>
      <c r="T107" s="133">
        <f>前台增值物品出入库录入!T109*$E107</f>
        <v>0</v>
      </c>
      <c r="U107" s="133">
        <f>前台增值物品出入库录入!U109*$E107</f>
        <v>0</v>
      </c>
      <c r="V107" s="133">
        <f>前台增值物品出入库录入!V109*$E107</f>
        <v>0</v>
      </c>
      <c r="W107" s="133">
        <f>前台增值物品出入库录入!W109*$E107</f>
        <v>0</v>
      </c>
      <c r="X107" s="133">
        <f>前台增值物品出入库录入!X109*$E107</f>
        <v>0</v>
      </c>
      <c r="Y107" s="133">
        <f>前台增值物品出入库录入!Y109*$E107</f>
        <v>0</v>
      </c>
      <c r="Z107" s="133">
        <f>前台增值物品出入库录入!Z109*$E107</f>
        <v>0</v>
      </c>
      <c r="AA107" s="133">
        <f>前台增值物品出入库录入!AA109*$E107</f>
        <v>0</v>
      </c>
      <c r="AB107" s="133">
        <f>前台增值物品出入库录入!AB109*$E107</f>
        <v>0</v>
      </c>
      <c r="AC107" s="133">
        <f>前台增值物品出入库录入!AC109*$E107</f>
        <v>0</v>
      </c>
      <c r="AD107" s="133">
        <f>前台增值物品出入库录入!AD109*$E107</f>
        <v>0</v>
      </c>
      <c r="AE107" s="133">
        <f>前台增值物品出入库录入!AE109*$E107</f>
        <v>0</v>
      </c>
      <c r="AF107" s="133">
        <f>前台增值物品出入库录入!AF109*$E107</f>
        <v>0</v>
      </c>
      <c r="AG107" s="133">
        <f>前台增值物品出入库录入!AG109*$E107</f>
        <v>0</v>
      </c>
      <c r="AH107" s="133">
        <f>前台增值物品出入库录入!AH109*$E107</f>
        <v>0</v>
      </c>
      <c r="AI107" s="133">
        <f>前台增值物品出入库录入!AI109*$E107</f>
        <v>0</v>
      </c>
      <c r="AJ107" s="133">
        <f>前台增值物品出入库录入!AJ109*$E107</f>
        <v>0</v>
      </c>
      <c r="AK107" s="133">
        <f>前台增值物品出入库录入!AK109*$E107</f>
        <v>0</v>
      </c>
      <c r="AL107" s="133">
        <f>前台增值物品出入库录入!AL109*$E107</f>
        <v>0</v>
      </c>
      <c r="AM107" s="133">
        <f>前台增值物品出入库录入!AM109*$E107</f>
        <v>0</v>
      </c>
      <c r="AN107" s="133">
        <f>前台增值物品出入库录入!AN109*$E107</f>
        <v>0</v>
      </c>
      <c r="AO107" s="133">
        <f>前台增值物品出入库录入!AO109*$E107</f>
        <v>0</v>
      </c>
      <c r="AP107" s="133">
        <f>前台增值物品出入库录入!AP109*$E107</f>
        <v>0</v>
      </c>
      <c r="AQ107" s="133">
        <f>前台增值物品出入库录入!AQ109*$E107</f>
        <v>0</v>
      </c>
      <c r="AR107" s="133">
        <f>前台增值物品出入库录入!AR109*$E107</f>
        <v>0</v>
      </c>
      <c r="AS107" s="133">
        <f>前台增值物品出入库录入!AS109*$E107</f>
        <v>0</v>
      </c>
      <c r="AT107" s="133">
        <f>前台增值物品出入库录入!AT109*$E107</f>
        <v>0</v>
      </c>
      <c r="AU107" s="133">
        <f>前台增值物品出入库录入!AU109*$E107</f>
        <v>0</v>
      </c>
      <c r="AV107" s="133">
        <f>前台增值物品出入库录入!AV109*$E107</f>
        <v>0</v>
      </c>
      <c r="AW107" s="133">
        <f>前台增值物品出入库录入!AW109*$E107</f>
        <v>0</v>
      </c>
      <c r="AX107" s="133">
        <f>前台增值物品出入库录入!AX109*$E107</f>
        <v>0</v>
      </c>
      <c r="AY107" s="133">
        <f>前台增值物品出入库录入!AY109*$E107</f>
        <v>0</v>
      </c>
      <c r="AZ107" s="133">
        <f>前台增值物品出入库录入!AZ109*$E107</f>
        <v>0</v>
      </c>
      <c r="BA107" s="133">
        <f>前台增值物品出入库录入!BA109*$E107</f>
        <v>0</v>
      </c>
      <c r="BB107" s="133">
        <f>前台增值物品出入库录入!BB109*$E107</f>
        <v>0</v>
      </c>
      <c r="BC107" s="133">
        <f>前台增值物品出入库录入!BC109*$E107</f>
        <v>0</v>
      </c>
      <c r="BD107" s="133">
        <f>前台增值物品出入库录入!BD109*$E107</f>
        <v>0</v>
      </c>
      <c r="BE107" s="133">
        <f>前台增值物品出入库录入!BE109*$E107</f>
        <v>0</v>
      </c>
      <c r="BF107" s="133">
        <f>前台增值物品出入库录入!BF109*$E107</f>
        <v>0</v>
      </c>
      <c r="BG107" s="133">
        <f>前台增值物品出入库录入!BG109*$E107</f>
        <v>0</v>
      </c>
      <c r="BH107" s="133">
        <f>前台增值物品出入库录入!BH109*$E107</f>
        <v>0</v>
      </c>
      <c r="BI107" s="133">
        <f>前台增值物品出入库录入!BI109*$E107</f>
        <v>0</v>
      </c>
      <c r="BJ107" s="133">
        <f>前台增值物品出入库录入!BJ109*$E107</f>
        <v>0</v>
      </c>
      <c r="BK107" s="133">
        <f>前台增值物品出入库录入!BK109*$E107</f>
        <v>0</v>
      </c>
      <c r="BL107" s="133">
        <f>前台增值物品出入库录入!BL109*$E107</f>
        <v>0</v>
      </c>
      <c r="BM107" s="133">
        <f>前台增值物品出入库录入!BM109*$E107</f>
        <v>0</v>
      </c>
      <c r="BN107" s="133">
        <f>前台增值物品出入库录入!BN109*$E107</f>
        <v>0</v>
      </c>
      <c r="BO107" s="133">
        <f>前台增值物品出入库录入!BO109*$E107</f>
        <v>0</v>
      </c>
      <c r="BP107" s="133">
        <f>前台增值物品出入库录入!BP109*$E107</f>
        <v>0</v>
      </c>
      <c r="BQ107" s="133">
        <f>前台增值物品出入库录入!BQ109*$E107</f>
        <v>0</v>
      </c>
      <c r="BR107" s="133">
        <f>前台增值物品出入库录入!BR109*$E107</f>
        <v>0</v>
      </c>
      <c r="BS107" s="133">
        <f>前台增值物品出入库录入!BS109*$E107</f>
        <v>0</v>
      </c>
      <c r="BT107" s="133">
        <f>前台增值物品出入库录入!BT109*$E107</f>
        <v>0</v>
      </c>
      <c r="BU107" s="133">
        <f>前台增值物品出入库录入!BU109*$E107</f>
        <v>0</v>
      </c>
      <c r="BV107" s="133">
        <f>前台增值物品出入库录入!BV109*$E107</f>
        <v>0</v>
      </c>
      <c r="BW107" s="133">
        <f>前台增值物品出入库录入!BW109*$E107</f>
        <v>0</v>
      </c>
    </row>
    <row r="108" s="178" customFormat="1" customHeight="1" spans="1:75">
      <c r="A108" s="161">
        <v>112</v>
      </c>
      <c r="B108" s="162" t="str">
        <f>前台增值物品出入库录入!B110</f>
        <v>咖啡糖</v>
      </c>
      <c r="C108" s="162">
        <f>前台增值物品出入库录入!C110</f>
        <v>0</v>
      </c>
      <c r="D108" s="162" t="str">
        <f>前台增值物品出入库录入!D110</f>
        <v>包</v>
      </c>
      <c r="E108" s="162">
        <f>前台增值物品出入库录入!E110</f>
        <v>0.0171</v>
      </c>
      <c r="F108" s="162">
        <f>前台增值物品出入库录入!F110</f>
        <v>850</v>
      </c>
      <c r="G108" s="162">
        <f>前台增值物品出入库录入!G110</f>
        <v>14.535</v>
      </c>
      <c r="H108" s="162">
        <f>前台增值物品出入库录入!H110</f>
        <v>0</v>
      </c>
      <c r="I108" s="162">
        <f>前台增值物品出入库录入!I110</f>
        <v>0</v>
      </c>
      <c r="J108" s="162">
        <f>前台增值物品出入库录入!J110</f>
        <v>750</v>
      </c>
      <c r="K108" s="162">
        <f>前台增值物品出入库录入!K110</f>
        <v>12.825</v>
      </c>
      <c r="L108" s="162">
        <f>前台增值物品出入库录入!L110</f>
        <v>100</v>
      </c>
      <c r="M108" s="162">
        <f>前台增值物品出入库录入!M110</f>
        <v>1.71</v>
      </c>
      <c r="N108" s="133">
        <f>前台增值物品出入库录入!N110*$E108</f>
        <v>0</v>
      </c>
      <c r="O108" s="133">
        <f>前台增值物品出入库录入!O110*$E108</f>
        <v>0</v>
      </c>
      <c r="P108" s="133">
        <f>前台增值物品出入库录入!P110*$E108</f>
        <v>0</v>
      </c>
      <c r="Q108" s="133">
        <f>前台增值物品出入库录入!Q110*$E108</f>
        <v>0</v>
      </c>
      <c r="R108" s="133">
        <f>前台增值物品出入库录入!R110*$E108</f>
        <v>0</v>
      </c>
      <c r="S108" s="133">
        <f>前台增值物品出入库录入!S110*$E108</f>
        <v>0</v>
      </c>
      <c r="T108" s="133">
        <f>前台增值物品出入库录入!T110*$E108</f>
        <v>0</v>
      </c>
      <c r="U108" s="133">
        <f>前台增值物品出入库录入!U110*$E108</f>
        <v>0</v>
      </c>
      <c r="V108" s="133">
        <f>前台增值物品出入库录入!V110*$E108</f>
        <v>0</v>
      </c>
      <c r="W108" s="133">
        <f>前台增值物品出入库录入!W110*$E108</f>
        <v>0</v>
      </c>
      <c r="X108" s="133">
        <f>前台增值物品出入库录入!X110*$E108</f>
        <v>0</v>
      </c>
      <c r="Y108" s="133">
        <f>前台增值物品出入库录入!Y110*$E108</f>
        <v>0</v>
      </c>
      <c r="Z108" s="133">
        <f>前台增值物品出入库录入!Z110*$E108</f>
        <v>0</v>
      </c>
      <c r="AA108" s="133">
        <f>前台增值物品出入库录入!AA110*$E108</f>
        <v>2.565</v>
      </c>
      <c r="AB108" s="133">
        <f>前台增值物品出入库录入!AB110*$E108</f>
        <v>0</v>
      </c>
      <c r="AC108" s="133">
        <f>前台增值物品出入库录入!AC110*$E108</f>
        <v>0</v>
      </c>
      <c r="AD108" s="133">
        <f>前台增值物品出入库录入!AD110*$E108</f>
        <v>0</v>
      </c>
      <c r="AE108" s="133">
        <f>前台增值物品出入库录入!AE110*$E108</f>
        <v>2.565</v>
      </c>
      <c r="AF108" s="133">
        <f>前台增值物品出入库录入!AF110*$E108</f>
        <v>0</v>
      </c>
      <c r="AG108" s="133">
        <f>前台增值物品出入库录入!AG110*$E108</f>
        <v>0</v>
      </c>
      <c r="AH108" s="133">
        <f>前台增值物品出入库录入!AH110*$E108</f>
        <v>0</v>
      </c>
      <c r="AI108" s="133">
        <f>前台增值物品出入库录入!AI110*$E108</f>
        <v>2.565</v>
      </c>
      <c r="AJ108" s="133">
        <f>前台增值物品出入库录入!AJ110*$E108</f>
        <v>0</v>
      </c>
      <c r="AK108" s="133">
        <f>前台增值物品出入库录入!AK110*$E108</f>
        <v>0</v>
      </c>
      <c r="AL108" s="133">
        <f>前台增值物品出入库录入!AL110*$E108</f>
        <v>0</v>
      </c>
      <c r="AM108" s="133">
        <f>前台增值物品出入库录入!AM110*$E108</f>
        <v>0</v>
      </c>
      <c r="AN108" s="133">
        <f>前台增值物品出入库录入!AN110*$E108</f>
        <v>0</v>
      </c>
      <c r="AO108" s="133">
        <f>前台增值物品出入库录入!AO110*$E108</f>
        <v>0</v>
      </c>
      <c r="AP108" s="133">
        <f>前台增值物品出入库录入!AP110*$E108</f>
        <v>0</v>
      </c>
      <c r="AQ108" s="133">
        <f>前台增值物品出入库录入!AQ110*$E108</f>
        <v>0</v>
      </c>
      <c r="AR108" s="133">
        <f>前台增值物品出入库录入!AR110*$E108</f>
        <v>0</v>
      </c>
      <c r="AS108" s="133">
        <f>前台增值物品出入库录入!AS110*$E108</f>
        <v>1.71</v>
      </c>
      <c r="AT108" s="133">
        <f>前台增值物品出入库录入!AT110*$E108</f>
        <v>0</v>
      </c>
      <c r="AU108" s="133">
        <f>前台增值物品出入库录入!AU110*$E108</f>
        <v>0</v>
      </c>
      <c r="AV108" s="133">
        <f>前台增值物品出入库录入!AV110*$E108</f>
        <v>0</v>
      </c>
      <c r="AW108" s="133">
        <f>前台增值物品出入库录入!AW110*$E108</f>
        <v>0</v>
      </c>
      <c r="AX108" s="133">
        <f>前台增值物品出入库录入!AX110*$E108</f>
        <v>0</v>
      </c>
      <c r="AY108" s="133">
        <f>前台增值物品出入库录入!AY110*$E108</f>
        <v>1.71</v>
      </c>
      <c r="AZ108" s="133">
        <f>前台增值物品出入库录入!AZ110*$E108</f>
        <v>0</v>
      </c>
      <c r="BA108" s="133">
        <f>前台增值物品出入库录入!BA110*$E108</f>
        <v>0</v>
      </c>
      <c r="BB108" s="133">
        <f>前台增值物品出入库录入!BB110*$E108</f>
        <v>0</v>
      </c>
      <c r="BC108" s="133">
        <f>前台增值物品出入库录入!BC110*$E108</f>
        <v>0</v>
      </c>
      <c r="BD108" s="133">
        <f>前台增值物品出入库录入!BD110*$E108</f>
        <v>0</v>
      </c>
      <c r="BE108" s="133">
        <f>前台增值物品出入库录入!BE110*$E108</f>
        <v>0</v>
      </c>
      <c r="BF108" s="133">
        <f>前台增值物品出入库录入!BF110*$E108</f>
        <v>0</v>
      </c>
      <c r="BG108" s="133">
        <f>前台增值物品出入库录入!BG110*$E108</f>
        <v>1.71</v>
      </c>
      <c r="BH108" s="133">
        <f>前台增值物品出入库录入!BH110*$E108</f>
        <v>0</v>
      </c>
      <c r="BI108" s="133">
        <f>前台增值物品出入库录入!BI110*$E108</f>
        <v>0</v>
      </c>
      <c r="BJ108" s="133">
        <f>前台增值物品出入库录入!BJ110*$E108</f>
        <v>0</v>
      </c>
      <c r="BK108" s="133">
        <f>前台增值物品出入库录入!BK110*$E108</f>
        <v>0</v>
      </c>
      <c r="BL108" s="133">
        <f>前台增值物品出入库录入!BL110*$E108</f>
        <v>0</v>
      </c>
      <c r="BM108" s="133">
        <f>前台增值物品出入库录入!BM110*$E108</f>
        <v>0</v>
      </c>
      <c r="BN108" s="133">
        <f>前台增值物品出入库录入!BN110*$E108</f>
        <v>0</v>
      </c>
      <c r="BO108" s="133">
        <f>前台增值物品出入库录入!BO110*$E108</f>
        <v>0</v>
      </c>
      <c r="BP108" s="133">
        <f>前台增值物品出入库录入!BP110*$E108</f>
        <v>0</v>
      </c>
      <c r="BQ108" s="133">
        <f>前台增值物品出入库录入!BQ110*$E108</f>
        <v>0</v>
      </c>
      <c r="BR108" s="133">
        <f>前台增值物品出入库录入!BR110*$E108</f>
        <v>0</v>
      </c>
      <c r="BS108" s="133">
        <f>前台增值物品出入库录入!BS110*$E108</f>
        <v>0</v>
      </c>
      <c r="BT108" s="133">
        <f>前台增值物品出入库录入!BT110*$E108</f>
        <v>0</v>
      </c>
      <c r="BU108" s="133">
        <f>前台增值物品出入库录入!BU110*$E108</f>
        <v>0</v>
      </c>
      <c r="BV108" s="133">
        <f>前台增值物品出入库录入!BV110*$E108</f>
        <v>0</v>
      </c>
      <c r="BW108" s="133">
        <f>前台增值物品出入库录入!BW110*$E108</f>
        <v>0</v>
      </c>
    </row>
    <row r="109" s="178" customFormat="1" customHeight="1" spans="1:75">
      <c r="A109" s="161">
        <v>113</v>
      </c>
      <c r="B109" s="162" t="str">
        <f>前台增值物品出入库录入!B111</f>
        <v>丝瓜水</v>
      </c>
      <c r="C109" s="162">
        <f>前台增值物品出入库录入!C111</f>
        <v>0</v>
      </c>
      <c r="D109" s="162" t="str">
        <f>前台增值物品出入库录入!D111</f>
        <v>瓶</v>
      </c>
      <c r="E109" s="162">
        <f>前台增值物品出入库录入!E111</f>
        <v>26.3</v>
      </c>
      <c r="F109" s="162">
        <f>前台增值物品出入库录入!F111</f>
        <v>0</v>
      </c>
      <c r="G109" s="162">
        <f>前台增值物品出入库录入!G111</f>
        <v>0</v>
      </c>
      <c r="H109" s="162">
        <f>前台增值物品出入库录入!H111</f>
        <v>0</v>
      </c>
      <c r="I109" s="162">
        <f>前台增值物品出入库录入!I111</f>
        <v>0</v>
      </c>
      <c r="J109" s="162">
        <f>前台增值物品出入库录入!J111</f>
        <v>0</v>
      </c>
      <c r="K109" s="162">
        <f>前台增值物品出入库录入!K111</f>
        <v>0</v>
      </c>
      <c r="L109" s="162">
        <f>前台增值物品出入库录入!L111</f>
        <v>0</v>
      </c>
      <c r="M109" s="162">
        <f>前台增值物品出入库录入!M111</f>
        <v>0</v>
      </c>
      <c r="N109" s="133">
        <f>前台增值物品出入库录入!N111*$E109</f>
        <v>0</v>
      </c>
      <c r="O109" s="133">
        <f>前台增值物品出入库录入!O111*$E109</f>
        <v>0</v>
      </c>
      <c r="P109" s="133">
        <f>前台增值物品出入库录入!P111*$E109</f>
        <v>0</v>
      </c>
      <c r="Q109" s="133">
        <f>前台增值物品出入库录入!Q111*$E109</f>
        <v>0</v>
      </c>
      <c r="R109" s="133">
        <f>前台增值物品出入库录入!R111*$E109</f>
        <v>0</v>
      </c>
      <c r="S109" s="133">
        <f>前台增值物品出入库录入!S111*$E109</f>
        <v>0</v>
      </c>
      <c r="T109" s="133">
        <f>前台增值物品出入库录入!T111*$E109</f>
        <v>0</v>
      </c>
      <c r="U109" s="133">
        <f>前台增值物品出入库录入!U111*$E109</f>
        <v>0</v>
      </c>
      <c r="V109" s="133">
        <f>前台增值物品出入库录入!V111*$E109</f>
        <v>0</v>
      </c>
      <c r="W109" s="133">
        <f>前台增值物品出入库录入!W111*$E109</f>
        <v>0</v>
      </c>
      <c r="X109" s="133">
        <f>前台增值物品出入库录入!X111*$E109</f>
        <v>0</v>
      </c>
      <c r="Y109" s="133">
        <f>前台增值物品出入库录入!Y111*$E109</f>
        <v>0</v>
      </c>
      <c r="Z109" s="133">
        <f>前台增值物品出入库录入!Z111*$E109</f>
        <v>0</v>
      </c>
      <c r="AA109" s="133">
        <f>前台增值物品出入库录入!AA111*$E109</f>
        <v>0</v>
      </c>
      <c r="AB109" s="133">
        <f>前台增值物品出入库录入!AB111*$E109</f>
        <v>0</v>
      </c>
      <c r="AC109" s="133">
        <f>前台增值物品出入库录入!AC111*$E109</f>
        <v>0</v>
      </c>
      <c r="AD109" s="133">
        <f>前台增值物品出入库录入!AD111*$E109</f>
        <v>0</v>
      </c>
      <c r="AE109" s="133">
        <f>前台增值物品出入库录入!AE111*$E109</f>
        <v>0</v>
      </c>
      <c r="AF109" s="133">
        <f>前台增值物品出入库录入!AF111*$E109</f>
        <v>0</v>
      </c>
      <c r="AG109" s="133">
        <f>前台增值物品出入库录入!AG111*$E109</f>
        <v>0</v>
      </c>
      <c r="AH109" s="133">
        <f>前台增值物品出入库录入!AH111*$E109</f>
        <v>0</v>
      </c>
      <c r="AI109" s="133">
        <f>前台增值物品出入库录入!AI111*$E109</f>
        <v>0</v>
      </c>
      <c r="AJ109" s="133">
        <f>前台增值物品出入库录入!AJ111*$E109</f>
        <v>0</v>
      </c>
      <c r="AK109" s="133">
        <f>前台增值物品出入库录入!AK111*$E109</f>
        <v>0</v>
      </c>
      <c r="AL109" s="133">
        <f>前台增值物品出入库录入!AL111*$E109</f>
        <v>0</v>
      </c>
      <c r="AM109" s="133">
        <f>前台增值物品出入库录入!AM111*$E109</f>
        <v>0</v>
      </c>
      <c r="AN109" s="133">
        <f>前台增值物品出入库录入!AN111*$E109</f>
        <v>0</v>
      </c>
      <c r="AO109" s="133">
        <f>前台增值物品出入库录入!AO111*$E109</f>
        <v>0</v>
      </c>
      <c r="AP109" s="133">
        <f>前台增值物品出入库录入!AP111*$E109</f>
        <v>0</v>
      </c>
      <c r="AQ109" s="133">
        <f>前台增值物品出入库录入!AQ111*$E109</f>
        <v>0</v>
      </c>
      <c r="AR109" s="133">
        <f>前台增值物品出入库录入!AR111*$E109</f>
        <v>0</v>
      </c>
      <c r="AS109" s="133">
        <f>前台增值物品出入库录入!AS111*$E109</f>
        <v>0</v>
      </c>
      <c r="AT109" s="133">
        <f>前台增值物品出入库录入!AT111*$E109</f>
        <v>0</v>
      </c>
      <c r="AU109" s="133">
        <f>前台增值物品出入库录入!AU111*$E109</f>
        <v>0</v>
      </c>
      <c r="AV109" s="133">
        <f>前台增值物品出入库录入!AV111*$E109</f>
        <v>0</v>
      </c>
      <c r="AW109" s="133">
        <f>前台增值物品出入库录入!AW111*$E109</f>
        <v>0</v>
      </c>
      <c r="AX109" s="133">
        <f>前台增值物品出入库录入!AX111*$E109</f>
        <v>0</v>
      </c>
      <c r="AY109" s="133">
        <f>前台增值物品出入库录入!AY111*$E109</f>
        <v>0</v>
      </c>
      <c r="AZ109" s="133">
        <f>前台增值物品出入库录入!AZ111*$E109</f>
        <v>0</v>
      </c>
      <c r="BA109" s="133">
        <f>前台增值物品出入库录入!BA111*$E109</f>
        <v>0</v>
      </c>
      <c r="BB109" s="133">
        <f>前台增值物品出入库录入!BB111*$E109</f>
        <v>0</v>
      </c>
      <c r="BC109" s="133">
        <f>前台增值物品出入库录入!BC111*$E109</f>
        <v>0</v>
      </c>
      <c r="BD109" s="133">
        <f>前台增值物品出入库录入!BD111*$E109</f>
        <v>0</v>
      </c>
      <c r="BE109" s="133">
        <f>前台增值物品出入库录入!BE111*$E109</f>
        <v>0</v>
      </c>
      <c r="BF109" s="133">
        <f>前台增值物品出入库录入!BF111*$E109</f>
        <v>0</v>
      </c>
      <c r="BG109" s="133">
        <f>前台增值物品出入库录入!BG111*$E109</f>
        <v>0</v>
      </c>
      <c r="BH109" s="133">
        <f>前台增值物品出入库录入!BH111*$E109</f>
        <v>0</v>
      </c>
      <c r="BI109" s="133">
        <f>前台增值物品出入库录入!BI111*$E109</f>
        <v>0</v>
      </c>
      <c r="BJ109" s="133">
        <f>前台增值物品出入库录入!BJ111*$E109</f>
        <v>0</v>
      </c>
      <c r="BK109" s="133">
        <f>前台增值物品出入库录入!BK111*$E109</f>
        <v>0</v>
      </c>
      <c r="BL109" s="133">
        <f>前台增值物品出入库录入!BL111*$E109</f>
        <v>0</v>
      </c>
      <c r="BM109" s="133">
        <f>前台增值物品出入库录入!BM111*$E109</f>
        <v>0</v>
      </c>
      <c r="BN109" s="133">
        <f>前台增值物品出入库录入!BN111*$E109</f>
        <v>0</v>
      </c>
      <c r="BO109" s="133">
        <f>前台增值物品出入库录入!BO111*$E109</f>
        <v>0</v>
      </c>
      <c r="BP109" s="133">
        <f>前台增值物品出入库录入!BP111*$E109</f>
        <v>0</v>
      </c>
      <c r="BQ109" s="133">
        <f>前台增值物品出入库录入!BQ111*$E109</f>
        <v>0</v>
      </c>
      <c r="BR109" s="133">
        <f>前台增值物品出入库录入!BR111*$E109</f>
        <v>0</v>
      </c>
      <c r="BS109" s="133">
        <f>前台增值物品出入库录入!BS111*$E109</f>
        <v>0</v>
      </c>
      <c r="BT109" s="133">
        <f>前台增值物品出入库录入!BT111*$E109</f>
        <v>0</v>
      </c>
      <c r="BU109" s="133">
        <f>前台增值物品出入库录入!BU111*$E109</f>
        <v>0</v>
      </c>
      <c r="BV109" s="133">
        <f>前台增值物品出入库录入!BV111*$E109</f>
        <v>0</v>
      </c>
      <c r="BW109" s="133">
        <f>前台增值物品出入库录入!BW111*$E109</f>
        <v>0</v>
      </c>
    </row>
    <row r="110" s="178" customFormat="1" customHeight="1" spans="1:75">
      <c r="A110" s="161">
        <v>114</v>
      </c>
      <c r="B110" s="162" t="str">
        <f>前台增值物品出入库录入!B112</f>
        <v>咖啡豆</v>
      </c>
      <c r="C110" s="162">
        <f>前台增值物品出入库录入!C112</f>
        <v>0</v>
      </c>
      <c r="D110" s="162" t="str">
        <f>前台增值物品出入库录入!D112</f>
        <v>个</v>
      </c>
      <c r="E110" s="162">
        <f>前台增值物品出入库录入!E112</f>
        <v>67</v>
      </c>
      <c r="F110" s="162">
        <f>前台增值物品出入库录入!F112</f>
        <v>8</v>
      </c>
      <c r="G110" s="162">
        <f>前台增值物品出入库录入!G112</f>
        <v>536</v>
      </c>
      <c r="H110" s="162">
        <f>前台增值物品出入库录入!H112</f>
        <v>0</v>
      </c>
      <c r="I110" s="162">
        <f>前台增值物品出入库录入!I112</f>
        <v>0</v>
      </c>
      <c r="J110" s="162">
        <f>前台增值物品出入库录入!J112</f>
        <v>8</v>
      </c>
      <c r="K110" s="162">
        <f>前台增值物品出入库录入!K112</f>
        <v>536</v>
      </c>
      <c r="L110" s="162">
        <f>前台增值物品出入库录入!L112</f>
        <v>0</v>
      </c>
      <c r="M110" s="162">
        <f>前台增值物品出入库录入!M112</f>
        <v>0</v>
      </c>
      <c r="N110" s="133">
        <f>前台增值物品出入库录入!N112*$E110</f>
        <v>0</v>
      </c>
      <c r="O110" s="133">
        <f>前台增值物品出入库录入!O112*$E110</f>
        <v>0</v>
      </c>
      <c r="P110" s="133">
        <f>前台增值物品出入库录入!P112*$E110</f>
        <v>0</v>
      </c>
      <c r="Q110" s="133">
        <f>前台增值物品出入库录入!Q112*$E110</f>
        <v>0</v>
      </c>
      <c r="R110" s="133">
        <f>前台增值物品出入库录入!R112*$E110</f>
        <v>0</v>
      </c>
      <c r="S110" s="133">
        <f>前台增值物品出入库录入!S112*$E110</f>
        <v>0</v>
      </c>
      <c r="T110" s="133">
        <f>前台增值物品出入库录入!T112*$E110</f>
        <v>0</v>
      </c>
      <c r="U110" s="133">
        <f>前台增值物品出入库录入!U112*$E110</f>
        <v>0</v>
      </c>
      <c r="V110" s="133">
        <f>前台增值物品出入库录入!V112*$E110</f>
        <v>0</v>
      </c>
      <c r="W110" s="133">
        <f>前台增值物品出入库录入!W112*$E110</f>
        <v>0</v>
      </c>
      <c r="X110" s="133">
        <f>前台增值物品出入库录入!X112*$E110</f>
        <v>0</v>
      </c>
      <c r="Y110" s="133">
        <f>前台增值物品出入库录入!Y112*$E110</f>
        <v>0</v>
      </c>
      <c r="Z110" s="133">
        <f>前台增值物品出入库录入!Z112*$E110</f>
        <v>0</v>
      </c>
      <c r="AA110" s="133">
        <f>前台增值物品出入库录入!AA112*$E110</f>
        <v>134</v>
      </c>
      <c r="AB110" s="133">
        <f>前台增值物品出入库录入!AB112*$E110</f>
        <v>0</v>
      </c>
      <c r="AC110" s="133">
        <f>前台增值物品出入库录入!AC112*$E110</f>
        <v>0</v>
      </c>
      <c r="AD110" s="133">
        <f>前台增值物品出入库录入!AD112*$E110</f>
        <v>0</v>
      </c>
      <c r="AE110" s="133">
        <f>前台增值物品出入库录入!AE112*$E110</f>
        <v>67</v>
      </c>
      <c r="AF110" s="133">
        <f>前台增值物品出入库录入!AF112*$E110</f>
        <v>0</v>
      </c>
      <c r="AG110" s="133">
        <f>前台增值物品出入库录入!AG112*$E110</f>
        <v>0</v>
      </c>
      <c r="AH110" s="133">
        <f>前台增值物品出入库录入!AH112*$E110</f>
        <v>0</v>
      </c>
      <c r="AI110" s="133">
        <f>前台增值物品出入库录入!AI112*$E110</f>
        <v>0</v>
      </c>
      <c r="AJ110" s="133">
        <f>前台增值物品出入库录入!AJ112*$E110</f>
        <v>0</v>
      </c>
      <c r="AK110" s="133">
        <f>前台增值物品出入库录入!AK112*$E110</f>
        <v>0</v>
      </c>
      <c r="AL110" s="133">
        <f>前台增值物品出入库录入!AL112*$E110</f>
        <v>0</v>
      </c>
      <c r="AM110" s="133">
        <f>前台增值物品出入库录入!AM112*$E110</f>
        <v>0</v>
      </c>
      <c r="AN110" s="133">
        <f>前台增值物品出入库录入!AN112*$E110</f>
        <v>0</v>
      </c>
      <c r="AO110" s="133">
        <f>前台增值物品出入库录入!AO112*$E110</f>
        <v>0</v>
      </c>
      <c r="AP110" s="133">
        <f>前台增值物品出入库录入!AP112*$E110</f>
        <v>0</v>
      </c>
      <c r="AQ110" s="133">
        <f>前台增值物品出入库录入!AQ112*$E110</f>
        <v>0</v>
      </c>
      <c r="AR110" s="133">
        <f>前台增值物品出入库录入!AR112*$E110</f>
        <v>0</v>
      </c>
      <c r="AS110" s="133">
        <f>前台增值物品出入库录入!AS112*$E110</f>
        <v>0</v>
      </c>
      <c r="AT110" s="133">
        <f>前台增值物品出入库录入!AT112*$E110</f>
        <v>0</v>
      </c>
      <c r="AU110" s="133">
        <f>前台增值物品出入库录入!AU112*$E110</f>
        <v>0</v>
      </c>
      <c r="AV110" s="133">
        <f>前台增值物品出入库录入!AV112*$E110</f>
        <v>0</v>
      </c>
      <c r="AW110" s="133">
        <f>前台增值物品出入库录入!AW112*$E110</f>
        <v>0</v>
      </c>
      <c r="AX110" s="133">
        <f>前台增值物品出入库录入!AX112*$E110</f>
        <v>0</v>
      </c>
      <c r="AY110" s="133">
        <f>前台增值物品出入库录入!AY112*$E110</f>
        <v>335</v>
      </c>
      <c r="AZ110" s="133">
        <f>前台增值物品出入库录入!AZ112*$E110</f>
        <v>0</v>
      </c>
      <c r="BA110" s="133">
        <f>前台增值物品出入库录入!BA112*$E110</f>
        <v>0</v>
      </c>
      <c r="BB110" s="133">
        <f>前台增值物品出入库录入!BB112*$E110</f>
        <v>0</v>
      </c>
      <c r="BC110" s="133">
        <f>前台增值物品出入库录入!BC112*$E110</f>
        <v>0</v>
      </c>
      <c r="BD110" s="133">
        <f>前台增值物品出入库录入!BD112*$E110</f>
        <v>0</v>
      </c>
      <c r="BE110" s="133">
        <f>前台增值物品出入库录入!BE112*$E110</f>
        <v>0</v>
      </c>
      <c r="BF110" s="133">
        <f>前台增值物品出入库录入!BF112*$E110</f>
        <v>0</v>
      </c>
      <c r="BG110" s="133">
        <f>前台增值物品出入库录入!BG112*$E110</f>
        <v>0</v>
      </c>
      <c r="BH110" s="133">
        <f>前台增值物品出入库录入!BH112*$E110</f>
        <v>0</v>
      </c>
      <c r="BI110" s="133">
        <f>前台增值物品出入库录入!BI112*$E110</f>
        <v>0</v>
      </c>
      <c r="BJ110" s="133">
        <f>前台增值物品出入库录入!BJ112*$E110</f>
        <v>0</v>
      </c>
      <c r="BK110" s="133">
        <f>前台增值物品出入库录入!BK112*$E110</f>
        <v>0</v>
      </c>
      <c r="BL110" s="133">
        <f>前台增值物品出入库录入!BL112*$E110</f>
        <v>0</v>
      </c>
      <c r="BM110" s="133">
        <f>前台增值物品出入库录入!BM112*$E110</f>
        <v>0</v>
      </c>
      <c r="BN110" s="133">
        <f>前台增值物品出入库录入!BN112*$E110</f>
        <v>0</v>
      </c>
      <c r="BO110" s="133">
        <f>前台增值物品出入库录入!BO112*$E110</f>
        <v>0</v>
      </c>
      <c r="BP110" s="133">
        <f>前台增值物品出入库录入!BP112*$E110</f>
        <v>0</v>
      </c>
      <c r="BQ110" s="133">
        <f>前台增值物品出入库录入!BQ112*$E110</f>
        <v>0</v>
      </c>
      <c r="BR110" s="133">
        <f>前台增值物品出入库录入!BR112*$E110</f>
        <v>0</v>
      </c>
      <c r="BS110" s="133">
        <f>前台增值物品出入库录入!BS112*$E110</f>
        <v>0</v>
      </c>
      <c r="BT110" s="133">
        <f>前台增值物品出入库录入!BT112*$E110</f>
        <v>0</v>
      </c>
      <c r="BU110" s="133">
        <f>前台增值物品出入库录入!BU112*$E110</f>
        <v>0</v>
      </c>
      <c r="BV110" s="133">
        <f>前台增值物品出入库录入!BV112*$E110</f>
        <v>0</v>
      </c>
      <c r="BW110" s="133">
        <f>前台增值物品出入库录入!BW112*$E110</f>
        <v>0</v>
      </c>
    </row>
    <row r="111" ht="16.5" spans="1:75">
      <c r="A111" s="161">
        <v>116</v>
      </c>
      <c r="B111" s="162" t="str">
        <f>前台增值物品出入库录入!B113</f>
        <v>果叉</v>
      </c>
      <c r="C111" s="162">
        <f>前台增值物品出入库录入!C113</f>
        <v>0</v>
      </c>
      <c r="D111" s="162" t="str">
        <f>前台增值物品出入库录入!D113</f>
        <v>支</v>
      </c>
      <c r="E111" s="162">
        <f>前台增值物品出入库录入!E113</f>
        <v>0.0195375</v>
      </c>
      <c r="F111" s="162">
        <f>前台增值物品出入库录入!F113</f>
        <v>30</v>
      </c>
      <c r="G111" s="162">
        <f>前台增值物品出入库录入!G113</f>
        <v>0.586125</v>
      </c>
      <c r="H111" s="162">
        <f>前台增值物品出入库录入!H113</f>
        <v>0</v>
      </c>
      <c r="I111" s="162">
        <f>前台增值物品出入库录入!I113</f>
        <v>0</v>
      </c>
      <c r="J111" s="162">
        <f>前台增值物品出入库录入!J113</f>
        <v>30</v>
      </c>
      <c r="K111" s="162">
        <f>前台增值物品出入库录入!K113</f>
        <v>0.586125</v>
      </c>
      <c r="L111" s="162">
        <f>前台增值物品出入库录入!L113</f>
        <v>0</v>
      </c>
      <c r="M111" s="162">
        <f>前台增值物品出入库录入!M113</f>
        <v>0</v>
      </c>
      <c r="N111" s="133">
        <f>前台增值物品出入库录入!N113*$E111</f>
        <v>0</v>
      </c>
      <c r="O111" s="133">
        <f>前台增值物品出入库录入!O113*$E111</f>
        <v>0</v>
      </c>
      <c r="P111" s="133">
        <f>前台增值物品出入库录入!P113*$E111</f>
        <v>0</v>
      </c>
      <c r="Q111" s="133">
        <f>前台增值物品出入库录入!Q113*$E111</f>
        <v>0</v>
      </c>
      <c r="R111" s="133">
        <f>前台增值物品出入库录入!R113*$E111</f>
        <v>0</v>
      </c>
      <c r="S111" s="133">
        <f>前台增值物品出入库录入!S113*$E111</f>
        <v>0.195375</v>
      </c>
      <c r="T111" s="133">
        <f>前台增值物品出入库录入!T113*$E111</f>
        <v>0</v>
      </c>
      <c r="U111" s="133">
        <f>前台增值物品出入库录入!U113*$E111</f>
        <v>0</v>
      </c>
      <c r="V111" s="133">
        <f>前台增值物品出入库录入!V113*$E111</f>
        <v>0</v>
      </c>
      <c r="W111" s="133">
        <f>前台增值物品出入库录入!W113*$E111</f>
        <v>0.195375</v>
      </c>
      <c r="X111" s="133">
        <f>前台增值物品出入库录入!X113*$E111</f>
        <v>0</v>
      </c>
      <c r="Y111" s="133">
        <f>前台增值物品出入库录入!Y113*$E111</f>
        <v>0</v>
      </c>
      <c r="Z111" s="133">
        <f>前台增值物品出入库录入!Z113*$E111</f>
        <v>0</v>
      </c>
      <c r="AA111" s="133">
        <f>前台增值物品出入库录入!AA113*$E111</f>
        <v>0</v>
      </c>
      <c r="AB111" s="133">
        <f>前台增值物品出入库录入!AB113*$E111</f>
        <v>0</v>
      </c>
      <c r="AC111" s="133">
        <f>前台增值物品出入库录入!AC113*$E111</f>
        <v>0</v>
      </c>
      <c r="AD111" s="133">
        <f>前台增值物品出入库录入!AD113*$E111</f>
        <v>0</v>
      </c>
      <c r="AE111" s="133">
        <f>前台增值物品出入库录入!AE113*$E111</f>
        <v>0</v>
      </c>
      <c r="AF111" s="133">
        <f>前台增值物品出入库录入!AF113*$E111</f>
        <v>0</v>
      </c>
      <c r="AG111" s="133">
        <f>前台增值物品出入库录入!AG113*$E111</f>
        <v>0</v>
      </c>
      <c r="AH111" s="133">
        <f>前台增值物品出入库录入!AH113*$E111</f>
        <v>0</v>
      </c>
      <c r="AI111" s="133">
        <f>前台增值物品出入库录入!AI113*$E111</f>
        <v>0</v>
      </c>
      <c r="AJ111" s="133">
        <f>前台增值物品出入库录入!AJ113*$E111</f>
        <v>0</v>
      </c>
      <c r="AK111" s="133">
        <f>前台增值物品出入库录入!AK113*$E111</f>
        <v>0</v>
      </c>
      <c r="AL111" s="133">
        <f>前台增值物品出入库录入!AL113*$E111</f>
        <v>0</v>
      </c>
      <c r="AM111" s="133">
        <f>前台增值物品出入库录入!AM113*$E111</f>
        <v>0</v>
      </c>
      <c r="AN111" s="133">
        <f>前台增值物品出入库录入!AN113*$E111</f>
        <v>0</v>
      </c>
      <c r="AO111" s="133">
        <f>前台增值物品出入库录入!AO113*$E111</f>
        <v>0</v>
      </c>
      <c r="AP111" s="133">
        <f>前台增值物品出入库录入!AP113*$E111</f>
        <v>0</v>
      </c>
      <c r="AQ111" s="133">
        <f>前台增值物品出入库录入!AQ113*$E111</f>
        <v>0</v>
      </c>
      <c r="AR111" s="133">
        <f>前台增值物品出入库录入!AR113*$E111</f>
        <v>0</v>
      </c>
      <c r="AS111" s="133">
        <f>前台增值物品出入库录入!AS113*$E111</f>
        <v>0</v>
      </c>
      <c r="AT111" s="133">
        <f>前台增值物品出入库录入!AT113*$E111</f>
        <v>0</v>
      </c>
      <c r="AU111" s="133">
        <f>前台增值物品出入库录入!AU113*$E111</f>
        <v>0</v>
      </c>
      <c r="AV111" s="133">
        <f>前台增值物品出入库录入!AV113*$E111</f>
        <v>0</v>
      </c>
      <c r="AW111" s="133">
        <f>前台增值物品出入库录入!AW113*$E111</f>
        <v>0</v>
      </c>
      <c r="AX111" s="133">
        <f>前台增值物品出入库录入!AX113*$E111</f>
        <v>0</v>
      </c>
      <c r="AY111" s="133">
        <f>前台增值物品出入库录入!AY113*$E111</f>
        <v>0.0976875</v>
      </c>
      <c r="AZ111" s="133">
        <f>前台增值物品出入库录入!AZ113*$E111</f>
        <v>0</v>
      </c>
      <c r="BA111" s="133">
        <f>前台增值物品出入库录入!BA113*$E111</f>
        <v>0</v>
      </c>
      <c r="BB111" s="133">
        <f>前台增值物品出入库录入!BB113*$E111</f>
        <v>0</v>
      </c>
      <c r="BC111" s="133">
        <f>前台增值物品出入库录入!BC113*$E111</f>
        <v>0</v>
      </c>
      <c r="BD111" s="133">
        <f>前台增值物品出入库录入!BD113*$E111</f>
        <v>0</v>
      </c>
      <c r="BE111" s="133">
        <f>前台增值物品出入库录入!BE113*$E111</f>
        <v>0</v>
      </c>
      <c r="BF111" s="133">
        <f>前台增值物品出入库录入!BF113*$E111</f>
        <v>0</v>
      </c>
      <c r="BG111" s="133">
        <f>前台增值物品出入库录入!BG113*$E111</f>
        <v>0.0976875</v>
      </c>
      <c r="BH111" s="133">
        <f>前台增值物品出入库录入!BH113*$E111</f>
        <v>0</v>
      </c>
      <c r="BI111" s="133">
        <f>前台增值物品出入库录入!BI113*$E111</f>
        <v>0</v>
      </c>
      <c r="BJ111" s="133">
        <f>前台增值物品出入库录入!BJ113*$E111</f>
        <v>0</v>
      </c>
      <c r="BK111" s="133">
        <f>前台增值物品出入库录入!BK113*$E111</f>
        <v>0</v>
      </c>
      <c r="BL111" s="133">
        <f>前台增值物品出入库录入!BL113*$E111</f>
        <v>0</v>
      </c>
      <c r="BM111" s="133">
        <f>前台增值物品出入库录入!BM113*$E111</f>
        <v>0</v>
      </c>
      <c r="BN111" s="133">
        <f>前台增值物品出入库录入!BN113*$E111</f>
        <v>0</v>
      </c>
      <c r="BO111" s="133">
        <f>前台增值物品出入库录入!BO113*$E111</f>
        <v>0</v>
      </c>
      <c r="BP111" s="133">
        <f>前台增值物品出入库录入!BP113*$E111</f>
        <v>0</v>
      </c>
      <c r="BQ111" s="133">
        <f>前台增值物品出入库录入!BQ113*$E111</f>
        <v>0</v>
      </c>
      <c r="BR111" s="133">
        <f>前台增值物品出入库录入!BR113*$E111</f>
        <v>0</v>
      </c>
      <c r="BS111" s="133">
        <f>前台增值物品出入库录入!BS113*$E111</f>
        <v>0</v>
      </c>
      <c r="BT111" s="133">
        <f>前台增值物品出入库录入!BT113*$E111</f>
        <v>0</v>
      </c>
      <c r="BU111" s="133">
        <f>前台增值物品出入库录入!BU113*$E111</f>
        <v>0</v>
      </c>
      <c r="BV111" s="133">
        <f>前台增值物品出入库录入!BV113*$E111</f>
        <v>0</v>
      </c>
      <c r="BW111" s="133">
        <f>前台增值物品出入库录入!BW113*$E111</f>
        <v>0</v>
      </c>
    </row>
    <row r="112" ht="16.5" spans="1:75">
      <c r="A112" s="161">
        <v>117</v>
      </c>
      <c r="B112" s="162" t="str">
        <f>前台增值物品出入库录入!B114</f>
        <v>洗脸巾</v>
      </c>
      <c r="C112" s="162">
        <f>前台增值物品出入库录入!C114</f>
        <v>0</v>
      </c>
      <c r="D112" s="162" t="str">
        <f>前台增值物品出入库录入!D114</f>
        <v>袋</v>
      </c>
      <c r="E112" s="162">
        <f>前台增值物品出入库录入!E114</f>
        <v>0.089</v>
      </c>
      <c r="F112" s="162">
        <f>前台增值物品出入库录入!F114</f>
        <v>50</v>
      </c>
      <c r="G112" s="162">
        <f>前台增值物品出入库录入!G114</f>
        <v>4.45</v>
      </c>
      <c r="H112" s="162">
        <f>前台增值物品出入库录入!H114</f>
        <v>0</v>
      </c>
      <c r="I112" s="162">
        <f>前台增值物品出入库录入!I114</f>
        <v>0</v>
      </c>
      <c r="J112" s="162">
        <f>前台增值物品出入库录入!J114</f>
        <v>10</v>
      </c>
      <c r="K112" s="162">
        <f>前台增值物品出入库录入!K114</f>
        <v>0.89</v>
      </c>
      <c r="L112" s="162">
        <f>前台增值物品出入库录入!L114</f>
        <v>40</v>
      </c>
      <c r="M112" s="162">
        <f>前台增值物品出入库录入!M114</f>
        <v>3.56</v>
      </c>
      <c r="N112" s="133">
        <f>前台增值物品出入库录入!N114*$E112</f>
        <v>0</v>
      </c>
      <c r="O112" s="133">
        <f>前台增值物品出入库录入!O114*$E112</f>
        <v>0</v>
      </c>
      <c r="P112" s="133">
        <f>前台增值物品出入库录入!P114*$E112</f>
        <v>0</v>
      </c>
      <c r="Q112" s="133">
        <f>前台增值物品出入库录入!Q114*$E112</f>
        <v>0</v>
      </c>
      <c r="R112" s="133">
        <f>前台增值物品出入库录入!R114*$E112</f>
        <v>0</v>
      </c>
      <c r="S112" s="133">
        <f>前台增值物品出入库录入!S114*$E112</f>
        <v>0</v>
      </c>
      <c r="T112" s="133">
        <f>前台增值物品出入库录入!T114*$E112</f>
        <v>0</v>
      </c>
      <c r="U112" s="133">
        <f>前台增值物品出入库录入!U114*$E112</f>
        <v>0</v>
      </c>
      <c r="V112" s="133">
        <f>前台增值物品出入库录入!V114*$E112</f>
        <v>0</v>
      </c>
      <c r="W112" s="133">
        <f>前台增值物品出入库录入!W114*$E112</f>
        <v>0</v>
      </c>
      <c r="X112" s="133">
        <f>前台增值物品出入库录入!X114*$E112</f>
        <v>0</v>
      </c>
      <c r="Y112" s="133">
        <f>前台增值物品出入库录入!Y114*$E112</f>
        <v>0</v>
      </c>
      <c r="Z112" s="133">
        <f>前台增值物品出入库录入!Z114*$E112</f>
        <v>0</v>
      </c>
      <c r="AA112" s="133">
        <f>前台增值物品出入库录入!AA114*$E112</f>
        <v>0</v>
      </c>
      <c r="AB112" s="133">
        <f>前台增值物品出入库录入!AB114*$E112</f>
        <v>0</v>
      </c>
      <c r="AC112" s="133">
        <f>前台增值物品出入库录入!AC114*$E112</f>
        <v>0</v>
      </c>
      <c r="AD112" s="133">
        <f>前台增值物品出入库录入!AD114*$E112</f>
        <v>0</v>
      </c>
      <c r="AE112" s="133">
        <f>前台增值物品出入库录入!AE114*$E112</f>
        <v>0</v>
      </c>
      <c r="AF112" s="133">
        <f>前台增值物品出入库录入!AF114*$E112</f>
        <v>0</v>
      </c>
      <c r="AG112" s="133">
        <f>前台增值物品出入库录入!AG114*$E112</f>
        <v>0</v>
      </c>
      <c r="AH112" s="133">
        <f>前台增值物品出入库录入!AH114*$E112</f>
        <v>0</v>
      </c>
      <c r="AI112" s="133">
        <f>前台增值物品出入库录入!AI114*$E112</f>
        <v>0</v>
      </c>
      <c r="AJ112" s="133">
        <f>前台增值物品出入库录入!AJ114*$E112</f>
        <v>0</v>
      </c>
      <c r="AK112" s="133">
        <f>前台增值物品出入库录入!AK114*$E112</f>
        <v>0</v>
      </c>
      <c r="AL112" s="133">
        <f>前台增值物品出入库录入!AL114*$E112</f>
        <v>0</v>
      </c>
      <c r="AM112" s="133">
        <f>前台增值物品出入库录入!AM114*$E112</f>
        <v>0</v>
      </c>
      <c r="AN112" s="133">
        <f>前台增值物品出入库录入!AN114*$E112</f>
        <v>0</v>
      </c>
      <c r="AO112" s="133">
        <f>前台增值物品出入库录入!AO114*$E112</f>
        <v>0</v>
      </c>
      <c r="AP112" s="133">
        <f>前台增值物品出入库录入!AP114*$E112</f>
        <v>0</v>
      </c>
      <c r="AQ112" s="133">
        <f>前台增值物品出入库录入!AQ114*$E112</f>
        <v>0</v>
      </c>
      <c r="AR112" s="133">
        <f>前台增值物品出入库录入!AR114*$E112</f>
        <v>0</v>
      </c>
      <c r="AS112" s="133">
        <f>前台增值物品出入库录入!AS114*$E112</f>
        <v>0</v>
      </c>
      <c r="AT112" s="133">
        <f>前台增值物品出入库录入!AT114*$E112</f>
        <v>0</v>
      </c>
      <c r="AU112" s="133">
        <f>前台增值物品出入库录入!AU114*$E112</f>
        <v>0</v>
      </c>
      <c r="AV112" s="133">
        <f>前台增值物品出入库录入!AV114*$E112</f>
        <v>0</v>
      </c>
      <c r="AW112" s="133">
        <f>前台增值物品出入库录入!AW114*$E112</f>
        <v>0</v>
      </c>
      <c r="AX112" s="133">
        <f>前台增值物品出入库录入!AX114*$E112</f>
        <v>0</v>
      </c>
      <c r="AY112" s="133">
        <f>前台增值物品出入库录入!AY114*$E112</f>
        <v>0</v>
      </c>
      <c r="AZ112" s="133">
        <f>前台增值物品出入库录入!AZ114*$E112</f>
        <v>0</v>
      </c>
      <c r="BA112" s="133">
        <f>前台增值物品出入库录入!BA114*$E112</f>
        <v>0</v>
      </c>
      <c r="BB112" s="133">
        <f>前台增值物品出入库录入!BB114*$E112</f>
        <v>0</v>
      </c>
      <c r="BC112" s="133">
        <f>前台增值物品出入库录入!BC114*$E112</f>
        <v>0</v>
      </c>
      <c r="BD112" s="133">
        <f>前台增值物品出入库录入!BD114*$E112</f>
        <v>0</v>
      </c>
      <c r="BE112" s="133">
        <f>前台增值物品出入库录入!BE114*$E112</f>
        <v>0</v>
      </c>
      <c r="BF112" s="133">
        <f>前台增值物品出入库录入!BF114*$E112</f>
        <v>0</v>
      </c>
      <c r="BG112" s="133">
        <f>前台增值物品出入库录入!BG114*$E112</f>
        <v>0</v>
      </c>
      <c r="BH112" s="133">
        <f>前台增值物品出入库录入!BH114*$E112</f>
        <v>0</v>
      </c>
      <c r="BI112" s="133">
        <f>前台增值物品出入库录入!BI114*$E112</f>
        <v>0</v>
      </c>
      <c r="BJ112" s="133">
        <f>前台增值物品出入库录入!BJ114*$E112</f>
        <v>0</v>
      </c>
      <c r="BK112" s="133">
        <f>前台增值物品出入库录入!BK114*$E112</f>
        <v>0.89</v>
      </c>
      <c r="BL112" s="133">
        <f>前台增值物品出入库录入!BL114*$E112</f>
        <v>0</v>
      </c>
      <c r="BM112" s="133">
        <f>前台增值物品出入库录入!BM114*$E112</f>
        <v>0</v>
      </c>
      <c r="BN112" s="133">
        <f>前台增值物品出入库录入!BN114*$E112</f>
        <v>0</v>
      </c>
      <c r="BO112" s="133">
        <f>前台增值物品出入库录入!BO114*$E112</f>
        <v>0</v>
      </c>
      <c r="BP112" s="133">
        <f>前台增值物品出入库录入!BP114*$E112</f>
        <v>0</v>
      </c>
      <c r="BQ112" s="133">
        <f>前台增值物品出入库录入!BQ114*$E112</f>
        <v>0</v>
      </c>
      <c r="BR112" s="133">
        <f>前台增值物品出入库录入!BR114*$E112</f>
        <v>0</v>
      </c>
      <c r="BS112" s="133">
        <f>前台增值物品出入库录入!BS114*$E112</f>
        <v>0</v>
      </c>
      <c r="BT112" s="133">
        <f>前台增值物品出入库录入!BT114*$E112</f>
        <v>0</v>
      </c>
      <c r="BU112" s="133">
        <f>前台增值物品出入库录入!BU114*$E112</f>
        <v>0</v>
      </c>
      <c r="BV112" s="133">
        <f>前台增值物品出入库录入!BV114*$E112</f>
        <v>0</v>
      </c>
      <c r="BW112" s="133">
        <f>前台增值物品出入库录入!BW114*$E112</f>
        <v>0</v>
      </c>
    </row>
    <row r="113" ht="16.5" spans="1:75">
      <c r="A113" s="161">
        <v>118</v>
      </c>
      <c r="B113" s="162" t="str">
        <f>前台增值物品出入库录入!B115</f>
        <v>护理包</v>
      </c>
      <c r="C113" s="162">
        <f>前台增值物品出入库录入!C115</f>
        <v>0</v>
      </c>
      <c r="D113" s="162" t="str">
        <f>前台增值物品出入库录入!D115</f>
        <v>袋</v>
      </c>
      <c r="E113" s="162">
        <f>前台增值物品出入库录入!E115</f>
        <v>0.3</v>
      </c>
      <c r="F113" s="162">
        <f>前台增值物品出入库录入!F115</f>
        <v>88</v>
      </c>
      <c r="G113" s="162">
        <f>前台增值物品出入库录入!G115</f>
        <v>26.4</v>
      </c>
      <c r="H113" s="162">
        <f>前台增值物品出入库录入!H115</f>
        <v>0</v>
      </c>
      <c r="I113" s="162">
        <f>前台增值物品出入库录入!I115</f>
        <v>0</v>
      </c>
      <c r="J113" s="162">
        <f>前台增值物品出入库录入!J115</f>
        <v>51</v>
      </c>
      <c r="K113" s="162">
        <f>前台增值物品出入库录入!K115</f>
        <v>15.3</v>
      </c>
      <c r="L113" s="162">
        <f>前台增值物品出入库录入!L115</f>
        <v>37</v>
      </c>
      <c r="M113" s="162">
        <f>前台增值物品出入库录入!M115</f>
        <v>11.1</v>
      </c>
      <c r="N113" s="133">
        <f>前台增值物品出入库录入!N115*$E113</f>
        <v>0</v>
      </c>
      <c r="O113" s="133">
        <f>前台增值物品出入库录入!O115*$E113</f>
        <v>0</v>
      </c>
      <c r="P113" s="133">
        <f>前台增值物品出入库录入!P115*$E113</f>
        <v>0</v>
      </c>
      <c r="Q113" s="133">
        <f>前台增值物品出入库录入!Q115*$E113</f>
        <v>1.5</v>
      </c>
      <c r="R113" s="133">
        <f>前台增值物品出入库录入!R115*$E113</f>
        <v>0</v>
      </c>
      <c r="S113" s="133">
        <f>前台增值物品出入库录入!S115*$E113</f>
        <v>1.8</v>
      </c>
      <c r="T113" s="133">
        <f>前台增值物品出入库录入!T115*$E113</f>
        <v>0</v>
      </c>
      <c r="U113" s="133">
        <f>前台增值物品出入库录入!U115*$E113</f>
        <v>0</v>
      </c>
      <c r="V113" s="133">
        <f>前台增值物品出入库录入!V115*$E113</f>
        <v>0</v>
      </c>
      <c r="W113" s="133">
        <f>前台增值物品出入库录入!W115*$E113</f>
        <v>0</v>
      </c>
      <c r="X113" s="133">
        <f>前台增值物品出入库录入!X115*$E113</f>
        <v>0</v>
      </c>
      <c r="Y113" s="133">
        <f>前台增值物品出入库录入!Y115*$E113</f>
        <v>0</v>
      </c>
      <c r="Z113" s="133">
        <f>前台增值物品出入库录入!Z115*$E113</f>
        <v>0</v>
      </c>
      <c r="AA113" s="133">
        <f>前台增值物品出入库录入!AA115*$E113</f>
        <v>4.5</v>
      </c>
      <c r="AB113" s="133">
        <f>前台增值物品出入库录入!AB115*$E113</f>
        <v>0</v>
      </c>
      <c r="AC113" s="133">
        <f>前台增值物品出入库录入!AC115*$E113</f>
        <v>0</v>
      </c>
      <c r="AD113" s="133">
        <f>前台增值物品出入库录入!AD115*$E113</f>
        <v>0</v>
      </c>
      <c r="AE113" s="133">
        <f>前台增值物品出入库录入!AE115*$E113</f>
        <v>1.5</v>
      </c>
      <c r="AF113" s="133">
        <f>前台增值物品出入库录入!AF115*$E113</f>
        <v>0</v>
      </c>
      <c r="AG113" s="133">
        <f>前台增值物品出入库录入!AG115*$E113</f>
        <v>0</v>
      </c>
      <c r="AH113" s="133">
        <f>前台增值物品出入库录入!AH115*$E113</f>
        <v>0</v>
      </c>
      <c r="AI113" s="133">
        <f>前台增值物品出入库录入!AI115*$E113</f>
        <v>0</v>
      </c>
      <c r="AJ113" s="133">
        <f>前台增值物品出入库录入!AJ115*$E113</f>
        <v>0</v>
      </c>
      <c r="AK113" s="133">
        <f>前台增值物品出入库录入!AK115*$E113</f>
        <v>0</v>
      </c>
      <c r="AL113" s="133">
        <f>前台增值物品出入库录入!AL115*$E113</f>
        <v>0</v>
      </c>
      <c r="AM113" s="133">
        <f>前台增值物品出入库录入!AM115*$E113</f>
        <v>0</v>
      </c>
      <c r="AN113" s="133">
        <f>前台增值物品出入库录入!AN115*$E113</f>
        <v>0</v>
      </c>
      <c r="AO113" s="133">
        <f>前台增值物品出入库录入!AO115*$E113</f>
        <v>0</v>
      </c>
      <c r="AP113" s="133">
        <f>前台增值物品出入库录入!AP115*$E113</f>
        <v>0</v>
      </c>
      <c r="AQ113" s="133">
        <f>前台增值物品出入库录入!AQ115*$E113</f>
        <v>0</v>
      </c>
      <c r="AR113" s="133">
        <f>前台增值物品出入库录入!AR115*$E113</f>
        <v>0</v>
      </c>
      <c r="AS113" s="133">
        <f>前台增值物品出入库录入!AS115*$E113</f>
        <v>0</v>
      </c>
      <c r="AT113" s="133">
        <f>前台增值物品出入库录入!AT115*$E113</f>
        <v>0</v>
      </c>
      <c r="AU113" s="133">
        <f>前台增值物品出入库录入!AU115*$E113</f>
        <v>0</v>
      </c>
      <c r="AV113" s="133">
        <f>前台增值物品出入库录入!AV115*$E113</f>
        <v>0</v>
      </c>
      <c r="AW113" s="133">
        <f>前台增值物品出入库录入!AW115*$E113</f>
        <v>0</v>
      </c>
      <c r="AX113" s="133">
        <f>前台增值物品出入库录入!AX115*$E113</f>
        <v>0</v>
      </c>
      <c r="AY113" s="133">
        <f>前台增值物品出入库录入!AY115*$E113</f>
        <v>0</v>
      </c>
      <c r="AZ113" s="133">
        <f>前台增值物品出入库录入!AZ115*$E113</f>
        <v>0</v>
      </c>
      <c r="BA113" s="133">
        <f>前台增值物品出入库录入!BA115*$E113</f>
        <v>0</v>
      </c>
      <c r="BB113" s="133">
        <f>前台增值物品出入库录入!BB115*$E113</f>
        <v>0</v>
      </c>
      <c r="BC113" s="133">
        <f>前台增值物品出入库录入!BC115*$E113</f>
        <v>0</v>
      </c>
      <c r="BD113" s="133">
        <f>前台增值物品出入库录入!BD115*$E113</f>
        <v>0</v>
      </c>
      <c r="BE113" s="133">
        <f>前台增值物品出入库录入!BE115*$E113</f>
        <v>0</v>
      </c>
      <c r="BF113" s="133">
        <f>前台增值物品出入库录入!BF115*$E113</f>
        <v>0</v>
      </c>
      <c r="BG113" s="133">
        <f>前台增值物品出入库录入!BG115*$E113</f>
        <v>0</v>
      </c>
      <c r="BH113" s="133">
        <f>前台增值物品出入库录入!BH115*$E113</f>
        <v>0</v>
      </c>
      <c r="BI113" s="133">
        <f>前台增值物品出入库录入!BI115*$E113</f>
        <v>1.5</v>
      </c>
      <c r="BJ113" s="133">
        <f>前台增值物品出入库录入!BJ115*$E113</f>
        <v>0</v>
      </c>
      <c r="BK113" s="133">
        <f>前台增值物品出入库录入!BK115*$E113</f>
        <v>3</v>
      </c>
      <c r="BL113" s="133">
        <f>前台增值物品出入库录入!BL115*$E113</f>
        <v>0</v>
      </c>
      <c r="BM113" s="133">
        <f>前台增值物品出入库录入!BM115*$E113</f>
        <v>1.5</v>
      </c>
      <c r="BN113" s="133">
        <f>前台增值物品出入库录入!BN115*$E113</f>
        <v>0</v>
      </c>
      <c r="BO113" s="133">
        <f>前台增值物品出入库录入!BO115*$E113</f>
        <v>0</v>
      </c>
      <c r="BP113" s="133">
        <f>前台增值物品出入库录入!BP115*$E113</f>
        <v>0</v>
      </c>
      <c r="BQ113" s="133">
        <f>前台增值物品出入库录入!BQ115*$E113</f>
        <v>0</v>
      </c>
      <c r="BR113" s="133">
        <f>前台增值物品出入库录入!BR115*$E113</f>
        <v>0</v>
      </c>
      <c r="BS113" s="133">
        <f>前台增值物品出入库录入!BS115*$E113</f>
        <v>0</v>
      </c>
      <c r="BT113" s="133">
        <f>前台增值物品出入库录入!BT115*$E113</f>
        <v>0</v>
      </c>
      <c r="BU113" s="133">
        <f>前台增值物品出入库录入!BU115*$E113</f>
        <v>0</v>
      </c>
      <c r="BV113" s="133">
        <f>前台增值物品出入库录入!BV115*$E113</f>
        <v>0</v>
      </c>
      <c r="BW113" s="133">
        <f>前台增值物品出入库录入!BW115*$E113</f>
        <v>0</v>
      </c>
    </row>
    <row r="114" ht="16.5" spans="1:75">
      <c r="A114" s="161">
        <v>119</v>
      </c>
      <c r="B114" s="162" t="str">
        <f>前台增值物品出入库录入!B116</f>
        <v>小收纳盒</v>
      </c>
      <c r="C114" s="162">
        <f>前台增值物品出入库录入!C116</f>
        <v>0</v>
      </c>
      <c r="D114" s="162" t="str">
        <f>前台增值物品出入库录入!D116</f>
        <v>个</v>
      </c>
      <c r="E114" s="162">
        <f>前台增值物品出入库录入!E116</f>
        <v>4.316</v>
      </c>
      <c r="F114" s="162">
        <f>前台增值物品出入库录入!F116</f>
        <v>0</v>
      </c>
      <c r="G114" s="162">
        <f>前台增值物品出入库录入!G116</f>
        <v>0</v>
      </c>
      <c r="H114" s="162">
        <f>前台增值物品出入库录入!H116</f>
        <v>0</v>
      </c>
      <c r="I114" s="162">
        <f>前台增值物品出入库录入!I116</f>
        <v>0</v>
      </c>
      <c r="J114" s="162">
        <f>前台增值物品出入库录入!J116</f>
        <v>0</v>
      </c>
      <c r="K114" s="162">
        <f>前台增值物品出入库录入!K116</f>
        <v>0</v>
      </c>
      <c r="L114" s="162">
        <f>前台增值物品出入库录入!L116</f>
        <v>0</v>
      </c>
      <c r="M114" s="162">
        <f>前台增值物品出入库录入!M116</f>
        <v>0</v>
      </c>
      <c r="N114" s="133">
        <f>前台增值物品出入库录入!N116*$E114</f>
        <v>0</v>
      </c>
      <c r="O114" s="133">
        <f>前台增值物品出入库录入!O116*$E114</f>
        <v>0</v>
      </c>
      <c r="P114" s="133">
        <f>前台增值物品出入库录入!P116*$E114</f>
        <v>0</v>
      </c>
      <c r="Q114" s="133">
        <f>前台增值物品出入库录入!Q116*$E114</f>
        <v>0</v>
      </c>
      <c r="R114" s="133">
        <f>前台增值物品出入库录入!R116*$E114</f>
        <v>0</v>
      </c>
      <c r="S114" s="133">
        <f>前台增值物品出入库录入!S116*$E114</f>
        <v>0</v>
      </c>
      <c r="T114" s="133">
        <f>前台增值物品出入库录入!T116*$E114</f>
        <v>0</v>
      </c>
      <c r="U114" s="133">
        <f>前台增值物品出入库录入!U116*$E114</f>
        <v>0</v>
      </c>
      <c r="V114" s="133">
        <f>前台增值物品出入库录入!V116*$E114</f>
        <v>0</v>
      </c>
      <c r="W114" s="133">
        <f>前台增值物品出入库录入!W116*$E114</f>
        <v>0</v>
      </c>
      <c r="X114" s="133">
        <f>前台增值物品出入库录入!X116*$E114</f>
        <v>0</v>
      </c>
      <c r="Y114" s="133">
        <f>前台增值物品出入库录入!Y116*$E114</f>
        <v>0</v>
      </c>
      <c r="Z114" s="133">
        <f>前台增值物品出入库录入!Z116*$E114</f>
        <v>0</v>
      </c>
      <c r="AA114" s="133">
        <f>前台增值物品出入库录入!AA116*$E114</f>
        <v>0</v>
      </c>
      <c r="AB114" s="133">
        <f>前台增值物品出入库录入!AB116*$E114</f>
        <v>0</v>
      </c>
      <c r="AC114" s="133">
        <f>前台增值物品出入库录入!AC116*$E114</f>
        <v>0</v>
      </c>
      <c r="AD114" s="133">
        <f>前台增值物品出入库录入!AD116*$E114</f>
        <v>0</v>
      </c>
      <c r="AE114" s="133">
        <f>前台增值物品出入库录入!AE116*$E114</f>
        <v>0</v>
      </c>
      <c r="AF114" s="133">
        <f>前台增值物品出入库录入!AF116*$E114</f>
        <v>0</v>
      </c>
      <c r="AG114" s="133">
        <f>前台增值物品出入库录入!AG116*$E114</f>
        <v>0</v>
      </c>
      <c r="AH114" s="133">
        <f>前台增值物品出入库录入!AH116*$E114</f>
        <v>0</v>
      </c>
      <c r="AI114" s="133">
        <f>前台增值物品出入库录入!AI116*$E114</f>
        <v>0</v>
      </c>
      <c r="AJ114" s="133">
        <f>前台增值物品出入库录入!AJ116*$E114</f>
        <v>0</v>
      </c>
      <c r="AK114" s="133">
        <f>前台增值物品出入库录入!AK116*$E114</f>
        <v>0</v>
      </c>
      <c r="AL114" s="133">
        <f>前台增值物品出入库录入!AL116*$E114</f>
        <v>0</v>
      </c>
      <c r="AM114" s="133">
        <f>前台增值物品出入库录入!AM116*$E114</f>
        <v>0</v>
      </c>
      <c r="AN114" s="133">
        <f>前台增值物品出入库录入!AN116*$E114</f>
        <v>0</v>
      </c>
      <c r="AO114" s="133">
        <f>前台增值物品出入库录入!AO116*$E114</f>
        <v>0</v>
      </c>
      <c r="AP114" s="133">
        <f>前台增值物品出入库录入!AP116*$E114</f>
        <v>0</v>
      </c>
      <c r="AQ114" s="133">
        <f>前台增值物品出入库录入!AQ116*$E114</f>
        <v>0</v>
      </c>
      <c r="AR114" s="133">
        <f>前台增值物品出入库录入!AR116*$E114</f>
        <v>0</v>
      </c>
      <c r="AS114" s="133">
        <f>前台增值物品出入库录入!AS116*$E114</f>
        <v>0</v>
      </c>
      <c r="AT114" s="133">
        <f>前台增值物品出入库录入!AT116*$E114</f>
        <v>0</v>
      </c>
      <c r="AU114" s="133">
        <f>前台增值物品出入库录入!AU116*$E114</f>
        <v>0</v>
      </c>
      <c r="AV114" s="133">
        <f>前台增值物品出入库录入!AV116*$E114</f>
        <v>0</v>
      </c>
      <c r="AW114" s="133">
        <f>前台增值物品出入库录入!AW116*$E114</f>
        <v>0</v>
      </c>
      <c r="AX114" s="133">
        <f>前台增值物品出入库录入!AX116*$E114</f>
        <v>0</v>
      </c>
      <c r="AY114" s="133">
        <f>前台增值物品出入库录入!AY116*$E114</f>
        <v>0</v>
      </c>
      <c r="AZ114" s="133">
        <f>前台增值物品出入库录入!AZ116*$E114</f>
        <v>0</v>
      </c>
      <c r="BA114" s="133">
        <f>前台增值物品出入库录入!BA116*$E114</f>
        <v>0</v>
      </c>
      <c r="BB114" s="133">
        <f>前台增值物品出入库录入!BB116*$E114</f>
        <v>0</v>
      </c>
      <c r="BC114" s="133">
        <f>前台增值物品出入库录入!BC116*$E114</f>
        <v>0</v>
      </c>
      <c r="BD114" s="133">
        <f>前台增值物品出入库录入!BD116*$E114</f>
        <v>0</v>
      </c>
      <c r="BE114" s="133">
        <f>前台增值物品出入库录入!BE116*$E114</f>
        <v>0</v>
      </c>
      <c r="BF114" s="133">
        <f>前台增值物品出入库录入!BF116*$E114</f>
        <v>0</v>
      </c>
      <c r="BG114" s="133">
        <f>前台增值物品出入库录入!BG116*$E114</f>
        <v>0</v>
      </c>
      <c r="BH114" s="133">
        <f>前台增值物品出入库录入!BH116*$E114</f>
        <v>0</v>
      </c>
      <c r="BI114" s="133">
        <f>前台增值物品出入库录入!BI116*$E114</f>
        <v>0</v>
      </c>
      <c r="BJ114" s="133">
        <f>前台增值物品出入库录入!BJ116*$E114</f>
        <v>0</v>
      </c>
      <c r="BK114" s="133">
        <f>前台增值物品出入库录入!BK116*$E114</f>
        <v>0</v>
      </c>
      <c r="BL114" s="133">
        <f>前台增值物品出入库录入!BL116*$E114</f>
        <v>0</v>
      </c>
      <c r="BM114" s="133">
        <f>前台增值物品出入库录入!BM116*$E114</f>
        <v>0</v>
      </c>
      <c r="BN114" s="133">
        <f>前台增值物品出入库录入!BN116*$E114</f>
        <v>0</v>
      </c>
      <c r="BO114" s="133">
        <f>前台增值物品出入库录入!BO116*$E114</f>
        <v>0</v>
      </c>
      <c r="BP114" s="133">
        <f>前台增值物品出入库录入!BP116*$E114</f>
        <v>0</v>
      </c>
      <c r="BQ114" s="133">
        <f>前台增值物品出入库录入!BQ116*$E114</f>
        <v>0</v>
      </c>
      <c r="BR114" s="133">
        <f>前台增值物品出入库录入!BR116*$E114</f>
        <v>0</v>
      </c>
      <c r="BS114" s="133">
        <f>前台增值物品出入库录入!BS116*$E114</f>
        <v>0</v>
      </c>
      <c r="BT114" s="133">
        <f>前台增值物品出入库录入!BT116*$E114</f>
        <v>0</v>
      </c>
      <c r="BU114" s="133">
        <f>前台增值物品出入库录入!BU116*$E114</f>
        <v>0</v>
      </c>
      <c r="BV114" s="133">
        <f>前台增值物品出入库录入!BV116*$E114</f>
        <v>0</v>
      </c>
      <c r="BW114" s="133">
        <f>前台增值物品出入库录入!BW116*$E114</f>
        <v>0</v>
      </c>
    </row>
    <row r="115" ht="16.5" spans="1:75">
      <c r="A115" s="161">
        <v>120</v>
      </c>
      <c r="B115" s="162" t="str">
        <f>前台增值物品出入库录入!B117</f>
        <v>大号标签纸</v>
      </c>
      <c r="C115" s="162">
        <f>前台增值物品出入库录入!C117</f>
        <v>0</v>
      </c>
      <c r="D115" s="162" t="str">
        <f>前台增值物品出入库录入!D117</f>
        <v>个</v>
      </c>
      <c r="E115" s="162">
        <f>前台增值物品出入库录入!E117</f>
        <v>5</v>
      </c>
      <c r="F115" s="162">
        <f>前台增值物品出入库录入!F117</f>
        <v>0</v>
      </c>
      <c r="G115" s="162">
        <f>前台增值物品出入库录入!G117</f>
        <v>0</v>
      </c>
      <c r="H115" s="162">
        <f>前台增值物品出入库录入!H117</f>
        <v>0</v>
      </c>
      <c r="I115" s="162">
        <f>前台增值物品出入库录入!I117</f>
        <v>0</v>
      </c>
      <c r="J115" s="162">
        <f>前台增值物品出入库录入!J117</f>
        <v>0</v>
      </c>
      <c r="K115" s="162">
        <f>前台增值物品出入库录入!K117</f>
        <v>0</v>
      </c>
      <c r="L115" s="162">
        <f>前台增值物品出入库录入!L117</f>
        <v>0</v>
      </c>
      <c r="M115" s="162">
        <f>前台增值物品出入库录入!M117</f>
        <v>0</v>
      </c>
      <c r="N115" s="133">
        <f>前台增值物品出入库录入!N117*$E115</f>
        <v>0</v>
      </c>
      <c r="O115" s="133">
        <f>前台增值物品出入库录入!O117*$E115</f>
        <v>0</v>
      </c>
      <c r="P115" s="133">
        <f>前台增值物品出入库录入!P117*$E115</f>
        <v>0</v>
      </c>
      <c r="Q115" s="133">
        <f>前台增值物品出入库录入!Q117*$E115</f>
        <v>0</v>
      </c>
      <c r="R115" s="133">
        <f>前台增值物品出入库录入!R117*$E115</f>
        <v>0</v>
      </c>
      <c r="S115" s="133">
        <f>前台增值物品出入库录入!S117*$E115</f>
        <v>0</v>
      </c>
      <c r="T115" s="133">
        <f>前台增值物品出入库录入!T117*$E115</f>
        <v>0</v>
      </c>
      <c r="U115" s="133">
        <f>前台增值物品出入库录入!U117*$E115</f>
        <v>0</v>
      </c>
      <c r="V115" s="133">
        <f>前台增值物品出入库录入!V117*$E115</f>
        <v>0</v>
      </c>
      <c r="W115" s="133">
        <f>前台增值物品出入库录入!W117*$E115</f>
        <v>0</v>
      </c>
      <c r="X115" s="133">
        <f>前台增值物品出入库录入!X117*$E115</f>
        <v>0</v>
      </c>
      <c r="Y115" s="133">
        <f>前台增值物品出入库录入!Y117*$E115</f>
        <v>0</v>
      </c>
      <c r="Z115" s="133">
        <f>前台增值物品出入库录入!Z117*$E115</f>
        <v>0</v>
      </c>
      <c r="AA115" s="133">
        <f>前台增值物品出入库录入!AA117*$E115</f>
        <v>0</v>
      </c>
      <c r="AB115" s="133">
        <f>前台增值物品出入库录入!AB117*$E115</f>
        <v>0</v>
      </c>
      <c r="AC115" s="133">
        <f>前台增值物品出入库录入!AC117*$E115</f>
        <v>0</v>
      </c>
      <c r="AD115" s="133">
        <f>前台增值物品出入库录入!AD117*$E115</f>
        <v>0</v>
      </c>
      <c r="AE115" s="133">
        <f>前台增值物品出入库录入!AE117*$E115</f>
        <v>0</v>
      </c>
      <c r="AF115" s="133">
        <f>前台增值物品出入库录入!AF117*$E115</f>
        <v>0</v>
      </c>
      <c r="AG115" s="133">
        <f>前台增值物品出入库录入!AG117*$E115</f>
        <v>0</v>
      </c>
      <c r="AH115" s="133">
        <f>前台增值物品出入库录入!AH117*$E115</f>
        <v>0</v>
      </c>
      <c r="AI115" s="133">
        <f>前台增值物品出入库录入!AI117*$E115</f>
        <v>0</v>
      </c>
      <c r="AJ115" s="133">
        <f>前台增值物品出入库录入!AJ117*$E115</f>
        <v>0</v>
      </c>
      <c r="AK115" s="133">
        <f>前台增值物品出入库录入!AK117*$E115</f>
        <v>0</v>
      </c>
      <c r="AL115" s="133">
        <f>前台增值物品出入库录入!AL117*$E115</f>
        <v>0</v>
      </c>
      <c r="AM115" s="133">
        <f>前台增值物品出入库录入!AM117*$E115</f>
        <v>0</v>
      </c>
      <c r="AN115" s="133">
        <f>前台增值物品出入库录入!AN117*$E115</f>
        <v>0</v>
      </c>
      <c r="AO115" s="133">
        <f>前台增值物品出入库录入!AO117*$E115</f>
        <v>0</v>
      </c>
      <c r="AP115" s="133">
        <f>前台增值物品出入库录入!AP117*$E115</f>
        <v>0</v>
      </c>
      <c r="AQ115" s="133">
        <f>前台增值物品出入库录入!AQ117*$E115</f>
        <v>0</v>
      </c>
      <c r="AR115" s="133">
        <f>前台增值物品出入库录入!AR117*$E115</f>
        <v>0</v>
      </c>
      <c r="AS115" s="133">
        <f>前台增值物品出入库录入!AS117*$E115</f>
        <v>0</v>
      </c>
      <c r="AT115" s="133">
        <f>前台增值物品出入库录入!AT117*$E115</f>
        <v>0</v>
      </c>
      <c r="AU115" s="133">
        <f>前台增值物品出入库录入!AU117*$E115</f>
        <v>0</v>
      </c>
      <c r="AV115" s="133">
        <f>前台增值物品出入库录入!AV117*$E115</f>
        <v>0</v>
      </c>
      <c r="AW115" s="133">
        <f>前台增值物品出入库录入!AW117*$E115</f>
        <v>0</v>
      </c>
      <c r="AX115" s="133">
        <f>前台增值物品出入库录入!AX117*$E115</f>
        <v>0</v>
      </c>
      <c r="AY115" s="133">
        <f>前台增值物品出入库录入!AY117*$E115</f>
        <v>0</v>
      </c>
      <c r="AZ115" s="133">
        <f>前台增值物品出入库录入!AZ117*$E115</f>
        <v>0</v>
      </c>
      <c r="BA115" s="133">
        <f>前台增值物品出入库录入!BA117*$E115</f>
        <v>0</v>
      </c>
      <c r="BB115" s="133">
        <f>前台增值物品出入库录入!BB117*$E115</f>
        <v>0</v>
      </c>
      <c r="BC115" s="133">
        <f>前台增值物品出入库录入!BC117*$E115</f>
        <v>0</v>
      </c>
      <c r="BD115" s="133">
        <f>前台增值物品出入库录入!BD117*$E115</f>
        <v>0</v>
      </c>
      <c r="BE115" s="133">
        <f>前台增值物品出入库录入!BE117*$E115</f>
        <v>0</v>
      </c>
      <c r="BF115" s="133">
        <f>前台增值物品出入库录入!BF117*$E115</f>
        <v>0</v>
      </c>
      <c r="BG115" s="133">
        <f>前台增值物品出入库录入!BG117*$E115</f>
        <v>0</v>
      </c>
      <c r="BH115" s="133">
        <f>前台增值物品出入库录入!BH117*$E115</f>
        <v>0</v>
      </c>
      <c r="BI115" s="133">
        <f>前台增值物品出入库录入!BI117*$E115</f>
        <v>0</v>
      </c>
      <c r="BJ115" s="133">
        <f>前台增值物品出入库录入!BJ117*$E115</f>
        <v>0</v>
      </c>
      <c r="BK115" s="133">
        <f>前台增值物品出入库录入!BK117*$E115</f>
        <v>0</v>
      </c>
      <c r="BL115" s="133">
        <f>前台增值物品出入库录入!BL117*$E115</f>
        <v>0</v>
      </c>
      <c r="BM115" s="133">
        <f>前台增值物品出入库录入!BM117*$E115</f>
        <v>0</v>
      </c>
      <c r="BN115" s="133">
        <f>前台增值物品出入库录入!BN117*$E115</f>
        <v>0</v>
      </c>
      <c r="BO115" s="133">
        <f>前台增值物品出入库录入!BO117*$E115</f>
        <v>0</v>
      </c>
      <c r="BP115" s="133">
        <f>前台增值物品出入库录入!BP117*$E115</f>
        <v>0</v>
      </c>
      <c r="BQ115" s="133">
        <f>前台增值物品出入库录入!BQ117*$E115</f>
        <v>0</v>
      </c>
      <c r="BR115" s="133">
        <f>前台增值物品出入库录入!BR117*$E115</f>
        <v>0</v>
      </c>
      <c r="BS115" s="133">
        <f>前台增值物品出入库录入!BS117*$E115</f>
        <v>0</v>
      </c>
      <c r="BT115" s="133">
        <f>前台增值物品出入库录入!BT117*$E115</f>
        <v>0</v>
      </c>
      <c r="BU115" s="133">
        <f>前台增值物品出入库录入!BU117*$E115</f>
        <v>0</v>
      </c>
      <c r="BV115" s="133">
        <f>前台增值物品出入库录入!BV117*$E115</f>
        <v>0</v>
      </c>
      <c r="BW115" s="133">
        <f>前台增值物品出入库录入!BW117*$E115</f>
        <v>0</v>
      </c>
    </row>
    <row r="116" ht="16.5" spans="1:75">
      <c r="A116" s="161">
        <v>121</v>
      </c>
      <c r="B116" s="162" t="str">
        <f>前台增值物品出入库录入!B118</f>
        <v>超大号收纳箱</v>
      </c>
      <c r="C116" s="162">
        <f>前台增值物品出入库录入!C118</f>
        <v>0</v>
      </c>
      <c r="D116" s="162" t="str">
        <f>前台增值物品出入库录入!D118</f>
        <v>个</v>
      </c>
      <c r="E116" s="162">
        <f>前台增值物品出入库录入!E118</f>
        <v>6.62</v>
      </c>
      <c r="F116" s="162">
        <f>前台增值物品出入库录入!F118</f>
        <v>0</v>
      </c>
      <c r="G116" s="162">
        <f>前台增值物品出入库录入!G118</f>
        <v>0</v>
      </c>
      <c r="H116" s="162">
        <f>前台增值物品出入库录入!H118</f>
        <v>0</v>
      </c>
      <c r="I116" s="162">
        <f>前台增值物品出入库录入!I118</f>
        <v>0</v>
      </c>
      <c r="J116" s="162">
        <f>前台增值物品出入库录入!J118</f>
        <v>0</v>
      </c>
      <c r="K116" s="162">
        <f>前台增值物品出入库录入!K118</f>
        <v>0</v>
      </c>
      <c r="L116" s="162">
        <f>前台增值物品出入库录入!L118</f>
        <v>0</v>
      </c>
      <c r="M116" s="162">
        <f>前台增值物品出入库录入!M118</f>
        <v>0</v>
      </c>
      <c r="N116" s="133">
        <f>前台增值物品出入库录入!N118*$E116</f>
        <v>0</v>
      </c>
      <c r="O116" s="133">
        <f>前台增值物品出入库录入!O118*$E116</f>
        <v>0</v>
      </c>
      <c r="P116" s="133">
        <f>前台增值物品出入库录入!P118*$E116</f>
        <v>0</v>
      </c>
      <c r="Q116" s="133">
        <f>前台增值物品出入库录入!Q118*$E116</f>
        <v>0</v>
      </c>
      <c r="R116" s="133">
        <f>前台增值物品出入库录入!R118*$E116</f>
        <v>0</v>
      </c>
      <c r="S116" s="133">
        <f>前台增值物品出入库录入!S118*$E116</f>
        <v>0</v>
      </c>
      <c r="T116" s="133">
        <f>前台增值物品出入库录入!T118*$E116</f>
        <v>0</v>
      </c>
      <c r="U116" s="133">
        <f>前台增值物品出入库录入!U118*$E116</f>
        <v>0</v>
      </c>
      <c r="V116" s="133">
        <f>前台增值物品出入库录入!V118*$E116</f>
        <v>0</v>
      </c>
      <c r="W116" s="133">
        <f>前台增值物品出入库录入!W118*$E116</f>
        <v>0</v>
      </c>
      <c r="X116" s="133">
        <f>前台增值物品出入库录入!X118*$E116</f>
        <v>0</v>
      </c>
      <c r="Y116" s="133">
        <f>前台增值物品出入库录入!Y118*$E116</f>
        <v>0</v>
      </c>
      <c r="Z116" s="133">
        <f>前台增值物品出入库录入!Z118*$E116</f>
        <v>0</v>
      </c>
      <c r="AA116" s="133">
        <f>前台增值物品出入库录入!AA118*$E116</f>
        <v>0</v>
      </c>
      <c r="AB116" s="133">
        <f>前台增值物品出入库录入!AB118*$E116</f>
        <v>0</v>
      </c>
      <c r="AC116" s="133">
        <f>前台增值物品出入库录入!AC118*$E116</f>
        <v>0</v>
      </c>
      <c r="AD116" s="133">
        <f>前台增值物品出入库录入!AD118*$E116</f>
        <v>0</v>
      </c>
      <c r="AE116" s="133">
        <f>前台增值物品出入库录入!AE118*$E116</f>
        <v>0</v>
      </c>
      <c r="AF116" s="133">
        <f>前台增值物品出入库录入!AF118*$E116</f>
        <v>0</v>
      </c>
      <c r="AG116" s="133">
        <f>前台增值物品出入库录入!AG118*$E116</f>
        <v>0</v>
      </c>
      <c r="AH116" s="133">
        <f>前台增值物品出入库录入!AH118*$E116</f>
        <v>0</v>
      </c>
      <c r="AI116" s="133">
        <f>前台增值物品出入库录入!AI118*$E116</f>
        <v>0</v>
      </c>
      <c r="AJ116" s="133">
        <f>前台增值物品出入库录入!AJ118*$E116</f>
        <v>0</v>
      </c>
      <c r="AK116" s="133">
        <f>前台增值物品出入库录入!AK118*$E116</f>
        <v>0</v>
      </c>
      <c r="AL116" s="133">
        <f>前台增值物品出入库录入!AL118*$E116</f>
        <v>0</v>
      </c>
      <c r="AM116" s="133">
        <f>前台增值物品出入库录入!AM118*$E116</f>
        <v>0</v>
      </c>
      <c r="AN116" s="133">
        <f>前台增值物品出入库录入!AN118*$E116</f>
        <v>0</v>
      </c>
      <c r="AO116" s="133">
        <f>前台增值物品出入库录入!AO118*$E116</f>
        <v>0</v>
      </c>
      <c r="AP116" s="133">
        <f>前台增值物品出入库录入!AP118*$E116</f>
        <v>0</v>
      </c>
      <c r="AQ116" s="133">
        <f>前台增值物品出入库录入!AQ118*$E116</f>
        <v>0</v>
      </c>
      <c r="AR116" s="133">
        <f>前台增值物品出入库录入!AR118*$E116</f>
        <v>0</v>
      </c>
      <c r="AS116" s="133">
        <f>前台增值物品出入库录入!AS118*$E116</f>
        <v>0</v>
      </c>
      <c r="AT116" s="133">
        <f>前台增值物品出入库录入!AT118*$E116</f>
        <v>0</v>
      </c>
      <c r="AU116" s="133">
        <f>前台增值物品出入库录入!AU118*$E116</f>
        <v>0</v>
      </c>
      <c r="AV116" s="133">
        <f>前台增值物品出入库录入!AV118*$E116</f>
        <v>0</v>
      </c>
      <c r="AW116" s="133">
        <f>前台增值物品出入库录入!AW118*$E116</f>
        <v>0</v>
      </c>
      <c r="AX116" s="133">
        <f>前台增值物品出入库录入!AX118*$E116</f>
        <v>0</v>
      </c>
      <c r="AY116" s="133">
        <f>前台增值物品出入库录入!AY118*$E116</f>
        <v>0</v>
      </c>
      <c r="AZ116" s="133">
        <f>前台增值物品出入库录入!AZ118*$E116</f>
        <v>0</v>
      </c>
      <c r="BA116" s="133">
        <f>前台增值物品出入库录入!BA118*$E116</f>
        <v>0</v>
      </c>
      <c r="BB116" s="133">
        <f>前台增值物品出入库录入!BB118*$E116</f>
        <v>0</v>
      </c>
      <c r="BC116" s="133">
        <f>前台增值物品出入库录入!BC118*$E116</f>
        <v>0</v>
      </c>
      <c r="BD116" s="133">
        <f>前台增值物品出入库录入!BD118*$E116</f>
        <v>0</v>
      </c>
      <c r="BE116" s="133">
        <f>前台增值物品出入库录入!BE118*$E116</f>
        <v>0</v>
      </c>
      <c r="BF116" s="133">
        <f>前台增值物品出入库录入!BF118*$E116</f>
        <v>0</v>
      </c>
      <c r="BG116" s="133">
        <f>前台增值物品出入库录入!BG118*$E116</f>
        <v>0</v>
      </c>
      <c r="BH116" s="133">
        <f>前台增值物品出入库录入!BH118*$E116</f>
        <v>0</v>
      </c>
      <c r="BI116" s="133">
        <f>前台增值物品出入库录入!BI118*$E116</f>
        <v>0</v>
      </c>
      <c r="BJ116" s="133">
        <f>前台增值物品出入库录入!BJ118*$E116</f>
        <v>0</v>
      </c>
      <c r="BK116" s="133">
        <f>前台增值物品出入库录入!BK118*$E116</f>
        <v>0</v>
      </c>
      <c r="BL116" s="133">
        <f>前台增值物品出入库录入!BL118*$E116</f>
        <v>0</v>
      </c>
      <c r="BM116" s="133">
        <f>前台增值物品出入库录入!BM118*$E116</f>
        <v>0</v>
      </c>
      <c r="BN116" s="133">
        <f>前台增值物品出入库录入!BN118*$E116</f>
        <v>0</v>
      </c>
      <c r="BO116" s="133">
        <f>前台增值物品出入库录入!BO118*$E116</f>
        <v>0</v>
      </c>
      <c r="BP116" s="133">
        <f>前台增值物品出入库录入!BP118*$E116</f>
        <v>0</v>
      </c>
      <c r="BQ116" s="133">
        <f>前台增值物品出入库录入!BQ118*$E116</f>
        <v>0</v>
      </c>
      <c r="BR116" s="133">
        <f>前台增值物品出入库录入!BR118*$E116</f>
        <v>0</v>
      </c>
      <c r="BS116" s="133">
        <f>前台增值物品出入库录入!BS118*$E116</f>
        <v>0</v>
      </c>
      <c r="BT116" s="133">
        <f>前台增值物品出入库录入!BT118*$E116</f>
        <v>0</v>
      </c>
      <c r="BU116" s="133">
        <f>前台增值物品出入库录入!BU118*$E116</f>
        <v>0</v>
      </c>
      <c r="BV116" s="133">
        <f>前台增值物品出入库录入!BV118*$E116</f>
        <v>0</v>
      </c>
      <c r="BW116" s="133">
        <f>前台增值物品出入库录入!BW118*$E116</f>
        <v>0</v>
      </c>
    </row>
    <row r="117" ht="16.5" spans="1:75">
      <c r="A117" s="161">
        <v>122</v>
      </c>
      <c r="B117" s="162" t="str">
        <f>前台增值物品出入库录入!B119</f>
        <v>客遗标签</v>
      </c>
      <c r="C117" s="162">
        <f>前台增值物品出入库录入!C119</f>
        <v>0</v>
      </c>
      <c r="D117" s="162" t="str">
        <f>前台增值物品出入库录入!D119</f>
        <v>个</v>
      </c>
      <c r="E117" s="162">
        <f>前台增值物品出入库录入!E119</f>
        <v>24.99</v>
      </c>
      <c r="F117" s="162">
        <f>前台增值物品出入库录入!F119</f>
        <v>3</v>
      </c>
      <c r="G117" s="162">
        <f>前台增值物品出入库录入!G119</f>
        <v>74.97</v>
      </c>
      <c r="H117" s="162">
        <f>前台增值物品出入库录入!H119</f>
        <v>0</v>
      </c>
      <c r="I117" s="162">
        <f>前台增值物品出入库录入!I119</f>
        <v>0</v>
      </c>
      <c r="J117" s="162">
        <f>前台增值物品出入库录入!J119</f>
        <v>1</v>
      </c>
      <c r="K117" s="162">
        <f>前台增值物品出入库录入!K119</f>
        <v>24.99</v>
      </c>
      <c r="L117" s="162">
        <f>前台增值物品出入库录入!L119</f>
        <v>2</v>
      </c>
      <c r="M117" s="162">
        <f>前台增值物品出入库录入!M119</f>
        <v>49.98</v>
      </c>
      <c r="N117" s="133">
        <f>前台增值物品出入库录入!N119*$E117</f>
        <v>0</v>
      </c>
      <c r="O117" s="133">
        <f>前台增值物品出入库录入!O119*$E117</f>
        <v>0</v>
      </c>
      <c r="P117" s="133">
        <f>前台增值物品出入库录入!P119*$E117</f>
        <v>0</v>
      </c>
      <c r="Q117" s="133">
        <f>前台增值物品出入库录入!Q119*$E117</f>
        <v>0</v>
      </c>
      <c r="R117" s="133">
        <f>前台增值物品出入库录入!R119*$E117</f>
        <v>0</v>
      </c>
      <c r="S117" s="133">
        <f>前台增值物品出入库录入!S119*$E117</f>
        <v>0</v>
      </c>
      <c r="T117" s="133">
        <f>前台增值物品出入库录入!T119*$E117</f>
        <v>0</v>
      </c>
      <c r="U117" s="133">
        <f>前台增值物品出入库录入!U119*$E117</f>
        <v>0</v>
      </c>
      <c r="V117" s="133">
        <f>前台增值物品出入库录入!V119*$E117</f>
        <v>0</v>
      </c>
      <c r="W117" s="133">
        <f>前台增值物品出入库录入!W119*$E117</f>
        <v>0</v>
      </c>
      <c r="X117" s="133">
        <f>前台增值物品出入库录入!X119*$E117</f>
        <v>0</v>
      </c>
      <c r="Y117" s="133">
        <f>前台增值物品出入库录入!Y119*$E117</f>
        <v>0</v>
      </c>
      <c r="Z117" s="133">
        <f>前台增值物品出入库录入!Z119*$E117</f>
        <v>0</v>
      </c>
      <c r="AA117" s="133">
        <f>前台增值物品出入库录入!AA119*$E117</f>
        <v>0</v>
      </c>
      <c r="AB117" s="133">
        <f>前台增值物品出入库录入!AB119*$E117</f>
        <v>0</v>
      </c>
      <c r="AC117" s="133">
        <f>前台增值物品出入库录入!AC119*$E117</f>
        <v>0</v>
      </c>
      <c r="AD117" s="133">
        <f>前台增值物品出入库录入!AD119*$E117</f>
        <v>0</v>
      </c>
      <c r="AE117" s="133">
        <f>前台增值物品出入库录入!AE119*$E117</f>
        <v>0</v>
      </c>
      <c r="AF117" s="133">
        <f>前台增值物品出入库录入!AF119*$E117</f>
        <v>0</v>
      </c>
      <c r="AG117" s="133">
        <f>前台增值物品出入库录入!AG119*$E117</f>
        <v>0</v>
      </c>
      <c r="AH117" s="133">
        <f>前台增值物品出入库录入!AH119*$E117</f>
        <v>0</v>
      </c>
      <c r="AI117" s="133">
        <f>前台增值物品出入库录入!AI119*$E117</f>
        <v>0</v>
      </c>
      <c r="AJ117" s="133">
        <f>前台增值物品出入库录入!AJ119*$E117</f>
        <v>0</v>
      </c>
      <c r="AK117" s="133">
        <f>前台增值物品出入库录入!AK119*$E117</f>
        <v>0</v>
      </c>
      <c r="AL117" s="133">
        <f>前台增值物品出入库录入!AL119*$E117</f>
        <v>0</v>
      </c>
      <c r="AM117" s="133">
        <f>前台增值物品出入库录入!AM119*$E117</f>
        <v>0</v>
      </c>
      <c r="AN117" s="133">
        <f>前台增值物品出入库录入!AN119*$E117</f>
        <v>0</v>
      </c>
      <c r="AO117" s="133">
        <f>前台增值物品出入库录入!AO119*$E117</f>
        <v>0</v>
      </c>
      <c r="AP117" s="133">
        <f>前台增值物品出入库录入!AP119*$E117</f>
        <v>0</v>
      </c>
      <c r="AQ117" s="133">
        <f>前台增值物品出入库录入!AQ119*$E117</f>
        <v>0</v>
      </c>
      <c r="AR117" s="133">
        <f>前台增值物品出入库录入!AR119*$E117</f>
        <v>0</v>
      </c>
      <c r="AS117" s="133">
        <f>前台增值物品出入库录入!AS119*$E117</f>
        <v>0</v>
      </c>
      <c r="AT117" s="133">
        <f>前台增值物品出入库录入!AT119*$E117</f>
        <v>0</v>
      </c>
      <c r="AU117" s="133">
        <f>前台增值物品出入库录入!AU119*$E117</f>
        <v>0</v>
      </c>
      <c r="AV117" s="133">
        <f>前台增值物品出入库录入!AV119*$E117</f>
        <v>0</v>
      </c>
      <c r="AW117" s="133">
        <f>前台增值物品出入库录入!AW119*$E117</f>
        <v>0</v>
      </c>
      <c r="AX117" s="133">
        <f>前台增值物品出入库录入!AX119*$E117</f>
        <v>0</v>
      </c>
      <c r="AY117" s="133">
        <f>前台增值物品出入库录入!AY119*$E117</f>
        <v>0</v>
      </c>
      <c r="AZ117" s="133">
        <f>前台增值物品出入库录入!AZ119*$E117</f>
        <v>0</v>
      </c>
      <c r="BA117" s="133">
        <f>前台增值物品出入库录入!BA119*$E117</f>
        <v>0</v>
      </c>
      <c r="BB117" s="133">
        <f>前台增值物品出入库录入!BB119*$E117</f>
        <v>0</v>
      </c>
      <c r="BC117" s="133">
        <f>前台增值物品出入库录入!BC119*$E117</f>
        <v>0</v>
      </c>
      <c r="BD117" s="133">
        <f>前台增值物品出入库录入!BD119*$E117</f>
        <v>0</v>
      </c>
      <c r="BE117" s="133">
        <f>前台增值物品出入库录入!BE119*$E117</f>
        <v>0</v>
      </c>
      <c r="BF117" s="133">
        <f>前台增值物品出入库录入!BF119*$E117</f>
        <v>0</v>
      </c>
      <c r="BG117" s="133">
        <f>前台增值物品出入库录入!BG119*$E117</f>
        <v>24.99</v>
      </c>
      <c r="BH117" s="133">
        <f>前台增值物品出入库录入!BH119*$E117</f>
        <v>0</v>
      </c>
      <c r="BI117" s="133">
        <f>前台增值物品出入库录入!BI119*$E117</f>
        <v>0</v>
      </c>
      <c r="BJ117" s="133">
        <f>前台增值物品出入库录入!BJ119*$E117</f>
        <v>0</v>
      </c>
      <c r="BK117" s="133">
        <f>前台增值物品出入库录入!BK119*$E117</f>
        <v>0</v>
      </c>
      <c r="BL117" s="133">
        <f>前台增值物品出入库录入!BL119*$E117</f>
        <v>0</v>
      </c>
      <c r="BM117" s="133">
        <f>前台增值物品出入库录入!BM119*$E117</f>
        <v>0</v>
      </c>
      <c r="BN117" s="133">
        <f>前台增值物品出入库录入!BN119*$E117</f>
        <v>0</v>
      </c>
      <c r="BO117" s="133">
        <f>前台增值物品出入库录入!BO119*$E117</f>
        <v>0</v>
      </c>
      <c r="BP117" s="133">
        <f>前台增值物品出入库录入!BP119*$E117</f>
        <v>0</v>
      </c>
      <c r="BQ117" s="133">
        <f>前台增值物品出入库录入!BQ119*$E117</f>
        <v>0</v>
      </c>
      <c r="BR117" s="133">
        <f>前台增值物品出入库录入!BR119*$E117</f>
        <v>0</v>
      </c>
      <c r="BS117" s="133">
        <f>前台增值物品出入库录入!BS119*$E117</f>
        <v>0</v>
      </c>
      <c r="BT117" s="133">
        <f>前台增值物品出入库录入!BT119*$E117</f>
        <v>0</v>
      </c>
      <c r="BU117" s="133">
        <f>前台增值物品出入库录入!BU119*$E117</f>
        <v>0</v>
      </c>
      <c r="BV117" s="133">
        <f>前台增值物品出入库录入!BV119*$E117</f>
        <v>0</v>
      </c>
      <c r="BW117" s="133">
        <f>前台增值物品出入库录入!BW119*$E117</f>
        <v>0</v>
      </c>
    </row>
    <row r="118" ht="16.5" spans="1:75">
      <c r="A118" s="161">
        <v>123</v>
      </c>
      <c r="B118" s="162" t="str">
        <f>前台增值物品出入库录入!B120</f>
        <v>水果叉</v>
      </c>
      <c r="C118" s="162">
        <f>前台增值物品出入库录入!C120</f>
        <v>0</v>
      </c>
      <c r="D118" s="162" t="str">
        <f>前台增值物品出入库录入!D120</f>
        <v>个</v>
      </c>
      <c r="E118" s="162">
        <f>前台增值物品出入库录入!E120</f>
        <v>0.06</v>
      </c>
      <c r="F118" s="162">
        <f>前台增值物品出入库录入!F120</f>
        <v>40</v>
      </c>
      <c r="G118" s="162">
        <f>前台增值物品出入库录入!G120</f>
        <v>2.4</v>
      </c>
      <c r="H118" s="162">
        <f>前台增值物品出入库录入!H120</f>
        <v>0</v>
      </c>
      <c r="I118" s="162">
        <f>前台增值物品出入库录入!I120</f>
        <v>0</v>
      </c>
      <c r="J118" s="162">
        <f>前台增值物品出入库录入!J120</f>
        <v>10</v>
      </c>
      <c r="K118" s="162">
        <f>前台增值物品出入库录入!K120</f>
        <v>0.6</v>
      </c>
      <c r="L118" s="162">
        <f>前台增值物品出入库录入!L120</f>
        <v>30</v>
      </c>
      <c r="M118" s="162">
        <f>前台增值物品出入库录入!M120</f>
        <v>1.8</v>
      </c>
      <c r="N118" s="133">
        <f>前台增值物品出入库录入!N120*$E118</f>
        <v>0</v>
      </c>
      <c r="O118" s="133">
        <f>前台增值物品出入库录入!O120*$E118</f>
        <v>0</v>
      </c>
      <c r="P118" s="133">
        <f>前台增值物品出入库录入!P120*$E118</f>
        <v>0</v>
      </c>
      <c r="Q118" s="133">
        <f>前台增值物品出入库录入!Q120*$E118</f>
        <v>0.6</v>
      </c>
      <c r="R118" s="133">
        <f>前台增值物品出入库录入!R120*$E118</f>
        <v>0</v>
      </c>
      <c r="S118" s="133">
        <f>前台增值物品出入库录入!S120*$E118</f>
        <v>0</v>
      </c>
      <c r="T118" s="133">
        <f>前台增值物品出入库录入!T120*$E118</f>
        <v>0</v>
      </c>
      <c r="U118" s="133">
        <f>前台增值物品出入库录入!U120*$E118</f>
        <v>0</v>
      </c>
      <c r="V118" s="133">
        <f>前台增值物品出入库录入!V120*$E118</f>
        <v>0</v>
      </c>
      <c r="W118" s="133">
        <f>前台增值物品出入库录入!W120*$E118</f>
        <v>0</v>
      </c>
      <c r="X118" s="133">
        <f>前台增值物品出入库录入!X120*$E118</f>
        <v>0</v>
      </c>
      <c r="Y118" s="133">
        <f>前台增值物品出入库录入!Y120*$E118</f>
        <v>0</v>
      </c>
      <c r="Z118" s="133">
        <f>前台增值物品出入库录入!Z120*$E118</f>
        <v>0</v>
      </c>
      <c r="AA118" s="133">
        <f>前台增值物品出入库录入!AA120*$E118</f>
        <v>0</v>
      </c>
      <c r="AB118" s="133">
        <f>前台增值物品出入库录入!AB120*$E118</f>
        <v>0</v>
      </c>
      <c r="AC118" s="133">
        <f>前台增值物品出入库录入!AC120*$E118</f>
        <v>0</v>
      </c>
      <c r="AD118" s="133">
        <f>前台增值物品出入库录入!AD120*$E118</f>
        <v>0</v>
      </c>
      <c r="AE118" s="133">
        <f>前台增值物品出入库录入!AE120*$E118</f>
        <v>0</v>
      </c>
      <c r="AF118" s="133">
        <f>前台增值物品出入库录入!AF120*$E118</f>
        <v>0</v>
      </c>
      <c r="AG118" s="133">
        <f>前台增值物品出入库录入!AG120*$E118</f>
        <v>0</v>
      </c>
      <c r="AH118" s="133">
        <f>前台增值物品出入库录入!AH120*$E118</f>
        <v>0</v>
      </c>
      <c r="AI118" s="133">
        <f>前台增值物品出入库录入!AI120*$E118</f>
        <v>0</v>
      </c>
      <c r="AJ118" s="133">
        <f>前台增值物品出入库录入!AJ120*$E118</f>
        <v>0</v>
      </c>
      <c r="AK118" s="133">
        <f>前台增值物品出入库录入!AK120*$E118</f>
        <v>0</v>
      </c>
      <c r="AL118" s="133">
        <f>前台增值物品出入库录入!AL120*$E118</f>
        <v>0</v>
      </c>
      <c r="AM118" s="133">
        <f>前台增值物品出入库录入!AM120*$E118</f>
        <v>0</v>
      </c>
      <c r="AN118" s="133">
        <f>前台增值物品出入库录入!AN120*$E118</f>
        <v>0</v>
      </c>
      <c r="AO118" s="133">
        <f>前台增值物品出入库录入!AO120*$E118</f>
        <v>0</v>
      </c>
      <c r="AP118" s="133">
        <f>前台增值物品出入库录入!AP120*$E118</f>
        <v>0</v>
      </c>
      <c r="AQ118" s="133">
        <f>前台增值物品出入库录入!AQ120*$E118</f>
        <v>0</v>
      </c>
      <c r="AR118" s="133">
        <f>前台增值物品出入库录入!AR120*$E118</f>
        <v>0</v>
      </c>
      <c r="AS118" s="133">
        <f>前台增值物品出入库录入!AS120*$E118</f>
        <v>0</v>
      </c>
      <c r="AT118" s="133">
        <f>前台增值物品出入库录入!AT120*$E118</f>
        <v>0</v>
      </c>
      <c r="AU118" s="133">
        <f>前台增值物品出入库录入!AU120*$E118</f>
        <v>0</v>
      </c>
      <c r="AV118" s="133">
        <f>前台增值物品出入库录入!AV120*$E118</f>
        <v>0</v>
      </c>
      <c r="AW118" s="133">
        <f>前台增值物品出入库录入!AW120*$E118</f>
        <v>0</v>
      </c>
      <c r="AX118" s="133">
        <f>前台增值物品出入库录入!AX120*$E118</f>
        <v>0</v>
      </c>
      <c r="AY118" s="133">
        <f>前台增值物品出入库录入!AY120*$E118</f>
        <v>0</v>
      </c>
      <c r="AZ118" s="133">
        <f>前台增值物品出入库录入!AZ120*$E118</f>
        <v>0</v>
      </c>
      <c r="BA118" s="133">
        <f>前台增值物品出入库录入!BA120*$E118</f>
        <v>0</v>
      </c>
      <c r="BB118" s="133">
        <f>前台增值物品出入库录入!BB120*$E118</f>
        <v>0</v>
      </c>
      <c r="BC118" s="133">
        <f>前台增值物品出入库录入!BC120*$E118</f>
        <v>0</v>
      </c>
      <c r="BD118" s="133">
        <f>前台增值物品出入库录入!BD120*$E118</f>
        <v>0</v>
      </c>
      <c r="BE118" s="133">
        <f>前台增值物品出入库录入!BE120*$E118</f>
        <v>0</v>
      </c>
      <c r="BF118" s="133">
        <f>前台增值物品出入库录入!BF120*$E118</f>
        <v>0</v>
      </c>
      <c r="BG118" s="133">
        <f>前台增值物品出入库录入!BG120*$E118</f>
        <v>0</v>
      </c>
      <c r="BH118" s="133">
        <f>前台增值物品出入库录入!BH120*$E118</f>
        <v>0</v>
      </c>
      <c r="BI118" s="133">
        <f>前台增值物品出入库录入!BI120*$E118</f>
        <v>0</v>
      </c>
      <c r="BJ118" s="133">
        <f>前台增值物品出入库录入!BJ120*$E118</f>
        <v>0</v>
      </c>
      <c r="BK118" s="133">
        <f>前台增值物品出入库录入!BK120*$E118</f>
        <v>0</v>
      </c>
      <c r="BL118" s="133">
        <f>前台增值物品出入库录入!BL120*$E118</f>
        <v>0</v>
      </c>
      <c r="BM118" s="133">
        <f>前台增值物品出入库录入!BM120*$E118</f>
        <v>0</v>
      </c>
      <c r="BN118" s="133">
        <f>前台增值物品出入库录入!BN120*$E118</f>
        <v>0</v>
      </c>
      <c r="BO118" s="133">
        <f>前台增值物品出入库录入!BO120*$E118</f>
        <v>0</v>
      </c>
      <c r="BP118" s="133">
        <f>前台增值物品出入库录入!BP120*$E118</f>
        <v>0</v>
      </c>
      <c r="BQ118" s="133">
        <f>前台增值物品出入库录入!BQ120*$E118</f>
        <v>0</v>
      </c>
      <c r="BR118" s="133">
        <f>前台增值物品出入库录入!BR120*$E118</f>
        <v>0</v>
      </c>
      <c r="BS118" s="133">
        <f>前台增值物品出入库录入!BS120*$E118</f>
        <v>0</v>
      </c>
      <c r="BT118" s="133">
        <f>前台增值物品出入库录入!BT120*$E118</f>
        <v>0</v>
      </c>
      <c r="BU118" s="133">
        <f>前台增值物品出入库录入!BU120*$E118</f>
        <v>0</v>
      </c>
      <c r="BV118" s="133">
        <f>前台增值物品出入库录入!BV120*$E118</f>
        <v>0</v>
      </c>
      <c r="BW118" s="133">
        <f>前台增值物品出入库录入!BW120*$E118</f>
        <v>0</v>
      </c>
    </row>
    <row r="119" ht="16.5" spans="1:75">
      <c r="A119" s="161">
        <v>124</v>
      </c>
      <c r="B119" s="162" t="str">
        <f>前台增值物品出入库录入!B121</f>
        <v>咖啡豆</v>
      </c>
      <c r="C119" s="162">
        <f>前台增值物品出入库录入!C121</f>
        <v>0</v>
      </c>
      <c r="D119" s="162" t="str">
        <f>前台增值物品出入库录入!D121</f>
        <v>包</v>
      </c>
      <c r="E119" s="162">
        <f>前台增值物品出入库录入!E121</f>
        <v>39</v>
      </c>
      <c r="F119" s="162">
        <f>前台增值物品出入库录入!F121</f>
        <v>0</v>
      </c>
      <c r="G119" s="162">
        <f>前台增值物品出入库录入!G121</f>
        <v>0</v>
      </c>
      <c r="H119" s="162">
        <f>前台增值物品出入库录入!H121</f>
        <v>0</v>
      </c>
      <c r="I119" s="162">
        <f>前台增值物品出入库录入!I121</f>
        <v>0</v>
      </c>
      <c r="J119" s="162">
        <f>前台增值物品出入库录入!J121</f>
        <v>0</v>
      </c>
      <c r="K119" s="162">
        <f>前台增值物品出入库录入!K121</f>
        <v>0</v>
      </c>
      <c r="L119" s="162">
        <f>前台增值物品出入库录入!L121</f>
        <v>0</v>
      </c>
      <c r="M119" s="162">
        <f>前台增值物品出入库录入!M121</f>
        <v>0</v>
      </c>
      <c r="N119" s="133">
        <f>前台增值物品出入库录入!N121*$E119</f>
        <v>0</v>
      </c>
      <c r="O119" s="133">
        <f>前台增值物品出入库录入!O121*$E119</f>
        <v>0</v>
      </c>
      <c r="P119" s="133">
        <f>前台增值物品出入库录入!P121*$E119</f>
        <v>0</v>
      </c>
      <c r="Q119" s="133">
        <f>前台增值物品出入库录入!Q121*$E119</f>
        <v>0</v>
      </c>
      <c r="R119" s="133">
        <f>前台增值物品出入库录入!R121*$E119</f>
        <v>0</v>
      </c>
      <c r="S119" s="133">
        <f>前台增值物品出入库录入!S121*$E119</f>
        <v>0</v>
      </c>
      <c r="T119" s="133">
        <f>前台增值物品出入库录入!T121*$E119</f>
        <v>0</v>
      </c>
      <c r="U119" s="133">
        <f>前台增值物品出入库录入!U121*$E119</f>
        <v>0</v>
      </c>
      <c r="V119" s="133">
        <f>前台增值物品出入库录入!V121*$E119</f>
        <v>0</v>
      </c>
      <c r="W119" s="133">
        <f>前台增值物品出入库录入!W121*$E119</f>
        <v>0</v>
      </c>
      <c r="X119" s="133">
        <f>前台增值物品出入库录入!X121*$E119</f>
        <v>0</v>
      </c>
      <c r="Y119" s="133">
        <f>前台增值物品出入库录入!Y121*$E119</f>
        <v>0</v>
      </c>
      <c r="Z119" s="133">
        <f>前台增值物品出入库录入!Z121*$E119</f>
        <v>0</v>
      </c>
      <c r="AA119" s="133">
        <f>前台增值物品出入库录入!AA121*$E119</f>
        <v>0</v>
      </c>
      <c r="AB119" s="133">
        <f>前台增值物品出入库录入!AB121*$E119</f>
        <v>0</v>
      </c>
      <c r="AC119" s="133">
        <f>前台增值物品出入库录入!AC121*$E119</f>
        <v>0</v>
      </c>
      <c r="AD119" s="133">
        <f>前台增值物品出入库录入!AD121*$E119</f>
        <v>0</v>
      </c>
      <c r="AE119" s="133">
        <f>前台增值物品出入库录入!AE121*$E119</f>
        <v>0</v>
      </c>
      <c r="AF119" s="133">
        <f>前台增值物品出入库录入!AF121*$E119</f>
        <v>0</v>
      </c>
      <c r="AG119" s="133">
        <f>前台增值物品出入库录入!AG121*$E119</f>
        <v>0</v>
      </c>
      <c r="AH119" s="133">
        <f>前台增值物品出入库录入!AH121*$E119</f>
        <v>0</v>
      </c>
      <c r="AI119" s="133">
        <f>前台增值物品出入库录入!AI121*$E119</f>
        <v>0</v>
      </c>
      <c r="AJ119" s="133">
        <f>前台增值物品出入库录入!AJ121*$E119</f>
        <v>0</v>
      </c>
      <c r="AK119" s="133">
        <f>前台增值物品出入库录入!AK121*$E119</f>
        <v>0</v>
      </c>
      <c r="AL119" s="133">
        <f>前台增值物品出入库录入!AL121*$E119</f>
        <v>0</v>
      </c>
      <c r="AM119" s="133">
        <f>前台增值物品出入库录入!AM121*$E119</f>
        <v>0</v>
      </c>
      <c r="AN119" s="133">
        <f>前台增值物品出入库录入!AN121*$E119</f>
        <v>0</v>
      </c>
      <c r="AO119" s="133">
        <f>前台增值物品出入库录入!AO121*$E119</f>
        <v>0</v>
      </c>
      <c r="AP119" s="133">
        <f>前台增值物品出入库录入!AP121*$E119</f>
        <v>0</v>
      </c>
      <c r="AQ119" s="133">
        <f>前台增值物品出入库录入!AQ121*$E119</f>
        <v>0</v>
      </c>
      <c r="AR119" s="133">
        <f>前台增值物品出入库录入!AR121*$E119</f>
        <v>0</v>
      </c>
      <c r="AS119" s="133">
        <f>前台增值物品出入库录入!AS121*$E119</f>
        <v>0</v>
      </c>
      <c r="AT119" s="133">
        <f>前台增值物品出入库录入!AT121*$E119</f>
        <v>0</v>
      </c>
      <c r="AU119" s="133">
        <f>前台增值物品出入库录入!AU121*$E119</f>
        <v>0</v>
      </c>
      <c r="AV119" s="133">
        <f>前台增值物品出入库录入!AV121*$E119</f>
        <v>0</v>
      </c>
      <c r="AW119" s="133">
        <f>前台增值物品出入库录入!AW121*$E119</f>
        <v>0</v>
      </c>
      <c r="AX119" s="133">
        <f>前台增值物品出入库录入!AX121*$E119</f>
        <v>0</v>
      </c>
      <c r="AY119" s="133">
        <f>前台增值物品出入库录入!AY121*$E119</f>
        <v>0</v>
      </c>
      <c r="AZ119" s="133">
        <f>前台增值物品出入库录入!AZ121*$E119</f>
        <v>0</v>
      </c>
      <c r="BA119" s="133">
        <f>前台增值物品出入库录入!BA121*$E119</f>
        <v>0</v>
      </c>
      <c r="BB119" s="133">
        <f>前台增值物品出入库录入!BB121*$E119</f>
        <v>0</v>
      </c>
      <c r="BC119" s="133">
        <f>前台增值物品出入库录入!BC121*$E119</f>
        <v>0</v>
      </c>
      <c r="BD119" s="133">
        <f>前台增值物品出入库录入!BD121*$E119</f>
        <v>0</v>
      </c>
      <c r="BE119" s="133">
        <f>前台增值物品出入库录入!BE121*$E119</f>
        <v>0</v>
      </c>
      <c r="BF119" s="133">
        <f>前台增值物品出入库录入!BF121*$E119</f>
        <v>0</v>
      </c>
      <c r="BG119" s="133">
        <f>前台增值物品出入库录入!BG121*$E119</f>
        <v>0</v>
      </c>
      <c r="BH119" s="133">
        <f>前台增值物品出入库录入!BH121*$E119</f>
        <v>0</v>
      </c>
      <c r="BI119" s="133">
        <f>前台增值物品出入库录入!BI121*$E119</f>
        <v>0</v>
      </c>
      <c r="BJ119" s="133">
        <f>前台增值物品出入库录入!BJ121*$E119</f>
        <v>0</v>
      </c>
      <c r="BK119" s="133">
        <f>前台增值物品出入库录入!BK121*$E119</f>
        <v>0</v>
      </c>
      <c r="BL119" s="133">
        <f>前台增值物品出入库录入!BL121*$E119</f>
        <v>0</v>
      </c>
      <c r="BM119" s="133">
        <f>前台增值物品出入库录入!BM121*$E119</f>
        <v>0</v>
      </c>
      <c r="BN119" s="133">
        <f>前台增值物品出入库录入!BN121*$E119</f>
        <v>0</v>
      </c>
      <c r="BO119" s="133">
        <f>前台增值物品出入库录入!BO121*$E119</f>
        <v>0</v>
      </c>
      <c r="BP119" s="133">
        <f>前台增值物品出入库录入!BP121*$E119</f>
        <v>0</v>
      </c>
      <c r="BQ119" s="133">
        <f>前台增值物品出入库录入!BQ121*$E119</f>
        <v>0</v>
      </c>
      <c r="BR119" s="133">
        <f>前台增值物品出入库录入!BR121*$E119</f>
        <v>0</v>
      </c>
      <c r="BS119" s="133">
        <f>前台增值物品出入库录入!BS121*$E119</f>
        <v>0</v>
      </c>
      <c r="BT119" s="133">
        <f>前台增值物品出入库录入!BT121*$E119</f>
        <v>0</v>
      </c>
      <c r="BU119" s="133">
        <f>前台增值物品出入库录入!BU121*$E119</f>
        <v>0</v>
      </c>
      <c r="BV119" s="133">
        <f>前台增值物品出入库录入!BV121*$E119</f>
        <v>0</v>
      </c>
      <c r="BW119" s="133">
        <f>前台增值物品出入库录入!BW121*$E119</f>
        <v>0</v>
      </c>
    </row>
    <row r="120" ht="16.5" spans="1:75">
      <c r="A120" s="161">
        <v>125</v>
      </c>
      <c r="B120" s="162" t="str">
        <f>前台增值物品出入库录入!B122</f>
        <v>牙刷</v>
      </c>
      <c r="C120" s="162">
        <f>前台增值物品出入库录入!C122</f>
        <v>0</v>
      </c>
      <c r="D120" s="162" t="str">
        <f>前台增值物品出入库录入!D122</f>
        <v>条</v>
      </c>
      <c r="E120" s="162">
        <f>前台增值物品出入库录入!E122</f>
        <v>0.42</v>
      </c>
      <c r="F120" s="162">
        <f>前台增值物品出入库录入!F122</f>
        <v>37</v>
      </c>
      <c r="G120" s="162">
        <f>前台增值物品出入库录入!G122</f>
        <v>15.54</v>
      </c>
      <c r="H120" s="162">
        <f>前台增值物品出入库录入!H122</f>
        <v>0</v>
      </c>
      <c r="I120" s="162">
        <f>前台增值物品出入库录入!I122</f>
        <v>0</v>
      </c>
      <c r="J120" s="162">
        <f>前台增值物品出入库录入!J122</f>
        <v>37</v>
      </c>
      <c r="K120" s="162">
        <f>前台增值物品出入库录入!K122</f>
        <v>15.54</v>
      </c>
      <c r="L120" s="162">
        <f>前台增值物品出入库录入!L122</f>
        <v>0</v>
      </c>
      <c r="M120" s="162">
        <f>前台增值物品出入库录入!M122</f>
        <v>0</v>
      </c>
      <c r="N120" s="133">
        <f>前台增值物品出入库录入!N122*$E120</f>
        <v>0</v>
      </c>
      <c r="O120" s="133">
        <f>前台增值物品出入库录入!O122*$E120</f>
        <v>0</v>
      </c>
      <c r="P120" s="133">
        <f>前台增值物品出入库录入!P122*$E120</f>
        <v>0</v>
      </c>
      <c r="Q120" s="133">
        <f>前台增值物品出入库录入!Q122*$E120</f>
        <v>15.54</v>
      </c>
      <c r="R120" s="133">
        <f>前台增值物品出入库录入!R122*$E120</f>
        <v>0</v>
      </c>
      <c r="S120" s="133">
        <f>前台增值物品出入库录入!S122*$E120</f>
        <v>0</v>
      </c>
      <c r="T120" s="133">
        <f>前台增值物品出入库录入!T122*$E120</f>
        <v>0</v>
      </c>
      <c r="U120" s="133">
        <f>前台增值物品出入库录入!U122*$E120</f>
        <v>0</v>
      </c>
      <c r="V120" s="133">
        <f>前台增值物品出入库录入!V122*$E120</f>
        <v>0</v>
      </c>
      <c r="W120" s="133">
        <f>前台增值物品出入库录入!W122*$E120</f>
        <v>0</v>
      </c>
      <c r="X120" s="133">
        <f>前台增值物品出入库录入!X122*$E120</f>
        <v>0</v>
      </c>
      <c r="Y120" s="133">
        <f>前台增值物品出入库录入!Y122*$E120</f>
        <v>0</v>
      </c>
      <c r="Z120" s="133">
        <f>前台增值物品出入库录入!Z122*$E120</f>
        <v>0</v>
      </c>
      <c r="AA120" s="133">
        <f>前台增值物品出入库录入!AA122*$E120</f>
        <v>0</v>
      </c>
      <c r="AB120" s="133">
        <f>前台增值物品出入库录入!AB122*$E120</f>
        <v>0</v>
      </c>
      <c r="AC120" s="133">
        <f>前台增值物品出入库录入!AC122*$E120</f>
        <v>0</v>
      </c>
      <c r="AD120" s="133">
        <f>前台增值物品出入库录入!AD122*$E120</f>
        <v>0</v>
      </c>
      <c r="AE120" s="133">
        <f>前台增值物品出入库录入!AE122*$E120</f>
        <v>0</v>
      </c>
      <c r="AF120" s="133">
        <f>前台增值物品出入库录入!AF122*$E120</f>
        <v>0</v>
      </c>
      <c r="AG120" s="133">
        <f>前台增值物品出入库录入!AG122*$E120</f>
        <v>0</v>
      </c>
      <c r="AH120" s="133">
        <f>前台增值物品出入库录入!AH122*$E120</f>
        <v>0</v>
      </c>
      <c r="AI120" s="133">
        <f>前台增值物品出入库录入!AI122*$E120</f>
        <v>0</v>
      </c>
      <c r="AJ120" s="133">
        <f>前台增值物品出入库录入!AJ122*$E120</f>
        <v>0</v>
      </c>
      <c r="AK120" s="133">
        <f>前台增值物品出入库录入!AK122*$E120</f>
        <v>0</v>
      </c>
      <c r="AL120" s="133">
        <f>前台增值物品出入库录入!AL122*$E120</f>
        <v>0</v>
      </c>
      <c r="AM120" s="133">
        <f>前台增值物品出入库录入!AM122*$E120</f>
        <v>0</v>
      </c>
      <c r="AN120" s="133">
        <f>前台增值物品出入库录入!AN122*$E120</f>
        <v>0</v>
      </c>
      <c r="AO120" s="133">
        <f>前台增值物品出入库录入!AO122*$E120</f>
        <v>0</v>
      </c>
      <c r="AP120" s="133">
        <f>前台增值物品出入库录入!AP122*$E120</f>
        <v>0</v>
      </c>
      <c r="AQ120" s="133">
        <f>前台增值物品出入库录入!AQ122*$E120</f>
        <v>0</v>
      </c>
      <c r="AR120" s="133">
        <f>前台增值物品出入库录入!AR122*$E120</f>
        <v>0</v>
      </c>
      <c r="AS120" s="133">
        <f>前台增值物品出入库录入!AS122*$E120</f>
        <v>0</v>
      </c>
      <c r="AT120" s="133">
        <f>前台增值物品出入库录入!AT122*$E120</f>
        <v>0</v>
      </c>
      <c r="AU120" s="133">
        <f>前台增值物品出入库录入!AU122*$E120</f>
        <v>0</v>
      </c>
      <c r="AV120" s="133">
        <f>前台增值物品出入库录入!AV122*$E120</f>
        <v>0</v>
      </c>
      <c r="AW120" s="133">
        <f>前台增值物品出入库录入!AW122*$E120</f>
        <v>0</v>
      </c>
      <c r="AX120" s="133">
        <f>前台增值物品出入库录入!AX122*$E120</f>
        <v>0</v>
      </c>
      <c r="AY120" s="133">
        <f>前台增值物品出入库录入!AY122*$E120</f>
        <v>0</v>
      </c>
      <c r="AZ120" s="133">
        <f>前台增值物品出入库录入!AZ122*$E120</f>
        <v>0</v>
      </c>
      <c r="BA120" s="133">
        <f>前台增值物品出入库录入!BA122*$E120</f>
        <v>0</v>
      </c>
      <c r="BB120" s="133">
        <f>前台增值物品出入库录入!BB122*$E120</f>
        <v>0</v>
      </c>
      <c r="BC120" s="133">
        <f>前台增值物品出入库录入!BC122*$E120</f>
        <v>0</v>
      </c>
      <c r="BD120" s="133">
        <f>前台增值物品出入库录入!BD122*$E120</f>
        <v>0</v>
      </c>
      <c r="BE120" s="133">
        <f>前台增值物品出入库录入!BE122*$E120</f>
        <v>0</v>
      </c>
      <c r="BF120" s="133">
        <f>前台增值物品出入库录入!BF122*$E120</f>
        <v>0</v>
      </c>
      <c r="BG120" s="133">
        <f>前台增值物品出入库录入!BG122*$E120</f>
        <v>0</v>
      </c>
      <c r="BH120" s="133">
        <f>前台增值物品出入库录入!BH122*$E120</f>
        <v>0</v>
      </c>
      <c r="BI120" s="133">
        <f>前台增值物品出入库录入!BI122*$E120</f>
        <v>0</v>
      </c>
      <c r="BJ120" s="133">
        <f>前台增值物品出入库录入!BJ122*$E120</f>
        <v>0</v>
      </c>
      <c r="BK120" s="133">
        <f>前台增值物品出入库录入!BK122*$E120</f>
        <v>0</v>
      </c>
      <c r="BL120" s="133">
        <f>前台增值物品出入库录入!BL122*$E120</f>
        <v>0</v>
      </c>
      <c r="BM120" s="133">
        <f>前台增值物品出入库录入!BM122*$E120</f>
        <v>0</v>
      </c>
      <c r="BN120" s="133">
        <f>前台增值物品出入库录入!BN122*$E120</f>
        <v>0</v>
      </c>
      <c r="BO120" s="133">
        <f>前台增值物品出入库录入!BO122*$E120</f>
        <v>0</v>
      </c>
      <c r="BP120" s="133">
        <f>前台增值物品出入库录入!BP122*$E120</f>
        <v>0</v>
      </c>
      <c r="BQ120" s="133">
        <f>前台增值物品出入库录入!BQ122*$E120</f>
        <v>0</v>
      </c>
      <c r="BR120" s="133">
        <f>前台增值物品出入库录入!BR122*$E120</f>
        <v>0</v>
      </c>
      <c r="BS120" s="133">
        <f>前台增值物品出入库录入!BS122*$E120</f>
        <v>0</v>
      </c>
      <c r="BT120" s="133">
        <f>前台增值物品出入库录入!BT122*$E120</f>
        <v>0</v>
      </c>
      <c r="BU120" s="133">
        <f>前台增值物品出入库录入!BU122*$E120</f>
        <v>0</v>
      </c>
      <c r="BV120" s="133">
        <f>前台增值物品出入库录入!BV122*$E120</f>
        <v>0</v>
      </c>
      <c r="BW120" s="133">
        <f>前台增值物品出入库录入!BW122*$E120</f>
        <v>0</v>
      </c>
    </row>
    <row r="121" ht="16.5" spans="1:75">
      <c r="A121" s="161">
        <v>126</v>
      </c>
      <c r="B121" s="162" t="str">
        <f>前台增值物品出入库录入!B123</f>
        <v>眼镜清洁湿巾</v>
      </c>
      <c r="C121" s="162">
        <f>前台增值物品出入库录入!C123</f>
        <v>0</v>
      </c>
      <c r="D121" s="162" t="str">
        <f>前台增值物品出入库录入!D123</f>
        <v>条</v>
      </c>
      <c r="E121" s="162">
        <f>前台增值物品出入库录入!E123</f>
        <v>0.0588</v>
      </c>
      <c r="F121" s="162">
        <f>前台增值物品出入库录入!F123</f>
        <v>346</v>
      </c>
      <c r="G121" s="162">
        <f>前台增值物品出入库录入!G123</f>
        <v>20.3448</v>
      </c>
      <c r="H121" s="162">
        <f>前台增值物品出入库录入!H123</f>
        <v>0</v>
      </c>
      <c r="I121" s="162">
        <f>前台增值物品出入库录入!I123</f>
        <v>0</v>
      </c>
      <c r="J121" s="162">
        <f>前台增值物品出入库录入!J123</f>
        <v>35</v>
      </c>
      <c r="K121" s="162">
        <f>前台增值物品出入库录入!K123</f>
        <v>2.058</v>
      </c>
      <c r="L121" s="162">
        <f>前台增值物品出入库录入!L123</f>
        <v>311</v>
      </c>
      <c r="M121" s="162">
        <f>前台增值物品出入库录入!M123</f>
        <v>18.2868</v>
      </c>
      <c r="N121" s="133">
        <f>前台增值物品出入库录入!N123*$E121</f>
        <v>0</v>
      </c>
      <c r="O121" s="133">
        <f>前台增值物品出入库录入!O123*$E121</f>
        <v>0</v>
      </c>
      <c r="P121" s="133">
        <f>前台增值物品出入库录入!P123*$E121</f>
        <v>0</v>
      </c>
      <c r="Q121" s="133">
        <f>前台增值物品出入库录入!Q123*$E121</f>
        <v>0</v>
      </c>
      <c r="R121" s="133">
        <f>前台增值物品出入库录入!R123*$E121</f>
        <v>0</v>
      </c>
      <c r="S121" s="133">
        <f>前台增值物品出入库录入!S123*$E121</f>
        <v>1.176</v>
      </c>
      <c r="T121" s="133">
        <f>前台增值物品出入库录入!T123*$E121</f>
        <v>0</v>
      </c>
      <c r="U121" s="133">
        <f>前台增值物品出入库录入!U123*$E121</f>
        <v>0</v>
      </c>
      <c r="V121" s="133">
        <f>前台增值物品出入库录入!V123*$E121</f>
        <v>0</v>
      </c>
      <c r="W121" s="133">
        <f>前台增值物品出入库录入!W123*$E121</f>
        <v>0.882</v>
      </c>
      <c r="X121" s="133">
        <f>前台增值物品出入库录入!X123*$E121</f>
        <v>0</v>
      </c>
      <c r="Y121" s="133">
        <f>前台增值物品出入库录入!Y123*$E121</f>
        <v>0</v>
      </c>
      <c r="Z121" s="133">
        <f>前台增值物品出入库录入!Z123*$E121</f>
        <v>0</v>
      </c>
      <c r="AA121" s="133">
        <f>前台增值物品出入库录入!AA123*$E121</f>
        <v>0</v>
      </c>
      <c r="AB121" s="133">
        <f>前台增值物品出入库录入!AB123*$E121</f>
        <v>0</v>
      </c>
      <c r="AC121" s="133">
        <f>前台增值物品出入库录入!AC123*$E121</f>
        <v>0</v>
      </c>
      <c r="AD121" s="133">
        <f>前台增值物品出入库录入!AD123*$E121</f>
        <v>0</v>
      </c>
      <c r="AE121" s="133">
        <f>前台增值物品出入库录入!AE123*$E121</f>
        <v>0</v>
      </c>
      <c r="AF121" s="133">
        <f>前台增值物品出入库录入!AF123*$E121</f>
        <v>0</v>
      </c>
      <c r="AG121" s="133">
        <f>前台增值物品出入库录入!AG123*$E121</f>
        <v>0</v>
      </c>
      <c r="AH121" s="133">
        <f>前台增值物品出入库录入!AH123*$E121</f>
        <v>0</v>
      </c>
      <c r="AI121" s="133">
        <f>前台增值物品出入库录入!AI123*$E121</f>
        <v>0</v>
      </c>
      <c r="AJ121" s="133">
        <f>前台增值物品出入库录入!AJ123*$E121</f>
        <v>0</v>
      </c>
      <c r="AK121" s="133">
        <f>前台增值物品出入库录入!AK123*$E121</f>
        <v>0</v>
      </c>
      <c r="AL121" s="133">
        <f>前台增值物品出入库录入!AL123*$E121</f>
        <v>0</v>
      </c>
      <c r="AM121" s="133">
        <f>前台增值物品出入库录入!AM123*$E121</f>
        <v>0</v>
      </c>
      <c r="AN121" s="133">
        <f>前台增值物品出入库录入!AN123*$E121</f>
        <v>0</v>
      </c>
      <c r="AO121" s="133">
        <f>前台增值物品出入库录入!AO123*$E121</f>
        <v>0</v>
      </c>
      <c r="AP121" s="133">
        <f>前台增值物品出入库录入!AP123*$E121</f>
        <v>0</v>
      </c>
      <c r="AQ121" s="133">
        <f>前台增值物品出入库录入!AQ123*$E121</f>
        <v>0</v>
      </c>
      <c r="AR121" s="133">
        <f>前台增值物品出入库录入!AR123*$E121</f>
        <v>0</v>
      </c>
      <c r="AS121" s="133">
        <f>前台增值物品出入库录入!AS123*$E121</f>
        <v>0</v>
      </c>
      <c r="AT121" s="133">
        <f>前台增值物品出入库录入!AT123*$E121</f>
        <v>0</v>
      </c>
      <c r="AU121" s="133">
        <f>前台增值物品出入库录入!AU123*$E121</f>
        <v>0</v>
      </c>
      <c r="AV121" s="133">
        <f>前台增值物品出入库录入!AV123*$E121</f>
        <v>0</v>
      </c>
      <c r="AW121" s="133">
        <f>前台增值物品出入库录入!AW123*$E121</f>
        <v>0</v>
      </c>
      <c r="AX121" s="133">
        <f>前台增值物品出入库录入!AX123*$E121</f>
        <v>0</v>
      </c>
      <c r="AY121" s="133">
        <f>前台增值物品出入库录入!AY123*$E121</f>
        <v>0</v>
      </c>
      <c r="AZ121" s="133">
        <f>前台增值物品出入库录入!AZ123*$E121</f>
        <v>0</v>
      </c>
      <c r="BA121" s="133">
        <f>前台增值物品出入库录入!BA123*$E121</f>
        <v>0</v>
      </c>
      <c r="BB121" s="133">
        <f>前台增值物品出入库录入!BB123*$E121</f>
        <v>0</v>
      </c>
      <c r="BC121" s="133">
        <f>前台增值物品出入库录入!BC123*$E121</f>
        <v>0</v>
      </c>
      <c r="BD121" s="133">
        <f>前台增值物品出入库录入!BD123*$E121</f>
        <v>0</v>
      </c>
      <c r="BE121" s="133">
        <f>前台增值物品出入库录入!BE123*$E121</f>
        <v>0</v>
      </c>
      <c r="BF121" s="133">
        <f>前台增值物品出入库录入!BF123*$E121</f>
        <v>0</v>
      </c>
      <c r="BG121" s="133">
        <f>前台增值物品出入库录入!BG123*$E121</f>
        <v>0</v>
      </c>
      <c r="BH121" s="133">
        <f>前台增值物品出入库录入!BH123*$E121</f>
        <v>0</v>
      </c>
      <c r="BI121" s="133">
        <f>前台增值物品出入库录入!BI123*$E121</f>
        <v>0</v>
      </c>
      <c r="BJ121" s="133">
        <f>前台增值物品出入库录入!BJ123*$E121</f>
        <v>0</v>
      </c>
      <c r="BK121" s="133">
        <f>前台增值物品出入库录入!BK123*$E121</f>
        <v>0</v>
      </c>
      <c r="BL121" s="133">
        <f>前台增值物品出入库录入!BL123*$E121</f>
        <v>0</v>
      </c>
      <c r="BM121" s="133">
        <f>前台增值物品出入库录入!BM123*$E121</f>
        <v>0</v>
      </c>
      <c r="BN121" s="133">
        <f>前台增值物品出入库录入!BN123*$E121</f>
        <v>0</v>
      </c>
      <c r="BO121" s="133">
        <f>前台增值物品出入库录入!BO123*$E121</f>
        <v>0</v>
      </c>
      <c r="BP121" s="133">
        <f>前台增值物品出入库录入!BP123*$E121</f>
        <v>0</v>
      </c>
      <c r="BQ121" s="133">
        <f>前台增值物品出入库录入!BQ123*$E121</f>
        <v>0</v>
      </c>
      <c r="BR121" s="133">
        <f>前台增值物品出入库录入!BR123*$E121</f>
        <v>0</v>
      </c>
      <c r="BS121" s="133">
        <f>前台增值物品出入库录入!BS123*$E121</f>
        <v>0</v>
      </c>
      <c r="BT121" s="133">
        <f>前台增值物品出入库录入!BT123*$E121</f>
        <v>0</v>
      </c>
      <c r="BU121" s="133">
        <f>前台增值物品出入库录入!BU123*$E121</f>
        <v>0</v>
      </c>
      <c r="BV121" s="133">
        <f>前台增值物品出入库录入!BV123*$E121</f>
        <v>0</v>
      </c>
      <c r="BW121" s="133">
        <f>前台增值物品出入库录入!BW123*$E121</f>
        <v>0</v>
      </c>
    </row>
    <row r="122" ht="16.5" spans="1:75">
      <c r="A122" s="161">
        <v>127</v>
      </c>
      <c r="B122" s="162" t="str">
        <f>前台增值物品出入库录入!B124</f>
        <v>红色笔</v>
      </c>
      <c r="C122" s="162">
        <f>前台增值物品出入库录入!C124</f>
        <v>0</v>
      </c>
      <c r="D122" s="162" t="str">
        <f>前台增值物品出入库录入!D124</f>
        <v>个</v>
      </c>
      <c r="E122" s="162">
        <f>前台增值物品出入库录入!E124</f>
        <v>0.9771</v>
      </c>
      <c r="F122" s="162">
        <f>前台增值物品出入库录入!F124</f>
        <v>33</v>
      </c>
      <c r="G122" s="162">
        <f>前台增值物品出入库录入!G124</f>
        <v>32.2443</v>
      </c>
      <c r="H122" s="162">
        <f>前台增值物品出入库录入!H124</f>
        <v>0</v>
      </c>
      <c r="I122" s="162">
        <f>前台增值物品出入库录入!I124</f>
        <v>0</v>
      </c>
      <c r="J122" s="162">
        <f>前台增值物品出入库录入!J124</f>
        <v>2</v>
      </c>
      <c r="K122" s="162">
        <f>前台增值物品出入库录入!K124</f>
        <v>1.9542</v>
      </c>
      <c r="L122" s="162">
        <f>前台增值物品出入库录入!L124</f>
        <v>31</v>
      </c>
      <c r="M122" s="162">
        <f>前台增值物品出入库录入!M124</f>
        <v>30.2901</v>
      </c>
      <c r="N122" s="133">
        <f>前台增值物品出入库录入!N124*$E122</f>
        <v>0</v>
      </c>
      <c r="O122" s="133">
        <f>前台增值物品出入库录入!O124*$E122</f>
        <v>0</v>
      </c>
      <c r="P122" s="133">
        <f>前台增值物品出入库录入!P124*$E122</f>
        <v>0</v>
      </c>
      <c r="Q122" s="133">
        <f>前台增值物品出入库录入!Q124*$E122</f>
        <v>0</v>
      </c>
      <c r="R122" s="133">
        <f>前台增值物品出入库录入!R124*$E122</f>
        <v>0</v>
      </c>
      <c r="S122" s="133">
        <f>前台增值物品出入库录入!S124*$E122</f>
        <v>0</v>
      </c>
      <c r="T122" s="133">
        <f>前台增值物品出入库录入!T124*$E122</f>
        <v>0</v>
      </c>
      <c r="U122" s="133">
        <f>前台增值物品出入库录入!U124*$E122</f>
        <v>0</v>
      </c>
      <c r="V122" s="133">
        <f>前台增值物品出入库录入!V124*$E122</f>
        <v>0</v>
      </c>
      <c r="W122" s="133">
        <f>前台增值物品出入库录入!W124*$E122</f>
        <v>0</v>
      </c>
      <c r="X122" s="133">
        <f>前台增值物品出入库录入!X124*$E122</f>
        <v>0</v>
      </c>
      <c r="Y122" s="133">
        <f>前台增值物品出入库录入!Y124*$E122</f>
        <v>0</v>
      </c>
      <c r="Z122" s="133">
        <f>前台增值物品出入库录入!Z124*$E122</f>
        <v>0</v>
      </c>
      <c r="AA122" s="133">
        <f>前台增值物品出入库录入!AA124*$E122</f>
        <v>0</v>
      </c>
      <c r="AB122" s="133">
        <f>前台增值物品出入库录入!AB124*$E122</f>
        <v>0</v>
      </c>
      <c r="AC122" s="133">
        <f>前台增值物品出入库录入!AC124*$E122</f>
        <v>0</v>
      </c>
      <c r="AD122" s="133">
        <f>前台增值物品出入库录入!AD124*$E122</f>
        <v>0</v>
      </c>
      <c r="AE122" s="133">
        <f>前台增值物品出入库录入!AE124*$E122</f>
        <v>0</v>
      </c>
      <c r="AF122" s="133">
        <f>前台增值物品出入库录入!AF124*$E122</f>
        <v>0</v>
      </c>
      <c r="AG122" s="133">
        <f>前台增值物品出入库录入!AG124*$E122</f>
        <v>0</v>
      </c>
      <c r="AH122" s="133">
        <f>前台增值物品出入库录入!AH124*$E122</f>
        <v>0</v>
      </c>
      <c r="AI122" s="133">
        <f>前台增值物品出入库录入!AI124*$E122</f>
        <v>0</v>
      </c>
      <c r="AJ122" s="133">
        <f>前台增值物品出入库录入!AJ124*$E122</f>
        <v>0</v>
      </c>
      <c r="AK122" s="133">
        <f>前台增值物品出入库录入!AK124*$E122</f>
        <v>0</v>
      </c>
      <c r="AL122" s="133">
        <f>前台增值物品出入库录入!AL124*$E122</f>
        <v>0</v>
      </c>
      <c r="AM122" s="133">
        <f>前台增值物品出入库录入!AM124*$E122</f>
        <v>0</v>
      </c>
      <c r="AN122" s="133">
        <f>前台增值物品出入库录入!AN124*$E122</f>
        <v>0</v>
      </c>
      <c r="AO122" s="133">
        <f>前台增值物品出入库录入!AO124*$E122</f>
        <v>0</v>
      </c>
      <c r="AP122" s="133">
        <f>前台增值物品出入库录入!AP124*$E122</f>
        <v>0</v>
      </c>
      <c r="AQ122" s="133">
        <f>前台增值物品出入库录入!AQ124*$E122</f>
        <v>0</v>
      </c>
      <c r="AR122" s="133">
        <f>前台增值物品出入库录入!AR124*$E122</f>
        <v>0</v>
      </c>
      <c r="AS122" s="133">
        <f>前台增值物品出入库录入!AS124*$E122</f>
        <v>0</v>
      </c>
      <c r="AT122" s="133">
        <f>前台增值物品出入库录入!AT124*$E122</f>
        <v>0</v>
      </c>
      <c r="AU122" s="133">
        <f>前台增值物品出入库录入!AU124*$E122</f>
        <v>0</v>
      </c>
      <c r="AV122" s="133">
        <f>前台增值物品出入库录入!AV124*$E122</f>
        <v>0</v>
      </c>
      <c r="AW122" s="133">
        <f>前台增值物品出入库录入!AW124*$E122</f>
        <v>0</v>
      </c>
      <c r="AX122" s="133">
        <f>前台增值物品出入库录入!AX124*$E122</f>
        <v>0</v>
      </c>
      <c r="AY122" s="133">
        <f>前台增值物品出入库录入!AY124*$E122</f>
        <v>0</v>
      </c>
      <c r="AZ122" s="133">
        <f>前台增值物品出入库录入!AZ124*$E122</f>
        <v>0</v>
      </c>
      <c r="BA122" s="133">
        <f>前台增值物品出入库录入!BA124*$E122</f>
        <v>0</v>
      </c>
      <c r="BB122" s="133">
        <f>前台增值物品出入库录入!BB124*$E122</f>
        <v>0</v>
      </c>
      <c r="BC122" s="133">
        <f>前台增值物品出入库录入!BC124*$E122</f>
        <v>0</v>
      </c>
      <c r="BD122" s="133">
        <f>前台增值物品出入库录入!BD124*$E122</f>
        <v>0</v>
      </c>
      <c r="BE122" s="133">
        <f>前台增值物品出入库录入!BE124*$E122</f>
        <v>0</v>
      </c>
      <c r="BF122" s="133">
        <f>前台增值物品出入库录入!BF124*$E122</f>
        <v>0</v>
      </c>
      <c r="BG122" s="133">
        <f>前台增值物品出入库录入!BG124*$E122</f>
        <v>0</v>
      </c>
      <c r="BH122" s="133">
        <f>前台增值物品出入库录入!BH124*$E122</f>
        <v>0</v>
      </c>
      <c r="BI122" s="133">
        <f>前台增值物品出入库录入!BI124*$E122</f>
        <v>0.9771</v>
      </c>
      <c r="BJ122" s="133">
        <f>前台增值物品出入库录入!BJ124*$E122</f>
        <v>0</v>
      </c>
      <c r="BK122" s="133">
        <f>前台增值物品出入库录入!BK124*$E122</f>
        <v>0.9771</v>
      </c>
      <c r="BL122" s="133">
        <f>前台增值物品出入库录入!BL124*$E122</f>
        <v>0</v>
      </c>
      <c r="BM122" s="133">
        <f>前台增值物品出入库录入!BM124*$E122</f>
        <v>0</v>
      </c>
      <c r="BN122" s="133">
        <f>前台增值物品出入库录入!BN124*$E122</f>
        <v>0</v>
      </c>
      <c r="BO122" s="133">
        <f>前台增值物品出入库录入!BO124*$E122</f>
        <v>0</v>
      </c>
      <c r="BP122" s="133">
        <f>前台增值物品出入库录入!BP124*$E122</f>
        <v>0</v>
      </c>
      <c r="BQ122" s="133">
        <f>前台增值物品出入库录入!BQ124*$E122</f>
        <v>0</v>
      </c>
      <c r="BR122" s="133">
        <f>前台增值物品出入库录入!BR124*$E122</f>
        <v>0</v>
      </c>
      <c r="BS122" s="133">
        <f>前台增值物品出入库录入!BS124*$E122</f>
        <v>0</v>
      </c>
      <c r="BT122" s="133">
        <f>前台增值物品出入库录入!BT124*$E122</f>
        <v>0</v>
      </c>
      <c r="BU122" s="133">
        <f>前台增值物品出入库录入!BU124*$E122</f>
        <v>0</v>
      </c>
      <c r="BV122" s="133">
        <f>前台增值物品出入库录入!BV124*$E122</f>
        <v>0</v>
      </c>
      <c r="BW122" s="133">
        <f>前台增值物品出入库录入!BW124*$E122</f>
        <v>0</v>
      </c>
    </row>
    <row r="123" ht="16.5" spans="1:75">
      <c r="A123" s="161">
        <v>128</v>
      </c>
      <c r="B123" s="162" t="str">
        <f>前台增值物品出入库录入!B125</f>
        <v>电梯按钮保护盖</v>
      </c>
      <c r="C123" s="162">
        <f>前台增值物品出入库录入!C125</f>
        <v>0</v>
      </c>
      <c r="D123" s="162" t="str">
        <f>前台增值物品出入库录入!D125</f>
        <v>个</v>
      </c>
      <c r="E123" s="162">
        <f>前台增值物品出入库录入!E125</f>
        <v>2.8</v>
      </c>
      <c r="F123" s="162">
        <f>前台增值物品出入库录入!F125</f>
        <v>1</v>
      </c>
      <c r="G123" s="162">
        <f>前台增值物品出入库录入!G125</f>
        <v>2.8</v>
      </c>
      <c r="H123" s="162">
        <f>前台增值物品出入库录入!H125</f>
        <v>0</v>
      </c>
      <c r="I123" s="162">
        <f>前台增值物品出入库录入!I125</f>
        <v>0</v>
      </c>
      <c r="J123" s="162">
        <f>前台增值物品出入库录入!J125</f>
        <v>0</v>
      </c>
      <c r="K123" s="162">
        <f>前台增值物品出入库录入!K125</f>
        <v>0</v>
      </c>
      <c r="L123" s="162">
        <f>前台增值物品出入库录入!L125</f>
        <v>1</v>
      </c>
      <c r="M123" s="162">
        <f>前台增值物品出入库录入!M125</f>
        <v>2.8</v>
      </c>
      <c r="N123" s="133">
        <f>前台增值物品出入库录入!N125*$E123</f>
        <v>0</v>
      </c>
      <c r="O123" s="133">
        <f>前台增值物品出入库录入!O125*$E123</f>
        <v>0</v>
      </c>
      <c r="P123" s="133">
        <f>前台增值物品出入库录入!P125*$E123</f>
        <v>0</v>
      </c>
      <c r="Q123" s="133">
        <f>前台增值物品出入库录入!Q125*$E123</f>
        <v>0</v>
      </c>
      <c r="R123" s="133">
        <f>前台增值物品出入库录入!R125*$E123</f>
        <v>0</v>
      </c>
      <c r="S123" s="133">
        <f>前台增值物品出入库录入!S125*$E123</f>
        <v>0</v>
      </c>
      <c r="T123" s="133">
        <f>前台增值物品出入库录入!T125*$E123</f>
        <v>0</v>
      </c>
      <c r="U123" s="133">
        <f>前台增值物品出入库录入!U125*$E123</f>
        <v>0</v>
      </c>
      <c r="V123" s="133">
        <f>前台增值物品出入库录入!V125*$E123</f>
        <v>0</v>
      </c>
      <c r="W123" s="133">
        <f>前台增值物品出入库录入!W125*$E123</f>
        <v>0</v>
      </c>
      <c r="X123" s="133">
        <f>前台增值物品出入库录入!X125*$E123</f>
        <v>0</v>
      </c>
      <c r="Y123" s="133">
        <f>前台增值物品出入库录入!Y125*$E123</f>
        <v>0</v>
      </c>
      <c r="Z123" s="133">
        <f>前台增值物品出入库录入!Z125*$E123</f>
        <v>0</v>
      </c>
      <c r="AA123" s="133">
        <f>前台增值物品出入库录入!AA125*$E123</f>
        <v>0</v>
      </c>
      <c r="AB123" s="133">
        <f>前台增值物品出入库录入!AB125*$E123</f>
        <v>0</v>
      </c>
      <c r="AC123" s="133">
        <f>前台增值物品出入库录入!AC125*$E123</f>
        <v>0</v>
      </c>
      <c r="AD123" s="133">
        <f>前台增值物品出入库录入!AD125*$E123</f>
        <v>0</v>
      </c>
      <c r="AE123" s="133">
        <f>前台增值物品出入库录入!AE125*$E123</f>
        <v>0</v>
      </c>
      <c r="AF123" s="133">
        <f>前台增值物品出入库录入!AF125*$E123</f>
        <v>0</v>
      </c>
      <c r="AG123" s="133">
        <f>前台增值物品出入库录入!AG125*$E123</f>
        <v>0</v>
      </c>
      <c r="AH123" s="133">
        <f>前台增值物品出入库录入!AH125*$E123</f>
        <v>0</v>
      </c>
      <c r="AI123" s="133">
        <f>前台增值物品出入库录入!AI125*$E123</f>
        <v>0</v>
      </c>
      <c r="AJ123" s="133">
        <f>前台增值物品出入库录入!AJ125*$E123</f>
        <v>0</v>
      </c>
      <c r="AK123" s="133">
        <f>前台增值物品出入库录入!AK125*$E123</f>
        <v>0</v>
      </c>
      <c r="AL123" s="133">
        <f>前台增值物品出入库录入!AL125*$E123</f>
        <v>0</v>
      </c>
      <c r="AM123" s="133">
        <f>前台增值物品出入库录入!AM125*$E123</f>
        <v>0</v>
      </c>
      <c r="AN123" s="133">
        <f>前台增值物品出入库录入!AN125*$E123</f>
        <v>0</v>
      </c>
      <c r="AO123" s="133">
        <f>前台增值物品出入库录入!AO125*$E123</f>
        <v>0</v>
      </c>
      <c r="AP123" s="133">
        <f>前台增值物品出入库录入!AP125*$E123</f>
        <v>0</v>
      </c>
      <c r="AQ123" s="133">
        <f>前台增值物品出入库录入!AQ125*$E123</f>
        <v>0</v>
      </c>
      <c r="AR123" s="133">
        <f>前台增值物品出入库录入!AR125*$E123</f>
        <v>0</v>
      </c>
      <c r="AS123" s="133">
        <f>前台增值物品出入库录入!AS125*$E123</f>
        <v>0</v>
      </c>
      <c r="AT123" s="133">
        <f>前台增值物品出入库录入!AT125*$E123</f>
        <v>0</v>
      </c>
      <c r="AU123" s="133">
        <f>前台增值物品出入库录入!AU125*$E123</f>
        <v>0</v>
      </c>
      <c r="AV123" s="133">
        <f>前台增值物品出入库录入!AV125*$E123</f>
        <v>0</v>
      </c>
      <c r="AW123" s="133">
        <f>前台增值物品出入库录入!AW125*$E123</f>
        <v>0</v>
      </c>
      <c r="AX123" s="133">
        <f>前台增值物品出入库录入!AX125*$E123</f>
        <v>0</v>
      </c>
      <c r="AY123" s="133">
        <f>前台增值物品出入库录入!AY125*$E123</f>
        <v>0</v>
      </c>
      <c r="AZ123" s="133">
        <f>前台增值物品出入库录入!AZ125*$E123</f>
        <v>0</v>
      </c>
      <c r="BA123" s="133">
        <f>前台增值物品出入库录入!BA125*$E123</f>
        <v>0</v>
      </c>
      <c r="BB123" s="133">
        <f>前台增值物品出入库录入!BB125*$E123</f>
        <v>0</v>
      </c>
      <c r="BC123" s="133">
        <f>前台增值物品出入库录入!BC125*$E123</f>
        <v>0</v>
      </c>
      <c r="BD123" s="133">
        <f>前台增值物品出入库录入!BD125*$E123</f>
        <v>0</v>
      </c>
      <c r="BE123" s="133">
        <f>前台增值物品出入库录入!BE125*$E123</f>
        <v>0</v>
      </c>
      <c r="BF123" s="133">
        <f>前台增值物品出入库录入!BF125*$E123</f>
        <v>0</v>
      </c>
      <c r="BG123" s="133">
        <f>前台增值物品出入库录入!BG125*$E123</f>
        <v>0</v>
      </c>
      <c r="BH123" s="133">
        <f>前台增值物品出入库录入!BH125*$E123</f>
        <v>0</v>
      </c>
      <c r="BI123" s="133">
        <f>前台增值物品出入库录入!BI125*$E123</f>
        <v>0</v>
      </c>
      <c r="BJ123" s="133">
        <f>前台增值物品出入库录入!BJ125*$E123</f>
        <v>0</v>
      </c>
      <c r="BK123" s="133">
        <f>前台增值物品出入库录入!BK125*$E123</f>
        <v>0</v>
      </c>
      <c r="BL123" s="133">
        <f>前台增值物品出入库录入!BL125*$E123</f>
        <v>0</v>
      </c>
      <c r="BM123" s="133">
        <f>前台增值物品出入库录入!BM125*$E123</f>
        <v>0</v>
      </c>
      <c r="BN123" s="133">
        <f>前台增值物品出入库录入!BN125*$E123</f>
        <v>0</v>
      </c>
      <c r="BO123" s="133">
        <f>前台增值物品出入库录入!BO125*$E123</f>
        <v>0</v>
      </c>
      <c r="BP123" s="133">
        <f>前台增值物品出入库录入!BP125*$E123</f>
        <v>0</v>
      </c>
      <c r="BQ123" s="133">
        <f>前台增值物品出入库录入!BQ125*$E123</f>
        <v>0</v>
      </c>
      <c r="BR123" s="133">
        <f>前台增值物品出入库录入!BR125*$E123</f>
        <v>0</v>
      </c>
      <c r="BS123" s="133">
        <f>前台增值物品出入库录入!BS125*$E123</f>
        <v>0</v>
      </c>
      <c r="BT123" s="133">
        <f>前台增值物品出入库录入!BT125*$E123</f>
        <v>0</v>
      </c>
      <c r="BU123" s="133">
        <f>前台增值物品出入库录入!BU125*$E123</f>
        <v>0</v>
      </c>
      <c r="BV123" s="133">
        <f>前台增值物品出入库录入!BV125*$E123</f>
        <v>0</v>
      </c>
      <c r="BW123" s="133">
        <f>前台增值物品出入库录入!BW125*$E123</f>
        <v>0</v>
      </c>
    </row>
    <row r="124" ht="16.5" spans="1:75">
      <c r="A124" s="161">
        <v>129</v>
      </c>
      <c r="B124" s="162" t="str">
        <f>前台增值物品出入库录入!B126</f>
        <v>行李牌</v>
      </c>
      <c r="C124" s="162">
        <f>前台增值物品出入库录入!C126</f>
        <v>0</v>
      </c>
      <c r="D124" s="162" t="str">
        <f>前台增值物品出入库录入!D126</f>
        <v>个</v>
      </c>
      <c r="E124" s="162">
        <f>前台增值物品出入库录入!E126</f>
        <v>0.12</v>
      </c>
      <c r="F124" s="162">
        <f>前台增值物品出入库录入!F126</f>
        <v>4230</v>
      </c>
      <c r="G124" s="162">
        <f>前台增值物品出入库录入!G126</f>
        <v>507.6</v>
      </c>
      <c r="H124" s="162">
        <f>前台增值物品出入库录入!H126</f>
        <v>0</v>
      </c>
      <c r="I124" s="162">
        <f>前台增值物品出入库录入!I126</f>
        <v>0</v>
      </c>
      <c r="J124" s="162">
        <f>前台增值物品出入库录入!J126</f>
        <v>210</v>
      </c>
      <c r="K124" s="162">
        <f>前台增值物品出入库录入!K126</f>
        <v>25.2</v>
      </c>
      <c r="L124" s="162">
        <f>前台增值物品出入库录入!L126</f>
        <v>4020</v>
      </c>
      <c r="M124" s="162">
        <f>前台增值物品出入库录入!M126</f>
        <v>482.4</v>
      </c>
      <c r="N124" s="133">
        <f>前台增值物品出入库录入!N126*$E124</f>
        <v>0</v>
      </c>
      <c r="O124" s="133">
        <f>前台增值物品出入库录入!O126*$E124</f>
        <v>0</v>
      </c>
      <c r="P124" s="133">
        <f>前台增值物品出入库录入!P126*$E124</f>
        <v>0</v>
      </c>
      <c r="Q124" s="133">
        <f>前台增值物品出入库录入!Q126*$E124</f>
        <v>0</v>
      </c>
      <c r="R124" s="133">
        <f>前台增值物品出入库录入!R126*$E124</f>
        <v>0</v>
      </c>
      <c r="S124" s="133">
        <f>前台增值物品出入库录入!S126*$E124</f>
        <v>0</v>
      </c>
      <c r="T124" s="133">
        <f>前台增值物品出入库录入!T126*$E124</f>
        <v>0</v>
      </c>
      <c r="U124" s="133">
        <f>前台增值物品出入库录入!U126*$E124</f>
        <v>12</v>
      </c>
      <c r="V124" s="133">
        <f>前台增值物品出入库录入!V126*$E124</f>
        <v>0</v>
      </c>
      <c r="W124" s="133">
        <f>前台增值物品出入库录入!W126*$E124</f>
        <v>0</v>
      </c>
      <c r="X124" s="133">
        <f>前台增值物品出入库录入!X126*$E124</f>
        <v>0</v>
      </c>
      <c r="Y124" s="133">
        <f>前台增值物品出入库录入!Y126*$E124</f>
        <v>0</v>
      </c>
      <c r="Z124" s="133">
        <f>前台增值物品出入库录入!Z126*$E124</f>
        <v>0</v>
      </c>
      <c r="AA124" s="133">
        <f>前台增值物品出入库录入!AA126*$E124</f>
        <v>0</v>
      </c>
      <c r="AB124" s="133">
        <f>前台增值物品出入库录入!AB126*$E124</f>
        <v>0</v>
      </c>
      <c r="AC124" s="133">
        <f>前台增值物品出入库录入!AC126*$E124</f>
        <v>0</v>
      </c>
      <c r="AD124" s="133">
        <f>前台增值物品出入库录入!AD126*$E124</f>
        <v>0</v>
      </c>
      <c r="AE124" s="133">
        <f>前台增值物品出入库录入!AE126*$E124</f>
        <v>0</v>
      </c>
      <c r="AF124" s="133">
        <f>前台增值物品出入库录入!AF126*$E124</f>
        <v>0</v>
      </c>
      <c r="AG124" s="133">
        <f>前台增值物品出入库录入!AG126*$E124</f>
        <v>0</v>
      </c>
      <c r="AH124" s="133">
        <f>前台增值物品出入库录入!AH126*$E124</f>
        <v>0</v>
      </c>
      <c r="AI124" s="133">
        <f>前台增值物品出入库录入!AI126*$E124</f>
        <v>0</v>
      </c>
      <c r="AJ124" s="133">
        <f>前台增值物品出入库录入!AJ126*$E124</f>
        <v>0</v>
      </c>
      <c r="AK124" s="133">
        <f>前台增值物品出入库录入!AK126*$E124</f>
        <v>0</v>
      </c>
      <c r="AL124" s="133">
        <f>前台增值物品出入库录入!AL126*$E124</f>
        <v>0</v>
      </c>
      <c r="AM124" s="133">
        <f>前台增值物品出入库录入!AM126*$E124</f>
        <v>0</v>
      </c>
      <c r="AN124" s="133">
        <f>前台增值物品出入库录入!AN126*$E124</f>
        <v>0</v>
      </c>
      <c r="AO124" s="133">
        <f>前台增值物品出入库录入!AO126*$E124</f>
        <v>0</v>
      </c>
      <c r="AP124" s="133">
        <f>前台增值物品出入库录入!AP126*$E124</f>
        <v>0</v>
      </c>
      <c r="AQ124" s="133">
        <f>前台增值物品出入库录入!AQ126*$E124</f>
        <v>0</v>
      </c>
      <c r="AR124" s="133">
        <f>前台增值物品出入库录入!AR126*$E124</f>
        <v>0</v>
      </c>
      <c r="AS124" s="133">
        <f>前台增值物品出入库录入!AS126*$E124</f>
        <v>0</v>
      </c>
      <c r="AT124" s="133">
        <f>前台增值物品出入库录入!AT126*$E124</f>
        <v>0</v>
      </c>
      <c r="AU124" s="133">
        <f>前台增值物品出入库录入!AU126*$E124</f>
        <v>0</v>
      </c>
      <c r="AV124" s="133">
        <f>前台增值物品出入库录入!AV126*$E124</f>
        <v>0</v>
      </c>
      <c r="AW124" s="133">
        <f>前台增值物品出入库录入!AW126*$E124</f>
        <v>0</v>
      </c>
      <c r="AX124" s="133">
        <f>前台增值物品出入库录入!AX126*$E124</f>
        <v>0</v>
      </c>
      <c r="AY124" s="133">
        <f>前台增值物品出入库录入!AY126*$E124</f>
        <v>6</v>
      </c>
      <c r="AZ124" s="133">
        <f>前台增值物品出入库录入!AZ126*$E124</f>
        <v>0</v>
      </c>
      <c r="BA124" s="133">
        <f>前台增值物品出入库录入!BA126*$E124</f>
        <v>0</v>
      </c>
      <c r="BB124" s="133">
        <f>前台增值物品出入库录入!BB126*$E124</f>
        <v>0</v>
      </c>
      <c r="BC124" s="133">
        <f>前台增值物品出入库录入!BC126*$E124</f>
        <v>0</v>
      </c>
      <c r="BD124" s="133">
        <f>前台增值物品出入库录入!BD126*$E124</f>
        <v>0</v>
      </c>
      <c r="BE124" s="133">
        <f>前台增值物品出入库录入!BE126*$E124</f>
        <v>0</v>
      </c>
      <c r="BF124" s="133">
        <f>前台增值物品出入库录入!BF126*$E124</f>
        <v>0</v>
      </c>
      <c r="BG124" s="133">
        <f>前台增值物品出入库录入!BG126*$E124</f>
        <v>6</v>
      </c>
      <c r="BH124" s="133">
        <f>前台增值物品出入库录入!BH126*$E124</f>
        <v>0</v>
      </c>
      <c r="BI124" s="133">
        <f>前台增值物品出入库录入!BI126*$E124</f>
        <v>0</v>
      </c>
      <c r="BJ124" s="133">
        <f>前台增值物品出入库录入!BJ126*$E124</f>
        <v>0</v>
      </c>
      <c r="BK124" s="133">
        <f>前台增值物品出入库录入!BK126*$E124</f>
        <v>0</v>
      </c>
      <c r="BL124" s="133">
        <f>前台增值物品出入库录入!BL126*$E124</f>
        <v>0</v>
      </c>
      <c r="BM124" s="133">
        <f>前台增值物品出入库录入!BM126*$E124</f>
        <v>1.2</v>
      </c>
      <c r="BN124" s="133">
        <f>前台增值物品出入库录入!BN126*$E124</f>
        <v>0</v>
      </c>
      <c r="BO124" s="133">
        <f>前台增值物品出入库录入!BO126*$E124</f>
        <v>0</v>
      </c>
      <c r="BP124" s="133">
        <f>前台增值物品出入库录入!BP126*$E124</f>
        <v>0</v>
      </c>
      <c r="BQ124" s="133">
        <f>前台增值物品出入库录入!BQ126*$E124</f>
        <v>0</v>
      </c>
      <c r="BR124" s="133">
        <f>前台增值物品出入库录入!BR126*$E124</f>
        <v>0</v>
      </c>
      <c r="BS124" s="133">
        <f>前台增值物品出入库录入!BS126*$E124</f>
        <v>0</v>
      </c>
      <c r="BT124" s="133">
        <f>前台增值物品出入库录入!BT126*$E124</f>
        <v>0</v>
      </c>
      <c r="BU124" s="133">
        <f>前台增值物品出入库录入!BU126*$E124</f>
        <v>0</v>
      </c>
      <c r="BV124" s="133">
        <f>前台增值物品出入库录入!BV126*$E124</f>
        <v>0</v>
      </c>
      <c r="BW124" s="133">
        <f>前台增值物品出入库录入!BW126*$E124</f>
        <v>0</v>
      </c>
    </row>
    <row r="125" ht="16.5" spans="1:75">
      <c r="A125" s="161">
        <v>130</v>
      </c>
      <c r="B125" s="162" t="str">
        <f>前台增值物品出入库录入!B127</f>
        <v>漱口水</v>
      </c>
      <c r="C125" s="162">
        <f>前台增值物品出入库录入!C127</f>
        <v>0</v>
      </c>
      <c r="D125" s="162" t="str">
        <f>前台增值物品出入库录入!D127</f>
        <v>个</v>
      </c>
      <c r="E125" s="162">
        <f>前台增值物品出入库录入!E127</f>
        <v>0.322</v>
      </c>
      <c r="F125" s="162">
        <f>前台增值物品出入库录入!F127</f>
        <v>540</v>
      </c>
      <c r="G125" s="162">
        <f>前台增值物品出入库录入!G127</f>
        <v>173.88</v>
      </c>
      <c r="H125" s="162">
        <f>前台增值物品出入库录入!H127</f>
        <v>0</v>
      </c>
      <c r="I125" s="162">
        <f>前台增值物品出入库录入!I127</f>
        <v>0</v>
      </c>
      <c r="J125" s="162">
        <f>前台增值物品出入库录入!J127</f>
        <v>209</v>
      </c>
      <c r="K125" s="162">
        <f>前台增值物品出入库录入!K127</f>
        <v>67.298</v>
      </c>
      <c r="L125" s="162">
        <f>前台增值物品出入库录入!L127</f>
        <v>331</v>
      </c>
      <c r="M125" s="162">
        <f>前台增值物品出入库录入!M127</f>
        <v>106.582</v>
      </c>
      <c r="N125" s="133">
        <f>前台增值物品出入库录入!N127*$E125</f>
        <v>0</v>
      </c>
      <c r="O125" s="133">
        <f>前台增值物品出入库录入!O127*$E125</f>
        <v>0</v>
      </c>
      <c r="P125" s="133">
        <f>前台增值物品出入库录入!P127*$E125</f>
        <v>0</v>
      </c>
      <c r="Q125" s="133">
        <f>前台增值物品出入库录入!Q127*$E125</f>
        <v>12.88</v>
      </c>
      <c r="R125" s="133">
        <f>前台增值物品出入库录入!R127*$E125</f>
        <v>0</v>
      </c>
      <c r="S125" s="133">
        <f>前台增值物品出入库录入!S127*$E125</f>
        <v>3.22</v>
      </c>
      <c r="T125" s="133">
        <f>前台增值物品出入库录入!T127*$E125</f>
        <v>0</v>
      </c>
      <c r="U125" s="133">
        <f>前台增值物品出入库录入!U127*$E125</f>
        <v>6.44</v>
      </c>
      <c r="V125" s="133">
        <f>前台增值物品出入库录入!V127*$E125</f>
        <v>0</v>
      </c>
      <c r="W125" s="133">
        <f>前台增值物品出入库录入!W127*$E125</f>
        <v>6.44</v>
      </c>
      <c r="X125" s="133">
        <f>前台增值物品出入库录入!X127*$E125</f>
        <v>0</v>
      </c>
      <c r="Y125" s="133">
        <f>前台增值物品出入库录入!Y127*$E125</f>
        <v>0</v>
      </c>
      <c r="Z125" s="133">
        <f>前台增值物品出入库录入!Z127*$E125</f>
        <v>0</v>
      </c>
      <c r="AA125" s="133">
        <f>前台增值物品出入库录入!AA127*$E125</f>
        <v>6.44</v>
      </c>
      <c r="AB125" s="133">
        <f>前台增值物品出入库录入!AB127*$E125</f>
        <v>0</v>
      </c>
      <c r="AC125" s="133">
        <f>前台增值物品出入库录入!AC127*$E125</f>
        <v>1.61</v>
      </c>
      <c r="AD125" s="133">
        <f>前台增值物品出入库录入!AD127*$E125</f>
        <v>0</v>
      </c>
      <c r="AE125" s="133">
        <f>前台增值物品出入库录入!AE127*$E125</f>
        <v>1.932</v>
      </c>
      <c r="AF125" s="133">
        <f>前台增值物品出入库录入!AF127*$E125</f>
        <v>0</v>
      </c>
      <c r="AG125" s="133">
        <f>前台增值物品出入库录入!AG127*$E125</f>
        <v>3.22</v>
      </c>
      <c r="AH125" s="133">
        <f>前台增值物品出入库录入!AH127*$E125</f>
        <v>0</v>
      </c>
      <c r="AI125" s="133">
        <f>前台增值物品出入库录入!AI127*$E125</f>
        <v>1.61</v>
      </c>
      <c r="AJ125" s="133">
        <f>前台增值物品出入库录入!AJ127*$E125</f>
        <v>0</v>
      </c>
      <c r="AK125" s="133">
        <f>前台增值物品出入库录入!AK127*$E125</f>
        <v>3.22</v>
      </c>
      <c r="AL125" s="133">
        <f>前台增值物品出入库录入!AL127*$E125</f>
        <v>0</v>
      </c>
      <c r="AM125" s="133">
        <f>前台增值物品出入库录入!AM127*$E125</f>
        <v>1.932</v>
      </c>
      <c r="AN125" s="133">
        <f>前台增值物品出入库录入!AN127*$E125</f>
        <v>0</v>
      </c>
      <c r="AO125" s="133">
        <f>前台增值物品出入库录入!AO127*$E125</f>
        <v>2.254</v>
      </c>
      <c r="AP125" s="133">
        <f>前台增值物品出入库录入!AP127*$E125</f>
        <v>0</v>
      </c>
      <c r="AQ125" s="133">
        <f>前台增值物品出入库录入!AQ127*$E125</f>
        <v>1.61</v>
      </c>
      <c r="AR125" s="133">
        <f>前台增值物品出入库录入!AR127*$E125</f>
        <v>0</v>
      </c>
      <c r="AS125" s="133">
        <f>前台增值物品出入库录入!AS127*$E125</f>
        <v>3.22</v>
      </c>
      <c r="AT125" s="133">
        <f>前台增值物品出入库录入!AT127*$E125</f>
        <v>0</v>
      </c>
      <c r="AU125" s="133">
        <f>前台增值物品出入库录入!AU127*$E125</f>
        <v>0</v>
      </c>
      <c r="AV125" s="133">
        <f>前台增值物品出入库录入!AV127*$E125</f>
        <v>0</v>
      </c>
      <c r="AW125" s="133">
        <f>前台增值物品出入库录入!AW127*$E125</f>
        <v>0</v>
      </c>
      <c r="AX125" s="133">
        <f>前台增值物品出入库录入!AX127*$E125</f>
        <v>0</v>
      </c>
      <c r="AY125" s="133">
        <f>前台增值物品出入库录入!AY127*$E125</f>
        <v>3.22</v>
      </c>
      <c r="AZ125" s="133">
        <f>前台增值物品出入库录入!AZ127*$E125</f>
        <v>0</v>
      </c>
      <c r="BA125" s="133">
        <f>前台增值物品出入库录入!BA127*$E125</f>
        <v>3.22</v>
      </c>
      <c r="BB125" s="133">
        <f>前台增值物品出入库录入!BB127*$E125</f>
        <v>0</v>
      </c>
      <c r="BC125" s="133">
        <f>前台增值物品出入库录入!BC127*$E125</f>
        <v>1.61</v>
      </c>
      <c r="BD125" s="133">
        <f>前台增值物品出入库录入!BD127*$E125</f>
        <v>0</v>
      </c>
      <c r="BE125" s="133">
        <f>前台增值物品出入库录入!BE127*$E125</f>
        <v>1.61</v>
      </c>
      <c r="BF125" s="133">
        <f>前台增值物品出入库录入!BF127*$E125</f>
        <v>0</v>
      </c>
      <c r="BG125" s="133">
        <f>前台增值物品出入库录入!BG127*$E125</f>
        <v>1.61</v>
      </c>
      <c r="BH125" s="133">
        <f>前台增值物品出入库录入!BH127*$E125</f>
        <v>0</v>
      </c>
      <c r="BI125" s="133">
        <f>前台增值物品出入库录入!BI127*$E125</f>
        <v>0</v>
      </c>
      <c r="BJ125" s="133">
        <f>前台增值物品出入库录入!BJ127*$E125</f>
        <v>0</v>
      </c>
      <c r="BK125" s="133">
        <f>前台增值物品出入库录入!BK127*$E125</f>
        <v>0</v>
      </c>
      <c r="BL125" s="133">
        <f>前台增值物品出入库录入!BL127*$E125</f>
        <v>0</v>
      </c>
      <c r="BM125" s="133">
        <f>前台增值物品出入库录入!BM127*$E125</f>
        <v>0</v>
      </c>
      <c r="BN125" s="133">
        <f>前台增值物品出入库录入!BN127*$E125</f>
        <v>0</v>
      </c>
      <c r="BO125" s="133">
        <f>前台增值物品出入库录入!BO127*$E125</f>
        <v>0</v>
      </c>
      <c r="BP125" s="133">
        <f>前台增值物品出入库录入!BP127*$E125</f>
        <v>0</v>
      </c>
      <c r="BQ125" s="133">
        <f>前台增值物品出入库录入!BQ127*$E125</f>
        <v>0</v>
      </c>
      <c r="BR125" s="133">
        <f>前台增值物品出入库录入!BR127*$E125</f>
        <v>0</v>
      </c>
      <c r="BS125" s="133">
        <f>前台增值物品出入库录入!BS127*$E125</f>
        <v>0</v>
      </c>
      <c r="BT125" s="133">
        <f>前台增值物品出入库录入!BT127*$E125</f>
        <v>0</v>
      </c>
      <c r="BU125" s="133">
        <f>前台增值物品出入库录入!BU127*$E125</f>
        <v>0</v>
      </c>
      <c r="BV125" s="133">
        <f>前台增值物品出入库录入!BV127*$E125</f>
        <v>0</v>
      </c>
      <c r="BW125" s="133">
        <f>前台增值物品出入库录入!BW127*$E125</f>
        <v>0</v>
      </c>
    </row>
    <row r="126" ht="16.5" spans="1:75">
      <c r="A126" s="161">
        <v>131</v>
      </c>
      <c r="B126" s="162" t="str">
        <f>前台增值物品出入库录入!B128</f>
        <v>胶带切割器</v>
      </c>
      <c r="C126" s="162">
        <f>前台增值物品出入库录入!C128</f>
        <v>0</v>
      </c>
      <c r="D126" s="162" t="str">
        <f>前台增值物品出入库录入!D128</f>
        <v>个</v>
      </c>
      <c r="E126" s="162">
        <f>前台增值物品出入库录入!E128</f>
        <v>16.8</v>
      </c>
      <c r="F126" s="162">
        <f>前台增值物品出入库录入!F128</f>
        <v>1</v>
      </c>
      <c r="G126" s="162">
        <f>前台增值物品出入库录入!G128</f>
        <v>16.8</v>
      </c>
      <c r="H126" s="162">
        <f>前台增值物品出入库录入!H128</f>
        <v>0</v>
      </c>
      <c r="I126" s="162">
        <f>前台增值物品出入库录入!I128</f>
        <v>0</v>
      </c>
      <c r="J126" s="162">
        <f>前台增值物品出入库录入!J128</f>
        <v>0</v>
      </c>
      <c r="K126" s="162">
        <f>前台增值物品出入库录入!K128</f>
        <v>0</v>
      </c>
      <c r="L126" s="162">
        <f>前台增值物品出入库录入!L128</f>
        <v>1</v>
      </c>
      <c r="M126" s="162">
        <f>前台增值物品出入库录入!M128</f>
        <v>16.8</v>
      </c>
      <c r="N126" s="133">
        <f>前台增值物品出入库录入!N128*$E126</f>
        <v>0</v>
      </c>
      <c r="O126" s="133">
        <f>前台增值物品出入库录入!O128*$E126</f>
        <v>0</v>
      </c>
      <c r="P126" s="133">
        <f>前台增值物品出入库录入!P128*$E126</f>
        <v>0</v>
      </c>
      <c r="Q126" s="133">
        <f>前台增值物品出入库录入!Q128*$E126</f>
        <v>0</v>
      </c>
      <c r="R126" s="133">
        <f>前台增值物品出入库录入!R128*$E126</f>
        <v>0</v>
      </c>
      <c r="S126" s="133">
        <f>前台增值物品出入库录入!S128*$E126</f>
        <v>0</v>
      </c>
      <c r="T126" s="133">
        <f>前台增值物品出入库录入!T128*$E126</f>
        <v>0</v>
      </c>
      <c r="U126" s="133">
        <f>前台增值物品出入库录入!U128*$E126</f>
        <v>0</v>
      </c>
      <c r="V126" s="133">
        <f>前台增值物品出入库录入!V128*$E126</f>
        <v>0</v>
      </c>
      <c r="W126" s="133">
        <f>前台增值物品出入库录入!W128*$E126</f>
        <v>0</v>
      </c>
      <c r="X126" s="133">
        <f>前台增值物品出入库录入!X128*$E126</f>
        <v>0</v>
      </c>
      <c r="Y126" s="133">
        <f>前台增值物品出入库录入!Y128*$E126</f>
        <v>0</v>
      </c>
      <c r="Z126" s="133">
        <f>前台增值物品出入库录入!Z128*$E126</f>
        <v>0</v>
      </c>
      <c r="AA126" s="133">
        <f>前台增值物品出入库录入!AA128*$E126</f>
        <v>0</v>
      </c>
      <c r="AB126" s="133">
        <f>前台增值物品出入库录入!AB128*$E126</f>
        <v>0</v>
      </c>
      <c r="AC126" s="133">
        <f>前台增值物品出入库录入!AC128*$E126</f>
        <v>0</v>
      </c>
      <c r="AD126" s="133">
        <f>前台增值物品出入库录入!AD128*$E126</f>
        <v>0</v>
      </c>
      <c r="AE126" s="133">
        <f>前台增值物品出入库录入!AE128*$E126</f>
        <v>0</v>
      </c>
      <c r="AF126" s="133">
        <f>前台增值物品出入库录入!AF128*$E126</f>
        <v>0</v>
      </c>
      <c r="AG126" s="133">
        <f>前台增值物品出入库录入!AG128*$E126</f>
        <v>0</v>
      </c>
      <c r="AH126" s="133">
        <f>前台增值物品出入库录入!AH128*$E126</f>
        <v>0</v>
      </c>
      <c r="AI126" s="133">
        <f>前台增值物品出入库录入!AI128*$E126</f>
        <v>0</v>
      </c>
      <c r="AJ126" s="133">
        <f>前台增值物品出入库录入!AJ128*$E126</f>
        <v>0</v>
      </c>
      <c r="AK126" s="133">
        <f>前台增值物品出入库录入!AK128*$E126</f>
        <v>0</v>
      </c>
      <c r="AL126" s="133">
        <f>前台增值物品出入库录入!AL128*$E126</f>
        <v>0</v>
      </c>
      <c r="AM126" s="133">
        <f>前台增值物品出入库录入!AM128*$E126</f>
        <v>0</v>
      </c>
      <c r="AN126" s="133">
        <f>前台增值物品出入库录入!AN128*$E126</f>
        <v>0</v>
      </c>
      <c r="AO126" s="133">
        <f>前台增值物品出入库录入!AO128*$E126</f>
        <v>0</v>
      </c>
      <c r="AP126" s="133">
        <f>前台增值物品出入库录入!AP128*$E126</f>
        <v>0</v>
      </c>
      <c r="AQ126" s="133">
        <f>前台增值物品出入库录入!AQ128*$E126</f>
        <v>0</v>
      </c>
      <c r="AR126" s="133">
        <f>前台增值物品出入库录入!AR128*$E126</f>
        <v>0</v>
      </c>
      <c r="AS126" s="133">
        <f>前台增值物品出入库录入!AS128*$E126</f>
        <v>0</v>
      </c>
      <c r="AT126" s="133">
        <f>前台增值物品出入库录入!AT128*$E126</f>
        <v>0</v>
      </c>
      <c r="AU126" s="133">
        <f>前台增值物品出入库录入!AU128*$E126</f>
        <v>0</v>
      </c>
      <c r="AV126" s="133">
        <f>前台增值物品出入库录入!AV128*$E126</f>
        <v>0</v>
      </c>
      <c r="AW126" s="133">
        <f>前台增值物品出入库录入!AW128*$E126</f>
        <v>0</v>
      </c>
      <c r="AX126" s="133">
        <f>前台增值物品出入库录入!AX128*$E126</f>
        <v>0</v>
      </c>
      <c r="AY126" s="133">
        <f>前台增值物品出入库录入!AY128*$E126</f>
        <v>0</v>
      </c>
      <c r="AZ126" s="133">
        <f>前台增值物品出入库录入!AZ128*$E126</f>
        <v>0</v>
      </c>
      <c r="BA126" s="133">
        <f>前台增值物品出入库录入!BA128*$E126</f>
        <v>0</v>
      </c>
      <c r="BB126" s="133">
        <f>前台增值物品出入库录入!BB128*$E126</f>
        <v>0</v>
      </c>
      <c r="BC126" s="133">
        <f>前台增值物品出入库录入!BC128*$E126</f>
        <v>0</v>
      </c>
      <c r="BD126" s="133">
        <f>前台增值物品出入库录入!BD128*$E126</f>
        <v>0</v>
      </c>
      <c r="BE126" s="133">
        <f>前台增值物品出入库录入!BE128*$E126</f>
        <v>0</v>
      </c>
      <c r="BF126" s="133">
        <f>前台增值物品出入库录入!BF128*$E126</f>
        <v>0</v>
      </c>
      <c r="BG126" s="133">
        <f>前台增值物品出入库录入!BG128*$E126</f>
        <v>0</v>
      </c>
      <c r="BH126" s="133">
        <f>前台增值物品出入库录入!BH128*$E126</f>
        <v>0</v>
      </c>
      <c r="BI126" s="133">
        <f>前台增值物品出入库录入!BI128*$E126</f>
        <v>0</v>
      </c>
      <c r="BJ126" s="133">
        <f>前台增值物品出入库录入!BJ128*$E126</f>
        <v>0</v>
      </c>
      <c r="BK126" s="133">
        <f>前台增值物品出入库录入!BK128*$E126</f>
        <v>0</v>
      </c>
      <c r="BL126" s="133">
        <f>前台增值物品出入库录入!BL128*$E126</f>
        <v>0</v>
      </c>
      <c r="BM126" s="133">
        <f>前台增值物品出入库录入!BM128*$E126</f>
        <v>0</v>
      </c>
      <c r="BN126" s="133">
        <f>前台增值物品出入库录入!BN128*$E126</f>
        <v>0</v>
      </c>
      <c r="BO126" s="133">
        <f>前台增值物品出入库录入!BO128*$E126</f>
        <v>0</v>
      </c>
      <c r="BP126" s="133">
        <f>前台增值物品出入库录入!BP128*$E126</f>
        <v>0</v>
      </c>
      <c r="BQ126" s="133">
        <f>前台增值物品出入库录入!BQ128*$E126</f>
        <v>0</v>
      </c>
      <c r="BR126" s="133">
        <f>前台增值物品出入库录入!BR128*$E126</f>
        <v>0</v>
      </c>
      <c r="BS126" s="133">
        <f>前台增值物品出入库录入!BS128*$E126</f>
        <v>0</v>
      </c>
      <c r="BT126" s="133">
        <f>前台增值物品出入库录入!BT128*$E126</f>
        <v>0</v>
      </c>
      <c r="BU126" s="133">
        <f>前台增值物品出入库录入!BU128*$E126</f>
        <v>0</v>
      </c>
      <c r="BV126" s="133">
        <f>前台增值物品出入库录入!BV128*$E126</f>
        <v>0</v>
      </c>
      <c r="BW126" s="133">
        <f>前台增值物品出入库录入!BW128*$E126</f>
        <v>0</v>
      </c>
    </row>
    <row r="127" ht="16.5" spans="1:75">
      <c r="A127" s="161">
        <v>132</v>
      </c>
      <c r="B127" s="162" t="str">
        <f>前台增值物品出入库录入!B129</f>
        <v>蒸汽眼罩</v>
      </c>
      <c r="C127" s="162">
        <f>前台增值物品出入库录入!C129</f>
        <v>0</v>
      </c>
      <c r="D127" s="162" t="str">
        <f>前台增值物品出入库录入!D129</f>
        <v>个</v>
      </c>
      <c r="E127" s="162">
        <f>前台增值物品出入库录入!E129</f>
        <v>0.3037</v>
      </c>
      <c r="F127" s="162">
        <f>前台增值物品出入库录入!F129</f>
        <v>11</v>
      </c>
      <c r="G127" s="162">
        <f>前台增值物品出入库录入!G129</f>
        <v>3.3407</v>
      </c>
      <c r="H127" s="162">
        <f>前台增值物品出入库录入!H129</f>
        <v>0</v>
      </c>
      <c r="I127" s="162">
        <f>前台增值物品出入库录入!I129</f>
        <v>0</v>
      </c>
      <c r="J127" s="162">
        <f>前台增值物品出入库录入!J129</f>
        <v>11</v>
      </c>
      <c r="K127" s="162">
        <f>前台增值物品出入库录入!K129</f>
        <v>3.3407</v>
      </c>
      <c r="L127" s="162">
        <f>前台增值物品出入库录入!L129</f>
        <v>0</v>
      </c>
      <c r="M127" s="162">
        <f>前台增值物品出入库录入!M129</f>
        <v>0</v>
      </c>
      <c r="N127" s="133">
        <f>前台增值物品出入库录入!N129*$E127</f>
        <v>0</v>
      </c>
      <c r="O127" s="133">
        <f>前台增值物品出入库录入!O129*$E127</f>
        <v>0</v>
      </c>
      <c r="P127" s="133">
        <f>前台增值物品出入库录入!P129*$E127</f>
        <v>0</v>
      </c>
      <c r="Q127" s="133">
        <f>前台增值物品出入库录入!Q129*$E127</f>
        <v>0</v>
      </c>
      <c r="R127" s="133">
        <f>前台增值物品出入库录入!R129*$E127</f>
        <v>0</v>
      </c>
      <c r="S127" s="133">
        <f>前台增值物品出入库录入!S129*$E127</f>
        <v>0</v>
      </c>
      <c r="T127" s="133">
        <f>前台增值物品出入库录入!T129*$E127</f>
        <v>0</v>
      </c>
      <c r="U127" s="133">
        <f>前台增值物品出入库录入!U129*$E127</f>
        <v>0</v>
      </c>
      <c r="V127" s="133">
        <f>前台增值物品出入库录入!V129*$E127</f>
        <v>0</v>
      </c>
      <c r="W127" s="133">
        <f>前台增值物品出入库录入!W129*$E127</f>
        <v>0</v>
      </c>
      <c r="X127" s="133">
        <f>前台增值物品出入库录入!X129*$E127</f>
        <v>0</v>
      </c>
      <c r="Y127" s="133">
        <f>前台增值物品出入库录入!Y129*$E127</f>
        <v>0</v>
      </c>
      <c r="Z127" s="133">
        <f>前台增值物品出入库录入!Z129*$E127</f>
        <v>0</v>
      </c>
      <c r="AA127" s="133">
        <f>前台增值物品出入库录入!AA129*$E127</f>
        <v>3.3407</v>
      </c>
      <c r="AB127" s="133">
        <f>前台增值物品出入库录入!AB129*$E127</f>
        <v>0</v>
      </c>
      <c r="AC127" s="133">
        <f>前台增值物品出入库录入!AC129*$E127</f>
        <v>0</v>
      </c>
      <c r="AD127" s="133">
        <f>前台增值物品出入库录入!AD129*$E127</f>
        <v>0</v>
      </c>
      <c r="AE127" s="133">
        <f>前台增值物品出入库录入!AE129*$E127</f>
        <v>0</v>
      </c>
      <c r="AF127" s="133">
        <f>前台增值物品出入库录入!AF129*$E127</f>
        <v>0</v>
      </c>
      <c r="AG127" s="133">
        <f>前台增值物品出入库录入!AG129*$E127</f>
        <v>0</v>
      </c>
      <c r="AH127" s="133">
        <f>前台增值物品出入库录入!AH129*$E127</f>
        <v>0</v>
      </c>
      <c r="AI127" s="133">
        <f>前台增值物品出入库录入!AI129*$E127</f>
        <v>0</v>
      </c>
      <c r="AJ127" s="133">
        <f>前台增值物品出入库录入!AJ129*$E127</f>
        <v>0</v>
      </c>
      <c r="AK127" s="133">
        <f>前台增值物品出入库录入!AK129*$E127</f>
        <v>0</v>
      </c>
      <c r="AL127" s="133">
        <f>前台增值物品出入库录入!AL129*$E127</f>
        <v>0</v>
      </c>
      <c r="AM127" s="133">
        <f>前台增值物品出入库录入!AM129*$E127</f>
        <v>0</v>
      </c>
      <c r="AN127" s="133">
        <f>前台增值物品出入库录入!AN129*$E127</f>
        <v>0</v>
      </c>
      <c r="AO127" s="133">
        <f>前台增值物品出入库录入!AO129*$E127</f>
        <v>0</v>
      </c>
      <c r="AP127" s="133">
        <f>前台增值物品出入库录入!AP129*$E127</f>
        <v>0</v>
      </c>
      <c r="AQ127" s="133">
        <f>前台增值物品出入库录入!AQ129*$E127</f>
        <v>0</v>
      </c>
      <c r="AR127" s="133">
        <f>前台增值物品出入库录入!AR129*$E127</f>
        <v>0</v>
      </c>
      <c r="AS127" s="133">
        <f>前台增值物品出入库录入!AS129*$E127</f>
        <v>0</v>
      </c>
      <c r="AT127" s="133">
        <f>前台增值物品出入库录入!AT129*$E127</f>
        <v>0</v>
      </c>
      <c r="AU127" s="133">
        <f>前台增值物品出入库录入!AU129*$E127</f>
        <v>0</v>
      </c>
      <c r="AV127" s="133">
        <f>前台增值物品出入库录入!AV129*$E127</f>
        <v>0</v>
      </c>
      <c r="AW127" s="133">
        <f>前台增值物品出入库录入!AW129*$E127</f>
        <v>0</v>
      </c>
      <c r="AX127" s="133">
        <f>前台增值物品出入库录入!AX129*$E127</f>
        <v>0</v>
      </c>
      <c r="AY127" s="133">
        <f>前台增值物品出入库录入!AY129*$E127</f>
        <v>0</v>
      </c>
      <c r="AZ127" s="133">
        <f>前台增值物品出入库录入!AZ129*$E127</f>
        <v>0</v>
      </c>
      <c r="BA127" s="133">
        <f>前台增值物品出入库录入!BA129*$E127</f>
        <v>0</v>
      </c>
      <c r="BB127" s="133">
        <f>前台增值物品出入库录入!BB129*$E127</f>
        <v>0</v>
      </c>
      <c r="BC127" s="133">
        <f>前台增值物品出入库录入!BC129*$E127</f>
        <v>0</v>
      </c>
      <c r="BD127" s="133">
        <f>前台增值物品出入库录入!BD129*$E127</f>
        <v>0</v>
      </c>
      <c r="BE127" s="133">
        <f>前台增值物品出入库录入!BE129*$E127</f>
        <v>0</v>
      </c>
      <c r="BF127" s="133">
        <f>前台增值物品出入库录入!BF129*$E127</f>
        <v>0</v>
      </c>
      <c r="BG127" s="133">
        <f>前台增值物品出入库录入!BG129*$E127</f>
        <v>0</v>
      </c>
      <c r="BH127" s="133">
        <f>前台增值物品出入库录入!BH129*$E127</f>
        <v>0</v>
      </c>
      <c r="BI127" s="133">
        <f>前台增值物品出入库录入!BI129*$E127</f>
        <v>0</v>
      </c>
      <c r="BJ127" s="133">
        <f>前台增值物品出入库录入!BJ129*$E127</f>
        <v>0</v>
      </c>
      <c r="BK127" s="133">
        <f>前台增值物品出入库录入!BK129*$E127</f>
        <v>0</v>
      </c>
      <c r="BL127" s="133">
        <f>前台增值物品出入库录入!BL129*$E127</f>
        <v>0</v>
      </c>
      <c r="BM127" s="133">
        <f>前台增值物品出入库录入!BM129*$E127</f>
        <v>0</v>
      </c>
      <c r="BN127" s="133">
        <f>前台增值物品出入库录入!BN129*$E127</f>
        <v>0</v>
      </c>
      <c r="BO127" s="133">
        <f>前台增值物品出入库录入!BO129*$E127</f>
        <v>0</v>
      </c>
      <c r="BP127" s="133">
        <f>前台增值物品出入库录入!BP129*$E127</f>
        <v>0</v>
      </c>
      <c r="BQ127" s="133">
        <f>前台增值物品出入库录入!BQ129*$E127</f>
        <v>0</v>
      </c>
      <c r="BR127" s="133">
        <f>前台增值物品出入库录入!BR129*$E127</f>
        <v>0</v>
      </c>
      <c r="BS127" s="133">
        <f>前台增值物品出入库录入!BS129*$E127</f>
        <v>0</v>
      </c>
      <c r="BT127" s="133">
        <f>前台增值物品出入库录入!BT129*$E127</f>
        <v>0</v>
      </c>
      <c r="BU127" s="133">
        <f>前台增值物品出入库录入!BU129*$E127</f>
        <v>0</v>
      </c>
      <c r="BV127" s="133">
        <f>前台增值物品出入库录入!BV129*$E127</f>
        <v>0</v>
      </c>
      <c r="BW127" s="133">
        <f>前台增值物品出入库录入!BW129*$E127</f>
        <v>0</v>
      </c>
    </row>
    <row r="128" ht="16.5" spans="1:75">
      <c r="A128" s="161">
        <v>133</v>
      </c>
      <c r="B128" s="162" t="str">
        <f>前台增值物品出入库录入!B130</f>
        <v>纸杯</v>
      </c>
      <c r="C128" s="162">
        <f>前台增值物品出入库录入!C130</f>
        <v>0</v>
      </c>
      <c r="D128" s="162" t="str">
        <f>前台增值物品出入库录入!D130</f>
        <v>个</v>
      </c>
      <c r="E128" s="162">
        <f>前台增值物品出入库录入!E130</f>
        <v>0.258</v>
      </c>
      <c r="F128" s="162">
        <f>前台增值物品出入库录入!F130</f>
        <v>0</v>
      </c>
      <c r="G128" s="162">
        <f>前台增值物品出入库录入!G130</f>
        <v>0</v>
      </c>
      <c r="H128" s="162">
        <f>前台增值物品出入库录入!H130</f>
        <v>0</v>
      </c>
      <c r="I128" s="162">
        <f>前台增值物品出入库录入!I130</f>
        <v>0</v>
      </c>
      <c r="J128" s="162">
        <f>前台增值物品出入库录入!J130</f>
        <v>0</v>
      </c>
      <c r="K128" s="162">
        <f>前台增值物品出入库录入!K130</f>
        <v>0</v>
      </c>
      <c r="L128" s="162">
        <f>前台增值物品出入库录入!L130</f>
        <v>0</v>
      </c>
      <c r="M128" s="162">
        <f>前台增值物品出入库录入!M130</f>
        <v>0</v>
      </c>
      <c r="N128" s="133">
        <f>前台增值物品出入库录入!N130*$E128</f>
        <v>0</v>
      </c>
      <c r="O128" s="133">
        <f>前台增值物品出入库录入!O130*$E128</f>
        <v>0</v>
      </c>
      <c r="P128" s="133">
        <f>前台增值物品出入库录入!P130*$E128</f>
        <v>0</v>
      </c>
      <c r="Q128" s="133">
        <f>前台增值物品出入库录入!Q130*$E128</f>
        <v>0</v>
      </c>
      <c r="R128" s="133">
        <f>前台增值物品出入库录入!R130*$E128</f>
        <v>0</v>
      </c>
      <c r="S128" s="133">
        <f>前台增值物品出入库录入!S130*$E128</f>
        <v>0</v>
      </c>
      <c r="T128" s="133">
        <f>前台增值物品出入库录入!T130*$E128</f>
        <v>0</v>
      </c>
      <c r="U128" s="133">
        <f>前台增值物品出入库录入!U130*$E128</f>
        <v>0</v>
      </c>
      <c r="V128" s="133">
        <f>前台增值物品出入库录入!V130*$E128</f>
        <v>0</v>
      </c>
      <c r="W128" s="133">
        <f>前台增值物品出入库录入!W130*$E128</f>
        <v>0</v>
      </c>
      <c r="X128" s="133">
        <f>前台增值物品出入库录入!X130*$E128</f>
        <v>0</v>
      </c>
      <c r="Y128" s="133">
        <f>前台增值物品出入库录入!Y130*$E128</f>
        <v>0</v>
      </c>
      <c r="Z128" s="133">
        <f>前台增值物品出入库录入!Z130*$E128</f>
        <v>0</v>
      </c>
      <c r="AA128" s="133">
        <f>前台增值物品出入库录入!AA130*$E128</f>
        <v>0</v>
      </c>
      <c r="AB128" s="133">
        <f>前台增值物品出入库录入!AB130*$E128</f>
        <v>0</v>
      </c>
      <c r="AC128" s="133">
        <f>前台增值物品出入库录入!AC130*$E128</f>
        <v>0</v>
      </c>
      <c r="AD128" s="133">
        <f>前台增值物品出入库录入!AD130*$E128</f>
        <v>0</v>
      </c>
      <c r="AE128" s="133">
        <f>前台增值物品出入库录入!AE130*$E128</f>
        <v>0</v>
      </c>
      <c r="AF128" s="133">
        <f>前台增值物品出入库录入!AF130*$E128</f>
        <v>0</v>
      </c>
      <c r="AG128" s="133">
        <f>前台增值物品出入库录入!AG130*$E128</f>
        <v>0</v>
      </c>
      <c r="AH128" s="133">
        <f>前台增值物品出入库录入!AH130*$E128</f>
        <v>0</v>
      </c>
      <c r="AI128" s="133">
        <f>前台增值物品出入库录入!AI130*$E128</f>
        <v>0</v>
      </c>
      <c r="AJ128" s="133">
        <f>前台增值物品出入库录入!AJ130*$E128</f>
        <v>0</v>
      </c>
      <c r="AK128" s="133">
        <f>前台增值物品出入库录入!AK130*$E128</f>
        <v>0</v>
      </c>
      <c r="AL128" s="133">
        <f>前台增值物品出入库录入!AL130*$E128</f>
        <v>0</v>
      </c>
      <c r="AM128" s="133">
        <f>前台增值物品出入库录入!AM130*$E128</f>
        <v>0</v>
      </c>
      <c r="AN128" s="133">
        <f>前台增值物品出入库录入!AN130*$E128</f>
        <v>0</v>
      </c>
      <c r="AO128" s="133">
        <f>前台增值物品出入库录入!AO130*$E128</f>
        <v>0</v>
      </c>
      <c r="AP128" s="133">
        <f>前台增值物品出入库录入!AP130*$E128</f>
        <v>0</v>
      </c>
      <c r="AQ128" s="133">
        <f>前台增值物品出入库录入!AQ130*$E128</f>
        <v>0</v>
      </c>
      <c r="AR128" s="133">
        <f>前台增值物品出入库录入!AR130*$E128</f>
        <v>0</v>
      </c>
      <c r="AS128" s="133">
        <f>前台增值物品出入库录入!AS130*$E128</f>
        <v>0</v>
      </c>
      <c r="AT128" s="133">
        <f>前台增值物品出入库录入!AT130*$E128</f>
        <v>0</v>
      </c>
      <c r="AU128" s="133">
        <f>前台增值物品出入库录入!AU130*$E128</f>
        <v>0</v>
      </c>
      <c r="AV128" s="133">
        <f>前台增值物品出入库录入!AV130*$E128</f>
        <v>0</v>
      </c>
      <c r="AW128" s="133">
        <f>前台增值物品出入库录入!AW130*$E128</f>
        <v>0</v>
      </c>
      <c r="AX128" s="133">
        <f>前台增值物品出入库录入!AX130*$E128</f>
        <v>0</v>
      </c>
      <c r="AY128" s="133">
        <f>前台增值物品出入库录入!AY130*$E128</f>
        <v>0</v>
      </c>
      <c r="AZ128" s="133">
        <f>前台增值物品出入库录入!AZ130*$E128</f>
        <v>0</v>
      </c>
      <c r="BA128" s="133">
        <f>前台增值物品出入库录入!BA130*$E128</f>
        <v>0</v>
      </c>
      <c r="BB128" s="133">
        <f>前台增值物品出入库录入!BB130*$E128</f>
        <v>0</v>
      </c>
      <c r="BC128" s="133">
        <f>前台增值物品出入库录入!BC130*$E128</f>
        <v>0</v>
      </c>
      <c r="BD128" s="133">
        <f>前台增值物品出入库录入!BD130*$E128</f>
        <v>0</v>
      </c>
      <c r="BE128" s="133">
        <f>前台增值物品出入库录入!BE130*$E128</f>
        <v>0</v>
      </c>
      <c r="BF128" s="133">
        <f>前台增值物品出入库录入!BF130*$E128</f>
        <v>0</v>
      </c>
      <c r="BG128" s="133">
        <f>前台增值物品出入库录入!BG130*$E128</f>
        <v>0</v>
      </c>
      <c r="BH128" s="133">
        <f>前台增值物品出入库录入!BH130*$E128</f>
        <v>0</v>
      </c>
      <c r="BI128" s="133">
        <f>前台增值物品出入库录入!BI130*$E128</f>
        <v>0</v>
      </c>
      <c r="BJ128" s="133">
        <f>前台增值物品出入库录入!BJ130*$E128</f>
        <v>0</v>
      </c>
      <c r="BK128" s="133">
        <f>前台增值物品出入库录入!BK130*$E128</f>
        <v>0</v>
      </c>
      <c r="BL128" s="133">
        <f>前台增值物品出入库录入!BL130*$E128</f>
        <v>0</v>
      </c>
      <c r="BM128" s="133">
        <f>前台增值物品出入库录入!BM130*$E128</f>
        <v>0</v>
      </c>
      <c r="BN128" s="133">
        <f>前台增值物品出入库录入!BN130*$E128</f>
        <v>0</v>
      </c>
      <c r="BO128" s="133">
        <f>前台增值物品出入库录入!BO130*$E128</f>
        <v>0</v>
      </c>
      <c r="BP128" s="133">
        <f>前台增值物品出入库录入!BP130*$E128</f>
        <v>0</v>
      </c>
      <c r="BQ128" s="133">
        <f>前台增值物品出入库录入!BQ130*$E128</f>
        <v>0</v>
      </c>
      <c r="BR128" s="133">
        <f>前台增值物品出入库录入!BR130*$E128</f>
        <v>0</v>
      </c>
      <c r="BS128" s="133">
        <f>前台增值物品出入库录入!BS130*$E128</f>
        <v>0</v>
      </c>
      <c r="BT128" s="133">
        <f>前台增值物品出入库录入!BT130*$E128</f>
        <v>0</v>
      </c>
      <c r="BU128" s="133">
        <f>前台增值物品出入库录入!BU130*$E128</f>
        <v>0</v>
      </c>
      <c r="BV128" s="133">
        <f>前台增值物品出入库录入!BV130*$E128</f>
        <v>0</v>
      </c>
      <c r="BW128" s="133">
        <f>前台增值物品出入库录入!BW130*$E128</f>
        <v>0</v>
      </c>
    </row>
    <row r="129" ht="16.5" spans="1:75">
      <c r="A129" s="161">
        <v>134</v>
      </c>
      <c r="B129" s="162" t="str">
        <f>前台增值物品出入库录入!B131</f>
        <v>儿童拖鞋</v>
      </c>
      <c r="C129" s="162">
        <f>前台增值物品出入库录入!C131</f>
        <v>0</v>
      </c>
      <c r="D129" s="162" t="str">
        <f>前台增值物品出入库录入!D131</f>
        <v>个</v>
      </c>
      <c r="E129" s="162">
        <f>前台增值物品出入库录入!E131</f>
        <v>1</v>
      </c>
      <c r="F129" s="162">
        <f>前台增值物品出入库录入!F131</f>
        <v>28</v>
      </c>
      <c r="G129" s="162">
        <f>前台增值物品出入库录入!G131</f>
        <v>28</v>
      </c>
      <c r="H129" s="162">
        <f>前台增值物品出入库录入!H131</f>
        <v>0</v>
      </c>
      <c r="I129" s="162">
        <f>前台增值物品出入库录入!I131</f>
        <v>0</v>
      </c>
      <c r="J129" s="162">
        <f>前台增值物品出入库录入!J131</f>
        <v>28</v>
      </c>
      <c r="K129" s="162">
        <f>前台增值物品出入库录入!K131</f>
        <v>28</v>
      </c>
      <c r="L129" s="162">
        <f>前台增值物品出入库录入!L131</f>
        <v>0</v>
      </c>
      <c r="M129" s="162">
        <f>前台增值物品出入库录入!M131</f>
        <v>0</v>
      </c>
      <c r="N129" s="133">
        <f>前台增值物品出入库录入!N131*$E129</f>
        <v>0</v>
      </c>
      <c r="O129" s="133">
        <f>前台增值物品出入库录入!O131*$E129</f>
        <v>0</v>
      </c>
      <c r="P129" s="133">
        <f>前台增值物品出入库录入!P131*$E129</f>
        <v>0</v>
      </c>
      <c r="Q129" s="133">
        <f>前台增值物品出入库录入!Q131*$E129</f>
        <v>0</v>
      </c>
      <c r="R129" s="133">
        <f>前台增值物品出入库录入!R131*$E129</f>
        <v>0</v>
      </c>
      <c r="S129" s="133">
        <f>前台增值物品出入库录入!S131*$E129</f>
        <v>13</v>
      </c>
      <c r="T129" s="133">
        <f>前台增值物品出入库录入!T131*$E129</f>
        <v>0</v>
      </c>
      <c r="U129" s="133">
        <f>前台增值物品出入库录入!U131*$E129</f>
        <v>0</v>
      </c>
      <c r="V129" s="133">
        <f>前台增值物品出入库录入!V131*$E129</f>
        <v>0</v>
      </c>
      <c r="W129" s="133">
        <f>前台增值物品出入库录入!W131*$E129</f>
        <v>0</v>
      </c>
      <c r="X129" s="133">
        <f>前台增值物品出入库录入!X131*$E129</f>
        <v>0</v>
      </c>
      <c r="Y129" s="133">
        <f>前台增值物品出入库录入!Y131*$E129</f>
        <v>0</v>
      </c>
      <c r="Z129" s="133">
        <f>前台增值物品出入库录入!Z131*$E129</f>
        <v>0</v>
      </c>
      <c r="AA129" s="133">
        <f>前台增值物品出入库录入!AA131*$E129</f>
        <v>15</v>
      </c>
      <c r="AB129" s="133">
        <f>前台增值物品出入库录入!AB131*$E129</f>
        <v>0</v>
      </c>
      <c r="AC129" s="133">
        <f>前台增值物品出入库录入!AC131*$E129</f>
        <v>0</v>
      </c>
      <c r="AD129" s="133">
        <f>前台增值物品出入库录入!AD131*$E129</f>
        <v>0</v>
      </c>
      <c r="AE129" s="133">
        <f>前台增值物品出入库录入!AE131*$E129</f>
        <v>0</v>
      </c>
      <c r="AF129" s="133">
        <f>前台增值物品出入库录入!AF131*$E129</f>
        <v>0</v>
      </c>
      <c r="AG129" s="133">
        <f>前台增值物品出入库录入!AG131*$E129</f>
        <v>0</v>
      </c>
      <c r="AH129" s="133">
        <f>前台增值物品出入库录入!AH131*$E129</f>
        <v>0</v>
      </c>
      <c r="AI129" s="133">
        <f>前台增值物品出入库录入!AI131*$E129</f>
        <v>0</v>
      </c>
      <c r="AJ129" s="133">
        <f>前台增值物品出入库录入!AJ131*$E129</f>
        <v>0</v>
      </c>
      <c r="AK129" s="133">
        <f>前台增值物品出入库录入!AK131*$E129</f>
        <v>0</v>
      </c>
      <c r="AL129" s="133">
        <f>前台增值物品出入库录入!AL131*$E129</f>
        <v>0</v>
      </c>
      <c r="AM129" s="133">
        <f>前台增值物品出入库录入!AM131*$E129</f>
        <v>0</v>
      </c>
      <c r="AN129" s="133">
        <f>前台增值物品出入库录入!AN131*$E129</f>
        <v>0</v>
      </c>
      <c r="AO129" s="133">
        <f>前台增值物品出入库录入!AO131*$E129</f>
        <v>0</v>
      </c>
      <c r="AP129" s="133">
        <f>前台增值物品出入库录入!AP131*$E129</f>
        <v>0</v>
      </c>
      <c r="AQ129" s="133">
        <f>前台增值物品出入库录入!AQ131*$E129</f>
        <v>0</v>
      </c>
      <c r="AR129" s="133">
        <f>前台增值物品出入库录入!AR131*$E129</f>
        <v>0</v>
      </c>
      <c r="AS129" s="133">
        <f>前台增值物品出入库录入!AS131*$E129</f>
        <v>0</v>
      </c>
      <c r="AT129" s="133">
        <f>前台增值物品出入库录入!AT131*$E129</f>
        <v>0</v>
      </c>
      <c r="AU129" s="133">
        <f>前台增值物品出入库录入!AU131*$E129</f>
        <v>0</v>
      </c>
      <c r="AV129" s="133">
        <f>前台增值物品出入库录入!AV131*$E129</f>
        <v>0</v>
      </c>
      <c r="AW129" s="133">
        <f>前台增值物品出入库录入!AW131*$E129</f>
        <v>0</v>
      </c>
      <c r="AX129" s="133">
        <f>前台增值物品出入库录入!AX131*$E129</f>
        <v>0</v>
      </c>
      <c r="AY129" s="133">
        <f>前台增值物品出入库录入!AY131*$E129</f>
        <v>0</v>
      </c>
      <c r="AZ129" s="133">
        <f>前台增值物品出入库录入!AZ131*$E129</f>
        <v>0</v>
      </c>
      <c r="BA129" s="133">
        <f>前台增值物品出入库录入!BA131*$E129</f>
        <v>0</v>
      </c>
      <c r="BB129" s="133">
        <f>前台增值物品出入库录入!BB131*$E129</f>
        <v>0</v>
      </c>
      <c r="BC129" s="133">
        <f>前台增值物品出入库录入!BC131*$E129</f>
        <v>0</v>
      </c>
      <c r="BD129" s="133">
        <f>前台增值物品出入库录入!BD131*$E129</f>
        <v>0</v>
      </c>
      <c r="BE129" s="133">
        <f>前台增值物品出入库录入!BE131*$E129</f>
        <v>0</v>
      </c>
      <c r="BF129" s="133">
        <f>前台增值物品出入库录入!BF131*$E129</f>
        <v>0</v>
      </c>
      <c r="BG129" s="133">
        <f>前台增值物品出入库录入!BG131*$E129</f>
        <v>0</v>
      </c>
      <c r="BH129" s="133">
        <f>前台增值物品出入库录入!BH131*$E129</f>
        <v>0</v>
      </c>
      <c r="BI129" s="133">
        <f>前台增值物品出入库录入!BI131*$E129</f>
        <v>0</v>
      </c>
      <c r="BJ129" s="133">
        <f>前台增值物品出入库录入!BJ131*$E129</f>
        <v>0</v>
      </c>
      <c r="BK129" s="133">
        <f>前台增值物品出入库录入!BK131*$E129</f>
        <v>0</v>
      </c>
      <c r="BL129" s="133">
        <f>前台增值物品出入库录入!BL131*$E129</f>
        <v>0</v>
      </c>
      <c r="BM129" s="133">
        <f>前台增值物品出入库录入!BM131*$E129</f>
        <v>0</v>
      </c>
      <c r="BN129" s="133">
        <f>前台增值物品出入库录入!BN131*$E129</f>
        <v>0</v>
      </c>
      <c r="BO129" s="133">
        <f>前台增值物品出入库录入!BO131*$E129</f>
        <v>0</v>
      </c>
      <c r="BP129" s="133">
        <f>前台增值物品出入库录入!BP131*$E129</f>
        <v>0</v>
      </c>
      <c r="BQ129" s="133">
        <f>前台增值物品出入库录入!BQ131*$E129</f>
        <v>0</v>
      </c>
      <c r="BR129" s="133">
        <f>前台增值物品出入库录入!BR131*$E129</f>
        <v>0</v>
      </c>
      <c r="BS129" s="133">
        <f>前台增值物品出入库录入!BS131*$E129</f>
        <v>0</v>
      </c>
      <c r="BT129" s="133">
        <f>前台增值物品出入库录入!BT131*$E129</f>
        <v>0</v>
      </c>
      <c r="BU129" s="133">
        <f>前台增值物品出入库录入!BU131*$E129</f>
        <v>0</v>
      </c>
      <c r="BV129" s="133">
        <f>前台增值物品出入库录入!BV131*$E129</f>
        <v>0</v>
      </c>
      <c r="BW129" s="133">
        <f>前台增值物品出入库录入!BW131*$E129</f>
        <v>0</v>
      </c>
    </row>
    <row r="130" ht="16.5" spans="1:75">
      <c r="A130" s="161">
        <v>135</v>
      </c>
      <c r="B130" s="162" t="str">
        <f>前台增值物品出入库录入!B132</f>
        <v>浴帽</v>
      </c>
      <c r="C130" s="162">
        <f>前台增值物品出入库录入!C132</f>
        <v>0</v>
      </c>
      <c r="D130" s="162" t="str">
        <f>前台增值物品出入库录入!D132</f>
        <v>个</v>
      </c>
      <c r="E130" s="162">
        <f>前台增值物品出入库录入!E132</f>
        <v>0.21</v>
      </c>
      <c r="F130" s="162">
        <f>前台增值物品出入库录入!F132</f>
        <v>34</v>
      </c>
      <c r="G130" s="162">
        <f>前台增值物品出入库录入!G132</f>
        <v>7.14</v>
      </c>
      <c r="H130" s="162">
        <f>前台增值物品出入库录入!H132</f>
        <v>0</v>
      </c>
      <c r="I130" s="162">
        <f>前台增值物品出入库录入!I132</f>
        <v>0</v>
      </c>
      <c r="J130" s="162">
        <f>前台增值物品出入库录入!J132</f>
        <v>20</v>
      </c>
      <c r="K130" s="162">
        <f>前台增值物品出入库录入!K132</f>
        <v>4.2</v>
      </c>
      <c r="L130" s="162">
        <f>前台增值物品出入库录入!L132</f>
        <v>14</v>
      </c>
      <c r="M130" s="162">
        <f>前台增值物品出入库录入!M132</f>
        <v>2.94</v>
      </c>
      <c r="N130" s="133">
        <f>前台增值物品出入库录入!N132*$E130</f>
        <v>0</v>
      </c>
      <c r="O130" s="133">
        <f>前台增值物品出入库录入!O132*$E130</f>
        <v>0</v>
      </c>
      <c r="P130" s="133">
        <f>前台增值物品出入库录入!P132*$E130</f>
        <v>0</v>
      </c>
      <c r="Q130" s="133">
        <f>前台增值物品出入库录入!Q132*$E130</f>
        <v>0</v>
      </c>
      <c r="R130" s="133">
        <f>前台增值物品出入库录入!R132*$E130</f>
        <v>0</v>
      </c>
      <c r="S130" s="133">
        <f>前台增值物品出入库录入!S132*$E130</f>
        <v>0</v>
      </c>
      <c r="T130" s="133">
        <f>前台增值物品出入库录入!T132*$E130</f>
        <v>0</v>
      </c>
      <c r="U130" s="133">
        <f>前台增值物品出入库录入!U132*$E130</f>
        <v>0</v>
      </c>
      <c r="V130" s="133">
        <f>前台增值物品出入库录入!V132*$E130</f>
        <v>0</v>
      </c>
      <c r="W130" s="133">
        <f>前台增值物品出入库录入!W132*$E130</f>
        <v>0</v>
      </c>
      <c r="X130" s="133">
        <f>前台增值物品出入库录入!X132*$E130</f>
        <v>0</v>
      </c>
      <c r="Y130" s="133">
        <f>前台增值物品出入库录入!Y132*$E130</f>
        <v>0</v>
      </c>
      <c r="Z130" s="133">
        <f>前台增值物品出入库录入!Z132*$E130</f>
        <v>0</v>
      </c>
      <c r="AA130" s="133">
        <f>前台增值物品出入库录入!AA132*$E130</f>
        <v>0</v>
      </c>
      <c r="AB130" s="133">
        <f>前台增值物品出入库录入!AB132*$E130</f>
        <v>0</v>
      </c>
      <c r="AC130" s="133">
        <f>前台增值物品出入库录入!AC132*$E130</f>
        <v>0</v>
      </c>
      <c r="AD130" s="133">
        <f>前台增值物品出入库录入!AD132*$E130</f>
        <v>0</v>
      </c>
      <c r="AE130" s="133">
        <f>前台增值物品出入库录入!AE132*$E130</f>
        <v>0</v>
      </c>
      <c r="AF130" s="133">
        <f>前台增值物品出入库录入!AF132*$E130</f>
        <v>0</v>
      </c>
      <c r="AG130" s="133">
        <f>前台增值物品出入库录入!AG132*$E130</f>
        <v>0</v>
      </c>
      <c r="AH130" s="133">
        <f>前台增值物品出入库录入!AH132*$E130</f>
        <v>0</v>
      </c>
      <c r="AI130" s="133">
        <f>前台增值物品出入库录入!AI132*$E130</f>
        <v>0</v>
      </c>
      <c r="AJ130" s="133">
        <f>前台增值物品出入库录入!AJ132*$E130</f>
        <v>0</v>
      </c>
      <c r="AK130" s="133">
        <f>前台增值物品出入库录入!AK132*$E130</f>
        <v>0</v>
      </c>
      <c r="AL130" s="133">
        <f>前台增值物品出入库录入!AL132*$E130</f>
        <v>0</v>
      </c>
      <c r="AM130" s="133">
        <f>前台增值物品出入库录入!AM132*$E130</f>
        <v>0</v>
      </c>
      <c r="AN130" s="133">
        <f>前台增值物品出入库录入!AN132*$E130</f>
        <v>0</v>
      </c>
      <c r="AO130" s="133">
        <f>前台增值物品出入库录入!AO132*$E130</f>
        <v>0</v>
      </c>
      <c r="AP130" s="133">
        <f>前台增值物品出入库录入!AP132*$E130</f>
        <v>0</v>
      </c>
      <c r="AQ130" s="133">
        <f>前台增值物品出入库录入!AQ132*$E130</f>
        <v>0</v>
      </c>
      <c r="AR130" s="133">
        <f>前台增值物品出入库录入!AR132*$E130</f>
        <v>0</v>
      </c>
      <c r="AS130" s="133">
        <f>前台增值物品出入库录入!AS132*$E130</f>
        <v>0</v>
      </c>
      <c r="AT130" s="133">
        <f>前台增值物品出入库录入!AT132*$E130</f>
        <v>0</v>
      </c>
      <c r="AU130" s="133">
        <f>前台增值物品出入库录入!AU132*$E130</f>
        <v>0</v>
      </c>
      <c r="AV130" s="133">
        <f>前台增值物品出入库录入!AV132*$E130</f>
        <v>0</v>
      </c>
      <c r="AW130" s="133">
        <f>前台增值物品出入库录入!AW132*$E130</f>
        <v>0</v>
      </c>
      <c r="AX130" s="133">
        <f>前台增值物品出入库录入!AX132*$E130</f>
        <v>0</v>
      </c>
      <c r="AY130" s="133">
        <f>前台增值物品出入库录入!AY132*$E130</f>
        <v>0</v>
      </c>
      <c r="AZ130" s="133">
        <f>前台增值物品出入库录入!AZ132*$E130</f>
        <v>0</v>
      </c>
      <c r="BA130" s="133">
        <f>前台增值物品出入库录入!BA132*$E130</f>
        <v>0</v>
      </c>
      <c r="BB130" s="133">
        <f>前台增值物品出入库录入!BB132*$E130</f>
        <v>0</v>
      </c>
      <c r="BC130" s="133">
        <f>前台增值物品出入库录入!BC132*$E130</f>
        <v>0</v>
      </c>
      <c r="BD130" s="133">
        <f>前台增值物品出入库录入!BD132*$E130</f>
        <v>0</v>
      </c>
      <c r="BE130" s="133">
        <f>前台增值物品出入库录入!BE132*$E130</f>
        <v>4.2</v>
      </c>
      <c r="BF130" s="133">
        <f>前台增值物品出入库录入!BF132*$E130</f>
        <v>0</v>
      </c>
      <c r="BG130" s="133">
        <f>前台增值物品出入库录入!BG132*$E130</f>
        <v>0</v>
      </c>
      <c r="BH130" s="133">
        <f>前台增值物品出入库录入!BH132*$E130</f>
        <v>0</v>
      </c>
      <c r="BI130" s="133">
        <f>前台增值物品出入库录入!BI132*$E130</f>
        <v>0</v>
      </c>
      <c r="BJ130" s="133">
        <f>前台增值物品出入库录入!BJ132*$E130</f>
        <v>0</v>
      </c>
      <c r="BK130" s="133">
        <f>前台增值物品出入库录入!BK132*$E130</f>
        <v>0</v>
      </c>
      <c r="BL130" s="133">
        <f>前台增值物品出入库录入!BL132*$E130</f>
        <v>0</v>
      </c>
      <c r="BM130" s="133">
        <f>前台增值物品出入库录入!BM132*$E130</f>
        <v>0</v>
      </c>
      <c r="BN130" s="133">
        <f>前台增值物品出入库录入!BN132*$E130</f>
        <v>0</v>
      </c>
      <c r="BO130" s="133">
        <f>前台增值物品出入库录入!BO132*$E130</f>
        <v>0</v>
      </c>
      <c r="BP130" s="133">
        <f>前台增值物品出入库录入!BP132*$E130</f>
        <v>0</v>
      </c>
      <c r="BQ130" s="133">
        <f>前台增值物品出入库录入!BQ132*$E130</f>
        <v>0</v>
      </c>
      <c r="BR130" s="133">
        <f>前台增值物品出入库录入!BR132*$E130</f>
        <v>0</v>
      </c>
      <c r="BS130" s="133">
        <f>前台增值物品出入库录入!BS132*$E130</f>
        <v>0</v>
      </c>
      <c r="BT130" s="133">
        <f>前台增值物品出入库录入!BT132*$E130</f>
        <v>0</v>
      </c>
      <c r="BU130" s="133">
        <f>前台增值物品出入库录入!BU132*$E130</f>
        <v>0</v>
      </c>
      <c r="BV130" s="133">
        <f>前台增值物品出入库录入!BV132*$E130</f>
        <v>0</v>
      </c>
      <c r="BW130" s="133">
        <f>前台增值物品出入库录入!BW132*$E130</f>
        <v>0</v>
      </c>
    </row>
    <row r="131" ht="16.5" spans="1:75">
      <c r="A131" s="161">
        <v>136</v>
      </c>
      <c r="B131" s="162" t="str">
        <f>前台增值物品出入库录入!B133</f>
        <v>牛皮纸档案袋</v>
      </c>
      <c r="C131" s="162">
        <f>前台增值物品出入库录入!C133</f>
        <v>0</v>
      </c>
      <c r="D131" s="162" t="str">
        <f>前台增值物品出入库录入!D133</f>
        <v>个</v>
      </c>
      <c r="E131" s="162">
        <f>前台增值物品出入库录入!E133</f>
        <v>0.678</v>
      </c>
      <c r="F131" s="162">
        <f>前台增值物品出入库录入!F133</f>
        <v>50</v>
      </c>
      <c r="G131" s="162">
        <f>前台增值物品出入库录入!G133</f>
        <v>33.9</v>
      </c>
      <c r="H131" s="162">
        <f>前台增值物品出入库录入!H133</f>
        <v>0</v>
      </c>
      <c r="I131" s="162">
        <f>前台增值物品出入库录入!I133</f>
        <v>0</v>
      </c>
      <c r="J131" s="162">
        <f>前台增值物品出入库录入!J133</f>
        <v>2</v>
      </c>
      <c r="K131" s="162">
        <f>前台增值物品出入库录入!K133</f>
        <v>1.356</v>
      </c>
      <c r="L131" s="162">
        <f>前台增值物品出入库录入!L133</f>
        <v>48</v>
      </c>
      <c r="M131" s="162">
        <f>前台增值物品出入库录入!M133</f>
        <v>32.544</v>
      </c>
      <c r="N131" s="133">
        <f>前台增值物品出入库录入!N133*$E131</f>
        <v>0</v>
      </c>
      <c r="O131" s="133">
        <f>前台增值物品出入库录入!O133*$E131</f>
        <v>0</v>
      </c>
      <c r="P131" s="133">
        <f>前台增值物品出入库录入!P133*$E131</f>
        <v>0</v>
      </c>
      <c r="Q131" s="133">
        <f>前台增值物品出入库录入!Q133*$E131</f>
        <v>0</v>
      </c>
      <c r="R131" s="133">
        <f>前台增值物品出入库录入!R133*$E131</f>
        <v>0</v>
      </c>
      <c r="S131" s="133">
        <f>前台增值物品出入库录入!S133*$E131</f>
        <v>1.356</v>
      </c>
      <c r="T131" s="133">
        <f>前台增值物品出入库录入!T133*$E131</f>
        <v>0</v>
      </c>
      <c r="U131" s="133">
        <f>前台增值物品出入库录入!U133*$E131</f>
        <v>0</v>
      </c>
      <c r="V131" s="133">
        <f>前台增值物品出入库录入!V133*$E131</f>
        <v>0</v>
      </c>
      <c r="W131" s="133">
        <f>前台增值物品出入库录入!W133*$E131</f>
        <v>0</v>
      </c>
      <c r="X131" s="133">
        <f>前台增值物品出入库录入!X133*$E131</f>
        <v>0</v>
      </c>
      <c r="Y131" s="133">
        <f>前台增值物品出入库录入!Y133*$E131</f>
        <v>0</v>
      </c>
      <c r="Z131" s="133">
        <f>前台增值物品出入库录入!Z133*$E131</f>
        <v>0</v>
      </c>
      <c r="AA131" s="133">
        <f>前台增值物品出入库录入!AA133*$E131</f>
        <v>0</v>
      </c>
      <c r="AB131" s="133">
        <f>前台增值物品出入库录入!AB133*$E131</f>
        <v>0</v>
      </c>
      <c r="AC131" s="133">
        <f>前台增值物品出入库录入!AC133*$E131</f>
        <v>0</v>
      </c>
      <c r="AD131" s="133">
        <f>前台增值物品出入库录入!AD133*$E131</f>
        <v>0</v>
      </c>
      <c r="AE131" s="133">
        <f>前台增值物品出入库录入!AE133*$E131</f>
        <v>0</v>
      </c>
      <c r="AF131" s="133">
        <f>前台增值物品出入库录入!AF133*$E131</f>
        <v>0</v>
      </c>
      <c r="AG131" s="133">
        <f>前台增值物品出入库录入!AG133*$E131</f>
        <v>0</v>
      </c>
      <c r="AH131" s="133">
        <f>前台增值物品出入库录入!AH133*$E131</f>
        <v>0</v>
      </c>
      <c r="AI131" s="133">
        <f>前台增值物品出入库录入!AI133*$E131</f>
        <v>0</v>
      </c>
      <c r="AJ131" s="133">
        <f>前台增值物品出入库录入!AJ133*$E131</f>
        <v>0</v>
      </c>
      <c r="AK131" s="133">
        <f>前台增值物品出入库录入!AK133*$E131</f>
        <v>0</v>
      </c>
      <c r="AL131" s="133">
        <f>前台增值物品出入库录入!AL133*$E131</f>
        <v>0</v>
      </c>
      <c r="AM131" s="133">
        <f>前台增值物品出入库录入!AM133*$E131</f>
        <v>0</v>
      </c>
      <c r="AN131" s="133">
        <f>前台增值物品出入库录入!AN133*$E131</f>
        <v>0</v>
      </c>
      <c r="AO131" s="133">
        <f>前台增值物品出入库录入!AO133*$E131</f>
        <v>0</v>
      </c>
      <c r="AP131" s="133">
        <f>前台增值物品出入库录入!AP133*$E131</f>
        <v>0</v>
      </c>
      <c r="AQ131" s="133">
        <f>前台增值物品出入库录入!AQ133*$E131</f>
        <v>0</v>
      </c>
      <c r="AR131" s="133">
        <f>前台增值物品出入库录入!AR133*$E131</f>
        <v>0</v>
      </c>
      <c r="AS131" s="133">
        <f>前台增值物品出入库录入!AS133*$E131</f>
        <v>0</v>
      </c>
      <c r="AT131" s="133">
        <f>前台增值物品出入库录入!AT133*$E131</f>
        <v>0</v>
      </c>
      <c r="AU131" s="133">
        <f>前台增值物品出入库录入!AU133*$E131</f>
        <v>0</v>
      </c>
      <c r="AV131" s="133">
        <f>前台增值物品出入库录入!AV133*$E131</f>
        <v>0</v>
      </c>
      <c r="AW131" s="133">
        <f>前台增值物品出入库录入!AW133*$E131</f>
        <v>0</v>
      </c>
      <c r="AX131" s="133">
        <f>前台增值物品出入库录入!AX133*$E131</f>
        <v>0</v>
      </c>
      <c r="AY131" s="133">
        <f>前台增值物品出入库录入!AY133*$E131</f>
        <v>0</v>
      </c>
      <c r="AZ131" s="133">
        <f>前台增值物品出入库录入!AZ133*$E131</f>
        <v>0</v>
      </c>
      <c r="BA131" s="133">
        <f>前台增值物品出入库录入!BA133*$E131</f>
        <v>0</v>
      </c>
      <c r="BB131" s="133">
        <f>前台增值物品出入库录入!BB133*$E131</f>
        <v>0</v>
      </c>
      <c r="BC131" s="133">
        <f>前台增值物品出入库录入!BC133*$E131</f>
        <v>0</v>
      </c>
      <c r="BD131" s="133">
        <f>前台增值物品出入库录入!BD133*$E131</f>
        <v>0</v>
      </c>
      <c r="BE131" s="133">
        <f>前台增值物品出入库录入!BE133*$E131</f>
        <v>0</v>
      </c>
      <c r="BF131" s="133">
        <f>前台增值物品出入库录入!BF133*$E131</f>
        <v>0</v>
      </c>
      <c r="BG131" s="133">
        <f>前台增值物品出入库录入!BG133*$E131</f>
        <v>0</v>
      </c>
      <c r="BH131" s="133">
        <f>前台增值物品出入库录入!BH133*$E131</f>
        <v>0</v>
      </c>
      <c r="BI131" s="133">
        <f>前台增值物品出入库录入!BI133*$E131</f>
        <v>0</v>
      </c>
      <c r="BJ131" s="133">
        <f>前台增值物品出入库录入!BJ133*$E131</f>
        <v>0</v>
      </c>
      <c r="BK131" s="133">
        <f>前台增值物品出入库录入!BK133*$E131</f>
        <v>0</v>
      </c>
      <c r="BL131" s="133">
        <f>前台增值物品出入库录入!BL133*$E131</f>
        <v>0</v>
      </c>
      <c r="BM131" s="133">
        <f>前台增值物品出入库录入!BM133*$E131</f>
        <v>0</v>
      </c>
      <c r="BN131" s="133">
        <f>前台增值物品出入库录入!BN133*$E131</f>
        <v>0</v>
      </c>
      <c r="BO131" s="133">
        <f>前台增值物品出入库录入!BO133*$E131</f>
        <v>0</v>
      </c>
      <c r="BP131" s="133">
        <f>前台增值物品出入库录入!BP133*$E131</f>
        <v>0</v>
      </c>
      <c r="BQ131" s="133">
        <f>前台增值物品出入库录入!BQ133*$E131</f>
        <v>0</v>
      </c>
      <c r="BR131" s="133">
        <f>前台增值物品出入库录入!BR133*$E131</f>
        <v>0</v>
      </c>
      <c r="BS131" s="133">
        <f>前台增值物品出入库录入!BS133*$E131</f>
        <v>0</v>
      </c>
      <c r="BT131" s="133">
        <f>前台增值物品出入库录入!BT133*$E131</f>
        <v>0</v>
      </c>
      <c r="BU131" s="133">
        <f>前台增值物品出入库录入!BU133*$E131</f>
        <v>0</v>
      </c>
      <c r="BV131" s="133">
        <f>前台增值物品出入库录入!BV133*$E131</f>
        <v>0</v>
      </c>
      <c r="BW131" s="133">
        <f>前台增值物品出入库录入!BW133*$E131</f>
        <v>0</v>
      </c>
    </row>
    <row r="132" ht="16.5" spans="1:75">
      <c r="A132" s="161">
        <v>137</v>
      </c>
      <c r="B132" s="162" t="str">
        <f>前台增值物品出入库录入!B134</f>
        <v>酸梅粉</v>
      </c>
      <c r="C132" s="162">
        <f>前台增值物品出入库录入!C134</f>
        <v>0</v>
      </c>
      <c r="D132" s="162" t="str">
        <f>前台增值物品出入库录入!D134</f>
        <v>个</v>
      </c>
      <c r="E132" s="162">
        <f>前台增值物品出入库录入!E134</f>
        <v>8.72</v>
      </c>
      <c r="F132" s="162">
        <f>前台增值物品出入库录入!F134</f>
        <v>4</v>
      </c>
      <c r="G132" s="162">
        <f>前台增值物品出入库录入!G134</f>
        <v>34.88</v>
      </c>
      <c r="H132" s="162">
        <f>前台增值物品出入库录入!H134</f>
        <v>0</v>
      </c>
      <c r="I132" s="162">
        <f>前台增值物品出入库录入!I134</f>
        <v>0</v>
      </c>
      <c r="J132" s="162">
        <f>前台增值物品出入库录入!J134</f>
        <v>4</v>
      </c>
      <c r="K132" s="162">
        <f>前台增值物品出入库录入!K134</f>
        <v>34.88</v>
      </c>
      <c r="L132" s="162">
        <f>前台增值物品出入库录入!L134</f>
        <v>0</v>
      </c>
      <c r="M132" s="162">
        <f>前台增值物品出入库录入!M134</f>
        <v>0</v>
      </c>
      <c r="N132" s="133">
        <f>前台增值物品出入库录入!N134*$E132</f>
        <v>0</v>
      </c>
      <c r="O132" s="133">
        <f>前台增值物品出入库录入!O134*$E132</f>
        <v>0</v>
      </c>
      <c r="P132" s="133">
        <f>前台增值物品出入库录入!P134*$E132</f>
        <v>0</v>
      </c>
      <c r="Q132" s="133">
        <f>前台增值物品出入库录入!Q134*$E132</f>
        <v>0</v>
      </c>
      <c r="R132" s="133">
        <f>前台增值物品出入库录入!R134*$E132</f>
        <v>0</v>
      </c>
      <c r="S132" s="133">
        <f>前台增值物品出入库录入!S134*$E132</f>
        <v>0</v>
      </c>
      <c r="T132" s="133">
        <f>前台增值物品出入库录入!T134*$E132</f>
        <v>0</v>
      </c>
      <c r="U132" s="133">
        <f>前台增值物品出入库录入!U134*$E132</f>
        <v>0</v>
      </c>
      <c r="V132" s="133">
        <f>前台增值物品出入库录入!V134*$E132</f>
        <v>0</v>
      </c>
      <c r="W132" s="133">
        <f>前台增值物品出入库录入!W134*$E132</f>
        <v>0</v>
      </c>
      <c r="X132" s="133">
        <f>前台增值物品出入库录入!X134*$E132</f>
        <v>0</v>
      </c>
      <c r="Y132" s="133">
        <f>前台增值物品出入库录入!Y134*$E132</f>
        <v>17.44</v>
      </c>
      <c r="Z132" s="133">
        <f>前台增值物品出入库录入!Z134*$E132</f>
        <v>0</v>
      </c>
      <c r="AA132" s="133">
        <f>前台增值物品出入库录入!AA134*$E132</f>
        <v>0</v>
      </c>
      <c r="AB132" s="133">
        <f>前台增值物品出入库录入!AB134*$E132</f>
        <v>0</v>
      </c>
      <c r="AC132" s="133">
        <f>前台增值物品出入库录入!AC134*$E132</f>
        <v>0</v>
      </c>
      <c r="AD132" s="133">
        <f>前台增值物品出入库录入!AD134*$E132</f>
        <v>0</v>
      </c>
      <c r="AE132" s="133">
        <f>前台增值物品出入库录入!AE134*$E132</f>
        <v>0</v>
      </c>
      <c r="AF132" s="133">
        <f>前台增值物品出入库录入!AF134*$E132</f>
        <v>0</v>
      </c>
      <c r="AG132" s="133">
        <f>前台增值物品出入库录入!AG134*$E132</f>
        <v>0</v>
      </c>
      <c r="AH132" s="133">
        <f>前台增值物品出入库录入!AH134*$E132</f>
        <v>0</v>
      </c>
      <c r="AI132" s="133">
        <f>前台增值物品出入库录入!AI134*$E132</f>
        <v>0</v>
      </c>
      <c r="AJ132" s="133">
        <f>前台增值物品出入库录入!AJ134*$E132</f>
        <v>0</v>
      </c>
      <c r="AK132" s="133">
        <f>前台增值物品出入库录入!AK134*$E132</f>
        <v>0</v>
      </c>
      <c r="AL132" s="133">
        <f>前台增值物品出入库录入!AL134*$E132</f>
        <v>0</v>
      </c>
      <c r="AM132" s="133">
        <f>前台增值物品出入库录入!AM134*$E132</f>
        <v>0</v>
      </c>
      <c r="AN132" s="133">
        <f>前台增值物品出入库录入!AN134*$E132</f>
        <v>0</v>
      </c>
      <c r="AO132" s="133">
        <f>前台增值物品出入库录入!AO134*$E132</f>
        <v>17.44</v>
      </c>
      <c r="AP132" s="133">
        <f>前台增值物品出入库录入!AP134*$E132</f>
        <v>0</v>
      </c>
      <c r="AQ132" s="133">
        <f>前台增值物品出入库录入!AQ134*$E132</f>
        <v>0</v>
      </c>
      <c r="AR132" s="133">
        <f>前台增值物品出入库录入!AR134*$E132</f>
        <v>0</v>
      </c>
      <c r="AS132" s="133">
        <f>前台增值物品出入库录入!AS134*$E132</f>
        <v>0</v>
      </c>
      <c r="AT132" s="133">
        <f>前台增值物品出入库录入!AT134*$E132</f>
        <v>0</v>
      </c>
      <c r="AU132" s="133">
        <f>前台增值物品出入库录入!AU134*$E132</f>
        <v>0</v>
      </c>
      <c r="AV132" s="133">
        <f>前台增值物品出入库录入!AV134*$E132</f>
        <v>0</v>
      </c>
      <c r="AW132" s="133">
        <f>前台增值物品出入库录入!AW134*$E132</f>
        <v>0</v>
      </c>
      <c r="AX132" s="133">
        <f>前台增值物品出入库录入!AX134*$E132</f>
        <v>0</v>
      </c>
      <c r="AY132" s="133">
        <f>前台增值物品出入库录入!AY134*$E132</f>
        <v>0</v>
      </c>
      <c r="AZ132" s="133">
        <f>前台增值物品出入库录入!AZ134*$E132</f>
        <v>0</v>
      </c>
      <c r="BA132" s="133">
        <f>前台增值物品出入库录入!BA134*$E132</f>
        <v>0</v>
      </c>
      <c r="BB132" s="133">
        <f>前台增值物品出入库录入!BB134*$E132</f>
        <v>0</v>
      </c>
      <c r="BC132" s="133">
        <f>前台增值物品出入库录入!BC134*$E132</f>
        <v>0</v>
      </c>
      <c r="BD132" s="133">
        <f>前台增值物品出入库录入!BD134*$E132</f>
        <v>0</v>
      </c>
      <c r="BE132" s="133">
        <f>前台增值物品出入库录入!BE134*$E132</f>
        <v>0</v>
      </c>
      <c r="BF132" s="133">
        <f>前台增值物品出入库录入!BF134*$E132</f>
        <v>0</v>
      </c>
      <c r="BG132" s="133">
        <f>前台增值物品出入库录入!BG134*$E132</f>
        <v>0</v>
      </c>
      <c r="BH132" s="133">
        <f>前台增值物品出入库录入!BH134*$E132</f>
        <v>0</v>
      </c>
      <c r="BI132" s="133">
        <f>前台增值物品出入库录入!BI134*$E132</f>
        <v>0</v>
      </c>
      <c r="BJ132" s="133">
        <f>前台增值物品出入库录入!BJ134*$E132</f>
        <v>0</v>
      </c>
      <c r="BK132" s="133">
        <f>前台增值物品出入库录入!BK134*$E132</f>
        <v>0</v>
      </c>
      <c r="BL132" s="133">
        <f>前台增值物品出入库录入!BL134*$E132</f>
        <v>0</v>
      </c>
      <c r="BM132" s="133">
        <f>前台增值物品出入库录入!BM134*$E132</f>
        <v>0</v>
      </c>
      <c r="BN132" s="133">
        <f>前台增值物品出入库录入!BN134*$E132</f>
        <v>0</v>
      </c>
      <c r="BO132" s="133">
        <f>前台增值物品出入库录入!BO134*$E132</f>
        <v>0</v>
      </c>
      <c r="BP132" s="133">
        <f>前台增值物品出入库录入!BP134*$E132</f>
        <v>0</v>
      </c>
      <c r="BQ132" s="133">
        <f>前台增值物品出入库录入!BQ134*$E132</f>
        <v>0</v>
      </c>
      <c r="BR132" s="133">
        <f>前台增值物品出入库录入!BR134*$E132</f>
        <v>0</v>
      </c>
      <c r="BS132" s="133">
        <f>前台增值物品出入库录入!BS134*$E132</f>
        <v>0</v>
      </c>
      <c r="BT132" s="133">
        <f>前台增值物品出入库录入!BT134*$E132</f>
        <v>0</v>
      </c>
      <c r="BU132" s="133">
        <f>前台增值物品出入库录入!BU134*$E132</f>
        <v>0</v>
      </c>
      <c r="BV132" s="133">
        <f>前台增值物品出入库录入!BV134*$E132</f>
        <v>0</v>
      </c>
      <c r="BW132" s="133">
        <f>前台增值物品出入库录入!BW134*$E132</f>
        <v>0</v>
      </c>
    </row>
    <row r="133" ht="16.5" spans="1:75">
      <c r="A133" s="161">
        <v>138</v>
      </c>
      <c r="B133" s="162" t="str">
        <f>前台增值物品出入库录入!B135</f>
        <v>咖啡伴侣</v>
      </c>
      <c r="C133" s="162">
        <f>前台增值物品出入库录入!C135</f>
        <v>0</v>
      </c>
      <c r="D133" s="162" t="str">
        <f>前台增值物品出入库录入!D135</f>
        <v>个</v>
      </c>
      <c r="E133" s="162">
        <f>前台增值物品出入库录入!E135</f>
        <v>26.918</v>
      </c>
      <c r="F133" s="162">
        <f>前台增值物品出入库录入!F135</f>
        <v>4</v>
      </c>
      <c r="G133" s="162">
        <f>前台增值物品出入库录入!G135</f>
        <v>107.672</v>
      </c>
      <c r="H133" s="162">
        <f>前台增值物品出入库录入!H135</f>
        <v>0</v>
      </c>
      <c r="I133" s="162">
        <f>前台增值物品出入库录入!I135</f>
        <v>0</v>
      </c>
      <c r="J133" s="162">
        <f>前台增值物品出入库录入!J135</f>
        <v>4</v>
      </c>
      <c r="K133" s="162">
        <f>前台增值物品出入库录入!K135</f>
        <v>107.672</v>
      </c>
      <c r="L133" s="162">
        <f>前台增值物品出入库录入!L135</f>
        <v>0</v>
      </c>
      <c r="M133" s="162">
        <f>前台增值物品出入库录入!M135</f>
        <v>0</v>
      </c>
      <c r="N133" s="133">
        <f>前台增值物品出入库录入!N135*$E133</f>
        <v>0</v>
      </c>
      <c r="O133" s="133">
        <f>前台增值物品出入库录入!O135*$E133</f>
        <v>0</v>
      </c>
      <c r="P133" s="133">
        <f>前台增值物品出入库录入!P135*$E133</f>
        <v>0</v>
      </c>
      <c r="Q133" s="133">
        <f>前台增值物品出入库录入!Q135*$E133</f>
        <v>0</v>
      </c>
      <c r="R133" s="133">
        <f>前台增值物品出入库录入!R135*$E133</f>
        <v>0</v>
      </c>
      <c r="S133" s="133">
        <f>前台增值物品出入库录入!S135*$E133</f>
        <v>0</v>
      </c>
      <c r="T133" s="133">
        <f>前台增值物品出入库录入!T135*$E133</f>
        <v>0</v>
      </c>
      <c r="U133" s="133">
        <f>前台增值物品出入库录入!U135*$E133</f>
        <v>0</v>
      </c>
      <c r="V133" s="133">
        <f>前台增值物品出入库录入!V135*$E133</f>
        <v>0</v>
      </c>
      <c r="W133" s="133">
        <f>前台增值物品出入库录入!W135*$E133</f>
        <v>0</v>
      </c>
      <c r="X133" s="133">
        <f>前台增值物品出入库录入!X135*$E133</f>
        <v>0</v>
      </c>
      <c r="Y133" s="133">
        <f>前台增值物品出入库录入!Y135*$E133</f>
        <v>53.836</v>
      </c>
      <c r="Z133" s="133">
        <f>前台增值物品出入库录入!Z135*$E133</f>
        <v>0</v>
      </c>
      <c r="AA133" s="133">
        <f>前台增值物品出入库录入!AA135*$E133</f>
        <v>0</v>
      </c>
      <c r="AB133" s="133">
        <f>前台增值物品出入库录入!AB135*$E133</f>
        <v>0</v>
      </c>
      <c r="AC133" s="133">
        <f>前台增值物品出入库录入!AC135*$E133</f>
        <v>0</v>
      </c>
      <c r="AD133" s="133">
        <f>前台增值物品出入库录入!AD135*$E133</f>
        <v>0</v>
      </c>
      <c r="AE133" s="133">
        <f>前台增值物品出入库录入!AE135*$E133</f>
        <v>0</v>
      </c>
      <c r="AF133" s="133">
        <f>前台增值物品出入库录入!AF135*$E133</f>
        <v>0</v>
      </c>
      <c r="AG133" s="133">
        <f>前台增值物品出入库录入!AG135*$E133</f>
        <v>0</v>
      </c>
      <c r="AH133" s="133">
        <f>前台增值物品出入库录入!AH135*$E133</f>
        <v>0</v>
      </c>
      <c r="AI133" s="133">
        <f>前台增值物品出入库录入!AI135*$E133</f>
        <v>0</v>
      </c>
      <c r="AJ133" s="133">
        <f>前台增值物品出入库录入!AJ135*$E133</f>
        <v>0</v>
      </c>
      <c r="AK133" s="133">
        <f>前台增值物品出入库录入!AK135*$E133</f>
        <v>0</v>
      </c>
      <c r="AL133" s="133">
        <f>前台增值物品出入库录入!AL135*$E133</f>
        <v>0</v>
      </c>
      <c r="AM133" s="133">
        <f>前台增值物品出入库录入!AM135*$E133</f>
        <v>0</v>
      </c>
      <c r="AN133" s="133">
        <f>前台增值物品出入库录入!AN135*$E133</f>
        <v>0</v>
      </c>
      <c r="AO133" s="133">
        <f>前台增值物品出入库录入!AO135*$E133</f>
        <v>53.836</v>
      </c>
      <c r="AP133" s="133">
        <f>前台增值物品出入库录入!AP135*$E133</f>
        <v>0</v>
      </c>
      <c r="AQ133" s="133">
        <f>前台增值物品出入库录入!AQ135*$E133</f>
        <v>0</v>
      </c>
      <c r="AR133" s="133">
        <f>前台增值物品出入库录入!AR135*$E133</f>
        <v>0</v>
      </c>
      <c r="AS133" s="133">
        <f>前台增值物品出入库录入!AS135*$E133</f>
        <v>0</v>
      </c>
      <c r="AT133" s="133">
        <f>前台增值物品出入库录入!AT135*$E133</f>
        <v>0</v>
      </c>
      <c r="AU133" s="133">
        <f>前台增值物品出入库录入!AU135*$E133</f>
        <v>0</v>
      </c>
      <c r="AV133" s="133">
        <f>前台增值物品出入库录入!AV135*$E133</f>
        <v>0</v>
      </c>
      <c r="AW133" s="133">
        <f>前台增值物品出入库录入!AW135*$E133</f>
        <v>0</v>
      </c>
      <c r="AX133" s="133">
        <f>前台增值物品出入库录入!AX135*$E133</f>
        <v>0</v>
      </c>
      <c r="AY133" s="133">
        <f>前台增值物品出入库录入!AY135*$E133</f>
        <v>0</v>
      </c>
      <c r="AZ133" s="133">
        <f>前台增值物品出入库录入!AZ135*$E133</f>
        <v>0</v>
      </c>
      <c r="BA133" s="133">
        <f>前台增值物品出入库录入!BA135*$E133</f>
        <v>0</v>
      </c>
      <c r="BB133" s="133">
        <f>前台增值物品出入库录入!BB135*$E133</f>
        <v>0</v>
      </c>
      <c r="BC133" s="133">
        <f>前台增值物品出入库录入!BC135*$E133</f>
        <v>0</v>
      </c>
      <c r="BD133" s="133">
        <f>前台增值物品出入库录入!BD135*$E133</f>
        <v>0</v>
      </c>
      <c r="BE133" s="133">
        <f>前台增值物品出入库录入!BE135*$E133</f>
        <v>0</v>
      </c>
      <c r="BF133" s="133">
        <f>前台增值物品出入库录入!BF135*$E133</f>
        <v>0</v>
      </c>
      <c r="BG133" s="133">
        <f>前台增值物品出入库录入!BG135*$E133</f>
        <v>0</v>
      </c>
      <c r="BH133" s="133">
        <f>前台增值物品出入库录入!BH135*$E133</f>
        <v>0</v>
      </c>
      <c r="BI133" s="133">
        <f>前台增值物品出入库录入!BI135*$E133</f>
        <v>0</v>
      </c>
      <c r="BJ133" s="133">
        <f>前台增值物品出入库录入!BJ135*$E133</f>
        <v>0</v>
      </c>
      <c r="BK133" s="133">
        <f>前台增值物品出入库录入!BK135*$E133</f>
        <v>0</v>
      </c>
      <c r="BL133" s="133">
        <f>前台增值物品出入库录入!BL135*$E133</f>
        <v>0</v>
      </c>
      <c r="BM133" s="133">
        <f>前台增值物品出入库录入!BM135*$E133</f>
        <v>0</v>
      </c>
      <c r="BN133" s="133">
        <f>前台增值物品出入库录入!BN135*$E133</f>
        <v>0</v>
      </c>
      <c r="BO133" s="133">
        <f>前台增值物品出入库录入!BO135*$E133</f>
        <v>0</v>
      </c>
      <c r="BP133" s="133">
        <f>前台增值物品出入库录入!BP135*$E133</f>
        <v>0</v>
      </c>
      <c r="BQ133" s="133">
        <f>前台增值物品出入库录入!BQ135*$E133</f>
        <v>0</v>
      </c>
      <c r="BR133" s="133">
        <f>前台增值物品出入库录入!BR135*$E133</f>
        <v>0</v>
      </c>
      <c r="BS133" s="133">
        <f>前台增值物品出入库录入!BS135*$E133</f>
        <v>0</v>
      </c>
      <c r="BT133" s="133">
        <f>前台增值物品出入库录入!BT135*$E133</f>
        <v>0</v>
      </c>
      <c r="BU133" s="133">
        <f>前台增值物品出入库录入!BU135*$E133</f>
        <v>0</v>
      </c>
      <c r="BV133" s="133">
        <f>前台增值物品出入库录入!BV135*$E133</f>
        <v>0</v>
      </c>
      <c r="BW133" s="133">
        <f>前台增值物品出入库录入!BW135*$E133</f>
        <v>0</v>
      </c>
    </row>
    <row r="134" ht="16.5" spans="1:75">
      <c r="A134" s="161">
        <v>139</v>
      </c>
      <c r="B134" s="162" t="str">
        <f>前台增值物品出入库录入!B136</f>
        <v>浴缸套</v>
      </c>
      <c r="C134" s="162">
        <f>前台增值物品出入库录入!C136</f>
        <v>0</v>
      </c>
      <c r="D134" s="162" t="str">
        <f>前台增值物品出入库录入!D136</f>
        <v>个</v>
      </c>
      <c r="E134" s="162">
        <f>前台增值物品出入库录入!E136</f>
        <v>0.5424</v>
      </c>
      <c r="F134" s="162">
        <f>前台增值物品出入库录入!F136</f>
        <v>177</v>
      </c>
      <c r="G134" s="162">
        <f>前台增值物品出入库录入!G136</f>
        <v>96.0048</v>
      </c>
      <c r="H134" s="162">
        <f>前台增值物品出入库录入!H136</f>
        <v>0</v>
      </c>
      <c r="I134" s="162">
        <f>前台增值物品出入库录入!I136</f>
        <v>0</v>
      </c>
      <c r="J134" s="162">
        <f>前台增值物品出入库录入!J136</f>
        <v>60</v>
      </c>
      <c r="K134" s="162">
        <f>前台增值物品出入库录入!K136</f>
        <v>32.544</v>
      </c>
      <c r="L134" s="162">
        <f>前台增值物品出入库录入!L136</f>
        <v>117</v>
      </c>
      <c r="M134" s="162">
        <f>前台增值物品出入库录入!M136</f>
        <v>63.4608</v>
      </c>
      <c r="N134" s="133">
        <f>前台增值物品出入库录入!N136*$E134</f>
        <v>0</v>
      </c>
      <c r="O134" s="133">
        <f>前台增值物品出入库录入!O136*$E134</f>
        <v>0</v>
      </c>
      <c r="P134" s="133">
        <f>前台增值物品出入库录入!P136*$E134</f>
        <v>0</v>
      </c>
      <c r="Q134" s="133">
        <f>前台增值物品出入库录入!Q136*$E134</f>
        <v>0</v>
      </c>
      <c r="R134" s="133">
        <f>前台增值物品出入库录入!R136*$E134</f>
        <v>0</v>
      </c>
      <c r="S134" s="133">
        <f>前台增值物品出入库录入!S136*$E134</f>
        <v>0</v>
      </c>
      <c r="T134" s="133">
        <f>前台增值物品出入库录入!T136*$E134</f>
        <v>0</v>
      </c>
      <c r="U134" s="133">
        <f>前台增值物品出入库录入!U136*$E134</f>
        <v>0</v>
      </c>
      <c r="V134" s="133">
        <f>前台增值物品出入库录入!V136*$E134</f>
        <v>0</v>
      </c>
      <c r="W134" s="133">
        <f>前台增值物品出入库录入!W136*$E134</f>
        <v>0</v>
      </c>
      <c r="X134" s="133">
        <f>前台增值物品出入库录入!X136*$E134</f>
        <v>0</v>
      </c>
      <c r="Y134" s="133">
        <f>前台增值物品出入库录入!Y136*$E134</f>
        <v>10.848</v>
      </c>
      <c r="Z134" s="133">
        <f>前台增值物品出入库录入!Z136*$E134</f>
        <v>0</v>
      </c>
      <c r="AA134" s="133">
        <f>前台增值物品出入库录入!AA136*$E134</f>
        <v>2.712</v>
      </c>
      <c r="AB134" s="133">
        <f>前台增值物品出入库录入!AB136*$E134</f>
        <v>0</v>
      </c>
      <c r="AC134" s="133">
        <f>前台增值物品出入库录入!AC136*$E134</f>
        <v>0</v>
      </c>
      <c r="AD134" s="133">
        <f>前台增值物品出入库录入!AD136*$E134</f>
        <v>0</v>
      </c>
      <c r="AE134" s="133">
        <f>前台增值物品出入库录入!AE136*$E134</f>
        <v>1.6272</v>
      </c>
      <c r="AF134" s="133">
        <f>前台增值物品出入库录入!AF136*$E134</f>
        <v>0</v>
      </c>
      <c r="AG134" s="133">
        <f>前台增值物品出入库录入!AG136*$E134</f>
        <v>0.5424</v>
      </c>
      <c r="AH134" s="133">
        <f>前台增值物品出入库录入!AH136*$E134</f>
        <v>0</v>
      </c>
      <c r="AI134" s="133">
        <f>前台增值物品出入库录入!AI136*$E134</f>
        <v>0</v>
      </c>
      <c r="AJ134" s="133">
        <f>前台增值物品出入库录入!AJ136*$E134</f>
        <v>0</v>
      </c>
      <c r="AK134" s="133">
        <f>前台增值物品出入库录入!AK136*$E134</f>
        <v>0</v>
      </c>
      <c r="AL134" s="133">
        <f>前台增值物品出入库录入!AL136*$E134</f>
        <v>0</v>
      </c>
      <c r="AM134" s="133">
        <f>前台增值物品出入库录入!AM136*$E134</f>
        <v>1.6272</v>
      </c>
      <c r="AN134" s="133">
        <f>前台增值物品出入库录入!AN136*$E134</f>
        <v>0</v>
      </c>
      <c r="AO134" s="133">
        <f>前台增值物品出入库录入!AO136*$E134</f>
        <v>2.712</v>
      </c>
      <c r="AP134" s="133">
        <f>前台增值物品出入库录入!AP136*$E134</f>
        <v>0</v>
      </c>
      <c r="AQ134" s="133">
        <f>前台增值物品出入库录入!AQ136*$E134</f>
        <v>0.5424</v>
      </c>
      <c r="AR134" s="133">
        <f>前台增值物品出入库录入!AR136*$E134</f>
        <v>0</v>
      </c>
      <c r="AS134" s="133">
        <f>前台增值物品出入库录入!AS136*$E134</f>
        <v>0</v>
      </c>
      <c r="AT134" s="133">
        <f>前台增值物品出入库录入!AT136*$E134</f>
        <v>0</v>
      </c>
      <c r="AU134" s="133">
        <f>前台增值物品出入库录入!AU136*$E134</f>
        <v>0</v>
      </c>
      <c r="AV134" s="133">
        <f>前台增值物品出入库录入!AV136*$E134</f>
        <v>0</v>
      </c>
      <c r="AW134" s="133">
        <f>前台增值物品出入库录入!AW136*$E134</f>
        <v>0</v>
      </c>
      <c r="AX134" s="133">
        <f>前台增值物品出入库录入!AX136*$E134</f>
        <v>0</v>
      </c>
      <c r="AY134" s="133">
        <f>前台增值物品出入库录入!AY136*$E134</f>
        <v>0</v>
      </c>
      <c r="AZ134" s="133">
        <f>前台增值物品出入库录入!AZ136*$E134</f>
        <v>0</v>
      </c>
      <c r="BA134" s="133">
        <f>前台增值物品出入库录入!BA136*$E134</f>
        <v>0</v>
      </c>
      <c r="BB134" s="133">
        <f>前台增值物品出入库录入!BB136*$E134</f>
        <v>0</v>
      </c>
      <c r="BC134" s="133">
        <f>前台增值物品出入库录入!BC136*$E134</f>
        <v>0</v>
      </c>
      <c r="BD134" s="133">
        <f>前台增值物品出入库录入!BD136*$E134</f>
        <v>0</v>
      </c>
      <c r="BE134" s="133">
        <f>前台增值物品出入库录入!BE136*$E134</f>
        <v>5.424</v>
      </c>
      <c r="BF134" s="133">
        <f>前台增值物品出入库录入!BF136*$E134</f>
        <v>0</v>
      </c>
      <c r="BG134" s="133">
        <f>前台增值物品出入库录入!BG136*$E134</f>
        <v>2.712</v>
      </c>
      <c r="BH134" s="133">
        <f>前台增值物品出入库录入!BH136*$E134</f>
        <v>0</v>
      </c>
      <c r="BI134" s="133">
        <f>前台增值物品出入库录入!BI136*$E134</f>
        <v>1.6272</v>
      </c>
      <c r="BJ134" s="133">
        <f>前台增值物品出入库录入!BJ136*$E134</f>
        <v>0</v>
      </c>
      <c r="BK134" s="133">
        <f>前台增值物品出入库录入!BK136*$E134</f>
        <v>0.5424</v>
      </c>
      <c r="BL134" s="133">
        <f>前台增值物品出入库录入!BL136*$E134</f>
        <v>0</v>
      </c>
      <c r="BM134" s="133">
        <f>前台增值物品出入库录入!BM136*$E134</f>
        <v>0</v>
      </c>
      <c r="BN134" s="133">
        <f>前台增值物品出入库录入!BN136*$E134</f>
        <v>0</v>
      </c>
      <c r="BO134" s="133">
        <f>前台增值物品出入库录入!BO136*$E134</f>
        <v>0</v>
      </c>
      <c r="BP134" s="133">
        <f>前台增值物品出入库录入!BP136*$E134</f>
        <v>0</v>
      </c>
      <c r="BQ134" s="133">
        <f>前台增值物品出入库录入!BQ136*$E134</f>
        <v>1.6272</v>
      </c>
      <c r="BR134" s="133">
        <f>前台增值物品出入库录入!BR136*$E134</f>
        <v>0</v>
      </c>
      <c r="BS134" s="133">
        <f>前台增值物品出入库录入!BS136*$E134</f>
        <v>0</v>
      </c>
      <c r="BT134" s="133">
        <f>前台增值物品出入库录入!BT136*$E134</f>
        <v>0</v>
      </c>
      <c r="BU134" s="133">
        <f>前台增值物品出入库录入!BU136*$E134</f>
        <v>0</v>
      </c>
      <c r="BV134" s="133">
        <f>前台增值物品出入库录入!BV136*$E134</f>
        <v>0</v>
      </c>
      <c r="BW134" s="133">
        <f>前台增值物品出入库录入!BW136*$E134</f>
        <v>0</v>
      </c>
    </row>
    <row r="135" ht="16.5" spans="1:75">
      <c r="A135" s="161">
        <v>140</v>
      </c>
      <c r="B135" s="162" t="str">
        <f>前台增值物品出入库录入!B137</f>
        <v>身体乳2</v>
      </c>
      <c r="C135" s="162">
        <f>前台增值物品出入库录入!C137</f>
        <v>0</v>
      </c>
      <c r="D135" s="162" t="str">
        <f>前台增值物品出入库录入!D137</f>
        <v>个</v>
      </c>
      <c r="E135" s="162">
        <f>前台增值物品出入库录入!E137</f>
        <v>0.3477</v>
      </c>
      <c r="F135" s="162">
        <f>前台增值物品出入库录入!F137</f>
        <v>59</v>
      </c>
      <c r="G135" s="162">
        <f>前台增值物品出入库录入!G137</f>
        <v>20.5143</v>
      </c>
      <c r="H135" s="162">
        <f>前台增值物品出入库录入!H137</f>
        <v>0</v>
      </c>
      <c r="I135" s="162">
        <f>前台增值物品出入库录入!I137</f>
        <v>0</v>
      </c>
      <c r="J135" s="162">
        <f>前台增值物品出入库录入!J137</f>
        <v>49</v>
      </c>
      <c r="K135" s="162">
        <f>前台增值物品出入库录入!K137</f>
        <v>17.0373</v>
      </c>
      <c r="L135" s="162">
        <f>前台增值物品出入库录入!L137</f>
        <v>10</v>
      </c>
      <c r="M135" s="162">
        <f>前台增值物品出入库录入!M137</f>
        <v>3.477</v>
      </c>
      <c r="N135" s="133">
        <f>前台增值物品出入库录入!N137*$E135</f>
        <v>0</v>
      </c>
      <c r="O135" s="133">
        <f>前台增值物品出入库录入!O137*$E135</f>
        <v>3.477</v>
      </c>
      <c r="P135" s="133">
        <f>前台增值物品出入库录入!P137*$E135</f>
        <v>0</v>
      </c>
      <c r="Q135" s="133">
        <f>前台增值物品出入库录入!Q137*$E135</f>
        <v>0</v>
      </c>
      <c r="R135" s="133">
        <f>前台增值物品出入库录入!R137*$E135</f>
        <v>0</v>
      </c>
      <c r="S135" s="133">
        <f>前台增值物品出入库录入!S137*$E135</f>
        <v>1.0431</v>
      </c>
      <c r="T135" s="133">
        <f>前台增值物品出入库录入!T137*$E135</f>
        <v>0</v>
      </c>
      <c r="U135" s="133">
        <f>前台增值物品出入库录入!U137*$E135</f>
        <v>1.0431</v>
      </c>
      <c r="V135" s="133">
        <f>前台增值物品出入库录入!V137*$E135</f>
        <v>0</v>
      </c>
      <c r="W135" s="133">
        <f>前台增值物品出入库录入!W137*$E135</f>
        <v>0.3477</v>
      </c>
      <c r="X135" s="133">
        <f>前台增值物品出入库录入!X137*$E135</f>
        <v>0</v>
      </c>
      <c r="Y135" s="133">
        <f>前台增值物品出入库录入!Y137*$E135</f>
        <v>0</v>
      </c>
      <c r="Z135" s="133">
        <f>前台增值物品出入库录入!Z137*$E135</f>
        <v>0</v>
      </c>
      <c r="AA135" s="133">
        <f>前台增值物品出入库录入!AA137*$E135</f>
        <v>1.7385</v>
      </c>
      <c r="AB135" s="133">
        <f>前台增值物品出入库录入!AB137*$E135</f>
        <v>0</v>
      </c>
      <c r="AC135" s="133">
        <f>前台增值物品出入库录入!AC137*$E135</f>
        <v>0.6954</v>
      </c>
      <c r="AD135" s="133">
        <f>前台增值物品出入库录入!AD137*$E135</f>
        <v>0</v>
      </c>
      <c r="AE135" s="133">
        <f>前台增值物品出入库录入!AE137*$E135</f>
        <v>1.3908</v>
      </c>
      <c r="AF135" s="133">
        <f>前台增值物品出入库录入!AF137*$E135</f>
        <v>0</v>
      </c>
      <c r="AG135" s="133">
        <f>前台增值物品出入库录入!AG137*$E135</f>
        <v>1.0431</v>
      </c>
      <c r="AH135" s="133">
        <f>前台增值物品出入库录入!AH137*$E135</f>
        <v>0</v>
      </c>
      <c r="AI135" s="133">
        <f>前台增值物品出入库录入!AI137*$E135</f>
        <v>0.3477</v>
      </c>
      <c r="AJ135" s="133">
        <f>前台增值物品出入库录入!AJ137*$E135</f>
        <v>0</v>
      </c>
      <c r="AK135" s="133">
        <f>前台增值物品出入库录入!AK137*$E135</f>
        <v>1.0431</v>
      </c>
      <c r="AL135" s="133">
        <f>前台增值物品出入库录入!AL137*$E135</f>
        <v>0</v>
      </c>
      <c r="AM135" s="133">
        <f>前台增值物品出入库录入!AM137*$E135</f>
        <v>0</v>
      </c>
      <c r="AN135" s="133">
        <f>前台增值物品出入库录入!AN137*$E135</f>
        <v>0</v>
      </c>
      <c r="AO135" s="133">
        <f>前台增值物品出入库录入!AO137*$E135</f>
        <v>0</v>
      </c>
      <c r="AP135" s="133">
        <f>前台增值物品出入库录入!AP137*$E135</f>
        <v>0</v>
      </c>
      <c r="AQ135" s="133">
        <f>前台增值物品出入库录入!AQ137*$E135</f>
        <v>0</v>
      </c>
      <c r="AR135" s="133">
        <f>前台增值物品出入库录入!AR137*$E135</f>
        <v>0</v>
      </c>
      <c r="AS135" s="133">
        <f>前台增值物品出入库录入!AS137*$E135</f>
        <v>0</v>
      </c>
      <c r="AT135" s="133">
        <f>前台增值物品出入库录入!AT137*$E135</f>
        <v>0</v>
      </c>
      <c r="AU135" s="133">
        <f>前台增值物品出入库录入!AU137*$E135</f>
        <v>0</v>
      </c>
      <c r="AV135" s="133">
        <f>前台增值物品出入库录入!AV137*$E135</f>
        <v>0</v>
      </c>
      <c r="AW135" s="133">
        <f>前台增值物品出入库录入!AW137*$E135</f>
        <v>0</v>
      </c>
      <c r="AX135" s="133">
        <f>前台增值物品出入库录入!AX137*$E135</f>
        <v>0</v>
      </c>
      <c r="AY135" s="133">
        <f>前台增值物品出入库录入!AY137*$E135</f>
        <v>0</v>
      </c>
      <c r="AZ135" s="133">
        <f>前台增值物品出入库录入!AZ137*$E135</f>
        <v>0</v>
      </c>
      <c r="BA135" s="133">
        <f>前台增值物品出入库录入!BA137*$E135</f>
        <v>0</v>
      </c>
      <c r="BB135" s="133">
        <f>前台增值物品出入库录入!BB137*$E135</f>
        <v>0</v>
      </c>
      <c r="BC135" s="133">
        <f>前台增值物品出入库录入!BC137*$E135</f>
        <v>0</v>
      </c>
      <c r="BD135" s="133">
        <f>前台增值物品出入库录入!BD137*$E135</f>
        <v>0</v>
      </c>
      <c r="BE135" s="133">
        <f>前台增值物品出入库录入!BE137*$E135</f>
        <v>0</v>
      </c>
      <c r="BF135" s="133">
        <f>前台增值物品出入库录入!BF137*$E135</f>
        <v>0</v>
      </c>
      <c r="BG135" s="133">
        <f>前台增值物品出入库录入!BG137*$E135</f>
        <v>0</v>
      </c>
      <c r="BH135" s="133">
        <f>前台增值物品出入库录入!BH137*$E135</f>
        <v>0</v>
      </c>
      <c r="BI135" s="133">
        <f>前台增值物品出入库录入!BI137*$E135</f>
        <v>0</v>
      </c>
      <c r="BJ135" s="133">
        <f>前台增值物品出入库录入!BJ137*$E135</f>
        <v>0</v>
      </c>
      <c r="BK135" s="133">
        <f>前台增值物品出入库录入!BK137*$E135</f>
        <v>1.3908</v>
      </c>
      <c r="BL135" s="133">
        <f>前台增值物品出入库录入!BL137*$E135</f>
        <v>0</v>
      </c>
      <c r="BM135" s="133">
        <f>前台增值物品出入库录入!BM137*$E135</f>
        <v>1.7385</v>
      </c>
      <c r="BN135" s="133">
        <f>前台增值物品出入库录入!BN137*$E135</f>
        <v>0</v>
      </c>
      <c r="BO135" s="133">
        <f>前台增值物品出入库录入!BO137*$E135</f>
        <v>0</v>
      </c>
      <c r="BP135" s="133">
        <f>前台增值物品出入库录入!BP137*$E135</f>
        <v>0</v>
      </c>
      <c r="BQ135" s="133">
        <f>前台增值物品出入库录入!BQ137*$E135</f>
        <v>1.7385</v>
      </c>
      <c r="BR135" s="133">
        <f>前台增值物品出入库录入!BR137*$E135</f>
        <v>0</v>
      </c>
      <c r="BS135" s="133">
        <f>前台增值物品出入库录入!BS137*$E135</f>
        <v>0</v>
      </c>
      <c r="BT135" s="133">
        <f>前台增值物品出入库录入!BT137*$E135</f>
        <v>0</v>
      </c>
      <c r="BU135" s="133">
        <f>前台增值物品出入库录入!BU137*$E135</f>
        <v>0</v>
      </c>
      <c r="BV135" s="133">
        <f>前台增值物品出入库录入!BV137*$E135</f>
        <v>0</v>
      </c>
      <c r="BW135" s="133">
        <f>前台增值物品出入库录入!BW137*$E135</f>
        <v>0</v>
      </c>
    </row>
    <row r="136" ht="16.5" spans="1:75">
      <c r="A136" s="161">
        <v>141</v>
      </c>
      <c r="B136" s="162" t="str">
        <f>前台增值物品出入库录入!B138</f>
        <v>咖啡豆</v>
      </c>
      <c r="C136" s="162">
        <f>前台增值物品出入库录入!C138</f>
        <v>0</v>
      </c>
      <c r="D136" s="162" t="str">
        <f>前台增值物品出入库录入!D138</f>
        <v>包</v>
      </c>
      <c r="E136" s="162">
        <f>前台增值物品出入库录入!E138</f>
        <v>36.45</v>
      </c>
      <c r="F136" s="162">
        <f>前台增值物品出入库录入!F138</f>
        <v>0</v>
      </c>
      <c r="G136" s="162">
        <f>前台增值物品出入库录入!G138</f>
        <v>0</v>
      </c>
      <c r="H136" s="162">
        <f>前台增值物品出入库录入!H138</f>
        <v>0</v>
      </c>
      <c r="I136" s="162">
        <f>前台增值物品出入库录入!I138</f>
        <v>0</v>
      </c>
      <c r="J136" s="162">
        <f>前台增值物品出入库录入!J138</f>
        <v>0</v>
      </c>
      <c r="K136" s="162">
        <f>前台增值物品出入库录入!K138</f>
        <v>0</v>
      </c>
      <c r="L136" s="162">
        <f>前台增值物品出入库录入!L138</f>
        <v>0</v>
      </c>
      <c r="M136" s="162">
        <f>前台增值物品出入库录入!M138</f>
        <v>0</v>
      </c>
      <c r="N136" s="133">
        <f>前台增值物品出入库录入!N138*$E136</f>
        <v>0</v>
      </c>
      <c r="O136" s="133">
        <f>前台增值物品出入库录入!O138*$E136</f>
        <v>0</v>
      </c>
      <c r="P136" s="133">
        <f>前台增值物品出入库录入!P138*$E136</f>
        <v>0</v>
      </c>
      <c r="Q136" s="133">
        <f>前台增值物品出入库录入!Q138*$E136</f>
        <v>0</v>
      </c>
      <c r="R136" s="133">
        <f>前台增值物品出入库录入!R138*$E136</f>
        <v>0</v>
      </c>
      <c r="S136" s="133">
        <f>前台增值物品出入库录入!S138*$E136</f>
        <v>0</v>
      </c>
      <c r="T136" s="133">
        <f>前台增值物品出入库录入!T138*$E136</f>
        <v>0</v>
      </c>
      <c r="U136" s="133">
        <f>前台增值物品出入库录入!U138*$E136</f>
        <v>0</v>
      </c>
      <c r="V136" s="133">
        <f>前台增值物品出入库录入!V138*$E136</f>
        <v>0</v>
      </c>
      <c r="W136" s="133">
        <f>前台增值物品出入库录入!W138*$E136</f>
        <v>0</v>
      </c>
      <c r="X136" s="133">
        <f>前台增值物品出入库录入!X138*$E136</f>
        <v>0</v>
      </c>
      <c r="Y136" s="133">
        <f>前台增值物品出入库录入!Y138*$E136</f>
        <v>0</v>
      </c>
      <c r="Z136" s="133">
        <f>前台增值物品出入库录入!Z138*$E136</f>
        <v>0</v>
      </c>
      <c r="AA136" s="133">
        <f>前台增值物品出入库录入!AA138*$E136</f>
        <v>0</v>
      </c>
      <c r="AB136" s="133">
        <f>前台增值物品出入库录入!AB138*$E136</f>
        <v>0</v>
      </c>
      <c r="AC136" s="133">
        <f>前台增值物品出入库录入!AC138*$E136</f>
        <v>0</v>
      </c>
      <c r="AD136" s="133">
        <f>前台增值物品出入库录入!AD138*$E136</f>
        <v>0</v>
      </c>
      <c r="AE136" s="133">
        <f>前台增值物品出入库录入!AE138*$E136</f>
        <v>0</v>
      </c>
      <c r="AF136" s="133">
        <f>前台增值物品出入库录入!AF138*$E136</f>
        <v>0</v>
      </c>
      <c r="AG136" s="133">
        <f>前台增值物品出入库录入!AG138*$E136</f>
        <v>0</v>
      </c>
      <c r="AH136" s="133">
        <f>前台增值物品出入库录入!AH138*$E136</f>
        <v>0</v>
      </c>
      <c r="AI136" s="133">
        <f>前台增值物品出入库录入!AI138*$E136</f>
        <v>0</v>
      </c>
      <c r="AJ136" s="133">
        <f>前台增值物品出入库录入!AJ138*$E136</f>
        <v>0</v>
      </c>
      <c r="AK136" s="133">
        <f>前台增值物品出入库录入!AK138*$E136</f>
        <v>0</v>
      </c>
      <c r="AL136" s="133">
        <f>前台增值物品出入库录入!AL138*$E136</f>
        <v>0</v>
      </c>
      <c r="AM136" s="133">
        <f>前台增值物品出入库录入!AM138*$E136</f>
        <v>0</v>
      </c>
      <c r="AN136" s="133">
        <f>前台增值物品出入库录入!AN138*$E136</f>
        <v>0</v>
      </c>
      <c r="AO136" s="133">
        <f>前台增值物品出入库录入!AO138*$E136</f>
        <v>0</v>
      </c>
      <c r="AP136" s="133">
        <f>前台增值物品出入库录入!AP138*$E136</f>
        <v>0</v>
      </c>
      <c r="AQ136" s="133">
        <f>前台增值物品出入库录入!AQ138*$E136</f>
        <v>0</v>
      </c>
      <c r="AR136" s="133">
        <f>前台增值物品出入库录入!AR138*$E136</f>
        <v>0</v>
      </c>
      <c r="AS136" s="133">
        <f>前台增值物品出入库录入!AS138*$E136</f>
        <v>0</v>
      </c>
      <c r="AT136" s="133">
        <f>前台增值物品出入库录入!AT138*$E136</f>
        <v>0</v>
      </c>
      <c r="AU136" s="133">
        <f>前台增值物品出入库录入!AU138*$E136</f>
        <v>0</v>
      </c>
      <c r="AV136" s="133">
        <f>前台增值物品出入库录入!AV138*$E136</f>
        <v>0</v>
      </c>
      <c r="AW136" s="133">
        <f>前台增值物品出入库录入!AW138*$E136</f>
        <v>0</v>
      </c>
      <c r="AX136" s="133">
        <f>前台增值物品出入库录入!AX138*$E136</f>
        <v>0</v>
      </c>
      <c r="AY136" s="133">
        <f>前台增值物品出入库录入!AY138*$E136</f>
        <v>0</v>
      </c>
      <c r="AZ136" s="133">
        <f>前台增值物品出入库录入!AZ138*$E136</f>
        <v>0</v>
      </c>
      <c r="BA136" s="133">
        <f>前台增值物品出入库录入!BA138*$E136</f>
        <v>0</v>
      </c>
      <c r="BB136" s="133">
        <f>前台增值物品出入库录入!BB138*$E136</f>
        <v>0</v>
      </c>
      <c r="BC136" s="133">
        <f>前台增值物品出入库录入!BC138*$E136</f>
        <v>0</v>
      </c>
      <c r="BD136" s="133">
        <f>前台增值物品出入库录入!BD138*$E136</f>
        <v>0</v>
      </c>
      <c r="BE136" s="133">
        <f>前台增值物品出入库录入!BE138*$E136</f>
        <v>0</v>
      </c>
      <c r="BF136" s="133">
        <f>前台增值物品出入库录入!BF138*$E136</f>
        <v>0</v>
      </c>
      <c r="BG136" s="133">
        <f>前台增值物品出入库录入!BG138*$E136</f>
        <v>0</v>
      </c>
      <c r="BH136" s="133">
        <f>前台增值物品出入库录入!BH138*$E136</f>
        <v>0</v>
      </c>
      <c r="BI136" s="133">
        <f>前台增值物品出入库录入!BI138*$E136</f>
        <v>0</v>
      </c>
      <c r="BJ136" s="133">
        <f>前台增值物品出入库录入!BJ138*$E136</f>
        <v>0</v>
      </c>
      <c r="BK136" s="133">
        <f>前台增值物品出入库录入!BK138*$E136</f>
        <v>0</v>
      </c>
      <c r="BL136" s="133">
        <f>前台增值物品出入库录入!BL138*$E136</f>
        <v>0</v>
      </c>
      <c r="BM136" s="133">
        <f>前台增值物品出入库录入!BM138*$E136</f>
        <v>0</v>
      </c>
      <c r="BN136" s="133">
        <f>前台增值物品出入库录入!BN138*$E136</f>
        <v>0</v>
      </c>
      <c r="BO136" s="133">
        <f>前台增值物品出入库录入!BO138*$E136</f>
        <v>0</v>
      </c>
      <c r="BP136" s="133">
        <f>前台增值物品出入库录入!BP138*$E136</f>
        <v>0</v>
      </c>
      <c r="BQ136" s="133">
        <f>前台增值物品出入库录入!BQ138*$E136</f>
        <v>0</v>
      </c>
      <c r="BR136" s="133">
        <f>前台增值物品出入库录入!BR138*$E136</f>
        <v>0</v>
      </c>
      <c r="BS136" s="133">
        <f>前台增值物品出入库录入!BS138*$E136</f>
        <v>0</v>
      </c>
      <c r="BT136" s="133">
        <f>前台增值物品出入库录入!BT138*$E136</f>
        <v>0</v>
      </c>
      <c r="BU136" s="133">
        <f>前台增值物品出入库录入!BU138*$E136</f>
        <v>0</v>
      </c>
      <c r="BV136" s="133">
        <f>前台增值物品出入库录入!BV138*$E136</f>
        <v>0</v>
      </c>
      <c r="BW136" s="133">
        <f>前台增值物品出入库录入!BW138*$E136</f>
        <v>0</v>
      </c>
    </row>
    <row r="137" ht="16.5" spans="1:75">
      <c r="A137" s="161">
        <v>142</v>
      </c>
      <c r="B137" s="162" t="str">
        <f>前台增值物品出入库录入!B139</f>
        <v>耳机</v>
      </c>
      <c r="C137" s="162">
        <f>前台增值物品出入库录入!C139</f>
        <v>0</v>
      </c>
      <c r="D137" s="162" t="str">
        <f>前台增值物品出入库录入!D139</f>
        <v>个</v>
      </c>
      <c r="E137" s="162">
        <f>前台增值物品出入库录入!E139</f>
        <v>7.19</v>
      </c>
      <c r="F137" s="162">
        <f>前台增值物品出入库录入!F139</f>
        <v>0</v>
      </c>
      <c r="G137" s="162">
        <f>前台增值物品出入库录入!G139</f>
        <v>0</v>
      </c>
      <c r="H137" s="162">
        <f>前台增值物品出入库录入!H139</f>
        <v>0</v>
      </c>
      <c r="I137" s="162">
        <f>前台增值物品出入库录入!I139</f>
        <v>0</v>
      </c>
      <c r="J137" s="162">
        <f>前台增值物品出入库录入!J139</f>
        <v>0</v>
      </c>
      <c r="K137" s="162">
        <f>前台增值物品出入库录入!K139</f>
        <v>0</v>
      </c>
      <c r="L137" s="162">
        <f>前台增值物品出入库录入!L139</f>
        <v>0</v>
      </c>
      <c r="M137" s="162">
        <f>前台增值物品出入库录入!M139</f>
        <v>0</v>
      </c>
      <c r="N137" s="133">
        <f>前台增值物品出入库录入!N139*$E137</f>
        <v>0</v>
      </c>
      <c r="O137" s="133">
        <f>前台增值物品出入库录入!O139*$E137</f>
        <v>0</v>
      </c>
      <c r="P137" s="133">
        <f>前台增值物品出入库录入!P139*$E137</f>
        <v>0</v>
      </c>
      <c r="Q137" s="133">
        <f>前台增值物品出入库录入!Q139*$E137</f>
        <v>0</v>
      </c>
      <c r="R137" s="133">
        <f>前台增值物品出入库录入!R139*$E137</f>
        <v>0</v>
      </c>
      <c r="S137" s="133">
        <f>前台增值物品出入库录入!S139*$E137</f>
        <v>0</v>
      </c>
      <c r="T137" s="133">
        <f>前台增值物品出入库录入!T139*$E137</f>
        <v>0</v>
      </c>
      <c r="U137" s="133">
        <f>前台增值物品出入库录入!U139*$E137</f>
        <v>0</v>
      </c>
      <c r="V137" s="133">
        <f>前台增值物品出入库录入!V139*$E137</f>
        <v>0</v>
      </c>
      <c r="W137" s="133">
        <f>前台增值物品出入库录入!W139*$E137</f>
        <v>0</v>
      </c>
      <c r="X137" s="133">
        <f>前台增值物品出入库录入!X139*$E137</f>
        <v>0</v>
      </c>
      <c r="Y137" s="133">
        <f>前台增值物品出入库录入!Y139*$E137</f>
        <v>0</v>
      </c>
      <c r="Z137" s="133">
        <f>前台增值物品出入库录入!Z139*$E137</f>
        <v>0</v>
      </c>
      <c r="AA137" s="133">
        <f>前台增值物品出入库录入!AA139*$E137</f>
        <v>0</v>
      </c>
      <c r="AB137" s="133">
        <f>前台增值物品出入库录入!AB139*$E137</f>
        <v>0</v>
      </c>
      <c r="AC137" s="133">
        <f>前台增值物品出入库录入!AC139*$E137</f>
        <v>0</v>
      </c>
      <c r="AD137" s="133">
        <f>前台增值物品出入库录入!AD139*$E137</f>
        <v>0</v>
      </c>
      <c r="AE137" s="133">
        <f>前台增值物品出入库录入!AE139*$E137</f>
        <v>0</v>
      </c>
      <c r="AF137" s="133">
        <f>前台增值物品出入库录入!AF139*$E137</f>
        <v>0</v>
      </c>
      <c r="AG137" s="133">
        <f>前台增值物品出入库录入!AG139*$E137</f>
        <v>0</v>
      </c>
      <c r="AH137" s="133">
        <f>前台增值物品出入库录入!AH139*$E137</f>
        <v>0</v>
      </c>
      <c r="AI137" s="133">
        <f>前台增值物品出入库录入!AI139*$E137</f>
        <v>0</v>
      </c>
      <c r="AJ137" s="133">
        <f>前台增值物品出入库录入!AJ139*$E137</f>
        <v>0</v>
      </c>
      <c r="AK137" s="133">
        <f>前台增值物品出入库录入!AK139*$E137</f>
        <v>0</v>
      </c>
      <c r="AL137" s="133">
        <f>前台增值物品出入库录入!AL139*$E137</f>
        <v>0</v>
      </c>
      <c r="AM137" s="133">
        <f>前台增值物品出入库录入!AM139*$E137</f>
        <v>0</v>
      </c>
      <c r="AN137" s="133">
        <f>前台增值物品出入库录入!AN139*$E137</f>
        <v>0</v>
      </c>
      <c r="AO137" s="133">
        <f>前台增值物品出入库录入!AO139*$E137</f>
        <v>0</v>
      </c>
      <c r="AP137" s="133">
        <f>前台增值物品出入库录入!AP139*$E137</f>
        <v>0</v>
      </c>
      <c r="AQ137" s="133">
        <f>前台增值物品出入库录入!AQ139*$E137</f>
        <v>0</v>
      </c>
      <c r="AR137" s="133">
        <f>前台增值物品出入库录入!AR139*$E137</f>
        <v>0</v>
      </c>
      <c r="AS137" s="133">
        <f>前台增值物品出入库录入!AS139*$E137</f>
        <v>0</v>
      </c>
      <c r="AT137" s="133">
        <f>前台增值物品出入库录入!AT139*$E137</f>
        <v>0</v>
      </c>
      <c r="AU137" s="133">
        <f>前台增值物品出入库录入!AU139*$E137</f>
        <v>0</v>
      </c>
      <c r="AV137" s="133">
        <f>前台增值物品出入库录入!AV139*$E137</f>
        <v>0</v>
      </c>
      <c r="AW137" s="133">
        <f>前台增值物品出入库录入!AW139*$E137</f>
        <v>0</v>
      </c>
      <c r="AX137" s="133">
        <f>前台增值物品出入库录入!AX139*$E137</f>
        <v>0</v>
      </c>
      <c r="AY137" s="133">
        <f>前台增值物品出入库录入!AY139*$E137</f>
        <v>0</v>
      </c>
      <c r="AZ137" s="133">
        <f>前台增值物品出入库录入!AZ139*$E137</f>
        <v>0</v>
      </c>
      <c r="BA137" s="133">
        <f>前台增值物品出入库录入!BA139*$E137</f>
        <v>0</v>
      </c>
      <c r="BB137" s="133">
        <f>前台增值物品出入库录入!BB139*$E137</f>
        <v>0</v>
      </c>
      <c r="BC137" s="133">
        <f>前台增值物品出入库录入!BC139*$E137</f>
        <v>0</v>
      </c>
      <c r="BD137" s="133">
        <f>前台增值物品出入库录入!BD139*$E137</f>
        <v>0</v>
      </c>
      <c r="BE137" s="133">
        <f>前台增值物品出入库录入!BE139*$E137</f>
        <v>0</v>
      </c>
      <c r="BF137" s="133">
        <f>前台增值物品出入库录入!BF139*$E137</f>
        <v>0</v>
      </c>
      <c r="BG137" s="133">
        <f>前台增值物品出入库录入!BG139*$E137</f>
        <v>0</v>
      </c>
      <c r="BH137" s="133">
        <f>前台增值物品出入库录入!BH139*$E137</f>
        <v>0</v>
      </c>
      <c r="BI137" s="133">
        <f>前台增值物品出入库录入!BI139*$E137</f>
        <v>0</v>
      </c>
      <c r="BJ137" s="133">
        <f>前台增值物品出入库录入!BJ139*$E137</f>
        <v>0</v>
      </c>
      <c r="BK137" s="133">
        <f>前台增值物品出入库录入!BK139*$E137</f>
        <v>0</v>
      </c>
      <c r="BL137" s="133">
        <f>前台增值物品出入库录入!BL139*$E137</f>
        <v>0</v>
      </c>
      <c r="BM137" s="133">
        <f>前台增值物品出入库录入!BM139*$E137</f>
        <v>0</v>
      </c>
      <c r="BN137" s="133">
        <f>前台增值物品出入库录入!BN139*$E137</f>
        <v>0</v>
      </c>
      <c r="BO137" s="133">
        <f>前台增值物品出入库录入!BO139*$E137</f>
        <v>0</v>
      </c>
      <c r="BP137" s="133">
        <f>前台增值物品出入库录入!BP139*$E137</f>
        <v>0</v>
      </c>
      <c r="BQ137" s="133">
        <f>前台增值物品出入库录入!BQ139*$E137</f>
        <v>0</v>
      </c>
      <c r="BR137" s="133">
        <f>前台增值物品出入库录入!BR139*$E137</f>
        <v>0</v>
      </c>
      <c r="BS137" s="133">
        <f>前台增值物品出入库录入!BS139*$E137</f>
        <v>0</v>
      </c>
      <c r="BT137" s="133">
        <f>前台增值物品出入库录入!BT139*$E137</f>
        <v>0</v>
      </c>
      <c r="BU137" s="133">
        <f>前台增值物品出入库录入!BU139*$E137</f>
        <v>0</v>
      </c>
      <c r="BV137" s="133">
        <f>前台增值物品出入库录入!BV139*$E137</f>
        <v>0</v>
      </c>
      <c r="BW137" s="133">
        <f>前台增值物品出入库录入!BW139*$E137</f>
        <v>0</v>
      </c>
    </row>
    <row r="138" ht="16.5" spans="1:75">
      <c r="A138" s="161">
        <v>143</v>
      </c>
      <c r="B138" s="162" t="str">
        <f>前台增值物品出入库录入!B140</f>
        <v>墨粉</v>
      </c>
      <c r="C138" s="162">
        <f>前台增值物品出入库录入!C140</f>
        <v>0</v>
      </c>
      <c r="D138" s="162" t="str">
        <f>前台增值物品出入库录入!D140</f>
        <v>个</v>
      </c>
      <c r="E138" s="162">
        <f>前台增值物品出入库录入!E140</f>
        <v>68</v>
      </c>
      <c r="F138" s="162">
        <f>前台增值物品出入库录入!F140</f>
        <v>2</v>
      </c>
      <c r="G138" s="162">
        <f>前台增值物品出入库录入!G140</f>
        <v>136</v>
      </c>
      <c r="H138" s="162">
        <f>前台增值物品出入库录入!H140</f>
        <v>0</v>
      </c>
      <c r="I138" s="162">
        <f>前台增值物品出入库录入!I140</f>
        <v>0</v>
      </c>
      <c r="J138" s="162">
        <f>前台增值物品出入库录入!J140</f>
        <v>1</v>
      </c>
      <c r="K138" s="162">
        <f>前台增值物品出入库录入!K140</f>
        <v>68</v>
      </c>
      <c r="L138" s="162">
        <f>前台增值物品出入库录入!L140</f>
        <v>1</v>
      </c>
      <c r="M138" s="162">
        <f>前台增值物品出入库录入!M140</f>
        <v>68</v>
      </c>
      <c r="N138" s="133">
        <f>前台增值物品出入库录入!N140*$E138</f>
        <v>0</v>
      </c>
      <c r="O138" s="133">
        <f>前台增值物品出入库录入!O140*$E138</f>
        <v>0</v>
      </c>
      <c r="P138" s="133">
        <f>前台增值物品出入库录入!P140*$E138</f>
        <v>0</v>
      </c>
      <c r="Q138" s="133">
        <f>前台增值物品出入库录入!Q140*$E138</f>
        <v>0</v>
      </c>
      <c r="R138" s="133">
        <f>前台增值物品出入库录入!R140*$E138</f>
        <v>0</v>
      </c>
      <c r="S138" s="133">
        <f>前台增值物品出入库录入!S140*$E138</f>
        <v>0</v>
      </c>
      <c r="T138" s="133">
        <f>前台增值物品出入库录入!T140*$E138</f>
        <v>0</v>
      </c>
      <c r="U138" s="133">
        <f>前台增值物品出入库录入!U140*$E138</f>
        <v>0</v>
      </c>
      <c r="V138" s="133">
        <f>前台增值物品出入库录入!V140*$E138</f>
        <v>0</v>
      </c>
      <c r="W138" s="133">
        <f>前台增值物品出入库录入!W140*$E138</f>
        <v>0</v>
      </c>
      <c r="X138" s="133">
        <f>前台增值物品出入库录入!X140*$E138</f>
        <v>0</v>
      </c>
      <c r="Y138" s="133">
        <f>前台增值物品出入库录入!Y140*$E138</f>
        <v>0</v>
      </c>
      <c r="Z138" s="133">
        <f>前台增值物品出入库录入!Z140*$E138</f>
        <v>0</v>
      </c>
      <c r="AA138" s="133">
        <f>前台增值物品出入库录入!AA140*$E138</f>
        <v>0</v>
      </c>
      <c r="AB138" s="133">
        <f>前台增值物品出入库录入!AB140*$E138</f>
        <v>0</v>
      </c>
      <c r="AC138" s="133">
        <f>前台增值物品出入库录入!AC140*$E138</f>
        <v>0</v>
      </c>
      <c r="AD138" s="133">
        <f>前台增值物品出入库录入!AD140*$E138</f>
        <v>0</v>
      </c>
      <c r="AE138" s="133">
        <f>前台增值物品出入库录入!AE140*$E138</f>
        <v>0</v>
      </c>
      <c r="AF138" s="133">
        <f>前台增值物品出入库录入!AF140*$E138</f>
        <v>0</v>
      </c>
      <c r="AG138" s="133">
        <f>前台增值物品出入库录入!AG140*$E138</f>
        <v>0</v>
      </c>
      <c r="AH138" s="133">
        <f>前台增值物品出入库录入!AH140*$E138</f>
        <v>0</v>
      </c>
      <c r="AI138" s="133">
        <f>前台增值物品出入库录入!AI140*$E138</f>
        <v>0</v>
      </c>
      <c r="AJ138" s="133">
        <f>前台增值物品出入库录入!AJ140*$E138</f>
        <v>0</v>
      </c>
      <c r="AK138" s="133">
        <f>前台增值物品出入库录入!AK140*$E138</f>
        <v>0</v>
      </c>
      <c r="AL138" s="133">
        <f>前台增值物品出入库录入!AL140*$E138</f>
        <v>0</v>
      </c>
      <c r="AM138" s="133">
        <f>前台增值物品出入库录入!AM140*$E138</f>
        <v>0</v>
      </c>
      <c r="AN138" s="133">
        <f>前台增值物品出入库录入!AN140*$E138</f>
        <v>0</v>
      </c>
      <c r="AO138" s="133">
        <f>前台增值物品出入库录入!AO140*$E138</f>
        <v>0</v>
      </c>
      <c r="AP138" s="133">
        <f>前台增值物品出入库录入!AP140*$E138</f>
        <v>0</v>
      </c>
      <c r="AQ138" s="133">
        <f>前台增值物品出入库录入!AQ140*$E138</f>
        <v>0</v>
      </c>
      <c r="AR138" s="133">
        <f>前台增值物品出入库录入!AR140*$E138</f>
        <v>0</v>
      </c>
      <c r="AS138" s="133">
        <f>前台增值物品出入库录入!AS140*$E138</f>
        <v>0</v>
      </c>
      <c r="AT138" s="133">
        <f>前台增值物品出入库录入!AT140*$E138</f>
        <v>0</v>
      </c>
      <c r="AU138" s="133">
        <f>前台增值物品出入库录入!AU140*$E138</f>
        <v>0</v>
      </c>
      <c r="AV138" s="133">
        <f>前台增值物品出入库录入!AV140*$E138</f>
        <v>0</v>
      </c>
      <c r="AW138" s="133">
        <f>前台增值物品出入库录入!AW140*$E138</f>
        <v>0</v>
      </c>
      <c r="AX138" s="133">
        <f>前台增值物品出入库录入!AX140*$E138</f>
        <v>0</v>
      </c>
      <c r="AY138" s="133">
        <f>前台增值物品出入库录入!AY140*$E138</f>
        <v>0</v>
      </c>
      <c r="AZ138" s="133">
        <f>前台增值物品出入库录入!AZ140*$E138</f>
        <v>0</v>
      </c>
      <c r="BA138" s="133">
        <f>前台增值物品出入库录入!BA140*$E138</f>
        <v>0</v>
      </c>
      <c r="BB138" s="133">
        <f>前台增值物品出入库录入!BB140*$E138</f>
        <v>0</v>
      </c>
      <c r="BC138" s="133">
        <f>前台增值物品出入库录入!BC140*$E138</f>
        <v>0</v>
      </c>
      <c r="BD138" s="133">
        <f>前台增值物品出入库录入!BD140*$E138</f>
        <v>0</v>
      </c>
      <c r="BE138" s="133">
        <f>前台增值物品出入库录入!BE140*$E138</f>
        <v>0</v>
      </c>
      <c r="BF138" s="133">
        <f>前台增值物品出入库录入!BF140*$E138</f>
        <v>0</v>
      </c>
      <c r="BG138" s="133">
        <f>前台增值物品出入库录入!BG140*$E138</f>
        <v>0</v>
      </c>
      <c r="BH138" s="133">
        <f>前台增值物品出入库录入!BH140*$E138</f>
        <v>0</v>
      </c>
      <c r="BI138" s="133">
        <f>前台增值物品出入库录入!BI140*$E138</f>
        <v>0</v>
      </c>
      <c r="BJ138" s="133">
        <f>前台增值物品出入库录入!BJ140*$E138</f>
        <v>0</v>
      </c>
      <c r="BK138" s="133">
        <f>前台增值物品出入库录入!BK140*$E138</f>
        <v>68</v>
      </c>
      <c r="BL138" s="133">
        <f>前台增值物品出入库录入!BL140*$E138</f>
        <v>0</v>
      </c>
      <c r="BM138" s="133">
        <f>前台增值物品出入库录入!BM140*$E138</f>
        <v>0</v>
      </c>
      <c r="BN138" s="133">
        <f>前台增值物品出入库录入!BN140*$E138</f>
        <v>0</v>
      </c>
      <c r="BO138" s="133">
        <f>前台增值物品出入库录入!BO140*$E138</f>
        <v>0</v>
      </c>
      <c r="BP138" s="133">
        <f>前台增值物品出入库录入!BP140*$E138</f>
        <v>0</v>
      </c>
      <c r="BQ138" s="133">
        <f>前台增值物品出入库录入!BQ140*$E138</f>
        <v>0</v>
      </c>
      <c r="BR138" s="133">
        <f>前台增值物品出入库录入!BR140*$E138</f>
        <v>0</v>
      </c>
      <c r="BS138" s="133">
        <f>前台增值物品出入库录入!BS140*$E138</f>
        <v>0</v>
      </c>
      <c r="BT138" s="133">
        <f>前台增值物品出入库录入!BT140*$E138</f>
        <v>0</v>
      </c>
      <c r="BU138" s="133">
        <f>前台增值物品出入库录入!BU140*$E138</f>
        <v>0</v>
      </c>
      <c r="BV138" s="133">
        <f>前台增值物品出入库录入!BV140*$E138</f>
        <v>0</v>
      </c>
      <c r="BW138" s="133">
        <f>前台增值物品出入库录入!BW140*$E138</f>
        <v>0</v>
      </c>
    </row>
    <row r="139" ht="16.5" spans="1:75">
      <c r="A139" s="161">
        <v>144</v>
      </c>
      <c r="B139" s="162" t="str">
        <f>前台增值物品出入库录入!B141</f>
        <v>国标转换器</v>
      </c>
      <c r="C139" s="162">
        <f>前台增值物品出入库录入!C141</f>
        <v>0</v>
      </c>
      <c r="D139" s="162" t="str">
        <f>前台增值物品出入库录入!D141</f>
        <v>个</v>
      </c>
      <c r="E139" s="162">
        <f>前台增值物品出入库录入!E141</f>
        <v>28.62</v>
      </c>
      <c r="F139" s="162">
        <f>前台增值物品出入库录入!F141</f>
        <v>10</v>
      </c>
      <c r="G139" s="162">
        <f>前台增值物品出入库录入!G141</f>
        <v>286.2</v>
      </c>
      <c r="H139" s="162">
        <f>前台增值物品出入库录入!H141</f>
        <v>0</v>
      </c>
      <c r="I139" s="162">
        <f>前台增值物品出入库录入!I141</f>
        <v>0</v>
      </c>
      <c r="J139" s="162">
        <f>前台增值物品出入库录入!J141</f>
        <v>1</v>
      </c>
      <c r="K139" s="162">
        <f>前台增值物品出入库录入!K141</f>
        <v>28.62</v>
      </c>
      <c r="L139" s="162">
        <f>前台增值物品出入库录入!L141</f>
        <v>9</v>
      </c>
      <c r="M139" s="162">
        <f>前台增值物品出入库录入!M141</f>
        <v>257.58</v>
      </c>
      <c r="N139" s="133">
        <f>前台增值物品出入库录入!N141*$E139</f>
        <v>0</v>
      </c>
      <c r="O139" s="133">
        <f>前台增值物品出入库录入!O141*$E139</f>
        <v>0</v>
      </c>
      <c r="P139" s="133">
        <f>前台增值物品出入库录入!P141*$E139</f>
        <v>0</v>
      </c>
      <c r="Q139" s="133">
        <f>前台增值物品出入库录入!Q141*$E139</f>
        <v>0</v>
      </c>
      <c r="R139" s="133">
        <f>前台增值物品出入库录入!R141*$E139</f>
        <v>0</v>
      </c>
      <c r="S139" s="133">
        <f>前台增值物品出入库录入!S141*$E139</f>
        <v>28.62</v>
      </c>
      <c r="T139" s="133">
        <f>前台增值物品出入库录入!T141*$E139</f>
        <v>0</v>
      </c>
      <c r="U139" s="133">
        <f>前台增值物品出入库录入!U141*$E139</f>
        <v>0</v>
      </c>
      <c r="V139" s="133">
        <f>前台增值物品出入库录入!V141*$E139</f>
        <v>0</v>
      </c>
      <c r="W139" s="133">
        <f>前台增值物品出入库录入!W141*$E139</f>
        <v>0</v>
      </c>
      <c r="X139" s="133">
        <f>前台增值物品出入库录入!X141*$E139</f>
        <v>0</v>
      </c>
      <c r="Y139" s="133">
        <f>前台增值物品出入库录入!Y141*$E139</f>
        <v>0</v>
      </c>
      <c r="Z139" s="133">
        <f>前台增值物品出入库录入!Z141*$E139</f>
        <v>0</v>
      </c>
      <c r="AA139" s="133">
        <f>前台增值物品出入库录入!AA141*$E139</f>
        <v>0</v>
      </c>
      <c r="AB139" s="133">
        <f>前台增值物品出入库录入!AB141*$E139</f>
        <v>0</v>
      </c>
      <c r="AC139" s="133">
        <f>前台增值物品出入库录入!AC141*$E139</f>
        <v>0</v>
      </c>
      <c r="AD139" s="133">
        <f>前台增值物品出入库录入!AD141*$E139</f>
        <v>0</v>
      </c>
      <c r="AE139" s="133">
        <f>前台增值物品出入库录入!AE141*$E139</f>
        <v>0</v>
      </c>
      <c r="AF139" s="133">
        <f>前台增值物品出入库录入!AF141*$E139</f>
        <v>0</v>
      </c>
      <c r="AG139" s="133">
        <f>前台增值物品出入库录入!AG141*$E139</f>
        <v>0</v>
      </c>
      <c r="AH139" s="133">
        <f>前台增值物品出入库录入!AH141*$E139</f>
        <v>0</v>
      </c>
      <c r="AI139" s="133">
        <f>前台增值物品出入库录入!AI141*$E139</f>
        <v>0</v>
      </c>
      <c r="AJ139" s="133">
        <f>前台增值物品出入库录入!AJ141*$E139</f>
        <v>0</v>
      </c>
      <c r="AK139" s="133">
        <f>前台增值物品出入库录入!AK141*$E139</f>
        <v>0</v>
      </c>
      <c r="AL139" s="133">
        <f>前台增值物品出入库录入!AL141*$E139</f>
        <v>0</v>
      </c>
      <c r="AM139" s="133">
        <f>前台增值物品出入库录入!AM141*$E139</f>
        <v>0</v>
      </c>
      <c r="AN139" s="133">
        <f>前台增值物品出入库录入!AN141*$E139</f>
        <v>0</v>
      </c>
      <c r="AO139" s="133">
        <f>前台增值物品出入库录入!AO141*$E139</f>
        <v>0</v>
      </c>
      <c r="AP139" s="133">
        <f>前台增值物品出入库录入!AP141*$E139</f>
        <v>0</v>
      </c>
      <c r="AQ139" s="133">
        <f>前台增值物品出入库录入!AQ141*$E139</f>
        <v>0</v>
      </c>
      <c r="AR139" s="133">
        <f>前台增值物品出入库录入!AR141*$E139</f>
        <v>0</v>
      </c>
      <c r="AS139" s="133">
        <f>前台增值物品出入库录入!AS141*$E139</f>
        <v>0</v>
      </c>
      <c r="AT139" s="133">
        <f>前台增值物品出入库录入!AT141*$E139</f>
        <v>0</v>
      </c>
      <c r="AU139" s="133">
        <f>前台增值物品出入库录入!AU141*$E139</f>
        <v>0</v>
      </c>
      <c r="AV139" s="133">
        <f>前台增值物品出入库录入!AV141*$E139</f>
        <v>0</v>
      </c>
      <c r="AW139" s="133">
        <f>前台增值物品出入库录入!AW141*$E139</f>
        <v>0</v>
      </c>
      <c r="AX139" s="133">
        <f>前台增值物品出入库录入!AX141*$E139</f>
        <v>0</v>
      </c>
      <c r="AY139" s="133">
        <f>前台增值物品出入库录入!AY141*$E139</f>
        <v>0</v>
      </c>
      <c r="AZ139" s="133">
        <f>前台增值物品出入库录入!AZ141*$E139</f>
        <v>0</v>
      </c>
      <c r="BA139" s="133">
        <f>前台增值物品出入库录入!BA141*$E139</f>
        <v>0</v>
      </c>
      <c r="BB139" s="133">
        <f>前台增值物品出入库录入!BB141*$E139</f>
        <v>0</v>
      </c>
      <c r="BC139" s="133">
        <f>前台增值物品出入库录入!BC141*$E139</f>
        <v>0</v>
      </c>
      <c r="BD139" s="133">
        <f>前台增值物品出入库录入!BD141*$E139</f>
        <v>0</v>
      </c>
      <c r="BE139" s="133">
        <f>前台增值物品出入库录入!BE141*$E139</f>
        <v>0</v>
      </c>
      <c r="BF139" s="133">
        <f>前台增值物品出入库录入!BF141*$E139</f>
        <v>0</v>
      </c>
      <c r="BG139" s="133">
        <f>前台增值物品出入库录入!BG141*$E139</f>
        <v>0</v>
      </c>
      <c r="BH139" s="133">
        <f>前台增值物品出入库录入!BH141*$E139</f>
        <v>0</v>
      </c>
      <c r="BI139" s="133">
        <f>前台增值物品出入库录入!BI141*$E139</f>
        <v>0</v>
      </c>
      <c r="BJ139" s="133">
        <f>前台增值物品出入库录入!BJ141*$E139</f>
        <v>0</v>
      </c>
      <c r="BK139" s="133">
        <f>前台增值物品出入库录入!BK141*$E139</f>
        <v>0</v>
      </c>
      <c r="BL139" s="133">
        <f>前台增值物品出入库录入!BL141*$E139</f>
        <v>0</v>
      </c>
      <c r="BM139" s="133">
        <f>前台增值物品出入库录入!BM141*$E139</f>
        <v>0</v>
      </c>
      <c r="BN139" s="133">
        <f>前台增值物品出入库录入!BN141*$E139</f>
        <v>0</v>
      </c>
      <c r="BO139" s="133">
        <f>前台增值物品出入库录入!BO141*$E139</f>
        <v>0</v>
      </c>
      <c r="BP139" s="133">
        <f>前台增值物品出入库录入!BP141*$E139</f>
        <v>0</v>
      </c>
      <c r="BQ139" s="133">
        <f>前台增值物品出入库录入!BQ141*$E139</f>
        <v>0</v>
      </c>
      <c r="BR139" s="133">
        <f>前台增值物品出入库录入!BR141*$E139</f>
        <v>0</v>
      </c>
      <c r="BS139" s="133">
        <f>前台增值物品出入库录入!BS141*$E139</f>
        <v>0</v>
      </c>
      <c r="BT139" s="133">
        <f>前台增值物品出入库录入!BT141*$E139</f>
        <v>0</v>
      </c>
      <c r="BU139" s="133">
        <f>前台增值物品出入库录入!BU141*$E139</f>
        <v>0</v>
      </c>
      <c r="BV139" s="133">
        <f>前台增值物品出入库录入!BV141*$E139</f>
        <v>0</v>
      </c>
      <c r="BW139" s="133">
        <f>前台增值物品出入库录入!BW141*$E139</f>
        <v>0</v>
      </c>
    </row>
    <row r="140" ht="16.5" spans="1:75">
      <c r="A140" s="161">
        <v>145</v>
      </c>
      <c r="B140" s="162" t="str">
        <f>前台增值物品出入库录入!B142</f>
        <v>耳塞</v>
      </c>
      <c r="C140" s="162">
        <f>前台增值物品出入库录入!C142</f>
        <v>0</v>
      </c>
      <c r="D140" s="162" t="str">
        <f>前台增值物品出入库录入!D142</f>
        <v>个</v>
      </c>
      <c r="E140" s="162">
        <f>前台增值物品出入库录入!E142</f>
        <v>0.1525</v>
      </c>
      <c r="F140" s="162">
        <f>前台增值物品出入库录入!F142</f>
        <v>154</v>
      </c>
      <c r="G140" s="162">
        <f>前台增值物品出入库录入!G142</f>
        <v>23.485</v>
      </c>
      <c r="H140" s="162">
        <f>前台增值物品出入库录入!H142</f>
        <v>0</v>
      </c>
      <c r="I140" s="162">
        <f>前台增值物品出入库录入!I142</f>
        <v>0</v>
      </c>
      <c r="J140" s="162">
        <f>前台增值物品出入库录入!J142</f>
        <v>20</v>
      </c>
      <c r="K140" s="162">
        <f>前台增值物品出入库录入!K142</f>
        <v>3.05</v>
      </c>
      <c r="L140" s="162">
        <f>前台增值物品出入库录入!L142</f>
        <v>134</v>
      </c>
      <c r="M140" s="162">
        <f>前台增值物品出入库录入!M142</f>
        <v>20.435</v>
      </c>
      <c r="N140" s="133">
        <f>前台增值物品出入库录入!N142*$E140</f>
        <v>0</v>
      </c>
      <c r="O140" s="133">
        <f>前台增值物品出入库录入!O142*$E140</f>
        <v>0</v>
      </c>
      <c r="P140" s="133">
        <f>前台增值物品出入库录入!P142*$E140</f>
        <v>0</v>
      </c>
      <c r="Q140" s="133">
        <f>前台增值物品出入库录入!Q142*$E140</f>
        <v>0</v>
      </c>
      <c r="R140" s="133">
        <f>前台增值物品出入库录入!R142*$E140</f>
        <v>0</v>
      </c>
      <c r="S140" s="133">
        <f>前台增值物品出入库录入!S142*$E140</f>
        <v>0</v>
      </c>
      <c r="T140" s="133">
        <f>前台增值物品出入库录入!T142*$E140</f>
        <v>0</v>
      </c>
      <c r="U140" s="133">
        <f>前台增值物品出入库录入!U142*$E140</f>
        <v>0</v>
      </c>
      <c r="V140" s="133">
        <f>前台增值物品出入库录入!V142*$E140</f>
        <v>0</v>
      </c>
      <c r="W140" s="133">
        <f>前台增值物品出入库录入!W142*$E140</f>
        <v>0</v>
      </c>
      <c r="X140" s="133">
        <f>前台增值物品出入库录入!X142*$E140</f>
        <v>0</v>
      </c>
      <c r="Y140" s="133">
        <f>前台增值物品出入库录入!Y142*$E140</f>
        <v>0</v>
      </c>
      <c r="Z140" s="133">
        <f>前台增值物品出入库录入!Z142*$E140</f>
        <v>0</v>
      </c>
      <c r="AA140" s="133">
        <f>前台增值物品出入库录入!AA142*$E140</f>
        <v>0</v>
      </c>
      <c r="AB140" s="133">
        <f>前台增值物品出入库录入!AB142*$E140</f>
        <v>0</v>
      </c>
      <c r="AC140" s="133">
        <f>前台增值物品出入库录入!AC142*$E140</f>
        <v>0</v>
      </c>
      <c r="AD140" s="133">
        <f>前台增值物品出入库录入!AD142*$E140</f>
        <v>0</v>
      </c>
      <c r="AE140" s="133">
        <f>前台增值物品出入库录入!AE142*$E140</f>
        <v>0</v>
      </c>
      <c r="AF140" s="133">
        <f>前台增值物品出入库录入!AF142*$E140</f>
        <v>0</v>
      </c>
      <c r="AG140" s="133">
        <f>前台增值物品出入库录入!AG142*$E140</f>
        <v>0</v>
      </c>
      <c r="AH140" s="133">
        <f>前台增值物品出入库录入!AH142*$E140</f>
        <v>0</v>
      </c>
      <c r="AI140" s="133">
        <f>前台增值物品出入库录入!AI142*$E140</f>
        <v>0</v>
      </c>
      <c r="AJ140" s="133">
        <f>前台增值物品出入库录入!AJ142*$E140</f>
        <v>0</v>
      </c>
      <c r="AK140" s="133">
        <f>前台增值物品出入库录入!AK142*$E140</f>
        <v>0</v>
      </c>
      <c r="AL140" s="133">
        <f>前台增值物品出入库录入!AL142*$E140</f>
        <v>0</v>
      </c>
      <c r="AM140" s="133">
        <f>前台增值物品出入库录入!AM142*$E140</f>
        <v>0</v>
      </c>
      <c r="AN140" s="133">
        <f>前台增值物品出入库录入!AN142*$E140</f>
        <v>0</v>
      </c>
      <c r="AO140" s="133">
        <f>前台增值物品出入库录入!AO142*$E140</f>
        <v>0</v>
      </c>
      <c r="AP140" s="133">
        <f>前台增值物品出入库录入!AP142*$E140</f>
        <v>0</v>
      </c>
      <c r="AQ140" s="133">
        <f>前台增值物品出入库录入!AQ142*$E140</f>
        <v>0</v>
      </c>
      <c r="AR140" s="133">
        <f>前台增值物品出入库录入!AR142*$E140</f>
        <v>0</v>
      </c>
      <c r="AS140" s="133">
        <f>前台增值物品出入库录入!AS142*$E140</f>
        <v>0</v>
      </c>
      <c r="AT140" s="133">
        <f>前台增值物品出入库录入!AT142*$E140</f>
        <v>0</v>
      </c>
      <c r="AU140" s="133">
        <f>前台增值物品出入库录入!AU142*$E140</f>
        <v>0</v>
      </c>
      <c r="AV140" s="133">
        <f>前台增值物品出入库录入!AV142*$E140</f>
        <v>0</v>
      </c>
      <c r="AW140" s="133">
        <f>前台增值物品出入库录入!AW142*$E140</f>
        <v>0</v>
      </c>
      <c r="AX140" s="133">
        <f>前台增值物品出入库录入!AX142*$E140</f>
        <v>0</v>
      </c>
      <c r="AY140" s="133">
        <f>前台增值物品出入库录入!AY142*$E140</f>
        <v>0</v>
      </c>
      <c r="AZ140" s="133">
        <f>前台增值物品出入库录入!AZ142*$E140</f>
        <v>0</v>
      </c>
      <c r="BA140" s="133">
        <f>前台增值物品出入库录入!BA142*$E140</f>
        <v>0</v>
      </c>
      <c r="BB140" s="133">
        <f>前台增值物品出入库录入!BB142*$E140</f>
        <v>0</v>
      </c>
      <c r="BC140" s="133">
        <f>前台增值物品出入库录入!BC142*$E140</f>
        <v>0</v>
      </c>
      <c r="BD140" s="133">
        <f>前台增值物品出入库录入!BD142*$E140</f>
        <v>0</v>
      </c>
      <c r="BE140" s="133">
        <f>前台增值物品出入库录入!BE142*$E140</f>
        <v>0</v>
      </c>
      <c r="BF140" s="133">
        <f>前台增值物品出入库录入!BF142*$E140</f>
        <v>0</v>
      </c>
      <c r="BG140" s="133">
        <f>前台增值物品出入库录入!BG142*$E140</f>
        <v>0</v>
      </c>
      <c r="BH140" s="133">
        <f>前台增值物品出入库录入!BH142*$E140</f>
        <v>0</v>
      </c>
      <c r="BI140" s="133">
        <f>前台增值物品出入库录入!BI142*$E140</f>
        <v>0</v>
      </c>
      <c r="BJ140" s="133">
        <f>前台增值物品出入库录入!BJ142*$E140</f>
        <v>0</v>
      </c>
      <c r="BK140" s="133">
        <f>前台增值物品出入库录入!BK142*$E140</f>
        <v>0</v>
      </c>
      <c r="BL140" s="133">
        <f>前台增值物品出入库录入!BL142*$E140</f>
        <v>0</v>
      </c>
      <c r="BM140" s="133">
        <f>前台增值物品出入库录入!BM142*$E140</f>
        <v>1.525</v>
      </c>
      <c r="BN140" s="133">
        <f>前台增值物品出入库录入!BN142*$E140</f>
        <v>0</v>
      </c>
      <c r="BO140" s="133">
        <f>前台增值物品出入库录入!BO142*$E140</f>
        <v>0</v>
      </c>
      <c r="BP140" s="133">
        <f>前台增值物品出入库录入!BP142*$E140</f>
        <v>0</v>
      </c>
      <c r="BQ140" s="133">
        <f>前台增值物品出入库录入!BQ142*$E140</f>
        <v>1.525</v>
      </c>
      <c r="BR140" s="133">
        <f>前台增值物品出入库录入!BR142*$E140</f>
        <v>0</v>
      </c>
      <c r="BS140" s="133">
        <f>前台增值物品出入库录入!BS142*$E140</f>
        <v>0</v>
      </c>
      <c r="BT140" s="133">
        <f>前台增值物品出入库录入!BT142*$E140</f>
        <v>0</v>
      </c>
      <c r="BU140" s="133">
        <f>前台增值物品出入库录入!BU142*$E140</f>
        <v>0</v>
      </c>
      <c r="BV140" s="133">
        <f>前台增值物品出入库录入!BV142*$E140</f>
        <v>0</v>
      </c>
      <c r="BW140" s="133">
        <f>前台增值物品出入库录入!BW142*$E140</f>
        <v>0</v>
      </c>
    </row>
    <row r="141" ht="16.5" spans="1:75">
      <c r="A141" s="161">
        <v>146</v>
      </c>
      <c r="B141" s="162" t="str">
        <f>前台增值物品出入库录入!B143</f>
        <v>叉子</v>
      </c>
      <c r="C141" s="162">
        <f>前台增值物品出入库录入!C143</f>
        <v>0</v>
      </c>
      <c r="D141" s="162" t="str">
        <f>前台增值物品出入库录入!D143</f>
        <v>个</v>
      </c>
      <c r="E141" s="162">
        <f>前台增值物品出入库录入!E143</f>
        <v>1.429</v>
      </c>
      <c r="F141" s="162">
        <f>前台增值物品出入库录入!F143</f>
        <v>0</v>
      </c>
      <c r="G141" s="162">
        <f>前台增值物品出入库录入!G143</f>
        <v>0</v>
      </c>
      <c r="H141" s="162">
        <f>前台增值物品出入库录入!H143</f>
        <v>0</v>
      </c>
      <c r="I141" s="162">
        <f>前台增值物品出入库录入!I143</f>
        <v>0</v>
      </c>
      <c r="J141" s="162">
        <f>前台增值物品出入库录入!J143</f>
        <v>0</v>
      </c>
      <c r="K141" s="162">
        <f>前台增值物品出入库录入!K143</f>
        <v>0</v>
      </c>
      <c r="L141" s="162">
        <f>前台增值物品出入库录入!L143</f>
        <v>0</v>
      </c>
      <c r="M141" s="162">
        <f>前台增值物品出入库录入!M143</f>
        <v>0</v>
      </c>
      <c r="N141" s="133">
        <f>前台增值物品出入库录入!N143*$E141</f>
        <v>0</v>
      </c>
      <c r="O141" s="133">
        <f>前台增值物品出入库录入!O143*$E141</f>
        <v>0</v>
      </c>
      <c r="P141" s="133">
        <f>前台增值物品出入库录入!P143*$E141</f>
        <v>0</v>
      </c>
      <c r="Q141" s="133">
        <f>前台增值物品出入库录入!Q143*$E141</f>
        <v>0</v>
      </c>
      <c r="R141" s="133">
        <f>前台增值物品出入库录入!R143*$E141</f>
        <v>0</v>
      </c>
      <c r="S141" s="133">
        <f>前台增值物品出入库录入!S143*$E141</f>
        <v>0</v>
      </c>
      <c r="T141" s="133">
        <f>前台增值物品出入库录入!T143*$E141</f>
        <v>0</v>
      </c>
      <c r="U141" s="133">
        <f>前台增值物品出入库录入!U143*$E141</f>
        <v>0</v>
      </c>
      <c r="V141" s="133">
        <f>前台增值物品出入库录入!V143*$E141</f>
        <v>0</v>
      </c>
      <c r="W141" s="133">
        <f>前台增值物品出入库录入!W143*$E141</f>
        <v>0</v>
      </c>
      <c r="X141" s="133">
        <f>前台增值物品出入库录入!X143*$E141</f>
        <v>0</v>
      </c>
      <c r="Y141" s="133">
        <f>前台增值物品出入库录入!Y143*$E141</f>
        <v>0</v>
      </c>
      <c r="Z141" s="133">
        <f>前台增值物品出入库录入!Z143*$E141</f>
        <v>0</v>
      </c>
      <c r="AA141" s="133">
        <f>前台增值物品出入库录入!AA143*$E141</f>
        <v>0</v>
      </c>
      <c r="AB141" s="133">
        <f>前台增值物品出入库录入!AB143*$E141</f>
        <v>0</v>
      </c>
      <c r="AC141" s="133">
        <f>前台增值物品出入库录入!AC143*$E141</f>
        <v>0</v>
      </c>
      <c r="AD141" s="133">
        <f>前台增值物品出入库录入!AD143*$E141</f>
        <v>0</v>
      </c>
      <c r="AE141" s="133">
        <f>前台增值物品出入库录入!AE143*$E141</f>
        <v>0</v>
      </c>
      <c r="AF141" s="133">
        <f>前台增值物品出入库录入!AF143*$E141</f>
        <v>0</v>
      </c>
      <c r="AG141" s="133">
        <f>前台增值物品出入库录入!AG143*$E141</f>
        <v>0</v>
      </c>
      <c r="AH141" s="133">
        <f>前台增值物品出入库录入!AH143*$E141</f>
        <v>0</v>
      </c>
      <c r="AI141" s="133">
        <f>前台增值物品出入库录入!AI143*$E141</f>
        <v>0</v>
      </c>
      <c r="AJ141" s="133">
        <f>前台增值物品出入库录入!AJ143*$E141</f>
        <v>0</v>
      </c>
      <c r="AK141" s="133">
        <f>前台增值物品出入库录入!AK143*$E141</f>
        <v>0</v>
      </c>
      <c r="AL141" s="133">
        <f>前台增值物品出入库录入!AL143*$E141</f>
        <v>0</v>
      </c>
      <c r="AM141" s="133">
        <f>前台增值物品出入库录入!AM143*$E141</f>
        <v>0</v>
      </c>
      <c r="AN141" s="133">
        <f>前台增值物品出入库录入!AN143*$E141</f>
        <v>0</v>
      </c>
      <c r="AO141" s="133">
        <f>前台增值物品出入库录入!AO143*$E141</f>
        <v>0</v>
      </c>
      <c r="AP141" s="133">
        <f>前台增值物品出入库录入!AP143*$E141</f>
        <v>0</v>
      </c>
      <c r="AQ141" s="133">
        <f>前台增值物品出入库录入!AQ143*$E141</f>
        <v>0</v>
      </c>
      <c r="AR141" s="133">
        <f>前台增值物品出入库录入!AR143*$E141</f>
        <v>0</v>
      </c>
      <c r="AS141" s="133">
        <f>前台增值物品出入库录入!AS143*$E141</f>
        <v>0</v>
      </c>
      <c r="AT141" s="133">
        <f>前台增值物品出入库录入!AT143*$E141</f>
        <v>0</v>
      </c>
      <c r="AU141" s="133">
        <f>前台增值物品出入库录入!AU143*$E141</f>
        <v>0</v>
      </c>
      <c r="AV141" s="133">
        <f>前台增值物品出入库录入!AV143*$E141</f>
        <v>0</v>
      </c>
      <c r="AW141" s="133">
        <f>前台增值物品出入库录入!AW143*$E141</f>
        <v>0</v>
      </c>
      <c r="AX141" s="133">
        <f>前台增值物品出入库录入!AX143*$E141</f>
        <v>0</v>
      </c>
      <c r="AY141" s="133">
        <f>前台增值物品出入库录入!AY143*$E141</f>
        <v>0</v>
      </c>
      <c r="AZ141" s="133">
        <f>前台增值物品出入库录入!AZ143*$E141</f>
        <v>0</v>
      </c>
      <c r="BA141" s="133">
        <f>前台增值物品出入库录入!BA143*$E141</f>
        <v>0</v>
      </c>
      <c r="BB141" s="133">
        <f>前台增值物品出入库录入!BB143*$E141</f>
        <v>0</v>
      </c>
      <c r="BC141" s="133">
        <f>前台增值物品出入库录入!BC143*$E141</f>
        <v>0</v>
      </c>
      <c r="BD141" s="133">
        <f>前台增值物品出入库录入!BD143*$E141</f>
        <v>0</v>
      </c>
      <c r="BE141" s="133">
        <f>前台增值物品出入库录入!BE143*$E141</f>
        <v>0</v>
      </c>
      <c r="BF141" s="133">
        <f>前台增值物品出入库录入!BF143*$E141</f>
        <v>0</v>
      </c>
      <c r="BG141" s="133">
        <f>前台增值物品出入库录入!BG143*$E141</f>
        <v>0</v>
      </c>
      <c r="BH141" s="133">
        <f>前台增值物品出入库录入!BH143*$E141</f>
        <v>0</v>
      </c>
      <c r="BI141" s="133">
        <f>前台增值物品出入库录入!BI143*$E141</f>
        <v>0</v>
      </c>
      <c r="BJ141" s="133">
        <f>前台增值物品出入库录入!BJ143*$E141</f>
        <v>0</v>
      </c>
      <c r="BK141" s="133">
        <f>前台增值物品出入库录入!BK143*$E141</f>
        <v>0</v>
      </c>
      <c r="BL141" s="133">
        <f>前台增值物品出入库录入!BL143*$E141</f>
        <v>0</v>
      </c>
      <c r="BM141" s="133">
        <f>前台增值物品出入库录入!BM143*$E141</f>
        <v>0</v>
      </c>
      <c r="BN141" s="133">
        <f>前台增值物品出入库录入!BN143*$E141</f>
        <v>0</v>
      </c>
      <c r="BO141" s="133">
        <f>前台增值物品出入库录入!BO143*$E141</f>
        <v>0</v>
      </c>
      <c r="BP141" s="133">
        <f>前台增值物品出入库录入!BP143*$E141</f>
        <v>0</v>
      </c>
      <c r="BQ141" s="133">
        <f>前台增值物品出入库录入!BQ143*$E141</f>
        <v>0</v>
      </c>
      <c r="BR141" s="133">
        <f>前台增值物品出入库录入!BR143*$E141</f>
        <v>0</v>
      </c>
      <c r="BS141" s="133">
        <f>前台增值物品出入库录入!BS143*$E141</f>
        <v>0</v>
      </c>
      <c r="BT141" s="133">
        <f>前台增值物品出入库录入!BT143*$E141</f>
        <v>0</v>
      </c>
      <c r="BU141" s="133">
        <f>前台增值物品出入库录入!BU143*$E141</f>
        <v>0</v>
      </c>
      <c r="BV141" s="133">
        <f>前台增值物品出入库录入!BV143*$E141</f>
        <v>0</v>
      </c>
      <c r="BW141" s="133">
        <f>前台增值物品出入库录入!BW143*$E141</f>
        <v>0</v>
      </c>
    </row>
    <row r="142" ht="16.5" spans="1:75">
      <c r="A142" s="161">
        <v>147</v>
      </c>
      <c r="B142" s="162" t="str">
        <f>前台增值物品出入库录入!B144</f>
        <v>奶球1</v>
      </c>
      <c r="C142" s="162">
        <f>前台增值物品出入库录入!C144</f>
        <v>0</v>
      </c>
      <c r="D142" s="162" t="str">
        <f>前台增值物品出入库录入!D144</f>
        <v>个</v>
      </c>
      <c r="E142" s="162">
        <f>前台增值物品出入库录入!E144</f>
        <v>0.2841</v>
      </c>
      <c r="F142" s="162">
        <f>前台增值物品出入库录入!F144</f>
        <v>8</v>
      </c>
      <c r="G142" s="162">
        <f>前台增值物品出入库录入!G144</f>
        <v>2.2728</v>
      </c>
      <c r="H142" s="162">
        <f>前台增值物品出入库录入!H144</f>
        <v>0</v>
      </c>
      <c r="I142" s="162">
        <f>前台增值物品出入库录入!I144</f>
        <v>0</v>
      </c>
      <c r="J142" s="162">
        <f>前台增值物品出入库录入!J144</f>
        <v>8</v>
      </c>
      <c r="K142" s="162">
        <f>前台增值物品出入库录入!K144</f>
        <v>2.2728</v>
      </c>
      <c r="L142" s="162">
        <f>前台增值物品出入库录入!L144</f>
        <v>0</v>
      </c>
      <c r="M142" s="162">
        <f>前台增值物品出入库录入!M144</f>
        <v>0</v>
      </c>
      <c r="N142" s="133">
        <f>前台增值物品出入库录入!N144*$E142</f>
        <v>0</v>
      </c>
      <c r="O142" s="133">
        <f>前台增值物品出入库录入!O144*$E142</f>
        <v>0</v>
      </c>
      <c r="P142" s="133">
        <f>前台增值物品出入库录入!P144*$E142</f>
        <v>0</v>
      </c>
      <c r="Q142" s="133">
        <f>前台增值物品出入库录入!Q144*$E142</f>
        <v>0</v>
      </c>
      <c r="R142" s="133">
        <f>前台增值物品出入库录入!R144*$E142</f>
        <v>0</v>
      </c>
      <c r="S142" s="133">
        <f>前台增值物品出入库录入!S144*$E142</f>
        <v>0</v>
      </c>
      <c r="T142" s="133">
        <f>前台增值物品出入库录入!T144*$E142</f>
        <v>0</v>
      </c>
      <c r="U142" s="133">
        <f>前台增值物品出入库录入!U144*$E142</f>
        <v>0</v>
      </c>
      <c r="V142" s="133">
        <f>前台增值物品出入库录入!V144*$E142</f>
        <v>0</v>
      </c>
      <c r="W142" s="133">
        <f>前台增值物品出入库录入!W144*$E142</f>
        <v>0</v>
      </c>
      <c r="X142" s="133">
        <f>前台增值物品出入库录入!X144*$E142</f>
        <v>0</v>
      </c>
      <c r="Y142" s="133">
        <f>前台增值物品出入库录入!Y144*$E142</f>
        <v>0</v>
      </c>
      <c r="Z142" s="133">
        <f>前台增值物品出入库录入!Z144*$E142</f>
        <v>0</v>
      </c>
      <c r="AA142" s="133">
        <f>前台增值物品出入库录入!AA144*$E142</f>
        <v>0</v>
      </c>
      <c r="AB142" s="133">
        <f>前台增值物品出入库录入!AB144*$E142</f>
        <v>0</v>
      </c>
      <c r="AC142" s="133">
        <f>前台增值物品出入库录入!AC144*$E142</f>
        <v>2.2728</v>
      </c>
      <c r="AD142" s="133">
        <f>前台增值物品出入库录入!AD144*$E142</f>
        <v>0</v>
      </c>
      <c r="AE142" s="133">
        <f>前台增值物品出入库录入!AE144*$E142</f>
        <v>0</v>
      </c>
      <c r="AF142" s="133">
        <f>前台增值物品出入库录入!AF144*$E142</f>
        <v>0</v>
      </c>
      <c r="AG142" s="133">
        <f>前台增值物品出入库录入!AG144*$E142</f>
        <v>0</v>
      </c>
      <c r="AH142" s="133">
        <f>前台增值物品出入库录入!AH144*$E142</f>
        <v>0</v>
      </c>
      <c r="AI142" s="133">
        <f>前台增值物品出入库录入!AI144*$E142</f>
        <v>0</v>
      </c>
      <c r="AJ142" s="133">
        <f>前台增值物品出入库录入!AJ144*$E142</f>
        <v>0</v>
      </c>
      <c r="AK142" s="133">
        <f>前台增值物品出入库录入!AK144*$E142</f>
        <v>0</v>
      </c>
      <c r="AL142" s="133">
        <f>前台增值物品出入库录入!AL144*$E142</f>
        <v>0</v>
      </c>
      <c r="AM142" s="133">
        <f>前台增值物品出入库录入!AM144*$E142</f>
        <v>0</v>
      </c>
      <c r="AN142" s="133">
        <f>前台增值物品出入库录入!AN144*$E142</f>
        <v>0</v>
      </c>
      <c r="AO142" s="133">
        <f>前台增值物品出入库录入!AO144*$E142</f>
        <v>0</v>
      </c>
      <c r="AP142" s="133">
        <f>前台增值物品出入库录入!AP144*$E142</f>
        <v>0</v>
      </c>
      <c r="AQ142" s="133">
        <f>前台增值物品出入库录入!AQ144*$E142</f>
        <v>0</v>
      </c>
      <c r="AR142" s="133">
        <f>前台增值物品出入库录入!AR144*$E142</f>
        <v>0</v>
      </c>
      <c r="AS142" s="133">
        <f>前台增值物品出入库录入!AS144*$E142</f>
        <v>0</v>
      </c>
      <c r="AT142" s="133">
        <f>前台增值物品出入库录入!AT144*$E142</f>
        <v>0</v>
      </c>
      <c r="AU142" s="133">
        <f>前台增值物品出入库录入!AU144*$E142</f>
        <v>0</v>
      </c>
      <c r="AV142" s="133">
        <f>前台增值物品出入库录入!AV144*$E142</f>
        <v>0</v>
      </c>
      <c r="AW142" s="133">
        <f>前台增值物品出入库录入!AW144*$E142</f>
        <v>0</v>
      </c>
      <c r="AX142" s="133">
        <f>前台增值物品出入库录入!AX144*$E142</f>
        <v>0</v>
      </c>
      <c r="AY142" s="133">
        <f>前台增值物品出入库录入!AY144*$E142</f>
        <v>0</v>
      </c>
      <c r="AZ142" s="133">
        <f>前台增值物品出入库录入!AZ144*$E142</f>
        <v>0</v>
      </c>
      <c r="BA142" s="133">
        <f>前台增值物品出入库录入!BA144*$E142</f>
        <v>0</v>
      </c>
      <c r="BB142" s="133">
        <f>前台增值物品出入库录入!BB144*$E142</f>
        <v>0</v>
      </c>
      <c r="BC142" s="133">
        <f>前台增值物品出入库录入!BC144*$E142</f>
        <v>0</v>
      </c>
      <c r="BD142" s="133">
        <f>前台增值物品出入库录入!BD144*$E142</f>
        <v>0</v>
      </c>
      <c r="BE142" s="133">
        <f>前台增值物品出入库录入!BE144*$E142</f>
        <v>0</v>
      </c>
      <c r="BF142" s="133">
        <f>前台增值物品出入库录入!BF144*$E142</f>
        <v>0</v>
      </c>
      <c r="BG142" s="133">
        <f>前台增值物品出入库录入!BG144*$E142</f>
        <v>0</v>
      </c>
      <c r="BH142" s="133">
        <f>前台增值物品出入库录入!BH144*$E142</f>
        <v>0</v>
      </c>
      <c r="BI142" s="133">
        <f>前台增值物品出入库录入!BI144*$E142</f>
        <v>0</v>
      </c>
      <c r="BJ142" s="133">
        <f>前台增值物品出入库录入!BJ144*$E142</f>
        <v>0</v>
      </c>
      <c r="BK142" s="133">
        <f>前台增值物品出入库录入!BK144*$E142</f>
        <v>0</v>
      </c>
      <c r="BL142" s="133">
        <f>前台增值物品出入库录入!BL144*$E142</f>
        <v>0</v>
      </c>
      <c r="BM142" s="133">
        <f>前台增值物品出入库录入!BM144*$E142</f>
        <v>0</v>
      </c>
      <c r="BN142" s="133">
        <f>前台增值物品出入库录入!BN144*$E142</f>
        <v>0</v>
      </c>
      <c r="BO142" s="133">
        <f>前台增值物品出入库录入!BO144*$E142</f>
        <v>0</v>
      </c>
      <c r="BP142" s="133">
        <f>前台增值物品出入库录入!BP144*$E142</f>
        <v>0</v>
      </c>
      <c r="BQ142" s="133">
        <f>前台增值物品出入库录入!BQ144*$E142</f>
        <v>0</v>
      </c>
      <c r="BR142" s="133">
        <f>前台增值物品出入库录入!BR144*$E142</f>
        <v>0</v>
      </c>
      <c r="BS142" s="133">
        <f>前台增值物品出入库录入!BS144*$E142</f>
        <v>0</v>
      </c>
      <c r="BT142" s="133">
        <f>前台增值物品出入库录入!BT144*$E142</f>
        <v>0</v>
      </c>
      <c r="BU142" s="133">
        <f>前台增值物品出入库录入!BU144*$E142</f>
        <v>0</v>
      </c>
      <c r="BV142" s="133">
        <f>前台增值物品出入库录入!BV144*$E142</f>
        <v>0</v>
      </c>
      <c r="BW142" s="133">
        <f>前台增值物品出入库录入!BW144*$E142</f>
        <v>0</v>
      </c>
    </row>
    <row r="143" ht="16.5" spans="1:75">
      <c r="A143" s="161">
        <v>148</v>
      </c>
      <c r="B143" s="162" t="str">
        <f>前台增值物品出入库录入!B145</f>
        <v>奶球2</v>
      </c>
      <c r="C143" s="162">
        <f>前台增值物品出入库录入!C145</f>
        <v>0</v>
      </c>
      <c r="D143" s="162" t="str">
        <f>前台增值物品出入库录入!D145</f>
        <v>个</v>
      </c>
      <c r="E143" s="162">
        <f>前台增值物品出入库录入!E145</f>
        <v>0.486</v>
      </c>
      <c r="F143" s="162">
        <f>前台增值物品出入库录入!F145</f>
        <v>0</v>
      </c>
      <c r="G143" s="162">
        <f>前台增值物品出入库录入!G145</f>
        <v>0</v>
      </c>
      <c r="H143" s="162">
        <f>前台增值物品出入库录入!H145</f>
        <v>0</v>
      </c>
      <c r="I143" s="162">
        <f>前台增值物品出入库录入!I145</f>
        <v>0</v>
      </c>
      <c r="J143" s="162">
        <f>前台增值物品出入库录入!J145</f>
        <v>0</v>
      </c>
      <c r="K143" s="162">
        <f>前台增值物品出入库录入!K145</f>
        <v>0</v>
      </c>
      <c r="L143" s="162">
        <f>前台增值物品出入库录入!L145</f>
        <v>0</v>
      </c>
      <c r="M143" s="162">
        <f>前台增值物品出入库录入!M145</f>
        <v>0</v>
      </c>
      <c r="N143" s="133">
        <f>前台增值物品出入库录入!N145*$E143</f>
        <v>0</v>
      </c>
      <c r="O143" s="133">
        <f>前台增值物品出入库录入!O145*$E143</f>
        <v>0</v>
      </c>
      <c r="P143" s="133">
        <f>前台增值物品出入库录入!P145*$E143</f>
        <v>0</v>
      </c>
      <c r="Q143" s="133">
        <f>前台增值物品出入库录入!Q145*$E143</f>
        <v>0</v>
      </c>
      <c r="R143" s="133">
        <f>前台增值物品出入库录入!R145*$E143</f>
        <v>0</v>
      </c>
      <c r="S143" s="133">
        <f>前台增值物品出入库录入!S145*$E143</f>
        <v>0</v>
      </c>
      <c r="T143" s="133">
        <f>前台增值物品出入库录入!T145*$E143</f>
        <v>0</v>
      </c>
      <c r="U143" s="133">
        <f>前台增值物品出入库录入!U145*$E143</f>
        <v>0</v>
      </c>
      <c r="V143" s="133">
        <f>前台增值物品出入库录入!V145*$E143</f>
        <v>0</v>
      </c>
      <c r="W143" s="133">
        <f>前台增值物品出入库录入!W145*$E143</f>
        <v>0</v>
      </c>
      <c r="X143" s="133">
        <f>前台增值物品出入库录入!X145*$E143</f>
        <v>0</v>
      </c>
      <c r="Y143" s="133">
        <f>前台增值物品出入库录入!Y145*$E143</f>
        <v>0</v>
      </c>
      <c r="Z143" s="133">
        <f>前台增值物品出入库录入!Z145*$E143</f>
        <v>0</v>
      </c>
      <c r="AA143" s="133">
        <f>前台增值物品出入库录入!AA145*$E143</f>
        <v>0</v>
      </c>
      <c r="AB143" s="133">
        <f>前台增值物品出入库录入!AB145*$E143</f>
        <v>0</v>
      </c>
      <c r="AC143" s="133">
        <f>前台增值物品出入库录入!AC145*$E143</f>
        <v>0</v>
      </c>
      <c r="AD143" s="133">
        <f>前台增值物品出入库录入!AD145*$E143</f>
        <v>0</v>
      </c>
      <c r="AE143" s="133">
        <f>前台增值物品出入库录入!AE145*$E143</f>
        <v>0</v>
      </c>
      <c r="AF143" s="133">
        <f>前台增值物品出入库录入!AF145*$E143</f>
        <v>0</v>
      </c>
      <c r="AG143" s="133">
        <f>前台增值物品出入库录入!AG145*$E143</f>
        <v>0</v>
      </c>
      <c r="AH143" s="133">
        <f>前台增值物品出入库录入!AH145*$E143</f>
        <v>0</v>
      </c>
      <c r="AI143" s="133">
        <f>前台增值物品出入库录入!AI145*$E143</f>
        <v>0</v>
      </c>
      <c r="AJ143" s="133">
        <f>前台增值物品出入库录入!AJ145*$E143</f>
        <v>0</v>
      </c>
      <c r="AK143" s="133">
        <f>前台增值物品出入库录入!AK145*$E143</f>
        <v>0</v>
      </c>
      <c r="AL143" s="133">
        <f>前台增值物品出入库录入!AL145*$E143</f>
        <v>0</v>
      </c>
      <c r="AM143" s="133">
        <f>前台增值物品出入库录入!AM145*$E143</f>
        <v>0</v>
      </c>
      <c r="AN143" s="133">
        <f>前台增值物品出入库录入!AN145*$E143</f>
        <v>0</v>
      </c>
      <c r="AO143" s="133">
        <f>前台增值物品出入库录入!AO145*$E143</f>
        <v>0</v>
      </c>
      <c r="AP143" s="133">
        <f>前台增值物品出入库录入!AP145*$E143</f>
        <v>0</v>
      </c>
      <c r="AQ143" s="133">
        <f>前台增值物品出入库录入!AQ145*$E143</f>
        <v>0</v>
      </c>
      <c r="AR143" s="133">
        <f>前台增值物品出入库录入!AR145*$E143</f>
        <v>0</v>
      </c>
      <c r="AS143" s="133">
        <f>前台增值物品出入库录入!AS145*$E143</f>
        <v>0</v>
      </c>
      <c r="AT143" s="133">
        <f>前台增值物品出入库录入!AT145*$E143</f>
        <v>0</v>
      </c>
      <c r="AU143" s="133">
        <f>前台增值物品出入库录入!AU145*$E143</f>
        <v>0</v>
      </c>
      <c r="AV143" s="133">
        <f>前台增值物品出入库录入!AV145*$E143</f>
        <v>0</v>
      </c>
      <c r="AW143" s="133">
        <f>前台增值物品出入库录入!AW145*$E143</f>
        <v>0</v>
      </c>
      <c r="AX143" s="133">
        <f>前台增值物品出入库录入!AX145*$E143</f>
        <v>0</v>
      </c>
      <c r="AY143" s="133">
        <f>前台增值物品出入库录入!AY145*$E143</f>
        <v>0</v>
      </c>
      <c r="AZ143" s="133">
        <f>前台增值物品出入库录入!AZ145*$E143</f>
        <v>0</v>
      </c>
      <c r="BA143" s="133">
        <f>前台增值物品出入库录入!BA145*$E143</f>
        <v>0</v>
      </c>
      <c r="BB143" s="133">
        <f>前台增值物品出入库录入!BB145*$E143</f>
        <v>0</v>
      </c>
      <c r="BC143" s="133">
        <f>前台增值物品出入库录入!BC145*$E143</f>
        <v>0</v>
      </c>
      <c r="BD143" s="133">
        <f>前台增值物品出入库录入!BD145*$E143</f>
        <v>0</v>
      </c>
      <c r="BE143" s="133">
        <f>前台增值物品出入库录入!BE145*$E143</f>
        <v>0</v>
      </c>
      <c r="BF143" s="133">
        <f>前台增值物品出入库录入!BF145*$E143</f>
        <v>0</v>
      </c>
      <c r="BG143" s="133">
        <f>前台增值物品出入库录入!BG145*$E143</f>
        <v>0</v>
      </c>
      <c r="BH143" s="133">
        <f>前台增值物品出入库录入!BH145*$E143</f>
        <v>0</v>
      </c>
      <c r="BI143" s="133">
        <f>前台增值物品出入库录入!BI145*$E143</f>
        <v>0</v>
      </c>
      <c r="BJ143" s="133">
        <f>前台增值物品出入库录入!BJ145*$E143</f>
        <v>0</v>
      </c>
      <c r="BK143" s="133">
        <f>前台增值物品出入库录入!BK145*$E143</f>
        <v>0</v>
      </c>
      <c r="BL143" s="133">
        <f>前台增值物品出入库录入!BL145*$E143</f>
        <v>0</v>
      </c>
      <c r="BM143" s="133">
        <f>前台增值物品出入库录入!BM145*$E143</f>
        <v>0</v>
      </c>
      <c r="BN143" s="133">
        <f>前台增值物品出入库录入!BN145*$E143</f>
        <v>0</v>
      </c>
      <c r="BO143" s="133">
        <f>前台增值物品出入库录入!BO145*$E143</f>
        <v>0</v>
      </c>
      <c r="BP143" s="133">
        <f>前台增值物品出入库录入!BP145*$E143</f>
        <v>0</v>
      </c>
      <c r="BQ143" s="133">
        <f>前台增值物品出入库录入!BQ145*$E143</f>
        <v>0</v>
      </c>
      <c r="BR143" s="133">
        <f>前台增值物品出入库录入!BR145*$E143</f>
        <v>0</v>
      </c>
      <c r="BS143" s="133">
        <f>前台增值物品出入库录入!BS145*$E143</f>
        <v>0</v>
      </c>
      <c r="BT143" s="133">
        <f>前台增值物品出入库录入!BT145*$E143</f>
        <v>0</v>
      </c>
      <c r="BU143" s="133">
        <f>前台增值物品出入库录入!BU145*$E143</f>
        <v>0</v>
      </c>
      <c r="BV143" s="133">
        <f>前台增值物品出入库录入!BV145*$E143</f>
        <v>0</v>
      </c>
      <c r="BW143" s="133">
        <f>前台增值物品出入库录入!BW145*$E143</f>
        <v>0</v>
      </c>
    </row>
    <row r="144" ht="16.5" spans="1:75">
      <c r="A144" s="161">
        <v>149</v>
      </c>
      <c r="B144" s="162" t="str">
        <f>前台增值物品出入库录入!B146</f>
        <v>茉莉雪球</v>
      </c>
      <c r="C144" s="162">
        <f>前台增值物品出入库录入!C146</f>
        <v>0</v>
      </c>
      <c r="D144" s="162" t="str">
        <f>前台增值物品出入库录入!D146</f>
        <v>盒</v>
      </c>
      <c r="E144" s="162">
        <f>前台增值物品出入库录入!E146</f>
        <v>19.9</v>
      </c>
      <c r="F144" s="162">
        <f>前台增值物品出入库录入!F146</f>
        <v>0</v>
      </c>
      <c r="G144" s="162">
        <f>前台增值物品出入库录入!G146</f>
        <v>0</v>
      </c>
      <c r="H144" s="162">
        <f>前台增值物品出入库录入!H146</f>
        <v>0</v>
      </c>
      <c r="I144" s="162">
        <f>前台增值物品出入库录入!I146</f>
        <v>0</v>
      </c>
      <c r="J144" s="162">
        <f>前台增值物品出入库录入!J146</f>
        <v>0</v>
      </c>
      <c r="K144" s="162">
        <f>前台增值物品出入库录入!K146</f>
        <v>0</v>
      </c>
      <c r="L144" s="162">
        <f>前台增值物品出入库录入!L146</f>
        <v>0</v>
      </c>
      <c r="M144" s="162">
        <f>前台增值物品出入库录入!M146</f>
        <v>0</v>
      </c>
      <c r="N144" s="133">
        <f>前台增值物品出入库录入!N146*$E144</f>
        <v>0</v>
      </c>
      <c r="O144" s="133">
        <f>前台增值物品出入库录入!O146*$E144</f>
        <v>0</v>
      </c>
      <c r="P144" s="133">
        <f>前台增值物品出入库录入!P146*$E144</f>
        <v>0</v>
      </c>
      <c r="Q144" s="133">
        <f>前台增值物品出入库录入!Q146*$E144</f>
        <v>0</v>
      </c>
      <c r="R144" s="133">
        <f>前台增值物品出入库录入!R146*$E144</f>
        <v>0</v>
      </c>
      <c r="S144" s="133">
        <f>前台增值物品出入库录入!S146*$E144</f>
        <v>0</v>
      </c>
      <c r="T144" s="133">
        <f>前台增值物品出入库录入!T146*$E144</f>
        <v>0</v>
      </c>
      <c r="U144" s="133">
        <f>前台增值物品出入库录入!U146*$E144</f>
        <v>0</v>
      </c>
      <c r="V144" s="133">
        <f>前台增值物品出入库录入!V146*$E144</f>
        <v>0</v>
      </c>
      <c r="W144" s="133">
        <f>前台增值物品出入库录入!W146*$E144</f>
        <v>0</v>
      </c>
      <c r="X144" s="133">
        <f>前台增值物品出入库录入!X146*$E144</f>
        <v>0</v>
      </c>
      <c r="Y144" s="133">
        <f>前台增值物品出入库录入!Y146*$E144</f>
        <v>0</v>
      </c>
      <c r="Z144" s="133">
        <f>前台增值物品出入库录入!Z146*$E144</f>
        <v>0</v>
      </c>
      <c r="AA144" s="133">
        <f>前台增值物品出入库录入!AA146*$E144</f>
        <v>0</v>
      </c>
      <c r="AB144" s="133">
        <f>前台增值物品出入库录入!AB146*$E144</f>
        <v>0</v>
      </c>
      <c r="AC144" s="133">
        <f>前台增值物品出入库录入!AC146*$E144</f>
        <v>0</v>
      </c>
      <c r="AD144" s="133">
        <f>前台增值物品出入库录入!AD146*$E144</f>
        <v>0</v>
      </c>
      <c r="AE144" s="133">
        <f>前台增值物品出入库录入!AE146*$E144</f>
        <v>0</v>
      </c>
      <c r="AF144" s="133">
        <f>前台增值物品出入库录入!AF146*$E144</f>
        <v>0</v>
      </c>
      <c r="AG144" s="133">
        <f>前台增值物品出入库录入!AG146*$E144</f>
        <v>0</v>
      </c>
      <c r="AH144" s="133">
        <f>前台增值物品出入库录入!AH146*$E144</f>
        <v>0</v>
      </c>
      <c r="AI144" s="133">
        <f>前台增值物品出入库录入!AI146*$E144</f>
        <v>0</v>
      </c>
      <c r="AJ144" s="133">
        <f>前台增值物品出入库录入!AJ146*$E144</f>
        <v>0</v>
      </c>
      <c r="AK144" s="133">
        <f>前台增值物品出入库录入!AK146*$E144</f>
        <v>0</v>
      </c>
      <c r="AL144" s="133">
        <f>前台增值物品出入库录入!AL146*$E144</f>
        <v>0</v>
      </c>
      <c r="AM144" s="133">
        <f>前台增值物品出入库录入!AM146*$E144</f>
        <v>0</v>
      </c>
      <c r="AN144" s="133">
        <f>前台增值物品出入库录入!AN146*$E144</f>
        <v>0</v>
      </c>
      <c r="AO144" s="133">
        <f>前台增值物品出入库录入!AO146*$E144</f>
        <v>0</v>
      </c>
      <c r="AP144" s="133">
        <f>前台增值物品出入库录入!AP146*$E144</f>
        <v>0</v>
      </c>
      <c r="AQ144" s="133">
        <f>前台增值物品出入库录入!AQ146*$E144</f>
        <v>0</v>
      </c>
      <c r="AR144" s="133">
        <f>前台增值物品出入库录入!AR146*$E144</f>
        <v>0</v>
      </c>
      <c r="AS144" s="133">
        <f>前台增值物品出入库录入!AS146*$E144</f>
        <v>0</v>
      </c>
      <c r="AT144" s="133">
        <f>前台增值物品出入库录入!AT146*$E144</f>
        <v>0</v>
      </c>
      <c r="AU144" s="133">
        <f>前台增值物品出入库录入!AU146*$E144</f>
        <v>0</v>
      </c>
      <c r="AV144" s="133">
        <f>前台增值物品出入库录入!AV146*$E144</f>
        <v>0</v>
      </c>
      <c r="AW144" s="133">
        <f>前台增值物品出入库录入!AW146*$E144</f>
        <v>0</v>
      </c>
      <c r="AX144" s="133">
        <f>前台增值物品出入库录入!AX146*$E144</f>
        <v>0</v>
      </c>
      <c r="AY144" s="133">
        <f>前台增值物品出入库录入!AY146*$E144</f>
        <v>0</v>
      </c>
      <c r="AZ144" s="133">
        <f>前台增值物品出入库录入!AZ146*$E144</f>
        <v>0</v>
      </c>
      <c r="BA144" s="133">
        <f>前台增值物品出入库录入!BA146*$E144</f>
        <v>0</v>
      </c>
      <c r="BB144" s="133">
        <f>前台增值物品出入库录入!BB146*$E144</f>
        <v>0</v>
      </c>
      <c r="BC144" s="133">
        <f>前台增值物品出入库录入!BC146*$E144</f>
        <v>0</v>
      </c>
      <c r="BD144" s="133">
        <f>前台增值物品出入库录入!BD146*$E144</f>
        <v>0</v>
      </c>
      <c r="BE144" s="133">
        <f>前台增值物品出入库录入!BE146*$E144</f>
        <v>0</v>
      </c>
      <c r="BF144" s="133">
        <f>前台增值物品出入库录入!BF146*$E144</f>
        <v>0</v>
      </c>
      <c r="BG144" s="133">
        <f>前台增值物品出入库录入!BG146*$E144</f>
        <v>0</v>
      </c>
      <c r="BH144" s="133">
        <f>前台增值物品出入库录入!BH146*$E144</f>
        <v>0</v>
      </c>
      <c r="BI144" s="133">
        <f>前台增值物品出入库录入!BI146*$E144</f>
        <v>0</v>
      </c>
      <c r="BJ144" s="133">
        <f>前台增值物品出入库录入!BJ146*$E144</f>
        <v>0</v>
      </c>
      <c r="BK144" s="133">
        <f>前台增值物品出入库录入!BK146*$E144</f>
        <v>0</v>
      </c>
      <c r="BL144" s="133">
        <f>前台增值物品出入库录入!BL146*$E144</f>
        <v>0</v>
      </c>
      <c r="BM144" s="133">
        <f>前台增值物品出入库录入!BM146*$E144</f>
        <v>0</v>
      </c>
      <c r="BN144" s="133">
        <f>前台增值物品出入库录入!BN146*$E144</f>
        <v>0</v>
      </c>
      <c r="BO144" s="133">
        <f>前台增值物品出入库录入!BO146*$E144</f>
        <v>0</v>
      </c>
      <c r="BP144" s="133">
        <f>前台增值物品出入库录入!BP146*$E144</f>
        <v>0</v>
      </c>
      <c r="BQ144" s="133">
        <f>前台增值物品出入库录入!BQ146*$E144</f>
        <v>0</v>
      </c>
      <c r="BR144" s="133">
        <f>前台增值物品出入库录入!BR146*$E144</f>
        <v>0</v>
      </c>
      <c r="BS144" s="133">
        <f>前台增值物品出入库录入!BS146*$E144</f>
        <v>0</v>
      </c>
      <c r="BT144" s="133">
        <f>前台增值物品出入库录入!BT146*$E144</f>
        <v>0</v>
      </c>
      <c r="BU144" s="133">
        <f>前台增值物品出入库录入!BU146*$E144</f>
        <v>0</v>
      </c>
      <c r="BV144" s="133">
        <f>前台增值物品出入库录入!BV146*$E144</f>
        <v>0</v>
      </c>
      <c r="BW144" s="133">
        <f>前台增值物品出入库录入!BW146*$E144</f>
        <v>0</v>
      </c>
    </row>
    <row r="145" ht="16.5" spans="1:75">
      <c r="A145" s="161">
        <v>150</v>
      </c>
      <c r="B145" s="162" t="str">
        <f>前台增值物品出入库录入!B147</f>
        <v>抽屉挡板</v>
      </c>
      <c r="C145" s="162">
        <f>前台增值物品出入库录入!C147</f>
        <v>0</v>
      </c>
      <c r="D145" s="162" t="str">
        <f>前台增值物品出入库录入!D147</f>
        <v>个</v>
      </c>
      <c r="E145" s="162">
        <f>前台增值物品出入库录入!E147</f>
        <v>1.39</v>
      </c>
      <c r="F145" s="162">
        <f>前台增值物品出入库录入!F147</f>
        <v>10</v>
      </c>
      <c r="G145" s="162">
        <f>前台增值物品出入库录入!G147</f>
        <v>13.9</v>
      </c>
      <c r="H145" s="162">
        <f>前台增值物品出入库录入!H147</f>
        <v>0</v>
      </c>
      <c r="I145" s="162">
        <f>前台增值物品出入库录入!I147</f>
        <v>0</v>
      </c>
      <c r="J145" s="162">
        <f>前台增值物品出入库录入!J147</f>
        <v>10</v>
      </c>
      <c r="K145" s="162">
        <f>前台增值物品出入库录入!K147</f>
        <v>13.9</v>
      </c>
      <c r="L145" s="162">
        <f>前台增值物品出入库录入!L147</f>
        <v>0</v>
      </c>
      <c r="M145" s="162">
        <f>前台增值物品出入库录入!M147</f>
        <v>0</v>
      </c>
      <c r="N145" s="133">
        <f>前台增值物品出入库录入!N147*$E145</f>
        <v>0</v>
      </c>
      <c r="O145" s="133">
        <f>前台增值物品出入库录入!O147*$E145</f>
        <v>13.9</v>
      </c>
      <c r="P145" s="133">
        <f>前台增值物品出入库录入!P147*$E145</f>
        <v>0</v>
      </c>
      <c r="Q145" s="133">
        <f>前台增值物品出入库录入!Q147*$E145</f>
        <v>0</v>
      </c>
      <c r="R145" s="133">
        <f>前台增值物品出入库录入!R147*$E145</f>
        <v>0</v>
      </c>
      <c r="S145" s="133">
        <f>前台增值物品出入库录入!S147*$E145</f>
        <v>0</v>
      </c>
      <c r="T145" s="133">
        <f>前台增值物品出入库录入!T147*$E145</f>
        <v>0</v>
      </c>
      <c r="U145" s="133">
        <f>前台增值物品出入库录入!U147*$E145</f>
        <v>0</v>
      </c>
      <c r="V145" s="133">
        <f>前台增值物品出入库录入!V147*$E145</f>
        <v>0</v>
      </c>
      <c r="W145" s="133">
        <f>前台增值物品出入库录入!W147*$E145</f>
        <v>0</v>
      </c>
      <c r="X145" s="133">
        <f>前台增值物品出入库录入!X147*$E145</f>
        <v>0</v>
      </c>
      <c r="Y145" s="133">
        <f>前台增值物品出入库录入!Y147*$E145</f>
        <v>0</v>
      </c>
      <c r="Z145" s="133">
        <f>前台增值物品出入库录入!Z147*$E145</f>
        <v>0</v>
      </c>
      <c r="AA145" s="133">
        <f>前台增值物品出入库录入!AA147*$E145</f>
        <v>0</v>
      </c>
      <c r="AB145" s="133">
        <f>前台增值物品出入库录入!AB147*$E145</f>
        <v>0</v>
      </c>
      <c r="AC145" s="133">
        <f>前台增值物品出入库录入!AC147*$E145</f>
        <v>0</v>
      </c>
      <c r="AD145" s="133">
        <f>前台增值物品出入库录入!AD147*$E145</f>
        <v>0</v>
      </c>
      <c r="AE145" s="133">
        <f>前台增值物品出入库录入!AE147*$E145</f>
        <v>0</v>
      </c>
      <c r="AF145" s="133">
        <f>前台增值物品出入库录入!AF147*$E145</f>
        <v>0</v>
      </c>
      <c r="AG145" s="133">
        <f>前台增值物品出入库录入!AG147*$E145</f>
        <v>0</v>
      </c>
      <c r="AH145" s="133">
        <f>前台增值物品出入库录入!AH147*$E145</f>
        <v>0</v>
      </c>
      <c r="AI145" s="133">
        <f>前台增值物品出入库录入!AI147*$E145</f>
        <v>0</v>
      </c>
      <c r="AJ145" s="133">
        <f>前台增值物品出入库录入!AJ147*$E145</f>
        <v>0</v>
      </c>
      <c r="AK145" s="133">
        <f>前台增值物品出入库录入!AK147*$E145</f>
        <v>0</v>
      </c>
      <c r="AL145" s="133">
        <f>前台增值物品出入库录入!AL147*$E145</f>
        <v>0</v>
      </c>
      <c r="AM145" s="133">
        <f>前台增值物品出入库录入!AM147*$E145</f>
        <v>0</v>
      </c>
      <c r="AN145" s="133">
        <f>前台增值物品出入库录入!AN147*$E145</f>
        <v>0</v>
      </c>
      <c r="AO145" s="133">
        <f>前台增值物品出入库录入!AO147*$E145</f>
        <v>0</v>
      </c>
      <c r="AP145" s="133">
        <f>前台增值物品出入库录入!AP147*$E145</f>
        <v>0</v>
      </c>
      <c r="AQ145" s="133">
        <f>前台增值物品出入库录入!AQ147*$E145</f>
        <v>0</v>
      </c>
      <c r="AR145" s="133">
        <f>前台增值物品出入库录入!AR147*$E145</f>
        <v>0</v>
      </c>
      <c r="AS145" s="133">
        <f>前台增值物品出入库录入!AS147*$E145</f>
        <v>0</v>
      </c>
      <c r="AT145" s="133">
        <f>前台增值物品出入库录入!AT147*$E145</f>
        <v>0</v>
      </c>
      <c r="AU145" s="133">
        <f>前台增值物品出入库录入!AU147*$E145</f>
        <v>0</v>
      </c>
      <c r="AV145" s="133">
        <f>前台增值物品出入库录入!AV147*$E145</f>
        <v>0</v>
      </c>
      <c r="AW145" s="133">
        <f>前台增值物品出入库录入!AW147*$E145</f>
        <v>0</v>
      </c>
      <c r="AX145" s="133">
        <f>前台增值物品出入库录入!AX147*$E145</f>
        <v>0</v>
      </c>
      <c r="AY145" s="133">
        <f>前台增值物品出入库录入!AY147*$E145</f>
        <v>0</v>
      </c>
      <c r="AZ145" s="133">
        <f>前台增值物品出入库录入!AZ147*$E145</f>
        <v>0</v>
      </c>
      <c r="BA145" s="133">
        <f>前台增值物品出入库录入!BA147*$E145</f>
        <v>0</v>
      </c>
      <c r="BB145" s="133">
        <f>前台增值物品出入库录入!BB147*$E145</f>
        <v>0</v>
      </c>
      <c r="BC145" s="133">
        <f>前台增值物品出入库录入!BC147*$E145</f>
        <v>0</v>
      </c>
      <c r="BD145" s="133">
        <f>前台增值物品出入库录入!BD147*$E145</f>
        <v>0</v>
      </c>
      <c r="BE145" s="133">
        <f>前台增值物品出入库录入!BE147*$E145</f>
        <v>0</v>
      </c>
      <c r="BF145" s="133">
        <f>前台增值物品出入库录入!BF147*$E145</f>
        <v>0</v>
      </c>
      <c r="BG145" s="133">
        <f>前台增值物品出入库录入!BG147*$E145</f>
        <v>0</v>
      </c>
      <c r="BH145" s="133">
        <f>前台增值物品出入库录入!BH147*$E145</f>
        <v>0</v>
      </c>
      <c r="BI145" s="133">
        <f>前台增值物品出入库录入!BI147*$E145</f>
        <v>0</v>
      </c>
      <c r="BJ145" s="133">
        <f>前台增值物品出入库录入!BJ147*$E145</f>
        <v>0</v>
      </c>
      <c r="BK145" s="133">
        <f>前台增值物品出入库录入!BK147*$E145</f>
        <v>0</v>
      </c>
      <c r="BL145" s="133">
        <f>前台增值物品出入库录入!BL147*$E145</f>
        <v>0</v>
      </c>
      <c r="BM145" s="133">
        <f>前台增值物品出入库录入!BM147*$E145</f>
        <v>0</v>
      </c>
      <c r="BN145" s="133">
        <f>前台增值物品出入库录入!BN147*$E145</f>
        <v>0</v>
      </c>
      <c r="BO145" s="133">
        <f>前台增值物品出入库录入!BO147*$E145</f>
        <v>0</v>
      </c>
      <c r="BP145" s="133">
        <f>前台增值物品出入库录入!BP147*$E145</f>
        <v>0</v>
      </c>
      <c r="BQ145" s="133">
        <f>前台增值物品出入库录入!BQ147*$E145</f>
        <v>0</v>
      </c>
      <c r="BR145" s="133">
        <f>前台增值物品出入库录入!BR147*$E145</f>
        <v>0</v>
      </c>
      <c r="BS145" s="133">
        <f>前台增值物品出入库录入!BS147*$E145</f>
        <v>0</v>
      </c>
      <c r="BT145" s="133">
        <f>前台增值物品出入库录入!BT147*$E145</f>
        <v>0</v>
      </c>
      <c r="BU145" s="133">
        <f>前台增值物品出入库录入!BU147*$E145</f>
        <v>0</v>
      </c>
      <c r="BV145" s="133">
        <f>前台增值物品出入库录入!BV147*$E145</f>
        <v>0</v>
      </c>
      <c r="BW145" s="133">
        <f>前台增值物品出入库录入!BW147*$E145</f>
        <v>0</v>
      </c>
    </row>
    <row r="146" ht="16.5" spans="1:75">
      <c r="A146" s="161">
        <v>151</v>
      </c>
      <c r="B146" s="162" t="str">
        <f>前台增值物品出入库录入!B148</f>
        <v>泡澡球4</v>
      </c>
      <c r="C146" s="162">
        <f>前台增值物品出入库录入!C148</f>
        <v>0</v>
      </c>
      <c r="D146" s="162" t="str">
        <f>前台增值物品出入库录入!D148</f>
        <v>个</v>
      </c>
      <c r="E146" s="162">
        <f>前台增值物品出入库录入!E148</f>
        <v>1.278</v>
      </c>
      <c r="F146" s="162">
        <f>前台增值物品出入库录入!F148</f>
        <v>21</v>
      </c>
      <c r="G146" s="162">
        <f>前台增值物品出入库录入!G148</f>
        <v>26.838</v>
      </c>
      <c r="H146" s="162">
        <f>前台增值物品出入库录入!H148</f>
        <v>0</v>
      </c>
      <c r="I146" s="162">
        <f>前台增值物品出入库录入!I148</f>
        <v>0</v>
      </c>
      <c r="J146" s="162">
        <f>前台增值物品出入库录入!J148</f>
        <v>21</v>
      </c>
      <c r="K146" s="162">
        <f>前台增值物品出入库录入!K148</f>
        <v>26.838</v>
      </c>
      <c r="L146" s="162">
        <f>前台增值物品出入库录入!L148</f>
        <v>0</v>
      </c>
      <c r="M146" s="162">
        <f>前台增值物品出入库录入!M148</f>
        <v>0</v>
      </c>
      <c r="N146" s="133">
        <f>前台增值物品出入库录入!N148*$E146</f>
        <v>0</v>
      </c>
      <c r="O146" s="133">
        <f>前台增值物品出入库录入!O148*$E146</f>
        <v>0</v>
      </c>
      <c r="P146" s="133">
        <f>前台增值物品出入库录入!P148*$E146</f>
        <v>0</v>
      </c>
      <c r="Q146" s="133">
        <f>前台增值物品出入库录入!Q148*$E146</f>
        <v>26.838</v>
      </c>
      <c r="R146" s="133">
        <f>前台增值物品出入库录入!R148*$E146</f>
        <v>0</v>
      </c>
      <c r="S146" s="133">
        <f>前台增值物品出入库录入!S148*$E146</f>
        <v>0</v>
      </c>
      <c r="T146" s="133">
        <f>前台增值物品出入库录入!T148*$E146</f>
        <v>0</v>
      </c>
      <c r="U146" s="133">
        <f>前台增值物品出入库录入!U148*$E146</f>
        <v>0</v>
      </c>
      <c r="V146" s="133">
        <f>前台增值物品出入库录入!V148*$E146</f>
        <v>0</v>
      </c>
      <c r="W146" s="133">
        <f>前台增值物品出入库录入!W148*$E146</f>
        <v>0</v>
      </c>
      <c r="X146" s="133">
        <f>前台增值物品出入库录入!X148*$E146</f>
        <v>0</v>
      </c>
      <c r="Y146" s="133">
        <f>前台增值物品出入库录入!Y148*$E146</f>
        <v>0</v>
      </c>
      <c r="Z146" s="133">
        <f>前台增值物品出入库录入!Z148*$E146</f>
        <v>0</v>
      </c>
      <c r="AA146" s="133">
        <f>前台增值物品出入库录入!AA148*$E146</f>
        <v>0</v>
      </c>
      <c r="AB146" s="133">
        <f>前台增值物品出入库录入!AB148*$E146</f>
        <v>0</v>
      </c>
      <c r="AC146" s="133">
        <f>前台增值物品出入库录入!AC148*$E146</f>
        <v>0</v>
      </c>
      <c r="AD146" s="133">
        <f>前台增值物品出入库录入!AD148*$E146</f>
        <v>0</v>
      </c>
      <c r="AE146" s="133">
        <f>前台增值物品出入库录入!AE148*$E146</f>
        <v>0</v>
      </c>
      <c r="AF146" s="133">
        <f>前台增值物品出入库录入!AF148*$E146</f>
        <v>0</v>
      </c>
      <c r="AG146" s="133">
        <f>前台增值物品出入库录入!AG148*$E146</f>
        <v>0</v>
      </c>
      <c r="AH146" s="133">
        <f>前台增值物品出入库录入!AH148*$E146</f>
        <v>0</v>
      </c>
      <c r="AI146" s="133">
        <f>前台增值物品出入库录入!AI148*$E146</f>
        <v>0</v>
      </c>
      <c r="AJ146" s="133">
        <f>前台增值物品出入库录入!AJ148*$E146</f>
        <v>0</v>
      </c>
      <c r="AK146" s="133">
        <f>前台增值物品出入库录入!AK148*$E146</f>
        <v>0</v>
      </c>
      <c r="AL146" s="133">
        <f>前台增值物品出入库录入!AL148*$E146</f>
        <v>0</v>
      </c>
      <c r="AM146" s="133">
        <f>前台增值物品出入库录入!AM148*$E146</f>
        <v>0</v>
      </c>
      <c r="AN146" s="133">
        <f>前台增值物品出入库录入!AN148*$E146</f>
        <v>0</v>
      </c>
      <c r="AO146" s="133">
        <f>前台增值物品出入库录入!AO148*$E146</f>
        <v>0</v>
      </c>
      <c r="AP146" s="133">
        <f>前台增值物品出入库录入!AP148*$E146</f>
        <v>0</v>
      </c>
      <c r="AQ146" s="133">
        <f>前台增值物品出入库录入!AQ148*$E146</f>
        <v>0</v>
      </c>
      <c r="AR146" s="133">
        <f>前台增值物品出入库录入!AR148*$E146</f>
        <v>0</v>
      </c>
      <c r="AS146" s="133">
        <f>前台增值物品出入库录入!AS148*$E146</f>
        <v>0</v>
      </c>
      <c r="AT146" s="133">
        <f>前台增值物品出入库录入!AT148*$E146</f>
        <v>0</v>
      </c>
      <c r="AU146" s="133">
        <f>前台增值物品出入库录入!AU148*$E146</f>
        <v>0</v>
      </c>
      <c r="AV146" s="133">
        <f>前台增值物品出入库录入!AV148*$E146</f>
        <v>0</v>
      </c>
      <c r="AW146" s="133">
        <f>前台增值物品出入库录入!AW148*$E146</f>
        <v>0</v>
      </c>
      <c r="AX146" s="133">
        <f>前台增值物品出入库录入!AX148*$E146</f>
        <v>0</v>
      </c>
      <c r="AY146" s="133">
        <f>前台增值物品出入库录入!AY148*$E146</f>
        <v>0</v>
      </c>
      <c r="AZ146" s="133">
        <f>前台增值物品出入库录入!AZ148*$E146</f>
        <v>0</v>
      </c>
      <c r="BA146" s="133">
        <f>前台增值物品出入库录入!BA148*$E146</f>
        <v>0</v>
      </c>
      <c r="BB146" s="133">
        <f>前台增值物品出入库录入!BB148*$E146</f>
        <v>0</v>
      </c>
      <c r="BC146" s="133">
        <f>前台增值物品出入库录入!BC148*$E146</f>
        <v>0</v>
      </c>
      <c r="BD146" s="133">
        <f>前台增值物品出入库录入!BD148*$E146</f>
        <v>0</v>
      </c>
      <c r="BE146" s="133">
        <f>前台增值物品出入库录入!BE148*$E146</f>
        <v>0</v>
      </c>
      <c r="BF146" s="133">
        <f>前台增值物品出入库录入!BF148*$E146</f>
        <v>0</v>
      </c>
      <c r="BG146" s="133">
        <f>前台增值物品出入库录入!BG148*$E146</f>
        <v>0</v>
      </c>
      <c r="BH146" s="133">
        <f>前台增值物品出入库录入!BH148*$E146</f>
        <v>0</v>
      </c>
      <c r="BI146" s="133">
        <f>前台增值物品出入库录入!BI148*$E146</f>
        <v>0</v>
      </c>
      <c r="BJ146" s="133">
        <f>前台增值物品出入库录入!BJ148*$E146</f>
        <v>0</v>
      </c>
      <c r="BK146" s="133">
        <f>前台增值物品出入库录入!BK148*$E146</f>
        <v>0</v>
      </c>
      <c r="BL146" s="133">
        <f>前台增值物品出入库录入!BL148*$E146</f>
        <v>0</v>
      </c>
      <c r="BM146" s="133">
        <f>前台增值物品出入库录入!BM148*$E146</f>
        <v>0</v>
      </c>
      <c r="BN146" s="133">
        <f>前台增值物品出入库录入!BN148*$E146</f>
        <v>0</v>
      </c>
      <c r="BO146" s="133">
        <f>前台增值物品出入库录入!BO148*$E146</f>
        <v>0</v>
      </c>
      <c r="BP146" s="133">
        <f>前台增值物品出入库录入!BP148*$E146</f>
        <v>0</v>
      </c>
      <c r="BQ146" s="133">
        <f>前台增值物品出入库录入!BQ148*$E146</f>
        <v>0</v>
      </c>
      <c r="BR146" s="133">
        <f>前台增值物品出入库录入!BR148*$E146</f>
        <v>0</v>
      </c>
      <c r="BS146" s="133">
        <f>前台增值物品出入库录入!BS148*$E146</f>
        <v>0</v>
      </c>
      <c r="BT146" s="133">
        <f>前台增值物品出入库录入!BT148*$E146</f>
        <v>0</v>
      </c>
      <c r="BU146" s="133">
        <f>前台增值物品出入库录入!BU148*$E146</f>
        <v>0</v>
      </c>
      <c r="BV146" s="133">
        <f>前台增值物品出入库录入!BV148*$E146</f>
        <v>0</v>
      </c>
      <c r="BW146" s="133">
        <f>前台增值物品出入库录入!BW148*$E146</f>
        <v>0</v>
      </c>
    </row>
    <row r="147" ht="16.5" spans="1:75">
      <c r="A147" s="161">
        <v>152</v>
      </c>
      <c r="B147" s="162" t="str">
        <f>前台增值物品出入库录入!B149</f>
        <v>驱蚊凝胶</v>
      </c>
      <c r="C147" s="162">
        <f>前台增值物品出入库录入!C149</f>
        <v>0</v>
      </c>
      <c r="D147" s="162" t="str">
        <f>前台增值物品出入库录入!D149</f>
        <v>个</v>
      </c>
      <c r="E147" s="162">
        <f>前台增值物品出入库录入!E149</f>
        <v>6.75</v>
      </c>
      <c r="F147" s="162">
        <f>前台增值物品出入库录入!F149</f>
        <v>0</v>
      </c>
      <c r="G147" s="162">
        <f>前台增值物品出入库录入!G149</f>
        <v>0</v>
      </c>
      <c r="H147" s="162">
        <f>前台增值物品出入库录入!H149</f>
        <v>0</v>
      </c>
      <c r="I147" s="162">
        <f>前台增值物品出入库录入!I149</f>
        <v>0</v>
      </c>
      <c r="J147" s="162">
        <f>前台增值物品出入库录入!J149</f>
        <v>0</v>
      </c>
      <c r="K147" s="162">
        <f>前台增值物品出入库录入!K149</f>
        <v>0</v>
      </c>
      <c r="L147" s="162">
        <f>前台增值物品出入库录入!L149</f>
        <v>0</v>
      </c>
      <c r="M147" s="162">
        <f>前台增值物品出入库录入!M149</f>
        <v>0</v>
      </c>
      <c r="N147" s="133">
        <f>前台增值物品出入库录入!N149*$E147</f>
        <v>0</v>
      </c>
      <c r="O147" s="133">
        <f>前台增值物品出入库录入!O149*$E147</f>
        <v>0</v>
      </c>
      <c r="P147" s="133">
        <f>前台增值物品出入库录入!P149*$E147</f>
        <v>0</v>
      </c>
      <c r="Q147" s="133">
        <f>前台增值物品出入库录入!Q149*$E147</f>
        <v>0</v>
      </c>
      <c r="R147" s="133">
        <f>前台增值物品出入库录入!R149*$E147</f>
        <v>0</v>
      </c>
      <c r="S147" s="133">
        <f>前台增值物品出入库录入!S149*$E147</f>
        <v>0</v>
      </c>
      <c r="T147" s="133">
        <f>前台增值物品出入库录入!T149*$E147</f>
        <v>0</v>
      </c>
      <c r="U147" s="133">
        <f>前台增值物品出入库录入!U149*$E147</f>
        <v>0</v>
      </c>
      <c r="V147" s="133">
        <f>前台增值物品出入库录入!V149*$E147</f>
        <v>0</v>
      </c>
      <c r="W147" s="133">
        <f>前台增值物品出入库录入!W149*$E147</f>
        <v>0</v>
      </c>
      <c r="X147" s="133">
        <f>前台增值物品出入库录入!X149*$E147</f>
        <v>0</v>
      </c>
      <c r="Y147" s="133">
        <f>前台增值物品出入库录入!Y149*$E147</f>
        <v>0</v>
      </c>
      <c r="Z147" s="133">
        <f>前台增值物品出入库录入!Z149*$E147</f>
        <v>0</v>
      </c>
      <c r="AA147" s="133">
        <f>前台增值物品出入库录入!AA149*$E147</f>
        <v>0</v>
      </c>
      <c r="AB147" s="133">
        <f>前台增值物品出入库录入!AB149*$E147</f>
        <v>0</v>
      </c>
      <c r="AC147" s="133">
        <f>前台增值物品出入库录入!AC149*$E147</f>
        <v>0</v>
      </c>
      <c r="AD147" s="133">
        <f>前台增值物品出入库录入!AD149*$E147</f>
        <v>0</v>
      </c>
      <c r="AE147" s="133">
        <f>前台增值物品出入库录入!AE149*$E147</f>
        <v>0</v>
      </c>
      <c r="AF147" s="133">
        <f>前台增值物品出入库录入!AF149*$E147</f>
        <v>0</v>
      </c>
      <c r="AG147" s="133">
        <f>前台增值物品出入库录入!AG149*$E147</f>
        <v>0</v>
      </c>
      <c r="AH147" s="133">
        <f>前台增值物品出入库录入!AH149*$E147</f>
        <v>0</v>
      </c>
      <c r="AI147" s="133">
        <f>前台增值物品出入库录入!AI149*$E147</f>
        <v>0</v>
      </c>
      <c r="AJ147" s="133">
        <f>前台增值物品出入库录入!AJ149*$E147</f>
        <v>0</v>
      </c>
      <c r="AK147" s="133">
        <f>前台增值物品出入库录入!AK149*$E147</f>
        <v>0</v>
      </c>
      <c r="AL147" s="133">
        <f>前台增值物品出入库录入!AL149*$E147</f>
        <v>0</v>
      </c>
      <c r="AM147" s="133">
        <f>前台增值物品出入库录入!AM149*$E147</f>
        <v>0</v>
      </c>
      <c r="AN147" s="133">
        <f>前台增值物品出入库录入!AN149*$E147</f>
        <v>0</v>
      </c>
      <c r="AO147" s="133">
        <f>前台增值物品出入库录入!AO149*$E147</f>
        <v>0</v>
      </c>
      <c r="AP147" s="133">
        <f>前台增值物品出入库录入!AP149*$E147</f>
        <v>0</v>
      </c>
      <c r="AQ147" s="133">
        <f>前台增值物品出入库录入!AQ149*$E147</f>
        <v>0</v>
      </c>
      <c r="AR147" s="133">
        <f>前台增值物品出入库录入!AR149*$E147</f>
        <v>0</v>
      </c>
      <c r="AS147" s="133">
        <f>前台增值物品出入库录入!AS149*$E147</f>
        <v>0</v>
      </c>
      <c r="AT147" s="133">
        <f>前台增值物品出入库录入!AT149*$E147</f>
        <v>0</v>
      </c>
      <c r="AU147" s="133">
        <f>前台增值物品出入库录入!AU149*$E147</f>
        <v>0</v>
      </c>
      <c r="AV147" s="133">
        <f>前台增值物品出入库录入!AV149*$E147</f>
        <v>0</v>
      </c>
      <c r="AW147" s="133">
        <f>前台增值物品出入库录入!AW149*$E147</f>
        <v>0</v>
      </c>
      <c r="AX147" s="133">
        <f>前台增值物品出入库录入!AX149*$E147</f>
        <v>0</v>
      </c>
      <c r="AY147" s="133">
        <f>前台增值物品出入库录入!AY149*$E147</f>
        <v>0</v>
      </c>
      <c r="AZ147" s="133">
        <f>前台增值物品出入库录入!AZ149*$E147</f>
        <v>0</v>
      </c>
      <c r="BA147" s="133">
        <f>前台增值物品出入库录入!BA149*$E147</f>
        <v>0</v>
      </c>
      <c r="BB147" s="133">
        <f>前台增值物品出入库录入!BB149*$E147</f>
        <v>0</v>
      </c>
      <c r="BC147" s="133">
        <f>前台增值物品出入库录入!BC149*$E147</f>
        <v>0</v>
      </c>
      <c r="BD147" s="133">
        <f>前台增值物品出入库录入!BD149*$E147</f>
        <v>0</v>
      </c>
      <c r="BE147" s="133">
        <f>前台增值物品出入库录入!BE149*$E147</f>
        <v>0</v>
      </c>
      <c r="BF147" s="133">
        <f>前台增值物品出入库录入!BF149*$E147</f>
        <v>0</v>
      </c>
      <c r="BG147" s="133">
        <f>前台增值物品出入库录入!BG149*$E147</f>
        <v>0</v>
      </c>
      <c r="BH147" s="133">
        <f>前台增值物品出入库录入!BH149*$E147</f>
        <v>0</v>
      </c>
      <c r="BI147" s="133">
        <f>前台增值物品出入库录入!BI149*$E147</f>
        <v>0</v>
      </c>
      <c r="BJ147" s="133">
        <f>前台增值物品出入库录入!BJ149*$E147</f>
        <v>0</v>
      </c>
      <c r="BK147" s="133">
        <f>前台增值物品出入库录入!BK149*$E147</f>
        <v>0</v>
      </c>
      <c r="BL147" s="133">
        <f>前台增值物品出入库录入!BL149*$E147</f>
        <v>0</v>
      </c>
      <c r="BM147" s="133">
        <f>前台增值物品出入库录入!BM149*$E147</f>
        <v>0</v>
      </c>
      <c r="BN147" s="133">
        <f>前台增值物品出入库录入!BN149*$E147</f>
        <v>0</v>
      </c>
      <c r="BO147" s="133">
        <f>前台增值物品出入库录入!BO149*$E147</f>
        <v>0</v>
      </c>
      <c r="BP147" s="133">
        <f>前台增值物品出入库录入!BP149*$E147</f>
        <v>0</v>
      </c>
      <c r="BQ147" s="133">
        <f>前台增值物品出入库录入!BQ149*$E147</f>
        <v>0</v>
      </c>
      <c r="BR147" s="133">
        <f>前台增值物品出入库录入!BR149*$E147</f>
        <v>0</v>
      </c>
      <c r="BS147" s="133">
        <f>前台增值物品出入库录入!BS149*$E147</f>
        <v>0</v>
      </c>
      <c r="BT147" s="133">
        <f>前台增值物品出入库录入!BT149*$E147</f>
        <v>0</v>
      </c>
      <c r="BU147" s="133">
        <f>前台增值物品出入库录入!BU149*$E147</f>
        <v>0</v>
      </c>
      <c r="BV147" s="133">
        <f>前台增值物品出入库录入!BV149*$E147</f>
        <v>0</v>
      </c>
      <c r="BW147" s="133">
        <f>前台增值物品出入库录入!BW149*$E147</f>
        <v>0</v>
      </c>
    </row>
    <row r="148" ht="16.5" spans="1:75">
      <c r="A148" s="161">
        <v>153</v>
      </c>
      <c r="B148" s="162" t="str">
        <f>前台增值物品出入库录入!B150</f>
        <v>消毒湿巾</v>
      </c>
      <c r="C148" s="162">
        <f>前台增值物品出入库录入!C150</f>
        <v>0</v>
      </c>
      <c r="D148" s="162" t="str">
        <f>前台增值物品出入库录入!D150</f>
        <v>个</v>
      </c>
      <c r="E148" s="162">
        <f>前台增值物品出入库录入!E150</f>
        <v>0.06726</v>
      </c>
      <c r="F148" s="162">
        <f>前台增值物品出入库录入!F150</f>
        <v>950</v>
      </c>
      <c r="G148" s="162">
        <f>前台增值物品出入库录入!G150</f>
        <v>63.897</v>
      </c>
      <c r="H148" s="162">
        <f>前台增值物品出入库录入!H150</f>
        <v>0</v>
      </c>
      <c r="I148" s="162">
        <f>前台增值物品出入库录入!I150</f>
        <v>0</v>
      </c>
      <c r="J148" s="162">
        <f>前台增值物品出入库录入!J150</f>
        <v>290</v>
      </c>
      <c r="K148" s="162">
        <f>前台增值物品出入库录入!K150</f>
        <v>19.5054</v>
      </c>
      <c r="L148" s="162">
        <f>前台增值物品出入库录入!L150</f>
        <v>660</v>
      </c>
      <c r="M148" s="162">
        <f>前台增值物品出入库录入!M150</f>
        <v>44.3916</v>
      </c>
      <c r="N148" s="133">
        <f>前台增值物品出入库录入!N150*$E148</f>
        <v>0</v>
      </c>
      <c r="O148" s="133">
        <f>前台增值物品出入库录入!O150*$E148</f>
        <v>0</v>
      </c>
      <c r="P148" s="133">
        <f>前台增值物品出入库录入!P150*$E148</f>
        <v>0</v>
      </c>
      <c r="Q148" s="133">
        <f>前台增值物品出入库录入!Q150*$E148</f>
        <v>1.3452</v>
      </c>
      <c r="R148" s="133">
        <f>前台增值物品出入库录入!R150*$E148</f>
        <v>0</v>
      </c>
      <c r="S148" s="133">
        <f>前台增值物品出入库录入!S150*$E148</f>
        <v>1.0089</v>
      </c>
      <c r="T148" s="133">
        <f>前台增值物品出入库录入!T150*$E148</f>
        <v>0</v>
      </c>
      <c r="U148" s="133">
        <f>前台增值物品出入库录入!U150*$E148</f>
        <v>1.0089</v>
      </c>
      <c r="V148" s="133">
        <f>前台增值物品出入库录入!V150*$E148</f>
        <v>0</v>
      </c>
      <c r="W148" s="133">
        <f>前台增值物品出入库录入!W150*$E148</f>
        <v>1.0089</v>
      </c>
      <c r="X148" s="133">
        <f>前台增值物品出入库录入!X150*$E148</f>
        <v>0</v>
      </c>
      <c r="Y148" s="133">
        <f>前台增值物品出入库录入!Y150*$E148</f>
        <v>1.0089</v>
      </c>
      <c r="Z148" s="133">
        <f>前台增值物品出入库录入!Z150*$E148</f>
        <v>0</v>
      </c>
      <c r="AA148" s="133">
        <f>前台增值物品出入库录入!AA150*$E148</f>
        <v>1.0089</v>
      </c>
      <c r="AB148" s="133">
        <f>前台增值物品出入库录入!AB150*$E148</f>
        <v>0</v>
      </c>
      <c r="AC148" s="133">
        <f>前台增值物品出入库录入!AC150*$E148</f>
        <v>1.0089</v>
      </c>
      <c r="AD148" s="133">
        <f>前台增值物品出入库录入!AD150*$E148</f>
        <v>0</v>
      </c>
      <c r="AE148" s="133">
        <f>前台增值物品出入库录入!AE150*$E148</f>
        <v>1.0089</v>
      </c>
      <c r="AF148" s="133">
        <f>前台增值物品出入库录入!AF150*$E148</f>
        <v>0</v>
      </c>
      <c r="AG148" s="133">
        <f>前台增值物品出入库录入!AG150*$E148</f>
        <v>1.0089</v>
      </c>
      <c r="AH148" s="133">
        <f>前台增值物品出入库录入!AH150*$E148</f>
        <v>0</v>
      </c>
      <c r="AI148" s="133">
        <f>前台增值物品出入库录入!AI150*$E148</f>
        <v>0</v>
      </c>
      <c r="AJ148" s="133">
        <f>前台增值物品出入库录入!AJ150*$E148</f>
        <v>0</v>
      </c>
      <c r="AK148" s="133">
        <f>前台增值物品出入库录入!AK150*$E148</f>
        <v>1.0089</v>
      </c>
      <c r="AL148" s="133">
        <f>前台增值物品出入库录入!AL150*$E148</f>
        <v>0</v>
      </c>
      <c r="AM148" s="133">
        <f>前台增值物品出入库录入!AM150*$E148</f>
        <v>1.0089</v>
      </c>
      <c r="AN148" s="133">
        <f>前台增值物品出入库录入!AN150*$E148</f>
        <v>0</v>
      </c>
      <c r="AO148" s="133">
        <f>前台增值物品出入库录入!AO150*$E148</f>
        <v>1.0089</v>
      </c>
      <c r="AP148" s="133">
        <f>前台增值物品出入库录入!AP150*$E148</f>
        <v>0</v>
      </c>
      <c r="AQ148" s="133">
        <f>前台增值物品出入库录入!AQ150*$E148</f>
        <v>1.0089</v>
      </c>
      <c r="AR148" s="133">
        <f>前台增值物品出入库录入!AR150*$E148</f>
        <v>0</v>
      </c>
      <c r="AS148" s="133">
        <f>前台增值物品出入库录入!AS150*$E148</f>
        <v>0</v>
      </c>
      <c r="AT148" s="133">
        <f>前台增值物品出入库录入!AT150*$E148</f>
        <v>0</v>
      </c>
      <c r="AU148" s="133">
        <f>前台增值物品出入库录入!AU150*$E148</f>
        <v>0</v>
      </c>
      <c r="AV148" s="133">
        <f>前台增值物品出入库录入!AV150*$E148</f>
        <v>0</v>
      </c>
      <c r="AW148" s="133">
        <f>前台增值物品出入库录入!AW150*$E148</f>
        <v>0</v>
      </c>
      <c r="AX148" s="133">
        <f>前台增值物品出入库录入!AX150*$E148</f>
        <v>0</v>
      </c>
      <c r="AY148" s="133">
        <f>前台增值物品出入库录入!AY150*$E148</f>
        <v>0</v>
      </c>
      <c r="AZ148" s="133">
        <f>前台增值物品出入库录入!AZ150*$E148</f>
        <v>0</v>
      </c>
      <c r="BA148" s="133">
        <f>前台增值物品出入库录入!BA150*$E148</f>
        <v>0</v>
      </c>
      <c r="BB148" s="133">
        <f>前台增值物品出入库录入!BB150*$E148</f>
        <v>0</v>
      </c>
      <c r="BC148" s="133">
        <f>前台增值物品出入库录入!BC150*$E148</f>
        <v>0</v>
      </c>
      <c r="BD148" s="133">
        <f>前台增值物品出入库录入!BD150*$E148</f>
        <v>0</v>
      </c>
      <c r="BE148" s="133">
        <f>前台增值物品出入库录入!BE150*$E148</f>
        <v>0</v>
      </c>
      <c r="BF148" s="133">
        <f>前台增值物品出入库录入!BF150*$E148</f>
        <v>0</v>
      </c>
      <c r="BG148" s="133">
        <f>前台增值物品出入库录入!BG150*$E148</f>
        <v>0</v>
      </c>
      <c r="BH148" s="133">
        <f>前台增值物品出入库录入!BH150*$E148</f>
        <v>0</v>
      </c>
      <c r="BI148" s="133">
        <f>前台增值物品出入库录入!BI150*$E148</f>
        <v>0</v>
      </c>
      <c r="BJ148" s="133">
        <f>前台增值物品出入库录入!BJ150*$E148</f>
        <v>0</v>
      </c>
      <c r="BK148" s="133">
        <f>前台增值物品出入库录入!BK150*$E148</f>
        <v>2.0178</v>
      </c>
      <c r="BL148" s="133">
        <f>前台增值物品出入库录入!BL150*$E148</f>
        <v>0</v>
      </c>
      <c r="BM148" s="133">
        <f>前台增值物品出入库录入!BM150*$E148</f>
        <v>0.6726</v>
      </c>
      <c r="BN148" s="133">
        <f>前台增值物品出入库录入!BN150*$E148</f>
        <v>0</v>
      </c>
      <c r="BO148" s="133">
        <f>前台增值物品出入库录入!BO150*$E148</f>
        <v>0</v>
      </c>
      <c r="BP148" s="133">
        <f>前台增值物品出入库录入!BP150*$E148</f>
        <v>0</v>
      </c>
      <c r="BQ148" s="133">
        <f>前台增值物品出入库录入!BQ150*$E148</f>
        <v>3.363</v>
      </c>
      <c r="BR148" s="133">
        <f>前台增值物品出入库录入!BR150*$E148</f>
        <v>0</v>
      </c>
      <c r="BS148" s="133">
        <f>前台增值物品出入库录入!BS150*$E148</f>
        <v>0</v>
      </c>
      <c r="BT148" s="133">
        <f>前台增值物品出入库录入!BT150*$E148</f>
        <v>0</v>
      </c>
      <c r="BU148" s="133">
        <f>前台增值物品出入库录入!BU150*$E148</f>
        <v>0</v>
      </c>
      <c r="BV148" s="133">
        <f>前台增值物品出入库录入!BV150*$E148</f>
        <v>0</v>
      </c>
      <c r="BW148" s="133">
        <f>前台增值物品出入库录入!BW150*$E148</f>
        <v>0</v>
      </c>
    </row>
    <row r="149" ht="16.5" spans="1:75">
      <c r="A149" s="161">
        <v>154</v>
      </c>
      <c r="B149" s="162" t="str">
        <f>前台增值物品出入库录入!B151</f>
        <v>碳粉</v>
      </c>
      <c r="C149" s="162">
        <f>前台增值物品出入库录入!C151</f>
        <v>0</v>
      </c>
      <c r="D149" s="162" t="str">
        <f>前台增值物品出入库录入!D151</f>
        <v>个</v>
      </c>
      <c r="E149" s="162">
        <f>前台增值物品出入库录入!E151</f>
        <v>13.9</v>
      </c>
      <c r="F149" s="162">
        <f>前台增值物品出入库录入!F151</f>
        <v>0</v>
      </c>
      <c r="G149" s="162">
        <f>前台增值物品出入库录入!G151</f>
        <v>0</v>
      </c>
      <c r="H149" s="162">
        <f>前台增值物品出入库录入!H151</f>
        <v>0</v>
      </c>
      <c r="I149" s="162">
        <f>前台增值物品出入库录入!I151</f>
        <v>0</v>
      </c>
      <c r="J149" s="162">
        <f>前台增值物品出入库录入!J151</f>
        <v>0</v>
      </c>
      <c r="K149" s="162">
        <f>前台增值物品出入库录入!K151</f>
        <v>0</v>
      </c>
      <c r="L149" s="162">
        <f>前台增值物品出入库录入!L151</f>
        <v>0</v>
      </c>
      <c r="M149" s="162">
        <f>前台增值物品出入库录入!M151</f>
        <v>0</v>
      </c>
      <c r="N149" s="133">
        <f>前台增值物品出入库录入!N151*$E149</f>
        <v>0</v>
      </c>
      <c r="O149" s="133">
        <f>前台增值物品出入库录入!O151*$E149</f>
        <v>0</v>
      </c>
      <c r="P149" s="133">
        <f>前台增值物品出入库录入!P151*$E149</f>
        <v>0</v>
      </c>
      <c r="Q149" s="133">
        <f>前台增值物品出入库录入!Q151*$E149</f>
        <v>0</v>
      </c>
      <c r="R149" s="133">
        <f>前台增值物品出入库录入!R151*$E149</f>
        <v>0</v>
      </c>
      <c r="S149" s="133">
        <f>前台增值物品出入库录入!S151*$E149</f>
        <v>0</v>
      </c>
      <c r="T149" s="133">
        <f>前台增值物品出入库录入!T151*$E149</f>
        <v>0</v>
      </c>
      <c r="U149" s="133">
        <f>前台增值物品出入库录入!U151*$E149</f>
        <v>0</v>
      </c>
      <c r="V149" s="133">
        <f>前台增值物品出入库录入!V151*$E149</f>
        <v>0</v>
      </c>
      <c r="W149" s="133">
        <f>前台增值物品出入库录入!W151*$E149</f>
        <v>0</v>
      </c>
      <c r="X149" s="133">
        <f>前台增值物品出入库录入!X151*$E149</f>
        <v>0</v>
      </c>
      <c r="Y149" s="133">
        <f>前台增值物品出入库录入!Y151*$E149</f>
        <v>0</v>
      </c>
      <c r="Z149" s="133">
        <f>前台增值物品出入库录入!Z151*$E149</f>
        <v>0</v>
      </c>
      <c r="AA149" s="133">
        <f>前台增值物品出入库录入!AA151*$E149</f>
        <v>0</v>
      </c>
      <c r="AB149" s="133">
        <f>前台增值物品出入库录入!AB151*$E149</f>
        <v>0</v>
      </c>
      <c r="AC149" s="133">
        <f>前台增值物品出入库录入!AC151*$E149</f>
        <v>0</v>
      </c>
      <c r="AD149" s="133">
        <f>前台增值物品出入库录入!AD151*$E149</f>
        <v>0</v>
      </c>
      <c r="AE149" s="133">
        <f>前台增值物品出入库录入!AE151*$E149</f>
        <v>0</v>
      </c>
      <c r="AF149" s="133">
        <f>前台增值物品出入库录入!AF151*$E149</f>
        <v>0</v>
      </c>
      <c r="AG149" s="133">
        <f>前台增值物品出入库录入!AG151*$E149</f>
        <v>0</v>
      </c>
      <c r="AH149" s="133">
        <f>前台增值物品出入库录入!AH151*$E149</f>
        <v>0</v>
      </c>
      <c r="AI149" s="133">
        <f>前台增值物品出入库录入!AI151*$E149</f>
        <v>0</v>
      </c>
      <c r="AJ149" s="133">
        <f>前台增值物品出入库录入!AJ151*$E149</f>
        <v>0</v>
      </c>
      <c r="AK149" s="133">
        <f>前台增值物品出入库录入!AK151*$E149</f>
        <v>0</v>
      </c>
      <c r="AL149" s="133">
        <f>前台增值物品出入库录入!AL151*$E149</f>
        <v>0</v>
      </c>
      <c r="AM149" s="133">
        <f>前台增值物品出入库录入!AM151*$E149</f>
        <v>0</v>
      </c>
      <c r="AN149" s="133">
        <f>前台增值物品出入库录入!AN151*$E149</f>
        <v>0</v>
      </c>
      <c r="AO149" s="133">
        <f>前台增值物品出入库录入!AO151*$E149</f>
        <v>0</v>
      </c>
      <c r="AP149" s="133">
        <f>前台增值物品出入库录入!AP151*$E149</f>
        <v>0</v>
      </c>
      <c r="AQ149" s="133">
        <f>前台增值物品出入库录入!AQ151*$E149</f>
        <v>0</v>
      </c>
      <c r="AR149" s="133">
        <f>前台增值物品出入库录入!AR151*$E149</f>
        <v>0</v>
      </c>
      <c r="AS149" s="133">
        <f>前台增值物品出入库录入!AS151*$E149</f>
        <v>0</v>
      </c>
      <c r="AT149" s="133">
        <f>前台增值物品出入库录入!AT151*$E149</f>
        <v>0</v>
      </c>
      <c r="AU149" s="133">
        <f>前台增值物品出入库录入!AU151*$E149</f>
        <v>0</v>
      </c>
      <c r="AV149" s="133">
        <f>前台增值物品出入库录入!AV151*$E149</f>
        <v>0</v>
      </c>
      <c r="AW149" s="133">
        <f>前台增值物品出入库录入!AW151*$E149</f>
        <v>0</v>
      </c>
      <c r="AX149" s="133">
        <f>前台增值物品出入库录入!AX151*$E149</f>
        <v>0</v>
      </c>
      <c r="AY149" s="133">
        <f>前台增值物品出入库录入!AY151*$E149</f>
        <v>0</v>
      </c>
      <c r="AZ149" s="133">
        <f>前台增值物品出入库录入!AZ151*$E149</f>
        <v>0</v>
      </c>
      <c r="BA149" s="133">
        <f>前台增值物品出入库录入!BA151*$E149</f>
        <v>0</v>
      </c>
      <c r="BB149" s="133">
        <f>前台增值物品出入库录入!BB151*$E149</f>
        <v>0</v>
      </c>
      <c r="BC149" s="133">
        <f>前台增值物品出入库录入!BC151*$E149</f>
        <v>0</v>
      </c>
      <c r="BD149" s="133">
        <f>前台增值物品出入库录入!BD151*$E149</f>
        <v>0</v>
      </c>
      <c r="BE149" s="133">
        <f>前台增值物品出入库录入!BE151*$E149</f>
        <v>0</v>
      </c>
      <c r="BF149" s="133">
        <f>前台增值物品出入库录入!BF151*$E149</f>
        <v>0</v>
      </c>
      <c r="BG149" s="133">
        <f>前台增值物品出入库录入!BG151*$E149</f>
        <v>0</v>
      </c>
      <c r="BH149" s="133">
        <f>前台增值物品出入库录入!BH151*$E149</f>
        <v>0</v>
      </c>
      <c r="BI149" s="133">
        <f>前台增值物品出入库录入!BI151*$E149</f>
        <v>0</v>
      </c>
      <c r="BJ149" s="133">
        <f>前台增值物品出入库录入!BJ151*$E149</f>
        <v>0</v>
      </c>
      <c r="BK149" s="133">
        <f>前台增值物品出入库录入!BK151*$E149</f>
        <v>0</v>
      </c>
      <c r="BL149" s="133">
        <f>前台增值物品出入库录入!BL151*$E149</f>
        <v>0</v>
      </c>
      <c r="BM149" s="133">
        <f>前台增值物品出入库录入!BM151*$E149</f>
        <v>0</v>
      </c>
      <c r="BN149" s="133">
        <f>前台增值物品出入库录入!BN151*$E149</f>
        <v>0</v>
      </c>
      <c r="BO149" s="133">
        <f>前台增值物品出入库录入!BO151*$E149</f>
        <v>0</v>
      </c>
      <c r="BP149" s="133">
        <f>前台增值物品出入库录入!BP151*$E149</f>
        <v>0</v>
      </c>
      <c r="BQ149" s="133">
        <f>前台增值物品出入库录入!BQ151*$E149</f>
        <v>0</v>
      </c>
      <c r="BR149" s="133">
        <f>前台增值物品出入库录入!BR151*$E149</f>
        <v>0</v>
      </c>
      <c r="BS149" s="133">
        <f>前台增值物品出入库录入!BS151*$E149</f>
        <v>0</v>
      </c>
      <c r="BT149" s="133">
        <f>前台增值物品出入库录入!BT151*$E149</f>
        <v>0</v>
      </c>
      <c r="BU149" s="133">
        <f>前台增值物品出入库录入!BU151*$E149</f>
        <v>0</v>
      </c>
      <c r="BV149" s="133">
        <f>前台增值物品出入库录入!BV151*$E149</f>
        <v>0</v>
      </c>
      <c r="BW149" s="133">
        <f>前台增值物品出入库录入!BW151*$E149</f>
        <v>0</v>
      </c>
    </row>
    <row r="150" ht="16.5" spans="1:75">
      <c r="A150" s="161">
        <v>155</v>
      </c>
      <c r="B150" s="162" t="str">
        <f>前台增值物品出入库录入!B152</f>
        <v>a4塑封膜</v>
      </c>
      <c r="C150" s="162">
        <f>前台增值物品出入库录入!C152</f>
        <v>0</v>
      </c>
      <c r="D150" s="162" t="str">
        <f>前台增值物品出入库录入!D152</f>
        <v>张</v>
      </c>
      <c r="E150" s="162">
        <f>前台增值物品出入库录入!E152</f>
        <v>0.479</v>
      </c>
      <c r="F150" s="162">
        <f>前台增值物品出入库录入!F152</f>
        <v>100</v>
      </c>
      <c r="G150" s="162">
        <f>前台增值物品出入库录入!G152</f>
        <v>47.9</v>
      </c>
      <c r="H150" s="162">
        <f>前台增值物品出入库录入!H152</f>
        <v>0</v>
      </c>
      <c r="I150" s="162">
        <f>前台增值物品出入库录入!I152</f>
        <v>0</v>
      </c>
      <c r="J150" s="162">
        <f>前台增值物品出入库录入!J152</f>
        <v>0</v>
      </c>
      <c r="K150" s="162">
        <f>前台增值物品出入库录入!K152</f>
        <v>0</v>
      </c>
      <c r="L150" s="162">
        <f>前台增值物品出入库录入!L152</f>
        <v>100</v>
      </c>
      <c r="M150" s="162">
        <f>前台增值物品出入库录入!M152</f>
        <v>47.9</v>
      </c>
      <c r="N150" s="133">
        <f>前台增值物品出入库录入!N152*$E150</f>
        <v>0</v>
      </c>
      <c r="O150" s="133">
        <f>前台增值物品出入库录入!O152*$E150</f>
        <v>0</v>
      </c>
      <c r="P150" s="133">
        <f>前台增值物品出入库录入!P152*$E150</f>
        <v>0</v>
      </c>
      <c r="Q150" s="133">
        <f>前台增值物品出入库录入!Q152*$E150</f>
        <v>0</v>
      </c>
      <c r="R150" s="133">
        <f>前台增值物品出入库录入!R152*$E150</f>
        <v>0</v>
      </c>
      <c r="S150" s="133">
        <f>前台增值物品出入库录入!S152*$E150</f>
        <v>0</v>
      </c>
      <c r="T150" s="133">
        <f>前台增值物品出入库录入!T152*$E150</f>
        <v>0</v>
      </c>
      <c r="U150" s="133">
        <f>前台增值物品出入库录入!U152*$E150</f>
        <v>0</v>
      </c>
      <c r="V150" s="133">
        <f>前台增值物品出入库录入!V152*$E150</f>
        <v>0</v>
      </c>
      <c r="W150" s="133">
        <f>前台增值物品出入库录入!W152*$E150</f>
        <v>0</v>
      </c>
      <c r="X150" s="133">
        <f>前台增值物品出入库录入!X152*$E150</f>
        <v>0</v>
      </c>
      <c r="Y150" s="133">
        <f>前台增值物品出入库录入!Y152*$E150</f>
        <v>0</v>
      </c>
      <c r="Z150" s="133">
        <f>前台增值物品出入库录入!Z152*$E150</f>
        <v>0</v>
      </c>
      <c r="AA150" s="133">
        <f>前台增值物品出入库录入!AA152*$E150</f>
        <v>0</v>
      </c>
      <c r="AB150" s="133">
        <f>前台增值物品出入库录入!AB152*$E150</f>
        <v>0</v>
      </c>
      <c r="AC150" s="133">
        <f>前台增值物品出入库录入!AC152*$E150</f>
        <v>0</v>
      </c>
      <c r="AD150" s="133">
        <f>前台增值物品出入库录入!AD152*$E150</f>
        <v>0</v>
      </c>
      <c r="AE150" s="133">
        <f>前台增值物品出入库录入!AE152*$E150</f>
        <v>0</v>
      </c>
      <c r="AF150" s="133">
        <f>前台增值物品出入库录入!AF152*$E150</f>
        <v>0</v>
      </c>
      <c r="AG150" s="133">
        <f>前台增值物品出入库录入!AG152*$E150</f>
        <v>0</v>
      </c>
      <c r="AH150" s="133">
        <f>前台增值物品出入库录入!AH152*$E150</f>
        <v>0</v>
      </c>
      <c r="AI150" s="133">
        <f>前台增值物品出入库录入!AI152*$E150</f>
        <v>0</v>
      </c>
      <c r="AJ150" s="133">
        <f>前台增值物品出入库录入!AJ152*$E150</f>
        <v>0</v>
      </c>
      <c r="AK150" s="133">
        <f>前台增值物品出入库录入!AK152*$E150</f>
        <v>0</v>
      </c>
      <c r="AL150" s="133">
        <f>前台增值物品出入库录入!AL152*$E150</f>
        <v>0</v>
      </c>
      <c r="AM150" s="133">
        <f>前台增值物品出入库录入!AM152*$E150</f>
        <v>0</v>
      </c>
      <c r="AN150" s="133">
        <f>前台增值物品出入库录入!AN152*$E150</f>
        <v>0</v>
      </c>
      <c r="AO150" s="133">
        <f>前台增值物品出入库录入!AO152*$E150</f>
        <v>0</v>
      </c>
      <c r="AP150" s="133">
        <f>前台增值物品出入库录入!AP152*$E150</f>
        <v>0</v>
      </c>
      <c r="AQ150" s="133">
        <f>前台增值物品出入库录入!AQ152*$E150</f>
        <v>0</v>
      </c>
      <c r="AR150" s="133">
        <f>前台增值物品出入库录入!AR152*$E150</f>
        <v>0</v>
      </c>
      <c r="AS150" s="133">
        <f>前台增值物品出入库录入!AS152*$E150</f>
        <v>0</v>
      </c>
      <c r="AT150" s="133">
        <f>前台增值物品出入库录入!AT152*$E150</f>
        <v>0</v>
      </c>
      <c r="AU150" s="133">
        <f>前台增值物品出入库录入!AU152*$E150</f>
        <v>0</v>
      </c>
      <c r="AV150" s="133">
        <f>前台增值物品出入库录入!AV152*$E150</f>
        <v>0</v>
      </c>
      <c r="AW150" s="133">
        <f>前台增值物品出入库录入!AW152*$E150</f>
        <v>0</v>
      </c>
      <c r="AX150" s="133">
        <f>前台增值物品出入库录入!AX152*$E150</f>
        <v>0</v>
      </c>
      <c r="AY150" s="133">
        <f>前台增值物品出入库录入!AY152*$E150</f>
        <v>0</v>
      </c>
      <c r="AZ150" s="133">
        <f>前台增值物品出入库录入!AZ152*$E150</f>
        <v>0</v>
      </c>
      <c r="BA150" s="133">
        <f>前台增值物品出入库录入!BA152*$E150</f>
        <v>0</v>
      </c>
      <c r="BB150" s="133">
        <f>前台增值物品出入库录入!BB152*$E150</f>
        <v>0</v>
      </c>
      <c r="BC150" s="133">
        <f>前台增值物品出入库录入!BC152*$E150</f>
        <v>0</v>
      </c>
      <c r="BD150" s="133">
        <f>前台增值物品出入库录入!BD152*$E150</f>
        <v>0</v>
      </c>
      <c r="BE150" s="133">
        <f>前台增值物品出入库录入!BE152*$E150</f>
        <v>0</v>
      </c>
      <c r="BF150" s="133">
        <f>前台增值物品出入库录入!BF152*$E150</f>
        <v>0</v>
      </c>
      <c r="BG150" s="133">
        <f>前台增值物品出入库录入!BG152*$E150</f>
        <v>0</v>
      </c>
      <c r="BH150" s="133">
        <f>前台增值物品出入库录入!BH152*$E150</f>
        <v>0</v>
      </c>
      <c r="BI150" s="133">
        <f>前台增值物品出入库录入!BI152*$E150</f>
        <v>0</v>
      </c>
      <c r="BJ150" s="133">
        <f>前台增值物品出入库录入!BJ152*$E150</f>
        <v>0</v>
      </c>
      <c r="BK150" s="133">
        <f>前台增值物品出入库录入!BK152*$E150</f>
        <v>0</v>
      </c>
      <c r="BL150" s="133">
        <f>前台增值物品出入库录入!BL152*$E150</f>
        <v>0</v>
      </c>
      <c r="BM150" s="133">
        <f>前台增值物品出入库录入!BM152*$E150</f>
        <v>0</v>
      </c>
      <c r="BN150" s="133">
        <f>前台增值物品出入库录入!BN152*$E150</f>
        <v>0</v>
      </c>
      <c r="BO150" s="133">
        <f>前台增值物品出入库录入!BO152*$E150</f>
        <v>0</v>
      </c>
      <c r="BP150" s="133">
        <f>前台增值物品出入库录入!BP152*$E150</f>
        <v>0</v>
      </c>
      <c r="BQ150" s="133">
        <f>前台增值物品出入库录入!BQ152*$E150</f>
        <v>0</v>
      </c>
      <c r="BR150" s="133">
        <f>前台增值物品出入库录入!BR152*$E150</f>
        <v>0</v>
      </c>
      <c r="BS150" s="133">
        <f>前台增值物品出入库录入!BS152*$E150</f>
        <v>0</v>
      </c>
      <c r="BT150" s="133">
        <f>前台增值物品出入库录入!BT152*$E150</f>
        <v>0</v>
      </c>
      <c r="BU150" s="133">
        <f>前台增值物品出入库录入!BU152*$E150</f>
        <v>0</v>
      </c>
      <c r="BV150" s="133">
        <f>前台增值物品出入库录入!BV152*$E150</f>
        <v>0</v>
      </c>
      <c r="BW150" s="133">
        <f>前台增值物品出入库录入!BW152*$E150</f>
        <v>0</v>
      </c>
    </row>
    <row r="151" ht="16.5" spans="1:75">
      <c r="A151" s="161">
        <v>156</v>
      </c>
      <c r="B151" s="162" t="str">
        <f>前台增值物品出入库录入!B153</f>
        <v>碳粉</v>
      </c>
      <c r="C151" s="162">
        <f>前台增值物品出入库录入!C153</f>
        <v>0</v>
      </c>
      <c r="D151" s="162" t="str">
        <f>前台增值物品出入库录入!D153</f>
        <v>个</v>
      </c>
      <c r="E151" s="162">
        <f>前台增值物品出入库录入!E153</f>
        <v>12.05</v>
      </c>
      <c r="F151" s="162">
        <f>前台增值物品出入库录入!F153</f>
        <v>1</v>
      </c>
      <c r="G151" s="162">
        <f>前台增值物品出入库录入!G153</f>
        <v>12.05</v>
      </c>
      <c r="H151" s="162">
        <f>前台增值物品出入库录入!H153</f>
        <v>0</v>
      </c>
      <c r="I151" s="162">
        <f>前台增值物品出入库录入!I153</f>
        <v>0</v>
      </c>
      <c r="J151" s="162">
        <f>前台增值物品出入库录入!J153</f>
        <v>1</v>
      </c>
      <c r="K151" s="162">
        <f>前台增值物品出入库录入!K153</f>
        <v>12.05</v>
      </c>
      <c r="L151" s="162">
        <f>前台增值物品出入库录入!L153</f>
        <v>0</v>
      </c>
      <c r="M151" s="162">
        <f>前台增值物品出入库录入!M153</f>
        <v>0</v>
      </c>
      <c r="N151" s="133">
        <f>前台增值物品出入库录入!N153*$E151</f>
        <v>0</v>
      </c>
      <c r="O151" s="133">
        <f>前台增值物品出入库录入!O153*$E151</f>
        <v>0</v>
      </c>
      <c r="P151" s="133">
        <f>前台增值物品出入库录入!P153*$E151</f>
        <v>0</v>
      </c>
      <c r="Q151" s="133">
        <f>前台增值物品出入库录入!Q153*$E151</f>
        <v>0</v>
      </c>
      <c r="R151" s="133">
        <f>前台增值物品出入库录入!R153*$E151</f>
        <v>0</v>
      </c>
      <c r="S151" s="133">
        <f>前台增值物品出入库录入!S153*$E151</f>
        <v>0</v>
      </c>
      <c r="T151" s="133">
        <f>前台增值物品出入库录入!T153*$E151</f>
        <v>0</v>
      </c>
      <c r="U151" s="133">
        <f>前台增值物品出入库录入!U153*$E151</f>
        <v>0</v>
      </c>
      <c r="V151" s="133">
        <f>前台增值物品出入库录入!V153*$E151</f>
        <v>0</v>
      </c>
      <c r="W151" s="133">
        <f>前台增值物品出入库录入!W153*$E151</f>
        <v>0</v>
      </c>
      <c r="X151" s="133">
        <f>前台增值物品出入库录入!X153*$E151</f>
        <v>0</v>
      </c>
      <c r="Y151" s="133">
        <f>前台增值物品出入库录入!Y153*$E151</f>
        <v>0</v>
      </c>
      <c r="Z151" s="133">
        <f>前台增值物品出入库录入!Z153*$E151</f>
        <v>0</v>
      </c>
      <c r="AA151" s="133">
        <f>前台增值物品出入库录入!AA153*$E151</f>
        <v>0</v>
      </c>
      <c r="AB151" s="133">
        <f>前台增值物品出入库录入!AB153*$E151</f>
        <v>0</v>
      </c>
      <c r="AC151" s="133">
        <f>前台增值物品出入库录入!AC153*$E151</f>
        <v>0</v>
      </c>
      <c r="AD151" s="133">
        <f>前台增值物品出入库录入!AD153*$E151</f>
        <v>0</v>
      </c>
      <c r="AE151" s="133">
        <f>前台增值物品出入库录入!AE153*$E151</f>
        <v>0</v>
      </c>
      <c r="AF151" s="133">
        <f>前台增值物品出入库录入!AF153*$E151</f>
        <v>0</v>
      </c>
      <c r="AG151" s="133">
        <f>前台增值物品出入库录入!AG153*$E151</f>
        <v>0</v>
      </c>
      <c r="AH151" s="133">
        <f>前台增值物品出入库录入!AH153*$E151</f>
        <v>0</v>
      </c>
      <c r="AI151" s="133">
        <f>前台增值物品出入库录入!AI153*$E151</f>
        <v>0</v>
      </c>
      <c r="AJ151" s="133">
        <f>前台增值物品出入库录入!AJ153*$E151</f>
        <v>0</v>
      </c>
      <c r="AK151" s="133">
        <f>前台增值物品出入库录入!AK153*$E151</f>
        <v>0</v>
      </c>
      <c r="AL151" s="133">
        <f>前台增值物品出入库录入!AL153*$E151</f>
        <v>0</v>
      </c>
      <c r="AM151" s="133">
        <f>前台增值物品出入库录入!AM153*$E151</f>
        <v>0</v>
      </c>
      <c r="AN151" s="133">
        <f>前台增值物品出入库录入!AN153*$E151</f>
        <v>0</v>
      </c>
      <c r="AO151" s="133">
        <f>前台增值物品出入库录入!AO153*$E151</f>
        <v>0</v>
      </c>
      <c r="AP151" s="133">
        <f>前台增值物品出入库录入!AP153*$E151</f>
        <v>0</v>
      </c>
      <c r="AQ151" s="133">
        <f>前台增值物品出入库录入!AQ153*$E151</f>
        <v>0</v>
      </c>
      <c r="AR151" s="133">
        <f>前台增值物品出入库录入!AR153*$E151</f>
        <v>0</v>
      </c>
      <c r="AS151" s="133">
        <f>前台增值物品出入库录入!AS153*$E151</f>
        <v>0</v>
      </c>
      <c r="AT151" s="133">
        <f>前台增值物品出入库录入!AT153*$E151</f>
        <v>0</v>
      </c>
      <c r="AU151" s="133">
        <f>前台增值物品出入库录入!AU153*$E151</f>
        <v>0</v>
      </c>
      <c r="AV151" s="133">
        <f>前台增值物品出入库录入!AV153*$E151</f>
        <v>0</v>
      </c>
      <c r="AW151" s="133">
        <f>前台增值物品出入库录入!AW153*$E151</f>
        <v>0</v>
      </c>
      <c r="AX151" s="133">
        <f>前台增值物品出入库录入!AX153*$E151</f>
        <v>0</v>
      </c>
      <c r="AY151" s="133">
        <f>前台增值物品出入库录入!AY153*$E151</f>
        <v>0</v>
      </c>
      <c r="AZ151" s="133">
        <f>前台增值物品出入库录入!AZ153*$E151</f>
        <v>0</v>
      </c>
      <c r="BA151" s="133">
        <f>前台增值物品出入库录入!BA153*$E151</f>
        <v>0</v>
      </c>
      <c r="BB151" s="133">
        <f>前台增值物品出入库录入!BB153*$E151</f>
        <v>0</v>
      </c>
      <c r="BC151" s="133">
        <f>前台增值物品出入库录入!BC153*$E151</f>
        <v>0</v>
      </c>
      <c r="BD151" s="133">
        <f>前台增值物品出入库录入!BD153*$E151</f>
        <v>0</v>
      </c>
      <c r="BE151" s="133">
        <f>前台增值物品出入库录入!BE153*$E151</f>
        <v>0</v>
      </c>
      <c r="BF151" s="133">
        <f>前台增值物品出入库录入!BF153*$E151</f>
        <v>0</v>
      </c>
      <c r="BG151" s="133">
        <f>前台增值物品出入库录入!BG153*$E151</f>
        <v>0</v>
      </c>
      <c r="BH151" s="133">
        <f>前台增值物品出入库录入!BH153*$E151</f>
        <v>0</v>
      </c>
      <c r="BI151" s="133">
        <f>前台增值物品出入库录入!BI153*$E151</f>
        <v>0</v>
      </c>
      <c r="BJ151" s="133">
        <f>前台增值物品出入库录入!BJ153*$E151</f>
        <v>0</v>
      </c>
      <c r="BK151" s="133">
        <f>前台增值物品出入库录入!BK153*$E151</f>
        <v>12.05</v>
      </c>
      <c r="BL151" s="133">
        <f>前台增值物品出入库录入!BL153*$E151</f>
        <v>0</v>
      </c>
      <c r="BM151" s="133">
        <f>前台增值物品出入库录入!BM153*$E151</f>
        <v>0</v>
      </c>
      <c r="BN151" s="133">
        <f>前台增值物品出入库录入!BN153*$E151</f>
        <v>0</v>
      </c>
      <c r="BO151" s="133">
        <f>前台增值物品出入库录入!BO153*$E151</f>
        <v>0</v>
      </c>
      <c r="BP151" s="133">
        <f>前台增值物品出入库录入!BP153*$E151</f>
        <v>0</v>
      </c>
      <c r="BQ151" s="133">
        <f>前台增值物品出入库录入!BQ153*$E151</f>
        <v>0</v>
      </c>
      <c r="BR151" s="133">
        <f>前台增值物品出入库录入!BR153*$E151</f>
        <v>0</v>
      </c>
      <c r="BS151" s="133">
        <f>前台增值物品出入库录入!BS153*$E151</f>
        <v>0</v>
      </c>
      <c r="BT151" s="133">
        <f>前台增值物品出入库录入!BT153*$E151</f>
        <v>0</v>
      </c>
      <c r="BU151" s="133">
        <f>前台增值物品出入库录入!BU153*$E151</f>
        <v>0</v>
      </c>
      <c r="BV151" s="133">
        <f>前台增值物品出入库录入!BV153*$E151</f>
        <v>0</v>
      </c>
      <c r="BW151" s="133">
        <f>前台增值物品出入库录入!BW153*$E151</f>
        <v>0</v>
      </c>
    </row>
    <row r="152" ht="16.5" spans="1:75">
      <c r="A152" s="161">
        <v>157</v>
      </c>
      <c r="B152" s="162" t="str">
        <f>前台增值物品出入库录入!B154</f>
        <v>冷饮桶</v>
      </c>
      <c r="C152" s="162">
        <f>前台增值物品出入库录入!C154</f>
        <v>0</v>
      </c>
      <c r="D152" s="162" t="str">
        <f>前台增值物品出入库录入!D154</f>
        <v>个</v>
      </c>
      <c r="E152" s="162">
        <f>前台增值物品出入库录入!E154</f>
        <v>110</v>
      </c>
      <c r="F152" s="162">
        <f>前台增值物品出入库录入!F154</f>
        <v>0</v>
      </c>
      <c r="G152" s="162">
        <f>前台增值物品出入库录入!G154</f>
        <v>0</v>
      </c>
      <c r="H152" s="162">
        <f>前台增值物品出入库录入!H154</f>
        <v>0</v>
      </c>
      <c r="I152" s="162">
        <f>前台增值物品出入库录入!I154</f>
        <v>0</v>
      </c>
      <c r="J152" s="162">
        <f>前台增值物品出入库录入!J154</f>
        <v>0</v>
      </c>
      <c r="K152" s="162">
        <f>前台增值物品出入库录入!K154</f>
        <v>0</v>
      </c>
      <c r="L152" s="162">
        <f>前台增值物品出入库录入!L154</f>
        <v>0</v>
      </c>
      <c r="M152" s="162">
        <f>前台增值物品出入库录入!M154</f>
        <v>0</v>
      </c>
      <c r="N152" s="133">
        <f>前台增值物品出入库录入!N154*$E152</f>
        <v>0</v>
      </c>
      <c r="O152" s="133">
        <f>前台增值物品出入库录入!O154*$E152</f>
        <v>0</v>
      </c>
      <c r="P152" s="133">
        <f>前台增值物品出入库录入!P154*$E152</f>
        <v>0</v>
      </c>
      <c r="Q152" s="133">
        <f>前台增值物品出入库录入!Q154*$E152</f>
        <v>0</v>
      </c>
      <c r="R152" s="133">
        <f>前台增值物品出入库录入!R154*$E152</f>
        <v>0</v>
      </c>
      <c r="S152" s="133">
        <f>前台增值物品出入库录入!S154*$E152</f>
        <v>0</v>
      </c>
      <c r="T152" s="133">
        <f>前台增值物品出入库录入!T154*$E152</f>
        <v>0</v>
      </c>
      <c r="U152" s="133">
        <f>前台增值物品出入库录入!U154*$E152</f>
        <v>0</v>
      </c>
      <c r="V152" s="133">
        <f>前台增值物品出入库录入!V154*$E152</f>
        <v>0</v>
      </c>
      <c r="W152" s="133">
        <f>前台增值物品出入库录入!W154*$E152</f>
        <v>0</v>
      </c>
      <c r="X152" s="133">
        <f>前台增值物品出入库录入!X154*$E152</f>
        <v>0</v>
      </c>
      <c r="Y152" s="133">
        <f>前台增值物品出入库录入!Y154*$E152</f>
        <v>0</v>
      </c>
      <c r="Z152" s="133">
        <f>前台增值物品出入库录入!Z154*$E152</f>
        <v>0</v>
      </c>
      <c r="AA152" s="133">
        <f>前台增值物品出入库录入!AA154*$E152</f>
        <v>0</v>
      </c>
      <c r="AB152" s="133">
        <f>前台增值物品出入库录入!AB154*$E152</f>
        <v>0</v>
      </c>
      <c r="AC152" s="133">
        <f>前台增值物品出入库录入!AC154*$E152</f>
        <v>0</v>
      </c>
      <c r="AD152" s="133">
        <f>前台增值物品出入库录入!AD154*$E152</f>
        <v>0</v>
      </c>
      <c r="AE152" s="133">
        <f>前台增值物品出入库录入!AE154*$E152</f>
        <v>0</v>
      </c>
      <c r="AF152" s="133">
        <f>前台增值物品出入库录入!AF154*$E152</f>
        <v>0</v>
      </c>
      <c r="AG152" s="133">
        <f>前台增值物品出入库录入!AG154*$E152</f>
        <v>0</v>
      </c>
      <c r="AH152" s="133">
        <f>前台增值物品出入库录入!AH154*$E152</f>
        <v>0</v>
      </c>
      <c r="AI152" s="133">
        <f>前台增值物品出入库录入!AI154*$E152</f>
        <v>0</v>
      </c>
      <c r="AJ152" s="133">
        <f>前台增值物品出入库录入!AJ154*$E152</f>
        <v>0</v>
      </c>
      <c r="AK152" s="133">
        <f>前台增值物品出入库录入!AK154*$E152</f>
        <v>0</v>
      </c>
      <c r="AL152" s="133">
        <f>前台增值物品出入库录入!AL154*$E152</f>
        <v>0</v>
      </c>
      <c r="AM152" s="133">
        <f>前台增值物品出入库录入!AM154*$E152</f>
        <v>0</v>
      </c>
      <c r="AN152" s="133">
        <f>前台增值物品出入库录入!AN154*$E152</f>
        <v>0</v>
      </c>
      <c r="AO152" s="133">
        <f>前台增值物品出入库录入!AO154*$E152</f>
        <v>0</v>
      </c>
      <c r="AP152" s="133">
        <f>前台增值物品出入库录入!AP154*$E152</f>
        <v>0</v>
      </c>
      <c r="AQ152" s="133">
        <f>前台增值物品出入库录入!AQ154*$E152</f>
        <v>0</v>
      </c>
      <c r="AR152" s="133">
        <f>前台增值物品出入库录入!AR154*$E152</f>
        <v>0</v>
      </c>
      <c r="AS152" s="133">
        <f>前台增值物品出入库录入!AS154*$E152</f>
        <v>0</v>
      </c>
      <c r="AT152" s="133">
        <f>前台增值物品出入库录入!AT154*$E152</f>
        <v>0</v>
      </c>
      <c r="AU152" s="133">
        <f>前台增值物品出入库录入!AU154*$E152</f>
        <v>0</v>
      </c>
      <c r="AV152" s="133">
        <f>前台增值物品出入库录入!AV154*$E152</f>
        <v>0</v>
      </c>
      <c r="AW152" s="133">
        <f>前台增值物品出入库录入!AW154*$E152</f>
        <v>0</v>
      </c>
      <c r="AX152" s="133">
        <f>前台增值物品出入库录入!AX154*$E152</f>
        <v>0</v>
      </c>
      <c r="AY152" s="133">
        <f>前台增值物品出入库录入!AY154*$E152</f>
        <v>0</v>
      </c>
      <c r="AZ152" s="133">
        <f>前台增值物品出入库录入!AZ154*$E152</f>
        <v>0</v>
      </c>
      <c r="BA152" s="133">
        <f>前台增值物品出入库录入!BA154*$E152</f>
        <v>0</v>
      </c>
      <c r="BB152" s="133">
        <f>前台增值物品出入库录入!BB154*$E152</f>
        <v>0</v>
      </c>
      <c r="BC152" s="133">
        <f>前台增值物品出入库录入!BC154*$E152</f>
        <v>0</v>
      </c>
      <c r="BD152" s="133">
        <f>前台增值物品出入库录入!BD154*$E152</f>
        <v>0</v>
      </c>
      <c r="BE152" s="133">
        <f>前台增值物品出入库录入!BE154*$E152</f>
        <v>0</v>
      </c>
      <c r="BF152" s="133">
        <f>前台增值物品出入库录入!BF154*$E152</f>
        <v>0</v>
      </c>
      <c r="BG152" s="133">
        <f>前台增值物品出入库录入!BG154*$E152</f>
        <v>0</v>
      </c>
      <c r="BH152" s="133">
        <f>前台增值物品出入库录入!BH154*$E152</f>
        <v>0</v>
      </c>
      <c r="BI152" s="133">
        <f>前台增值物品出入库录入!BI154*$E152</f>
        <v>0</v>
      </c>
      <c r="BJ152" s="133">
        <f>前台增值物品出入库录入!BJ154*$E152</f>
        <v>0</v>
      </c>
      <c r="BK152" s="133">
        <f>前台增值物品出入库录入!BK154*$E152</f>
        <v>0</v>
      </c>
      <c r="BL152" s="133">
        <f>前台增值物品出入库录入!BL154*$E152</f>
        <v>0</v>
      </c>
      <c r="BM152" s="133">
        <f>前台增值物品出入库录入!BM154*$E152</f>
        <v>0</v>
      </c>
      <c r="BN152" s="133">
        <f>前台增值物品出入库录入!BN154*$E152</f>
        <v>0</v>
      </c>
      <c r="BO152" s="133">
        <f>前台增值物品出入库录入!BO154*$E152</f>
        <v>0</v>
      </c>
      <c r="BP152" s="133">
        <f>前台增值物品出入库录入!BP154*$E152</f>
        <v>0</v>
      </c>
      <c r="BQ152" s="133">
        <f>前台增值物品出入库录入!BQ154*$E152</f>
        <v>0</v>
      </c>
      <c r="BR152" s="133">
        <f>前台增值物品出入库录入!BR154*$E152</f>
        <v>0</v>
      </c>
      <c r="BS152" s="133">
        <f>前台增值物品出入库录入!BS154*$E152</f>
        <v>0</v>
      </c>
      <c r="BT152" s="133">
        <f>前台增值物品出入库录入!BT154*$E152</f>
        <v>0</v>
      </c>
      <c r="BU152" s="133">
        <f>前台增值物品出入库录入!BU154*$E152</f>
        <v>0</v>
      </c>
      <c r="BV152" s="133">
        <f>前台增值物品出入库录入!BV154*$E152</f>
        <v>0</v>
      </c>
      <c r="BW152" s="133">
        <f>前台增值物品出入库录入!BW154*$E152</f>
        <v>0</v>
      </c>
    </row>
    <row r="153" ht="16.5" spans="1:75">
      <c r="A153" s="161">
        <v>158</v>
      </c>
      <c r="B153" s="162" t="str">
        <f>前台增值物品出入库录入!B155</f>
        <v>白板</v>
      </c>
      <c r="C153" s="162">
        <f>前台增值物品出入库录入!C155</f>
        <v>0</v>
      </c>
      <c r="D153" s="162" t="str">
        <f>前台增值物品出入库录入!D155</f>
        <v>个</v>
      </c>
      <c r="E153" s="162">
        <f>前台增值物品出入库录入!E155</f>
        <v>235</v>
      </c>
      <c r="F153" s="162">
        <f>前台增值物品出入库录入!F155</f>
        <v>0</v>
      </c>
      <c r="G153" s="162">
        <f>前台增值物品出入库录入!G155</f>
        <v>0</v>
      </c>
      <c r="H153" s="162">
        <f>前台增值物品出入库录入!H155</f>
        <v>0</v>
      </c>
      <c r="I153" s="162">
        <f>前台增值物品出入库录入!I155</f>
        <v>0</v>
      </c>
      <c r="J153" s="162">
        <f>前台增值物品出入库录入!J155</f>
        <v>0</v>
      </c>
      <c r="K153" s="162">
        <f>前台增值物品出入库录入!K155</f>
        <v>0</v>
      </c>
      <c r="L153" s="162">
        <f>前台增值物品出入库录入!L155</f>
        <v>0</v>
      </c>
      <c r="M153" s="162">
        <f>前台增值物品出入库录入!M155</f>
        <v>0</v>
      </c>
      <c r="N153" s="133">
        <f>前台增值物品出入库录入!N155*$E153</f>
        <v>0</v>
      </c>
      <c r="O153" s="133">
        <f>前台增值物品出入库录入!O155*$E153</f>
        <v>0</v>
      </c>
      <c r="P153" s="133">
        <f>前台增值物品出入库录入!P155*$E153</f>
        <v>0</v>
      </c>
      <c r="Q153" s="133">
        <f>前台增值物品出入库录入!Q155*$E153</f>
        <v>0</v>
      </c>
      <c r="R153" s="133">
        <f>前台增值物品出入库录入!R155*$E153</f>
        <v>0</v>
      </c>
      <c r="S153" s="133">
        <f>前台增值物品出入库录入!S155*$E153</f>
        <v>0</v>
      </c>
      <c r="T153" s="133">
        <f>前台增值物品出入库录入!T155*$E153</f>
        <v>0</v>
      </c>
      <c r="U153" s="133">
        <f>前台增值物品出入库录入!U155*$E153</f>
        <v>0</v>
      </c>
      <c r="V153" s="133">
        <f>前台增值物品出入库录入!V155*$E153</f>
        <v>0</v>
      </c>
      <c r="W153" s="133">
        <f>前台增值物品出入库录入!W155*$E153</f>
        <v>0</v>
      </c>
      <c r="X153" s="133">
        <f>前台增值物品出入库录入!X155*$E153</f>
        <v>0</v>
      </c>
      <c r="Y153" s="133">
        <f>前台增值物品出入库录入!Y155*$E153</f>
        <v>0</v>
      </c>
      <c r="Z153" s="133">
        <f>前台增值物品出入库录入!Z155*$E153</f>
        <v>0</v>
      </c>
      <c r="AA153" s="133">
        <f>前台增值物品出入库录入!AA155*$E153</f>
        <v>0</v>
      </c>
      <c r="AB153" s="133">
        <f>前台增值物品出入库录入!AB155*$E153</f>
        <v>0</v>
      </c>
      <c r="AC153" s="133">
        <f>前台增值物品出入库录入!AC155*$E153</f>
        <v>0</v>
      </c>
      <c r="AD153" s="133">
        <f>前台增值物品出入库录入!AD155*$E153</f>
        <v>0</v>
      </c>
      <c r="AE153" s="133">
        <f>前台增值物品出入库录入!AE155*$E153</f>
        <v>0</v>
      </c>
      <c r="AF153" s="133">
        <f>前台增值物品出入库录入!AF155*$E153</f>
        <v>0</v>
      </c>
      <c r="AG153" s="133">
        <f>前台增值物品出入库录入!AG155*$E153</f>
        <v>0</v>
      </c>
      <c r="AH153" s="133">
        <f>前台增值物品出入库录入!AH155*$E153</f>
        <v>0</v>
      </c>
      <c r="AI153" s="133">
        <f>前台增值物品出入库录入!AI155*$E153</f>
        <v>0</v>
      </c>
      <c r="AJ153" s="133">
        <f>前台增值物品出入库录入!AJ155*$E153</f>
        <v>0</v>
      </c>
      <c r="AK153" s="133">
        <f>前台增值物品出入库录入!AK155*$E153</f>
        <v>0</v>
      </c>
      <c r="AL153" s="133">
        <f>前台增值物品出入库录入!AL155*$E153</f>
        <v>0</v>
      </c>
      <c r="AM153" s="133">
        <f>前台增值物品出入库录入!AM155*$E153</f>
        <v>0</v>
      </c>
      <c r="AN153" s="133">
        <f>前台增值物品出入库录入!AN155*$E153</f>
        <v>0</v>
      </c>
      <c r="AO153" s="133">
        <f>前台增值物品出入库录入!AO155*$E153</f>
        <v>0</v>
      </c>
      <c r="AP153" s="133">
        <f>前台增值物品出入库录入!AP155*$E153</f>
        <v>0</v>
      </c>
      <c r="AQ153" s="133">
        <f>前台增值物品出入库录入!AQ155*$E153</f>
        <v>0</v>
      </c>
      <c r="AR153" s="133">
        <f>前台增值物品出入库录入!AR155*$E153</f>
        <v>0</v>
      </c>
      <c r="AS153" s="133">
        <f>前台增值物品出入库录入!AS155*$E153</f>
        <v>0</v>
      </c>
      <c r="AT153" s="133">
        <f>前台增值物品出入库录入!AT155*$E153</f>
        <v>0</v>
      </c>
      <c r="AU153" s="133">
        <f>前台增值物品出入库录入!AU155*$E153</f>
        <v>0</v>
      </c>
      <c r="AV153" s="133">
        <f>前台增值物品出入库录入!AV155*$E153</f>
        <v>0</v>
      </c>
      <c r="AW153" s="133">
        <f>前台增值物品出入库录入!AW155*$E153</f>
        <v>0</v>
      </c>
      <c r="AX153" s="133">
        <f>前台增值物品出入库录入!AX155*$E153</f>
        <v>0</v>
      </c>
      <c r="AY153" s="133">
        <f>前台增值物品出入库录入!AY155*$E153</f>
        <v>0</v>
      </c>
      <c r="AZ153" s="133">
        <f>前台增值物品出入库录入!AZ155*$E153</f>
        <v>0</v>
      </c>
      <c r="BA153" s="133">
        <f>前台增值物品出入库录入!BA155*$E153</f>
        <v>0</v>
      </c>
      <c r="BB153" s="133">
        <f>前台增值物品出入库录入!BB155*$E153</f>
        <v>0</v>
      </c>
      <c r="BC153" s="133">
        <f>前台增值物品出入库录入!BC155*$E153</f>
        <v>0</v>
      </c>
      <c r="BD153" s="133">
        <f>前台增值物品出入库录入!BD155*$E153</f>
        <v>0</v>
      </c>
      <c r="BE153" s="133">
        <f>前台增值物品出入库录入!BE155*$E153</f>
        <v>0</v>
      </c>
      <c r="BF153" s="133">
        <f>前台增值物品出入库录入!BF155*$E153</f>
        <v>0</v>
      </c>
      <c r="BG153" s="133">
        <f>前台增值物品出入库录入!BG155*$E153</f>
        <v>0</v>
      </c>
      <c r="BH153" s="133">
        <f>前台增值物品出入库录入!BH155*$E153</f>
        <v>0</v>
      </c>
      <c r="BI153" s="133">
        <f>前台增值物品出入库录入!BI155*$E153</f>
        <v>0</v>
      </c>
      <c r="BJ153" s="133">
        <f>前台增值物品出入库录入!BJ155*$E153</f>
        <v>0</v>
      </c>
      <c r="BK153" s="133">
        <f>前台增值物品出入库录入!BK155*$E153</f>
        <v>0</v>
      </c>
      <c r="BL153" s="133">
        <f>前台增值物品出入库录入!BL155*$E153</f>
        <v>0</v>
      </c>
      <c r="BM153" s="133">
        <f>前台增值物品出入库录入!BM155*$E153</f>
        <v>0</v>
      </c>
      <c r="BN153" s="133">
        <f>前台增值物品出入库录入!BN155*$E153</f>
        <v>0</v>
      </c>
      <c r="BO153" s="133">
        <f>前台增值物品出入库录入!BO155*$E153</f>
        <v>0</v>
      </c>
      <c r="BP153" s="133">
        <f>前台增值物品出入库录入!BP155*$E153</f>
        <v>0</v>
      </c>
      <c r="BQ153" s="133">
        <f>前台增值物品出入库录入!BQ155*$E153</f>
        <v>0</v>
      </c>
      <c r="BR153" s="133">
        <f>前台增值物品出入库录入!BR155*$E153</f>
        <v>0</v>
      </c>
      <c r="BS153" s="133">
        <f>前台增值物品出入库录入!BS155*$E153</f>
        <v>0</v>
      </c>
      <c r="BT153" s="133">
        <f>前台增值物品出入库录入!BT155*$E153</f>
        <v>0</v>
      </c>
      <c r="BU153" s="133">
        <f>前台增值物品出入库录入!BU155*$E153</f>
        <v>0</v>
      </c>
      <c r="BV153" s="133">
        <f>前台增值物品出入库录入!BV155*$E153</f>
        <v>0</v>
      </c>
      <c r="BW153" s="133">
        <f>前台增值物品出入库录入!BW155*$E153</f>
        <v>0</v>
      </c>
    </row>
    <row r="154" ht="16.5" spans="1:75">
      <c r="A154" s="161">
        <v>159</v>
      </c>
      <c r="B154" s="162" t="str">
        <f>前台增值物品出入库录入!B156</f>
        <v>咖啡豆</v>
      </c>
      <c r="C154" s="162">
        <f>前台增值物品出入库录入!C156</f>
        <v>0</v>
      </c>
      <c r="D154" s="162" t="str">
        <f>前台增值物品出入库录入!D156</f>
        <v>包</v>
      </c>
      <c r="E154" s="162">
        <f>前台增值物品出入库录入!E156</f>
        <v>44</v>
      </c>
      <c r="F154" s="162">
        <f>前台增值物品出入库录入!F156</f>
        <v>0</v>
      </c>
      <c r="G154" s="162">
        <f>前台增值物品出入库录入!G156</f>
        <v>0</v>
      </c>
      <c r="H154" s="162">
        <f>前台增值物品出入库录入!H156</f>
        <v>0</v>
      </c>
      <c r="I154" s="162">
        <f>前台增值物品出入库录入!I156</f>
        <v>0</v>
      </c>
      <c r="J154" s="162">
        <f>前台增值物品出入库录入!J156</f>
        <v>0</v>
      </c>
      <c r="K154" s="162">
        <f>前台增值物品出入库录入!K156</f>
        <v>0</v>
      </c>
      <c r="L154" s="162">
        <f>前台增值物品出入库录入!L156</f>
        <v>0</v>
      </c>
      <c r="M154" s="162">
        <f>前台增值物品出入库录入!M156</f>
        <v>0</v>
      </c>
      <c r="N154" s="133">
        <f>前台增值物品出入库录入!N156*$E154</f>
        <v>0</v>
      </c>
      <c r="O154" s="133">
        <f>前台增值物品出入库录入!O156*$E154</f>
        <v>0</v>
      </c>
      <c r="P154" s="133">
        <f>前台增值物品出入库录入!P156*$E154</f>
        <v>0</v>
      </c>
      <c r="Q154" s="133">
        <f>前台增值物品出入库录入!Q156*$E154</f>
        <v>0</v>
      </c>
      <c r="R154" s="133">
        <f>前台增值物品出入库录入!R156*$E154</f>
        <v>0</v>
      </c>
      <c r="S154" s="133">
        <f>前台增值物品出入库录入!S156*$E154</f>
        <v>0</v>
      </c>
      <c r="T154" s="133">
        <f>前台增值物品出入库录入!T156*$E154</f>
        <v>0</v>
      </c>
      <c r="U154" s="133">
        <f>前台增值物品出入库录入!U156*$E154</f>
        <v>0</v>
      </c>
      <c r="V154" s="133">
        <f>前台增值物品出入库录入!V156*$E154</f>
        <v>0</v>
      </c>
      <c r="W154" s="133">
        <f>前台增值物品出入库录入!W156*$E154</f>
        <v>0</v>
      </c>
      <c r="X154" s="133">
        <f>前台增值物品出入库录入!X156*$E154</f>
        <v>0</v>
      </c>
      <c r="Y154" s="133">
        <f>前台增值物品出入库录入!Y156*$E154</f>
        <v>0</v>
      </c>
      <c r="Z154" s="133">
        <f>前台增值物品出入库录入!Z156*$E154</f>
        <v>0</v>
      </c>
      <c r="AA154" s="133">
        <f>前台增值物品出入库录入!AA156*$E154</f>
        <v>0</v>
      </c>
      <c r="AB154" s="133">
        <f>前台增值物品出入库录入!AB156*$E154</f>
        <v>0</v>
      </c>
      <c r="AC154" s="133">
        <f>前台增值物品出入库录入!AC156*$E154</f>
        <v>0</v>
      </c>
      <c r="AD154" s="133">
        <f>前台增值物品出入库录入!AD156*$E154</f>
        <v>0</v>
      </c>
      <c r="AE154" s="133">
        <f>前台增值物品出入库录入!AE156*$E154</f>
        <v>0</v>
      </c>
      <c r="AF154" s="133">
        <f>前台增值物品出入库录入!AF156*$E154</f>
        <v>0</v>
      </c>
      <c r="AG154" s="133">
        <f>前台增值物品出入库录入!AG156*$E154</f>
        <v>0</v>
      </c>
      <c r="AH154" s="133">
        <f>前台增值物品出入库录入!AH156*$E154</f>
        <v>0</v>
      </c>
      <c r="AI154" s="133">
        <f>前台增值物品出入库录入!AI156*$E154</f>
        <v>0</v>
      </c>
      <c r="AJ154" s="133">
        <f>前台增值物品出入库录入!AJ156*$E154</f>
        <v>0</v>
      </c>
      <c r="AK154" s="133">
        <f>前台增值物品出入库录入!AK156*$E154</f>
        <v>0</v>
      </c>
      <c r="AL154" s="133">
        <f>前台增值物品出入库录入!AL156*$E154</f>
        <v>0</v>
      </c>
      <c r="AM154" s="133">
        <f>前台增值物品出入库录入!AM156*$E154</f>
        <v>0</v>
      </c>
      <c r="AN154" s="133">
        <f>前台增值物品出入库录入!AN156*$E154</f>
        <v>0</v>
      </c>
      <c r="AO154" s="133">
        <f>前台增值物品出入库录入!AO156*$E154</f>
        <v>0</v>
      </c>
      <c r="AP154" s="133">
        <f>前台增值物品出入库录入!AP156*$E154</f>
        <v>0</v>
      </c>
      <c r="AQ154" s="133">
        <f>前台增值物品出入库录入!AQ156*$E154</f>
        <v>0</v>
      </c>
      <c r="AR154" s="133">
        <f>前台增值物品出入库录入!AR156*$E154</f>
        <v>0</v>
      </c>
      <c r="AS154" s="133">
        <f>前台增值物品出入库录入!AS156*$E154</f>
        <v>0</v>
      </c>
      <c r="AT154" s="133">
        <f>前台增值物品出入库录入!AT156*$E154</f>
        <v>0</v>
      </c>
      <c r="AU154" s="133">
        <f>前台增值物品出入库录入!AU156*$E154</f>
        <v>0</v>
      </c>
      <c r="AV154" s="133">
        <f>前台增值物品出入库录入!AV156*$E154</f>
        <v>0</v>
      </c>
      <c r="AW154" s="133">
        <f>前台增值物品出入库录入!AW156*$E154</f>
        <v>0</v>
      </c>
      <c r="AX154" s="133">
        <f>前台增值物品出入库录入!AX156*$E154</f>
        <v>0</v>
      </c>
      <c r="AY154" s="133">
        <f>前台增值物品出入库录入!AY156*$E154</f>
        <v>0</v>
      </c>
      <c r="AZ154" s="133">
        <f>前台增值物品出入库录入!AZ156*$E154</f>
        <v>0</v>
      </c>
      <c r="BA154" s="133">
        <f>前台增值物品出入库录入!BA156*$E154</f>
        <v>0</v>
      </c>
      <c r="BB154" s="133">
        <f>前台增值物品出入库录入!BB156*$E154</f>
        <v>0</v>
      </c>
      <c r="BC154" s="133">
        <f>前台增值物品出入库录入!BC156*$E154</f>
        <v>0</v>
      </c>
      <c r="BD154" s="133">
        <f>前台增值物品出入库录入!BD156*$E154</f>
        <v>0</v>
      </c>
      <c r="BE154" s="133">
        <f>前台增值物品出入库录入!BE156*$E154</f>
        <v>0</v>
      </c>
      <c r="BF154" s="133">
        <f>前台增值物品出入库录入!BF156*$E154</f>
        <v>0</v>
      </c>
      <c r="BG154" s="133">
        <f>前台增值物品出入库录入!BG156*$E154</f>
        <v>0</v>
      </c>
      <c r="BH154" s="133">
        <f>前台增值物品出入库录入!BH156*$E154</f>
        <v>0</v>
      </c>
      <c r="BI154" s="133">
        <f>前台增值物品出入库录入!BI156*$E154</f>
        <v>0</v>
      </c>
      <c r="BJ154" s="133">
        <f>前台增值物品出入库录入!BJ156*$E154</f>
        <v>0</v>
      </c>
      <c r="BK154" s="133">
        <f>前台增值物品出入库录入!BK156*$E154</f>
        <v>0</v>
      </c>
      <c r="BL154" s="133">
        <f>前台增值物品出入库录入!BL156*$E154</f>
        <v>0</v>
      </c>
      <c r="BM154" s="133">
        <f>前台增值物品出入库录入!BM156*$E154</f>
        <v>0</v>
      </c>
      <c r="BN154" s="133">
        <f>前台增值物品出入库录入!BN156*$E154</f>
        <v>0</v>
      </c>
      <c r="BO154" s="133">
        <f>前台增值物品出入库录入!BO156*$E154</f>
        <v>0</v>
      </c>
      <c r="BP154" s="133">
        <f>前台增值物品出入库录入!BP156*$E154</f>
        <v>0</v>
      </c>
      <c r="BQ154" s="133">
        <f>前台增值物品出入库录入!BQ156*$E154</f>
        <v>0</v>
      </c>
      <c r="BR154" s="133">
        <f>前台增值物品出入库录入!BR156*$E154</f>
        <v>0</v>
      </c>
      <c r="BS154" s="133">
        <f>前台增值物品出入库录入!BS156*$E154</f>
        <v>0</v>
      </c>
      <c r="BT154" s="133">
        <f>前台增值物品出入库录入!BT156*$E154</f>
        <v>0</v>
      </c>
      <c r="BU154" s="133">
        <f>前台增值物品出入库录入!BU156*$E154</f>
        <v>0</v>
      </c>
      <c r="BV154" s="133">
        <f>前台增值物品出入库录入!BV156*$E154</f>
        <v>0</v>
      </c>
      <c r="BW154" s="133">
        <f>前台增值物品出入库录入!BW156*$E154</f>
        <v>0</v>
      </c>
    </row>
    <row r="155" ht="16.5" spans="1:75">
      <c r="A155" s="161">
        <v>160</v>
      </c>
      <c r="B155" s="162" t="str">
        <f>前台增值物品出入库录入!B157</f>
        <v>明信片</v>
      </c>
      <c r="C155" s="162">
        <f>前台增值物品出入库录入!C157</f>
        <v>0</v>
      </c>
      <c r="D155" s="162" t="str">
        <f>前台增值物品出入库录入!D157</f>
        <v>张</v>
      </c>
      <c r="E155" s="162">
        <f>前台增值物品出入库录入!E157</f>
        <v>0.3133</v>
      </c>
      <c r="F155" s="162">
        <f>前台增值物品出入库录入!F157</f>
        <v>60</v>
      </c>
      <c r="G155" s="162">
        <f>前台增值物品出入库录入!G157</f>
        <v>18.798</v>
      </c>
      <c r="H155" s="162">
        <f>前台增值物品出入库录入!H157</f>
        <v>0</v>
      </c>
      <c r="I155" s="162">
        <f>前台增值物品出入库录入!I157</f>
        <v>0</v>
      </c>
      <c r="J155" s="162">
        <f>前台增值物品出入库录入!J157</f>
        <v>0</v>
      </c>
      <c r="K155" s="162">
        <f>前台增值物品出入库录入!K157</f>
        <v>0</v>
      </c>
      <c r="L155" s="162">
        <f>前台增值物品出入库录入!L157</f>
        <v>60</v>
      </c>
      <c r="M155" s="162">
        <f>前台增值物品出入库录入!M157</f>
        <v>18.798</v>
      </c>
      <c r="N155" s="133">
        <f>前台增值物品出入库录入!N157*$E155</f>
        <v>0</v>
      </c>
      <c r="O155" s="133">
        <f>前台增值物品出入库录入!O157*$E155</f>
        <v>0</v>
      </c>
      <c r="P155" s="133">
        <f>前台增值物品出入库录入!P157*$E155</f>
        <v>0</v>
      </c>
      <c r="Q155" s="133">
        <f>前台增值物品出入库录入!Q157*$E155</f>
        <v>0</v>
      </c>
      <c r="R155" s="133">
        <f>前台增值物品出入库录入!R157*$E155</f>
        <v>0</v>
      </c>
      <c r="S155" s="133">
        <f>前台增值物品出入库录入!S157*$E155</f>
        <v>0</v>
      </c>
      <c r="T155" s="133">
        <f>前台增值物品出入库录入!T157*$E155</f>
        <v>0</v>
      </c>
      <c r="U155" s="133">
        <f>前台增值物品出入库录入!U157*$E155</f>
        <v>0</v>
      </c>
      <c r="V155" s="133">
        <f>前台增值物品出入库录入!V157*$E155</f>
        <v>0</v>
      </c>
      <c r="W155" s="133">
        <f>前台增值物品出入库录入!W157*$E155</f>
        <v>0</v>
      </c>
      <c r="X155" s="133">
        <f>前台增值物品出入库录入!X157*$E155</f>
        <v>0</v>
      </c>
      <c r="Y155" s="133">
        <f>前台增值物品出入库录入!Y157*$E155</f>
        <v>0</v>
      </c>
      <c r="Z155" s="133">
        <f>前台增值物品出入库录入!Z157*$E155</f>
        <v>0</v>
      </c>
      <c r="AA155" s="133">
        <f>前台增值物品出入库录入!AA157*$E155</f>
        <v>0</v>
      </c>
      <c r="AB155" s="133">
        <f>前台增值物品出入库录入!AB157*$E155</f>
        <v>0</v>
      </c>
      <c r="AC155" s="133">
        <f>前台增值物品出入库录入!AC157*$E155</f>
        <v>0</v>
      </c>
      <c r="AD155" s="133">
        <f>前台增值物品出入库录入!AD157*$E155</f>
        <v>0</v>
      </c>
      <c r="AE155" s="133">
        <f>前台增值物品出入库录入!AE157*$E155</f>
        <v>0</v>
      </c>
      <c r="AF155" s="133">
        <f>前台增值物品出入库录入!AF157*$E155</f>
        <v>0</v>
      </c>
      <c r="AG155" s="133">
        <f>前台增值物品出入库录入!AG157*$E155</f>
        <v>0</v>
      </c>
      <c r="AH155" s="133">
        <f>前台增值物品出入库录入!AH157*$E155</f>
        <v>0</v>
      </c>
      <c r="AI155" s="133">
        <f>前台增值物品出入库录入!AI157*$E155</f>
        <v>0</v>
      </c>
      <c r="AJ155" s="133">
        <f>前台增值物品出入库录入!AJ157*$E155</f>
        <v>0</v>
      </c>
      <c r="AK155" s="133">
        <f>前台增值物品出入库录入!AK157*$E155</f>
        <v>0</v>
      </c>
      <c r="AL155" s="133">
        <f>前台增值物品出入库录入!AL157*$E155</f>
        <v>0</v>
      </c>
      <c r="AM155" s="133">
        <f>前台增值物品出入库录入!AM157*$E155</f>
        <v>0</v>
      </c>
      <c r="AN155" s="133">
        <f>前台增值物品出入库录入!AN157*$E155</f>
        <v>0</v>
      </c>
      <c r="AO155" s="133">
        <f>前台增值物品出入库录入!AO157*$E155</f>
        <v>0</v>
      </c>
      <c r="AP155" s="133">
        <f>前台增值物品出入库录入!AP157*$E155</f>
        <v>0</v>
      </c>
      <c r="AQ155" s="133">
        <f>前台增值物品出入库录入!AQ157*$E155</f>
        <v>0</v>
      </c>
      <c r="AR155" s="133">
        <f>前台增值物品出入库录入!AR157*$E155</f>
        <v>0</v>
      </c>
      <c r="AS155" s="133">
        <f>前台增值物品出入库录入!AS157*$E155</f>
        <v>0</v>
      </c>
      <c r="AT155" s="133">
        <f>前台增值物品出入库录入!AT157*$E155</f>
        <v>0</v>
      </c>
      <c r="AU155" s="133">
        <f>前台增值物品出入库录入!AU157*$E155</f>
        <v>0</v>
      </c>
      <c r="AV155" s="133">
        <f>前台增值物品出入库录入!AV157*$E155</f>
        <v>0</v>
      </c>
      <c r="AW155" s="133">
        <f>前台增值物品出入库录入!AW157*$E155</f>
        <v>0</v>
      </c>
      <c r="AX155" s="133">
        <f>前台增值物品出入库录入!AX157*$E155</f>
        <v>0</v>
      </c>
      <c r="AY155" s="133">
        <f>前台增值物品出入库录入!AY157*$E155</f>
        <v>0</v>
      </c>
      <c r="AZ155" s="133">
        <f>前台增值物品出入库录入!AZ157*$E155</f>
        <v>0</v>
      </c>
      <c r="BA155" s="133">
        <f>前台增值物品出入库录入!BA157*$E155</f>
        <v>0</v>
      </c>
      <c r="BB155" s="133">
        <f>前台增值物品出入库录入!BB157*$E155</f>
        <v>0</v>
      </c>
      <c r="BC155" s="133">
        <f>前台增值物品出入库录入!BC157*$E155</f>
        <v>0</v>
      </c>
      <c r="BD155" s="133">
        <f>前台增值物品出入库录入!BD157*$E155</f>
        <v>0</v>
      </c>
      <c r="BE155" s="133">
        <f>前台增值物品出入库录入!BE157*$E155</f>
        <v>0</v>
      </c>
      <c r="BF155" s="133">
        <f>前台增值物品出入库录入!BF157*$E155</f>
        <v>0</v>
      </c>
      <c r="BG155" s="133">
        <f>前台增值物品出入库录入!BG157*$E155</f>
        <v>0</v>
      </c>
      <c r="BH155" s="133">
        <f>前台增值物品出入库录入!BH157*$E155</f>
        <v>0</v>
      </c>
      <c r="BI155" s="133">
        <f>前台增值物品出入库录入!BI157*$E155</f>
        <v>0</v>
      </c>
      <c r="BJ155" s="133">
        <f>前台增值物品出入库录入!BJ157*$E155</f>
        <v>0</v>
      </c>
      <c r="BK155" s="133">
        <f>前台增值物品出入库录入!BK157*$E155</f>
        <v>0</v>
      </c>
      <c r="BL155" s="133">
        <f>前台增值物品出入库录入!BL157*$E155</f>
        <v>0</v>
      </c>
      <c r="BM155" s="133">
        <f>前台增值物品出入库录入!BM157*$E155</f>
        <v>0</v>
      </c>
      <c r="BN155" s="133">
        <f>前台增值物品出入库录入!BN157*$E155</f>
        <v>0</v>
      </c>
      <c r="BO155" s="133">
        <f>前台增值物品出入库录入!BO157*$E155</f>
        <v>0</v>
      </c>
      <c r="BP155" s="133">
        <f>前台增值物品出入库录入!BP157*$E155</f>
        <v>0</v>
      </c>
      <c r="BQ155" s="133">
        <f>前台增值物品出入库录入!BQ157*$E155</f>
        <v>0</v>
      </c>
      <c r="BR155" s="133">
        <f>前台增值物品出入库录入!BR157*$E155</f>
        <v>0</v>
      </c>
      <c r="BS155" s="133">
        <f>前台增值物品出入库录入!BS157*$E155</f>
        <v>0</v>
      </c>
      <c r="BT155" s="133">
        <f>前台增值物品出入库录入!BT157*$E155</f>
        <v>0</v>
      </c>
      <c r="BU155" s="133">
        <f>前台增值物品出入库录入!BU157*$E155</f>
        <v>0</v>
      </c>
      <c r="BV155" s="133">
        <f>前台增值物品出入库录入!BV157*$E155</f>
        <v>0</v>
      </c>
      <c r="BW155" s="133">
        <f>前台增值物品出入库录入!BW157*$E155</f>
        <v>0</v>
      </c>
    </row>
    <row r="156" ht="16.5" spans="1:75">
      <c r="A156" s="161">
        <v>161</v>
      </c>
      <c r="B156" s="162" t="str">
        <f>前台增值物品出入库录入!B158</f>
        <v>咖啡豆</v>
      </c>
      <c r="C156" s="162">
        <f>前台增值物品出入库录入!C158</f>
        <v>0</v>
      </c>
      <c r="D156" s="162" t="str">
        <f>前台增值物品出入库录入!D158</f>
        <v>个</v>
      </c>
      <c r="E156" s="162">
        <f>前台增值物品出入库录入!E158</f>
        <v>34.6</v>
      </c>
      <c r="F156" s="162">
        <f>前台增值物品出入库录入!F158</f>
        <v>0</v>
      </c>
      <c r="G156" s="162">
        <f>前台增值物品出入库录入!G158</f>
        <v>0</v>
      </c>
      <c r="H156" s="162">
        <f>前台增值物品出入库录入!H158</f>
        <v>0</v>
      </c>
      <c r="I156" s="162">
        <f>前台增值物品出入库录入!I158</f>
        <v>0</v>
      </c>
      <c r="J156" s="162">
        <f>前台增值物品出入库录入!J158</f>
        <v>0</v>
      </c>
      <c r="K156" s="162">
        <f>前台增值物品出入库录入!K158</f>
        <v>0</v>
      </c>
      <c r="L156" s="162">
        <f>前台增值物品出入库录入!L158</f>
        <v>0</v>
      </c>
      <c r="M156" s="162">
        <f>前台增值物品出入库录入!M158</f>
        <v>0</v>
      </c>
      <c r="N156" s="133">
        <f>前台增值物品出入库录入!N158*$E156</f>
        <v>0</v>
      </c>
      <c r="O156" s="133">
        <f>前台增值物品出入库录入!O158*$E156</f>
        <v>0</v>
      </c>
      <c r="P156" s="133">
        <f>前台增值物品出入库录入!P158*$E156</f>
        <v>0</v>
      </c>
      <c r="Q156" s="133">
        <f>前台增值物品出入库录入!Q158*$E156</f>
        <v>0</v>
      </c>
      <c r="R156" s="133">
        <f>前台增值物品出入库录入!R158*$E156</f>
        <v>0</v>
      </c>
      <c r="S156" s="133">
        <f>前台增值物品出入库录入!S158*$E156</f>
        <v>0</v>
      </c>
      <c r="T156" s="133">
        <f>前台增值物品出入库录入!T158*$E156</f>
        <v>0</v>
      </c>
      <c r="U156" s="133">
        <f>前台增值物品出入库录入!U158*$E156</f>
        <v>0</v>
      </c>
      <c r="V156" s="133">
        <f>前台增值物品出入库录入!V158*$E156</f>
        <v>0</v>
      </c>
      <c r="W156" s="133">
        <f>前台增值物品出入库录入!W158*$E156</f>
        <v>0</v>
      </c>
      <c r="X156" s="133">
        <f>前台增值物品出入库录入!X158*$E156</f>
        <v>0</v>
      </c>
      <c r="Y156" s="133">
        <f>前台增值物品出入库录入!Y158*$E156</f>
        <v>0</v>
      </c>
      <c r="Z156" s="133">
        <f>前台增值物品出入库录入!Z158*$E156</f>
        <v>0</v>
      </c>
      <c r="AA156" s="133">
        <f>前台增值物品出入库录入!AA158*$E156</f>
        <v>0</v>
      </c>
      <c r="AB156" s="133">
        <f>前台增值物品出入库录入!AB158*$E156</f>
        <v>0</v>
      </c>
      <c r="AC156" s="133">
        <f>前台增值物品出入库录入!AC158*$E156</f>
        <v>0</v>
      </c>
      <c r="AD156" s="133">
        <f>前台增值物品出入库录入!AD158*$E156</f>
        <v>0</v>
      </c>
      <c r="AE156" s="133">
        <f>前台增值物品出入库录入!AE158*$E156</f>
        <v>0</v>
      </c>
      <c r="AF156" s="133">
        <f>前台增值物品出入库录入!AF158*$E156</f>
        <v>0</v>
      </c>
      <c r="AG156" s="133">
        <f>前台增值物品出入库录入!AG158*$E156</f>
        <v>0</v>
      </c>
      <c r="AH156" s="133">
        <f>前台增值物品出入库录入!AH158*$E156</f>
        <v>0</v>
      </c>
      <c r="AI156" s="133">
        <f>前台增值物品出入库录入!AI158*$E156</f>
        <v>0</v>
      </c>
      <c r="AJ156" s="133">
        <f>前台增值物品出入库录入!AJ158*$E156</f>
        <v>0</v>
      </c>
      <c r="AK156" s="133">
        <f>前台增值物品出入库录入!AK158*$E156</f>
        <v>0</v>
      </c>
      <c r="AL156" s="133">
        <f>前台增值物品出入库录入!AL158*$E156</f>
        <v>0</v>
      </c>
      <c r="AM156" s="133">
        <f>前台增值物品出入库录入!AM158*$E156</f>
        <v>0</v>
      </c>
      <c r="AN156" s="133">
        <f>前台增值物品出入库录入!AN158*$E156</f>
        <v>0</v>
      </c>
      <c r="AO156" s="133">
        <f>前台增值物品出入库录入!AO158*$E156</f>
        <v>0</v>
      </c>
      <c r="AP156" s="133">
        <f>前台增值物品出入库录入!AP158*$E156</f>
        <v>0</v>
      </c>
      <c r="AQ156" s="133">
        <f>前台增值物品出入库录入!AQ158*$E156</f>
        <v>0</v>
      </c>
      <c r="AR156" s="133">
        <f>前台增值物品出入库录入!AR158*$E156</f>
        <v>0</v>
      </c>
      <c r="AS156" s="133">
        <f>前台增值物品出入库录入!AS158*$E156</f>
        <v>0</v>
      </c>
      <c r="AT156" s="133">
        <f>前台增值物品出入库录入!AT158*$E156</f>
        <v>0</v>
      </c>
      <c r="AU156" s="133">
        <f>前台增值物品出入库录入!AU158*$E156</f>
        <v>0</v>
      </c>
      <c r="AV156" s="133">
        <f>前台增值物品出入库录入!AV158*$E156</f>
        <v>0</v>
      </c>
      <c r="AW156" s="133">
        <f>前台增值物品出入库录入!AW158*$E156</f>
        <v>0</v>
      </c>
      <c r="AX156" s="133">
        <f>前台增值物品出入库录入!AX158*$E156</f>
        <v>0</v>
      </c>
      <c r="AY156" s="133">
        <f>前台增值物品出入库录入!AY158*$E156</f>
        <v>0</v>
      </c>
      <c r="AZ156" s="133">
        <f>前台增值物品出入库录入!AZ158*$E156</f>
        <v>0</v>
      </c>
      <c r="BA156" s="133">
        <f>前台增值物品出入库录入!BA158*$E156</f>
        <v>0</v>
      </c>
      <c r="BB156" s="133">
        <f>前台增值物品出入库录入!BB158*$E156</f>
        <v>0</v>
      </c>
      <c r="BC156" s="133">
        <f>前台增值物品出入库录入!BC158*$E156</f>
        <v>0</v>
      </c>
      <c r="BD156" s="133">
        <f>前台增值物品出入库录入!BD158*$E156</f>
        <v>0</v>
      </c>
      <c r="BE156" s="133">
        <f>前台增值物品出入库录入!BE158*$E156</f>
        <v>0</v>
      </c>
      <c r="BF156" s="133">
        <f>前台增值物品出入库录入!BF158*$E156</f>
        <v>0</v>
      </c>
      <c r="BG156" s="133">
        <f>前台增值物品出入库录入!BG158*$E156</f>
        <v>0</v>
      </c>
      <c r="BH156" s="133">
        <f>前台增值物品出入库录入!BH158*$E156</f>
        <v>0</v>
      </c>
      <c r="BI156" s="133">
        <f>前台增值物品出入库录入!BI158*$E156</f>
        <v>0</v>
      </c>
      <c r="BJ156" s="133">
        <f>前台增值物品出入库录入!BJ158*$E156</f>
        <v>0</v>
      </c>
      <c r="BK156" s="133">
        <f>前台增值物品出入库录入!BK158*$E156</f>
        <v>0</v>
      </c>
      <c r="BL156" s="133">
        <f>前台增值物品出入库录入!BL158*$E156</f>
        <v>0</v>
      </c>
      <c r="BM156" s="133">
        <f>前台增值物品出入库录入!BM158*$E156</f>
        <v>0</v>
      </c>
      <c r="BN156" s="133">
        <f>前台增值物品出入库录入!BN158*$E156</f>
        <v>0</v>
      </c>
      <c r="BO156" s="133">
        <f>前台增值物品出入库录入!BO158*$E156</f>
        <v>0</v>
      </c>
      <c r="BP156" s="133">
        <f>前台增值物品出入库录入!BP158*$E156</f>
        <v>0</v>
      </c>
      <c r="BQ156" s="133">
        <f>前台增值物品出入库录入!BQ158*$E156</f>
        <v>0</v>
      </c>
      <c r="BR156" s="133">
        <f>前台增值物品出入库录入!BR158*$E156</f>
        <v>0</v>
      </c>
      <c r="BS156" s="133">
        <f>前台增值物品出入库录入!BS158*$E156</f>
        <v>0</v>
      </c>
      <c r="BT156" s="133">
        <f>前台增值物品出入库录入!BT158*$E156</f>
        <v>0</v>
      </c>
      <c r="BU156" s="133">
        <f>前台增值物品出入库录入!BU158*$E156</f>
        <v>0</v>
      </c>
      <c r="BV156" s="133">
        <f>前台增值物品出入库录入!BV158*$E156</f>
        <v>0</v>
      </c>
      <c r="BW156" s="133">
        <f>前台增值物品出入库录入!BW158*$E156</f>
        <v>0</v>
      </c>
    </row>
    <row r="157" ht="16.5" spans="1:75">
      <c r="A157" s="161">
        <v>162</v>
      </c>
      <c r="B157" s="162" t="str">
        <f>前台增值物品出入库录入!B159</f>
        <v>垃圾袋</v>
      </c>
      <c r="C157" s="162">
        <f>前台增值物品出入库录入!C159</f>
        <v>0</v>
      </c>
      <c r="D157" s="162" t="str">
        <f>前台增值物品出入库录入!D159</f>
        <v>个</v>
      </c>
      <c r="E157" s="162">
        <f>前台增值物品出入库录入!E159</f>
        <v>0.0264</v>
      </c>
      <c r="F157" s="162">
        <f>前台增值物品出入库录入!F159</f>
        <v>630</v>
      </c>
      <c r="G157" s="162">
        <f>前台增值物品出入库录入!G159</f>
        <v>16.632</v>
      </c>
      <c r="H157" s="162">
        <f>前台增值物品出入库录入!H159</f>
        <v>0</v>
      </c>
      <c r="I157" s="162">
        <f>前台增值物品出入库录入!I159</f>
        <v>0</v>
      </c>
      <c r="J157" s="162">
        <f>前台增值物品出入库录入!J159</f>
        <v>230</v>
      </c>
      <c r="K157" s="162">
        <f>前台增值物品出入库录入!K159</f>
        <v>6.072</v>
      </c>
      <c r="L157" s="162">
        <f>前台增值物品出入库录入!L159</f>
        <v>400</v>
      </c>
      <c r="M157" s="162">
        <f>前台增值物品出入库录入!M159</f>
        <v>10.56</v>
      </c>
      <c r="N157" s="133">
        <f>前台增值物品出入库录入!N159*$E157</f>
        <v>0</v>
      </c>
      <c r="O157" s="133">
        <f>前台增值物品出入库录入!O159*$E157</f>
        <v>0</v>
      </c>
      <c r="P157" s="133">
        <f>前台增值物品出入库录入!P159*$E157</f>
        <v>0</v>
      </c>
      <c r="Q157" s="133">
        <f>前台增值物品出入库录入!Q159*$E157</f>
        <v>0.792</v>
      </c>
      <c r="R157" s="133">
        <f>前台增值物品出入库录入!R159*$E157</f>
        <v>0</v>
      </c>
      <c r="S157" s="133">
        <f>前台增值物品出入库录入!S159*$E157</f>
        <v>1.32</v>
      </c>
      <c r="T157" s="133">
        <f>前台增值物品出入库录入!T159*$E157</f>
        <v>0</v>
      </c>
      <c r="U157" s="133">
        <f>前台增值物品出入库录入!U159*$E157</f>
        <v>0</v>
      </c>
      <c r="V157" s="133">
        <f>前台增值物品出入库录入!V159*$E157</f>
        <v>0</v>
      </c>
      <c r="W157" s="133">
        <f>前台增值物品出入库录入!W159*$E157</f>
        <v>0</v>
      </c>
      <c r="X157" s="133">
        <f>前台增值物品出入库录入!X159*$E157</f>
        <v>0</v>
      </c>
      <c r="Y157" s="133">
        <f>前台增值物品出入库录入!Y159*$E157</f>
        <v>1.32</v>
      </c>
      <c r="Z157" s="133">
        <f>前台增值物品出入库录入!Z159*$E157</f>
        <v>0</v>
      </c>
      <c r="AA157" s="133">
        <f>前台增值物品出入库录入!AA159*$E157</f>
        <v>0</v>
      </c>
      <c r="AB157" s="133">
        <f>前台增值物品出入库录入!AB159*$E157</f>
        <v>0</v>
      </c>
      <c r="AC157" s="133">
        <f>前台增值物品出入库录入!AC159*$E157</f>
        <v>0</v>
      </c>
      <c r="AD157" s="133">
        <f>前台增值物品出入库录入!AD159*$E157</f>
        <v>0</v>
      </c>
      <c r="AE157" s="133">
        <f>前台增值物品出入库录入!AE159*$E157</f>
        <v>1.32</v>
      </c>
      <c r="AF157" s="133">
        <f>前台增值物品出入库录入!AF159*$E157</f>
        <v>0</v>
      </c>
      <c r="AG157" s="133">
        <f>前台增值物品出入库录入!AG159*$E157</f>
        <v>0</v>
      </c>
      <c r="AH157" s="133">
        <f>前台增值物品出入库录入!AH159*$E157</f>
        <v>0</v>
      </c>
      <c r="AI157" s="133">
        <f>前台增值物品出入库录入!AI159*$E157</f>
        <v>0</v>
      </c>
      <c r="AJ157" s="133">
        <f>前台增值物品出入库录入!AJ159*$E157</f>
        <v>0</v>
      </c>
      <c r="AK157" s="133">
        <f>前台增值物品出入库录入!AK159*$E157</f>
        <v>1.32</v>
      </c>
      <c r="AL157" s="133">
        <f>前台增值物品出入库录入!AL159*$E157</f>
        <v>0</v>
      </c>
      <c r="AM157" s="133">
        <f>前台增值物品出入库录入!AM159*$E157</f>
        <v>0</v>
      </c>
      <c r="AN157" s="133">
        <f>前台增值物品出入库录入!AN159*$E157</f>
        <v>0</v>
      </c>
      <c r="AO157" s="133">
        <f>前台增值物品出入库录入!AO159*$E157</f>
        <v>0</v>
      </c>
      <c r="AP157" s="133">
        <f>前台增值物品出入库录入!AP159*$E157</f>
        <v>0</v>
      </c>
      <c r="AQ157" s="133">
        <f>前台增值物品出入库录入!AQ159*$E157</f>
        <v>0</v>
      </c>
      <c r="AR157" s="133">
        <f>前台增值物品出入库录入!AR159*$E157</f>
        <v>0</v>
      </c>
      <c r="AS157" s="133">
        <f>前台增值物品出入库录入!AS159*$E157</f>
        <v>0</v>
      </c>
      <c r="AT157" s="133">
        <f>前台增值物品出入库录入!AT159*$E157</f>
        <v>0</v>
      </c>
      <c r="AU157" s="133">
        <f>前台增值物品出入库录入!AU159*$E157</f>
        <v>0</v>
      </c>
      <c r="AV157" s="133">
        <f>前台增值物品出入库录入!AV159*$E157</f>
        <v>0</v>
      </c>
      <c r="AW157" s="133">
        <f>前台增值物品出入库录入!AW159*$E157</f>
        <v>0</v>
      </c>
      <c r="AX157" s="133">
        <f>前台增值物品出入库录入!AX159*$E157</f>
        <v>0</v>
      </c>
      <c r="AY157" s="133">
        <f>前台增值物品出入库录入!AY159*$E157</f>
        <v>0</v>
      </c>
      <c r="AZ157" s="133">
        <f>前台增值物品出入库录入!AZ159*$E157</f>
        <v>0</v>
      </c>
      <c r="BA157" s="133">
        <f>前台增值物品出入库录入!BA159*$E157</f>
        <v>0</v>
      </c>
      <c r="BB157" s="133">
        <f>前台增值物品出入库录入!BB159*$E157</f>
        <v>0</v>
      </c>
      <c r="BC157" s="133">
        <f>前台增值物品出入库录入!BC159*$E157</f>
        <v>0</v>
      </c>
      <c r="BD157" s="133">
        <f>前台增值物品出入库录入!BD159*$E157</f>
        <v>0</v>
      </c>
      <c r="BE157" s="133">
        <f>前台增值物品出入库录入!BE159*$E157</f>
        <v>0</v>
      </c>
      <c r="BF157" s="133">
        <f>前台增值物品出入库录入!BF159*$E157</f>
        <v>0</v>
      </c>
      <c r="BG157" s="133">
        <f>前台增值物品出入库录入!BG159*$E157</f>
        <v>0</v>
      </c>
      <c r="BH157" s="133">
        <f>前台增值物品出入库录入!BH159*$E157</f>
        <v>0</v>
      </c>
      <c r="BI157" s="133">
        <f>前台增值物品出入库录入!BI159*$E157</f>
        <v>0</v>
      </c>
      <c r="BJ157" s="133">
        <f>前台增值物品出入库录入!BJ159*$E157</f>
        <v>0</v>
      </c>
      <c r="BK157" s="133">
        <f>前台增值物品出入库录入!BK159*$E157</f>
        <v>0</v>
      </c>
      <c r="BL157" s="133">
        <f>前台增值物品出入库录入!BL159*$E157</f>
        <v>0</v>
      </c>
      <c r="BM157" s="133">
        <f>前台增值物品出入库录入!BM159*$E157</f>
        <v>0</v>
      </c>
      <c r="BN157" s="133">
        <f>前台增值物品出入库录入!BN159*$E157</f>
        <v>0</v>
      </c>
      <c r="BO157" s="133">
        <f>前台增值物品出入库录入!BO159*$E157</f>
        <v>0</v>
      </c>
      <c r="BP157" s="133">
        <f>前台增值物品出入库录入!BP159*$E157</f>
        <v>0</v>
      </c>
      <c r="BQ157" s="133">
        <f>前台增值物品出入库录入!BQ159*$E157</f>
        <v>0</v>
      </c>
      <c r="BR157" s="133">
        <f>前台增值物品出入库录入!BR159*$E157</f>
        <v>0</v>
      </c>
      <c r="BS157" s="133">
        <f>前台增值物品出入库录入!BS159*$E157</f>
        <v>0</v>
      </c>
      <c r="BT157" s="133">
        <f>前台增值物品出入库录入!BT159*$E157</f>
        <v>0</v>
      </c>
      <c r="BU157" s="133">
        <f>前台增值物品出入库录入!BU159*$E157</f>
        <v>0</v>
      </c>
      <c r="BV157" s="133">
        <f>前台增值物品出入库录入!BV159*$E157</f>
        <v>0</v>
      </c>
      <c r="BW157" s="133">
        <f>前台增值物品出入库录入!BW159*$E157</f>
        <v>0</v>
      </c>
    </row>
    <row r="158" ht="16.5" spans="1:75">
      <c r="A158" s="161">
        <v>163</v>
      </c>
      <c r="B158" s="162" t="str">
        <f>前台增值物品出入库录入!B160</f>
        <v>冷饮桶+水龙头</v>
      </c>
      <c r="C158" s="162">
        <f>前台增值物品出入库录入!C160</f>
        <v>0</v>
      </c>
      <c r="D158" s="162" t="str">
        <f>前台增值物品出入库录入!D160</f>
        <v>个</v>
      </c>
      <c r="E158" s="162">
        <f>前台增值物品出入库录入!E160</f>
        <v>80.2</v>
      </c>
      <c r="F158" s="162">
        <f>前台增值物品出入库录入!F160</f>
        <v>0</v>
      </c>
      <c r="G158" s="162">
        <f>前台增值物品出入库录入!G160</f>
        <v>0</v>
      </c>
      <c r="H158" s="162">
        <f>前台增值物品出入库录入!H160</f>
        <v>0</v>
      </c>
      <c r="I158" s="162">
        <f>前台增值物品出入库录入!I160</f>
        <v>0</v>
      </c>
      <c r="J158" s="162">
        <f>前台增值物品出入库录入!J160</f>
        <v>0</v>
      </c>
      <c r="K158" s="162">
        <f>前台增值物品出入库录入!K160</f>
        <v>0</v>
      </c>
      <c r="L158" s="162">
        <f>前台增值物品出入库录入!L160</f>
        <v>0</v>
      </c>
      <c r="M158" s="162">
        <f>前台增值物品出入库录入!M160</f>
        <v>0</v>
      </c>
      <c r="N158" s="133">
        <f>前台增值物品出入库录入!N160*$E158</f>
        <v>0</v>
      </c>
      <c r="O158" s="133">
        <f>前台增值物品出入库录入!O160*$E158</f>
        <v>0</v>
      </c>
      <c r="P158" s="133">
        <f>前台增值物品出入库录入!P160*$E158</f>
        <v>0</v>
      </c>
      <c r="Q158" s="133">
        <f>前台增值物品出入库录入!Q160*$E158</f>
        <v>0</v>
      </c>
      <c r="R158" s="133">
        <f>前台增值物品出入库录入!R160*$E158</f>
        <v>0</v>
      </c>
      <c r="S158" s="133">
        <f>前台增值物品出入库录入!S160*$E158</f>
        <v>0</v>
      </c>
      <c r="T158" s="133">
        <f>前台增值物品出入库录入!T160*$E158</f>
        <v>0</v>
      </c>
      <c r="U158" s="133">
        <f>前台增值物品出入库录入!U160*$E158</f>
        <v>0</v>
      </c>
      <c r="V158" s="133">
        <f>前台增值物品出入库录入!V160*$E158</f>
        <v>0</v>
      </c>
      <c r="W158" s="133">
        <f>前台增值物品出入库录入!W160*$E158</f>
        <v>0</v>
      </c>
      <c r="X158" s="133">
        <f>前台增值物品出入库录入!X160*$E158</f>
        <v>0</v>
      </c>
      <c r="Y158" s="133">
        <f>前台增值物品出入库录入!Y160*$E158</f>
        <v>0</v>
      </c>
      <c r="Z158" s="133">
        <f>前台增值物品出入库录入!Z160*$E158</f>
        <v>0</v>
      </c>
      <c r="AA158" s="133">
        <f>前台增值物品出入库录入!AA160*$E158</f>
        <v>0</v>
      </c>
      <c r="AB158" s="133">
        <f>前台增值物品出入库录入!AB160*$E158</f>
        <v>0</v>
      </c>
      <c r="AC158" s="133">
        <f>前台增值物品出入库录入!AC160*$E158</f>
        <v>0</v>
      </c>
      <c r="AD158" s="133">
        <f>前台增值物品出入库录入!AD160*$E158</f>
        <v>0</v>
      </c>
      <c r="AE158" s="133">
        <f>前台增值物品出入库录入!AE160*$E158</f>
        <v>0</v>
      </c>
      <c r="AF158" s="133">
        <f>前台增值物品出入库录入!AF160*$E158</f>
        <v>0</v>
      </c>
      <c r="AG158" s="133">
        <f>前台增值物品出入库录入!AG160*$E158</f>
        <v>0</v>
      </c>
      <c r="AH158" s="133">
        <f>前台增值物品出入库录入!AH160*$E158</f>
        <v>0</v>
      </c>
      <c r="AI158" s="133">
        <f>前台增值物品出入库录入!AI160*$E158</f>
        <v>0</v>
      </c>
      <c r="AJ158" s="133">
        <f>前台增值物品出入库录入!AJ160*$E158</f>
        <v>0</v>
      </c>
      <c r="AK158" s="133">
        <f>前台增值物品出入库录入!AK160*$E158</f>
        <v>0</v>
      </c>
      <c r="AL158" s="133">
        <f>前台增值物品出入库录入!AL160*$E158</f>
        <v>0</v>
      </c>
      <c r="AM158" s="133">
        <f>前台增值物品出入库录入!AM160*$E158</f>
        <v>0</v>
      </c>
      <c r="AN158" s="133">
        <f>前台增值物品出入库录入!AN160*$E158</f>
        <v>0</v>
      </c>
      <c r="AO158" s="133">
        <f>前台增值物品出入库录入!AO160*$E158</f>
        <v>0</v>
      </c>
      <c r="AP158" s="133">
        <f>前台增值物品出入库录入!AP160*$E158</f>
        <v>0</v>
      </c>
      <c r="AQ158" s="133">
        <f>前台增值物品出入库录入!AQ160*$E158</f>
        <v>0</v>
      </c>
      <c r="AR158" s="133">
        <f>前台增值物品出入库录入!AR160*$E158</f>
        <v>0</v>
      </c>
      <c r="AS158" s="133">
        <f>前台增值物品出入库录入!AS160*$E158</f>
        <v>0</v>
      </c>
      <c r="AT158" s="133">
        <f>前台增值物品出入库录入!AT160*$E158</f>
        <v>0</v>
      </c>
      <c r="AU158" s="133">
        <f>前台增值物品出入库录入!AU160*$E158</f>
        <v>0</v>
      </c>
      <c r="AV158" s="133">
        <f>前台增值物品出入库录入!AV160*$E158</f>
        <v>0</v>
      </c>
      <c r="AW158" s="133">
        <f>前台增值物品出入库录入!AW160*$E158</f>
        <v>0</v>
      </c>
      <c r="AX158" s="133">
        <f>前台增值物品出入库录入!AX160*$E158</f>
        <v>0</v>
      </c>
      <c r="AY158" s="133">
        <f>前台增值物品出入库录入!AY160*$E158</f>
        <v>0</v>
      </c>
      <c r="AZ158" s="133">
        <f>前台增值物品出入库录入!AZ160*$E158</f>
        <v>0</v>
      </c>
      <c r="BA158" s="133">
        <f>前台增值物品出入库录入!BA160*$E158</f>
        <v>0</v>
      </c>
      <c r="BB158" s="133">
        <f>前台增值物品出入库录入!BB160*$E158</f>
        <v>0</v>
      </c>
      <c r="BC158" s="133">
        <f>前台增值物品出入库录入!BC160*$E158</f>
        <v>0</v>
      </c>
      <c r="BD158" s="133">
        <f>前台增值物品出入库录入!BD160*$E158</f>
        <v>0</v>
      </c>
      <c r="BE158" s="133">
        <f>前台增值物品出入库录入!BE160*$E158</f>
        <v>0</v>
      </c>
      <c r="BF158" s="133">
        <f>前台增值物品出入库录入!BF160*$E158</f>
        <v>0</v>
      </c>
      <c r="BG158" s="133">
        <f>前台增值物品出入库录入!BG160*$E158</f>
        <v>0</v>
      </c>
      <c r="BH158" s="133">
        <f>前台增值物品出入库录入!BH160*$E158</f>
        <v>0</v>
      </c>
      <c r="BI158" s="133">
        <f>前台增值物品出入库录入!BI160*$E158</f>
        <v>0</v>
      </c>
      <c r="BJ158" s="133">
        <f>前台增值物品出入库录入!BJ160*$E158</f>
        <v>0</v>
      </c>
      <c r="BK158" s="133">
        <f>前台增值物品出入库录入!BK160*$E158</f>
        <v>0</v>
      </c>
      <c r="BL158" s="133">
        <f>前台增值物品出入库录入!BL160*$E158</f>
        <v>0</v>
      </c>
      <c r="BM158" s="133">
        <f>前台增值物品出入库录入!BM160*$E158</f>
        <v>0</v>
      </c>
      <c r="BN158" s="133">
        <f>前台增值物品出入库录入!BN160*$E158</f>
        <v>0</v>
      </c>
      <c r="BO158" s="133">
        <f>前台增值物品出入库录入!BO160*$E158</f>
        <v>0</v>
      </c>
      <c r="BP158" s="133">
        <f>前台增值物品出入库录入!BP160*$E158</f>
        <v>0</v>
      </c>
      <c r="BQ158" s="133">
        <f>前台增值物品出入库录入!BQ160*$E158</f>
        <v>0</v>
      </c>
      <c r="BR158" s="133">
        <f>前台增值物品出入库录入!BR160*$E158</f>
        <v>0</v>
      </c>
      <c r="BS158" s="133">
        <f>前台增值物品出入库录入!BS160*$E158</f>
        <v>0</v>
      </c>
      <c r="BT158" s="133">
        <f>前台增值物品出入库录入!BT160*$E158</f>
        <v>0</v>
      </c>
      <c r="BU158" s="133">
        <f>前台增值物品出入库录入!BU160*$E158</f>
        <v>0</v>
      </c>
      <c r="BV158" s="133">
        <f>前台增值物品出入库录入!BV160*$E158</f>
        <v>0</v>
      </c>
      <c r="BW158" s="133">
        <f>前台增值物品出入库录入!BW160*$E158</f>
        <v>0</v>
      </c>
    </row>
    <row r="159" ht="16.5" spans="1:75">
      <c r="A159" s="161">
        <v>164</v>
      </c>
      <c r="B159" s="162" t="str">
        <f>前台增值物品出入库录入!B161</f>
        <v>鞋架</v>
      </c>
      <c r="C159" s="162">
        <f>前台增值物品出入库录入!C161</f>
        <v>0</v>
      </c>
      <c r="D159" s="162" t="str">
        <f>前台增值物品出入库录入!D161</f>
        <v>个</v>
      </c>
      <c r="E159" s="162">
        <f>前台增值物品出入库录入!E161</f>
        <v>26.82</v>
      </c>
      <c r="F159" s="162">
        <f>前台增值物品出入库录入!F161</f>
        <v>0</v>
      </c>
      <c r="G159" s="162">
        <f>前台增值物品出入库录入!G161</f>
        <v>0</v>
      </c>
      <c r="H159" s="162">
        <f>前台增值物品出入库录入!H161</f>
        <v>0</v>
      </c>
      <c r="I159" s="162">
        <f>前台增值物品出入库录入!I161</f>
        <v>0</v>
      </c>
      <c r="J159" s="162">
        <f>前台增值物品出入库录入!J161</f>
        <v>0</v>
      </c>
      <c r="K159" s="162">
        <f>前台增值物品出入库录入!K161</f>
        <v>0</v>
      </c>
      <c r="L159" s="162">
        <f>前台增值物品出入库录入!L161</f>
        <v>0</v>
      </c>
      <c r="M159" s="162">
        <f>前台增值物品出入库录入!M161</f>
        <v>0</v>
      </c>
      <c r="N159" s="133">
        <f>前台增值物品出入库录入!N161*$E159</f>
        <v>0</v>
      </c>
      <c r="O159" s="133">
        <f>前台增值物品出入库录入!O161*$E159</f>
        <v>0</v>
      </c>
      <c r="P159" s="133">
        <f>前台增值物品出入库录入!P161*$E159</f>
        <v>0</v>
      </c>
      <c r="Q159" s="133">
        <f>前台增值物品出入库录入!Q161*$E159</f>
        <v>0</v>
      </c>
      <c r="R159" s="133">
        <f>前台增值物品出入库录入!R161*$E159</f>
        <v>0</v>
      </c>
      <c r="S159" s="133">
        <f>前台增值物品出入库录入!S161*$E159</f>
        <v>0</v>
      </c>
      <c r="T159" s="133">
        <f>前台增值物品出入库录入!T161*$E159</f>
        <v>0</v>
      </c>
      <c r="U159" s="133">
        <f>前台增值物品出入库录入!U161*$E159</f>
        <v>0</v>
      </c>
      <c r="V159" s="133">
        <f>前台增值物品出入库录入!V161*$E159</f>
        <v>0</v>
      </c>
      <c r="W159" s="133">
        <f>前台增值物品出入库录入!W161*$E159</f>
        <v>0</v>
      </c>
      <c r="X159" s="133">
        <f>前台增值物品出入库录入!X161*$E159</f>
        <v>0</v>
      </c>
      <c r="Y159" s="133">
        <f>前台增值物品出入库录入!Y161*$E159</f>
        <v>0</v>
      </c>
      <c r="Z159" s="133">
        <f>前台增值物品出入库录入!Z161*$E159</f>
        <v>0</v>
      </c>
      <c r="AA159" s="133">
        <f>前台增值物品出入库录入!AA161*$E159</f>
        <v>0</v>
      </c>
      <c r="AB159" s="133">
        <f>前台增值物品出入库录入!AB161*$E159</f>
        <v>0</v>
      </c>
      <c r="AC159" s="133">
        <f>前台增值物品出入库录入!AC161*$E159</f>
        <v>0</v>
      </c>
      <c r="AD159" s="133">
        <f>前台增值物品出入库录入!AD161*$E159</f>
        <v>0</v>
      </c>
      <c r="AE159" s="133">
        <f>前台增值物品出入库录入!AE161*$E159</f>
        <v>0</v>
      </c>
      <c r="AF159" s="133">
        <f>前台增值物品出入库录入!AF161*$E159</f>
        <v>0</v>
      </c>
      <c r="AG159" s="133">
        <f>前台增值物品出入库录入!AG161*$E159</f>
        <v>0</v>
      </c>
      <c r="AH159" s="133">
        <f>前台增值物品出入库录入!AH161*$E159</f>
        <v>0</v>
      </c>
      <c r="AI159" s="133">
        <f>前台增值物品出入库录入!AI161*$E159</f>
        <v>0</v>
      </c>
      <c r="AJ159" s="133">
        <f>前台增值物品出入库录入!AJ161*$E159</f>
        <v>0</v>
      </c>
      <c r="AK159" s="133">
        <f>前台增值物品出入库录入!AK161*$E159</f>
        <v>0</v>
      </c>
      <c r="AL159" s="133">
        <f>前台增值物品出入库录入!AL161*$E159</f>
        <v>0</v>
      </c>
      <c r="AM159" s="133">
        <f>前台增值物品出入库录入!AM161*$E159</f>
        <v>0</v>
      </c>
      <c r="AN159" s="133">
        <f>前台增值物品出入库录入!AN161*$E159</f>
        <v>0</v>
      </c>
      <c r="AO159" s="133">
        <f>前台增值物品出入库录入!AO161*$E159</f>
        <v>0</v>
      </c>
      <c r="AP159" s="133">
        <f>前台增值物品出入库录入!AP161*$E159</f>
        <v>0</v>
      </c>
      <c r="AQ159" s="133">
        <f>前台增值物品出入库录入!AQ161*$E159</f>
        <v>0</v>
      </c>
      <c r="AR159" s="133">
        <f>前台增值物品出入库录入!AR161*$E159</f>
        <v>0</v>
      </c>
      <c r="AS159" s="133">
        <f>前台增值物品出入库录入!AS161*$E159</f>
        <v>0</v>
      </c>
      <c r="AT159" s="133">
        <f>前台增值物品出入库录入!AT161*$E159</f>
        <v>0</v>
      </c>
      <c r="AU159" s="133">
        <f>前台增值物品出入库录入!AU161*$E159</f>
        <v>0</v>
      </c>
      <c r="AV159" s="133">
        <f>前台增值物品出入库录入!AV161*$E159</f>
        <v>0</v>
      </c>
      <c r="AW159" s="133">
        <f>前台增值物品出入库录入!AW161*$E159</f>
        <v>0</v>
      </c>
      <c r="AX159" s="133">
        <f>前台增值物品出入库录入!AX161*$E159</f>
        <v>0</v>
      </c>
      <c r="AY159" s="133">
        <f>前台增值物品出入库录入!AY161*$E159</f>
        <v>0</v>
      </c>
      <c r="AZ159" s="133">
        <f>前台增值物品出入库录入!AZ161*$E159</f>
        <v>0</v>
      </c>
      <c r="BA159" s="133">
        <f>前台增值物品出入库录入!BA161*$E159</f>
        <v>0</v>
      </c>
      <c r="BB159" s="133">
        <f>前台增值物品出入库录入!BB161*$E159</f>
        <v>0</v>
      </c>
      <c r="BC159" s="133">
        <f>前台增值物品出入库录入!BC161*$E159</f>
        <v>0</v>
      </c>
      <c r="BD159" s="133">
        <f>前台增值物品出入库录入!BD161*$E159</f>
        <v>0</v>
      </c>
      <c r="BE159" s="133">
        <f>前台增值物品出入库录入!BE161*$E159</f>
        <v>0</v>
      </c>
      <c r="BF159" s="133">
        <f>前台增值物品出入库录入!BF161*$E159</f>
        <v>0</v>
      </c>
      <c r="BG159" s="133">
        <f>前台增值物品出入库录入!BG161*$E159</f>
        <v>0</v>
      </c>
      <c r="BH159" s="133">
        <f>前台增值物品出入库录入!BH161*$E159</f>
        <v>0</v>
      </c>
      <c r="BI159" s="133">
        <f>前台增值物品出入库录入!BI161*$E159</f>
        <v>0</v>
      </c>
      <c r="BJ159" s="133">
        <f>前台增值物品出入库录入!BJ161*$E159</f>
        <v>0</v>
      </c>
      <c r="BK159" s="133">
        <f>前台增值物品出入库录入!BK161*$E159</f>
        <v>0</v>
      </c>
      <c r="BL159" s="133">
        <f>前台增值物品出入库录入!BL161*$E159</f>
        <v>0</v>
      </c>
      <c r="BM159" s="133">
        <f>前台增值物品出入库录入!BM161*$E159</f>
        <v>0</v>
      </c>
      <c r="BN159" s="133">
        <f>前台增值物品出入库录入!BN161*$E159</f>
        <v>0</v>
      </c>
      <c r="BO159" s="133">
        <f>前台增值物品出入库录入!BO161*$E159</f>
        <v>0</v>
      </c>
      <c r="BP159" s="133">
        <f>前台增值物品出入库录入!BP161*$E159</f>
        <v>0</v>
      </c>
      <c r="BQ159" s="133">
        <f>前台增值物品出入库录入!BQ161*$E159</f>
        <v>0</v>
      </c>
      <c r="BR159" s="133">
        <f>前台增值物品出入库录入!BR161*$E159</f>
        <v>0</v>
      </c>
      <c r="BS159" s="133">
        <f>前台增值物品出入库录入!BS161*$E159</f>
        <v>0</v>
      </c>
      <c r="BT159" s="133">
        <f>前台增值物品出入库录入!BT161*$E159</f>
        <v>0</v>
      </c>
      <c r="BU159" s="133">
        <f>前台增值物品出入库录入!BU161*$E159</f>
        <v>0</v>
      </c>
      <c r="BV159" s="133">
        <f>前台增值物品出入库录入!BV161*$E159</f>
        <v>0</v>
      </c>
      <c r="BW159" s="133">
        <f>前台增值物品出入库录入!BW161*$E159</f>
        <v>0</v>
      </c>
    </row>
    <row r="160" ht="16.5" spans="1:75">
      <c r="A160" s="161">
        <v>165</v>
      </c>
      <c r="B160" s="162" t="str">
        <f>前台增值物品出入库录入!B162</f>
        <v>便签纸</v>
      </c>
      <c r="C160" s="162">
        <f>前台增值物品出入库录入!C162</f>
        <v>0</v>
      </c>
      <c r="D160" s="162" t="str">
        <f>前台增值物品出入库录入!D162</f>
        <v>个</v>
      </c>
      <c r="E160" s="162">
        <f>前台增值物品出入库录入!E162</f>
        <v>0.6915</v>
      </c>
      <c r="F160" s="162">
        <f>前台增值物品出入库录入!F162</f>
        <v>18</v>
      </c>
      <c r="G160" s="162">
        <f>前台增值物品出入库录入!G162</f>
        <v>12.447</v>
      </c>
      <c r="H160" s="162">
        <f>前台增值物品出入库录入!H162</f>
        <v>0</v>
      </c>
      <c r="I160" s="162">
        <f>前台增值物品出入库录入!I162</f>
        <v>0</v>
      </c>
      <c r="J160" s="162">
        <f>前台增值物品出入库录入!J162</f>
        <v>18</v>
      </c>
      <c r="K160" s="162">
        <f>前台增值物品出入库录入!K162</f>
        <v>12.447</v>
      </c>
      <c r="L160" s="162">
        <f>前台增值物品出入库录入!L162</f>
        <v>0</v>
      </c>
      <c r="M160" s="162">
        <f>前台增值物品出入库录入!M162</f>
        <v>0</v>
      </c>
      <c r="N160" s="133">
        <f>前台增值物品出入库录入!N162*$E160</f>
        <v>0</v>
      </c>
      <c r="O160" s="133">
        <f>前台增值物品出入库录入!O162*$E160</f>
        <v>0</v>
      </c>
      <c r="P160" s="133">
        <f>前台增值物品出入库录入!P162*$E160</f>
        <v>0</v>
      </c>
      <c r="Q160" s="133">
        <f>前台增值物品出入库录入!Q162*$E160</f>
        <v>0</v>
      </c>
      <c r="R160" s="133">
        <f>前台增值物品出入库录入!R162*$E160</f>
        <v>0</v>
      </c>
      <c r="S160" s="133">
        <f>前台增值物品出入库录入!S162*$E160</f>
        <v>3.4575</v>
      </c>
      <c r="T160" s="133">
        <f>前台增值物品出入库录入!T162*$E160</f>
        <v>0</v>
      </c>
      <c r="U160" s="133">
        <f>前台增值物品出入库录入!U162*$E160</f>
        <v>3.4575</v>
      </c>
      <c r="V160" s="133">
        <f>前台增值物品出入库录入!V162*$E160</f>
        <v>0</v>
      </c>
      <c r="W160" s="133">
        <f>前台增值物品出入库录入!W162*$E160</f>
        <v>0</v>
      </c>
      <c r="X160" s="133">
        <f>前台增值物品出入库录入!X162*$E160</f>
        <v>0</v>
      </c>
      <c r="Y160" s="133">
        <f>前台增值物品出入库录入!Y162*$E160</f>
        <v>5.532</v>
      </c>
      <c r="Z160" s="133">
        <f>前台增值物品出入库录入!Z162*$E160</f>
        <v>0</v>
      </c>
      <c r="AA160" s="133">
        <f>前台增值物品出入库录入!AA162*$E160</f>
        <v>0</v>
      </c>
      <c r="AB160" s="133">
        <f>前台增值物品出入库录入!AB162*$E160</f>
        <v>0</v>
      </c>
      <c r="AC160" s="133">
        <f>前台增值物品出入库录入!AC162*$E160</f>
        <v>0</v>
      </c>
      <c r="AD160" s="133">
        <f>前台增值物品出入库录入!AD162*$E160</f>
        <v>0</v>
      </c>
      <c r="AE160" s="133">
        <f>前台增值物品出入库录入!AE162*$E160</f>
        <v>0</v>
      </c>
      <c r="AF160" s="133">
        <f>前台增值物品出入库录入!AF162*$E160</f>
        <v>0</v>
      </c>
      <c r="AG160" s="133">
        <f>前台增值物品出入库录入!AG162*$E160</f>
        <v>0</v>
      </c>
      <c r="AH160" s="133">
        <f>前台增值物品出入库录入!AH162*$E160</f>
        <v>0</v>
      </c>
      <c r="AI160" s="133">
        <f>前台增值物品出入库录入!AI162*$E160</f>
        <v>0</v>
      </c>
      <c r="AJ160" s="133">
        <f>前台增值物品出入库录入!AJ162*$E160</f>
        <v>0</v>
      </c>
      <c r="AK160" s="133">
        <f>前台增值物品出入库录入!AK162*$E160</f>
        <v>0</v>
      </c>
      <c r="AL160" s="133">
        <f>前台增值物品出入库录入!AL162*$E160</f>
        <v>0</v>
      </c>
      <c r="AM160" s="133">
        <f>前台增值物品出入库录入!AM162*$E160</f>
        <v>0</v>
      </c>
      <c r="AN160" s="133">
        <f>前台增值物品出入库录入!AN162*$E160</f>
        <v>0</v>
      </c>
      <c r="AO160" s="133">
        <f>前台增值物品出入库录入!AO162*$E160</f>
        <v>0</v>
      </c>
      <c r="AP160" s="133">
        <f>前台增值物品出入库录入!AP162*$E160</f>
        <v>0</v>
      </c>
      <c r="AQ160" s="133">
        <f>前台增值物品出入库录入!AQ162*$E160</f>
        <v>0</v>
      </c>
      <c r="AR160" s="133">
        <f>前台增值物品出入库录入!AR162*$E160</f>
        <v>0</v>
      </c>
      <c r="AS160" s="133">
        <f>前台增值物品出入库录入!AS162*$E160</f>
        <v>0</v>
      </c>
      <c r="AT160" s="133">
        <f>前台增值物品出入库录入!AT162*$E160</f>
        <v>0</v>
      </c>
      <c r="AU160" s="133">
        <f>前台增值物品出入库录入!AU162*$E160</f>
        <v>0</v>
      </c>
      <c r="AV160" s="133">
        <f>前台增值物品出入库录入!AV162*$E160</f>
        <v>0</v>
      </c>
      <c r="AW160" s="133">
        <f>前台增值物品出入库录入!AW162*$E160</f>
        <v>0</v>
      </c>
      <c r="AX160" s="133">
        <f>前台增值物品出入库录入!AX162*$E160</f>
        <v>0</v>
      </c>
      <c r="AY160" s="133">
        <f>前台增值物品出入库录入!AY162*$E160</f>
        <v>0</v>
      </c>
      <c r="AZ160" s="133">
        <f>前台增值物品出入库录入!AZ162*$E160</f>
        <v>0</v>
      </c>
      <c r="BA160" s="133">
        <f>前台增值物品出入库录入!BA162*$E160</f>
        <v>0</v>
      </c>
      <c r="BB160" s="133">
        <f>前台增值物品出入库录入!BB162*$E160</f>
        <v>0</v>
      </c>
      <c r="BC160" s="133">
        <f>前台增值物品出入库录入!BC162*$E160</f>
        <v>0</v>
      </c>
      <c r="BD160" s="133">
        <f>前台增值物品出入库录入!BD162*$E160</f>
        <v>0</v>
      </c>
      <c r="BE160" s="133">
        <f>前台增值物品出入库录入!BE162*$E160</f>
        <v>0</v>
      </c>
      <c r="BF160" s="133">
        <f>前台增值物品出入库录入!BF162*$E160</f>
        <v>0</v>
      </c>
      <c r="BG160" s="133">
        <f>前台增值物品出入库录入!BG162*$E160</f>
        <v>0</v>
      </c>
      <c r="BH160" s="133">
        <f>前台增值物品出入库录入!BH162*$E160</f>
        <v>0</v>
      </c>
      <c r="BI160" s="133">
        <f>前台增值物品出入库录入!BI162*$E160</f>
        <v>0</v>
      </c>
      <c r="BJ160" s="133">
        <f>前台增值物品出入库录入!BJ162*$E160</f>
        <v>0</v>
      </c>
      <c r="BK160" s="133">
        <f>前台增值物品出入库录入!BK162*$E160</f>
        <v>0</v>
      </c>
      <c r="BL160" s="133">
        <f>前台增值物品出入库录入!BL162*$E160</f>
        <v>0</v>
      </c>
      <c r="BM160" s="133">
        <f>前台增值物品出入库录入!BM162*$E160</f>
        <v>0</v>
      </c>
      <c r="BN160" s="133">
        <f>前台增值物品出入库录入!BN162*$E160</f>
        <v>0</v>
      </c>
      <c r="BO160" s="133">
        <f>前台增值物品出入库录入!BO162*$E160</f>
        <v>0</v>
      </c>
      <c r="BP160" s="133">
        <f>前台增值物品出入库录入!BP162*$E160</f>
        <v>0</v>
      </c>
      <c r="BQ160" s="133">
        <f>前台增值物品出入库录入!BQ162*$E160</f>
        <v>0</v>
      </c>
      <c r="BR160" s="133">
        <f>前台增值物品出入库录入!BR162*$E160</f>
        <v>0</v>
      </c>
      <c r="BS160" s="133">
        <f>前台增值物品出入库录入!BS162*$E160</f>
        <v>0</v>
      </c>
      <c r="BT160" s="133">
        <f>前台增值物品出入库录入!BT162*$E160</f>
        <v>0</v>
      </c>
      <c r="BU160" s="133">
        <f>前台增值物品出入库录入!BU162*$E160</f>
        <v>0</v>
      </c>
      <c r="BV160" s="133">
        <f>前台增值物品出入库录入!BV162*$E160</f>
        <v>0</v>
      </c>
      <c r="BW160" s="133">
        <f>前台增值物品出入库录入!BW162*$E160</f>
        <v>0</v>
      </c>
    </row>
    <row r="161" ht="16.5" spans="1:75">
      <c r="A161" s="161">
        <v>166</v>
      </c>
      <c r="B161" s="162" t="str">
        <f>前台增值物品出入库录入!B163</f>
        <v>挂钩</v>
      </c>
      <c r="C161" s="162">
        <f>前台增值物品出入库录入!C163</f>
        <v>0</v>
      </c>
      <c r="D161" s="162" t="str">
        <f>前台增值物品出入库录入!D163</f>
        <v>个</v>
      </c>
      <c r="E161" s="162">
        <f>前台增值物品出入库录入!E163</f>
        <v>36</v>
      </c>
      <c r="F161" s="162">
        <f>前台增值物品出入库录入!F163</f>
        <v>0</v>
      </c>
      <c r="G161" s="162">
        <f>前台增值物品出入库录入!G163</f>
        <v>0</v>
      </c>
      <c r="H161" s="162">
        <f>前台增值物品出入库录入!H163</f>
        <v>0</v>
      </c>
      <c r="I161" s="162">
        <f>前台增值物品出入库录入!I163</f>
        <v>0</v>
      </c>
      <c r="J161" s="162">
        <f>前台增值物品出入库录入!J163</f>
        <v>0</v>
      </c>
      <c r="K161" s="162">
        <f>前台增值物品出入库录入!K163</f>
        <v>0</v>
      </c>
      <c r="L161" s="162">
        <f>前台增值物品出入库录入!L163</f>
        <v>0</v>
      </c>
      <c r="M161" s="162">
        <f>前台增值物品出入库录入!M163</f>
        <v>0</v>
      </c>
      <c r="N161" s="133">
        <f>前台增值物品出入库录入!N163*$E161</f>
        <v>0</v>
      </c>
      <c r="O161" s="133">
        <f>前台增值物品出入库录入!O163*$E161</f>
        <v>0</v>
      </c>
      <c r="P161" s="133">
        <f>前台增值物品出入库录入!P163*$E161</f>
        <v>0</v>
      </c>
      <c r="Q161" s="133">
        <f>前台增值物品出入库录入!Q163*$E161</f>
        <v>0</v>
      </c>
      <c r="R161" s="133">
        <f>前台增值物品出入库录入!R163*$E161</f>
        <v>0</v>
      </c>
      <c r="S161" s="133">
        <f>前台增值物品出入库录入!S163*$E161</f>
        <v>0</v>
      </c>
      <c r="T161" s="133">
        <f>前台增值物品出入库录入!T163*$E161</f>
        <v>0</v>
      </c>
      <c r="U161" s="133">
        <f>前台增值物品出入库录入!U163*$E161</f>
        <v>0</v>
      </c>
      <c r="V161" s="133">
        <f>前台增值物品出入库录入!V163*$E161</f>
        <v>0</v>
      </c>
      <c r="W161" s="133">
        <f>前台增值物品出入库录入!W163*$E161</f>
        <v>0</v>
      </c>
      <c r="X161" s="133">
        <f>前台增值物品出入库录入!X163*$E161</f>
        <v>0</v>
      </c>
      <c r="Y161" s="133">
        <f>前台增值物品出入库录入!Y163*$E161</f>
        <v>0</v>
      </c>
      <c r="Z161" s="133">
        <f>前台增值物品出入库录入!Z163*$E161</f>
        <v>0</v>
      </c>
      <c r="AA161" s="133">
        <f>前台增值物品出入库录入!AA163*$E161</f>
        <v>0</v>
      </c>
      <c r="AB161" s="133">
        <f>前台增值物品出入库录入!AB163*$E161</f>
        <v>0</v>
      </c>
      <c r="AC161" s="133">
        <f>前台增值物品出入库录入!AC163*$E161</f>
        <v>0</v>
      </c>
      <c r="AD161" s="133">
        <f>前台增值物品出入库录入!AD163*$E161</f>
        <v>0</v>
      </c>
      <c r="AE161" s="133">
        <f>前台增值物品出入库录入!AE163*$E161</f>
        <v>0</v>
      </c>
      <c r="AF161" s="133">
        <f>前台增值物品出入库录入!AF163*$E161</f>
        <v>0</v>
      </c>
      <c r="AG161" s="133">
        <f>前台增值物品出入库录入!AG163*$E161</f>
        <v>0</v>
      </c>
      <c r="AH161" s="133">
        <f>前台增值物品出入库录入!AH163*$E161</f>
        <v>0</v>
      </c>
      <c r="AI161" s="133">
        <f>前台增值物品出入库录入!AI163*$E161</f>
        <v>0</v>
      </c>
      <c r="AJ161" s="133">
        <f>前台增值物品出入库录入!AJ163*$E161</f>
        <v>0</v>
      </c>
      <c r="AK161" s="133">
        <f>前台增值物品出入库录入!AK163*$E161</f>
        <v>0</v>
      </c>
      <c r="AL161" s="133">
        <f>前台增值物品出入库录入!AL163*$E161</f>
        <v>0</v>
      </c>
      <c r="AM161" s="133">
        <f>前台增值物品出入库录入!AM163*$E161</f>
        <v>0</v>
      </c>
      <c r="AN161" s="133">
        <f>前台增值物品出入库录入!AN163*$E161</f>
        <v>0</v>
      </c>
      <c r="AO161" s="133">
        <f>前台增值物品出入库录入!AO163*$E161</f>
        <v>0</v>
      </c>
      <c r="AP161" s="133">
        <f>前台增值物品出入库录入!AP163*$E161</f>
        <v>0</v>
      </c>
      <c r="AQ161" s="133">
        <f>前台增值物品出入库录入!AQ163*$E161</f>
        <v>0</v>
      </c>
      <c r="AR161" s="133">
        <f>前台增值物品出入库录入!AR163*$E161</f>
        <v>0</v>
      </c>
      <c r="AS161" s="133">
        <f>前台增值物品出入库录入!AS163*$E161</f>
        <v>0</v>
      </c>
      <c r="AT161" s="133">
        <f>前台增值物品出入库录入!AT163*$E161</f>
        <v>0</v>
      </c>
      <c r="AU161" s="133">
        <f>前台增值物品出入库录入!AU163*$E161</f>
        <v>0</v>
      </c>
      <c r="AV161" s="133">
        <f>前台增值物品出入库录入!AV163*$E161</f>
        <v>0</v>
      </c>
      <c r="AW161" s="133">
        <f>前台增值物品出入库录入!AW163*$E161</f>
        <v>0</v>
      </c>
      <c r="AX161" s="133">
        <f>前台增值物品出入库录入!AX163*$E161</f>
        <v>0</v>
      </c>
      <c r="AY161" s="133">
        <f>前台增值物品出入库录入!AY163*$E161</f>
        <v>0</v>
      </c>
      <c r="AZ161" s="133">
        <f>前台增值物品出入库录入!AZ163*$E161</f>
        <v>0</v>
      </c>
      <c r="BA161" s="133">
        <f>前台增值物品出入库录入!BA163*$E161</f>
        <v>0</v>
      </c>
      <c r="BB161" s="133">
        <f>前台增值物品出入库录入!BB163*$E161</f>
        <v>0</v>
      </c>
      <c r="BC161" s="133">
        <f>前台增值物品出入库录入!BC163*$E161</f>
        <v>0</v>
      </c>
      <c r="BD161" s="133">
        <f>前台增值物品出入库录入!BD163*$E161</f>
        <v>0</v>
      </c>
      <c r="BE161" s="133">
        <f>前台增值物品出入库录入!BE163*$E161</f>
        <v>0</v>
      </c>
      <c r="BF161" s="133">
        <f>前台增值物品出入库录入!BF163*$E161</f>
        <v>0</v>
      </c>
      <c r="BG161" s="133">
        <f>前台增值物品出入库录入!BG163*$E161</f>
        <v>0</v>
      </c>
      <c r="BH161" s="133">
        <f>前台增值物品出入库录入!BH163*$E161</f>
        <v>0</v>
      </c>
      <c r="BI161" s="133">
        <f>前台增值物品出入库录入!BI163*$E161</f>
        <v>0</v>
      </c>
      <c r="BJ161" s="133">
        <f>前台增值物品出入库录入!BJ163*$E161</f>
        <v>0</v>
      </c>
      <c r="BK161" s="133">
        <f>前台增值物品出入库录入!BK163*$E161</f>
        <v>0</v>
      </c>
      <c r="BL161" s="133">
        <f>前台增值物品出入库录入!BL163*$E161</f>
        <v>0</v>
      </c>
      <c r="BM161" s="133">
        <f>前台增值物品出入库录入!BM163*$E161</f>
        <v>0</v>
      </c>
      <c r="BN161" s="133">
        <f>前台增值物品出入库录入!BN163*$E161</f>
        <v>0</v>
      </c>
      <c r="BO161" s="133">
        <f>前台增值物品出入库录入!BO163*$E161</f>
        <v>0</v>
      </c>
      <c r="BP161" s="133">
        <f>前台增值物品出入库录入!BP163*$E161</f>
        <v>0</v>
      </c>
      <c r="BQ161" s="133">
        <f>前台增值物品出入库录入!BQ163*$E161</f>
        <v>0</v>
      </c>
      <c r="BR161" s="133">
        <f>前台增值物品出入库录入!BR163*$E161</f>
        <v>0</v>
      </c>
      <c r="BS161" s="133">
        <f>前台增值物品出入库录入!BS163*$E161</f>
        <v>0</v>
      </c>
      <c r="BT161" s="133">
        <f>前台增值物品出入库录入!BT163*$E161</f>
        <v>0</v>
      </c>
      <c r="BU161" s="133">
        <f>前台增值物品出入库录入!BU163*$E161</f>
        <v>0</v>
      </c>
      <c r="BV161" s="133">
        <f>前台增值物品出入库录入!BV163*$E161</f>
        <v>0</v>
      </c>
      <c r="BW161" s="133">
        <f>前台增值物品出入库录入!BW163*$E161</f>
        <v>0</v>
      </c>
    </row>
    <row r="162" ht="16.5" spans="1:75">
      <c r="A162" s="161">
        <v>167</v>
      </c>
      <c r="B162" s="162" t="str">
        <f>前台增值物品出入库录入!B164</f>
        <v>梳子</v>
      </c>
      <c r="C162" s="162">
        <f>前台增值物品出入库录入!C164</f>
        <v>0</v>
      </c>
      <c r="D162" s="162" t="str">
        <f>前台增值物品出入库录入!D164</f>
        <v>个</v>
      </c>
      <c r="E162" s="162">
        <f>前台增值物品出入库录入!E164</f>
        <v>0.3</v>
      </c>
      <c r="F162" s="162">
        <f>前台增值物品出入库录入!F164</f>
        <v>0</v>
      </c>
      <c r="G162" s="162">
        <f>前台增值物品出入库录入!G164</f>
        <v>0</v>
      </c>
      <c r="H162" s="162">
        <f>前台增值物品出入库录入!H164</f>
        <v>0</v>
      </c>
      <c r="I162" s="162">
        <f>前台增值物品出入库录入!I164</f>
        <v>0</v>
      </c>
      <c r="J162" s="162">
        <f>前台增值物品出入库录入!J164</f>
        <v>0</v>
      </c>
      <c r="K162" s="162">
        <f>前台增值物品出入库录入!K164</f>
        <v>0</v>
      </c>
      <c r="L162" s="162">
        <f>前台增值物品出入库录入!L164</f>
        <v>0</v>
      </c>
      <c r="M162" s="162">
        <f>前台增值物品出入库录入!M164</f>
        <v>0</v>
      </c>
      <c r="N162" s="133">
        <f>前台增值物品出入库录入!N164*$E162</f>
        <v>0</v>
      </c>
      <c r="O162" s="133">
        <f>前台增值物品出入库录入!O164*$E162</f>
        <v>0</v>
      </c>
      <c r="P162" s="133">
        <f>前台增值物品出入库录入!P164*$E162</f>
        <v>0</v>
      </c>
      <c r="Q162" s="133">
        <f>前台增值物品出入库录入!Q164*$E162</f>
        <v>0</v>
      </c>
      <c r="R162" s="133">
        <f>前台增值物品出入库录入!R164*$E162</f>
        <v>0</v>
      </c>
      <c r="S162" s="133">
        <f>前台增值物品出入库录入!S164*$E162</f>
        <v>0</v>
      </c>
      <c r="T162" s="133">
        <f>前台增值物品出入库录入!T164*$E162</f>
        <v>0</v>
      </c>
      <c r="U162" s="133">
        <f>前台增值物品出入库录入!U164*$E162</f>
        <v>0</v>
      </c>
      <c r="V162" s="133">
        <f>前台增值物品出入库录入!V164*$E162</f>
        <v>0</v>
      </c>
      <c r="W162" s="133">
        <f>前台增值物品出入库录入!W164*$E162</f>
        <v>0</v>
      </c>
      <c r="X162" s="133">
        <f>前台增值物品出入库录入!X164*$E162</f>
        <v>0</v>
      </c>
      <c r="Y162" s="133">
        <f>前台增值物品出入库录入!Y164*$E162</f>
        <v>0</v>
      </c>
      <c r="Z162" s="133">
        <f>前台增值物品出入库录入!Z164*$E162</f>
        <v>0</v>
      </c>
      <c r="AA162" s="133">
        <f>前台增值物品出入库录入!AA164*$E162</f>
        <v>0</v>
      </c>
      <c r="AB162" s="133">
        <f>前台增值物品出入库录入!AB164*$E162</f>
        <v>0</v>
      </c>
      <c r="AC162" s="133">
        <f>前台增值物品出入库录入!AC164*$E162</f>
        <v>0</v>
      </c>
      <c r="AD162" s="133">
        <f>前台增值物品出入库录入!AD164*$E162</f>
        <v>0</v>
      </c>
      <c r="AE162" s="133">
        <f>前台增值物品出入库录入!AE164*$E162</f>
        <v>0</v>
      </c>
      <c r="AF162" s="133">
        <f>前台增值物品出入库录入!AF164*$E162</f>
        <v>0</v>
      </c>
      <c r="AG162" s="133">
        <f>前台增值物品出入库录入!AG164*$E162</f>
        <v>0</v>
      </c>
      <c r="AH162" s="133">
        <f>前台增值物品出入库录入!AH164*$E162</f>
        <v>0</v>
      </c>
      <c r="AI162" s="133">
        <f>前台增值物品出入库录入!AI164*$E162</f>
        <v>0</v>
      </c>
      <c r="AJ162" s="133">
        <f>前台增值物品出入库录入!AJ164*$E162</f>
        <v>0</v>
      </c>
      <c r="AK162" s="133">
        <f>前台增值物品出入库录入!AK164*$E162</f>
        <v>0</v>
      </c>
      <c r="AL162" s="133">
        <f>前台增值物品出入库录入!AL164*$E162</f>
        <v>0</v>
      </c>
      <c r="AM162" s="133">
        <f>前台增值物品出入库录入!AM164*$E162</f>
        <v>0</v>
      </c>
      <c r="AN162" s="133">
        <f>前台增值物品出入库录入!AN164*$E162</f>
        <v>0</v>
      </c>
      <c r="AO162" s="133">
        <f>前台增值物品出入库录入!AO164*$E162</f>
        <v>0</v>
      </c>
      <c r="AP162" s="133">
        <f>前台增值物品出入库录入!AP164*$E162</f>
        <v>0</v>
      </c>
      <c r="AQ162" s="133">
        <f>前台增值物品出入库录入!AQ164*$E162</f>
        <v>0</v>
      </c>
      <c r="AR162" s="133">
        <f>前台增值物品出入库录入!AR164*$E162</f>
        <v>0</v>
      </c>
      <c r="AS162" s="133">
        <f>前台增值物品出入库录入!AS164*$E162</f>
        <v>0</v>
      </c>
      <c r="AT162" s="133">
        <f>前台增值物品出入库录入!AT164*$E162</f>
        <v>0</v>
      </c>
      <c r="AU162" s="133">
        <f>前台增值物品出入库录入!AU164*$E162</f>
        <v>0</v>
      </c>
      <c r="AV162" s="133">
        <f>前台增值物品出入库录入!AV164*$E162</f>
        <v>0</v>
      </c>
      <c r="AW162" s="133">
        <f>前台增值物品出入库录入!AW164*$E162</f>
        <v>0</v>
      </c>
      <c r="AX162" s="133">
        <f>前台增值物品出入库录入!AX164*$E162</f>
        <v>0</v>
      </c>
      <c r="AY162" s="133">
        <f>前台增值物品出入库录入!AY164*$E162</f>
        <v>0</v>
      </c>
      <c r="AZ162" s="133">
        <f>前台增值物品出入库录入!AZ164*$E162</f>
        <v>0</v>
      </c>
      <c r="BA162" s="133">
        <f>前台增值物品出入库录入!BA164*$E162</f>
        <v>0</v>
      </c>
      <c r="BB162" s="133">
        <f>前台增值物品出入库录入!BB164*$E162</f>
        <v>0</v>
      </c>
      <c r="BC162" s="133">
        <f>前台增值物品出入库录入!BC164*$E162</f>
        <v>0</v>
      </c>
      <c r="BD162" s="133">
        <f>前台增值物品出入库录入!BD164*$E162</f>
        <v>0</v>
      </c>
      <c r="BE162" s="133">
        <f>前台增值物品出入库录入!BE164*$E162</f>
        <v>0</v>
      </c>
      <c r="BF162" s="133">
        <f>前台增值物品出入库录入!BF164*$E162</f>
        <v>0</v>
      </c>
      <c r="BG162" s="133">
        <f>前台增值物品出入库录入!BG164*$E162</f>
        <v>0</v>
      </c>
      <c r="BH162" s="133">
        <f>前台增值物品出入库录入!BH164*$E162</f>
        <v>0</v>
      </c>
      <c r="BI162" s="133">
        <f>前台增值物品出入库录入!BI164*$E162</f>
        <v>0</v>
      </c>
      <c r="BJ162" s="133">
        <f>前台增值物品出入库录入!BJ164*$E162</f>
        <v>0</v>
      </c>
      <c r="BK162" s="133">
        <f>前台增值物品出入库录入!BK164*$E162</f>
        <v>0</v>
      </c>
      <c r="BL162" s="133">
        <f>前台增值物品出入库录入!BL164*$E162</f>
        <v>0</v>
      </c>
      <c r="BM162" s="133">
        <f>前台增值物品出入库录入!BM164*$E162</f>
        <v>0</v>
      </c>
      <c r="BN162" s="133">
        <f>前台增值物品出入库录入!BN164*$E162</f>
        <v>0</v>
      </c>
      <c r="BO162" s="133">
        <f>前台增值物品出入库录入!BO164*$E162</f>
        <v>0</v>
      </c>
      <c r="BP162" s="133">
        <f>前台增值物品出入库录入!BP164*$E162</f>
        <v>0</v>
      </c>
      <c r="BQ162" s="133">
        <f>前台增值物品出入库录入!BQ164*$E162</f>
        <v>0</v>
      </c>
      <c r="BR162" s="133">
        <f>前台增值物品出入库录入!BR164*$E162</f>
        <v>0</v>
      </c>
      <c r="BS162" s="133">
        <f>前台增值物品出入库录入!BS164*$E162</f>
        <v>0</v>
      </c>
      <c r="BT162" s="133">
        <f>前台增值物品出入库录入!BT164*$E162</f>
        <v>0</v>
      </c>
      <c r="BU162" s="133">
        <f>前台增值物品出入库录入!BU164*$E162</f>
        <v>0</v>
      </c>
      <c r="BV162" s="133">
        <f>前台增值物品出入库录入!BV164*$E162</f>
        <v>0</v>
      </c>
      <c r="BW162" s="133">
        <f>前台增值物品出入库录入!BW164*$E162</f>
        <v>0</v>
      </c>
    </row>
    <row r="163" ht="16.5" spans="1:75">
      <c r="A163" s="161">
        <v>168</v>
      </c>
      <c r="B163" s="162" t="str">
        <f>前台增值物品出入库录入!B165</f>
        <v>拖鞋</v>
      </c>
      <c r="C163" s="162">
        <f>前台增值物品出入库录入!C165</f>
        <v>0</v>
      </c>
      <c r="D163" s="162" t="str">
        <f>前台增值物品出入库录入!D165</f>
        <v>双</v>
      </c>
      <c r="E163" s="162">
        <f>前台增值物品出入库录入!E165</f>
        <v>1.59</v>
      </c>
      <c r="F163" s="162">
        <f>前台增值物品出入库录入!F165</f>
        <v>0</v>
      </c>
      <c r="G163" s="162">
        <f>前台增值物品出入库录入!G165</f>
        <v>0</v>
      </c>
      <c r="H163" s="162">
        <f>前台增值物品出入库录入!H165</f>
        <v>0</v>
      </c>
      <c r="I163" s="162">
        <f>前台增值物品出入库录入!I165</f>
        <v>0</v>
      </c>
      <c r="J163" s="162">
        <f>前台增值物品出入库录入!J165</f>
        <v>0</v>
      </c>
      <c r="K163" s="162">
        <f>前台增值物品出入库录入!K165</f>
        <v>0</v>
      </c>
      <c r="L163" s="162">
        <f>前台增值物品出入库录入!L165</f>
        <v>0</v>
      </c>
      <c r="M163" s="162">
        <f>前台增值物品出入库录入!M165</f>
        <v>0</v>
      </c>
      <c r="N163" s="133">
        <f>前台增值物品出入库录入!N165*$E163</f>
        <v>0</v>
      </c>
      <c r="O163" s="133">
        <f>前台增值物品出入库录入!O165*$E163</f>
        <v>0</v>
      </c>
      <c r="P163" s="133">
        <f>前台增值物品出入库录入!P165*$E163</f>
        <v>0</v>
      </c>
      <c r="Q163" s="133">
        <f>前台增值物品出入库录入!Q165*$E163</f>
        <v>0</v>
      </c>
      <c r="R163" s="133">
        <f>前台增值物品出入库录入!R165*$E163</f>
        <v>0</v>
      </c>
      <c r="S163" s="133">
        <f>前台增值物品出入库录入!S165*$E163</f>
        <v>0</v>
      </c>
      <c r="T163" s="133">
        <f>前台增值物品出入库录入!T165*$E163</f>
        <v>0</v>
      </c>
      <c r="U163" s="133">
        <f>前台增值物品出入库录入!U165*$E163</f>
        <v>0</v>
      </c>
      <c r="V163" s="133">
        <f>前台增值物品出入库录入!V165*$E163</f>
        <v>0</v>
      </c>
      <c r="W163" s="133">
        <f>前台增值物品出入库录入!W165*$E163</f>
        <v>0</v>
      </c>
      <c r="X163" s="133">
        <f>前台增值物品出入库录入!X165*$E163</f>
        <v>0</v>
      </c>
      <c r="Y163" s="133">
        <f>前台增值物品出入库录入!Y165*$E163</f>
        <v>0</v>
      </c>
      <c r="Z163" s="133">
        <f>前台增值物品出入库录入!Z165*$E163</f>
        <v>0</v>
      </c>
      <c r="AA163" s="133">
        <f>前台增值物品出入库录入!AA165*$E163</f>
        <v>0</v>
      </c>
      <c r="AB163" s="133">
        <f>前台增值物品出入库录入!AB165*$E163</f>
        <v>0</v>
      </c>
      <c r="AC163" s="133">
        <f>前台增值物品出入库录入!AC165*$E163</f>
        <v>0</v>
      </c>
      <c r="AD163" s="133">
        <f>前台增值物品出入库录入!AD165*$E163</f>
        <v>0</v>
      </c>
      <c r="AE163" s="133">
        <f>前台增值物品出入库录入!AE165*$E163</f>
        <v>0</v>
      </c>
      <c r="AF163" s="133">
        <f>前台增值物品出入库录入!AF165*$E163</f>
        <v>0</v>
      </c>
      <c r="AG163" s="133">
        <f>前台增值物品出入库录入!AG165*$E163</f>
        <v>0</v>
      </c>
      <c r="AH163" s="133">
        <f>前台增值物品出入库录入!AH165*$E163</f>
        <v>0</v>
      </c>
      <c r="AI163" s="133">
        <f>前台增值物品出入库录入!AI165*$E163</f>
        <v>0</v>
      </c>
      <c r="AJ163" s="133">
        <f>前台增值物品出入库录入!AJ165*$E163</f>
        <v>0</v>
      </c>
      <c r="AK163" s="133">
        <f>前台增值物品出入库录入!AK165*$E163</f>
        <v>0</v>
      </c>
      <c r="AL163" s="133">
        <f>前台增值物品出入库录入!AL165*$E163</f>
        <v>0</v>
      </c>
      <c r="AM163" s="133">
        <f>前台增值物品出入库录入!AM165*$E163</f>
        <v>0</v>
      </c>
      <c r="AN163" s="133">
        <f>前台增值物品出入库录入!AN165*$E163</f>
        <v>0</v>
      </c>
      <c r="AO163" s="133">
        <f>前台增值物品出入库录入!AO165*$E163</f>
        <v>0</v>
      </c>
      <c r="AP163" s="133">
        <f>前台增值物品出入库录入!AP165*$E163</f>
        <v>0</v>
      </c>
      <c r="AQ163" s="133">
        <f>前台增值物品出入库录入!AQ165*$E163</f>
        <v>0</v>
      </c>
      <c r="AR163" s="133">
        <f>前台增值物品出入库录入!AR165*$E163</f>
        <v>0</v>
      </c>
      <c r="AS163" s="133">
        <f>前台增值物品出入库录入!AS165*$E163</f>
        <v>0</v>
      </c>
      <c r="AT163" s="133">
        <f>前台增值物品出入库录入!AT165*$E163</f>
        <v>0</v>
      </c>
      <c r="AU163" s="133">
        <f>前台增值物品出入库录入!AU165*$E163</f>
        <v>0</v>
      </c>
      <c r="AV163" s="133">
        <f>前台增值物品出入库录入!AV165*$E163</f>
        <v>0</v>
      </c>
      <c r="AW163" s="133">
        <f>前台增值物品出入库录入!AW165*$E163</f>
        <v>0</v>
      </c>
      <c r="AX163" s="133">
        <f>前台增值物品出入库录入!AX165*$E163</f>
        <v>0</v>
      </c>
      <c r="AY163" s="133">
        <f>前台增值物品出入库录入!AY165*$E163</f>
        <v>0</v>
      </c>
      <c r="AZ163" s="133">
        <f>前台增值物品出入库录入!AZ165*$E163</f>
        <v>0</v>
      </c>
      <c r="BA163" s="133">
        <f>前台增值物品出入库录入!BA165*$E163</f>
        <v>0</v>
      </c>
      <c r="BB163" s="133">
        <f>前台增值物品出入库录入!BB165*$E163</f>
        <v>0</v>
      </c>
      <c r="BC163" s="133">
        <f>前台增值物品出入库录入!BC165*$E163</f>
        <v>0</v>
      </c>
      <c r="BD163" s="133">
        <f>前台增值物品出入库录入!BD165*$E163</f>
        <v>0</v>
      </c>
      <c r="BE163" s="133">
        <f>前台增值物品出入库录入!BE165*$E163</f>
        <v>0</v>
      </c>
      <c r="BF163" s="133">
        <f>前台增值物品出入库录入!BF165*$E163</f>
        <v>0</v>
      </c>
      <c r="BG163" s="133">
        <f>前台增值物品出入库录入!BG165*$E163</f>
        <v>0</v>
      </c>
      <c r="BH163" s="133">
        <f>前台增值物品出入库录入!BH165*$E163</f>
        <v>0</v>
      </c>
      <c r="BI163" s="133">
        <f>前台增值物品出入库录入!BI165*$E163</f>
        <v>0</v>
      </c>
      <c r="BJ163" s="133">
        <f>前台增值物品出入库录入!BJ165*$E163</f>
        <v>0</v>
      </c>
      <c r="BK163" s="133">
        <f>前台增值物品出入库录入!BK165*$E163</f>
        <v>0</v>
      </c>
      <c r="BL163" s="133">
        <f>前台增值物品出入库录入!BL165*$E163</f>
        <v>0</v>
      </c>
      <c r="BM163" s="133">
        <f>前台增值物品出入库录入!BM165*$E163</f>
        <v>0</v>
      </c>
      <c r="BN163" s="133">
        <f>前台增值物品出入库录入!BN165*$E163</f>
        <v>0</v>
      </c>
      <c r="BO163" s="133">
        <f>前台增值物品出入库录入!BO165*$E163</f>
        <v>0</v>
      </c>
      <c r="BP163" s="133">
        <f>前台增值物品出入库录入!BP165*$E163</f>
        <v>0</v>
      </c>
      <c r="BQ163" s="133">
        <f>前台增值物品出入库录入!BQ165*$E163</f>
        <v>0</v>
      </c>
      <c r="BR163" s="133">
        <f>前台增值物品出入库录入!BR165*$E163</f>
        <v>0</v>
      </c>
      <c r="BS163" s="133">
        <f>前台增值物品出入库录入!BS165*$E163</f>
        <v>0</v>
      </c>
      <c r="BT163" s="133">
        <f>前台增值物品出入库录入!BT165*$E163</f>
        <v>0</v>
      </c>
      <c r="BU163" s="133">
        <f>前台增值物品出入库录入!BU165*$E163</f>
        <v>0</v>
      </c>
      <c r="BV163" s="133">
        <f>前台增值物品出入库录入!BV165*$E163</f>
        <v>0</v>
      </c>
      <c r="BW163" s="133">
        <f>前台增值物品出入库录入!BW165*$E163</f>
        <v>0</v>
      </c>
    </row>
    <row r="164" ht="16.5" spans="1:75">
      <c r="A164" s="161">
        <v>169</v>
      </c>
      <c r="B164" s="162" t="str">
        <f>前台增值物品出入库录入!B166</f>
        <v>工业吹风机</v>
      </c>
      <c r="C164" s="162">
        <f>前台增值物品出入库录入!C166</f>
        <v>0</v>
      </c>
      <c r="D164" s="162" t="str">
        <f>前台增值物品出入库录入!D166</f>
        <v>个</v>
      </c>
      <c r="E164" s="162">
        <f>前台增值物品出入库录入!E166</f>
        <v>133.2</v>
      </c>
      <c r="F164" s="162">
        <f>前台增值物品出入库录入!F166</f>
        <v>0</v>
      </c>
      <c r="G164" s="162">
        <f>前台增值物品出入库录入!G166</f>
        <v>0</v>
      </c>
      <c r="H164" s="162">
        <f>前台增值物品出入库录入!H166</f>
        <v>0</v>
      </c>
      <c r="I164" s="162">
        <f>前台增值物品出入库录入!I166</f>
        <v>0</v>
      </c>
      <c r="J164" s="162">
        <f>前台增值物品出入库录入!J166</f>
        <v>0</v>
      </c>
      <c r="K164" s="162">
        <f>前台增值物品出入库录入!K166</f>
        <v>0</v>
      </c>
      <c r="L164" s="162">
        <f>前台增值物品出入库录入!L166</f>
        <v>0</v>
      </c>
      <c r="M164" s="162">
        <f>前台增值物品出入库录入!M166</f>
        <v>0</v>
      </c>
      <c r="N164" s="133">
        <f>前台增值物品出入库录入!N166*$E164</f>
        <v>0</v>
      </c>
      <c r="O164" s="133">
        <f>前台增值物品出入库录入!O166*$E164</f>
        <v>0</v>
      </c>
      <c r="P164" s="133">
        <f>前台增值物品出入库录入!P166*$E164</f>
        <v>0</v>
      </c>
      <c r="Q164" s="133">
        <f>前台增值物品出入库录入!Q166*$E164</f>
        <v>0</v>
      </c>
      <c r="R164" s="133">
        <f>前台增值物品出入库录入!R166*$E164</f>
        <v>0</v>
      </c>
      <c r="S164" s="133">
        <f>前台增值物品出入库录入!S166*$E164</f>
        <v>0</v>
      </c>
      <c r="T164" s="133">
        <f>前台增值物品出入库录入!T166*$E164</f>
        <v>0</v>
      </c>
      <c r="U164" s="133">
        <f>前台增值物品出入库录入!U166*$E164</f>
        <v>0</v>
      </c>
      <c r="V164" s="133">
        <f>前台增值物品出入库录入!V166*$E164</f>
        <v>0</v>
      </c>
      <c r="W164" s="133">
        <f>前台增值物品出入库录入!W166*$E164</f>
        <v>0</v>
      </c>
      <c r="X164" s="133">
        <f>前台增值物品出入库录入!X166*$E164</f>
        <v>0</v>
      </c>
      <c r="Y164" s="133">
        <f>前台增值物品出入库录入!Y166*$E164</f>
        <v>0</v>
      </c>
      <c r="Z164" s="133">
        <f>前台增值物品出入库录入!Z166*$E164</f>
        <v>0</v>
      </c>
      <c r="AA164" s="133">
        <f>前台增值物品出入库录入!AA166*$E164</f>
        <v>0</v>
      </c>
      <c r="AB164" s="133">
        <f>前台增值物品出入库录入!AB166*$E164</f>
        <v>0</v>
      </c>
      <c r="AC164" s="133">
        <f>前台增值物品出入库录入!AC166*$E164</f>
        <v>0</v>
      </c>
      <c r="AD164" s="133">
        <f>前台增值物品出入库录入!AD166*$E164</f>
        <v>0</v>
      </c>
      <c r="AE164" s="133">
        <f>前台增值物品出入库录入!AE166*$E164</f>
        <v>0</v>
      </c>
      <c r="AF164" s="133">
        <f>前台增值物品出入库录入!AF166*$E164</f>
        <v>0</v>
      </c>
      <c r="AG164" s="133">
        <f>前台增值物品出入库录入!AG166*$E164</f>
        <v>0</v>
      </c>
      <c r="AH164" s="133">
        <f>前台增值物品出入库录入!AH166*$E164</f>
        <v>0</v>
      </c>
      <c r="AI164" s="133">
        <f>前台增值物品出入库录入!AI166*$E164</f>
        <v>0</v>
      </c>
      <c r="AJ164" s="133">
        <f>前台增值物品出入库录入!AJ166*$E164</f>
        <v>0</v>
      </c>
      <c r="AK164" s="133">
        <f>前台增值物品出入库录入!AK166*$E164</f>
        <v>0</v>
      </c>
      <c r="AL164" s="133">
        <f>前台增值物品出入库录入!AL166*$E164</f>
        <v>0</v>
      </c>
      <c r="AM164" s="133">
        <f>前台增值物品出入库录入!AM166*$E164</f>
        <v>0</v>
      </c>
      <c r="AN164" s="133">
        <f>前台增值物品出入库录入!AN166*$E164</f>
        <v>0</v>
      </c>
      <c r="AO164" s="133">
        <f>前台增值物品出入库录入!AO166*$E164</f>
        <v>0</v>
      </c>
      <c r="AP164" s="133">
        <f>前台增值物品出入库录入!AP166*$E164</f>
        <v>0</v>
      </c>
      <c r="AQ164" s="133">
        <f>前台增值物品出入库录入!AQ166*$E164</f>
        <v>0</v>
      </c>
      <c r="AR164" s="133">
        <f>前台增值物品出入库录入!AR166*$E164</f>
        <v>0</v>
      </c>
      <c r="AS164" s="133">
        <f>前台增值物品出入库录入!AS166*$E164</f>
        <v>0</v>
      </c>
      <c r="AT164" s="133">
        <f>前台增值物品出入库录入!AT166*$E164</f>
        <v>0</v>
      </c>
      <c r="AU164" s="133">
        <f>前台增值物品出入库录入!AU166*$E164</f>
        <v>0</v>
      </c>
      <c r="AV164" s="133">
        <f>前台增值物品出入库录入!AV166*$E164</f>
        <v>0</v>
      </c>
      <c r="AW164" s="133">
        <f>前台增值物品出入库录入!AW166*$E164</f>
        <v>0</v>
      </c>
      <c r="AX164" s="133">
        <f>前台增值物品出入库录入!AX166*$E164</f>
        <v>0</v>
      </c>
      <c r="AY164" s="133">
        <f>前台增值物品出入库录入!AY166*$E164</f>
        <v>0</v>
      </c>
      <c r="AZ164" s="133">
        <f>前台增值物品出入库录入!AZ166*$E164</f>
        <v>0</v>
      </c>
      <c r="BA164" s="133">
        <f>前台增值物品出入库录入!BA166*$E164</f>
        <v>0</v>
      </c>
      <c r="BB164" s="133">
        <f>前台增值物品出入库录入!BB166*$E164</f>
        <v>0</v>
      </c>
      <c r="BC164" s="133">
        <f>前台增值物品出入库录入!BC166*$E164</f>
        <v>0</v>
      </c>
      <c r="BD164" s="133">
        <f>前台增值物品出入库录入!BD166*$E164</f>
        <v>0</v>
      </c>
      <c r="BE164" s="133">
        <f>前台增值物品出入库录入!BE166*$E164</f>
        <v>0</v>
      </c>
      <c r="BF164" s="133">
        <f>前台增值物品出入库录入!BF166*$E164</f>
        <v>0</v>
      </c>
      <c r="BG164" s="133">
        <f>前台增值物品出入库录入!BG166*$E164</f>
        <v>0</v>
      </c>
      <c r="BH164" s="133">
        <f>前台增值物品出入库录入!BH166*$E164</f>
        <v>0</v>
      </c>
      <c r="BI164" s="133">
        <f>前台增值物品出入库录入!BI166*$E164</f>
        <v>0</v>
      </c>
      <c r="BJ164" s="133">
        <f>前台增值物品出入库录入!BJ166*$E164</f>
        <v>0</v>
      </c>
      <c r="BK164" s="133">
        <f>前台增值物品出入库录入!BK166*$E164</f>
        <v>0</v>
      </c>
      <c r="BL164" s="133">
        <f>前台增值物品出入库录入!BL166*$E164</f>
        <v>0</v>
      </c>
      <c r="BM164" s="133">
        <f>前台增值物品出入库录入!BM166*$E164</f>
        <v>0</v>
      </c>
      <c r="BN164" s="133">
        <f>前台增值物品出入库录入!BN166*$E164</f>
        <v>0</v>
      </c>
      <c r="BO164" s="133">
        <f>前台增值物品出入库录入!BO166*$E164</f>
        <v>0</v>
      </c>
      <c r="BP164" s="133">
        <f>前台增值物品出入库录入!BP166*$E164</f>
        <v>0</v>
      </c>
      <c r="BQ164" s="133">
        <f>前台增值物品出入库录入!BQ166*$E164</f>
        <v>0</v>
      </c>
      <c r="BR164" s="133">
        <f>前台增值物品出入库录入!BR166*$E164</f>
        <v>0</v>
      </c>
      <c r="BS164" s="133">
        <f>前台增值物品出入库录入!BS166*$E164</f>
        <v>0</v>
      </c>
      <c r="BT164" s="133">
        <f>前台增值物品出入库录入!BT166*$E164</f>
        <v>0</v>
      </c>
      <c r="BU164" s="133">
        <f>前台增值物品出入库录入!BU166*$E164</f>
        <v>0</v>
      </c>
      <c r="BV164" s="133">
        <f>前台增值物品出入库录入!BV166*$E164</f>
        <v>0</v>
      </c>
      <c r="BW164" s="133">
        <f>前台增值物品出入库录入!BW166*$E164</f>
        <v>0</v>
      </c>
    </row>
    <row r="165" ht="16.5" spans="1:75">
      <c r="A165" s="161">
        <v>170</v>
      </c>
      <c r="B165" s="162" t="str">
        <f>前台增值物品出入库录入!B167</f>
        <v>纸杯</v>
      </c>
      <c r="C165" s="162">
        <f>前台增值物品出入库录入!C167</f>
        <v>0</v>
      </c>
      <c r="D165" s="162" t="str">
        <f>前台增值物品出入库录入!D167</f>
        <v>个</v>
      </c>
      <c r="E165" s="162">
        <f>前台增值物品出入库录入!E167</f>
        <v>0.12</v>
      </c>
      <c r="F165" s="162">
        <f>前台增值物品出入库录入!F167</f>
        <v>0</v>
      </c>
      <c r="G165" s="162">
        <f>前台增值物品出入库录入!G167</f>
        <v>0</v>
      </c>
      <c r="H165" s="162">
        <f>前台增值物品出入库录入!H167</f>
        <v>0</v>
      </c>
      <c r="I165" s="162">
        <f>前台增值物品出入库录入!I167</f>
        <v>0</v>
      </c>
      <c r="J165" s="162">
        <f>前台增值物品出入库录入!J167</f>
        <v>0</v>
      </c>
      <c r="K165" s="162">
        <f>前台增值物品出入库录入!K167</f>
        <v>0</v>
      </c>
      <c r="L165" s="162">
        <f>前台增值物品出入库录入!L167</f>
        <v>0</v>
      </c>
      <c r="M165" s="162">
        <f>前台增值物品出入库录入!M167</f>
        <v>0</v>
      </c>
      <c r="N165" s="133">
        <f>前台增值物品出入库录入!N167*$E165</f>
        <v>0</v>
      </c>
      <c r="O165" s="133">
        <f>前台增值物品出入库录入!O167*$E165</f>
        <v>0</v>
      </c>
      <c r="P165" s="133">
        <f>前台增值物品出入库录入!P167*$E165</f>
        <v>0</v>
      </c>
      <c r="Q165" s="133">
        <f>前台增值物品出入库录入!Q167*$E165</f>
        <v>0</v>
      </c>
      <c r="R165" s="133">
        <f>前台增值物品出入库录入!R167*$E165</f>
        <v>0</v>
      </c>
      <c r="S165" s="133">
        <f>前台增值物品出入库录入!S167*$E165</f>
        <v>0</v>
      </c>
      <c r="T165" s="133">
        <f>前台增值物品出入库录入!T167*$E165</f>
        <v>0</v>
      </c>
      <c r="U165" s="133">
        <f>前台增值物品出入库录入!U167*$E165</f>
        <v>0</v>
      </c>
      <c r="V165" s="133">
        <f>前台增值物品出入库录入!V167*$E165</f>
        <v>0</v>
      </c>
      <c r="W165" s="133">
        <f>前台增值物品出入库录入!W167*$E165</f>
        <v>0</v>
      </c>
      <c r="X165" s="133">
        <f>前台增值物品出入库录入!X167*$E165</f>
        <v>0</v>
      </c>
      <c r="Y165" s="133">
        <f>前台增值物品出入库录入!Y167*$E165</f>
        <v>0</v>
      </c>
      <c r="Z165" s="133">
        <f>前台增值物品出入库录入!Z167*$E165</f>
        <v>0</v>
      </c>
      <c r="AA165" s="133">
        <f>前台增值物品出入库录入!AA167*$E165</f>
        <v>0</v>
      </c>
      <c r="AB165" s="133">
        <f>前台增值物品出入库录入!AB167*$E165</f>
        <v>0</v>
      </c>
      <c r="AC165" s="133">
        <f>前台增值物品出入库录入!AC167*$E165</f>
        <v>0</v>
      </c>
      <c r="AD165" s="133">
        <f>前台增值物品出入库录入!AD167*$E165</f>
        <v>0</v>
      </c>
      <c r="AE165" s="133">
        <f>前台增值物品出入库录入!AE167*$E165</f>
        <v>0</v>
      </c>
      <c r="AF165" s="133">
        <f>前台增值物品出入库录入!AF167*$E165</f>
        <v>0</v>
      </c>
      <c r="AG165" s="133">
        <f>前台增值物品出入库录入!AG167*$E165</f>
        <v>0</v>
      </c>
      <c r="AH165" s="133">
        <f>前台增值物品出入库录入!AH167*$E165</f>
        <v>0</v>
      </c>
      <c r="AI165" s="133">
        <f>前台增值物品出入库录入!AI167*$E165</f>
        <v>0</v>
      </c>
      <c r="AJ165" s="133">
        <f>前台增值物品出入库录入!AJ167*$E165</f>
        <v>0</v>
      </c>
      <c r="AK165" s="133">
        <f>前台增值物品出入库录入!AK167*$E165</f>
        <v>0</v>
      </c>
      <c r="AL165" s="133">
        <f>前台增值物品出入库录入!AL167*$E165</f>
        <v>0</v>
      </c>
      <c r="AM165" s="133">
        <f>前台增值物品出入库录入!AM167*$E165</f>
        <v>0</v>
      </c>
      <c r="AN165" s="133">
        <f>前台增值物品出入库录入!AN167*$E165</f>
        <v>0</v>
      </c>
      <c r="AO165" s="133">
        <f>前台增值物品出入库录入!AO167*$E165</f>
        <v>0</v>
      </c>
      <c r="AP165" s="133">
        <f>前台增值物品出入库录入!AP167*$E165</f>
        <v>0</v>
      </c>
      <c r="AQ165" s="133">
        <f>前台增值物品出入库录入!AQ167*$E165</f>
        <v>0</v>
      </c>
      <c r="AR165" s="133">
        <f>前台增值物品出入库录入!AR167*$E165</f>
        <v>0</v>
      </c>
      <c r="AS165" s="133">
        <f>前台增值物品出入库录入!AS167*$E165</f>
        <v>0</v>
      </c>
      <c r="AT165" s="133">
        <f>前台增值物品出入库录入!AT167*$E165</f>
        <v>0</v>
      </c>
      <c r="AU165" s="133">
        <f>前台增值物品出入库录入!AU167*$E165</f>
        <v>0</v>
      </c>
      <c r="AV165" s="133">
        <f>前台增值物品出入库录入!AV167*$E165</f>
        <v>0</v>
      </c>
      <c r="AW165" s="133">
        <f>前台增值物品出入库录入!AW167*$E165</f>
        <v>0</v>
      </c>
      <c r="AX165" s="133">
        <f>前台增值物品出入库录入!AX167*$E165</f>
        <v>0</v>
      </c>
      <c r="AY165" s="133">
        <f>前台增值物品出入库录入!AY167*$E165</f>
        <v>0</v>
      </c>
      <c r="AZ165" s="133">
        <f>前台增值物品出入库录入!AZ167*$E165</f>
        <v>0</v>
      </c>
      <c r="BA165" s="133">
        <f>前台增值物品出入库录入!BA167*$E165</f>
        <v>0</v>
      </c>
      <c r="BB165" s="133">
        <f>前台增值物品出入库录入!BB167*$E165</f>
        <v>0</v>
      </c>
      <c r="BC165" s="133">
        <f>前台增值物品出入库录入!BC167*$E165</f>
        <v>0</v>
      </c>
      <c r="BD165" s="133">
        <f>前台增值物品出入库录入!BD167*$E165</f>
        <v>0</v>
      </c>
      <c r="BE165" s="133">
        <f>前台增值物品出入库录入!BE167*$E165</f>
        <v>0</v>
      </c>
      <c r="BF165" s="133">
        <f>前台增值物品出入库录入!BF167*$E165</f>
        <v>0</v>
      </c>
      <c r="BG165" s="133">
        <f>前台增值物品出入库录入!BG167*$E165</f>
        <v>0</v>
      </c>
      <c r="BH165" s="133">
        <f>前台增值物品出入库录入!BH167*$E165</f>
        <v>0</v>
      </c>
      <c r="BI165" s="133">
        <f>前台增值物品出入库录入!BI167*$E165</f>
        <v>0</v>
      </c>
      <c r="BJ165" s="133">
        <f>前台增值物品出入库录入!BJ167*$E165</f>
        <v>0</v>
      </c>
      <c r="BK165" s="133">
        <f>前台增值物品出入库录入!BK167*$E165</f>
        <v>0</v>
      </c>
      <c r="BL165" s="133">
        <f>前台增值物品出入库录入!BL167*$E165</f>
        <v>0</v>
      </c>
      <c r="BM165" s="133">
        <f>前台增值物品出入库录入!BM167*$E165</f>
        <v>0</v>
      </c>
      <c r="BN165" s="133">
        <f>前台增值物品出入库录入!BN167*$E165</f>
        <v>0</v>
      </c>
      <c r="BO165" s="133">
        <f>前台增值物品出入库录入!BO167*$E165</f>
        <v>0</v>
      </c>
      <c r="BP165" s="133">
        <f>前台增值物品出入库录入!BP167*$E165</f>
        <v>0</v>
      </c>
      <c r="BQ165" s="133">
        <f>前台增值物品出入库录入!BQ167*$E165</f>
        <v>0</v>
      </c>
      <c r="BR165" s="133">
        <f>前台增值物品出入库录入!BR167*$E165</f>
        <v>0</v>
      </c>
      <c r="BS165" s="133">
        <f>前台增值物品出入库录入!BS167*$E165</f>
        <v>0</v>
      </c>
      <c r="BT165" s="133">
        <f>前台增值物品出入库录入!BT167*$E165</f>
        <v>0</v>
      </c>
      <c r="BU165" s="133">
        <f>前台增值物品出入库录入!BU167*$E165</f>
        <v>0</v>
      </c>
      <c r="BV165" s="133">
        <f>前台增值物品出入库录入!BV167*$E165</f>
        <v>0</v>
      </c>
      <c r="BW165" s="133">
        <f>前台增值物品出入库录入!BW167*$E165</f>
        <v>0</v>
      </c>
    </row>
    <row r="166" ht="16.5" spans="1:75">
      <c r="A166" s="161">
        <v>171</v>
      </c>
      <c r="B166" s="162" t="str">
        <f>前台增值物品出入库录入!B168</f>
        <v>墨粉</v>
      </c>
      <c r="C166" s="162">
        <f>前台增值物品出入库录入!C168</f>
        <v>0</v>
      </c>
      <c r="D166" s="162" t="str">
        <f>前台增值物品出入库录入!D168</f>
        <v>个</v>
      </c>
      <c r="E166" s="162">
        <f>前台增值物品出入库录入!E168</f>
        <v>26.5</v>
      </c>
      <c r="F166" s="162">
        <f>前台增值物品出入库录入!F168</f>
        <v>0</v>
      </c>
      <c r="G166" s="162">
        <f>前台增值物品出入库录入!G168</f>
        <v>0</v>
      </c>
      <c r="H166" s="162">
        <f>前台增值物品出入库录入!H168</f>
        <v>0</v>
      </c>
      <c r="I166" s="162">
        <f>前台增值物品出入库录入!I168</f>
        <v>0</v>
      </c>
      <c r="J166" s="162">
        <f>前台增值物品出入库录入!J168</f>
        <v>0</v>
      </c>
      <c r="K166" s="162">
        <f>前台增值物品出入库录入!K168</f>
        <v>0</v>
      </c>
      <c r="L166" s="162">
        <f>前台增值物品出入库录入!L168</f>
        <v>0</v>
      </c>
      <c r="M166" s="162">
        <f>前台增值物品出入库录入!M168</f>
        <v>0</v>
      </c>
      <c r="N166" s="133">
        <f>前台增值物品出入库录入!N168*$E166</f>
        <v>0</v>
      </c>
      <c r="O166" s="133">
        <f>前台增值物品出入库录入!O168*$E166</f>
        <v>0</v>
      </c>
      <c r="P166" s="133">
        <f>前台增值物品出入库录入!P168*$E166</f>
        <v>0</v>
      </c>
      <c r="Q166" s="133">
        <f>前台增值物品出入库录入!Q168*$E166</f>
        <v>0</v>
      </c>
      <c r="R166" s="133">
        <f>前台增值物品出入库录入!R168*$E166</f>
        <v>0</v>
      </c>
      <c r="S166" s="133">
        <f>前台增值物品出入库录入!S168*$E166</f>
        <v>0</v>
      </c>
      <c r="T166" s="133">
        <f>前台增值物品出入库录入!T168*$E166</f>
        <v>0</v>
      </c>
      <c r="U166" s="133">
        <f>前台增值物品出入库录入!U168*$E166</f>
        <v>0</v>
      </c>
      <c r="V166" s="133">
        <f>前台增值物品出入库录入!V168*$E166</f>
        <v>0</v>
      </c>
      <c r="W166" s="133">
        <f>前台增值物品出入库录入!W168*$E166</f>
        <v>0</v>
      </c>
      <c r="X166" s="133">
        <f>前台增值物品出入库录入!X168*$E166</f>
        <v>0</v>
      </c>
      <c r="Y166" s="133">
        <f>前台增值物品出入库录入!Y168*$E166</f>
        <v>0</v>
      </c>
      <c r="Z166" s="133">
        <f>前台增值物品出入库录入!Z168*$E166</f>
        <v>0</v>
      </c>
      <c r="AA166" s="133">
        <f>前台增值物品出入库录入!AA168*$E166</f>
        <v>0</v>
      </c>
      <c r="AB166" s="133">
        <f>前台增值物品出入库录入!AB168*$E166</f>
        <v>0</v>
      </c>
      <c r="AC166" s="133">
        <f>前台增值物品出入库录入!AC168*$E166</f>
        <v>0</v>
      </c>
      <c r="AD166" s="133">
        <f>前台增值物品出入库录入!AD168*$E166</f>
        <v>0</v>
      </c>
      <c r="AE166" s="133">
        <f>前台增值物品出入库录入!AE168*$E166</f>
        <v>0</v>
      </c>
      <c r="AF166" s="133">
        <f>前台增值物品出入库录入!AF168*$E166</f>
        <v>0</v>
      </c>
      <c r="AG166" s="133">
        <f>前台增值物品出入库录入!AG168*$E166</f>
        <v>0</v>
      </c>
      <c r="AH166" s="133">
        <f>前台增值物品出入库录入!AH168*$E166</f>
        <v>0</v>
      </c>
      <c r="AI166" s="133">
        <f>前台增值物品出入库录入!AI168*$E166</f>
        <v>0</v>
      </c>
      <c r="AJ166" s="133">
        <f>前台增值物品出入库录入!AJ168*$E166</f>
        <v>0</v>
      </c>
      <c r="AK166" s="133">
        <f>前台增值物品出入库录入!AK168*$E166</f>
        <v>0</v>
      </c>
      <c r="AL166" s="133">
        <f>前台增值物品出入库录入!AL168*$E166</f>
        <v>0</v>
      </c>
      <c r="AM166" s="133">
        <f>前台增值物品出入库录入!AM168*$E166</f>
        <v>0</v>
      </c>
      <c r="AN166" s="133">
        <f>前台增值物品出入库录入!AN168*$E166</f>
        <v>0</v>
      </c>
      <c r="AO166" s="133">
        <f>前台增值物品出入库录入!AO168*$E166</f>
        <v>0</v>
      </c>
      <c r="AP166" s="133">
        <f>前台增值物品出入库录入!AP168*$E166</f>
        <v>0</v>
      </c>
      <c r="AQ166" s="133">
        <f>前台增值物品出入库录入!AQ168*$E166</f>
        <v>0</v>
      </c>
      <c r="AR166" s="133">
        <f>前台增值物品出入库录入!AR168*$E166</f>
        <v>0</v>
      </c>
      <c r="AS166" s="133">
        <f>前台增值物品出入库录入!AS168*$E166</f>
        <v>0</v>
      </c>
      <c r="AT166" s="133">
        <f>前台增值物品出入库录入!AT168*$E166</f>
        <v>0</v>
      </c>
      <c r="AU166" s="133">
        <f>前台增值物品出入库录入!AU168*$E166</f>
        <v>0</v>
      </c>
      <c r="AV166" s="133">
        <f>前台增值物品出入库录入!AV168*$E166</f>
        <v>0</v>
      </c>
      <c r="AW166" s="133">
        <f>前台增值物品出入库录入!AW168*$E166</f>
        <v>0</v>
      </c>
      <c r="AX166" s="133">
        <f>前台增值物品出入库录入!AX168*$E166</f>
        <v>0</v>
      </c>
      <c r="AY166" s="133">
        <f>前台增值物品出入库录入!AY168*$E166</f>
        <v>0</v>
      </c>
      <c r="AZ166" s="133">
        <f>前台增值物品出入库录入!AZ168*$E166</f>
        <v>0</v>
      </c>
      <c r="BA166" s="133">
        <f>前台增值物品出入库录入!BA168*$E166</f>
        <v>0</v>
      </c>
      <c r="BB166" s="133">
        <f>前台增值物品出入库录入!BB168*$E166</f>
        <v>0</v>
      </c>
      <c r="BC166" s="133">
        <f>前台增值物品出入库录入!BC168*$E166</f>
        <v>0</v>
      </c>
      <c r="BD166" s="133">
        <f>前台增值物品出入库录入!BD168*$E166</f>
        <v>0</v>
      </c>
      <c r="BE166" s="133">
        <f>前台增值物品出入库录入!BE168*$E166</f>
        <v>0</v>
      </c>
      <c r="BF166" s="133">
        <f>前台增值物品出入库录入!BF168*$E166</f>
        <v>0</v>
      </c>
      <c r="BG166" s="133">
        <f>前台增值物品出入库录入!BG168*$E166</f>
        <v>0</v>
      </c>
      <c r="BH166" s="133">
        <f>前台增值物品出入库录入!BH168*$E166</f>
        <v>0</v>
      </c>
      <c r="BI166" s="133">
        <f>前台增值物品出入库录入!BI168*$E166</f>
        <v>0</v>
      </c>
      <c r="BJ166" s="133">
        <f>前台增值物品出入库录入!BJ168*$E166</f>
        <v>0</v>
      </c>
      <c r="BK166" s="133">
        <f>前台增值物品出入库录入!BK168*$E166</f>
        <v>0</v>
      </c>
      <c r="BL166" s="133">
        <f>前台增值物品出入库录入!BL168*$E166</f>
        <v>0</v>
      </c>
      <c r="BM166" s="133">
        <f>前台增值物品出入库录入!BM168*$E166</f>
        <v>0</v>
      </c>
      <c r="BN166" s="133">
        <f>前台增值物品出入库录入!BN168*$E166</f>
        <v>0</v>
      </c>
      <c r="BO166" s="133">
        <f>前台增值物品出入库录入!BO168*$E166</f>
        <v>0</v>
      </c>
      <c r="BP166" s="133">
        <f>前台增值物品出入库录入!BP168*$E166</f>
        <v>0</v>
      </c>
      <c r="BQ166" s="133">
        <f>前台增值物品出入库录入!BQ168*$E166</f>
        <v>0</v>
      </c>
      <c r="BR166" s="133">
        <f>前台增值物品出入库录入!BR168*$E166</f>
        <v>0</v>
      </c>
      <c r="BS166" s="133">
        <f>前台增值物品出入库录入!BS168*$E166</f>
        <v>0</v>
      </c>
      <c r="BT166" s="133">
        <f>前台增值物品出入库录入!BT168*$E166</f>
        <v>0</v>
      </c>
      <c r="BU166" s="133">
        <f>前台增值物品出入库录入!BU168*$E166</f>
        <v>0</v>
      </c>
      <c r="BV166" s="133">
        <f>前台增值物品出入库录入!BV168*$E166</f>
        <v>0</v>
      </c>
      <c r="BW166" s="133">
        <f>前台增值物品出入库录入!BW168*$E166</f>
        <v>0</v>
      </c>
    </row>
    <row r="167" ht="16.5" spans="1:75">
      <c r="A167" s="161">
        <v>172</v>
      </c>
      <c r="B167" s="162" t="str">
        <f>前台增值物品出入库录入!B169</f>
        <v>茶壶底座</v>
      </c>
      <c r="C167" s="162">
        <f>前台增值物品出入库录入!C169</f>
        <v>0</v>
      </c>
      <c r="D167" s="162" t="str">
        <f>前台增值物品出入库录入!D169</f>
        <v>个</v>
      </c>
      <c r="E167" s="162">
        <f>前台增值物品出入库录入!E169</f>
        <v>35.1</v>
      </c>
      <c r="F167" s="162">
        <f>前台增值物品出入库录入!F169</f>
        <v>0</v>
      </c>
      <c r="G167" s="162">
        <f>前台增值物品出入库录入!G169</f>
        <v>0</v>
      </c>
      <c r="H167" s="162">
        <f>前台增值物品出入库录入!H169</f>
        <v>0</v>
      </c>
      <c r="I167" s="162">
        <f>前台增值物品出入库录入!I169</f>
        <v>0</v>
      </c>
      <c r="J167" s="162">
        <f>前台增值物品出入库录入!J169</f>
        <v>0</v>
      </c>
      <c r="K167" s="162">
        <f>前台增值物品出入库录入!K169</f>
        <v>0</v>
      </c>
      <c r="L167" s="162">
        <f>前台增值物品出入库录入!L169</f>
        <v>0</v>
      </c>
      <c r="M167" s="162">
        <f>前台增值物品出入库录入!M169</f>
        <v>0</v>
      </c>
      <c r="N167" s="133">
        <f>前台增值物品出入库录入!N169*$E167</f>
        <v>0</v>
      </c>
      <c r="O167" s="133">
        <f>前台增值物品出入库录入!O169*$E167</f>
        <v>0</v>
      </c>
      <c r="P167" s="133">
        <f>前台增值物品出入库录入!P169*$E167</f>
        <v>0</v>
      </c>
      <c r="Q167" s="133">
        <f>前台增值物品出入库录入!Q169*$E167</f>
        <v>0</v>
      </c>
      <c r="R167" s="133">
        <f>前台增值物品出入库录入!R169*$E167</f>
        <v>0</v>
      </c>
      <c r="S167" s="133">
        <f>前台增值物品出入库录入!S169*$E167</f>
        <v>0</v>
      </c>
      <c r="T167" s="133">
        <f>前台增值物品出入库录入!T169*$E167</f>
        <v>0</v>
      </c>
      <c r="U167" s="133">
        <f>前台增值物品出入库录入!U169*$E167</f>
        <v>0</v>
      </c>
      <c r="V167" s="133">
        <f>前台增值物品出入库录入!V169*$E167</f>
        <v>0</v>
      </c>
      <c r="W167" s="133">
        <f>前台增值物品出入库录入!W169*$E167</f>
        <v>0</v>
      </c>
      <c r="X167" s="133">
        <f>前台增值物品出入库录入!X169*$E167</f>
        <v>0</v>
      </c>
      <c r="Y167" s="133">
        <f>前台增值物品出入库录入!Y169*$E167</f>
        <v>0</v>
      </c>
      <c r="Z167" s="133">
        <f>前台增值物品出入库录入!Z169*$E167</f>
        <v>0</v>
      </c>
      <c r="AA167" s="133">
        <f>前台增值物品出入库录入!AA169*$E167</f>
        <v>0</v>
      </c>
      <c r="AB167" s="133">
        <f>前台增值物品出入库录入!AB169*$E167</f>
        <v>0</v>
      </c>
      <c r="AC167" s="133">
        <f>前台增值物品出入库录入!AC169*$E167</f>
        <v>0</v>
      </c>
      <c r="AD167" s="133">
        <f>前台增值物品出入库录入!AD169*$E167</f>
        <v>0</v>
      </c>
      <c r="AE167" s="133">
        <f>前台增值物品出入库录入!AE169*$E167</f>
        <v>0</v>
      </c>
      <c r="AF167" s="133">
        <f>前台增值物品出入库录入!AF169*$E167</f>
        <v>0</v>
      </c>
      <c r="AG167" s="133">
        <f>前台增值物品出入库录入!AG169*$E167</f>
        <v>0</v>
      </c>
      <c r="AH167" s="133">
        <f>前台增值物品出入库录入!AH169*$E167</f>
        <v>0</v>
      </c>
      <c r="AI167" s="133">
        <f>前台增值物品出入库录入!AI169*$E167</f>
        <v>0</v>
      </c>
      <c r="AJ167" s="133">
        <f>前台增值物品出入库录入!AJ169*$E167</f>
        <v>0</v>
      </c>
      <c r="AK167" s="133">
        <f>前台增值物品出入库录入!AK169*$E167</f>
        <v>0</v>
      </c>
      <c r="AL167" s="133">
        <f>前台增值物品出入库录入!AL169*$E167</f>
        <v>0</v>
      </c>
      <c r="AM167" s="133">
        <f>前台增值物品出入库录入!AM169*$E167</f>
        <v>0</v>
      </c>
      <c r="AN167" s="133">
        <f>前台增值物品出入库录入!AN169*$E167</f>
        <v>0</v>
      </c>
      <c r="AO167" s="133">
        <f>前台增值物品出入库录入!AO169*$E167</f>
        <v>0</v>
      </c>
      <c r="AP167" s="133">
        <f>前台增值物品出入库录入!AP169*$E167</f>
        <v>0</v>
      </c>
      <c r="AQ167" s="133">
        <f>前台增值物品出入库录入!AQ169*$E167</f>
        <v>0</v>
      </c>
      <c r="AR167" s="133">
        <f>前台增值物品出入库录入!AR169*$E167</f>
        <v>0</v>
      </c>
      <c r="AS167" s="133">
        <f>前台增值物品出入库录入!AS169*$E167</f>
        <v>0</v>
      </c>
      <c r="AT167" s="133">
        <f>前台增值物品出入库录入!AT169*$E167</f>
        <v>0</v>
      </c>
      <c r="AU167" s="133">
        <f>前台增值物品出入库录入!AU169*$E167</f>
        <v>0</v>
      </c>
      <c r="AV167" s="133">
        <f>前台增值物品出入库录入!AV169*$E167</f>
        <v>0</v>
      </c>
      <c r="AW167" s="133">
        <f>前台增值物品出入库录入!AW169*$E167</f>
        <v>0</v>
      </c>
      <c r="AX167" s="133">
        <f>前台增值物品出入库录入!AX169*$E167</f>
        <v>0</v>
      </c>
      <c r="AY167" s="133">
        <f>前台增值物品出入库录入!AY169*$E167</f>
        <v>0</v>
      </c>
      <c r="AZ167" s="133">
        <f>前台增值物品出入库录入!AZ169*$E167</f>
        <v>0</v>
      </c>
      <c r="BA167" s="133">
        <f>前台增值物品出入库录入!BA169*$E167</f>
        <v>0</v>
      </c>
      <c r="BB167" s="133">
        <f>前台增值物品出入库录入!BB169*$E167</f>
        <v>0</v>
      </c>
      <c r="BC167" s="133">
        <f>前台增值物品出入库录入!BC169*$E167</f>
        <v>0</v>
      </c>
      <c r="BD167" s="133">
        <f>前台增值物品出入库录入!BD169*$E167</f>
        <v>0</v>
      </c>
      <c r="BE167" s="133">
        <f>前台增值物品出入库录入!BE169*$E167</f>
        <v>0</v>
      </c>
      <c r="BF167" s="133">
        <f>前台增值物品出入库录入!BF169*$E167</f>
        <v>0</v>
      </c>
      <c r="BG167" s="133">
        <f>前台增值物品出入库录入!BG169*$E167</f>
        <v>0</v>
      </c>
      <c r="BH167" s="133">
        <f>前台增值物品出入库录入!BH169*$E167</f>
        <v>0</v>
      </c>
      <c r="BI167" s="133">
        <f>前台增值物品出入库录入!BI169*$E167</f>
        <v>0</v>
      </c>
      <c r="BJ167" s="133">
        <f>前台增值物品出入库录入!BJ169*$E167</f>
        <v>0</v>
      </c>
      <c r="BK167" s="133">
        <f>前台增值物品出入库录入!BK169*$E167</f>
        <v>0</v>
      </c>
      <c r="BL167" s="133">
        <f>前台增值物品出入库录入!BL169*$E167</f>
        <v>0</v>
      </c>
      <c r="BM167" s="133">
        <f>前台增值物品出入库录入!BM169*$E167</f>
        <v>0</v>
      </c>
      <c r="BN167" s="133">
        <f>前台增值物品出入库录入!BN169*$E167</f>
        <v>0</v>
      </c>
      <c r="BO167" s="133">
        <f>前台增值物品出入库录入!BO169*$E167</f>
        <v>0</v>
      </c>
      <c r="BP167" s="133">
        <f>前台增值物品出入库录入!BP169*$E167</f>
        <v>0</v>
      </c>
      <c r="BQ167" s="133">
        <f>前台增值物品出入库录入!BQ169*$E167</f>
        <v>0</v>
      </c>
      <c r="BR167" s="133">
        <f>前台增值物品出入库录入!BR169*$E167</f>
        <v>0</v>
      </c>
      <c r="BS167" s="133">
        <f>前台增值物品出入库录入!BS169*$E167</f>
        <v>0</v>
      </c>
      <c r="BT167" s="133">
        <f>前台增值物品出入库录入!BT169*$E167</f>
        <v>0</v>
      </c>
      <c r="BU167" s="133">
        <f>前台增值物品出入库录入!BU169*$E167</f>
        <v>0</v>
      </c>
      <c r="BV167" s="133">
        <f>前台增值物品出入库录入!BV169*$E167</f>
        <v>0</v>
      </c>
      <c r="BW167" s="133">
        <f>前台增值物品出入库录入!BW169*$E167</f>
        <v>0</v>
      </c>
    </row>
    <row r="168" ht="16.5" spans="1:75">
      <c r="A168" s="161"/>
      <c r="B168" s="162"/>
      <c r="C168" s="162"/>
      <c r="D168" s="162"/>
      <c r="E168" s="162"/>
      <c r="F168" s="162"/>
      <c r="G168" s="162"/>
      <c r="H168" s="162"/>
      <c r="I168" s="162"/>
      <c r="J168" s="162"/>
      <c r="K168" s="162"/>
      <c r="L168" s="162"/>
      <c r="M168" s="162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  <c r="AA168" s="133"/>
      <c r="AB168" s="133"/>
      <c r="AC168" s="133"/>
      <c r="AD168" s="133"/>
      <c r="AE168" s="133"/>
      <c r="AF168" s="133"/>
      <c r="AG168" s="133"/>
      <c r="AH168" s="133"/>
      <c r="AI168" s="133"/>
      <c r="AJ168" s="133"/>
      <c r="AK168" s="133"/>
      <c r="AL168" s="133"/>
      <c r="AM168" s="133"/>
      <c r="AN168" s="133"/>
      <c r="AO168" s="133"/>
      <c r="AP168" s="133"/>
      <c r="AQ168" s="133"/>
      <c r="AR168" s="133"/>
      <c r="AS168" s="133"/>
      <c r="AT168" s="133"/>
      <c r="AU168" s="133"/>
      <c r="AV168" s="133"/>
      <c r="AW168" s="133"/>
      <c r="AX168" s="133"/>
      <c r="AY168" s="133"/>
      <c r="AZ168" s="133"/>
      <c r="BA168" s="133"/>
      <c r="BB168" s="133"/>
      <c r="BC168" s="133"/>
      <c r="BD168" s="133"/>
      <c r="BE168" s="133"/>
      <c r="BF168" s="133"/>
      <c r="BG168" s="133"/>
      <c r="BH168" s="133"/>
      <c r="BI168" s="133"/>
      <c r="BJ168" s="133"/>
      <c r="BK168" s="133"/>
      <c r="BL168" s="133"/>
      <c r="BM168" s="133"/>
      <c r="BN168" s="133"/>
      <c r="BO168" s="133"/>
      <c r="BP168" s="133"/>
      <c r="BQ168" s="133"/>
      <c r="BR168" s="133"/>
      <c r="BS168" s="133"/>
      <c r="BT168" s="133"/>
      <c r="BU168" s="133"/>
      <c r="BV168" s="133"/>
      <c r="BW168" s="133"/>
    </row>
    <row r="169" ht="16.5" spans="1:75">
      <c r="A169" s="161"/>
      <c r="B169" s="162"/>
      <c r="C169" s="162"/>
      <c r="D169" s="162"/>
      <c r="E169" s="162"/>
      <c r="F169" s="162"/>
      <c r="G169" s="162"/>
      <c r="H169" s="162"/>
      <c r="I169" s="162"/>
      <c r="J169" s="162"/>
      <c r="K169" s="162"/>
      <c r="L169" s="162"/>
      <c r="M169" s="162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  <c r="AA169" s="133"/>
      <c r="AB169" s="133"/>
      <c r="AC169" s="133"/>
      <c r="AD169" s="133"/>
      <c r="AE169" s="133"/>
      <c r="AF169" s="133"/>
      <c r="AG169" s="133"/>
      <c r="AH169" s="133"/>
      <c r="AI169" s="133"/>
      <c r="AJ169" s="133"/>
      <c r="AK169" s="133"/>
      <c r="AL169" s="133"/>
      <c r="AM169" s="133"/>
      <c r="AN169" s="133"/>
      <c r="AO169" s="133"/>
      <c r="AP169" s="133"/>
      <c r="AQ169" s="133"/>
      <c r="AR169" s="133"/>
      <c r="AS169" s="133"/>
      <c r="AT169" s="133"/>
      <c r="AU169" s="133"/>
      <c r="AV169" s="133"/>
      <c r="AW169" s="133"/>
      <c r="AX169" s="133"/>
      <c r="AY169" s="133"/>
      <c r="AZ169" s="133"/>
      <c r="BA169" s="133"/>
      <c r="BB169" s="133"/>
      <c r="BC169" s="133"/>
      <c r="BD169" s="133"/>
      <c r="BE169" s="133"/>
      <c r="BF169" s="133"/>
      <c r="BG169" s="133"/>
      <c r="BH169" s="133"/>
      <c r="BI169" s="133"/>
      <c r="BJ169" s="133"/>
      <c r="BK169" s="133"/>
      <c r="BL169" s="133"/>
      <c r="BM169" s="133"/>
      <c r="BN169" s="133"/>
      <c r="BO169" s="133"/>
      <c r="BP169" s="133"/>
      <c r="BQ169" s="133"/>
      <c r="BR169" s="133"/>
      <c r="BS169" s="133"/>
      <c r="BT169" s="133"/>
      <c r="BU169" s="133"/>
      <c r="BV169" s="133"/>
      <c r="BW169" s="133"/>
    </row>
    <row r="170" ht="16.5" spans="1:75">
      <c r="A170" s="161"/>
      <c r="B170" s="162"/>
      <c r="C170" s="162"/>
      <c r="D170" s="162"/>
      <c r="E170" s="162"/>
      <c r="F170" s="162"/>
      <c r="G170" s="162"/>
      <c r="H170" s="162"/>
      <c r="I170" s="162"/>
      <c r="J170" s="162"/>
      <c r="K170" s="162"/>
      <c r="L170" s="162"/>
      <c r="M170" s="162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  <c r="AA170" s="133"/>
      <c r="AB170" s="133"/>
      <c r="AC170" s="133"/>
      <c r="AD170" s="133"/>
      <c r="AE170" s="133"/>
      <c r="AF170" s="133"/>
      <c r="AG170" s="133"/>
      <c r="AH170" s="133"/>
      <c r="AI170" s="133"/>
      <c r="AJ170" s="133"/>
      <c r="AK170" s="133"/>
      <c r="AL170" s="133"/>
      <c r="AM170" s="133"/>
      <c r="AN170" s="133"/>
      <c r="AO170" s="133"/>
      <c r="AP170" s="133"/>
      <c r="AQ170" s="133"/>
      <c r="AR170" s="133"/>
      <c r="AS170" s="133"/>
      <c r="AT170" s="133"/>
      <c r="AU170" s="133"/>
      <c r="AV170" s="133"/>
      <c r="AW170" s="133"/>
      <c r="AX170" s="133"/>
      <c r="AY170" s="133"/>
      <c r="AZ170" s="133"/>
      <c r="BA170" s="133"/>
      <c r="BB170" s="133"/>
      <c r="BC170" s="133"/>
      <c r="BD170" s="133"/>
      <c r="BE170" s="133"/>
      <c r="BF170" s="133"/>
      <c r="BG170" s="133"/>
      <c r="BH170" s="133"/>
      <c r="BI170" s="133"/>
      <c r="BJ170" s="133"/>
      <c r="BK170" s="133"/>
      <c r="BL170" s="133"/>
      <c r="BM170" s="133"/>
      <c r="BN170" s="133"/>
      <c r="BO170" s="133"/>
      <c r="BP170" s="133"/>
      <c r="BQ170" s="133"/>
      <c r="BR170" s="133"/>
      <c r="BS170" s="133"/>
      <c r="BT170" s="133"/>
      <c r="BU170" s="133"/>
      <c r="BV170" s="133"/>
      <c r="BW170" s="133"/>
    </row>
    <row r="171" ht="16.5" spans="1:75">
      <c r="A171" s="161"/>
      <c r="B171" s="162"/>
      <c r="C171" s="162"/>
      <c r="D171" s="162"/>
      <c r="E171" s="162"/>
      <c r="F171" s="162"/>
      <c r="G171" s="162"/>
      <c r="H171" s="162"/>
      <c r="I171" s="162"/>
      <c r="J171" s="162"/>
      <c r="K171" s="162"/>
      <c r="L171" s="162"/>
      <c r="M171" s="162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  <c r="AA171" s="133"/>
      <c r="AB171" s="133"/>
      <c r="AC171" s="133"/>
      <c r="AD171" s="133"/>
      <c r="AE171" s="133"/>
      <c r="AF171" s="133"/>
      <c r="AG171" s="133"/>
      <c r="AH171" s="133"/>
      <c r="AI171" s="133"/>
      <c r="AJ171" s="133"/>
      <c r="AK171" s="133"/>
      <c r="AL171" s="133"/>
      <c r="AM171" s="133"/>
      <c r="AN171" s="133"/>
      <c r="AO171" s="133"/>
      <c r="AP171" s="133"/>
      <c r="AQ171" s="133"/>
      <c r="AR171" s="133"/>
      <c r="AS171" s="133"/>
      <c r="AT171" s="133"/>
      <c r="AU171" s="133"/>
      <c r="AV171" s="133"/>
      <c r="AW171" s="133"/>
      <c r="AX171" s="133"/>
      <c r="AY171" s="133"/>
      <c r="AZ171" s="133"/>
      <c r="BA171" s="133"/>
      <c r="BB171" s="133"/>
      <c r="BC171" s="133"/>
      <c r="BD171" s="133"/>
      <c r="BE171" s="133"/>
      <c r="BF171" s="133"/>
      <c r="BG171" s="133"/>
      <c r="BH171" s="133"/>
      <c r="BI171" s="133"/>
      <c r="BJ171" s="133"/>
      <c r="BK171" s="133"/>
      <c r="BL171" s="133"/>
      <c r="BM171" s="133"/>
      <c r="BN171" s="133"/>
      <c r="BO171" s="133"/>
      <c r="BP171" s="133"/>
      <c r="BQ171" s="133"/>
      <c r="BR171" s="133"/>
      <c r="BS171" s="133"/>
      <c r="BT171" s="133"/>
      <c r="BU171" s="133"/>
      <c r="BV171" s="133"/>
      <c r="BW171" s="133"/>
    </row>
    <row r="172" ht="16.5" spans="1:75">
      <c r="A172" s="161"/>
      <c r="B172" s="162"/>
      <c r="C172" s="162"/>
      <c r="D172" s="162"/>
      <c r="E172" s="162"/>
      <c r="F172" s="162"/>
      <c r="G172" s="162"/>
      <c r="H172" s="162"/>
      <c r="I172" s="162"/>
      <c r="J172" s="162"/>
      <c r="K172" s="162"/>
      <c r="L172" s="162"/>
      <c r="M172" s="162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  <c r="AA172" s="133"/>
      <c r="AB172" s="133"/>
      <c r="AC172" s="133"/>
      <c r="AD172" s="133"/>
      <c r="AE172" s="133"/>
      <c r="AF172" s="133"/>
      <c r="AG172" s="133"/>
      <c r="AH172" s="133"/>
      <c r="AI172" s="133"/>
      <c r="AJ172" s="133"/>
      <c r="AK172" s="133"/>
      <c r="AL172" s="133"/>
      <c r="AM172" s="133"/>
      <c r="AN172" s="133"/>
      <c r="AO172" s="133"/>
      <c r="AP172" s="133"/>
      <c r="AQ172" s="133"/>
      <c r="AR172" s="133"/>
      <c r="AS172" s="133"/>
      <c r="AT172" s="133"/>
      <c r="AU172" s="133"/>
      <c r="AV172" s="133"/>
      <c r="AW172" s="133"/>
      <c r="AX172" s="133"/>
      <c r="AY172" s="133"/>
      <c r="AZ172" s="133"/>
      <c r="BA172" s="133"/>
      <c r="BB172" s="133"/>
      <c r="BC172" s="133"/>
      <c r="BD172" s="133"/>
      <c r="BE172" s="133"/>
      <c r="BF172" s="133"/>
      <c r="BG172" s="133"/>
      <c r="BH172" s="133"/>
      <c r="BI172" s="133"/>
      <c r="BJ172" s="133"/>
      <c r="BK172" s="133"/>
      <c r="BL172" s="133"/>
      <c r="BM172" s="133"/>
      <c r="BN172" s="133"/>
      <c r="BO172" s="133"/>
      <c r="BP172" s="133"/>
      <c r="BQ172" s="133"/>
      <c r="BR172" s="133"/>
      <c r="BS172" s="133"/>
      <c r="BT172" s="133"/>
      <c r="BU172" s="133"/>
      <c r="BV172" s="133"/>
      <c r="BW172" s="133"/>
    </row>
    <row r="173" ht="16.5" spans="1:75">
      <c r="A173" s="161"/>
      <c r="B173" s="162"/>
      <c r="C173" s="162"/>
      <c r="D173" s="162"/>
      <c r="E173" s="162"/>
      <c r="F173" s="162"/>
      <c r="G173" s="162"/>
      <c r="H173" s="162"/>
      <c r="I173" s="162"/>
      <c r="J173" s="162"/>
      <c r="K173" s="162"/>
      <c r="L173" s="162"/>
      <c r="M173" s="162"/>
      <c r="N173" s="133"/>
      <c r="O173" s="133"/>
      <c r="P173" s="133">
        <f>前台增值物品出入库录入!P195*$E173</f>
        <v>0</v>
      </c>
      <c r="Q173" s="133">
        <f>前台增值物品出入库录入!Q195*$E173</f>
        <v>0</v>
      </c>
      <c r="R173" s="133">
        <f>前台增值物品出入库录入!R195*$E173</f>
        <v>0</v>
      </c>
      <c r="S173" s="133">
        <f>前台增值物品出入库录入!S195*$E173</f>
        <v>0</v>
      </c>
      <c r="T173" s="133">
        <f>前台增值物品出入库录入!T195*$E173</f>
        <v>0</v>
      </c>
      <c r="U173" s="133">
        <f>前台增值物品出入库录入!U195*$E173</f>
        <v>0</v>
      </c>
      <c r="V173" s="133">
        <f>前台增值物品出入库录入!V195*$E173</f>
        <v>0</v>
      </c>
      <c r="W173" s="133">
        <f>前台增值物品出入库录入!W195*$E173</f>
        <v>0</v>
      </c>
      <c r="X173" s="133">
        <f>前台增值物品出入库录入!X195*$E173</f>
        <v>0</v>
      </c>
      <c r="Y173" s="133">
        <f>前台增值物品出入库录入!Y195*$E173</f>
        <v>0</v>
      </c>
      <c r="Z173" s="133">
        <f>前台增值物品出入库录入!Z195*$E173</f>
        <v>0</v>
      </c>
      <c r="AA173" s="133">
        <f>前台增值物品出入库录入!AA195*$E173</f>
        <v>0</v>
      </c>
      <c r="AB173" s="133">
        <f>前台增值物品出入库录入!AB195*$E173</f>
        <v>0</v>
      </c>
      <c r="AC173" s="133">
        <f>前台增值物品出入库录入!AC195*$E173</f>
        <v>0</v>
      </c>
      <c r="AD173" s="133">
        <f>前台增值物品出入库录入!AD195*$E173</f>
        <v>0</v>
      </c>
      <c r="AE173" s="133">
        <f>前台增值物品出入库录入!AE195*$E173</f>
        <v>0</v>
      </c>
      <c r="AF173" s="133">
        <f>前台增值物品出入库录入!AF195*$E173</f>
        <v>0</v>
      </c>
      <c r="AG173" s="133">
        <f>前台增值物品出入库录入!AG195*$E173</f>
        <v>0</v>
      </c>
      <c r="AH173" s="133">
        <f>前台增值物品出入库录入!AH195*$E173</f>
        <v>0</v>
      </c>
      <c r="AI173" s="133">
        <f>前台增值物品出入库录入!AI195*$E173</f>
        <v>0</v>
      </c>
      <c r="AJ173" s="133">
        <f>前台增值物品出入库录入!AJ195*$E173</f>
        <v>0</v>
      </c>
      <c r="AK173" s="133">
        <f>前台增值物品出入库录入!AK195*$E173</f>
        <v>0</v>
      </c>
      <c r="AL173" s="133">
        <f>前台增值物品出入库录入!AL195*$E173</f>
        <v>0</v>
      </c>
      <c r="AM173" s="133">
        <f>前台增值物品出入库录入!AM195*$E173</f>
        <v>0</v>
      </c>
      <c r="AN173" s="133">
        <f>前台增值物品出入库录入!AN195*$E173</f>
        <v>0</v>
      </c>
      <c r="AO173" s="133">
        <f>前台增值物品出入库录入!AO195*$E173</f>
        <v>0</v>
      </c>
      <c r="AP173" s="133">
        <f>前台增值物品出入库录入!AP195*$E173</f>
        <v>0</v>
      </c>
      <c r="AQ173" s="133">
        <f>前台增值物品出入库录入!AQ195*$E173</f>
        <v>0</v>
      </c>
      <c r="AR173" s="133">
        <f>前台增值物品出入库录入!AR195*$E173</f>
        <v>0</v>
      </c>
      <c r="AS173" s="133">
        <f>前台增值物品出入库录入!AS195*$E173</f>
        <v>0</v>
      </c>
      <c r="AT173" s="133">
        <f>前台增值物品出入库录入!AT195*$E173</f>
        <v>0</v>
      </c>
      <c r="AU173" s="133">
        <f>前台增值物品出入库录入!AU195*$E173</f>
        <v>0</v>
      </c>
      <c r="AV173" s="133">
        <f>前台增值物品出入库录入!AV195*$E173</f>
        <v>0</v>
      </c>
      <c r="AW173" s="133">
        <f>前台增值物品出入库录入!AW195*$E173</f>
        <v>0</v>
      </c>
      <c r="AX173" s="133">
        <f>前台增值物品出入库录入!AX195*$E173</f>
        <v>0</v>
      </c>
      <c r="AY173" s="133">
        <f>前台增值物品出入库录入!AY195*$E173</f>
        <v>0</v>
      </c>
      <c r="AZ173" s="133">
        <f>前台增值物品出入库录入!AZ195*$E173</f>
        <v>0</v>
      </c>
      <c r="BA173" s="133">
        <f>前台增值物品出入库录入!BA195*$E173</f>
        <v>0</v>
      </c>
      <c r="BB173" s="133">
        <f>前台增值物品出入库录入!BB195*$E173</f>
        <v>0</v>
      </c>
      <c r="BC173" s="133">
        <f>前台增值物品出入库录入!BC195*$E173</f>
        <v>0</v>
      </c>
      <c r="BD173" s="133">
        <f>前台增值物品出入库录入!BD195*$E173</f>
        <v>0</v>
      </c>
      <c r="BE173" s="133">
        <f>前台增值物品出入库录入!BE195*$E173</f>
        <v>0</v>
      </c>
      <c r="BF173" s="133">
        <f>前台增值物品出入库录入!BF195*$E173</f>
        <v>0</v>
      </c>
      <c r="BG173" s="133">
        <f>前台增值物品出入库录入!BG195*$E173</f>
        <v>0</v>
      </c>
      <c r="BH173" s="133">
        <f>前台增值物品出入库录入!BH195*$E173</f>
        <v>0</v>
      </c>
      <c r="BI173" s="133">
        <f>前台增值物品出入库录入!BI195*$E173</f>
        <v>0</v>
      </c>
      <c r="BJ173" s="133">
        <f>前台增值物品出入库录入!BJ195*$E173</f>
        <v>0</v>
      </c>
      <c r="BK173" s="133">
        <f>前台增值物品出入库录入!BK195*$E173</f>
        <v>0</v>
      </c>
      <c r="BL173" s="133">
        <f>前台增值物品出入库录入!BL195*$E173</f>
        <v>0</v>
      </c>
      <c r="BM173" s="133">
        <f>前台增值物品出入库录入!BM195*$E173</f>
        <v>0</v>
      </c>
      <c r="BN173" s="133">
        <f>前台增值物品出入库录入!BN195*$E173</f>
        <v>0</v>
      </c>
      <c r="BO173" s="133">
        <f>前台增值物品出入库录入!BO195*$E173</f>
        <v>0</v>
      </c>
      <c r="BP173" s="133">
        <f>前台增值物品出入库录入!BP195*$E173</f>
        <v>0</v>
      </c>
      <c r="BQ173" s="133">
        <f>前台增值物品出入库录入!BQ195*$E173</f>
        <v>0</v>
      </c>
      <c r="BR173" s="133">
        <f>前台增值物品出入库录入!BR195*$E173</f>
        <v>0</v>
      </c>
      <c r="BS173" s="133">
        <f>前台增值物品出入库录入!BS195*$E173</f>
        <v>0</v>
      </c>
      <c r="BT173" s="133">
        <f>前台增值物品出入库录入!BT195*$E173</f>
        <v>0</v>
      </c>
      <c r="BU173" s="133">
        <f>前台增值物品出入库录入!BU195*$E173</f>
        <v>0</v>
      </c>
      <c r="BV173" s="133">
        <f>前台增值物品出入库录入!BV195*$E173</f>
        <v>0</v>
      </c>
      <c r="BW173" s="133">
        <f>前台增值物品出入库录入!BW195*$E173</f>
        <v>0</v>
      </c>
    </row>
    <row r="174" ht="16.5" spans="1:75">
      <c r="A174" s="162"/>
      <c r="B174" s="162" t="s">
        <v>297</v>
      </c>
      <c r="C174" s="162"/>
      <c r="D174" s="162"/>
      <c r="E174" s="162"/>
      <c r="F174" s="162">
        <f t="shared" ref="F174:M174" si="0">SUM(F5:F173)</f>
        <v>23591</v>
      </c>
      <c r="G174" s="162">
        <f t="shared" si="0"/>
        <v>5085.045608764</v>
      </c>
      <c r="H174" s="162">
        <f t="shared" si="0"/>
        <v>3291</v>
      </c>
      <c r="I174" s="162">
        <f t="shared" si="0"/>
        <v>1534.92</v>
      </c>
      <c r="J174" s="162">
        <f t="shared" si="0"/>
        <v>9037</v>
      </c>
      <c r="K174" s="162">
        <f t="shared" si="0"/>
        <v>2401.307359033</v>
      </c>
      <c r="L174" s="162">
        <f t="shared" si="0"/>
        <v>17845</v>
      </c>
      <c r="M174" s="162">
        <f t="shared" si="0"/>
        <v>4218.658249731</v>
      </c>
      <c r="N174" s="162">
        <f t="shared" ref="N174:BW174" si="1">SUM(N4:N173)</f>
        <v>0</v>
      </c>
      <c r="O174" s="162">
        <f t="shared" si="1"/>
        <v>132.6494</v>
      </c>
      <c r="P174" s="162">
        <f t="shared" si="1"/>
        <v>33.86</v>
      </c>
      <c r="Q174" s="162">
        <f t="shared" si="1"/>
        <v>95.557229167</v>
      </c>
      <c r="R174" s="162">
        <f t="shared" si="1"/>
        <v>107.35</v>
      </c>
      <c r="S174" s="162">
        <f t="shared" si="1"/>
        <v>179.78575625</v>
      </c>
      <c r="T174" s="162">
        <f t="shared" si="1"/>
        <v>0</v>
      </c>
      <c r="U174" s="162">
        <f t="shared" si="1"/>
        <v>36.4417</v>
      </c>
      <c r="V174" s="162">
        <f t="shared" si="1"/>
        <v>227.44</v>
      </c>
      <c r="W174" s="162">
        <f t="shared" si="1"/>
        <v>92.5288625</v>
      </c>
      <c r="X174" s="162">
        <f t="shared" si="1"/>
        <v>9.75</v>
      </c>
      <c r="Y174" s="162">
        <f t="shared" si="1"/>
        <v>132.7999</v>
      </c>
      <c r="Z174" s="162">
        <f t="shared" si="1"/>
        <v>49.6</v>
      </c>
      <c r="AA174" s="162">
        <f t="shared" si="1"/>
        <v>227.88238125</v>
      </c>
      <c r="AB174" s="162">
        <f t="shared" si="1"/>
        <v>0</v>
      </c>
      <c r="AC174" s="162">
        <f t="shared" si="1"/>
        <v>22.2541</v>
      </c>
      <c r="AD174" s="162">
        <f t="shared" si="1"/>
        <v>935.32</v>
      </c>
      <c r="AE174" s="162">
        <f t="shared" si="1"/>
        <v>150.8872</v>
      </c>
      <c r="AF174" s="162">
        <f t="shared" si="1"/>
        <v>0</v>
      </c>
      <c r="AG174" s="162">
        <f t="shared" si="1"/>
        <v>7.8892</v>
      </c>
      <c r="AH174" s="162">
        <f t="shared" si="1"/>
        <v>171.6</v>
      </c>
      <c r="AI174" s="162">
        <f t="shared" si="1"/>
        <v>15.9982</v>
      </c>
      <c r="AJ174" s="162">
        <f t="shared" si="1"/>
        <v>0</v>
      </c>
      <c r="AK174" s="162">
        <f t="shared" si="1"/>
        <v>21.418675</v>
      </c>
      <c r="AL174" s="162">
        <f t="shared" si="1"/>
        <v>0</v>
      </c>
      <c r="AM174" s="162">
        <f t="shared" si="1"/>
        <v>10.95269375</v>
      </c>
      <c r="AN174" s="162">
        <f t="shared" si="1"/>
        <v>0</v>
      </c>
      <c r="AO174" s="162">
        <f t="shared" si="1"/>
        <v>86.32318125</v>
      </c>
      <c r="AP174" s="162">
        <f t="shared" si="1"/>
        <v>0</v>
      </c>
      <c r="AQ174" s="162">
        <f t="shared" si="1"/>
        <v>19.8758</v>
      </c>
      <c r="AR174" s="162">
        <f t="shared" si="1"/>
        <v>0</v>
      </c>
      <c r="AS174" s="162">
        <f t="shared" si="1"/>
        <v>15.174875</v>
      </c>
      <c r="AT174" s="162">
        <f t="shared" si="1"/>
        <v>0</v>
      </c>
      <c r="AU174" s="162">
        <f t="shared" si="1"/>
        <v>17.7291</v>
      </c>
      <c r="AV174" s="162">
        <f t="shared" si="1"/>
        <v>0</v>
      </c>
      <c r="AW174" s="162">
        <f t="shared" si="1"/>
        <v>10.90449375</v>
      </c>
      <c r="AX174" s="162">
        <f t="shared" si="1"/>
        <v>0</v>
      </c>
      <c r="AY174" s="162">
        <f t="shared" si="1"/>
        <v>375.20078125</v>
      </c>
      <c r="AZ174" s="162">
        <f t="shared" si="1"/>
        <v>0</v>
      </c>
      <c r="BA174" s="162">
        <f t="shared" si="1"/>
        <v>28.190066668</v>
      </c>
      <c r="BB174" s="162">
        <f t="shared" si="1"/>
        <v>0</v>
      </c>
      <c r="BC174" s="162">
        <f t="shared" si="1"/>
        <v>36.472447918</v>
      </c>
      <c r="BD174" s="162">
        <f t="shared" si="1"/>
        <v>0</v>
      </c>
      <c r="BE174" s="162">
        <f t="shared" si="1"/>
        <v>22.34245625</v>
      </c>
      <c r="BF174" s="162">
        <f t="shared" si="1"/>
        <v>0</v>
      </c>
      <c r="BG174" s="162">
        <f t="shared" si="1"/>
        <v>52.550625</v>
      </c>
      <c r="BH174" s="162">
        <f t="shared" si="1"/>
        <v>0</v>
      </c>
      <c r="BI174" s="162">
        <f t="shared" si="1"/>
        <v>139.253129862</v>
      </c>
      <c r="BJ174" s="162">
        <f t="shared" si="1"/>
        <v>0</v>
      </c>
      <c r="BK174" s="162">
        <f t="shared" si="1"/>
        <v>260.286643056</v>
      </c>
      <c r="BL174" s="162">
        <f t="shared" si="1"/>
        <v>0</v>
      </c>
      <c r="BM174" s="162">
        <f t="shared" si="1"/>
        <v>104.922498612</v>
      </c>
      <c r="BN174" s="162">
        <f t="shared" si="1"/>
        <v>0</v>
      </c>
      <c r="BO174" s="162">
        <f t="shared" si="1"/>
        <v>39.4544</v>
      </c>
      <c r="BP174" s="162">
        <f t="shared" si="1"/>
        <v>0</v>
      </c>
      <c r="BQ174" s="162">
        <f t="shared" si="1"/>
        <v>50.54849375</v>
      </c>
      <c r="BR174" s="162">
        <f t="shared" si="1"/>
        <v>0</v>
      </c>
      <c r="BS174" s="162">
        <f t="shared" si="1"/>
        <v>8.6409875</v>
      </c>
      <c r="BT174" s="162">
        <f t="shared" si="1"/>
        <v>0</v>
      </c>
      <c r="BU174" s="162">
        <f t="shared" si="1"/>
        <v>4.26328125</v>
      </c>
      <c r="BV174" s="162">
        <f t="shared" si="1"/>
        <v>0</v>
      </c>
      <c r="BW174" s="162">
        <f t="shared" si="1"/>
        <v>2.1288</v>
      </c>
    </row>
  </sheetData>
  <sheetProtection formatCells="0" formatColumns="0" formatRows="0" insertRows="0" insertColumns="0" insertHyperlinks="0" deleteColumns="0" deleteRows="0" sort="0" autoFilter="0" pivotTables="0"/>
  <mergeCells count="45">
    <mergeCell ref="B1:G1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前台小商品 (2)">
    <tabColor rgb="FFFF0000"/>
    <pageSetUpPr fitToPage="1"/>
  </sheetPr>
  <dimension ref="A1:BW145"/>
  <sheetViews>
    <sheetView showGridLines="0" workbookViewId="0">
      <selection activeCell="C9" sqref="C9"/>
    </sheetView>
  </sheetViews>
  <sheetFormatPr defaultColWidth="9" defaultRowHeight="25" customHeight="1"/>
  <cols>
    <col min="1" max="1" width="4.75" style="143"/>
    <col min="2" max="2" width="15" style="143"/>
    <col min="3" max="3" width="8.25833333333333" style="143"/>
    <col min="4" max="4" width="5.125" style="143"/>
    <col min="5" max="5" width="5.91666666666667" style="143"/>
    <col min="6" max="6" width="10.875" style="143"/>
    <col min="7" max="7" width="10.875" style="145"/>
    <col min="8" max="8" width="10.875" style="144"/>
    <col min="9" max="9" width="10.875" style="145"/>
    <col min="10" max="10" width="10.875" style="144"/>
    <col min="11" max="11" width="10.875" style="145"/>
    <col min="12" max="12" width="10.875" style="144"/>
    <col min="13" max="13" width="10.875" style="145"/>
    <col min="14" max="15" width="7.375" style="143"/>
  </cols>
  <sheetData>
    <row r="1" s="177" customFormat="1" ht="40" customHeight="1" spans="1:75">
      <c r="A1" s="148"/>
      <c r="B1" s="148" t="s">
        <v>304</v>
      </c>
      <c r="C1" s="148"/>
      <c r="D1" s="148"/>
      <c r="E1" s="148"/>
      <c r="F1" s="148"/>
      <c r="G1" s="148"/>
      <c r="H1" s="149"/>
      <c r="I1" s="150"/>
      <c r="J1" s="149"/>
      <c r="K1" s="150"/>
      <c r="L1" s="149"/>
      <c r="M1" s="150"/>
      <c r="N1" s="148"/>
      <c r="O1" s="14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</row>
    <row r="2" s="177" customFormat="1" ht="15" customHeight="1" spans="1:75">
      <c r="A2" s="148"/>
      <c r="B2" s="15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215" t="s">
        <v>125</v>
      </c>
      <c r="O2" s="215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</row>
    <row r="3" s="18" customFormat="1" customHeight="1" spans="1:75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64</v>
      </c>
      <c r="F3" s="20">
        <v>2</v>
      </c>
      <c r="G3" s="20" t="s">
        <v>129</v>
      </c>
      <c r="H3" s="20" t="s">
        <v>130</v>
      </c>
      <c r="I3" s="20" t="s">
        <v>131</v>
      </c>
      <c r="J3" s="20" t="s">
        <v>132</v>
      </c>
      <c r="K3" s="20" t="s">
        <v>65</v>
      </c>
      <c r="L3" s="20" t="s">
        <v>133</v>
      </c>
      <c r="M3" s="20" t="s">
        <v>129</v>
      </c>
      <c r="N3" s="20" t="s">
        <v>9</v>
      </c>
      <c r="O3" s="20"/>
      <c r="P3" s="20" t="s">
        <v>10</v>
      </c>
      <c r="Q3" s="20"/>
      <c r="R3" s="20" t="s">
        <v>11</v>
      </c>
      <c r="S3" s="20"/>
      <c r="T3" s="20" t="s">
        <v>12</v>
      </c>
      <c r="U3" s="20"/>
      <c r="V3" s="20" t="s">
        <v>13</v>
      </c>
      <c r="W3" s="20"/>
      <c r="X3" s="20" t="s">
        <v>14</v>
      </c>
      <c r="Y3" s="20"/>
      <c r="Z3" s="20" t="s">
        <v>15</v>
      </c>
      <c r="AA3" s="20"/>
      <c r="AB3" s="20" t="s">
        <v>16</v>
      </c>
      <c r="AC3" s="20"/>
      <c r="AD3" s="20" t="s">
        <v>17</v>
      </c>
      <c r="AE3" s="20"/>
      <c r="AF3" s="20" t="s">
        <v>18</v>
      </c>
      <c r="AG3" s="20"/>
      <c r="AH3" s="20" t="s">
        <v>19</v>
      </c>
      <c r="AI3" s="20"/>
      <c r="AJ3" s="20" t="s">
        <v>20</v>
      </c>
      <c r="AK3" s="20"/>
      <c r="AL3" s="20" t="s">
        <v>21</v>
      </c>
      <c r="AM3" s="20"/>
      <c r="AN3" s="20" t="s">
        <v>22</v>
      </c>
      <c r="AO3" s="20"/>
      <c r="AP3" s="20" t="s">
        <v>23</v>
      </c>
      <c r="AQ3" s="20"/>
      <c r="AR3" s="20" t="s">
        <v>24</v>
      </c>
      <c r="AS3" s="20"/>
      <c r="AT3" s="20" t="s">
        <v>25</v>
      </c>
      <c r="AU3" s="20"/>
      <c r="AV3" s="20" t="s">
        <v>26</v>
      </c>
      <c r="AW3" s="20"/>
      <c r="AX3" s="20" t="s">
        <v>27</v>
      </c>
      <c r="AY3" s="20"/>
      <c r="AZ3" s="20" t="s">
        <v>28</v>
      </c>
      <c r="BA3" s="20"/>
      <c r="BB3" s="20" t="s">
        <v>29</v>
      </c>
      <c r="BC3" s="20"/>
      <c r="BD3" s="20" t="s">
        <v>30</v>
      </c>
      <c r="BE3" s="20"/>
      <c r="BF3" s="20" t="s">
        <v>31</v>
      </c>
      <c r="BG3" s="20"/>
      <c r="BH3" s="20" t="s">
        <v>32</v>
      </c>
      <c r="BI3" s="20"/>
      <c r="BJ3" s="20" t="s">
        <v>33</v>
      </c>
      <c r="BK3" s="20"/>
      <c r="BL3" s="20" t="s">
        <v>34</v>
      </c>
      <c r="BM3" s="20"/>
      <c r="BN3" s="20" t="s">
        <v>35</v>
      </c>
      <c r="BO3" s="20"/>
      <c r="BP3" s="20" t="s">
        <v>36</v>
      </c>
      <c r="BQ3" s="20"/>
      <c r="BR3" s="20" t="s">
        <v>37</v>
      </c>
      <c r="BS3" s="20"/>
      <c r="BT3" s="20" t="s">
        <v>38</v>
      </c>
      <c r="BU3" s="20"/>
      <c r="BV3" s="20" t="s">
        <v>39</v>
      </c>
      <c r="BW3" s="20"/>
    </row>
    <row r="4" s="18" customFormat="1" customHeight="1" spans="1:75">
      <c r="A4" s="210"/>
      <c r="B4" s="210"/>
      <c r="C4" s="210"/>
      <c r="D4" s="210"/>
      <c r="E4" s="210"/>
      <c r="F4" s="20"/>
      <c r="G4" s="20"/>
      <c r="H4" s="20" t="s">
        <v>134</v>
      </c>
      <c r="I4" s="20" t="s">
        <v>8</v>
      </c>
      <c r="J4" s="20" t="s">
        <v>135</v>
      </c>
      <c r="K4" s="20"/>
      <c r="L4" s="20" t="s">
        <v>305</v>
      </c>
      <c r="M4" s="20"/>
      <c r="N4" s="20" t="s">
        <v>134</v>
      </c>
      <c r="O4" s="20" t="s">
        <v>135</v>
      </c>
      <c r="P4" s="20" t="s">
        <v>134</v>
      </c>
      <c r="Q4" s="20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78" customFormat="1" customHeight="1" spans="1:75">
      <c r="A5" s="161">
        <v>1</v>
      </c>
      <c r="B5" s="162" t="str">
        <f>商品录入!B5</f>
        <v>洗手液</v>
      </c>
      <c r="C5" s="162" t="str">
        <f>商品录入!C5</f>
        <v>瓶</v>
      </c>
      <c r="D5" s="162">
        <f>商品录入!D5</f>
        <v>0</v>
      </c>
      <c r="E5" s="162">
        <f>商品录入!E5</f>
        <v>7.9</v>
      </c>
      <c r="F5" s="162">
        <f>商品录入!F5</f>
        <v>0</v>
      </c>
      <c r="G5" s="162">
        <f>商品录入!G5</f>
        <v>0</v>
      </c>
      <c r="H5" s="162">
        <f>商品录入!H5</f>
        <v>33</v>
      </c>
      <c r="I5" s="162">
        <f>商品录入!I5</f>
        <v>260.7</v>
      </c>
      <c r="J5" s="162">
        <f>商品录入!J5</f>
        <v>1</v>
      </c>
      <c r="K5" s="162">
        <f>商品录入!K5</f>
        <v>7.9</v>
      </c>
      <c r="L5" s="162">
        <f>商品录入!L5</f>
        <v>32</v>
      </c>
      <c r="M5" s="162">
        <f>商品录入!M5</f>
        <v>252.8</v>
      </c>
      <c r="N5" s="133">
        <f>商品录入!N5*$E5</f>
        <v>260.7</v>
      </c>
      <c r="O5" s="133">
        <f>商品录入!O5*$E5</f>
        <v>0</v>
      </c>
      <c r="P5" s="133">
        <f>商品录入!P5*$E5</f>
        <v>0</v>
      </c>
      <c r="Q5" s="133">
        <f>商品录入!Q5*$E5</f>
        <v>7.9</v>
      </c>
      <c r="R5" s="133">
        <f>商品录入!R5*$E5</f>
        <v>0</v>
      </c>
      <c r="S5" s="133">
        <f>商品录入!S5*$E5</f>
        <v>0</v>
      </c>
      <c r="T5" s="133">
        <f>商品录入!T5*$E5</f>
        <v>0</v>
      </c>
      <c r="U5" s="133">
        <f>商品录入!U5*$E5</f>
        <v>0</v>
      </c>
      <c r="V5" s="133">
        <f>商品录入!V5*$E5</f>
        <v>0</v>
      </c>
      <c r="W5" s="133">
        <f>商品录入!W5*$E5</f>
        <v>0</v>
      </c>
      <c r="X5" s="133">
        <f>商品录入!X5*$E5</f>
        <v>0</v>
      </c>
      <c r="Y5" s="133">
        <f>商品录入!Y5*$E5</f>
        <v>0</v>
      </c>
      <c r="Z5" s="133">
        <f>商品录入!Z5*$E5</f>
        <v>0</v>
      </c>
      <c r="AA5" s="133">
        <f>商品录入!AA5*$E5</f>
        <v>0</v>
      </c>
      <c r="AB5" s="133">
        <f>商品录入!AB5*$E5</f>
        <v>0</v>
      </c>
      <c r="AC5" s="133">
        <f>商品录入!AC5*$E5</f>
        <v>0</v>
      </c>
      <c r="AD5" s="133">
        <f>商品录入!AD5*$E5</f>
        <v>0</v>
      </c>
      <c r="AE5" s="133">
        <f>商品录入!AE5*$E5</f>
        <v>0</v>
      </c>
      <c r="AF5" s="133">
        <f>商品录入!AF5*$E5</f>
        <v>0</v>
      </c>
      <c r="AG5" s="133">
        <f>商品录入!AG5*$E5</f>
        <v>0</v>
      </c>
      <c r="AH5" s="133">
        <f>商品录入!AH5*$E5</f>
        <v>0</v>
      </c>
      <c r="AI5" s="133">
        <f>商品录入!AI5*$E5</f>
        <v>0</v>
      </c>
      <c r="AJ5" s="133">
        <f>商品录入!AJ5*$E5</f>
        <v>0</v>
      </c>
      <c r="AK5" s="133">
        <f>商品录入!AK5*$E5</f>
        <v>0</v>
      </c>
      <c r="AL5" s="133">
        <f>商品录入!AL5*$E5</f>
        <v>0</v>
      </c>
      <c r="AM5" s="133">
        <f>商品录入!AM5*$E5</f>
        <v>0</v>
      </c>
      <c r="AN5" s="133">
        <f>商品录入!AN5*$E5</f>
        <v>0</v>
      </c>
      <c r="AO5" s="133">
        <f>商品录入!AO5*$E5</f>
        <v>0</v>
      </c>
      <c r="AP5" s="133">
        <f>商品录入!AP5*$E5</f>
        <v>0</v>
      </c>
      <c r="AQ5" s="133">
        <f>商品录入!AQ5*$E5</f>
        <v>0</v>
      </c>
      <c r="AR5" s="133">
        <f>商品录入!AR5*$E5</f>
        <v>0</v>
      </c>
      <c r="AS5" s="133">
        <f>商品录入!AS5*$E5</f>
        <v>0</v>
      </c>
      <c r="AT5" s="133">
        <f>商品录入!AT5*$E5</f>
        <v>0</v>
      </c>
      <c r="AU5" s="133">
        <f>商品录入!AU5*$E5</f>
        <v>0</v>
      </c>
      <c r="AV5" s="133">
        <f>商品录入!AV5*$E5</f>
        <v>0</v>
      </c>
      <c r="AW5" s="133">
        <f>商品录入!AW5*$E5</f>
        <v>0</v>
      </c>
      <c r="AX5" s="133">
        <f>商品录入!AX5*$E5</f>
        <v>0</v>
      </c>
      <c r="AY5" s="133">
        <f>商品录入!AY5*$E5</f>
        <v>0</v>
      </c>
      <c r="AZ5" s="133">
        <f>商品录入!AZ5*$E5</f>
        <v>0</v>
      </c>
      <c r="BA5" s="133">
        <f>商品录入!BA5*$E5</f>
        <v>0</v>
      </c>
      <c r="BB5" s="133">
        <f>商品录入!BB5*$E5</f>
        <v>0</v>
      </c>
      <c r="BC5" s="133">
        <f>商品录入!BC5*$E5</f>
        <v>0</v>
      </c>
      <c r="BD5" s="133">
        <f>商品录入!BD5*$E5</f>
        <v>0</v>
      </c>
      <c r="BE5" s="133">
        <f>商品录入!BE5*$E5</f>
        <v>0</v>
      </c>
      <c r="BF5" s="133">
        <f>商品录入!BF5*$E5</f>
        <v>0</v>
      </c>
      <c r="BG5" s="133">
        <f>商品录入!BG5*$E5</f>
        <v>0</v>
      </c>
      <c r="BH5" s="133">
        <f>商品录入!BH5*$E5</f>
        <v>0</v>
      </c>
      <c r="BI5" s="133">
        <f>商品录入!BI5*$E5</f>
        <v>0</v>
      </c>
      <c r="BJ5" s="133">
        <f>商品录入!BJ5*$E5</f>
        <v>0</v>
      </c>
      <c r="BK5" s="133">
        <f>商品录入!BK5*$E5</f>
        <v>0</v>
      </c>
      <c r="BL5" s="133">
        <f>商品录入!BL5*$E5</f>
        <v>0</v>
      </c>
      <c r="BM5" s="133">
        <f>商品录入!BM5*$E5</f>
        <v>0</v>
      </c>
      <c r="BN5" s="133">
        <f>商品录入!BN5*$E5</f>
        <v>0</v>
      </c>
      <c r="BO5" s="133">
        <f>商品录入!BO5*$E5</f>
        <v>0</v>
      </c>
      <c r="BP5" s="133">
        <f>商品录入!BP5*$E5</f>
        <v>0</v>
      </c>
      <c r="BQ5" s="133">
        <f>商品录入!BQ5*$E5</f>
        <v>0</v>
      </c>
      <c r="BR5" s="133">
        <f>商品录入!BR5*$E5</f>
        <v>0</v>
      </c>
      <c r="BS5" s="133">
        <f>商品录入!BS5*$E5</f>
        <v>0</v>
      </c>
      <c r="BT5" s="133">
        <f>商品录入!BT5*$E5</f>
        <v>0</v>
      </c>
      <c r="BU5" s="133">
        <f>商品录入!BU5*$E5</f>
        <v>0</v>
      </c>
      <c r="BV5" s="133">
        <f>商品录入!BV5*$E5</f>
        <v>0</v>
      </c>
      <c r="BW5" s="133">
        <f>商品录入!BW5*$E5</f>
        <v>0</v>
      </c>
    </row>
    <row r="6" s="178" customFormat="1" customHeight="1" spans="1:75">
      <c r="A6" s="161">
        <v>2</v>
      </c>
      <c r="B6" s="162" t="str">
        <f>商品录入!B6</f>
        <v>洗发水</v>
      </c>
      <c r="C6" s="162" t="str">
        <f>商品录入!C6</f>
        <v>瓶</v>
      </c>
      <c r="D6" s="162">
        <f>商品录入!D6</f>
        <v>0</v>
      </c>
      <c r="E6" s="162">
        <f>商品录入!E6</f>
        <v>13.5</v>
      </c>
      <c r="F6" s="162">
        <f>商品录入!F6</f>
        <v>0</v>
      </c>
      <c r="G6" s="162">
        <f>商品录入!G6</f>
        <v>0</v>
      </c>
      <c r="H6" s="162">
        <f>商品录入!H6</f>
        <v>27</v>
      </c>
      <c r="I6" s="162">
        <f>商品录入!I6</f>
        <v>364.5</v>
      </c>
      <c r="J6" s="162">
        <f>商品录入!J6</f>
        <v>0</v>
      </c>
      <c r="K6" s="162">
        <f>商品录入!K6</f>
        <v>0</v>
      </c>
      <c r="L6" s="162">
        <f>商品录入!L6</f>
        <v>27</v>
      </c>
      <c r="M6" s="162">
        <f>商品录入!M6</f>
        <v>364.5</v>
      </c>
      <c r="N6" s="133">
        <f>商品录入!N6*$E6</f>
        <v>364.5</v>
      </c>
      <c r="O6" s="133">
        <f>商品录入!O6*$E6</f>
        <v>0</v>
      </c>
      <c r="P6" s="133">
        <f>商品录入!P6*$E6</f>
        <v>0</v>
      </c>
      <c r="Q6" s="133">
        <f>商品录入!Q6*$E6</f>
        <v>0</v>
      </c>
      <c r="R6" s="133">
        <f>商品录入!R6*$E6</f>
        <v>0</v>
      </c>
      <c r="S6" s="133">
        <f>商品录入!S6*$E6</f>
        <v>0</v>
      </c>
      <c r="T6" s="133">
        <f>商品录入!T6*$E6</f>
        <v>0</v>
      </c>
      <c r="U6" s="133">
        <f>商品录入!U6*$E6</f>
        <v>0</v>
      </c>
      <c r="V6" s="133">
        <f>商品录入!V6*$E6</f>
        <v>0</v>
      </c>
      <c r="W6" s="133">
        <f>商品录入!W6*$E6</f>
        <v>0</v>
      </c>
      <c r="X6" s="133">
        <f>商品录入!X6*$E6</f>
        <v>0</v>
      </c>
      <c r="Y6" s="133">
        <f>商品录入!Y6*$E6</f>
        <v>0</v>
      </c>
      <c r="Z6" s="133">
        <f>商品录入!Z6*$E6</f>
        <v>0</v>
      </c>
      <c r="AA6" s="133">
        <f>商品录入!AA6*$E6</f>
        <v>0</v>
      </c>
      <c r="AB6" s="133">
        <f>商品录入!AB6*$E6</f>
        <v>0</v>
      </c>
      <c r="AC6" s="133">
        <f>商品录入!AC6*$E6</f>
        <v>0</v>
      </c>
      <c r="AD6" s="133">
        <f>商品录入!AD6*$E6</f>
        <v>0</v>
      </c>
      <c r="AE6" s="133">
        <f>商品录入!AE6*$E6</f>
        <v>0</v>
      </c>
      <c r="AF6" s="133">
        <f>商品录入!AF6*$E6</f>
        <v>0</v>
      </c>
      <c r="AG6" s="133">
        <f>商品录入!AG6*$E6</f>
        <v>0</v>
      </c>
      <c r="AH6" s="133">
        <f>商品录入!AH6*$E6</f>
        <v>0</v>
      </c>
      <c r="AI6" s="133">
        <f>商品录入!AI6*$E6</f>
        <v>0</v>
      </c>
      <c r="AJ6" s="133">
        <f>商品录入!AJ6*$E6</f>
        <v>0</v>
      </c>
      <c r="AK6" s="133">
        <f>商品录入!AK6*$E6</f>
        <v>0</v>
      </c>
      <c r="AL6" s="133">
        <f>商品录入!AL6*$E6</f>
        <v>0</v>
      </c>
      <c r="AM6" s="133">
        <f>商品录入!AM6*$E6</f>
        <v>0</v>
      </c>
      <c r="AN6" s="133">
        <f>商品录入!AN6*$E6</f>
        <v>0</v>
      </c>
      <c r="AO6" s="133">
        <f>商品录入!AO6*$E6</f>
        <v>0</v>
      </c>
      <c r="AP6" s="133">
        <f>商品录入!AP6*$E6</f>
        <v>0</v>
      </c>
      <c r="AQ6" s="133">
        <f>商品录入!AQ6*$E6</f>
        <v>0</v>
      </c>
      <c r="AR6" s="133">
        <f>商品录入!AR6*$E6</f>
        <v>0</v>
      </c>
      <c r="AS6" s="133">
        <f>商品录入!AS6*$E6</f>
        <v>0</v>
      </c>
      <c r="AT6" s="133">
        <f>商品录入!AT6*$E6</f>
        <v>0</v>
      </c>
      <c r="AU6" s="133">
        <f>商品录入!AU6*$E6</f>
        <v>0</v>
      </c>
      <c r="AV6" s="133">
        <f>商品录入!AV6*$E6</f>
        <v>0</v>
      </c>
      <c r="AW6" s="133">
        <f>商品录入!AW6*$E6</f>
        <v>0</v>
      </c>
      <c r="AX6" s="133">
        <f>商品录入!AX6*$E6</f>
        <v>0</v>
      </c>
      <c r="AY6" s="133">
        <f>商品录入!AY6*$E6</f>
        <v>0</v>
      </c>
      <c r="AZ6" s="133">
        <f>商品录入!AZ6*$E6</f>
        <v>0</v>
      </c>
      <c r="BA6" s="133">
        <f>商品录入!BA6*$E6</f>
        <v>0</v>
      </c>
      <c r="BB6" s="133">
        <f>商品录入!BB6*$E6</f>
        <v>0</v>
      </c>
      <c r="BC6" s="133">
        <f>商品录入!BC6*$E6</f>
        <v>0</v>
      </c>
      <c r="BD6" s="133">
        <f>商品录入!BD6*$E6</f>
        <v>0</v>
      </c>
      <c r="BE6" s="133">
        <f>商品录入!BE6*$E6</f>
        <v>0</v>
      </c>
      <c r="BF6" s="133">
        <f>商品录入!BF6*$E6</f>
        <v>0</v>
      </c>
      <c r="BG6" s="133">
        <f>商品录入!BG6*$E6</f>
        <v>0</v>
      </c>
      <c r="BH6" s="133">
        <f>商品录入!BH6*$E6</f>
        <v>0</v>
      </c>
      <c r="BI6" s="133">
        <f>商品录入!BI6*$E6</f>
        <v>0</v>
      </c>
      <c r="BJ6" s="133">
        <f>商品录入!BJ6*$E6</f>
        <v>0</v>
      </c>
      <c r="BK6" s="133">
        <f>商品录入!BK6*$E6</f>
        <v>0</v>
      </c>
      <c r="BL6" s="133">
        <f>商品录入!BL6*$E6</f>
        <v>0</v>
      </c>
      <c r="BM6" s="133">
        <f>商品录入!BM6*$E6</f>
        <v>0</v>
      </c>
      <c r="BN6" s="133">
        <f>商品录入!BN6*$E6</f>
        <v>0</v>
      </c>
      <c r="BO6" s="133">
        <f>商品录入!BO6*$E6</f>
        <v>0</v>
      </c>
      <c r="BP6" s="133">
        <f>商品录入!BP6*$E6</f>
        <v>0</v>
      </c>
      <c r="BQ6" s="133">
        <f>商品录入!BQ6*$E6</f>
        <v>0</v>
      </c>
      <c r="BR6" s="133">
        <f>商品录入!BR6*$E6</f>
        <v>0</v>
      </c>
      <c r="BS6" s="133">
        <f>商品录入!BS6*$E6</f>
        <v>0</v>
      </c>
      <c r="BT6" s="133">
        <f>商品录入!BT6*$E6</f>
        <v>0</v>
      </c>
      <c r="BU6" s="133">
        <f>商品录入!BU6*$E6</f>
        <v>0</v>
      </c>
      <c r="BV6" s="133">
        <f>商品录入!BV6*$E6</f>
        <v>0</v>
      </c>
      <c r="BW6" s="133">
        <f>商品录入!BW6*$E6</f>
        <v>0</v>
      </c>
    </row>
    <row r="7" s="178" customFormat="1" customHeight="1" spans="1:75">
      <c r="A7" s="161">
        <v>3</v>
      </c>
      <c r="B7" s="162" t="str">
        <f>商品录入!B7</f>
        <v>护发素</v>
      </c>
      <c r="C7" s="162" t="str">
        <f>商品录入!C7</f>
        <v>瓶</v>
      </c>
      <c r="D7" s="162">
        <f>商品录入!D7</f>
        <v>0</v>
      </c>
      <c r="E7" s="162">
        <f>商品录入!E7</f>
        <v>13.5</v>
      </c>
      <c r="F7" s="162">
        <f>商品录入!F7</f>
        <v>0</v>
      </c>
      <c r="G7" s="162">
        <f>商品录入!G7</f>
        <v>0</v>
      </c>
      <c r="H7" s="162">
        <f>商品录入!H7</f>
        <v>28</v>
      </c>
      <c r="I7" s="162">
        <f>商品录入!I7</f>
        <v>378</v>
      </c>
      <c r="J7" s="162">
        <f>商品录入!J7</f>
        <v>0</v>
      </c>
      <c r="K7" s="162">
        <f>商品录入!K7</f>
        <v>0</v>
      </c>
      <c r="L7" s="162">
        <f>商品录入!L7</f>
        <v>28</v>
      </c>
      <c r="M7" s="162">
        <f>商品录入!M7</f>
        <v>378</v>
      </c>
      <c r="N7" s="133">
        <f>商品录入!N7*$E7</f>
        <v>378</v>
      </c>
      <c r="O7" s="133">
        <f>商品录入!O7*$E7</f>
        <v>0</v>
      </c>
      <c r="P7" s="133">
        <f>商品录入!P7*$E7</f>
        <v>0</v>
      </c>
      <c r="Q7" s="133">
        <f>商品录入!Q7*$E7</f>
        <v>0</v>
      </c>
      <c r="R7" s="133">
        <f>商品录入!R7*$E7</f>
        <v>0</v>
      </c>
      <c r="S7" s="133">
        <f>商品录入!S7*$E7</f>
        <v>0</v>
      </c>
      <c r="T7" s="133">
        <f>商品录入!T7*$E7</f>
        <v>0</v>
      </c>
      <c r="U7" s="133">
        <f>商品录入!U7*$E7</f>
        <v>0</v>
      </c>
      <c r="V7" s="133">
        <f>商品录入!V7*$E7</f>
        <v>0</v>
      </c>
      <c r="W7" s="133">
        <f>商品录入!W7*$E7</f>
        <v>0</v>
      </c>
      <c r="X7" s="133">
        <f>商品录入!X7*$E7</f>
        <v>0</v>
      </c>
      <c r="Y7" s="133">
        <f>商品录入!Y7*$E7</f>
        <v>0</v>
      </c>
      <c r="Z7" s="133">
        <f>商品录入!Z7*$E7</f>
        <v>0</v>
      </c>
      <c r="AA7" s="133">
        <f>商品录入!AA7*$E7</f>
        <v>0</v>
      </c>
      <c r="AB7" s="133">
        <f>商品录入!AB7*$E7</f>
        <v>0</v>
      </c>
      <c r="AC7" s="133">
        <f>商品录入!AC7*$E7</f>
        <v>0</v>
      </c>
      <c r="AD7" s="133">
        <f>商品录入!AD7*$E7</f>
        <v>0</v>
      </c>
      <c r="AE7" s="133">
        <f>商品录入!AE7*$E7</f>
        <v>0</v>
      </c>
      <c r="AF7" s="133">
        <f>商品录入!AF7*$E7</f>
        <v>0</v>
      </c>
      <c r="AG7" s="133">
        <f>商品录入!AG7*$E7</f>
        <v>0</v>
      </c>
      <c r="AH7" s="133">
        <f>商品录入!AH7*$E7</f>
        <v>0</v>
      </c>
      <c r="AI7" s="133">
        <f>商品录入!AI7*$E7</f>
        <v>0</v>
      </c>
      <c r="AJ7" s="133">
        <f>商品录入!AJ7*$E7</f>
        <v>0</v>
      </c>
      <c r="AK7" s="133">
        <f>商品录入!AK7*$E7</f>
        <v>0</v>
      </c>
      <c r="AL7" s="133">
        <f>商品录入!AL7*$E7</f>
        <v>0</v>
      </c>
      <c r="AM7" s="133">
        <f>商品录入!AM7*$E7</f>
        <v>0</v>
      </c>
      <c r="AN7" s="133">
        <f>商品录入!AN7*$E7</f>
        <v>0</v>
      </c>
      <c r="AO7" s="133">
        <f>商品录入!AO7*$E7</f>
        <v>0</v>
      </c>
      <c r="AP7" s="133">
        <f>商品录入!AP7*$E7</f>
        <v>0</v>
      </c>
      <c r="AQ7" s="133">
        <f>商品录入!AQ7*$E7</f>
        <v>0</v>
      </c>
      <c r="AR7" s="133">
        <f>商品录入!AR7*$E7</f>
        <v>0</v>
      </c>
      <c r="AS7" s="133">
        <f>商品录入!AS7*$E7</f>
        <v>0</v>
      </c>
      <c r="AT7" s="133">
        <f>商品录入!AT7*$E7</f>
        <v>0</v>
      </c>
      <c r="AU7" s="133">
        <f>商品录入!AU7*$E7</f>
        <v>0</v>
      </c>
      <c r="AV7" s="133">
        <f>商品录入!AV7*$E7</f>
        <v>0</v>
      </c>
      <c r="AW7" s="133">
        <f>商品录入!AW7*$E7</f>
        <v>0</v>
      </c>
      <c r="AX7" s="133">
        <f>商品录入!AX7*$E7</f>
        <v>0</v>
      </c>
      <c r="AY7" s="133">
        <f>商品录入!AY7*$E7</f>
        <v>0</v>
      </c>
      <c r="AZ7" s="133">
        <f>商品录入!AZ7*$E7</f>
        <v>0</v>
      </c>
      <c r="BA7" s="133">
        <f>商品录入!BA7*$E7</f>
        <v>0</v>
      </c>
      <c r="BB7" s="133">
        <f>商品录入!BB7*$E7</f>
        <v>0</v>
      </c>
      <c r="BC7" s="133">
        <f>商品录入!BC7*$E7</f>
        <v>0</v>
      </c>
      <c r="BD7" s="133">
        <f>商品录入!BD7*$E7</f>
        <v>0</v>
      </c>
      <c r="BE7" s="133">
        <f>商品录入!BE7*$E7</f>
        <v>0</v>
      </c>
      <c r="BF7" s="133">
        <f>商品录入!BF7*$E7</f>
        <v>0</v>
      </c>
      <c r="BG7" s="133">
        <f>商品录入!BG7*$E7</f>
        <v>0</v>
      </c>
      <c r="BH7" s="133">
        <f>商品录入!BH7*$E7</f>
        <v>0</v>
      </c>
      <c r="BI7" s="133">
        <f>商品录入!BI7*$E7</f>
        <v>0</v>
      </c>
      <c r="BJ7" s="133">
        <f>商品录入!BJ7*$E7</f>
        <v>0</v>
      </c>
      <c r="BK7" s="133">
        <f>商品录入!BK7*$E7</f>
        <v>0</v>
      </c>
      <c r="BL7" s="133">
        <f>商品录入!BL7*$E7</f>
        <v>0</v>
      </c>
      <c r="BM7" s="133">
        <f>商品录入!BM7*$E7</f>
        <v>0</v>
      </c>
      <c r="BN7" s="133">
        <f>商品录入!BN7*$E7</f>
        <v>0</v>
      </c>
      <c r="BO7" s="133">
        <f>商品录入!BO7*$E7</f>
        <v>0</v>
      </c>
      <c r="BP7" s="133">
        <f>商品录入!BP7*$E7</f>
        <v>0</v>
      </c>
      <c r="BQ7" s="133">
        <f>商品录入!BQ7*$E7</f>
        <v>0</v>
      </c>
      <c r="BR7" s="133">
        <f>商品录入!BR7*$E7</f>
        <v>0</v>
      </c>
      <c r="BS7" s="133">
        <f>商品录入!BS7*$E7</f>
        <v>0</v>
      </c>
      <c r="BT7" s="133">
        <f>商品录入!BT7*$E7</f>
        <v>0</v>
      </c>
      <c r="BU7" s="133">
        <f>商品录入!BU7*$E7</f>
        <v>0</v>
      </c>
      <c r="BV7" s="133">
        <f>商品录入!BV7*$E7</f>
        <v>0</v>
      </c>
      <c r="BW7" s="133">
        <f>商品录入!BW7*$E7</f>
        <v>0</v>
      </c>
    </row>
    <row r="8" s="178" customFormat="1" customHeight="1" spans="1:75">
      <c r="A8" s="161">
        <v>4</v>
      </c>
      <c r="B8" s="162" t="str">
        <f>商品录入!B8</f>
        <v>沐浴露</v>
      </c>
      <c r="C8" s="162" t="str">
        <f>商品录入!C8</f>
        <v>瓶</v>
      </c>
      <c r="D8" s="162">
        <f>商品录入!D8</f>
        <v>0</v>
      </c>
      <c r="E8" s="162">
        <f>商品录入!E8</f>
        <v>13.5</v>
      </c>
      <c r="F8" s="162">
        <f>商品录入!F8</f>
        <v>0</v>
      </c>
      <c r="G8" s="162">
        <f>商品录入!G8</f>
        <v>0</v>
      </c>
      <c r="H8" s="162">
        <f>商品录入!H8</f>
        <v>30</v>
      </c>
      <c r="I8" s="162">
        <f>商品录入!I8</f>
        <v>405</v>
      </c>
      <c r="J8" s="162">
        <f>商品录入!J8</f>
        <v>0</v>
      </c>
      <c r="K8" s="162">
        <f>商品录入!K8</f>
        <v>0</v>
      </c>
      <c r="L8" s="162">
        <f>商品录入!L8</f>
        <v>30</v>
      </c>
      <c r="M8" s="162">
        <f>商品录入!M8</f>
        <v>405</v>
      </c>
      <c r="N8" s="133">
        <f>商品录入!N8*$E8</f>
        <v>405</v>
      </c>
      <c r="O8" s="133">
        <f>商品录入!O8*$E8</f>
        <v>0</v>
      </c>
      <c r="P8" s="133">
        <f>商品录入!P8*$E8</f>
        <v>0</v>
      </c>
      <c r="Q8" s="133">
        <f>商品录入!Q8*$E8</f>
        <v>0</v>
      </c>
      <c r="R8" s="133">
        <f>商品录入!R8*$E8</f>
        <v>0</v>
      </c>
      <c r="S8" s="133">
        <f>商品录入!S8*$E8</f>
        <v>0</v>
      </c>
      <c r="T8" s="133">
        <f>商品录入!T8*$E8</f>
        <v>0</v>
      </c>
      <c r="U8" s="133">
        <f>商品录入!U8*$E8</f>
        <v>0</v>
      </c>
      <c r="V8" s="133">
        <f>商品录入!V8*$E8</f>
        <v>0</v>
      </c>
      <c r="W8" s="133">
        <f>商品录入!W8*$E8</f>
        <v>0</v>
      </c>
      <c r="X8" s="133">
        <f>商品录入!X8*$E8</f>
        <v>0</v>
      </c>
      <c r="Y8" s="133">
        <f>商品录入!Y8*$E8</f>
        <v>0</v>
      </c>
      <c r="Z8" s="133">
        <f>商品录入!Z8*$E8</f>
        <v>0</v>
      </c>
      <c r="AA8" s="133">
        <f>商品录入!AA8*$E8</f>
        <v>0</v>
      </c>
      <c r="AB8" s="133">
        <f>商品录入!AB8*$E8</f>
        <v>0</v>
      </c>
      <c r="AC8" s="133">
        <f>商品录入!AC8*$E8</f>
        <v>0</v>
      </c>
      <c r="AD8" s="133">
        <f>商品录入!AD8*$E8</f>
        <v>0</v>
      </c>
      <c r="AE8" s="133">
        <f>商品录入!AE8*$E8</f>
        <v>0</v>
      </c>
      <c r="AF8" s="133">
        <f>商品录入!AF8*$E8</f>
        <v>0</v>
      </c>
      <c r="AG8" s="133">
        <f>商品录入!AG8*$E8</f>
        <v>0</v>
      </c>
      <c r="AH8" s="133">
        <f>商品录入!AH8*$E8</f>
        <v>0</v>
      </c>
      <c r="AI8" s="133">
        <f>商品录入!AI8*$E8</f>
        <v>0</v>
      </c>
      <c r="AJ8" s="133">
        <f>商品录入!AJ8*$E8</f>
        <v>0</v>
      </c>
      <c r="AK8" s="133">
        <f>商品录入!AK8*$E8</f>
        <v>0</v>
      </c>
      <c r="AL8" s="133">
        <f>商品录入!AL8*$E8</f>
        <v>0</v>
      </c>
      <c r="AM8" s="133">
        <f>商品录入!AM8*$E8</f>
        <v>0</v>
      </c>
      <c r="AN8" s="133">
        <f>商品录入!AN8*$E8</f>
        <v>0</v>
      </c>
      <c r="AO8" s="133">
        <f>商品录入!AO8*$E8</f>
        <v>0</v>
      </c>
      <c r="AP8" s="133">
        <f>商品录入!AP8*$E8</f>
        <v>0</v>
      </c>
      <c r="AQ8" s="133">
        <f>商品录入!AQ8*$E8</f>
        <v>0</v>
      </c>
      <c r="AR8" s="133">
        <f>商品录入!AR8*$E8</f>
        <v>0</v>
      </c>
      <c r="AS8" s="133">
        <f>商品录入!AS8*$E8</f>
        <v>0</v>
      </c>
      <c r="AT8" s="133">
        <f>商品录入!AT8*$E8</f>
        <v>0</v>
      </c>
      <c r="AU8" s="133">
        <f>商品录入!AU8*$E8</f>
        <v>0</v>
      </c>
      <c r="AV8" s="133">
        <f>商品录入!AV8*$E8</f>
        <v>0</v>
      </c>
      <c r="AW8" s="133">
        <f>商品录入!AW8*$E8</f>
        <v>0</v>
      </c>
      <c r="AX8" s="133">
        <f>商品录入!AX8*$E8</f>
        <v>0</v>
      </c>
      <c r="AY8" s="133">
        <f>商品录入!AY8*$E8</f>
        <v>0</v>
      </c>
      <c r="AZ8" s="133">
        <f>商品录入!AZ8*$E8</f>
        <v>0</v>
      </c>
      <c r="BA8" s="133">
        <f>商品录入!BA8*$E8</f>
        <v>0</v>
      </c>
      <c r="BB8" s="133">
        <f>商品录入!BB8*$E8</f>
        <v>0</v>
      </c>
      <c r="BC8" s="133">
        <f>商品录入!BC8*$E8</f>
        <v>0</v>
      </c>
      <c r="BD8" s="133">
        <f>商品录入!BD8*$E8</f>
        <v>0</v>
      </c>
      <c r="BE8" s="133">
        <f>商品录入!BE8*$E8</f>
        <v>0</v>
      </c>
      <c r="BF8" s="133">
        <f>商品录入!BF8*$E8</f>
        <v>0</v>
      </c>
      <c r="BG8" s="133">
        <f>商品录入!BG8*$E8</f>
        <v>0</v>
      </c>
      <c r="BH8" s="133">
        <f>商品录入!BH8*$E8</f>
        <v>0</v>
      </c>
      <c r="BI8" s="133">
        <f>商品录入!BI8*$E8</f>
        <v>0</v>
      </c>
      <c r="BJ8" s="133">
        <f>商品录入!BJ8*$E8</f>
        <v>0</v>
      </c>
      <c r="BK8" s="133">
        <f>商品录入!BK8*$E8</f>
        <v>0</v>
      </c>
      <c r="BL8" s="133">
        <f>商品录入!BL8*$E8</f>
        <v>0</v>
      </c>
      <c r="BM8" s="133">
        <f>商品录入!BM8*$E8</f>
        <v>0</v>
      </c>
      <c r="BN8" s="133">
        <f>商品录入!BN8*$E8</f>
        <v>0</v>
      </c>
      <c r="BO8" s="133">
        <f>商品录入!BO8*$E8</f>
        <v>0</v>
      </c>
      <c r="BP8" s="133">
        <f>商品录入!BP8*$E8</f>
        <v>0</v>
      </c>
      <c r="BQ8" s="133">
        <f>商品录入!BQ8*$E8</f>
        <v>0</v>
      </c>
      <c r="BR8" s="133">
        <f>商品录入!BR8*$E8</f>
        <v>0</v>
      </c>
      <c r="BS8" s="133">
        <f>商品录入!BS8*$E8</f>
        <v>0</v>
      </c>
      <c r="BT8" s="133">
        <f>商品录入!BT8*$E8</f>
        <v>0</v>
      </c>
      <c r="BU8" s="133">
        <f>商品录入!BU8*$E8</f>
        <v>0</v>
      </c>
      <c r="BV8" s="133">
        <f>商品录入!BV8*$E8</f>
        <v>0</v>
      </c>
      <c r="BW8" s="133">
        <f>商品录入!BW8*$E8</f>
        <v>0</v>
      </c>
    </row>
    <row r="9" s="178" customFormat="1" customHeight="1" spans="1:75">
      <c r="A9" s="161">
        <v>5</v>
      </c>
      <c r="B9" s="162" t="str">
        <f>商品录入!B9</f>
        <v>乳胶枕</v>
      </c>
      <c r="C9" s="162" t="str">
        <f>商品录入!C9</f>
        <v>个</v>
      </c>
      <c r="D9" s="162">
        <f>商品录入!D9</f>
        <v>0</v>
      </c>
      <c r="E9" s="162">
        <f>商品录入!E9</f>
        <v>66</v>
      </c>
      <c r="F9" s="162">
        <f>商品录入!F9</f>
        <v>0</v>
      </c>
      <c r="G9" s="162">
        <f>商品录入!G9</f>
        <v>0</v>
      </c>
      <c r="H9" s="162">
        <f>商品录入!H9</f>
        <v>22</v>
      </c>
      <c r="I9" s="162">
        <f>商品录入!I9</f>
        <v>1452</v>
      </c>
      <c r="J9" s="162">
        <f>商品录入!J9</f>
        <v>3</v>
      </c>
      <c r="K9" s="162">
        <f>商品录入!K9</f>
        <v>198</v>
      </c>
      <c r="L9" s="162">
        <f>商品录入!L9</f>
        <v>19</v>
      </c>
      <c r="M9" s="162">
        <f>商品录入!M9</f>
        <v>1254</v>
      </c>
      <c r="N9" s="133">
        <f>商品录入!N9*$E9</f>
        <v>1452</v>
      </c>
      <c r="O9" s="133">
        <f>商品录入!O9*$E9</f>
        <v>0</v>
      </c>
      <c r="P9" s="133">
        <f>商品录入!P9*$E9</f>
        <v>0</v>
      </c>
      <c r="Q9" s="133">
        <f>商品录入!Q9*$E9</f>
        <v>0</v>
      </c>
      <c r="R9" s="133">
        <f>商品录入!R9*$E9</f>
        <v>0</v>
      </c>
      <c r="S9" s="133">
        <f>商品录入!S9*$E9</f>
        <v>0</v>
      </c>
      <c r="T9" s="133">
        <f>商品录入!T9*$E9</f>
        <v>0</v>
      </c>
      <c r="U9" s="133">
        <f>商品录入!U9*$E9</f>
        <v>0</v>
      </c>
      <c r="V9" s="133">
        <f>商品录入!V9*$E9</f>
        <v>0</v>
      </c>
      <c r="W9" s="133">
        <f>商品录入!W9*$E9</f>
        <v>0</v>
      </c>
      <c r="X9" s="133">
        <f>商品录入!X9*$E9</f>
        <v>0</v>
      </c>
      <c r="Y9" s="133">
        <f>商品录入!Y9*$E9</f>
        <v>0</v>
      </c>
      <c r="Z9" s="133">
        <f>商品录入!Z9*$E9</f>
        <v>0</v>
      </c>
      <c r="AA9" s="133">
        <f>商品录入!AA9*$E9</f>
        <v>0</v>
      </c>
      <c r="AB9" s="133">
        <f>商品录入!AB9*$E9</f>
        <v>0</v>
      </c>
      <c r="AC9" s="133">
        <f>商品录入!AC9*$E9</f>
        <v>0</v>
      </c>
      <c r="AD9" s="133">
        <f>商品录入!AD9*$E9</f>
        <v>0</v>
      </c>
      <c r="AE9" s="133">
        <f>商品录入!AE9*$E9</f>
        <v>0</v>
      </c>
      <c r="AF9" s="133">
        <f>商品录入!AF9*$E9</f>
        <v>0</v>
      </c>
      <c r="AG9" s="133">
        <f>商品录入!AG9*$E9</f>
        <v>0</v>
      </c>
      <c r="AH9" s="133">
        <f>商品录入!AH9*$E9</f>
        <v>0</v>
      </c>
      <c r="AI9" s="133">
        <f>商品录入!AI9*$E9</f>
        <v>0</v>
      </c>
      <c r="AJ9" s="133">
        <f>商品录入!AJ9*$E9</f>
        <v>0</v>
      </c>
      <c r="AK9" s="133">
        <f>商品录入!AK9*$E9</f>
        <v>0</v>
      </c>
      <c r="AL9" s="133">
        <f>商品录入!AL9*$E9</f>
        <v>0</v>
      </c>
      <c r="AM9" s="133">
        <f>商品录入!AM9*$E9</f>
        <v>0</v>
      </c>
      <c r="AN9" s="133">
        <f>商品录入!AN9*$E9</f>
        <v>0</v>
      </c>
      <c r="AO9" s="133">
        <f>商品录入!AO9*$E9</f>
        <v>0</v>
      </c>
      <c r="AP9" s="133">
        <f>商品录入!AP9*$E9</f>
        <v>0</v>
      </c>
      <c r="AQ9" s="133">
        <f>商品录入!AQ9*$E9</f>
        <v>66</v>
      </c>
      <c r="AR9" s="133">
        <f>商品录入!AR9*$E9</f>
        <v>0</v>
      </c>
      <c r="AS9" s="133">
        <f>商品录入!AS9*$E9</f>
        <v>0</v>
      </c>
      <c r="AT9" s="133">
        <f>商品录入!AT9*$E9</f>
        <v>0</v>
      </c>
      <c r="AU9" s="133">
        <f>商品录入!AU9*$E9</f>
        <v>0</v>
      </c>
      <c r="AV9" s="133">
        <f>商品录入!AV9*$E9</f>
        <v>0</v>
      </c>
      <c r="AW9" s="133">
        <f>商品录入!AW9*$E9</f>
        <v>0</v>
      </c>
      <c r="AX9" s="133">
        <f>商品录入!AX9*$E9</f>
        <v>0</v>
      </c>
      <c r="AY9" s="133">
        <f>商品录入!AY9*$E9</f>
        <v>0</v>
      </c>
      <c r="AZ9" s="133">
        <f>商品录入!AZ9*$E9</f>
        <v>0</v>
      </c>
      <c r="BA9" s="133">
        <f>商品录入!BA9*$E9</f>
        <v>132</v>
      </c>
      <c r="BB9" s="133">
        <f>商品录入!BB9*$E9</f>
        <v>0</v>
      </c>
      <c r="BC9" s="133">
        <f>商品录入!BC9*$E9</f>
        <v>0</v>
      </c>
      <c r="BD9" s="133">
        <f>商品录入!BD9*$E9</f>
        <v>0</v>
      </c>
      <c r="BE9" s="133">
        <f>商品录入!BE9*$E9</f>
        <v>0</v>
      </c>
      <c r="BF9" s="133">
        <f>商品录入!BF9*$E9</f>
        <v>0</v>
      </c>
      <c r="BG9" s="133">
        <f>商品录入!BG9*$E9</f>
        <v>0</v>
      </c>
      <c r="BH9" s="133">
        <f>商品录入!BH9*$E9</f>
        <v>0</v>
      </c>
      <c r="BI9" s="133">
        <f>商品录入!BI9*$E9</f>
        <v>0</v>
      </c>
      <c r="BJ9" s="133">
        <f>商品录入!BJ9*$E9</f>
        <v>0</v>
      </c>
      <c r="BK9" s="133">
        <f>商品录入!BK9*$E9</f>
        <v>0</v>
      </c>
      <c r="BL9" s="133">
        <f>商品录入!BL9*$E9</f>
        <v>0</v>
      </c>
      <c r="BM9" s="133">
        <f>商品录入!BM9*$E9</f>
        <v>0</v>
      </c>
      <c r="BN9" s="133">
        <f>商品录入!BN9*$E9</f>
        <v>0</v>
      </c>
      <c r="BO9" s="133">
        <f>商品录入!BO9*$E9</f>
        <v>0</v>
      </c>
      <c r="BP9" s="133">
        <f>商品录入!BP9*$E9</f>
        <v>0</v>
      </c>
      <c r="BQ9" s="133">
        <f>商品录入!BQ9*$E9</f>
        <v>0</v>
      </c>
      <c r="BR9" s="133">
        <f>商品录入!BR9*$E9</f>
        <v>0</v>
      </c>
      <c r="BS9" s="133">
        <f>商品录入!BS9*$E9</f>
        <v>0</v>
      </c>
      <c r="BT9" s="133">
        <f>商品录入!BT9*$E9</f>
        <v>0</v>
      </c>
      <c r="BU9" s="133">
        <f>商品录入!BU9*$E9</f>
        <v>0</v>
      </c>
      <c r="BV9" s="133">
        <f>商品录入!BV9*$E9</f>
        <v>0</v>
      </c>
      <c r="BW9" s="133">
        <f>商品录入!BW9*$E9</f>
        <v>0</v>
      </c>
    </row>
    <row r="10" s="178" customFormat="1" customHeight="1" spans="1:75">
      <c r="A10" s="161">
        <v>6</v>
      </c>
      <c r="B10" s="162" t="str">
        <f>商品录入!B10</f>
        <v>羽绒枕</v>
      </c>
      <c r="C10" s="162" t="str">
        <f>商品录入!C10</f>
        <v>个</v>
      </c>
      <c r="D10" s="162">
        <f>商品录入!D10</f>
        <v>0</v>
      </c>
      <c r="E10" s="162">
        <f>商品录入!E10</f>
        <v>113.5</v>
      </c>
      <c r="F10" s="162">
        <f>商品录入!F10</f>
        <v>0</v>
      </c>
      <c r="G10" s="162">
        <f>商品录入!G10</f>
        <v>0</v>
      </c>
      <c r="H10" s="162">
        <f>商品录入!H10</f>
        <v>10</v>
      </c>
      <c r="I10" s="162">
        <f>商品录入!I10</f>
        <v>1135</v>
      </c>
      <c r="J10" s="162">
        <f>商品录入!J10</f>
        <v>0</v>
      </c>
      <c r="K10" s="162">
        <f>商品录入!K10</f>
        <v>0</v>
      </c>
      <c r="L10" s="162">
        <f>商品录入!L10</f>
        <v>10</v>
      </c>
      <c r="M10" s="162">
        <f>商品录入!M10</f>
        <v>1135</v>
      </c>
      <c r="N10" s="133">
        <f>商品录入!N10*$E10</f>
        <v>1135</v>
      </c>
      <c r="O10" s="133">
        <f>商品录入!O10*$E10</f>
        <v>0</v>
      </c>
      <c r="P10" s="133">
        <f>商品录入!P10*$E10</f>
        <v>0</v>
      </c>
      <c r="Q10" s="133">
        <f>商品录入!Q10*$E10</f>
        <v>0</v>
      </c>
      <c r="R10" s="133">
        <f>商品录入!R10*$E10</f>
        <v>0</v>
      </c>
      <c r="S10" s="133">
        <f>商品录入!S10*$E10</f>
        <v>0</v>
      </c>
      <c r="T10" s="133">
        <f>商品录入!T10*$E10</f>
        <v>0</v>
      </c>
      <c r="U10" s="133">
        <f>商品录入!U10*$E10</f>
        <v>0</v>
      </c>
      <c r="V10" s="133">
        <f>商品录入!V10*$E10</f>
        <v>0</v>
      </c>
      <c r="W10" s="133">
        <f>商品录入!W10*$E10</f>
        <v>0</v>
      </c>
      <c r="X10" s="133">
        <f>商品录入!X10*$E10</f>
        <v>0</v>
      </c>
      <c r="Y10" s="133">
        <f>商品录入!Y10*$E10</f>
        <v>0</v>
      </c>
      <c r="Z10" s="133">
        <f>商品录入!Z10*$E10</f>
        <v>0</v>
      </c>
      <c r="AA10" s="133">
        <f>商品录入!AA10*$E10</f>
        <v>0</v>
      </c>
      <c r="AB10" s="133">
        <f>商品录入!AB10*$E10</f>
        <v>0</v>
      </c>
      <c r="AC10" s="133">
        <f>商品录入!AC10*$E10</f>
        <v>0</v>
      </c>
      <c r="AD10" s="133">
        <f>商品录入!AD10*$E10</f>
        <v>0</v>
      </c>
      <c r="AE10" s="133">
        <f>商品录入!AE10*$E10</f>
        <v>0</v>
      </c>
      <c r="AF10" s="133">
        <f>商品录入!AF10*$E10</f>
        <v>0</v>
      </c>
      <c r="AG10" s="133">
        <f>商品录入!AG10*$E10</f>
        <v>0</v>
      </c>
      <c r="AH10" s="133">
        <f>商品录入!AH10*$E10</f>
        <v>0</v>
      </c>
      <c r="AI10" s="133">
        <f>商品录入!AI10*$E10</f>
        <v>0</v>
      </c>
      <c r="AJ10" s="133">
        <f>商品录入!AJ10*$E10</f>
        <v>0</v>
      </c>
      <c r="AK10" s="133">
        <f>商品录入!AK10*$E10</f>
        <v>0</v>
      </c>
      <c r="AL10" s="133">
        <f>商品录入!AL10*$E10</f>
        <v>0</v>
      </c>
      <c r="AM10" s="133">
        <f>商品录入!AM10*$E10</f>
        <v>0</v>
      </c>
      <c r="AN10" s="133">
        <f>商品录入!AN10*$E10</f>
        <v>0</v>
      </c>
      <c r="AO10" s="133">
        <f>商品录入!AO10*$E10</f>
        <v>0</v>
      </c>
      <c r="AP10" s="133">
        <f>商品录入!AP10*$E10</f>
        <v>0</v>
      </c>
      <c r="AQ10" s="133">
        <f>商品录入!AQ10*$E10</f>
        <v>0</v>
      </c>
      <c r="AR10" s="133">
        <f>商品录入!AR10*$E10</f>
        <v>0</v>
      </c>
      <c r="AS10" s="133">
        <f>商品录入!AS10*$E10</f>
        <v>0</v>
      </c>
      <c r="AT10" s="133">
        <f>商品录入!AT10*$E10</f>
        <v>0</v>
      </c>
      <c r="AU10" s="133">
        <f>商品录入!AU10*$E10</f>
        <v>0</v>
      </c>
      <c r="AV10" s="133">
        <f>商品录入!AV10*$E10</f>
        <v>0</v>
      </c>
      <c r="AW10" s="133">
        <f>商品录入!AW10*$E10</f>
        <v>0</v>
      </c>
      <c r="AX10" s="133">
        <f>商品录入!AX10*$E10</f>
        <v>0</v>
      </c>
      <c r="AY10" s="133">
        <f>商品录入!AY10*$E10</f>
        <v>0</v>
      </c>
      <c r="AZ10" s="133">
        <f>商品录入!AZ10*$E10</f>
        <v>0</v>
      </c>
      <c r="BA10" s="133">
        <f>商品录入!BA10*$E10</f>
        <v>0</v>
      </c>
      <c r="BB10" s="133">
        <f>商品录入!BB10*$E10</f>
        <v>0</v>
      </c>
      <c r="BC10" s="133">
        <f>商品录入!BC10*$E10</f>
        <v>0</v>
      </c>
      <c r="BD10" s="133">
        <f>商品录入!BD10*$E10</f>
        <v>0</v>
      </c>
      <c r="BE10" s="133">
        <f>商品录入!BE10*$E10</f>
        <v>0</v>
      </c>
      <c r="BF10" s="133">
        <f>商品录入!BF10*$E10</f>
        <v>0</v>
      </c>
      <c r="BG10" s="133">
        <f>商品录入!BG10*$E10</f>
        <v>0</v>
      </c>
      <c r="BH10" s="133">
        <f>商品录入!BH10*$E10</f>
        <v>0</v>
      </c>
      <c r="BI10" s="133">
        <f>商品录入!BI10*$E10</f>
        <v>0</v>
      </c>
      <c r="BJ10" s="133">
        <f>商品录入!BJ10*$E10</f>
        <v>0</v>
      </c>
      <c r="BK10" s="133">
        <f>商品录入!BK10*$E10</f>
        <v>0</v>
      </c>
      <c r="BL10" s="133">
        <f>商品录入!BL10*$E10</f>
        <v>0</v>
      </c>
      <c r="BM10" s="133">
        <f>商品录入!BM10*$E10</f>
        <v>0</v>
      </c>
      <c r="BN10" s="133">
        <f>商品录入!BN10*$E10</f>
        <v>0</v>
      </c>
      <c r="BO10" s="133">
        <f>商品录入!BO10*$E10</f>
        <v>0</v>
      </c>
      <c r="BP10" s="133">
        <f>商品录入!BP10*$E10</f>
        <v>0</v>
      </c>
      <c r="BQ10" s="133">
        <f>商品录入!BQ10*$E10</f>
        <v>0</v>
      </c>
      <c r="BR10" s="133">
        <f>商品录入!BR10*$E10</f>
        <v>0</v>
      </c>
      <c r="BS10" s="133">
        <f>商品录入!BS10*$E10</f>
        <v>0</v>
      </c>
      <c r="BT10" s="133">
        <f>商品录入!BT10*$E10</f>
        <v>0</v>
      </c>
      <c r="BU10" s="133">
        <f>商品录入!BU10*$E10</f>
        <v>0</v>
      </c>
      <c r="BV10" s="133">
        <f>商品录入!BV10*$E10</f>
        <v>0</v>
      </c>
      <c r="BW10" s="133">
        <f>商品录入!BW10*$E10</f>
        <v>0</v>
      </c>
    </row>
    <row r="11" s="178" customFormat="1" customHeight="1" spans="1:75">
      <c r="A11" s="161">
        <v>7</v>
      </c>
      <c r="B11" s="162" t="str">
        <f>商品录入!B11</f>
        <v>香薰液</v>
      </c>
      <c r="C11" s="162" t="str">
        <f>商品录入!C11</f>
        <v>瓶</v>
      </c>
      <c r="D11" s="162">
        <f>商品录入!D11</f>
        <v>0</v>
      </c>
      <c r="E11" s="162">
        <f>商品录入!E11</f>
        <v>176</v>
      </c>
      <c r="F11" s="162">
        <f>商品录入!F11</f>
        <v>0</v>
      </c>
      <c r="G11" s="162">
        <f>商品录入!G11</f>
        <v>0</v>
      </c>
      <c r="H11" s="162">
        <f>商品录入!H11</f>
        <v>9</v>
      </c>
      <c r="I11" s="162">
        <f>商品录入!I11</f>
        <v>1584</v>
      </c>
      <c r="J11" s="162">
        <f>商品录入!J11</f>
        <v>0</v>
      </c>
      <c r="K11" s="162">
        <f>商品录入!K11</f>
        <v>0</v>
      </c>
      <c r="L11" s="162">
        <f>商品录入!L11</f>
        <v>9</v>
      </c>
      <c r="M11" s="162">
        <f>商品录入!M11</f>
        <v>1584</v>
      </c>
      <c r="N11" s="133">
        <f>商品录入!N11*$E11</f>
        <v>1584</v>
      </c>
      <c r="O11" s="133">
        <f>商品录入!O11*$E11</f>
        <v>0</v>
      </c>
      <c r="P11" s="133">
        <f>商品录入!P11*$E11</f>
        <v>0</v>
      </c>
      <c r="Q11" s="133">
        <f>商品录入!Q11*$E11</f>
        <v>0</v>
      </c>
      <c r="R11" s="133">
        <f>商品录入!R11*$E11</f>
        <v>0</v>
      </c>
      <c r="S11" s="133">
        <f>商品录入!S11*$E11</f>
        <v>0</v>
      </c>
      <c r="T11" s="133">
        <f>商品录入!T11*$E11</f>
        <v>0</v>
      </c>
      <c r="U11" s="133">
        <f>商品录入!U11*$E11</f>
        <v>0</v>
      </c>
      <c r="V11" s="133">
        <f>商品录入!V11*$E11</f>
        <v>0</v>
      </c>
      <c r="W11" s="133">
        <f>商品录入!W11*$E11</f>
        <v>0</v>
      </c>
      <c r="X11" s="133">
        <f>商品录入!X11*$E11</f>
        <v>0</v>
      </c>
      <c r="Y11" s="133">
        <f>商品录入!Y11*$E11</f>
        <v>0</v>
      </c>
      <c r="Z11" s="133">
        <f>商品录入!Z11*$E11</f>
        <v>0</v>
      </c>
      <c r="AA11" s="133">
        <f>商品录入!AA11*$E11</f>
        <v>0</v>
      </c>
      <c r="AB11" s="133">
        <f>商品录入!AB11*$E11</f>
        <v>0</v>
      </c>
      <c r="AC11" s="133">
        <f>商品录入!AC11*$E11</f>
        <v>0</v>
      </c>
      <c r="AD11" s="133">
        <f>商品录入!AD11*$E11</f>
        <v>0</v>
      </c>
      <c r="AE11" s="133">
        <f>商品录入!AE11*$E11</f>
        <v>0</v>
      </c>
      <c r="AF11" s="133">
        <f>商品录入!AF11*$E11</f>
        <v>0</v>
      </c>
      <c r="AG11" s="133">
        <f>商品录入!AG11*$E11</f>
        <v>0</v>
      </c>
      <c r="AH11" s="133">
        <f>商品录入!AH11*$E11</f>
        <v>0</v>
      </c>
      <c r="AI11" s="133">
        <f>商品录入!AI11*$E11</f>
        <v>0</v>
      </c>
      <c r="AJ11" s="133">
        <f>商品录入!AJ11*$E11</f>
        <v>0</v>
      </c>
      <c r="AK11" s="133">
        <f>商品录入!AK11*$E11</f>
        <v>0</v>
      </c>
      <c r="AL11" s="133">
        <f>商品录入!AL11*$E11</f>
        <v>0</v>
      </c>
      <c r="AM11" s="133">
        <f>商品录入!AM11*$E11</f>
        <v>0</v>
      </c>
      <c r="AN11" s="133">
        <f>商品录入!AN11*$E11</f>
        <v>0</v>
      </c>
      <c r="AO11" s="133">
        <f>商品录入!AO11*$E11</f>
        <v>0</v>
      </c>
      <c r="AP11" s="133">
        <f>商品录入!AP11*$E11</f>
        <v>0</v>
      </c>
      <c r="AQ11" s="133">
        <f>商品录入!AQ11*$E11</f>
        <v>0</v>
      </c>
      <c r="AR11" s="133">
        <f>商品录入!AR11*$E11</f>
        <v>0</v>
      </c>
      <c r="AS11" s="133">
        <f>商品录入!AS11*$E11</f>
        <v>0</v>
      </c>
      <c r="AT11" s="133">
        <f>商品录入!AT11*$E11</f>
        <v>0</v>
      </c>
      <c r="AU11" s="133">
        <f>商品录入!AU11*$E11</f>
        <v>0</v>
      </c>
      <c r="AV11" s="133">
        <f>商品录入!AV11*$E11</f>
        <v>0</v>
      </c>
      <c r="AW11" s="133">
        <f>商品录入!AW11*$E11</f>
        <v>0</v>
      </c>
      <c r="AX11" s="133">
        <f>商品录入!AX11*$E11</f>
        <v>0</v>
      </c>
      <c r="AY11" s="133">
        <f>商品录入!AY11*$E11</f>
        <v>0</v>
      </c>
      <c r="AZ11" s="133">
        <f>商品录入!AZ11*$E11</f>
        <v>0</v>
      </c>
      <c r="BA11" s="133">
        <f>商品录入!BA11*$E11</f>
        <v>0</v>
      </c>
      <c r="BB11" s="133">
        <f>商品录入!BB11*$E11</f>
        <v>0</v>
      </c>
      <c r="BC11" s="133">
        <f>商品录入!BC11*$E11</f>
        <v>0</v>
      </c>
      <c r="BD11" s="133">
        <f>商品录入!BD11*$E11</f>
        <v>0</v>
      </c>
      <c r="BE11" s="133">
        <f>商品录入!BE11*$E11</f>
        <v>0</v>
      </c>
      <c r="BF11" s="133">
        <f>商品录入!BF11*$E11</f>
        <v>0</v>
      </c>
      <c r="BG11" s="133">
        <f>商品录入!BG11*$E11</f>
        <v>0</v>
      </c>
      <c r="BH11" s="133">
        <f>商品录入!BH11*$E11</f>
        <v>0</v>
      </c>
      <c r="BI11" s="133">
        <f>商品录入!BI11*$E11</f>
        <v>0</v>
      </c>
      <c r="BJ11" s="133">
        <f>商品录入!BJ11*$E11</f>
        <v>0</v>
      </c>
      <c r="BK11" s="133">
        <f>商品录入!BK11*$E11</f>
        <v>0</v>
      </c>
      <c r="BL11" s="133">
        <f>商品录入!BL11*$E11</f>
        <v>0</v>
      </c>
      <c r="BM11" s="133">
        <f>商品录入!BM11*$E11</f>
        <v>0</v>
      </c>
      <c r="BN11" s="133">
        <f>商品录入!BN11*$E11</f>
        <v>0</v>
      </c>
      <c r="BO11" s="133">
        <f>商品录入!BO11*$E11</f>
        <v>0</v>
      </c>
      <c r="BP11" s="133">
        <f>商品录入!BP11*$E11</f>
        <v>0</v>
      </c>
      <c r="BQ11" s="133">
        <f>商品录入!BQ11*$E11</f>
        <v>0</v>
      </c>
      <c r="BR11" s="133">
        <f>商品录入!BR11*$E11</f>
        <v>0</v>
      </c>
      <c r="BS11" s="133">
        <f>商品录入!BS11*$E11</f>
        <v>0</v>
      </c>
      <c r="BT11" s="133">
        <f>商品录入!BT11*$E11</f>
        <v>0</v>
      </c>
      <c r="BU11" s="133">
        <f>商品录入!BU11*$E11</f>
        <v>0</v>
      </c>
      <c r="BV11" s="133">
        <f>商品录入!BV11*$E11</f>
        <v>0</v>
      </c>
      <c r="BW11" s="133">
        <f>商品录入!BW11*$E11</f>
        <v>0</v>
      </c>
    </row>
    <row r="12" s="178" customFormat="1" customHeight="1" spans="1:75">
      <c r="A12" s="161">
        <v>8</v>
      </c>
      <c r="B12" s="162">
        <f>商品录入!B12</f>
        <v>0</v>
      </c>
      <c r="C12" s="162">
        <f>商品录入!C12</f>
        <v>0</v>
      </c>
      <c r="D12" s="162">
        <f>商品录入!D12</f>
        <v>0</v>
      </c>
      <c r="E12" s="162">
        <f>商品录入!E12</f>
        <v>0</v>
      </c>
      <c r="F12" s="162">
        <f>商品录入!F12</f>
        <v>0</v>
      </c>
      <c r="G12" s="162">
        <f>商品录入!G12</f>
        <v>0</v>
      </c>
      <c r="H12" s="162">
        <f>商品录入!H12</f>
        <v>0</v>
      </c>
      <c r="I12" s="162">
        <f>商品录入!I12</f>
        <v>0</v>
      </c>
      <c r="J12" s="162">
        <f>商品录入!J12</f>
        <v>0</v>
      </c>
      <c r="K12" s="162">
        <f>商品录入!K12</f>
        <v>0</v>
      </c>
      <c r="L12" s="162">
        <f>商品录入!L12</f>
        <v>0</v>
      </c>
      <c r="M12" s="162">
        <f>商品录入!M12</f>
        <v>0</v>
      </c>
      <c r="N12" s="133">
        <f>商品录入!N12*$E12</f>
        <v>0</v>
      </c>
      <c r="O12" s="133">
        <f>商品录入!O12*$E12</f>
        <v>0</v>
      </c>
      <c r="P12" s="133">
        <f>商品录入!P12*$E12</f>
        <v>0</v>
      </c>
      <c r="Q12" s="133">
        <f>商品录入!Q12*$E12</f>
        <v>0</v>
      </c>
      <c r="R12" s="133">
        <f>商品录入!R12*$E12</f>
        <v>0</v>
      </c>
      <c r="S12" s="133">
        <f>商品录入!S12*$E12</f>
        <v>0</v>
      </c>
      <c r="T12" s="133">
        <f>商品录入!T12*$E12</f>
        <v>0</v>
      </c>
      <c r="U12" s="133">
        <f>商品录入!U12*$E12</f>
        <v>0</v>
      </c>
      <c r="V12" s="133">
        <f>商品录入!V12*$E12</f>
        <v>0</v>
      </c>
      <c r="W12" s="133">
        <f>商品录入!W12*$E12</f>
        <v>0</v>
      </c>
      <c r="X12" s="133">
        <f>商品录入!X12*$E12</f>
        <v>0</v>
      </c>
      <c r="Y12" s="133">
        <f>商品录入!Y12*$E12</f>
        <v>0</v>
      </c>
      <c r="Z12" s="133">
        <f>商品录入!Z12*$E12</f>
        <v>0</v>
      </c>
      <c r="AA12" s="133">
        <f>商品录入!AA12*$E12</f>
        <v>0</v>
      </c>
      <c r="AB12" s="133">
        <f>商品录入!AB12*$E12</f>
        <v>0</v>
      </c>
      <c r="AC12" s="133">
        <f>商品录入!AC12*$E12</f>
        <v>0</v>
      </c>
      <c r="AD12" s="133">
        <f>商品录入!AD12*$E12</f>
        <v>0</v>
      </c>
      <c r="AE12" s="133">
        <f>商品录入!AE12*$E12</f>
        <v>0</v>
      </c>
      <c r="AF12" s="133">
        <f>商品录入!AF12*$E12</f>
        <v>0</v>
      </c>
      <c r="AG12" s="133">
        <f>商品录入!AG12*$E12</f>
        <v>0</v>
      </c>
      <c r="AH12" s="133">
        <f>商品录入!AH12*$E12</f>
        <v>0</v>
      </c>
      <c r="AI12" s="133">
        <f>商品录入!AI12*$E12</f>
        <v>0</v>
      </c>
      <c r="AJ12" s="133">
        <f>商品录入!AJ12*$E12</f>
        <v>0</v>
      </c>
      <c r="AK12" s="133">
        <f>商品录入!AK12*$E12</f>
        <v>0</v>
      </c>
      <c r="AL12" s="133">
        <f>商品录入!AL12*$E12</f>
        <v>0</v>
      </c>
      <c r="AM12" s="133">
        <f>商品录入!AM12*$E12</f>
        <v>0</v>
      </c>
      <c r="AN12" s="133">
        <f>商品录入!AN12*$E12</f>
        <v>0</v>
      </c>
      <c r="AO12" s="133">
        <f>商品录入!AO12*$E12</f>
        <v>0</v>
      </c>
      <c r="AP12" s="133">
        <f>商品录入!AP12*$E12</f>
        <v>0</v>
      </c>
      <c r="AQ12" s="133">
        <f>商品录入!AQ12*$E12</f>
        <v>0</v>
      </c>
      <c r="AR12" s="133">
        <f>商品录入!AR12*$E12</f>
        <v>0</v>
      </c>
      <c r="AS12" s="133">
        <f>商品录入!AS12*$E12</f>
        <v>0</v>
      </c>
      <c r="AT12" s="133">
        <f>商品录入!AT12*$E12</f>
        <v>0</v>
      </c>
      <c r="AU12" s="133">
        <f>商品录入!AU12*$E12</f>
        <v>0</v>
      </c>
      <c r="AV12" s="133">
        <f>商品录入!AV12*$E12</f>
        <v>0</v>
      </c>
      <c r="AW12" s="133">
        <f>商品录入!AW12*$E12</f>
        <v>0</v>
      </c>
      <c r="AX12" s="133">
        <f>商品录入!AX12*$E12</f>
        <v>0</v>
      </c>
      <c r="AY12" s="133">
        <f>商品录入!AY12*$E12</f>
        <v>0</v>
      </c>
      <c r="AZ12" s="133">
        <f>商品录入!AZ12*$E12</f>
        <v>0</v>
      </c>
      <c r="BA12" s="133">
        <f>商品录入!BA12*$E12</f>
        <v>0</v>
      </c>
      <c r="BB12" s="133">
        <f>商品录入!BB12*$E12</f>
        <v>0</v>
      </c>
      <c r="BC12" s="133">
        <f>商品录入!BC12*$E12</f>
        <v>0</v>
      </c>
      <c r="BD12" s="133">
        <f>商品录入!BD12*$E12</f>
        <v>0</v>
      </c>
      <c r="BE12" s="133">
        <f>商品录入!BE12*$E12</f>
        <v>0</v>
      </c>
      <c r="BF12" s="133">
        <f>商品录入!BF12*$E12</f>
        <v>0</v>
      </c>
      <c r="BG12" s="133">
        <f>商品录入!BG12*$E12</f>
        <v>0</v>
      </c>
      <c r="BH12" s="133">
        <f>商品录入!BH12*$E12</f>
        <v>0</v>
      </c>
      <c r="BI12" s="133">
        <f>商品录入!BI12*$E12</f>
        <v>0</v>
      </c>
      <c r="BJ12" s="133">
        <f>商品录入!BJ12*$E12</f>
        <v>0</v>
      </c>
      <c r="BK12" s="133">
        <f>商品录入!BK12*$E12</f>
        <v>0</v>
      </c>
      <c r="BL12" s="133">
        <f>商品录入!BL12*$E12</f>
        <v>0</v>
      </c>
      <c r="BM12" s="133">
        <f>商品录入!BM12*$E12</f>
        <v>0</v>
      </c>
      <c r="BN12" s="133">
        <f>商品录入!BN12*$E12</f>
        <v>0</v>
      </c>
      <c r="BO12" s="133">
        <f>商品录入!BO12*$E12</f>
        <v>0</v>
      </c>
      <c r="BP12" s="133">
        <f>商品录入!BP12*$E12</f>
        <v>0</v>
      </c>
      <c r="BQ12" s="133">
        <f>商品录入!BQ12*$E12</f>
        <v>0</v>
      </c>
      <c r="BR12" s="133">
        <f>商品录入!BR12*$E12</f>
        <v>0</v>
      </c>
      <c r="BS12" s="133">
        <f>商品录入!BS12*$E12</f>
        <v>0</v>
      </c>
      <c r="BT12" s="133">
        <f>商品录入!BT12*$E12</f>
        <v>0</v>
      </c>
      <c r="BU12" s="133">
        <f>商品录入!BU12*$E12</f>
        <v>0</v>
      </c>
      <c r="BV12" s="133">
        <f>商品录入!BV12*$E12</f>
        <v>0</v>
      </c>
      <c r="BW12" s="133">
        <f>商品录入!BW12*$E12</f>
        <v>0</v>
      </c>
    </row>
    <row r="13" s="178" customFormat="1" customHeight="1" spans="1:75">
      <c r="A13" s="161">
        <v>9</v>
      </c>
      <c r="B13" s="162">
        <f>商品录入!B13</f>
        <v>0</v>
      </c>
      <c r="C13" s="162">
        <f>商品录入!C13</f>
        <v>0</v>
      </c>
      <c r="D13" s="162">
        <f>商品录入!D13</f>
        <v>0</v>
      </c>
      <c r="E13" s="162">
        <f>商品录入!E13</f>
        <v>0</v>
      </c>
      <c r="F13" s="162">
        <f>商品录入!F13</f>
        <v>0</v>
      </c>
      <c r="G13" s="162">
        <f>商品录入!G13</f>
        <v>0</v>
      </c>
      <c r="H13" s="162">
        <f>商品录入!H13</f>
        <v>0</v>
      </c>
      <c r="I13" s="162">
        <f>商品录入!I13</f>
        <v>0</v>
      </c>
      <c r="J13" s="162">
        <f>商品录入!J13</f>
        <v>0</v>
      </c>
      <c r="K13" s="162">
        <f>商品录入!K13</f>
        <v>0</v>
      </c>
      <c r="L13" s="162">
        <f>商品录入!L13</f>
        <v>0</v>
      </c>
      <c r="M13" s="162">
        <f>商品录入!M13</f>
        <v>0</v>
      </c>
      <c r="N13" s="133">
        <f>商品录入!N13*$E13</f>
        <v>0</v>
      </c>
      <c r="O13" s="133">
        <f>商品录入!O13*$E13</f>
        <v>0</v>
      </c>
      <c r="P13" s="133">
        <f>商品录入!P13*$E13</f>
        <v>0</v>
      </c>
      <c r="Q13" s="133">
        <f>商品录入!Q13*$E13</f>
        <v>0</v>
      </c>
      <c r="R13" s="133">
        <f>商品录入!R13*$E13</f>
        <v>0</v>
      </c>
      <c r="S13" s="133">
        <f>商品录入!S13*$E13</f>
        <v>0</v>
      </c>
      <c r="T13" s="133">
        <f>商品录入!T13*$E13</f>
        <v>0</v>
      </c>
      <c r="U13" s="133">
        <f>商品录入!U13*$E13</f>
        <v>0</v>
      </c>
      <c r="V13" s="133">
        <f>商品录入!V13*$E13</f>
        <v>0</v>
      </c>
      <c r="W13" s="133">
        <f>商品录入!W13*$E13</f>
        <v>0</v>
      </c>
      <c r="X13" s="133">
        <f>商品录入!X13*$E13</f>
        <v>0</v>
      </c>
      <c r="Y13" s="133">
        <f>商品录入!Y13*$E13</f>
        <v>0</v>
      </c>
      <c r="Z13" s="133">
        <f>商品录入!Z13*$E13</f>
        <v>0</v>
      </c>
      <c r="AA13" s="133">
        <f>商品录入!AA13*$E13</f>
        <v>0</v>
      </c>
      <c r="AB13" s="133">
        <f>商品录入!AB13*$E13</f>
        <v>0</v>
      </c>
      <c r="AC13" s="133">
        <f>商品录入!AC13*$E13</f>
        <v>0</v>
      </c>
      <c r="AD13" s="133">
        <f>商品录入!AD13*$E13</f>
        <v>0</v>
      </c>
      <c r="AE13" s="133">
        <f>商品录入!AE13*$E13</f>
        <v>0</v>
      </c>
      <c r="AF13" s="133">
        <f>商品录入!AF13*$E13</f>
        <v>0</v>
      </c>
      <c r="AG13" s="133">
        <f>商品录入!AG13*$E13</f>
        <v>0</v>
      </c>
      <c r="AH13" s="133">
        <f>商品录入!AH13*$E13</f>
        <v>0</v>
      </c>
      <c r="AI13" s="133">
        <f>商品录入!AI13*$E13</f>
        <v>0</v>
      </c>
      <c r="AJ13" s="133">
        <f>商品录入!AJ13*$E13</f>
        <v>0</v>
      </c>
      <c r="AK13" s="133">
        <f>商品录入!AK13*$E13</f>
        <v>0</v>
      </c>
      <c r="AL13" s="133">
        <f>商品录入!AL13*$E13</f>
        <v>0</v>
      </c>
      <c r="AM13" s="133">
        <f>商品录入!AM13*$E13</f>
        <v>0</v>
      </c>
      <c r="AN13" s="133">
        <f>商品录入!AN13*$E13</f>
        <v>0</v>
      </c>
      <c r="AO13" s="133">
        <f>商品录入!AO13*$E13</f>
        <v>0</v>
      </c>
      <c r="AP13" s="133">
        <f>商品录入!AP13*$E13</f>
        <v>0</v>
      </c>
      <c r="AQ13" s="133">
        <f>商品录入!AQ13*$E13</f>
        <v>0</v>
      </c>
      <c r="AR13" s="133">
        <f>商品录入!AR13*$E13</f>
        <v>0</v>
      </c>
      <c r="AS13" s="133">
        <f>商品录入!AS13*$E13</f>
        <v>0</v>
      </c>
      <c r="AT13" s="133">
        <f>商品录入!AT13*$E13</f>
        <v>0</v>
      </c>
      <c r="AU13" s="133">
        <f>商品录入!AU13*$E13</f>
        <v>0</v>
      </c>
      <c r="AV13" s="133">
        <f>商品录入!AV13*$E13</f>
        <v>0</v>
      </c>
      <c r="AW13" s="133">
        <f>商品录入!AW13*$E13</f>
        <v>0</v>
      </c>
      <c r="AX13" s="133">
        <f>商品录入!AX13*$E13</f>
        <v>0</v>
      </c>
      <c r="AY13" s="133">
        <f>商品录入!AY13*$E13</f>
        <v>0</v>
      </c>
      <c r="AZ13" s="133">
        <f>商品录入!AZ13*$E13</f>
        <v>0</v>
      </c>
      <c r="BA13" s="133">
        <f>商品录入!BA13*$E13</f>
        <v>0</v>
      </c>
      <c r="BB13" s="133">
        <f>商品录入!BB13*$E13</f>
        <v>0</v>
      </c>
      <c r="BC13" s="133">
        <f>商品录入!BC13*$E13</f>
        <v>0</v>
      </c>
      <c r="BD13" s="133">
        <f>商品录入!BD13*$E13</f>
        <v>0</v>
      </c>
      <c r="BE13" s="133">
        <f>商品录入!BE13*$E13</f>
        <v>0</v>
      </c>
      <c r="BF13" s="133">
        <f>商品录入!BF13*$E13</f>
        <v>0</v>
      </c>
      <c r="BG13" s="133">
        <f>商品录入!BG13*$E13</f>
        <v>0</v>
      </c>
      <c r="BH13" s="133">
        <f>商品录入!BH13*$E13</f>
        <v>0</v>
      </c>
      <c r="BI13" s="133">
        <f>商品录入!BI13*$E13</f>
        <v>0</v>
      </c>
      <c r="BJ13" s="133">
        <f>商品录入!BJ13*$E13</f>
        <v>0</v>
      </c>
      <c r="BK13" s="133">
        <f>商品录入!BK13*$E13</f>
        <v>0</v>
      </c>
      <c r="BL13" s="133">
        <f>商品录入!BL13*$E13</f>
        <v>0</v>
      </c>
      <c r="BM13" s="133">
        <f>商品录入!BM13*$E13</f>
        <v>0</v>
      </c>
      <c r="BN13" s="133">
        <f>商品录入!BN13*$E13</f>
        <v>0</v>
      </c>
      <c r="BO13" s="133">
        <f>商品录入!BO13*$E13</f>
        <v>0</v>
      </c>
      <c r="BP13" s="133">
        <f>商品录入!BP13*$E13</f>
        <v>0</v>
      </c>
      <c r="BQ13" s="133">
        <f>商品录入!BQ13*$E13</f>
        <v>0</v>
      </c>
      <c r="BR13" s="133">
        <f>商品录入!BR13*$E13</f>
        <v>0</v>
      </c>
      <c r="BS13" s="133">
        <f>商品录入!BS13*$E13</f>
        <v>0</v>
      </c>
      <c r="BT13" s="133">
        <f>商品录入!BT13*$E13</f>
        <v>0</v>
      </c>
      <c r="BU13" s="133">
        <f>商品录入!BU13*$E13</f>
        <v>0</v>
      </c>
      <c r="BV13" s="133">
        <f>商品录入!BV13*$E13</f>
        <v>0</v>
      </c>
      <c r="BW13" s="133">
        <f>商品录入!BW13*$E13</f>
        <v>0</v>
      </c>
    </row>
    <row r="14" s="178" customFormat="1" customHeight="1" spans="1:75">
      <c r="A14" s="161">
        <v>10</v>
      </c>
      <c r="B14" s="162">
        <f>商品录入!B14</f>
        <v>0</v>
      </c>
      <c r="C14" s="162">
        <f>商品录入!C14</f>
        <v>0</v>
      </c>
      <c r="D14" s="162">
        <f>商品录入!D14</f>
        <v>0</v>
      </c>
      <c r="E14" s="162">
        <f>商品录入!E14</f>
        <v>0</v>
      </c>
      <c r="F14" s="162">
        <f>商品录入!F14</f>
        <v>0</v>
      </c>
      <c r="G14" s="162">
        <f>商品录入!G14</f>
        <v>0</v>
      </c>
      <c r="H14" s="162">
        <f>商品录入!H14</f>
        <v>0</v>
      </c>
      <c r="I14" s="162">
        <f>商品录入!I14</f>
        <v>0</v>
      </c>
      <c r="J14" s="162">
        <f>商品录入!J14</f>
        <v>0</v>
      </c>
      <c r="K14" s="162">
        <f>商品录入!K14</f>
        <v>0</v>
      </c>
      <c r="L14" s="162">
        <f>商品录入!L14</f>
        <v>0</v>
      </c>
      <c r="M14" s="162">
        <f>商品录入!M14</f>
        <v>0</v>
      </c>
      <c r="N14" s="133">
        <f>商品录入!N14*$E14</f>
        <v>0</v>
      </c>
      <c r="O14" s="133">
        <f>商品录入!O14*$E14</f>
        <v>0</v>
      </c>
      <c r="P14" s="133">
        <f>商品录入!P14*$E14</f>
        <v>0</v>
      </c>
      <c r="Q14" s="133">
        <f>商品录入!Q14*$E14</f>
        <v>0</v>
      </c>
      <c r="R14" s="133">
        <f>商品录入!R14*$E14</f>
        <v>0</v>
      </c>
      <c r="S14" s="133">
        <f>商品录入!S14*$E14</f>
        <v>0</v>
      </c>
      <c r="T14" s="133">
        <f>商品录入!T14*$E14</f>
        <v>0</v>
      </c>
      <c r="U14" s="133">
        <f>商品录入!U14*$E14</f>
        <v>0</v>
      </c>
      <c r="V14" s="133">
        <f>商品录入!V14*$E14</f>
        <v>0</v>
      </c>
      <c r="W14" s="133">
        <f>商品录入!W14*$E14</f>
        <v>0</v>
      </c>
      <c r="X14" s="133">
        <f>商品录入!X14*$E14</f>
        <v>0</v>
      </c>
      <c r="Y14" s="133">
        <f>商品录入!Y14*$E14</f>
        <v>0</v>
      </c>
      <c r="Z14" s="133">
        <f>商品录入!Z14*$E14</f>
        <v>0</v>
      </c>
      <c r="AA14" s="133">
        <f>商品录入!AA14*$E14</f>
        <v>0</v>
      </c>
      <c r="AB14" s="133">
        <f>商品录入!AB14*$E14</f>
        <v>0</v>
      </c>
      <c r="AC14" s="133">
        <f>商品录入!AC14*$E14</f>
        <v>0</v>
      </c>
      <c r="AD14" s="133">
        <f>商品录入!AD14*$E14</f>
        <v>0</v>
      </c>
      <c r="AE14" s="133">
        <f>商品录入!AE14*$E14</f>
        <v>0</v>
      </c>
      <c r="AF14" s="133">
        <f>商品录入!AF14*$E14</f>
        <v>0</v>
      </c>
      <c r="AG14" s="133">
        <f>商品录入!AG14*$E14</f>
        <v>0</v>
      </c>
      <c r="AH14" s="133">
        <f>商品录入!AH14*$E14</f>
        <v>0</v>
      </c>
      <c r="AI14" s="133">
        <f>商品录入!AI14*$E14</f>
        <v>0</v>
      </c>
      <c r="AJ14" s="133">
        <f>商品录入!AJ14*$E14</f>
        <v>0</v>
      </c>
      <c r="AK14" s="133">
        <f>商品录入!AK14*$E14</f>
        <v>0</v>
      </c>
      <c r="AL14" s="133">
        <f>商品录入!AL14*$E14</f>
        <v>0</v>
      </c>
      <c r="AM14" s="133">
        <f>商品录入!AM14*$E14</f>
        <v>0</v>
      </c>
      <c r="AN14" s="133">
        <f>商品录入!AN14*$E14</f>
        <v>0</v>
      </c>
      <c r="AO14" s="133">
        <f>商品录入!AO14*$E14</f>
        <v>0</v>
      </c>
      <c r="AP14" s="133">
        <f>商品录入!AP14*$E14</f>
        <v>0</v>
      </c>
      <c r="AQ14" s="133">
        <f>商品录入!AQ14*$E14</f>
        <v>0</v>
      </c>
      <c r="AR14" s="133">
        <f>商品录入!AR14*$E14</f>
        <v>0</v>
      </c>
      <c r="AS14" s="133">
        <f>商品录入!AS14*$E14</f>
        <v>0</v>
      </c>
      <c r="AT14" s="133">
        <f>商品录入!AT14*$E14</f>
        <v>0</v>
      </c>
      <c r="AU14" s="133">
        <f>商品录入!AU14*$E14</f>
        <v>0</v>
      </c>
      <c r="AV14" s="133">
        <f>商品录入!AV14*$E14</f>
        <v>0</v>
      </c>
      <c r="AW14" s="133">
        <f>商品录入!AW14*$E14</f>
        <v>0</v>
      </c>
      <c r="AX14" s="133">
        <f>商品录入!AX14*$E14</f>
        <v>0</v>
      </c>
      <c r="AY14" s="133">
        <f>商品录入!AY14*$E14</f>
        <v>0</v>
      </c>
      <c r="AZ14" s="133">
        <f>商品录入!AZ14*$E14</f>
        <v>0</v>
      </c>
      <c r="BA14" s="133">
        <f>商品录入!BA14*$E14</f>
        <v>0</v>
      </c>
      <c r="BB14" s="133">
        <f>商品录入!BB14*$E14</f>
        <v>0</v>
      </c>
      <c r="BC14" s="133">
        <f>商品录入!BC14*$E14</f>
        <v>0</v>
      </c>
      <c r="BD14" s="133">
        <f>商品录入!BD14*$E14</f>
        <v>0</v>
      </c>
      <c r="BE14" s="133">
        <f>商品录入!BE14*$E14</f>
        <v>0</v>
      </c>
      <c r="BF14" s="133">
        <f>商品录入!BF14*$E14</f>
        <v>0</v>
      </c>
      <c r="BG14" s="133">
        <f>商品录入!BG14*$E14</f>
        <v>0</v>
      </c>
      <c r="BH14" s="133">
        <f>商品录入!BH14*$E14</f>
        <v>0</v>
      </c>
      <c r="BI14" s="133">
        <f>商品录入!BI14*$E14</f>
        <v>0</v>
      </c>
      <c r="BJ14" s="133">
        <f>商品录入!BJ14*$E14</f>
        <v>0</v>
      </c>
      <c r="BK14" s="133">
        <f>商品录入!BK14*$E14</f>
        <v>0</v>
      </c>
      <c r="BL14" s="133">
        <f>商品录入!BL14*$E14</f>
        <v>0</v>
      </c>
      <c r="BM14" s="133">
        <f>商品录入!BM14*$E14</f>
        <v>0</v>
      </c>
      <c r="BN14" s="133">
        <f>商品录入!BN14*$E14</f>
        <v>0</v>
      </c>
      <c r="BO14" s="133">
        <f>商品录入!BO14*$E14</f>
        <v>0</v>
      </c>
      <c r="BP14" s="133">
        <f>商品录入!BP14*$E14</f>
        <v>0</v>
      </c>
      <c r="BQ14" s="133">
        <f>商品录入!BQ14*$E14</f>
        <v>0</v>
      </c>
      <c r="BR14" s="133">
        <f>商品录入!BR14*$E14</f>
        <v>0</v>
      </c>
      <c r="BS14" s="133">
        <f>商品录入!BS14*$E14</f>
        <v>0</v>
      </c>
      <c r="BT14" s="133">
        <f>商品录入!BT14*$E14</f>
        <v>0</v>
      </c>
      <c r="BU14" s="133">
        <f>商品录入!BU14*$E14</f>
        <v>0</v>
      </c>
      <c r="BV14" s="133">
        <f>商品录入!BV14*$E14</f>
        <v>0</v>
      </c>
      <c r="BW14" s="133">
        <f>商品录入!BW14*$E14</f>
        <v>0</v>
      </c>
    </row>
    <row r="15" s="178" customFormat="1" customHeight="1" spans="1:75">
      <c r="A15" s="161">
        <v>11</v>
      </c>
      <c r="B15" s="162">
        <f>商品录入!B15</f>
        <v>0</v>
      </c>
      <c r="C15" s="162">
        <f>商品录入!C15</f>
        <v>0</v>
      </c>
      <c r="D15" s="162">
        <f>商品录入!D15</f>
        <v>0</v>
      </c>
      <c r="E15" s="162">
        <f>商品录入!E15</f>
        <v>0</v>
      </c>
      <c r="F15" s="162">
        <f>商品录入!F15</f>
        <v>0</v>
      </c>
      <c r="G15" s="162">
        <f>商品录入!G15</f>
        <v>0</v>
      </c>
      <c r="H15" s="162">
        <f>商品录入!H15</f>
        <v>0</v>
      </c>
      <c r="I15" s="162">
        <f>商品录入!I15</f>
        <v>0</v>
      </c>
      <c r="J15" s="162">
        <f>商品录入!J15</f>
        <v>0</v>
      </c>
      <c r="K15" s="162">
        <f>商品录入!K15</f>
        <v>0</v>
      </c>
      <c r="L15" s="162">
        <f>商品录入!L15</f>
        <v>0</v>
      </c>
      <c r="M15" s="162">
        <f>商品录入!M15</f>
        <v>0</v>
      </c>
      <c r="N15" s="133">
        <f>商品录入!N15*$E15</f>
        <v>0</v>
      </c>
      <c r="O15" s="133">
        <f>商品录入!O15*$E15</f>
        <v>0</v>
      </c>
      <c r="P15" s="133">
        <f>商品录入!P15*$E15</f>
        <v>0</v>
      </c>
      <c r="Q15" s="133">
        <f>商品录入!Q15*$E15</f>
        <v>0</v>
      </c>
      <c r="R15" s="133">
        <f>商品录入!R15*$E15</f>
        <v>0</v>
      </c>
      <c r="S15" s="133">
        <f>商品录入!S15*$E15</f>
        <v>0</v>
      </c>
      <c r="T15" s="133">
        <f>商品录入!T15*$E15</f>
        <v>0</v>
      </c>
      <c r="U15" s="133">
        <f>商品录入!U15*$E15</f>
        <v>0</v>
      </c>
      <c r="V15" s="133">
        <f>商品录入!V15*$E15</f>
        <v>0</v>
      </c>
      <c r="W15" s="133">
        <f>商品录入!W15*$E15</f>
        <v>0</v>
      </c>
      <c r="X15" s="133">
        <f>商品录入!X15*$E15</f>
        <v>0</v>
      </c>
      <c r="Y15" s="133">
        <f>商品录入!Y15*$E15</f>
        <v>0</v>
      </c>
      <c r="Z15" s="133">
        <f>商品录入!Z15*$E15</f>
        <v>0</v>
      </c>
      <c r="AA15" s="133">
        <f>商品录入!AA15*$E15</f>
        <v>0</v>
      </c>
      <c r="AB15" s="133">
        <f>商品录入!AB15*$E15</f>
        <v>0</v>
      </c>
      <c r="AC15" s="133">
        <f>商品录入!AC15*$E15</f>
        <v>0</v>
      </c>
      <c r="AD15" s="133">
        <f>商品录入!AD15*$E15</f>
        <v>0</v>
      </c>
      <c r="AE15" s="133">
        <f>商品录入!AE15*$E15</f>
        <v>0</v>
      </c>
      <c r="AF15" s="133">
        <f>商品录入!AF15*$E15</f>
        <v>0</v>
      </c>
      <c r="AG15" s="133">
        <f>商品录入!AG15*$E15</f>
        <v>0</v>
      </c>
      <c r="AH15" s="133">
        <f>商品录入!AH15*$E15</f>
        <v>0</v>
      </c>
      <c r="AI15" s="133">
        <f>商品录入!AI15*$E15</f>
        <v>0</v>
      </c>
      <c r="AJ15" s="133">
        <f>商品录入!AJ15*$E15</f>
        <v>0</v>
      </c>
      <c r="AK15" s="133">
        <f>商品录入!AK15*$E15</f>
        <v>0</v>
      </c>
      <c r="AL15" s="133">
        <f>商品录入!AL15*$E15</f>
        <v>0</v>
      </c>
      <c r="AM15" s="133">
        <f>商品录入!AM15*$E15</f>
        <v>0</v>
      </c>
      <c r="AN15" s="133">
        <f>商品录入!AN15*$E15</f>
        <v>0</v>
      </c>
      <c r="AO15" s="133">
        <f>商品录入!AO15*$E15</f>
        <v>0</v>
      </c>
      <c r="AP15" s="133">
        <f>商品录入!AP15*$E15</f>
        <v>0</v>
      </c>
      <c r="AQ15" s="133">
        <f>商品录入!AQ15*$E15</f>
        <v>0</v>
      </c>
      <c r="AR15" s="133">
        <f>商品录入!AR15*$E15</f>
        <v>0</v>
      </c>
      <c r="AS15" s="133">
        <f>商品录入!AS15*$E15</f>
        <v>0</v>
      </c>
      <c r="AT15" s="133">
        <f>商品录入!AT15*$E15</f>
        <v>0</v>
      </c>
      <c r="AU15" s="133">
        <f>商品录入!AU15*$E15</f>
        <v>0</v>
      </c>
      <c r="AV15" s="133">
        <f>商品录入!AV15*$E15</f>
        <v>0</v>
      </c>
      <c r="AW15" s="133">
        <f>商品录入!AW15*$E15</f>
        <v>0</v>
      </c>
      <c r="AX15" s="133">
        <f>商品录入!AX15*$E15</f>
        <v>0</v>
      </c>
      <c r="AY15" s="133">
        <f>商品录入!AY15*$E15</f>
        <v>0</v>
      </c>
      <c r="AZ15" s="133">
        <f>商品录入!AZ15*$E15</f>
        <v>0</v>
      </c>
      <c r="BA15" s="133">
        <f>商品录入!BA15*$E15</f>
        <v>0</v>
      </c>
      <c r="BB15" s="133">
        <f>商品录入!BB15*$E15</f>
        <v>0</v>
      </c>
      <c r="BC15" s="133">
        <f>商品录入!BC15*$E15</f>
        <v>0</v>
      </c>
      <c r="BD15" s="133">
        <f>商品录入!BD15*$E15</f>
        <v>0</v>
      </c>
      <c r="BE15" s="133">
        <f>商品录入!BE15*$E15</f>
        <v>0</v>
      </c>
      <c r="BF15" s="133">
        <f>商品录入!BF15*$E15</f>
        <v>0</v>
      </c>
      <c r="BG15" s="133">
        <f>商品录入!BG15*$E15</f>
        <v>0</v>
      </c>
      <c r="BH15" s="133">
        <f>商品录入!BH15*$E15</f>
        <v>0</v>
      </c>
      <c r="BI15" s="133">
        <f>商品录入!BI15*$E15</f>
        <v>0</v>
      </c>
      <c r="BJ15" s="133">
        <f>商品录入!BJ15*$E15</f>
        <v>0</v>
      </c>
      <c r="BK15" s="133">
        <f>商品录入!BK15*$E15</f>
        <v>0</v>
      </c>
      <c r="BL15" s="133">
        <f>商品录入!BL15*$E15</f>
        <v>0</v>
      </c>
      <c r="BM15" s="133">
        <f>商品录入!BM15*$E15</f>
        <v>0</v>
      </c>
      <c r="BN15" s="133">
        <f>商品录入!BN15*$E15</f>
        <v>0</v>
      </c>
      <c r="BO15" s="133">
        <f>商品录入!BO15*$E15</f>
        <v>0</v>
      </c>
      <c r="BP15" s="133">
        <f>商品录入!BP15*$E15</f>
        <v>0</v>
      </c>
      <c r="BQ15" s="133">
        <f>商品录入!BQ15*$E15</f>
        <v>0</v>
      </c>
      <c r="BR15" s="133">
        <f>商品录入!BR15*$E15</f>
        <v>0</v>
      </c>
      <c r="BS15" s="133">
        <f>商品录入!BS15*$E15</f>
        <v>0</v>
      </c>
      <c r="BT15" s="133">
        <f>商品录入!BT15*$E15</f>
        <v>0</v>
      </c>
      <c r="BU15" s="133">
        <f>商品录入!BU15*$E15</f>
        <v>0</v>
      </c>
      <c r="BV15" s="133">
        <f>商品录入!BV15*$E15</f>
        <v>0</v>
      </c>
      <c r="BW15" s="133">
        <f>商品录入!BW15*$E15</f>
        <v>0</v>
      </c>
    </row>
    <row r="16" s="178" customFormat="1" customHeight="1" spans="1:75">
      <c r="A16" s="161">
        <v>12</v>
      </c>
      <c r="B16" s="162">
        <f>商品录入!B16</f>
        <v>0</v>
      </c>
      <c r="C16" s="162">
        <f>商品录入!C16</f>
        <v>0</v>
      </c>
      <c r="D16" s="162">
        <f>商品录入!D16</f>
        <v>0</v>
      </c>
      <c r="E16" s="162">
        <f>商品录入!E16</f>
        <v>0</v>
      </c>
      <c r="F16" s="162">
        <f>商品录入!F16</f>
        <v>0</v>
      </c>
      <c r="G16" s="162">
        <f>商品录入!G16</f>
        <v>0</v>
      </c>
      <c r="H16" s="162">
        <f>商品录入!H16</f>
        <v>0</v>
      </c>
      <c r="I16" s="162">
        <f>商品录入!I16</f>
        <v>0</v>
      </c>
      <c r="J16" s="162">
        <f>商品录入!J16</f>
        <v>0</v>
      </c>
      <c r="K16" s="162">
        <f>商品录入!K16</f>
        <v>0</v>
      </c>
      <c r="L16" s="162">
        <f>商品录入!L16</f>
        <v>0</v>
      </c>
      <c r="M16" s="162">
        <f>商品录入!M16</f>
        <v>0</v>
      </c>
      <c r="N16" s="133">
        <f>商品录入!N16*$E16</f>
        <v>0</v>
      </c>
      <c r="O16" s="133">
        <f>商品录入!O16*$E16</f>
        <v>0</v>
      </c>
      <c r="P16" s="133">
        <f>商品录入!P16*$E16</f>
        <v>0</v>
      </c>
      <c r="Q16" s="133">
        <f>商品录入!Q16*$E16</f>
        <v>0</v>
      </c>
      <c r="R16" s="133">
        <f>商品录入!R16*$E16</f>
        <v>0</v>
      </c>
      <c r="S16" s="133">
        <f>商品录入!S16*$E16</f>
        <v>0</v>
      </c>
      <c r="T16" s="133">
        <f>商品录入!T16*$E16</f>
        <v>0</v>
      </c>
      <c r="U16" s="133">
        <f>商品录入!U16*$E16</f>
        <v>0</v>
      </c>
      <c r="V16" s="133">
        <f>商品录入!V16*$E16</f>
        <v>0</v>
      </c>
      <c r="W16" s="133">
        <f>商品录入!W16*$E16</f>
        <v>0</v>
      </c>
      <c r="X16" s="133">
        <f>商品录入!X16*$E16</f>
        <v>0</v>
      </c>
      <c r="Y16" s="133">
        <f>商品录入!Y16*$E16</f>
        <v>0</v>
      </c>
      <c r="Z16" s="133">
        <f>商品录入!Z16*$E16</f>
        <v>0</v>
      </c>
      <c r="AA16" s="133">
        <f>商品录入!AA16*$E16</f>
        <v>0</v>
      </c>
      <c r="AB16" s="133">
        <f>商品录入!AB16*$E16</f>
        <v>0</v>
      </c>
      <c r="AC16" s="133">
        <f>商品录入!AC16*$E16</f>
        <v>0</v>
      </c>
      <c r="AD16" s="133">
        <f>商品录入!AD16*$E16</f>
        <v>0</v>
      </c>
      <c r="AE16" s="133">
        <f>商品录入!AE16*$E16</f>
        <v>0</v>
      </c>
      <c r="AF16" s="133">
        <f>商品录入!AF16*$E16</f>
        <v>0</v>
      </c>
      <c r="AG16" s="133">
        <f>商品录入!AG16*$E16</f>
        <v>0</v>
      </c>
      <c r="AH16" s="133">
        <f>商品录入!AH16*$E16</f>
        <v>0</v>
      </c>
      <c r="AI16" s="133">
        <f>商品录入!AI16*$E16</f>
        <v>0</v>
      </c>
      <c r="AJ16" s="133">
        <f>商品录入!AJ16*$E16</f>
        <v>0</v>
      </c>
      <c r="AK16" s="133">
        <f>商品录入!AK16*$E16</f>
        <v>0</v>
      </c>
      <c r="AL16" s="133">
        <f>商品录入!AL16*$E16</f>
        <v>0</v>
      </c>
      <c r="AM16" s="133">
        <f>商品录入!AM16*$E16</f>
        <v>0</v>
      </c>
      <c r="AN16" s="133">
        <f>商品录入!AN16*$E16</f>
        <v>0</v>
      </c>
      <c r="AO16" s="133">
        <f>商品录入!AO16*$E16</f>
        <v>0</v>
      </c>
      <c r="AP16" s="133">
        <f>商品录入!AP16*$E16</f>
        <v>0</v>
      </c>
      <c r="AQ16" s="133">
        <f>商品录入!AQ16*$E16</f>
        <v>0</v>
      </c>
      <c r="AR16" s="133">
        <f>商品录入!AR16*$E16</f>
        <v>0</v>
      </c>
      <c r="AS16" s="133">
        <f>商品录入!AS16*$E16</f>
        <v>0</v>
      </c>
      <c r="AT16" s="133">
        <f>商品录入!AT16*$E16</f>
        <v>0</v>
      </c>
      <c r="AU16" s="133">
        <f>商品录入!AU16*$E16</f>
        <v>0</v>
      </c>
      <c r="AV16" s="133">
        <f>商品录入!AV16*$E16</f>
        <v>0</v>
      </c>
      <c r="AW16" s="133">
        <f>商品录入!AW16*$E16</f>
        <v>0</v>
      </c>
      <c r="AX16" s="133">
        <f>商品录入!AX16*$E16</f>
        <v>0</v>
      </c>
      <c r="AY16" s="133">
        <f>商品录入!AY16*$E16</f>
        <v>0</v>
      </c>
      <c r="AZ16" s="133">
        <f>商品录入!AZ16*$E16</f>
        <v>0</v>
      </c>
      <c r="BA16" s="133">
        <f>商品录入!BA16*$E16</f>
        <v>0</v>
      </c>
      <c r="BB16" s="133">
        <f>商品录入!BB16*$E16</f>
        <v>0</v>
      </c>
      <c r="BC16" s="133">
        <f>商品录入!BC16*$E16</f>
        <v>0</v>
      </c>
      <c r="BD16" s="133">
        <f>商品录入!BD16*$E16</f>
        <v>0</v>
      </c>
      <c r="BE16" s="133">
        <f>商品录入!BE16*$E16</f>
        <v>0</v>
      </c>
      <c r="BF16" s="133">
        <f>商品录入!BF16*$E16</f>
        <v>0</v>
      </c>
      <c r="BG16" s="133">
        <f>商品录入!BG16*$E16</f>
        <v>0</v>
      </c>
      <c r="BH16" s="133">
        <f>商品录入!BH16*$E16</f>
        <v>0</v>
      </c>
      <c r="BI16" s="133">
        <f>商品录入!BI16*$E16</f>
        <v>0</v>
      </c>
      <c r="BJ16" s="133">
        <f>商品录入!BJ16*$E16</f>
        <v>0</v>
      </c>
      <c r="BK16" s="133">
        <f>商品录入!BK16*$E16</f>
        <v>0</v>
      </c>
      <c r="BL16" s="133">
        <f>商品录入!BL16*$E16</f>
        <v>0</v>
      </c>
      <c r="BM16" s="133">
        <f>商品录入!BM16*$E16</f>
        <v>0</v>
      </c>
      <c r="BN16" s="133">
        <f>商品录入!BN16*$E16</f>
        <v>0</v>
      </c>
      <c r="BO16" s="133">
        <f>商品录入!BO16*$E16</f>
        <v>0</v>
      </c>
      <c r="BP16" s="133">
        <f>商品录入!BP16*$E16</f>
        <v>0</v>
      </c>
      <c r="BQ16" s="133">
        <f>商品录入!BQ16*$E16</f>
        <v>0</v>
      </c>
      <c r="BR16" s="133">
        <f>商品录入!BR16*$E16</f>
        <v>0</v>
      </c>
      <c r="BS16" s="133">
        <f>商品录入!BS16*$E16</f>
        <v>0</v>
      </c>
      <c r="BT16" s="133">
        <f>商品录入!BT16*$E16</f>
        <v>0</v>
      </c>
      <c r="BU16" s="133">
        <f>商品录入!BU16*$E16</f>
        <v>0</v>
      </c>
      <c r="BV16" s="133">
        <f>商品录入!BV16*$E16</f>
        <v>0</v>
      </c>
      <c r="BW16" s="133">
        <f>商品录入!BW16*$E16</f>
        <v>0</v>
      </c>
    </row>
    <row r="17" s="178" customFormat="1" customHeight="1" spans="1:75">
      <c r="A17" s="161">
        <v>13</v>
      </c>
      <c r="B17" s="162">
        <f>商品录入!B17</f>
        <v>0</v>
      </c>
      <c r="C17" s="162">
        <f>商品录入!C17</f>
        <v>0</v>
      </c>
      <c r="D17" s="162">
        <f>商品录入!D17</f>
        <v>0</v>
      </c>
      <c r="E17" s="162">
        <f>商品录入!E17</f>
        <v>0</v>
      </c>
      <c r="F17" s="162">
        <f>商品录入!F17</f>
        <v>0</v>
      </c>
      <c r="G17" s="162">
        <f>商品录入!G17</f>
        <v>0</v>
      </c>
      <c r="H17" s="162">
        <f>商品录入!H17</f>
        <v>0</v>
      </c>
      <c r="I17" s="162">
        <f>商品录入!I17</f>
        <v>0</v>
      </c>
      <c r="J17" s="162">
        <f>商品录入!J17</f>
        <v>0</v>
      </c>
      <c r="K17" s="162">
        <f>商品录入!K17</f>
        <v>0</v>
      </c>
      <c r="L17" s="162">
        <f>商品录入!L17</f>
        <v>0</v>
      </c>
      <c r="M17" s="162">
        <f>商品录入!M17</f>
        <v>0</v>
      </c>
      <c r="N17" s="133">
        <f>商品录入!N17*$E17</f>
        <v>0</v>
      </c>
      <c r="O17" s="133">
        <f>商品录入!O17*$E17</f>
        <v>0</v>
      </c>
      <c r="P17" s="133">
        <f>商品录入!P17*$E17</f>
        <v>0</v>
      </c>
      <c r="Q17" s="133">
        <f>商品录入!Q17*$E17</f>
        <v>0</v>
      </c>
      <c r="R17" s="133">
        <f>商品录入!R17*$E17</f>
        <v>0</v>
      </c>
      <c r="S17" s="133">
        <f>商品录入!S17*$E17</f>
        <v>0</v>
      </c>
      <c r="T17" s="133">
        <f>商品录入!T17*$E17</f>
        <v>0</v>
      </c>
      <c r="U17" s="133">
        <f>商品录入!U17*$E17</f>
        <v>0</v>
      </c>
      <c r="V17" s="133">
        <f>商品录入!V17*$E17</f>
        <v>0</v>
      </c>
      <c r="W17" s="133">
        <f>商品录入!W17*$E17</f>
        <v>0</v>
      </c>
      <c r="X17" s="133">
        <f>商品录入!X17*$E17</f>
        <v>0</v>
      </c>
      <c r="Y17" s="133">
        <f>商品录入!Y17*$E17</f>
        <v>0</v>
      </c>
      <c r="Z17" s="133">
        <f>商品录入!Z17*$E17</f>
        <v>0</v>
      </c>
      <c r="AA17" s="133">
        <f>商品录入!AA17*$E17</f>
        <v>0</v>
      </c>
      <c r="AB17" s="133">
        <f>商品录入!AB17*$E17</f>
        <v>0</v>
      </c>
      <c r="AC17" s="133">
        <f>商品录入!AC17*$E17</f>
        <v>0</v>
      </c>
      <c r="AD17" s="133">
        <f>商品录入!AD17*$E17</f>
        <v>0</v>
      </c>
      <c r="AE17" s="133">
        <f>商品录入!AE17*$E17</f>
        <v>0</v>
      </c>
      <c r="AF17" s="133">
        <f>商品录入!AF17*$E17</f>
        <v>0</v>
      </c>
      <c r="AG17" s="133">
        <f>商品录入!AG17*$E17</f>
        <v>0</v>
      </c>
      <c r="AH17" s="133">
        <f>商品录入!AH17*$E17</f>
        <v>0</v>
      </c>
      <c r="AI17" s="133">
        <f>商品录入!AI17*$E17</f>
        <v>0</v>
      </c>
      <c r="AJ17" s="133">
        <f>商品录入!AJ17*$E17</f>
        <v>0</v>
      </c>
      <c r="AK17" s="133">
        <f>商品录入!AK17*$E17</f>
        <v>0</v>
      </c>
      <c r="AL17" s="133">
        <f>商品录入!AL17*$E17</f>
        <v>0</v>
      </c>
      <c r="AM17" s="133">
        <f>商品录入!AM17*$E17</f>
        <v>0</v>
      </c>
      <c r="AN17" s="133">
        <f>商品录入!AN17*$E17</f>
        <v>0</v>
      </c>
      <c r="AO17" s="133">
        <f>商品录入!AO17*$E17</f>
        <v>0</v>
      </c>
      <c r="AP17" s="133">
        <f>商品录入!AP17*$E17</f>
        <v>0</v>
      </c>
      <c r="AQ17" s="133">
        <f>商品录入!AQ17*$E17</f>
        <v>0</v>
      </c>
      <c r="AR17" s="133">
        <f>商品录入!AR17*$E17</f>
        <v>0</v>
      </c>
      <c r="AS17" s="133">
        <f>商品录入!AS17*$E17</f>
        <v>0</v>
      </c>
      <c r="AT17" s="133">
        <f>商品录入!AT17*$E17</f>
        <v>0</v>
      </c>
      <c r="AU17" s="133">
        <f>商品录入!AU17*$E17</f>
        <v>0</v>
      </c>
      <c r="AV17" s="133">
        <f>商品录入!AV17*$E17</f>
        <v>0</v>
      </c>
      <c r="AW17" s="133">
        <f>商品录入!AW17*$E17</f>
        <v>0</v>
      </c>
      <c r="AX17" s="133">
        <f>商品录入!AX17*$E17</f>
        <v>0</v>
      </c>
      <c r="AY17" s="133">
        <f>商品录入!AY17*$E17</f>
        <v>0</v>
      </c>
      <c r="AZ17" s="133">
        <f>商品录入!AZ17*$E17</f>
        <v>0</v>
      </c>
      <c r="BA17" s="133">
        <f>商品录入!BA17*$E17</f>
        <v>0</v>
      </c>
      <c r="BB17" s="133">
        <f>商品录入!BB17*$E17</f>
        <v>0</v>
      </c>
      <c r="BC17" s="133">
        <f>商品录入!BC17*$E17</f>
        <v>0</v>
      </c>
      <c r="BD17" s="133">
        <f>商品录入!BD17*$E17</f>
        <v>0</v>
      </c>
      <c r="BE17" s="133">
        <f>商品录入!BE17*$E17</f>
        <v>0</v>
      </c>
      <c r="BF17" s="133">
        <f>商品录入!BF17*$E17</f>
        <v>0</v>
      </c>
      <c r="BG17" s="133">
        <f>商品录入!BG17*$E17</f>
        <v>0</v>
      </c>
      <c r="BH17" s="133">
        <f>商品录入!BH17*$E17</f>
        <v>0</v>
      </c>
      <c r="BI17" s="133">
        <f>商品录入!BI17*$E17</f>
        <v>0</v>
      </c>
      <c r="BJ17" s="133">
        <f>商品录入!BJ17*$E17</f>
        <v>0</v>
      </c>
      <c r="BK17" s="133">
        <f>商品录入!BK17*$E17</f>
        <v>0</v>
      </c>
      <c r="BL17" s="133">
        <f>商品录入!BL17*$E17</f>
        <v>0</v>
      </c>
      <c r="BM17" s="133">
        <f>商品录入!BM17*$E17</f>
        <v>0</v>
      </c>
      <c r="BN17" s="133">
        <f>商品录入!BN17*$E17</f>
        <v>0</v>
      </c>
      <c r="BO17" s="133">
        <f>商品录入!BO17*$E17</f>
        <v>0</v>
      </c>
      <c r="BP17" s="133">
        <f>商品录入!BP17*$E17</f>
        <v>0</v>
      </c>
      <c r="BQ17" s="133">
        <f>商品录入!BQ17*$E17</f>
        <v>0</v>
      </c>
      <c r="BR17" s="133">
        <f>商品录入!BR17*$E17</f>
        <v>0</v>
      </c>
      <c r="BS17" s="133">
        <f>商品录入!BS17*$E17</f>
        <v>0</v>
      </c>
      <c r="BT17" s="133">
        <f>商品录入!BT17*$E17</f>
        <v>0</v>
      </c>
      <c r="BU17" s="133">
        <f>商品录入!BU17*$E17</f>
        <v>0</v>
      </c>
      <c r="BV17" s="133">
        <f>商品录入!BV17*$E17</f>
        <v>0</v>
      </c>
      <c r="BW17" s="133">
        <f>商品录入!BW17*$E17</f>
        <v>0</v>
      </c>
    </row>
    <row r="18" s="178" customFormat="1" customHeight="1" spans="1:75">
      <c r="A18" s="161">
        <v>14</v>
      </c>
      <c r="B18" s="162">
        <f>商品录入!B18</f>
        <v>0</v>
      </c>
      <c r="C18" s="162">
        <f>商品录入!C18</f>
        <v>0</v>
      </c>
      <c r="D18" s="162">
        <f>商品录入!D18</f>
        <v>0</v>
      </c>
      <c r="E18" s="162">
        <f>商品录入!E18</f>
        <v>0</v>
      </c>
      <c r="F18" s="162">
        <f>商品录入!F18</f>
        <v>0</v>
      </c>
      <c r="G18" s="162">
        <f>商品录入!G18</f>
        <v>0</v>
      </c>
      <c r="H18" s="162">
        <f>商品录入!H18</f>
        <v>0</v>
      </c>
      <c r="I18" s="162">
        <f>商品录入!I18</f>
        <v>0</v>
      </c>
      <c r="J18" s="162">
        <f>商品录入!J18</f>
        <v>0</v>
      </c>
      <c r="K18" s="162">
        <f>商品录入!K18</f>
        <v>0</v>
      </c>
      <c r="L18" s="162">
        <f>商品录入!L18</f>
        <v>0</v>
      </c>
      <c r="M18" s="162">
        <f>商品录入!M18</f>
        <v>0</v>
      </c>
      <c r="N18" s="133">
        <f>商品录入!N18*$E18</f>
        <v>0</v>
      </c>
      <c r="O18" s="133">
        <f>商品录入!O18*$E18</f>
        <v>0</v>
      </c>
      <c r="P18" s="133">
        <f>商品录入!P18*$E18</f>
        <v>0</v>
      </c>
      <c r="Q18" s="133">
        <f>商品录入!Q18*$E18</f>
        <v>0</v>
      </c>
      <c r="R18" s="133">
        <f>商品录入!R18*$E18</f>
        <v>0</v>
      </c>
      <c r="S18" s="133">
        <f>商品录入!S18*$E18</f>
        <v>0</v>
      </c>
      <c r="T18" s="133">
        <f>商品录入!T18*$E18</f>
        <v>0</v>
      </c>
      <c r="U18" s="133">
        <f>商品录入!U18*$E18</f>
        <v>0</v>
      </c>
      <c r="V18" s="133">
        <f>商品录入!V18*$E18</f>
        <v>0</v>
      </c>
      <c r="W18" s="133">
        <f>商品录入!W18*$E18</f>
        <v>0</v>
      </c>
      <c r="X18" s="133">
        <f>商品录入!X18*$E18</f>
        <v>0</v>
      </c>
      <c r="Y18" s="133">
        <f>商品录入!Y18*$E18</f>
        <v>0</v>
      </c>
      <c r="Z18" s="133">
        <f>商品录入!Z18*$E18</f>
        <v>0</v>
      </c>
      <c r="AA18" s="133">
        <f>商品录入!AA18*$E18</f>
        <v>0</v>
      </c>
      <c r="AB18" s="133">
        <f>商品录入!AB18*$E18</f>
        <v>0</v>
      </c>
      <c r="AC18" s="133">
        <f>商品录入!AC18*$E18</f>
        <v>0</v>
      </c>
      <c r="AD18" s="133">
        <f>商品录入!AD18*$E18</f>
        <v>0</v>
      </c>
      <c r="AE18" s="133">
        <f>商品录入!AE18*$E18</f>
        <v>0</v>
      </c>
      <c r="AF18" s="133">
        <f>商品录入!AF18*$E18</f>
        <v>0</v>
      </c>
      <c r="AG18" s="133">
        <f>商品录入!AG18*$E18</f>
        <v>0</v>
      </c>
      <c r="AH18" s="133">
        <f>商品录入!AH18*$E18</f>
        <v>0</v>
      </c>
      <c r="AI18" s="133">
        <f>商品录入!AI18*$E18</f>
        <v>0</v>
      </c>
      <c r="AJ18" s="133">
        <f>商品录入!AJ18*$E18</f>
        <v>0</v>
      </c>
      <c r="AK18" s="133">
        <f>商品录入!AK18*$E18</f>
        <v>0</v>
      </c>
      <c r="AL18" s="133">
        <f>商品录入!AL18*$E18</f>
        <v>0</v>
      </c>
      <c r="AM18" s="133">
        <f>商品录入!AM18*$E18</f>
        <v>0</v>
      </c>
      <c r="AN18" s="133">
        <f>商品录入!AN18*$E18</f>
        <v>0</v>
      </c>
      <c r="AO18" s="133">
        <f>商品录入!AO18*$E18</f>
        <v>0</v>
      </c>
      <c r="AP18" s="133">
        <f>商品录入!AP18*$E18</f>
        <v>0</v>
      </c>
      <c r="AQ18" s="133">
        <f>商品录入!AQ18*$E18</f>
        <v>0</v>
      </c>
      <c r="AR18" s="133">
        <f>商品录入!AR18*$E18</f>
        <v>0</v>
      </c>
      <c r="AS18" s="133">
        <f>商品录入!AS18*$E18</f>
        <v>0</v>
      </c>
      <c r="AT18" s="133">
        <f>商品录入!AT18*$E18</f>
        <v>0</v>
      </c>
      <c r="AU18" s="133">
        <f>商品录入!AU18*$E18</f>
        <v>0</v>
      </c>
      <c r="AV18" s="133">
        <f>商品录入!AV18*$E18</f>
        <v>0</v>
      </c>
      <c r="AW18" s="133">
        <f>商品录入!AW18*$E18</f>
        <v>0</v>
      </c>
      <c r="AX18" s="133">
        <f>商品录入!AX18*$E18</f>
        <v>0</v>
      </c>
      <c r="AY18" s="133">
        <f>商品录入!AY18*$E18</f>
        <v>0</v>
      </c>
      <c r="AZ18" s="133">
        <f>商品录入!AZ18*$E18</f>
        <v>0</v>
      </c>
      <c r="BA18" s="133">
        <f>商品录入!BA18*$E18</f>
        <v>0</v>
      </c>
      <c r="BB18" s="133">
        <f>商品录入!BB18*$E18</f>
        <v>0</v>
      </c>
      <c r="BC18" s="133">
        <f>商品录入!BC18*$E18</f>
        <v>0</v>
      </c>
      <c r="BD18" s="133">
        <f>商品录入!BD18*$E18</f>
        <v>0</v>
      </c>
      <c r="BE18" s="133">
        <f>商品录入!BE18*$E18</f>
        <v>0</v>
      </c>
      <c r="BF18" s="133">
        <f>商品录入!BF18*$E18</f>
        <v>0</v>
      </c>
      <c r="BG18" s="133">
        <f>商品录入!BG18*$E18</f>
        <v>0</v>
      </c>
      <c r="BH18" s="133">
        <f>商品录入!BH18*$E18</f>
        <v>0</v>
      </c>
      <c r="BI18" s="133">
        <f>商品录入!BI18*$E18</f>
        <v>0</v>
      </c>
      <c r="BJ18" s="133">
        <f>商品录入!BJ18*$E18</f>
        <v>0</v>
      </c>
      <c r="BK18" s="133">
        <f>商品录入!BK18*$E18</f>
        <v>0</v>
      </c>
      <c r="BL18" s="133">
        <f>商品录入!BL18*$E18</f>
        <v>0</v>
      </c>
      <c r="BM18" s="133">
        <f>商品录入!BM18*$E18</f>
        <v>0</v>
      </c>
      <c r="BN18" s="133">
        <f>商品录入!BN18*$E18</f>
        <v>0</v>
      </c>
      <c r="BO18" s="133">
        <f>商品录入!BO18*$E18</f>
        <v>0</v>
      </c>
      <c r="BP18" s="133">
        <f>商品录入!BP18*$E18</f>
        <v>0</v>
      </c>
      <c r="BQ18" s="133">
        <f>商品录入!BQ18*$E18</f>
        <v>0</v>
      </c>
      <c r="BR18" s="133">
        <f>商品录入!BR18*$E18</f>
        <v>0</v>
      </c>
      <c r="BS18" s="133">
        <f>商品录入!BS18*$E18</f>
        <v>0</v>
      </c>
      <c r="BT18" s="133">
        <f>商品录入!BT18*$E18</f>
        <v>0</v>
      </c>
      <c r="BU18" s="133">
        <f>商品录入!BU18*$E18</f>
        <v>0</v>
      </c>
      <c r="BV18" s="133">
        <f>商品录入!BV18*$E18</f>
        <v>0</v>
      </c>
      <c r="BW18" s="133">
        <f>商品录入!BW18*$E18</f>
        <v>0</v>
      </c>
    </row>
    <row r="19" s="178" customFormat="1" customHeight="1" spans="1:75">
      <c r="A19" s="161">
        <v>15</v>
      </c>
      <c r="B19" s="162">
        <f>商品录入!B19</f>
        <v>0</v>
      </c>
      <c r="C19" s="162">
        <f>商品录入!C19</f>
        <v>0</v>
      </c>
      <c r="D19" s="162">
        <f>商品录入!D19</f>
        <v>0</v>
      </c>
      <c r="E19" s="162">
        <f>商品录入!E19</f>
        <v>0</v>
      </c>
      <c r="F19" s="162">
        <f>商品录入!F19</f>
        <v>0</v>
      </c>
      <c r="G19" s="162">
        <f>商品录入!G19</f>
        <v>0</v>
      </c>
      <c r="H19" s="162">
        <f>商品录入!H19</f>
        <v>0</v>
      </c>
      <c r="I19" s="162">
        <f>商品录入!I19</f>
        <v>0</v>
      </c>
      <c r="J19" s="162">
        <f>商品录入!J19</f>
        <v>0</v>
      </c>
      <c r="K19" s="162">
        <f>商品录入!K19</f>
        <v>0</v>
      </c>
      <c r="L19" s="162">
        <f>商品录入!L19</f>
        <v>0</v>
      </c>
      <c r="M19" s="162">
        <f>商品录入!M19</f>
        <v>0</v>
      </c>
      <c r="N19" s="133">
        <f>商品录入!N19*$E19</f>
        <v>0</v>
      </c>
      <c r="O19" s="133">
        <f>商品录入!O19*$E19</f>
        <v>0</v>
      </c>
      <c r="P19" s="133">
        <f>商品录入!P19*$E19</f>
        <v>0</v>
      </c>
      <c r="Q19" s="133">
        <f>商品录入!Q19*$E19</f>
        <v>0</v>
      </c>
      <c r="R19" s="133">
        <f>商品录入!R19*$E19</f>
        <v>0</v>
      </c>
      <c r="S19" s="133">
        <f>商品录入!S19*$E19</f>
        <v>0</v>
      </c>
      <c r="T19" s="133">
        <f>商品录入!T19*$E19</f>
        <v>0</v>
      </c>
      <c r="U19" s="133">
        <f>商品录入!U19*$E19</f>
        <v>0</v>
      </c>
      <c r="V19" s="133">
        <f>商品录入!V19*$E19</f>
        <v>0</v>
      </c>
      <c r="W19" s="133">
        <f>商品录入!W19*$E19</f>
        <v>0</v>
      </c>
      <c r="X19" s="133">
        <f>商品录入!X19*$E19</f>
        <v>0</v>
      </c>
      <c r="Y19" s="133">
        <f>商品录入!Y19*$E19</f>
        <v>0</v>
      </c>
      <c r="Z19" s="133">
        <f>商品录入!Z19*$E19</f>
        <v>0</v>
      </c>
      <c r="AA19" s="133">
        <f>商品录入!AA19*$E19</f>
        <v>0</v>
      </c>
      <c r="AB19" s="133">
        <f>商品录入!AB19*$E19</f>
        <v>0</v>
      </c>
      <c r="AC19" s="133">
        <f>商品录入!AC19*$E19</f>
        <v>0</v>
      </c>
      <c r="AD19" s="133">
        <f>商品录入!AD19*$E19</f>
        <v>0</v>
      </c>
      <c r="AE19" s="133">
        <f>商品录入!AE19*$E19</f>
        <v>0</v>
      </c>
      <c r="AF19" s="133">
        <f>商品录入!AF19*$E19</f>
        <v>0</v>
      </c>
      <c r="AG19" s="133">
        <f>商品录入!AG19*$E19</f>
        <v>0</v>
      </c>
      <c r="AH19" s="133">
        <f>商品录入!AH19*$E19</f>
        <v>0</v>
      </c>
      <c r="AI19" s="133">
        <f>商品录入!AI19*$E19</f>
        <v>0</v>
      </c>
      <c r="AJ19" s="133">
        <f>商品录入!AJ19*$E19</f>
        <v>0</v>
      </c>
      <c r="AK19" s="133">
        <f>商品录入!AK19*$E19</f>
        <v>0</v>
      </c>
      <c r="AL19" s="133">
        <f>商品录入!AL19*$E19</f>
        <v>0</v>
      </c>
      <c r="AM19" s="133">
        <f>商品录入!AM19*$E19</f>
        <v>0</v>
      </c>
      <c r="AN19" s="133">
        <f>商品录入!AN19*$E19</f>
        <v>0</v>
      </c>
      <c r="AO19" s="133">
        <f>商品录入!AO19*$E19</f>
        <v>0</v>
      </c>
      <c r="AP19" s="133">
        <f>商品录入!AP19*$E19</f>
        <v>0</v>
      </c>
      <c r="AQ19" s="133">
        <f>商品录入!AQ19*$E19</f>
        <v>0</v>
      </c>
      <c r="AR19" s="133">
        <f>商品录入!AR19*$E19</f>
        <v>0</v>
      </c>
      <c r="AS19" s="133">
        <f>商品录入!AS19*$E19</f>
        <v>0</v>
      </c>
      <c r="AT19" s="133">
        <f>商品录入!AT19*$E19</f>
        <v>0</v>
      </c>
      <c r="AU19" s="133">
        <f>商品录入!AU19*$E19</f>
        <v>0</v>
      </c>
      <c r="AV19" s="133">
        <f>商品录入!AV19*$E19</f>
        <v>0</v>
      </c>
      <c r="AW19" s="133">
        <f>商品录入!AW19*$E19</f>
        <v>0</v>
      </c>
      <c r="AX19" s="133">
        <f>商品录入!AX19*$E19</f>
        <v>0</v>
      </c>
      <c r="AY19" s="133">
        <f>商品录入!AY19*$E19</f>
        <v>0</v>
      </c>
      <c r="AZ19" s="133">
        <f>商品录入!AZ19*$E19</f>
        <v>0</v>
      </c>
      <c r="BA19" s="133">
        <f>商品录入!BA19*$E19</f>
        <v>0</v>
      </c>
      <c r="BB19" s="133">
        <f>商品录入!BB19*$E19</f>
        <v>0</v>
      </c>
      <c r="BC19" s="133">
        <f>商品录入!BC19*$E19</f>
        <v>0</v>
      </c>
      <c r="BD19" s="133">
        <f>商品录入!BD19*$E19</f>
        <v>0</v>
      </c>
      <c r="BE19" s="133">
        <f>商品录入!BE19*$E19</f>
        <v>0</v>
      </c>
      <c r="BF19" s="133">
        <f>商品录入!BF19*$E19</f>
        <v>0</v>
      </c>
      <c r="BG19" s="133">
        <f>商品录入!BG19*$E19</f>
        <v>0</v>
      </c>
      <c r="BH19" s="133">
        <f>商品录入!BH19*$E19</f>
        <v>0</v>
      </c>
      <c r="BI19" s="133">
        <f>商品录入!BI19*$E19</f>
        <v>0</v>
      </c>
      <c r="BJ19" s="133">
        <f>商品录入!BJ19*$E19</f>
        <v>0</v>
      </c>
      <c r="BK19" s="133">
        <f>商品录入!BK19*$E19</f>
        <v>0</v>
      </c>
      <c r="BL19" s="133">
        <f>商品录入!BL19*$E19</f>
        <v>0</v>
      </c>
      <c r="BM19" s="133">
        <f>商品录入!BM19*$E19</f>
        <v>0</v>
      </c>
      <c r="BN19" s="133">
        <f>商品录入!BN19*$E19</f>
        <v>0</v>
      </c>
      <c r="BO19" s="133">
        <f>商品录入!BO19*$E19</f>
        <v>0</v>
      </c>
      <c r="BP19" s="133">
        <f>商品录入!BP19*$E19</f>
        <v>0</v>
      </c>
      <c r="BQ19" s="133">
        <f>商品录入!BQ19*$E19</f>
        <v>0</v>
      </c>
      <c r="BR19" s="133">
        <f>商品录入!BR19*$E19</f>
        <v>0</v>
      </c>
      <c r="BS19" s="133">
        <f>商品录入!BS19*$E19</f>
        <v>0</v>
      </c>
      <c r="BT19" s="133">
        <f>商品录入!BT19*$E19</f>
        <v>0</v>
      </c>
      <c r="BU19" s="133">
        <f>商品录入!BU19*$E19</f>
        <v>0</v>
      </c>
      <c r="BV19" s="133">
        <f>商品录入!BV19*$E19</f>
        <v>0</v>
      </c>
      <c r="BW19" s="133">
        <f>商品录入!BW19*$E19</f>
        <v>0</v>
      </c>
    </row>
    <row r="20" s="178" customFormat="1" customHeight="1" spans="1:75">
      <c r="A20" s="161">
        <v>16</v>
      </c>
      <c r="B20" s="162">
        <f>商品录入!B20</f>
        <v>0</v>
      </c>
      <c r="C20" s="162">
        <f>商品录入!C20</f>
        <v>0</v>
      </c>
      <c r="D20" s="162">
        <f>商品录入!D20</f>
        <v>0</v>
      </c>
      <c r="E20" s="162">
        <f>商品录入!E20</f>
        <v>0</v>
      </c>
      <c r="F20" s="162">
        <f>商品录入!F20</f>
        <v>0</v>
      </c>
      <c r="G20" s="162">
        <f>商品录入!G20</f>
        <v>0</v>
      </c>
      <c r="H20" s="162">
        <f>商品录入!H20</f>
        <v>0</v>
      </c>
      <c r="I20" s="162">
        <f>商品录入!I20</f>
        <v>0</v>
      </c>
      <c r="J20" s="162">
        <f>商品录入!J20</f>
        <v>0</v>
      </c>
      <c r="K20" s="162">
        <f>商品录入!K20</f>
        <v>0</v>
      </c>
      <c r="L20" s="162">
        <f>商品录入!L20</f>
        <v>0</v>
      </c>
      <c r="M20" s="162">
        <f>商品录入!M20</f>
        <v>0</v>
      </c>
      <c r="N20" s="133">
        <f>商品录入!N20*$E20</f>
        <v>0</v>
      </c>
      <c r="O20" s="133">
        <f>商品录入!O20*$E20</f>
        <v>0</v>
      </c>
      <c r="P20" s="133">
        <f>商品录入!P20*$E20</f>
        <v>0</v>
      </c>
      <c r="Q20" s="133">
        <f>商品录入!Q20*$E20</f>
        <v>0</v>
      </c>
      <c r="R20" s="133">
        <f>商品录入!R20*$E20</f>
        <v>0</v>
      </c>
      <c r="S20" s="133">
        <f>商品录入!S20*$E20</f>
        <v>0</v>
      </c>
      <c r="T20" s="133">
        <f>商品录入!T20*$E20</f>
        <v>0</v>
      </c>
      <c r="U20" s="133">
        <f>商品录入!U20*$E20</f>
        <v>0</v>
      </c>
      <c r="V20" s="133">
        <f>商品录入!V20*$E20</f>
        <v>0</v>
      </c>
      <c r="W20" s="133">
        <f>商品录入!W20*$E20</f>
        <v>0</v>
      </c>
      <c r="X20" s="133">
        <f>商品录入!X20*$E20</f>
        <v>0</v>
      </c>
      <c r="Y20" s="133">
        <f>商品录入!Y20*$E20</f>
        <v>0</v>
      </c>
      <c r="Z20" s="133">
        <f>商品录入!Z20*$E20</f>
        <v>0</v>
      </c>
      <c r="AA20" s="133">
        <f>商品录入!AA20*$E20</f>
        <v>0</v>
      </c>
      <c r="AB20" s="133">
        <f>商品录入!AB20*$E20</f>
        <v>0</v>
      </c>
      <c r="AC20" s="133">
        <f>商品录入!AC20*$E20</f>
        <v>0</v>
      </c>
      <c r="AD20" s="133">
        <f>商品录入!AD20*$E20</f>
        <v>0</v>
      </c>
      <c r="AE20" s="133">
        <f>商品录入!AE20*$E20</f>
        <v>0</v>
      </c>
      <c r="AF20" s="133">
        <f>商品录入!AF20*$E20</f>
        <v>0</v>
      </c>
      <c r="AG20" s="133">
        <f>商品录入!AG20*$E20</f>
        <v>0</v>
      </c>
      <c r="AH20" s="133">
        <f>商品录入!AH20*$E20</f>
        <v>0</v>
      </c>
      <c r="AI20" s="133">
        <f>商品录入!AI20*$E20</f>
        <v>0</v>
      </c>
      <c r="AJ20" s="133">
        <f>商品录入!AJ20*$E20</f>
        <v>0</v>
      </c>
      <c r="AK20" s="133">
        <f>商品录入!AK20*$E20</f>
        <v>0</v>
      </c>
      <c r="AL20" s="133">
        <f>商品录入!AL20*$E20</f>
        <v>0</v>
      </c>
      <c r="AM20" s="133">
        <f>商品录入!AM20*$E20</f>
        <v>0</v>
      </c>
      <c r="AN20" s="133">
        <f>商品录入!AN20*$E20</f>
        <v>0</v>
      </c>
      <c r="AO20" s="133">
        <f>商品录入!AO20*$E20</f>
        <v>0</v>
      </c>
      <c r="AP20" s="133">
        <f>商品录入!AP20*$E20</f>
        <v>0</v>
      </c>
      <c r="AQ20" s="133">
        <f>商品录入!AQ20*$E20</f>
        <v>0</v>
      </c>
      <c r="AR20" s="133">
        <f>商品录入!AR20*$E20</f>
        <v>0</v>
      </c>
      <c r="AS20" s="133">
        <f>商品录入!AS20*$E20</f>
        <v>0</v>
      </c>
      <c r="AT20" s="133">
        <f>商品录入!AT20*$E20</f>
        <v>0</v>
      </c>
      <c r="AU20" s="133">
        <f>商品录入!AU20*$E20</f>
        <v>0</v>
      </c>
      <c r="AV20" s="133">
        <f>商品录入!AV20*$E20</f>
        <v>0</v>
      </c>
      <c r="AW20" s="133">
        <f>商品录入!AW20*$E20</f>
        <v>0</v>
      </c>
      <c r="AX20" s="133">
        <f>商品录入!AX20*$E20</f>
        <v>0</v>
      </c>
      <c r="AY20" s="133">
        <f>商品录入!AY20*$E20</f>
        <v>0</v>
      </c>
      <c r="AZ20" s="133">
        <f>商品录入!AZ20*$E20</f>
        <v>0</v>
      </c>
      <c r="BA20" s="133">
        <f>商品录入!BA20*$E20</f>
        <v>0</v>
      </c>
      <c r="BB20" s="133">
        <f>商品录入!BB20*$E20</f>
        <v>0</v>
      </c>
      <c r="BC20" s="133">
        <f>商品录入!BC20*$E20</f>
        <v>0</v>
      </c>
      <c r="BD20" s="133">
        <f>商品录入!BD20*$E20</f>
        <v>0</v>
      </c>
      <c r="BE20" s="133">
        <f>商品录入!BE20*$E20</f>
        <v>0</v>
      </c>
      <c r="BF20" s="133">
        <f>商品录入!BF20*$E20</f>
        <v>0</v>
      </c>
      <c r="BG20" s="133">
        <f>商品录入!BG20*$E20</f>
        <v>0</v>
      </c>
      <c r="BH20" s="133">
        <f>商品录入!BH20*$E20</f>
        <v>0</v>
      </c>
      <c r="BI20" s="133">
        <f>商品录入!BI20*$E20</f>
        <v>0</v>
      </c>
      <c r="BJ20" s="133">
        <f>商品录入!BJ20*$E20</f>
        <v>0</v>
      </c>
      <c r="BK20" s="133">
        <f>商品录入!BK20*$E20</f>
        <v>0</v>
      </c>
      <c r="BL20" s="133">
        <f>商品录入!BL20*$E20</f>
        <v>0</v>
      </c>
      <c r="BM20" s="133">
        <f>商品录入!BM20*$E20</f>
        <v>0</v>
      </c>
      <c r="BN20" s="133">
        <f>商品录入!BN20*$E20</f>
        <v>0</v>
      </c>
      <c r="BO20" s="133">
        <f>商品录入!BO20*$E20</f>
        <v>0</v>
      </c>
      <c r="BP20" s="133">
        <f>商品录入!BP20*$E20</f>
        <v>0</v>
      </c>
      <c r="BQ20" s="133">
        <f>商品录入!BQ20*$E20</f>
        <v>0</v>
      </c>
      <c r="BR20" s="133">
        <f>商品录入!BR20*$E20</f>
        <v>0</v>
      </c>
      <c r="BS20" s="133">
        <f>商品录入!BS20*$E20</f>
        <v>0</v>
      </c>
      <c r="BT20" s="133">
        <f>商品录入!BT20*$E20</f>
        <v>0</v>
      </c>
      <c r="BU20" s="133">
        <f>商品录入!BU20*$E20</f>
        <v>0</v>
      </c>
      <c r="BV20" s="133">
        <f>商品录入!BV20*$E20</f>
        <v>0</v>
      </c>
      <c r="BW20" s="133">
        <f>商品录入!BW20*$E20</f>
        <v>0</v>
      </c>
    </row>
    <row r="21" s="178" customFormat="1" customHeight="1" spans="1:75">
      <c r="A21" s="161">
        <v>17</v>
      </c>
      <c r="B21" s="162">
        <f>商品录入!B21</f>
        <v>0</v>
      </c>
      <c r="C21" s="162">
        <f>商品录入!C21</f>
        <v>0</v>
      </c>
      <c r="D21" s="162">
        <f>商品录入!D21</f>
        <v>0</v>
      </c>
      <c r="E21" s="162">
        <f>商品录入!E21</f>
        <v>0</v>
      </c>
      <c r="F21" s="162">
        <f>商品录入!F21</f>
        <v>0</v>
      </c>
      <c r="G21" s="162">
        <f>商品录入!G21</f>
        <v>0</v>
      </c>
      <c r="H21" s="162">
        <f>商品录入!H21</f>
        <v>0</v>
      </c>
      <c r="I21" s="162">
        <f>商品录入!I21</f>
        <v>0</v>
      </c>
      <c r="J21" s="162">
        <f>商品录入!J21</f>
        <v>0</v>
      </c>
      <c r="K21" s="162">
        <f>商品录入!K21</f>
        <v>0</v>
      </c>
      <c r="L21" s="162">
        <f>商品录入!L21</f>
        <v>0</v>
      </c>
      <c r="M21" s="162">
        <f>商品录入!M21</f>
        <v>0</v>
      </c>
      <c r="N21" s="133">
        <f>商品录入!N21*$E21</f>
        <v>0</v>
      </c>
      <c r="O21" s="133">
        <f>商品录入!O21*$E21</f>
        <v>0</v>
      </c>
      <c r="P21" s="133">
        <f>商品录入!P21*$E21</f>
        <v>0</v>
      </c>
      <c r="Q21" s="133">
        <f>商品录入!Q21*$E21</f>
        <v>0</v>
      </c>
      <c r="R21" s="133">
        <f>商品录入!R21*$E21</f>
        <v>0</v>
      </c>
      <c r="S21" s="133">
        <f>商品录入!S21*$E21</f>
        <v>0</v>
      </c>
      <c r="T21" s="133">
        <f>商品录入!T21*$E21</f>
        <v>0</v>
      </c>
      <c r="U21" s="133">
        <f>商品录入!U21*$E21</f>
        <v>0</v>
      </c>
      <c r="V21" s="133">
        <f>商品录入!V21*$E21</f>
        <v>0</v>
      </c>
      <c r="W21" s="133">
        <f>商品录入!W21*$E21</f>
        <v>0</v>
      </c>
      <c r="X21" s="133">
        <f>商品录入!X21*$E21</f>
        <v>0</v>
      </c>
      <c r="Y21" s="133">
        <f>商品录入!Y21*$E21</f>
        <v>0</v>
      </c>
      <c r="Z21" s="133">
        <f>商品录入!Z21*$E21</f>
        <v>0</v>
      </c>
      <c r="AA21" s="133">
        <f>商品录入!AA21*$E21</f>
        <v>0</v>
      </c>
      <c r="AB21" s="133">
        <f>商品录入!AB21*$E21</f>
        <v>0</v>
      </c>
      <c r="AC21" s="133">
        <f>商品录入!AC21*$E21</f>
        <v>0</v>
      </c>
      <c r="AD21" s="133">
        <f>商品录入!AD21*$E21</f>
        <v>0</v>
      </c>
      <c r="AE21" s="133">
        <f>商品录入!AE21*$E21</f>
        <v>0</v>
      </c>
      <c r="AF21" s="133">
        <f>商品录入!AF21*$E21</f>
        <v>0</v>
      </c>
      <c r="AG21" s="133">
        <f>商品录入!AG21*$E21</f>
        <v>0</v>
      </c>
      <c r="AH21" s="133">
        <f>商品录入!AH21*$E21</f>
        <v>0</v>
      </c>
      <c r="AI21" s="133">
        <f>商品录入!AI21*$E21</f>
        <v>0</v>
      </c>
      <c r="AJ21" s="133">
        <f>商品录入!AJ21*$E21</f>
        <v>0</v>
      </c>
      <c r="AK21" s="133">
        <f>商品录入!AK21*$E21</f>
        <v>0</v>
      </c>
      <c r="AL21" s="133">
        <f>商品录入!AL21*$E21</f>
        <v>0</v>
      </c>
      <c r="AM21" s="133">
        <f>商品录入!AM21*$E21</f>
        <v>0</v>
      </c>
      <c r="AN21" s="133">
        <f>商品录入!AN21*$E21</f>
        <v>0</v>
      </c>
      <c r="AO21" s="133">
        <f>商品录入!AO21*$E21</f>
        <v>0</v>
      </c>
      <c r="AP21" s="133">
        <f>商品录入!AP21*$E21</f>
        <v>0</v>
      </c>
      <c r="AQ21" s="133">
        <f>商品录入!AQ21*$E21</f>
        <v>0</v>
      </c>
      <c r="AR21" s="133">
        <f>商品录入!AR21*$E21</f>
        <v>0</v>
      </c>
      <c r="AS21" s="133">
        <f>商品录入!AS21*$E21</f>
        <v>0</v>
      </c>
      <c r="AT21" s="133">
        <f>商品录入!AT21*$E21</f>
        <v>0</v>
      </c>
      <c r="AU21" s="133">
        <f>商品录入!AU21*$E21</f>
        <v>0</v>
      </c>
      <c r="AV21" s="133">
        <f>商品录入!AV21*$E21</f>
        <v>0</v>
      </c>
      <c r="AW21" s="133">
        <f>商品录入!AW21*$E21</f>
        <v>0</v>
      </c>
      <c r="AX21" s="133">
        <f>商品录入!AX21*$E21</f>
        <v>0</v>
      </c>
      <c r="AY21" s="133">
        <f>商品录入!AY21*$E21</f>
        <v>0</v>
      </c>
      <c r="AZ21" s="133">
        <f>商品录入!AZ21*$E21</f>
        <v>0</v>
      </c>
      <c r="BA21" s="133">
        <f>商品录入!BA21*$E21</f>
        <v>0</v>
      </c>
      <c r="BB21" s="133">
        <f>商品录入!BB21*$E21</f>
        <v>0</v>
      </c>
      <c r="BC21" s="133">
        <f>商品录入!BC21*$E21</f>
        <v>0</v>
      </c>
      <c r="BD21" s="133">
        <f>商品录入!BD21*$E21</f>
        <v>0</v>
      </c>
      <c r="BE21" s="133">
        <f>商品录入!BE21*$E21</f>
        <v>0</v>
      </c>
      <c r="BF21" s="133">
        <f>商品录入!BF21*$E21</f>
        <v>0</v>
      </c>
      <c r="BG21" s="133">
        <f>商品录入!BG21*$E21</f>
        <v>0</v>
      </c>
      <c r="BH21" s="133">
        <f>商品录入!BH21*$E21</f>
        <v>0</v>
      </c>
      <c r="BI21" s="133">
        <f>商品录入!BI21*$E21</f>
        <v>0</v>
      </c>
      <c r="BJ21" s="133">
        <f>商品录入!BJ21*$E21</f>
        <v>0</v>
      </c>
      <c r="BK21" s="133">
        <f>商品录入!BK21*$E21</f>
        <v>0</v>
      </c>
      <c r="BL21" s="133">
        <f>商品录入!BL21*$E21</f>
        <v>0</v>
      </c>
      <c r="BM21" s="133">
        <f>商品录入!BM21*$E21</f>
        <v>0</v>
      </c>
      <c r="BN21" s="133">
        <f>商品录入!BN21*$E21</f>
        <v>0</v>
      </c>
      <c r="BO21" s="133">
        <f>商品录入!BO21*$E21</f>
        <v>0</v>
      </c>
      <c r="BP21" s="133">
        <f>商品录入!BP21*$E21</f>
        <v>0</v>
      </c>
      <c r="BQ21" s="133">
        <f>商品录入!BQ21*$E21</f>
        <v>0</v>
      </c>
      <c r="BR21" s="133">
        <f>商品录入!BR21*$E21</f>
        <v>0</v>
      </c>
      <c r="BS21" s="133">
        <f>商品录入!BS21*$E21</f>
        <v>0</v>
      </c>
      <c r="BT21" s="133">
        <f>商品录入!BT21*$E21</f>
        <v>0</v>
      </c>
      <c r="BU21" s="133">
        <f>商品录入!BU21*$E21</f>
        <v>0</v>
      </c>
      <c r="BV21" s="133">
        <f>商品录入!BV21*$E21</f>
        <v>0</v>
      </c>
      <c r="BW21" s="133">
        <f>商品录入!BW21*$E21</f>
        <v>0</v>
      </c>
    </row>
    <row r="22" s="178" customFormat="1" customHeight="1" spans="1:75">
      <c r="A22" s="161">
        <v>18</v>
      </c>
      <c r="B22" s="162">
        <f>商品录入!B22</f>
        <v>0</v>
      </c>
      <c r="C22" s="162">
        <f>商品录入!C22</f>
        <v>0</v>
      </c>
      <c r="D22" s="162">
        <f>商品录入!D22</f>
        <v>0</v>
      </c>
      <c r="E22" s="162">
        <f>商品录入!E22</f>
        <v>0</v>
      </c>
      <c r="F22" s="162">
        <f>商品录入!F22</f>
        <v>0</v>
      </c>
      <c r="G22" s="162">
        <f>商品录入!G22</f>
        <v>0</v>
      </c>
      <c r="H22" s="162">
        <f>商品录入!H22</f>
        <v>0</v>
      </c>
      <c r="I22" s="162">
        <f>商品录入!I22</f>
        <v>0</v>
      </c>
      <c r="J22" s="162">
        <f>商品录入!J22</f>
        <v>0</v>
      </c>
      <c r="K22" s="162">
        <f>商品录入!K22</f>
        <v>0</v>
      </c>
      <c r="L22" s="162">
        <f>商品录入!L22</f>
        <v>0</v>
      </c>
      <c r="M22" s="162">
        <f>商品录入!M22</f>
        <v>0</v>
      </c>
      <c r="N22" s="133">
        <f>商品录入!N22*$E22</f>
        <v>0</v>
      </c>
      <c r="O22" s="133">
        <f>商品录入!O22*$E22</f>
        <v>0</v>
      </c>
      <c r="P22" s="133">
        <f>商品录入!P22*$E22</f>
        <v>0</v>
      </c>
      <c r="Q22" s="133">
        <f>商品录入!Q22*$E22</f>
        <v>0</v>
      </c>
      <c r="R22" s="133">
        <f>商品录入!R22*$E22</f>
        <v>0</v>
      </c>
      <c r="S22" s="133">
        <f>商品录入!S22*$E22</f>
        <v>0</v>
      </c>
      <c r="T22" s="133">
        <f>商品录入!T22*$E22</f>
        <v>0</v>
      </c>
      <c r="U22" s="133">
        <f>商品录入!U22*$E22</f>
        <v>0</v>
      </c>
      <c r="V22" s="133">
        <f>商品录入!V22*$E22</f>
        <v>0</v>
      </c>
      <c r="W22" s="133">
        <f>商品录入!W22*$E22</f>
        <v>0</v>
      </c>
      <c r="X22" s="133">
        <f>商品录入!X22*$E22</f>
        <v>0</v>
      </c>
      <c r="Y22" s="133">
        <f>商品录入!Y22*$E22</f>
        <v>0</v>
      </c>
      <c r="Z22" s="133">
        <f>商品录入!Z22*$E22</f>
        <v>0</v>
      </c>
      <c r="AA22" s="133">
        <f>商品录入!AA22*$E22</f>
        <v>0</v>
      </c>
      <c r="AB22" s="133">
        <f>商品录入!AB22*$E22</f>
        <v>0</v>
      </c>
      <c r="AC22" s="133">
        <f>商品录入!AC22*$E22</f>
        <v>0</v>
      </c>
      <c r="AD22" s="133">
        <f>商品录入!AD22*$E22</f>
        <v>0</v>
      </c>
      <c r="AE22" s="133">
        <f>商品录入!AE22*$E22</f>
        <v>0</v>
      </c>
      <c r="AF22" s="133">
        <f>商品录入!AF22*$E22</f>
        <v>0</v>
      </c>
      <c r="AG22" s="133">
        <f>商品录入!AG22*$E22</f>
        <v>0</v>
      </c>
      <c r="AH22" s="133">
        <f>商品录入!AH22*$E22</f>
        <v>0</v>
      </c>
      <c r="AI22" s="133">
        <f>商品录入!AI22*$E22</f>
        <v>0</v>
      </c>
      <c r="AJ22" s="133">
        <f>商品录入!AJ22*$E22</f>
        <v>0</v>
      </c>
      <c r="AK22" s="133">
        <f>商品录入!AK22*$E22</f>
        <v>0</v>
      </c>
      <c r="AL22" s="133">
        <f>商品录入!AL22*$E22</f>
        <v>0</v>
      </c>
      <c r="AM22" s="133">
        <f>商品录入!AM22*$E22</f>
        <v>0</v>
      </c>
      <c r="AN22" s="133">
        <f>商品录入!AN22*$E22</f>
        <v>0</v>
      </c>
      <c r="AO22" s="133">
        <f>商品录入!AO22*$E22</f>
        <v>0</v>
      </c>
      <c r="AP22" s="133">
        <f>商品录入!AP22*$E22</f>
        <v>0</v>
      </c>
      <c r="AQ22" s="133">
        <f>商品录入!AQ22*$E22</f>
        <v>0</v>
      </c>
      <c r="AR22" s="133">
        <f>商品录入!AR22*$E22</f>
        <v>0</v>
      </c>
      <c r="AS22" s="133">
        <f>商品录入!AS22*$E22</f>
        <v>0</v>
      </c>
      <c r="AT22" s="133">
        <f>商品录入!AT22*$E22</f>
        <v>0</v>
      </c>
      <c r="AU22" s="133">
        <f>商品录入!AU22*$E22</f>
        <v>0</v>
      </c>
      <c r="AV22" s="133">
        <f>商品录入!AV22*$E22</f>
        <v>0</v>
      </c>
      <c r="AW22" s="133">
        <f>商品录入!AW22*$E22</f>
        <v>0</v>
      </c>
      <c r="AX22" s="133">
        <f>商品录入!AX22*$E22</f>
        <v>0</v>
      </c>
      <c r="AY22" s="133">
        <f>商品录入!AY22*$E22</f>
        <v>0</v>
      </c>
      <c r="AZ22" s="133">
        <f>商品录入!AZ22*$E22</f>
        <v>0</v>
      </c>
      <c r="BA22" s="133">
        <f>商品录入!BA22*$E22</f>
        <v>0</v>
      </c>
      <c r="BB22" s="133">
        <f>商品录入!BB22*$E22</f>
        <v>0</v>
      </c>
      <c r="BC22" s="133">
        <f>商品录入!BC22*$E22</f>
        <v>0</v>
      </c>
      <c r="BD22" s="133">
        <f>商品录入!BD22*$E22</f>
        <v>0</v>
      </c>
      <c r="BE22" s="133">
        <f>商品录入!BE22*$E22</f>
        <v>0</v>
      </c>
      <c r="BF22" s="133">
        <f>商品录入!BF22*$E22</f>
        <v>0</v>
      </c>
      <c r="BG22" s="133">
        <f>商品录入!BG22*$E22</f>
        <v>0</v>
      </c>
      <c r="BH22" s="133">
        <f>商品录入!BH22*$E22</f>
        <v>0</v>
      </c>
      <c r="BI22" s="133">
        <f>商品录入!BI22*$E22</f>
        <v>0</v>
      </c>
      <c r="BJ22" s="133">
        <f>商品录入!BJ22*$E22</f>
        <v>0</v>
      </c>
      <c r="BK22" s="133">
        <f>商品录入!BK22*$E22</f>
        <v>0</v>
      </c>
      <c r="BL22" s="133">
        <f>商品录入!BL22*$E22</f>
        <v>0</v>
      </c>
      <c r="BM22" s="133">
        <f>商品录入!BM22*$E22</f>
        <v>0</v>
      </c>
      <c r="BN22" s="133">
        <f>商品录入!BN22*$E22</f>
        <v>0</v>
      </c>
      <c r="BO22" s="133">
        <f>商品录入!BO22*$E22</f>
        <v>0</v>
      </c>
      <c r="BP22" s="133">
        <f>商品录入!BP22*$E22</f>
        <v>0</v>
      </c>
      <c r="BQ22" s="133">
        <f>商品录入!BQ22*$E22</f>
        <v>0</v>
      </c>
      <c r="BR22" s="133">
        <f>商品录入!BR22*$E22</f>
        <v>0</v>
      </c>
      <c r="BS22" s="133">
        <f>商品录入!BS22*$E22</f>
        <v>0</v>
      </c>
      <c r="BT22" s="133">
        <f>商品录入!BT22*$E22</f>
        <v>0</v>
      </c>
      <c r="BU22" s="133">
        <f>商品录入!BU22*$E22</f>
        <v>0</v>
      </c>
      <c r="BV22" s="133">
        <f>商品录入!BV22*$E22</f>
        <v>0</v>
      </c>
      <c r="BW22" s="133">
        <f>商品录入!BW22*$E22</f>
        <v>0</v>
      </c>
    </row>
    <row r="23" s="178" customFormat="1" customHeight="1" spans="1:75">
      <c r="A23" s="161">
        <v>19</v>
      </c>
      <c r="B23" s="162">
        <f>商品录入!B23</f>
        <v>0</v>
      </c>
      <c r="C23" s="162">
        <f>商品录入!C23</f>
        <v>0</v>
      </c>
      <c r="D23" s="162">
        <f>商品录入!D23</f>
        <v>0</v>
      </c>
      <c r="E23" s="162">
        <f>商品录入!E23</f>
        <v>0</v>
      </c>
      <c r="F23" s="162">
        <f>商品录入!F23</f>
        <v>0</v>
      </c>
      <c r="G23" s="162">
        <f>商品录入!G23</f>
        <v>0</v>
      </c>
      <c r="H23" s="162">
        <f>商品录入!H23</f>
        <v>0</v>
      </c>
      <c r="I23" s="162">
        <f>商品录入!I23</f>
        <v>0</v>
      </c>
      <c r="J23" s="162">
        <f>商品录入!J23</f>
        <v>0</v>
      </c>
      <c r="K23" s="162">
        <f>商品录入!K23</f>
        <v>0</v>
      </c>
      <c r="L23" s="162">
        <f>商品录入!L23</f>
        <v>0</v>
      </c>
      <c r="M23" s="162">
        <f>商品录入!M23</f>
        <v>0</v>
      </c>
      <c r="N23" s="133">
        <f>商品录入!N23*$E23</f>
        <v>0</v>
      </c>
      <c r="O23" s="133">
        <f>商品录入!O23*$E23</f>
        <v>0</v>
      </c>
      <c r="P23" s="133">
        <f>商品录入!P23*$E23</f>
        <v>0</v>
      </c>
      <c r="Q23" s="133">
        <f>商品录入!Q23*$E23</f>
        <v>0</v>
      </c>
      <c r="R23" s="133">
        <f>商品录入!R23*$E23</f>
        <v>0</v>
      </c>
      <c r="S23" s="133">
        <f>商品录入!S23*$E23</f>
        <v>0</v>
      </c>
      <c r="T23" s="133">
        <f>商品录入!T23*$E23</f>
        <v>0</v>
      </c>
      <c r="U23" s="133">
        <f>商品录入!U23*$E23</f>
        <v>0</v>
      </c>
      <c r="V23" s="133">
        <f>商品录入!V23*$E23</f>
        <v>0</v>
      </c>
      <c r="W23" s="133">
        <f>商品录入!W23*$E23</f>
        <v>0</v>
      </c>
      <c r="X23" s="133">
        <f>商品录入!X23*$E23</f>
        <v>0</v>
      </c>
      <c r="Y23" s="133">
        <f>商品录入!Y23*$E23</f>
        <v>0</v>
      </c>
      <c r="Z23" s="133">
        <f>商品录入!Z23*$E23</f>
        <v>0</v>
      </c>
      <c r="AA23" s="133">
        <f>商品录入!AA23*$E23</f>
        <v>0</v>
      </c>
      <c r="AB23" s="133">
        <f>商品录入!AB23*$E23</f>
        <v>0</v>
      </c>
      <c r="AC23" s="133">
        <f>商品录入!AC23*$E23</f>
        <v>0</v>
      </c>
      <c r="AD23" s="133">
        <f>商品录入!AD23*$E23</f>
        <v>0</v>
      </c>
      <c r="AE23" s="133">
        <f>商品录入!AE23*$E23</f>
        <v>0</v>
      </c>
      <c r="AF23" s="133">
        <f>商品录入!AF23*$E23</f>
        <v>0</v>
      </c>
      <c r="AG23" s="133">
        <f>商品录入!AG23*$E23</f>
        <v>0</v>
      </c>
      <c r="AH23" s="133">
        <f>商品录入!AH23*$E23</f>
        <v>0</v>
      </c>
      <c r="AI23" s="133">
        <f>商品录入!AI23*$E23</f>
        <v>0</v>
      </c>
      <c r="AJ23" s="133">
        <f>商品录入!AJ23*$E23</f>
        <v>0</v>
      </c>
      <c r="AK23" s="133">
        <f>商品录入!AK23*$E23</f>
        <v>0</v>
      </c>
      <c r="AL23" s="133">
        <f>商品录入!AL23*$E23</f>
        <v>0</v>
      </c>
      <c r="AM23" s="133">
        <f>商品录入!AM23*$E23</f>
        <v>0</v>
      </c>
      <c r="AN23" s="133">
        <f>商品录入!AN23*$E23</f>
        <v>0</v>
      </c>
      <c r="AO23" s="133">
        <f>商品录入!AO23*$E23</f>
        <v>0</v>
      </c>
      <c r="AP23" s="133">
        <f>商品录入!AP23*$E23</f>
        <v>0</v>
      </c>
      <c r="AQ23" s="133">
        <f>商品录入!AQ23*$E23</f>
        <v>0</v>
      </c>
      <c r="AR23" s="133">
        <f>商品录入!AR23*$E23</f>
        <v>0</v>
      </c>
      <c r="AS23" s="133">
        <f>商品录入!AS23*$E23</f>
        <v>0</v>
      </c>
      <c r="AT23" s="133">
        <f>商品录入!AT23*$E23</f>
        <v>0</v>
      </c>
      <c r="AU23" s="133">
        <f>商品录入!AU23*$E23</f>
        <v>0</v>
      </c>
      <c r="AV23" s="133">
        <f>商品录入!AV23*$E23</f>
        <v>0</v>
      </c>
      <c r="AW23" s="133">
        <f>商品录入!AW23*$E23</f>
        <v>0</v>
      </c>
      <c r="AX23" s="133">
        <f>商品录入!AX23*$E23</f>
        <v>0</v>
      </c>
      <c r="AY23" s="133">
        <f>商品录入!AY23*$E23</f>
        <v>0</v>
      </c>
      <c r="AZ23" s="133">
        <f>商品录入!AZ23*$E23</f>
        <v>0</v>
      </c>
      <c r="BA23" s="133">
        <f>商品录入!BA23*$E23</f>
        <v>0</v>
      </c>
      <c r="BB23" s="133">
        <f>商品录入!BB23*$E23</f>
        <v>0</v>
      </c>
      <c r="BC23" s="133">
        <f>商品录入!BC23*$E23</f>
        <v>0</v>
      </c>
      <c r="BD23" s="133">
        <f>商品录入!BD23*$E23</f>
        <v>0</v>
      </c>
      <c r="BE23" s="133">
        <f>商品录入!BE23*$E23</f>
        <v>0</v>
      </c>
      <c r="BF23" s="133">
        <f>商品录入!BF23*$E23</f>
        <v>0</v>
      </c>
      <c r="BG23" s="133">
        <f>商品录入!BG23*$E23</f>
        <v>0</v>
      </c>
      <c r="BH23" s="133">
        <f>商品录入!BH23*$E23</f>
        <v>0</v>
      </c>
      <c r="BI23" s="133">
        <f>商品录入!BI23*$E23</f>
        <v>0</v>
      </c>
      <c r="BJ23" s="133">
        <f>商品录入!BJ23*$E23</f>
        <v>0</v>
      </c>
      <c r="BK23" s="133">
        <f>商品录入!BK23*$E23</f>
        <v>0</v>
      </c>
      <c r="BL23" s="133">
        <f>商品录入!BL23*$E23</f>
        <v>0</v>
      </c>
      <c r="BM23" s="133">
        <f>商品录入!BM23*$E23</f>
        <v>0</v>
      </c>
      <c r="BN23" s="133">
        <f>商品录入!BN23*$E23</f>
        <v>0</v>
      </c>
      <c r="BO23" s="133">
        <f>商品录入!BO23*$E23</f>
        <v>0</v>
      </c>
      <c r="BP23" s="133">
        <f>商品录入!BP23*$E23</f>
        <v>0</v>
      </c>
      <c r="BQ23" s="133">
        <f>商品录入!BQ23*$E23</f>
        <v>0</v>
      </c>
      <c r="BR23" s="133">
        <f>商品录入!BR23*$E23</f>
        <v>0</v>
      </c>
      <c r="BS23" s="133">
        <f>商品录入!BS23*$E23</f>
        <v>0</v>
      </c>
      <c r="BT23" s="133">
        <f>商品录入!BT23*$E23</f>
        <v>0</v>
      </c>
      <c r="BU23" s="133">
        <f>商品录入!BU23*$E23</f>
        <v>0</v>
      </c>
      <c r="BV23" s="133">
        <f>商品录入!BV23*$E23</f>
        <v>0</v>
      </c>
      <c r="BW23" s="133">
        <f>商品录入!BW23*$E23</f>
        <v>0</v>
      </c>
    </row>
    <row r="24" s="178" customFormat="1" customHeight="1" spans="1:75">
      <c r="A24" s="161">
        <v>20</v>
      </c>
      <c r="B24" s="162">
        <f>商品录入!B24</f>
        <v>0</v>
      </c>
      <c r="C24" s="162">
        <f>商品录入!C24</f>
        <v>0</v>
      </c>
      <c r="D24" s="162">
        <f>商品录入!D24</f>
        <v>0</v>
      </c>
      <c r="E24" s="162">
        <f>商品录入!E24</f>
        <v>0</v>
      </c>
      <c r="F24" s="162">
        <f>商品录入!F24</f>
        <v>0</v>
      </c>
      <c r="G24" s="162">
        <f>商品录入!G24</f>
        <v>0</v>
      </c>
      <c r="H24" s="162">
        <f>商品录入!H24</f>
        <v>0</v>
      </c>
      <c r="I24" s="162">
        <f>商品录入!I24</f>
        <v>0</v>
      </c>
      <c r="J24" s="162">
        <f>商品录入!J24</f>
        <v>0</v>
      </c>
      <c r="K24" s="162">
        <f>商品录入!K24</f>
        <v>0</v>
      </c>
      <c r="L24" s="162">
        <f>商品录入!L24</f>
        <v>0</v>
      </c>
      <c r="M24" s="162">
        <f>商品录入!M24</f>
        <v>0</v>
      </c>
      <c r="N24" s="133">
        <f>商品录入!N24*$E24</f>
        <v>0</v>
      </c>
      <c r="O24" s="133">
        <f>商品录入!O24*$E24</f>
        <v>0</v>
      </c>
      <c r="P24" s="133">
        <f>商品录入!P24*$E24</f>
        <v>0</v>
      </c>
      <c r="Q24" s="133">
        <f>商品录入!Q24*$E24</f>
        <v>0</v>
      </c>
      <c r="R24" s="133">
        <f>商品录入!R24*$E24</f>
        <v>0</v>
      </c>
      <c r="S24" s="133">
        <f>商品录入!S24*$E24</f>
        <v>0</v>
      </c>
      <c r="T24" s="133">
        <f>商品录入!T24*$E24</f>
        <v>0</v>
      </c>
      <c r="U24" s="133">
        <f>商品录入!U24*$E24</f>
        <v>0</v>
      </c>
      <c r="V24" s="133">
        <f>商品录入!V24*$E24</f>
        <v>0</v>
      </c>
      <c r="W24" s="133">
        <f>商品录入!W24*$E24</f>
        <v>0</v>
      </c>
      <c r="X24" s="133">
        <f>商品录入!X24*$E24</f>
        <v>0</v>
      </c>
      <c r="Y24" s="133">
        <f>商品录入!Y24*$E24</f>
        <v>0</v>
      </c>
      <c r="Z24" s="133">
        <f>商品录入!Z24*$E24</f>
        <v>0</v>
      </c>
      <c r="AA24" s="133">
        <f>商品录入!AA24*$E24</f>
        <v>0</v>
      </c>
      <c r="AB24" s="133">
        <f>商品录入!AB24*$E24</f>
        <v>0</v>
      </c>
      <c r="AC24" s="133">
        <f>商品录入!AC24*$E24</f>
        <v>0</v>
      </c>
      <c r="AD24" s="133">
        <f>商品录入!AD24*$E24</f>
        <v>0</v>
      </c>
      <c r="AE24" s="133">
        <f>商品录入!AE24*$E24</f>
        <v>0</v>
      </c>
      <c r="AF24" s="133">
        <f>商品录入!AF24*$E24</f>
        <v>0</v>
      </c>
      <c r="AG24" s="133">
        <f>商品录入!AG24*$E24</f>
        <v>0</v>
      </c>
      <c r="AH24" s="133">
        <f>商品录入!AH24*$E24</f>
        <v>0</v>
      </c>
      <c r="AI24" s="133">
        <f>商品录入!AI24*$E24</f>
        <v>0</v>
      </c>
      <c r="AJ24" s="133">
        <f>商品录入!AJ24*$E24</f>
        <v>0</v>
      </c>
      <c r="AK24" s="133">
        <f>商品录入!AK24*$E24</f>
        <v>0</v>
      </c>
      <c r="AL24" s="133">
        <f>商品录入!AL24*$E24</f>
        <v>0</v>
      </c>
      <c r="AM24" s="133">
        <f>商品录入!AM24*$E24</f>
        <v>0</v>
      </c>
      <c r="AN24" s="133">
        <f>商品录入!AN24*$E24</f>
        <v>0</v>
      </c>
      <c r="AO24" s="133">
        <f>商品录入!AO24*$E24</f>
        <v>0</v>
      </c>
      <c r="AP24" s="133">
        <f>商品录入!AP24*$E24</f>
        <v>0</v>
      </c>
      <c r="AQ24" s="133">
        <f>商品录入!AQ24*$E24</f>
        <v>0</v>
      </c>
      <c r="AR24" s="133">
        <f>商品录入!AR24*$E24</f>
        <v>0</v>
      </c>
      <c r="AS24" s="133">
        <f>商品录入!AS24*$E24</f>
        <v>0</v>
      </c>
      <c r="AT24" s="133">
        <f>商品录入!AT24*$E24</f>
        <v>0</v>
      </c>
      <c r="AU24" s="133">
        <f>商品录入!AU24*$E24</f>
        <v>0</v>
      </c>
      <c r="AV24" s="133">
        <f>商品录入!AV24*$E24</f>
        <v>0</v>
      </c>
      <c r="AW24" s="133">
        <f>商品录入!AW24*$E24</f>
        <v>0</v>
      </c>
      <c r="AX24" s="133">
        <f>商品录入!AX24*$E24</f>
        <v>0</v>
      </c>
      <c r="AY24" s="133">
        <f>商品录入!AY24*$E24</f>
        <v>0</v>
      </c>
      <c r="AZ24" s="133">
        <f>商品录入!AZ24*$E24</f>
        <v>0</v>
      </c>
      <c r="BA24" s="133">
        <f>商品录入!BA24*$E24</f>
        <v>0</v>
      </c>
      <c r="BB24" s="133">
        <f>商品录入!BB24*$E24</f>
        <v>0</v>
      </c>
      <c r="BC24" s="133">
        <f>商品录入!BC24*$E24</f>
        <v>0</v>
      </c>
      <c r="BD24" s="133">
        <f>商品录入!BD24*$E24</f>
        <v>0</v>
      </c>
      <c r="BE24" s="133">
        <f>商品录入!BE24*$E24</f>
        <v>0</v>
      </c>
      <c r="BF24" s="133">
        <f>商品录入!BF24*$E24</f>
        <v>0</v>
      </c>
      <c r="BG24" s="133">
        <f>商品录入!BG24*$E24</f>
        <v>0</v>
      </c>
      <c r="BH24" s="133">
        <f>商品录入!BH24*$E24</f>
        <v>0</v>
      </c>
      <c r="BI24" s="133">
        <f>商品录入!BI24*$E24</f>
        <v>0</v>
      </c>
      <c r="BJ24" s="133">
        <f>商品录入!BJ24*$E24</f>
        <v>0</v>
      </c>
      <c r="BK24" s="133">
        <f>商品录入!BK24*$E24</f>
        <v>0</v>
      </c>
      <c r="BL24" s="133">
        <f>商品录入!BL24*$E24</f>
        <v>0</v>
      </c>
      <c r="BM24" s="133">
        <f>商品录入!BM24*$E24</f>
        <v>0</v>
      </c>
      <c r="BN24" s="133">
        <f>商品录入!BN24*$E24</f>
        <v>0</v>
      </c>
      <c r="BO24" s="133">
        <f>商品录入!BO24*$E24</f>
        <v>0</v>
      </c>
      <c r="BP24" s="133">
        <f>商品录入!BP24*$E24</f>
        <v>0</v>
      </c>
      <c r="BQ24" s="133">
        <f>商品录入!BQ24*$E24</f>
        <v>0</v>
      </c>
      <c r="BR24" s="133">
        <f>商品录入!BR24*$E24</f>
        <v>0</v>
      </c>
      <c r="BS24" s="133">
        <f>商品录入!BS24*$E24</f>
        <v>0</v>
      </c>
      <c r="BT24" s="133">
        <f>商品录入!BT24*$E24</f>
        <v>0</v>
      </c>
      <c r="BU24" s="133">
        <f>商品录入!BU24*$E24</f>
        <v>0</v>
      </c>
      <c r="BV24" s="133">
        <f>商品录入!BV24*$E24</f>
        <v>0</v>
      </c>
      <c r="BW24" s="133">
        <f>商品录入!BW24*$E24</f>
        <v>0</v>
      </c>
    </row>
    <row r="25" s="178" customFormat="1" customHeight="1" spans="1:75">
      <c r="A25" s="161">
        <v>21</v>
      </c>
      <c r="B25" s="162">
        <f>商品录入!B25</f>
        <v>0</v>
      </c>
      <c r="C25" s="162">
        <f>商品录入!C25</f>
        <v>0</v>
      </c>
      <c r="D25" s="162">
        <f>商品录入!D25</f>
        <v>0</v>
      </c>
      <c r="E25" s="162">
        <f>商品录入!E25</f>
        <v>0</v>
      </c>
      <c r="F25" s="162">
        <f>商品录入!F25</f>
        <v>0</v>
      </c>
      <c r="G25" s="162">
        <f>商品录入!G25</f>
        <v>0</v>
      </c>
      <c r="H25" s="162">
        <f>商品录入!H25</f>
        <v>0</v>
      </c>
      <c r="I25" s="162">
        <f>商品录入!I25</f>
        <v>0</v>
      </c>
      <c r="J25" s="162">
        <f>商品录入!J25</f>
        <v>0</v>
      </c>
      <c r="K25" s="162">
        <f>商品录入!K25</f>
        <v>0</v>
      </c>
      <c r="L25" s="162">
        <f>商品录入!L25</f>
        <v>0</v>
      </c>
      <c r="M25" s="162">
        <f>商品录入!M25</f>
        <v>0</v>
      </c>
      <c r="N25" s="133">
        <f>商品录入!N25*$E25</f>
        <v>0</v>
      </c>
      <c r="O25" s="133">
        <f>商品录入!O25*$E25</f>
        <v>0</v>
      </c>
      <c r="P25" s="133">
        <f>商品录入!P25*$E25</f>
        <v>0</v>
      </c>
      <c r="Q25" s="133">
        <f>商品录入!Q25*$E25</f>
        <v>0</v>
      </c>
      <c r="R25" s="133">
        <f>商品录入!R25*$E25</f>
        <v>0</v>
      </c>
      <c r="S25" s="133">
        <f>商品录入!S25*$E25</f>
        <v>0</v>
      </c>
      <c r="T25" s="133">
        <f>商品录入!T25*$E25</f>
        <v>0</v>
      </c>
      <c r="U25" s="133">
        <f>商品录入!U25*$E25</f>
        <v>0</v>
      </c>
      <c r="V25" s="133">
        <f>商品录入!V25*$E25</f>
        <v>0</v>
      </c>
      <c r="W25" s="133">
        <f>商品录入!W25*$E25</f>
        <v>0</v>
      </c>
      <c r="X25" s="133">
        <f>商品录入!X25*$E25</f>
        <v>0</v>
      </c>
      <c r="Y25" s="133">
        <f>商品录入!Y25*$E25</f>
        <v>0</v>
      </c>
      <c r="Z25" s="133">
        <f>商品录入!Z25*$E25</f>
        <v>0</v>
      </c>
      <c r="AA25" s="133">
        <f>商品录入!AA25*$E25</f>
        <v>0</v>
      </c>
      <c r="AB25" s="133">
        <f>商品录入!AB25*$E25</f>
        <v>0</v>
      </c>
      <c r="AC25" s="133">
        <f>商品录入!AC25*$E25</f>
        <v>0</v>
      </c>
      <c r="AD25" s="133">
        <f>商品录入!AD25*$E25</f>
        <v>0</v>
      </c>
      <c r="AE25" s="133">
        <f>商品录入!AE25*$E25</f>
        <v>0</v>
      </c>
      <c r="AF25" s="133">
        <f>商品录入!AF25*$E25</f>
        <v>0</v>
      </c>
      <c r="AG25" s="133">
        <f>商品录入!AG25*$E25</f>
        <v>0</v>
      </c>
      <c r="AH25" s="133">
        <f>商品录入!AH25*$E25</f>
        <v>0</v>
      </c>
      <c r="AI25" s="133">
        <f>商品录入!AI25*$E25</f>
        <v>0</v>
      </c>
      <c r="AJ25" s="133">
        <f>商品录入!AJ25*$E25</f>
        <v>0</v>
      </c>
      <c r="AK25" s="133">
        <f>商品录入!AK25*$E25</f>
        <v>0</v>
      </c>
      <c r="AL25" s="133">
        <f>商品录入!AL25*$E25</f>
        <v>0</v>
      </c>
      <c r="AM25" s="133">
        <f>商品录入!AM25*$E25</f>
        <v>0</v>
      </c>
      <c r="AN25" s="133">
        <f>商品录入!AN25*$E25</f>
        <v>0</v>
      </c>
      <c r="AO25" s="133">
        <f>商品录入!AO25*$E25</f>
        <v>0</v>
      </c>
      <c r="AP25" s="133">
        <f>商品录入!AP25*$E25</f>
        <v>0</v>
      </c>
      <c r="AQ25" s="133">
        <f>商品录入!AQ25*$E25</f>
        <v>0</v>
      </c>
      <c r="AR25" s="133">
        <f>商品录入!AR25*$E25</f>
        <v>0</v>
      </c>
      <c r="AS25" s="133">
        <f>商品录入!AS25*$E25</f>
        <v>0</v>
      </c>
      <c r="AT25" s="133">
        <f>商品录入!AT25*$E25</f>
        <v>0</v>
      </c>
      <c r="AU25" s="133">
        <f>商品录入!AU25*$E25</f>
        <v>0</v>
      </c>
      <c r="AV25" s="133">
        <f>商品录入!AV25*$E25</f>
        <v>0</v>
      </c>
      <c r="AW25" s="133">
        <f>商品录入!AW25*$E25</f>
        <v>0</v>
      </c>
      <c r="AX25" s="133">
        <f>商品录入!AX25*$E25</f>
        <v>0</v>
      </c>
      <c r="AY25" s="133">
        <f>商品录入!AY25*$E25</f>
        <v>0</v>
      </c>
      <c r="AZ25" s="133">
        <f>商品录入!AZ25*$E25</f>
        <v>0</v>
      </c>
      <c r="BA25" s="133">
        <f>商品录入!BA25*$E25</f>
        <v>0</v>
      </c>
      <c r="BB25" s="133">
        <f>商品录入!BB25*$E25</f>
        <v>0</v>
      </c>
      <c r="BC25" s="133">
        <f>商品录入!BC25*$E25</f>
        <v>0</v>
      </c>
      <c r="BD25" s="133">
        <f>商品录入!BD25*$E25</f>
        <v>0</v>
      </c>
      <c r="BE25" s="133">
        <f>商品录入!BE25*$E25</f>
        <v>0</v>
      </c>
      <c r="BF25" s="133">
        <f>商品录入!BF25*$E25</f>
        <v>0</v>
      </c>
      <c r="BG25" s="133">
        <f>商品录入!BG25*$E25</f>
        <v>0</v>
      </c>
      <c r="BH25" s="133">
        <f>商品录入!BH25*$E25</f>
        <v>0</v>
      </c>
      <c r="BI25" s="133">
        <f>商品录入!BI25*$E25</f>
        <v>0</v>
      </c>
      <c r="BJ25" s="133">
        <f>商品录入!BJ25*$E25</f>
        <v>0</v>
      </c>
      <c r="BK25" s="133">
        <f>商品录入!BK25*$E25</f>
        <v>0</v>
      </c>
      <c r="BL25" s="133">
        <f>商品录入!BL25*$E25</f>
        <v>0</v>
      </c>
      <c r="BM25" s="133">
        <f>商品录入!BM25*$E25</f>
        <v>0</v>
      </c>
      <c r="BN25" s="133">
        <f>商品录入!BN25*$E25</f>
        <v>0</v>
      </c>
      <c r="BO25" s="133">
        <f>商品录入!BO25*$E25</f>
        <v>0</v>
      </c>
      <c r="BP25" s="133">
        <f>商品录入!BP25*$E25</f>
        <v>0</v>
      </c>
      <c r="BQ25" s="133">
        <f>商品录入!BQ25*$E25</f>
        <v>0</v>
      </c>
      <c r="BR25" s="133">
        <f>商品录入!BR25*$E25</f>
        <v>0</v>
      </c>
      <c r="BS25" s="133">
        <f>商品录入!BS25*$E25</f>
        <v>0</v>
      </c>
      <c r="BT25" s="133">
        <f>商品录入!BT25*$E25</f>
        <v>0</v>
      </c>
      <c r="BU25" s="133">
        <f>商品录入!BU25*$E25</f>
        <v>0</v>
      </c>
      <c r="BV25" s="133">
        <f>商品录入!BV25*$E25</f>
        <v>0</v>
      </c>
      <c r="BW25" s="133">
        <f>商品录入!BW25*$E25</f>
        <v>0</v>
      </c>
    </row>
    <row r="26" s="178" customFormat="1" customHeight="1" spans="1:75">
      <c r="A26" s="161">
        <v>22</v>
      </c>
      <c r="B26" s="162">
        <f>商品录入!B26</f>
        <v>0</v>
      </c>
      <c r="C26" s="162">
        <f>商品录入!C26</f>
        <v>0</v>
      </c>
      <c r="D26" s="162">
        <f>商品录入!D26</f>
        <v>0</v>
      </c>
      <c r="E26" s="162">
        <f>商品录入!E26</f>
        <v>0</v>
      </c>
      <c r="F26" s="162">
        <f>商品录入!F26</f>
        <v>0</v>
      </c>
      <c r="G26" s="162">
        <f>商品录入!G26</f>
        <v>0</v>
      </c>
      <c r="H26" s="162">
        <f>商品录入!H26</f>
        <v>0</v>
      </c>
      <c r="I26" s="162">
        <f>商品录入!I26</f>
        <v>0</v>
      </c>
      <c r="J26" s="162">
        <f>商品录入!J26</f>
        <v>0</v>
      </c>
      <c r="K26" s="162">
        <f>商品录入!K26</f>
        <v>0</v>
      </c>
      <c r="L26" s="162">
        <f>商品录入!L26</f>
        <v>0</v>
      </c>
      <c r="M26" s="162">
        <f>商品录入!M26</f>
        <v>0</v>
      </c>
      <c r="N26" s="133">
        <f>商品录入!N26*$E26</f>
        <v>0</v>
      </c>
      <c r="O26" s="133">
        <f>商品录入!O26*$E26</f>
        <v>0</v>
      </c>
      <c r="P26" s="133">
        <f>商品录入!P26*$E26</f>
        <v>0</v>
      </c>
      <c r="Q26" s="133">
        <f>商品录入!Q26*$E26</f>
        <v>0</v>
      </c>
      <c r="R26" s="133">
        <f>商品录入!R26*$E26</f>
        <v>0</v>
      </c>
      <c r="S26" s="133">
        <f>商品录入!S26*$E26</f>
        <v>0</v>
      </c>
      <c r="T26" s="133">
        <f>商品录入!T26*$E26</f>
        <v>0</v>
      </c>
      <c r="U26" s="133">
        <f>商品录入!U26*$E26</f>
        <v>0</v>
      </c>
      <c r="V26" s="133">
        <f>商品录入!V26*$E26</f>
        <v>0</v>
      </c>
      <c r="W26" s="133">
        <f>商品录入!W26*$E26</f>
        <v>0</v>
      </c>
      <c r="X26" s="133">
        <f>商品录入!X26*$E26</f>
        <v>0</v>
      </c>
      <c r="Y26" s="133">
        <f>商品录入!Y26*$E26</f>
        <v>0</v>
      </c>
      <c r="Z26" s="133">
        <f>商品录入!Z26*$E26</f>
        <v>0</v>
      </c>
      <c r="AA26" s="133">
        <f>商品录入!AA26*$E26</f>
        <v>0</v>
      </c>
      <c r="AB26" s="133">
        <f>商品录入!AB26*$E26</f>
        <v>0</v>
      </c>
      <c r="AC26" s="133">
        <f>商品录入!AC26*$E26</f>
        <v>0</v>
      </c>
      <c r="AD26" s="133">
        <f>商品录入!AD26*$E26</f>
        <v>0</v>
      </c>
      <c r="AE26" s="133">
        <f>商品录入!AE26*$E26</f>
        <v>0</v>
      </c>
      <c r="AF26" s="133">
        <f>商品录入!AF26*$E26</f>
        <v>0</v>
      </c>
      <c r="AG26" s="133">
        <f>商品录入!AG26*$E26</f>
        <v>0</v>
      </c>
      <c r="AH26" s="133">
        <f>商品录入!AH26*$E26</f>
        <v>0</v>
      </c>
      <c r="AI26" s="133">
        <f>商品录入!AI26*$E26</f>
        <v>0</v>
      </c>
      <c r="AJ26" s="133">
        <f>商品录入!AJ26*$E26</f>
        <v>0</v>
      </c>
      <c r="AK26" s="133">
        <f>商品录入!AK26*$E26</f>
        <v>0</v>
      </c>
      <c r="AL26" s="133">
        <f>商品录入!AL26*$E26</f>
        <v>0</v>
      </c>
      <c r="AM26" s="133">
        <f>商品录入!AM26*$E26</f>
        <v>0</v>
      </c>
      <c r="AN26" s="133">
        <f>商品录入!AN26*$E26</f>
        <v>0</v>
      </c>
      <c r="AO26" s="133">
        <f>商品录入!AO26*$E26</f>
        <v>0</v>
      </c>
      <c r="AP26" s="133">
        <f>商品录入!AP26*$E26</f>
        <v>0</v>
      </c>
      <c r="AQ26" s="133">
        <f>商品录入!AQ26*$E26</f>
        <v>0</v>
      </c>
      <c r="AR26" s="133">
        <f>商品录入!AR26*$E26</f>
        <v>0</v>
      </c>
      <c r="AS26" s="133">
        <f>商品录入!AS26*$E26</f>
        <v>0</v>
      </c>
      <c r="AT26" s="133">
        <f>商品录入!AT26*$E26</f>
        <v>0</v>
      </c>
      <c r="AU26" s="133">
        <f>商品录入!AU26*$E26</f>
        <v>0</v>
      </c>
      <c r="AV26" s="133">
        <f>商品录入!AV26*$E26</f>
        <v>0</v>
      </c>
      <c r="AW26" s="133">
        <f>商品录入!AW26*$E26</f>
        <v>0</v>
      </c>
      <c r="AX26" s="133">
        <f>商品录入!AX26*$E26</f>
        <v>0</v>
      </c>
      <c r="AY26" s="133">
        <f>商品录入!AY26*$E26</f>
        <v>0</v>
      </c>
      <c r="AZ26" s="133">
        <f>商品录入!AZ26*$E26</f>
        <v>0</v>
      </c>
      <c r="BA26" s="133">
        <f>商品录入!BA26*$E26</f>
        <v>0</v>
      </c>
      <c r="BB26" s="133">
        <f>商品录入!BB26*$E26</f>
        <v>0</v>
      </c>
      <c r="BC26" s="133">
        <f>商品录入!BC26*$E26</f>
        <v>0</v>
      </c>
      <c r="BD26" s="133">
        <f>商品录入!BD26*$E26</f>
        <v>0</v>
      </c>
      <c r="BE26" s="133">
        <f>商品录入!BE26*$E26</f>
        <v>0</v>
      </c>
      <c r="BF26" s="133">
        <f>商品录入!BF26*$E26</f>
        <v>0</v>
      </c>
      <c r="BG26" s="133">
        <f>商品录入!BG26*$E26</f>
        <v>0</v>
      </c>
      <c r="BH26" s="133">
        <f>商品录入!BH26*$E26</f>
        <v>0</v>
      </c>
      <c r="BI26" s="133">
        <f>商品录入!BI26*$E26</f>
        <v>0</v>
      </c>
      <c r="BJ26" s="133">
        <f>商品录入!BJ26*$E26</f>
        <v>0</v>
      </c>
      <c r="BK26" s="133">
        <f>商品录入!BK26*$E26</f>
        <v>0</v>
      </c>
      <c r="BL26" s="133">
        <f>商品录入!BL26*$E26</f>
        <v>0</v>
      </c>
      <c r="BM26" s="133">
        <f>商品录入!BM26*$E26</f>
        <v>0</v>
      </c>
      <c r="BN26" s="133">
        <f>商品录入!BN26*$E26</f>
        <v>0</v>
      </c>
      <c r="BO26" s="133">
        <f>商品录入!BO26*$E26</f>
        <v>0</v>
      </c>
      <c r="BP26" s="133">
        <f>商品录入!BP26*$E26</f>
        <v>0</v>
      </c>
      <c r="BQ26" s="133">
        <f>商品录入!BQ26*$E26</f>
        <v>0</v>
      </c>
      <c r="BR26" s="133">
        <f>商品录入!BR26*$E26</f>
        <v>0</v>
      </c>
      <c r="BS26" s="133">
        <f>商品录入!BS26*$E26</f>
        <v>0</v>
      </c>
      <c r="BT26" s="133">
        <f>商品录入!BT26*$E26</f>
        <v>0</v>
      </c>
      <c r="BU26" s="133">
        <f>商品录入!BU26*$E26</f>
        <v>0</v>
      </c>
      <c r="BV26" s="133">
        <f>商品录入!BV26*$E26</f>
        <v>0</v>
      </c>
      <c r="BW26" s="133">
        <f>商品录入!BW26*$E26</f>
        <v>0</v>
      </c>
    </row>
    <row r="27" s="178" customFormat="1" customHeight="1" spans="1:75">
      <c r="A27" s="161">
        <v>23</v>
      </c>
      <c r="B27" s="162">
        <f>商品录入!B27</f>
        <v>0</v>
      </c>
      <c r="C27" s="162">
        <f>商品录入!C27</f>
        <v>0</v>
      </c>
      <c r="D27" s="162">
        <f>商品录入!D27</f>
        <v>0</v>
      </c>
      <c r="E27" s="162">
        <f>商品录入!E27</f>
        <v>0</v>
      </c>
      <c r="F27" s="162">
        <f>商品录入!F27</f>
        <v>0</v>
      </c>
      <c r="G27" s="162">
        <f>商品录入!G27</f>
        <v>0</v>
      </c>
      <c r="H27" s="162">
        <f>商品录入!H27</f>
        <v>0</v>
      </c>
      <c r="I27" s="162">
        <f>商品录入!I27</f>
        <v>0</v>
      </c>
      <c r="J27" s="162">
        <f>商品录入!J27</f>
        <v>0</v>
      </c>
      <c r="K27" s="162">
        <f>商品录入!K27</f>
        <v>0</v>
      </c>
      <c r="L27" s="162">
        <f>商品录入!L27</f>
        <v>0</v>
      </c>
      <c r="M27" s="162">
        <f>商品录入!M27</f>
        <v>0</v>
      </c>
      <c r="N27" s="133">
        <f>商品录入!N27*$E27</f>
        <v>0</v>
      </c>
      <c r="O27" s="133">
        <f>商品录入!O27*$E27</f>
        <v>0</v>
      </c>
      <c r="P27" s="133">
        <f>商品录入!P27*$E27</f>
        <v>0</v>
      </c>
      <c r="Q27" s="133">
        <f>商品录入!Q27*$E27</f>
        <v>0</v>
      </c>
      <c r="R27" s="133">
        <f>商品录入!R27*$E27</f>
        <v>0</v>
      </c>
      <c r="S27" s="133">
        <f>商品录入!S27*$E27</f>
        <v>0</v>
      </c>
      <c r="T27" s="133">
        <f>商品录入!T27*$E27</f>
        <v>0</v>
      </c>
      <c r="U27" s="133">
        <f>商品录入!U27*$E27</f>
        <v>0</v>
      </c>
      <c r="V27" s="133">
        <f>商品录入!V27*$E27</f>
        <v>0</v>
      </c>
      <c r="W27" s="133">
        <f>商品录入!W27*$E27</f>
        <v>0</v>
      </c>
      <c r="X27" s="133">
        <f>商品录入!X27*$E27</f>
        <v>0</v>
      </c>
      <c r="Y27" s="133">
        <f>商品录入!Y27*$E27</f>
        <v>0</v>
      </c>
      <c r="Z27" s="133">
        <f>商品录入!Z27*$E27</f>
        <v>0</v>
      </c>
      <c r="AA27" s="133">
        <f>商品录入!AA27*$E27</f>
        <v>0</v>
      </c>
      <c r="AB27" s="133">
        <f>商品录入!AB27*$E27</f>
        <v>0</v>
      </c>
      <c r="AC27" s="133">
        <f>商品录入!AC27*$E27</f>
        <v>0</v>
      </c>
      <c r="AD27" s="133">
        <f>商品录入!AD27*$E27</f>
        <v>0</v>
      </c>
      <c r="AE27" s="133">
        <f>商品录入!AE27*$E27</f>
        <v>0</v>
      </c>
      <c r="AF27" s="133">
        <f>商品录入!AF27*$E27</f>
        <v>0</v>
      </c>
      <c r="AG27" s="133">
        <f>商品录入!AG27*$E27</f>
        <v>0</v>
      </c>
      <c r="AH27" s="133">
        <f>商品录入!AH27*$E27</f>
        <v>0</v>
      </c>
      <c r="AI27" s="133">
        <f>商品录入!AI27*$E27</f>
        <v>0</v>
      </c>
      <c r="AJ27" s="133">
        <f>商品录入!AJ27*$E27</f>
        <v>0</v>
      </c>
      <c r="AK27" s="133">
        <f>商品录入!AK27*$E27</f>
        <v>0</v>
      </c>
      <c r="AL27" s="133">
        <f>商品录入!AL27*$E27</f>
        <v>0</v>
      </c>
      <c r="AM27" s="133">
        <f>商品录入!AM27*$E27</f>
        <v>0</v>
      </c>
      <c r="AN27" s="133">
        <f>商品录入!AN27*$E27</f>
        <v>0</v>
      </c>
      <c r="AO27" s="133">
        <f>商品录入!AO27*$E27</f>
        <v>0</v>
      </c>
      <c r="AP27" s="133">
        <f>商品录入!AP27*$E27</f>
        <v>0</v>
      </c>
      <c r="AQ27" s="133">
        <f>商品录入!AQ27*$E27</f>
        <v>0</v>
      </c>
      <c r="AR27" s="133">
        <f>商品录入!AR27*$E27</f>
        <v>0</v>
      </c>
      <c r="AS27" s="133">
        <f>商品录入!AS27*$E27</f>
        <v>0</v>
      </c>
      <c r="AT27" s="133">
        <f>商品录入!AT27*$E27</f>
        <v>0</v>
      </c>
      <c r="AU27" s="133">
        <f>商品录入!AU27*$E27</f>
        <v>0</v>
      </c>
      <c r="AV27" s="133">
        <f>商品录入!AV27*$E27</f>
        <v>0</v>
      </c>
      <c r="AW27" s="133">
        <f>商品录入!AW27*$E27</f>
        <v>0</v>
      </c>
      <c r="AX27" s="133">
        <f>商品录入!AX27*$E27</f>
        <v>0</v>
      </c>
      <c r="AY27" s="133">
        <f>商品录入!AY27*$E27</f>
        <v>0</v>
      </c>
      <c r="AZ27" s="133">
        <f>商品录入!AZ27*$E27</f>
        <v>0</v>
      </c>
      <c r="BA27" s="133">
        <f>商品录入!BA27*$E27</f>
        <v>0</v>
      </c>
      <c r="BB27" s="133">
        <f>商品录入!BB27*$E27</f>
        <v>0</v>
      </c>
      <c r="BC27" s="133">
        <f>商品录入!BC27*$E27</f>
        <v>0</v>
      </c>
      <c r="BD27" s="133">
        <f>商品录入!BD27*$E27</f>
        <v>0</v>
      </c>
      <c r="BE27" s="133">
        <f>商品录入!BE27*$E27</f>
        <v>0</v>
      </c>
      <c r="BF27" s="133">
        <f>商品录入!BF27*$E27</f>
        <v>0</v>
      </c>
      <c r="BG27" s="133">
        <f>商品录入!BG27*$E27</f>
        <v>0</v>
      </c>
      <c r="BH27" s="133">
        <f>商品录入!BH27*$E27</f>
        <v>0</v>
      </c>
      <c r="BI27" s="133">
        <f>商品录入!BI27*$E27</f>
        <v>0</v>
      </c>
      <c r="BJ27" s="133">
        <f>商品录入!BJ27*$E27</f>
        <v>0</v>
      </c>
      <c r="BK27" s="133">
        <f>商品录入!BK27*$E27</f>
        <v>0</v>
      </c>
      <c r="BL27" s="133">
        <f>商品录入!BL27*$E27</f>
        <v>0</v>
      </c>
      <c r="BM27" s="133">
        <f>商品录入!BM27*$E27</f>
        <v>0</v>
      </c>
      <c r="BN27" s="133">
        <f>商品录入!BN27*$E27</f>
        <v>0</v>
      </c>
      <c r="BO27" s="133">
        <f>商品录入!BO27*$E27</f>
        <v>0</v>
      </c>
      <c r="BP27" s="133">
        <f>商品录入!BP27*$E27</f>
        <v>0</v>
      </c>
      <c r="BQ27" s="133">
        <f>商品录入!BQ27*$E27</f>
        <v>0</v>
      </c>
      <c r="BR27" s="133">
        <f>商品录入!BR27*$E27</f>
        <v>0</v>
      </c>
      <c r="BS27" s="133">
        <f>商品录入!BS27*$E27</f>
        <v>0</v>
      </c>
      <c r="BT27" s="133">
        <f>商品录入!BT27*$E27</f>
        <v>0</v>
      </c>
      <c r="BU27" s="133">
        <f>商品录入!BU27*$E27</f>
        <v>0</v>
      </c>
      <c r="BV27" s="133">
        <f>商品录入!BV27*$E27</f>
        <v>0</v>
      </c>
      <c r="BW27" s="133">
        <f>商品录入!BW27*$E27</f>
        <v>0</v>
      </c>
    </row>
    <row r="28" s="178" customFormat="1" customHeight="1" spans="1:75">
      <c r="A28" s="161">
        <v>24</v>
      </c>
      <c r="B28" s="162">
        <f>商品录入!B28</f>
        <v>0</v>
      </c>
      <c r="C28" s="162">
        <f>商品录入!C28</f>
        <v>0</v>
      </c>
      <c r="D28" s="162">
        <f>商品录入!D28</f>
        <v>0</v>
      </c>
      <c r="E28" s="162">
        <f>商品录入!E28</f>
        <v>0</v>
      </c>
      <c r="F28" s="162">
        <f>商品录入!F28</f>
        <v>0</v>
      </c>
      <c r="G28" s="162">
        <f>商品录入!G28</f>
        <v>0</v>
      </c>
      <c r="H28" s="162">
        <f>商品录入!H28</f>
        <v>0</v>
      </c>
      <c r="I28" s="162">
        <f>商品录入!I28</f>
        <v>0</v>
      </c>
      <c r="J28" s="162">
        <f>商品录入!J28</f>
        <v>0</v>
      </c>
      <c r="K28" s="162">
        <f>商品录入!K28</f>
        <v>0</v>
      </c>
      <c r="L28" s="162">
        <f>商品录入!L28</f>
        <v>0</v>
      </c>
      <c r="M28" s="162">
        <f>商品录入!M28</f>
        <v>0</v>
      </c>
      <c r="N28" s="133">
        <f>商品录入!N28*$E28</f>
        <v>0</v>
      </c>
      <c r="O28" s="133">
        <f>商品录入!O28*$E28</f>
        <v>0</v>
      </c>
      <c r="P28" s="133">
        <f>商品录入!P28*$E28</f>
        <v>0</v>
      </c>
      <c r="Q28" s="133">
        <f>商品录入!Q28*$E28</f>
        <v>0</v>
      </c>
      <c r="R28" s="133">
        <f>商品录入!R28*$E28</f>
        <v>0</v>
      </c>
      <c r="S28" s="133">
        <f>商品录入!S28*$E28</f>
        <v>0</v>
      </c>
      <c r="T28" s="133">
        <f>商品录入!T28*$E28</f>
        <v>0</v>
      </c>
      <c r="U28" s="133">
        <f>商品录入!U28*$E28</f>
        <v>0</v>
      </c>
      <c r="V28" s="133">
        <f>商品录入!V28*$E28</f>
        <v>0</v>
      </c>
      <c r="W28" s="133">
        <f>商品录入!W28*$E28</f>
        <v>0</v>
      </c>
      <c r="X28" s="133">
        <f>商品录入!X28*$E28</f>
        <v>0</v>
      </c>
      <c r="Y28" s="133">
        <f>商品录入!Y28*$E28</f>
        <v>0</v>
      </c>
      <c r="Z28" s="133">
        <f>商品录入!Z28*$E28</f>
        <v>0</v>
      </c>
      <c r="AA28" s="133">
        <f>商品录入!AA28*$E28</f>
        <v>0</v>
      </c>
      <c r="AB28" s="133">
        <f>商品录入!AB28*$E28</f>
        <v>0</v>
      </c>
      <c r="AC28" s="133">
        <f>商品录入!AC28*$E28</f>
        <v>0</v>
      </c>
      <c r="AD28" s="133">
        <f>商品录入!AD28*$E28</f>
        <v>0</v>
      </c>
      <c r="AE28" s="133">
        <f>商品录入!AE28*$E28</f>
        <v>0</v>
      </c>
      <c r="AF28" s="133">
        <f>商品录入!AF28*$E28</f>
        <v>0</v>
      </c>
      <c r="AG28" s="133">
        <f>商品录入!AG28*$E28</f>
        <v>0</v>
      </c>
      <c r="AH28" s="133">
        <f>商品录入!AH28*$E28</f>
        <v>0</v>
      </c>
      <c r="AI28" s="133">
        <f>商品录入!AI28*$E28</f>
        <v>0</v>
      </c>
      <c r="AJ28" s="133">
        <f>商品录入!AJ28*$E28</f>
        <v>0</v>
      </c>
      <c r="AK28" s="133">
        <f>商品录入!AK28*$E28</f>
        <v>0</v>
      </c>
      <c r="AL28" s="133">
        <f>商品录入!AL28*$E28</f>
        <v>0</v>
      </c>
      <c r="AM28" s="133">
        <f>商品录入!AM28*$E28</f>
        <v>0</v>
      </c>
      <c r="AN28" s="133">
        <f>商品录入!AN28*$E28</f>
        <v>0</v>
      </c>
      <c r="AO28" s="133">
        <f>商品录入!AO28*$E28</f>
        <v>0</v>
      </c>
      <c r="AP28" s="133">
        <f>商品录入!AP28*$E28</f>
        <v>0</v>
      </c>
      <c r="AQ28" s="133">
        <f>商品录入!AQ28*$E28</f>
        <v>0</v>
      </c>
      <c r="AR28" s="133">
        <f>商品录入!AR28*$E28</f>
        <v>0</v>
      </c>
      <c r="AS28" s="133">
        <f>商品录入!AS28*$E28</f>
        <v>0</v>
      </c>
      <c r="AT28" s="133">
        <f>商品录入!AT28*$E28</f>
        <v>0</v>
      </c>
      <c r="AU28" s="133">
        <f>商品录入!AU28*$E28</f>
        <v>0</v>
      </c>
      <c r="AV28" s="133">
        <f>商品录入!AV28*$E28</f>
        <v>0</v>
      </c>
      <c r="AW28" s="133">
        <f>商品录入!AW28*$E28</f>
        <v>0</v>
      </c>
      <c r="AX28" s="133">
        <f>商品录入!AX28*$E28</f>
        <v>0</v>
      </c>
      <c r="AY28" s="133">
        <f>商品录入!AY28*$E28</f>
        <v>0</v>
      </c>
      <c r="AZ28" s="133">
        <f>商品录入!AZ28*$E28</f>
        <v>0</v>
      </c>
      <c r="BA28" s="133">
        <f>商品录入!BA28*$E28</f>
        <v>0</v>
      </c>
      <c r="BB28" s="133">
        <f>商品录入!BB28*$E28</f>
        <v>0</v>
      </c>
      <c r="BC28" s="133">
        <f>商品录入!BC28*$E28</f>
        <v>0</v>
      </c>
      <c r="BD28" s="133">
        <f>商品录入!BD28*$E28</f>
        <v>0</v>
      </c>
      <c r="BE28" s="133">
        <f>商品录入!BE28*$E28</f>
        <v>0</v>
      </c>
      <c r="BF28" s="133">
        <f>商品录入!BF28*$E28</f>
        <v>0</v>
      </c>
      <c r="BG28" s="133">
        <f>商品录入!BG28*$E28</f>
        <v>0</v>
      </c>
      <c r="BH28" s="133">
        <f>商品录入!BH28*$E28</f>
        <v>0</v>
      </c>
      <c r="BI28" s="133">
        <f>商品录入!BI28*$E28</f>
        <v>0</v>
      </c>
      <c r="BJ28" s="133">
        <f>商品录入!BJ28*$E28</f>
        <v>0</v>
      </c>
      <c r="BK28" s="133">
        <f>商品录入!BK28*$E28</f>
        <v>0</v>
      </c>
      <c r="BL28" s="133">
        <f>商品录入!BL28*$E28</f>
        <v>0</v>
      </c>
      <c r="BM28" s="133">
        <f>商品录入!BM28*$E28</f>
        <v>0</v>
      </c>
      <c r="BN28" s="133">
        <f>商品录入!BN28*$E28</f>
        <v>0</v>
      </c>
      <c r="BO28" s="133">
        <f>商品录入!BO28*$E28</f>
        <v>0</v>
      </c>
      <c r="BP28" s="133">
        <f>商品录入!BP28*$E28</f>
        <v>0</v>
      </c>
      <c r="BQ28" s="133">
        <f>商品录入!BQ28*$E28</f>
        <v>0</v>
      </c>
      <c r="BR28" s="133">
        <f>商品录入!BR28*$E28</f>
        <v>0</v>
      </c>
      <c r="BS28" s="133">
        <f>商品录入!BS28*$E28</f>
        <v>0</v>
      </c>
      <c r="BT28" s="133">
        <f>商品录入!BT28*$E28</f>
        <v>0</v>
      </c>
      <c r="BU28" s="133">
        <f>商品录入!BU28*$E28</f>
        <v>0</v>
      </c>
      <c r="BV28" s="133">
        <f>商品录入!BV28*$E28</f>
        <v>0</v>
      </c>
      <c r="BW28" s="133">
        <f>商品录入!BW28*$E28</f>
        <v>0</v>
      </c>
    </row>
    <row r="29" s="178" customFormat="1" customHeight="1" spans="1:75">
      <c r="A29" s="161">
        <v>25</v>
      </c>
      <c r="B29" s="162">
        <f>商品录入!B29</f>
        <v>0</v>
      </c>
      <c r="C29" s="162">
        <f>商品录入!C29</f>
        <v>0</v>
      </c>
      <c r="D29" s="162">
        <f>商品录入!D29</f>
        <v>0</v>
      </c>
      <c r="E29" s="162">
        <f>商品录入!E29</f>
        <v>0</v>
      </c>
      <c r="F29" s="162">
        <f>商品录入!F29</f>
        <v>0</v>
      </c>
      <c r="G29" s="162">
        <f>商品录入!G29</f>
        <v>0</v>
      </c>
      <c r="H29" s="162">
        <f>商品录入!H29</f>
        <v>0</v>
      </c>
      <c r="I29" s="162">
        <f>商品录入!I29</f>
        <v>0</v>
      </c>
      <c r="J29" s="162">
        <f>商品录入!J29</f>
        <v>0</v>
      </c>
      <c r="K29" s="162">
        <f>商品录入!K29</f>
        <v>0</v>
      </c>
      <c r="L29" s="162">
        <f>商品录入!L29</f>
        <v>0</v>
      </c>
      <c r="M29" s="162">
        <f>商品录入!M29</f>
        <v>0</v>
      </c>
      <c r="N29" s="133">
        <f>商品录入!N29*$E29</f>
        <v>0</v>
      </c>
      <c r="O29" s="133">
        <f>商品录入!O29*$E29</f>
        <v>0</v>
      </c>
      <c r="P29" s="133">
        <f>商品录入!P29*$E29</f>
        <v>0</v>
      </c>
      <c r="Q29" s="133">
        <f>商品录入!Q29*$E29</f>
        <v>0</v>
      </c>
      <c r="R29" s="133">
        <f>商品录入!R29*$E29</f>
        <v>0</v>
      </c>
      <c r="S29" s="133">
        <f>商品录入!S29*$E29</f>
        <v>0</v>
      </c>
      <c r="T29" s="133">
        <f>商品录入!T29*$E29</f>
        <v>0</v>
      </c>
      <c r="U29" s="133">
        <f>商品录入!U29*$E29</f>
        <v>0</v>
      </c>
      <c r="V29" s="133">
        <f>商品录入!V29*$E29</f>
        <v>0</v>
      </c>
      <c r="W29" s="133">
        <f>商品录入!W29*$E29</f>
        <v>0</v>
      </c>
      <c r="X29" s="133">
        <f>商品录入!X29*$E29</f>
        <v>0</v>
      </c>
      <c r="Y29" s="133">
        <f>商品录入!Y29*$E29</f>
        <v>0</v>
      </c>
      <c r="Z29" s="133">
        <f>商品录入!Z29*$E29</f>
        <v>0</v>
      </c>
      <c r="AA29" s="133">
        <f>商品录入!AA29*$E29</f>
        <v>0</v>
      </c>
      <c r="AB29" s="133">
        <f>商品录入!AB29*$E29</f>
        <v>0</v>
      </c>
      <c r="AC29" s="133">
        <f>商品录入!AC29*$E29</f>
        <v>0</v>
      </c>
      <c r="AD29" s="133">
        <f>商品录入!AD29*$E29</f>
        <v>0</v>
      </c>
      <c r="AE29" s="133">
        <f>商品录入!AE29*$E29</f>
        <v>0</v>
      </c>
      <c r="AF29" s="133">
        <f>商品录入!AF29*$E29</f>
        <v>0</v>
      </c>
      <c r="AG29" s="133">
        <f>商品录入!AG29*$E29</f>
        <v>0</v>
      </c>
      <c r="AH29" s="133">
        <f>商品录入!AH29*$E29</f>
        <v>0</v>
      </c>
      <c r="AI29" s="133">
        <f>商品录入!AI29*$E29</f>
        <v>0</v>
      </c>
      <c r="AJ29" s="133">
        <f>商品录入!AJ29*$E29</f>
        <v>0</v>
      </c>
      <c r="AK29" s="133">
        <f>商品录入!AK29*$E29</f>
        <v>0</v>
      </c>
      <c r="AL29" s="133">
        <f>商品录入!AL29*$E29</f>
        <v>0</v>
      </c>
      <c r="AM29" s="133">
        <f>商品录入!AM29*$E29</f>
        <v>0</v>
      </c>
      <c r="AN29" s="133">
        <f>商品录入!AN29*$E29</f>
        <v>0</v>
      </c>
      <c r="AO29" s="133">
        <f>商品录入!AO29*$E29</f>
        <v>0</v>
      </c>
      <c r="AP29" s="133">
        <f>商品录入!AP29*$E29</f>
        <v>0</v>
      </c>
      <c r="AQ29" s="133">
        <f>商品录入!AQ29*$E29</f>
        <v>0</v>
      </c>
      <c r="AR29" s="133">
        <f>商品录入!AR29*$E29</f>
        <v>0</v>
      </c>
      <c r="AS29" s="133">
        <f>商品录入!AS29*$E29</f>
        <v>0</v>
      </c>
      <c r="AT29" s="133">
        <f>商品录入!AT29*$E29</f>
        <v>0</v>
      </c>
      <c r="AU29" s="133">
        <f>商品录入!AU29*$E29</f>
        <v>0</v>
      </c>
      <c r="AV29" s="133">
        <f>商品录入!AV29*$E29</f>
        <v>0</v>
      </c>
      <c r="AW29" s="133">
        <f>商品录入!AW29*$E29</f>
        <v>0</v>
      </c>
      <c r="AX29" s="133">
        <f>商品录入!AX29*$E29</f>
        <v>0</v>
      </c>
      <c r="AY29" s="133">
        <f>商品录入!AY29*$E29</f>
        <v>0</v>
      </c>
      <c r="AZ29" s="133">
        <f>商品录入!AZ29*$E29</f>
        <v>0</v>
      </c>
      <c r="BA29" s="133">
        <f>商品录入!BA29*$E29</f>
        <v>0</v>
      </c>
      <c r="BB29" s="133">
        <f>商品录入!BB29*$E29</f>
        <v>0</v>
      </c>
      <c r="BC29" s="133">
        <f>商品录入!BC29*$E29</f>
        <v>0</v>
      </c>
      <c r="BD29" s="133">
        <f>商品录入!BD29*$E29</f>
        <v>0</v>
      </c>
      <c r="BE29" s="133">
        <f>商品录入!BE29*$E29</f>
        <v>0</v>
      </c>
      <c r="BF29" s="133">
        <f>商品录入!BF29*$E29</f>
        <v>0</v>
      </c>
      <c r="BG29" s="133">
        <f>商品录入!BG29*$E29</f>
        <v>0</v>
      </c>
      <c r="BH29" s="133">
        <f>商品录入!BH29*$E29</f>
        <v>0</v>
      </c>
      <c r="BI29" s="133">
        <f>商品录入!BI29*$E29</f>
        <v>0</v>
      </c>
      <c r="BJ29" s="133">
        <f>商品录入!BJ29*$E29</f>
        <v>0</v>
      </c>
      <c r="BK29" s="133">
        <f>商品录入!BK29*$E29</f>
        <v>0</v>
      </c>
      <c r="BL29" s="133">
        <f>商品录入!BL29*$E29</f>
        <v>0</v>
      </c>
      <c r="BM29" s="133">
        <f>商品录入!BM29*$E29</f>
        <v>0</v>
      </c>
      <c r="BN29" s="133">
        <f>商品录入!BN29*$E29</f>
        <v>0</v>
      </c>
      <c r="BO29" s="133">
        <f>商品录入!BO29*$E29</f>
        <v>0</v>
      </c>
      <c r="BP29" s="133">
        <f>商品录入!BP29*$E29</f>
        <v>0</v>
      </c>
      <c r="BQ29" s="133">
        <f>商品录入!BQ29*$E29</f>
        <v>0</v>
      </c>
      <c r="BR29" s="133">
        <f>商品录入!BR29*$E29</f>
        <v>0</v>
      </c>
      <c r="BS29" s="133">
        <f>商品录入!BS29*$E29</f>
        <v>0</v>
      </c>
      <c r="BT29" s="133">
        <f>商品录入!BT29*$E29</f>
        <v>0</v>
      </c>
      <c r="BU29" s="133">
        <f>商品录入!BU29*$E29</f>
        <v>0</v>
      </c>
      <c r="BV29" s="133">
        <f>商品录入!BV29*$E29</f>
        <v>0</v>
      </c>
      <c r="BW29" s="133">
        <f>商品录入!BW29*$E29</f>
        <v>0</v>
      </c>
    </row>
    <row r="30" s="178" customFormat="1" customHeight="1" spans="1:75">
      <c r="A30" s="161">
        <v>26</v>
      </c>
      <c r="B30" s="162">
        <f>商品录入!B30</f>
        <v>0</v>
      </c>
      <c r="C30" s="162">
        <f>商品录入!C30</f>
        <v>0</v>
      </c>
      <c r="D30" s="162">
        <f>商品录入!D30</f>
        <v>0</v>
      </c>
      <c r="E30" s="162">
        <f>商品录入!E30</f>
        <v>0</v>
      </c>
      <c r="F30" s="162">
        <f>商品录入!F30</f>
        <v>0</v>
      </c>
      <c r="G30" s="162">
        <f>商品录入!G30</f>
        <v>0</v>
      </c>
      <c r="H30" s="162">
        <f>商品录入!H30</f>
        <v>0</v>
      </c>
      <c r="I30" s="162">
        <f>商品录入!I30</f>
        <v>0</v>
      </c>
      <c r="J30" s="162">
        <f>商品录入!J30</f>
        <v>0</v>
      </c>
      <c r="K30" s="162">
        <f>商品录入!K30</f>
        <v>0</v>
      </c>
      <c r="L30" s="162">
        <f>商品录入!L30</f>
        <v>0</v>
      </c>
      <c r="M30" s="162">
        <f>商品录入!M30</f>
        <v>0</v>
      </c>
      <c r="N30" s="133">
        <f>商品录入!N30*$E30</f>
        <v>0</v>
      </c>
      <c r="O30" s="133">
        <f>商品录入!O30*$E30</f>
        <v>0</v>
      </c>
      <c r="P30" s="133">
        <f>商品录入!P30*$E30</f>
        <v>0</v>
      </c>
      <c r="Q30" s="133">
        <f>商品录入!Q30*$E30</f>
        <v>0</v>
      </c>
      <c r="R30" s="133">
        <f>商品录入!R30*$E30</f>
        <v>0</v>
      </c>
      <c r="S30" s="133">
        <f>商品录入!S30*$E30</f>
        <v>0</v>
      </c>
      <c r="T30" s="133">
        <f>商品录入!T30*$E30</f>
        <v>0</v>
      </c>
      <c r="U30" s="133">
        <f>商品录入!U30*$E30</f>
        <v>0</v>
      </c>
      <c r="V30" s="133">
        <f>商品录入!V30*$E30</f>
        <v>0</v>
      </c>
      <c r="W30" s="133">
        <f>商品录入!W30*$E30</f>
        <v>0</v>
      </c>
      <c r="X30" s="133">
        <f>商品录入!X30*$E30</f>
        <v>0</v>
      </c>
      <c r="Y30" s="133">
        <f>商品录入!Y30*$E30</f>
        <v>0</v>
      </c>
      <c r="Z30" s="133">
        <f>商品录入!Z30*$E30</f>
        <v>0</v>
      </c>
      <c r="AA30" s="133">
        <f>商品录入!AA30*$E30</f>
        <v>0</v>
      </c>
      <c r="AB30" s="133">
        <f>商品录入!AB30*$E30</f>
        <v>0</v>
      </c>
      <c r="AC30" s="133">
        <f>商品录入!AC30*$E30</f>
        <v>0</v>
      </c>
      <c r="AD30" s="133">
        <f>商品录入!AD30*$E30</f>
        <v>0</v>
      </c>
      <c r="AE30" s="133">
        <f>商品录入!AE30*$E30</f>
        <v>0</v>
      </c>
      <c r="AF30" s="133">
        <f>商品录入!AF30*$E30</f>
        <v>0</v>
      </c>
      <c r="AG30" s="133">
        <f>商品录入!AG30*$E30</f>
        <v>0</v>
      </c>
      <c r="AH30" s="133">
        <f>商品录入!AH30*$E30</f>
        <v>0</v>
      </c>
      <c r="AI30" s="133">
        <f>商品录入!AI30*$E30</f>
        <v>0</v>
      </c>
      <c r="AJ30" s="133">
        <f>商品录入!AJ30*$E30</f>
        <v>0</v>
      </c>
      <c r="AK30" s="133">
        <f>商品录入!AK30*$E30</f>
        <v>0</v>
      </c>
      <c r="AL30" s="133">
        <f>商品录入!AL30*$E30</f>
        <v>0</v>
      </c>
      <c r="AM30" s="133">
        <f>商品录入!AM30*$E30</f>
        <v>0</v>
      </c>
      <c r="AN30" s="133">
        <f>商品录入!AN30*$E30</f>
        <v>0</v>
      </c>
      <c r="AO30" s="133">
        <f>商品录入!AO30*$E30</f>
        <v>0</v>
      </c>
      <c r="AP30" s="133">
        <f>商品录入!AP30*$E30</f>
        <v>0</v>
      </c>
      <c r="AQ30" s="133">
        <f>商品录入!AQ30*$E30</f>
        <v>0</v>
      </c>
      <c r="AR30" s="133">
        <f>商品录入!AR30*$E30</f>
        <v>0</v>
      </c>
      <c r="AS30" s="133">
        <f>商品录入!AS30*$E30</f>
        <v>0</v>
      </c>
      <c r="AT30" s="133">
        <f>商品录入!AT30*$E30</f>
        <v>0</v>
      </c>
      <c r="AU30" s="133">
        <f>商品录入!AU30*$E30</f>
        <v>0</v>
      </c>
      <c r="AV30" s="133">
        <f>商品录入!AV30*$E30</f>
        <v>0</v>
      </c>
      <c r="AW30" s="133">
        <f>商品录入!AW30*$E30</f>
        <v>0</v>
      </c>
      <c r="AX30" s="133">
        <f>商品录入!AX30*$E30</f>
        <v>0</v>
      </c>
      <c r="AY30" s="133">
        <f>商品录入!AY30*$E30</f>
        <v>0</v>
      </c>
      <c r="AZ30" s="133">
        <f>商品录入!AZ30*$E30</f>
        <v>0</v>
      </c>
      <c r="BA30" s="133">
        <f>商品录入!BA30*$E30</f>
        <v>0</v>
      </c>
      <c r="BB30" s="133">
        <f>商品录入!BB30*$E30</f>
        <v>0</v>
      </c>
      <c r="BC30" s="133">
        <f>商品录入!BC30*$E30</f>
        <v>0</v>
      </c>
      <c r="BD30" s="133">
        <f>商品录入!BD30*$E30</f>
        <v>0</v>
      </c>
      <c r="BE30" s="133">
        <f>商品录入!BE30*$E30</f>
        <v>0</v>
      </c>
      <c r="BF30" s="133">
        <f>商品录入!BF30*$E30</f>
        <v>0</v>
      </c>
      <c r="BG30" s="133">
        <f>商品录入!BG30*$E30</f>
        <v>0</v>
      </c>
      <c r="BH30" s="133">
        <f>商品录入!BH30*$E30</f>
        <v>0</v>
      </c>
      <c r="BI30" s="133">
        <f>商品录入!BI30*$E30</f>
        <v>0</v>
      </c>
      <c r="BJ30" s="133">
        <f>商品录入!BJ30*$E30</f>
        <v>0</v>
      </c>
      <c r="BK30" s="133">
        <f>商品录入!BK30*$E30</f>
        <v>0</v>
      </c>
      <c r="BL30" s="133">
        <f>商品录入!BL30*$E30</f>
        <v>0</v>
      </c>
      <c r="BM30" s="133">
        <f>商品录入!BM30*$E30</f>
        <v>0</v>
      </c>
      <c r="BN30" s="133">
        <f>商品录入!BN30*$E30</f>
        <v>0</v>
      </c>
      <c r="BO30" s="133">
        <f>商品录入!BO30*$E30</f>
        <v>0</v>
      </c>
      <c r="BP30" s="133">
        <f>商品录入!BP30*$E30</f>
        <v>0</v>
      </c>
      <c r="BQ30" s="133">
        <f>商品录入!BQ30*$E30</f>
        <v>0</v>
      </c>
      <c r="BR30" s="133">
        <f>商品录入!BR30*$E30</f>
        <v>0</v>
      </c>
      <c r="BS30" s="133">
        <f>商品录入!BS30*$E30</f>
        <v>0</v>
      </c>
      <c r="BT30" s="133">
        <f>商品录入!BT30*$E30</f>
        <v>0</v>
      </c>
      <c r="BU30" s="133">
        <f>商品录入!BU30*$E30</f>
        <v>0</v>
      </c>
      <c r="BV30" s="133">
        <f>商品录入!BV30*$E30</f>
        <v>0</v>
      </c>
      <c r="BW30" s="133">
        <f>商品录入!BW30*$E30</f>
        <v>0</v>
      </c>
    </row>
    <row r="31" s="178" customFormat="1" customHeight="1" spans="1:75">
      <c r="A31" s="161">
        <v>27</v>
      </c>
      <c r="B31" s="162">
        <f>商品录入!B31</f>
        <v>0</v>
      </c>
      <c r="C31" s="162">
        <f>商品录入!C31</f>
        <v>0</v>
      </c>
      <c r="D31" s="162">
        <f>商品录入!D31</f>
        <v>0</v>
      </c>
      <c r="E31" s="162">
        <f>商品录入!E31</f>
        <v>0</v>
      </c>
      <c r="F31" s="162">
        <f>商品录入!F31</f>
        <v>0</v>
      </c>
      <c r="G31" s="162">
        <f>商品录入!G31</f>
        <v>0</v>
      </c>
      <c r="H31" s="162">
        <f>商品录入!H31</f>
        <v>0</v>
      </c>
      <c r="I31" s="162">
        <f>商品录入!I31</f>
        <v>0</v>
      </c>
      <c r="J31" s="162">
        <f>商品录入!J31</f>
        <v>0</v>
      </c>
      <c r="K31" s="162">
        <f>商品录入!K31</f>
        <v>0</v>
      </c>
      <c r="L31" s="162">
        <f>商品录入!L31</f>
        <v>0</v>
      </c>
      <c r="M31" s="162">
        <f>商品录入!M31</f>
        <v>0</v>
      </c>
      <c r="N31" s="133">
        <f>商品录入!N31*$E31</f>
        <v>0</v>
      </c>
      <c r="O31" s="133">
        <f>商品录入!O31*$E31</f>
        <v>0</v>
      </c>
      <c r="P31" s="133">
        <f>商品录入!P31*$E31</f>
        <v>0</v>
      </c>
      <c r="Q31" s="133">
        <f>商品录入!Q31*$E31</f>
        <v>0</v>
      </c>
      <c r="R31" s="133">
        <f>商品录入!R31*$E31</f>
        <v>0</v>
      </c>
      <c r="S31" s="133">
        <f>商品录入!S31*$E31</f>
        <v>0</v>
      </c>
      <c r="T31" s="133">
        <f>商品录入!T31*$E31</f>
        <v>0</v>
      </c>
      <c r="U31" s="133">
        <f>商品录入!U31*$E31</f>
        <v>0</v>
      </c>
      <c r="V31" s="133">
        <f>商品录入!V31*$E31</f>
        <v>0</v>
      </c>
      <c r="W31" s="133">
        <f>商品录入!W31*$E31</f>
        <v>0</v>
      </c>
      <c r="X31" s="133">
        <f>商品录入!X31*$E31</f>
        <v>0</v>
      </c>
      <c r="Y31" s="133">
        <f>商品录入!Y31*$E31</f>
        <v>0</v>
      </c>
      <c r="Z31" s="133">
        <f>商品录入!Z31*$E31</f>
        <v>0</v>
      </c>
      <c r="AA31" s="133">
        <f>商品录入!AA31*$E31</f>
        <v>0</v>
      </c>
      <c r="AB31" s="133">
        <f>商品录入!AB31*$E31</f>
        <v>0</v>
      </c>
      <c r="AC31" s="133">
        <f>商品录入!AC31*$E31</f>
        <v>0</v>
      </c>
      <c r="AD31" s="133">
        <f>商品录入!AD31*$E31</f>
        <v>0</v>
      </c>
      <c r="AE31" s="133">
        <f>商品录入!AE31*$E31</f>
        <v>0</v>
      </c>
      <c r="AF31" s="133">
        <f>商品录入!AF31*$E31</f>
        <v>0</v>
      </c>
      <c r="AG31" s="133">
        <f>商品录入!AG31*$E31</f>
        <v>0</v>
      </c>
      <c r="AH31" s="133">
        <f>商品录入!AH31*$E31</f>
        <v>0</v>
      </c>
      <c r="AI31" s="133">
        <f>商品录入!AI31*$E31</f>
        <v>0</v>
      </c>
      <c r="AJ31" s="133">
        <f>商品录入!AJ31*$E31</f>
        <v>0</v>
      </c>
      <c r="AK31" s="133">
        <f>商品录入!AK31*$E31</f>
        <v>0</v>
      </c>
      <c r="AL31" s="133">
        <f>商品录入!AL31*$E31</f>
        <v>0</v>
      </c>
      <c r="AM31" s="133">
        <f>商品录入!AM31*$E31</f>
        <v>0</v>
      </c>
      <c r="AN31" s="133">
        <f>商品录入!AN31*$E31</f>
        <v>0</v>
      </c>
      <c r="AO31" s="133">
        <f>商品录入!AO31*$E31</f>
        <v>0</v>
      </c>
      <c r="AP31" s="133">
        <f>商品录入!AP31*$E31</f>
        <v>0</v>
      </c>
      <c r="AQ31" s="133">
        <f>商品录入!AQ31*$E31</f>
        <v>0</v>
      </c>
      <c r="AR31" s="133">
        <f>商品录入!AR31*$E31</f>
        <v>0</v>
      </c>
      <c r="AS31" s="133">
        <f>商品录入!AS31*$E31</f>
        <v>0</v>
      </c>
      <c r="AT31" s="133">
        <f>商品录入!AT31*$E31</f>
        <v>0</v>
      </c>
      <c r="AU31" s="133">
        <f>商品录入!AU31*$E31</f>
        <v>0</v>
      </c>
      <c r="AV31" s="133">
        <f>商品录入!AV31*$E31</f>
        <v>0</v>
      </c>
      <c r="AW31" s="133">
        <f>商品录入!AW31*$E31</f>
        <v>0</v>
      </c>
      <c r="AX31" s="133">
        <f>商品录入!AX31*$E31</f>
        <v>0</v>
      </c>
      <c r="AY31" s="133">
        <f>商品录入!AY31*$E31</f>
        <v>0</v>
      </c>
      <c r="AZ31" s="133">
        <f>商品录入!AZ31*$E31</f>
        <v>0</v>
      </c>
      <c r="BA31" s="133">
        <f>商品录入!BA31*$E31</f>
        <v>0</v>
      </c>
      <c r="BB31" s="133">
        <f>商品录入!BB31*$E31</f>
        <v>0</v>
      </c>
      <c r="BC31" s="133">
        <f>商品录入!BC31*$E31</f>
        <v>0</v>
      </c>
      <c r="BD31" s="133">
        <f>商品录入!BD31*$E31</f>
        <v>0</v>
      </c>
      <c r="BE31" s="133">
        <f>商品录入!BE31*$E31</f>
        <v>0</v>
      </c>
      <c r="BF31" s="133">
        <f>商品录入!BF31*$E31</f>
        <v>0</v>
      </c>
      <c r="BG31" s="133">
        <f>商品录入!BG31*$E31</f>
        <v>0</v>
      </c>
      <c r="BH31" s="133">
        <f>商品录入!BH31*$E31</f>
        <v>0</v>
      </c>
      <c r="BI31" s="133">
        <f>商品录入!BI31*$E31</f>
        <v>0</v>
      </c>
      <c r="BJ31" s="133">
        <f>商品录入!BJ31*$E31</f>
        <v>0</v>
      </c>
      <c r="BK31" s="133">
        <f>商品录入!BK31*$E31</f>
        <v>0</v>
      </c>
      <c r="BL31" s="133">
        <f>商品录入!BL31*$E31</f>
        <v>0</v>
      </c>
      <c r="BM31" s="133">
        <f>商品录入!BM31*$E31</f>
        <v>0</v>
      </c>
      <c r="BN31" s="133">
        <f>商品录入!BN31*$E31</f>
        <v>0</v>
      </c>
      <c r="BO31" s="133">
        <f>商品录入!BO31*$E31</f>
        <v>0</v>
      </c>
      <c r="BP31" s="133">
        <f>商品录入!BP31*$E31</f>
        <v>0</v>
      </c>
      <c r="BQ31" s="133">
        <f>商品录入!BQ31*$E31</f>
        <v>0</v>
      </c>
      <c r="BR31" s="133">
        <f>商品录入!BR31*$E31</f>
        <v>0</v>
      </c>
      <c r="BS31" s="133">
        <f>商品录入!BS31*$E31</f>
        <v>0</v>
      </c>
      <c r="BT31" s="133">
        <f>商品录入!BT31*$E31</f>
        <v>0</v>
      </c>
      <c r="BU31" s="133">
        <f>商品录入!BU31*$E31</f>
        <v>0</v>
      </c>
      <c r="BV31" s="133">
        <f>商品录入!BV31*$E31</f>
        <v>0</v>
      </c>
      <c r="BW31" s="133">
        <f>商品录入!BW31*$E31</f>
        <v>0</v>
      </c>
    </row>
    <row r="32" s="178" customFormat="1" customHeight="1" spans="1:75">
      <c r="A32" s="161">
        <v>28</v>
      </c>
      <c r="B32" s="162">
        <f>商品录入!B32</f>
        <v>0</v>
      </c>
      <c r="C32" s="162">
        <f>商品录入!C32</f>
        <v>0</v>
      </c>
      <c r="D32" s="162">
        <f>商品录入!D32</f>
        <v>0</v>
      </c>
      <c r="E32" s="162">
        <f>商品录入!E32</f>
        <v>0</v>
      </c>
      <c r="F32" s="162">
        <f>商品录入!F32</f>
        <v>0</v>
      </c>
      <c r="G32" s="162">
        <f>商品录入!G32</f>
        <v>0</v>
      </c>
      <c r="H32" s="162">
        <f>商品录入!H32</f>
        <v>0</v>
      </c>
      <c r="I32" s="162">
        <f>商品录入!I32</f>
        <v>0</v>
      </c>
      <c r="J32" s="162">
        <f>商品录入!J32</f>
        <v>0</v>
      </c>
      <c r="K32" s="162">
        <f>商品录入!K32</f>
        <v>0</v>
      </c>
      <c r="L32" s="162">
        <f>商品录入!L32</f>
        <v>0</v>
      </c>
      <c r="M32" s="162">
        <f>商品录入!M32</f>
        <v>0</v>
      </c>
      <c r="N32" s="133">
        <f>商品录入!N32*$E32</f>
        <v>0</v>
      </c>
      <c r="O32" s="133">
        <f>商品录入!O32*$E32</f>
        <v>0</v>
      </c>
      <c r="P32" s="133">
        <f>商品录入!P32*$E32</f>
        <v>0</v>
      </c>
      <c r="Q32" s="133">
        <f>商品录入!Q32*$E32</f>
        <v>0</v>
      </c>
      <c r="R32" s="133">
        <f>商品录入!R32*$E32</f>
        <v>0</v>
      </c>
      <c r="S32" s="133">
        <f>商品录入!S32*$E32</f>
        <v>0</v>
      </c>
      <c r="T32" s="133">
        <f>商品录入!T32*$E32</f>
        <v>0</v>
      </c>
      <c r="U32" s="133">
        <f>商品录入!U32*$E32</f>
        <v>0</v>
      </c>
      <c r="V32" s="133">
        <f>商品录入!V32*$E32</f>
        <v>0</v>
      </c>
      <c r="W32" s="133">
        <f>商品录入!W32*$E32</f>
        <v>0</v>
      </c>
      <c r="X32" s="133">
        <f>商品录入!X32*$E32</f>
        <v>0</v>
      </c>
      <c r="Y32" s="133">
        <f>商品录入!Y32*$E32</f>
        <v>0</v>
      </c>
      <c r="Z32" s="133">
        <f>商品录入!Z32*$E32</f>
        <v>0</v>
      </c>
      <c r="AA32" s="133">
        <f>商品录入!AA32*$E32</f>
        <v>0</v>
      </c>
      <c r="AB32" s="133">
        <f>商品录入!AB32*$E32</f>
        <v>0</v>
      </c>
      <c r="AC32" s="133">
        <f>商品录入!AC32*$E32</f>
        <v>0</v>
      </c>
      <c r="AD32" s="133">
        <f>商品录入!AD32*$E32</f>
        <v>0</v>
      </c>
      <c r="AE32" s="133">
        <f>商品录入!AE32*$E32</f>
        <v>0</v>
      </c>
      <c r="AF32" s="133">
        <f>商品录入!AF32*$E32</f>
        <v>0</v>
      </c>
      <c r="AG32" s="133">
        <f>商品录入!AG32*$E32</f>
        <v>0</v>
      </c>
      <c r="AH32" s="133">
        <f>商品录入!AH32*$E32</f>
        <v>0</v>
      </c>
      <c r="AI32" s="133">
        <f>商品录入!AI32*$E32</f>
        <v>0</v>
      </c>
      <c r="AJ32" s="133">
        <f>商品录入!AJ32*$E32</f>
        <v>0</v>
      </c>
      <c r="AK32" s="133">
        <f>商品录入!AK32*$E32</f>
        <v>0</v>
      </c>
      <c r="AL32" s="133">
        <f>商品录入!AL32*$E32</f>
        <v>0</v>
      </c>
      <c r="AM32" s="133">
        <f>商品录入!AM32*$E32</f>
        <v>0</v>
      </c>
      <c r="AN32" s="133">
        <f>商品录入!AN32*$E32</f>
        <v>0</v>
      </c>
      <c r="AO32" s="133">
        <f>商品录入!AO32*$E32</f>
        <v>0</v>
      </c>
      <c r="AP32" s="133">
        <f>商品录入!AP32*$E32</f>
        <v>0</v>
      </c>
      <c r="AQ32" s="133">
        <f>商品录入!AQ32*$E32</f>
        <v>0</v>
      </c>
      <c r="AR32" s="133">
        <f>商品录入!AR32*$E32</f>
        <v>0</v>
      </c>
      <c r="AS32" s="133">
        <f>商品录入!AS32*$E32</f>
        <v>0</v>
      </c>
      <c r="AT32" s="133">
        <f>商品录入!AT32*$E32</f>
        <v>0</v>
      </c>
      <c r="AU32" s="133">
        <f>商品录入!AU32*$E32</f>
        <v>0</v>
      </c>
      <c r="AV32" s="133">
        <f>商品录入!AV32*$E32</f>
        <v>0</v>
      </c>
      <c r="AW32" s="133">
        <f>商品录入!AW32*$E32</f>
        <v>0</v>
      </c>
      <c r="AX32" s="133">
        <f>商品录入!AX32*$E32</f>
        <v>0</v>
      </c>
      <c r="AY32" s="133">
        <f>商品录入!AY32*$E32</f>
        <v>0</v>
      </c>
      <c r="AZ32" s="133">
        <f>商品录入!AZ32*$E32</f>
        <v>0</v>
      </c>
      <c r="BA32" s="133">
        <f>商品录入!BA32*$E32</f>
        <v>0</v>
      </c>
      <c r="BB32" s="133">
        <f>商品录入!BB32*$E32</f>
        <v>0</v>
      </c>
      <c r="BC32" s="133">
        <f>商品录入!BC32*$E32</f>
        <v>0</v>
      </c>
      <c r="BD32" s="133">
        <f>商品录入!BD32*$E32</f>
        <v>0</v>
      </c>
      <c r="BE32" s="133">
        <f>商品录入!BE32*$E32</f>
        <v>0</v>
      </c>
      <c r="BF32" s="133">
        <f>商品录入!BF32*$E32</f>
        <v>0</v>
      </c>
      <c r="BG32" s="133">
        <f>商品录入!BG32*$E32</f>
        <v>0</v>
      </c>
      <c r="BH32" s="133">
        <f>商品录入!BH32*$E32</f>
        <v>0</v>
      </c>
      <c r="BI32" s="133">
        <f>商品录入!BI32*$E32</f>
        <v>0</v>
      </c>
      <c r="BJ32" s="133">
        <f>商品录入!BJ32*$E32</f>
        <v>0</v>
      </c>
      <c r="BK32" s="133">
        <f>商品录入!BK32*$E32</f>
        <v>0</v>
      </c>
      <c r="BL32" s="133">
        <f>商品录入!BL32*$E32</f>
        <v>0</v>
      </c>
      <c r="BM32" s="133">
        <f>商品录入!BM32*$E32</f>
        <v>0</v>
      </c>
      <c r="BN32" s="133">
        <f>商品录入!BN32*$E32</f>
        <v>0</v>
      </c>
      <c r="BO32" s="133">
        <f>商品录入!BO32*$E32</f>
        <v>0</v>
      </c>
      <c r="BP32" s="133">
        <f>商品录入!BP32*$E32</f>
        <v>0</v>
      </c>
      <c r="BQ32" s="133">
        <f>商品录入!BQ32*$E32</f>
        <v>0</v>
      </c>
      <c r="BR32" s="133">
        <f>商品录入!BR32*$E32</f>
        <v>0</v>
      </c>
      <c r="BS32" s="133">
        <f>商品录入!BS32*$E32</f>
        <v>0</v>
      </c>
      <c r="BT32" s="133">
        <f>商品录入!BT32*$E32</f>
        <v>0</v>
      </c>
      <c r="BU32" s="133">
        <f>商品录入!BU32*$E32</f>
        <v>0</v>
      </c>
      <c r="BV32" s="133">
        <f>商品录入!BV32*$E32</f>
        <v>0</v>
      </c>
      <c r="BW32" s="133">
        <f>商品录入!BW32*$E32</f>
        <v>0</v>
      </c>
    </row>
    <row r="33" s="178" customFormat="1" customHeight="1" spans="1:75">
      <c r="A33" s="161">
        <v>29</v>
      </c>
      <c r="B33" s="162">
        <f>商品录入!B33</f>
        <v>0</v>
      </c>
      <c r="C33" s="162">
        <f>商品录入!C33</f>
        <v>0</v>
      </c>
      <c r="D33" s="162">
        <f>商品录入!D33</f>
        <v>0</v>
      </c>
      <c r="E33" s="162">
        <f>商品录入!E33</f>
        <v>0</v>
      </c>
      <c r="F33" s="162">
        <f>商品录入!F33</f>
        <v>0</v>
      </c>
      <c r="G33" s="162">
        <f>商品录入!G33</f>
        <v>0</v>
      </c>
      <c r="H33" s="162">
        <f>商品录入!H33</f>
        <v>0</v>
      </c>
      <c r="I33" s="162">
        <f>商品录入!I33</f>
        <v>0</v>
      </c>
      <c r="J33" s="162">
        <f>商品录入!J33</f>
        <v>0</v>
      </c>
      <c r="K33" s="162">
        <f>商品录入!K33</f>
        <v>0</v>
      </c>
      <c r="L33" s="162">
        <f>商品录入!L33</f>
        <v>0</v>
      </c>
      <c r="M33" s="162">
        <f>商品录入!M33</f>
        <v>0</v>
      </c>
      <c r="N33" s="133">
        <f>商品录入!N33*$E33</f>
        <v>0</v>
      </c>
      <c r="O33" s="133">
        <f>商品录入!O33*$E33</f>
        <v>0</v>
      </c>
      <c r="P33" s="133">
        <f>商品录入!P33*$E33</f>
        <v>0</v>
      </c>
      <c r="Q33" s="133">
        <f>商品录入!Q33*$E33</f>
        <v>0</v>
      </c>
      <c r="R33" s="133">
        <f>商品录入!R33*$E33</f>
        <v>0</v>
      </c>
      <c r="S33" s="133">
        <f>商品录入!S33*$E33</f>
        <v>0</v>
      </c>
      <c r="T33" s="133">
        <f>商品录入!T33*$E33</f>
        <v>0</v>
      </c>
      <c r="U33" s="133">
        <f>商品录入!U33*$E33</f>
        <v>0</v>
      </c>
      <c r="V33" s="133">
        <f>商品录入!V33*$E33</f>
        <v>0</v>
      </c>
      <c r="W33" s="133">
        <f>商品录入!W33*$E33</f>
        <v>0</v>
      </c>
      <c r="X33" s="133">
        <f>商品录入!X33*$E33</f>
        <v>0</v>
      </c>
      <c r="Y33" s="133">
        <f>商品录入!Y33*$E33</f>
        <v>0</v>
      </c>
      <c r="Z33" s="133">
        <f>商品录入!Z33*$E33</f>
        <v>0</v>
      </c>
      <c r="AA33" s="133">
        <f>商品录入!AA33*$E33</f>
        <v>0</v>
      </c>
      <c r="AB33" s="133">
        <f>商品录入!AB33*$E33</f>
        <v>0</v>
      </c>
      <c r="AC33" s="133">
        <f>商品录入!AC33*$E33</f>
        <v>0</v>
      </c>
      <c r="AD33" s="133">
        <f>商品录入!AD33*$E33</f>
        <v>0</v>
      </c>
      <c r="AE33" s="133">
        <f>商品录入!AE33*$E33</f>
        <v>0</v>
      </c>
      <c r="AF33" s="133">
        <f>商品录入!AF33*$E33</f>
        <v>0</v>
      </c>
      <c r="AG33" s="133">
        <f>商品录入!AG33*$E33</f>
        <v>0</v>
      </c>
      <c r="AH33" s="133">
        <f>商品录入!AH33*$E33</f>
        <v>0</v>
      </c>
      <c r="AI33" s="133">
        <f>商品录入!AI33*$E33</f>
        <v>0</v>
      </c>
      <c r="AJ33" s="133">
        <f>商品录入!AJ33*$E33</f>
        <v>0</v>
      </c>
      <c r="AK33" s="133">
        <f>商品录入!AK33*$E33</f>
        <v>0</v>
      </c>
      <c r="AL33" s="133">
        <f>商品录入!AL33*$E33</f>
        <v>0</v>
      </c>
      <c r="AM33" s="133">
        <f>商品录入!AM33*$E33</f>
        <v>0</v>
      </c>
      <c r="AN33" s="133">
        <f>商品录入!AN33*$E33</f>
        <v>0</v>
      </c>
      <c r="AO33" s="133">
        <f>商品录入!AO33*$E33</f>
        <v>0</v>
      </c>
      <c r="AP33" s="133">
        <f>商品录入!AP33*$E33</f>
        <v>0</v>
      </c>
      <c r="AQ33" s="133">
        <f>商品录入!AQ33*$E33</f>
        <v>0</v>
      </c>
      <c r="AR33" s="133">
        <f>商品录入!AR33*$E33</f>
        <v>0</v>
      </c>
      <c r="AS33" s="133">
        <f>商品录入!AS33*$E33</f>
        <v>0</v>
      </c>
      <c r="AT33" s="133">
        <f>商品录入!AT33*$E33</f>
        <v>0</v>
      </c>
      <c r="AU33" s="133">
        <f>商品录入!AU33*$E33</f>
        <v>0</v>
      </c>
      <c r="AV33" s="133">
        <f>商品录入!AV33*$E33</f>
        <v>0</v>
      </c>
      <c r="AW33" s="133">
        <f>商品录入!AW33*$E33</f>
        <v>0</v>
      </c>
      <c r="AX33" s="133">
        <f>商品录入!AX33*$E33</f>
        <v>0</v>
      </c>
      <c r="AY33" s="133">
        <f>商品录入!AY33*$E33</f>
        <v>0</v>
      </c>
      <c r="AZ33" s="133">
        <f>商品录入!AZ33*$E33</f>
        <v>0</v>
      </c>
      <c r="BA33" s="133">
        <f>商品录入!BA33*$E33</f>
        <v>0</v>
      </c>
      <c r="BB33" s="133">
        <f>商品录入!BB33*$E33</f>
        <v>0</v>
      </c>
      <c r="BC33" s="133">
        <f>商品录入!BC33*$E33</f>
        <v>0</v>
      </c>
      <c r="BD33" s="133">
        <f>商品录入!BD33*$E33</f>
        <v>0</v>
      </c>
      <c r="BE33" s="133">
        <f>商品录入!BE33*$E33</f>
        <v>0</v>
      </c>
      <c r="BF33" s="133">
        <f>商品录入!BF33*$E33</f>
        <v>0</v>
      </c>
      <c r="BG33" s="133">
        <f>商品录入!BG33*$E33</f>
        <v>0</v>
      </c>
      <c r="BH33" s="133">
        <f>商品录入!BH33*$E33</f>
        <v>0</v>
      </c>
      <c r="BI33" s="133">
        <f>商品录入!BI33*$E33</f>
        <v>0</v>
      </c>
      <c r="BJ33" s="133">
        <f>商品录入!BJ33*$E33</f>
        <v>0</v>
      </c>
      <c r="BK33" s="133">
        <f>商品录入!BK33*$E33</f>
        <v>0</v>
      </c>
      <c r="BL33" s="133">
        <f>商品录入!BL33*$E33</f>
        <v>0</v>
      </c>
      <c r="BM33" s="133">
        <f>商品录入!BM33*$E33</f>
        <v>0</v>
      </c>
      <c r="BN33" s="133">
        <f>商品录入!BN33*$E33</f>
        <v>0</v>
      </c>
      <c r="BO33" s="133">
        <f>商品录入!BO33*$E33</f>
        <v>0</v>
      </c>
      <c r="BP33" s="133">
        <f>商品录入!BP33*$E33</f>
        <v>0</v>
      </c>
      <c r="BQ33" s="133">
        <f>商品录入!BQ33*$E33</f>
        <v>0</v>
      </c>
      <c r="BR33" s="133">
        <f>商品录入!BR33*$E33</f>
        <v>0</v>
      </c>
      <c r="BS33" s="133">
        <f>商品录入!BS33*$E33</f>
        <v>0</v>
      </c>
      <c r="BT33" s="133">
        <f>商品录入!BT33*$E33</f>
        <v>0</v>
      </c>
      <c r="BU33" s="133">
        <f>商品录入!BU33*$E33</f>
        <v>0</v>
      </c>
      <c r="BV33" s="133">
        <f>商品录入!BV33*$E33</f>
        <v>0</v>
      </c>
      <c r="BW33" s="133">
        <f>商品录入!BW33*$E33</f>
        <v>0</v>
      </c>
    </row>
    <row r="34" s="178" customFormat="1" customHeight="1" spans="1:75">
      <c r="A34" s="161">
        <v>30</v>
      </c>
      <c r="B34" s="162">
        <f>商品录入!B34</f>
        <v>0</v>
      </c>
      <c r="C34" s="162">
        <f>商品录入!C34</f>
        <v>0</v>
      </c>
      <c r="D34" s="162">
        <f>商品录入!D34</f>
        <v>0</v>
      </c>
      <c r="E34" s="162">
        <f>商品录入!E34</f>
        <v>0</v>
      </c>
      <c r="F34" s="162">
        <f>商品录入!F34</f>
        <v>0</v>
      </c>
      <c r="G34" s="162">
        <f>商品录入!G34</f>
        <v>0</v>
      </c>
      <c r="H34" s="162">
        <f>商品录入!H34</f>
        <v>0</v>
      </c>
      <c r="I34" s="162">
        <f>商品录入!I34</f>
        <v>0</v>
      </c>
      <c r="J34" s="162">
        <f>商品录入!J34</f>
        <v>0</v>
      </c>
      <c r="K34" s="162">
        <f>商品录入!K34</f>
        <v>0</v>
      </c>
      <c r="L34" s="162">
        <f>商品录入!L34</f>
        <v>0</v>
      </c>
      <c r="M34" s="162">
        <f>商品录入!M34</f>
        <v>0</v>
      </c>
      <c r="N34" s="133">
        <f>商品录入!N34*$E34</f>
        <v>0</v>
      </c>
      <c r="O34" s="133">
        <f>商品录入!O34*$E34</f>
        <v>0</v>
      </c>
      <c r="P34" s="133">
        <f>商品录入!P34*$E34</f>
        <v>0</v>
      </c>
      <c r="Q34" s="133">
        <f>商品录入!Q34*$E34</f>
        <v>0</v>
      </c>
      <c r="R34" s="133">
        <f>商品录入!R34*$E34</f>
        <v>0</v>
      </c>
      <c r="S34" s="133">
        <f>商品录入!S34*$E34</f>
        <v>0</v>
      </c>
      <c r="T34" s="133">
        <f>商品录入!T34*$E34</f>
        <v>0</v>
      </c>
      <c r="U34" s="133">
        <f>商品录入!U34*$E34</f>
        <v>0</v>
      </c>
      <c r="V34" s="133">
        <f>商品录入!V34*$E34</f>
        <v>0</v>
      </c>
      <c r="W34" s="133">
        <f>商品录入!W34*$E34</f>
        <v>0</v>
      </c>
      <c r="X34" s="133">
        <f>商品录入!X34*$E34</f>
        <v>0</v>
      </c>
      <c r="Y34" s="133">
        <f>商品录入!Y34*$E34</f>
        <v>0</v>
      </c>
      <c r="Z34" s="133">
        <f>商品录入!Z34*$E34</f>
        <v>0</v>
      </c>
      <c r="AA34" s="133">
        <f>商品录入!AA34*$E34</f>
        <v>0</v>
      </c>
      <c r="AB34" s="133">
        <f>商品录入!AB34*$E34</f>
        <v>0</v>
      </c>
      <c r="AC34" s="133">
        <f>商品录入!AC34*$E34</f>
        <v>0</v>
      </c>
      <c r="AD34" s="133">
        <f>商品录入!AD34*$E34</f>
        <v>0</v>
      </c>
      <c r="AE34" s="133">
        <f>商品录入!AE34*$E34</f>
        <v>0</v>
      </c>
      <c r="AF34" s="133">
        <f>商品录入!AF34*$E34</f>
        <v>0</v>
      </c>
      <c r="AG34" s="133">
        <f>商品录入!AG34*$E34</f>
        <v>0</v>
      </c>
      <c r="AH34" s="133">
        <f>商品录入!AH34*$E34</f>
        <v>0</v>
      </c>
      <c r="AI34" s="133">
        <f>商品录入!AI34*$E34</f>
        <v>0</v>
      </c>
      <c r="AJ34" s="133">
        <f>商品录入!AJ34*$E34</f>
        <v>0</v>
      </c>
      <c r="AK34" s="133">
        <f>商品录入!AK34*$E34</f>
        <v>0</v>
      </c>
      <c r="AL34" s="133">
        <f>商品录入!AL34*$E34</f>
        <v>0</v>
      </c>
      <c r="AM34" s="133">
        <f>商品录入!AM34*$E34</f>
        <v>0</v>
      </c>
      <c r="AN34" s="133">
        <f>商品录入!AN34*$E34</f>
        <v>0</v>
      </c>
      <c r="AO34" s="133">
        <f>商品录入!AO34*$E34</f>
        <v>0</v>
      </c>
      <c r="AP34" s="133">
        <f>商品录入!AP34*$E34</f>
        <v>0</v>
      </c>
      <c r="AQ34" s="133">
        <f>商品录入!AQ34*$E34</f>
        <v>0</v>
      </c>
      <c r="AR34" s="133">
        <f>商品录入!AR34*$E34</f>
        <v>0</v>
      </c>
      <c r="AS34" s="133">
        <f>商品录入!AS34*$E34</f>
        <v>0</v>
      </c>
      <c r="AT34" s="133">
        <f>商品录入!AT34*$E34</f>
        <v>0</v>
      </c>
      <c r="AU34" s="133">
        <f>商品录入!AU34*$E34</f>
        <v>0</v>
      </c>
      <c r="AV34" s="133">
        <f>商品录入!AV34*$E34</f>
        <v>0</v>
      </c>
      <c r="AW34" s="133">
        <f>商品录入!AW34*$E34</f>
        <v>0</v>
      </c>
      <c r="AX34" s="133">
        <f>商品录入!AX34*$E34</f>
        <v>0</v>
      </c>
      <c r="AY34" s="133">
        <f>商品录入!AY34*$E34</f>
        <v>0</v>
      </c>
      <c r="AZ34" s="133">
        <f>商品录入!AZ34*$E34</f>
        <v>0</v>
      </c>
      <c r="BA34" s="133">
        <f>商品录入!BA34*$E34</f>
        <v>0</v>
      </c>
      <c r="BB34" s="133">
        <f>商品录入!BB34*$E34</f>
        <v>0</v>
      </c>
      <c r="BC34" s="133">
        <f>商品录入!BC34*$E34</f>
        <v>0</v>
      </c>
      <c r="BD34" s="133">
        <f>商品录入!BD34*$E34</f>
        <v>0</v>
      </c>
      <c r="BE34" s="133">
        <f>商品录入!BE34*$E34</f>
        <v>0</v>
      </c>
      <c r="BF34" s="133">
        <f>商品录入!BF34*$E34</f>
        <v>0</v>
      </c>
      <c r="BG34" s="133">
        <f>商品录入!BG34*$E34</f>
        <v>0</v>
      </c>
      <c r="BH34" s="133">
        <f>商品录入!BH34*$E34</f>
        <v>0</v>
      </c>
      <c r="BI34" s="133">
        <f>商品录入!BI34*$E34</f>
        <v>0</v>
      </c>
      <c r="BJ34" s="133">
        <f>商品录入!BJ34*$E34</f>
        <v>0</v>
      </c>
      <c r="BK34" s="133">
        <f>商品录入!BK34*$E34</f>
        <v>0</v>
      </c>
      <c r="BL34" s="133">
        <f>商品录入!BL34*$E34</f>
        <v>0</v>
      </c>
      <c r="BM34" s="133">
        <f>商品录入!BM34*$E34</f>
        <v>0</v>
      </c>
      <c r="BN34" s="133">
        <f>商品录入!BN34*$E34</f>
        <v>0</v>
      </c>
      <c r="BO34" s="133">
        <f>商品录入!BO34*$E34</f>
        <v>0</v>
      </c>
      <c r="BP34" s="133">
        <f>商品录入!BP34*$E34</f>
        <v>0</v>
      </c>
      <c r="BQ34" s="133">
        <f>商品录入!BQ34*$E34</f>
        <v>0</v>
      </c>
      <c r="BR34" s="133">
        <f>商品录入!BR34*$E34</f>
        <v>0</v>
      </c>
      <c r="BS34" s="133">
        <f>商品录入!BS34*$E34</f>
        <v>0</v>
      </c>
      <c r="BT34" s="133">
        <f>商品录入!BT34*$E34</f>
        <v>0</v>
      </c>
      <c r="BU34" s="133">
        <f>商品录入!BU34*$E34</f>
        <v>0</v>
      </c>
      <c r="BV34" s="133">
        <f>商品录入!BV34*$E34</f>
        <v>0</v>
      </c>
      <c r="BW34" s="133">
        <f>商品录入!BW34*$E34</f>
        <v>0</v>
      </c>
    </row>
    <row r="35" s="178" customFormat="1" customHeight="1" spans="1:75">
      <c r="A35" s="161">
        <v>31</v>
      </c>
      <c r="B35" s="162">
        <f>商品录入!B35</f>
        <v>0</v>
      </c>
      <c r="C35" s="162">
        <f>商品录入!C35</f>
        <v>0</v>
      </c>
      <c r="D35" s="162">
        <f>商品录入!D35</f>
        <v>0</v>
      </c>
      <c r="E35" s="162">
        <f>商品录入!E35</f>
        <v>0</v>
      </c>
      <c r="F35" s="162">
        <f>商品录入!F35</f>
        <v>0</v>
      </c>
      <c r="G35" s="162">
        <f>商品录入!G35</f>
        <v>0</v>
      </c>
      <c r="H35" s="162">
        <f>商品录入!H35</f>
        <v>0</v>
      </c>
      <c r="I35" s="162">
        <f>商品录入!I35</f>
        <v>0</v>
      </c>
      <c r="J35" s="162">
        <f>商品录入!J35</f>
        <v>0</v>
      </c>
      <c r="K35" s="162">
        <f>商品录入!K35</f>
        <v>0</v>
      </c>
      <c r="L35" s="162">
        <f>商品录入!L35</f>
        <v>0</v>
      </c>
      <c r="M35" s="162">
        <f>商品录入!M35</f>
        <v>0</v>
      </c>
      <c r="N35" s="133">
        <f>商品录入!N35*$E35</f>
        <v>0</v>
      </c>
      <c r="O35" s="133">
        <f>商品录入!O35*$E35</f>
        <v>0</v>
      </c>
      <c r="P35" s="133">
        <f>商品录入!P35*$E35</f>
        <v>0</v>
      </c>
      <c r="Q35" s="133">
        <f>商品录入!Q35*$E35</f>
        <v>0</v>
      </c>
      <c r="R35" s="133">
        <f>商品录入!R35*$E35</f>
        <v>0</v>
      </c>
      <c r="S35" s="133">
        <f>商品录入!S35*$E35</f>
        <v>0</v>
      </c>
      <c r="T35" s="133">
        <f>商品录入!T35*$E35</f>
        <v>0</v>
      </c>
      <c r="U35" s="133">
        <f>商品录入!U35*$E35</f>
        <v>0</v>
      </c>
      <c r="V35" s="133">
        <f>商品录入!V35*$E35</f>
        <v>0</v>
      </c>
      <c r="W35" s="133">
        <f>商品录入!W35*$E35</f>
        <v>0</v>
      </c>
      <c r="X35" s="133">
        <f>商品录入!X35*$E35</f>
        <v>0</v>
      </c>
      <c r="Y35" s="133">
        <f>商品录入!Y35*$E35</f>
        <v>0</v>
      </c>
      <c r="Z35" s="133">
        <f>商品录入!Z35*$E35</f>
        <v>0</v>
      </c>
      <c r="AA35" s="133">
        <f>商品录入!AA35*$E35</f>
        <v>0</v>
      </c>
      <c r="AB35" s="133">
        <f>商品录入!AB35*$E35</f>
        <v>0</v>
      </c>
      <c r="AC35" s="133">
        <f>商品录入!AC35*$E35</f>
        <v>0</v>
      </c>
      <c r="AD35" s="133">
        <f>商品录入!AD35*$E35</f>
        <v>0</v>
      </c>
      <c r="AE35" s="133">
        <f>商品录入!AE35*$E35</f>
        <v>0</v>
      </c>
      <c r="AF35" s="133">
        <f>商品录入!AF35*$E35</f>
        <v>0</v>
      </c>
      <c r="AG35" s="133">
        <f>商品录入!AG35*$E35</f>
        <v>0</v>
      </c>
      <c r="AH35" s="133">
        <f>商品录入!AH35*$E35</f>
        <v>0</v>
      </c>
      <c r="AI35" s="133">
        <f>商品录入!AI35*$E35</f>
        <v>0</v>
      </c>
      <c r="AJ35" s="133">
        <f>商品录入!AJ35*$E35</f>
        <v>0</v>
      </c>
      <c r="AK35" s="133">
        <f>商品录入!AK35*$E35</f>
        <v>0</v>
      </c>
      <c r="AL35" s="133">
        <f>商品录入!AL35*$E35</f>
        <v>0</v>
      </c>
      <c r="AM35" s="133">
        <f>商品录入!AM35*$E35</f>
        <v>0</v>
      </c>
      <c r="AN35" s="133">
        <f>商品录入!AN35*$E35</f>
        <v>0</v>
      </c>
      <c r="AO35" s="133">
        <f>商品录入!AO35*$E35</f>
        <v>0</v>
      </c>
      <c r="AP35" s="133">
        <f>商品录入!AP35*$E35</f>
        <v>0</v>
      </c>
      <c r="AQ35" s="133">
        <f>商品录入!AQ35*$E35</f>
        <v>0</v>
      </c>
      <c r="AR35" s="133">
        <f>商品录入!AR35*$E35</f>
        <v>0</v>
      </c>
      <c r="AS35" s="133">
        <f>商品录入!AS35*$E35</f>
        <v>0</v>
      </c>
      <c r="AT35" s="133">
        <f>商品录入!AT35*$E35</f>
        <v>0</v>
      </c>
      <c r="AU35" s="133">
        <f>商品录入!AU35*$E35</f>
        <v>0</v>
      </c>
      <c r="AV35" s="133">
        <f>商品录入!AV35*$E35</f>
        <v>0</v>
      </c>
      <c r="AW35" s="133">
        <f>商品录入!AW35*$E35</f>
        <v>0</v>
      </c>
      <c r="AX35" s="133">
        <f>商品录入!AX35*$E35</f>
        <v>0</v>
      </c>
      <c r="AY35" s="133">
        <f>商品录入!AY35*$E35</f>
        <v>0</v>
      </c>
      <c r="AZ35" s="133">
        <f>商品录入!AZ35*$E35</f>
        <v>0</v>
      </c>
      <c r="BA35" s="133">
        <f>商品录入!BA35*$E35</f>
        <v>0</v>
      </c>
      <c r="BB35" s="133">
        <f>商品录入!BB35*$E35</f>
        <v>0</v>
      </c>
      <c r="BC35" s="133">
        <f>商品录入!BC35*$E35</f>
        <v>0</v>
      </c>
      <c r="BD35" s="133">
        <f>商品录入!BD35*$E35</f>
        <v>0</v>
      </c>
      <c r="BE35" s="133">
        <f>商品录入!BE35*$E35</f>
        <v>0</v>
      </c>
      <c r="BF35" s="133">
        <f>商品录入!BF35*$E35</f>
        <v>0</v>
      </c>
      <c r="BG35" s="133">
        <f>商品录入!BG35*$E35</f>
        <v>0</v>
      </c>
      <c r="BH35" s="133">
        <f>商品录入!BH35*$E35</f>
        <v>0</v>
      </c>
      <c r="BI35" s="133">
        <f>商品录入!BI35*$E35</f>
        <v>0</v>
      </c>
      <c r="BJ35" s="133">
        <f>商品录入!BJ35*$E35</f>
        <v>0</v>
      </c>
      <c r="BK35" s="133">
        <f>商品录入!BK35*$E35</f>
        <v>0</v>
      </c>
      <c r="BL35" s="133">
        <f>商品录入!BL35*$E35</f>
        <v>0</v>
      </c>
      <c r="BM35" s="133">
        <f>商品录入!BM35*$E35</f>
        <v>0</v>
      </c>
      <c r="BN35" s="133">
        <f>商品录入!BN35*$E35</f>
        <v>0</v>
      </c>
      <c r="BO35" s="133">
        <f>商品录入!BO35*$E35</f>
        <v>0</v>
      </c>
      <c r="BP35" s="133">
        <f>商品录入!BP35*$E35</f>
        <v>0</v>
      </c>
      <c r="BQ35" s="133">
        <f>商品录入!BQ35*$E35</f>
        <v>0</v>
      </c>
      <c r="BR35" s="133">
        <f>商品录入!BR35*$E35</f>
        <v>0</v>
      </c>
      <c r="BS35" s="133">
        <f>商品录入!BS35*$E35</f>
        <v>0</v>
      </c>
      <c r="BT35" s="133">
        <f>商品录入!BT35*$E35</f>
        <v>0</v>
      </c>
      <c r="BU35" s="133">
        <f>商品录入!BU35*$E35</f>
        <v>0</v>
      </c>
      <c r="BV35" s="133">
        <f>商品录入!BV35*$E35</f>
        <v>0</v>
      </c>
      <c r="BW35" s="133">
        <f>商品录入!BW35*$E35</f>
        <v>0</v>
      </c>
    </row>
    <row r="36" s="178" customFormat="1" customHeight="1" spans="1:75">
      <c r="A36" s="161">
        <v>32</v>
      </c>
      <c r="B36" s="162">
        <f>商品录入!B36</f>
        <v>0</v>
      </c>
      <c r="C36" s="162">
        <f>商品录入!C36</f>
        <v>0</v>
      </c>
      <c r="D36" s="162">
        <f>商品录入!D36</f>
        <v>0</v>
      </c>
      <c r="E36" s="162">
        <f>商品录入!E36</f>
        <v>0</v>
      </c>
      <c r="F36" s="162">
        <f>商品录入!F36</f>
        <v>0</v>
      </c>
      <c r="G36" s="162">
        <f>商品录入!G36</f>
        <v>0</v>
      </c>
      <c r="H36" s="162">
        <f>商品录入!H36</f>
        <v>0</v>
      </c>
      <c r="I36" s="162">
        <f>商品录入!I36</f>
        <v>0</v>
      </c>
      <c r="J36" s="162">
        <f>商品录入!J36</f>
        <v>0</v>
      </c>
      <c r="K36" s="162">
        <f>商品录入!K36</f>
        <v>0</v>
      </c>
      <c r="L36" s="162">
        <f>商品录入!L36</f>
        <v>0</v>
      </c>
      <c r="M36" s="162">
        <f>商品录入!M36</f>
        <v>0</v>
      </c>
      <c r="N36" s="133">
        <f>商品录入!N36*$E36</f>
        <v>0</v>
      </c>
      <c r="O36" s="133">
        <f>商品录入!O36*$E36</f>
        <v>0</v>
      </c>
      <c r="P36" s="133">
        <f>商品录入!P36*$E36</f>
        <v>0</v>
      </c>
      <c r="Q36" s="133">
        <f>商品录入!Q36*$E36</f>
        <v>0</v>
      </c>
      <c r="R36" s="133">
        <f>商品录入!R36*$E36</f>
        <v>0</v>
      </c>
      <c r="S36" s="133">
        <f>商品录入!S36*$E36</f>
        <v>0</v>
      </c>
      <c r="T36" s="133">
        <f>商品录入!T36*$E36</f>
        <v>0</v>
      </c>
      <c r="U36" s="133">
        <f>商品录入!U36*$E36</f>
        <v>0</v>
      </c>
      <c r="V36" s="133">
        <f>商品录入!V36*$E36</f>
        <v>0</v>
      </c>
      <c r="W36" s="133">
        <f>商品录入!W36*$E36</f>
        <v>0</v>
      </c>
      <c r="X36" s="133">
        <f>商品录入!X36*$E36</f>
        <v>0</v>
      </c>
      <c r="Y36" s="133">
        <f>商品录入!Y36*$E36</f>
        <v>0</v>
      </c>
      <c r="Z36" s="133">
        <f>商品录入!Z36*$E36</f>
        <v>0</v>
      </c>
      <c r="AA36" s="133">
        <f>商品录入!AA36*$E36</f>
        <v>0</v>
      </c>
      <c r="AB36" s="133">
        <f>商品录入!AB36*$E36</f>
        <v>0</v>
      </c>
      <c r="AC36" s="133">
        <f>商品录入!AC36*$E36</f>
        <v>0</v>
      </c>
      <c r="AD36" s="133">
        <f>商品录入!AD36*$E36</f>
        <v>0</v>
      </c>
      <c r="AE36" s="133">
        <f>商品录入!AE36*$E36</f>
        <v>0</v>
      </c>
      <c r="AF36" s="133">
        <f>商品录入!AF36*$E36</f>
        <v>0</v>
      </c>
      <c r="AG36" s="133">
        <f>商品录入!AG36*$E36</f>
        <v>0</v>
      </c>
      <c r="AH36" s="133">
        <f>商品录入!AH36*$E36</f>
        <v>0</v>
      </c>
      <c r="AI36" s="133">
        <f>商品录入!AI36*$E36</f>
        <v>0</v>
      </c>
      <c r="AJ36" s="133">
        <f>商品录入!AJ36*$E36</f>
        <v>0</v>
      </c>
      <c r="AK36" s="133">
        <f>商品录入!AK36*$E36</f>
        <v>0</v>
      </c>
      <c r="AL36" s="133">
        <f>商品录入!AL36*$E36</f>
        <v>0</v>
      </c>
      <c r="AM36" s="133">
        <f>商品录入!AM36*$E36</f>
        <v>0</v>
      </c>
      <c r="AN36" s="133">
        <f>商品录入!AN36*$E36</f>
        <v>0</v>
      </c>
      <c r="AO36" s="133">
        <f>商品录入!AO36*$E36</f>
        <v>0</v>
      </c>
      <c r="AP36" s="133">
        <f>商品录入!AP36*$E36</f>
        <v>0</v>
      </c>
      <c r="AQ36" s="133">
        <f>商品录入!AQ36*$E36</f>
        <v>0</v>
      </c>
      <c r="AR36" s="133">
        <f>商品录入!AR36*$E36</f>
        <v>0</v>
      </c>
      <c r="AS36" s="133">
        <f>商品录入!AS36*$E36</f>
        <v>0</v>
      </c>
      <c r="AT36" s="133">
        <f>商品录入!AT36*$E36</f>
        <v>0</v>
      </c>
      <c r="AU36" s="133">
        <f>商品录入!AU36*$E36</f>
        <v>0</v>
      </c>
      <c r="AV36" s="133">
        <f>商品录入!AV36*$E36</f>
        <v>0</v>
      </c>
      <c r="AW36" s="133">
        <f>商品录入!AW36*$E36</f>
        <v>0</v>
      </c>
      <c r="AX36" s="133">
        <f>商品录入!AX36*$E36</f>
        <v>0</v>
      </c>
      <c r="AY36" s="133">
        <f>商品录入!AY36*$E36</f>
        <v>0</v>
      </c>
      <c r="AZ36" s="133">
        <f>商品录入!AZ36*$E36</f>
        <v>0</v>
      </c>
      <c r="BA36" s="133">
        <f>商品录入!BA36*$E36</f>
        <v>0</v>
      </c>
      <c r="BB36" s="133">
        <f>商品录入!BB36*$E36</f>
        <v>0</v>
      </c>
      <c r="BC36" s="133">
        <f>商品录入!BC36*$E36</f>
        <v>0</v>
      </c>
      <c r="BD36" s="133">
        <f>商品录入!BD36*$E36</f>
        <v>0</v>
      </c>
      <c r="BE36" s="133">
        <f>商品录入!BE36*$E36</f>
        <v>0</v>
      </c>
      <c r="BF36" s="133">
        <f>商品录入!BF36*$E36</f>
        <v>0</v>
      </c>
      <c r="BG36" s="133">
        <f>商品录入!BG36*$E36</f>
        <v>0</v>
      </c>
      <c r="BH36" s="133">
        <f>商品录入!BH36*$E36</f>
        <v>0</v>
      </c>
      <c r="BI36" s="133">
        <f>商品录入!BI36*$E36</f>
        <v>0</v>
      </c>
      <c r="BJ36" s="133">
        <f>商品录入!BJ36*$E36</f>
        <v>0</v>
      </c>
      <c r="BK36" s="133">
        <f>商品录入!BK36*$E36</f>
        <v>0</v>
      </c>
      <c r="BL36" s="133">
        <f>商品录入!BL36*$E36</f>
        <v>0</v>
      </c>
      <c r="BM36" s="133">
        <f>商品录入!BM36*$E36</f>
        <v>0</v>
      </c>
      <c r="BN36" s="133">
        <f>商品录入!BN36*$E36</f>
        <v>0</v>
      </c>
      <c r="BO36" s="133">
        <f>商品录入!BO36*$E36</f>
        <v>0</v>
      </c>
      <c r="BP36" s="133">
        <f>商品录入!BP36*$E36</f>
        <v>0</v>
      </c>
      <c r="BQ36" s="133">
        <f>商品录入!BQ36*$E36</f>
        <v>0</v>
      </c>
      <c r="BR36" s="133">
        <f>商品录入!BR36*$E36</f>
        <v>0</v>
      </c>
      <c r="BS36" s="133">
        <f>商品录入!BS36*$E36</f>
        <v>0</v>
      </c>
      <c r="BT36" s="133">
        <f>商品录入!BT36*$E36</f>
        <v>0</v>
      </c>
      <c r="BU36" s="133">
        <f>商品录入!BU36*$E36</f>
        <v>0</v>
      </c>
      <c r="BV36" s="133">
        <f>商品录入!BV36*$E36</f>
        <v>0</v>
      </c>
      <c r="BW36" s="133">
        <f>商品录入!BW36*$E36</f>
        <v>0</v>
      </c>
    </row>
    <row r="37" s="178" customFormat="1" customHeight="1" spans="1:75">
      <c r="A37" s="161">
        <v>33</v>
      </c>
      <c r="B37" s="162">
        <f>商品录入!B37</f>
        <v>0</v>
      </c>
      <c r="C37" s="162">
        <f>商品录入!C37</f>
        <v>0</v>
      </c>
      <c r="D37" s="162">
        <f>商品录入!D37</f>
        <v>0</v>
      </c>
      <c r="E37" s="162">
        <f>商品录入!E37</f>
        <v>0</v>
      </c>
      <c r="F37" s="162">
        <f>商品录入!F37</f>
        <v>0</v>
      </c>
      <c r="G37" s="162">
        <f>商品录入!G37</f>
        <v>0</v>
      </c>
      <c r="H37" s="162">
        <f>商品录入!H37</f>
        <v>0</v>
      </c>
      <c r="I37" s="162">
        <f>商品录入!I37</f>
        <v>0</v>
      </c>
      <c r="J37" s="162">
        <f>商品录入!J37</f>
        <v>0</v>
      </c>
      <c r="K37" s="162">
        <f>商品录入!K37</f>
        <v>0</v>
      </c>
      <c r="L37" s="162">
        <f>商品录入!L37</f>
        <v>0</v>
      </c>
      <c r="M37" s="162">
        <f>商品录入!M37</f>
        <v>0</v>
      </c>
      <c r="N37" s="133">
        <f>商品录入!N37*$E37</f>
        <v>0</v>
      </c>
      <c r="O37" s="133">
        <f>商品录入!O37*$E37</f>
        <v>0</v>
      </c>
      <c r="P37" s="133">
        <f>商品录入!P37*$E37</f>
        <v>0</v>
      </c>
      <c r="Q37" s="133">
        <f>商品录入!Q37*$E37</f>
        <v>0</v>
      </c>
      <c r="R37" s="133">
        <f>商品录入!R37*$E37</f>
        <v>0</v>
      </c>
      <c r="S37" s="133">
        <f>商品录入!S37*$E37</f>
        <v>0</v>
      </c>
      <c r="T37" s="133">
        <f>商品录入!T37*$E37</f>
        <v>0</v>
      </c>
      <c r="U37" s="133">
        <f>商品录入!U37*$E37</f>
        <v>0</v>
      </c>
      <c r="V37" s="133">
        <f>商品录入!V37*$E37</f>
        <v>0</v>
      </c>
      <c r="W37" s="133">
        <f>商品录入!W37*$E37</f>
        <v>0</v>
      </c>
      <c r="X37" s="133">
        <f>商品录入!X37*$E37</f>
        <v>0</v>
      </c>
      <c r="Y37" s="133">
        <f>商品录入!Y37*$E37</f>
        <v>0</v>
      </c>
      <c r="Z37" s="133">
        <f>商品录入!Z37*$E37</f>
        <v>0</v>
      </c>
      <c r="AA37" s="133">
        <f>商品录入!AA37*$E37</f>
        <v>0</v>
      </c>
      <c r="AB37" s="133">
        <f>商品录入!AB37*$E37</f>
        <v>0</v>
      </c>
      <c r="AC37" s="133">
        <f>商品录入!AC37*$E37</f>
        <v>0</v>
      </c>
      <c r="AD37" s="133">
        <f>商品录入!AD37*$E37</f>
        <v>0</v>
      </c>
      <c r="AE37" s="133">
        <f>商品录入!AE37*$E37</f>
        <v>0</v>
      </c>
      <c r="AF37" s="133">
        <f>商品录入!AF37*$E37</f>
        <v>0</v>
      </c>
      <c r="AG37" s="133">
        <f>商品录入!AG37*$E37</f>
        <v>0</v>
      </c>
      <c r="AH37" s="133">
        <f>商品录入!AH37*$E37</f>
        <v>0</v>
      </c>
      <c r="AI37" s="133">
        <f>商品录入!AI37*$E37</f>
        <v>0</v>
      </c>
      <c r="AJ37" s="133">
        <f>商品录入!AJ37*$E37</f>
        <v>0</v>
      </c>
      <c r="AK37" s="133">
        <f>商品录入!AK37*$E37</f>
        <v>0</v>
      </c>
      <c r="AL37" s="133">
        <f>商品录入!AL37*$E37</f>
        <v>0</v>
      </c>
      <c r="AM37" s="133">
        <f>商品录入!AM37*$E37</f>
        <v>0</v>
      </c>
      <c r="AN37" s="133">
        <f>商品录入!AN37*$E37</f>
        <v>0</v>
      </c>
      <c r="AO37" s="133">
        <f>商品录入!AO37*$E37</f>
        <v>0</v>
      </c>
      <c r="AP37" s="133">
        <f>商品录入!AP37*$E37</f>
        <v>0</v>
      </c>
      <c r="AQ37" s="133">
        <f>商品录入!AQ37*$E37</f>
        <v>0</v>
      </c>
      <c r="AR37" s="133">
        <f>商品录入!AR37*$E37</f>
        <v>0</v>
      </c>
      <c r="AS37" s="133">
        <f>商品录入!AS37*$E37</f>
        <v>0</v>
      </c>
      <c r="AT37" s="133">
        <f>商品录入!AT37*$E37</f>
        <v>0</v>
      </c>
      <c r="AU37" s="133">
        <f>商品录入!AU37*$E37</f>
        <v>0</v>
      </c>
      <c r="AV37" s="133">
        <f>商品录入!AV37*$E37</f>
        <v>0</v>
      </c>
      <c r="AW37" s="133">
        <f>商品录入!AW37*$E37</f>
        <v>0</v>
      </c>
      <c r="AX37" s="133">
        <f>商品录入!AX37*$E37</f>
        <v>0</v>
      </c>
      <c r="AY37" s="133">
        <f>商品录入!AY37*$E37</f>
        <v>0</v>
      </c>
      <c r="AZ37" s="133">
        <f>商品录入!AZ37*$E37</f>
        <v>0</v>
      </c>
      <c r="BA37" s="133">
        <f>商品录入!BA37*$E37</f>
        <v>0</v>
      </c>
      <c r="BB37" s="133">
        <f>商品录入!BB37*$E37</f>
        <v>0</v>
      </c>
      <c r="BC37" s="133">
        <f>商品录入!BC37*$E37</f>
        <v>0</v>
      </c>
      <c r="BD37" s="133">
        <f>商品录入!BD37*$E37</f>
        <v>0</v>
      </c>
      <c r="BE37" s="133">
        <f>商品录入!BE37*$E37</f>
        <v>0</v>
      </c>
      <c r="BF37" s="133">
        <f>商品录入!BF37*$E37</f>
        <v>0</v>
      </c>
      <c r="BG37" s="133">
        <f>商品录入!BG37*$E37</f>
        <v>0</v>
      </c>
      <c r="BH37" s="133">
        <f>商品录入!BH37*$E37</f>
        <v>0</v>
      </c>
      <c r="BI37" s="133">
        <f>商品录入!BI37*$E37</f>
        <v>0</v>
      </c>
      <c r="BJ37" s="133">
        <f>商品录入!BJ37*$E37</f>
        <v>0</v>
      </c>
      <c r="BK37" s="133">
        <f>商品录入!BK37*$E37</f>
        <v>0</v>
      </c>
      <c r="BL37" s="133">
        <f>商品录入!BL37*$E37</f>
        <v>0</v>
      </c>
      <c r="BM37" s="133">
        <f>商品录入!BM37*$E37</f>
        <v>0</v>
      </c>
      <c r="BN37" s="133">
        <f>商品录入!BN37*$E37</f>
        <v>0</v>
      </c>
      <c r="BO37" s="133">
        <f>商品录入!BO37*$E37</f>
        <v>0</v>
      </c>
      <c r="BP37" s="133">
        <f>商品录入!BP37*$E37</f>
        <v>0</v>
      </c>
      <c r="BQ37" s="133">
        <f>商品录入!BQ37*$E37</f>
        <v>0</v>
      </c>
      <c r="BR37" s="133">
        <f>商品录入!BR37*$E37</f>
        <v>0</v>
      </c>
      <c r="BS37" s="133">
        <f>商品录入!BS37*$E37</f>
        <v>0</v>
      </c>
      <c r="BT37" s="133">
        <f>商品录入!BT37*$E37</f>
        <v>0</v>
      </c>
      <c r="BU37" s="133">
        <f>商品录入!BU37*$E37</f>
        <v>0</v>
      </c>
      <c r="BV37" s="133">
        <f>商品录入!BV37*$E37</f>
        <v>0</v>
      </c>
      <c r="BW37" s="133">
        <f>商品录入!BW37*$E37</f>
        <v>0</v>
      </c>
    </row>
    <row r="38" s="178" customFormat="1" customHeight="1" spans="1:75">
      <c r="A38" s="161">
        <v>34</v>
      </c>
      <c r="B38" s="162">
        <f>商品录入!B38</f>
        <v>0</v>
      </c>
      <c r="C38" s="162">
        <f>商品录入!C38</f>
        <v>0</v>
      </c>
      <c r="D38" s="162">
        <f>商品录入!D38</f>
        <v>0</v>
      </c>
      <c r="E38" s="162">
        <f>商品录入!E38</f>
        <v>0</v>
      </c>
      <c r="F38" s="162">
        <f>商品录入!F38</f>
        <v>0</v>
      </c>
      <c r="G38" s="162">
        <f>商品录入!G38</f>
        <v>0</v>
      </c>
      <c r="H38" s="162">
        <f>商品录入!H38</f>
        <v>0</v>
      </c>
      <c r="I38" s="162">
        <f>商品录入!I38</f>
        <v>0</v>
      </c>
      <c r="J38" s="162">
        <f>商品录入!J38</f>
        <v>0</v>
      </c>
      <c r="K38" s="162">
        <f>商品录入!K38</f>
        <v>0</v>
      </c>
      <c r="L38" s="162">
        <f>商品录入!L38</f>
        <v>0</v>
      </c>
      <c r="M38" s="162">
        <f>商品录入!M38</f>
        <v>0</v>
      </c>
      <c r="N38" s="133">
        <f>商品录入!N38*$E38</f>
        <v>0</v>
      </c>
      <c r="O38" s="133">
        <f>商品录入!O38*$E38</f>
        <v>0</v>
      </c>
      <c r="P38" s="133">
        <f>商品录入!P38*$E38</f>
        <v>0</v>
      </c>
      <c r="Q38" s="133">
        <f>商品录入!Q38*$E38</f>
        <v>0</v>
      </c>
      <c r="R38" s="133">
        <f>商品录入!R38*$E38</f>
        <v>0</v>
      </c>
      <c r="S38" s="133">
        <f>商品录入!S38*$E38</f>
        <v>0</v>
      </c>
      <c r="T38" s="133">
        <f>商品录入!T38*$E38</f>
        <v>0</v>
      </c>
      <c r="U38" s="133">
        <f>商品录入!U38*$E38</f>
        <v>0</v>
      </c>
      <c r="V38" s="133">
        <f>商品录入!V38*$E38</f>
        <v>0</v>
      </c>
      <c r="W38" s="133">
        <f>商品录入!W38*$E38</f>
        <v>0</v>
      </c>
      <c r="X38" s="133">
        <f>商品录入!X38*$E38</f>
        <v>0</v>
      </c>
      <c r="Y38" s="133">
        <f>商品录入!Y38*$E38</f>
        <v>0</v>
      </c>
      <c r="Z38" s="133">
        <f>商品录入!Z38*$E38</f>
        <v>0</v>
      </c>
      <c r="AA38" s="133">
        <f>商品录入!AA38*$E38</f>
        <v>0</v>
      </c>
      <c r="AB38" s="133">
        <f>商品录入!AB38*$E38</f>
        <v>0</v>
      </c>
      <c r="AC38" s="133">
        <f>商品录入!AC38*$E38</f>
        <v>0</v>
      </c>
      <c r="AD38" s="133">
        <f>商品录入!AD38*$E38</f>
        <v>0</v>
      </c>
      <c r="AE38" s="133">
        <f>商品录入!AE38*$E38</f>
        <v>0</v>
      </c>
      <c r="AF38" s="133">
        <f>商品录入!AF38*$E38</f>
        <v>0</v>
      </c>
      <c r="AG38" s="133">
        <f>商品录入!AG38*$E38</f>
        <v>0</v>
      </c>
      <c r="AH38" s="133">
        <f>商品录入!AH38*$E38</f>
        <v>0</v>
      </c>
      <c r="AI38" s="133">
        <f>商品录入!AI38*$E38</f>
        <v>0</v>
      </c>
      <c r="AJ38" s="133">
        <f>商品录入!AJ38*$E38</f>
        <v>0</v>
      </c>
      <c r="AK38" s="133">
        <f>商品录入!AK38*$E38</f>
        <v>0</v>
      </c>
      <c r="AL38" s="133">
        <f>商品录入!AL38*$E38</f>
        <v>0</v>
      </c>
      <c r="AM38" s="133">
        <f>商品录入!AM38*$E38</f>
        <v>0</v>
      </c>
      <c r="AN38" s="133">
        <f>商品录入!AN38*$E38</f>
        <v>0</v>
      </c>
      <c r="AO38" s="133">
        <f>商品录入!AO38*$E38</f>
        <v>0</v>
      </c>
      <c r="AP38" s="133">
        <f>商品录入!AP38*$E38</f>
        <v>0</v>
      </c>
      <c r="AQ38" s="133">
        <f>商品录入!AQ38*$E38</f>
        <v>0</v>
      </c>
      <c r="AR38" s="133">
        <f>商品录入!AR38*$E38</f>
        <v>0</v>
      </c>
      <c r="AS38" s="133">
        <f>商品录入!AS38*$E38</f>
        <v>0</v>
      </c>
      <c r="AT38" s="133">
        <f>商品录入!AT38*$E38</f>
        <v>0</v>
      </c>
      <c r="AU38" s="133">
        <f>商品录入!AU38*$E38</f>
        <v>0</v>
      </c>
      <c r="AV38" s="133">
        <f>商品录入!AV38*$E38</f>
        <v>0</v>
      </c>
      <c r="AW38" s="133">
        <f>商品录入!AW38*$E38</f>
        <v>0</v>
      </c>
      <c r="AX38" s="133">
        <f>商品录入!AX38*$E38</f>
        <v>0</v>
      </c>
      <c r="AY38" s="133">
        <f>商品录入!AY38*$E38</f>
        <v>0</v>
      </c>
      <c r="AZ38" s="133">
        <f>商品录入!AZ38*$E38</f>
        <v>0</v>
      </c>
      <c r="BA38" s="133">
        <f>商品录入!BA38*$E38</f>
        <v>0</v>
      </c>
      <c r="BB38" s="133">
        <f>商品录入!BB38*$E38</f>
        <v>0</v>
      </c>
      <c r="BC38" s="133">
        <f>商品录入!BC38*$E38</f>
        <v>0</v>
      </c>
      <c r="BD38" s="133">
        <f>商品录入!BD38*$E38</f>
        <v>0</v>
      </c>
      <c r="BE38" s="133">
        <f>商品录入!BE38*$E38</f>
        <v>0</v>
      </c>
      <c r="BF38" s="133">
        <f>商品录入!BF38*$E38</f>
        <v>0</v>
      </c>
      <c r="BG38" s="133">
        <f>商品录入!BG38*$E38</f>
        <v>0</v>
      </c>
      <c r="BH38" s="133">
        <f>商品录入!BH38*$E38</f>
        <v>0</v>
      </c>
      <c r="BI38" s="133">
        <f>商品录入!BI38*$E38</f>
        <v>0</v>
      </c>
      <c r="BJ38" s="133">
        <f>商品录入!BJ38*$E38</f>
        <v>0</v>
      </c>
      <c r="BK38" s="133">
        <f>商品录入!BK38*$E38</f>
        <v>0</v>
      </c>
      <c r="BL38" s="133">
        <f>商品录入!BL38*$E38</f>
        <v>0</v>
      </c>
      <c r="BM38" s="133">
        <f>商品录入!BM38*$E38</f>
        <v>0</v>
      </c>
      <c r="BN38" s="133">
        <f>商品录入!BN38*$E38</f>
        <v>0</v>
      </c>
      <c r="BO38" s="133">
        <f>商品录入!BO38*$E38</f>
        <v>0</v>
      </c>
      <c r="BP38" s="133">
        <f>商品录入!BP38*$E38</f>
        <v>0</v>
      </c>
      <c r="BQ38" s="133">
        <f>商品录入!BQ38*$E38</f>
        <v>0</v>
      </c>
      <c r="BR38" s="133">
        <f>商品录入!BR38*$E38</f>
        <v>0</v>
      </c>
      <c r="BS38" s="133">
        <f>商品录入!BS38*$E38</f>
        <v>0</v>
      </c>
      <c r="BT38" s="133">
        <f>商品录入!BT38*$E38</f>
        <v>0</v>
      </c>
      <c r="BU38" s="133">
        <f>商品录入!BU38*$E38</f>
        <v>0</v>
      </c>
      <c r="BV38" s="133">
        <f>商品录入!BV38*$E38</f>
        <v>0</v>
      </c>
      <c r="BW38" s="133">
        <f>商品录入!BW38*$E38</f>
        <v>0</v>
      </c>
    </row>
    <row r="39" s="178" customFormat="1" customHeight="1" spans="1:75">
      <c r="A39" s="161">
        <v>35</v>
      </c>
      <c r="B39" s="162">
        <f>商品录入!B39</f>
        <v>0</v>
      </c>
      <c r="C39" s="162">
        <f>商品录入!C39</f>
        <v>0</v>
      </c>
      <c r="D39" s="162">
        <f>商品录入!D39</f>
        <v>0</v>
      </c>
      <c r="E39" s="162">
        <f>商品录入!E39</f>
        <v>0</v>
      </c>
      <c r="F39" s="162">
        <f>商品录入!F39</f>
        <v>0</v>
      </c>
      <c r="G39" s="162">
        <f>商品录入!G39</f>
        <v>0</v>
      </c>
      <c r="H39" s="162">
        <f>商品录入!H39</f>
        <v>0</v>
      </c>
      <c r="I39" s="162">
        <f>商品录入!I39</f>
        <v>0</v>
      </c>
      <c r="J39" s="162">
        <f>商品录入!J39</f>
        <v>0</v>
      </c>
      <c r="K39" s="162">
        <f>商品录入!K39</f>
        <v>0</v>
      </c>
      <c r="L39" s="162">
        <f>商品录入!L39</f>
        <v>0</v>
      </c>
      <c r="M39" s="162">
        <f>商品录入!M39</f>
        <v>0</v>
      </c>
      <c r="N39" s="133">
        <f>商品录入!N39*$E39</f>
        <v>0</v>
      </c>
      <c r="O39" s="133">
        <f>商品录入!O39*$E39</f>
        <v>0</v>
      </c>
      <c r="P39" s="133">
        <f>商品录入!P39*$E39</f>
        <v>0</v>
      </c>
      <c r="Q39" s="133">
        <f>商品录入!Q39*$E39</f>
        <v>0</v>
      </c>
      <c r="R39" s="133">
        <f>商品录入!R39*$E39</f>
        <v>0</v>
      </c>
      <c r="S39" s="133">
        <f>商品录入!S39*$E39</f>
        <v>0</v>
      </c>
      <c r="T39" s="133">
        <f>商品录入!T39*$E39</f>
        <v>0</v>
      </c>
      <c r="U39" s="133">
        <f>商品录入!U39*$E39</f>
        <v>0</v>
      </c>
      <c r="V39" s="133">
        <f>商品录入!V39*$E39</f>
        <v>0</v>
      </c>
      <c r="W39" s="133">
        <f>商品录入!W39*$E39</f>
        <v>0</v>
      </c>
      <c r="X39" s="133">
        <f>商品录入!X39*$E39</f>
        <v>0</v>
      </c>
      <c r="Y39" s="133">
        <f>商品录入!Y39*$E39</f>
        <v>0</v>
      </c>
      <c r="Z39" s="133">
        <f>商品录入!Z39*$E39</f>
        <v>0</v>
      </c>
      <c r="AA39" s="133">
        <f>商品录入!AA39*$E39</f>
        <v>0</v>
      </c>
      <c r="AB39" s="133">
        <f>商品录入!AB39*$E39</f>
        <v>0</v>
      </c>
      <c r="AC39" s="133">
        <f>商品录入!AC39*$E39</f>
        <v>0</v>
      </c>
      <c r="AD39" s="133">
        <f>商品录入!AD39*$E39</f>
        <v>0</v>
      </c>
      <c r="AE39" s="133">
        <f>商品录入!AE39*$E39</f>
        <v>0</v>
      </c>
      <c r="AF39" s="133">
        <f>商品录入!AF39*$E39</f>
        <v>0</v>
      </c>
      <c r="AG39" s="133">
        <f>商品录入!AG39*$E39</f>
        <v>0</v>
      </c>
      <c r="AH39" s="133">
        <f>商品录入!AH39*$E39</f>
        <v>0</v>
      </c>
      <c r="AI39" s="133">
        <f>商品录入!AI39*$E39</f>
        <v>0</v>
      </c>
      <c r="AJ39" s="133">
        <f>商品录入!AJ39*$E39</f>
        <v>0</v>
      </c>
      <c r="AK39" s="133">
        <f>商品录入!AK39*$E39</f>
        <v>0</v>
      </c>
      <c r="AL39" s="133">
        <f>商品录入!AL39*$E39</f>
        <v>0</v>
      </c>
      <c r="AM39" s="133">
        <f>商品录入!AM39*$E39</f>
        <v>0</v>
      </c>
      <c r="AN39" s="133">
        <f>商品录入!AN39*$E39</f>
        <v>0</v>
      </c>
      <c r="AO39" s="133">
        <f>商品录入!AO39*$E39</f>
        <v>0</v>
      </c>
      <c r="AP39" s="133">
        <f>商品录入!AP39*$E39</f>
        <v>0</v>
      </c>
      <c r="AQ39" s="133">
        <f>商品录入!AQ39*$E39</f>
        <v>0</v>
      </c>
      <c r="AR39" s="133">
        <f>商品录入!AR39*$E39</f>
        <v>0</v>
      </c>
      <c r="AS39" s="133">
        <f>商品录入!AS39*$E39</f>
        <v>0</v>
      </c>
      <c r="AT39" s="133">
        <f>商品录入!AT39*$E39</f>
        <v>0</v>
      </c>
      <c r="AU39" s="133">
        <f>商品录入!AU39*$E39</f>
        <v>0</v>
      </c>
      <c r="AV39" s="133">
        <f>商品录入!AV39*$E39</f>
        <v>0</v>
      </c>
      <c r="AW39" s="133">
        <f>商品录入!AW39*$E39</f>
        <v>0</v>
      </c>
      <c r="AX39" s="133">
        <f>商品录入!AX39*$E39</f>
        <v>0</v>
      </c>
      <c r="AY39" s="133">
        <f>商品录入!AY39*$E39</f>
        <v>0</v>
      </c>
      <c r="AZ39" s="133">
        <f>商品录入!AZ39*$E39</f>
        <v>0</v>
      </c>
      <c r="BA39" s="133">
        <f>商品录入!BA39*$E39</f>
        <v>0</v>
      </c>
      <c r="BB39" s="133">
        <f>商品录入!BB39*$E39</f>
        <v>0</v>
      </c>
      <c r="BC39" s="133">
        <f>商品录入!BC39*$E39</f>
        <v>0</v>
      </c>
      <c r="BD39" s="133">
        <f>商品录入!BD39*$E39</f>
        <v>0</v>
      </c>
      <c r="BE39" s="133">
        <f>商品录入!BE39*$E39</f>
        <v>0</v>
      </c>
      <c r="BF39" s="133">
        <f>商品录入!BF39*$E39</f>
        <v>0</v>
      </c>
      <c r="BG39" s="133">
        <f>商品录入!BG39*$E39</f>
        <v>0</v>
      </c>
      <c r="BH39" s="133">
        <f>商品录入!BH39*$E39</f>
        <v>0</v>
      </c>
      <c r="BI39" s="133">
        <f>商品录入!BI39*$E39</f>
        <v>0</v>
      </c>
      <c r="BJ39" s="133">
        <f>商品录入!BJ39*$E39</f>
        <v>0</v>
      </c>
      <c r="BK39" s="133">
        <f>商品录入!BK39*$E39</f>
        <v>0</v>
      </c>
      <c r="BL39" s="133">
        <f>商品录入!BL39*$E39</f>
        <v>0</v>
      </c>
      <c r="BM39" s="133">
        <f>商品录入!BM39*$E39</f>
        <v>0</v>
      </c>
      <c r="BN39" s="133">
        <f>商品录入!BN39*$E39</f>
        <v>0</v>
      </c>
      <c r="BO39" s="133">
        <f>商品录入!BO39*$E39</f>
        <v>0</v>
      </c>
      <c r="BP39" s="133">
        <f>商品录入!BP39*$E39</f>
        <v>0</v>
      </c>
      <c r="BQ39" s="133">
        <f>商品录入!BQ39*$E39</f>
        <v>0</v>
      </c>
      <c r="BR39" s="133">
        <f>商品录入!BR39*$E39</f>
        <v>0</v>
      </c>
      <c r="BS39" s="133">
        <f>商品录入!BS39*$E39</f>
        <v>0</v>
      </c>
      <c r="BT39" s="133">
        <f>商品录入!BT39*$E39</f>
        <v>0</v>
      </c>
      <c r="BU39" s="133">
        <f>商品录入!BU39*$E39</f>
        <v>0</v>
      </c>
      <c r="BV39" s="133">
        <f>商品录入!BV39*$E39</f>
        <v>0</v>
      </c>
      <c r="BW39" s="133">
        <f>商品录入!BW39*$E39</f>
        <v>0</v>
      </c>
    </row>
    <row r="40" s="178" customFormat="1" customHeight="1" spans="1:75">
      <c r="A40" s="161">
        <v>36</v>
      </c>
      <c r="B40" s="162">
        <f>商品录入!B40</f>
        <v>0</v>
      </c>
      <c r="C40" s="162">
        <f>商品录入!C40</f>
        <v>0</v>
      </c>
      <c r="D40" s="162">
        <f>商品录入!D40</f>
        <v>0</v>
      </c>
      <c r="E40" s="162">
        <f>商品录入!E40</f>
        <v>0</v>
      </c>
      <c r="F40" s="162">
        <f>商品录入!F40</f>
        <v>0</v>
      </c>
      <c r="G40" s="162">
        <f>商品录入!G40</f>
        <v>0</v>
      </c>
      <c r="H40" s="162">
        <f>商品录入!H40</f>
        <v>0</v>
      </c>
      <c r="I40" s="162">
        <f>商品录入!I40</f>
        <v>0</v>
      </c>
      <c r="J40" s="162">
        <f>商品录入!J40</f>
        <v>0</v>
      </c>
      <c r="K40" s="162">
        <f>商品录入!K40</f>
        <v>0</v>
      </c>
      <c r="L40" s="162">
        <f>商品录入!L40</f>
        <v>0</v>
      </c>
      <c r="M40" s="162">
        <f>商品录入!M40</f>
        <v>0</v>
      </c>
      <c r="N40" s="133">
        <f>商品录入!N40*$E40</f>
        <v>0</v>
      </c>
      <c r="O40" s="133">
        <f>商品录入!O40*$E40</f>
        <v>0</v>
      </c>
      <c r="P40" s="133">
        <f>商品录入!P40*$E40</f>
        <v>0</v>
      </c>
      <c r="Q40" s="133">
        <f>商品录入!Q40*$E40</f>
        <v>0</v>
      </c>
      <c r="R40" s="133">
        <f>商品录入!R40*$E40</f>
        <v>0</v>
      </c>
      <c r="S40" s="133">
        <f>商品录入!S40*$E40</f>
        <v>0</v>
      </c>
      <c r="T40" s="133">
        <f>商品录入!T40*$E40</f>
        <v>0</v>
      </c>
      <c r="U40" s="133">
        <f>商品录入!U40*$E40</f>
        <v>0</v>
      </c>
      <c r="V40" s="133">
        <f>商品录入!V40*$E40</f>
        <v>0</v>
      </c>
      <c r="W40" s="133">
        <f>商品录入!W40*$E40</f>
        <v>0</v>
      </c>
      <c r="X40" s="133">
        <f>商品录入!X40*$E40</f>
        <v>0</v>
      </c>
      <c r="Y40" s="133">
        <f>商品录入!Y40*$E40</f>
        <v>0</v>
      </c>
      <c r="Z40" s="133">
        <f>商品录入!Z40*$E40</f>
        <v>0</v>
      </c>
      <c r="AA40" s="133">
        <f>商品录入!AA40*$E40</f>
        <v>0</v>
      </c>
      <c r="AB40" s="133">
        <f>商品录入!AB40*$E40</f>
        <v>0</v>
      </c>
      <c r="AC40" s="133">
        <f>商品录入!AC40*$E40</f>
        <v>0</v>
      </c>
      <c r="AD40" s="133">
        <f>商品录入!AD40*$E40</f>
        <v>0</v>
      </c>
      <c r="AE40" s="133">
        <f>商品录入!AE40*$E40</f>
        <v>0</v>
      </c>
      <c r="AF40" s="133">
        <f>商品录入!AF40*$E40</f>
        <v>0</v>
      </c>
      <c r="AG40" s="133">
        <f>商品录入!AG40*$E40</f>
        <v>0</v>
      </c>
      <c r="AH40" s="133">
        <f>商品录入!AH40*$E40</f>
        <v>0</v>
      </c>
      <c r="AI40" s="133">
        <f>商品录入!AI40*$E40</f>
        <v>0</v>
      </c>
      <c r="AJ40" s="133">
        <f>商品录入!AJ40*$E40</f>
        <v>0</v>
      </c>
      <c r="AK40" s="133">
        <f>商品录入!AK40*$E40</f>
        <v>0</v>
      </c>
      <c r="AL40" s="133">
        <f>商品录入!AL40*$E40</f>
        <v>0</v>
      </c>
      <c r="AM40" s="133">
        <f>商品录入!AM40*$E40</f>
        <v>0</v>
      </c>
      <c r="AN40" s="133">
        <f>商品录入!AN40*$E40</f>
        <v>0</v>
      </c>
      <c r="AO40" s="133">
        <f>商品录入!AO40*$E40</f>
        <v>0</v>
      </c>
      <c r="AP40" s="133">
        <f>商品录入!AP40*$E40</f>
        <v>0</v>
      </c>
      <c r="AQ40" s="133">
        <f>商品录入!AQ40*$E40</f>
        <v>0</v>
      </c>
      <c r="AR40" s="133">
        <f>商品录入!AR40*$E40</f>
        <v>0</v>
      </c>
      <c r="AS40" s="133">
        <f>商品录入!AS40*$E40</f>
        <v>0</v>
      </c>
      <c r="AT40" s="133">
        <f>商品录入!AT40*$E40</f>
        <v>0</v>
      </c>
      <c r="AU40" s="133">
        <f>商品录入!AU40*$E40</f>
        <v>0</v>
      </c>
      <c r="AV40" s="133">
        <f>商品录入!AV40*$E40</f>
        <v>0</v>
      </c>
      <c r="AW40" s="133">
        <f>商品录入!AW40*$E40</f>
        <v>0</v>
      </c>
      <c r="AX40" s="133">
        <f>商品录入!AX40*$E40</f>
        <v>0</v>
      </c>
      <c r="AY40" s="133">
        <f>商品录入!AY40*$E40</f>
        <v>0</v>
      </c>
      <c r="AZ40" s="133">
        <f>商品录入!AZ40*$E40</f>
        <v>0</v>
      </c>
      <c r="BA40" s="133">
        <f>商品录入!BA40*$E40</f>
        <v>0</v>
      </c>
      <c r="BB40" s="133">
        <f>商品录入!BB40*$E40</f>
        <v>0</v>
      </c>
      <c r="BC40" s="133">
        <f>商品录入!BC40*$E40</f>
        <v>0</v>
      </c>
      <c r="BD40" s="133">
        <f>商品录入!BD40*$E40</f>
        <v>0</v>
      </c>
      <c r="BE40" s="133">
        <f>商品录入!BE40*$E40</f>
        <v>0</v>
      </c>
      <c r="BF40" s="133">
        <f>商品录入!BF40*$E40</f>
        <v>0</v>
      </c>
      <c r="BG40" s="133">
        <f>商品录入!BG40*$E40</f>
        <v>0</v>
      </c>
      <c r="BH40" s="133">
        <f>商品录入!BH40*$E40</f>
        <v>0</v>
      </c>
      <c r="BI40" s="133">
        <f>商品录入!BI40*$E40</f>
        <v>0</v>
      </c>
      <c r="BJ40" s="133">
        <f>商品录入!BJ40*$E40</f>
        <v>0</v>
      </c>
      <c r="BK40" s="133">
        <f>商品录入!BK40*$E40</f>
        <v>0</v>
      </c>
      <c r="BL40" s="133">
        <f>商品录入!BL40*$E40</f>
        <v>0</v>
      </c>
      <c r="BM40" s="133">
        <f>商品录入!BM40*$E40</f>
        <v>0</v>
      </c>
      <c r="BN40" s="133">
        <f>商品录入!BN40*$E40</f>
        <v>0</v>
      </c>
      <c r="BO40" s="133">
        <f>商品录入!BO40*$E40</f>
        <v>0</v>
      </c>
      <c r="BP40" s="133">
        <f>商品录入!BP40*$E40</f>
        <v>0</v>
      </c>
      <c r="BQ40" s="133">
        <f>商品录入!BQ40*$E40</f>
        <v>0</v>
      </c>
      <c r="BR40" s="133">
        <f>商品录入!BR40*$E40</f>
        <v>0</v>
      </c>
      <c r="BS40" s="133">
        <f>商品录入!BS40*$E40</f>
        <v>0</v>
      </c>
      <c r="BT40" s="133">
        <f>商品录入!BT40*$E40</f>
        <v>0</v>
      </c>
      <c r="BU40" s="133">
        <f>商品录入!BU40*$E40</f>
        <v>0</v>
      </c>
      <c r="BV40" s="133">
        <f>商品录入!BV40*$E40</f>
        <v>0</v>
      </c>
      <c r="BW40" s="133">
        <f>商品录入!BW40*$E40</f>
        <v>0</v>
      </c>
    </row>
    <row r="41" s="178" customFormat="1" customHeight="1" spans="1:75">
      <c r="A41" s="161">
        <v>37</v>
      </c>
      <c r="B41" s="162">
        <f>商品录入!B41</f>
        <v>0</v>
      </c>
      <c r="C41" s="162">
        <f>商品录入!C41</f>
        <v>0</v>
      </c>
      <c r="D41" s="162">
        <f>商品录入!D41</f>
        <v>0</v>
      </c>
      <c r="E41" s="162">
        <f>商品录入!E41</f>
        <v>0</v>
      </c>
      <c r="F41" s="162">
        <f>商品录入!F41</f>
        <v>0</v>
      </c>
      <c r="G41" s="162">
        <f>商品录入!G41</f>
        <v>0</v>
      </c>
      <c r="H41" s="162">
        <f>商品录入!H41</f>
        <v>0</v>
      </c>
      <c r="I41" s="162">
        <f>商品录入!I41</f>
        <v>0</v>
      </c>
      <c r="J41" s="162">
        <f>商品录入!J41</f>
        <v>0</v>
      </c>
      <c r="K41" s="162">
        <f>商品录入!K41</f>
        <v>0</v>
      </c>
      <c r="L41" s="162">
        <f>商品录入!L41</f>
        <v>0</v>
      </c>
      <c r="M41" s="162">
        <f>商品录入!M41</f>
        <v>0</v>
      </c>
      <c r="N41" s="133">
        <f>商品录入!N41*$E41</f>
        <v>0</v>
      </c>
      <c r="O41" s="133">
        <f>商品录入!O41*$E41</f>
        <v>0</v>
      </c>
      <c r="P41" s="133">
        <f>商品录入!P41*$E41</f>
        <v>0</v>
      </c>
      <c r="Q41" s="133">
        <f>商品录入!Q41*$E41</f>
        <v>0</v>
      </c>
      <c r="R41" s="133">
        <f>商品录入!R41*$E41</f>
        <v>0</v>
      </c>
      <c r="S41" s="133">
        <f>商品录入!S41*$E41</f>
        <v>0</v>
      </c>
      <c r="T41" s="133">
        <f>商品录入!T41*$E41</f>
        <v>0</v>
      </c>
      <c r="U41" s="133">
        <f>商品录入!U41*$E41</f>
        <v>0</v>
      </c>
      <c r="V41" s="133">
        <f>商品录入!V41*$E41</f>
        <v>0</v>
      </c>
      <c r="W41" s="133">
        <f>商品录入!W41*$E41</f>
        <v>0</v>
      </c>
      <c r="X41" s="133">
        <f>商品录入!X41*$E41</f>
        <v>0</v>
      </c>
      <c r="Y41" s="133">
        <f>商品录入!Y41*$E41</f>
        <v>0</v>
      </c>
      <c r="Z41" s="133">
        <f>商品录入!Z41*$E41</f>
        <v>0</v>
      </c>
      <c r="AA41" s="133">
        <f>商品录入!AA41*$E41</f>
        <v>0</v>
      </c>
      <c r="AB41" s="133">
        <f>商品录入!AB41*$E41</f>
        <v>0</v>
      </c>
      <c r="AC41" s="133">
        <f>商品录入!AC41*$E41</f>
        <v>0</v>
      </c>
      <c r="AD41" s="133">
        <f>商品录入!AD41*$E41</f>
        <v>0</v>
      </c>
      <c r="AE41" s="133">
        <f>商品录入!AE41*$E41</f>
        <v>0</v>
      </c>
      <c r="AF41" s="133">
        <f>商品录入!AF41*$E41</f>
        <v>0</v>
      </c>
      <c r="AG41" s="133">
        <f>商品录入!AG41*$E41</f>
        <v>0</v>
      </c>
      <c r="AH41" s="133">
        <f>商品录入!AH41*$E41</f>
        <v>0</v>
      </c>
      <c r="AI41" s="133">
        <f>商品录入!AI41*$E41</f>
        <v>0</v>
      </c>
      <c r="AJ41" s="133">
        <f>商品录入!AJ41*$E41</f>
        <v>0</v>
      </c>
      <c r="AK41" s="133">
        <f>商品录入!AK41*$E41</f>
        <v>0</v>
      </c>
      <c r="AL41" s="133">
        <f>商品录入!AL41*$E41</f>
        <v>0</v>
      </c>
      <c r="AM41" s="133">
        <f>商品录入!AM41*$E41</f>
        <v>0</v>
      </c>
      <c r="AN41" s="133">
        <f>商品录入!AN41*$E41</f>
        <v>0</v>
      </c>
      <c r="AO41" s="133">
        <f>商品录入!AO41*$E41</f>
        <v>0</v>
      </c>
      <c r="AP41" s="133">
        <f>商品录入!AP41*$E41</f>
        <v>0</v>
      </c>
      <c r="AQ41" s="133">
        <f>商品录入!AQ41*$E41</f>
        <v>0</v>
      </c>
      <c r="AR41" s="133">
        <f>商品录入!AR41*$E41</f>
        <v>0</v>
      </c>
      <c r="AS41" s="133">
        <f>商品录入!AS41*$E41</f>
        <v>0</v>
      </c>
      <c r="AT41" s="133">
        <f>商品录入!AT41*$E41</f>
        <v>0</v>
      </c>
      <c r="AU41" s="133">
        <f>商品录入!AU41*$E41</f>
        <v>0</v>
      </c>
      <c r="AV41" s="133">
        <f>商品录入!AV41*$E41</f>
        <v>0</v>
      </c>
      <c r="AW41" s="133">
        <f>商品录入!AW41*$E41</f>
        <v>0</v>
      </c>
      <c r="AX41" s="133">
        <f>商品录入!AX41*$E41</f>
        <v>0</v>
      </c>
      <c r="AY41" s="133">
        <f>商品录入!AY41*$E41</f>
        <v>0</v>
      </c>
      <c r="AZ41" s="133">
        <f>商品录入!AZ41*$E41</f>
        <v>0</v>
      </c>
      <c r="BA41" s="133">
        <f>商品录入!BA41*$E41</f>
        <v>0</v>
      </c>
      <c r="BB41" s="133">
        <f>商品录入!BB41*$E41</f>
        <v>0</v>
      </c>
      <c r="BC41" s="133">
        <f>商品录入!BC41*$E41</f>
        <v>0</v>
      </c>
      <c r="BD41" s="133">
        <f>商品录入!BD41*$E41</f>
        <v>0</v>
      </c>
      <c r="BE41" s="133">
        <f>商品录入!BE41*$E41</f>
        <v>0</v>
      </c>
      <c r="BF41" s="133">
        <f>商品录入!BF41*$E41</f>
        <v>0</v>
      </c>
      <c r="BG41" s="133">
        <f>商品录入!BG41*$E41</f>
        <v>0</v>
      </c>
      <c r="BH41" s="133">
        <f>商品录入!BH41*$E41</f>
        <v>0</v>
      </c>
      <c r="BI41" s="133">
        <f>商品录入!BI41*$E41</f>
        <v>0</v>
      </c>
      <c r="BJ41" s="133">
        <f>商品录入!BJ41*$E41</f>
        <v>0</v>
      </c>
      <c r="BK41" s="133">
        <f>商品录入!BK41*$E41</f>
        <v>0</v>
      </c>
      <c r="BL41" s="133">
        <f>商品录入!BL41*$E41</f>
        <v>0</v>
      </c>
      <c r="BM41" s="133">
        <f>商品录入!BM41*$E41</f>
        <v>0</v>
      </c>
      <c r="BN41" s="133">
        <f>商品录入!BN41*$E41</f>
        <v>0</v>
      </c>
      <c r="BO41" s="133">
        <f>商品录入!BO41*$E41</f>
        <v>0</v>
      </c>
      <c r="BP41" s="133">
        <f>商品录入!BP41*$E41</f>
        <v>0</v>
      </c>
      <c r="BQ41" s="133">
        <f>商品录入!BQ41*$E41</f>
        <v>0</v>
      </c>
      <c r="BR41" s="133">
        <f>商品录入!BR41*$E41</f>
        <v>0</v>
      </c>
      <c r="BS41" s="133">
        <f>商品录入!BS41*$E41</f>
        <v>0</v>
      </c>
      <c r="BT41" s="133">
        <f>商品录入!BT41*$E41</f>
        <v>0</v>
      </c>
      <c r="BU41" s="133">
        <f>商品录入!BU41*$E41</f>
        <v>0</v>
      </c>
      <c r="BV41" s="133">
        <f>商品录入!BV41*$E41</f>
        <v>0</v>
      </c>
      <c r="BW41" s="133">
        <f>商品录入!BW41*$E41</f>
        <v>0</v>
      </c>
    </row>
    <row r="42" s="178" customFormat="1" customHeight="1" spans="1:75">
      <c r="A42" s="161">
        <v>38</v>
      </c>
      <c r="B42" s="162">
        <f>商品录入!B42</f>
        <v>0</v>
      </c>
      <c r="C42" s="162">
        <f>商品录入!C42</f>
        <v>0</v>
      </c>
      <c r="D42" s="162">
        <f>商品录入!D42</f>
        <v>0</v>
      </c>
      <c r="E42" s="162">
        <f>商品录入!E42</f>
        <v>0</v>
      </c>
      <c r="F42" s="162">
        <f>商品录入!F42</f>
        <v>0</v>
      </c>
      <c r="G42" s="162">
        <f>商品录入!G42</f>
        <v>0</v>
      </c>
      <c r="H42" s="162">
        <f>商品录入!H42</f>
        <v>0</v>
      </c>
      <c r="I42" s="162">
        <f>商品录入!I42</f>
        <v>0</v>
      </c>
      <c r="J42" s="162">
        <f>商品录入!J42</f>
        <v>0</v>
      </c>
      <c r="K42" s="162">
        <f>商品录入!K42</f>
        <v>0</v>
      </c>
      <c r="L42" s="162">
        <f>商品录入!L42</f>
        <v>0</v>
      </c>
      <c r="M42" s="162">
        <f>商品录入!M42</f>
        <v>0</v>
      </c>
      <c r="N42" s="133">
        <f>商品录入!N42*$E42</f>
        <v>0</v>
      </c>
      <c r="O42" s="133">
        <f>商品录入!O42*$E42</f>
        <v>0</v>
      </c>
      <c r="P42" s="133">
        <f>商品录入!P42*$E42</f>
        <v>0</v>
      </c>
      <c r="Q42" s="133">
        <f>商品录入!Q42*$E42</f>
        <v>0</v>
      </c>
      <c r="R42" s="133">
        <f>商品录入!R42*$E42</f>
        <v>0</v>
      </c>
      <c r="S42" s="133">
        <f>商品录入!S42*$E42</f>
        <v>0</v>
      </c>
      <c r="T42" s="133">
        <f>商品录入!T42*$E42</f>
        <v>0</v>
      </c>
      <c r="U42" s="133">
        <f>商品录入!U42*$E42</f>
        <v>0</v>
      </c>
      <c r="V42" s="133">
        <f>商品录入!V42*$E42</f>
        <v>0</v>
      </c>
      <c r="W42" s="133">
        <f>商品录入!W42*$E42</f>
        <v>0</v>
      </c>
      <c r="X42" s="133">
        <f>商品录入!X42*$E42</f>
        <v>0</v>
      </c>
      <c r="Y42" s="133">
        <f>商品录入!Y42*$E42</f>
        <v>0</v>
      </c>
      <c r="Z42" s="133">
        <f>商品录入!Z42*$E42</f>
        <v>0</v>
      </c>
      <c r="AA42" s="133">
        <f>商品录入!AA42*$E42</f>
        <v>0</v>
      </c>
      <c r="AB42" s="133">
        <f>商品录入!AB42*$E42</f>
        <v>0</v>
      </c>
      <c r="AC42" s="133">
        <f>商品录入!AC42*$E42</f>
        <v>0</v>
      </c>
      <c r="AD42" s="133">
        <f>商品录入!AD42*$E42</f>
        <v>0</v>
      </c>
      <c r="AE42" s="133">
        <f>商品录入!AE42*$E42</f>
        <v>0</v>
      </c>
      <c r="AF42" s="133">
        <f>商品录入!AF42*$E42</f>
        <v>0</v>
      </c>
      <c r="AG42" s="133">
        <f>商品录入!AG42*$E42</f>
        <v>0</v>
      </c>
      <c r="AH42" s="133">
        <f>商品录入!AH42*$E42</f>
        <v>0</v>
      </c>
      <c r="AI42" s="133">
        <f>商品录入!AI42*$E42</f>
        <v>0</v>
      </c>
      <c r="AJ42" s="133">
        <f>商品录入!AJ42*$E42</f>
        <v>0</v>
      </c>
      <c r="AK42" s="133">
        <f>商品录入!AK42*$E42</f>
        <v>0</v>
      </c>
      <c r="AL42" s="133">
        <f>商品录入!AL42*$E42</f>
        <v>0</v>
      </c>
      <c r="AM42" s="133">
        <f>商品录入!AM42*$E42</f>
        <v>0</v>
      </c>
      <c r="AN42" s="133">
        <f>商品录入!AN42*$E42</f>
        <v>0</v>
      </c>
      <c r="AO42" s="133">
        <f>商品录入!AO42*$E42</f>
        <v>0</v>
      </c>
      <c r="AP42" s="133">
        <f>商品录入!AP42*$E42</f>
        <v>0</v>
      </c>
      <c r="AQ42" s="133">
        <f>商品录入!AQ42*$E42</f>
        <v>0</v>
      </c>
      <c r="AR42" s="133">
        <f>商品录入!AR42*$E42</f>
        <v>0</v>
      </c>
      <c r="AS42" s="133">
        <f>商品录入!AS42*$E42</f>
        <v>0</v>
      </c>
      <c r="AT42" s="133">
        <f>商品录入!AT42*$E42</f>
        <v>0</v>
      </c>
      <c r="AU42" s="133">
        <f>商品录入!AU42*$E42</f>
        <v>0</v>
      </c>
      <c r="AV42" s="133">
        <f>商品录入!AV42*$E42</f>
        <v>0</v>
      </c>
      <c r="AW42" s="133">
        <f>商品录入!AW42*$E42</f>
        <v>0</v>
      </c>
      <c r="AX42" s="133">
        <f>商品录入!AX42*$E42</f>
        <v>0</v>
      </c>
      <c r="AY42" s="133">
        <f>商品录入!AY42*$E42</f>
        <v>0</v>
      </c>
      <c r="AZ42" s="133">
        <f>商品录入!AZ42*$E42</f>
        <v>0</v>
      </c>
      <c r="BA42" s="133">
        <f>商品录入!BA42*$E42</f>
        <v>0</v>
      </c>
      <c r="BB42" s="133">
        <f>商品录入!BB42*$E42</f>
        <v>0</v>
      </c>
      <c r="BC42" s="133">
        <f>商品录入!BC42*$E42</f>
        <v>0</v>
      </c>
      <c r="BD42" s="133">
        <f>商品录入!BD42*$E42</f>
        <v>0</v>
      </c>
      <c r="BE42" s="133">
        <f>商品录入!BE42*$E42</f>
        <v>0</v>
      </c>
      <c r="BF42" s="133">
        <f>商品录入!BF42*$E42</f>
        <v>0</v>
      </c>
      <c r="BG42" s="133">
        <f>商品录入!BG42*$E42</f>
        <v>0</v>
      </c>
      <c r="BH42" s="133">
        <f>商品录入!BH42*$E42</f>
        <v>0</v>
      </c>
      <c r="BI42" s="133">
        <f>商品录入!BI42*$E42</f>
        <v>0</v>
      </c>
      <c r="BJ42" s="133">
        <f>商品录入!BJ42*$E42</f>
        <v>0</v>
      </c>
      <c r="BK42" s="133">
        <f>商品录入!BK42*$E42</f>
        <v>0</v>
      </c>
      <c r="BL42" s="133">
        <f>商品录入!BL42*$E42</f>
        <v>0</v>
      </c>
      <c r="BM42" s="133">
        <f>商品录入!BM42*$E42</f>
        <v>0</v>
      </c>
      <c r="BN42" s="133">
        <f>商品录入!BN42*$E42</f>
        <v>0</v>
      </c>
      <c r="BO42" s="133">
        <f>商品录入!BO42*$E42</f>
        <v>0</v>
      </c>
      <c r="BP42" s="133">
        <f>商品录入!BP42*$E42</f>
        <v>0</v>
      </c>
      <c r="BQ42" s="133">
        <f>商品录入!BQ42*$E42</f>
        <v>0</v>
      </c>
      <c r="BR42" s="133">
        <f>商品录入!BR42*$E42</f>
        <v>0</v>
      </c>
      <c r="BS42" s="133">
        <f>商品录入!BS42*$E42</f>
        <v>0</v>
      </c>
      <c r="BT42" s="133">
        <f>商品录入!BT42*$E42</f>
        <v>0</v>
      </c>
      <c r="BU42" s="133">
        <f>商品录入!BU42*$E42</f>
        <v>0</v>
      </c>
      <c r="BV42" s="133">
        <f>商品录入!BV42*$E42</f>
        <v>0</v>
      </c>
      <c r="BW42" s="133">
        <f>商品录入!BW42*$E42</f>
        <v>0</v>
      </c>
    </row>
    <row r="43" s="178" customFormat="1" customHeight="1" spans="1:75">
      <c r="A43" s="161">
        <v>39</v>
      </c>
      <c r="B43" s="162">
        <f>商品录入!B43</f>
        <v>0</v>
      </c>
      <c r="C43" s="162">
        <f>商品录入!C43</f>
        <v>0</v>
      </c>
      <c r="D43" s="162">
        <f>商品录入!D43</f>
        <v>0</v>
      </c>
      <c r="E43" s="162">
        <f>商品录入!E43</f>
        <v>0</v>
      </c>
      <c r="F43" s="162">
        <f>商品录入!F43</f>
        <v>0</v>
      </c>
      <c r="G43" s="162">
        <f>商品录入!G43</f>
        <v>0</v>
      </c>
      <c r="H43" s="162">
        <f>商品录入!H43</f>
        <v>0</v>
      </c>
      <c r="I43" s="162">
        <f>商品录入!I43</f>
        <v>0</v>
      </c>
      <c r="J43" s="162">
        <f>商品录入!J43</f>
        <v>0</v>
      </c>
      <c r="K43" s="162">
        <f>商品录入!K43</f>
        <v>0</v>
      </c>
      <c r="L43" s="162">
        <f>商品录入!L43</f>
        <v>0</v>
      </c>
      <c r="M43" s="162">
        <f>商品录入!M43</f>
        <v>0</v>
      </c>
      <c r="N43" s="133">
        <f>商品录入!N43*$E43</f>
        <v>0</v>
      </c>
      <c r="O43" s="133">
        <f>商品录入!O43*$E43</f>
        <v>0</v>
      </c>
      <c r="P43" s="133">
        <f>商品录入!P43*$E43</f>
        <v>0</v>
      </c>
      <c r="Q43" s="133">
        <f>商品录入!Q43*$E43</f>
        <v>0</v>
      </c>
      <c r="R43" s="133">
        <f>商品录入!R43*$E43</f>
        <v>0</v>
      </c>
      <c r="S43" s="133">
        <f>商品录入!S43*$E43</f>
        <v>0</v>
      </c>
      <c r="T43" s="133">
        <f>商品录入!T43*$E43</f>
        <v>0</v>
      </c>
      <c r="U43" s="133">
        <f>商品录入!U43*$E43</f>
        <v>0</v>
      </c>
      <c r="V43" s="133">
        <f>商品录入!V43*$E43</f>
        <v>0</v>
      </c>
      <c r="W43" s="133">
        <f>商品录入!W43*$E43</f>
        <v>0</v>
      </c>
      <c r="X43" s="133">
        <f>商品录入!X43*$E43</f>
        <v>0</v>
      </c>
      <c r="Y43" s="133">
        <f>商品录入!Y43*$E43</f>
        <v>0</v>
      </c>
      <c r="Z43" s="133">
        <f>商品录入!Z43*$E43</f>
        <v>0</v>
      </c>
      <c r="AA43" s="133">
        <f>商品录入!AA43*$E43</f>
        <v>0</v>
      </c>
      <c r="AB43" s="133">
        <f>商品录入!AB43*$E43</f>
        <v>0</v>
      </c>
      <c r="AC43" s="133">
        <f>商品录入!AC43*$E43</f>
        <v>0</v>
      </c>
      <c r="AD43" s="133">
        <f>商品录入!AD43*$E43</f>
        <v>0</v>
      </c>
      <c r="AE43" s="133">
        <f>商品录入!AE43*$E43</f>
        <v>0</v>
      </c>
      <c r="AF43" s="133">
        <f>商品录入!AF43*$E43</f>
        <v>0</v>
      </c>
      <c r="AG43" s="133">
        <f>商品录入!AG43*$E43</f>
        <v>0</v>
      </c>
      <c r="AH43" s="133">
        <f>商品录入!AH43*$E43</f>
        <v>0</v>
      </c>
      <c r="AI43" s="133">
        <f>商品录入!AI43*$E43</f>
        <v>0</v>
      </c>
      <c r="AJ43" s="133">
        <f>商品录入!AJ43*$E43</f>
        <v>0</v>
      </c>
      <c r="AK43" s="133">
        <f>商品录入!AK43*$E43</f>
        <v>0</v>
      </c>
      <c r="AL43" s="133">
        <f>商品录入!AL43*$E43</f>
        <v>0</v>
      </c>
      <c r="AM43" s="133">
        <f>商品录入!AM43*$E43</f>
        <v>0</v>
      </c>
      <c r="AN43" s="133">
        <f>商品录入!AN43*$E43</f>
        <v>0</v>
      </c>
      <c r="AO43" s="133">
        <f>商品录入!AO43*$E43</f>
        <v>0</v>
      </c>
      <c r="AP43" s="133">
        <f>商品录入!AP43*$E43</f>
        <v>0</v>
      </c>
      <c r="AQ43" s="133">
        <f>商品录入!AQ43*$E43</f>
        <v>0</v>
      </c>
      <c r="AR43" s="133">
        <f>商品录入!AR43*$E43</f>
        <v>0</v>
      </c>
      <c r="AS43" s="133">
        <f>商品录入!AS43*$E43</f>
        <v>0</v>
      </c>
      <c r="AT43" s="133">
        <f>商品录入!AT43*$E43</f>
        <v>0</v>
      </c>
      <c r="AU43" s="133">
        <f>商品录入!AU43*$E43</f>
        <v>0</v>
      </c>
      <c r="AV43" s="133">
        <f>商品录入!AV43*$E43</f>
        <v>0</v>
      </c>
      <c r="AW43" s="133">
        <f>商品录入!AW43*$E43</f>
        <v>0</v>
      </c>
      <c r="AX43" s="133">
        <f>商品录入!AX43*$E43</f>
        <v>0</v>
      </c>
      <c r="AY43" s="133">
        <f>商品录入!AY43*$E43</f>
        <v>0</v>
      </c>
      <c r="AZ43" s="133">
        <f>商品录入!AZ43*$E43</f>
        <v>0</v>
      </c>
      <c r="BA43" s="133">
        <f>商品录入!BA43*$E43</f>
        <v>0</v>
      </c>
      <c r="BB43" s="133">
        <f>商品录入!BB43*$E43</f>
        <v>0</v>
      </c>
      <c r="BC43" s="133">
        <f>商品录入!BC43*$E43</f>
        <v>0</v>
      </c>
      <c r="BD43" s="133">
        <f>商品录入!BD43*$E43</f>
        <v>0</v>
      </c>
      <c r="BE43" s="133">
        <f>商品录入!BE43*$E43</f>
        <v>0</v>
      </c>
      <c r="BF43" s="133">
        <f>商品录入!BF43*$E43</f>
        <v>0</v>
      </c>
      <c r="BG43" s="133">
        <f>商品录入!BG43*$E43</f>
        <v>0</v>
      </c>
      <c r="BH43" s="133">
        <f>商品录入!BH43*$E43</f>
        <v>0</v>
      </c>
      <c r="BI43" s="133">
        <f>商品录入!BI43*$E43</f>
        <v>0</v>
      </c>
      <c r="BJ43" s="133">
        <f>商品录入!BJ43*$E43</f>
        <v>0</v>
      </c>
      <c r="BK43" s="133">
        <f>商品录入!BK43*$E43</f>
        <v>0</v>
      </c>
      <c r="BL43" s="133">
        <f>商品录入!BL43*$E43</f>
        <v>0</v>
      </c>
      <c r="BM43" s="133">
        <f>商品录入!BM43*$E43</f>
        <v>0</v>
      </c>
      <c r="BN43" s="133">
        <f>商品录入!BN43*$E43</f>
        <v>0</v>
      </c>
      <c r="BO43" s="133">
        <f>商品录入!BO43*$E43</f>
        <v>0</v>
      </c>
      <c r="BP43" s="133">
        <f>商品录入!BP43*$E43</f>
        <v>0</v>
      </c>
      <c r="BQ43" s="133">
        <f>商品录入!BQ43*$E43</f>
        <v>0</v>
      </c>
      <c r="BR43" s="133">
        <f>商品录入!BR43*$E43</f>
        <v>0</v>
      </c>
      <c r="BS43" s="133">
        <f>商品录入!BS43*$E43</f>
        <v>0</v>
      </c>
      <c r="BT43" s="133">
        <f>商品录入!BT43*$E43</f>
        <v>0</v>
      </c>
      <c r="BU43" s="133">
        <f>商品录入!BU43*$E43</f>
        <v>0</v>
      </c>
      <c r="BV43" s="133">
        <f>商品录入!BV43*$E43</f>
        <v>0</v>
      </c>
      <c r="BW43" s="133">
        <f>商品录入!BW43*$E43</f>
        <v>0</v>
      </c>
    </row>
    <row r="44" s="178" customFormat="1" customHeight="1" spans="1:75">
      <c r="A44" s="161">
        <v>40</v>
      </c>
      <c r="B44" s="162">
        <f>商品录入!B44</f>
        <v>0</v>
      </c>
      <c r="C44" s="162">
        <f>商品录入!C44</f>
        <v>0</v>
      </c>
      <c r="D44" s="162">
        <f>商品录入!D44</f>
        <v>0</v>
      </c>
      <c r="E44" s="162">
        <f>商品录入!E44</f>
        <v>0</v>
      </c>
      <c r="F44" s="162">
        <f>商品录入!F44</f>
        <v>0</v>
      </c>
      <c r="G44" s="162">
        <f>商品录入!G44</f>
        <v>0</v>
      </c>
      <c r="H44" s="162">
        <f>商品录入!H44</f>
        <v>0</v>
      </c>
      <c r="I44" s="162">
        <f>商品录入!I44</f>
        <v>0</v>
      </c>
      <c r="J44" s="162">
        <f>商品录入!J44</f>
        <v>0</v>
      </c>
      <c r="K44" s="162">
        <f>商品录入!K44</f>
        <v>0</v>
      </c>
      <c r="L44" s="162">
        <f>商品录入!L44</f>
        <v>0</v>
      </c>
      <c r="M44" s="162">
        <f>商品录入!M44</f>
        <v>0</v>
      </c>
      <c r="N44" s="133">
        <f>商品录入!N44*$E44</f>
        <v>0</v>
      </c>
      <c r="O44" s="133">
        <f>商品录入!O44*$E44</f>
        <v>0</v>
      </c>
      <c r="P44" s="133">
        <f>商品录入!P44*$E44</f>
        <v>0</v>
      </c>
      <c r="Q44" s="133">
        <f>商品录入!Q44*$E44</f>
        <v>0</v>
      </c>
      <c r="R44" s="133">
        <f>商品录入!R44*$E44</f>
        <v>0</v>
      </c>
      <c r="S44" s="133">
        <f>商品录入!S44*$E44</f>
        <v>0</v>
      </c>
      <c r="T44" s="133">
        <f>商品录入!T44*$E44</f>
        <v>0</v>
      </c>
      <c r="U44" s="133">
        <f>商品录入!U44*$E44</f>
        <v>0</v>
      </c>
      <c r="V44" s="133">
        <f>商品录入!V44*$E44</f>
        <v>0</v>
      </c>
      <c r="W44" s="133">
        <f>商品录入!W44*$E44</f>
        <v>0</v>
      </c>
      <c r="X44" s="133">
        <f>商品录入!X44*$E44</f>
        <v>0</v>
      </c>
      <c r="Y44" s="133">
        <f>商品录入!Y44*$E44</f>
        <v>0</v>
      </c>
      <c r="Z44" s="133">
        <f>商品录入!Z44*$E44</f>
        <v>0</v>
      </c>
      <c r="AA44" s="133">
        <f>商品录入!AA44*$E44</f>
        <v>0</v>
      </c>
      <c r="AB44" s="133">
        <f>商品录入!AB44*$E44</f>
        <v>0</v>
      </c>
      <c r="AC44" s="133">
        <f>商品录入!AC44*$E44</f>
        <v>0</v>
      </c>
      <c r="AD44" s="133">
        <f>商品录入!AD44*$E44</f>
        <v>0</v>
      </c>
      <c r="AE44" s="133">
        <f>商品录入!AE44*$E44</f>
        <v>0</v>
      </c>
      <c r="AF44" s="133">
        <f>商品录入!AF44*$E44</f>
        <v>0</v>
      </c>
      <c r="AG44" s="133">
        <f>商品录入!AG44*$E44</f>
        <v>0</v>
      </c>
      <c r="AH44" s="133">
        <f>商品录入!AH44*$E44</f>
        <v>0</v>
      </c>
      <c r="AI44" s="133">
        <f>商品录入!AI44*$E44</f>
        <v>0</v>
      </c>
      <c r="AJ44" s="133">
        <f>商品录入!AJ44*$E44</f>
        <v>0</v>
      </c>
      <c r="AK44" s="133">
        <f>商品录入!AK44*$E44</f>
        <v>0</v>
      </c>
      <c r="AL44" s="133">
        <f>商品录入!AL44*$E44</f>
        <v>0</v>
      </c>
      <c r="AM44" s="133">
        <f>商品录入!AM44*$E44</f>
        <v>0</v>
      </c>
      <c r="AN44" s="133">
        <f>商品录入!AN44*$E44</f>
        <v>0</v>
      </c>
      <c r="AO44" s="133">
        <f>商品录入!AO44*$E44</f>
        <v>0</v>
      </c>
      <c r="AP44" s="133">
        <f>商品录入!AP44*$E44</f>
        <v>0</v>
      </c>
      <c r="AQ44" s="133">
        <f>商品录入!AQ44*$E44</f>
        <v>0</v>
      </c>
      <c r="AR44" s="133">
        <f>商品录入!AR44*$E44</f>
        <v>0</v>
      </c>
      <c r="AS44" s="133">
        <f>商品录入!AS44*$E44</f>
        <v>0</v>
      </c>
      <c r="AT44" s="133">
        <f>商品录入!AT44*$E44</f>
        <v>0</v>
      </c>
      <c r="AU44" s="133">
        <f>商品录入!AU44*$E44</f>
        <v>0</v>
      </c>
      <c r="AV44" s="133">
        <f>商品录入!AV44*$E44</f>
        <v>0</v>
      </c>
      <c r="AW44" s="133">
        <f>商品录入!AW44*$E44</f>
        <v>0</v>
      </c>
      <c r="AX44" s="133">
        <f>商品录入!AX44*$E44</f>
        <v>0</v>
      </c>
      <c r="AY44" s="133">
        <f>商品录入!AY44*$E44</f>
        <v>0</v>
      </c>
      <c r="AZ44" s="133">
        <f>商品录入!AZ44*$E44</f>
        <v>0</v>
      </c>
      <c r="BA44" s="133">
        <f>商品录入!BA44*$E44</f>
        <v>0</v>
      </c>
      <c r="BB44" s="133">
        <f>商品录入!BB44*$E44</f>
        <v>0</v>
      </c>
      <c r="BC44" s="133">
        <f>商品录入!BC44*$E44</f>
        <v>0</v>
      </c>
      <c r="BD44" s="133">
        <f>商品录入!BD44*$E44</f>
        <v>0</v>
      </c>
      <c r="BE44" s="133">
        <f>商品录入!BE44*$E44</f>
        <v>0</v>
      </c>
      <c r="BF44" s="133">
        <f>商品录入!BF44*$E44</f>
        <v>0</v>
      </c>
      <c r="BG44" s="133">
        <f>商品录入!BG44*$E44</f>
        <v>0</v>
      </c>
      <c r="BH44" s="133">
        <f>商品录入!BH44*$E44</f>
        <v>0</v>
      </c>
      <c r="BI44" s="133">
        <f>商品录入!BI44*$E44</f>
        <v>0</v>
      </c>
      <c r="BJ44" s="133">
        <f>商品录入!BJ44*$E44</f>
        <v>0</v>
      </c>
      <c r="BK44" s="133">
        <f>商品录入!BK44*$E44</f>
        <v>0</v>
      </c>
      <c r="BL44" s="133">
        <f>商品录入!BL44*$E44</f>
        <v>0</v>
      </c>
      <c r="BM44" s="133">
        <f>商品录入!BM44*$E44</f>
        <v>0</v>
      </c>
      <c r="BN44" s="133">
        <f>商品录入!BN44*$E44</f>
        <v>0</v>
      </c>
      <c r="BO44" s="133">
        <f>商品录入!BO44*$E44</f>
        <v>0</v>
      </c>
      <c r="BP44" s="133">
        <f>商品录入!BP44*$E44</f>
        <v>0</v>
      </c>
      <c r="BQ44" s="133">
        <f>商品录入!BQ44*$E44</f>
        <v>0</v>
      </c>
      <c r="BR44" s="133">
        <f>商品录入!BR44*$E44</f>
        <v>0</v>
      </c>
      <c r="BS44" s="133">
        <f>商品录入!BS44*$E44</f>
        <v>0</v>
      </c>
      <c r="BT44" s="133">
        <f>商品录入!BT44*$E44</f>
        <v>0</v>
      </c>
      <c r="BU44" s="133">
        <f>商品录入!BU44*$E44</f>
        <v>0</v>
      </c>
      <c r="BV44" s="133">
        <f>商品录入!BV44*$E44</f>
        <v>0</v>
      </c>
      <c r="BW44" s="133">
        <f>商品录入!BW44*$E44</f>
        <v>0</v>
      </c>
    </row>
    <row r="45" s="178" customFormat="1" customHeight="1" spans="1:75">
      <c r="A45" s="161">
        <v>41</v>
      </c>
      <c r="B45" s="162">
        <f>商品录入!B45</f>
        <v>0</v>
      </c>
      <c r="C45" s="162">
        <f>商品录入!C45</f>
        <v>0</v>
      </c>
      <c r="D45" s="162">
        <f>商品录入!D45</f>
        <v>0</v>
      </c>
      <c r="E45" s="162">
        <f>商品录入!E45</f>
        <v>0</v>
      </c>
      <c r="F45" s="162">
        <f>商品录入!F45</f>
        <v>0</v>
      </c>
      <c r="G45" s="162">
        <f>商品录入!G45</f>
        <v>0</v>
      </c>
      <c r="H45" s="162">
        <f>商品录入!H45</f>
        <v>0</v>
      </c>
      <c r="I45" s="162">
        <f>商品录入!I45</f>
        <v>0</v>
      </c>
      <c r="J45" s="162">
        <f>商品录入!J45</f>
        <v>0</v>
      </c>
      <c r="K45" s="162">
        <f>商品录入!K45</f>
        <v>0</v>
      </c>
      <c r="L45" s="162">
        <f>商品录入!L45</f>
        <v>0</v>
      </c>
      <c r="M45" s="162">
        <f>商品录入!M45</f>
        <v>0</v>
      </c>
      <c r="N45" s="133">
        <f>商品录入!N45*$E45</f>
        <v>0</v>
      </c>
      <c r="O45" s="133">
        <f>商品录入!O45*$E45</f>
        <v>0</v>
      </c>
      <c r="P45" s="133">
        <f>商品录入!P45*$E45</f>
        <v>0</v>
      </c>
      <c r="Q45" s="133">
        <f>商品录入!Q45*$E45</f>
        <v>0</v>
      </c>
      <c r="R45" s="133">
        <f>商品录入!R45*$E45</f>
        <v>0</v>
      </c>
      <c r="S45" s="133">
        <f>商品录入!S45*$E45</f>
        <v>0</v>
      </c>
      <c r="T45" s="133">
        <f>商品录入!T45*$E45</f>
        <v>0</v>
      </c>
      <c r="U45" s="133">
        <f>商品录入!U45*$E45</f>
        <v>0</v>
      </c>
      <c r="V45" s="133">
        <f>商品录入!V45*$E45</f>
        <v>0</v>
      </c>
      <c r="W45" s="133">
        <f>商品录入!W45*$E45</f>
        <v>0</v>
      </c>
      <c r="X45" s="133">
        <f>商品录入!X45*$E45</f>
        <v>0</v>
      </c>
      <c r="Y45" s="133">
        <f>商品录入!Y45*$E45</f>
        <v>0</v>
      </c>
      <c r="Z45" s="133">
        <f>商品录入!Z45*$E45</f>
        <v>0</v>
      </c>
      <c r="AA45" s="133">
        <f>商品录入!AA45*$E45</f>
        <v>0</v>
      </c>
      <c r="AB45" s="133">
        <f>商品录入!AB45*$E45</f>
        <v>0</v>
      </c>
      <c r="AC45" s="133">
        <f>商品录入!AC45*$E45</f>
        <v>0</v>
      </c>
      <c r="AD45" s="133">
        <f>商品录入!AD45*$E45</f>
        <v>0</v>
      </c>
      <c r="AE45" s="133">
        <f>商品录入!AE45*$E45</f>
        <v>0</v>
      </c>
      <c r="AF45" s="133">
        <f>商品录入!AF45*$E45</f>
        <v>0</v>
      </c>
      <c r="AG45" s="133">
        <f>商品录入!AG45*$E45</f>
        <v>0</v>
      </c>
      <c r="AH45" s="133">
        <f>商品录入!AH45*$E45</f>
        <v>0</v>
      </c>
      <c r="AI45" s="133">
        <f>商品录入!AI45*$E45</f>
        <v>0</v>
      </c>
      <c r="AJ45" s="133">
        <f>商品录入!AJ45*$E45</f>
        <v>0</v>
      </c>
      <c r="AK45" s="133">
        <f>商品录入!AK45*$E45</f>
        <v>0</v>
      </c>
      <c r="AL45" s="133">
        <f>商品录入!AL45*$E45</f>
        <v>0</v>
      </c>
      <c r="AM45" s="133">
        <f>商品录入!AM45*$E45</f>
        <v>0</v>
      </c>
      <c r="AN45" s="133">
        <f>商品录入!AN45*$E45</f>
        <v>0</v>
      </c>
      <c r="AO45" s="133">
        <f>商品录入!AO45*$E45</f>
        <v>0</v>
      </c>
      <c r="AP45" s="133">
        <f>商品录入!AP45*$E45</f>
        <v>0</v>
      </c>
      <c r="AQ45" s="133">
        <f>商品录入!AQ45*$E45</f>
        <v>0</v>
      </c>
      <c r="AR45" s="133">
        <f>商品录入!AR45*$E45</f>
        <v>0</v>
      </c>
      <c r="AS45" s="133">
        <f>商品录入!AS45*$E45</f>
        <v>0</v>
      </c>
      <c r="AT45" s="133">
        <f>商品录入!AT45*$E45</f>
        <v>0</v>
      </c>
      <c r="AU45" s="133">
        <f>商品录入!AU45*$E45</f>
        <v>0</v>
      </c>
      <c r="AV45" s="133">
        <f>商品录入!AV45*$E45</f>
        <v>0</v>
      </c>
      <c r="AW45" s="133">
        <f>商品录入!AW45*$E45</f>
        <v>0</v>
      </c>
      <c r="AX45" s="133">
        <f>商品录入!AX45*$E45</f>
        <v>0</v>
      </c>
      <c r="AY45" s="133">
        <f>商品录入!AY45*$E45</f>
        <v>0</v>
      </c>
      <c r="AZ45" s="133">
        <f>商品录入!AZ45*$E45</f>
        <v>0</v>
      </c>
      <c r="BA45" s="133">
        <f>商品录入!BA45*$E45</f>
        <v>0</v>
      </c>
      <c r="BB45" s="133">
        <f>商品录入!BB45*$E45</f>
        <v>0</v>
      </c>
      <c r="BC45" s="133">
        <f>商品录入!BC45*$E45</f>
        <v>0</v>
      </c>
      <c r="BD45" s="133">
        <f>商品录入!BD45*$E45</f>
        <v>0</v>
      </c>
      <c r="BE45" s="133">
        <f>商品录入!BE45*$E45</f>
        <v>0</v>
      </c>
      <c r="BF45" s="133">
        <f>商品录入!BF45*$E45</f>
        <v>0</v>
      </c>
      <c r="BG45" s="133">
        <f>商品录入!BG45*$E45</f>
        <v>0</v>
      </c>
      <c r="BH45" s="133">
        <f>商品录入!BH45*$E45</f>
        <v>0</v>
      </c>
      <c r="BI45" s="133">
        <f>商品录入!BI45*$E45</f>
        <v>0</v>
      </c>
      <c r="BJ45" s="133">
        <f>商品录入!BJ45*$E45</f>
        <v>0</v>
      </c>
      <c r="BK45" s="133">
        <f>商品录入!BK45*$E45</f>
        <v>0</v>
      </c>
      <c r="BL45" s="133">
        <f>商品录入!BL45*$E45</f>
        <v>0</v>
      </c>
      <c r="BM45" s="133">
        <f>商品录入!BM45*$E45</f>
        <v>0</v>
      </c>
      <c r="BN45" s="133">
        <f>商品录入!BN45*$E45</f>
        <v>0</v>
      </c>
      <c r="BO45" s="133">
        <f>商品录入!BO45*$E45</f>
        <v>0</v>
      </c>
      <c r="BP45" s="133">
        <f>商品录入!BP45*$E45</f>
        <v>0</v>
      </c>
      <c r="BQ45" s="133">
        <f>商品录入!BQ45*$E45</f>
        <v>0</v>
      </c>
      <c r="BR45" s="133">
        <f>商品录入!BR45*$E45</f>
        <v>0</v>
      </c>
      <c r="BS45" s="133">
        <f>商品录入!BS45*$E45</f>
        <v>0</v>
      </c>
      <c r="BT45" s="133">
        <f>商品录入!BT45*$E45</f>
        <v>0</v>
      </c>
      <c r="BU45" s="133">
        <f>商品录入!BU45*$E45</f>
        <v>0</v>
      </c>
      <c r="BV45" s="133">
        <f>商品录入!BV45*$E45</f>
        <v>0</v>
      </c>
      <c r="BW45" s="133">
        <f>商品录入!BW45*$E45</f>
        <v>0</v>
      </c>
    </row>
    <row r="46" s="178" customFormat="1" customHeight="1" spans="1:75">
      <c r="A46" s="161">
        <v>42</v>
      </c>
      <c r="B46" s="162">
        <f>商品录入!B46</f>
        <v>0</v>
      </c>
      <c r="C46" s="162">
        <f>商品录入!C46</f>
        <v>0</v>
      </c>
      <c r="D46" s="162">
        <f>商品录入!D46</f>
        <v>0</v>
      </c>
      <c r="E46" s="162">
        <f>商品录入!E46</f>
        <v>0</v>
      </c>
      <c r="F46" s="162">
        <f>商品录入!F46</f>
        <v>0</v>
      </c>
      <c r="G46" s="162">
        <f>商品录入!G46</f>
        <v>0</v>
      </c>
      <c r="H46" s="162">
        <f>商品录入!H46</f>
        <v>0</v>
      </c>
      <c r="I46" s="162">
        <f>商品录入!I46</f>
        <v>0</v>
      </c>
      <c r="J46" s="162">
        <f>商品录入!J46</f>
        <v>0</v>
      </c>
      <c r="K46" s="162">
        <f>商品录入!K46</f>
        <v>0</v>
      </c>
      <c r="L46" s="162">
        <f>商品录入!L46</f>
        <v>0</v>
      </c>
      <c r="M46" s="162">
        <f>商品录入!M46</f>
        <v>0</v>
      </c>
      <c r="N46" s="133">
        <f>商品录入!N46*$E46</f>
        <v>0</v>
      </c>
      <c r="O46" s="133">
        <f>商品录入!O46*$E46</f>
        <v>0</v>
      </c>
      <c r="P46" s="133">
        <f>商品录入!P46*$E46</f>
        <v>0</v>
      </c>
      <c r="Q46" s="133">
        <f>商品录入!Q46*$E46</f>
        <v>0</v>
      </c>
      <c r="R46" s="133">
        <f>商品录入!R46*$E46</f>
        <v>0</v>
      </c>
      <c r="S46" s="133">
        <f>商品录入!S46*$E46</f>
        <v>0</v>
      </c>
      <c r="T46" s="133">
        <f>商品录入!T46*$E46</f>
        <v>0</v>
      </c>
      <c r="U46" s="133">
        <f>商品录入!U46*$E46</f>
        <v>0</v>
      </c>
      <c r="V46" s="133">
        <f>商品录入!V46*$E46</f>
        <v>0</v>
      </c>
      <c r="W46" s="133">
        <f>商品录入!W46*$E46</f>
        <v>0</v>
      </c>
      <c r="X46" s="133">
        <f>商品录入!X46*$E46</f>
        <v>0</v>
      </c>
      <c r="Y46" s="133">
        <f>商品录入!Y46*$E46</f>
        <v>0</v>
      </c>
      <c r="Z46" s="133">
        <f>商品录入!Z46*$E46</f>
        <v>0</v>
      </c>
      <c r="AA46" s="133">
        <f>商品录入!AA46*$E46</f>
        <v>0</v>
      </c>
      <c r="AB46" s="133">
        <f>商品录入!AB46*$E46</f>
        <v>0</v>
      </c>
      <c r="AC46" s="133">
        <f>商品录入!AC46*$E46</f>
        <v>0</v>
      </c>
      <c r="AD46" s="133">
        <f>商品录入!AD46*$E46</f>
        <v>0</v>
      </c>
      <c r="AE46" s="133">
        <f>商品录入!AE46*$E46</f>
        <v>0</v>
      </c>
      <c r="AF46" s="133">
        <f>商品录入!AF46*$E46</f>
        <v>0</v>
      </c>
      <c r="AG46" s="133">
        <f>商品录入!AG46*$E46</f>
        <v>0</v>
      </c>
      <c r="AH46" s="133">
        <f>商品录入!AH46*$E46</f>
        <v>0</v>
      </c>
      <c r="AI46" s="133">
        <f>商品录入!AI46*$E46</f>
        <v>0</v>
      </c>
      <c r="AJ46" s="133">
        <f>商品录入!AJ46*$E46</f>
        <v>0</v>
      </c>
      <c r="AK46" s="133">
        <f>商品录入!AK46*$E46</f>
        <v>0</v>
      </c>
      <c r="AL46" s="133">
        <f>商品录入!AL46*$E46</f>
        <v>0</v>
      </c>
      <c r="AM46" s="133">
        <f>商品录入!AM46*$E46</f>
        <v>0</v>
      </c>
      <c r="AN46" s="133">
        <f>商品录入!AN46*$E46</f>
        <v>0</v>
      </c>
      <c r="AO46" s="133">
        <f>商品录入!AO46*$E46</f>
        <v>0</v>
      </c>
      <c r="AP46" s="133">
        <f>商品录入!AP46*$E46</f>
        <v>0</v>
      </c>
      <c r="AQ46" s="133">
        <f>商品录入!AQ46*$E46</f>
        <v>0</v>
      </c>
      <c r="AR46" s="133">
        <f>商品录入!AR46*$E46</f>
        <v>0</v>
      </c>
      <c r="AS46" s="133">
        <f>商品录入!AS46*$E46</f>
        <v>0</v>
      </c>
      <c r="AT46" s="133">
        <f>商品录入!AT46*$E46</f>
        <v>0</v>
      </c>
      <c r="AU46" s="133">
        <f>商品录入!AU46*$E46</f>
        <v>0</v>
      </c>
      <c r="AV46" s="133">
        <f>商品录入!AV46*$E46</f>
        <v>0</v>
      </c>
      <c r="AW46" s="133">
        <f>商品录入!AW46*$E46</f>
        <v>0</v>
      </c>
      <c r="AX46" s="133">
        <f>商品录入!AX46*$E46</f>
        <v>0</v>
      </c>
      <c r="AY46" s="133">
        <f>商品录入!AY46*$E46</f>
        <v>0</v>
      </c>
      <c r="AZ46" s="133">
        <f>商品录入!AZ46*$E46</f>
        <v>0</v>
      </c>
      <c r="BA46" s="133">
        <f>商品录入!BA46*$E46</f>
        <v>0</v>
      </c>
      <c r="BB46" s="133">
        <f>商品录入!BB46*$E46</f>
        <v>0</v>
      </c>
      <c r="BC46" s="133">
        <f>商品录入!BC46*$E46</f>
        <v>0</v>
      </c>
      <c r="BD46" s="133">
        <f>商品录入!BD46*$E46</f>
        <v>0</v>
      </c>
      <c r="BE46" s="133">
        <f>商品录入!BE46*$E46</f>
        <v>0</v>
      </c>
      <c r="BF46" s="133">
        <f>商品录入!BF46*$E46</f>
        <v>0</v>
      </c>
      <c r="BG46" s="133">
        <f>商品录入!BG46*$E46</f>
        <v>0</v>
      </c>
      <c r="BH46" s="133">
        <f>商品录入!BH46*$E46</f>
        <v>0</v>
      </c>
      <c r="BI46" s="133">
        <f>商品录入!BI46*$E46</f>
        <v>0</v>
      </c>
      <c r="BJ46" s="133">
        <f>商品录入!BJ46*$E46</f>
        <v>0</v>
      </c>
      <c r="BK46" s="133">
        <f>商品录入!BK46*$E46</f>
        <v>0</v>
      </c>
      <c r="BL46" s="133">
        <f>商品录入!BL46*$E46</f>
        <v>0</v>
      </c>
      <c r="BM46" s="133">
        <f>商品录入!BM46*$E46</f>
        <v>0</v>
      </c>
      <c r="BN46" s="133">
        <f>商品录入!BN46*$E46</f>
        <v>0</v>
      </c>
      <c r="BO46" s="133">
        <f>商品录入!BO46*$E46</f>
        <v>0</v>
      </c>
      <c r="BP46" s="133">
        <f>商品录入!BP46*$E46</f>
        <v>0</v>
      </c>
      <c r="BQ46" s="133">
        <f>商品录入!BQ46*$E46</f>
        <v>0</v>
      </c>
      <c r="BR46" s="133">
        <f>商品录入!BR46*$E46</f>
        <v>0</v>
      </c>
      <c r="BS46" s="133">
        <f>商品录入!BS46*$E46</f>
        <v>0</v>
      </c>
      <c r="BT46" s="133">
        <f>商品录入!BT46*$E46</f>
        <v>0</v>
      </c>
      <c r="BU46" s="133">
        <f>商品录入!BU46*$E46</f>
        <v>0</v>
      </c>
      <c r="BV46" s="133">
        <f>商品录入!BV46*$E46</f>
        <v>0</v>
      </c>
      <c r="BW46" s="133">
        <f>商品录入!BW46*$E46</f>
        <v>0</v>
      </c>
    </row>
    <row r="47" s="178" customFormat="1" customHeight="1" spans="1:75">
      <c r="A47" s="161">
        <v>43</v>
      </c>
      <c r="B47" s="162">
        <f>商品录入!B47</f>
        <v>0</v>
      </c>
      <c r="C47" s="162">
        <f>商品录入!C47</f>
        <v>0</v>
      </c>
      <c r="D47" s="162">
        <f>商品录入!D47</f>
        <v>0</v>
      </c>
      <c r="E47" s="162">
        <f>商品录入!E47</f>
        <v>0</v>
      </c>
      <c r="F47" s="162">
        <f>商品录入!F47</f>
        <v>0</v>
      </c>
      <c r="G47" s="162">
        <f>商品录入!G47</f>
        <v>0</v>
      </c>
      <c r="H47" s="162">
        <f>商品录入!H47</f>
        <v>0</v>
      </c>
      <c r="I47" s="162">
        <f>商品录入!I47</f>
        <v>0</v>
      </c>
      <c r="J47" s="162">
        <f>商品录入!J47</f>
        <v>0</v>
      </c>
      <c r="K47" s="162">
        <f>商品录入!K47</f>
        <v>0</v>
      </c>
      <c r="L47" s="162">
        <f>商品录入!L47</f>
        <v>0</v>
      </c>
      <c r="M47" s="162">
        <f>商品录入!M47</f>
        <v>0</v>
      </c>
      <c r="N47" s="133">
        <f>商品录入!N47*$E47</f>
        <v>0</v>
      </c>
      <c r="O47" s="133">
        <f>商品录入!O47*$E47</f>
        <v>0</v>
      </c>
      <c r="P47" s="133">
        <f>商品录入!P47*$E47</f>
        <v>0</v>
      </c>
      <c r="Q47" s="133">
        <f>商品录入!Q47*$E47</f>
        <v>0</v>
      </c>
      <c r="R47" s="133">
        <f>商品录入!R47*$E47</f>
        <v>0</v>
      </c>
      <c r="S47" s="133">
        <f>商品录入!S47*$E47</f>
        <v>0</v>
      </c>
      <c r="T47" s="133">
        <f>商品录入!T47*$E47</f>
        <v>0</v>
      </c>
      <c r="U47" s="133">
        <f>商品录入!U47*$E47</f>
        <v>0</v>
      </c>
      <c r="V47" s="133">
        <f>商品录入!V47*$E47</f>
        <v>0</v>
      </c>
      <c r="W47" s="133">
        <f>商品录入!W47*$E47</f>
        <v>0</v>
      </c>
      <c r="X47" s="133">
        <f>商品录入!X47*$E47</f>
        <v>0</v>
      </c>
      <c r="Y47" s="133">
        <f>商品录入!Y47*$E47</f>
        <v>0</v>
      </c>
      <c r="Z47" s="133">
        <f>商品录入!Z47*$E47</f>
        <v>0</v>
      </c>
      <c r="AA47" s="133">
        <f>商品录入!AA47*$E47</f>
        <v>0</v>
      </c>
      <c r="AB47" s="133">
        <f>商品录入!AB47*$E47</f>
        <v>0</v>
      </c>
      <c r="AC47" s="133">
        <f>商品录入!AC47*$E47</f>
        <v>0</v>
      </c>
      <c r="AD47" s="133">
        <f>商品录入!AD47*$E47</f>
        <v>0</v>
      </c>
      <c r="AE47" s="133">
        <f>商品录入!AE47*$E47</f>
        <v>0</v>
      </c>
      <c r="AF47" s="133">
        <f>商品录入!AF47*$E47</f>
        <v>0</v>
      </c>
      <c r="AG47" s="133">
        <f>商品录入!AG47*$E47</f>
        <v>0</v>
      </c>
      <c r="AH47" s="133">
        <f>商品录入!AH47*$E47</f>
        <v>0</v>
      </c>
      <c r="AI47" s="133">
        <f>商品录入!AI47*$E47</f>
        <v>0</v>
      </c>
      <c r="AJ47" s="133">
        <f>商品录入!AJ47*$E47</f>
        <v>0</v>
      </c>
      <c r="AK47" s="133">
        <f>商品录入!AK47*$E47</f>
        <v>0</v>
      </c>
      <c r="AL47" s="133">
        <f>商品录入!AL47*$E47</f>
        <v>0</v>
      </c>
      <c r="AM47" s="133">
        <f>商品录入!AM47*$E47</f>
        <v>0</v>
      </c>
      <c r="AN47" s="133">
        <f>商品录入!AN47*$E47</f>
        <v>0</v>
      </c>
      <c r="AO47" s="133">
        <f>商品录入!AO47*$E47</f>
        <v>0</v>
      </c>
      <c r="AP47" s="133">
        <f>商品录入!AP47*$E47</f>
        <v>0</v>
      </c>
      <c r="AQ47" s="133">
        <f>商品录入!AQ47*$E47</f>
        <v>0</v>
      </c>
      <c r="AR47" s="133">
        <f>商品录入!AR47*$E47</f>
        <v>0</v>
      </c>
      <c r="AS47" s="133">
        <f>商品录入!AS47*$E47</f>
        <v>0</v>
      </c>
      <c r="AT47" s="133">
        <f>商品录入!AT47*$E47</f>
        <v>0</v>
      </c>
      <c r="AU47" s="133">
        <f>商品录入!AU47*$E47</f>
        <v>0</v>
      </c>
      <c r="AV47" s="133">
        <f>商品录入!AV47*$E47</f>
        <v>0</v>
      </c>
      <c r="AW47" s="133">
        <f>商品录入!AW47*$E47</f>
        <v>0</v>
      </c>
      <c r="AX47" s="133">
        <f>商品录入!AX47*$E47</f>
        <v>0</v>
      </c>
      <c r="AY47" s="133">
        <f>商品录入!AY47*$E47</f>
        <v>0</v>
      </c>
      <c r="AZ47" s="133">
        <f>商品录入!AZ47*$E47</f>
        <v>0</v>
      </c>
      <c r="BA47" s="133">
        <f>商品录入!BA47*$E47</f>
        <v>0</v>
      </c>
      <c r="BB47" s="133">
        <f>商品录入!BB47*$E47</f>
        <v>0</v>
      </c>
      <c r="BC47" s="133">
        <f>商品录入!BC47*$E47</f>
        <v>0</v>
      </c>
      <c r="BD47" s="133">
        <f>商品录入!BD47*$E47</f>
        <v>0</v>
      </c>
      <c r="BE47" s="133">
        <f>商品录入!BE47*$E47</f>
        <v>0</v>
      </c>
      <c r="BF47" s="133">
        <f>商品录入!BF47*$E47</f>
        <v>0</v>
      </c>
      <c r="BG47" s="133">
        <f>商品录入!BG47*$E47</f>
        <v>0</v>
      </c>
      <c r="BH47" s="133">
        <f>商品录入!BH47*$E47</f>
        <v>0</v>
      </c>
      <c r="BI47" s="133">
        <f>商品录入!BI47*$E47</f>
        <v>0</v>
      </c>
      <c r="BJ47" s="133">
        <f>商品录入!BJ47*$E47</f>
        <v>0</v>
      </c>
      <c r="BK47" s="133">
        <f>商品录入!BK47*$E47</f>
        <v>0</v>
      </c>
      <c r="BL47" s="133">
        <f>商品录入!BL47*$E47</f>
        <v>0</v>
      </c>
      <c r="BM47" s="133">
        <f>商品录入!BM47*$E47</f>
        <v>0</v>
      </c>
      <c r="BN47" s="133">
        <f>商品录入!BN47*$E47</f>
        <v>0</v>
      </c>
      <c r="BO47" s="133">
        <f>商品录入!BO47*$E47</f>
        <v>0</v>
      </c>
      <c r="BP47" s="133">
        <f>商品录入!BP47*$E47</f>
        <v>0</v>
      </c>
      <c r="BQ47" s="133">
        <f>商品录入!BQ47*$E47</f>
        <v>0</v>
      </c>
      <c r="BR47" s="133">
        <f>商品录入!BR47*$E47</f>
        <v>0</v>
      </c>
      <c r="BS47" s="133">
        <f>商品录入!BS47*$E47</f>
        <v>0</v>
      </c>
      <c r="BT47" s="133">
        <f>商品录入!BT47*$E47</f>
        <v>0</v>
      </c>
      <c r="BU47" s="133">
        <f>商品录入!BU47*$E47</f>
        <v>0</v>
      </c>
      <c r="BV47" s="133">
        <f>商品录入!BV47*$E47</f>
        <v>0</v>
      </c>
      <c r="BW47" s="133">
        <f>商品录入!BW47*$E47</f>
        <v>0</v>
      </c>
    </row>
    <row r="48" s="178" customFormat="1" customHeight="1" spans="1:75">
      <c r="A48" s="161">
        <v>44</v>
      </c>
      <c r="B48" s="162">
        <f>商品录入!B48</f>
        <v>0</v>
      </c>
      <c r="C48" s="162">
        <f>商品录入!C48</f>
        <v>0</v>
      </c>
      <c r="D48" s="162">
        <f>商品录入!D48</f>
        <v>0</v>
      </c>
      <c r="E48" s="162">
        <f>商品录入!E48</f>
        <v>0</v>
      </c>
      <c r="F48" s="162">
        <f>商品录入!F48</f>
        <v>0</v>
      </c>
      <c r="G48" s="162">
        <f>商品录入!G48</f>
        <v>0</v>
      </c>
      <c r="H48" s="162">
        <f>商品录入!H48</f>
        <v>0</v>
      </c>
      <c r="I48" s="162">
        <f>商品录入!I48</f>
        <v>0</v>
      </c>
      <c r="J48" s="162">
        <f>商品录入!J48</f>
        <v>0</v>
      </c>
      <c r="K48" s="162">
        <f>商品录入!K48</f>
        <v>0</v>
      </c>
      <c r="L48" s="162">
        <f>商品录入!L48</f>
        <v>0</v>
      </c>
      <c r="M48" s="162">
        <f>商品录入!M48</f>
        <v>0</v>
      </c>
      <c r="N48" s="133">
        <f>商品录入!N48*$E48</f>
        <v>0</v>
      </c>
      <c r="O48" s="133">
        <f>商品录入!O48*$E48</f>
        <v>0</v>
      </c>
      <c r="P48" s="133">
        <f>商品录入!P48*$E48</f>
        <v>0</v>
      </c>
      <c r="Q48" s="133">
        <f>商品录入!Q48*$E48</f>
        <v>0</v>
      </c>
      <c r="R48" s="133">
        <f>商品录入!R48*$E48</f>
        <v>0</v>
      </c>
      <c r="S48" s="133">
        <f>商品录入!S48*$E48</f>
        <v>0</v>
      </c>
      <c r="T48" s="133">
        <f>商品录入!T48*$E48</f>
        <v>0</v>
      </c>
      <c r="U48" s="133">
        <f>商品录入!U48*$E48</f>
        <v>0</v>
      </c>
      <c r="V48" s="133">
        <f>商品录入!V48*$E48</f>
        <v>0</v>
      </c>
      <c r="W48" s="133">
        <f>商品录入!W48*$E48</f>
        <v>0</v>
      </c>
      <c r="X48" s="133">
        <f>商品录入!X48*$E48</f>
        <v>0</v>
      </c>
      <c r="Y48" s="133">
        <f>商品录入!Y48*$E48</f>
        <v>0</v>
      </c>
      <c r="Z48" s="133">
        <f>商品录入!Z48*$E48</f>
        <v>0</v>
      </c>
      <c r="AA48" s="133">
        <f>商品录入!AA48*$E48</f>
        <v>0</v>
      </c>
      <c r="AB48" s="133">
        <f>商品录入!AB48*$E48</f>
        <v>0</v>
      </c>
      <c r="AC48" s="133">
        <f>商品录入!AC48*$E48</f>
        <v>0</v>
      </c>
      <c r="AD48" s="133">
        <f>商品录入!AD48*$E48</f>
        <v>0</v>
      </c>
      <c r="AE48" s="133">
        <f>商品录入!AE48*$E48</f>
        <v>0</v>
      </c>
      <c r="AF48" s="133">
        <f>商品录入!AF48*$E48</f>
        <v>0</v>
      </c>
      <c r="AG48" s="133">
        <f>商品录入!AG48*$E48</f>
        <v>0</v>
      </c>
      <c r="AH48" s="133">
        <f>商品录入!AH48*$E48</f>
        <v>0</v>
      </c>
      <c r="AI48" s="133">
        <f>商品录入!AI48*$E48</f>
        <v>0</v>
      </c>
      <c r="AJ48" s="133">
        <f>商品录入!AJ48*$E48</f>
        <v>0</v>
      </c>
      <c r="AK48" s="133">
        <f>商品录入!AK48*$E48</f>
        <v>0</v>
      </c>
      <c r="AL48" s="133">
        <f>商品录入!AL48*$E48</f>
        <v>0</v>
      </c>
      <c r="AM48" s="133">
        <f>商品录入!AM48*$E48</f>
        <v>0</v>
      </c>
      <c r="AN48" s="133">
        <f>商品录入!AN48*$E48</f>
        <v>0</v>
      </c>
      <c r="AO48" s="133">
        <f>商品录入!AO48*$E48</f>
        <v>0</v>
      </c>
      <c r="AP48" s="133">
        <f>商品录入!AP48*$E48</f>
        <v>0</v>
      </c>
      <c r="AQ48" s="133">
        <f>商品录入!AQ48*$E48</f>
        <v>0</v>
      </c>
      <c r="AR48" s="133">
        <f>商品录入!AR48*$E48</f>
        <v>0</v>
      </c>
      <c r="AS48" s="133">
        <f>商品录入!AS48*$E48</f>
        <v>0</v>
      </c>
      <c r="AT48" s="133">
        <f>商品录入!AT48*$E48</f>
        <v>0</v>
      </c>
      <c r="AU48" s="133">
        <f>商品录入!AU48*$E48</f>
        <v>0</v>
      </c>
      <c r="AV48" s="133">
        <f>商品录入!AV48*$E48</f>
        <v>0</v>
      </c>
      <c r="AW48" s="133">
        <f>商品录入!AW48*$E48</f>
        <v>0</v>
      </c>
      <c r="AX48" s="133">
        <f>商品录入!AX48*$E48</f>
        <v>0</v>
      </c>
      <c r="AY48" s="133">
        <f>商品录入!AY48*$E48</f>
        <v>0</v>
      </c>
      <c r="AZ48" s="133">
        <f>商品录入!AZ48*$E48</f>
        <v>0</v>
      </c>
      <c r="BA48" s="133">
        <f>商品录入!BA48*$E48</f>
        <v>0</v>
      </c>
      <c r="BB48" s="133">
        <f>商品录入!BB48*$E48</f>
        <v>0</v>
      </c>
      <c r="BC48" s="133">
        <f>商品录入!BC48*$E48</f>
        <v>0</v>
      </c>
      <c r="BD48" s="133">
        <f>商品录入!BD48*$E48</f>
        <v>0</v>
      </c>
      <c r="BE48" s="133">
        <f>商品录入!BE48*$E48</f>
        <v>0</v>
      </c>
      <c r="BF48" s="133">
        <f>商品录入!BF48*$E48</f>
        <v>0</v>
      </c>
      <c r="BG48" s="133">
        <f>商品录入!BG48*$E48</f>
        <v>0</v>
      </c>
      <c r="BH48" s="133">
        <f>商品录入!BH48*$E48</f>
        <v>0</v>
      </c>
      <c r="BI48" s="133">
        <f>商品录入!BI48*$E48</f>
        <v>0</v>
      </c>
      <c r="BJ48" s="133">
        <f>商品录入!BJ48*$E48</f>
        <v>0</v>
      </c>
      <c r="BK48" s="133">
        <f>商品录入!BK48*$E48</f>
        <v>0</v>
      </c>
      <c r="BL48" s="133">
        <f>商品录入!BL48*$E48</f>
        <v>0</v>
      </c>
      <c r="BM48" s="133">
        <f>商品录入!BM48*$E48</f>
        <v>0</v>
      </c>
      <c r="BN48" s="133">
        <f>商品录入!BN48*$E48</f>
        <v>0</v>
      </c>
      <c r="BO48" s="133">
        <f>商品录入!BO48*$E48</f>
        <v>0</v>
      </c>
      <c r="BP48" s="133">
        <f>商品录入!BP48*$E48</f>
        <v>0</v>
      </c>
      <c r="BQ48" s="133">
        <f>商品录入!BQ48*$E48</f>
        <v>0</v>
      </c>
      <c r="BR48" s="133">
        <f>商品录入!BR48*$E48</f>
        <v>0</v>
      </c>
      <c r="BS48" s="133">
        <f>商品录入!BS48*$E48</f>
        <v>0</v>
      </c>
      <c r="BT48" s="133">
        <f>商品录入!BT48*$E48</f>
        <v>0</v>
      </c>
      <c r="BU48" s="133">
        <f>商品录入!BU48*$E48</f>
        <v>0</v>
      </c>
      <c r="BV48" s="133">
        <f>商品录入!BV48*$E48</f>
        <v>0</v>
      </c>
      <c r="BW48" s="133">
        <f>商品录入!BW48*$E48</f>
        <v>0</v>
      </c>
    </row>
    <row r="49" s="178" customFormat="1" customHeight="1" spans="1:75">
      <c r="A49" s="161">
        <v>45</v>
      </c>
      <c r="B49" s="162">
        <f>商品录入!B49</f>
        <v>0</v>
      </c>
      <c r="C49" s="162">
        <f>商品录入!C49</f>
        <v>0</v>
      </c>
      <c r="D49" s="162">
        <f>商品录入!D49</f>
        <v>0</v>
      </c>
      <c r="E49" s="162">
        <f>商品录入!E49</f>
        <v>0</v>
      </c>
      <c r="F49" s="162">
        <f>商品录入!F49</f>
        <v>0</v>
      </c>
      <c r="G49" s="162">
        <f>商品录入!G49</f>
        <v>0</v>
      </c>
      <c r="H49" s="162">
        <f>商品录入!H49</f>
        <v>0</v>
      </c>
      <c r="I49" s="162">
        <f>商品录入!I49</f>
        <v>0</v>
      </c>
      <c r="J49" s="162">
        <f>商品录入!J49</f>
        <v>0</v>
      </c>
      <c r="K49" s="162">
        <f>商品录入!K49</f>
        <v>0</v>
      </c>
      <c r="L49" s="162">
        <f>商品录入!L49</f>
        <v>0</v>
      </c>
      <c r="M49" s="162">
        <f>商品录入!M49</f>
        <v>0</v>
      </c>
      <c r="N49" s="133">
        <f>商品录入!N49*$E49</f>
        <v>0</v>
      </c>
      <c r="O49" s="133">
        <f>商品录入!O49*$E49</f>
        <v>0</v>
      </c>
      <c r="P49" s="133">
        <f>商品录入!P49*$E49</f>
        <v>0</v>
      </c>
      <c r="Q49" s="133">
        <f>商品录入!Q49*$E49</f>
        <v>0</v>
      </c>
      <c r="R49" s="133">
        <f>商品录入!R49*$E49</f>
        <v>0</v>
      </c>
      <c r="S49" s="133">
        <f>商品录入!S49*$E49</f>
        <v>0</v>
      </c>
      <c r="T49" s="133">
        <f>商品录入!T49*$E49</f>
        <v>0</v>
      </c>
      <c r="U49" s="133">
        <f>商品录入!U49*$E49</f>
        <v>0</v>
      </c>
      <c r="V49" s="133">
        <f>商品录入!V49*$E49</f>
        <v>0</v>
      </c>
      <c r="W49" s="133">
        <f>商品录入!W49*$E49</f>
        <v>0</v>
      </c>
      <c r="X49" s="133">
        <f>商品录入!X49*$E49</f>
        <v>0</v>
      </c>
      <c r="Y49" s="133">
        <f>商品录入!Y49*$E49</f>
        <v>0</v>
      </c>
      <c r="Z49" s="133">
        <f>商品录入!Z49*$E49</f>
        <v>0</v>
      </c>
      <c r="AA49" s="133">
        <f>商品录入!AA49*$E49</f>
        <v>0</v>
      </c>
      <c r="AB49" s="133">
        <f>商品录入!AB49*$E49</f>
        <v>0</v>
      </c>
      <c r="AC49" s="133">
        <f>商品录入!AC49*$E49</f>
        <v>0</v>
      </c>
      <c r="AD49" s="133">
        <f>商品录入!AD49*$E49</f>
        <v>0</v>
      </c>
      <c r="AE49" s="133">
        <f>商品录入!AE49*$E49</f>
        <v>0</v>
      </c>
      <c r="AF49" s="133">
        <f>商品录入!AF49*$E49</f>
        <v>0</v>
      </c>
      <c r="AG49" s="133">
        <f>商品录入!AG49*$E49</f>
        <v>0</v>
      </c>
      <c r="AH49" s="133">
        <f>商品录入!AH49*$E49</f>
        <v>0</v>
      </c>
      <c r="AI49" s="133">
        <f>商品录入!AI49*$E49</f>
        <v>0</v>
      </c>
      <c r="AJ49" s="133">
        <f>商品录入!AJ49*$E49</f>
        <v>0</v>
      </c>
      <c r="AK49" s="133">
        <f>商品录入!AK49*$E49</f>
        <v>0</v>
      </c>
      <c r="AL49" s="133">
        <f>商品录入!AL49*$E49</f>
        <v>0</v>
      </c>
      <c r="AM49" s="133">
        <f>商品录入!AM49*$E49</f>
        <v>0</v>
      </c>
      <c r="AN49" s="133">
        <f>商品录入!AN49*$E49</f>
        <v>0</v>
      </c>
      <c r="AO49" s="133">
        <f>商品录入!AO49*$E49</f>
        <v>0</v>
      </c>
      <c r="AP49" s="133">
        <f>商品录入!AP49*$E49</f>
        <v>0</v>
      </c>
      <c r="AQ49" s="133">
        <f>商品录入!AQ49*$E49</f>
        <v>0</v>
      </c>
      <c r="AR49" s="133">
        <f>商品录入!AR49*$E49</f>
        <v>0</v>
      </c>
      <c r="AS49" s="133">
        <f>商品录入!AS49*$E49</f>
        <v>0</v>
      </c>
      <c r="AT49" s="133">
        <f>商品录入!AT49*$E49</f>
        <v>0</v>
      </c>
      <c r="AU49" s="133">
        <f>商品录入!AU49*$E49</f>
        <v>0</v>
      </c>
      <c r="AV49" s="133">
        <f>商品录入!AV49*$E49</f>
        <v>0</v>
      </c>
      <c r="AW49" s="133">
        <f>商品录入!AW49*$E49</f>
        <v>0</v>
      </c>
      <c r="AX49" s="133">
        <f>商品录入!AX49*$E49</f>
        <v>0</v>
      </c>
      <c r="AY49" s="133">
        <f>商品录入!AY49*$E49</f>
        <v>0</v>
      </c>
      <c r="AZ49" s="133">
        <f>商品录入!AZ49*$E49</f>
        <v>0</v>
      </c>
      <c r="BA49" s="133">
        <f>商品录入!BA49*$E49</f>
        <v>0</v>
      </c>
      <c r="BB49" s="133">
        <f>商品录入!BB49*$E49</f>
        <v>0</v>
      </c>
      <c r="BC49" s="133">
        <f>商品录入!BC49*$E49</f>
        <v>0</v>
      </c>
      <c r="BD49" s="133">
        <f>商品录入!BD49*$E49</f>
        <v>0</v>
      </c>
      <c r="BE49" s="133">
        <f>商品录入!BE49*$E49</f>
        <v>0</v>
      </c>
      <c r="BF49" s="133">
        <f>商品录入!BF49*$E49</f>
        <v>0</v>
      </c>
      <c r="BG49" s="133">
        <f>商品录入!BG49*$E49</f>
        <v>0</v>
      </c>
      <c r="BH49" s="133">
        <f>商品录入!BH49*$E49</f>
        <v>0</v>
      </c>
      <c r="BI49" s="133">
        <f>商品录入!BI49*$E49</f>
        <v>0</v>
      </c>
      <c r="BJ49" s="133">
        <f>商品录入!BJ49*$E49</f>
        <v>0</v>
      </c>
      <c r="BK49" s="133">
        <f>商品录入!BK49*$E49</f>
        <v>0</v>
      </c>
      <c r="BL49" s="133">
        <f>商品录入!BL49*$E49</f>
        <v>0</v>
      </c>
      <c r="BM49" s="133">
        <f>商品录入!BM49*$E49</f>
        <v>0</v>
      </c>
      <c r="BN49" s="133">
        <f>商品录入!BN49*$E49</f>
        <v>0</v>
      </c>
      <c r="BO49" s="133">
        <f>商品录入!BO49*$E49</f>
        <v>0</v>
      </c>
      <c r="BP49" s="133">
        <f>商品录入!BP49*$E49</f>
        <v>0</v>
      </c>
      <c r="BQ49" s="133">
        <f>商品录入!BQ49*$E49</f>
        <v>0</v>
      </c>
      <c r="BR49" s="133">
        <f>商品录入!BR49*$E49</f>
        <v>0</v>
      </c>
      <c r="BS49" s="133">
        <f>商品录入!BS49*$E49</f>
        <v>0</v>
      </c>
      <c r="BT49" s="133">
        <f>商品录入!BT49*$E49</f>
        <v>0</v>
      </c>
      <c r="BU49" s="133">
        <f>商品录入!BU49*$E49</f>
        <v>0</v>
      </c>
      <c r="BV49" s="133">
        <f>商品录入!BV49*$E49</f>
        <v>0</v>
      </c>
      <c r="BW49" s="133">
        <f>商品录入!BW49*$E49</f>
        <v>0</v>
      </c>
    </row>
    <row r="50" s="178" customFormat="1" customHeight="1" spans="1:75">
      <c r="A50" s="161">
        <v>46</v>
      </c>
      <c r="B50" s="162">
        <f>商品录入!B50</f>
        <v>0</v>
      </c>
      <c r="C50" s="162">
        <f>商品录入!C50</f>
        <v>0</v>
      </c>
      <c r="D50" s="162">
        <f>商品录入!D50</f>
        <v>0</v>
      </c>
      <c r="E50" s="162">
        <f>商品录入!E50</f>
        <v>0</v>
      </c>
      <c r="F50" s="162">
        <f>商品录入!F50</f>
        <v>0</v>
      </c>
      <c r="G50" s="162">
        <f>商品录入!G50</f>
        <v>0</v>
      </c>
      <c r="H50" s="162">
        <f>商品录入!H50</f>
        <v>0</v>
      </c>
      <c r="I50" s="162">
        <f>商品录入!I50</f>
        <v>0</v>
      </c>
      <c r="J50" s="162">
        <f>商品录入!J50</f>
        <v>0</v>
      </c>
      <c r="K50" s="162">
        <f>商品录入!K50</f>
        <v>0</v>
      </c>
      <c r="L50" s="162">
        <f>商品录入!L50</f>
        <v>0</v>
      </c>
      <c r="M50" s="162">
        <f>商品录入!M50</f>
        <v>0</v>
      </c>
      <c r="N50" s="133">
        <f>商品录入!N50*$E50</f>
        <v>0</v>
      </c>
      <c r="O50" s="133">
        <f>商品录入!O50*$E50</f>
        <v>0</v>
      </c>
      <c r="P50" s="133">
        <f>商品录入!P50*$E50</f>
        <v>0</v>
      </c>
      <c r="Q50" s="133">
        <f>商品录入!Q50*$E50</f>
        <v>0</v>
      </c>
      <c r="R50" s="133">
        <f>商品录入!R50*$E50</f>
        <v>0</v>
      </c>
      <c r="S50" s="133">
        <f>商品录入!S50*$E50</f>
        <v>0</v>
      </c>
      <c r="T50" s="133">
        <f>商品录入!T50*$E50</f>
        <v>0</v>
      </c>
      <c r="U50" s="133">
        <f>商品录入!U50*$E50</f>
        <v>0</v>
      </c>
      <c r="V50" s="133">
        <f>商品录入!V50*$E50</f>
        <v>0</v>
      </c>
      <c r="W50" s="133">
        <f>商品录入!W50*$E50</f>
        <v>0</v>
      </c>
      <c r="X50" s="133">
        <f>商品录入!X50*$E50</f>
        <v>0</v>
      </c>
      <c r="Y50" s="133">
        <f>商品录入!Y50*$E50</f>
        <v>0</v>
      </c>
      <c r="Z50" s="133">
        <f>商品录入!Z50*$E50</f>
        <v>0</v>
      </c>
      <c r="AA50" s="133">
        <f>商品录入!AA50*$E50</f>
        <v>0</v>
      </c>
      <c r="AB50" s="133">
        <f>商品录入!AB50*$E50</f>
        <v>0</v>
      </c>
      <c r="AC50" s="133">
        <f>商品录入!AC50*$E50</f>
        <v>0</v>
      </c>
      <c r="AD50" s="133">
        <f>商品录入!AD50*$E50</f>
        <v>0</v>
      </c>
      <c r="AE50" s="133">
        <f>商品录入!AE50*$E50</f>
        <v>0</v>
      </c>
      <c r="AF50" s="133">
        <f>商品录入!AF50*$E50</f>
        <v>0</v>
      </c>
      <c r="AG50" s="133">
        <f>商品录入!AG50*$E50</f>
        <v>0</v>
      </c>
      <c r="AH50" s="133">
        <f>商品录入!AH50*$E50</f>
        <v>0</v>
      </c>
      <c r="AI50" s="133">
        <f>商品录入!AI50*$E50</f>
        <v>0</v>
      </c>
      <c r="AJ50" s="133">
        <f>商品录入!AJ50*$E50</f>
        <v>0</v>
      </c>
      <c r="AK50" s="133">
        <f>商品录入!AK50*$E50</f>
        <v>0</v>
      </c>
      <c r="AL50" s="133">
        <f>商品录入!AL50*$E50</f>
        <v>0</v>
      </c>
      <c r="AM50" s="133">
        <f>商品录入!AM50*$E50</f>
        <v>0</v>
      </c>
      <c r="AN50" s="133">
        <f>商品录入!AN50*$E50</f>
        <v>0</v>
      </c>
      <c r="AO50" s="133">
        <f>商品录入!AO50*$E50</f>
        <v>0</v>
      </c>
      <c r="AP50" s="133">
        <f>商品录入!AP50*$E50</f>
        <v>0</v>
      </c>
      <c r="AQ50" s="133">
        <f>商品录入!AQ50*$E50</f>
        <v>0</v>
      </c>
      <c r="AR50" s="133">
        <f>商品录入!AR50*$E50</f>
        <v>0</v>
      </c>
      <c r="AS50" s="133">
        <f>商品录入!AS50*$E50</f>
        <v>0</v>
      </c>
      <c r="AT50" s="133">
        <f>商品录入!AT50*$E50</f>
        <v>0</v>
      </c>
      <c r="AU50" s="133">
        <f>商品录入!AU50*$E50</f>
        <v>0</v>
      </c>
      <c r="AV50" s="133">
        <f>商品录入!AV50*$E50</f>
        <v>0</v>
      </c>
      <c r="AW50" s="133">
        <f>商品录入!AW50*$E50</f>
        <v>0</v>
      </c>
      <c r="AX50" s="133">
        <f>商品录入!AX50*$E50</f>
        <v>0</v>
      </c>
      <c r="AY50" s="133">
        <f>商品录入!AY50*$E50</f>
        <v>0</v>
      </c>
      <c r="AZ50" s="133">
        <f>商品录入!AZ50*$E50</f>
        <v>0</v>
      </c>
      <c r="BA50" s="133">
        <f>商品录入!BA50*$E50</f>
        <v>0</v>
      </c>
      <c r="BB50" s="133">
        <f>商品录入!BB50*$E50</f>
        <v>0</v>
      </c>
      <c r="BC50" s="133">
        <f>商品录入!BC50*$E50</f>
        <v>0</v>
      </c>
      <c r="BD50" s="133">
        <f>商品录入!BD50*$E50</f>
        <v>0</v>
      </c>
      <c r="BE50" s="133">
        <f>商品录入!BE50*$E50</f>
        <v>0</v>
      </c>
      <c r="BF50" s="133">
        <f>商品录入!BF50*$E50</f>
        <v>0</v>
      </c>
      <c r="BG50" s="133">
        <f>商品录入!BG50*$E50</f>
        <v>0</v>
      </c>
      <c r="BH50" s="133">
        <f>商品录入!BH50*$E50</f>
        <v>0</v>
      </c>
      <c r="BI50" s="133">
        <f>商品录入!BI50*$E50</f>
        <v>0</v>
      </c>
      <c r="BJ50" s="133">
        <f>商品录入!BJ50*$E50</f>
        <v>0</v>
      </c>
      <c r="BK50" s="133">
        <f>商品录入!BK50*$E50</f>
        <v>0</v>
      </c>
      <c r="BL50" s="133">
        <f>商品录入!BL50*$E50</f>
        <v>0</v>
      </c>
      <c r="BM50" s="133">
        <f>商品录入!BM50*$E50</f>
        <v>0</v>
      </c>
      <c r="BN50" s="133">
        <f>商品录入!BN50*$E50</f>
        <v>0</v>
      </c>
      <c r="BO50" s="133">
        <f>商品录入!BO50*$E50</f>
        <v>0</v>
      </c>
      <c r="BP50" s="133">
        <f>商品录入!BP50*$E50</f>
        <v>0</v>
      </c>
      <c r="BQ50" s="133">
        <f>商品录入!BQ50*$E50</f>
        <v>0</v>
      </c>
      <c r="BR50" s="133">
        <f>商品录入!BR50*$E50</f>
        <v>0</v>
      </c>
      <c r="BS50" s="133">
        <f>商品录入!BS50*$E50</f>
        <v>0</v>
      </c>
      <c r="BT50" s="133">
        <f>商品录入!BT50*$E50</f>
        <v>0</v>
      </c>
      <c r="BU50" s="133">
        <f>商品录入!BU50*$E50</f>
        <v>0</v>
      </c>
      <c r="BV50" s="133">
        <f>商品录入!BV50*$E50</f>
        <v>0</v>
      </c>
      <c r="BW50" s="133">
        <f>商品录入!BW50*$E50</f>
        <v>0</v>
      </c>
    </row>
    <row r="51" s="178" customFormat="1" customHeight="1" spans="1:75">
      <c r="A51" s="161">
        <v>47</v>
      </c>
      <c r="B51" s="162">
        <f>商品录入!B51</f>
        <v>0</v>
      </c>
      <c r="C51" s="162">
        <f>商品录入!C51</f>
        <v>0</v>
      </c>
      <c r="D51" s="162">
        <f>商品录入!D51</f>
        <v>0</v>
      </c>
      <c r="E51" s="162">
        <f>商品录入!E51</f>
        <v>0</v>
      </c>
      <c r="F51" s="162">
        <f>商品录入!F51</f>
        <v>0</v>
      </c>
      <c r="G51" s="162">
        <f>商品录入!G51</f>
        <v>0</v>
      </c>
      <c r="H51" s="162">
        <f>商品录入!H51</f>
        <v>0</v>
      </c>
      <c r="I51" s="162">
        <f>商品录入!I51</f>
        <v>0</v>
      </c>
      <c r="J51" s="162">
        <f>商品录入!J51</f>
        <v>0</v>
      </c>
      <c r="K51" s="162">
        <f>商品录入!K51</f>
        <v>0</v>
      </c>
      <c r="L51" s="162">
        <f>商品录入!L51</f>
        <v>0</v>
      </c>
      <c r="M51" s="162">
        <f>商品录入!M51</f>
        <v>0</v>
      </c>
      <c r="N51" s="133">
        <f>商品录入!N51*$E51</f>
        <v>0</v>
      </c>
      <c r="O51" s="133">
        <f>商品录入!O51*$E51</f>
        <v>0</v>
      </c>
      <c r="P51" s="133">
        <f>商品录入!P51*$E51</f>
        <v>0</v>
      </c>
      <c r="Q51" s="133">
        <f>商品录入!Q51*$E51</f>
        <v>0</v>
      </c>
      <c r="R51" s="133">
        <f>商品录入!R51*$E51</f>
        <v>0</v>
      </c>
      <c r="S51" s="133">
        <f>商品录入!S51*$E51</f>
        <v>0</v>
      </c>
      <c r="T51" s="133">
        <f>商品录入!T51*$E51</f>
        <v>0</v>
      </c>
      <c r="U51" s="133">
        <f>商品录入!U51*$E51</f>
        <v>0</v>
      </c>
      <c r="V51" s="133">
        <f>商品录入!V51*$E51</f>
        <v>0</v>
      </c>
      <c r="W51" s="133">
        <f>商品录入!W51*$E51</f>
        <v>0</v>
      </c>
      <c r="X51" s="133">
        <f>商品录入!X51*$E51</f>
        <v>0</v>
      </c>
      <c r="Y51" s="133">
        <f>商品录入!Y51*$E51</f>
        <v>0</v>
      </c>
      <c r="Z51" s="133">
        <f>商品录入!Z51*$E51</f>
        <v>0</v>
      </c>
      <c r="AA51" s="133">
        <f>商品录入!AA51*$E51</f>
        <v>0</v>
      </c>
      <c r="AB51" s="133">
        <f>商品录入!AB51*$E51</f>
        <v>0</v>
      </c>
      <c r="AC51" s="133">
        <f>商品录入!AC51*$E51</f>
        <v>0</v>
      </c>
      <c r="AD51" s="133">
        <f>商品录入!AD51*$E51</f>
        <v>0</v>
      </c>
      <c r="AE51" s="133">
        <f>商品录入!AE51*$E51</f>
        <v>0</v>
      </c>
      <c r="AF51" s="133">
        <f>商品录入!AF51*$E51</f>
        <v>0</v>
      </c>
      <c r="AG51" s="133">
        <f>商品录入!AG51*$E51</f>
        <v>0</v>
      </c>
      <c r="AH51" s="133">
        <f>商品录入!AH51*$E51</f>
        <v>0</v>
      </c>
      <c r="AI51" s="133">
        <f>商品录入!AI51*$E51</f>
        <v>0</v>
      </c>
      <c r="AJ51" s="133">
        <f>商品录入!AJ51*$E51</f>
        <v>0</v>
      </c>
      <c r="AK51" s="133">
        <f>商品录入!AK51*$E51</f>
        <v>0</v>
      </c>
      <c r="AL51" s="133">
        <f>商品录入!AL51*$E51</f>
        <v>0</v>
      </c>
      <c r="AM51" s="133">
        <f>商品录入!AM51*$E51</f>
        <v>0</v>
      </c>
      <c r="AN51" s="133">
        <f>商品录入!AN51*$E51</f>
        <v>0</v>
      </c>
      <c r="AO51" s="133">
        <f>商品录入!AO51*$E51</f>
        <v>0</v>
      </c>
      <c r="AP51" s="133">
        <f>商品录入!AP51*$E51</f>
        <v>0</v>
      </c>
      <c r="AQ51" s="133">
        <f>商品录入!AQ51*$E51</f>
        <v>0</v>
      </c>
      <c r="AR51" s="133">
        <f>商品录入!AR51*$E51</f>
        <v>0</v>
      </c>
      <c r="AS51" s="133">
        <f>商品录入!AS51*$E51</f>
        <v>0</v>
      </c>
      <c r="AT51" s="133">
        <f>商品录入!AT51*$E51</f>
        <v>0</v>
      </c>
      <c r="AU51" s="133">
        <f>商品录入!AU51*$E51</f>
        <v>0</v>
      </c>
      <c r="AV51" s="133">
        <f>商品录入!AV51*$E51</f>
        <v>0</v>
      </c>
      <c r="AW51" s="133">
        <f>商品录入!AW51*$E51</f>
        <v>0</v>
      </c>
      <c r="AX51" s="133">
        <f>商品录入!AX51*$E51</f>
        <v>0</v>
      </c>
      <c r="AY51" s="133">
        <f>商品录入!AY51*$E51</f>
        <v>0</v>
      </c>
      <c r="AZ51" s="133">
        <f>商品录入!AZ51*$E51</f>
        <v>0</v>
      </c>
      <c r="BA51" s="133">
        <f>商品录入!BA51*$E51</f>
        <v>0</v>
      </c>
      <c r="BB51" s="133">
        <f>商品录入!BB51*$E51</f>
        <v>0</v>
      </c>
      <c r="BC51" s="133">
        <f>商品录入!BC51*$E51</f>
        <v>0</v>
      </c>
      <c r="BD51" s="133">
        <f>商品录入!BD51*$E51</f>
        <v>0</v>
      </c>
      <c r="BE51" s="133">
        <f>商品录入!BE51*$E51</f>
        <v>0</v>
      </c>
      <c r="BF51" s="133">
        <f>商品录入!BF51*$E51</f>
        <v>0</v>
      </c>
      <c r="BG51" s="133">
        <f>商品录入!BG51*$E51</f>
        <v>0</v>
      </c>
      <c r="BH51" s="133">
        <f>商品录入!BH51*$E51</f>
        <v>0</v>
      </c>
      <c r="BI51" s="133">
        <f>商品录入!BI51*$E51</f>
        <v>0</v>
      </c>
      <c r="BJ51" s="133">
        <f>商品录入!BJ51*$E51</f>
        <v>0</v>
      </c>
      <c r="BK51" s="133">
        <f>商品录入!BK51*$E51</f>
        <v>0</v>
      </c>
      <c r="BL51" s="133">
        <f>商品录入!BL51*$E51</f>
        <v>0</v>
      </c>
      <c r="BM51" s="133">
        <f>商品录入!BM51*$E51</f>
        <v>0</v>
      </c>
      <c r="BN51" s="133">
        <f>商品录入!BN51*$E51</f>
        <v>0</v>
      </c>
      <c r="BO51" s="133">
        <f>商品录入!BO51*$E51</f>
        <v>0</v>
      </c>
      <c r="BP51" s="133">
        <f>商品录入!BP51*$E51</f>
        <v>0</v>
      </c>
      <c r="BQ51" s="133">
        <f>商品录入!BQ51*$E51</f>
        <v>0</v>
      </c>
      <c r="BR51" s="133">
        <f>商品录入!BR51*$E51</f>
        <v>0</v>
      </c>
      <c r="BS51" s="133">
        <f>商品录入!BS51*$E51</f>
        <v>0</v>
      </c>
      <c r="BT51" s="133">
        <f>商品录入!BT51*$E51</f>
        <v>0</v>
      </c>
      <c r="BU51" s="133">
        <f>商品录入!BU51*$E51</f>
        <v>0</v>
      </c>
      <c r="BV51" s="133">
        <f>商品录入!BV51*$E51</f>
        <v>0</v>
      </c>
      <c r="BW51" s="133">
        <f>商品录入!BW51*$E51</f>
        <v>0</v>
      </c>
    </row>
    <row r="52" s="178" customFormat="1" customHeight="1" spans="1:75">
      <c r="A52" s="161">
        <v>48</v>
      </c>
      <c r="B52" s="162">
        <f>商品录入!B52</f>
        <v>0</v>
      </c>
      <c r="C52" s="162">
        <f>商品录入!C52</f>
        <v>0</v>
      </c>
      <c r="D52" s="162">
        <f>商品录入!D52</f>
        <v>0</v>
      </c>
      <c r="E52" s="162">
        <f>商品录入!E52</f>
        <v>0</v>
      </c>
      <c r="F52" s="162">
        <f>商品录入!F52</f>
        <v>0</v>
      </c>
      <c r="G52" s="162">
        <f>商品录入!G52</f>
        <v>0</v>
      </c>
      <c r="H52" s="162">
        <f>商品录入!H52</f>
        <v>0</v>
      </c>
      <c r="I52" s="162">
        <f>商品录入!I52</f>
        <v>0</v>
      </c>
      <c r="J52" s="162">
        <f>商品录入!J52</f>
        <v>0</v>
      </c>
      <c r="K52" s="162">
        <f>商品录入!K52</f>
        <v>0</v>
      </c>
      <c r="L52" s="162">
        <f>商品录入!L52</f>
        <v>0</v>
      </c>
      <c r="M52" s="162">
        <f>商品录入!M52</f>
        <v>0</v>
      </c>
      <c r="N52" s="133">
        <f>商品录入!N52*$E52</f>
        <v>0</v>
      </c>
      <c r="O52" s="133">
        <f>商品录入!O52*$E52</f>
        <v>0</v>
      </c>
      <c r="P52" s="133">
        <f>商品录入!P52*$E52</f>
        <v>0</v>
      </c>
      <c r="Q52" s="133">
        <f>商品录入!Q52*$E52</f>
        <v>0</v>
      </c>
      <c r="R52" s="133">
        <f>商品录入!R52*$E52</f>
        <v>0</v>
      </c>
      <c r="S52" s="133">
        <f>商品录入!S52*$E52</f>
        <v>0</v>
      </c>
      <c r="T52" s="133">
        <f>商品录入!T52*$E52</f>
        <v>0</v>
      </c>
      <c r="U52" s="133">
        <f>商品录入!U52*$E52</f>
        <v>0</v>
      </c>
      <c r="V52" s="133">
        <f>商品录入!V52*$E52</f>
        <v>0</v>
      </c>
      <c r="W52" s="133">
        <f>商品录入!W52*$E52</f>
        <v>0</v>
      </c>
      <c r="X52" s="133">
        <f>商品录入!X52*$E52</f>
        <v>0</v>
      </c>
      <c r="Y52" s="133">
        <f>商品录入!Y52*$E52</f>
        <v>0</v>
      </c>
      <c r="Z52" s="133">
        <f>商品录入!Z52*$E52</f>
        <v>0</v>
      </c>
      <c r="AA52" s="133">
        <f>商品录入!AA52*$E52</f>
        <v>0</v>
      </c>
      <c r="AB52" s="133">
        <f>商品录入!AB52*$E52</f>
        <v>0</v>
      </c>
      <c r="AC52" s="133">
        <f>商品录入!AC52*$E52</f>
        <v>0</v>
      </c>
      <c r="AD52" s="133">
        <f>商品录入!AD52*$E52</f>
        <v>0</v>
      </c>
      <c r="AE52" s="133">
        <f>商品录入!AE52*$E52</f>
        <v>0</v>
      </c>
      <c r="AF52" s="133">
        <f>商品录入!AF52*$E52</f>
        <v>0</v>
      </c>
      <c r="AG52" s="133">
        <f>商品录入!AG52*$E52</f>
        <v>0</v>
      </c>
      <c r="AH52" s="133">
        <f>商品录入!AH52*$E52</f>
        <v>0</v>
      </c>
      <c r="AI52" s="133">
        <f>商品录入!AI52*$E52</f>
        <v>0</v>
      </c>
      <c r="AJ52" s="133">
        <f>商品录入!AJ52*$E52</f>
        <v>0</v>
      </c>
      <c r="AK52" s="133">
        <f>商品录入!AK52*$E52</f>
        <v>0</v>
      </c>
      <c r="AL52" s="133">
        <f>商品录入!AL52*$E52</f>
        <v>0</v>
      </c>
      <c r="AM52" s="133">
        <f>商品录入!AM52*$E52</f>
        <v>0</v>
      </c>
      <c r="AN52" s="133">
        <f>商品录入!AN52*$E52</f>
        <v>0</v>
      </c>
      <c r="AO52" s="133">
        <f>商品录入!AO52*$E52</f>
        <v>0</v>
      </c>
      <c r="AP52" s="133">
        <f>商品录入!AP52*$E52</f>
        <v>0</v>
      </c>
      <c r="AQ52" s="133">
        <f>商品录入!AQ52*$E52</f>
        <v>0</v>
      </c>
      <c r="AR52" s="133">
        <f>商品录入!AR52*$E52</f>
        <v>0</v>
      </c>
      <c r="AS52" s="133">
        <f>商品录入!AS52*$E52</f>
        <v>0</v>
      </c>
      <c r="AT52" s="133">
        <f>商品录入!AT52*$E52</f>
        <v>0</v>
      </c>
      <c r="AU52" s="133">
        <f>商品录入!AU52*$E52</f>
        <v>0</v>
      </c>
      <c r="AV52" s="133">
        <f>商品录入!AV52*$E52</f>
        <v>0</v>
      </c>
      <c r="AW52" s="133">
        <f>商品录入!AW52*$E52</f>
        <v>0</v>
      </c>
      <c r="AX52" s="133">
        <f>商品录入!AX52*$E52</f>
        <v>0</v>
      </c>
      <c r="AY52" s="133">
        <f>商品录入!AY52*$E52</f>
        <v>0</v>
      </c>
      <c r="AZ52" s="133">
        <f>商品录入!AZ52*$E52</f>
        <v>0</v>
      </c>
      <c r="BA52" s="133">
        <f>商品录入!BA52*$E52</f>
        <v>0</v>
      </c>
      <c r="BB52" s="133">
        <f>商品录入!BB52*$E52</f>
        <v>0</v>
      </c>
      <c r="BC52" s="133">
        <f>商品录入!BC52*$E52</f>
        <v>0</v>
      </c>
      <c r="BD52" s="133">
        <f>商品录入!BD52*$E52</f>
        <v>0</v>
      </c>
      <c r="BE52" s="133">
        <f>商品录入!BE52*$E52</f>
        <v>0</v>
      </c>
      <c r="BF52" s="133">
        <f>商品录入!BF52*$E52</f>
        <v>0</v>
      </c>
      <c r="BG52" s="133">
        <f>商品录入!BG52*$E52</f>
        <v>0</v>
      </c>
      <c r="BH52" s="133">
        <f>商品录入!BH52*$E52</f>
        <v>0</v>
      </c>
      <c r="BI52" s="133">
        <f>商品录入!BI52*$E52</f>
        <v>0</v>
      </c>
      <c r="BJ52" s="133">
        <f>商品录入!BJ52*$E52</f>
        <v>0</v>
      </c>
      <c r="BK52" s="133">
        <f>商品录入!BK52*$E52</f>
        <v>0</v>
      </c>
      <c r="BL52" s="133">
        <f>商品录入!BL52*$E52</f>
        <v>0</v>
      </c>
      <c r="BM52" s="133">
        <f>商品录入!BM52*$E52</f>
        <v>0</v>
      </c>
      <c r="BN52" s="133">
        <f>商品录入!BN52*$E52</f>
        <v>0</v>
      </c>
      <c r="BO52" s="133">
        <f>商品录入!BO52*$E52</f>
        <v>0</v>
      </c>
      <c r="BP52" s="133">
        <f>商品录入!BP52*$E52</f>
        <v>0</v>
      </c>
      <c r="BQ52" s="133">
        <f>商品录入!BQ52*$E52</f>
        <v>0</v>
      </c>
      <c r="BR52" s="133">
        <f>商品录入!BR52*$E52</f>
        <v>0</v>
      </c>
      <c r="BS52" s="133">
        <f>商品录入!BS52*$E52</f>
        <v>0</v>
      </c>
      <c r="BT52" s="133">
        <f>商品录入!BT52*$E52</f>
        <v>0</v>
      </c>
      <c r="BU52" s="133">
        <f>商品录入!BU52*$E52</f>
        <v>0</v>
      </c>
      <c r="BV52" s="133">
        <f>商品录入!BV52*$E52</f>
        <v>0</v>
      </c>
      <c r="BW52" s="133">
        <f>商品录入!BW52*$E52</f>
        <v>0</v>
      </c>
    </row>
    <row r="53" s="178" customFormat="1" customHeight="1" spans="1:75">
      <c r="A53" s="161">
        <v>49</v>
      </c>
      <c r="B53" s="162">
        <f>商品录入!B53</f>
        <v>0</v>
      </c>
      <c r="C53" s="162">
        <f>商品录入!C53</f>
        <v>0</v>
      </c>
      <c r="D53" s="162">
        <f>商品录入!D53</f>
        <v>0</v>
      </c>
      <c r="E53" s="162">
        <f>商品录入!E53</f>
        <v>0</v>
      </c>
      <c r="F53" s="162">
        <f>商品录入!F53</f>
        <v>0</v>
      </c>
      <c r="G53" s="162">
        <f>商品录入!G53</f>
        <v>0</v>
      </c>
      <c r="H53" s="162">
        <f>商品录入!H53</f>
        <v>0</v>
      </c>
      <c r="I53" s="162">
        <f>商品录入!I53</f>
        <v>0</v>
      </c>
      <c r="J53" s="162">
        <f>商品录入!J53</f>
        <v>0</v>
      </c>
      <c r="K53" s="162">
        <f>商品录入!K53</f>
        <v>0</v>
      </c>
      <c r="L53" s="162">
        <f>商品录入!L53</f>
        <v>0</v>
      </c>
      <c r="M53" s="162">
        <f>商品录入!M53</f>
        <v>0</v>
      </c>
      <c r="N53" s="133">
        <f>商品录入!N53*$E53</f>
        <v>0</v>
      </c>
      <c r="O53" s="133">
        <f>商品录入!O53*$E53</f>
        <v>0</v>
      </c>
      <c r="P53" s="133">
        <f>商品录入!P53*$E53</f>
        <v>0</v>
      </c>
      <c r="Q53" s="133">
        <f>商品录入!Q53*$E53</f>
        <v>0</v>
      </c>
      <c r="R53" s="133">
        <f>商品录入!R53*$E53</f>
        <v>0</v>
      </c>
      <c r="S53" s="133">
        <f>商品录入!S53*$E53</f>
        <v>0</v>
      </c>
      <c r="T53" s="133">
        <f>商品录入!T53*$E53</f>
        <v>0</v>
      </c>
      <c r="U53" s="133">
        <f>商品录入!U53*$E53</f>
        <v>0</v>
      </c>
      <c r="V53" s="133">
        <f>商品录入!V53*$E53</f>
        <v>0</v>
      </c>
      <c r="W53" s="133">
        <f>商品录入!W53*$E53</f>
        <v>0</v>
      </c>
      <c r="X53" s="133">
        <f>商品录入!X53*$E53</f>
        <v>0</v>
      </c>
      <c r="Y53" s="133">
        <f>商品录入!Y53*$E53</f>
        <v>0</v>
      </c>
      <c r="Z53" s="133">
        <f>商品录入!Z53*$E53</f>
        <v>0</v>
      </c>
      <c r="AA53" s="133">
        <f>商品录入!AA53*$E53</f>
        <v>0</v>
      </c>
      <c r="AB53" s="133">
        <f>商品录入!AB53*$E53</f>
        <v>0</v>
      </c>
      <c r="AC53" s="133">
        <f>商品录入!AC53*$E53</f>
        <v>0</v>
      </c>
      <c r="AD53" s="133">
        <f>商品录入!AD53*$E53</f>
        <v>0</v>
      </c>
      <c r="AE53" s="133">
        <f>商品录入!AE53*$E53</f>
        <v>0</v>
      </c>
      <c r="AF53" s="133">
        <f>商品录入!AF53*$E53</f>
        <v>0</v>
      </c>
      <c r="AG53" s="133">
        <f>商品录入!AG53*$E53</f>
        <v>0</v>
      </c>
      <c r="AH53" s="133">
        <f>商品录入!AH53*$E53</f>
        <v>0</v>
      </c>
      <c r="AI53" s="133">
        <f>商品录入!AI53*$E53</f>
        <v>0</v>
      </c>
      <c r="AJ53" s="133">
        <f>商品录入!AJ53*$E53</f>
        <v>0</v>
      </c>
      <c r="AK53" s="133">
        <f>商品录入!AK53*$E53</f>
        <v>0</v>
      </c>
      <c r="AL53" s="133">
        <f>商品录入!AL53*$E53</f>
        <v>0</v>
      </c>
      <c r="AM53" s="133">
        <f>商品录入!AM53*$E53</f>
        <v>0</v>
      </c>
      <c r="AN53" s="133">
        <f>商品录入!AN53*$E53</f>
        <v>0</v>
      </c>
      <c r="AO53" s="133">
        <f>商品录入!AO53*$E53</f>
        <v>0</v>
      </c>
      <c r="AP53" s="133">
        <f>商品录入!AP53*$E53</f>
        <v>0</v>
      </c>
      <c r="AQ53" s="133">
        <f>商品录入!AQ53*$E53</f>
        <v>0</v>
      </c>
      <c r="AR53" s="133">
        <f>商品录入!AR53*$E53</f>
        <v>0</v>
      </c>
      <c r="AS53" s="133">
        <f>商品录入!AS53*$E53</f>
        <v>0</v>
      </c>
      <c r="AT53" s="133">
        <f>商品录入!AT53*$E53</f>
        <v>0</v>
      </c>
      <c r="AU53" s="133">
        <f>商品录入!AU53*$E53</f>
        <v>0</v>
      </c>
      <c r="AV53" s="133">
        <f>商品录入!AV53*$E53</f>
        <v>0</v>
      </c>
      <c r="AW53" s="133">
        <f>商品录入!AW53*$E53</f>
        <v>0</v>
      </c>
      <c r="AX53" s="133">
        <f>商品录入!AX53*$E53</f>
        <v>0</v>
      </c>
      <c r="AY53" s="133">
        <f>商品录入!AY53*$E53</f>
        <v>0</v>
      </c>
      <c r="AZ53" s="133">
        <f>商品录入!AZ53*$E53</f>
        <v>0</v>
      </c>
      <c r="BA53" s="133">
        <f>商品录入!BA53*$E53</f>
        <v>0</v>
      </c>
      <c r="BB53" s="133">
        <f>商品录入!BB53*$E53</f>
        <v>0</v>
      </c>
      <c r="BC53" s="133">
        <f>商品录入!BC53*$E53</f>
        <v>0</v>
      </c>
      <c r="BD53" s="133">
        <f>商品录入!BD53*$E53</f>
        <v>0</v>
      </c>
      <c r="BE53" s="133">
        <f>商品录入!BE53*$E53</f>
        <v>0</v>
      </c>
      <c r="BF53" s="133">
        <f>商品录入!BF53*$E53</f>
        <v>0</v>
      </c>
      <c r="BG53" s="133">
        <f>商品录入!BG53*$E53</f>
        <v>0</v>
      </c>
      <c r="BH53" s="133">
        <f>商品录入!BH53*$E53</f>
        <v>0</v>
      </c>
      <c r="BI53" s="133">
        <f>商品录入!BI53*$E53</f>
        <v>0</v>
      </c>
      <c r="BJ53" s="133">
        <f>商品录入!BJ53*$E53</f>
        <v>0</v>
      </c>
      <c r="BK53" s="133">
        <f>商品录入!BK53*$E53</f>
        <v>0</v>
      </c>
      <c r="BL53" s="133">
        <f>商品录入!BL53*$E53</f>
        <v>0</v>
      </c>
      <c r="BM53" s="133">
        <f>商品录入!BM53*$E53</f>
        <v>0</v>
      </c>
      <c r="BN53" s="133">
        <f>商品录入!BN53*$E53</f>
        <v>0</v>
      </c>
      <c r="BO53" s="133">
        <f>商品录入!BO53*$E53</f>
        <v>0</v>
      </c>
      <c r="BP53" s="133">
        <f>商品录入!BP53*$E53</f>
        <v>0</v>
      </c>
      <c r="BQ53" s="133">
        <f>商品录入!BQ53*$E53</f>
        <v>0</v>
      </c>
      <c r="BR53" s="133">
        <f>商品录入!BR53*$E53</f>
        <v>0</v>
      </c>
      <c r="BS53" s="133">
        <f>商品录入!BS53*$E53</f>
        <v>0</v>
      </c>
      <c r="BT53" s="133">
        <f>商品录入!BT53*$E53</f>
        <v>0</v>
      </c>
      <c r="BU53" s="133">
        <f>商品录入!BU53*$E53</f>
        <v>0</v>
      </c>
      <c r="BV53" s="133">
        <f>商品录入!BV53*$E53</f>
        <v>0</v>
      </c>
      <c r="BW53" s="133">
        <f>商品录入!BW53*$E53</f>
        <v>0</v>
      </c>
    </row>
    <row r="54" s="178" customFormat="1" customHeight="1" spans="1:75">
      <c r="A54" s="161">
        <v>50</v>
      </c>
      <c r="B54" s="162">
        <f>商品录入!B54</f>
        <v>0</v>
      </c>
      <c r="C54" s="162">
        <f>商品录入!C54</f>
        <v>0</v>
      </c>
      <c r="D54" s="162">
        <f>商品录入!D54</f>
        <v>0</v>
      </c>
      <c r="E54" s="162">
        <f>商品录入!E54</f>
        <v>0</v>
      </c>
      <c r="F54" s="162">
        <f>商品录入!F54</f>
        <v>0</v>
      </c>
      <c r="G54" s="162">
        <f>商品录入!G54</f>
        <v>0</v>
      </c>
      <c r="H54" s="162">
        <f>商品录入!H54</f>
        <v>0</v>
      </c>
      <c r="I54" s="162">
        <f>商品录入!I54</f>
        <v>0</v>
      </c>
      <c r="J54" s="162">
        <f>商品录入!J54</f>
        <v>0</v>
      </c>
      <c r="K54" s="162">
        <f>商品录入!K54</f>
        <v>0</v>
      </c>
      <c r="L54" s="162">
        <f>商品录入!L54</f>
        <v>0</v>
      </c>
      <c r="M54" s="162">
        <f>商品录入!M54</f>
        <v>0</v>
      </c>
      <c r="N54" s="133">
        <f>商品录入!N54*$E54</f>
        <v>0</v>
      </c>
      <c r="O54" s="133">
        <f>商品录入!O54*$E54</f>
        <v>0</v>
      </c>
      <c r="P54" s="133">
        <f>商品录入!P54*$E54</f>
        <v>0</v>
      </c>
      <c r="Q54" s="133">
        <f>商品录入!Q54*$E54</f>
        <v>0</v>
      </c>
      <c r="R54" s="133">
        <f>商品录入!R54*$E54</f>
        <v>0</v>
      </c>
      <c r="S54" s="133">
        <f>商品录入!S54*$E54</f>
        <v>0</v>
      </c>
      <c r="T54" s="133">
        <f>商品录入!T54*$E54</f>
        <v>0</v>
      </c>
      <c r="U54" s="133">
        <f>商品录入!U54*$E54</f>
        <v>0</v>
      </c>
      <c r="V54" s="133">
        <f>商品录入!V54*$E54</f>
        <v>0</v>
      </c>
      <c r="W54" s="133">
        <f>商品录入!W54*$E54</f>
        <v>0</v>
      </c>
      <c r="X54" s="133">
        <f>商品录入!X54*$E54</f>
        <v>0</v>
      </c>
      <c r="Y54" s="133">
        <f>商品录入!Y54*$E54</f>
        <v>0</v>
      </c>
      <c r="Z54" s="133">
        <f>商品录入!Z54*$E54</f>
        <v>0</v>
      </c>
      <c r="AA54" s="133">
        <f>商品录入!AA54*$E54</f>
        <v>0</v>
      </c>
      <c r="AB54" s="133">
        <f>商品录入!AB54*$E54</f>
        <v>0</v>
      </c>
      <c r="AC54" s="133">
        <f>商品录入!AC54*$E54</f>
        <v>0</v>
      </c>
      <c r="AD54" s="133">
        <f>商品录入!AD54*$E54</f>
        <v>0</v>
      </c>
      <c r="AE54" s="133">
        <f>商品录入!AE54*$E54</f>
        <v>0</v>
      </c>
      <c r="AF54" s="133">
        <f>商品录入!AF54*$E54</f>
        <v>0</v>
      </c>
      <c r="AG54" s="133">
        <f>商品录入!AG54*$E54</f>
        <v>0</v>
      </c>
      <c r="AH54" s="133">
        <f>商品录入!AH54*$E54</f>
        <v>0</v>
      </c>
      <c r="AI54" s="133">
        <f>商品录入!AI54*$E54</f>
        <v>0</v>
      </c>
      <c r="AJ54" s="133">
        <f>商品录入!AJ54*$E54</f>
        <v>0</v>
      </c>
      <c r="AK54" s="133">
        <f>商品录入!AK54*$E54</f>
        <v>0</v>
      </c>
      <c r="AL54" s="133">
        <f>商品录入!AL54*$E54</f>
        <v>0</v>
      </c>
      <c r="AM54" s="133">
        <f>商品录入!AM54*$E54</f>
        <v>0</v>
      </c>
      <c r="AN54" s="133">
        <f>商品录入!AN54*$E54</f>
        <v>0</v>
      </c>
      <c r="AO54" s="133">
        <f>商品录入!AO54*$E54</f>
        <v>0</v>
      </c>
      <c r="AP54" s="133">
        <f>商品录入!AP54*$E54</f>
        <v>0</v>
      </c>
      <c r="AQ54" s="133">
        <f>商品录入!AQ54*$E54</f>
        <v>0</v>
      </c>
      <c r="AR54" s="133">
        <f>商品录入!AR54*$E54</f>
        <v>0</v>
      </c>
      <c r="AS54" s="133">
        <f>商品录入!AS54*$E54</f>
        <v>0</v>
      </c>
      <c r="AT54" s="133">
        <f>商品录入!AT54*$E54</f>
        <v>0</v>
      </c>
      <c r="AU54" s="133">
        <f>商品录入!AU54*$E54</f>
        <v>0</v>
      </c>
      <c r="AV54" s="133">
        <f>商品录入!AV54*$E54</f>
        <v>0</v>
      </c>
      <c r="AW54" s="133">
        <f>商品录入!AW54*$E54</f>
        <v>0</v>
      </c>
      <c r="AX54" s="133">
        <f>商品录入!AX54*$E54</f>
        <v>0</v>
      </c>
      <c r="AY54" s="133">
        <f>商品录入!AY54*$E54</f>
        <v>0</v>
      </c>
      <c r="AZ54" s="133">
        <f>商品录入!AZ54*$E54</f>
        <v>0</v>
      </c>
      <c r="BA54" s="133">
        <f>商品录入!BA54*$E54</f>
        <v>0</v>
      </c>
      <c r="BB54" s="133">
        <f>商品录入!BB54*$E54</f>
        <v>0</v>
      </c>
      <c r="BC54" s="133">
        <f>商品录入!BC54*$E54</f>
        <v>0</v>
      </c>
      <c r="BD54" s="133">
        <f>商品录入!BD54*$E54</f>
        <v>0</v>
      </c>
      <c r="BE54" s="133">
        <f>商品录入!BE54*$E54</f>
        <v>0</v>
      </c>
      <c r="BF54" s="133">
        <f>商品录入!BF54*$E54</f>
        <v>0</v>
      </c>
      <c r="BG54" s="133">
        <f>商品录入!BG54*$E54</f>
        <v>0</v>
      </c>
      <c r="BH54" s="133">
        <f>商品录入!BH54*$E54</f>
        <v>0</v>
      </c>
      <c r="BI54" s="133">
        <f>商品录入!BI54*$E54</f>
        <v>0</v>
      </c>
      <c r="BJ54" s="133">
        <f>商品录入!BJ54*$E54</f>
        <v>0</v>
      </c>
      <c r="BK54" s="133">
        <f>商品录入!BK54*$E54</f>
        <v>0</v>
      </c>
      <c r="BL54" s="133">
        <f>商品录入!BL54*$E54</f>
        <v>0</v>
      </c>
      <c r="BM54" s="133">
        <f>商品录入!BM54*$E54</f>
        <v>0</v>
      </c>
      <c r="BN54" s="133">
        <f>商品录入!BN54*$E54</f>
        <v>0</v>
      </c>
      <c r="BO54" s="133">
        <f>商品录入!BO54*$E54</f>
        <v>0</v>
      </c>
      <c r="BP54" s="133">
        <f>商品录入!BP54*$E54</f>
        <v>0</v>
      </c>
      <c r="BQ54" s="133">
        <f>商品录入!BQ54*$E54</f>
        <v>0</v>
      </c>
      <c r="BR54" s="133">
        <f>商品录入!BR54*$E54</f>
        <v>0</v>
      </c>
      <c r="BS54" s="133">
        <f>商品录入!BS54*$E54</f>
        <v>0</v>
      </c>
      <c r="BT54" s="133">
        <f>商品录入!BT54*$E54</f>
        <v>0</v>
      </c>
      <c r="BU54" s="133">
        <f>商品录入!BU54*$E54</f>
        <v>0</v>
      </c>
      <c r="BV54" s="133">
        <f>商品录入!BV54*$E54</f>
        <v>0</v>
      </c>
      <c r="BW54" s="133">
        <f>商品录入!BW54*$E54</f>
        <v>0</v>
      </c>
    </row>
    <row r="55" s="178" customFormat="1" customHeight="1" spans="1:75">
      <c r="A55" s="161">
        <v>51</v>
      </c>
      <c r="B55" s="162">
        <f>商品录入!B55</f>
        <v>0</v>
      </c>
      <c r="C55" s="162">
        <f>商品录入!C55</f>
        <v>0</v>
      </c>
      <c r="D55" s="162">
        <f>商品录入!D55</f>
        <v>0</v>
      </c>
      <c r="E55" s="162">
        <f>商品录入!E55</f>
        <v>0</v>
      </c>
      <c r="F55" s="162">
        <f>商品录入!F55</f>
        <v>0</v>
      </c>
      <c r="G55" s="162">
        <f>商品录入!G55</f>
        <v>0</v>
      </c>
      <c r="H55" s="162">
        <f>商品录入!H55</f>
        <v>0</v>
      </c>
      <c r="I55" s="162">
        <f>商品录入!I55</f>
        <v>0</v>
      </c>
      <c r="J55" s="162">
        <f>商品录入!J55</f>
        <v>0</v>
      </c>
      <c r="K55" s="162">
        <f>商品录入!K55</f>
        <v>0</v>
      </c>
      <c r="L55" s="162">
        <f>商品录入!L55</f>
        <v>0</v>
      </c>
      <c r="M55" s="162">
        <f>商品录入!M55</f>
        <v>0</v>
      </c>
      <c r="N55" s="133">
        <f>商品录入!N55*$E55</f>
        <v>0</v>
      </c>
      <c r="O55" s="133">
        <f>商品录入!O55*$E55</f>
        <v>0</v>
      </c>
      <c r="P55" s="133">
        <f>商品录入!P55*$E55</f>
        <v>0</v>
      </c>
      <c r="Q55" s="133">
        <f>商品录入!Q55*$E55</f>
        <v>0</v>
      </c>
      <c r="R55" s="133">
        <f>商品录入!R55*$E55</f>
        <v>0</v>
      </c>
      <c r="S55" s="133">
        <f>商品录入!S55*$E55</f>
        <v>0</v>
      </c>
      <c r="T55" s="133">
        <f>商品录入!T55*$E55</f>
        <v>0</v>
      </c>
      <c r="U55" s="133">
        <f>商品录入!U55*$E55</f>
        <v>0</v>
      </c>
      <c r="V55" s="133">
        <f>商品录入!V55*$E55</f>
        <v>0</v>
      </c>
      <c r="W55" s="133">
        <f>商品录入!W55*$E55</f>
        <v>0</v>
      </c>
      <c r="X55" s="133">
        <f>商品录入!X55*$E55</f>
        <v>0</v>
      </c>
      <c r="Y55" s="133">
        <f>商品录入!Y55*$E55</f>
        <v>0</v>
      </c>
      <c r="Z55" s="133">
        <f>商品录入!Z55*$E55</f>
        <v>0</v>
      </c>
      <c r="AA55" s="133">
        <f>商品录入!AA55*$E55</f>
        <v>0</v>
      </c>
      <c r="AB55" s="133">
        <f>商品录入!AB55*$E55</f>
        <v>0</v>
      </c>
      <c r="AC55" s="133">
        <f>商品录入!AC55*$E55</f>
        <v>0</v>
      </c>
      <c r="AD55" s="133">
        <f>商品录入!AD55*$E55</f>
        <v>0</v>
      </c>
      <c r="AE55" s="133">
        <f>商品录入!AE55*$E55</f>
        <v>0</v>
      </c>
      <c r="AF55" s="133">
        <f>商品录入!AF55*$E55</f>
        <v>0</v>
      </c>
      <c r="AG55" s="133">
        <f>商品录入!AG55*$E55</f>
        <v>0</v>
      </c>
      <c r="AH55" s="133">
        <f>商品录入!AH55*$E55</f>
        <v>0</v>
      </c>
      <c r="AI55" s="133">
        <f>商品录入!AI55*$E55</f>
        <v>0</v>
      </c>
      <c r="AJ55" s="133">
        <f>商品录入!AJ55*$E55</f>
        <v>0</v>
      </c>
      <c r="AK55" s="133">
        <f>商品录入!AK55*$E55</f>
        <v>0</v>
      </c>
      <c r="AL55" s="133">
        <f>商品录入!AL55*$E55</f>
        <v>0</v>
      </c>
      <c r="AM55" s="133">
        <f>商品录入!AM55*$E55</f>
        <v>0</v>
      </c>
      <c r="AN55" s="133">
        <f>商品录入!AN55*$E55</f>
        <v>0</v>
      </c>
      <c r="AO55" s="133">
        <f>商品录入!AO55*$E55</f>
        <v>0</v>
      </c>
      <c r="AP55" s="133">
        <f>商品录入!AP55*$E55</f>
        <v>0</v>
      </c>
      <c r="AQ55" s="133">
        <f>商品录入!AQ55*$E55</f>
        <v>0</v>
      </c>
      <c r="AR55" s="133">
        <f>商品录入!AR55*$E55</f>
        <v>0</v>
      </c>
      <c r="AS55" s="133">
        <f>商品录入!AS55*$E55</f>
        <v>0</v>
      </c>
      <c r="AT55" s="133">
        <f>商品录入!AT55*$E55</f>
        <v>0</v>
      </c>
      <c r="AU55" s="133">
        <f>商品录入!AU55*$E55</f>
        <v>0</v>
      </c>
      <c r="AV55" s="133">
        <f>商品录入!AV55*$E55</f>
        <v>0</v>
      </c>
      <c r="AW55" s="133">
        <f>商品录入!AW55*$E55</f>
        <v>0</v>
      </c>
      <c r="AX55" s="133">
        <f>商品录入!AX55*$E55</f>
        <v>0</v>
      </c>
      <c r="AY55" s="133">
        <f>商品录入!AY55*$E55</f>
        <v>0</v>
      </c>
      <c r="AZ55" s="133">
        <f>商品录入!AZ55*$E55</f>
        <v>0</v>
      </c>
      <c r="BA55" s="133">
        <f>商品录入!BA55*$E55</f>
        <v>0</v>
      </c>
      <c r="BB55" s="133">
        <f>商品录入!BB55*$E55</f>
        <v>0</v>
      </c>
      <c r="BC55" s="133">
        <f>商品录入!BC55*$E55</f>
        <v>0</v>
      </c>
      <c r="BD55" s="133">
        <f>商品录入!BD55*$E55</f>
        <v>0</v>
      </c>
      <c r="BE55" s="133">
        <f>商品录入!BE55*$E55</f>
        <v>0</v>
      </c>
      <c r="BF55" s="133">
        <f>商品录入!BF55*$E55</f>
        <v>0</v>
      </c>
      <c r="BG55" s="133">
        <f>商品录入!BG55*$E55</f>
        <v>0</v>
      </c>
      <c r="BH55" s="133">
        <f>商品录入!BH55*$E55</f>
        <v>0</v>
      </c>
      <c r="BI55" s="133">
        <f>商品录入!BI55*$E55</f>
        <v>0</v>
      </c>
      <c r="BJ55" s="133">
        <f>商品录入!BJ55*$E55</f>
        <v>0</v>
      </c>
      <c r="BK55" s="133">
        <f>商品录入!BK55*$E55</f>
        <v>0</v>
      </c>
      <c r="BL55" s="133">
        <f>商品录入!BL55*$E55</f>
        <v>0</v>
      </c>
      <c r="BM55" s="133">
        <f>商品录入!BM55*$E55</f>
        <v>0</v>
      </c>
      <c r="BN55" s="133">
        <f>商品录入!BN55*$E55</f>
        <v>0</v>
      </c>
      <c r="BO55" s="133">
        <f>商品录入!BO55*$E55</f>
        <v>0</v>
      </c>
      <c r="BP55" s="133">
        <f>商品录入!BP55*$E55</f>
        <v>0</v>
      </c>
      <c r="BQ55" s="133">
        <f>商品录入!BQ55*$E55</f>
        <v>0</v>
      </c>
      <c r="BR55" s="133">
        <f>商品录入!BR55*$E55</f>
        <v>0</v>
      </c>
      <c r="BS55" s="133">
        <f>商品录入!BS55*$E55</f>
        <v>0</v>
      </c>
      <c r="BT55" s="133">
        <f>商品录入!BT55*$E55</f>
        <v>0</v>
      </c>
      <c r="BU55" s="133">
        <f>商品录入!BU55*$E55</f>
        <v>0</v>
      </c>
      <c r="BV55" s="133">
        <f>商品录入!BV55*$E55</f>
        <v>0</v>
      </c>
      <c r="BW55" s="133">
        <f>商品录入!BW55*$E55</f>
        <v>0</v>
      </c>
    </row>
    <row r="56" s="178" customFormat="1" customHeight="1" spans="1:75">
      <c r="A56" s="161">
        <v>52</v>
      </c>
      <c r="B56" s="162">
        <f>商品录入!B56</f>
        <v>0</v>
      </c>
      <c r="C56" s="162">
        <f>商品录入!C56</f>
        <v>0</v>
      </c>
      <c r="D56" s="162">
        <f>商品录入!D56</f>
        <v>0</v>
      </c>
      <c r="E56" s="162">
        <f>商品录入!E56</f>
        <v>0</v>
      </c>
      <c r="F56" s="162">
        <f>商品录入!F56</f>
        <v>0</v>
      </c>
      <c r="G56" s="162">
        <f>商品录入!G56</f>
        <v>0</v>
      </c>
      <c r="H56" s="162">
        <f>商品录入!H56</f>
        <v>0</v>
      </c>
      <c r="I56" s="162">
        <f>商品录入!I56</f>
        <v>0</v>
      </c>
      <c r="J56" s="162">
        <f>商品录入!J56</f>
        <v>0</v>
      </c>
      <c r="K56" s="162">
        <f>商品录入!K56</f>
        <v>0</v>
      </c>
      <c r="L56" s="162">
        <f>商品录入!L56</f>
        <v>0</v>
      </c>
      <c r="M56" s="162">
        <f>商品录入!M56</f>
        <v>0</v>
      </c>
      <c r="N56" s="133">
        <f>商品录入!N56*$E56</f>
        <v>0</v>
      </c>
      <c r="O56" s="133">
        <f>商品录入!O56*$E56</f>
        <v>0</v>
      </c>
      <c r="P56" s="133">
        <f>商品录入!P56*$E56</f>
        <v>0</v>
      </c>
      <c r="Q56" s="133">
        <f>商品录入!Q56*$E56</f>
        <v>0</v>
      </c>
      <c r="R56" s="133">
        <f>商品录入!R56*$E56</f>
        <v>0</v>
      </c>
      <c r="S56" s="133">
        <f>商品录入!S56*$E56</f>
        <v>0</v>
      </c>
      <c r="T56" s="133">
        <f>商品录入!T56*$E56</f>
        <v>0</v>
      </c>
      <c r="U56" s="133">
        <f>商品录入!U56*$E56</f>
        <v>0</v>
      </c>
      <c r="V56" s="133">
        <f>商品录入!V56*$E56</f>
        <v>0</v>
      </c>
      <c r="W56" s="133">
        <f>商品录入!W56*$E56</f>
        <v>0</v>
      </c>
      <c r="X56" s="133">
        <f>商品录入!X56*$E56</f>
        <v>0</v>
      </c>
      <c r="Y56" s="133">
        <f>商品录入!Y56*$E56</f>
        <v>0</v>
      </c>
      <c r="Z56" s="133">
        <f>商品录入!Z56*$E56</f>
        <v>0</v>
      </c>
      <c r="AA56" s="133">
        <f>商品录入!AA56*$E56</f>
        <v>0</v>
      </c>
      <c r="AB56" s="133">
        <f>商品录入!AB56*$E56</f>
        <v>0</v>
      </c>
      <c r="AC56" s="133">
        <f>商品录入!AC56*$E56</f>
        <v>0</v>
      </c>
      <c r="AD56" s="133">
        <f>商品录入!AD56*$E56</f>
        <v>0</v>
      </c>
      <c r="AE56" s="133">
        <f>商品录入!AE56*$E56</f>
        <v>0</v>
      </c>
      <c r="AF56" s="133">
        <f>商品录入!AF56*$E56</f>
        <v>0</v>
      </c>
      <c r="AG56" s="133">
        <f>商品录入!AG56*$E56</f>
        <v>0</v>
      </c>
      <c r="AH56" s="133">
        <f>商品录入!AH56*$E56</f>
        <v>0</v>
      </c>
      <c r="AI56" s="133">
        <f>商品录入!AI56*$E56</f>
        <v>0</v>
      </c>
      <c r="AJ56" s="133">
        <f>商品录入!AJ56*$E56</f>
        <v>0</v>
      </c>
      <c r="AK56" s="133">
        <f>商品录入!AK56*$E56</f>
        <v>0</v>
      </c>
      <c r="AL56" s="133">
        <f>商品录入!AL56*$E56</f>
        <v>0</v>
      </c>
      <c r="AM56" s="133">
        <f>商品录入!AM56*$E56</f>
        <v>0</v>
      </c>
      <c r="AN56" s="133">
        <f>商品录入!AN56*$E56</f>
        <v>0</v>
      </c>
      <c r="AO56" s="133">
        <f>商品录入!AO56*$E56</f>
        <v>0</v>
      </c>
      <c r="AP56" s="133">
        <f>商品录入!AP56*$E56</f>
        <v>0</v>
      </c>
      <c r="AQ56" s="133">
        <f>商品录入!AQ56*$E56</f>
        <v>0</v>
      </c>
      <c r="AR56" s="133">
        <f>商品录入!AR56*$E56</f>
        <v>0</v>
      </c>
      <c r="AS56" s="133">
        <f>商品录入!AS56*$E56</f>
        <v>0</v>
      </c>
      <c r="AT56" s="133">
        <f>商品录入!AT56*$E56</f>
        <v>0</v>
      </c>
      <c r="AU56" s="133">
        <f>商品录入!AU56*$E56</f>
        <v>0</v>
      </c>
      <c r="AV56" s="133">
        <f>商品录入!AV56*$E56</f>
        <v>0</v>
      </c>
      <c r="AW56" s="133">
        <f>商品录入!AW56*$E56</f>
        <v>0</v>
      </c>
      <c r="AX56" s="133">
        <f>商品录入!AX56*$E56</f>
        <v>0</v>
      </c>
      <c r="AY56" s="133">
        <f>商品录入!AY56*$E56</f>
        <v>0</v>
      </c>
      <c r="AZ56" s="133">
        <f>商品录入!AZ56*$E56</f>
        <v>0</v>
      </c>
      <c r="BA56" s="133">
        <f>商品录入!BA56*$E56</f>
        <v>0</v>
      </c>
      <c r="BB56" s="133">
        <f>商品录入!BB56*$E56</f>
        <v>0</v>
      </c>
      <c r="BC56" s="133">
        <f>商品录入!BC56*$E56</f>
        <v>0</v>
      </c>
      <c r="BD56" s="133">
        <f>商品录入!BD56*$E56</f>
        <v>0</v>
      </c>
      <c r="BE56" s="133">
        <f>商品录入!BE56*$E56</f>
        <v>0</v>
      </c>
      <c r="BF56" s="133">
        <f>商品录入!BF56*$E56</f>
        <v>0</v>
      </c>
      <c r="BG56" s="133">
        <f>商品录入!BG56*$E56</f>
        <v>0</v>
      </c>
      <c r="BH56" s="133">
        <f>商品录入!BH56*$E56</f>
        <v>0</v>
      </c>
      <c r="BI56" s="133">
        <f>商品录入!BI56*$E56</f>
        <v>0</v>
      </c>
      <c r="BJ56" s="133">
        <f>商品录入!BJ56*$E56</f>
        <v>0</v>
      </c>
      <c r="BK56" s="133">
        <f>商品录入!BK56*$E56</f>
        <v>0</v>
      </c>
      <c r="BL56" s="133">
        <f>商品录入!BL56*$E56</f>
        <v>0</v>
      </c>
      <c r="BM56" s="133">
        <f>商品录入!BM56*$E56</f>
        <v>0</v>
      </c>
      <c r="BN56" s="133">
        <f>商品录入!BN56*$E56</f>
        <v>0</v>
      </c>
      <c r="BO56" s="133">
        <f>商品录入!BO56*$E56</f>
        <v>0</v>
      </c>
      <c r="BP56" s="133">
        <f>商品录入!BP56*$E56</f>
        <v>0</v>
      </c>
      <c r="BQ56" s="133">
        <f>商品录入!BQ56*$E56</f>
        <v>0</v>
      </c>
      <c r="BR56" s="133">
        <f>商品录入!BR56*$E56</f>
        <v>0</v>
      </c>
      <c r="BS56" s="133">
        <f>商品录入!BS56*$E56</f>
        <v>0</v>
      </c>
      <c r="BT56" s="133">
        <f>商品录入!BT56*$E56</f>
        <v>0</v>
      </c>
      <c r="BU56" s="133">
        <f>商品录入!BU56*$E56</f>
        <v>0</v>
      </c>
      <c r="BV56" s="133">
        <f>商品录入!BV56*$E56</f>
        <v>0</v>
      </c>
      <c r="BW56" s="133">
        <f>商品录入!BW56*$E56</f>
        <v>0</v>
      </c>
    </row>
    <row r="57" s="178" customFormat="1" customHeight="1" spans="1:75">
      <c r="A57" s="161">
        <v>53</v>
      </c>
      <c r="B57" s="162">
        <f>商品录入!B57</f>
        <v>0</v>
      </c>
      <c r="C57" s="162">
        <f>商品录入!C57</f>
        <v>0</v>
      </c>
      <c r="D57" s="162">
        <f>商品录入!D57</f>
        <v>0</v>
      </c>
      <c r="E57" s="162">
        <f>商品录入!E57</f>
        <v>0</v>
      </c>
      <c r="F57" s="162">
        <f>商品录入!F57</f>
        <v>0</v>
      </c>
      <c r="G57" s="162">
        <f>商品录入!G57</f>
        <v>0</v>
      </c>
      <c r="H57" s="162">
        <f>商品录入!H57</f>
        <v>0</v>
      </c>
      <c r="I57" s="162">
        <f>商品录入!I57</f>
        <v>0</v>
      </c>
      <c r="J57" s="162">
        <f>商品录入!J57</f>
        <v>0</v>
      </c>
      <c r="K57" s="162">
        <f>商品录入!K57</f>
        <v>0</v>
      </c>
      <c r="L57" s="162">
        <f>商品录入!L57</f>
        <v>0</v>
      </c>
      <c r="M57" s="162">
        <f>商品录入!M57</f>
        <v>0</v>
      </c>
      <c r="N57" s="133">
        <f>商品录入!N57*$E57</f>
        <v>0</v>
      </c>
      <c r="O57" s="133">
        <f>商品录入!O57*$E57</f>
        <v>0</v>
      </c>
      <c r="P57" s="133">
        <f>商品录入!P57*$E57</f>
        <v>0</v>
      </c>
      <c r="Q57" s="133">
        <f>商品录入!Q57*$E57</f>
        <v>0</v>
      </c>
      <c r="R57" s="133">
        <f>商品录入!R57*$E57</f>
        <v>0</v>
      </c>
      <c r="S57" s="133">
        <f>商品录入!S57*$E57</f>
        <v>0</v>
      </c>
      <c r="T57" s="133">
        <f>商品录入!T57*$E57</f>
        <v>0</v>
      </c>
      <c r="U57" s="133">
        <f>商品录入!U57*$E57</f>
        <v>0</v>
      </c>
      <c r="V57" s="133">
        <f>商品录入!V57*$E57</f>
        <v>0</v>
      </c>
      <c r="W57" s="133">
        <f>商品录入!W57*$E57</f>
        <v>0</v>
      </c>
      <c r="X57" s="133">
        <f>商品录入!X57*$E57</f>
        <v>0</v>
      </c>
      <c r="Y57" s="133">
        <f>商品录入!Y57*$E57</f>
        <v>0</v>
      </c>
      <c r="Z57" s="133">
        <f>商品录入!Z57*$E57</f>
        <v>0</v>
      </c>
      <c r="AA57" s="133">
        <f>商品录入!AA57*$E57</f>
        <v>0</v>
      </c>
      <c r="AB57" s="133">
        <f>商品录入!AB57*$E57</f>
        <v>0</v>
      </c>
      <c r="AC57" s="133">
        <f>商品录入!AC57*$E57</f>
        <v>0</v>
      </c>
      <c r="AD57" s="133">
        <f>商品录入!AD57*$E57</f>
        <v>0</v>
      </c>
      <c r="AE57" s="133">
        <f>商品录入!AE57*$E57</f>
        <v>0</v>
      </c>
      <c r="AF57" s="133">
        <f>商品录入!AF57*$E57</f>
        <v>0</v>
      </c>
      <c r="AG57" s="133">
        <f>商品录入!AG57*$E57</f>
        <v>0</v>
      </c>
      <c r="AH57" s="133">
        <f>商品录入!AH57*$E57</f>
        <v>0</v>
      </c>
      <c r="AI57" s="133">
        <f>商品录入!AI57*$E57</f>
        <v>0</v>
      </c>
      <c r="AJ57" s="133">
        <f>商品录入!AJ57*$E57</f>
        <v>0</v>
      </c>
      <c r="AK57" s="133">
        <f>商品录入!AK57*$E57</f>
        <v>0</v>
      </c>
      <c r="AL57" s="133">
        <f>商品录入!AL57*$E57</f>
        <v>0</v>
      </c>
      <c r="AM57" s="133">
        <f>商品录入!AM57*$E57</f>
        <v>0</v>
      </c>
      <c r="AN57" s="133">
        <f>商品录入!AN57*$E57</f>
        <v>0</v>
      </c>
      <c r="AO57" s="133">
        <f>商品录入!AO57*$E57</f>
        <v>0</v>
      </c>
      <c r="AP57" s="133">
        <f>商品录入!AP57*$E57</f>
        <v>0</v>
      </c>
      <c r="AQ57" s="133">
        <f>商品录入!AQ57*$E57</f>
        <v>0</v>
      </c>
      <c r="AR57" s="133">
        <f>商品录入!AR57*$E57</f>
        <v>0</v>
      </c>
      <c r="AS57" s="133">
        <f>商品录入!AS57*$E57</f>
        <v>0</v>
      </c>
      <c r="AT57" s="133">
        <f>商品录入!AT57*$E57</f>
        <v>0</v>
      </c>
      <c r="AU57" s="133">
        <f>商品录入!AU57*$E57</f>
        <v>0</v>
      </c>
      <c r="AV57" s="133">
        <f>商品录入!AV57*$E57</f>
        <v>0</v>
      </c>
      <c r="AW57" s="133">
        <f>商品录入!AW57*$E57</f>
        <v>0</v>
      </c>
      <c r="AX57" s="133">
        <f>商品录入!AX57*$E57</f>
        <v>0</v>
      </c>
      <c r="AY57" s="133">
        <f>商品录入!AY57*$E57</f>
        <v>0</v>
      </c>
      <c r="AZ57" s="133">
        <f>商品录入!AZ57*$E57</f>
        <v>0</v>
      </c>
      <c r="BA57" s="133">
        <f>商品录入!BA57*$E57</f>
        <v>0</v>
      </c>
      <c r="BB57" s="133">
        <f>商品录入!BB57*$E57</f>
        <v>0</v>
      </c>
      <c r="BC57" s="133">
        <f>商品录入!BC57*$E57</f>
        <v>0</v>
      </c>
      <c r="BD57" s="133">
        <f>商品录入!BD57*$E57</f>
        <v>0</v>
      </c>
      <c r="BE57" s="133">
        <f>商品录入!BE57*$E57</f>
        <v>0</v>
      </c>
      <c r="BF57" s="133">
        <f>商品录入!BF57*$E57</f>
        <v>0</v>
      </c>
      <c r="BG57" s="133">
        <f>商品录入!BG57*$E57</f>
        <v>0</v>
      </c>
      <c r="BH57" s="133">
        <f>商品录入!BH57*$E57</f>
        <v>0</v>
      </c>
      <c r="BI57" s="133">
        <f>商品录入!BI57*$E57</f>
        <v>0</v>
      </c>
      <c r="BJ57" s="133">
        <f>商品录入!BJ57*$E57</f>
        <v>0</v>
      </c>
      <c r="BK57" s="133">
        <f>商品录入!BK57*$E57</f>
        <v>0</v>
      </c>
      <c r="BL57" s="133">
        <f>商品录入!BL57*$E57</f>
        <v>0</v>
      </c>
      <c r="BM57" s="133">
        <f>商品录入!BM57*$E57</f>
        <v>0</v>
      </c>
      <c r="BN57" s="133">
        <f>商品录入!BN57*$E57</f>
        <v>0</v>
      </c>
      <c r="BO57" s="133">
        <f>商品录入!BO57*$E57</f>
        <v>0</v>
      </c>
      <c r="BP57" s="133">
        <f>商品录入!BP57*$E57</f>
        <v>0</v>
      </c>
      <c r="BQ57" s="133">
        <f>商品录入!BQ57*$E57</f>
        <v>0</v>
      </c>
      <c r="BR57" s="133">
        <f>商品录入!BR57*$E57</f>
        <v>0</v>
      </c>
      <c r="BS57" s="133">
        <f>商品录入!BS57*$E57</f>
        <v>0</v>
      </c>
      <c r="BT57" s="133">
        <f>商品录入!BT57*$E57</f>
        <v>0</v>
      </c>
      <c r="BU57" s="133">
        <f>商品录入!BU57*$E57</f>
        <v>0</v>
      </c>
      <c r="BV57" s="133">
        <f>商品录入!BV57*$E57</f>
        <v>0</v>
      </c>
      <c r="BW57" s="133">
        <f>商品录入!BW57*$E57</f>
        <v>0</v>
      </c>
    </row>
    <row r="58" s="178" customFormat="1" customHeight="1" spans="1:75">
      <c r="A58" s="161">
        <v>54</v>
      </c>
      <c r="B58" s="162">
        <f>商品录入!B58</f>
        <v>0</v>
      </c>
      <c r="C58" s="162">
        <f>商品录入!C58</f>
        <v>0</v>
      </c>
      <c r="D58" s="162">
        <f>商品录入!D58</f>
        <v>0</v>
      </c>
      <c r="E58" s="162">
        <f>商品录入!E58</f>
        <v>0</v>
      </c>
      <c r="F58" s="162">
        <f>商品录入!F58</f>
        <v>0</v>
      </c>
      <c r="G58" s="162">
        <f>商品录入!G58</f>
        <v>0</v>
      </c>
      <c r="H58" s="162">
        <f>商品录入!H58</f>
        <v>0</v>
      </c>
      <c r="I58" s="162">
        <f>商品录入!I58</f>
        <v>0</v>
      </c>
      <c r="J58" s="162">
        <f>商品录入!J58</f>
        <v>0</v>
      </c>
      <c r="K58" s="162">
        <f>商品录入!K58</f>
        <v>0</v>
      </c>
      <c r="L58" s="162">
        <f>商品录入!L58</f>
        <v>0</v>
      </c>
      <c r="M58" s="162">
        <f>商品录入!M58</f>
        <v>0</v>
      </c>
      <c r="N58" s="133">
        <f>商品录入!N58*$E58</f>
        <v>0</v>
      </c>
      <c r="O58" s="133">
        <f>商品录入!O58*$E58</f>
        <v>0</v>
      </c>
      <c r="P58" s="133">
        <f>商品录入!P58*$E58</f>
        <v>0</v>
      </c>
      <c r="Q58" s="133">
        <f>商品录入!Q58*$E58</f>
        <v>0</v>
      </c>
      <c r="R58" s="133">
        <f>商品录入!R58*$E58</f>
        <v>0</v>
      </c>
      <c r="S58" s="133">
        <f>商品录入!S58*$E58</f>
        <v>0</v>
      </c>
      <c r="T58" s="133">
        <f>商品录入!T58*$E58</f>
        <v>0</v>
      </c>
      <c r="U58" s="133">
        <f>商品录入!U58*$E58</f>
        <v>0</v>
      </c>
      <c r="V58" s="133">
        <f>商品录入!V58*$E58</f>
        <v>0</v>
      </c>
      <c r="W58" s="133">
        <f>商品录入!W58*$E58</f>
        <v>0</v>
      </c>
      <c r="X58" s="133">
        <f>商品录入!X58*$E58</f>
        <v>0</v>
      </c>
      <c r="Y58" s="133">
        <f>商品录入!Y58*$E58</f>
        <v>0</v>
      </c>
      <c r="Z58" s="133">
        <f>商品录入!Z58*$E58</f>
        <v>0</v>
      </c>
      <c r="AA58" s="133">
        <f>商品录入!AA58*$E58</f>
        <v>0</v>
      </c>
      <c r="AB58" s="133">
        <f>商品录入!AB58*$E58</f>
        <v>0</v>
      </c>
      <c r="AC58" s="133">
        <f>商品录入!AC58*$E58</f>
        <v>0</v>
      </c>
      <c r="AD58" s="133">
        <f>商品录入!AD58*$E58</f>
        <v>0</v>
      </c>
      <c r="AE58" s="133">
        <f>商品录入!AE58*$E58</f>
        <v>0</v>
      </c>
      <c r="AF58" s="133">
        <f>商品录入!AF58*$E58</f>
        <v>0</v>
      </c>
      <c r="AG58" s="133">
        <f>商品录入!AG58*$E58</f>
        <v>0</v>
      </c>
      <c r="AH58" s="133">
        <f>商品录入!AH58*$E58</f>
        <v>0</v>
      </c>
      <c r="AI58" s="133">
        <f>商品录入!AI58*$E58</f>
        <v>0</v>
      </c>
      <c r="AJ58" s="133">
        <f>商品录入!AJ58*$E58</f>
        <v>0</v>
      </c>
      <c r="AK58" s="133">
        <f>商品录入!AK58*$E58</f>
        <v>0</v>
      </c>
      <c r="AL58" s="133">
        <f>商品录入!AL58*$E58</f>
        <v>0</v>
      </c>
      <c r="AM58" s="133">
        <f>商品录入!AM58*$E58</f>
        <v>0</v>
      </c>
      <c r="AN58" s="133">
        <f>商品录入!AN58*$E58</f>
        <v>0</v>
      </c>
      <c r="AO58" s="133">
        <f>商品录入!AO58*$E58</f>
        <v>0</v>
      </c>
      <c r="AP58" s="133">
        <f>商品录入!AP58*$E58</f>
        <v>0</v>
      </c>
      <c r="AQ58" s="133">
        <f>商品录入!AQ58*$E58</f>
        <v>0</v>
      </c>
      <c r="AR58" s="133">
        <f>商品录入!AR58*$E58</f>
        <v>0</v>
      </c>
      <c r="AS58" s="133">
        <f>商品录入!AS58*$E58</f>
        <v>0</v>
      </c>
      <c r="AT58" s="133">
        <f>商品录入!AT58*$E58</f>
        <v>0</v>
      </c>
      <c r="AU58" s="133">
        <f>商品录入!AU58*$E58</f>
        <v>0</v>
      </c>
      <c r="AV58" s="133">
        <f>商品录入!AV58*$E58</f>
        <v>0</v>
      </c>
      <c r="AW58" s="133">
        <f>商品录入!AW58*$E58</f>
        <v>0</v>
      </c>
      <c r="AX58" s="133">
        <f>商品录入!AX58*$E58</f>
        <v>0</v>
      </c>
      <c r="AY58" s="133">
        <f>商品录入!AY58*$E58</f>
        <v>0</v>
      </c>
      <c r="AZ58" s="133">
        <f>商品录入!AZ58*$E58</f>
        <v>0</v>
      </c>
      <c r="BA58" s="133">
        <f>商品录入!BA58*$E58</f>
        <v>0</v>
      </c>
      <c r="BB58" s="133">
        <f>商品录入!BB58*$E58</f>
        <v>0</v>
      </c>
      <c r="BC58" s="133">
        <f>商品录入!BC58*$E58</f>
        <v>0</v>
      </c>
      <c r="BD58" s="133">
        <f>商品录入!BD58*$E58</f>
        <v>0</v>
      </c>
      <c r="BE58" s="133">
        <f>商品录入!BE58*$E58</f>
        <v>0</v>
      </c>
      <c r="BF58" s="133">
        <f>商品录入!BF58*$E58</f>
        <v>0</v>
      </c>
      <c r="BG58" s="133">
        <f>商品录入!BG58*$E58</f>
        <v>0</v>
      </c>
      <c r="BH58" s="133">
        <f>商品录入!BH58*$E58</f>
        <v>0</v>
      </c>
      <c r="BI58" s="133">
        <f>商品录入!BI58*$E58</f>
        <v>0</v>
      </c>
      <c r="BJ58" s="133">
        <f>商品录入!BJ58*$E58</f>
        <v>0</v>
      </c>
      <c r="BK58" s="133">
        <f>商品录入!BK58*$E58</f>
        <v>0</v>
      </c>
      <c r="BL58" s="133">
        <f>商品录入!BL58*$E58</f>
        <v>0</v>
      </c>
      <c r="BM58" s="133">
        <f>商品录入!BM58*$E58</f>
        <v>0</v>
      </c>
      <c r="BN58" s="133">
        <f>商品录入!BN58*$E58</f>
        <v>0</v>
      </c>
      <c r="BO58" s="133">
        <f>商品录入!BO58*$E58</f>
        <v>0</v>
      </c>
      <c r="BP58" s="133">
        <f>商品录入!BP58*$E58</f>
        <v>0</v>
      </c>
      <c r="BQ58" s="133">
        <f>商品录入!BQ58*$E58</f>
        <v>0</v>
      </c>
      <c r="BR58" s="133">
        <f>商品录入!BR58*$E58</f>
        <v>0</v>
      </c>
      <c r="BS58" s="133">
        <f>商品录入!BS58*$E58</f>
        <v>0</v>
      </c>
      <c r="BT58" s="133">
        <f>商品录入!BT58*$E58</f>
        <v>0</v>
      </c>
      <c r="BU58" s="133">
        <f>商品录入!BU58*$E58</f>
        <v>0</v>
      </c>
      <c r="BV58" s="133">
        <f>商品录入!BV58*$E58</f>
        <v>0</v>
      </c>
      <c r="BW58" s="133">
        <f>商品录入!BW58*$E58</f>
        <v>0</v>
      </c>
    </row>
    <row r="59" s="178" customFormat="1" customHeight="1" spans="1:75">
      <c r="A59" s="161">
        <v>55</v>
      </c>
      <c r="B59" s="162">
        <f>商品录入!B59</f>
        <v>0</v>
      </c>
      <c r="C59" s="162">
        <f>商品录入!C59</f>
        <v>0</v>
      </c>
      <c r="D59" s="162">
        <f>商品录入!D59</f>
        <v>0</v>
      </c>
      <c r="E59" s="162">
        <f>商品录入!E59</f>
        <v>0</v>
      </c>
      <c r="F59" s="162">
        <f>商品录入!F59</f>
        <v>0</v>
      </c>
      <c r="G59" s="162">
        <f>商品录入!G59</f>
        <v>0</v>
      </c>
      <c r="H59" s="162">
        <f>商品录入!H59</f>
        <v>0</v>
      </c>
      <c r="I59" s="162">
        <f>商品录入!I59</f>
        <v>0</v>
      </c>
      <c r="J59" s="162">
        <f>商品录入!J59</f>
        <v>0</v>
      </c>
      <c r="K59" s="162">
        <f>商品录入!K59</f>
        <v>0</v>
      </c>
      <c r="L59" s="162">
        <f>商品录入!L59</f>
        <v>0</v>
      </c>
      <c r="M59" s="162">
        <f>商品录入!M59</f>
        <v>0</v>
      </c>
      <c r="N59" s="133">
        <f>商品录入!N59*$E59</f>
        <v>0</v>
      </c>
      <c r="O59" s="133">
        <f>商品录入!O59*$E59</f>
        <v>0</v>
      </c>
      <c r="P59" s="133">
        <f>商品录入!P59*$E59</f>
        <v>0</v>
      </c>
      <c r="Q59" s="133">
        <f>商品录入!Q59*$E59</f>
        <v>0</v>
      </c>
      <c r="R59" s="133">
        <f>商品录入!R59*$E59</f>
        <v>0</v>
      </c>
      <c r="S59" s="133">
        <f>商品录入!S59*$E59</f>
        <v>0</v>
      </c>
      <c r="T59" s="133">
        <f>商品录入!T59*$E59</f>
        <v>0</v>
      </c>
      <c r="U59" s="133">
        <f>商品录入!U59*$E59</f>
        <v>0</v>
      </c>
      <c r="V59" s="133">
        <f>商品录入!V59*$E59</f>
        <v>0</v>
      </c>
      <c r="W59" s="133">
        <f>商品录入!W59*$E59</f>
        <v>0</v>
      </c>
      <c r="X59" s="133">
        <f>商品录入!X59*$E59</f>
        <v>0</v>
      </c>
      <c r="Y59" s="133">
        <f>商品录入!Y59*$E59</f>
        <v>0</v>
      </c>
      <c r="Z59" s="133">
        <f>商品录入!Z59*$E59</f>
        <v>0</v>
      </c>
      <c r="AA59" s="133">
        <f>商品录入!AA59*$E59</f>
        <v>0</v>
      </c>
      <c r="AB59" s="133">
        <f>商品录入!AB59*$E59</f>
        <v>0</v>
      </c>
      <c r="AC59" s="133">
        <f>商品录入!AC59*$E59</f>
        <v>0</v>
      </c>
      <c r="AD59" s="133">
        <f>商品录入!AD59*$E59</f>
        <v>0</v>
      </c>
      <c r="AE59" s="133">
        <f>商品录入!AE59*$E59</f>
        <v>0</v>
      </c>
      <c r="AF59" s="133">
        <f>商品录入!AF59*$E59</f>
        <v>0</v>
      </c>
      <c r="AG59" s="133">
        <f>商品录入!AG59*$E59</f>
        <v>0</v>
      </c>
      <c r="AH59" s="133">
        <f>商品录入!AH59*$E59</f>
        <v>0</v>
      </c>
      <c r="AI59" s="133">
        <f>商品录入!AI59*$E59</f>
        <v>0</v>
      </c>
      <c r="AJ59" s="133">
        <f>商品录入!AJ59*$E59</f>
        <v>0</v>
      </c>
      <c r="AK59" s="133">
        <f>商品录入!AK59*$E59</f>
        <v>0</v>
      </c>
      <c r="AL59" s="133">
        <f>商品录入!AL59*$E59</f>
        <v>0</v>
      </c>
      <c r="AM59" s="133">
        <f>商品录入!AM59*$E59</f>
        <v>0</v>
      </c>
      <c r="AN59" s="133">
        <f>商品录入!AN59*$E59</f>
        <v>0</v>
      </c>
      <c r="AO59" s="133">
        <f>商品录入!AO59*$E59</f>
        <v>0</v>
      </c>
      <c r="AP59" s="133">
        <f>商品录入!AP59*$E59</f>
        <v>0</v>
      </c>
      <c r="AQ59" s="133">
        <f>商品录入!AQ59*$E59</f>
        <v>0</v>
      </c>
      <c r="AR59" s="133">
        <f>商品录入!AR59*$E59</f>
        <v>0</v>
      </c>
      <c r="AS59" s="133">
        <f>商品录入!AS59*$E59</f>
        <v>0</v>
      </c>
      <c r="AT59" s="133">
        <f>商品录入!AT59*$E59</f>
        <v>0</v>
      </c>
      <c r="AU59" s="133">
        <f>商品录入!AU59*$E59</f>
        <v>0</v>
      </c>
      <c r="AV59" s="133">
        <f>商品录入!AV59*$E59</f>
        <v>0</v>
      </c>
      <c r="AW59" s="133">
        <f>商品录入!AW59*$E59</f>
        <v>0</v>
      </c>
      <c r="AX59" s="133">
        <f>商品录入!AX59*$E59</f>
        <v>0</v>
      </c>
      <c r="AY59" s="133">
        <f>商品录入!AY59*$E59</f>
        <v>0</v>
      </c>
      <c r="AZ59" s="133">
        <f>商品录入!AZ59*$E59</f>
        <v>0</v>
      </c>
      <c r="BA59" s="133">
        <f>商品录入!BA59*$E59</f>
        <v>0</v>
      </c>
      <c r="BB59" s="133">
        <f>商品录入!BB59*$E59</f>
        <v>0</v>
      </c>
      <c r="BC59" s="133">
        <f>商品录入!BC59*$E59</f>
        <v>0</v>
      </c>
      <c r="BD59" s="133">
        <f>商品录入!BD59*$E59</f>
        <v>0</v>
      </c>
      <c r="BE59" s="133">
        <f>商品录入!BE59*$E59</f>
        <v>0</v>
      </c>
      <c r="BF59" s="133">
        <f>商品录入!BF59*$E59</f>
        <v>0</v>
      </c>
      <c r="BG59" s="133">
        <f>商品录入!BG59*$E59</f>
        <v>0</v>
      </c>
      <c r="BH59" s="133">
        <f>商品录入!BH59*$E59</f>
        <v>0</v>
      </c>
      <c r="BI59" s="133">
        <f>商品录入!BI59*$E59</f>
        <v>0</v>
      </c>
      <c r="BJ59" s="133">
        <f>商品录入!BJ59*$E59</f>
        <v>0</v>
      </c>
      <c r="BK59" s="133">
        <f>商品录入!BK59*$E59</f>
        <v>0</v>
      </c>
      <c r="BL59" s="133">
        <f>商品录入!BL59*$E59</f>
        <v>0</v>
      </c>
      <c r="BM59" s="133">
        <f>商品录入!BM59*$E59</f>
        <v>0</v>
      </c>
      <c r="BN59" s="133">
        <f>商品录入!BN59*$E59</f>
        <v>0</v>
      </c>
      <c r="BO59" s="133">
        <f>商品录入!BO59*$E59</f>
        <v>0</v>
      </c>
      <c r="BP59" s="133">
        <f>商品录入!BP59*$E59</f>
        <v>0</v>
      </c>
      <c r="BQ59" s="133">
        <f>商品录入!BQ59*$E59</f>
        <v>0</v>
      </c>
      <c r="BR59" s="133">
        <f>商品录入!BR59*$E59</f>
        <v>0</v>
      </c>
      <c r="BS59" s="133">
        <f>商品录入!BS59*$E59</f>
        <v>0</v>
      </c>
      <c r="BT59" s="133">
        <f>商品录入!BT59*$E59</f>
        <v>0</v>
      </c>
      <c r="BU59" s="133">
        <f>商品录入!BU59*$E59</f>
        <v>0</v>
      </c>
      <c r="BV59" s="133">
        <f>商品录入!BV59*$E59</f>
        <v>0</v>
      </c>
      <c r="BW59" s="133">
        <f>商品录入!BW59*$E59</f>
        <v>0</v>
      </c>
    </row>
    <row r="60" s="178" customFormat="1" customHeight="1" spans="1:75">
      <c r="A60" s="161">
        <v>56</v>
      </c>
      <c r="B60" s="162">
        <f>商品录入!B60</f>
        <v>0</v>
      </c>
      <c r="C60" s="162">
        <f>商品录入!C60</f>
        <v>0</v>
      </c>
      <c r="D60" s="162">
        <f>商品录入!D60</f>
        <v>0</v>
      </c>
      <c r="E60" s="162">
        <f>商品录入!E60</f>
        <v>0</v>
      </c>
      <c r="F60" s="162">
        <f>商品录入!F60</f>
        <v>0</v>
      </c>
      <c r="G60" s="162">
        <f>商品录入!G60</f>
        <v>0</v>
      </c>
      <c r="H60" s="162">
        <f>商品录入!H60</f>
        <v>0</v>
      </c>
      <c r="I60" s="162">
        <f>商品录入!I60</f>
        <v>0</v>
      </c>
      <c r="J60" s="162">
        <f>商品录入!J60</f>
        <v>0</v>
      </c>
      <c r="K60" s="162">
        <f>商品录入!K60</f>
        <v>0</v>
      </c>
      <c r="L60" s="162">
        <f>商品录入!L60</f>
        <v>0</v>
      </c>
      <c r="M60" s="162">
        <f>商品录入!M60</f>
        <v>0</v>
      </c>
      <c r="N60" s="133">
        <f>商品录入!N60*$E60</f>
        <v>0</v>
      </c>
      <c r="O60" s="133">
        <f>商品录入!O60*$E60</f>
        <v>0</v>
      </c>
      <c r="P60" s="133">
        <f>商品录入!P60*$E60</f>
        <v>0</v>
      </c>
      <c r="Q60" s="133">
        <f>商品录入!Q60*$E60</f>
        <v>0</v>
      </c>
      <c r="R60" s="133">
        <f>商品录入!R60*$E60</f>
        <v>0</v>
      </c>
      <c r="S60" s="133">
        <f>商品录入!S60*$E60</f>
        <v>0</v>
      </c>
      <c r="T60" s="133">
        <f>商品录入!T60*$E60</f>
        <v>0</v>
      </c>
      <c r="U60" s="133">
        <f>商品录入!U60*$E60</f>
        <v>0</v>
      </c>
      <c r="V60" s="133">
        <f>商品录入!V60*$E60</f>
        <v>0</v>
      </c>
      <c r="W60" s="133">
        <f>商品录入!W60*$E60</f>
        <v>0</v>
      </c>
      <c r="X60" s="133">
        <f>商品录入!X60*$E60</f>
        <v>0</v>
      </c>
      <c r="Y60" s="133">
        <f>商品录入!Y60*$E60</f>
        <v>0</v>
      </c>
      <c r="Z60" s="133">
        <f>商品录入!Z60*$E60</f>
        <v>0</v>
      </c>
      <c r="AA60" s="133">
        <f>商品录入!AA60*$E60</f>
        <v>0</v>
      </c>
      <c r="AB60" s="133">
        <f>商品录入!AB60*$E60</f>
        <v>0</v>
      </c>
      <c r="AC60" s="133">
        <f>商品录入!AC60*$E60</f>
        <v>0</v>
      </c>
      <c r="AD60" s="133">
        <f>商品录入!AD60*$E60</f>
        <v>0</v>
      </c>
      <c r="AE60" s="133">
        <f>商品录入!AE60*$E60</f>
        <v>0</v>
      </c>
      <c r="AF60" s="133">
        <f>商品录入!AF60*$E60</f>
        <v>0</v>
      </c>
      <c r="AG60" s="133">
        <f>商品录入!AG60*$E60</f>
        <v>0</v>
      </c>
      <c r="AH60" s="133">
        <f>商品录入!AH60*$E60</f>
        <v>0</v>
      </c>
      <c r="AI60" s="133">
        <f>商品录入!AI60*$E60</f>
        <v>0</v>
      </c>
      <c r="AJ60" s="133">
        <f>商品录入!AJ60*$E60</f>
        <v>0</v>
      </c>
      <c r="AK60" s="133">
        <f>商品录入!AK60*$E60</f>
        <v>0</v>
      </c>
      <c r="AL60" s="133">
        <f>商品录入!AL60*$E60</f>
        <v>0</v>
      </c>
      <c r="AM60" s="133">
        <f>商品录入!AM60*$E60</f>
        <v>0</v>
      </c>
      <c r="AN60" s="133">
        <f>商品录入!AN60*$E60</f>
        <v>0</v>
      </c>
      <c r="AO60" s="133">
        <f>商品录入!AO60*$E60</f>
        <v>0</v>
      </c>
      <c r="AP60" s="133">
        <f>商品录入!AP60*$E60</f>
        <v>0</v>
      </c>
      <c r="AQ60" s="133">
        <f>商品录入!AQ60*$E60</f>
        <v>0</v>
      </c>
      <c r="AR60" s="133">
        <f>商品录入!AR60*$E60</f>
        <v>0</v>
      </c>
      <c r="AS60" s="133">
        <f>商品录入!AS60*$E60</f>
        <v>0</v>
      </c>
      <c r="AT60" s="133">
        <f>商品录入!AT60*$E60</f>
        <v>0</v>
      </c>
      <c r="AU60" s="133">
        <f>商品录入!AU60*$E60</f>
        <v>0</v>
      </c>
      <c r="AV60" s="133">
        <f>商品录入!AV60*$E60</f>
        <v>0</v>
      </c>
      <c r="AW60" s="133">
        <f>商品录入!AW60*$E60</f>
        <v>0</v>
      </c>
      <c r="AX60" s="133">
        <f>商品录入!AX60*$E60</f>
        <v>0</v>
      </c>
      <c r="AY60" s="133">
        <f>商品录入!AY60*$E60</f>
        <v>0</v>
      </c>
      <c r="AZ60" s="133">
        <f>商品录入!AZ60*$E60</f>
        <v>0</v>
      </c>
      <c r="BA60" s="133">
        <f>商品录入!BA60*$E60</f>
        <v>0</v>
      </c>
      <c r="BB60" s="133">
        <f>商品录入!BB60*$E60</f>
        <v>0</v>
      </c>
      <c r="BC60" s="133">
        <f>商品录入!BC60*$E60</f>
        <v>0</v>
      </c>
      <c r="BD60" s="133">
        <f>商品录入!BD60*$E60</f>
        <v>0</v>
      </c>
      <c r="BE60" s="133">
        <f>商品录入!BE60*$E60</f>
        <v>0</v>
      </c>
      <c r="BF60" s="133">
        <f>商品录入!BF60*$E60</f>
        <v>0</v>
      </c>
      <c r="BG60" s="133">
        <f>商品录入!BG60*$E60</f>
        <v>0</v>
      </c>
      <c r="BH60" s="133">
        <f>商品录入!BH60*$E60</f>
        <v>0</v>
      </c>
      <c r="BI60" s="133">
        <f>商品录入!BI60*$E60</f>
        <v>0</v>
      </c>
      <c r="BJ60" s="133">
        <f>商品录入!BJ60*$E60</f>
        <v>0</v>
      </c>
      <c r="BK60" s="133">
        <f>商品录入!BK60*$E60</f>
        <v>0</v>
      </c>
      <c r="BL60" s="133">
        <f>商品录入!BL60*$E60</f>
        <v>0</v>
      </c>
      <c r="BM60" s="133">
        <f>商品录入!BM60*$E60</f>
        <v>0</v>
      </c>
      <c r="BN60" s="133">
        <f>商品录入!BN60*$E60</f>
        <v>0</v>
      </c>
      <c r="BO60" s="133">
        <f>商品录入!BO60*$E60</f>
        <v>0</v>
      </c>
      <c r="BP60" s="133">
        <f>商品录入!BP60*$E60</f>
        <v>0</v>
      </c>
      <c r="BQ60" s="133">
        <f>商品录入!BQ60*$E60</f>
        <v>0</v>
      </c>
      <c r="BR60" s="133">
        <f>商品录入!BR60*$E60</f>
        <v>0</v>
      </c>
      <c r="BS60" s="133">
        <f>商品录入!BS60*$E60</f>
        <v>0</v>
      </c>
      <c r="BT60" s="133">
        <f>商品录入!BT60*$E60</f>
        <v>0</v>
      </c>
      <c r="BU60" s="133">
        <f>商品录入!BU60*$E60</f>
        <v>0</v>
      </c>
      <c r="BV60" s="133">
        <f>商品录入!BV60*$E60</f>
        <v>0</v>
      </c>
      <c r="BW60" s="133">
        <f>商品录入!BW60*$E60</f>
        <v>0</v>
      </c>
    </row>
    <row r="61" s="178" customFormat="1" customHeight="1" spans="1:75">
      <c r="A61" s="161">
        <v>57</v>
      </c>
      <c r="B61" s="162">
        <f>商品录入!B61</f>
        <v>0</v>
      </c>
      <c r="C61" s="162">
        <f>商品录入!C61</f>
        <v>0</v>
      </c>
      <c r="D61" s="162">
        <f>商品录入!D61</f>
        <v>0</v>
      </c>
      <c r="E61" s="162">
        <f>商品录入!E61</f>
        <v>0</v>
      </c>
      <c r="F61" s="162">
        <f>商品录入!F61</f>
        <v>0</v>
      </c>
      <c r="G61" s="162">
        <f>商品录入!G61</f>
        <v>0</v>
      </c>
      <c r="H61" s="162">
        <f>商品录入!H61</f>
        <v>0</v>
      </c>
      <c r="I61" s="162">
        <f>商品录入!I61</f>
        <v>0</v>
      </c>
      <c r="J61" s="162">
        <f>商品录入!J61</f>
        <v>0</v>
      </c>
      <c r="K61" s="162">
        <f>商品录入!K61</f>
        <v>0</v>
      </c>
      <c r="L61" s="162">
        <f>商品录入!L61</f>
        <v>0</v>
      </c>
      <c r="M61" s="162">
        <f>商品录入!M61</f>
        <v>0</v>
      </c>
      <c r="N61" s="133">
        <f>商品录入!N61*$E61</f>
        <v>0</v>
      </c>
      <c r="O61" s="133">
        <f>商品录入!O61*$E61</f>
        <v>0</v>
      </c>
      <c r="P61" s="133">
        <f>商品录入!P61*$E61</f>
        <v>0</v>
      </c>
      <c r="Q61" s="133">
        <f>商品录入!Q61*$E61</f>
        <v>0</v>
      </c>
      <c r="R61" s="133">
        <f>商品录入!R61*$E61</f>
        <v>0</v>
      </c>
      <c r="S61" s="133">
        <f>商品录入!S61*$E61</f>
        <v>0</v>
      </c>
      <c r="T61" s="133">
        <f>商品录入!T61*$E61</f>
        <v>0</v>
      </c>
      <c r="U61" s="133">
        <f>商品录入!U61*$E61</f>
        <v>0</v>
      </c>
      <c r="V61" s="133">
        <f>商品录入!V61*$E61</f>
        <v>0</v>
      </c>
      <c r="W61" s="133">
        <f>商品录入!W61*$E61</f>
        <v>0</v>
      </c>
      <c r="X61" s="133">
        <f>商品录入!X61*$E61</f>
        <v>0</v>
      </c>
      <c r="Y61" s="133">
        <f>商品录入!Y61*$E61</f>
        <v>0</v>
      </c>
      <c r="Z61" s="133">
        <f>商品录入!Z61*$E61</f>
        <v>0</v>
      </c>
      <c r="AA61" s="133">
        <f>商品录入!AA61*$E61</f>
        <v>0</v>
      </c>
      <c r="AB61" s="133">
        <f>商品录入!AB61*$E61</f>
        <v>0</v>
      </c>
      <c r="AC61" s="133">
        <f>商品录入!AC61*$E61</f>
        <v>0</v>
      </c>
      <c r="AD61" s="133">
        <f>商品录入!AD61*$E61</f>
        <v>0</v>
      </c>
      <c r="AE61" s="133">
        <f>商品录入!AE61*$E61</f>
        <v>0</v>
      </c>
      <c r="AF61" s="133">
        <f>商品录入!AF61*$E61</f>
        <v>0</v>
      </c>
      <c r="AG61" s="133">
        <f>商品录入!AG61*$E61</f>
        <v>0</v>
      </c>
      <c r="AH61" s="133">
        <f>商品录入!AH61*$E61</f>
        <v>0</v>
      </c>
      <c r="AI61" s="133">
        <f>商品录入!AI61*$E61</f>
        <v>0</v>
      </c>
      <c r="AJ61" s="133">
        <f>商品录入!AJ61*$E61</f>
        <v>0</v>
      </c>
      <c r="AK61" s="133">
        <f>商品录入!AK61*$E61</f>
        <v>0</v>
      </c>
      <c r="AL61" s="133">
        <f>商品录入!AL61*$E61</f>
        <v>0</v>
      </c>
      <c r="AM61" s="133">
        <f>商品录入!AM61*$E61</f>
        <v>0</v>
      </c>
      <c r="AN61" s="133">
        <f>商品录入!AN61*$E61</f>
        <v>0</v>
      </c>
      <c r="AO61" s="133">
        <f>商品录入!AO61*$E61</f>
        <v>0</v>
      </c>
      <c r="AP61" s="133">
        <f>商品录入!AP61*$E61</f>
        <v>0</v>
      </c>
      <c r="AQ61" s="133">
        <f>商品录入!AQ61*$E61</f>
        <v>0</v>
      </c>
      <c r="AR61" s="133">
        <f>商品录入!AR61*$E61</f>
        <v>0</v>
      </c>
      <c r="AS61" s="133">
        <f>商品录入!AS61*$E61</f>
        <v>0</v>
      </c>
      <c r="AT61" s="133">
        <f>商品录入!AT61*$E61</f>
        <v>0</v>
      </c>
      <c r="AU61" s="133">
        <f>商品录入!AU61*$E61</f>
        <v>0</v>
      </c>
      <c r="AV61" s="133">
        <f>商品录入!AV61*$E61</f>
        <v>0</v>
      </c>
      <c r="AW61" s="133">
        <f>商品录入!AW61*$E61</f>
        <v>0</v>
      </c>
      <c r="AX61" s="133">
        <f>商品录入!AX61*$E61</f>
        <v>0</v>
      </c>
      <c r="AY61" s="133">
        <f>商品录入!AY61*$E61</f>
        <v>0</v>
      </c>
      <c r="AZ61" s="133">
        <f>商品录入!AZ61*$E61</f>
        <v>0</v>
      </c>
      <c r="BA61" s="133">
        <f>商品录入!BA61*$E61</f>
        <v>0</v>
      </c>
      <c r="BB61" s="133">
        <f>商品录入!BB61*$E61</f>
        <v>0</v>
      </c>
      <c r="BC61" s="133">
        <f>商品录入!BC61*$E61</f>
        <v>0</v>
      </c>
      <c r="BD61" s="133">
        <f>商品录入!BD61*$E61</f>
        <v>0</v>
      </c>
      <c r="BE61" s="133">
        <f>商品录入!BE61*$E61</f>
        <v>0</v>
      </c>
      <c r="BF61" s="133">
        <f>商品录入!BF61*$E61</f>
        <v>0</v>
      </c>
      <c r="BG61" s="133">
        <f>商品录入!BG61*$E61</f>
        <v>0</v>
      </c>
      <c r="BH61" s="133">
        <f>商品录入!BH61*$E61</f>
        <v>0</v>
      </c>
      <c r="BI61" s="133">
        <f>商品录入!BI61*$E61</f>
        <v>0</v>
      </c>
      <c r="BJ61" s="133">
        <f>商品录入!BJ61*$E61</f>
        <v>0</v>
      </c>
      <c r="BK61" s="133">
        <f>商品录入!BK61*$E61</f>
        <v>0</v>
      </c>
      <c r="BL61" s="133">
        <f>商品录入!BL61*$E61</f>
        <v>0</v>
      </c>
      <c r="BM61" s="133">
        <f>商品录入!BM61*$E61</f>
        <v>0</v>
      </c>
      <c r="BN61" s="133">
        <f>商品录入!BN61*$E61</f>
        <v>0</v>
      </c>
      <c r="BO61" s="133">
        <f>商品录入!BO61*$E61</f>
        <v>0</v>
      </c>
      <c r="BP61" s="133">
        <f>商品录入!BP61*$E61</f>
        <v>0</v>
      </c>
      <c r="BQ61" s="133">
        <f>商品录入!BQ61*$E61</f>
        <v>0</v>
      </c>
      <c r="BR61" s="133">
        <f>商品录入!BR61*$E61</f>
        <v>0</v>
      </c>
      <c r="BS61" s="133">
        <f>商品录入!BS61*$E61</f>
        <v>0</v>
      </c>
      <c r="BT61" s="133">
        <f>商品录入!BT61*$E61</f>
        <v>0</v>
      </c>
      <c r="BU61" s="133">
        <f>商品录入!BU61*$E61</f>
        <v>0</v>
      </c>
      <c r="BV61" s="133">
        <f>商品录入!BV61*$E61</f>
        <v>0</v>
      </c>
      <c r="BW61" s="133">
        <f>商品录入!BW61*$E61</f>
        <v>0</v>
      </c>
    </row>
    <row r="62" s="178" customFormat="1" customHeight="1" spans="1:75">
      <c r="A62" s="161">
        <v>58</v>
      </c>
      <c r="B62" s="162">
        <f>商品录入!B62</f>
        <v>0</v>
      </c>
      <c r="C62" s="162">
        <f>商品录入!C62</f>
        <v>0</v>
      </c>
      <c r="D62" s="162">
        <f>商品录入!D62</f>
        <v>0</v>
      </c>
      <c r="E62" s="162">
        <f>商品录入!E62</f>
        <v>0</v>
      </c>
      <c r="F62" s="162">
        <f>商品录入!F62</f>
        <v>0</v>
      </c>
      <c r="G62" s="162">
        <f>商品录入!G62</f>
        <v>0</v>
      </c>
      <c r="H62" s="162">
        <f>商品录入!H62</f>
        <v>0</v>
      </c>
      <c r="I62" s="162">
        <f>商品录入!I62</f>
        <v>0</v>
      </c>
      <c r="J62" s="162">
        <f>商品录入!J62</f>
        <v>0</v>
      </c>
      <c r="K62" s="162">
        <f>商品录入!K62</f>
        <v>0</v>
      </c>
      <c r="L62" s="162">
        <f>商品录入!L62</f>
        <v>0</v>
      </c>
      <c r="M62" s="162">
        <f>商品录入!M62</f>
        <v>0</v>
      </c>
      <c r="N62" s="133">
        <f>商品录入!N62*$E62</f>
        <v>0</v>
      </c>
      <c r="O62" s="133">
        <f>商品录入!O62*$E62</f>
        <v>0</v>
      </c>
      <c r="P62" s="133">
        <f>商品录入!P62*$E62</f>
        <v>0</v>
      </c>
      <c r="Q62" s="133">
        <f>商品录入!Q62*$E62</f>
        <v>0</v>
      </c>
      <c r="R62" s="133">
        <f>商品录入!R62*$E62</f>
        <v>0</v>
      </c>
      <c r="S62" s="133">
        <f>商品录入!S62*$E62</f>
        <v>0</v>
      </c>
      <c r="T62" s="133">
        <f>商品录入!T62*$E62</f>
        <v>0</v>
      </c>
      <c r="U62" s="133">
        <f>商品录入!U62*$E62</f>
        <v>0</v>
      </c>
      <c r="V62" s="133">
        <f>商品录入!V62*$E62</f>
        <v>0</v>
      </c>
      <c r="W62" s="133">
        <f>商品录入!W62*$E62</f>
        <v>0</v>
      </c>
      <c r="X62" s="133">
        <f>商品录入!X62*$E62</f>
        <v>0</v>
      </c>
      <c r="Y62" s="133">
        <f>商品录入!Y62*$E62</f>
        <v>0</v>
      </c>
      <c r="Z62" s="133">
        <f>商品录入!Z62*$E62</f>
        <v>0</v>
      </c>
      <c r="AA62" s="133">
        <f>商品录入!AA62*$E62</f>
        <v>0</v>
      </c>
      <c r="AB62" s="133">
        <f>商品录入!AB62*$E62</f>
        <v>0</v>
      </c>
      <c r="AC62" s="133">
        <f>商品录入!AC62*$E62</f>
        <v>0</v>
      </c>
      <c r="AD62" s="133">
        <f>商品录入!AD62*$E62</f>
        <v>0</v>
      </c>
      <c r="AE62" s="133">
        <f>商品录入!AE62*$E62</f>
        <v>0</v>
      </c>
      <c r="AF62" s="133">
        <f>商品录入!AF62*$E62</f>
        <v>0</v>
      </c>
      <c r="AG62" s="133">
        <f>商品录入!AG62*$E62</f>
        <v>0</v>
      </c>
      <c r="AH62" s="133">
        <f>商品录入!AH62*$E62</f>
        <v>0</v>
      </c>
      <c r="AI62" s="133">
        <f>商品录入!AI62*$E62</f>
        <v>0</v>
      </c>
      <c r="AJ62" s="133">
        <f>商品录入!AJ62*$E62</f>
        <v>0</v>
      </c>
      <c r="AK62" s="133">
        <f>商品录入!AK62*$E62</f>
        <v>0</v>
      </c>
      <c r="AL62" s="133">
        <f>商品录入!AL62*$E62</f>
        <v>0</v>
      </c>
      <c r="AM62" s="133">
        <f>商品录入!AM62*$E62</f>
        <v>0</v>
      </c>
      <c r="AN62" s="133">
        <f>商品录入!AN62*$E62</f>
        <v>0</v>
      </c>
      <c r="AO62" s="133">
        <f>商品录入!AO62*$E62</f>
        <v>0</v>
      </c>
      <c r="AP62" s="133">
        <f>商品录入!AP62*$E62</f>
        <v>0</v>
      </c>
      <c r="AQ62" s="133">
        <f>商品录入!AQ62*$E62</f>
        <v>0</v>
      </c>
      <c r="AR62" s="133">
        <f>商品录入!AR62*$E62</f>
        <v>0</v>
      </c>
      <c r="AS62" s="133">
        <f>商品录入!AS62*$E62</f>
        <v>0</v>
      </c>
      <c r="AT62" s="133">
        <f>商品录入!AT62*$E62</f>
        <v>0</v>
      </c>
      <c r="AU62" s="133">
        <f>商品录入!AU62*$E62</f>
        <v>0</v>
      </c>
      <c r="AV62" s="133">
        <f>商品录入!AV62*$E62</f>
        <v>0</v>
      </c>
      <c r="AW62" s="133">
        <f>商品录入!AW62*$E62</f>
        <v>0</v>
      </c>
      <c r="AX62" s="133">
        <f>商品录入!AX62*$E62</f>
        <v>0</v>
      </c>
      <c r="AY62" s="133">
        <f>商品录入!AY62*$E62</f>
        <v>0</v>
      </c>
      <c r="AZ62" s="133">
        <f>商品录入!AZ62*$E62</f>
        <v>0</v>
      </c>
      <c r="BA62" s="133">
        <f>商品录入!BA62*$E62</f>
        <v>0</v>
      </c>
      <c r="BB62" s="133">
        <f>商品录入!BB62*$E62</f>
        <v>0</v>
      </c>
      <c r="BC62" s="133">
        <f>商品录入!BC62*$E62</f>
        <v>0</v>
      </c>
      <c r="BD62" s="133">
        <f>商品录入!BD62*$E62</f>
        <v>0</v>
      </c>
      <c r="BE62" s="133">
        <f>商品录入!BE62*$E62</f>
        <v>0</v>
      </c>
      <c r="BF62" s="133">
        <f>商品录入!BF62*$E62</f>
        <v>0</v>
      </c>
      <c r="BG62" s="133">
        <f>商品录入!BG62*$E62</f>
        <v>0</v>
      </c>
      <c r="BH62" s="133">
        <f>商品录入!BH62*$E62</f>
        <v>0</v>
      </c>
      <c r="BI62" s="133">
        <f>商品录入!BI62*$E62</f>
        <v>0</v>
      </c>
      <c r="BJ62" s="133">
        <f>商品录入!BJ62*$E62</f>
        <v>0</v>
      </c>
      <c r="BK62" s="133">
        <f>商品录入!BK62*$E62</f>
        <v>0</v>
      </c>
      <c r="BL62" s="133">
        <f>商品录入!BL62*$E62</f>
        <v>0</v>
      </c>
      <c r="BM62" s="133">
        <f>商品录入!BM62*$E62</f>
        <v>0</v>
      </c>
      <c r="BN62" s="133">
        <f>商品录入!BN62*$E62</f>
        <v>0</v>
      </c>
      <c r="BO62" s="133">
        <f>商品录入!BO62*$E62</f>
        <v>0</v>
      </c>
      <c r="BP62" s="133">
        <f>商品录入!BP62*$E62</f>
        <v>0</v>
      </c>
      <c r="BQ62" s="133">
        <f>商品录入!BQ62*$E62</f>
        <v>0</v>
      </c>
      <c r="BR62" s="133">
        <f>商品录入!BR62*$E62</f>
        <v>0</v>
      </c>
      <c r="BS62" s="133">
        <f>商品录入!BS62*$E62</f>
        <v>0</v>
      </c>
      <c r="BT62" s="133">
        <f>商品录入!BT62*$E62</f>
        <v>0</v>
      </c>
      <c r="BU62" s="133">
        <f>商品录入!BU62*$E62</f>
        <v>0</v>
      </c>
      <c r="BV62" s="133">
        <f>商品录入!BV62*$E62</f>
        <v>0</v>
      </c>
      <c r="BW62" s="133">
        <f>商品录入!BW62*$E62</f>
        <v>0</v>
      </c>
    </row>
    <row r="63" s="178" customFormat="1" customHeight="1" spans="1:75">
      <c r="A63" s="161">
        <v>59</v>
      </c>
      <c r="B63" s="162">
        <f>商品录入!B63</f>
        <v>0</v>
      </c>
      <c r="C63" s="162">
        <f>商品录入!C63</f>
        <v>0</v>
      </c>
      <c r="D63" s="162">
        <f>商品录入!D63</f>
        <v>0</v>
      </c>
      <c r="E63" s="162">
        <f>商品录入!E63</f>
        <v>0</v>
      </c>
      <c r="F63" s="162">
        <f>商品录入!F63</f>
        <v>0</v>
      </c>
      <c r="G63" s="162">
        <f>商品录入!G63</f>
        <v>0</v>
      </c>
      <c r="H63" s="162">
        <f>商品录入!H63</f>
        <v>0</v>
      </c>
      <c r="I63" s="162">
        <f>商品录入!I63</f>
        <v>0</v>
      </c>
      <c r="J63" s="162">
        <f>商品录入!J63</f>
        <v>0</v>
      </c>
      <c r="K63" s="162">
        <f>商品录入!K63</f>
        <v>0</v>
      </c>
      <c r="L63" s="162">
        <f>商品录入!L63</f>
        <v>0</v>
      </c>
      <c r="M63" s="162">
        <f>商品录入!M63</f>
        <v>0</v>
      </c>
      <c r="N63" s="133">
        <f>商品录入!N63*$E63</f>
        <v>0</v>
      </c>
      <c r="O63" s="133">
        <f>商品录入!O63*$E63</f>
        <v>0</v>
      </c>
      <c r="P63" s="133">
        <f>商品录入!P63*$E63</f>
        <v>0</v>
      </c>
      <c r="Q63" s="133">
        <f>商品录入!Q63*$E63</f>
        <v>0</v>
      </c>
      <c r="R63" s="133">
        <f>商品录入!R63*$E63</f>
        <v>0</v>
      </c>
      <c r="S63" s="133">
        <f>商品录入!S63*$E63</f>
        <v>0</v>
      </c>
      <c r="T63" s="133">
        <f>商品录入!T63*$E63</f>
        <v>0</v>
      </c>
      <c r="U63" s="133">
        <f>商品录入!U63*$E63</f>
        <v>0</v>
      </c>
      <c r="V63" s="133">
        <f>商品录入!V63*$E63</f>
        <v>0</v>
      </c>
      <c r="W63" s="133">
        <f>商品录入!W63*$E63</f>
        <v>0</v>
      </c>
      <c r="X63" s="133">
        <f>商品录入!X63*$E63</f>
        <v>0</v>
      </c>
      <c r="Y63" s="133">
        <f>商品录入!Y63*$E63</f>
        <v>0</v>
      </c>
      <c r="Z63" s="133">
        <f>商品录入!Z63*$E63</f>
        <v>0</v>
      </c>
      <c r="AA63" s="133">
        <f>商品录入!AA63*$E63</f>
        <v>0</v>
      </c>
      <c r="AB63" s="133">
        <f>商品录入!AB63*$E63</f>
        <v>0</v>
      </c>
      <c r="AC63" s="133">
        <f>商品录入!AC63*$E63</f>
        <v>0</v>
      </c>
      <c r="AD63" s="133">
        <f>商品录入!AD63*$E63</f>
        <v>0</v>
      </c>
      <c r="AE63" s="133">
        <f>商品录入!AE63*$E63</f>
        <v>0</v>
      </c>
      <c r="AF63" s="133">
        <f>商品录入!AF63*$E63</f>
        <v>0</v>
      </c>
      <c r="AG63" s="133">
        <f>商品录入!AG63*$E63</f>
        <v>0</v>
      </c>
      <c r="AH63" s="133">
        <f>商品录入!AH63*$E63</f>
        <v>0</v>
      </c>
      <c r="AI63" s="133">
        <f>商品录入!AI63*$E63</f>
        <v>0</v>
      </c>
      <c r="AJ63" s="133">
        <f>商品录入!AJ63*$E63</f>
        <v>0</v>
      </c>
      <c r="AK63" s="133">
        <f>商品录入!AK63*$E63</f>
        <v>0</v>
      </c>
      <c r="AL63" s="133">
        <f>商品录入!AL63*$E63</f>
        <v>0</v>
      </c>
      <c r="AM63" s="133">
        <f>商品录入!AM63*$E63</f>
        <v>0</v>
      </c>
      <c r="AN63" s="133">
        <f>商品录入!AN63*$E63</f>
        <v>0</v>
      </c>
      <c r="AO63" s="133">
        <f>商品录入!AO63*$E63</f>
        <v>0</v>
      </c>
      <c r="AP63" s="133">
        <f>商品录入!AP63*$E63</f>
        <v>0</v>
      </c>
      <c r="AQ63" s="133">
        <f>商品录入!AQ63*$E63</f>
        <v>0</v>
      </c>
      <c r="AR63" s="133">
        <f>商品录入!AR63*$E63</f>
        <v>0</v>
      </c>
      <c r="AS63" s="133">
        <f>商品录入!AS63*$E63</f>
        <v>0</v>
      </c>
      <c r="AT63" s="133">
        <f>商品录入!AT63*$E63</f>
        <v>0</v>
      </c>
      <c r="AU63" s="133">
        <f>商品录入!AU63*$E63</f>
        <v>0</v>
      </c>
      <c r="AV63" s="133">
        <f>商品录入!AV63*$E63</f>
        <v>0</v>
      </c>
      <c r="AW63" s="133">
        <f>商品录入!AW63*$E63</f>
        <v>0</v>
      </c>
      <c r="AX63" s="133">
        <f>商品录入!AX63*$E63</f>
        <v>0</v>
      </c>
      <c r="AY63" s="133">
        <f>商品录入!AY63*$E63</f>
        <v>0</v>
      </c>
      <c r="AZ63" s="133">
        <f>商品录入!AZ63*$E63</f>
        <v>0</v>
      </c>
      <c r="BA63" s="133">
        <f>商品录入!BA63*$E63</f>
        <v>0</v>
      </c>
      <c r="BB63" s="133">
        <f>商品录入!BB63*$E63</f>
        <v>0</v>
      </c>
      <c r="BC63" s="133">
        <f>商品录入!BC63*$E63</f>
        <v>0</v>
      </c>
      <c r="BD63" s="133">
        <f>商品录入!BD63*$E63</f>
        <v>0</v>
      </c>
      <c r="BE63" s="133">
        <f>商品录入!BE63*$E63</f>
        <v>0</v>
      </c>
      <c r="BF63" s="133">
        <f>商品录入!BF63*$E63</f>
        <v>0</v>
      </c>
      <c r="BG63" s="133">
        <f>商品录入!BG63*$E63</f>
        <v>0</v>
      </c>
      <c r="BH63" s="133">
        <f>商品录入!BH63*$E63</f>
        <v>0</v>
      </c>
      <c r="BI63" s="133">
        <f>商品录入!BI63*$E63</f>
        <v>0</v>
      </c>
      <c r="BJ63" s="133">
        <f>商品录入!BJ63*$E63</f>
        <v>0</v>
      </c>
      <c r="BK63" s="133">
        <f>商品录入!BK63*$E63</f>
        <v>0</v>
      </c>
      <c r="BL63" s="133">
        <f>商品录入!BL63*$E63</f>
        <v>0</v>
      </c>
      <c r="BM63" s="133">
        <f>商品录入!BM63*$E63</f>
        <v>0</v>
      </c>
      <c r="BN63" s="133">
        <f>商品录入!BN63*$E63</f>
        <v>0</v>
      </c>
      <c r="BO63" s="133">
        <f>商品录入!BO63*$E63</f>
        <v>0</v>
      </c>
      <c r="BP63" s="133">
        <f>商品录入!BP63*$E63</f>
        <v>0</v>
      </c>
      <c r="BQ63" s="133">
        <f>商品录入!BQ63*$E63</f>
        <v>0</v>
      </c>
      <c r="BR63" s="133">
        <f>商品录入!BR63*$E63</f>
        <v>0</v>
      </c>
      <c r="BS63" s="133">
        <f>商品录入!BS63*$E63</f>
        <v>0</v>
      </c>
      <c r="BT63" s="133">
        <f>商品录入!BT63*$E63</f>
        <v>0</v>
      </c>
      <c r="BU63" s="133">
        <f>商品录入!BU63*$E63</f>
        <v>0</v>
      </c>
      <c r="BV63" s="133">
        <f>商品录入!BV63*$E63</f>
        <v>0</v>
      </c>
      <c r="BW63" s="133">
        <f>商品录入!BW63*$E63</f>
        <v>0</v>
      </c>
    </row>
    <row r="64" s="178" customFormat="1" customHeight="1" spans="1:75">
      <c r="A64" s="161">
        <v>60</v>
      </c>
      <c r="B64" s="162">
        <f>商品录入!B64</f>
        <v>0</v>
      </c>
      <c r="C64" s="162">
        <f>商品录入!C64</f>
        <v>0</v>
      </c>
      <c r="D64" s="162">
        <f>商品录入!D64</f>
        <v>0</v>
      </c>
      <c r="E64" s="162">
        <f>商品录入!E64</f>
        <v>0</v>
      </c>
      <c r="F64" s="162">
        <f>商品录入!F64</f>
        <v>0</v>
      </c>
      <c r="G64" s="162">
        <f>商品录入!G64</f>
        <v>0</v>
      </c>
      <c r="H64" s="162">
        <f>商品录入!H64</f>
        <v>0</v>
      </c>
      <c r="I64" s="162">
        <f>商品录入!I64</f>
        <v>0</v>
      </c>
      <c r="J64" s="162">
        <f>商品录入!J64</f>
        <v>0</v>
      </c>
      <c r="K64" s="162">
        <f>商品录入!K64</f>
        <v>0</v>
      </c>
      <c r="L64" s="162">
        <f>商品录入!L64</f>
        <v>0</v>
      </c>
      <c r="M64" s="162">
        <f>商品录入!M64</f>
        <v>0</v>
      </c>
      <c r="N64" s="133">
        <f>商品录入!N64*$E64</f>
        <v>0</v>
      </c>
      <c r="O64" s="133">
        <f>商品录入!O64*$E64</f>
        <v>0</v>
      </c>
      <c r="P64" s="133">
        <f>商品录入!P64*$E64</f>
        <v>0</v>
      </c>
      <c r="Q64" s="133">
        <f>商品录入!Q64*$E64</f>
        <v>0</v>
      </c>
      <c r="R64" s="133">
        <f>商品录入!R64*$E64</f>
        <v>0</v>
      </c>
      <c r="S64" s="133">
        <f>商品录入!S64*$E64</f>
        <v>0</v>
      </c>
      <c r="T64" s="133">
        <f>商品录入!T64*$E64</f>
        <v>0</v>
      </c>
      <c r="U64" s="133">
        <f>商品录入!U64*$E64</f>
        <v>0</v>
      </c>
      <c r="V64" s="133">
        <f>商品录入!V64*$E64</f>
        <v>0</v>
      </c>
      <c r="W64" s="133">
        <f>商品录入!W64*$E64</f>
        <v>0</v>
      </c>
      <c r="X64" s="133">
        <f>商品录入!X64*$E64</f>
        <v>0</v>
      </c>
      <c r="Y64" s="133">
        <f>商品录入!Y64*$E64</f>
        <v>0</v>
      </c>
      <c r="Z64" s="133">
        <f>商品录入!Z64*$E64</f>
        <v>0</v>
      </c>
      <c r="AA64" s="133">
        <f>商品录入!AA64*$E64</f>
        <v>0</v>
      </c>
      <c r="AB64" s="133">
        <f>商品录入!AB64*$E64</f>
        <v>0</v>
      </c>
      <c r="AC64" s="133">
        <f>商品录入!AC64*$E64</f>
        <v>0</v>
      </c>
      <c r="AD64" s="133">
        <f>商品录入!AD64*$E64</f>
        <v>0</v>
      </c>
      <c r="AE64" s="133">
        <f>商品录入!AE64*$E64</f>
        <v>0</v>
      </c>
      <c r="AF64" s="133">
        <f>商品录入!AF64*$E64</f>
        <v>0</v>
      </c>
      <c r="AG64" s="133">
        <f>商品录入!AG64*$E64</f>
        <v>0</v>
      </c>
      <c r="AH64" s="133">
        <f>商品录入!AH64*$E64</f>
        <v>0</v>
      </c>
      <c r="AI64" s="133">
        <f>商品录入!AI64*$E64</f>
        <v>0</v>
      </c>
      <c r="AJ64" s="133">
        <f>商品录入!AJ64*$E64</f>
        <v>0</v>
      </c>
      <c r="AK64" s="133">
        <f>商品录入!AK64*$E64</f>
        <v>0</v>
      </c>
      <c r="AL64" s="133">
        <f>商品录入!AL64*$E64</f>
        <v>0</v>
      </c>
      <c r="AM64" s="133">
        <f>商品录入!AM64*$E64</f>
        <v>0</v>
      </c>
      <c r="AN64" s="133">
        <f>商品录入!AN64*$E64</f>
        <v>0</v>
      </c>
      <c r="AO64" s="133">
        <f>商品录入!AO64*$E64</f>
        <v>0</v>
      </c>
      <c r="AP64" s="133">
        <f>商品录入!AP64*$E64</f>
        <v>0</v>
      </c>
      <c r="AQ64" s="133">
        <f>商品录入!AQ64*$E64</f>
        <v>0</v>
      </c>
      <c r="AR64" s="133">
        <f>商品录入!AR64*$E64</f>
        <v>0</v>
      </c>
      <c r="AS64" s="133">
        <f>商品录入!AS64*$E64</f>
        <v>0</v>
      </c>
      <c r="AT64" s="133">
        <f>商品录入!AT64*$E64</f>
        <v>0</v>
      </c>
      <c r="AU64" s="133">
        <f>商品录入!AU64*$E64</f>
        <v>0</v>
      </c>
      <c r="AV64" s="133">
        <f>商品录入!AV64*$E64</f>
        <v>0</v>
      </c>
      <c r="AW64" s="133">
        <f>商品录入!AW64*$E64</f>
        <v>0</v>
      </c>
      <c r="AX64" s="133">
        <f>商品录入!AX64*$E64</f>
        <v>0</v>
      </c>
      <c r="AY64" s="133">
        <f>商品录入!AY64*$E64</f>
        <v>0</v>
      </c>
      <c r="AZ64" s="133">
        <f>商品录入!AZ64*$E64</f>
        <v>0</v>
      </c>
      <c r="BA64" s="133">
        <f>商品录入!BA64*$E64</f>
        <v>0</v>
      </c>
      <c r="BB64" s="133">
        <f>商品录入!BB64*$E64</f>
        <v>0</v>
      </c>
      <c r="BC64" s="133">
        <f>商品录入!BC64*$E64</f>
        <v>0</v>
      </c>
      <c r="BD64" s="133">
        <f>商品录入!BD64*$E64</f>
        <v>0</v>
      </c>
      <c r="BE64" s="133">
        <f>商品录入!BE64*$E64</f>
        <v>0</v>
      </c>
      <c r="BF64" s="133">
        <f>商品录入!BF64*$E64</f>
        <v>0</v>
      </c>
      <c r="BG64" s="133">
        <f>商品录入!BG64*$E64</f>
        <v>0</v>
      </c>
      <c r="BH64" s="133">
        <f>商品录入!BH64*$E64</f>
        <v>0</v>
      </c>
      <c r="BI64" s="133">
        <f>商品录入!BI64*$E64</f>
        <v>0</v>
      </c>
      <c r="BJ64" s="133">
        <f>商品录入!BJ64*$E64</f>
        <v>0</v>
      </c>
      <c r="BK64" s="133">
        <f>商品录入!BK64*$E64</f>
        <v>0</v>
      </c>
      <c r="BL64" s="133">
        <f>商品录入!BL64*$E64</f>
        <v>0</v>
      </c>
      <c r="BM64" s="133">
        <f>商品录入!BM64*$E64</f>
        <v>0</v>
      </c>
      <c r="BN64" s="133">
        <f>商品录入!BN64*$E64</f>
        <v>0</v>
      </c>
      <c r="BO64" s="133">
        <f>商品录入!BO64*$E64</f>
        <v>0</v>
      </c>
      <c r="BP64" s="133">
        <f>商品录入!BP64*$E64</f>
        <v>0</v>
      </c>
      <c r="BQ64" s="133">
        <f>商品录入!BQ64*$E64</f>
        <v>0</v>
      </c>
      <c r="BR64" s="133">
        <f>商品录入!BR64*$E64</f>
        <v>0</v>
      </c>
      <c r="BS64" s="133">
        <f>商品录入!BS64*$E64</f>
        <v>0</v>
      </c>
      <c r="BT64" s="133">
        <f>商品录入!BT64*$E64</f>
        <v>0</v>
      </c>
      <c r="BU64" s="133">
        <f>商品录入!BU64*$E64</f>
        <v>0</v>
      </c>
      <c r="BV64" s="133">
        <f>商品录入!BV64*$E64</f>
        <v>0</v>
      </c>
      <c r="BW64" s="133">
        <f>商品录入!BW64*$E64</f>
        <v>0</v>
      </c>
    </row>
    <row r="65" s="178" customFormat="1" customHeight="1" spans="1:75">
      <c r="A65" s="161">
        <v>61</v>
      </c>
      <c r="B65" s="162">
        <f>商品录入!B65</f>
        <v>0</v>
      </c>
      <c r="C65" s="162">
        <f>商品录入!C65</f>
        <v>0</v>
      </c>
      <c r="D65" s="162">
        <f>商品录入!D65</f>
        <v>0</v>
      </c>
      <c r="E65" s="162">
        <f>商品录入!E65</f>
        <v>0</v>
      </c>
      <c r="F65" s="162">
        <f>商品录入!F65</f>
        <v>0</v>
      </c>
      <c r="G65" s="162">
        <f>商品录入!G65</f>
        <v>0</v>
      </c>
      <c r="H65" s="162">
        <f>商品录入!H65</f>
        <v>0</v>
      </c>
      <c r="I65" s="162">
        <f>商品录入!I65</f>
        <v>0</v>
      </c>
      <c r="J65" s="162">
        <f>商品录入!J65</f>
        <v>0</v>
      </c>
      <c r="K65" s="162">
        <f>商品录入!K65</f>
        <v>0</v>
      </c>
      <c r="L65" s="162">
        <f>商品录入!L65</f>
        <v>0</v>
      </c>
      <c r="M65" s="162">
        <f>商品录入!M65</f>
        <v>0</v>
      </c>
      <c r="N65" s="133">
        <f>商品录入!N65*$E65</f>
        <v>0</v>
      </c>
      <c r="O65" s="133">
        <f>商品录入!O65*$E65</f>
        <v>0</v>
      </c>
      <c r="P65" s="133">
        <f>商品录入!P65*$E65</f>
        <v>0</v>
      </c>
      <c r="Q65" s="133">
        <f>商品录入!Q65*$E65</f>
        <v>0</v>
      </c>
      <c r="R65" s="133">
        <f>商品录入!R65*$E65</f>
        <v>0</v>
      </c>
      <c r="S65" s="133">
        <f>商品录入!S65*$E65</f>
        <v>0</v>
      </c>
      <c r="T65" s="133">
        <f>商品录入!T65*$E65</f>
        <v>0</v>
      </c>
      <c r="U65" s="133">
        <f>商品录入!U65*$E65</f>
        <v>0</v>
      </c>
      <c r="V65" s="133">
        <f>商品录入!V65*$E65</f>
        <v>0</v>
      </c>
      <c r="W65" s="133">
        <f>商品录入!W65*$E65</f>
        <v>0</v>
      </c>
      <c r="X65" s="133">
        <f>商品录入!X65*$E65</f>
        <v>0</v>
      </c>
      <c r="Y65" s="133">
        <f>商品录入!Y65*$E65</f>
        <v>0</v>
      </c>
      <c r="Z65" s="133">
        <f>商品录入!Z65*$E65</f>
        <v>0</v>
      </c>
      <c r="AA65" s="133">
        <f>商品录入!AA65*$E65</f>
        <v>0</v>
      </c>
      <c r="AB65" s="133">
        <f>商品录入!AB65*$E65</f>
        <v>0</v>
      </c>
      <c r="AC65" s="133">
        <f>商品录入!AC65*$E65</f>
        <v>0</v>
      </c>
      <c r="AD65" s="133">
        <f>商品录入!AD65*$E65</f>
        <v>0</v>
      </c>
      <c r="AE65" s="133">
        <f>商品录入!AE65*$E65</f>
        <v>0</v>
      </c>
      <c r="AF65" s="133">
        <f>商品录入!AF65*$E65</f>
        <v>0</v>
      </c>
      <c r="AG65" s="133">
        <f>商品录入!AG65*$E65</f>
        <v>0</v>
      </c>
      <c r="AH65" s="133">
        <f>商品录入!AH65*$E65</f>
        <v>0</v>
      </c>
      <c r="AI65" s="133">
        <f>商品录入!AI65*$E65</f>
        <v>0</v>
      </c>
      <c r="AJ65" s="133">
        <f>商品录入!AJ65*$E65</f>
        <v>0</v>
      </c>
      <c r="AK65" s="133">
        <f>商品录入!AK65*$E65</f>
        <v>0</v>
      </c>
      <c r="AL65" s="133">
        <f>商品录入!AL65*$E65</f>
        <v>0</v>
      </c>
      <c r="AM65" s="133">
        <f>商品录入!AM65*$E65</f>
        <v>0</v>
      </c>
      <c r="AN65" s="133">
        <f>商品录入!AN65*$E65</f>
        <v>0</v>
      </c>
      <c r="AO65" s="133">
        <f>商品录入!AO65*$E65</f>
        <v>0</v>
      </c>
      <c r="AP65" s="133">
        <f>商品录入!AP65*$E65</f>
        <v>0</v>
      </c>
      <c r="AQ65" s="133">
        <f>商品录入!AQ65*$E65</f>
        <v>0</v>
      </c>
      <c r="AR65" s="133">
        <f>商品录入!AR65*$E65</f>
        <v>0</v>
      </c>
      <c r="AS65" s="133">
        <f>商品录入!AS65*$E65</f>
        <v>0</v>
      </c>
      <c r="AT65" s="133">
        <f>商品录入!AT65*$E65</f>
        <v>0</v>
      </c>
      <c r="AU65" s="133">
        <f>商品录入!AU65*$E65</f>
        <v>0</v>
      </c>
      <c r="AV65" s="133">
        <f>商品录入!AV65*$E65</f>
        <v>0</v>
      </c>
      <c r="AW65" s="133">
        <f>商品录入!AW65*$E65</f>
        <v>0</v>
      </c>
      <c r="AX65" s="133">
        <f>商品录入!AX65*$E65</f>
        <v>0</v>
      </c>
      <c r="AY65" s="133">
        <f>商品录入!AY65*$E65</f>
        <v>0</v>
      </c>
      <c r="AZ65" s="133">
        <f>商品录入!AZ65*$E65</f>
        <v>0</v>
      </c>
      <c r="BA65" s="133">
        <f>商品录入!BA65*$E65</f>
        <v>0</v>
      </c>
      <c r="BB65" s="133">
        <f>商品录入!BB65*$E65</f>
        <v>0</v>
      </c>
      <c r="BC65" s="133">
        <f>商品录入!BC65*$E65</f>
        <v>0</v>
      </c>
      <c r="BD65" s="133">
        <f>商品录入!BD65*$E65</f>
        <v>0</v>
      </c>
      <c r="BE65" s="133">
        <f>商品录入!BE65*$E65</f>
        <v>0</v>
      </c>
      <c r="BF65" s="133">
        <f>商品录入!BF65*$E65</f>
        <v>0</v>
      </c>
      <c r="BG65" s="133">
        <f>商品录入!BG65*$E65</f>
        <v>0</v>
      </c>
      <c r="BH65" s="133">
        <f>商品录入!BH65*$E65</f>
        <v>0</v>
      </c>
      <c r="BI65" s="133">
        <f>商品录入!BI65*$E65</f>
        <v>0</v>
      </c>
      <c r="BJ65" s="133">
        <f>商品录入!BJ65*$E65</f>
        <v>0</v>
      </c>
      <c r="BK65" s="133">
        <f>商品录入!BK65*$E65</f>
        <v>0</v>
      </c>
      <c r="BL65" s="133">
        <f>商品录入!BL65*$E65</f>
        <v>0</v>
      </c>
      <c r="BM65" s="133">
        <f>商品录入!BM65*$E65</f>
        <v>0</v>
      </c>
      <c r="BN65" s="133">
        <f>商品录入!BN65*$E65</f>
        <v>0</v>
      </c>
      <c r="BO65" s="133">
        <f>商品录入!BO65*$E65</f>
        <v>0</v>
      </c>
      <c r="BP65" s="133">
        <f>商品录入!BP65*$E65</f>
        <v>0</v>
      </c>
      <c r="BQ65" s="133">
        <f>商品录入!BQ65*$E65</f>
        <v>0</v>
      </c>
      <c r="BR65" s="133">
        <f>商品录入!BR65*$E65</f>
        <v>0</v>
      </c>
      <c r="BS65" s="133">
        <f>商品录入!BS65*$E65</f>
        <v>0</v>
      </c>
      <c r="BT65" s="133">
        <f>商品录入!BT65*$E65</f>
        <v>0</v>
      </c>
      <c r="BU65" s="133">
        <f>商品录入!BU65*$E65</f>
        <v>0</v>
      </c>
      <c r="BV65" s="133">
        <f>商品录入!BV65*$E65</f>
        <v>0</v>
      </c>
      <c r="BW65" s="133">
        <f>商品录入!BW65*$E65</f>
        <v>0</v>
      </c>
    </row>
    <row r="66" s="178" customFormat="1" customHeight="1" spans="1:75">
      <c r="A66" s="161">
        <v>62</v>
      </c>
      <c r="B66" s="162">
        <f>商品录入!B66</f>
        <v>0</v>
      </c>
      <c r="C66" s="162">
        <f>商品录入!C66</f>
        <v>0</v>
      </c>
      <c r="D66" s="162">
        <f>商品录入!D66</f>
        <v>0</v>
      </c>
      <c r="E66" s="162">
        <f>商品录入!E66</f>
        <v>0</v>
      </c>
      <c r="F66" s="162">
        <f>商品录入!F66</f>
        <v>0</v>
      </c>
      <c r="G66" s="162">
        <f>商品录入!G66</f>
        <v>0</v>
      </c>
      <c r="H66" s="162">
        <f>商品录入!H66</f>
        <v>0</v>
      </c>
      <c r="I66" s="162">
        <f>商品录入!I66</f>
        <v>0</v>
      </c>
      <c r="J66" s="162">
        <f>商品录入!J66</f>
        <v>0</v>
      </c>
      <c r="K66" s="162">
        <f>商品录入!K66</f>
        <v>0</v>
      </c>
      <c r="L66" s="162">
        <f>商品录入!L66</f>
        <v>0</v>
      </c>
      <c r="M66" s="162">
        <f>商品录入!M66</f>
        <v>0</v>
      </c>
      <c r="N66" s="133">
        <f>商品录入!N66*$E66</f>
        <v>0</v>
      </c>
      <c r="O66" s="133">
        <f>商品录入!O66*$E66</f>
        <v>0</v>
      </c>
      <c r="P66" s="133">
        <f>商品录入!P66*$E66</f>
        <v>0</v>
      </c>
      <c r="Q66" s="133">
        <f>商品录入!Q66*$E66</f>
        <v>0</v>
      </c>
      <c r="R66" s="133">
        <f>商品录入!R66*$E66</f>
        <v>0</v>
      </c>
      <c r="S66" s="133">
        <f>商品录入!S66*$E66</f>
        <v>0</v>
      </c>
      <c r="T66" s="133">
        <f>商品录入!T66*$E66</f>
        <v>0</v>
      </c>
      <c r="U66" s="133">
        <f>商品录入!U66*$E66</f>
        <v>0</v>
      </c>
      <c r="V66" s="133">
        <f>商品录入!V66*$E66</f>
        <v>0</v>
      </c>
      <c r="W66" s="133">
        <f>商品录入!W66*$E66</f>
        <v>0</v>
      </c>
      <c r="X66" s="133">
        <f>商品录入!X66*$E66</f>
        <v>0</v>
      </c>
      <c r="Y66" s="133">
        <f>商品录入!Y66*$E66</f>
        <v>0</v>
      </c>
      <c r="Z66" s="133">
        <f>商品录入!Z66*$E66</f>
        <v>0</v>
      </c>
      <c r="AA66" s="133">
        <f>商品录入!AA66*$E66</f>
        <v>0</v>
      </c>
      <c r="AB66" s="133">
        <f>商品录入!AB66*$E66</f>
        <v>0</v>
      </c>
      <c r="AC66" s="133">
        <f>商品录入!AC66*$E66</f>
        <v>0</v>
      </c>
      <c r="AD66" s="133">
        <f>商品录入!AD66*$E66</f>
        <v>0</v>
      </c>
      <c r="AE66" s="133">
        <f>商品录入!AE66*$E66</f>
        <v>0</v>
      </c>
      <c r="AF66" s="133">
        <f>商品录入!AF66*$E66</f>
        <v>0</v>
      </c>
      <c r="AG66" s="133">
        <f>商品录入!AG66*$E66</f>
        <v>0</v>
      </c>
      <c r="AH66" s="133">
        <f>商品录入!AH66*$E66</f>
        <v>0</v>
      </c>
      <c r="AI66" s="133">
        <f>商品录入!AI66*$E66</f>
        <v>0</v>
      </c>
      <c r="AJ66" s="133">
        <f>商品录入!AJ66*$E66</f>
        <v>0</v>
      </c>
      <c r="AK66" s="133">
        <f>商品录入!AK66*$E66</f>
        <v>0</v>
      </c>
      <c r="AL66" s="133">
        <f>商品录入!AL66*$E66</f>
        <v>0</v>
      </c>
      <c r="AM66" s="133">
        <f>商品录入!AM66*$E66</f>
        <v>0</v>
      </c>
      <c r="AN66" s="133">
        <f>商品录入!AN66*$E66</f>
        <v>0</v>
      </c>
      <c r="AO66" s="133">
        <f>商品录入!AO66*$E66</f>
        <v>0</v>
      </c>
      <c r="AP66" s="133">
        <f>商品录入!AP66*$E66</f>
        <v>0</v>
      </c>
      <c r="AQ66" s="133">
        <f>商品录入!AQ66*$E66</f>
        <v>0</v>
      </c>
      <c r="AR66" s="133">
        <f>商品录入!AR66*$E66</f>
        <v>0</v>
      </c>
      <c r="AS66" s="133">
        <f>商品录入!AS66*$E66</f>
        <v>0</v>
      </c>
      <c r="AT66" s="133">
        <f>商品录入!AT66*$E66</f>
        <v>0</v>
      </c>
      <c r="AU66" s="133">
        <f>商品录入!AU66*$E66</f>
        <v>0</v>
      </c>
      <c r="AV66" s="133">
        <f>商品录入!AV66*$E66</f>
        <v>0</v>
      </c>
      <c r="AW66" s="133">
        <f>商品录入!AW66*$E66</f>
        <v>0</v>
      </c>
      <c r="AX66" s="133">
        <f>商品录入!AX66*$E66</f>
        <v>0</v>
      </c>
      <c r="AY66" s="133">
        <f>商品录入!AY66*$E66</f>
        <v>0</v>
      </c>
      <c r="AZ66" s="133">
        <f>商品录入!AZ66*$E66</f>
        <v>0</v>
      </c>
      <c r="BA66" s="133">
        <f>商品录入!BA66*$E66</f>
        <v>0</v>
      </c>
      <c r="BB66" s="133">
        <f>商品录入!BB66*$E66</f>
        <v>0</v>
      </c>
      <c r="BC66" s="133">
        <f>商品录入!BC66*$E66</f>
        <v>0</v>
      </c>
      <c r="BD66" s="133">
        <f>商品录入!BD66*$E66</f>
        <v>0</v>
      </c>
      <c r="BE66" s="133">
        <f>商品录入!BE66*$E66</f>
        <v>0</v>
      </c>
      <c r="BF66" s="133">
        <f>商品录入!BF66*$E66</f>
        <v>0</v>
      </c>
      <c r="BG66" s="133">
        <f>商品录入!BG66*$E66</f>
        <v>0</v>
      </c>
      <c r="BH66" s="133">
        <f>商品录入!BH66*$E66</f>
        <v>0</v>
      </c>
      <c r="BI66" s="133">
        <f>商品录入!BI66*$E66</f>
        <v>0</v>
      </c>
      <c r="BJ66" s="133">
        <f>商品录入!BJ66*$E66</f>
        <v>0</v>
      </c>
      <c r="BK66" s="133">
        <f>商品录入!BK66*$E66</f>
        <v>0</v>
      </c>
      <c r="BL66" s="133">
        <f>商品录入!BL66*$E66</f>
        <v>0</v>
      </c>
      <c r="BM66" s="133">
        <f>商品录入!BM66*$E66</f>
        <v>0</v>
      </c>
      <c r="BN66" s="133">
        <f>商品录入!BN66*$E66</f>
        <v>0</v>
      </c>
      <c r="BO66" s="133">
        <f>商品录入!BO66*$E66</f>
        <v>0</v>
      </c>
      <c r="BP66" s="133">
        <f>商品录入!BP66*$E66</f>
        <v>0</v>
      </c>
      <c r="BQ66" s="133">
        <f>商品录入!BQ66*$E66</f>
        <v>0</v>
      </c>
      <c r="BR66" s="133">
        <f>商品录入!BR66*$E66</f>
        <v>0</v>
      </c>
      <c r="BS66" s="133">
        <f>商品录入!BS66*$E66</f>
        <v>0</v>
      </c>
      <c r="BT66" s="133">
        <f>商品录入!BT66*$E66</f>
        <v>0</v>
      </c>
      <c r="BU66" s="133">
        <f>商品录入!BU66*$E66</f>
        <v>0</v>
      </c>
      <c r="BV66" s="133">
        <f>商品录入!BV66*$E66</f>
        <v>0</v>
      </c>
      <c r="BW66" s="133">
        <f>商品录入!BW66*$E66</f>
        <v>0</v>
      </c>
    </row>
    <row r="67" s="178" customFormat="1" customHeight="1" spans="1:75">
      <c r="A67" s="161">
        <v>63</v>
      </c>
      <c r="B67" s="162">
        <f>商品录入!B67</f>
        <v>0</v>
      </c>
      <c r="C67" s="162">
        <f>商品录入!C67</f>
        <v>0</v>
      </c>
      <c r="D67" s="162">
        <f>商品录入!D67</f>
        <v>0</v>
      </c>
      <c r="E67" s="162">
        <f>商品录入!E67</f>
        <v>0</v>
      </c>
      <c r="F67" s="162">
        <f>商品录入!F67</f>
        <v>0</v>
      </c>
      <c r="G67" s="162">
        <f>商品录入!G67</f>
        <v>0</v>
      </c>
      <c r="H67" s="162">
        <f>商品录入!H67</f>
        <v>0</v>
      </c>
      <c r="I67" s="162">
        <f>商品录入!I67</f>
        <v>0</v>
      </c>
      <c r="J67" s="162">
        <f>商品录入!J67</f>
        <v>0</v>
      </c>
      <c r="K67" s="162">
        <f>商品录入!K67</f>
        <v>0</v>
      </c>
      <c r="L67" s="162">
        <f>商品录入!L67</f>
        <v>0</v>
      </c>
      <c r="M67" s="162">
        <f>商品录入!M67</f>
        <v>0</v>
      </c>
      <c r="N67" s="133">
        <f>商品录入!N67*$E67</f>
        <v>0</v>
      </c>
      <c r="O67" s="133">
        <f>商品录入!O67*$E67</f>
        <v>0</v>
      </c>
      <c r="P67" s="133">
        <f>商品录入!P67*$E67</f>
        <v>0</v>
      </c>
      <c r="Q67" s="133">
        <f>商品录入!Q67*$E67</f>
        <v>0</v>
      </c>
      <c r="R67" s="133">
        <f>商品录入!R67*$E67</f>
        <v>0</v>
      </c>
      <c r="S67" s="133">
        <f>商品录入!S67*$E67</f>
        <v>0</v>
      </c>
      <c r="T67" s="133">
        <f>商品录入!T67*$E67</f>
        <v>0</v>
      </c>
      <c r="U67" s="133">
        <f>商品录入!U67*$E67</f>
        <v>0</v>
      </c>
      <c r="V67" s="133">
        <f>商品录入!V67*$E67</f>
        <v>0</v>
      </c>
      <c r="W67" s="133">
        <f>商品录入!W67*$E67</f>
        <v>0</v>
      </c>
      <c r="X67" s="133">
        <f>商品录入!X67*$E67</f>
        <v>0</v>
      </c>
      <c r="Y67" s="133">
        <f>商品录入!Y67*$E67</f>
        <v>0</v>
      </c>
      <c r="Z67" s="133">
        <f>商品录入!Z67*$E67</f>
        <v>0</v>
      </c>
      <c r="AA67" s="133">
        <f>商品录入!AA67*$E67</f>
        <v>0</v>
      </c>
      <c r="AB67" s="133">
        <f>商品录入!AB67*$E67</f>
        <v>0</v>
      </c>
      <c r="AC67" s="133">
        <f>商品录入!AC67*$E67</f>
        <v>0</v>
      </c>
      <c r="AD67" s="133">
        <f>商品录入!AD67*$E67</f>
        <v>0</v>
      </c>
      <c r="AE67" s="133">
        <f>商品录入!AE67*$E67</f>
        <v>0</v>
      </c>
      <c r="AF67" s="133">
        <f>商品录入!AF67*$E67</f>
        <v>0</v>
      </c>
      <c r="AG67" s="133">
        <f>商品录入!AG67*$E67</f>
        <v>0</v>
      </c>
      <c r="AH67" s="133">
        <f>商品录入!AH67*$E67</f>
        <v>0</v>
      </c>
      <c r="AI67" s="133">
        <f>商品录入!AI67*$E67</f>
        <v>0</v>
      </c>
      <c r="AJ67" s="133">
        <f>商品录入!AJ67*$E67</f>
        <v>0</v>
      </c>
      <c r="AK67" s="133">
        <f>商品录入!AK67*$E67</f>
        <v>0</v>
      </c>
      <c r="AL67" s="133">
        <f>商品录入!AL67*$E67</f>
        <v>0</v>
      </c>
      <c r="AM67" s="133">
        <f>商品录入!AM67*$E67</f>
        <v>0</v>
      </c>
      <c r="AN67" s="133">
        <f>商品录入!AN67*$E67</f>
        <v>0</v>
      </c>
      <c r="AO67" s="133">
        <f>商品录入!AO67*$E67</f>
        <v>0</v>
      </c>
      <c r="AP67" s="133">
        <f>商品录入!AP67*$E67</f>
        <v>0</v>
      </c>
      <c r="AQ67" s="133">
        <f>商品录入!AQ67*$E67</f>
        <v>0</v>
      </c>
      <c r="AR67" s="133">
        <f>商品录入!AR67*$E67</f>
        <v>0</v>
      </c>
      <c r="AS67" s="133">
        <f>商品录入!AS67*$E67</f>
        <v>0</v>
      </c>
      <c r="AT67" s="133">
        <f>商品录入!AT67*$E67</f>
        <v>0</v>
      </c>
      <c r="AU67" s="133">
        <f>商品录入!AU67*$E67</f>
        <v>0</v>
      </c>
      <c r="AV67" s="133">
        <f>商品录入!AV67*$E67</f>
        <v>0</v>
      </c>
      <c r="AW67" s="133">
        <f>商品录入!AW67*$E67</f>
        <v>0</v>
      </c>
      <c r="AX67" s="133">
        <f>商品录入!AX67*$E67</f>
        <v>0</v>
      </c>
      <c r="AY67" s="133">
        <f>商品录入!AY67*$E67</f>
        <v>0</v>
      </c>
      <c r="AZ67" s="133">
        <f>商品录入!AZ67*$E67</f>
        <v>0</v>
      </c>
      <c r="BA67" s="133">
        <f>商品录入!BA67*$E67</f>
        <v>0</v>
      </c>
      <c r="BB67" s="133">
        <f>商品录入!BB67*$E67</f>
        <v>0</v>
      </c>
      <c r="BC67" s="133">
        <f>商品录入!BC67*$E67</f>
        <v>0</v>
      </c>
      <c r="BD67" s="133">
        <f>商品录入!BD67*$E67</f>
        <v>0</v>
      </c>
      <c r="BE67" s="133">
        <f>商品录入!BE67*$E67</f>
        <v>0</v>
      </c>
      <c r="BF67" s="133">
        <f>商品录入!BF67*$E67</f>
        <v>0</v>
      </c>
      <c r="BG67" s="133">
        <f>商品录入!BG67*$E67</f>
        <v>0</v>
      </c>
      <c r="BH67" s="133">
        <f>商品录入!BH67*$E67</f>
        <v>0</v>
      </c>
      <c r="BI67" s="133">
        <f>商品录入!BI67*$E67</f>
        <v>0</v>
      </c>
      <c r="BJ67" s="133">
        <f>商品录入!BJ67*$E67</f>
        <v>0</v>
      </c>
      <c r="BK67" s="133">
        <f>商品录入!BK67*$E67</f>
        <v>0</v>
      </c>
      <c r="BL67" s="133">
        <f>商品录入!BL67*$E67</f>
        <v>0</v>
      </c>
      <c r="BM67" s="133">
        <f>商品录入!BM67*$E67</f>
        <v>0</v>
      </c>
      <c r="BN67" s="133">
        <f>商品录入!BN67*$E67</f>
        <v>0</v>
      </c>
      <c r="BO67" s="133">
        <f>商品录入!BO67*$E67</f>
        <v>0</v>
      </c>
      <c r="BP67" s="133">
        <f>商品录入!BP67*$E67</f>
        <v>0</v>
      </c>
      <c r="BQ67" s="133">
        <f>商品录入!BQ67*$E67</f>
        <v>0</v>
      </c>
      <c r="BR67" s="133">
        <f>商品录入!BR67*$E67</f>
        <v>0</v>
      </c>
      <c r="BS67" s="133">
        <f>商品录入!BS67*$E67</f>
        <v>0</v>
      </c>
      <c r="BT67" s="133">
        <f>商品录入!BT67*$E67</f>
        <v>0</v>
      </c>
      <c r="BU67" s="133">
        <f>商品录入!BU67*$E67</f>
        <v>0</v>
      </c>
      <c r="BV67" s="133">
        <f>商品录入!BV67*$E67</f>
        <v>0</v>
      </c>
      <c r="BW67" s="133">
        <f>商品录入!BW67*$E67</f>
        <v>0</v>
      </c>
    </row>
    <row r="68" s="178" customFormat="1" customHeight="1" spans="1:75">
      <c r="A68" s="161">
        <v>64</v>
      </c>
      <c r="B68" s="162">
        <f>商品录入!B68</f>
        <v>0</v>
      </c>
      <c r="C68" s="162">
        <f>商品录入!C68</f>
        <v>0</v>
      </c>
      <c r="D68" s="162">
        <f>商品录入!D68</f>
        <v>0</v>
      </c>
      <c r="E68" s="162">
        <f>商品录入!E68</f>
        <v>0</v>
      </c>
      <c r="F68" s="162">
        <f>商品录入!F68</f>
        <v>0</v>
      </c>
      <c r="G68" s="162">
        <f>商品录入!G68</f>
        <v>0</v>
      </c>
      <c r="H68" s="162">
        <f>商品录入!H68</f>
        <v>0</v>
      </c>
      <c r="I68" s="162">
        <f>商品录入!I68</f>
        <v>0</v>
      </c>
      <c r="J68" s="162">
        <f>商品录入!J68</f>
        <v>0</v>
      </c>
      <c r="K68" s="162">
        <f>商品录入!K68</f>
        <v>0</v>
      </c>
      <c r="L68" s="162">
        <f>商品录入!L68</f>
        <v>0</v>
      </c>
      <c r="M68" s="162">
        <f>商品录入!M68</f>
        <v>0</v>
      </c>
      <c r="N68" s="133">
        <f>商品录入!N68*$E68</f>
        <v>0</v>
      </c>
      <c r="O68" s="133">
        <f>商品录入!O68*$E68</f>
        <v>0</v>
      </c>
      <c r="P68" s="133">
        <f>商品录入!P68*$E68</f>
        <v>0</v>
      </c>
      <c r="Q68" s="133">
        <f>商品录入!Q68*$E68</f>
        <v>0</v>
      </c>
      <c r="R68" s="133">
        <f>商品录入!R68*$E68</f>
        <v>0</v>
      </c>
      <c r="S68" s="133">
        <f>商品录入!S68*$E68</f>
        <v>0</v>
      </c>
      <c r="T68" s="133">
        <f>商品录入!T68*$E68</f>
        <v>0</v>
      </c>
      <c r="U68" s="133">
        <f>商品录入!U68*$E68</f>
        <v>0</v>
      </c>
      <c r="V68" s="133">
        <f>商品录入!V68*$E68</f>
        <v>0</v>
      </c>
      <c r="W68" s="133">
        <f>商品录入!W68*$E68</f>
        <v>0</v>
      </c>
      <c r="X68" s="133">
        <f>商品录入!X68*$E68</f>
        <v>0</v>
      </c>
      <c r="Y68" s="133">
        <f>商品录入!Y68*$E68</f>
        <v>0</v>
      </c>
      <c r="Z68" s="133">
        <f>商品录入!Z68*$E68</f>
        <v>0</v>
      </c>
      <c r="AA68" s="133">
        <f>商品录入!AA68*$E68</f>
        <v>0</v>
      </c>
      <c r="AB68" s="133">
        <f>商品录入!AB68*$E68</f>
        <v>0</v>
      </c>
      <c r="AC68" s="133">
        <f>商品录入!AC68*$E68</f>
        <v>0</v>
      </c>
      <c r="AD68" s="133">
        <f>商品录入!AD68*$E68</f>
        <v>0</v>
      </c>
      <c r="AE68" s="133">
        <f>商品录入!AE68*$E68</f>
        <v>0</v>
      </c>
      <c r="AF68" s="133">
        <f>商品录入!AF68*$E68</f>
        <v>0</v>
      </c>
      <c r="AG68" s="133">
        <f>商品录入!AG68*$E68</f>
        <v>0</v>
      </c>
      <c r="AH68" s="133">
        <f>商品录入!AH68*$E68</f>
        <v>0</v>
      </c>
      <c r="AI68" s="133">
        <f>商品录入!AI68*$E68</f>
        <v>0</v>
      </c>
      <c r="AJ68" s="133">
        <f>商品录入!AJ68*$E68</f>
        <v>0</v>
      </c>
      <c r="AK68" s="133">
        <f>商品录入!AK68*$E68</f>
        <v>0</v>
      </c>
      <c r="AL68" s="133">
        <f>商品录入!AL68*$E68</f>
        <v>0</v>
      </c>
      <c r="AM68" s="133">
        <f>商品录入!AM68*$E68</f>
        <v>0</v>
      </c>
      <c r="AN68" s="133">
        <f>商品录入!AN68*$E68</f>
        <v>0</v>
      </c>
      <c r="AO68" s="133">
        <f>商品录入!AO68*$E68</f>
        <v>0</v>
      </c>
      <c r="AP68" s="133">
        <f>商品录入!AP68*$E68</f>
        <v>0</v>
      </c>
      <c r="AQ68" s="133">
        <f>商品录入!AQ68*$E68</f>
        <v>0</v>
      </c>
      <c r="AR68" s="133">
        <f>商品录入!AR68*$E68</f>
        <v>0</v>
      </c>
      <c r="AS68" s="133">
        <f>商品录入!AS68*$E68</f>
        <v>0</v>
      </c>
      <c r="AT68" s="133">
        <f>商品录入!AT68*$E68</f>
        <v>0</v>
      </c>
      <c r="AU68" s="133">
        <f>商品录入!AU68*$E68</f>
        <v>0</v>
      </c>
      <c r="AV68" s="133">
        <f>商品录入!AV68*$E68</f>
        <v>0</v>
      </c>
      <c r="AW68" s="133">
        <f>商品录入!AW68*$E68</f>
        <v>0</v>
      </c>
      <c r="AX68" s="133">
        <f>商品录入!AX68*$E68</f>
        <v>0</v>
      </c>
      <c r="AY68" s="133">
        <f>商品录入!AY68*$E68</f>
        <v>0</v>
      </c>
      <c r="AZ68" s="133">
        <f>商品录入!AZ68*$E68</f>
        <v>0</v>
      </c>
      <c r="BA68" s="133">
        <f>商品录入!BA68*$E68</f>
        <v>0</v>
      </c>
      <c r="BB68" s="133">
        <f>商品录入!BB68*$E68</f>
        <v>0</v>
      </c>
      <c r="BC68" s="133">
        <f>商品录入!BC68*$E68</f>
        <v>0</v>
      </c>
      <c r="BD68" s="133">
        <f>商品录入!BD68*$E68</f>
        <v>0</v>
      </c>
      <c r="BE68" s="133">
        <f>商品录入!BE68*$E68</f>
        <v>0</v>
      </c>
      <c r="BF68" s="133">
        <f>商品录入!BF68*$E68</f>
        <v>0</v>
      </c>
      <c r="BG68" s="133">
        <f>商品录入!BG68*$E68</f>
        <v>0</v>
      </c>
      <c r="BH68" s="133">
        <f>商品录入!BH68*$E68</f>
        <v>0</v>
      </c>
      <c r="BI68" s="133">
        <f>商品录入!BI68*$E68</f>
        <v>0</v>
      </c>
      <c r="BJ68" s="133">
        <f>商品录入!BJ68*$E68</f>
        <v>0</v>
      </c>
      <c r="BK68" s="133">
        <f>商品录入!BK68*$E68</f>
        <v>0</v>
      </c>
      <c r="BL68" s="133">
        <f>商品录入!BL68*$E68</f>
        <v>0</v>
      </c>
      <c r="BM68" s="133">
        <f>商品录入!BM68*$E68</f>
        <v>0</v>
      </c>
      <c r="BN68" s="133">
        <f>商品录入!BN68*$E68</f>
        <v>0</v>
      </c>
      <c r="BO68" s="133">
        <f>商品录入!BO68*$E68</f>
        <v>0</v>
      </c>
      <c r="BP68" s="133">
        <f>商品录入!BP68*$E68</f>
        <v>0</v>
      </c>
      <c r="BQ68" s="133">
        <f>商品录入!BQ68*$E68</f>
        <v>0</v>
      </c>
      <c r="BR68" s="133">
        <f>商品录入!BR68*$E68</f>
        <v>0</v>
      </c>
      <c r="BS68" s="133">
        <f>商品录入!BS68*$E68</f>
        <v>0</v>
      </c>
      <c r="BT68" s="133">
        <f>商品录入!BT68*$E68</f>
        <v>0</v>
      </c>
      <c r="BU68" s="133">
        <f>商品录入!BU68*$E68</f>
        <v>0</v>
      </c>
      <c r="BV68" s="133">
        <f>商品录入!BV68*$E68</f>
        <v>0</v>
      </c>
      <c r="BW68" s="133">
        <f>商品录入!BW68*$E68</f>
        <v>0</v>
      </c>
    </row>
    <row r="69" s="178" customFormat="1" customHeight="1" spans="1:75">
      <c r="A69" s="161">
        <v>65</v>
      </c>
      <c r="B69" s="162">
        <f>商品录入!B69</f>
        <v>0</v>
      </c>
      <c r="C69" s="162">
        <f>商品录入!C69</f>
        <v>0</v>
      </c>
      <c r="D69" s="162">
        <f>商品录入!D69</f>
        <v>0</v>
      </c>
      <c r="E69" s="162">
        <f>商品录入!E69</f>
        <v>0</v>
      </c>
      <c r="F69" s="162">
        <f>商品录入!F69</f>
        <v>0</v>
      </c>
      <c r="G69" s="162">
        <f>商品录入!G69</f>
        <v>0</v>
      </c>
      <c r="H69" s="162">
        <f>商品录入!H69</f>
        <v>0</v>
      </c>
      <c r="I69" s="162">
        <f>商品录入!I69</f>
        <v>0</v>
      </c>
      <c r="J69" s="162">
        <f>商品录入!J69</f>
        <v>0</v>
      </c>
      <c r="K69" s="162">
        <f>商品录入!K69</f>
        <v>0</v>
      </c>
      <c r="L69" s="162">
        <f>商品录入!L69</f>
        <v>0</v>
      </c>
      <c r="M69" s="162">
        <f>商品录入!M69</f>
        <v>0</v>
      </c>
      <c r="N69" s="133">
        <f>商品录入!N69*$E69</f>
        <v>0</v>
      </c>
      <c r="O69" s="133">
        <f>商品录入!O69*$E69</f>
        <v>0</v>
      </c>
      <c r="P69" s="133">
        <f>商品录入!P69*$E69</f>
        <v>0</v>
      </c>
      <c r="Q69" s="133">
        <f>商品录入!Q69*$E69</f>
        <v>0</v>
      </c>
      <c r="R69" s="133">
        <f>商品录入!R69*$E69</f>
        <v>0</v>
      </c>
      <c r="S69" s="133">
        <f>商品录入!S69*$E69</f>
        <v>0</v>
      </c>
      <c r="T69" s="133">
        <f>商品录入!T69*$E69</f>
        <v>0</v>
      </c>
      <c r="U69" s="133">
        <f>商品录入!U69*$E69</f>
        <v>0</v>
      </c>
      <c r="V69" s="133">
        <f>商品录入!V69*$E69</f>
        <v>0</v>
      </c>
      <c r="W69" s="133">
        <f>商品录入!W69*$E69</f>
        <v>0</v>
      </c>
      <c r="X69" s="133">
        <f>商品录入!X69*$E69</f>
        <v>0</v>
      </c>
      <c r="Y69" s="133">
        <f>商品录入!Y69*$E69</f>
        <v>0</v>
      </c>
      <c r="Z69" s="133">
        <f>商品录入!Z69*$E69</f>
        <v>0</v>
      </c>
      <c r="AA69" s="133">
        <f>商品录入!AA69*$E69</f>
        <v>0</v>
      </c>
      <c r="AB69" s="133">
        <f>商品录入!AB69*$E69</f>
        <v>0</v>
      </c>
      <c r="AC69" s="133">
        <f>商品录入!AC69*$E69</f>
        <v>0</v>
      </c>
      <c r="AD69" s="133">
        <f>商品录入!AD69*$E69</f>
        <v>0</v>
      </c>
      <c r="AE69" s="133">
        <f>商品录入!AE69*$E69</f>
        <v>0</v>
      </c>
      <c r="AF69" s="133">
        <f>商品录入!AF69*$E69</f>
        <v>0</v>
      </c>
      <c r="AG69" s="133">
        <f>商品录入!AG69*$E69</f>
        <v>0</v>
      </c>
      <c r="AH69" s="133">
        <f>商品录入!AH69*$E69</f>
        <v>0</v>
      </c>
      <c r="AI69" s="133">
        <f>商品录入!AI69*$E69</f>
        <v>0</v>
      </c>
      <c r="AJ69" s="133">
        <f>商品录入!AJ69*$E69</f>
        <v>0</v>
      </c>
      <c r="AK69" s="133">
        <f>商品录入!AK69*$E69</f>
        <v>0</v>
      </c>
      <c r="AL69" s="133">
        <f>商品录入!AL69*$E69</f>
        <v>0</v>
      </c>
      <c r="AM69" s="133">
        <f>商品录入!AM69*$E69</f>
        <v>0</v>
      </c>
      <c r="AN69" s="133">
        <f>商品录入!AN69*$E69</f>
        <v>0</v>
      </c>
      <c r="AO69" s="133">
        <f>商品录入!AO69*$E69</f>
        <v>0</v>
      </c>
      <c r="AP69" s="133">
        <f>商品录入!AP69*$E69</f>
        <v>0</v>
      </c>
      <c r="AQ69" s="133">
        <f>商品录入!AQ69*$E69</f>
        <v>0</v>
      </c>
      <c r="AR69" s="133">
        <f>商品录入!AR69*$E69</f>
        <v>0</v>
      </c>
      <c r="AS69" s="133">
        <f>商品录入!AS69*$E69</f>
        <v>0</v>
      </c>
      <c r="AT69" s="133">
        <f>商品录入!AT69*$E69</f>
        <v>0</v>
      </c>
      <c r="AU69" s="133">
        <f>商品录入!AU69*$E69</f>
        <v>0</v>
      </c>
      <c r="AV69" s="133">
        <f>商品录入!AV69*$E69</f>
        <v>0</v>
      </c>
      <c r="AW69" s="133">
        <f>商品录入!AW69*$E69</f>
        <v>0</v>
      </c>
      <c r="AX69" s="133">
        <f>商品录入!AX69*$E69</f>
        <v>0</v>
      </c>
      <c r="AY69" s="133">
        <f>商品录入!AY69*$E69</f>
        <v>0</v>
      </c>
      <c r="AZ69" s="133">
        <f>商品录入!AZ69*$E69</f>
        <v>0</v>
      </c>
      <c r="BA69" s="133">
        <f>商品录入!BA69*$E69</f>
        <v>0</v>
      </c>
      <c r="BB69" s="133">
        <f>商品录入!BB69*$E69</f>
        <v>0</v>
      </c>
      <c r="BC69" s="133">
        <f>商品录入!BC69*$E69</f>
        <v>0</v>
      </c>
      <c r="BD69" s="133">
        <f>商品录入!BD69*$E69</f>
        <v>0</v>
      </c>
      <c r="BE69" s="133">
        <f>商品录入!BE69*$E69</f>
        <v>0</v>
      </c>
      <c r="BF69" s="133">
        <f>商品录入!BF69*$E69</f>
        <v>0</v>
      </c>
      <c r="BG69" s="133">
        <f>商品录入!BG69*$E69</f>
        <v>0</v>
      </c>
      <c r="BH69" s="133">
        <f>商品录入!BH69*$E69</f>
        <v>0</v>
      </c>
      <c r="BI69" s="133">
        <f>商品录入!BI69*$E69</f>
        <v>0</v>
      </c>
      <c r="BJ69" s="133">
        <f>商品录入!BJ69*$E69</f>
        <v>0</v>
      </c>
      <c r="BK69" s="133">
        <f>商品录入!BK69*$E69</f>
        <v>0</v>
      </c>
      <c r="BL69" s="133">
        <f>商品录入!BL69*$E69</f>
        <v>0</v>
      </c>
      <c r="BM69" s="133">
        <f>商品录入!BM69*$E69</f>
        <v>0</v>
      </c>
      <c r="BN69" s="133">
        <f>商品录入!BN69*$E69</f>
        <v>0</v>
      </c>
      <c r="BO69" s="133">
        <f>商品录入!BO69*$E69</f>
        <v>0</v>
      </c>
      <c r="BP69" s="133">
        <f>商品录入!BP69*$E69</f>
        <v>0</v>
      </c>
      <c r="BQ69" s="133">
        <f>商品录入!BQ69*$E69</f>
        <v>0</v>
      </c>
      <c r="BR69" s="133">
        <f>商品录入!BR69*$E69</f>
        <v>0</v>
      </c>
      <c r="BS69" s="133">
        <f>商品录入!BS69*$E69</f>
        <v>0</v>
      </c>
      <c r="BT69" s="133">
        <f>商品录入!BT69*$E69</f>
        <v>0</v>
      </c>
      <c r="BU69" s="133">
        <f>商品录入!BU69*$E69</f>
        <v>0</v>
      </c>
      <c r="BV69" s="133">
        <f>商品录入!BV69*$E69</f>
        <v>0</v>
      </c>
      <c r="BW69" s="133">
        <f>商品录入!BW69*$E69</f>
        <v>0</v>
      </c>
    </row>
    <row r="70" s="178" customFormat="1" customHeight="1" spans="1:75">
      <c r="A70" s="161">
        <v>66</v>
      </c>
      <c r="B70" s="162">
        <f>商品录入!B70</f>
        <v>0</v>
      </c>
      <c r="C70" s="162">
        <f>商品录入!C70</f>
        <v>0</v>
      </c>
      <c r="D70" s="162">
        <f>商品录入!D70</f>
        <v>0</v>
      </c>
      <c r="E70" s="162">
        <f>商品录入!E70</f>
        <v>0</v>
      </c>
      <c r="F70" s="162">
        <f>商品录入!F70</f>
        <v>0</v>
      </c>
      <c r="G70" s="162">
        <f>商品录入!G70</f>
        <v>0</v>
      </c>
      <c r="H70" s="162">
        <f>商品录入!H70</f>
        <v>0</v>
      </c>
      <c r="I70" s="162">
        <f>商品录入!I70</f>
        <v>0</v>
      </c>
      <c r="J70" s="162">
        <f>商品录入!J70</f>
        <v>0</v>
      </c>
      <c r="K70" s="162">
        <f>商品录入!K70</f>
        <v>0</v>
      </c>
      <c r="L70" s="162">
        <f>商品录入!L70</f>
        <v>0</v>
      </c>
      <c r="M70" s="162">
        <f>商品录入!M70</f>
        <v>0</v>
      </c>
      <c r="N70" s="133">
        <f>商品录入!N70*$E70</f>
        <v>0</v>
      </c>
      <c r="O70" s="133">
        <f>商品录入!O70*$E70</f>
        <v>0</v>
      </c>
      <c r="P70" s="133">
        <f>商品录入!P70*$E70</f>
        <v>0</v>
      </c>
      <c r="Q70" s="133">
        <f>商品录入!Q70*$E70</f>
        <v>0</v>
      </c>
      <c r="R70" s="133">
        <f>商品录入!R70*$E70</f>
        <v>0</v>
      </c>
      <c r="S70" s="133">
        <f>商品录入!S70*$E70</f>
        <v>0</v>
      </c>
      <c r="T70" s="133">
        <f>商品录入!T70*$E70</f>
        <v>0</v>
      </c>
      <c r="U70" s="133">
        <f>商品录入!U70*$E70</f>
        <v>0</v>
      </c>
      <c r="V70" s="133">
        <f>商品录入!V70*$E70</f>
        <v>0</v>
      </c>
      <c r="W70" s="133">
        <f>商品录入!W70*$E70</f>
        <v>0</v>
      </c>
      <c r="X70" s="133">
        <f>商品录入!X70*$E70</f>
        <v>0</v>
      </c>
      <c r="Y70" s="133">
        <f>商品录入!Y70*$E70</f>
        <v>0</v>
      </c>
      <c r="Z70" s="133">
        <f>商品录入!Z70*$E70</f>
        <v>0</v>
      </c>
      <c r="AA70" s="133">
        <f>商品录入!AA70*$E70</f>
        <v>0</v>
      </c>
      <c r="AB70" s="133">
        <f>商品录入!AB70*$E70</f>
        <v>0</v>
      </c>
      <c r="AC70" s="133">
        <f>商品录入!AC70*$E70</f>
        <v>0</v>
      </c>
      <c r="AD70" s="133">
        <f>商品录入!AD70*$E70</f>
        <v>0</v>
      </c>
      <c r="AE70" s="133">
        <f>商品录入!AE70*$E70</f>
        <v>0</v>
      </c>
      <c r="AF70" s="133">
        <f>商品录入!AF70*$E70</f>
        <v>0</v>
      </c>
      <c r="AG70" s="133">
        <f>商品录入!AG70*$E70</f>
        <v>0</v>
      </c>
      <c r="AH70" s="133">
        <f>商品录入!AH70*$E70</f>
        <v>0</v>
      </c>
      <c r="AI70" s="133">
        <f>商品录入!AI70*$E70</f>
        <v>0</v>
      </c>
      <c r="AJ70" s="133">
        <f>商品录入!AJ70*$E70</f>
        <v>0</v>
      </c>
      <c r="AK70" s="133">
        <f>商品录入!AK70*$E70</f>
        <v>0</v>
      </c>
      <c r="AL70" s="133">
        <f>商品录入!AL70*$E70</f>
        <v>0</v>
      </c>
      <c r="AM70" s="133">
        <f>商品录入!AM70*$E70</f>
        <v>0</v>
      </c>
      <c r="AN70" s="133">
        <f>商品录入!AN70*$E70</f>
        <v>0</v>
      </c>
      <c r="AO70" s="133">
        <f>商品录入!AO70*$E70</f>
        <v>0</v>
      </c>
      <c r="AP70" s="133">
        <f>商品录入!AP70*$E70</f>
        <v>0</v>
      </c>
      <c r="AQ70" s="133">
        <f>商品录入!AQ70*$E70</f>
        <v>0</v>
      </c>
      <c r="AR70" s="133">
        <f>商品录入!AR70*$E70</f>
        <v>0</v>
      </c>
      <c r="AS70" s="133">
        <f>商品录入!AS70*$E70</f>
        <v>0</v>
      </c>
      <c r="AT70" s="133">
        <f>商品录入!AT70*$E70</f>
        <v>0</v>
      </c>
      <c r="AU70" s="133">
        <f>商品录入!AU70*$E70</f>
        <v>0</v>
      </c>
      <c r="AV70" s="133">
        <f>商品录入!AV70*$E70</f>
        <v>0</v>
      </c>
      <c r="AW70" s="133">
        <f>商品录入!AW70*$E70</f>
        <v>0</v>
      </c>
      <c r="AX70" s="133">
        <f>商品录入!AX70*$E70</f>
        <v>0</v>
      </c>
      <c r="AY70" s="133">
        <f>商品录入!AY70*$E70</f>
        <v>0</v>
      </c>
      <c r="AZ70" s="133">
        <f>商品录入!AZ70*$E70</f>
        <v>0</v>
      </c>
      <c r="BA70" s="133">
        <f>商品录入!BA70*$E70</f>
        <v>0</v>
      </c>
      <c r="BB70" s="133">
        <f>商品录入!BB70*$E70</f>
        <v>0</v>
      </c>
      <c r="BC70" s="133">
        <f>商品录入!BC70*$E70</f>
        <v>0</v>
      </c>
      <c r="BD70" s="133">
        <f>商品录入!BD70*$E70</f>
        <v>0</v>
      </c>
      <c r="BE70" s="133">
        <f>商品录入!BE70*$E70</f>
        <v>0</v>
      </c>
      <c r="BF70" s="133">
        <f>商品录入!BF70*$E70</f>
        <v>0</v>
      </c>
      <c r="BG70" s="133">
        <f>商品录入!BG70*$E70</f>
        <v>0</v>
      </c>
      <c r="BH70" s="133">
        <f>商品录入!BH70*$E70</f>
        <v>0</v>
      </c>
      <c r="BI70" s="133">
        <f>商品录入!BI70*$E70</f>
        <v>0</v>
      </c>
      <c r="BJ70" s="133">
        <f>商品录入!BJ70*$E70</f>
        <v>0</v>
      </c>
      <c r="BK70" s="133">
        <f>商品录入!BK70*$E70</f>
        <v>0</v>
      </c>
      <c r="BL70" s="133">
        <f>商品录入!BL70*$E70</f>
        <v>0</v>
      </c>
      <c r="BM70" s="133">
        <f>商品录入!BM70*$E70</f>
        <v>0</v>
      </c>
      <c r="BN70" s="133">
        <f>商品录入!BN70*$E70</f>
        <v>0</v>
      </c>
      <c r="BO70" s="133">
        <f>商品录入!BO70*$E70</f>
        <v>0</v>
      </c>
      <c r="BP70" s="133">
        <f>商品录入!BP70*$E70</f>
        <v>0</v>
      </c>
      <c r="BQ70" s="133">
        <f>商品录入!BQ70*$E70</f>
        <v>0</v>
      </c>
      <c r="BR70" s="133">
        <f>商品录入!BR70*$E70</f>
        <v>0</v>
      </c>
      <c r="BS70" s="133">
        <f>商品录入!BS70*$E70</f>
        <v>0</v>
      </c>
      <c r="BT70" s="133">
        <f>商品录入!BT70*$E70</f>
        <v>0</v>
      </c>
      <c r="BU70" s="133">
        <f>商品录入!BU70*$E70</f>
        <v>0</v>
      </c>
      <c r="BV70" s="133">
        <f>商品录入!BV70*$E70</f>
        <v>0</v>
      </c>
      <c r="BW70" s="133">
        <f>商品录入!BW70*$E70</f>
        <v>0</v>
      </c>
    </row>
    <row r="71" s="178" customFormat="1" customHeight="1" spans="1:75">
      <c r="A71" s="161">
        <v>67</v>
      </c>
      <c r="B71" s="162">
        <f>商品录入!B71</f>
        <v>0</v>
      </c>
      <c r="C71" s="162">
        <f>商品录入!C71</f>
        <v>0</v>
      </c>
      <c r="D71" s="162">
        <f>商品录入!D71</f>
        <v>0</v>
      </c>
      <c r="E71" s="162">
        <f>商品录入!E71</f>
        <v>0</v>
      </c>
      <c r="F71" s="162">
        <f>商品录入!F71</f>
        <v>0</v>
      </c>
      <c r="G71" s="162">
        <f>商品录入!G71</f>
        <v>0</v>
      </c>
      <c r="H71" s="162">
        <f>商品录入!H71</f>
        <v>0</v>
      </c>
      <c r="I71" s="162">
        <f>商品录入!I71</f>
        <v>0</v>
      </c>
      <c r="J71" s="162">
        <f>商品录入!J71</f>
        <v>0</v>
      </c>
      <c r="K71" s="162">
        <f>商品录入!K71</f>
        <v>0</v>
      </c>
      <c r="L71" s="162">
        <f>商品录入!L71</f>
        <v>0</v>
      </c>
      <c r="M71" s="162">
        <f>商品录入!M71</f>
        <v>0</v>
      </c>
      <c r="N71" s="133">
        <f>商品录入!N71*$E71</f>
        <v>0</v>
      </c>
      <c r="O71" s="133">
        <f>商品录入!O71*$E71</f>
        <v>0</v>
      </c>
      <c r="P71" s="133">
        <f>商品录入!P71*$E71</f>
        <v>0</v>
      </c>
      <c r="Q71" s="133">
        <f>商品录入!Q71*$E71</f>
        <v>0</v>
      </c>
      <c r="R71" s="133">
        <f>商品录入!R71*$E71</f>
        <v>0</v>
      </c>
      <c r="S71" s="133">
        <f>商品录入!S71*$E71</f>
        <v>0</v>
      </c>
      <c r="T71" s="133">
        <f>商品录入!T71*$E71</f>
        <v>0</v>
      </c>
      <c r="U71" s="133">
        <f>商品录入!U71*$E71</f>
        <v>0</v>
      </c>
      <c r="V71" s="133">
        <f>商品录入!V71*$E71</f>
        <v>0</v>
      </c>
      <c r="W71" s="133">
        <f>商品录入!W71*$E71</f>
        <v>0</v>
      </c>
      <c r="X71" s="133">
        <f>商品录入!X71*$E71</f>
        <v>0</v>
      </c>
      <c r="Y71" s="133">
        <f>商品录入!Y71*$E71</f>
        <v>0</v>
      </c>
      <c r="Z71" s="133">
        <f>商品录入!Z71*$E71</f>
        <v>0</v>
      </c>
      <c r="AA71" s="133">
        <f>商品录入!AA71*$E71</f>
        <v>0</v>
      </c>
      <c r="AB71" s="133">
        <f>商品录入!AB71*$E71</f>
        <v>0</v>
      </c>
      <c r="AC71" s="133">
        <f>商品录入!AC71*$E71</f>
        <v>0</v>
      </c>
      <c r="AD71" s="133">
        <f>商品录入!AD71*$E71</f>
        <v>0</v>
      </c>
      <c r="AE71" s="133">
        <f>商品录入!AE71*$E71</f>
        <v>0</v>
      </c>
      <c r="AF71" s="133">
        <f>商品录入!AF71*$E71</f>
        <v>0</v>
      </c>
      <c r="AG71" s="133">
        <f>商品录入!AG71*$E71</f>
        <v>0</v>
      </c>
      <c r="AH71" s="133">
        <f>商品录入!AH71*$E71</f>
        <v>0</v>
      </c>
      <c r="AI71" s="133">
        <f>商品录入!AI71*$E71</f>
        <v>0</v>
      </c>
      <c r="AJ71" s="133">
        <f>商品录入!AJ71*$E71</f>
        <v>0</v>
      </c>
      <c r="AK71" s="133">
        <f>商品录入!AK71*$E71</f>
        <v>0</v>
      </c>
      <c r="AL71" s="133">
        <f>商品录入!AL71*$E71</f>
        <v>0</v>
      </c>
      <c r="AM71" s="133">
        <f>商品录入!AM71*$E71</f>
        <v>0</v>
      </c>
      <c r="AN71" s="133">
        <f>商品录入!AN71*$E71</f>
        <v>0</v>
      </c>
      <c r="AO71" s="133">
        <f>商品录入!AO71*$E71</f>
        <v>0</v>
      </c>
      <c r="AP71" s="133">
        <f>商品录入!AP71*$E71</f>
        <v>0</v>
      </c>
      <c r="AQ71" s="133">
        <f>商品录入!AQ71*$E71</f>
        <v>0</v>
      </c>
      <c r="AR71" s="133">
        <f>商品录入!AR71*$E71</f>
        <v>0</v>
      </c>
      <c r="AS71" s="133">
        <f>商品录入!AS71*$E71</f>
        <v>0</v>
      </c>
      <c r="AT71" s="133">
        <f>商品录入!AT71*$E71</f>
        <v>0</v>
      </c>
      <c r="AU71" s="133">
        <f>商品录入!AU71*$E71</f>
        <v>0</v>
      </c>
      <c r="AV71" s="133">
        <f>商品录入!AV71*$E71</f>
        <v>0</v>
      </c>
      <c r="AW71" s="133">
        <f>商品录入!AW71*$E71</f>
        <v>0</v>
      </c>
      <c r="AX71" s="133">
        <f>商品录入!AX71*$E71</f>
        <v>0</v>
      </c>
      <c r="AY71" s="133">
        <f>商品录入!AY71*$E71</f>
        <v>0</v>
      </c>
      <c r="AZ71" s="133">
        <f>商品录入!AZ71*$E71</f>
        <v>0</v>
      </c>
      <c r="BA71" s="133">
        <f>商品录入!BA71*$E71</f>
        <v>0</v>
      </c>
      <c r="BB71" s="133">
        <f>商品录入!BB71*$E71</f>
        <v>0</v>
      </c>
      <c r="BC71" s="133">
        <f>商品录入!BC71*$E71</f>
        <v>0</v>
      </c>
      <c r="BD71" s="133">
        <f>商品录入!BD71*$E71</f>
        <v>0</v>
      </c>
      <c r="BE71" s="133">
        <f>商品录入!BE71*$E71</f>
        <v>0</v>
      </c>
      <c r="BF71" s="133">
        <f>商品录入!BF71*$E71</f>
        <v>0</v>
      </c>
      <c r="BG71" s="133">
        <f>商品录入!BG71*$E71</f>
        <v>0</v>
      </c>
      <c r="BH71" s="133">
        <f>商品录入!BH71*$E71</f>
        <v>0</v>
      </c>
      <c r="BI71" s="133">
        <f>商品录入!BI71*$E71</f>
        <v>0</v>
      </c>
      <c r="BJ71" s="133">
        <f>商品录入!BJ71*$E71</f>
        <v>0</v>
      </c>
      <c r="BK71" s="133">
        <f>商品录入!BK71*$E71</f>
        <v>0</v>
      </c>
      <c r="BL71" s="133">
        <f>商品录入!BL71*$E71</f>
        <v>0</v>
      </c>
      <c r="BM71" s="133">
        <f>商品录入!BM71*$E71</f>
        <v>0</v>
      </c>
      <c r="BN71" s="133">
        <f>商品录入!BN71*$E71</f>
        <v>0</v>
      </c>
      <c r="BO71" s="133">
        <f>商品录入!BO71*$E71</f>
        <v>0</v>
      </c>
      <c r="BP71" s="133">
        <f>商品录入!BP71*$E71</f>
        <v>0</v>
      </c>
      <c r="BQ71" s="133">
        <f>商品录入!BQ71*$E71</f>
        <v>0</v>
      </c>
      <c r="BR71" s="133">
        <f>商品录入!BR71*$E71</f>
        <v>0</v>
      </c>
      <c r="BS71" s="133">
        <f>商品录入!BS71*$E71</f>
        <v>0</v>
      </c>
      <c r="BT71" s="133">
        <f>商品录入!BT71*$E71</f>
        <v>0</v>
      </c>
      <c r="BU71" s="133">
        <f>商品录入!BU71*$E71</f>
        <v>0</v>
      </c>
      <c r="BV71" s="133">
        <f>商品录入!BV71*$E71</f>
        <v>0</v>
      </c>
      <c r="BW71" s="133">
        <f>商品录入!BW71*$E71</f>
        <v>0</v>
      </c>
    </row>
    <row r="72" s="178" customFormat="1" customHeight="1" spans="1:75">
      <c r="A72" s="161">
        <v>68</v>
      </c>
      <c r="B72" s="162">
        <f>商品录入!B72</f>
        <v>0</v>
      </c>
      <c r="C72" s="162">
        <f>商品录入!C72</f>
        <v>0</v>
      </c>
      <c r="D72" s="162">
        <f>商品录入!D72</f>
        <v>0</v>
      </c>
      <c r="E72" s="162">
        <f>商品录入!E72</f>
        <v>0</v>
      </c>
      <c r="F72" s="162">
        <f>商品录入!F72</f>
        <v>0</v>
      </c>
      <c r="G72" s="162">
        <f>商品录入!G72</f>
        <v>0</v>
      </c>
      <c r="H72" s="162">
        <f>商品录入!H72</f>
        <v>0</v>
      </c>
      <c r="I72" s="162">
        <f>商品录入!I72</f>
        <v>0</v>
      </c>
      <c r="J72" s="162">
        <f>商品录入!J72</f>
        <v>0</v>
      </c>
      <c r="K72" s="162">
        <f>商品录入!K72</f>
        <v>0</v>
      </c>
      <c r="L72" s="162">
        <f>商品录入!L72</f>
        <v>0</v>
      </c>
      <c r="M72" s="162">
        <f>商品录入!M72</f>
        <v>0</v>
      </c>
      <c r="N72" s="133">
        <f>商品录入!N72*$E72</f>
        <v>0</v>
      </c>
      <c r="O72" s="133">
        <f>商品录入!O72*$E72</f>
        <v>0</v>
      </c>
      <c r="P72" s="133">
        <f>商品录入!P72*$E72</f>
        <v>0</v>
      </c>
      <c r="Q72" s="133">
        <f>商品录入!Q72*$E72</f>
        <v>0</v>
      </c>
      <c r="R72" s="133">
        <f>商品录入!R72*$E72</f>
        <v>0</v>
      </c>
      <c r="S72" s="133">
        <f>商品录入!S72*$E72</f>
        <v>0</v>
      </c>
      <c r="T72" s="133">
        <f>商品录入!T72*$E72</f>
        <v>0</v>
      </c>
      <c r="U72" s="133">
        <f>商品录入!U72*$E72</f>
        <v>0</v>
      </c>
      <c r="V72" s="133">
        <f>商品录入!V72*$E72</f>
        <v>0</v>
      </c>
      <c r="W72" s="133">
        <f>商品录入!W72*$E72</f>
        <v>0</v>
      </c>
      <c r="X72" s="133">
        <f>商品录入!X72*$E72</f>
        <v>0</v>
      </c>
      <c r="Y72" s="133">
        <f>商品录入!Y72*$E72</f>
        <v>0</v>
      </c>
      <c r="Z72" s="133">
        <f>商品录入!Z72*$E72</f>
        <v>0</v>
      </c>
      <c r="AA72" s="133">
        <f>商品录入!AA72*$E72</f>
        <v>0</v>
      </c>
      <c r="AB72" s="133">
        <f>商品录入!AB72*$E72</f>
        <v>0</v>
      </c>
      <c r="AC72" s="133">
        <f>商品录入!AC72*$E72</f>
        <v>0</v>
      </c>
      <c r="AD72" s="133">
        <f>商品录入!AD72*$E72</f>
        <v>0</v>
      </c>
      <c r="AE72" s="133">
        <f>商品录入!AE72*$E72</f>
        <v>0</v>
      </c>
      <c r="AF72" s="133">
        <f>商品录入!AF72*$E72</f>
        <v>0</v>
      </c>
      <c r="AG72" s="133">
        <f>商品录入!AG72*$E72</f>
        <v>0</v>
      </c>
      <c r="AH72" s="133">
        <f>商品录入!AH72*$E72</f>
        <v>0</v>
      </c>
      <c r="AI72" s="133">
        <f>商品录入!AI72*$E72</f>
        <v>0</v>
      </c>
      <c r="AJ72" s="133">
        <f>商品录入!AJ72*$E72</f>
        <v>0</v>
      </c>
      <c r="AK72" s="133">
        <f>商品录入!AK72*$E72</f>
        <v>0</v>
      </c>
      <c r="AL72" s="133">
        <f>商品录入!AL72*$E72</f>
        <v>0</v>
      </c>
      <c r="AM72" s="133">
        <f>商品录入!AM72*$E72</f>
        <v>0</v>
      </c>
      <c r="AN72" s="133">
        <f>商品录入!AN72*$E72</f>
        <v>0</v>
      </c>
      <c r="AO72" s="133">
        <f>商品录入!AO72*$E72</f>
        <v>0</v>
      </c>
      <c r="AP72" s="133">
        <f>商品录入!AP72*$E72</f>
        <v>0</v>
      </c>
      <c r="AQ72" s="133">
        <f>商品录入!AQ72*$E72</f>
        <v>0</v>
      </c>
      <c r="AR72" s="133">
        <f>商品录入!AR72*$E72</f>
        <v>0</v>
      </c>
      <c r="AS72" s="133">
        <f>商品录入!AS72*$E72</f>
        <v>0</v>
      </c>
      <c r="AT72" s="133">
        <f>商品录入!AT72*$E72</f>
        <v>0</v>
      </c>
      <c r="AU72" s="133">
        <f>商品录入!AU72*$E72</f>
        <v>0</v>
      </c>
      <c r="AV72" s="133">
        <f>商品录入!AV72*$E72</f>
        <v>0</v>
      </c>
      <c r="AW72" s="133">
        <f>商品录入!AW72*$E72</f>
        <v>0</v>
      </c>
      <c r="AX72" s="133">
        <f>商品录入!AX72*$E72</f>
        <v>0</v>
      </c>
      <c r="AY72" s="133">
        <f>商品录入!AY72*$E72</f>
        <v>0</v>
      </c>
      <c r="AZ72" s="133">
        <f>商品录入!AZ72*$E72</f>
        <v>0</v>
      </c>
      <c r="BA72" s="133">
        <f>商品录入!BA72*$E72</f>
        <v>0</v>
      </c>
      <c r="BB72" s="133">
        <f>商品录入!BB72*$E72</f>
        <v>0</v>
      </c>
      <c r="BC72" s="133">
        <f>商品录入!BC72*$E72</f>
        <v>0</v>
      </c>
      <c r="BD72" s="133">
        <f>商品录入!BD72*$E72</f>
        <v>0</v>
      </c>
      <c r="BE72" s="133">
        <f>商品录入!BE72*$E72</f>
        <v>0</v>
      </c>
      <c r="BF72" s="133">
        <f>商品录入!BF72*$E72</f>
        <v>0</v>
      </c>
      <c r="BG72" s="133">
        <f>商品录入!BG72*$E72</f>
        <v>0</v>
      </c>
      <c r="BH72" s="133">
        <f>商品录入!BH72*$E72</f>
        <v>0</v>
      </c>
      <c r="BI72" s="133">
        <f>商品录入!BI72*$E72</f>
        <v>0</v>
      </c>
      <c r="BJ72" s="133">
        <f>商品录入!BJ72*$E72</f>
        <v>0</v>
      </c>
      <c r="BK72" s="133">
        <f>商品录入!BK72*$E72</f>
        <v>0</v>
      </c>
      <c r="BL72" s="133">
        <f>商品录入!BL72*$E72</f>
        <v>0</v>
      </c>
      <c r="BM72" s="133">
        <f>商品录入!BM72*$E72</f>
        <v>0</v>
      </c>
      <c r="BN72" s="133">
        <f>商品录入!BN72*$E72</f>
        <v>0</v>
      </c>
      <c r="BO72" s="133">
        <f>商品录入!BO72*$E72</f>
        <v>0</v>
      </c>
      <c r="BP72" s="133">
        <f>商品录入!BP72*$E72</f>
        <v>0</v>
      </c>
      <c r="BQ72" s="133">
        <f>商品录入!BQ72*$E72</f>
        <v>0</v>
      </c>
      <c r="BR72" s="133">
        <f>商品录入!BR72*$E72</f>
        <v>0</v>
      </c>
      <c r="BS72" s="133">
        <f>商品录入!BS72*$E72</f>
        <v>0</v>
      </c>
      <c r="BT72" s="133">
        <f>商品录入!BT72*$E72</f>
        <v>0</v>
      </c>
      <c r="BU72" s="133">
        <f>商品录入!BU72*$E72</f>
        <v>0</v>
      </c>
      <c r="BV72" s="133">
        <f>商品录入!BV72*$E72</f>
        <v>0</v>
      </c>
      <c r="BW72" s="133">
        <f>商品录入!BW72*$E72</f>
        <v>0</v>
      </c>
    </row>
    <row r="73" s="178" customFormat="1" customHeight="1" spans="1:75">
      <c r="A73" s="161">
        <v>69</v>
      </c>
      <c r="B73" s="162">
        <f>商品录入!B73</f>
        <v>0</v>
      </c>
      <c r="C73" s="162">
        <f>商品录入!C73</f>
        <v>0</v>
      </c>
      <c r="D73" s="162">
        <f>商品录入!D73</f>
        <v>0</v>
      </c>
      <c r="E73" s="162">
        <f>商品录入!E73</f>
        <v>0</v>
      </c>
      <c r="F73" s="162">
        <f>商品录入!F73</f>
        <v>0</v>
      </c>
      <c r="G73" s="162">
        <f>商品录入!G73</f>
        <v>0</v>
      </c>
      <c r="H73" s="162">
        <f>商品录入!H73</f>
        <v>0</v>
      </c>
      <c r="I73" s="162">
        <f>商品录入!I73</f>
        <v>0</v>
      </c>
      <c r="J73" s="162">
        <f>商品录入!J73</f>
        <v>0</v>
      </c>
      <c r="K73" s="162">
        <f>商品录入!K73</f>
        <v>0</v>
      </c>
      <c r="L73" s="162">
        <f>商品录入!L73</f>
        <v>0</v>
      </c>
      <c r="M73" s="162">
        <f>商品录入!M73</f>
        <v>0</v>
      </c>
      <c r="N73" s="133">
        <f>商品录入!N73*$E73</f>
        <v>0</v>
      </c>
      <c r="O73" s="133">
        <f>商品录入!O73*$E73</f>
        <v>0</v>
      </c>
      <c r="P73" s="133">
        <f>商品录入!P73*$E73</f>
        <v>0</v>
      </c>
      <c r="Q73" s="133">
        <f>商品录入!Q73*$E73</f>
        <v>0</v>
      </c>
      <c r="R73" s="133">
        <f>商品录入!R73*$E73</f>
        <v>0</v>
      </c>
      <c r="S73" s="133">
        <f>商品录入!S73*$E73</f>
        <v>0</v>
      </c>
      <c r="T73" s="133">
        <f>商品录入!T73*$E73</f>
        <v>0</v>
      </c>
      <c r="U73" s="133">
        <f>商品录入!U73*$E73</f>
        <v>0</v>
      </c>
      <c r="V73" s="133">
        <f>商品录入!V73*$E73</f>
        <v>0</v>
      </c>
      <c r="W73" s="133">
        <f>商品录入!W73*$E73</f>
        <v>0</v>
      </c>
      <c r="X73" s="133">
        <f>商品录入!X73*$E73</f>
        <v>0</v>
      </c>
      <c r="Y73" s="133">
        <f>商品录入!Y73*$E73</f>
        <v>0</v>
      </c>
      <c r="Z73" s="133">
        <f>商品录入!Z73*$E73</f>
        <v>0</v>
      </c>
      <c r="AA73" s="133">
        <f>商品录入!AA73*$E73</f>
        <v>0</v>
      </c>
      <c r="AB73" s="133">
        <f>商品录入!AB73*$E73</f>
        <v>0</v>
      </c>
      <c r="AC73" s="133">
        <f>商品录入!AC73*$E73</f>
        <v>0</v>
      </c>
      <c r="AD73" s="133">
        <f>商品录入!AD73*$E73</f>
        <v>0</v>
      </c>
      <c r="AE73" s="133">
        <f>商品录入!AE73*$E73</f>
        <v>0</v>
      </c>
      <c r="AF73" s="133">
        <f>商品录入!AF73*$E73</f>
        <v>0</v>
      </c>
      <c r="AG73" s="133">
        <f>商品录入!AG73*$E73</f>
        <v>0</v>
      </c>
      <c r="AH73" s="133">
        <f>商品录入!AH73*$E73</f>
        <v>0</v>
      </c>
      <c r="AI73" s="133">
        <f>商品录入!AI73*$E73</f>
        <v>0</v>
      </c>
      <c r="AJ73" s="133">
        <f>商品录入!AJ73*$E73</f>
        <v>0</v>
      </c>
      <c r="AK73" s="133">
        <f>商品录入!AK73*$E73</f>
        <v>0</v>
      </c>
      <c r="AL73" s="133">
        <f>商品录入!AL73*$E73</f>
        <v>0</v>
      </c>
      <c r="AM73" s="133">
        <f>商品录入!AM73*$E73</f>
        <v>0</v>
      </c>
      <c r="AN73" s="133">
        <f>商品录入!AN73*$E73</f>
        <v>0</v>
      </c>
      <c r="AO73" s="133">
        <f>商品录入!AO73*$E73</f>
        <v>0</v>
      </c>
      <c r="AP73" s="133">
        <f>商品录入!AP73*$E73</f>
        <v>0</v>
      </c>
      <c r="AQ73" s="133">
        <f>商品录入!AQ73*$E73</f>
        <v>0</v>
      </c>
      <c r="AR73" s="133">
        <f>商品录入!AR73*$E73</f>
        <v>0</v>
      </c>
      <c r="AS73" s="133">
        <f>商品录入!AS73*$E73</f>
        <v>0</v>
      </c>
      <c r="AT73" s="133">
        <f>商品录入!AT73*$E73</f>
        <v>0</v>
      </c>
      <c r="AU73" s="133">
        <f>商品录入!AU73*$E73</f>
        <v>0</v>
      </c>
      <c r="AV73" s="133">
        <f>商品录入!AV73*$E73</f>
        <v>0</v>
      </c>
      <c r="AW73" s="133">
        <f>商品录入!AW73*$E73</f>
        <v>0</v>
      </c>
      <c r="AX73" s="133">
        <f>商品录入!AX73*$E73</f>
        <v>0</v>
      </c>
      <c r="AY73" s="133">
        <f>商品录入!AY73*$E73</f>
        <v>0</v>
      </c>
      <c r="AZ73" s="133">
        <f>商品录入!AZ73*$E73</f>
        <v>0</v>
      </c>
      <c r="BA73" s="133">
        <f>商品录入!BA73*$E73</f>
        <v>0</v>
      </c>
      <c r="BB73" s="133">
        <f>商品录入!BB73*$E73</f>
        <v>0</v>
      </c>
      <c r="BC73" s="133">
        <f>商品录入!BC73*$E73</f>
        <v>0</v>
      </c>
      <c r="BD73" s="133">
        <f>商品录入!BD73*$E73</f>
        <v>0</v>
      </c>
      <c r="BE73" s="133">
        <f>商品录入!BE73*$E73</f>
        <v>0</v>
      </c>
      <c r="BF73" s="133">
        <f>商品录入!BF73*$E73</f>
        <v>0</v>
      </c>
      <c r="BG73" s="133">
        <f>商品录入!BG73*$E73</f>
        <v>0</v>
      </c>
      <c r="BH73" s="133">
        <f>商品录入!BH73*$E73</f>
        <v>0</v>
      </c>
      <c r="BI73" s="133">
        <f>商品录入!BI73*$E73</f>
        <v>0</v>
      </c>
      <c r="BJ73" s="133">
        <f>商品录入!BJ73*$E73</f>
        <v>0</v>
      </c>
      <c r="BK73" s="133">
        <f>商品录入!BK73*$E73</f>
        <v>0</v>
      </c>
      <c r="BL73" s="133">
        <f>商品录入!BL73*$E73</f>
        <v>0</v>
      </c>
      <c r="BM73" s="133">
        <f>商品录入!BM73*$E73</f>
        <v>0</v>
      </c>
      <c r="BN73" s="133">
        <f>商品录入!BN73*$E73</f>
        <v>0</v>
      </c>
      <c r="BO73" s="133">
        <f>商品录入!BO73*$E73</f>
        <v>0</v>
      </c>
      <c r="BP73" s="133">
        <f>商品录入!BP73*$E73</f>
        <v>0</v>
      </c>
      <c r="BQ73" s="133">
        <f>商品录入!BQ73*$E73</f>
        <v>0</v>
      </c>
      <c r="BR73" s="133">
        <f>商品录入!BR73*$E73</f>
        <v>0</v>
      </c>
      <c r="BS73" s="133">
        <f>商品录入!BS73*$E73</f>
        <v>0</v>
      </c>
      <c r="BT73" s="133">
        <f>商品录入!BT73*$E73</f>
        <v>0</v>
      </c>
      <c r="BU73" s="133">
        <f>商品录入!BU73*$E73</f>
        <v>0</v>
      </c>
      <c r="BV73" s="133">
        <f>商品录入!BV73*$E73</f>
        <v>0</v>
      </c>
      <c r="BW73" s="133">
        <f>商品录入!BW73*$E73</f>
        <v>0</v>
      </c>
    </row>
    <row r="74" s="178" customFormat="1" customHeight="1" spans="1:75">
      <c r="A74" s="161">
        <v>70</v>
      </c>
      <c r="B74" s="162">
        <f>商品录入!B74</f>
        <v>0</v>
      </c>
      <c r="C74" s="162">
        <f>商品录入!C74</f>
        <v>0</v>
      </c>
      <c r="D74" s="162">
        <f>商品录入!D74</f>
        <v>0</v>
      </c>
      <c r="E74" s="162">
        <f>商品录入!E74</f>
        <v>0</v>
      </c>
      <c r="F74" s="162">
        <f>商品录入!F74</f>
        <v>0</v>
      </c>
      <c r="G74" s="162">
        <f>商品录入!G74</f>
        <v>0</v>
      </c>
      <c r="H74" s="162">
        <f>商品录入!H74</f>
        <v>0</v>
      </c>
      <c r="I74" s="162">
        <f>商品录入!I74</f>
        <v>0</v>
      </c>
      <c r="J74" s="162">
        <f>商品录入!J74</f>
        <v>0</v>
      </c>
      <c r="K74" s="162">
        <f>商品录入!K74</f>
        <v>0</v>
      </c>
      <c r="L74" s="162">
        <f>商品录入!L74</f>
        <v>0</v>
      </c>
      <c r="M74" s="162">
        <f>商品录入!M74</f>
        <v>0</v>
      </c>
      <c r="N74" s="133">
        <f>商品录入!N74*$E74</f>
        <v>0</v>
      </c>
      <c r="O74" s="133">
        <f>商品录入!O74*$E74</f>
        <v>0</v>
      </c>
      <c r="P74" s="133">
        <f>商品录入!P74*$E74</f>
        <v>0</v>
      </c>
      <c r="Q74" s="133">
        <f>商品录入!Q74*$E74</f>
        <v>0</v>
      </c>
      <c r="R74" s="133">
        <f>商品录入!R74*$E74</f>
        <v>0</v>
      </c>
      <c r="S74" s="133">
        <f>商品录入!S74*$E74</f>
        <v>0</v>
      </c>
      <c r="T74" s="133">
        <f>商品录入!T74*$E74</f>
        <v>0</v>
      </c>
      <c r="U74" s="133">
        <f>商品录入!U74*$E74</f>
        <v>0</v>
      </c>
      <c r="V74" s="133">
        <f>商品录入!V74*$E74</f>
        <v>0</v>
      </c>
      <c r="W74" s="133">
        <f>商品录入!W74*$E74</f>
        <v>0</v>
      </c>
      <c r="X74" s="133">
        <f>商品录入!X74*$E74</f>
        <v>0</v>
      </c>
      <c r="Y74" s="133">
        <f>商品录入!Y74*$E74</f>
        <v>0</v>
      </c>
      <c r="Z74" s="133">
        <f>商品录入!Z74*$E74</f>
        <v>0</v>
      </c>
      <c r="AA74" s="133">
        <f>商品录入!AA74*$E74</f>
        <v>0</v>
      </c>
      <c r="AB74" s="133">
        <f>商品录入!AB74*$E74</f>
        <v>0</v>
      </c>
      <c r="AC74" s="133">
        <f>商品录入!AC74*$E74</f>
        <v>0</v>
      </c>
      <c r="AD74" s="133">
        <f>商品录入!AD74*$E74</f>
        <v>0</v>
      </c>
      <c r="AE74" s="133">
        <f>商品录入!AE74*$E74</f>
        <v>0</v>
      </c>
      <c r="AF74" s="133">
        <f>商品录入!AF74*$E74</f>
        <v>0</v>
      </c>
      <c r="AG74" s="133">
        <f>商品录入!AG74*$E74</f>
        <v>0</v>
      </c>
      <c r="AH74" s="133">
        <f>商品录入!AH74*$E74</f>
        <v>0</v>
      </c>
      <c r="AI74" s="133">
        <f>商品录入!AI74*$E74</f>
        <v>0</v>
      </c>
      <c r="AJ74" s="133">
        <f>商品录入!AJ74*$E74</f>
        <v>0</v>
      </c>
      <c r="AK74" s="133">
        <f>商品录入!AK74*$E74</f>
        <v>0</v>
      </c>
      <c r="AL74" s="133">
        <f>商品录入!AL74*$E74</f>
        <v>0</v>
      </c>
      <c r="AM74" s="133">
        <f>商品录入!AM74*$E74</f>
        <v>0</v>
      </c>
      <c r="AN74" s="133">
        <f>商品录入!AN74*$E74</f>
        <v>0</v>
      </c>
      <c r="AO74" s="133">
        <f>商品录入!AO74*$E74</f>
        <v>0</v>
      </c>
      <c r="AP74" s="133">
        <f>商品录入!AP74*$E74</f>
        <v>0</v>
      </c>
      <c r="AQ74" s="133">
        <f>商品录入!AQ74*$E74</f>
        <v>0</v>
      </c>
      <c r="AR74" s="133">
        <f>商品录入!AR74*$E74</f>
        <v>0</v>
      </c>
      <c r="AS74" s="133">
        <f>商品录入!AS74*$E74</f>
        <v>0</v>
      </c>
      <c r="AT74" s="133">
        <f>商品录入!AT74*$E74</f>
        <v>0</v>
      </c>
      <c r="AU74" s="133">
        <f>商品录入!AU74*$E74</f>
        <v>0</v>
      </c>
      <c r="AV74" s="133">
        <f>商品录入!AV74*$E74</f>
        <v>0</v>
      </c>
      <c r="AW74" s="133">
        <f>商品录入!AW74*$E74</f>
        <v>0</v>
      </c>
      <c r="AX74" s="133">
        <f>商品录入!AX74*$E74</f>
        <v>0</v>
      </c>
      <c r="AY74" s="133">
        <f>商品录入!AY74*$E74</f>
        <v>0</v>
      </c>
      <c r="AZ74" s="133">
        <f>商品录入!AZ74*$E74</f>
        <v>0</v>
      </c>
      <c r="BA74" s="133">
        <f>商品录入!BA74*$E74</f>
        <v>0</v>
      </c>
      <c r="BB74" s="133">
        <f>商品录入!BB74*$E74</f>
        <v>0</v>
      </c>
      <c r="BC74" s="133">
        <f>商品录入!BC74*$E74</f>
        <v>0</v>
      </c>
      <c r="BD74" s="133">
        <f>商品录入!BD74*$E74</f>
        <v>0</v>
      </c>
      <c r="BE74" s="133">
        <f>商品录入!BE74*$E74</f>
        <v>0</v>
      </c>
      <c r="BF74" s="133">
        <f>商品录入!BF74*$E74</f>
        <v>0</v>
      </c>
      <c r="BG74" s="133">
        <f>商品录入!BG74*$E74</f>
        <v>0</v>
      </c>
      <c r="BH74" s="133">
        <f>商品录入!BH74*$E74</f>
        <v>0</v>
      </c>
      <c r="BI74" s="133">
        <f>商品录入!BI74*$E74</f>
        <v>0</v>
      </c>
      <c r="BJ74" s="133">
        <f>商品录入!BJ74*$E74</f>
        <v>0</v>
      </c>
      <c r="BK74" s="133">
        <f>商品录入!BK74*$E74</f>
        <v>0</v>
      </c>
      <c r="BL74" s="133">
        <f>商品录入!BL74*$E74</f>
        <v>0</v>
      </c>
      <c r="BM74" s="133">
        <f>商品录入!BM74*$E74</f>
        <v>0</v>
      </c>
      <c r="BN74" s="133">
        <f>商品录入!BN74*$E74</f>
        <v>0</v>
      </c>
      <c r="BO74" s="133">
        <f>商品录入!BO74*$E74</f>
        <v>0</v>
      </c>
      <c r="BP74" s="133">
        <f>商品录入!BP74*$E74</f>
        <v>0</v>
      </c>
      <c r="BQ74" s="133">
        <f>商品录入!BQ74*$E74</f>
        <v>0</v>
      </c>
      <c r="BR74" s="133">
        <f>商品录入!BR74*$E74</f>
        <v>0</v>
      </c>
      <c r="BS74" s="133">
        <f>商品录入!BS74*$E74</f>
        <v>0</v>
      </c>
      <c r="BT74" s="133">
        <f>商品录入!BT74*$E74</f>
        <v>0</v>
      </c>
      <c r="BU74" s="133">
        <f>商品录入!BU74*$E74</f>
        <v>0</v>
      </c>
      <c r="BV74" s="133">
        <f>商品录入!BV74*$E74</f>
        <v>0</v>
      </c>
      <c r="BW74" s="133">
        <f>商品录入!BW74*$E74</f>
        <v>0</v>
      </c>
    </row>
    <row r="75" s="178" customFormat="1" customHeight="1" spans="1:75">
      <c r="A75" s="161">
        <v>71</v>
      </c>
      <c r="B75" s="162">
        <f>商品录入!B75</f>
        <v>0</v>
      </c>
      <c r="C75" s="162">
        <f>商品录入!C75</f>
        <v>0</v>
      </c>
      <c r="D75" s="162">
        <f>商品录入!D75</f>
        <v>0</v>
      </c>
      <c r="E75" s="162">
        <f>商品录入!E75</f>
        <v>0</v>
      </c>
      <c r="F75" s="162">
        <f>商品录入!F75</f>
        <v>0</v>
      </c>
      <c r="G75" s="162">
        <f>商品录入!G75</f>
        <v>0</v>
      </c>
      <c r="H75" s="162">
        <f>商品录入!H75</f>
        <v>0</v>
      </c>
      <c r="I75" s="162">
        <f>商品录入!I75</f>
        <v>0</v>
      </c>
      <c r="J75" s="162">
        <f>商品录入!J75</f>
        <v>0</v>
      </c>
      <c r="K75" s="162">
        <f>商品录入!K75</f>
        <v>0</v>
      </c>
      <c r="L75" s="162">
        <f>商品录入!L75</f>
        <v>0</v>
      </c>
      <c r="M75" s="162">
        <f>商品录入!M75</f>
        <v>0</v>
      </c>
      <c r="N75" s="133">
        <f>商品录入!N75*$E75</f>
        <v>0</v>
      </c>
      <c r="O75" s="133">
        <f>商品录入!O75*$E75</f>
        <v>0</v>
      </c>
      <c r="P75" s="133">
        <f>商品录入!P75*$E75</f>
        <v>0</v>
      </c>
      <c r="Q75" s="133">
        <f>商品录入!Q75*$E75</f>
        <v>0</v>
      </c>
      <c r="R75" s="133">
        <f>商品录入!R75*$E75</f>
        <v>0</v>
      </c>
      <c r="S75" s="133">
        <f>商品录入!S75*$E75</f>
        <v>0</v>
      </c>
      <c r="T75" s="133">
        <f>商品录入!T75*$E75</f>
        <v>0</v>
      </c>
      <c r="U75" s="133">
        <f>商品录入!U75*$E75</f>
        <v>0</v>
      </c>
      <c r="V75" s="133">
        <f>商品录入!V75*$E75</f>
        <v>0</v>
      </c>
      <c r="W75" s="133">
        <f>商品录入!W75*$E75</f>
        <v>0</v>
      </c>
      <c r="X75" s="133">
        <f>商品录入!X75*$E75</f>
        <v>0</v>
      </c>
      <c r="Y75" s="133">
        <f>商品录入!Y75*$E75</f>
        <v>0</v>
      </c>
      <c r="Z75" s="133">
        <f>商品录入!Z75*$E75</f>
        <v>0</v>
      </c>
      <c r="AA75" s="133">
        <f>商品录入!AA75*$E75</f>
        <v>0</v>
      </c>
      <c r="AB75" s="133">
        <f>商品录入!AB75*$E75</f>
        <v>0</v>
      </c>
      <c r="AC75" s="133">
        <f>商品录入!AC75*$E75</f>
        <v>0</v>
      </c>
      <c r="AD75" s="133">
        <f>商品录入!AD75*$E75</f>
        <v>0</v>
      </c>
      <c r="AE75" s="133">
        <f>商品录入!AE75*$E75</f>
        <v>0</v>
      </c>
      <c r="AF75" s="133">
        <f>商品录入!AF75*$E75</f>
        <v>0</v>
      </c>
      <c r="AG75" s="133">
        <f>商品录入!AG75*$E75</f>
        <v>0</v>
      </c>
      <c r="AH75" s="133">
        <f>商品录入!AH75*$E75</f>
        <v>0</v>
      </c>
      <c r="AI75" s="133">
        <f>商品录入!AI75*$E75</f>
        <v>0</v>
      </c>
      <c r="AJ75" s="133">
        <f>商品录入!AJ75*$E75</f>
        <v>0</v>
      </c>
      <c r="AK75" s="133">
        <f>商品录入!AK75*$E75</f>
        <v>0</v>
      </c>
      <c r="AL75" s="133">
        <f>商品录入!AL75*$E75</f>
        <v>0</v>
      </c>
      <c r="AM75" s="133">
        <f>商品录入!AM75*$E75</f>
        <v>0</v>
      </c>
      <c r="AN75" s="133">
        <f>商品录入!AN75*$E75</f>
        <v>0</v>
      </c>
      <c r="AO75" s="133">
        <f>商品录入!AO75*$E75</f>
        <v>0</v>
      </c>
      <c r="AP75" s="133">
        <f>商品录入!AP75*$E75</f>
        <v>0</v>
      </c>
      <c r="AQ75" s="133">
        <f>商品录入!AQ75*$E75</f>
        <v>0</v>
      </c>
      <c r="AR75" s="133">
        <f>商品录入!AR75*$E75</f>
        <v>0</v>
      </c>
      <c r="AS75" s="133">
        <f>商品录入!AS75*$E75</f>
        <v>0</v>
      </c>
      <c r="AT75" s="133">
        <f>商品录入!AT75*$E75</f>
        <v>0</v>
      </c>
      <c r="AU75" s="133">
        <f>商品录入!AU75*$E75</f>
        <v>0</v>
      </c>
      <c r="AV75" s="133">
        <f>商品录入!AV75*$E75</f>
        <v>0</v>
      </c>
      <c r="AW75" s="133">
        <f>商品录入!AW75*$E75</f>
        <v>0</v>
      </c>
      <c r="AX75" s="133">
        <f>商品录入!AX75*$E75</f>
        <v>0</v>
      </c>
      <c r="AY75" s="133">
        <f>商品录入!AY75*$E75</f>
        <v>0</v>
      </c>
      <c r="AZ75" s="133">
        <f>商品录入!AZ75*$E75</f>
        <v>0</v>
      </c>
      <c r="BA75" s="133">
        <f>商品录入!BA75*$E75</f>
        <v>0</v>
      </c>
      <c r="BB75" s="133">
        <f>商品录入!BB75*$E75</f>
        <v>0</v>
      </c>
      <c r="BC75" s="133">
        <f>商品录入!BC75*$E75</f>
        <v>0</v>
      </c>
      <c r="BD75" s="133">
        <f>商品录入!BD75*$E75</f>
        <v>0</v>
      </c>
      <c r="BE75" s="133">
        <f>商品录入!BE75*$E75</f>
        <v>0</v>
      </c>
      <c r="BF75" s="133">
        <f>商品录入!BF75*$E75</f>
        <v>0</v>
      </c>
      <c r="BG75" s="133">
        <f>商品录入!BG75*$E75</f>
        <v>0</v>
      </c>
      <c r="BH75" s="133">
        <f>商品录入!BH75*$E75</f>
        <v>0</v>
      </c>
      <c r="BI75" s="133">
        <f>商品录入!BI75*$E75</f>
        <v>0</v>
      </c>
      <c r="BJ75" s="133">
        <f>商品录入!BJ75*$E75</f>
        <v>0</v>
      </c>
      <c r="BK75" s="133">
        <f>商品录入!BK75*$E75</f>
        <v>0</v>
      </c>
      <c r="BL75" s="133">
        <f>商品录入!BL75*$E75</f>
        <v>0</v>
      </c>
      <c r="BM75" s="133">
        <f>商品录入!BM75*$E75</f>
        <v>0</v>
      </c>
      <c r="BN75" s="133">
        <f>商品录入!BN75*$E75</f>
        <v>0</v>
      </c>
      <c r="BO75" s="133">
        <f>商品录入!BO75*$E75</f>
        <v>0</v>
      </c>
      <c r="BP75" s="133">
        <f>商品录入!BP75*$E75</f>
        <v>0</v>
      </c>
      <c r="BQ75" s="133">
        <f>商品录入!BQ75*$E75</f>
        <v>0</v>
      </c>
      <c r="BR75" s="133">
        <f>商品录入!BR75*$E75</f>
        <v>0</v>
      </c>
      <c r="BS75" s="133">
        <f>商品录入!BS75*$E75</f>
        <v>0</v>
      </c>
      <c r="BT75" s="133">
        <f>商品录入!BT75*$E75</f>
        <v>0</v>
      </c>
      <c r="BU75" s="133">
        <f>商品录入!BU75*$E75</f>
        <v>0</v>
      </c>
      <c r="BV75" s="133">
        <f>商品录入!BV75*$E75</f>
        <v>0</v>
      </c>
      <c r="BW75" s="133">
        <f>商品录入!BW75*$E75</f>
        <v>0</v>
      </c>
    </row>
    <row r="76" s="178" customFormat="1" customHeight="1" spans="1:75">
      <c r="A76" s="161">
        <v>72</v>
      </c>
      <c r="B76" s="162">
        <f>商品录入!B76</f>
        <v>0</v>
      </c>
      <c r="C76" s="162">
        <f>商品录入!C76</f>
        <v>0</v>
      </c>
      <c r="D76" s="162">
        <f>商品录入!D76</f>
        <v>0</v>
      </c>
      <c r="E76" s="162">
        <f>商品录入!E76</f>
        <v>0</v>
      </c>
      <c r="F76" s="162">
        <f>商品录入!F76</f>
        <v>0</v>
      </c>
      <c r="G76" s="162">
        <f>商品录入!G76</f>
        <v>0</v>
      </c>
      <c r="H76" s="162">
        <f>商品录入!H76</f>
        <v>0</v>
      </c>
      <c r="I76" s="162">
        <f>商品录入!I76</f>
        <v>0</v>
      </c>
      <c r="J76" s="162">
        <f>商品录入!J76</f>
        <v>0</v>
      </c>
      <c r="K76" s="162">
        <f>商品录入!K76</f>
        <v>0</v>
      </c>
      <c r="L76" s="162">
        <f>商品录入!L76</f>
        <v>0</v>
      </c>
      <c r="M76" s="162">
        <f>商品录入!M76</f>
        <v>0</v>
      </c>
      <c r="N76" s="133">
        <f>商品录入!N76*$E76</f>
        <v>0</v>
      </c>
      <c r="O76" s="133">
        <f>商品录入!O76*$E76</f>
        <v>0</v>
      </c>
      <c r="P76" s="133">
        <f>商品录入!P76*$E76</f>
        <v>0</v>
      </c>
      <c r="Q76" s="133">
        <f>商品录入!Q76*$E76</f>
        <v>0</v>
      </c>
      <c r="R76" s="133">
        <f>商品录入!R76*$E76</f>
        <v>0</v>
      </c>
      <c r="S76" s="133">
        <f>商品录入!S76*$E76</f>
        <v>0</v>
      </c>
      <c r="T76" s="133">
        <f>商品录入!T76*$E76</f>
        <v>0</v>
      </c>
      <c r="U76" s="133">
        <f>商品录入!U76*$E76</f>
        <v>0</v>
      </c>
      <c r="V76" s="133">
        <f>商品录入!V76*$E76</f>
        <v>0</v>
      </c>
      <c r="W76" s="133">
        <f>商品录入!W76*$E76</f>
        <v>0</v>
      </c>
      <c r="X76" s="133">
        <f>商品录入!X76*$E76</f>
        <v>0</v>
      </c>
      <c r="Y76" s="133">
        <f>商品录入!Y76*$E76</f>
        <v>0</v>
      </c>
      <c r="Z76" s="133">
        <f>商品录入!Z76*$E76</f>
        <v>0</v>
      </c>
      <c r="AA76" s="133">
        <f>商品录入!AA76*$E76</f>
        <v>0</v>
      </c>
      <c r="AB76" s="133">
        <f>商品录入!AB76*$E76</f>
        <v>0</v>
      </c>
      <c r="AC76" s="133">
        <f>商品录入!AC76*$E76</f>
        <v>0</v>
      </c>
      <c r="AD76" s="133">
        <f>商品录入!AD76*$E76</f>
        <v>0</v>
      </c>
      <c r="AE76" s="133">
        <f>商品录入!AE76*$E76</f>
        <v>0</v>
      </c>
      <c r="AF76" s="133">
        <f>商品录入!AF76*$E76</f>
        <v>0</v>
      </c>
      <c r="AG76" s="133">
        <f>商品录入!AG76*$E76</f>
        <v>0</v>
      </c>
      <c r="AH76" s="133">
        <f>商品录入!AH76*$E76</f>
        <v>0</v>
      </c>
      <c r="AI76" s="133">
        <f>商品录入!AI76*$E76</f>
        <v>0</v>
      </c>
      <c r="AJ76" s="133">
        <f>商品录入!AJ76*$E76</f>
        <v>0</v>
      </c>
      <c r="AK76" s="133">
        <f>商品录入!AK76*$E76</f>
        <v>0</v>
      </c>
      <c r="AL76" s="133">
        <f>商品录入!AL76*$E76</f>
        <v>0</v>
      </c>
      <c r="AM76" s="133">
        <f>商品录入!AM76*$E76</f>
        <v>0</v>
      </c>
      <c r="AN76" s="133">
        <f>商品录入!AN76*$E76</f>
        <v>0</v>
      </c>
      <c r="AO76" s="133">
        <f>商品录入!AO76*$E76</f>
        <v>0</v>
      </c>
      <c r="AP76" s="133">
        <f>商品录入!AP76*$E76</f>
        <v>0</v>
      </c>
      <c r="AQ76" s="133">
        <f>商品录入!AQ76*$E76</f>
        <v>0</v>
      </c>
      <c r="AR76" s="133">
        <f>商品录入!AR76*$E76</f>
        <v>0</v>
      </c>
      <c r="AS76" s="133">
        <f>商品录入!AS76*$E76</f>
        <v>0</v>
      </c>
      <c r="AT76" s="133">
        <f>商品录入!AT76*$E76</f>
        <v>0</v>
      </c>
      <c r="AU76" s="133">
        <f>商品录入!AU76*$E76</f>
        <v>0</v>
      </c>
      <c r="AV76" s="133">
        <f>商品录入!AV76*$E76</f>
        <v>0</v>
      </c>
      <c r="AW76" s="133">
        <f>商品录入!AW76*$E76</f>
        <v>0</v>
      </c>
      <c r="AX76" s="133">
        <f>商品录入!AX76*$E76</f>
        <v>0</v>
      </c>
      <c r="AY76" s="133">
        <f>商品录入!AY76*$E76</f>
        <v>0</v>
      </c>
      <c r="AZ76" s="133">
        <f>商品录入!AZ76*$E76</f>
        <v>0</v>
      </c>
      <c r="BA76" s="133">
        <f>商品录入!BA76*$E76</f>
        <v>0</v>
      </c>
      <c r="BB76" s="133">
        <f>商品录入!BB76*$E76</f>
        <v>0</v>
      </c>
      <c r="BC76" s="133">
        <f>商品录入!BC76*$E76</f>
        <v>0</v>
      </c>
      <c r="BD76" s="133">
        <f>商品录入!BD76*$E76</f>
        <v>0</v>
      </c>
      <c r="BE76" s="133">
        <f>商品录入!BE76*$E76</f>
        <v>0</v>
      </c>
      <c r="BF76" s="133">
        <f>商品录入!BF76*$E76</f>
        <v>0</v>
      </c>
      <c r="BG76" s="133">
        <f>商品录入!BG76*$E76</f>
        <v>0</v>
      </c>
      <c r="BH76" s="133">
        <f>商品录入!BH76*$E76</f>
        <v>0</v>
      </c>
      <c r="BI76" s="133">
        <f>商品录入!BI76*$E76</f>
        <v>0</v>
      </c>
      <c r="BJ76" s="133">
        <f>商品录入!BJ76*$E76</f>
        <v>0</v>
      </c>
      <c r="BK76" s="133">
        <f>商品录入!BK76*$E76</f>
        <v>0</v>
      </c>
      <c r="BL76" s="133">
        <f>商品录入!BL76*$E76</f>
        <v>0</v>
      </c>
      <c r="BM76" s="133">
        <f>商品录入!BM76*$E76</f>
        <v>0</v>
      </c>
      <c r="BN76" s="133">
        <f>商品录入!BN76*$E76</f>
        <v>0</v>
      </c>
      <c r="BO76" s="133">
        <f>商品录入!BO76*$E76</f>
        <v>0</v>
      </c>
      <c r="BP76" s="133">
        <f>商品录入!BP76*$E76</f>
        <v>0</v>
      </c>
      <c r="BQ76" s="133">
        <f>商品录入!BQ76*$E76</f>
        <v>0</v>
      </c>
      <c r="BR76" s="133">
        <f>商品录入!BR76*$E76</f>
        <v>0</v>
      </c>
      <c r="BS76" s="133">
        <f>商品录入!BS76*$E76</f>
        <v>0</v>
      </c>
      <c r="BT76" s="133">
        <f>商品录入!BT76*$E76</f>
        <v>0</v>
      </c>
      <c r="BU76" s="133">
        <f>商品录入!BU76*$E76</f>
        <v>0</v>
      </c>
      <c r="BV76" s="133">
        <f>商品录入!BV76*$E76</f>
        <v>0</v>
      </c>
      <c r="BW76" s="133">
        <f>商品录入!BW76*$E76</f>
        <v>0</v>
      </c>
    </row>
    <row r="77" s="178" customFormat="1" customHeight="1" spans="1:75">
      <c r="A77" s="161">
        <v>73</v>
      </c>
      <c r="B77" s="162">
        <f>商品录入!B77</f>
        <v>0</v>
      </c>
      <c r="C77" s="162">
        <f>商品录入!C77</f>
        <v>0</v>
      </c>
      <c r="D77" s="162">
        <f>商品录入!D77</f>
        <v>0</v>
      </c>
      <c r="E77" s="162">
        <f>商品录入!E77</f>
        <v>0</v>
      </c>
      <c r="F77" s="162">
        <f>商品录入!F77</f>
        <v>0</v>
      </c>
      <c r="G77" s="162">
        <f>商品录入!G77</f>
        <v>0</v>
      </c>
      <c r="H77" s="162">
        <f>商品录入!H77</f>
        <v>0</v>
      </c>
      <c r="I77" s="162">
        <f>商品录入!I77</f>
        <v>0</v>
      </c>
      <c r="J77" s="162">
        <f>商品录入!J77</f>
        <v>0</v>
      </c>
      <c r="K77" s="162">
        <f>商品录入!K77</f>
        <v>0</v>
      </c>
      <c r="L77" s="162">
        <f>商品录入!L77</f>
        <v>0</v>
      </c>
      <c r="M77" s="162">
        <f>商品录入!M77</f>
        <v>0</v>
      </c>
      <c r="N77" s="133">
        <f>商品录入!N77*$E77</f>
        <v>0</v>
      </c>
      <c r="O77" s="133">
        <f>商品录入!O77*$E77</f>
        <v>0</v>
      </c>
      <c r="P77" s="133">
        <f>商品录入!P77*$E77</f>
        <v>0</v>
      </c>
      <c r="Q77" s="133">
        <f>商品录入!Q77*$E77</f>
        <v>0</v>
      </c>
      <c r="R77" s="133">
        <f>商品录入!R77*$E77</f>
        <v>0</v>
      </c>
      <c r="S77" s="133">
        <f>商品录入!S77*$E77</f>
        <v>0</v>
      </c>
      <c r="T77" s="133">
        <f>商品录入!T77*$E77</f>
        <v>0</v>
      </c>
      <c r="U77" s="133">
        <f>商品录入!U77*$E77</f>
        <v>0</v>
      </c>
      <c r="V77" s="133">
        <f>商品录入!V77*$E77</f>
        <v>0</v>
      </c>
      <c r="W77" s="133">
        <f>商品录入!W77*$E77</f>
        <v>0</v>
      </c>
      <c r="X77" s="133">
        <f>商品录入!X77*$E77</f>
        <v>0</v>
      </c>
      <c r="Y77" s="133">
        <f>商品录入!Y77*$E77</f>
        <v>0</v>
      </c>
      <c r="Z77" s="133">
        <f>商品录入!Z77*$E77</f>
        <v>0</v>
      </c>
      <c r="AA77" s="133">
        <f>商品录入!AA77*$E77</f>
        <v>0</v>
      </c>
      <c r="AB77" s="133">
        <f>商品录入!AB77*$E77</f>
        <v>0</v>
      </c>
      <c r="AC77" s="133">
        <f>商品录入!AC77*$E77</f>
        <v>0</v>
      </c>
      <c r="AD77" s="133">
        <f>商品录入!AD77*$E77</f>
        <v>0</v>
      </c>
      <c r="AE77" s="133">
        <f>商品录入!AE77*$E77</f>
        <v>0</v>
      </c>
      <c r="AF77" s="133">
        <f>商品录入!AF77*$E77</f>
        <v>0</v>
      </c>
      <c r="AG77" s="133">
        <f>商品录入!AG77*$E77</f>
        <v>0</v>
      </c>
      <c r="AH77" s="133">
        <f>商品录入!AH77*$E77</f>
        <v>0</v>
      </c>
      <c r="AI77" s="133">
        <f>商品录入!AI77*$E77</f>
        <v>0</v>
      </c>
      <c r="AJ77" s="133">
        <f>商品录入!AJ77*$E77</f>
        <v>0</v>
      </c>
      <c r="AK77" s="133">
        <f>商品录入!AK77*$E77</f>
        <v>0</v>
      </c>
      <c r="AL77" s="133">
        <f>商品录入!AL77*$E77</f>
        <v>0</v>
      </c>
      <c r="AM77" s="133">
        <f>商品录入!AM77*$E77</f>
        <v>0</v>
      </c>
      <c r="AN77" s="133">
        <f>商品录入!AN77*$E77</f>
        <v>0</v>
      </c>
      <c r="AO77" s="133">
        <f>商品录入!AO77*$E77</f>
        <v>0</v>
      </c>
      <c r="AP77" s="133">
        <f>商品录入!AP77*$E77</f>
        <v>0</v>
      </c>
      <c r="AQ77" s="133">
        <f>商品录入!AQ77*$E77</f>
        <v>0</v>
      </c>
      <c r="AR77" s="133">
        <f>商品录入!AR77*$E77</f>
        <v>0</v>
      </c>
      <c r="AS77" s="133">
        <f>商品录入!AS77*$E77</f>
        <v>0</v>
      </c>
      <c r="AT77" s="133">
        <f>商品录入!AT77*$E77</f>
        <v>0</v>
      </c>
      <c r="AU77" s="133">
        <f>商品录入!AU77*$E77</f>
        <v>0</v>
      </c>
      <c r="AV77" s="133">
        <f>商品录入!AV77*$E77</f>
        <v>0</v>
      </c>
      <c r="AW77" s="133">
        <f>商品录入!AW77*$E77</f>
        <v>0</v>
      </c>
      <c r="AX77" s="133">
        <f>商品录入!AX77*$E77</f>
        <v>0</v>
      </c>
      <c r="AY77" s="133">
        <f>商品录入!AY77*$E77</f>
        <v>0</v>
      </c>
      <c r="AZ77" s="133">
        <f>商品录入!AZ77*$E77</f>
        <v>0</v>
      </c>
      <c r="BA77" s="133">
        <f>商品录入!BA77*$E77</f>
        <v>0</v>
      </c>
      <c r="BB77" s="133">
        <f>商品录入!BB77*$E77</f>
        <v>0</v>
      </c>
      <c r="BC77" s="133">
        <f>商品录入!BC77*$E77</f>
        <v>0</v>
      </c>
      <c r="BD77" s="133">
        <f>商品录入!BD77*$E77</f>
        <v>0</v>
      </c>
      <c r="BE77" s="133">
        <f>商品录入!BE77*$E77</f>
        <v>0</v>
      </c>
      <c r="BF77" s="133">
        <f>商品录入!BF77*$E77</f>
        <v>0</v>
      </c>
      <c r="BG77" s="133">
        <f>商品录入!BG77*$E77</f>
        <v>0</v>
      </c>
      <c r="BH77" s="133">
        <f>商品录入!BH77*$E77</f>
        <v>0</v>
      </c>
      <c r="BI77" s="133">
        <f>商品录入!BI77*$E77</f>
        <v>0</v>
      </c>
      <c r="BJ77" s="133">
        <f>商品录入!BJ77*$E77</f>
        <v>0</v>
      </c>
      <c r="BK77" s="133">
        <f>商品录入!BK77*$E77</f>
        <v>0</v>
      </c>
      <c r="BL77" s="133">
        <f>商品录入!BL77*$E77</f>
        <v>0</v>
      </c>
      <c r="BM77" s="133">
        <f>商品录入!BM77*$E77</f>
        <v>0</v>
      </c>
      <c r="BN77" s="133">
        <f>商品录入!BN77*$E77</f>
        <v>0</v>
      </c>
      <c r="BO77" s="133">
        <f>商品录入!BO77*$E77</f>
        <v>0</v>
      </c>
      <c r="BP77" s="133">
        <f>商品录入!BP77*$E77</f>
        <v>0</v>
      </c>
      <c r="BQ77" s="133">
        <f>商品录入!BQ77*$E77</f>
        <v>0</v>
      </c>
      <c r="BR77" s="133">
        <f>商品录入!BR77*$E77</f>
        <v>0</v>
      </c>
      <c r="BS77" s="133">
        <f>商品录入!BS77*$E77</f>
        <v>0</v>
      </c>
      <c r="BT77" s="133">
        <f>商品录入!BT77*$E77</f>
        <v>0</v>
      </c>
      <c r="BU77" s="133">
        <f>商品录入!BU77*$E77</f>
        <v>0</v>
      </c>
      <c r="BV77" s="133">
        <f>商品录入!BV77*$E77</f>
        <v>0</v>
      </c>
      <c r="BW77" s="133">
        <f>商品录入!BW77*$E77</f>
        <v>0</v>
      </c>
    </row>
    <row r="78" s="178" customFormat="1" customHeight="1" spans="1:75">
      <c r="A78" s="161">
        <v>74</v>
      </c>
      <c r="B78" s="162">
        <f>商品录入!B78</f>
        <v>0</v>
      </c>
      <c r="C78" s="162">
        <f>商品录入!C78</f>
        <v>0</v>
      </c>
      <c r="D78" s="162">
        <f>商品录入!D78</f>
        <v>0</v>
      </c>
      <c r="E78" s="162">
        <f>商品录入!E78</f>
        <v>0</v>
      </c>
      <c r="F78" s="162">
        <f>商品录入!F78</f>
        <v>0</v>
      </c>
      <c r="G78" s="162">
        <f>商品录入!G78</f>
        <v>0</v>
      </c>
      <c r="H78" s="162">
        <f>商品录入!H78</f>
        <v>0</v>
      </c>
      <c r="I78" s="162">
        <f>商品录入!I78</f>
        <v>0</v>
      </c>
      <c r="J78" s="162">
        <f>商品录入!J78</f>
        <v>0</v>
      </c>
      <c r="K78" s="162">
        <f>商品录入!K78</f>
        <v>0</v>
      </c>
      <c r="L78" s="162">
        <f>商品录入!L78</f>
        <v>0</v>
      </c>
      <c r="M78" s="162">
        <f>商品录入!M78</f>
        <v>0</v>
      </c>
      <c r="N78" s="133">
        <f>商品录入!N78*$E78</f>
        <v>0</v>
      </c>
      <c r="O78" s="133">
        <f>商品录入!O78*$E78</f>
        <v>0</v>
      </c>
      <c r="P78" s="133">
        <f>商品录入!P78*$E78</f>
        <v>0</v>
      </c>
      <c r="Q78" s="133">
        <f>商品录入!Q78*$E78</f>
        <v>0</v>
      </c>
      <c r="R78" s="133">
        <f>商品录入!R78*$E78</f>
        <v>0</v>
      </c>
      <c r="S78" s="133">
        <f>商品录入!S78*$E78</f>
        <v>0</v>
      </c>
      <c r="T78" s="133">
        <f>商品录入!T78*$E78</f>
        <v>0</v>
      </c>
      <c r="U78" s="133">
        <f>商品录入!U78*$E78</f>
        <v>0</v>
      </c>
      <c r="V78" s="133">
        <f>商品录入!V78*$E78</f>
        <v>0</v>
      </c>
      <c r="W78" s="133">
        <f>商品录入!W78*$E78</f>
        <v>0</v>
      </c>
      <c r="X78" s="133">
        <f>商品录入!X78*$E78</f>
        <v>0</v>
      </c>
      <c r="Y78" s="133">
        <f>商品录入!Y78*$E78</f>
        <v>0</v>
      </c>
      <c r="Z78" s="133">
        <f>商品录入!Z78*$E78</f>
        <v>0</v>
      </c>
      <c r="AA78" s="133">
        <f>商品录入!AA78*$E78</f>
        <v>0</v>
      </c>
      <c r="AB78" s="133">
        <f>商品录入!AB78*$E78</f>
        <v>0</v>
      </c>
      <c r="AC78" s="133">
        <f>商品录入!AC78*$E78</f>
        <v>0</v>
      </c>
      <c r="AD78" s="133">
        <f>商品录入!AD78*$E78</f>
        <v>0</v>
      </c>
      <c r="AE78" s="133">
        <f>商品录入!AE78*$E78</f>
        <v>0</v>
      </c>
      <c r="AF78" s="133">
        <f>商品录入!AF78*$E78</f>
        <v>0</v>
      </c>
      <c r="AG78" s="133">
        <f>商品录入!AG78*$E78</f>
        <v>0</v>
      </c>
      <c r="AH78" s="133">
        <f>商品录入!AH78*$E78</f>
        <v>0</v>
      </c>
      <c r="AI78" s="133">
        <f>商品录入!AI78*$E78</f>
        <v>0</v>
      </c>
      <c r="AJ78" s="133">
        <f>商品录入!AJ78*$E78</f>
        <v>0</v>
      </c>
      <c r="AK78" s="133">
        <f>商品录入!AK78*$E78</f>
        <v>0</v>
      </c>
      <c r="AL78" s="133">
        <f>商品录入!AL78*$E78</f>
        <v>0</v>
      </c>
      <c r="AM78" s="133">
        <f>商品录入!AM78*$E78</f>
        <v>0</v>
      </c>
      <c r="AN78" s="133">
        <f>商品录入!AN78*$E78</f>
        <v>0</v>
      </c>
      <c r="AO78" s="133">
        <f>商品录入!AO78*$E78</f>
        <v>0</v>
      </c>
      <c r="AP78" s="133">
        <f>商品录入!AP78*$E78</f>
        <v>0</v>
      </c>
      <c r="AQ78" s="133">
        <f>商品录入!AQ78*$E78</f>
        <v>0</v>
      </c>
      <c r="AR78" s="133">
        <f>商品录入!AR78*$E78</f>
        <v>0</v>
      </c>
      <c r="AS78" s="133">
        <f>商品录入!AS78*$E78</f>
        <v>0</v>
      </c>
      <c r="AT78" s="133">
        <f>商品录入!AT78*$E78</f>
        <v>0</v>
      </c>
      <c r="AU78" s="133">
        <f>商品录入!AU78*$E78</f>
        <v>0</v>
      </c>
      <c r="AV78" s="133">
        <f>商品录入!AV78*$E78</f>
        <v>0</v>
      </c>
      <c r="AW78" s="133">
        <f>商品录入!AW78*$E78</f>
        <v>0</v>
      </c>
      <c r="AX78" s="133">
        <f>商品录入!AX78*$E78</f>
        <v>0</v>
      </c>
      <c r="AY78" s="133">
        <f>商品录入!AY78*$E78</f>
        <v>0</v>
      </c>
      <c r="AZ78" s="133">
        <f>商品录入!AZ78*$E78</f>
        <v>0</v>
      </c>
      <c r="BA78" s="133">
        <f>商品录入!BA78*$E78</f>
        <v>0</v>
      </c>
      <c r="BB78" s="133">
        <f>商品录入!BB78*$E78</f>
        <v>0</v>
      </c>
      <c r="BC78" s="133">
        <f>商品录入!BC78*$E78</f>
        <v>0</v>
      </c>
      <c r="BD78" s="133">
        <f>商品录入!BD78*$E78</f>
        <v>0</v>
      </c>
      <c r="BE78" s="133">
        <f>商品录入!BE78*$E78</f>
        <v>0</v>
      </c>
      <c r="BF78" s="133">
        <f>商品录入!BF78*$E78</f>
        <v>0</v>
      </c>
      <c r="BG78" s="133">
        <f>商品录入!BG78*$E78</f>
        <v>0</v>
      </c>
      <c r="BH78" s="133">
        <f>商品录入!BH78*$E78</f>
        <v>0</v>
      </c>
      <c r="BI78" s="133">
        <f>商品录入!BI78*$E78</f>
        <v>0</v>
      </c>
      <c r="BJ78" s="133">
        <f>商品录入!BJ78*$E78</f>
        <v>0</v>
      </c>
      <c r="BK78" s="133">
        <f>商品录入!BK78*$E78</f>
        <v>0</v>
      </c>
      <c r="BL78" s="133">
        <f>商品录入!BL78*$E78</f>
        <v>0</v>
      </c>
      <c r="BM78" s="133">
        <f>商品录入!BM78*$E78</f>
        <v>0</v>
      </c>
      <c r="BN78" s="133">
        <f>商品录入!BN78*$E78</f>
        <v>0</v>
      </c>
      <c r="BO78" s="133">
        <f>商品录入!BO78*$E78</f>
        <v>0</v>
      </c>
      <c r="BP78" s="133">
        <f>商品录入!BP78*$E78</f>
        <v>0</v>
      </c>
      <c r="BQ78" s="133">
        <f>商品录入!BQ78*$E78</f>
        <v>0</v>
      </c>
      <c r="BR78" s="133">
        <f>商品录入!BR78*$E78</f>
        <v>0</v>
      </c>
      <c r="BS78" s="133">
        <f>商品录入!BS78*$E78</f>
        <v>0</v>
      </c>
      <c r="BT78" s="133">
        <f>商品录入!BT78*$E78</f>
        <v>0</v>
      </c>
      <c r="BU78" s="133">
        <f>商品录入!BU78*$E78</f>
        <v>0</v>
      </c>
      <c r="BV78" s="133">
        <f>商品录入!BV78*$E78</f>
        <v>0</v>
      </c>
      <c r="BW78" s="133">
        <f>商品录入!BW78*$E78</f>
        <v>0</v>
      </c>
    </row>
    <row r="79" s="178" customFormat="1" customHeight="1" spans="1:75">
      <c r="A79" s="161">
        <v>75</v>
      </c>
      <c r="B79" s="162">
        <f>商品录入!B79</f>
        <v>0</v>
      </c>
      <c r="C79" s="162">
        <f>商品录入!C79</f>
        <v>0</v>
      </c>
      <c r="D79" s="162">
        <f>商品录入!D79</f>
        <v>0</v>
      </c>
      <c r="E79" s="162">
        <f>商品录入!E79</f>
        <v>0</v>
      </c>
      <c r="F79" s="162">
        <f>商品录入!F79</f>
        <v>0</v>
      </c>
      <c r="G79" s="162">
        <f>商品录入!G79</f>
        <v>0</v>
      </c>
      <c r="H79" s="162">
        <f>商品录入!H79</f>
        <v>0</v>
      </c>
      <c r="I79" s="162">
        <f>商品录入!I79</f>
        <v>0</v>
      </c>
      <c r="J79" s="162">
        <f>商品录入!J79</f>
        <v>0</v>
      </c>
      <c r="K79" s="162">
        <f>商品录入!K79</f>
        <v>0</v>
      </c>
      <c r="L79" s="162">
        <f>商品录入!L79</f>
        <v>0</v>
      </c>
      <c r="M79" s="162">
        <f>商品录入!M79</f>
        <v>0</v>
      </c>
      <c r="N79" s="133">
        <f>商品录入!N79*$E79</f>
        <v>0</v>
      </c>
      <c r="O79" s="133">
        <f>商品录入!O79*$E79</f>
        <v>0</v>
      </c>
      <c r="P79" s="133">
        <f>商品录入!P79*$E79</f>
        <v>0</v>
      </c>
      <c r="Q79" s="133">
        <f>商品录入!Q79*$E79</f>
        <v>0</v>
      </c>
      <c r="R79" s="133">
        <f>商品录入!R79*$E79</f>
        <v>0</v>
      </c>
      <c r="S79" s="133">
        <f>商品录入!S79*$E79</f>
        <v>0</v>
      </c>
      <c r="T79" s="133">
        <f>商品录入!T79*$E79</f>
        <v>0</v>
      </c>
      <c r="U79" s="133">
        <f>商品录入!U79*$E79</f>
        <v>0</v>
      </c>
      <c r="V79" s="133">
        <f>商品录入!V79*$E79</f>
        <v>0</v>
      </c>
      <c r="W79" s="133">
        <f>商品录入!W79*$E79</f>
        <v>0</v>
      </c>
      <c r="X79" s="133">
        <f>商品录入!X79*$E79</f>
        <v>0</v>
      </c>
      <c r="Y79" s="133">
        <f>商品录入!Y79*$E79</f>
        <v>0</v>
      </c>
      <c r="Z79" s="133">
        <f>商品录入!Z79*$E79</f>
        <v>0</v>
      </c>
      <c r="AA79" s="133">
        <f>商品录入!AA79*$E79</f>
        <v>0</v>
      </c>
      <c r="AB79" s="133">
        <f>商品录入!AB79*$E79</f>
        <v>0</v>
      </c>
      <c r="AC79" s="133">
        <f>商品录入!AC79*$E79</f>
        <v>0</v>
      </c>
      <c r="AD79" s="133">
        <f>商品录入!AD79*$E79</f>
        <v>0</v>
      </c>
      <c r="AE79" s="133">
        <f>商品录入!AE79*$E79</f>
        <v>0</v>
      </c>
      <c r="AF79" s="133">
        <f>商品录入!AF79*$E79</f>
        <v>0</v>
      </c>
      <c r="AG79" s="133">
        <f>商品录入!AG79*$E79</f>
        <v>0</v>
      </c>
      <c r="AH79" s="133">
        <f>商品录入!AH79*$E79</f>
        <v>0</v>
      </c>
      <c r="AI79" s="133">
        <f>商品录入!AI79*$E79</f>
        <v>0</v>
      </c>
      <c r="AJ79" s="133">
        <f>商品录入!AJ79*$E79</f>
        <v>0</v>
      </c>
      <c r="AK79" s="133">
        <f>商品录入!AK79*$E79</f>
        <v>0</v>
      </c>
      <c r="AL79" s="133">
        <f>商品录入!AL79*$E79</f>
        <v>0</v>
      </c>
      <c r="AM79" s="133">
        <f>商品录入!AM79*$E79</f>
        <v>0</v>
      </c>
      <c r="AN79" s="133">
        <f>商品录入!AN79*$E79</f>
        <v>0</v>
      </c>
      <c r="AO79" s="133">
        <f>商品录入!AO79*$E79</f>
        <v>0</v>
      </c>
      <c r="AP79" s="133">
        <f>商品录入!AP79*$E79</f>
        <v>0</v>
      </c>
      <c r="AQ79" s="133">
        <f>商品录入!AQ79*$E79</f>
        <v>0</v>
      </c>
      <c r="AR79" s="133">
        <f>商品录入!AR79*$E79</f>
        <v>0</v>
      </c>
      <c r="AS79" s="133">
        <f>商品录入!AS79*$E79</f>
        <v>0</v>
      </c>
      <c r="AT79" s="133">
        <f>商品录入!AT79*$E79</f>
        <v>0</v>
      </c>
      <c r="AU79" s="133">
        <f>商品录入!AU79*$E79</f>
        <v>0</v>
      </c>
      <c r="AV79" s="133">
        <f>商品录入!AV79*$E79</f>
        <v>0</v>
      </c>
      <c r="AW79" s="133">
        <f>商品录入!AW79*$E79</f>
        <v>0</v>
      </c>
      <c r="AX79" s="133">
        <f>商品录入!AX79*$E79</f>
        <v>0</v>
      </c>
      <c r="AY79" s="133">
        <f>商品录入!AY79*$E79</f>
        <v>0</v>
      </c>
      <c r="AZ79" s="133">
        <f>商品录入!AZ79*$E79</f>
        <v>0</v>
      </c>
      <c r="BA79" s="133">
        <f>商品录入!BA79*$E79</f>
        <v>0</v>
      </c>
      <c r="BB79" s="133">
        <f>商品录入!BB79*$E79</f>
        <v>0</v>
      </c>
      <c r="BC79" s="133">
        <f>商品录入!BC79*$E79</f>
        <v>0</v>
      </c>
      <c r="BD79" s="133">
        <f>商品录入!BD79*$E79</f>
        <v>0</v>
      </c>
      <c r="BE79" s="133">
        <f>商品录入!BE79*$E79</f>
        <v>0</v>
      </c>
      <c r="BF79" s="133">
        <f>商品录入!BF79*$E79</f>
        <v>0</v>
      </c>
      <c r="BG79" s="133">
        <f>商品录入!BG79*$E79</f>
        <v>0</v>
      </c>
      <c r="BH79" s="133">
        <f>商品录入!BH79*$E79</f>
        <v>0</v>
      </c>
      <c r="BI79" s="133">
        <f>商品录入!BI79*$E79</f>
        <v>0</v>
      </c>
      <c r="BJ79" s="133">
        <f>商品录入!BJ79*$E79</f>
        <v>0</v>
      </c>
      <c r="BK79" s="133">
        <f>商品录入!BK79*$E79</f>
        <v>0</v>
      </c>
      <c r="BL79" s="133">
        <f>商品录入!BL79*$E79</f>
        <v>0</v>
      </c>
      <c r="BM79" s="133">
        <f>商品录入!BM79*$E79</f>
        <v>0</v>
      </c>
      <c r="BN79" s="133">
        <f>商品录入!BN79*$E79</f>
        <v>0</v>
      </c>
      <c r="BO79" s="133">
        <f>商品录入!BO79*$E79</f>
        <v>0</v>
      </c>
      <c r="BP79" s="133">
        <f>商品录入!BP79*$E79</f>
        <v>0</v>
      </c>
      <c r="BQ79" s="133">
        <f>商品录入!BQ79*$E79</f>
        <v>0</v>
      </c>
      <c r="BR79" s="133">
        <f>商品录入!BR79*$E79</f>
        <v>0</v>
      </c>
      <c r="BS79" s="133">
        <f>商品录入!BS79*$E79</f>
        <v>0</v>
      </c>
      <c r="BT79" s="133">
        <f>商品录入!BT79*$E79</f>
        <v>0</v>
      </c>
      <c r="BU79" s="133">
        <f>商品录入!BU79*$E79</f>
        <v>0</v>
      </c>
      <c r="BV79" s="133">
        <f>商品录入!BV79*$E79</f>
        <v>0</v>
      </c>
      <c r="BW79" s="133">
        <f>商品录入!BW79*$E79</f>
        <v>0</v>
      </c>
    </row>
    <row r="80" s="178" customFormat="1" customHeight="1" spans="1:75">
      <c r="A80" s="161">
        <v>76</v>
      </c>
      <c r="B80" s="162">
        <f>商品录入!B80</f>
        <v>0</v>
      </c>
      <c r="C80" s="162">
        <f>商品录入!C80</f>
        <v>0</v>
      </c>
      <c r="D80" s="162">
        <f>商品录入!D80</f>
        <v>0</v>
      </c>
      <c r="E80" s="162">
        <f>商品录入!E80</f>
        <v>0</v>
      </c>
      <c r="F80" s="162">
        <f>商品录入!F80</f>
        <v>0</v>
      </c>
      <c r="G80" s="162">
        <f>商品录入!G80</f>
        <v>0</v>
      </c>
      <c r="H80" s="162">
        <f>商品录入!H80</f>
        <v>0</v>
      </c>
      <c r="I80" s="162">
        <f>商品录入!I80</f>
        <v>0</v>
      </c>
      <c r="J80" s="162">
        <f>商品录入!J80</f>
        <v>0</v>
      </c>
      <c r="K80" s="162">
        <f>商品录入!K80</f>
        <v>0</v>
      </c>
      <c r="L80" s="162">
        <f>商品录入!L80</f>
        <v>0</v>
      </c>
      <c r="M80" s="162">
        <f>商品录入!M80</f>
        <v>0</v>
      </c>
      <c r="N80" s="133">
        <f>商品录入!N80*$E80</f>
        <v>0</v>
      </c>
      <c r="O80" s="133">
        <f>商品录入!O80*$E80</f>
        <v>0</v>
      </c>
      <c r="P80" s="133">
        <f>商品录入!P80*$E80</f>
        <v>0</v>
      </c>
      <c r="Q80" s="133">
        <f>商品录入!Q80*$E80</f>
        <v>0</v>
      </c>
      <c r="R80" s="133">
        <f>商品录入!R80*$E80</f>
        <v>0</v>
      </c>
      <c r="S80" s="133">
        <f>商品录入!S80*$E80</f>
        <v>0</v>
      </c>
      <c r="T80" s="133">
        <f>商品录入!T80*$E80</f>
        <v>0</v>
      </c>
      <c r="U80" s="133">
        <f>商品录入!U80*$E80</f>
        <v>0</v>
      </c>
      <c r="V80" s="133">
        <f>商品录入!V80*$E80</f>
        <v>0</v>
      </c>
      <c r="W80" s="133">
        <f>商品录入!W80*$E80</f>
        <v>0</v>
      </c>
      <c r="X80" s="133">
        <f>商品录入!X80*$E80</f>
        <v>0</v>
      </c>
      <c r="Y80" s="133">
        <f>商品录入!Y80*$E80</f>
        <v>0</v>
      </c>
      <c r="Z80" s="133">
        <f>商品录入!Z80*$E80</f>
        <v>0</v>
      </c>
      <c r="AA80" s="133">
        <f>商品录入!AA80*$E80</f>
        <v>0</v>
      </c>
      <c r="AB80" s="133">
        <f>商品录入!AB80*$E80</f>
        <v>0</v>
      </c>
      <c r="AC80" s="133">
        <f>商品录入!AC80*$E80</f>
        <v>0</v>
      </c>
      <c r="AD80" s="133">
        <f>商品录入!AD80*$E80</f>
        <v>0</v>
      </c>
      <c r="AE80" s="133">
        <f>商品录入!AE80*$E80</f>
        <v>0</v>
      </c>
      <c r="AF80" s="133">
        <f>商品录入!AF80*$E80</f>
        <v>0</v>
      </c>
      <c r="AG80" s="133">
        <f>商品录入!AG80*$E80</f>
        <v>0</v>
      </c>
      <c r="AH80" s="133">
        <f>商品录入!AH80*$E80</f>
        <v>0</v>
      </c>
      <c r="AI80" s="133">
        <f>商品录入!AI80*$E80</f>
        <v>0</v>
      </c>
      <c r="AJ80" s="133">
        <f>商品录入!AJ80*$E80</f>
        <v>0</v>
      </c>
      <c r="AK80" s="133">
        <f>商品录入!AK80*$E80</f>
        <v>0</v>
      </c>
      <c r="AL80" s="133">
        <f>商品录入!AL80*$E80</f>
        <v>0</v>
      </c>
      <c r="AM80" s="133">
        <f>商品录入!AM80*$E80</f>
        <v>0</v>
      </c>
      <c r="AN80" s="133">
        <f>商品录入!AN80*$E80</f>
        <v>0</v>
      </c>
      <c r="AO80" s="133">
        <f>商品录入!AO80*$E80</f>
        <v>0</v>
      </c>
      <c r="AP80" s="133">
        <f>商品录入!AP80*$E80</f>
        <v>0</v>
      </c>
      <c r="AQ80" s="133">
        <f>商品录入!AQ80*$E80</f>
        <v>0</v>
      </c>
      <c r="AR80" s="133">
        <f>商品录入!AR80*$E80</f>
        <v>0</v>
      </c>
      <c r="AS80" s="133">
        <f>商品录入!AS80*$E80</f>
        <v>0</v>
      </c>
      <c r="AT80" s="133">
        <f>商品录入!AT80*$E80</f>
        <v>0</v>
      </c>
      <c r="AU80" s="133">
        <f>商品录入!AU80*$E80</f>
        <v>0</v>
      </c>
      <c r="AV80" s="133">
        <f>商品录入!AV80*$E80</f>
        <v>0</v>
      </c>
      <c r="AW80" s="133">
        <f>商品录入!AW80*$E80</f>
        <v>0</v>
      </c>
      <c r="AX80" s="133">
        <f>商品录入!AX80*$E80</f>
        <v>0</v>
      </c>
      <c r="AY80" s="133">
        <f>商品录入!AY80*$E80</f>
        <v>0</v>
      </c>
      <c r="AZ80" s="133">
        <f>商品录入!AZ80*$E80</f>
        <v>0</v>
      </c>
      <c r="BA80" s="133">
        <f>商品录入!BA80*$E80</f>
        <v>0</v>
      </c>
      <c r="BB80" s="133">
        <f>商品录入!BB80*$E80</f>
        <v>0</v>
      </c>
      <c r="BC80" s="133">
        <f>商品录入!BC80*$E80</f>
        <v>0</v>
      </c>
      <c r="BD80" s="133">
        <f>商品录入!BD80*$E80</f>
        <v>0</v>
      </c>
      <c r="BE80" s="133">
        <f>商品录入!BE80*$E80</f>
        <v>0</v>
      </c>
      <c r="BF80" s="133">
        <f>商品录入!BF80*$E80</f>
        <v>0</v>
      </c>
      <c r="BG80" s="133">
        <f>商品录入!BG80*$E80</f>
        <v>0</v>
      </c>
      <c r="BH80" s="133">
        <f>商品录入!BH80*$E80</f>
        <v>0</v>
      </c>
      <c r="BI80" s="133">
        <f>商品录入!BI80*$E80</f>
        <v>0</v>
      </c>
      <c r="BJ80" s="133">
        <f>商品录入!BJ80*$E80</f>
        <v>0</v>
      </c>
      <c r="BK80" s="133">
        <f>商品录入!BK80*$E80</f>
        <v>0</v>
      </c>
      <c r="BL80" s="133">
        <f>商品录入!BL80*$E80</f>
        <v>0</v>
      </c>
      <c r="BM80" s="133">
        <f>商品录入!BM80*$E80</f>
        <v>0</v>
      </c>
      <c r="BN80" s="133">
        <f>商品录入!BN80*$E80</f>
        <v>0</v>
      </c>
      <c r="BO80" s="133">
        <f>商品录入!BO80*$E80</f>
        <v>0</v>
      </c>
      <c r="BP80" s="133">
        <f>商品录入!BP80*$E80</f>
        <v>0</v>
      </c>
      <c r="BQ80" s="133">
        <f>商品录入!BQ80*$E80</f>
        <v>0</v>
      </c>
      <c r="BR80" s="133">
        <f>商品录入!BR80*$E80</f>
        <v>0</v>
      </c>
      <c r="BS80" s="133">
        <f>商品录入!BS80*$E80</f>
        <v>0</v>
      </c>
      <c r="BT80" s="133">
        <f>商品录入!BT80*$E80</f>
        <v>0</v>
      </c>
      <c r="BU80" s="133">
        <f>商品录入!BU80*$E80</f>
        <v>0</v>
      </c>
      <c r="BV80" s="133">
        <f>商品录入!BV80*$E80</f>
        <v>0</v>
      </c>
      <c r="BW80" s="133">
        <f>商品录入!BW80*$E80</f>
        <v>0</v>
      </c>
    </row>
    <row r="81" s="178" customFormat="1" customHeight="1" spans="1:75">
      <c r="A81" s="161">
        <v>77</v>
      </c>
      <c r="B81" s="162">
        <f>商品录入!B81</f>
        <v>0</v>
      </c>
      <c r="C81" s="162">
        <f>商品录入!C81</f>
        <v>0</v>
      </c>
      <c r="D81" s="162">
        <f>商品录入!D81</f>
        <v>0</v>
      </c>
      <c r="E81" s="162">
        <f>商品录入!E81</f>
        <v>0</v>
      </c>
      <c r="F81" s="162">
        <f>商品录入!F81</f>
        <v>0</v>
      </c>
      <c r="G81" s="162">
        <f>商品录入!G81</f>
        <v>0</v>
      </c>
      <c r="H81" s="162">
        <f>商品录入!H81</f>
        <v>0</v>
      </c>
      <c r="I81" s="162">
        <f>商品录入!I81</f>
        <v>0</v>
      </c>
      <c r="J81" s="162">
        <f>商品录入!J81</f>
        <v>0</v>
      </c>
      <c r="K81" s="162">
        <f>商品录入!K81</f>
        <v>0</v>
      </c>
      <c r="L81" s="162">
        <f>商品录入!L81</f>
        <v>0</v>
      </c>
      <c r="M81" s="162">
        <f>商品录入!M81</f>
        <v>0</v>
      </c>
      <c r="N81" s="133">
        <f>商品录入!N81*$E81</f>
        <v>0</v>
      </c>
      <c r="O81" s="133">
        <f>商品录入!O81*$E81</f>
        <v>0</v>
      </c>
      <c r="P81" s="133">
        <f>商品录入!P81*$E81</f>
        <v>0</v>
      </c>
      <c r="Q81" s="133">
        <f>商品录入!Q81*$E81</f>
        <v>0</v>
      </c>
      <c r="R81" s="133">
        <f>商品录入!R81*$E81</f>
        <v>0</v>
      </c>
      <c r="S81" s="133">
        <f>商品录入!S81*$E81</f>
        <v>0</v>
      </c>
      <c r="T81" s="133">
        <f>商品录入!T81*$E81</f>
        <v>0</v>
      </c>
      <c r="U81" s="133">
        <f>商品录入!U81*$E81</f>
        <v>0</v>
      </c>
      <c r="V81" s="133">
        <f>商品录入!V81*$E81</f>
        <v>0</v>
      </c>
      <c r="W81" s="133">
        <f>商品录入!W81*$E81</f>
        <v>0</v>
      </c>
      <c r="X81" s="133">
        <f>商品录入!X81*$E81</f>
        <v>0</v>
      </c>
      <c r="Y81" s="133">
        <f>商品录入!Y81*$E81</f>
        <v>0</v>
      </c>
      <c r="Z81" s="133">
        <f>商品录入!Z81*$E81</f>
        <v>0</v>
      </c>
      <c r="AA81" s="133">
        <f>商品录入!AA81*$E81</f>
        <v>0</v>
      </c>
      <c r="AB81" s="133">
        <f>商品录入!AB81*$E81</f>
        <v>0</v>
      </c>
      <c r="AC81" s="133">
        <f>商品录入!AC81*$E81</f>
        <v>0</v>
      </c>
      <c r="AD81" s="133">
        <f>商品录入!AD81*$E81</f>
        <v>0</v>
      </c>
      <c r="AE81" s="133">
        <f>商品录入!AE81*$E81</f>
        <v>0</v>
      </c>
      <c r="AF81" s="133">
        <f>商品录入!AF81*$E81</f>
        <v>0</v>
      </c>
      <c r="AG81" s="133">
        <f>商品录入!AG81*$E81</f>
        <v>0</v>
      </c>
      <c r="AH81" s="133">
        <f>商品录入!AH81*$E81</f>
        <v>0</v>
      </c>
      <c r="AI81" s="133">
        <f>商品录入!AI81*$E81</f>
        <v>0</v>
      </c>
      <c r="AJ81" s="133">
        <f>商品录入!AJ81*$E81</f>
        <v>0</v>
      </c>
      <c r="AK81" s="133">
        <f>商品录入!AK81*$E81</f>
        <v>0</v>
      </c>
      <c r="AL81" s="133">
        <f>商品录入!AL81*$E81</f>
        <v>0</v>
      </c>
      <c r="AM81" s="133">
        <f>商品录入!AM81*$E81</f>
        <v>0</v>
      </c>
      <c r="AN81" s="133">
        <f>商品录入!AN81*$E81</f>
        <v>0</v>
      </c>
      <c r="AO81" s="133">
        <f>商品录入!AO81*$E81</f>
        <v>0</v>
      </c>
      <c r="AP81" s="133">
        <f>商品录入!AP81*$E81</f>
        <v>0</v>
      </c>
      <c r="AQ81" s="133">
        <f>商品录入!AQ81*$E81</f>
        <v>0</v>
      </c>
      <c r="AR81" s="133">
        <f>商品录入!AR81*$E81</f>
        <v>0</v>
      </c>
      <c r="AS81" s="133">
        <f>商品录入!AS81*$E81</f>
        <v>0</v>
      </c>
      <c r="AT81" s="133">
        <f>商品录入!AT81*$E81</f>
        <v>0</v>
      </c>
      <c r="AU81" s="133">
        <f>商品录入!AU81*$E81</f>
        <v>0</v>
      </c>
      <c r="AV81" s="133">
        <f>商品录入!AV81*$E81</f>
        <v>0</v>
      </c>
      <c r="AW81" s="133">
        <f>商品录入!AW81*$E81</f>
        <v>0</v>
      </c>
      <c r="AX81" s="133">
        <f>商品录入!AX81*$E81</f>
        <v>0</v>
      </c>
      <c r="AY81" s="133">
        <f>商品录入!AY81*$E81</f>
        <v>0</v>
      </c>
      <c r="AZ81" s="133">
        <f>商品录入!AZ81*$E81</f>
        <v>0</v>
      </c>
      <c r="BA81" s="133">
        <f>商品录入!BA81*$E81</f>
        <v>0</v>
      </c>
      <c r="BB81" s="133">
        <f>商品录入!BB81*$E81</f>
        <v>0</v>
      </c>
      <c r="BC81" s="133">
        <f>商品录入!BC81*$E81</f>
        <v>0</v>
      </c>
      <c r="BD81" s="133">
        <f>商品录入!BD81*$E81</f>
        <v>0</v>
      </c>
      <c r="BE81" s="133">
        <f>商品录入!BE81*$E81</f>
        <v>0</v>
      </c>
      <c r="BF81" s="133">
        <f>商品录入!BF81*$E81</f>
        <v>0</v>
      </c>
      <c r="BG81" s="133">
        <f>商品录入!BG81*$E81</f>
        <v>0</v>
      </c>
      <c r="BH81" s="133">
        <f>商品录入!BH81*$E81</f>
        <v>0</v>
      </c>
      <c r="BI81" s="133">
        <f>商品录入!BI81*$E81</f>
        <v>0</v>
      </c>
      <c r="BJ81" s="133">
        <f>商品录入!BJ81*$E81</f>
        <v>0</v>
      </c>
      <c r="BK81" s="133">
        <f>商品录入!BK81*$E81</f>
        <v>0</v>
      </c>
      <c r="BL81" s="133">
        <f>商品录入!BL81*$E81</f>
        <v>0</v>
      </c>
      <c r="BM81" s="133">
        <f>商品录入!BM81*$E81</f>
        <v>0</v>
      </c>
      <c r="BN81" s="133">
        <f>商品录入!BN81*$E81</f>
        <v>0</v>
      </c>
      <c r="BO81" s="133">
        <f>商品录入!BO81*$E81</f>
        <v>0</v>
      </c>
      <c r="BP81" s="133">
        <f>商品录入!BP81*$E81</f>
        <v>0</v>
      </c>
      <c r="BQ81" s="133">
        <f>商品录入!BQ81*$E81</f>
        <v>0</v>
      </c>
      <c r="BR81" s="133">
        <f>商品录入!BR81*$E81</f>
        <v>0</v>
      </c>
      <c r="BS81" s="133">
        <f>商品录入!BS81*$E81</f>
        <v>0</v>
      </c>
      <c r="BT81" s="133">
        <f>商品录入!BT81*$E81</f>
        <v>0</v>
      </c>
      <c r="BU81" s="133">
        <f>商品录入!BU81*$E81</f>
        <v>0</v>
      </c>
      <c r="BV81" s="133">
        <f>商品录入!BV81*$E81</f>
        <v>0</v>
      </c>
      <c r="BW81" s="133">
        <f>商品录入!BW81*$E81</f>
        <v>0</v>
      </c>
    </row>
    <row r="82" s="178" customFormat="1" customHeight="1" spans="1:75">
      <c r="A82" s="161">
        <v>78</v>
      </c>
      <c r="B82" s="162">
        <f>商品录入!B82</f>
        <v>0</v>
      </c>
      <c r="C82" s="162">
        <f>商品录入!C82</f>
        <v>0</v>
      </c>
      <c r="D82" s="162">
        <f>商品录入!D82</f>
        <v>0</v>
      </c>
      <c r="E82" s="162">
        <f>商品录入!E82</f>
        <v>0</v>
      </c>
      <c r="F82" s="162">
        <f>商品录入!F82</f>
        <v>0</v>
      </c>
      <c r="G82" s="162">
        <f>商品录入!G82</f>
        <v>0</v>
      </c>
      <c r="H82" s="162">
        <f>商品录入!H82</f>
        <v>0</v>
      </c>
      <c r="I82" s="162">
        <f>商品录入!I82</f>
        <v>0</v>
      </c>
      <c r="J82" s="162">
        <f>商品录入!J82</f>
        <v>0</v>
      </c>
      <c r="K82" s="162">
        <f>商品录入!K82</f>
        <v>0</v>
      </c>
      <c r="L82" s="162">
        <f>商品录入!L82</f>
        <v>0</v>
      </c>
      <c r="M82" s="162">
        <f>商品录入!M82</f>
        <v>0</v>
      </c>
      <c r="N82" s="133">
        <f>商品录入!N82*$E82</f>
        <v>0</v>
      </c>
      <c r="O82" s="133">
        <f>商品录入!O82*$E82</f>
        <v>0</v>
      </c>
      <c r="P82" s="133">
        <f>商品录入!P82*$E82</f>
        <v>0</v>
      </c>
      <c r="Q82" s="133">
        <f>商品录入!Q82*$E82</f>
        <v>0</v>
      </c>
      <c r="R82" s="133">
        <f>商品录入!R82*$E82</f>
        <v>0</v>
      </c>
      <c r="S82" s="133">
        <f>商品录入!S82*$E82</f>
        <v>0</v>
      </c>
      <c r="T82" s="133">
        <f>商品录入!T82*$E82</f>
        <v>0</v>
      </c>
      <c r="U82" s="133">
        <f>商品录入!U82*$E82</f>
        <v>0</v>
      </c>
      <c r="V82" s="133">
        <f>商品录入!V82*$E82</f>
        <v>0</v>
      </c>
      <c r="W82" s="133">
        <f>商品录入!W82*$E82</f>
        <v>0</v>
      </c>
      <c r="X82" s="133">
        <f>商品录入!X82*$E82</f>
        <v>0</v>
      </c>
      <c r="Y82" s="133">
        <f>商品录入!Y82*$E82</f>
        <v>0</v>
      </c>
      <c r="Z82" s="133">
        <f>商品录入!Z82*$E82</f>
        <v>0</v>
      </c>
      <c r="AA82" s="133">
        <f>商品录入!AA82*$E82</f>
        <v>0</v>
      </c>
      <c r="AB82" s="133">
        <f>商品录入!AB82*$E82</f>
        <v>0</v>
      </c>
      <c r="AC82" s="133">
        <f>商品录入!AC82*$E82</f>
        <v>0</v>
      </c>
      <c r="AD82" s="133">
        <f>商品录入!AD82*$E82</f>
        <v>0</v>
      </c>
      <c r="AE82" s="133">
        <f>商品录入!AE82*$E82</f>
        <v>0</v>
      </c>
      <c r="AF82" s="133">
        <f>商品录入!AF82*$E82</f>
        <v>0</v>
      </c>
      <c r="AG82" s="133">
        <f>商品录入!AG82*$E82</f>
        <v>0</v>
      </c>
      <c r="AH82" s="133">
        <f>商品录入!AH82*$E82</f>
        <v>0</v>
      </c>
      <c r="AI82" s="133">
        <f>商品录入!AI82*$E82</f>
        <v>0</v>
      </c>
      <c r="AJ82" s="133">
        <f>商品录入!AJ82*$E82</f>
        <v>0</v>
      </c>
      <c r="AK82" s="133">
        <f>商品录入!AK82*$E82</f>
        <v>0</v>
      </c>
      <c r="AL82" s="133">
        <f>商品录入!AL82*$E82</f>
        <v>0</v>
      </c>
      <c r="AM82" s="133">
        <f>商品录入!AM82*$E82</f>
        <v>0</v>
      </c>
      <c r="AN82" s="133">
        <f>商品录入!AN82*$E82</f>
        <v>0</v>
      </c>
      <c r="AO82" s="133">
        <f>商品录入!AO82*$E82</f>
        <v>0</v>
      </c>
      <c r="AP82" s="133">
        <f>商品录入!AP82*$E82</f>
        <v>0</v>
      </c>
      <c r="AQ82" s="133">
        <f>商品录入!AQ82*$E82</f>
        <v>0</v>
      </c>
      <c r="AR82" s="133">
        <f>商品录入!AR82*$E82</f>
        <v>0</v>
      </c>
      <c r="AS82" s="133">
        <f>商品录入!AS82*$E82</f>
        <v>0</v>
      </c>
      <c r="AT82" s="133">
        <f>商品录入!AT82*$E82</f>
        <v>0</v>
      </c>
      <c r="AU82" s="133">
        <f>商品录入!AU82*$E82</f>
        <v>0</v>
      </c>
      <c r="AV82" s="133">
        <f>商品录入!AV82*$E82</f>
        <v>0</v>
      </c>
      <c r="AW82" s="133">
        <f>商品录入!AW82*$E82</f>
        <v>0</v>
      </c>
      <c r="AX82" s="133">
        <f>商品录入!AX82*$E82</f>
        <v>0</v>
      </c>
      <c r="AY82" s="133">
        <f>商品录入!AY82*$E82</f>
        <v>0</v>
      </c>
      <c r="AZ82" s="133">
        <f>商品录入!AZ82*$E82</f>
        <v>0</v>
      </c>
      <c r="BA82" s="133">
        <f>商品录入!BA82*$E82</f>
        <v>0</v>
      </c>
      <c r="BB82" s="133">
        <f>商品录入!BB82*$E82</f>
        <v>0</v>
      </c>
      <c r="BC82" s="133">
        <f>商品录入!BC82*$E82</f>
        <v>0</v>
      </c>
      <c r="BD82" s="133">
        <f>商品录入!BD82*$E82</f>
        <v>0</v>
      </c>
      <c r="BE82" s="133">
        <f>商品录入!BE82*$E82</f>
        <v>0</v>
      </c>
      <c r="BF82" s="133">
        <f>商品录入!BF82*$E82</f>
        <v>0</v>
      </c>
      <c r="BG82" s="133">
        <f>商品录入!BG82*$E82</f>
        <v>0</v>
      </c>
      <c r="BH82" s="133">
        <f>商品录入!BH82*$E82</f>
        <v>0</v>
      </c>
      <c r="BI82" s="133">
        <f>商品录入!BI82*$E82</f>
        <v>0</v>
      </c>
      <c r="BJ82" s="133">
        <f>商品录入!BJ82*$E82</f>
        <v>0</v>
      </c>
      <c r="BK82" s="133">
        <f>商品录入!BK82*$E82</f>
        <v>0</v>
      </c>
      <c r="BL82" s="133">
        <f>商品录入!BL82*$E82</f>
        <v>0</v>
      </c>
      <c r="BM82" s="133">
        <f>商品录入!BM82*$E82</f>
        <v>0</v>
      </c>
      <c r="BN82" s="133">
        <f>商品录入!BN82*$E82</f>
        <v>0</v>
      </c>
      <c r="BO82" s="133">
        <f>商品录入!BO82*$E82</f>
        <v>0</v>
      </c>
      <c r="BP82" s="133">
        <f>商品录入!BP82*$E82</f>
        <v>0</v>
      </c>
      <c r="BQ82" s="133">
        <f>商品录入!BQ82*$E82</f>
        <v>0</v>
      </c>
      <c r="BR82" s="133">
        <f>商品录入!BR82*$E82</f>
        <v>0</v>
      </c>
      <c r="BS82" s="133">
        <f>商品录入!BS82*$E82</f>
        <v>0</v>
      </c>
      <c r="BT82" s="133">
        <f>商品录入!BT82*$E82</f>
        <v>0</v>
      </c>
      <c r="BU82" s="133">
        <f>商品录入!BU82*$E82</f>
        <v>0</v>
      </c>
      <c r="BV82" s="133">
        <f>商品录入!BV82*$E82</f>
        <v>0</v>
      </c>
      <c r="BW82" s="133">
        <f>商品录入!BW82*$E82</f>
        <v>0</v>
      </c>
    </row>
    <row r="83" s="178" customFormat="1" customHeight="1" spans="1:75">
      <c r="A83" s="161">
        <v>79</v>
      </c>
      <c r="B83" s="162">
        <f>商品录入!B83</f>
        <v>0</v>
      </c>
      <c r="C83" s="162">
        <f>商品录入!C83</f>
        <v>0</v>
      </c>
      <c r="D83" s="162">
        <f>商品录入!D83</f>
        <v>0</v>
      </c>
      <c r="E83" s="162">
        <f>商品录入!E83</f>
        <v>0</v>
      </c>
      <c r="F83" s="162">
        <f>商品录入!F83</f>
        <v>0</v>
      </c>
      <c r="G83" s="162">
        <f>商品录入!G83</f>
        <v>0</v>
      </c>
      <c r="H83" s="162">
        <f>商品录入!H83</f>
        <v>0</v>
      </c>
      <c r="I83" s="162">
        <f>商品录入!I83</f>
        <v>0</v>
      </c>
      <c r="J83" s="162">
        <f>商品录入!J83</f>
        <v>0</v>
      </c>
      <c r="K83" s="162">
        <f>商品录入!K83</f>
        <v>0</v>
      </c>
      <c r="L83" s="162">
        <f>商品录入!L83</f>
        <v>0</v>
      </c>
      <c r="M83" s="162">
        <f>商品录入!M83</f>
        <v>0</v>
      </c>
      <c r="N83" s="133">
        <f>商品录入!N83*$E83</f>
        <v>0</v>
      </c>
      <c r="O83" s="133">
        <f>商品录入!O83*$E83</f>
        <v>0</v>
      </c>
      <c r="P83" s="133">
        <f>商品录入!P83*$E83</f>
        <v>0</v>
      </c>
      <c r="Q83" s="133">
        <f>商品录入!Q83*$E83</f>
        <v>0</v>
      </c>
      <c r="R83" s="133">
        <f>商品录入!R83*$E83</f>
        <v>0</v>
      </c>
      <c r="S83" s="133">
        <f>商品录入!S83*$E83</f>
        <v>0</v>
      </c>
      <c r="T83" s="133">
        <f>商品录入!T83*$E83</f>
        <v>0</v>
      </c>
      <c r="U83" s="133">
        <f>商品录入!U83*$E83</f>
        <v>0</v>
      </c>
      <c r="V83" s="133">
        <f>商品录入!V83*$E83</f>
        <v>0</v>
      </c>
      <c r="W83" s="133">
        <f>商品录入!W83*$E83</f>
        <v>0</v>
      </c>
      <c r="X83" s="133">
        <f>商品录入!X83*$E83</f>
        <v>0</v>
      </c>
      <c r="Y83" s="133">
        <f>商品录入!Y83*$E83</f>
        <v>0</v>
      </c>
      <c r="Z83" s="133">
        <f>商品录入!Z83*$E83</f>
        <v>0</v>
      </c>
      <c r="AA83" s="133">
        <f>商品录入!AA83*$E83</f>
        <v>0</v>
      </c>
      <c r="AB83" s="133">
        <f>商品录入!AB83*$E83</f>
        <v>0</v>
      </c>
      <c r="AC83" s="133">
        <f>商品录入!AC83*$E83</f>
        <v>0</v>
      </c>
      <c r="AD83" s="133">
        <f>商品录入!AD83*$E83</f>
        <v>0</v>
      </c>
      <c r="AE83" s="133">
        <f>商品录入!AE83*$E83</f>
        <v>0</v>
      </c>
      <c r="AF83" s="133">
        <f>商品录入!AF83*$E83</f>
        <v>0</v>
      </c>
      <c r="AG83" s="133">
        <f>商品录入!AG83*$E83</f>
        <v>0</v>
      </c>
      <c r="AH83" s="133">
        <f>商品录入!AH83*$E83</f>
        <v>0</v>
      </c>
      <c r="AI83" s="133">
        <f>商品录入!AI83*$E83</f>
        <v>0</v>
      </c>
      <c r="AJ83" s="133">
        <f>商品录入!AJ83*$E83</f>
        <v>0</v>
      </c>
      <c r="AK83" s="133">
        <f>商品录入!AK83*$E83</f>
        <v>0</v>
      </c>
      <c r="AL83" s="133">
        <f>商品录入!AL83*$E83</f>
        <v>0</v>
      </c>
      <c r="AM83" s="133">
        <f>商品录入!AM83*$E83</f>
        <v>0</v>
      </c>
      <c r="AN83" s="133">
        <f>商品录入!AN83*$E83</f>
        <v>0</v>
      </c>
      <c r="AO83" s="133">
        <f>商品录入!AO83*$E83</f>
        <v>0</v>
      </c>
      <c r="AP83" s="133">
        <f>商品录入!AP83*$E83</f>
        <v>0</v>
      </c>
      <c r="AQ83" s="133">
        <f>商品录入!AQ83*$E83</f>
        <v>0</v>
      </c>
      <c r="AR83" s="133">
        <f>商品录入!AR83*$E83</f>
        <v>0</v>
      </c>
      <c r="AS83" s="133">
        <f>商品录入!AS83*$E83</f>
        <v>0</v>
      </c>
      <c r="AT83" s="133">
        <f>商品录入!AT83*$E83</f>
        <v>0</v>
      </c>
      <c r="AU83" s="133">
        <f>商品录入!AU83*$E83</f>
        <v>0</v>
      </c>
      <c r="AV83" s="133">
        <f>商品录入!AV83*$E83</f>
        <v>0</v>
      </c>
      <c r="AW83" s="133">
        <f>商品录入!AW83*$E83</f>
        <v>0</v>
      </c>
      <c r="AX83" s="133">
        <f>商品录入!AX83*$E83</f>
        <v>0</v>
      </c>
      <c r="AY83" s="133">
        <f>商品录入!AY83*$E83</f>
        <v>0</v>
      </c>
      <c r="AZ83" s="133">
        <f>商品录入!AZ83*$E83</f>
        <v>0</v>
      </c>
      <c r="BA83" s="133">
        <f>商品录入!BA83*$E83</f>
        <v>0</v>
      </c>
      <c r="BB83" s="133">
        <f>商品录入!BB83*$E83</f>
        <v>0</v>
      </c>
      <c r="BC83" s="133">
        <f>商品录入!BC83*$E83</f>
        <v>0</v>
      </c>
      <c r="BD83" s="133">
        <f>商品录入!BD83*$E83</f>
        <v>0</v>
      </c>
      <c r="BE83" s="133">
        <f>商品录入!BE83*$E83</f>
        <v>0</v>
      </c>
      <c r="BF83" s="133">
        <f>商品录入!BF83*$E83</f>
        <v>0</v>
      </c>
      <c r="BG83" s="133">
        <f>商品录入!BG83*$E83</f>
        <v>0</v>
      </c>
      <c r="BH83" s="133">
        <f>商品录入!BH83*$E83</f>
        <v>0</v>
      </c>
      <c r="BI83" s="133">
        <f>商品录入!BI83*$E83</f>
        <v>0</v>
      </c>
      <c r="BJ83" s="133">
        <f>商品录入!BJ83*$E83</f>
        <v>0</v>
      </c>
      <c r="BK83" s="133">
        <f>商品录入!BK83*$E83</f>
        <v>0</v>
      </c>
      <c r="BL83" s="133">
        <f>商品录入!BL83*$E83</f>
        <v>0</v>
      </c>
      <c r="BM83" s="133">
        <f>商品录入!BM83*$E83</f>
        <v>0</v>
      </c>
      <c r="BN83" s="133">
        <f>商品录入!BN83*$E83</f>
        <v>0</v>
      </c>
      <c r="BO83" s="133">
        <f>商品录入!BO83*$E83</f>
        <v>0</v>
      </c>
      <c r="BP83" s="133">
        <f>商品录入!BP83*$E83</f>
        <v>0</v>
      </c>
      <c r="BQ83" s="133">
        <f>商品录入!BQ83*$E83</f>
        <v>0</v>
      </c>
      <c r="BR83" s="133">
        <f>商品录入!BR83*$E83</f>
        <v>0</v>
      </c>
      <c r="BS83" s="133">
        <f>商品录入!BS83*$E83</f>
        <v>0</v>
      </c>
      <c r="BT83" s="133">
        <f>商品录入!BT83*$E83</f>
        <v>0</v>
      </c>
      <c r="BU83" s="133">
        <f>商品录入!BU83*$E83</f>
        <v>0</v>
      </c>
      <c r="BV83" s="133">
        <f>商品录入!BV83*$E83</f>
        <v>0</v>
      </c>
      <c r="BW83" s="133">
        <f>商品录入!BW83*$E83</f>
        <v>0</v>
      </c>
    </row>
    <row r="84" s="178" customFormat="1" customHeight="1" spans="1:75">
      <c r="A84" s="161">
        <v>80</v>
      </c>
      <c r="B84" s="162">
        <f>商品录入!B84</f>
        <v>0</v>
      </c>
      <c r="C84" s="162">
        <f>商品录入!C84</f>
        <v>0</v>
      </c>
      <c r="D84" s="162">
        <f>商品录入!D84</f>
        <v>0</v>
      </c>
      <c r="E84" s="162">
        <f>商品录入!E84</f>
        <v>0</v>
      </c>
      <c r="F84" s="162">
        <f>商品录入!F84</f>
        <v>0</v>
      </c>
      <c r="G84" s="162">
        <f>商品录入!G84</f>
        <v>0</v>
      </c>
      <c r="H84" s="162">
        <f>商品录入!H84</f>
        <v>0</v>
      </c>
      <c r="I84" s="162">
        <f>商品录入!I84</f>
        <v>0</v>
      </c>
      <c r="J84" s="162">
        <f>商品录入!J84</f>
        <v>0</v>
      </c>
      <c r="K84" s="162">
        <f>商品录入!K84</f>
        <v>0</v>
      </c>
      <c r="L84" s="162">
        <f>商品录入!L84</f>
        <v>0</v>
      </c>
      <c r="M84" s="162">
        <f>商品录入!M84</f>
        <v>0</v>
      </c>
      <c r="N84" s="133">
        <f>商品录入!N84*$E84</f>
        <v>0</v>
      </c>
      <c r="O84" s="133">
        <f>商品录入!O84*$E84</f>
        <v>0</v>
      </c>
      <c r="P84" s="133">
        <f>商品录入!P84*$E84</f>
        <v>0</v>
      </c>
      <c r="Q84" s="133">
        <f>商品录入!Q84*$E84</f>
        <v>0</v>
      </c>
      <c r="R84" s="133">
        <f>商品录入!R84*$E84</f>
        <v>0</v>
      </c>
      <c r="S84" s="133">
        <f>商品录入!S84*$E84</f>
        <v>0</v>
      </c>
      <c r="T84" s="133">
        <f>商品录入!T84*$E84</f>
        <v>0</v>
      </c>
      <c r="U84" s="133">
        <f>商品录入!U84*$E84</f>
        <v>0</v>
      </c>
      <c r="V84" s="133">
        <f>商品录入!V84*$E84</f>
        <v>0</v>
      </c>
      <c r="W84" s="133">
        <f>商品录入!W84*$E84</f>
        <v>0</v>
      </c>
      <c r="X84" s="133">
        <f>商品录入!X84*$E84</f>
        <v>0</v>
      </c>
      <c r="Y84" s="133">
        <f>商品录入!Y84*$E84</f>
        <v>0</v>
      </c>
      <c r="Z84" s="133">
        <f>商品录入!Z84*$E84</f>
        <v>0</v>
      </c>
      <c r="AA84" s="133">
        <f>商品录入!AA84*$E84</f>
        <v>0</v>
      </c>
      <c r="AB84" s="133">
        <f>商品录入!AB84*$E84</f>
        <v>0</v>
      </c>
      <c r="AC84" s="133">
        <f>商品录入!AC84*$E84</f>
        <v>0</v>
      </c>
      <c r="AD84" s="133">
        <f>商品录入!AD84*$E84</f>
        <v>0</v>
      </c>
      <c r="AE84" s="133">
        <f>商品录入!AE84*$E84</f>
        <v>0</v>
      </c>
      <c r="AF84" s="133">
        <f>商品录入!AF84*$E84</f>
        <v>0</v>
      </c>
      <c r="AG84" s="133">
        <f>商品录入!AG84*$E84</f>
        <v>0</v>
      </c>
      <c r="AH84" s="133">
        <f>商品录入!AH84*$E84</f>
        <v>0</v>
      </c>
      <c r="AI84" s="133">
        <f>商品录入!AI84*$E84</f>
        <v>0</v>
      </c>
      <c r="AJ84" s="133">
        <f>商品录入!AJ84*$E84</f>
        <v>0</v>
      </c>
      <c r="AK84" s="133">
        <f>商品录入!AK84*$E84</f>
        <v>0</v>
      </c>
      <c r="AL84" s="133">
        <f>商品录入!AL84*$E84</f>
        <v>0</v>
      </c>
      <c r="AM84" s="133">
        <f>商品录入!AM84*$E84</f>
        <v>0</v>
      </c>
      <c r="AN84" s="133">
        <f>商品录入!AN84*$E84</f>
        <v>0</v>
      </c>
      <c r="AO84" s="133">
        <f>商品录入!AO84*$E84</f>
        <v>0</v>
      </c>
      <c r="AP84" s="133">
        <f>商品录入!AP84*$E84</f>
        <v>0</v>
      </c>
      <c r="AQ84" s="133">
        <f>商品录入!AQ84*$E84</f>
        <v>0</v>
      </c>
      <c r="AR84" s="133">
        <f>商品录入!AR84*$E84</f>
        <v>0</v>
      </c>
      <c r="AS84" s="133">
        <f>商品录入!AS84*$E84</f>
        <v>0</v>
      </c>
      <c r="AT84" s="133">
        <f>商品录入!AT84*$E84</f>
        <v>0</v>
      </c>
      <c r="AU84" s="133">
        <f>商品录入!AU84*$E84</f>
        <v>0</v>
      </c>
      <c r="AV84" s="133">
        <f>商品录入!AV84*$E84</f>
        <v>0</v>
      </c>
      <c r="AW84" s="133">
        <f>商品录入!AW84*$E84</f>
        <v>0</v>
      </c>
      <c r="AX84" s="133">
        <f>商品录入!AX84*$E84</f>
        <v>0</v>
      </c>
      <c r="AY84" s="133">
        <f>商品录入!AY84*$E84</f>
        <v>0</v>
      </c>
      <c r="AZ84" s="133">
        <f>商品录入!AZ84*$E84</f>
        <v>0</v>
      </c>
      <c r="BA84" s="133">
        <f>商品录入!BA84*$E84</f>
        <v>0</v>
      </c>
      <c r="BB84" s="133">
        <f>商品录入!BB84*$E84</f>
        <v>0</v>
      </c>
      <c r="BC84" s="133">
        <f>商品录入!BC84*$E84</f>
        <v>0</v>
      </c>
      <c r="BD84" s="133">
        <f>商品录入!BD84*$E84</f>
        <v>0</v>
      </c>
      <c r="BE84" s="133">
        <f>商品录入!BE84*$E84</f>
        <v>0</v>
      </c>
      <c r="BF84" s="133">
        <f>商品录入!BF84*$E84</f>
        <v>0</v>
      </c>
      <c r="BG84" s="133">
        <f>商品录入!BG84*$E84</f>
        <v>0</v>
      </c>
      <c r="BH84" s="133">
        <f>商品录入!BH84*$E84</f>
        <v>0</v>
      </c>
      <c r="BI84" s="133">
        <f>商品录入!BI84*$E84</f>
        <v>0</v>
      </c>
      <c r="BJ84" s="133">
        <f>商品录入!BJ84*$E84</f>
        <v>0</v>
      </c>
      <c r="BK84" s="133">
        <f>商品录入!BK84*$E84</f>
        <v>0</v>
      </c>
      <c r="BL84" s="133">
        <f>商品录入!BL84*$E84</f>
        <v>0</v>
      </c>
      <c r="BM84" s="133">
        <f>商品录入!BM84*$E84</f>
        <v>0</v>
      </c>
      <c r="BN84" s="133">
        <f>商品录入!BN84*$E84</f>
        <v>0</v>
      </c>
      <c r="BO84" s="133">
        <f>商品录入!BO84*$E84</f>
        <v>0</v>
      </c>
      <c r="BP84" s="133">
        <f>商品录入!BP84*$E84</f>
        <v>0</v>
      </c>
      <c r="BQ84" s="133">
        <f>商品录入!BQ84*$E84</f>
        <v>0</v>
      </c>
      <c r="BR84" s="133">
        <f>商品录入!BR84*$E84</f>
        <v>0</v>
      </c>
      <c r="BS84" s="133">
        <f>商品录入!BS84*$E84</f>
        <v>0</v>
      </c>
      <c r="BT84" s="133">
        <f>商品录入!BT84*$E84</f>
        <v>0</v>
      </c>
      <c r="BU84" s="133">
        <f>商品录入!BU84*$E84</f>
        <v>0</v>
      </c>
      <c r="BV84" s="133">
        <f>商品录入!BV84*$E84</f>
        <v>0</v>
      </c>
      <c r="BW84" s="133">
        <f>商品录入!BW84*$E84</f>
        <v>0</v>
      </c>
    </row>
    <row r="85" s="178" customFormat="1" customHeight="1" spans="1:75">
      <c r="A85" s="161">
        <v>81</v>
      </c>
      <c r="B85" s="162">
        <f>商品录入!B85</f>
        <v>0</v>
      </c>
      <c r="C85" s="162">
        <f>商品录入!C85</f>
        <v>0</v>
      </c>
      <c r="D85" s="162">
        <f>商品录入!D85</f>
        <v>0</v>
      </c>
      <c r="E85" s="162">
        <f>商品录入!E85</f>
        <v>0</v>
      </c>
      <c r="F85" s="162">
        <f>商品录入!F85</f>
        <v>0</v>
      </c>
      <c r="G85" s="162">
        <f>商品录入!G85</f>
        <v>0</v>
      </c>
      <c r="H85" s="162">
        <f>商品录入!H85</f>
        <v>0</v>
      </c>
      <c r="I85" s="162">
        <f>商品录入!I85</f>
        <v>0</v>
      </c>
      <c r="J85" s="162">
        <f>商品录入!J85</f>
        <v>0</v>
      </c>
      <c r="K85" s="162">
        <f>商品录入!K85</f>
        <v>0</v>
      </c>
      <c r="L85" s="162">
        <f>商品录入!L85</f>
        <v>0</v>
      </c>
      <c r="M85" s="162">
        <f>商品录入!M85</f>
        <v>0</v>
      </c>
      <c r="N85" s="133">
        <f>商品录入!N85*$E85</f>
        <v>0</v>
      </c>
      <c r="O85" s="133">
        <f>商品录入!O85*$E85</f>
        <v>0</v>
      </c>
      <c r="P85" s="133">
        <f>商品录入!P85*$E85</f>
        <v>0</v>
      </c>
      <c r="Q85" s="133">
        <f>商品录入!Q85*$E85</f>
        <v>0</v>
      </c>
      <c r="R85" s="133">
        <f>商品录入!R85*$E85</f>
        <v>0</v>
      </c>
      <c r="S85" s="133">
        <f>商品录入!S85*$E85</f>
        <v>0</v>
      </c>
      <c r="T85" s="133">
        <f>商品录入!T85*$E85</f>
        <v>0</v>
      </c>
      <c r="U85" s="133">
        <f>商品录入!U85*$E85</f>
        <v>0</v>
      </c>
      <c r="V85" s="133">
        <f>商品录入!V85*$E85</f>
        <v>0</v>
      </c>
      <c r="W85" s="133">
        <f>商品录入!W85*$E85</f>
        <v>0</v>
      </c>
      <c r="X85" s="133">
        <f>商品录入!X85*$E85</f>
        <v>0</v>
      </c>
      <c r="Y85" s="133">
        <f>商品录入!Y85*$E85</f>
        <v>0</v>
      </c>
      <c r="Z85" s="133">
        <f>商品录入!Z85*$E85</f>
        <v>0</v>
      </c>
      <c r="AA85" s="133">
        <f>商品录入!AA85*$E85</f>
        <v>0</v>
      </c>
      <c r="AB85" s="133">
        <f>商品录入!AB85*$E85</f>
        <v>0</v>
      </c>
      <c r="AC85" s="133">
        <f>商品录入!AC85*$E85</f>
        <v>0</v>
      </c>
      <c r="AD85" s="133">
        <f>商品录入!AD85*$E85</f>
        <v>0</v>
      </c>
      <c r="AE85" s="133">
        <f>商品录入!AE85*$E85</f>
        <v>0</v>
      </c>
      <c r="AF85" s="133">
        <f>商品录入!AF85*$E85</f>
        <v>0</v>
      </c>
      <c r="AG85" s="133">
        <f>商品录入!AG85*$E85</f>
        <v>0</v>
      </c>
      <c r="AH85" s="133">
        <f>商品录入!AH85*$E85</f>
        <v>0</v>
      </c>
      <c r="AI85" s="133">
        <f>商品录入!AI85*$E85</f>
        <v>0</v>
      </c>
      <c r="AJ85" s="133">
        <f>商品录入!AJ85*$E85</f>
        <v>0</v>
      </c>
      <c r="AK85" s="133">
        <f>商品录入!AK85*$E85</f>
        <v>0</v>
      </c>
      <c r="AL85" s="133">
        <f>商品录入!AL85*$E85</f>
        <v>0</v>
      </c>
      <c r="AM85" s="133">
        <f>商品录入!AM85*$E85</f>
        <v>0</v>
      </c>
      <c r="AN85" s="133">
        <f>商品录入!AN85*$E85</f>
        <v>0</v>
      </c>
      <c r="AO85" s="133">
        <f>商品录入!AO85*$E85</f>
        <v>0</v>
      </c>
      <c r="AP85" s="133">
        <f>商品录入!AP85*$E85</f>
        <v>0</v>
      </c>
      <c r="AQ85" s="133">
        <f>商品录入!AQ85*$E85</f>
        <v>0</v>
      </c>
      <c r="AR85" s="133">
        <f>商品录入!AR85*$E85</f>
        <v>0</v>
      </c>
      <c r="AS85" s="133">
        <f>商品录入!AS85*$E85</f>
        <v>0</v>
      </c>
      <c r="AT85" s="133">
        <f>商品录入!AT85*$E85</f>
        <v>0</v>
      </c>
      <c r="AU85" s="133">
        <f>商品录入!AU85*$E85</f>
        <v>0</v>
      </c>
      <c r="AV85" s="133">
        <f>商品录入!AV85*$E85</f>
        <v>0</v>
      </c>
      <c r="AW85" s="133">
        <f>商品录入!AW85*$E85</f>
        <v>0</v>
      </c>
      <c r="AX85" s="133">
        <f>商品录入!AX85*$E85</f>
        <v>0</v>
      </c>
      <c r="AY85" s="133">
        <f>商品录入!AY85*$E85</f>
        <v>0</v>
      </c>
      <c r="AZ85" s="133">
        <f>商品录入!AZ85*$E85</f>
        <v>0</v>
      </c>
      <c r="BA85" s="133">
        <f>商品录入!BA85*$E85</f>
        <v>0</v>
      </c>
      <c r="BB85" s="133">
        <f>商品录入!BB85*$E85</f>
        <v>0</v>
      </c>
      <c r="BC85" s="133">
        <f>商品录入!BC85*$E85</f>
        <v>0</v>
      </c>
      <c r="BD85" s="133">
        <f>商品录入!BD85*$E85</f>
        <v>0</v>
      </c>
      <c r="BE85" s="133">
        <f>商品录入!BE85*$E85</f>
        <v>0</v>
      </c>
      <c r="BF85" s="133">
        <f>商品录入!BF85*$E85</f>
        <v>0</v>
      </c>
      <c r="BG85" s="133">
        <f>商品录入!BG85*$E85</f>
        <v>0</v>
      </c>
      <c r="BH85" s="133">
        <f>商品录入!BH85*$E85</f>
        <v>0</v>
      </c>
      <c r="BI85" s="133">
        <f>商品录入!BI85*$E85</f>
        <v>0</v>
      </c>
      <c r="BJ85" s="133">
        <f>商品录入!BJ85*$E85</f>
        <v>0</v>
      </c>
      <c r="BK85" s="133">
        <f>商品录入!BK85*$E85</f>
        <v>0</v>
      </c>
      <c r="BL85" s="133">
        <f>商品录入!BL85*$E85</f>
        <v>0</v>
      </c>
      <c r="BM85" s="133">
        <f>商品录入!BM85*$E85</f>
        <v>0</v>
      </c>
      <c r="BN85" s="133">
        <f>商品录入!BN85*$E85</f>
        <v>0</v>
      </c>
      <c r="BO85" s="133">
        <f>商品录入!BO85*$E85</f>
        <v>0</v>
      </c>
      <c r="BP85" s="133">
        <f>商品录入!BP85*$E85</f>
        <v>0</v>
      </c>
      <c r="BQ85" s="133">
        <f>商品录入!BQ85*$E85</f>
        <v>0</v>
      </c>
      <c r="BR85" s="133">
        <f>商品录入!BR85*$E85</f>
        <v>0</v>
      </c>
      <c r="BS85" s="133">
        <f>商品录入!BS85*$E85</f>
        <v>0</v>
      </c>
      <c r="BT85" s="133">
        <f>商品录入!BT85*$E85</f>
        <v>0</v>
      </c>
      <c r="BU85" s="133">
        <f>商品录入!BU85*$E85</f>
        <v>0</v>
      </c>
      <c r="BV85" s="133">
        <f>商品录入!BV85*$E85</f>
        <v>0</v>
      </c>
      <c r="BW85" s="133">
        <f>商品录入!BW85*$E85</f>
        <v>0</v>
      </c>
    </row>
    <row r="86" s="178" customFormat="1" customHeight="1" spans="1:75">
      <c r="A86" s="161">
        <v>82</v>
      </c>
      <c r="B86" s="162">
        <f>商品录入!B86</f>
        <v>0</v>
      </c>
      <c r="C86" s="162">
        <f>商品录入!C86</f>
        <v>0</v>
      </c>
      <c r="D86" s="162">
        <f>商品录入!D86</f>
        <v>0</v>
      </c>
      <c r="E86" s="162">
        <f>商品录入!E86</f>
        <v>0</v>
      </c>
      <c r="F86" s="162">
        <f>商品录入!F86</f>
        <v>0</v>
      </c>
      <c r="G86" s="162">
        <f>商品录入!G86</f>
        <v>0</v>
      </c>
      <c r="H86" s="162">
        <f>商品录入!H86</f>
        <v>0</v>
      </c>
      <c r="I86" s="162">
        <f>商品录入!I86</f>
        <v>0</v>
      </c>
      <c r="J86" s="162">
        <f>商品录入!J86</f>
        <v>0</v>
      </c>
      <c r="K86" s="162">
        <f>商品录入!K86</f>
        <v>0</v>
      </c>
      <c r="L86" s="162">
        <f>商品录入!L86</f>
        <v>0</v>
      </c>
      <c r="M86" s="162">
        <f>商品录入!M86</f>
        <v>0</v>
      </c>
      <c r="N86" s="133">
        <f>商品录入!N86*$E86</f>
        <v>0</v>
      </c>
      <c r="O86" s="133">
        <f>商品录入!O86*$E86</f>
        <v>0</v>
      </c>
      <c r="P86" s="133">
        <f>商品录入!P86*$E86</f>
        <v>0</v>
      </c>
      <c r="Q86" s="133">
        <f>商品录入!Q86*$E86</f>
        <v>0</v>
      </c>
      <c r="R86" s="133">
        <f>商品录入!R86*$E86</f>
        <v>0</v>
      </c>
      <c r="S86" s="133">
        <f>商品录入!S86*$E86</f>
        <v>0</v>
      </c>
      <c r="T86" s="133">
        <f>商品录入!T86*$E86</f>
        <v>0</v>
      </c>
      <c r="U86" s="133">
        <f>商品录入!U86*$E86</f>
        <v>0</v>
      </c>
      <c r="V86" s="133">
        <f>商品录入!V86*$E86</f>
        <v>0</v>
      </c>
      <c r="W86" s="133">
        <f>商品录入!W86*$E86</f>
        <v>0</v>
      </c>
      <c r="X86" s="133">
        <f>商品录入!X86*$E86</f>
        <v>0</v>
      </c>
      <c r="Y86" s="133">
        <f>商品录入!Y86*$E86</f>
        <v>0</v>
      </c>
      <c r="Z86" s="133">
        <f>商品录入!Z86*$E86</f>
        <v>0</v>
      </c>
      <c r="AA86" s="133">
        <f>商品录入!AA86*$E86</f>
        <v>0</v>
      </c>
      <c r="AB86" s="133">
        <f>商品录入!AB86*$E86</f>
        <v>0</v>
      </c>
      <c r="AC86" s="133">
        <f>商品录入!AC86*$E86</f>
        <v>0</v>
      </c>
      <c r="AD86" s="133">
        <f>商品录入!AD86*$E86</f>
        <v>0</v>
      </c>
      <c r="AE86" s="133">
        <f>商品录入!AE86*$E86</f>
        <v>0</v>
      </c>
      <c r="AF86" s="133">
        <f>商品录入!AF86*$E86</f>
        <v>0</v>
      </c>
      <c r="AG86" s="133">
        <f>商品录入!AG86*$E86</f>
        <v>0</v>
      </c>
      <c r="AH86" s="133">
        <f>商品录入!AH86*$E86</f>
        <v>0</v>
      </c>
      <c r="AI86" s="133">
        <f>商品录入!AI86*$E86</f>
        <v>0</v>
      </c>
      <c r="AJ86" s="133">
        <f>商品录入!AJ86*$E86</f>
        <v>0</v>
      </c>
      <c r="AK86" s="133">
        <f>商品录入!AK86*$E86</f>
        <v>0</v>
      </c>
      <c r="AL86" s="133">
        <f>商品录入!AL86*$E86</f>
        <v>0</v>
      </c>
      <c r="AM86" s="133">
        <f>商品录入!AM86*$E86</f>
        <v>0</v>
      </c>
      <c r="AN86" s="133">
        <f>商品录入!AN86*$E86</f>
        <v>0</v>
      </c>
      <c r="AO86" s="133">
        <f>商品录入!AO86*$E86</f>
        <v>0</v>
      </c>
      <c r="AP86" s="133">
        <f>商品录入!AP86*$E86</f>
        <v>0</v>
      </c>
      <c r="AQ86" s="133">
        <f>商品录入!AQ86*$E86</f>
        <v>0</v>
      </c>
      <c r="AR86" s="133">
        <f>商品录入!AR86*$E86</f>
        <v>0</v>
      </c>
      <c r="AS86" s="133">
        <f>商品录入!AS86*$E86</f>
        <v>0</v>
      </c>
      <c r="AT86" s="133">
        <f>商品录入!AT86*$E86</f>
        <v>0</v>
      </c>
      <c r="AU86" s="133">
        <f>商品录入!AU86*$E86</f>
        <v>0</v>
      </c>
      <c r="AV86" s="133">
        <f>商品录入!AV86*$E86</f>
        <v>0</v>
      </c>
      <c r="AW86" s="133">
        <f>商品录入!AW86*$E86</f>
        <v>0</v>
      </c>
      <c r="AX86" s="133">
        <f>商品录入!AX86*$E86</f>
        <v>0</v>
      </c>
      <c r="AY86" s="133">
        <f>商品录入!AY86*$E86</f>
        <v>0</v>
      </c>
      <c r="AZ86" s="133">
        <f>商品录入!AZ86*$E86</f>
        <v>0</v>
      </c>
      <c r="BA86" s="133">
        <f>商品录入!BA86*$E86</f>
        <v>0</v>
      </c>
      <c r="BB86" s="133">
        <f>商品录入!BB86*$E86</f>
        <v>0</v>
      </c>
      <c r="BC86" s="133">
        <f>商品录入!BC86*$E86</f>
        <v>0</v>
      </c>
      <c r="BD86" s="133">
        <f>商品录入!BD86*$E86</f>
        <v>0</v>
      </c>
      <c r="BE86" s="133">
        <f>商品录入!BE86*$E86</f>
        <v>0</v>
      </c>
      <c r="BF86" s="133">
        <f>商品录入!BF86*$E86</f>
        <v>0</v>
      </c>
      <c r="BG86" s="133">
        <f>商品录入!BG86*$E86</f>
        <v>0</v>
      </c>
      <c r="BH86" s="133">
        <f>商品录入!BH86*$E86</f>
        <v>0</v>
      </c>
      <c r="BI86" s="133">
        <f>商品录入!BI86*$E86</f>
        <v>0</v>
      </c>
      <c r="BJ86" s="133">
        <f>商品录入!BJ86*$E86</f>
        <v>0</v>
      </c>
      <c r="BK86" s="133">
        <f>商品录入!BK86*$E86</f>
        <v>0</v>
      </c>
      <c r="BL86" s="133">
        <f>商品录入!BL86*$E86</f>
        <v>0</v>
      </c>
      <c r="BM86" s="133">
        <f>商品录入!BM86*$E86</f>
        <v>0</v>
      </c>
      <c r="BN86" s="133">
        <f>商品录入!BN86*$E86</f>
        <v>0</v>
      </c>
      <c r="BO86" s="133">
        <f>商品录入!BO86*$E86</f>
        <v>0</v>
      </c>
      <c r="BP86" s="133">
        <f>商品录入!BP86*$E86</f>
        <v>0</v>
      </c>
      <c r="BQ86" s="133">
        <f>商品录入!BQ86*$E86</f>
        <v>0</v>
      </c>
      <c r="BR86" s="133">
        <f>商品录入!BR86*$E86</f>
        <v>0</v>
      </c>
      <c r="BS86" s="133">
        <f>商品录入!BS86*$E86</f>
        <v>0</v>
      </c>
      <c r="BT86" s="133">
        <f>商品录入!BT86*$E86</f>
        <v>0</v>
      </c>
      <c r="BU86" s="133">
        <f>商品录入!BU86*$E86</f>
        <v>0</v>
      </c>
      <c r="BV86" s="133">
        <f>商品录入!BV86*$E86</f>
        <v>0</v>
      </c>
      <c r="BW86" s="133">
        <f>商品录入!BW86*$E86</f>
        <v>0</v>
      </c>
    </row>
    <row r="87" s="178" customFormat="1" customHeight="1" spans="1:75">
      <c r="A87" s="161">
        <v>83</v>
      </c>
      <c r="B87" s="162">
        <f>商品录入!B87</f>
        <v>0</v>
      </c>
      <c r="C87" s="162">
        <f>商品录入!C87</f>
        <v>0</v>
      </c>
      <c r="D87" s="162">
        <f>商品录入!D87</f>
        <v>0</v>
      </c>
      <c r="E87" s="162">
        <f>商品录入!E87</f>
        <v>0</v>
      </c>
      <c r="F87" s="162">
        <f>商品录入!F87</f>
        <v>0</v>
      </c>
      <c r="G87" s="162">
        <f>商品录入!G87</f>
        <v>0</v>
      </c>
      <c r="H87" s="162">
        <f>商品录入!H87</f>
        <v>0</v>
      </c>
      <c r="I87" s="162">
        <f>商品录入!I87</f>
        <v>0</v>
      </c>
      <c r="J87" s="162">
        <f>商品录入!J87</f>
        <v>0</v>
      </c>
      <c r="K87" s="162">
        <f>商品录入!K87</f>
        <v>0</v>
      </c>
      <c r="L87" s="162">
        <f>商品录入!L87</f>
        <v>0</v>
      </c>
      <c r="M87" s="162">
        <f>商品录入!M87</f>
        <v>0</v>
      </c>
      <c r="N87" s="133">
        <f>商品录入!N87*$E87</f>
        <v>0</v>
      </c>
      <c r="O87" s="133">
        <f>商品录入!O87*$E87</f>
        <v>0</v>
      </c>
      <c r="P87" s="133">
        <f>商品录入!P87*$E87</f>
        <v>0</v>
      </c>
      <c r="Q87" s="133">
        <f>商品录入!Q87*$E87</f>
        <v>0</v>
      </c>
      <c r="R87" s="133">
        <f>商品录入!R87*$E87</f>
        <v>0</v>
      </c>
      <c r="S87" s="133">
        <f>商品录入!S87*$E87</f>
        <v>0</v>
      </c>
      <c r="T87" s="133">
        <f>商品录入!T87*$E87</f>
        <v>0</v>
      </c>
      <c r="U87" s="133">
        <f>商品录入!U87*$E87</f>
        <v>0</v>
      </c>
      <c r="V87" s="133">
        <f>商品录入!V87*$E87</f>
        <v>0</v>
      </c>
      <c r="W87" s="133">
        <f>商品录入!W87*$E87</f>
        <v>0</v>
      </c>
      <c r="X87" s="133">
        <f>商品录入!X87*$E87</f>
        <v>0</v>
      </c>
      <c r="Y87" s="133">
        <f>商品录入!Y87*$E87</f>
        <v>0</v>
      </c>
      <c r="Z87" s="133">
        <f>商品录入!Z87*$E87</f>
        <v>0</v>
      </c>
      <c r="AA87" s="133">
        <f>商品录入!AA87*$E87</f>
        <v>0</v>
      </c>
      <c r="AB87" s="133">
        <f>商品录入!AB87*$E87</f>
        <v>0</v>
      </c>
      <c r="AC87" s="133">
        <f>商品录入!AC87*$E87</f>
        <v>0</v>
      </c>
      <c r="AD87" s="133">
        <f>商品录入!AD87*$E87</f>
        <v>0</v>
      </c>
      <c r="AE87" s="133">
        <f>商品录入!AE87*$E87</f>
        <v>0</v>
      </c>
      <c r="AF87" s="133">
        <f>商品录入!AF87*$E87</f>
        <v>0</v>
      </c>
      <c r="AG87" s="133">
        <f>商品录入!AG87*$E87</f>
        <v>0</v>
      </c>
      <c r="AH87" s="133">
        <f>商品录入!AH87*$E87</f>
        <v>0</v>
      </c>
      <c r="AI87" s="133">
        <f>商品录入!AI87*$E87</f>
        <v>0</v>
      </c>
      <c r="AJ87" s="133">
        <f>商品录入!AJ87*$E87</f>
        <v>0</v>
      </c>
      <c r="AK87" s="133">
        <f>商品录入!AK87*$E87</f>
        <v>0</v>
      </c>
      <c r="AL87" s="133">
        <f>商品录入!AL87*$E87</f>
        <v>0</v>
      </c>
      <c r="AM87" s="133">
        <f>商品录入!AM87*$E87</f>
        <v>0</v>
      </c>
      <c r="AN87" s="133">
        <f>商品录入!AN87*$E87</f>
        <v>0</v>
      </c>
      <c r="AO87" s="133">
        <f>商品录入!AO87*$E87</f>
        <v>0</v>
      </c>
      <c r="AP87" s="133">
        <f>商品录入!AP87*$E87</f>
        <v>0</v>
      </c>
      <c r="AQ87" s="133">
        <f>商品录入!AQ87*$E87</f>
        <v>0</v>
      </c>
      <c r="AR87" s="133">
        <f>商品录入!AR87*$E87</f>
        <v>0</v>
      </c>
      <c r="AS87" s="133">
        <f>商品录入!AS87*$E87</f>
        <v>0</v>
      </c>
      <c r="AT87" s="133">
        <f>商品录入!AT87*$E87</f>
        <v>0</v>
      </c>
      <c r="AU87" s="133">
        <f>商品录入!AU87*$E87</f>
        <v>0</v>
      </c>
      <c r="AV87" s="133">
        <f>商品录入!AV87*$E87</f>
        <v>0</v>
      </c>
      <c r="AW87" s="133">
        <f>商品录入!AW87*$E87</f>
        <v>0</v>
      </c>
      <c r="AX87" s="133">
        <f>商品录入!AX87*$E87</f>
        <v>0</v>
      </c>
      <c r="AY87" s="133">
        <f>商品录入!AY87*$E87</f>
        <v>0</v>
      </c>
      <c r="AZ87" s="133">
        <f>商品录入!AZ87*$E87</f>
        <v>0</v>
      </c>
      <c r="BA87" s="133">
        <f>商品录入!BA87*$E87</f>
        <v>0</v>
      </c>
      <c r="BB87" s="133">
        <f>商品录入!BB87*$E87</f>
        <v>0</v>
      </c>
      <c r="BC87" s="133">
        <f>商品录入!BC87*$E87</f>
        <v>0</v>
      </c>
      <c r="BD87" s="133">
        <f>商品录入!BD87*$E87</f>
        <v>0</v>
      </c>
      <c r="BE87" s="133">
        <f>商品录入!BE87*$E87</f>
        <v>0</v>
      </c>
      <c r="BF87" s="133">
        <f>商品录入!BF87*$E87</f>
        <v>0</v>
      </c>
      <c r="BG87" s="133">
        <f>商品录入!BG87*$E87</f>
        <v>0</v>
      </c>
      <c r="BH87" s="133">
        <f>商品录入!BH87*$E87</f>
        <v>0</v>
      </c>
      <c r="BI87" s="133">
        <f>商品录入!BI87*$E87</f>
        <v>0</v>
      </c>
      <c r="BJ87" s="133">
        <f>商品录入!BJ87*$E87</f>
        <v>0</v>
      </c>
      <c r="BK87" s="133">
        <f>商品录入!BK87*$E87</f>
        <v>0</v>
      </c>
      <c r="BL87" s="133">
        <f>商品录入!BL87*$E87</f>
        <v>0</v>
      </c>
      <c r="BM87" s="133">
        <f>商品录入!BM87*$E87</f>
        <v>0</v>
      </c>
      <c r="BN87" s="133">
        <f>商品录入!BN87*$E87</f>
        <v>0</v>
      </c>
      <c r="BO87" s="133">
        <f>商品录入!BO87*$E87</f>
        <v>0</v>
      </c>
      <c r="BP87" s="133">
        <f>商品录入!BP87*$E87</f>
        <v>0</v>
      </c>
      <c r="BQ87" s="133">
        <f>商品录入!BQ87*$E87</f>
        <v>0</v>
      </c>
      <c r="BR87" s="133">
        <f>商品录入!BR87*$E87</f>
        <v>0</v>
      </c>
      <c r="BS87" s="133">
        <f>商品录入!BS87*$E87</f>
        <v>0</v>
      </c>
      <c r="BT87" s="133">
        <f>商品录入!BT87*$E87</f>
        <v>0</v>
      </c>
      <c r="BU87" s="133">
        <f>商品录入!BU87*$E87</f>
        <v>0</v>
      </c>
      <c r="BV87" s="133">
        <f>商品录入!BV87*$E87</f>
        <v>0</v>
      </c>
      <c r="BW87" s="133">
        <f>商品录入!BW87*$E87</f>
        <v>0</v>
      </c>
    </row>
    <row r="88" s="178" customFormat="1" customHeight="1" spans="1:75">
      <c r="A88" s="161">
        <v>84</v>
      </c>
      <c r="B88" s="162">
        <f>商品录入!B88</f>
        <v>0</v>
      </c>
      <c r="C88" s="162">
        <f>商品录入!C88</f>
        <v>0</v>
      </c>
      <c r="D88" s="162">
        <f>商品录入!D88</f>
        <v>0</v>
      </c>
      <c r="E88" s="162">
        <f>商品录入!E88</f>
        <v>0</v>
      </c>
      <c r="F88" s="162">
        <f>商品录入!F88</f>
        <v>0</v>
      </c>
      <c r="G88" s="162">
        <f>商品录入!G88</f>
        <v>0</v>
      </c>
      <c r="H88" s="162">
        <f>商品录入!H88</f>
        <v>0</v>
      </c>
      <c r="I88" s="162">
        <f>商品录入!I88</f>
        <v>0</v>
      </c>
      <c r="J88" s="162">
        <f>商品录入!J88</f>
        <v>0</v>
      </c>
      <c r="K88" s="162">
        <f>商品录入!K88</f>
        <v>0</v>
      </c>
      <c r="L88" s="162">
        <f>商品录入!L88</f>
        <v>0</v>
      </c>
      <c r="M88" s="162">
        <f>商品录入!M88</f>
        <v>0</v>
      </c>
      <c r="N88" s="133">
        <f>商品录入!N88*$E88</f>
        <v>0</v>
      </c>
      <c r="O88" s="133">
        <f>商品录入!O88*$E88</f>
        <v>0</v>
      </c>
      <c r="P88" s="133">
        <f>商品录入!P88*$E88</f>
        <v>0</v>
      </c>
      <c r="Q88" s="133">
        <f>商品录入!Q88*$E88</f>
        <v>0</v>
      </c>
      <c r="R88" s="133">
        <f>商品录入!R88*$E88</f>
        <v>0</v>
      </c>
      <c r="S88" s="133">
        <f>商品录入!S88*$E88</f>
        <v>0</v>
      </c>
      <c r="T88" s="133">
        <f>商品录入!T88*$E88</f>
        <v>0</v>
      </c>
      <c r="U88" s="133">
        <f>商品录入!U88*$E88</f>
        <v>0</v>
      </c>
      <c r="V88" s="133">
        <f>商品录入!V88*$E88</f>
        <v>0</v>
      </c>
      <c r="W88" s="133">
        <f>商品录入!W88*$E88</f>
        <v>0</v>
      </c>
      <c r="X88" s="133">
        <f>商品录入!X88*$E88</f>
        <v>0</v>
      </c>
      <c r="Y88" s="133">
        <f>商品录入!Y88*$E88</f>
        <v>0</v>
      </c>
      <c r="Z88" s="133">
        <f>商品录入!Z88*$E88</f>
        <v>0</v>
      </c>
      <c r="AA88" s="133">
        <f>商品录入!AA88*$E88</f>
        <v>0</v>
      </c>
      <c r="AB88" s="133">
        <f>商品录入!AB88*$E88</f>
        <v>0</v>
      </c>
      <c r="AC88" s="133">
        <f>商品录入!AC88*$E88</f>
        <v>0</v>
      </c>
      <c r="AD88" s="133">
        <f>商品录入!AD88*$E88</f>
        <v>0</v>
      </c>
      <c r="AE88" s="133">
        <f>商品录入!AE88*$E88</f>
        <v>0</v>
      </c>
      <c r="AF88" s="133">
        <f>商品录入!AF88*$E88</f>
        <v>0</v>
      </c>
      <c r="AG88" s="133">
        <f>商品录入!AG88*$E88</f>
        <v>0</v>
      </c>
      <c r="AH88" s="133">
        <f>商品录入!AH88*$E88</f>
        <v>0</v>
      </c>
      <c r="AI88" s="133">
        <f>商品录入!AI88*$E88</f>
        <v>0</v>
      </c>
      <c r="AJ88" s="133">
        <f>商品录入!AJ88*$E88</f>
        <v>0</v>
      </c>
      <c r="AK88" s="133">
        <f>商品录入!AK88*$E88</f>
        <v>0</v>
      </c>
      <c r="AL88" s="133">
        <f>商品录入!AL88*$E88</f>
        <v>0</v>
      </c>
      <c r="AM88" s="133">
        <f>商品录入!AM88*$E88</f>
        <v>0</v>
      </c>
      <c r="AN88" s="133">
        <f>商品录入!AN88*$E88</f>
        <v>0</v>
      </c>
      <c r="AO88" s="133">
        <f>商品录入!AO88*$E88</f>
        <v>0</v>
      </c>
      <c r="AP88" s="133">
        <f>商品录入!AP88*$E88</f>
        <v>0</v>
      </c>
      <c r="AQ88" s="133">
        <f>商品录入!AQ88*$E88</f>
        <v>0</v>
      </c>
      <c r="AR88" s="133">
        <f>商品录入!AR88*$E88</f>
        <v>0</v>
      </c>
      <c r="AS88" s="133">
        <f>商品录入!AS88*$E88</f>
        <v>0</v>
      </c>
      <c r="AT88" s="133">
        <f>商品录入!AT88*$E88</f>
        <v>0</v>
      </c>
      <c r="AU88" s="133">
        <f>商品录入!AU88*$E88</f>
        <v>0</v>
      </c>
      <c r="AV88" s="133">
        <f>商品录入!AV88*$E88</f>
        <v>0</v>
      </c>
      <c r="AW88" s="133">
        <f>商品录入!AW88*$E88</f>
        <v>0</v>
      </c>
      <c r="AX88" s="133">
        <f>商品录入!AX88*$E88</f>
        <v>0</v>
      </c>
      <c r="AY88" s="133">
        <f>商品录入!AY88*$E88</f>
        <v>0</v>
      </c>
      <c r="AZ88" s="133">
        <f>商品录入!AZ88*$E88</f>
        <v>0</v>
      </c>
      <c r="BA88" s="133">
        <f>商品录入!BA88*$E88</f>
        <v>0</v>
      </c>
      <c r="BB88" s="133">
        <f>商品录入!BB88*$E88</f>
        <v>0</v>
      </c>
      <c r="BC88" s="133">
        <f>商品录入!BC88*$E88</f>
        <v>0</v>
      </c>
      <c r="BD88" s="133">
        <f>商品录入!BD88*$E88</f>
        <v>0</v>
      </c>
      <c r="BE88" s="133">
        <f>商品录入!BE88*$E88</f>
        <v>0</v>
      </c>
      <c r="BF88" s="133">
        <f>商品录入!BF88*$E88</f>
        <v>0</v>
      </c>
      <c r="BG88" s="133">
        <f>商品录入!BG88*$E88</f>
        <v>0</v>
      </c>
      <c r="BH88" s="133">
        <f>商品录入!BH88*$E88</f>
        <v>0</v>
      </c>
      <c r="BI88" s="133">
        <f>商品录入!BI88*$E88</f>
        <v>0</v>
      </c>
      <c r="BJ88" s="133">
        <f>商品录入!BJ88*$E88</f>
        <v>0</v>
      </c>
      <c r="BK88" s="133">
        <f>商品录入!BK88*$E88</f>
        <v>0</v>
      </c>
      <c r="BL88" s="133">
        <f>商品录入!BL88*$E88</f>
        <v>0</v>
      </c>
      <c r="BM88" s="133">
        <f>商品录入!BM88*$E88</f>
        <v>0</v>
      </c>
      <c r="BN88" s="133">
        <f>商品录入!BN88*$E88</f>
        <v>0</v>
      </c>
      <c r="BO88" s="133">
        <f>商品录入!BO88*$E88</f>
        <v>0</v>
      </c>
      <c r="BP88" s="133">
        <f>商品录入!BP88*$E88</f>
        <v>0</v>
      </c>
      <c r="BQ88" s="133">
        <f>商品录入!BQ88*$E88</f>
        <v>0</v>
      </c>
      <c r="BR88" s="133">
        <f>商品录入!BR88*$E88</f>
        <v>0</v>
      </c>
      <c r="BS88" s="133">
        <f>商品录入!BS88*$E88</f>
        <v>0</v>
      </c>
      <c r="BT88" s="133">
        <f>商品录入!BT88*$E88</f>
        <v>0</v>
      </c>
      <c r="BU88" s="133">
        <f>商品录入!BU88*$E88</f>
        <v>0</v>
      </c>
      <c r="BV88" s="133">
        <f>商品录入!BV88*$E88</f>
        <v>0</v>
      </c>
      <c r="BW88" s="133">
        <f>商品录入!BW88*$E88</f>
        <v>0</v>
      </c>
    </row>
    <row r="89" s="178" customFormat="1" customHeight="1" spans="1:75">
      <c r="A89" s="161">
        <v>85</v>
      </c>
      <c r="B89" s="162">
        <f>商品录入!B89</f>
        <v>0</v>
      </c>
      <c r="C89" s="162">
        <f>商品录入!C89</f>
        <v>0</v>
      </c>
      <c r="D89" s="162">
        <f>商品录入!D89</f>
        <v>0</v>
      </c>
      <c r="E89" s="162">
        <f>商品录入!E89</f>
        <v>0</v>
      </c>
      <c r="F89" s="162">
        <f>商品录入!F89</f>
        <v>0</v>
      </c>
      <c r="G89" s="162">
        <f>商品录入!G89</f>
        <v>0</v>
      </c>
      <c r="H89" s="162">
        <f>商品录入!H89</f>
        <v>0</v>
      </c>
      <c r="I89" s="162">
        <f>商品录入!I89</f>
        <v>0</v>
      </c>
      <c r="J89" s="162">
        <f>商品录入!J89</f>
        <v>0</v>
      </c>
      <c r="K89" s="162">
        <f>商品录入!K89</f>
        <v>0</v>
      </c>
      <c r="L89" s="162">
        <f>商品录入!L89</f>
        <v>0</v>
      </c>
      <c r="M89" s="162">
        <f>商品录入!M89</f>
        <v>0</v>
      </c>
      <c r="N89" s="133">
        <f>商品录入!N89*$E89</f>
        <v>0</v>
      </c>
      <c r="O89" s="133">
        <f>商品录入!O89*$E89</f>
        <v>0</v>
      </c>
      <c r="P89" s="133">
        <f>商品录入!P89*$E89</f>
        <v>0</v>
      </c>
      <c r="Q89" s="133">
        <f>商品录入!Q89*$E89</f>
        <v>0</v>
      </c>
      <c r="R89" s="133">
        <f>商品录入!R89*$E89</f>
        <v>0</v>
      </c>
      <c r="S89" s="133">
        <f>商品录入!S89*$E89</f>
        <v>0</v>
      </c>
      <c r="T89" s="133">
        <f>商品录入!T89*$E89</f>
        <v>0</v>
      </c>
      <c r="U89" s="133">
        <f>商品录入!U89*$E89</f>
        <v>0</v>
      </c>
      <c r="V89" s="133">
        <f>商品录入!V89*$E89</f>
        <v>0</v>
      </c>
      <c r="W89" s="133">
        <f>商品录入!W89*$E89</f>
        <v>0</v>
      </c>
      <c r="X89" s="133">
        <f>商品录入!X89*$E89</f>
        <v>0</v>
      </c>
      <c r="Y89" s="133">
        <f>商品录入!Y89*$E89</f>
        <v>0</v>
      </c>
      <c r="Z89" s="133">
        <f>商品录入!Z89*$E89</f>
        <v>0</v>
      </c>
      <c r="AA89" s="133">
        <f>商品录入!AA89*$E89</f>
        <v>0</v>
      </c>
      <c r="AB89" s="133">
        <f>商品录入!AB89*$E89</f>
        <v>0</v>
      </c>
      <c r="AC89" s="133">
        <f>商品录入!AC89*$E89</f>
        <v>0</v>
      </c>
      <c r="AD89" s="133">
        <f>商品录入!AD89*$E89</f>
        <v>0</v>
      </c>
      <c r="AE89" s="133">
        <f>商品录入!AE89*$E89</f>
        <v>0</v>
      </c>
      <c r="AF89" s="133">
        <f>商品录入!AF89*$E89</f>
        <v>0</v>
      </c>
      <c r="AG89" s="133">
        <f>商品录入!AG89*$E89</f>
        <v>0</v>
      </c>
      <c r="AH89" s="133">
        <f>商品录入!AH89*$E89</f>
        <v>0</v>
      </c>
      <c r="AI89" s="133">
        <f>商品录入!AI89*$E89</f>
        <v>0</v>
      </c>
      <c r="AJ89" s="133">
        <f>商品录入!AJ89*$E89</f>
        <v>0</v>
      </c>
      <c r="AK89" s="133">
        <f>商品录入!AK89*$E89</f>
        <v>0</v>
      </c>
      <c r="AL89" s="133">
        <f>商品录入!AL89*$E89</f>
        <v>0</v>
      </c>
      <c r="AM89" s="133">
        <f>商品录入!AM89*$E89</f>
        <v>0</v>
      </c>
      <c r="AN89" s="133">
        <f>商品录入!AN89*$E89</f>
        <v>0</v>
      </c>
      <c r="AO89" s="133">
        <f>商品录入!AO89*$E89</f>
        <v>0</v>
      </c>
      <c r="AP89" s="133">
        <f>商品录入!AP89*$E89</f>
        <v>0</v>
      </c>
      <c r="AQ89" s="133">
        <f>商品录入!AQ89*$E89</f>
        <v>0</v>
      </c>
      <c r="AR89" s="133">
        <f>商品录入!AR89*$E89</f>
        <v>0</v>
      </c>
      <c r="AS89" s="133">
        <f>商品录入!AS89*$E89</f>
        <v>0</v>
      </c>
      <c r="AT89" s="133">
        <f>商品录入!AT89*$E89</f>
        <v>0</v>
      </c>
      <c r="AU89" s="133">
        <f>商品录入!AU89*$E89</f>
        <v>0</v>
      </c>
      <c r="AV89" s="133">
        <f>商品录入!AV89*$E89</f>
        <v>0</v>
      </c>
      <c r="AW89" s="133">
        <f>商品录入!AW89*$E89</f>
        <v>0</v>
      </c>
      <c r="AX89" s="133">
        <f>商品录入!AX89*$E89</f>
        <v>0</v>
      </c>
      <c r="AY89" s="133">
        <f>商品录入!AY89*$E89</f>
        <v>0</v>
      </c>
      <c r="AZ89" s="133">
        <f>商品录入!AZ89*$E89</f>
        <v>0</v>
      </c>
      <c r="BA89" s="133">
        <f>商品录入!BA89*$E89</f>
        <v>0</v>
      </c>
      <c r="BB89" s="133">
        <f>商品录入!BB89*$E89</f>
        <v>0</v>
      </c>
      <c r="BC89" s="133">
        <f>商品录入!BC89*$E89</f>
        <v>0</v>
      </c>
      <c r="BD89" s="133">
        <f>商品录入!BD89*$E89</f>
        <v>0</v>
      </c>
      <c r="BE89" s="133">
        <f>商品录入!BE89*$E89</f>
        <v>0</v>
      </c>
      <c r="BF89" s="133">
        <f>商品录入!BF89*$E89</f>
        <v>0</v>
      </c>
      <c r="BG89" s="133">
        <f>商品录入!BG89*$E89</f>
        <v>0</v>
      </c>
      <c r="BH89" s="133">
        <f>商品录入!BH89*$E89</f>
        <v>0</v>
      </c>
      <c r="BI89" s="133">
        <f>商品录入!BI89*$E89</f>
        <v>0</v>
      </c>
      <c r="BJ89" s="133">
        <f>商品录入!BJ89*$E89</f>
        <v>0</v>
      </c>
      <c r="BK89" s="133">
        <f>商品录入!BK89*$E89</f>
        <v>0</v>
      </c>
      <c r="BL89" s="133">
        <f>商品录入!BL89*$E89</f>
        <v>0</v>
      </c>
      <c r="BM89" s="133">
        <f>商品录入!BM89*$E89</f>
        <v>0</v>
      </c>
      <c r="BN89" s="133">
        <f>商品录入!BN89*$E89</f>
        <v>0</v>
      </c>
      <c r="BO89" s="133">
        <f>商品录入!BO89*$E89</f>
        <v>0</v>
      </c>
      <c r="BP89" s="133">
        <f>商品录入!BP89*$E89</f>
        <v>0</v>
      </c>
      <c r="BQ89" s="133">
        <f>商品录入!BQ89*$E89</f>
        <v>0</v>
      </c>
      <c r="BR89" s="133">
        <f>商品录入!BR89*$E89</f>
        <v>0</v>
      </c>
      <c r="BS89" s="133">
        <f>商品录入!BS89*$E89</f>
        <v>0</v>
      </c>
      <c r="BT89" s="133">
        <f>商品录入!BT89*$E89</f>
        <v>0</v>
      </c>
      <c r="BU89" s="133">
        <f>商品录入!BU89*$E89</f>
        <v>0</v>
      </c>
      <c r="BV89" s="133">
        <f>商品录入!BV89*$E89</f>
        <v>0</v>
      </c>
      <c r="BW89" s="133">
        <f>商品录入!BW89*$E89</f>
        <v>0</v>
      </c>
    </row>
    <row r="90" s="178" customFormat="1" customHeight="1" spans="1:75">
      <c r="A90" s="161">
        <v>86</v>
      </c>
      <c r="B90" s="162">
        <f>商品录入!B90</f>
        <v>0</v>
      </c>
      <c r="C90" s="162">
        <f>商品录入!C90</f>
        <v>0</v>
      </c>
      <c r="D90" s="162">
        <f>商品录入!D90</f>
        <v>0</v>
      </c>
      <c r="E90" s="162">
        <f>商品录入!E90</f>
        <v>0</v>
      </c>
      <c r="F90" s="162">
        <f>商品录入!F90</f>
        <v>0</v>
      </c>
      <c r="G90" s="162">
        <f>商品录入!G90</f>
        <v>0</v>
      </c>
      <c r="H90" s="162">
        <f>商品录入!H90</f>
        <v>0</v>
      </c>
      <c r="I90" s="162">
        <f>商品录入!I90</f>
        <v>0</v>
      </c>
      <c r="J90" s="162">
        <f>商品录入!J90</f>
        <v>0</v>
      </c>
      <c r="K90" s="162">
        <f>商品录入!K90</f>
        <v>0</v>
      </c>
      <c r="L90" s="162">
        <f>商品录入!L90</f>
        <v>0</v>
      </c>
      <c r="M90" s="162">
        <f>商品录入!M90</f>
        <v>0</v>
      </c>
      <c r="N90" s="133">
        <f>商品录入!N90*$E90</f>
        <v>0</v>
      </c>
      <c r="O90" s="133">
        <f>商品录入!O90*$E90</f>
        <v>0</v>
      </c>
      <c r="P90" s="133">
        <f>商品录入!P90*$E90</f>
        <v>0</v>
      </c>
      <c r="Q90" s="133">
        <f>商品录入!Q90*$E90</f>
        <v>0</v>
      </c>
      <c r="R90" s="133">
        <f>商品录入!R90*$E90</f>
        <v>0</v>
      </c>
      <c r="S90" s="133">
        <f>商品录入!S90*$E90</f>
        <v>0</v>
      </c>
      <c r="T90" s="133">
        <f>商品录入!T90*$E90</f>
        <v>0</v>
      </c>
      <c r="U90" s="133">
        <f>商品录入!U90*$E90</f>
        <v>0</v>
      </c>
      <c r="V90" s="133">
        <f>商品录入!V90*$E90</f>
        <v>0</v>
      </c>
      <c r="W90" s="133">
        <f>商品录入!W90*$E90</f>
        <v>0</v>
      </c>
      <c r="X90" s="133">
        <f>商品录入!X90*$E90</f>
        <v>0</v>
      </c>
      <c r="Y90" s="133">
        <f>商品录入!Y90*$E90</f>
        <v>0</v>
      </c>
      <c r="Z90" s="133">
        <f>商品录入!Z90*$E90</f>
        <v>0</v>
      </c>
      <c r="AA90" s="133">
        <f>商品录入!AA90*$E90</f>
        <v>0</v>
      </c>
      <c r="AB90" s="133">
        <f>商品录入!AB90*$E90</f>
        <v>0</v>
      </c>
      <c r="AC90" s="133">
        <f>商品录入!AC90*$E90</f>
        <v>0</v>
      </c>
      <c r="AD90" s="133">
        <f>商品录入!AD90*$E90</f>
        <v>0</v>
      </c>
      <c r="AE90" s="133">
        <f>商品录入!AE90*$E90</f>
        <v>0</v>
      </c>
      <c r="AF90" s="133">
        <f>商品录入!AF90*$E90</f>
        <v>0</v>
      </c>
      <c r="AG90" s="133">
        <f>商品录入!AG90*$E90</f>
        <v>0</v>
      </c>
      <c r="AH90" s="133">
        <f>商品录入!AH90*$E90</f>
        <v>0</v>
      </c>
      <c r="AI90" s="133">
        <f>商品录入!AI90*$E90</f>
        <v>0</v>
      </c>
      <c r="AJ90" s="133">
        <f>商品录入!AJ90*$E90</f>
        <v>0</v>
      </c>
      <c r="AK90" s="133">
        <f>商品录入!AK90*$E90</f>
        <v>0</v>
      </c>
      <c r="AL90" s="133">
        <f>商品录入!AL90*$E90</f>
        <v>0</v>
      </c>
      <c r="AM90" s="133">
        <f>商品录入!AM90*$E90</f>
        <v>0</v>
      </c>
      <c r="AN90" s="133">
        <f>商品录入!AN90*$E90</f>
        <v>0</v>
      </c>
      <c r="AO90" s="133">
        <f>商品录入!AO90*$E90</f>
        <v>0</v>
      </c>
      <c r="AP90" s="133">
        <f>商品录入!AP90*$E90</f>
        <v>0</v>
      </c>
      <c r="AQ90" s="133">
        <f>商品录入!AQ90*$E90</f>
        <v>0</v>
      </c>
      <c r="AR90" s="133">
        <f>商品录入!AR90*$E90</f>
        <v>0</v>
      </c>
      <c r="AS90" s="133">
        <f>商品录入!AS90*$E90</f>
        <v>0</v>
      </c>
      <c r="AT90" s="133">
        <f>商品录入!AT90*$E90</f>
        <v>0</v>
      </c>
      <c r="AU90" s="133">
        <f>商品录入!AU90*$E90</f>
        <v>0</v>
      </c>
      <c r="AV90" s="133">
        <f>商品录入!AV90*$E90</f>
        <v>0</v>
      </c>
      <c r="AW90" s="133">
        <f>商品录入!AW90*$E90</f>
        <v>0</v>
      </c>
      <c r="AX90" s="133">
        <f>商品录入!AX90*$E90</f>
        <v>0</v>
      </c>
      <c r="AY90" s="133">
        <f>商品录入!AY90*$E90</f>
        <v>0</v>
      </c>
      <c r="AZ90" s="133">
        <f>商品录入!AZ90*$E90</f>
        <v>0</v>
      </c>
      <c r="BA90" s="133">
        <f>商品录入!BA90*$E90</f>
        <v>0</v>
      </c>
      <c r="BB90" s="133">
        <f>商品录入!BB90*$E90</f>
        <v>0</v>
      </c>
      <c r="BC90" s="133">
        <f>商品录入!BC90*$E90</f>
        <v>0</v>
      </c>
      <c r="BD90" s="133">
        <f>商品录入!BD90*$E90</f>
        <v>0</v>
      </c>
      <c r="BE90" s="133">
        <f>商品录入!BE90*$E90</f>
        <v>0</v>
      </c>
      <c r="BF90" s="133">
        <f>商品录入!BF90*$E90</f>
        <v>0</v>
      </c>
      <c r="BG90" s="133">
        <f>商品录入!BG90*$E90</f>
        <v>0</v>
      </c>
      <c r="BH90" s="133">
        <f>商品录入!BH90*$E90</f>
        <v>0</v>
      </c>
      <c r="BI90" s="133">
        <f>商品录入!BI90*$E90</f>
        <v>0</v>
      </c>
      <c r="BJ90" s="133">
        <f>商品录入!BJ90*$E90</f>
        <v>0</v>
      </c>
      <c r="BK90" s="133">
        <f>商品录入!BK90*$E90</f>
        <v>0</v>
      </c>
      <c r="BL90" s="133">
        <f>商品录入!BL90*$E90</f>
        <v>0</v>
      </c>
      <c r="BM90" s="133">
        <f>商品录入!BM90*$E90</f>
        <v>0</v>
      </c>
      <c r="BN90" s="133">
        <f>商品录入!BN90*$E90</f>
        <v>0</v>
      </c>
      <c r="BO90" s="133">
        <f>商品录入!BO90*$E90</f>
        <v>0</v>
      </c>
      <c r="BP90" s="133">
        <f>商品录入!BP90*$E90</f>
        <v>0</v>
      </c>
      <c r="BQ90" s="133">
        <f>商品录入!BQ90*$E90</f>
        <v>0</v>
      </c>
      <c r="BR90" s="133">
        <f>商品录入!BR90*$E90</f>
        <v>0</v>
      </c>
      <c r="BS90" s="133">
        <f>商品录入!BS90*$E90</f>
        <v>0</v>
      </c>
      <c r="BT90" s="133">
        <f>商品录入!BT90*$E90</f>
        <v>0</v>
      </c>
      <c r="BU90" s="133">
        <f>商品录入!BU90*$E90</f>
        <v>0</v>
      </c>
      <c r="BV90" s="133">
        <f>商品录入!BV90*$E90</f>
        <v>0</v>
      </c>
      <c r="BW90" s="133">
        <f>商品录入!BW90*$E90</f>
        <v>0</v>
      </c>
    </row>
    <row r="91" s="178" customFormat="1" customHeight="1" spans="1:75">
      <c r="A91" s="161">
        <v>87</v>
      </c>
      <c r="B91" s="162">
        <f>商品录入!B91</f>
        <v>0</v>
      </c>
      <c r="C91" s="162">
        <f>商品录入!C91</f>
        <v>0</v>
      </c>
      <c r="D91" s="162">
        <f>商品录入!D91</f>
        <v>0</v>
      </c>
      <c r="E91" s="162">
        <f>商品录入!E91</f>
        <v>0</v>
      </c>
      <c r="F91" s="162">
        <f>商品录入!F91</f>
        <v>0</v>
      </c>
      <c r="G91" s="162">
        <f>商品录入!G91</f>
        <v>0</v>
      </c>
      <c r="H91" s="162">
        <f>商品录入!H91</f>
        <v>0</v>
      </c>
      <c r="I91" s="162">
        <f>商品录入!I91</f>
        <v>0</v>
      </c>
      <c r="J91" s="162">
        <f>商品录入!J91</f>
        <v>0</v>
      </c>
      <c r="K91" s="162">
        <f>商品录入!K91</f>
        <v>0</v>
      </c>
      <c r="L91" s="162">
        <f>商品录入!L91</f>
        <v>0</v>
      </c>
      <c r="M91" s="162">
        <f>商品录入!M91</f>
        <v>0</v>
      </c>
      <c r="N91" s="133">
        <f>商品录入!N91*$E91</f>
        <v>0</v>
      </c>
      <c r="O91" s="133">
        <f>商品录入!O91*$E91</f>
        <v>0</v>
      </c>
      <c r="P91" s="133">
        <f>商品录入!P91*$E91</f>
        <v>0</v>
      </c>
      <c r="Q91" s="133">
        <f>商品录入!Q91*$E91</f>
        <v>0</v>
      </c>
      <c r="R91" s="133">
        <f>商品录入!R91*$E91</f>
        <v>0</v>
      </c>
      <c r="S91" s="133">
        <f>商品录入!S91*$E91</f>
        <v>0</v>
      </c>
      <c r="T91" s="133">
        <f>商品录入!T91*$E91</f>
        <v>0</v>
      </c>
      <c r="U91" s="133">
        <f>商品录入!U91*$E91</f>
        <v>0</v>
      </c>
      <c r="V91" s="133">
        <f>商品录入!V91*$E91</f>
        <v>0</v>
      </c>
      <c r="W91" s="133">
        <f>商品录入!W91*$E91</f>
        <v>0</v>
      </c>
      <c r="X91" s="133">
        <f>商品录入!X91*$E91</f>
        <v>0</v>
      </c>
      <c r="Y91" s="133">
        <f>商品录入!Y91*$E91</f>
        <v>0</v>
      </c>
      <c r="Z91" s="133">
        <f>商品录入!Z91*$E91</f>
        <v>0</v>
      </c>
      <c r="AA91" s="133">
        <f>商品录入!AA91*$E91</f>
        <v>0</v>
      </c>
      <c r="AB91" s="133">
        <f>商品录入!AB91*$E91</f>
        <v>0</v>
      </c>
      <c r="AC91" s="133">
        <f>商品录入!AC91*$E91</f>
        <v>0</v>
      </c>
      <c r="AD91" s="133">
        <f>商品录入!AD91*$E91</f>
        <v>0</v>
      </c>
      <c r="AE91" s="133">
        <f>商品录入!AE91*$E91</f>
        <v>0</v>
      </c>
      <c r="AF91" s="133">
        <f>商品录入!AF91*$E91</f>
        <v>0</v>
      </c>
      <c r="AG91" s="133">
        <f>商品录入!AG91*$E91</f>
        <v>0</v>
      </c>
      <c r="AH91" s="133">
        <f>商品录入!AH91*$E91</f>
        <v>0</v>
      </c>
      <c r="AI91" s="133">
        <f>商品录入!AI91*$E91</f>
        <v>0</v>
      </c>
      <c r="AJ91" s="133">
        <f>商品录入!AJ91*$E91</f>
        <v>0</v>
      </c>
      <c r="AK91" s="133">
        <f>商品录入!AK91*$E91</f>
        <v>0</v>
      </c>
      <c r="AL91" s="133">
        <f>商品录入!AL91*$E91</f>
        <v>0</v>
      </c>
      <c r="AM91" s="133">
        <f>商品录入!AM91*$E91</f>
        <v>0</v>
      </c>
      <c r="AN91" s="133">
        <f>商品录入!AN91*$E91</f>
        <v>0</v>
      </c>
      <c r="AO91" s="133">
        <f>商品录入!AO91*$E91</f>
        <v>0</v>
      </c>
      <c r="AP91" s="133">
        <f>商品录入!AP91*$E91</f>
        <v>0</v>
      </c>
      <c r="AQ91" s="133">
        <f>商品录入!AQ91*$E91</f>
        <v>0</v>
      </c>
      <c r="AR91" s="133">
        <f>商品录入!AR91*$E91</f>
        <v>0</v>
      </c>
      <c r="AS91" s="133">
        <f>商品录入!AS91*$E91</f>
        <v>0</v>
      </c>
      <c r="AT91" s="133">
        <f>商品录入!AT91*$E91</f>
        <v>0</v>
      </c>
      <c r="AU91" s="133">
        <f>商品录入!AU91*$E91</f>
        <v>0</v>
      </c>
      <c r="AV91" s="133">
        <f>商品录入!AV91*$E91</f>
        <v>0</v>
      </c>
      <c r="AW91" s="133">
        <f>商品录入!AW91*$E91</f>
        <v>0</v>
      </c>
      <c r="AX91" s="133">
        <f>商品录入!AX91*$E91</f>
        <v>0</v>
      </c>
      <c r="AY91" s="133">
        <f>商品录入!AY91*$E91</f>
        <v>0</v>
      </c>
      <c r="AZ91" s="133">
        <f>商品录入!AZ91*$E91</f>
        <v>0</v>
      </c>
      <c r="BA91" s="133">
        <f>商品录入!BA91*$E91</f>
        <v>0</v>
      </c>
      <c r="BB91" s="133">
        <f>商品录入!BB91*$E91</f>
        <v>0</v>
      </c>
      <c r="BC91" s="133">
        <f>商品录入!BC91*$E91</f>
        <v>0</v>
      </c>
      <c r="BD91" s="133">
        <f>商品录入!BD91*$E91</f>
        <v>0</v>
      </c>
      <c r="BE91" s="133">
        <f>商品录入!BE91*$E91</f>
        <v>0</v>
      </c>
      <c r="BF91" s="133">
        <f>商品录入!BF91*$E91</f>
        <v>0</v>
      </c>
      <c r="BG91" s="133">
        <f>商品录入!BG91*$E91</f>
        <v>0</v>
      </c>
      <c r="BH91" s="133">
        <f>商品录入!BH91*$E91</f>
        <v>0</v>
      </c>
      <c r="BI91" s="133">
        <f>商品录入!BI91*$E91</f>
        <v>0</v>
      </c>
      <c r="BJ91" s="133">
        <f>商品录入!BJ91*$E91</f>
        <v>0</v>
      </c>
      <c r="BK91" s="133">
        <f>商品录入!BK91*$E91</f>
        <v>0</v>
      </c>
      <c r="BL91" s="133">
        <f>商品录入!BL91*$E91</f>
        <v>0</v>
      </c>
      <c r="BM91" s="133">
        <f>商品录入!BM91*$E91</f>
        <v>0</v>
      </c>
      <c r="BN91" s="133">
        <f>商品录入!BN91*$E91</f>
        <v>0</v>
      </c>
      <c r="BO91" s="133">
        <f>商品录入!BO91*$E91</f>
        <v>0</v>
      </c>
      <c r="BP91" s="133">
        <f>商品录入!BP91*$E91</f>
        <v>0</v>
      </c>
      <c r="BQ91" s="133">
        <f>商品录入!BQ91*$E91</f>
        <v>0</v>
      </c>
      <c r="BR91" s="133">
        <f>商品录入!BR91*$E91</f>
        <v>0</v>
      </c>
      <c r="BS91" s="133">
        <f>商品录入!BS91*$E91</f>
        <v>0</v>
      </c>
      <c r="BT91" s="133">
        <f>商品录入!BT91*$E91</f>
        <v>0</v>
      </c>
      <c r="BU91" s="133">
        <f>商品录入!BU91*$E91</f>
        <v>0</v>
      </c>
      <c r="BV91" s="133">
        <f>商品录入!BV91*$E91</f>
        <v>0</v>
      </c>
      <c r="BW91" s="133">
        <f>商品录入!BW91*$E91</f>
        <v>0</v>
      </c>
    </row>
    <row r="92" s="178" customFormat="1" customHeight="1" spans="1:75">
      <c r="A92" s="161">
        <v>88</v>
      </c>
      <c r="B92" s="162">
        <f>商品录入!B92</f>
        <v>0</v>
      </c>
      <c r="C92" s="162">
        <f>商品录入!C92</f>
        <v>0</v>
      </c>
      <c r="D92" s="162">
        <f>商品录入!D92</f>
        <v>0</v>
      </c>
      <c r="E92" s="162">
        <f>商品录入!E92</f>
        <v>0</v>
      </c>
      <c r="F92" s="162">
        <f>商品录入!F92</f>
        <v>0</v>
      </c>
      <c r="G92" s="162">
        <f>商品录入!G92</f>
        <v>0</v>
      </c>
      <c r="H92" s="162">
        <f>商品录入!H92</f>
        <v>0</v>
      </c>
      <c r="I92" s="162">
        <f>商品录入!I92</f>
        <v>0</v>
      </c>
      <c r="J92" s="162">
        <f>商品录入!J92</f>
        <v>0</v>
      </c>
      <c r="K92" s="162">
        <f>商品录入!K92</f>
        <v>0</v>
      </c>
      <c r="L92" s="162">
        <f>商品录入!L92</f>
        <v>0</v>
      </c>
      <c r="M92" s="162">
        <f>商品录入!M92</f>
        <v>0</v>
      </c>
      <c r="N92" s="133">
        <f>商品录入!N92*$E92</f>
        <v>0</v>
      </c>
      <c r="O92" s="133">
        <f>商品录入!O92*$E92</f>
        <v>0</v>
      </c>
      <c r="P92" s="133">
        <f>商品录入!P92*$E92</f>
        <v>0</v>
      </c>
      <c r="Q92" s="133">
        <f>商品录入!Q92*$E92</f>
        <v>0</v>
      </c>
      <c r="R92" s="133">
        <f>商品录入!R92*$E92</f>
        <v>0</v>
      </c>
      <c r="S92" s="133">
        <f>商品录入!S92*$E92</f>
        <v>0</v>
      </c>
      <c r="T92" s="133">
        <f>商品录入!T92*$E92</f>
        <v>0</v>
      </c>
      <c r="U92" s="133">
        <f>商品录入!U92*$E92</f>
        <v>0</v>
      </c>
      <c r="V92" s="133">
        <f>商品录入!V92*$E92</f>
        <v>0</v>
      </c>
      <c r="W92" s="133">
        <f>商品录入!W92*$E92</f>
        <v>0</v>
      </c>
      <c r="X92" s="133">
        <f>商品录入!X92*$E92</f>
        <v>0</v>
      </c>
      <c r="Y92" s="133">
        <f>商品录入!Y92*$E92</f>
        <v>0</v>
      </c>
      <c r="Z92" s="133">
        <f>商品录入!Z92*$E92</f>
        <v>0</v>
      </c>
      <c r="AA92" s="133">
        <f>商品录入!AA92*$E92</f>
        <v>0</v>
      </c>
      <c r="AB92" s="133">
        <f>商品录入!AB92*$E92</f>
        <v>0</v>
      </c>
      <c r="AC92" s="133">
        <f>商品录入!AC92*$E92</f>
        <v>0</v>
      </c>
      <c r="AD92" s="133">
        <f>商品录入!AD92*$E92</f>
        <v>0</v>
      </c>
      <c r="AE92" s="133">
        <f>商品录入!AE92*$E92</f>
        <v>0</v>
      </c>
      <c r="AF92" s="133">
        <f>商品录入!AF92*$E92</f>
        <v>0</v>
      </c>
      <c r="AG92" s="133">
        <f>商品录入!AG92*$E92</f>
        <v>0</v>
      </c>
      <c r="AH92" s="133">
        <f>商品录入!AH92*$E92</f>
        <v>0</v>
      </c>
      <c r="AI92" s="133">
        <f>商品录入!AI92*$E92</f>
        <v>0</v>
      </c>
      <c r="AJ92" s="133">
        <f>商品录入!AJ92*$E92</f>
        <v>0</v>
      </c>
      <c r="AK92" s="133">
        <f>商品录入!AK92*$E92</f>
        <v>0</v>
      </c>
      <c r="AL92" s="133">
        <f>商品录入!AL92*$E92</f>
        <v>0</v>
      </c>
      <c r="AM92" s="133">
        <f>商品录入!AM92*$E92</f>
        <v>0</v>
      </c>
      <c r="AN92" s="133">
        <f>商品录入!AN92*$E92</f>
        <v>0</v>
      </c>
      <c r="AO92" s="133">
        <f>商品录入!AO92*$E92</f>
        <v>0</v>
      </c>
      <c r="AP92" s="133">
        <f>商品录入!AP92*$E92</f>
        <v>0</v>
      </c>
      <c r="AQ92" s="133">
        <f>商品录入!AQ92*$E92</f>
        <v>0</v>
      </c>
      <c r="AR92" s="133">
        <f>商品录入!AR92*$E92</f>
        <v>0</v>
      </c>
      <c r="AS92" s="133">
        <f>商品录入!AS92*$E92</f>
        <v>0</v>
      </c>
      <c r="AT92" s="133">
        <f>商品录入!AT92*$E92</f>
        <v>0</v>
      </c>
      <c r="AU92" s="133">
        <f>商品录入!AU92*$E92</f>
        <v>0</v>
      </c>
      <c r="AV92" s="133">
        <f>商品录入!AV92*$E92</f>
        <v>0</v>
      </c>
      <c r="AW92" s="133">
        <f>商品录入!AW92*$E92</f>
        <v>0</v>
      </c>
      <c r="AX92" s="133">
        <f>商品录入!AX92*$E92</f>
        <v>0</v>
      </c>
      <c r="AY92" s="133">
        <f>商品录入!AY92*$E92</f>
        <v>0</v>
      </c>
      <c r="AZ92" s="133">
        <f>商品录入!AZ92*$E92</f>
        <v>0</v>
      </c>
      <c r="BA92" s="133">
        <f>商品录入!BA92*$E92</f>
        <v>0</v>
      </c>
      <c r="BB92" s="133">
        <f>商品录入!BB92*$E92</f>
        <v>0</v>
      </c>
      <c r="BC92" s="133">
        <f>商品录入!BC92*$E92</f>
        <v>0</v>
      </c>
      <c r="BD92" s="133">
        <f>商品录入!BD92*$E92</f>
        <v>0</v>
      </c>
      <c r="BE92" s="133">
        <f>商品录入!BE92*$E92</f>
        <v>0</v>
      </c>
      <c r="BF92" s="133">
        <f>商品录入!BF92*$E92</f>
        <v>0</v>
      </c>
      <c r="BG92" s="133">
        <f>商品录入!BG92*$E92</f>
        <v>0</v>
      </c>
      <c r="BH92" s="133">
        <f>商品录入!BH92*$E92</f>
        <v>0</v>
      </c>
      <c r="BI92" s="133">
        <f>商品录入!BI92*$E92</f>
        <v>0</v>
      </c>
      <c r="BJ92" s="133">
        <f>商品录入!BJ92*$E92</f>
        <v>0</v>
      </c>
      <c r="BK92" s="133">
        <f>商品录入!BK92*$E92</f>
        <v>0</v>
      </c>
      <c r="BL92" s="133">
        <f>商品录入!BL92*$E92</f>
        <v>0</v>
      </c>
      <c r="BM92" s="133">
        <f>商品录入!BM92*$E92</f>
        <v>0</v>
      </c>
      <c r="BN92" s="133">
        <f>商品录入!BN92*$E92</f>
        <v>0</v>
      </c>
      <c r="BO92" s="133">
        <f>商品录入!BO92*$E92</f>
        <v>0</v>
      </c>
      <c r="BP92" s="133">
        <f>商品录入!BP92*$E92</f>
        <v>0</v>
      </c>
      <c r="BQ92" s="133">
        <f>商品录入!BQ92*$E92</f>
        <v>0</v>
      </c>
      <c r="BR92" s="133">
        <f>商品录入!BR92*$E92</f>
        <v>0</v>
      </c>
      <c r="BS92" s="133">
        <f>商品录入!BS92*$E92</f>
        <v>0</v>
      </c>
      <c r="BT92" s="133">
        <f>商品录入!BT92*$E92</f>
        <v>0</v>
      </c>
      <c r="BU92" s="133">
        <f>商品录入!BU92*$E92</f>
        <v>0</v>
      </c>
      <c r="BV92" s="133">
        <f>商品录入!BV92*$E92</f>
        <v>0</v>
      </c>
      <c r="BW92" s="133">
        <f>商品录入!BW92*$E92</f>
        <v>0</v>
      </c>
    </row>
    <row r="93" s="178" customFormat="1" customHeight="1" spans="1:75">
      <c r="A93" s="161">
        <v>89</v>
      </c>
      <c r="B93" s="162">
        <f>商品录入!B93</f>
        <v>0</v>
      </c>
      <c r="C93" s="162">
        <f>商品录入!C93</f>
        <v>0</v>
      </c>
      <c r="D93" s="162">
        <f>商品录入!D93</f>
        <v>0</v>
      </c>
      <c r="E93" s="162">
        <f>商品录入!E93</f>
        <v>0</v>
      </c>
      <c r="F93" s="162">
        <f>商品录入!F93</f>
        <v>0</v>
      </c>
      <c r="G93" s="162">
        <f>商品录入!G93</f>
        <v>0</v>
      </c>
      <c r="H93" s="162">
        <f>商品录入!H93</f>
        <v>0</v>
      </c>
      <c r="I93" s="162">
        <f>商品录入!I93</f>
        <v>0</v>
      </c>
      <c r="J93" s="162">
        <f>商品录入!J93</f>
        <v>0</v>
      </c>
      <c r="K93" s="162">
        <f>商品录入!K93</f>
        <v>0</v>
      </c>
      <c r="L93" s="162">
        <f>商品录入!L93</f>
        <v>0</v>
      </c>
      <c r="M93" s="162">
        <f>商品录入!M93</f>
        <v>0</v>
      </c>
      <c r="N93" s="133">
        <f>商品录入!N93*$E93</f>
        <v>0</v>
      </c>
      <c r="O93" s="133">
        <f>商品录入!O93*$E93</f>
        <v>0</v>
      </c>
      <c r="P93" s="133">
        <f>商品录入!P93*$E93</f>
        <v>0</v>
      </c>
      <c r="Q93" s="133">
        <f>商品录入!Q93*$E93</f>
        <v>0</v>
      </c>
      <c r="R93" s="133">
        <f>商品录入!R93*$E93</f>
        <v>0</v>
      </c>
      <c r="S93" s="133">
        <f>商品录入!S93*$E93</f>
        <v>0</v>
      </c>
      <c r="T93" s="133">
        <f>商品录入!T93*$E93</f>
        <v>0</v>
      </c>
      <c r="U93" s="133">
        <f>商品录入!U93*$E93</f>
        <v>0</v>
      </c>
      <c r="V93" s="133">
        <f>商品录入!V93*$E93</f>
        <v>0</v>
      </c>
      <c r="W93" s="133">
        <f>商品录入!W93*$E93</f>
        <v>0</v>
      </c>
      <c r="X93" s="133">
        <f>商品录入!X93*$E93</f>
        <v>0</v>
      </c>
      <c r="Y93" s="133">
        <f>商品录入!Y93*$E93</f>
        <v>0</v>
      </c>
      <c r="Z93" s="133">
        <f>商品录入!Z93*$E93</f>
        <v>0</v>
      </c>
      <c r="AA93" s="133">
        <f>商品录入!AA93*$E93</f>
        <v>0</v>
      </c>
      <c r="AB93" s="133">
        <f>商品录入!AB93*$E93</f>
        <v>0</v>
      </c>
      <c r="AC93" s="133">
        <f>商品录入!AC93*$E93</f>
        <v>0</v>
      </c>
      <c r="AD93" s="133">
        <f>商品录入!AD93*$E93</f>
        <v>0</v>
      </c>
      <c r="AE93" s="133">
        <f>商品录入!AE93*$E93</f>
        <v>0</v>
      </c>
      <c r="AF93" s="133">
        <f>商品录入!AF93*$E93</f>
        <v>0</v>
      </c>
      <c r="AG93" s="133">
        <f>商品录入!AG93*$E93</f>
        <v>0</v>
      </c>
      <c r="AH93" s="133">
        <f>商品录入!AH93*$E93</f>
        <v>0</v>
      </c>
      <c r="AI93" s="133">
        <f>商品录入!AI93*$E93</f>
        <v>0</v>
      </c>
      <c r="AJ93" s="133">
        <f>商品录入!AJ93*$E93</f>
        <v>0</v>
      </c>
      <c r="AK93" s="133">
        <f>商品录入!AK93*$E93</f>
        <v>0</v>
      </c>
      <c r="AL93" s="133">
        <f>商品录入!AL93*$E93</f>
        <v>0</v>
      </c>
      <c r="AM93" s="133">
        <f>商品录入!AM93*$E93</f>
        <v>0</v>
      </c>
      <c r="AN93" s="133">
        <f>商品录入!AN93*$E93</f>
        <v>0</v>
      </c>
      <c r="AO93" s="133">
        <f>商品录入!AO93*$E93</f>
        <v>0</v>
      </c>
      <c r="AP93" s="133">
        <f>商品录入!AP93*$E93</f>
        <v>0</v>
      </c>
      <c r="AQ93" s="133">
        <f>商品录入!AQ93*$E93</f>
        <v>0</v>
      </c>
      <c r="AR93" s="133">
        <f>商品录入!AR93*$E93</f>
        <v>0</v>
      </c>
      <c r="AS93" s="133">
        <f>商品录入!AS93*$E93</f>
        <v>0</v>
      </c>
      <c r="AT93" s="133">
        <f>商品录入!AT93*$E93</f>
        <v>0</v>
      </c>
      <c r="AU93" s="133">
        <f>商品录入!AU93*$E93</f>
        <v>0</v>
      </c>
      <c r="AV93" s="133">
        <f>商品录入!AV93*$E93</f>
        <v>0</v>
      </c>
      <c r="AW93" s="133">
        <f>商品录入!AW93*$E93</f>
        <v>0</v>
      </c>
      <c r="AX93" s="133">
        <f>商品录入!AX93*$E93</f>
        <v>0</v>
      </c>
      <c r="AY93" s="133">
        <f>商品录入!AY93*$E93</f>
        <v>0</v>
      </c>
      <c r="AZ93" s="133">
        <f>商品录入!AZ93*$E93</f>
        <v>0</v>
      </c>
      <c r="BA93" s="133">
        <f>商品录入!BA93*$E93</f>
        <v>0</v>
      </c>
      <c r="BB93" s="133">
        <f>商品录入!BB93*$E93</f>
        <v>0</v>
      </c>
      <c r="BC93" s="133">
        <f>商品录入!BC93*$E93</f>
        <v>0</v>
      </c>
      <c r="BD93" s="133">
        <f>商品录入!BD93*$E93</f>
        <v>0</v>
      </c>
      <c r="BE93" s="133">
        <f>商品录入!BE93*$E93</f>
        <v>0</v>
      </c>
      <c r="BF93" s="133">
        <f>商品录入!BF93*$E93</f>
        <v>0</v>
      </c>
      <c r="BG93" s="133">
        <f>商品录入!BG93*$E93</f>
        <v>0</v>
      </c>
      <c r="BH93" s="133">
        <f>商品录入!BH93*$E93</f>
        <v>0</v>
      </c>
      <c r="BI93" s="133">
        <f>商品录入!BI93*$E93</f>
        <v>0</v>
      </c>
      <c r="BJ93" s="133">
        <f>商品录入!BJ93*$E93</f>
        <v>0</v>
      </c>
      <c r="BK93" s="133">
        <f>商品录入!BK93*$E93</f>
        <v>0</v>
      </c>
      <c r="BL93" s="133">
        <f>商品录入!BL93*$E93</f>
        <v>0</v>
      </c>
      <c r="BM93" s="133">
        <f>商品录入!BM93*$E93</f>
        <v>0</v>
      </c>
      <c r="BN93" s="133">
        <f>商品录入!BN93*$E93</f>
        <v>0</v>
      </c>
      <c r="BO93" s="133">
        <f>商品录入!BO93*$E93</f>
        <v>0</v>
      </c>
      <c r="BP93" s="133">
        <f>商品录入!BP93*$E93</f>
        <v>0</v>
      </c>
      <c r="BQ93" s="133">
        <f>商品录入!BQ93*$E93</f>
        <v>0</v>
      </c>
      <c r="BR93" s="133">
        <f>商品录入!BR93*$E93</f>
        <v>0</v>
      </c>
      <c r="BS93" s="133">
        <f>商品录入!BS93*$E93</f>
        <v>0</v>
      </c>
      <c r="BT93" s="133">
        <f>商品录入!BT93*$E93</f>
        <v>0</v>
      </c>
      <c r="BU93" s="133">
        <f>商品录入!BU93*$E93</f>
        <v>0</v>
      </c>
      <c r="BV93" s="133">
        <f>商品录入!BV93*$E93</f>
        <v>0</v>
      </c>
      <c r="BW93" s="133">
        <f>商品录入!BW93*$E93</f>
        <v>0</v>
      </c>
    </row>
    <row r="94" s="178" customFormat="1" customHeight="1" spans="1:75">
      <c r="A94" s="161">
        <v>90</v>
      </c>
      <c r="B94" s="162">
        <f>商品录入!B94</f>
        <v>0</v>
      </c>
      <c r="C94" s="162">
        <f>商品录入!C94</f>
        <v>0</v>
      </c>
      <c r="D94" s="162">
        <f>商品录入!D94</f>
        <v>0</v>
      </c>
      <c r="E94" s="162">
        <f>商品录入!E94</f>
        <v>0</v>
      </c>
      <c r="F94" s="162">
        <f>商品录入!F94</f>
        <v>0</v>
      </c>
      <c r="G94" s="162">
        <f>商品录入!G94</f>
        <v>0</v>
      </c>
      <c r="H94" s="162">
        <f>商品录入!H94</f>
        <v>0</v>
      </c>
      <c r="I94" s="162">
        <f>商品录入!I94</f>
        <v>0</v>
      </c>
      <c r="J94" s="162">
        <f>商品录入!J94</f>
        <v>0</v>
      </c>
      <c r="K94" s="162">
        <f>商品录入!K94</f>
        <v>0</v>
      </c>
      <c r="L94" s="162">
        <f>商品录入!L94</f>
        <v>0</v>
      </c>
      <c r="M94" s="162">
        <f>商品录入!M94</f>
        <v>0</v>
      </c>
      <c r="N94" s="133">
        <f>商品录入!N94*$E94</f>
        <v>0</v>
      </c>
      <c r="O94" s="133">
        <f>商品录入!O94*$E94</f>
        <v>0</v>
      </c>
      <c r="P94" s="133">
        <f>商品录入!P94*$E94</f>
        <v>0</v>
      </c>
      <c r="Q94" s="133">
        <f>商品录入!Q94*$E94</f>
        <v>0</v>
      </c>
      <c r="R94" s="133">
        <f>商品录入!R94*$E94</f>
        <v>0</v>
      </c>
      <c r="S94" s="133">
        <f>商品录入!S94*$E94</f>
        <v>0</v>
      </c>
      <c r="T94" s="133">
        <f>商品录入!T94*$E94</f>
        <v>0</v>
      </c>
      <c r="U94" s="133">
        <f>商品录入!U94*$E94</f>
        <v>0</v>
      </c>
      <c r="V94" s="133">
        <f>商品录入!V94*$E94</f>
        <v>0</v>
      </c>
      <c r="W94" s="133">
        <f>商品录入!W94*$E94</f>
        <v>0</v>
      </c>
      <c r="X94" s="133">
        <f>商品录入!X94*$E94</f>
        <v>0</v>
      </c>
      <c r="Y94" s="133">
        <f>商品录入!Y94*$E94</f>
        <v>0</v>
      </c>
      <c r="Z94" s="133">
        <f>商品录入!Z94*$E94</f>
        <v>0</v>
      </c>
      <c r="AA94" s="133">
        <f>商品录入!AA94*$E94</f>
        <v>0</v>
      </c>
      <c r="AB94" s="133">
        <f>商品录入!AB94*$E94</f>
        <v>0</v>
      </c>
      <c r="AC94" s="133">
        <f>商品录入!AC94*$E94</f>
        <v>0</v>
      </c>
      <c r="AD94" s="133">
        <f>商品录入!AD94*$E94</f>
        <v>0</v>
      </c>
      <c r="AE94" s="133">
        <f>商品录入!AE94*$E94</f>
        <v>0</v>
      </c>
      <c r="AF94" s="133">
        <f>商品录入!AF94*$E94</f>
        <v>0</v>
      </c>
      <c r="AG94" s="133">
        <f>商品录入!AG94*$E94</f>
        <v>0</v>
      </c>
      <c r="AH94" s="133">
        <f>商品录入!AH94*$E94</f>
        <v>0</v>
      </c>
      <c r="AI94" s="133">
        <f>商品录入!AI94*$E94</f>
        <v>0</v>
      </c>
      <c r="AJ94" s="133">
        <f>商品录入!AJ94*$E94</f>
        <v>0</v>
      </c>
      <c r="AK94" s="133">
        <f>商品录入!AK94*$E94</f>
        <v>0</v>
      </c>
      <c r="AL94" s="133">
        <f>商品录入!AL94*$E94</f>
        <v>0</v>
      </c>
      <c r="AM94" s="133">
        <f>商品录入!AM94*$E94</f>
        <v>0</v>
      </c>
      <c r="AN94" s="133">
        <f>商品录入!AN94*$E94</f>
        <v>0</v>
      </c>
      <c r="AO94" s="133">
        <f>商品录入!AO94*$E94</f>
        <v>0</v>
      </c>
      <c r="AP94" s="133">
        <f>商品录入!AP94*$E94</f>
        <v>0</v>
      </c>
      <c r="AQ94" s="133">
        <f>商品录入!AQ94*$E94</f>
        <v>0</v>
      </c>
      <c r="AR94" s="133">
        <f>商品录入!AR94*$E94</f>
        <v>0</v>
      </c>
      <c r="AS94" s="133">
        <f>商品录入!AS94*$E94</f>
        <v>0</v>
      </c>
      <c r="AT94" s="133">
        <f>商品录入!AT94*$E94</f>
        <v>0</v>
      </c>
      <c r="AU94" s="133">
        <f>商品录入!AU94*$E94</f>
        <v>0</v>
      </c>
      <c r="AV94" s="133">
        <f>商品录入!AV94*$E94</f>
        <v>0</v>
      </c>
      <c r="AW94" s="133">
        <f>商品录入!AW94*$E94</f>
        <v>0</v>
      </c>
      <c r="AX94" s="133">
        <f>商品录入!AX94*$E94</f>
        <v>0</v>
      </c>
      <c r="AY94" s="133">
        <f>商品录入!AY94*$E94</f>
        <v>0</v>
      </c>
      <c r="AZ94" s="133">
        <f>商品录入!AZ94*$E94</f>
        <v>0</v>
      </c>
      <c r="BA94" s="133">
        <f>商品录入!BA94*$E94</f>
        <v>0</v>
      </c>
      <c r="BB94" s="133">
        <f>商品录入!BB94*$E94</f>
        <v>0</v>
      </c>
      <c r="BC94" s="133">
        <f>商品录入!BC94*$E94</f>
        <v>0</v>
      </c>
      <c r="BD94" s="133">
        <f>商品录入!BD94*$E94</f>
        <v>0</v>
      </c>
      <c r="BE94" s="133">
        <f>商品录入!BE94*$E94</f>
        <v>0</v>
      </c>
      <c r="BF94" s="133">
        <f>商品录入!BF94*$E94</f>
        <v>0</v>
      </c>
      <c r="BG94" s="133">
        <f>商品录入!BG94*$E94</f>
        <v>0</v>
      </c>
      <c r="BH94" s="133">
        <f>商品录入!BH94*$E94</f>
        <v>0</v>
      </c>
      <c r="BI94" s="133">
        <f>商品录入!BI94*$E94</f>
        <v>0</v>
      </c>
      <c r="BJ94" s="133">
        <f>商品录入!BJ94*$E94</f>
        <v>0</v>
      </c>
      <c r="BK94" s="133">
        <f>商品录入!BK94*$E94</f>
        <v>0</v>
      </c>
      <c r="BL94" s="133">
        <f>商品录入!BL94*$E94</f>
        <v>0</v>
      </c>
      <c r="BM94" s="133">
        <f>商品录入!BM94*$E94</f>
        <v>0</v>
      </c>
      <c r="BN94" s="133">
        <f>商品录入!BN94*$E94</f>
        <v>0</v>
      </c>
      <c r="BO94" s="133">
        <f>商品录入!BO94*$E94</f>
        <v>0</v>
      </c>
      <c r="BP94" s="133">
        <f>商品录入!BP94*$E94</f>
        <v>0</v>
      </c>
      <c r="BQ94" s="133">
        <f>商品录入!BQ94*$E94</f>
        <v>0</v>
      </c>
      <c r="BR94" s="133">
        <f>商品录入!BR94*$E94</f>
        <v>0</v>
      </c>
      <c r="BS94" s="133">
        <f>商品录入!BS94*$E94</f>
        <v>0</v>
      </c>
      <c r="BT94" s="133">
        <f>商品录入!BT94*$E94</f>
        <v>0</v>
      </c>
      <c r="BU94" s="133">
        <f>商品录入!BU94*$E94</f>
        <v>0</v>
      </c>
      <c r="BV94" s="133">
        <f>商品录入!BV94*$E94</f>
        <v>0</v>
      </c>
      <c r="BW94" s="133">
        <f>商品录入!BW94*$E94</f>
        <v>0</v>
      </c>
    </row>
    <row r="95" s="178" customFormat="1" customHeight="1" spans="1:75">
      <c r="A95" s="161">
        <v>91</v>
      </c>
      <c r="B95" s="162">
        <f>商品录入!B95</f>
        <v>0</v>
      </c>
      <c r="C95" s="162">
        <f>商品录入!C95</f>
        <v>0</v>
      </c>
      <c r="D95" s="162">
        <f>商品录入!D95</f>
        <v>0</v>
      </c>
      <c r="E95" s="162">
        <f>商品录入!E95</f>
        <v>0</v>
      </c>
      <c r="F95" s="162">
        <f>商品录入!F95</f>
        <v>0</v>
      </c>
      <c r="G95" s="162">
        <f>商品录入!G95</f>
        <v>0</v>
      </c>
      <c r="H95" s="162">
        <f>商品录入!H95</f>
        <v>0</v>
      </c>
      <c r="I95" s="162">
        <f>商品录入!I95</f>
        <v>0</v>
      </c>
      <c r="J95" s="162">
        <f>商品录入!J95</f>
        <v>0</v>
      </c>
      <c r="K95" s="162">
        <f>商品录入!K95</f>
        <v>0</v>
      </c>
      <c r="L95" s="162">
        <f>商品录入!L95</f>
        <v>0</v>
      </c>
      <c r="M95" s="162">
        <f>商品录入!M95</f>
        <v>0</v>
      </c>
      <c r="N95" s="133">
        <f>商品录入!N95*$E95</f>
        <v>0</v>
      </c>
      <c r="O95" s="133">
        <f>商品录入!O95*$E95</f>
        <v>0</v>
      </c>
      <c r="P95" s="133">
        <f>商品录入!P95*$E95</f>
        <v>0</v>
      </c>
      <c r="Q95" s="133">
        <f>商品录入!Q95*$E95</f>
        <v>0</v>
      </c>
      <c r="R95" s="133">
        <f>商品录入!R95*$E95</f>
        <v>0</v>
      </c>
      <c r="S95" s="133">
        <f>商品录入!S95*$E95</f>
        <v>0</v>
      </c>
      <c r="T95" s="133">
        <f>商品录入!T95*$E95</f>
        <v>0</v>
      </c>
      <c r="U95" s="133">
        <f>商品录入!U95*$E95</f>
        <v>0</v>
      </c>
      <c r="V95" s="133">
        <f>商品录入!V95*$E95</f>
        <v>0</v>
      </c>
      <c r="W95" s="133">
        <f>商品录入!W95*$E95</f>
        <v>0</v>
      </c>
      <c r="X95" s="133">
        <f>商品录入!X95*$E95</f>
        <v>0</v>
      </c>
      <c r="Y95" s="133">
        <f>商品录入!Y95*$E95</f>
        <v>0</v>
      </c>
      <c r="Z95" s="133">
        <f>商品录入!Z95*$E95</f>
        <v>0</v>
      </c>
      <c r="AA95" s="133">
        <f>商品录入!AA95*$E95</f>
        <v>0</v>
      </c>
      <c r="AB95" s="133">
        <f>商品录入!AB95*$E95</f>
        <v>0</v>
      </c>
      <c r="AC95" s="133">
        <f>商品录入!AC95*$E95</f>
        <v>0</v>
      </c>
      <c r="AD95" s="133">
        <f>商品录入!AD95*$E95</f>
        <v>0</v>
      </c>
      <c r="AE95" s="133">
        <f>商品录入!AE95*$E95</f>
        <v>0</v>
      </c>
      <c r="AF95" s="133">
        <f>商品录入!AF95*$E95</f>
        <v>0</v>
      </c>
      <c r="AG95" s="133">
        <f>商品录入!AG95*$E95</f>
        <v>0</v>
      </c>
      <c r="AH95" s="133">
        <f>商品录入!AH95*$E95</f>
        <v>0</v>
      </c>
      <c r="AI95" s="133">
        <f>商品录入!AI95*$E95</f>
        <v>0</v>
      </c>
      <c r="AJ95" s="133">
        <f>商品录入!AJ95*$E95</f>
        <v>0</v>
      </c>
      <c r="AK95" s="133">
        <f>商品录入!AK95*$E95</f>
        <v>0</v>
      </c>
      <c r="AL95" s="133">
        <f>商品录入!AL95*$E95</f>
        <v>0</v>
      </c>
      <c r="AM95" s="133">
        <f>商品录入!AM95*$E95</f>
        <v>0</v>
      </c>
      <c r="AN95" s="133">
        <f>商品录入!AN95*$E95</f>
        <v>0</v>
      </c>
      <c r="AO95" s="133">
        <f>商品录入!AO95*$E95</f>
        <v>0</v>
      </c>
      <c r="AP95" s="133">
        <f>商品录入!AP95*$E95</f>
        <v>0</v>
      </c>
      <c r="AQ95" s="133">
        <f>商品录入!AQ95*$E95</f>
        <v>0</v>
      </c>
      <c r="AR95" s="133">
        <f>商品录入!AR95*$E95</f>
        <v>0</v>
      </c>
      <c r="AS95" s="133">
        <f>商品录入!AS95*$E95</f>
        <v>0</v>
      </c>
      <c r="AT95" s="133">
        <f>商品录入!AT95*$E95</f>
        <v>0</v>
      </c>
      <c r="AU95" s="133">
        <f>商品录入!AU95*$E95</f>
        <v>0</v>
      </c>
      <c r="AV95" s="133">
        <f>商品录入!AV95*$E95</f>
        <v>0</v>
      </c>
      <c r="AW95" s="133">
        <f>商品录入!AW95*$E95</f>
        <v>0</v>
      </c>
      <c r="AX95" s="133">
        <f>商品录入!AX95*$E95</f>
        <v>0</v>
      </c>
      <c r="AY95" s="133">
        <f>商品录入!AY95*$E95</f>
        <v>0</v>
      </c>
      <c r="AZ95" s="133">
        <f>商品录入!AZ95*$E95</f>
        <v>0</v>
      </c>
      <c r="BA95" s="133">
        <f>商品录入!BA95*$E95</f>
        <v>0</v>
      </c>
      <c r="BB95" s="133">
        <f>商品录入!BB95*$E95</f>
        <v>0</v>
      </c>
      <c r="BC95" s="133">
        <f>商品录入!BC95*$E95</f>
        <v>0</v>
      </c>
      <c r="BD95" s="133">
        <f>商品录入!BD95*$E95</f>
        <v>0</v>
      </c>
      <c r="BE95" s="133">
        <f>商品录入!BE95*$E95</f>
        <v>0</v>
      </c>
      <c r="BF95" s="133">
        <f>商品录入!BF95*$E95</f>
        <v>0</v>
      </c>
      <c r="BG95" s="133">
        <f>商品录入!BG95*$E95</f>
        <v>0</v>
      </c>
      <c r="BH95" s="133">
        <f>商品录入!BH95*$E95</f>
        <v>0</v>
      </c>
      <c r="BI95" s="133">
        <f>商品录入!BI95*$E95</f>
        <v>0</v>
      </c>
      <c r="BJ95" s="133">
        <f>商品录入!BJ95*$E95</f>
        <v>0</v>
      </c>
      <c r="BK95" s="133">
        <f>商品录入!BK95*$E95</f>
        <v>0</v>
      </c>
      <c r="BL95" s="133">
        <f>商品录入!BL95*$E95</f>
        <v>0</v>
      </c>
      <c r="BM95" s="133">
        <f>商品录入!BM95*$E95</f>
        <v>0</v>
      </c>
      <c r="BN95" s="133">
        <f>商品录入!BN95*$E95</f>
        <v>0</v>
      </c>
      <c r="BO95" s="133">
        <f>商品录入!BO95*$E95</f>
        <v>0</v>
      </c>
      <c r="BP95" s="133">
        <f>商品录入!BP95*$E95</f>
        <v>0</v>
      </c>
      <c r="BQ95" s="133">
        <f>商品录入!BQ95*$E95</f>
        <v>0</v>
      </c>
      <c r="BR95" s="133">
        <f>商品录入!BR95*$E95</f>
        <v>0</v>
      </c>
      <c r="BS95" s="133">
        <f>商品录入!BS95*$E95</f>
        <v>0</v>
      </c>
      <c r="BT95" s="133">
        <f>商品录入!BT95*$E95</f>
        <v>0</v>
      </c>
      <c r="BU95" s="133">
        <f>商品录入!BU95*$E95</f>
        <v>0</v>
      </c>
      <c r="BV95" s="133">
        <f>商品录入!BV95*$E95</f>
        <v>0</v>
      </c>
      <c r="BW95" s="133">
        <f>商品录入!BW95*$E95</f>
        <v>0</v>
      </c>
    </row>
    <row r="96" s="178" customFormat="1" customHeight="1" spans="1:75">
      <c r="A96" s="161">
        <v>92</v>
      </c>
      <c r="B96" s="162">
        <f>商品录入!B96</f>
        <v>0</v>
      </c>
      <c r="C96" s="162">
        <f>商品录入!C96</f>
        <v>0</v>
      </c>
      <c r="D96" s="162">
        <f>商品录入!D96</f>
        <v>0</v>
      </c>
      <c r="E96" s="162">
        <f>商品录入!E96</f>
        <v>0</v>
      </c>
      <c r="F96" s="162">
        <f>商品录入!F96</f>
        <v>0</v>
      </c>
      <c r="G96" s="162">
        <f>商品录入!G96</f>
        <v>0</v>
      </c>
      <c r="H96" s="162">
        <f>商品录入!H96</f>
        <v>0</v>
      </c>
      <c r="I96" s="162">
        <f>商品录入!I96</f>
        <v>0</v>
      </c>
      <c r="J96" s="162">
        <f>商品录入!J96</f>
        <v>0</v>
      </c>
      <c r="K96" s="162">
        <f>商品录入!K96</f>
        <v>0</v>
      </c>
      <c r="L96" s="162">
        <f>商品录入!L96</f>
        <v>0</v>
      </c>
      <c r="M96" s="162">
        <f>商品录入!M96</f>
        <v>0</v>
      </c>
      <c r="N96" s="133">
        <f>商品录入!N96*$E96</f>
        <v>0</v>
      </c>
      <c r="O96" s="133">
        <f>商品录入!O96*$E96</f>
        <v>0</v>
      </c>
      <c r="P96" s="133">
        <f>商品录入!P96*$E96</f>
        <v>0</v>
      </c>
      <c r="Q96" s="133">
        <f>商品录入!Q96*$E96</f>
        <v>0</v>
      </c>
      <c r="R96" s="133">
        <f>商品录入!R96*$E96</f>
        <v>0</v>
      </c>
      <c r="S96" s="133">
        <f>商品录入!S96*$E96</f>
        <v>0</v>
      </c>
      <c r="T96" s="133">
        <f>商品录入!T96*$E96</f>
        <v>0</v>
      </c>
      <c r="U96" s="133">
        <f>商品录入!U96*$E96</f>
        <v>0</v>
      </c>
      <c r="V96" s="133">
        <f>商品录入!V96*$E96</f>
        <v>0</v>
      </c>
      <c r="W96" s="133">
        <f>商品录入!W96*$E96</f>
        <v>0</v>
      </c>
      <c r="X96" s="133">
        <f>商品录入!X96*$E96</f>
        <v>0</v>
      </c>
      <c r="Y96" s="133">
        <f>商品录入!Y96*$E96</f>
        <v>0</v>
      </c>
      <c r="Z96" s="133">
        <f>商品录入!Z96*$E96</f>
        <v>0</v>
      </c>
      <c r="AA96" s="133">
        <f>商品录入!AA96*$E96</f>
        <v>0</v>
      </c>
      <c r="AB96" s="133">
        <f>商品录入!AB96*$E96</f>
        <v>0</v>
      </c>
      <c r="AC96" s="133">
        <f>商品录入!AC96*$E96</f>
        <v>0</v>
      </c>
      <c r="AD96" s="133">
        <f>商品录入!AD96*$E96</f>
        <v>0</v>
      </c>
      <c r="AE96" s="133">
        <f>商品录入!AE96*$E96</f>
        <v>0</v>
      </c>
      <c r="AF96" s="133">
        <f>商品录入!AF96*$E96</f>
        <v>0</v>
      </c>
      <c r="AG96" s="133">
        <f>商品录入!AG96*$E96</f>
        <v>0</v>
      </c>
      <c r="AH96" s="133">
        <f>商品录入!AH96*$E96</f>
        <v>0</v>
      </c>
      <c r="AI96" s="133">
        <f>商品录入!AI96*$E96</f>
        <v>0</v>
      </c>
      <c r="AJ96" s="133">
        <f>商品录入!AJ96*$E96</f>
        <v>0</v>
      </c>
      <c r="AK96" s="133">
        <f>商品录入!AK96*$E96</f>
        <v>0</v>
      </c>
      <c r="AL96" s="133">
        <f>商品录入!AL96*$E96</f>
        <v>0</v>
      </c>
      <c r="AM96" s="133">
        <f>商品录入!AM96*$E96</f>
        <v>0</v>
      </c>
      <c r="AN96" s="133">
        <f>商品录入!AN96*$E96</f>
        <v>0</v>
      </c>
      <c r="AO96" s="133">
        <f>商品录入!AO96*$E96</f>
        <v>0</v>
      </c>
      <c r="AP96" s="133">
        <f>商品录入!AP96*$E96</f>
        <v>0</v>
      </c>
      <c r="AQ96" s="133">
        <f>商品录入!AQ96*$E96</f>
        <v>0</v>
      </c>
      <c r="AR96" s="133">
        <f>商品录入!AR96*$E96</f>
        <v>0</v>
      </c>
      <c r="AS96" s="133">
        <f>商品录入!AS96*$E96</f>
        <v>0</v>
      </c>
      <c r="AT96" s="133">
        <f>商品录入!AT96*$E96</f>
        <v>0</v>
      </c>
      <c r="AU96" s="133">
        <f>商品录入!AU96*$E96</f>
        <v>0</v>
      </c>
      <c r="AV96" s="133">
        <f>商品录入!AV96*$E96</f>
        <v>0</v>
      </c>
      <c r="AW96" s="133">
        <f>商品录入!AW96*$E96</f>
        <v>0</v>
      </c>
      <c r="AX96" s="133">
        <f>商品录入!AX96*$E96</f>
        <v>0</v>
      </c>
      <c r="AY96" s="133">
        <f>商品录入!AY96*$E96</f>
        <v>0</v>
      </c>
      <c r="AZ96" s="133">
        <f>商品录入!AZ96*$E96</f>
        <v>0</v>
      </c>
      <c r="BA96" s="133">
        <f>商品录入!BA96*$E96</f>
        <v>0</v>
      </c>
      <c r="BB96" s="133">
        <f>商品录入!BB96*$E96</f>
        <v>0</v>
      </c>
      <c r="BC96" s="133">
        <f>商品录入!BC96*$E96</f>
        <v>0</v>
      </c>
      <c r="BD96" s="133">
        <f>商品录入!BD96*$E96</f>
        <v>0</v>
      </c>
      <c r="BE96" s="133">
        <f>商品录入!BE96*$E96</f>
        <v>0</v>
      </c>
      <c r="BF96" s="133">
        <f>商品录入!BF96*$E96</f>
        <v>0</v>
      </c>
      <c r="BG96" s="133">
        <f>商品录入!BG96*$E96</f>
        <v>0</v>
      </c>
      <c r="BH96" s="133">
        <f>商品录入!BH96*$E96</f>
        <v>0</v>
      </c>
      <c r="BI96" s="133">
        <f>商品录入!BI96*$E96</f>
        <v>0</v>
      </c>
      <c r="BJ96" s="133">
        <f>商品录入!BJ96*$E96</f>
        <v>0</v>
      </c>
      <c r="BK96" s="133">
        <f>商品录入!BK96*$E96</f>
        <v>0</v>
      </c>
      <c r="BL96" s="133">
        <f>商品录入!BL96*$E96</f>
        <v>0</v>
      </c>
      <c r="BM96" s="133">
        <f>商品录入!BM96*$E96</f>
        <v>0</v>
      </c>
      <c r="BN96" s="133">
        <f>商品录入!BN96*$E96</f>
        <v>0</v>
      </c>
      <c r="BO96" s="133">
        <f>商品录入!BO96*$E96</f>
        <v>0</v>
      </c>
      <c r="BP96" s="133">
        <f>商品录入!BP96*$E96</f>
        <v>0</v>
      </c>
      <c r="BQ96" s="133">
        <f>商品录入!BQ96*$E96</f>
        <v>0</v>
      </c>
      <c r="BR96" s="133">
        <f>商品录入!BR96*$E96</f>
        <v>0</v>
      </c>
      <c r="BS96" s="133">
        <f>商品录入!BS96*$E96</f>
        <v>0</v>
      </c>
      <c r="BT96" s="133">
        <f>商品录入!BT96*$E96</f>
        <v>0</v>
      </c>
      <c r="BU96" s="133">
        <f>商品录入!BU96*$E96</f>
        <v>0</v>
      </c>
      <c r="BV96" s="133">
        <f>商品录入!BV96*$E96</f>
        <v>0</v>
      </c>
      <c r="BW96" s="133">
        <f>商品录入!BW96*$E96</f>
        <v>0</v>
      </c>
    </row>
    <row r="97" s="178" customFormat="1" customHeight="1" spans="1:75">
      <c r="A97" s="161">
        <v>93</v>
      </c>
      <c r="B97" s="162">
        <f>商品录入!B97</f>
        <v>0</v>
      </c>
      <c r="C97" s="162">
        <f>商品录入!C97</f>
        <v>0</v>
      </c>
      <c r="D97" s="162">
        <f>商品录入!D97</f>
        <v>0</v>
      </c>
      <c r="E97" s="162">
        <f>商品录入!E97</f>
        <v>0</v>
      </c>
      <c r="F97" s="162">
        <f>商品录入!F97</f>
        <v>0</v>
      </c>
      <c r="G97" s="162">
        <f>商品录入!G97</f>
        <v>0</v>
      </c>
      <c r="H97" s="162">
        <f>商品录入!H97</f>
        <v>0</v>
      </c>
      <c r="I97" s="162">
        <f>商品录入!I97</f>
        <v>0</v>
      </c>
      <c r="J97" s="162">
        <f>商品录入!J97</f>
        <v>0</v>
      </c>
      <c r="K97" s="162">
        <f>商品录入!K97</f>
        <v>0</v>
      </c>
      <c r="L97" s="162">
        <f>商品录入!L97</f>
        <v>0</v>
      </c>
      <c r="M97" s="162">
        <f>商品录入!M97</f>
        <v>0</v>
      </c>
      <c r="N97" s="133">
        <f>商品录入!N97*$E97</f>
        <v>0</v>
      </c>
      <c r="O97" s="133">
        <f>商品录入!O97*$E97</f>
        <v>0</v>
      </c>
      <c r="P97" s="133">
        <f>商品录入!P97*$E97</f>
        <v>0</v>
      </c>
      <c r="Q97" s="133">
        <f>商品录入!Q97*$E97</f>
        <v>0</v>
      </c>
      <c r="R97" s="133">
        <f>商品录入!R97*$E97</f>
        <v>0</v>
      </c>
      <c r="S97" s="133">
        <f>商品录入!S97*$E97</f>
        <v>0</v>
      </c>
      <c r="T97" s="133">
        <f>商品录入!T97*$E97</f>
        <v>0</v>
      </c>
      <c r="U97" s="133">
        <f>商品录入!U97*$E97</f>
        <v>0</v>
      </c>
      <c r="V97" s="133">
        <f>商品录入!V97*$E97</f>
        <v>0</v>
      </c>
      <c r="W97" s="133">
        <f>商品录入!W97*$E97</f>
        <v>0</v>
      </c>
      <c r="X97" s="133">
        <f>商品录入!X97*$E97</f>
        <v>0</v>
      </c>
      <c r="Y97" s="133">
        <f>商品录入!Y97*$E97</f>
        <v>0</v>
      </c>
      <c r="Z97" s="133">
        <f>商品录入!Z97*$E97</f>
        <v>0</v>
      </c>
      <c r="AA97" s="133">
        <f>商品录入!AA97*$E97</f>
        <v>0</v>
      </c>
      <c r="AB97" s="133">
        <f>商品录入!AB97*$E97</f>
        <v>0</v>
      </c>
      <c r="AC97" s="133">
        <f>商品录入!AC97*$E97</f>
        <v>0</v>
      </c>
      <c r="AD97" s="133">
        <f>商品录入!AD97*$E97</f>
        <v>0</v>
      </c>
      <c r="AE97" s="133">
        <f>商品录入!AE97*$E97</f>
        <v>0</v>
      </c>
      <c r="AF97" s="133">
        <f>商品录入!AF97*$E97</f>
        <v>0</v>
      </c>
      <c r="AG97" s="133">
        <f>商品录入!AG97*$E97</f>
        <v>0</v>
      </c>
      <c r="AH97" s="133">
        <f>商品录入!AH97*$E97</f>
        <v>0</v>
      </c>
      <c r="AI97" s="133">
        <f>商品录入!AI97*$E97</f>
        <v>0</v>
      </c>
      <c r="AJ97" s="133">
        <f>商品录入!AJ97*$E97</f>
        <v>0</v>
      </c>
      <c r="AK97" s="133">
        <f>商品录入!AK97*$E97</f>
        <v>0</v>
      </c>
      <c r="AL97" s="133">
        <f>商品录入!AL97*$E97</f>
        <v>0</v>
      </c>
      <c r="AM97" s="133">
        <f>商品录入!AM97*$E97</f>
        <v>0</v>
      </c>
      <c r="AN97" s="133">
        <f>商品录入!AN97*$E97</f>
        <v>0</v>
      </c>
      <c r="AO97" s="133">
        <f>商品录入!AO97*$E97</f>
        <v>0</v>
      </c>
      <c r="AP97" s="133">
        <f>商品录入!AP97*$E97</f>
        <v>0</v>
      </c>
      <c r="AQ97" s="133">
        <f>商品录入!AQ97*$E97</f>
        <v>0</v>
      </c>
      <c r="AR97" s="133">
        <f>商品录入!AR97*$E97</f>
        <v>0</v>
      </c>
      <c r="AS97" s="133">
        <f>商品录入!AS97*$E97</f>
        <v>0</v>
      </c>
      <c r="AT97" s="133">
        <f>商品录入!AT97*$E97</f>
        <v>0</v>
      </c>
      <c r="AU97" s="133">
        <f>商品录入!AU97*$E97</f>
        <v>0</v>
      </c>
      <c r="AV97" s="133">
        <f>商品录入!AV97*$E97</f>
        <v>0</v>
      </c>
      <c r="AW97" s="133">
        <f>商品录入!AW97*$E97</f>
        <v>0</v>
      </c>
      <c r="AX97" s="133">
        <f>商品录入!AX97*$E97</f>
        <v>0</v>
      </c>
      <c r="AY97" s="133">
        <f>商品录入!AY97*$E97</f>
        <v>0</v>
      </c>
      <c r="AZ97" s="133">
        <f>商品录入!AZ97*$E97</f>
        <v>0</v>
      </c>
      <c r="BA97" s="133">
        <f>商品录入!BA97*$E97</f>
        <v>0</v>
      </c>
      <c r="BB97" s="133">
        <f>商品录入!BB97*$E97</f>
        <v>0</v>
      </c>
      <c r="BC97" s="133">
        <f>商品录入!BC97*$E97</f>
        <v>0</v>
      </c>
      <c r="BD97" s="133">
        <f>商品录入!BD97*$E97</f>
        <v>0</v>
      </c>
      <c r="BE97" s="133">
        <f>商品录入!BE97*$E97</f>
        <v>0</v>
      </c>
      <c r="BF97" s="133">
        <f>商品录入!BF97*$E97</f>
        <v>0</v>
      </c>
      <c r="BG97" s="133">
        <f>商品录入!BG97*$E97</f>
        <v>0</v>
      </c>
      <c r="BH97" s="133">
        <f>商品录入!BH97*$E97</f>
        <v>0</v>
      </c>
      <c r="BI97" s="133">
        <f>商品录入!BI97*$E97</f>
        <v>0</v>
      </c>
      <c r="BJ97" s="133">
        <f>商品录入!BJ97*$E97</f>
        <v>0</v>
      </c>
      <c r="BK97" s="133">
        <f>商品录入!BK97*$E97</f>
        <v>0</v>
      </c>
      <c r="BL97" s="133">
        <f>商品录入!BL97*$E97</f>
        <v>0</v>
      </c>
      <c r="BM97" s="133">
        <f>商品录入!BM97*$E97</f>
        <v>0</v>
      </c>
      <c r="BN97" s="133">
        <f>商品录入!BN97*$E97</f>
        <v>0</v>
      </c>
      <c r="BO97" s="133">
        <f>商品录入!BO97*$E97</f>
        <v>0</v>
      </c>
      <c r="BP97" s="133">
        <f>商品录入!BP97*$E97</f>
        <v>0</v>
      </c>
      <c r="BQ97" s="133">
        <f>商品录入!BQ97*$E97</f>
        <v>0</v>
      </c>
      <c r="BR97" s="133">
        <f>商品录入!BR97*$E97</f>
        <v>0</v>
      </c>
      <c r="BS97" s="133">
        <f>商品录入!BS97*$E97</f>
        <v>0</v>
      </c>
      <c r="BT97" s="133">
        <f>商品录入!BT97*$E97</f>
        <v>0</v>
      </c>
      <c r="BU97" s="133">
        <f>商品录入!BU97*$E97</f>
        <v>0</v>
      </c>
      <c r="BV97" s="133">
        <f>商品录入!BV97*$E97</f>
        <v>0</v>
      </c>
      <c r="BW97" s="133">
        <f>商品录入!BW97*$E97</f>
        <v>0</v>
      </c>
    </row>
    <row r="98" s="178" customFormat="1" customHeight="1" spans="1:75">
      <c r="A98" s="161">
        <v>94</v>
      </c>
      <c r="B98" s="162">
        <f>商品录入!B98</f>
        <v>0</v>
      </c>
      <c r="C98" s="162">
        <f>商品录入!C98</f>
        <v>0</v>
      </c>
      <c r="D98" s="162">
        <f>商品录入!D98</f>
        <v>0</v>
      </c>
      <c r="E98" s="162">
        <f>商品录入!E98</f>
        <v>0</v>
      </c>
      <c r="F98" s="162">
        <f>商品录入!F98</f>
        <v>0</v>
      </c>
      <c r="G98" s="162">
        <f>商品录入!G98</f>
        <v>0</v>
      </c>
      <c r="H98" s="162">
        <f>商品录入!H98</f>
        <v>0</v>
      </c>
      <c r="I98" s="162">
        <f>商品录入!I98</f>
        <v>0</v>
      </c>
      <c r="J98" s="162">
        <f>商品录入!J98</f>
        <v>0</v>
      </c>
      <c r="K98" s="162">
        <f>商品录入!K98</f>
        <v>0</v>
      </c>
      <c r="L98" s="162">
        <f>商品录入!L98</f>
        <v>0</v>
      </c>
      <c r="M98" s="162">
        <f>商品录入!M98</f>
        <v>0</v>
      </c>
      <c r="N98" s="133">
        <f>商品录入!N98*$E98</f>
        <v>0</v>
      </c>
      <c r="O98" s="133">
        <f>商品录入!O98*$E98</f>
        <v>0</v>
      </c>
      <c r="P98" s="133">
        <f>商品录入!P98*$E98</f>
        <v>0</v>
      </c>
      <c r="Q98" s="133">
        <f>商品录入!Q98*$E98</f>
        <v>0</v>
      </c>
      <c r="R98" s="133">
        <f>商品录入!R98*$E98</f>
        <v>0</v>
      </c>
      <c r="S98" s="133">
        <f>商品录入!S98*$E98</f>
        <v>0</v>
      </c>
      <c r="T98" s="133">
        <f>商品录入!T98*$E98</f>
        <v>0</v>
      </c>
      <c r="U98" s="133">
        <f>商品录入!U98*$E98</f>
        <v>0</v>
      </c>
      <c r="V98" s="133">
        <f>商品录入!V98*$E98</f>
        <v>0</v>
      </c>
      <c r="W98" s="133">
        <f>商品录入!W98*$E98</f>
        <v>0</v>
      </c>
      <c r="X98" s="133">
        <f>商品录入!X98*$E98</f>
        <v>0</v>
      </c>
      <c r="Y98" s="133">
        <f>商品录入!Y98*$E98</f>
        <v>0</v>
      </c>
      <c r="Z98" s="133">
        <f>商品录入!Z98*$E98</f>
        <v>0</v>
      </c>
      <c r="AA98" s="133">
        <f>商品录入!AA98*$E98</f>
        <v>0</v>
      </c>
      <c r="AB98" s="133">
        <f>商品录入!AB98*$E98</f>
        <v>0</v>
      </c>
      <c r="AC98" s="133">
        <f>商品录入!AC98*$E98</f>
        <v>0</v>
      </c>
      <c r="AD98" s="133">
        <f>商品录入!AD98*$E98</f>
        <v>0</v>
      </c>
      <c r="AE98" s="133">
        <f>商品录入!AE98*$E98</f>
        <v>0</v>
      </c>
      <c r="AF98" s="133">
        <f>商品录入!AF98*$E98</f>
        <v>0</v>
      </c>
      <c r="AG98" s="133">
        <f>商品录入!AG98*$E98</f>
        <v>0</v>
      </c>
      <c r="AH98" s="133">
        <f>商品录入!AH98*$E98</f>
        <v>0</v>
      </c>
      <c r="AI98" s="133">
        <f>商品录入!AI98*$E98</f>
        <v>0</v>
      </c>
      <c r="AJ98" s="133">
        <f>商品录入!AJ98*$E98</f>
        <v>0</v>
      </c>
      <c r="AK98" s="133">
        <f>商品录入!AK98*$E98</f>
        <v>0</v>
      </c>
      <c r="AL98" s="133">
        <f>商品录入!AL98*$E98</f>
        <v>0</v>
      </c>
      <c r="AM98" s="133">
        <f>商品录入!AM98*$E98</f>
        <v>0</v>
      </c>
      <c r="AN98" s="133">
        <f>商品录入!AN98*$E98</f>
        <v>0</v>
      </c>
      <c r="AO98" s="133">
        <f>商品录入!AO98*$E98</f>
        <v>0</v>
      </c>
      <c r="AP98" s="133">
        <f>商品录入!AP98*$E98</f>
        <v>0</v>
      </c>
      <c r="AQ98" s="133">
        <f>商品录入!AQ98*$E98</f>
        <v>0</v>
      </c>
      <c r="AR98" s="133">
        <f>商品录入!AR98*$E98</f>
        <v>0</v>
      </c>
      <c r="AS98" s="133">
        <f>商品录入!AS98*$E98</f>
        <v>0</v>
      </c>
      <c r="AT98" s="133">
        <f>商品录入!AT98*$E98</f>
        <v>0</v>
      </c>
      <c r="AU98" s="133">
        <f>商品录入!AU98*$E98</f>
        <v>0</v>
      </c>
      <c r="AV98" s="133">
        <f>商品录入!AV98*$E98</f>
        <v>0</v>
      </c>
      <c r="AW98" s="133">
        <f>商品录入!AW98*$E98</f>
        <v>0</v>
      </c>
      <c r="AX98" s="133">
        <f>商品录入!AX98*$E98</f>
        <v>0</v>
      </c>
      <c r="AY98" s="133">
        <f>商品录入!AY98*$E98</f>
        <v>0</v>
      </c>
      <c r="AZ98" s="133">
        <f>商品录入!AZ98*$E98</f>
        <v>0</v>
      </c>
      <c r="BA98" s="133">
        <f>商品录入!BA98*$E98</f>
        <v>0</v>
      </c>
      <c r="BB98" s="133">
        <f>商品录入!BB98*$E98</f>
        <v>0</v>
      </c>
      <c r="BC98" s="133">
        <f>商品录入!BC98*$E98</f>
        <v>0</v>
      </c>
      <c r="BD98" s="133">
        <f>商品录入!BD98*$E98</f>
        <v>0</v>
      </c>
      <c r="BE98" s="133">
        <f>商品录入!BE98*$E98</f>
        <v>0</v>
      </c>
      <c r="BF98" s="133">
        <f>商品录入!BF98*$E98</f>
        <v>0</v>
      </c>
      <c r="BG98" s="133">
        <f>商品录入!BG98*$E98</f>
        <v>0</v>
      </c>
      <c r="BH98" s="133">
        <f>商品录入!BH98*$E98</f>
        <v>0</v>
      </c>
      <c r="BI98" s="133">
        <f>商品录入!BI98*$E98</f>
        <v>0</v>
      </c>
      <c r="BJ98" s="133">
        <f>商品录入!BJ98*$E98</f>
        <v>0</v>
      </c>
      <c r="BK98" s="133">
        <f>商品录入!BK98*$E98</f>
        <v>0</v>
      </c>
      <c r="BL98" s="133">
        <f>商品录入!BL98*$E98</f>
        <v>0</v>
      </c>
      <c r="BM98" s="133">
        <f>商品录入!BM98*$E98</f>
        <v>0</v>
      </c>
      <c r="BN98" s="133">
        <f>商品录入!BN98*$E98</f>
        <v>0</v>
      </c>
      <c r="BO98" s="133">
        <f>商品录入!BO98*$E98</f>
        <v>0</v>
      </c>
      <c r="BP98" s="133">
        <f>商品录入!BP98*$E98</f>
        <v>0</v>
      </c>
      <c r="BQ98" s="133">
        <f>商品录入!BQ98*$E98</f>
        <v>0</v>
      </c>
      <c r="BR98" s="133">
        <f>商品录入!BR98*$E98</f>
        <v>0</v>
      </c>
      <c r="BS98" s="133">
        <f>商品录入!BS98*$E98</f>
        <v>0</v>
      </c>
      <c r="BT98" s="133">
        <f>商品录入!BT98*$E98</f>
        <v>0</v>
      </c>
      <c r="BU98" s="133">
        <f>商品录入!BU98*$E98</f>
        <v>0</v>
      </c>
      <c r="BV98" s="133">
        <f>商品录入!BV98*$E98</f>
        <v>0</v>
      </c>
      <c r="BW98" s="133">
        <f>商品录入!BW98*$E98</f>
        <v>0</v>
      </c>
    </row>
    <row r="99" s="178" customFormat="1" customHeight="1" spans="1:75">
      <c r="A99" s="161">
        <v>95</v>
      </c>
      <c r="B99" s="162">
        <f>商品录入!B99</f>
        <v>0</v>
      </c>
      <c r="C99" s="162">
        <f>商品录入!C99</f>
        <v>0</v>
      </c>
      <c r="D99" s="162">
        <f>商品录入!D99</f>
        <v>0</v>
      </c>
      <c r="E99" s="162">
        <f>商品录入!E99</f>
        <v>0</v>
      </c>
      <c r="F99" s="162">
        <f>商品录入!F99</f>
        <v>0</v>
      </c>
      <c r="G99" s="162">
        <f>商品录入!G99</f>
        <v>0</v>
      </c>
      <c r="H99" s="162">
        <f>商品录入!H99</f>
        <v>0</v>
      </c>
      <c r="I99" s="162">
        <f>商品录入!I99</f>
        <v>0</v>
      </c>
      <c r="J99" s="162">
        <f>商品录入!J99</f>
        <v>0</v>
      </c>
      <c r="K99" s="162">
        <f>商品录入!K99</f>
        <v>0</v>
      </c>
      <c r="L99" s="162">
        <f>商品录入!L99</f>
        <v>0</v>
      </c>
      <c r="M99" s="162">
        <f>商品录入!M99</f>
        <v>0</v>
      </c>
      <c r="N99" s="133">
        <f>商品录入!N99*$E99</f>
        <v>0</v>
      </c>
      <c r="O99" s="133">
        <f>商品录入!O99*$E99</f>
        <v>0</v>
      </c>
      <c r="P99" s="133">
        <f>商品录入!P99*$E99</f>
        <v>0</v>
      </c>
      <c r="Q99" s="133">
        <f>商品录入!Q99*$E99</f>
        <v>0</v>
      </c>
      <c r="R99" s="133">
        <f>商品录入!R99*$E99</f>
        <v>0</v>
      </c>
      <c r="S99" s="133">
        <f>商品录入!S99*$E99</f>
        <v>0</v>
      </c>
      <c r="T99" s="133">
        <f>商品录入!T99*$E99</f>
        <v>0</v>
      </c>
      <c r="U99" s="133">
        <f>商品录入!U99*$E99</f>
        <v>0</v>
      </c>
      <c r="V99" s="133">
        <f>商品录入!V99*$E99</f>
        <v>0</v>
      </c>
      <c r="W99" s="133">
        <f>商品录入!W99*$E99</f>
        <v>0</v>
      </c>
      <c r="X99" s="133">
        <f>商品录入!X99*$E99</f>
        <v>0</v>
      </c>
      <c r="Y99" s="133">
        <f>商品录入!Y99*$E99</f>
        <v>0</v>
      </c>
      <c r="Z99" s="133">
        <f>商品录入!Z99*$E99</f>
        <v>0</v>
      </c>
      <c r="AA99" s="133">
        <f>商品录入!AA99*$E99</f>
        <v>0</v>
      </c>
      <c r="AB99" s="133">
        <f>商品录入!AB99*$E99</f>
        <v>0</v>
      </c>
      <c r="AC99" s="133">
        <f>商品录入!AC99*$E99</f>
        <v>0</v>
      </c>
      <c r="AD99" s="133">
        <f>商品录入!AD99*$E99</f>
        <v>0</v>
      </c>
      <c r="AE99" s="133">
        <f>商品录入!AE99*$E99</f>
        <v>0</v>
      </c>
      <c r="AF99" s="133">
        <f>商品录入!AF99*$E99</f>
        <v>0</v>
      </c>
      <c r="AG99" s="133">
        <f>商品录入!AG99*$E99</f>
        <v>0</v>
      </c>
      <c r="AH99" s="133">
        <f>商品录入!AH99*$E99</f>
        <v>0</v>
      </c>
      <c r="AI99" s="133">
        <f>商品录入!AI99*$E99</f>
        <v>0</v>
      </c>
      <c r="AJ99" s="133">
        <f>商品录入!AJ99*$E99</f>
        <v>0</v>
      </c>
      <c r="AK99" s="133">
        <f>商品录入!AK99*$E99</f>
        <v>0</v>
      </c>
      <c r="AL99" s="133">
        <f>商品录入!AL99*$E99</f>
        <v>0</v>
      </c>
      <c r="AM99" s="133">
        <f>商品录入!AM99*$E99</f>
        <v>0</v>
      </c>
      <c r="AN99" s="133">
        <f>商品录入!AN99*$E99</f>
        <v>0</v>
      </c>
      <c r="AO99" s="133">
        <f>商品录入!AO99*$E99</f>
        <v>0</v>
      </c>
      <c r="AP99" s="133">
        <f>商品录入!AP99*$E99</f>
        <v>0</v>
      </c>
      <c r="AQ99" s="133">
        <f>商品录入!AQ99*$E99</f>
        <v>0</v>
      </c>
      <c r="AR99" s="133">
        <f>商品录入!AR99*$E99</f>
        <v>0</v>
      </c>
      <c r="AS99" s="133">
        <f>商品录入!AS99*$E99</f>
        <v>0</v>
      </c>
      <c r="AT99" s="133">
        <f>商品录入!AT99*$E99</f>
        <v>0</v>
      </c>
      <c r="AU99" s="133">
        <f>商品录入!AU99*$E99</f>
        <v>0</v>
      </c>
      <c r="AV99" s="133">
        <f>商品录入!AV99*$E99</f>
        <v>0</v>
      </c>
      <c r="AW99" s="133">
        <f>商品录入!AW99*$E99</f>
        <v>0</v>
      </c>
      <c r="AX99" s="133">
        <f>商品录入!AX99*$E99</f>
        <v>0</v>
      </c>
      <c r="AY99" s="133">
        <f>商品录入!AY99*$E99</f>
        <v>0</v>
      </c>
      <c r="AZ99" s="133">
        <f>商品录入!AZ99*$E99</f>
        <v>0</v>
      </c>
      <c r="BA99" s="133">
        <f>商品录入!BA99*$E99</f>
        <v>0</v>
      </c>
      <c r="BB99" s="133">
        <f>商品录入!BB99*$E99</f>
        <v>0</v>
      </c>
      <c r="BC99" s="133">
        <f>商品录入!BC99*$E99</f>
        <v>0</v>
      </c>
      <c r="BD99" s="133">
        <f>商品录入!BD99*$E99</f>
        <v>0</v>
      </c>
      <c r="BE99" s="133">
        <f>商品录入!BE99*$E99</f>
        <v>0</v>
      </c>
      <c r="BF99" s="133">
        <f>商品录入!BF99*$E99</f>
        <v>0</v>
      </c>
      <c r="BG99" s="133">
        <f>商品录入!BG99*$E99</f>
        <v>0</v>
      </c>
      <c r="BH99" s="133">
        <f>商品录入!BH99*$E99</f>
        <v>0</v>
      </c>
      <c r="BI99" s="133">
        <f>商品录入!BI99*$E99</f>
        <v>0</v>
      </c>
      <c r="BJ99" s="133">
        <f>商品录入!BJ99*$E99</f>
        <v>0</v>
      </c>
      <c r="BK99" s="133">
        <f>商品录入!BK99*$E99</f>
        <v>0</v>
      </c>
      <c r="BL99" s="133">
        <f>商品录入!BL99*$E99</f>
        <v>0</v>
      </c>
      <c r="BM99" s="133">
        <f>商品录入!BM99*$E99</f>
        <v>0</v>
      </c>
      <c r="BN99" s="133">
        <f>商品录入!BN99*$E99</f>
        <v>0</v>
      </c>
      <c r="BO99" s="133">
        <f>商品录入!BO99*$E99</f>
        <v>0</v>
      </c>
      <c r="BP99" s="133">
        <f>商品录入!BP99*$E99</f>
        <v>0</v>
      </c>
      <c r="BQ99" s="133">
        <f>商品录入!BQ99*$E99</f>
        <v>0</v>
      </c>
      <c r="BR99" s="133">
        <f>商品录入!BR99*$E99</f>
        <v>0</v>
      </c>
      <c r="BS99" s="133">
        <f>商品录入!BS99*$E99</f>
        <v>0</v>
      </c>
      <c r="BT99" s="133">
        <f>商品录入!BT99*$E99</f>
        <v>0</v>
      </c>
      <c r="BU99" s="133">
        <f>商品录入!BU99*$E99</f>
        <v>0</v>
      </c>
      <c r="BV99" s="133">
        <f>商品录入!BV99*$E99</f>
        <v>0</v>
      </c>
      <c r="BW99" s="133">
        <f>商品录入!BW99*$E99</f>
        <v>0</v>
      </c>
    </row>
    <row r="100" s="178" customFormat="1" customHeight="1" spans="1:75">
      <c r="A100" s="161">
        <v>96</v>
      </c>
      <c r="B100" s="162">
        <f>商品录入!B100</f>
        <v>0</v>
      </c>
      <c r="C100" s="162">
        <f>商品录入!C100</f>
        <v>0</v>
      </c>
      <c r="D100" s="162">
        <f>商品录入!D100</f>
        <v>0</v>
      </c>
      <c r="E100" s="162">
        <f>商品录入!E100</f>
        <v>0</v>
      </c>
      <c r="F100" s="162">
        <f>商品录入!F100</f>
        <v>0</v>
      </c>
      <c r="G100" s="162">
        <f>商品录入!G100</f>
        <v>0</v>
      </c>
      <c r="H100" s="162">
        <f>商品录入!H100</f>
        <v>0</v>
      </c>
      <c r="I100" s="162">
        <f>商品录入!I100</f>
        <v>0</v>
      </c>
      <c r="J100" s="162">
        <f>商品录入!J100</f>
        <v>0</v>
      </c>
      <c r="K100" s="162">
        <f>商品录入!K100</f>
        <v>0</v>
      </c>
      <c r="L100" s="162">
        <f>商品录入!L100</f>
        <v>0</v>
      </c>
      <c r="M100" s="162">
        <f>商品录入!M100</f>
        <v>0</v>
      </c>
      <c r="N100" s="133">
        <f>商品录入!N100*$E100</f>
        <v>0</v>
      </c>
      <c r="O100" s="133">
        <f>商品录入!O100*$E100</f>
        <v>0</v>
      </c>
      <c r="P100" s="133">
        <f>商品录入!P100*$E100</f>
        <v>0</v>
      </c>
      <c r="Q100" s="133">
        <f>商品录入!Q100*$E100</f>
        <v>0</v>
      </c>
      <c r="R100" s="133">
        <f>商品录入!R100*$E100</f>
        <v>0</v>
      </c>
      <c r="S100" s="133">
        <f>商品录入!S100*$E100</f>
        <v>0</v>
      </c>
      <c r="T100" s="133">
        <f>商品录入!T100*$E100</f>
        <v>0</v>
      </c>
      <c r="U100" s="133">
        <f>商品录入!U100*$E100</f>
        <v>0</v>
      </c>
      <c r="V100" s="133">
        <f>商品录入!V100*$E100</f>
        <v>0</v>
      </c>
      <c r="W100" s="133">
        <f>商品录入!W100*$E100</f>
        <v>0</v>
      </c>
      <c r="X100" s="133">
        <f>商品录入!X100*$E100</f>
        <v>0</v>
      </c>
      <c r="Y100" s="133">
        <f>商品录入!Y100*$E100</f>
        <v>0</v>
      </c>
      <c r="Z100" s="133">
        <f>商品录入!Z100*$E100</f>
        <v>0</v>
      </c>
      <c r="AA100" s="133">
        <f>商品录入!AA100*$E100</f>
        <v>0</v>
      </c>
      <c r="AB100" s="133">
        <f>商品录入!AB100*$E100</f>
        <v>0</v>
      </c>
      <c r="AC100" s="133">
        <f>商品录入!AC100*$E100</f>
        <v>0</v>
      </c>
      <c r="AD100" s="133">
        <f>商品录入!AD100*$E100</f>
        <v>0</v>
      </c>
      <c r="AE100" s="133">
        <f>商品录入!AE100*$E100</f>
        <v>0</v>
      </c>
      <c r="AF100" s="133">
        <f>商品录入!AF100*$E100</f>
        <v>0</v>
      </c>
      <c r="AG100" s="133">
        <f>商品录入!AG100*$E100</f>
        <v>0</v>
      </c>
      <c r="AH100" s="133">
        <f>商品录入!AH100*$E100</f>
        <v>0</v>
      </c>
      <c r="AI100" s="133">
        <f>商品录入!AI100*$E100</f>
        <v>0</v>
      </c>
      <c r="AJ100" s="133">
        <f>商品录入!AJ100*$E100</f>
        <v>0</v>
      </c>
      <c r="AK100" s="133">
        <f>商品录入!AK100*$E100</f>
        <v>0</v>
      </c>
      <c r="AL100" s="133">
        <f>商品录入!AL100*$E100</f>
        <v>0</v>
      </c>
      <c r="AM100" s="133">
        <f>商品录入!AM100*$E100</f>
        <v>0</v>
      </c>
      <c r="AN100" s="133">
        <f>商品录入!AN100*$E100</f>
        <v>0</v>
      </c>
      <c r="AO100" s="133">
        <f>商品录入!AO100*$E100</f>
        <v>0</v>
      </c>
      <c r="AP100" s="133">
        <f>商品录入!AP100*$E100</f>
        <v>0</v>
      </c>
      <c r="AQ100" s="133">
        <f>商品录入!AQ100*$E100</f>
        <v>0</v>
      </c>
      <c r="AR100" s="133">
        <f>商品录入!AR100*$E100</f>
        <v>0</v>
      </c>
      <c r="AS100" s="133">
        <f>商品录入!AS100*$E100</f>
        <v>0</v>
      </c>
      <c r="AT100" s="133">
        <f>商品录入!AT100*$E100</f>
        <v>0</v>
      </c>
      <c r="AU100" s="133">
        <f>商品录入!AU100*$E100</f>
        <v>0</v>
      </c>
      <c r="AV100" s="133">
        <f>商品录入!AV100*$E100</f>
        <v>0</v>
      </c>
      <c r="AW100" s="133">
        <f>商品录入!AW100*$E100</f>
        <v>0</v>
      </c>
      <c r="AX100" s="133">
        <f>商品录入!AX100*$E100</f>
        <v>0</v>
      </c>
      <c r="AY100" s="133">
        <f>商品录入!AY100*$E100</f>
        <v>0</v>
      </c>
      <c r="AZ100" s="133">
        <f>商品录入!AZ100*$E100</f>
        <v>0</v>
      </c>
      <c r="BA100" s="133">
        <f>商品录入!BA100*$E100</f>
        <v>0</v>
      </c>
      <c r="BB100" s="133">
        <f>商品录入!BB100*$E100</f>
        <v>0</v>
      </c>
      <c r="BC100" s="133">
        <f>商品录入!BC100*$E100</f>
        <v>0</v>
      </c>
      <c r="BD100" s="133">
        <f>商品录入!BD100*$E100</f>
        <v>0</v>
      </c>
      <c r="BE100" s="133">
        <f>商品录入!BE100*$E100</f>
        <v>0</v>
      </c>
      <c r="BF100" s="133">
        <f>商品录入!BF100*$E100</f>
        <v>0</v>
      </c>
      <c r="BG100" s="133">
        <f>商品录入!BG100*$E100</f>
        <v>0</v>
      </c>
      <c r="BH100" s="133">
        <f>商品录入!BH100*$E100</f>
        <v>0</v>
      </c>
      <c r="BI100" s="133">
        <f>商品录入!BI100*$E100</f>
        <v>0</v>
      </c>
      <c r="BJ100" s="133">
        <f>商品录入!BJ100*$E100</f>
        <v>0</v>
      </c>
      <c r="BK100" s="133">
        <f>商品录入!BK100*$E100</f>
        <v>0</v>
      </c>
      <c r="BL100" s="133">
        <f>商品录入!BL100*$E100</f>
        <v>0</v>
      </c>
      <c r="BM100" s="133">
        <f>商品录入!BM100*$E100</f>
        <v>0</v>
      </c>
      <c r="BN100" s="133">
        <f>商品录入!BN100*$E100</f>
        <v>0</v>
      </c>
      <c r="BO100" s="133">
        <f>商品录入!BO100*$E100</f>
        <v>0</v>
      </c>
      <c r="BP100" s="133">
        <f>商品录入!BP100*$E100</f>
        <v>0</v>
      </c>
      <c r="BQ100" s="133">
        <f>商品录入!BQ100*$E100</f>
        <v>0</v>
      </c>
      <c r="BR100" s="133">
        <f>商品录入!BR100*$E100</f>
        <v>0</v>
      </c>
      <c r="BS100" s="133">
        <f>商品录入!BS100*$E100</f>
        <v>0</v>
      </c>
      <c r="BT100" s="133">
        <f>商品录入!BT100*$E100</f>
        <v>0</v>
      </c>
      <c r="BU100" s="133">
        <f>商品录入!BU100*$E100</f>
        <v>0</v>
      </c>
      <c r="BV100" s="133">
        <f>商品录入!BV100*$E100</f>
        <v>0</v>
      </c>
      <c r="BW100" s="133">
        <f>商品录入!BW100*$E100</f>
        <v>0</v>
      </c>
    </row>
    <row r="101" s="178" customFormat="1" customHeight="1" spans="1:75">
      <c r="A101" s="161">
        <v>97</v>
      </c>
      <c r="B101" s="162">
        <f>商品录入!B101</f>
        <v>0</v>
      </c>
      <c r="C101" s="162">
        <f>商品录入!C101</f>
        <v>0</v>
      </c>
      <c r="D101" s="162">
        <f>商品录入!D101</f>
        <v>0</v>
      </c>
      <c r="E101" s="162">
        <f>商品录入!E101</f>
        <v>0</v>
      </c>
      <c r="F101" s="162">
        <f>商品录入!F101</f>
        <v>0</v>
      </c>
      <c r="G101" s="162">
        <f>商品录入!G101</f>
        <v>0</v>
      </c>
      <c r="H101" s="162">
        <f>商品录入!H101</f>
        <v>0</v>
      </c>
      <c r="I101" s="162">
        <f>商品录入!I101</f>
        <v>0</v>
      </c>
      <c r="J101" s="162">
        <f>商品录入!J101</f>
        <v>0</v>
      </c>
      <c r="K101" s="162">
        <f>商品录入!K101</f>
        <v>0</v>
      </c>
      <c r="L101" s="162">
        <f>商品录入!L101</f>
        <v>0</v>
      </c>
      <c r="M101" s="162">
        <f>商品录入!M101</f>
        <v>0</v>
      </c>
      <c r="N101" s="133">
        <f>商品录入!N101*$E101</f>
        <v>0</v>
      </c>
      <c r="O101" s="133">
        <f>商品录入!O101*$E101</f>
        <v>0</v>
      </c>
      <c r="P101" s="133">
        <f>商品录入!P101*$E101</f>
        <v>0</v>
      </c>
      <c r="Q101" s="133">
        <f>商品录入!Q101*$E101</f>
        <v>0</v>
      </c>
      <c r="R101" s="133">
        <f>商品录入!R101*$E101</f>
        <v>0</v>
      </c>
      <c r="S101" s="133">
        <f>商品录入!S101*$E101</f>
        <v>0</v>
      </c>
      <c r="T101" s="133">
        <f>商品录入!T101*$E101</f>
        <v>0</v>
      </c>
      <c r="U101" s="133">
        <f>商品录入!U101*$E101</f>
        <v>0</v>
      </c>
      <c r="V101" s="133">
        <f>商品录入!V101*$E101</f>
        <v>0</v>
      </c>
      <c r="W101" s="133">
        <f>商品录入!W101*$E101</f>
        <v>0</v>
      </c>
      <c r="X101" s="133">
        <f>商品录入!X101*$E101</f>
        <v>0</v>
      </c>
      <c r="Y101" s="133">
        <f>商品录入!Y101*$E101</f>
        <v>0</v>
      </c>
      <c r="Z101" s="133">
        <f>商品录入!Z101*$E101</f>
        <v>0</v>
      </c>
      <c r="AA101" s="133">
        <f>商品录入!AA101*$E101</f>
        <v>0</v>
      </c>
      <c r="AB101" s="133">
        <f>商品录入!AB101*$E101</f>
        <v>0</v>
      </c>
      <c r="AC101" s="133">
        <f>商品录入!AC101*$E101</f>
        <v>0</v>
      </c>
      <c r="AD101" s="133">
        <f>商品录入!AD101*$E101</f>
        <v>0</v>
      </c>
      <c r="AE101" s="133">
        <f>商品录入!AE101*$E101</f>
        <v>0</v>
      </c>
      <c r="AF101" s="133">
        <f>商品录入!AF101*$E101</f>
        <v>0</v>
      </c>
      <c r="AG101" s="133">
        <f>商品录入!AG101*$E101</f>
        <v>0</v>
      </c>
      <c r="AH101" s="133">
        <f>商品录入!AH101*$E101</f>
        <v>0</v>
      </c>
      <c r="AI101" s="133">
        <f>商品录入!AI101*$E101</f>
        <v>0</v>
      </c>
      <c r="AJ101" s="133">
        <f>商品录入!AJ101*$E101</f>
        <v>0</v>
      </c>
      <c r="AK101" s="133">
        <f>商品录入!AK101*$E101</f>
        <v>0</v>
      </c>
      <c r="AL101" s="133">
        <f>商品录入!AL101*$E101</f>
        <v>0</v>
      </c>
      <c r="AM101" s="133">
        <f>商品录入!AM101*$E101</f>
        <v>0</v>
      </c>
      <c r="AN101" s="133">
        <f>商品录入!AN101*$E101</f>
        <v>0</v>
      </c>
      <c r="AO101" s="133">
        <f>商品录入!AO101*$E101</f>
        <v>0</v>
      </c>
      <c r="AP101" s="133">
        <f>商品录入!AP101*$E101</f>
        <v>0</v>
      </c>
      <c r="AQ101" s="133">
        <f>商品录入!AQ101*$E101</f>
        <v>0</v>
      </c>
      <c r="AR101" s="133">
        <f>商品录入!AR101*$E101</f>
        <v>0</v>
      </c>
      <c r="AS101" s="133">
        <f>商品录入!AS101*$E101</f>
        <v>0</v>
      </c>
      <c r="AT101" s="133">
        <f>商品录入!AT101*$E101</f>
        <v>0</v>
      </c>
      <c r="AU101" s="133">
        <f>商品录入!AU101*$E101</f>
        <v>0</v>
      </c>
      <c r="AV101" s="133">
        <f>商品录入!AV101*$E101</f>
        <v>0</v>
      </c>
      <c r="AW101" s="133">
        <f>商品录入!AW101*$E101</f>
        <v>0</v>
      </c>
      <c r="AX101" s="133">
        <f>商品录入!AX101*$E101</f>
        <v>0</v>
      </c>
      <c r="AY101" s="133">
        <f>商品录入!AY101*$E101</f>
        <v>0</v>
      </c>
      <c r="AZ101" s="133">
        <f>商品录入!AZ101*$E101</f>
        <v>0</v>
      </c>
      <c r="BA101" s="133">
        <f>商品录入!BA101*$E101</f>
        <v>0</v>
      </c>
      <c r="BB101" s="133">
        <f>商品录入!BB101*$E101</f>
        <v>0</v>
      </c>
      <c r="BC101" s="133">
        <f>商品录入!BC101*$E101</f>
        <v>0</v>
      </c>
      <c r="BD101" s="133">
        <f>商品录入!BD101*$E101</f>
        <v>0</v>
      </c>
      <c r="BE101" s="133">
        <f>商品录入!BE101*$E101</f>
        <v>0</v>
      </c>
      <c r="BF101" s="133">
        <f>商品录入!BF101*$E101</f>
        <v>0</v>
      </c>
      <c r="BG101" s="133">
        <f>商品录入!BG101*$E101</f>
        <v>0</v>
      </c>
      <c r="BH101" s="133">
        <f>商品录入!BH101*$E101</f>
        <v>0</v>
      </c>
      <c r="BI101" s="133">
        <f>商品录入!BI101*$E101</f>
        <v>0</v>
      </c>
      <c r="BJ101" s="133">
        <f>商品录入!BJ101*$E101</f>
        <v>0</v>
      </c>
      <c r="BK101" s="133">
        <f>商品录入!BK101*$E101</f>
        <v>0</v>
      </c>
      <c r="BL101" s="133">
        <f>商品录入!BL101*$E101</f>
        <v>0</v>
      </c>
      <c r="BM101" s="133">
        <f>商品录入!BM101*$E101</f>
        <v>0</v>
      </c>
      <c r="BN101" s="133">
        <f>商品录入!BN101*$E101</f>
        <v>0</v>
      </c>
      <c r="BO101" s="133">
        <f>商品录入!BO101*$E101</f>
        <v>0</v>
      </c>
      <c r="BP101" s="133">
        <f>商品录入!BP101*$E101</f>
        <v>0</v>
      </c>
      <c r="BQ101" s="133">
        <f>商品录入!BQ101*$E101</f>
        <v>0</v>
      </c>
      <c r="BR101" s="133">
        <f>商品录入!BR101*$E101</f>
        <v>0</v>
      </c>
      <c r="BS101" s="133">
        <f>商品录入!BS101*$E101</f>
        <v>0</v>
      </c>
      <c r="BT101" s="133">
        <f>商品录入!BT101*$E101</f>
        <v>0</v>
      </c>
      <c r="BU101" s="133">
        <f>商品录入!BU101*$E101</f>
        <v>0</v>
      </c>
      <c r="BV101" s="133">
        <f>商品录入!BV101*$E101</f>
        <v>0</v>
      </c>
      <c r="BW101" s="133">
        <f>商品录入!BW101*$E101</f>
        <v>0</v>
      </c>
    </row>
    <row r="102" s="178" customFormat="1" customHeight="1" spans="1:75">
      <c r="A102" s="161">
        <v>98</v>
      </c>
      <c r="B102" s="162">
        <f>商品录入!B102</f>
        <v>0</v>
      </c>
      <c r="C102" s="162">
        <f>商品录入!C102</f>
        <v>0</v>
      </c>
      <c r="D102" s="162">
        <f>商品录入!D102</f>
        <v>0</v>
      </c>
      <c r="E102" s="162">
        <f>商品录入!E102</f>
        <v>0</v>
      </c>
      <c r="F102" s="162">
        <f>商品录入!F102</f>
        <v>0</v>
      </c>
      <c r="G102" s="162">
        <f>商品录入!G102</f>
        <v>0</v>
      </c>
      <c r="H102" s="162">
        <f>商品录入!H102</f>
        <v>0</v>
      </c>
      <c r="I102" s="162">
        <f>商品录入!I102</f>
        <v>0</v>
      </c>
      <c r="J102" s="162">
        <f>商品录入!J102</f>
        <v>0</v>
      </c>
      <c r="K102" s="162">
        <f>商品录入!K102</f>
        <v>0</v>
      </c>
      <c r="L102" s="162">
        <f>商品录入!L102</f>
        <v>0</v>
      </c>
      <c r="M102" s="162">
        <f>商品录入!M102</f>
        <v>0</v>
      </c>
      <c r="N102" s="133">
        <f>商品录入!N102*$E102</f>
        <v>0</v>
      </c>
      <c r="O102" s="133">
        <f>商品录入!O102*$E102</f>
        <v>0</v>
      </c>
      <c r="P102" s="133">
        <f>商品录入!P102*$E102</f>
        <v>0</v>
      </c>
      <c r="Q102" s="133">
        <f>商品录入!Q102*$E102</f>
        <v>0</v>
      </c>
      <c r="R102" s="133">
        <f>商品录入!R102*$E102</f>
        <v>0</v>
      </c>
      <c r="S102" s="133">
        <f>商品录入!S102*$E102</f>
        <v>0</v>
      </c>
      <c r="T102" s="133">
        <f>商品录入!T102*$E102</f>
        <v>0</v>
      </c>
      <c r="U102" s="133">
        <f>商品录入!U102*$E102</f>
        <v>0</v>
      </c>
      <c r="V102" s="133">
        <f>商品录入!V102*$E102</f>
        <v>0</v>
      </c>
      <c r="W102" s="133">
        <f>商品录入!W102*$E102</f>
        <v>0</v>
      </c>
      <c r="X102" s="133">
        <f>商品录入!X102*$E102</f>
        <v>0</v>
      </c>
      <c r="Y102" s="133">
        <f>商品录入!Y102*$E102</f>
        <v>0</v>
      </c>
      <c r="Z102" s="133">
        <f>商品录入!Z102*$E102</f>
        <v>0</v>
      </c>
      <c r="AA102" s="133">
        <f>商品录入!AA102*$E102</f>
        <v>0</v>
      </c>
      <c r="AB102" s="133">
        <f>商品录入!AB102*$E102</f>
        <v>0</v>
      </c>
      <c r="AC102" s="133">
        <f>商品录入!AC102*$E102</f>
        <v>0</v>
      </c>
      <c r="AD102" s="133">
        <f>商品录入!AD102*$E102</f>
        <v>0</v>
      </c>
      <c r="AE102" s="133">
        <f>商品录入!AE102*$E102</f>
        <v>0</v>
      </c>
      <c r="AF102" s="133">
        <f>商品录入!AF102*$E102</f>
        <v>0</v>
      </c>
      <c r="AG102" s="133">
        <f>商品录入!AG102*$E102</f>
        <v>0</v>
      </c>
      <c r="AH102" s="133">
        <f>商品录入!AH102*$E102</f>
        <v>0</v>
      </c>
      <c r="AI102" s="133">
        <f>商品录入!AI102*$E102</f>
        <v>0</v>
      </c>
      <c r="AJ102" s="133">
        <f>商品录入!AJ102*$E102</f>
        <v>0</v>
      </c>
      <c r="AK102" s="133">
        <f>商品录入!AK102*$E102</f>
        <v>0</v>
      </c>
      <c r="AL102" s="133">
        <f>商品录入!AL102*$E102</f>
        <v>0</v>
      </c>
      <c r="AM102" s="133">
        <f>商品录入!AM102*$E102</f>
        <v>0</v>
      </c>
      <c r="AN102" s="133">
        <f>商品录入!AN102*$E102</f>
        <v>0</v>
      </c>
      <c r="AO102" s="133">
        <f>商品录入!AO102*$E102</f>
        <v>0</v>
      </c>
      <c r="AP102" s="133">
        <f>商品录入!AP102*$E102</f>
        <v>0</v>
      </c>
      <c r="AQ102" s="133">
        <f>商品录入!AQ102*$E102</f>
        <v>0</v>
      </c>
      <c r="AR102" s="133">
        <f>商品录入!AR102*$E102</f>
        <v>0</v>
      </c>
      <c r="AS102" s="133">
        <f>商品录入!AS102*$E102</f>
        <v>0</v>
      </c>
      <c r="AT102" s="133">
        <f>商品录入!AT102*$E102</f>
        <v>0</v>
      </c>
      <c r="AU102" s="133">
        <f>商品录入!AU102*$E102</f>
        <v>0</v>
      </c>
      <c r="AV102" s="133">
        <f>商品录入!AV102*$E102</f>
        <v>0</v>
      </c>
      <c r="AW102" s="133">
        <f>商品录入!AW102*$E102</f>
        <v>0</v>
      </c>
      <c r="AX102" s="133">
        <f>商品录入!AX102*$E102</f>
        <v>0</v>
      </c>
      <c r="AY102" s="133">
        <f>商品录入!AY102*$E102</f>
        <v>0</v>
      </c>
      <c r="AZ102" s="133">
        <f>商品录入!AZ102*$E102</f>
        <v>0</v>
      </c>
      <c r="BA102" s="133">
        <f>商品录入!BA102*$E102</f>
        <v>0</v>
      </c>
      <c r="BB102" s="133">
        <f>商品录入!BB102*$E102</f>
        <v>0</v>
      </c>
      <c r="BC102" s="133">
        <f>商品录入!BC102*$E102</f>
        <v>0</v>
      </c>
      <c r="BD102" s="133">
        <f>商品录入!BD102*$E102</f>
        <v>0</v>
      </c>
      <c r="BE102" s="133">
        <f>商品录入!BE102*$E102</f>
        <v>0</v>
      </c>
      <c r="BF102" s="133">
        <f>商品录入!BF102*$E102</f>
        <v>0</v>
      </c>
      <c r="BG102" s="133">
        <f>商品录入!BG102*$E102</f>
        <v>0</v>
      </c>
      <c r="BH102" s="133">
        <f>商品录入!BH102*$E102</f>
        <v>0</v>
      </c>
      <c r="BI102" s="133">
        <f>商品录入!BI102*$E102</f>
        <v>0</v>
      </c>
      <c r="BJ102" s="133">
        <f>商品录入!BJ102*$E102</f>
        <v>0</v>
      </c>
      <c r="BK102" s="133">
        <f>商品录入!BK102*$E102</f>
        <v>0</v>
      </c>
      <c r="BL102" s="133">
        <f>商品录入!BL102*$E102</f>
        <v>0</v>
      </c>
      <c r="BM102" s="133">
        <f>商品录入!BM102*$E102</f>
        <v>0</v>
      </c>
      <c r="BN102" s="133">
        <f>商品录入!BN102*$E102</f>
        <v>0</v>
      </c>
      <c r="BO102" s="133">
        <f>商品录入!BO102*$E102</f>
        <v>0</v>
      </c>
      <c r="BP102" s="133">
        <f>商品录入!BP102*$E102</f>
        <v>0</v>
      </c>
      <c r="BQ102" s="133">
        <f>商品录入!BQ102*$E102</f>
        <v>0</v>
      </c>
      <c r="BR102" s="133">
        <f>商品录入!BR102*$E102</f>
        <v>0</v>
      </c>
      <c r="BS102" s="133">
        <f>商品录入!BS102*$E102</f>
        <v>0</v>
      </c>
      <c r="BT102" s="133">
        <f>商品录入!BT102*$E102</f>
        <v>0</v>
      </c>
      <c r="BU102" s="133">
        <f>商品录入!BU102*$E102</f>
        <v>0</v>
      </c>
      <c r="BV102" s="133">
        <f>商品录入!BV102*$E102</f>
        <v>0</v>
      </c>
      <c r="BW102" s="133">
        <f>商品录入!BW102*$E102</f>
        <v>0</v>
      </c>
    </row>
    <row r="103" s="178" customFormat="1" customHeight="1" spans="1:75">
      <c r="A103" s="161">
        <v>99</v>
      </c>
      <c r="B103" s="162">
        <f>商品录入!B103</f>
        <v>0</v>
      </c>
      <c r="C103" s="162">
        <f>商品录入!C103</f>
        <v>0</v>
      </c>
      <c r="D103" s="162">
        <f>商品录入!D103</f>
        <v>0</v>
      </c>
      <c r="E103" s="162">
        <f>商品录入!E103</f>
        <v>0</v>
      </c>
      <c r="F103" s="162">
        <f>商品录入!F103</f>
        <v>0</v>
      </c>
      <c r="G103" s="162">
        <f>商品录入!G103</f>
        <v>0</v>
      </c>
      <c r="H103" s="162">
        <f>商品录入!H103</f>
        <v>0</v>
      </c>
      <c r="I103" s="162">
        <f>商品录入!I103</f>
        <v>0</v>
      </c>
      <c r="J103" s="162">
        <f>商品录入!J103</f>
        <v>0</v>
      </c>
      <c r="K103" s="162">
        <f>商品录入!K103</f>
        <v>0</v>
      </c>
      <c r="L103" s="162">
        <f>商品录入!L103</f>
        <v>0</v>
      </c>
      <c r="M103" s="162">
        <f>商品录入!M103</f>
        <v>0</v>
      </c>
      <c r="N103" s="133">
        <f>商品录入!N103*$E103</f>
        <v>0</v>
      </c>
      <c r="O103" s="133">
        <f>商品录入!O103*$E103</f>
        <v>0</v>
      </c>
      <c r="P103" s="133">
        <f>商品录入!P103*$E103</f>
        <v>0</v>
      </c>
      <c r="Q103" s="133">
        <f>商品录入!Q103*$E103</f>
        <v>0</v>
      </c>
      <c r="R103" s="133">
        <f>商品录入!R103*$E103</f>
        <v>0</v>
      </c>
      <c r="S103" s="133">
        <f>商品录入!S103*$E103</f>
        <v>0</v>
      </c>
      <c r="T103" s="133">
        <f>商品录入!T103*$E103</f>
        <v>0</v>
      </c>
      <c r="U103" s="133">
        <f>商品录入!U103*$E103</f>
        <v>0</v>
      </c>
      <c r="V103" s="133">
        <f>商品录入!V103*$E103</f>
        <v>0</v>
      </c>
      <c r="W103" s="133">
        <f>商品录入!W103*$E103</f>
        <v>0</v>
      </c>
      <c r="X103" s="133">
        <f>商品录入!X103*$E103</f>
        <v>0</v>
      </c>
      <c r="Y103" s="133">
        <f>商品录入!Y103*$E103</f>
        <v>0</v>
      </c>
      <c r="Z103" s="133">
        <f>商品录入!Z103*$E103</f>
        <v>0</v>
      </c>
      <c r="AA103" s="133">
        <f>商品录入!AA103*$E103</f>
        <v>0</v>
      </c>
      <c r="AB103" s="133">
        <f>商品录入!AB103*$E103</f>
        <v>0</v>
      </c>
      <c r="AC103" s="133">
        <f>商品录入!AC103*$E103</f>
        <v>0</v>
      </c>
      <c r="AD103" s="133">
        <f>商品录入!AD103*$E103</f>
        <v>0</v>
      </c>
      <c r="AE103" s="133">
        <f>商品录入!AE103*$E103</f>
        <v>0</v>
      </c>
      <c r="AF103" s="133">
        <f>商品录入!AF103*$E103</f>
        <v>0</v>
      </c>
      <c r="AG103" s="133">
        <f>商品录入!AG103*$E103</f>
        <v>0</v>
      </c>
      <c r="AH103" s="133">
        <f>商品录入!AH103*$E103</f>
        <v>0</v>
      </c>
      <c r="AI103" s="133">
        <f>商品录入!AI103*$E103</f>
        <v>0</v>
      </c>
      <c r="AJ103" s="133">
        <f>商品录入!AJ103*$E103</f>
        <v>0</v>
      </c>
      <c r="AK103" s="133">
        <f>商品录入!AK103*$E103</f>
        <v>0</v>
      </c>
      <c r="AL103" s="133">
        <f>商品录入!AL103*$E103</f>
        <v>0</v>
      </c>
      <c r="AM103" s="133">
        <f>商品录入!AM103*$E103</f>
        <v>0</v>
      </c>
      <c r="AN103" s="133">
        <f>商品录入!AN103*$E103</f>
        <v>0</v>
      </c>
      <c r="AO103" s="133">
        <f>商品录入!AO103*$E103</f>
        <v>0</v>
      </c>
      <c r="AP103" s="133">
        <f>商品录入!AP103*$E103</f>
        <v>0</v>
      </c>
      <c r="AQ103" s="133">
        <f>商品录入!AQ103*$E103</f>
        <v>0</v>
      </c>
      <c r="AR103" s="133">
        <f>商品录入!AR103*$E103</f>
        <v>0</v>
      </c>
      <c r="AS103" s="133">
        <f>商品录入!AS103*$E103</f>
        <v>0</v>
      </c>
      <c r="AT103" s="133">
        <f>商品录入!AT103*$E103</f>
        <v>0</v>
      </c>
      <c r="AU103" s="133">
        <f>商品录入!AU103*$E103</f>
        <v>0</v>
      </c>
      <c r="AV103" s="133">
        <f>商品录入!AV103*$E103</f>
        <v>0</v>
      </c>
      <c r="AW103" s="133">
        <f>商品录入!AW103*$E103</f>
        <v>0</v>
      </c>
      <c r="AX103" s="133">
        <f>商品录入!AX103*$E103</f>
        <v>0</v>
      </c>
      <c r="AY103" s="133">
        <f>商品录入!AY103*$E103</f>
        <v>0</v>
      </c>
      <c r="AZ103" s="133">
        <f>商品录入!AZ103*$E103</f>
        <v>0</v>
      </c>
      <c r="BA103" s="133">
        <f>商品录入!BA103*$E103</f>
        <v>0</v>
      </c>
      <c r="BB103" s="133">
        <f>商品录入!BB103*$E103</f>
        <v>0</v>
      </c>
      <c r="BC103" s="133">
        <f>商品录入!BC103*$E103</f>
        <v>0</v>
      </c>
      <c r="BD103" s="133">
        <f>商品录入!BD103*$E103</f>
        <v>0</v>
      </c>
      <c r="BE103" s="133">
        <f>商品录入!BE103*$E103</f>
        <v>0</v>
      </c>
      <c r="BF103" s="133">
        <f>商品录入!BF103*$E103</f>
        <v>0</v>
      </c>
      <c r="BG103" s="133">
        <f>商品录入!BG103*$E103</f>
        <v>0</v>
      </c>
      <c r="BH103" s="133">
        <f>商品录入!BH103*$E103</f>
        <v>0</v>
      </c>
      <c r="BI103" s="133">
        <f>商品录入!BI103*$E103</f>
        <v>0</v>
      </c>
      <c r="BJ103" s="133">
        <f>商品录入!BJ103*$E103</f>
        <v>0</v>
      </c>
      <c r="BK103" s="133">
        <f>商品录入!BK103*$E103</f>
        <v>0</v>
      </c>
      <c r="BL103" s="133">
        <f>商品录入!BL103*$E103</f>
        <v>0</v>
      </c>
      <c r="BM103" s="133">
        <f>商品录入!BM103*$E103</f>
        <v>0</v>
      </c>
      <c r="BN103" s="133">
        <f>商品录入!BN103*$E103</f>
        <v>0</v>
      </c>
      <c r="BO103" s="133">
        <f>商品录入!BO103*$E103</f>
        <v>0</v>
      </c>
      <c r="BP103" s="133">
        <f>商品录入!BP103*$E103</f>
        <v>0</v>
      </c>
      <c r="BQ103" s="133">
        <f>商品录入!BQ103*$E103</f>
        <v>0</v>
      </c>
      <c r="BR103" s="133">
        <f>商品录入!BR103*$E103</f>
        <v>0</v>
      </c>
      <c r="BS103" s="133">
        <f>商品录入!BS103*$E103</f>
        <v>0</v>
      </c>
      <c r="BT103" s="133">
        <f>商品录入!BT103*$E103</f>
        <v>0</v>
      </c>
      <c r="BU103" s="133">
        <f>商品录入!BU103*$E103</f>
        <v>0</v>
      </c>
      <c r="BV103" s="133">
        <f>商品录入!BV103*$E103</f>
        <v>0</v>
      </c>
      <c r="BW103" s="133">
        <f>商品录入!BW103*$E103</f>
        <v>0</v>
      </c>
    </row>
    <row r="104" s="178" customFormat="1" customHeight="1" spans="1:75">
      <c r="A104" s="161">
        <v>100</v>
      </c>
      <c r="B104" s="162">
        <f>商品录入!B104</f>
        <v>0</v>
      </c>
      <c r="C104" s="162">
        <f>商品录入!C104</f>
        <v>0</v>
      </c>
      <c r="D104" s="162">
        <f>商品录入!D104</f>
        <v>0</v>
      </c>
      <c r="E104" s="162">
        <f>商品录入!E104</f>
        <v>0</v>
      </c>
      <c r="F104" s="162">
        <f>商品录入!F104</f>
        <v>0</v>
      </c>
      <c r="G104" s="162">
        <f>商品录入!G104</f>
        <v>0</v>
      </c>
      <c r="H104" s="162">
        <f>商品录入!H104</f>
        <v>0</v>
      </c>
      <c r="I104" s="162">
        <f>商品录入!I104</f>
        <v>0</v>
      </c>
      <c r="J104" s="162">
        <f>商品录入!J104</f>
        <v>0</v>
      </c>
      <c r="K104" s="162">
        <f>商品录入!K104</f>
        <v>0</v>
      </c>
      <c r="L104" s="162">
        <f>商品录入!L104</f>
        <v>0</v>
      </c>
      <c r="M104" s="162">
        <f>商品录入!M104</f>
        <v>0</v>
      </c>
      <c r="N104" s="133">
        <f>商品录入!N104*$E104</f>
        <v>0</v>
      </c>
      <c r="O104" s="133">
        <f>商品录入!O104*$E104</f>
        <v>0</v>
      </c>
      <c r="P104" s="133">
        <f>商品录入!P104*$E104</f>
        <v>0</v>
      </c>
      <c r="Q104" s="133">
        <f>商品录入!Q104*$E104</f>
        <v>0</v>
      </c>
      <c r="R104" s="133">
        <f>商品录入!R104*$E104</f>
        <v>0</v>
      </c>
      <c r="S104" s="133">
        <f>商品录入!S104*$E104</f>
        <v>0</v>
      </c>
      <c r="T104" s="133">
        <f>商品录入!T104*$E104</f>
        <v>0</v>
      </c>
      <c r="U104" s="133">
        <f>商品录入!U104*$E104</f>
        <v>0</v>
      </c>
      <c r="V104" s="133">
        <f>商品录入!V104*$E104</f>
        <v>0</v>
      </c>
      <c r="W104" s="133">
        <f>商品录入!W104*$E104</f>
        <v>0</v>
      </c>
      <c r="X104" s="133">
        <f>商品录入!X104*$E104</f>
        <v>0</v>
      </c>
      <c r="Y104" s="133">
        <f>商品录入!Y104*$E104</f>
        <v>0</v>
      </c>
      <c r="Z104" s="133">
        <f>商品录入!Z104*$E104</f>
        <v>0</v>
      </c>
      <c r="AA104" s="133">
        <f>商品录入!AA104*$E104</f>
        <v>0</v>
      </c>
      <c r="AB104" s="133">
        <f>商品录入!AB104*$E104</f>
        <v>0</v>
      </c>
      <c r="AC104" s="133">
        <f>商品录入!AC104*$E104</f>
        <v>0</v>
      </c>
      <c r="AD104" s="133">
        <f>商品录入!AD104*$E104</f>
        <v>0</v>
      </c>
      <c r="AE104" s="133">
        <f>商品录入!AE104*$E104</f>
        <v>0</v>
      </c>
      <c r="AF104" s="133">
        <f>商品录入!AF104*$E104</f>
        <v>0</v>
      </c>
      <c r="AG104" s="133">
        <f>商品录入!AG104*$E104</f>
        <v>0</v>
      </c>
      <c r="AH104" s="133">
        <f>商品录入!AH104*$E104</f>
        <v>0</v>
      </c>
      <c r="AI104" s="133">
        <f>商品录入!AI104*$E104</f>
        <v>0</v>
      </c>
      <c r="AJ104" s="133">
        <f>商品录入!AJ104*$E104</f>
        <v>0</v>
      </c>
      <c r="AK104" s="133">
        <f>商品录入!AK104*$E104</f>
        <v>0</v>
      </c>
      <c r="AL104" s="133">
        <f>商品录入!AL104*$E104</f>
        <v>0</v>
      </c>
      <c r="AM104" s="133">
        <f>商品录入!AM104*$E104</f>
        <v>0</v>
      </c>
      <c r="AN104" s="133">
        <f>商品录入!AN104*$E104</f>
        <v>0</v>
      </c>
      <c r="AO104" s="133">
        <f>商品录入!AO104*$E104</f>
        <v>0</v>
      </c>
      <c r="AP104" s="133">
        <f>商品录入!AP104*$E104</f>
        <v>0</v>
      </c>
      <c r="AQ104" s="133">
        <f>商品录入!AQ104*$E104</f>
        <v>0</v>
      </c>
      <c r="AR104" s="133">
        <f>商品录入!AR104*$E104</f>
        <v>0</v>
      </c>
      <c r="AS104" s="133">
        <f>商品录入!AS104*$E104</f>
        <v>0</v>
      </c>
      <c r="AT104" s="133">
        <f>商品录入!AT104*$E104</f>
        <v>0</v>
      </c>
      <c r="AU104" s="133">
        <f>商品录入!AU104*$E104</f>
        <v>0</v>
      </c>
      <c r="AV104" s="133">
        <f>商品录入!AV104*$E104</f>
        <v>0</v>
      </c>
      <c r="AW104" s="133">
        <f>商品录入!AW104*$E104</f>
        <v>0</v>
      </c>
      <c r="AX104" s="133">
        <f>商品录入!AX104*$E104</f>
        <v>0</v>
      </c>
      <c r="AY104" s="133">
        <f>商品录入!AY104*$E104</f>
        <v>0</v>
      </c>
      <c r="AZ104" s="133">
        <f>商品录入!AZ104*$E104</f>
        <v>0</v>
      </c>
      <c r="BA104" s="133">
        <f>商品录入!BA104*$E104</f>
        <v>0</v>
      </c>
      <c r="BB104" s="133">
        <f>商品录入!BB104*$E104</f>
        <v>0</v>
      </c>
      <c r="BC104" s="133">
        <f>商品录入!BC104*$E104</f>
        <v>0</v>
      </c>
      <c r="BD104" s="133">
        <f>商品录入!BD104*$E104</f>
        <v>0</v>
      </c>
      <c r="BE104" s="133">
        <f>商品录入!BE104*$E104</f>
        <v>0</v>
      </c>
      <c r="BF104" s="133">
        <f>商品录入!BF104*$E104</f>
        <v>0</v>
      </c>
      <c r="BG104" s="133">
        <f>商品录入!BG104*$E104</f>
        <v>0</v>
      </c>
      <c r="BH104" s="133">
        <f>商品录入!BH104*$E104</f>
        <v>0</v>
      </c>
      <c r="BI104" s="133">
        <f>商品录入!BI104*$E104</f>
        <v>0</v>
      </c>
      <c r="BJ104" s="133">
        <f>商品录入!BJ104*$E104</f>
        <v>0</v>
      </c>
      <c r="BK104" s="133">
        <f>商品录入!BK104*$E104</f>
        <v>0</v>
      </c>
      <c r="BL104" s="133">
        <f>商品录入!BL104*$E104</f>
        <v>0</v>
      </c>
      <c r="BM104" s="133">
        <f>商品录入!BM104*$E104</f>
        <v>0</v>
      </c>
      <c r="BN104" s="133">
        <f>商品录入!BN104*$E104</f>
        <v>0</v>
      </c>
      <c r="BO104" s="133">
        <f>商品录入!BO104*$E104</f>
        <v>0</v>
      </c>
      <c r="BP104" s="133">
        <f>商品录入!BP104*$E104</f>
        <v>0</v>
      </c>
      <c r="BQ104" s="133">
        <f>商品录入!BQ104*$E104</f>
        <v>0</v>
      </c>
      <c r="BR104" s="133">
        <f>商品录入!BR104*$E104</f>
        <v>0</v>
      </c>
      <c r="BS104" s="133">
        <f>商品录入!BS104*$E104</f>
        <v>0</v>
      </c>
      <c r="BT104" s="133">
        <f>商品录入!BT104*$E104</f>
        <v>0</v>
      </c>
      <c r="BU104" s="133">
        <f>商品录入!BU104*$E104</f>
        <v>0</v>
      </c>
      <c r="BV104" s="133">
        <f>商品录入!BV104*$E104</f>
        <v>0</v>
      </c>
      <c r="BW104" s="133">
        <f>商品录入!BW104*$E104</f>
        <v>0</v>
      </c>
    </row>
    <row r="105" s="178" customFormat="1" customHeight="1" spans="1:75">
      <c r="A105" s="161">
        <v>101</v>
      </c>
      <c r="B105" s="162">
        <f>商品录入!B105</f>
        <v>0</v>
      </c>
      <c r="C105" s="162">
        <f>商品录入!C105</f>
        <v>0</v>
      </c>
      <c r="D105" s="162">
        <f>商品录入!D105</f>
        <v>0</v>
      </c>
      <c r="E105" s="162">
        <f>商品录入!E105</f>
        <v>0</v>
      </c>
      <c r="F105" s="162">
        <f>商品录入!F105</f>
        <v>0</v>
      </c>
      <c r="G105" s="162">
        <f>商品录入!G105</f>
        <v>0</v>
      </c>
      <c r="H105" s="162">
        <f>商品录入!H105</f>
        <v>0</v>
      </c>
      <c r="I105" s="162">
        <f>商品录入!I105</f>
        <v>0</v>
      </c>
      <c r="J105" s="162">
        <f>商品录入!J105</f>
        <v>0</v>
      </c>
      <c r="K105" s="162">
        <f>商品录入!K105</f>
        <v>0</v>
      </c>
      <c r="L105" s="162">
        <f>商品录入!L105</f>
        <v>0</v>
      </c>
      <c r="M105" s="162">
        <f>商品录入!M105</f>
        <v>0</v>
      </c>
      <c r="N105" s="133">
        <f>商品录入!N105*$E105</f>
        <v>0</v>
      </c>
      <c r="O105" s="133">
        <f>商品录入!O105*$E105</f>
        <v>0</v>
      </c>
      <c r="P105" s="133">
        <f>商品录入!P105*$E105</f>
        <v>0</v>
      </c>
      <c r="Q105" s="133">
        <f>商品录入!Q105*$E105</f>
        <v>0</v>
      </c>
      <c r="R105" s="133">
        <f>商品录入!R105*$E105</f>
        <v>0</v>
      </c>
      <c r="S105" s="133">
        <f>商品录入!S105*$E105</f>
        <v>0</v>
      </c>
      <c r="T105" s="133">
        <f>商品录入!T105*$E105</f>
        <v>0</v>
      </c>
      <c r="U105" s="133">
        <f>商品录入!U105*$E105</f>
        <v>0</v>
      </c>
      <c r="V105" s="133">
        <f>商品录入!V105*$E105</f>
        <v>0</v>
      </c>
      <c r="W105" s="133">
        <f>商品录入!W105*$E105</f>
        <v>0</v>
      </c>
      <c r="X105" s="133">
        <f>商品录入!X105*$E105</f>
        <v>0</v>
      </c>
      <c r="Y105" s="133">
        <f>商品录入!Y105*$E105</f>
        <v>0</v>
      </c>
      <c r="Z105" s="133">
        <f>商品录入!Z105*$E105</f>
        <v>0</v>
      </c>
      <c r="AA105" s="133">
        <f>商品录入!AA105*$E105</f>
        <v>0</v>
      </c>
      <c r="AB105" s="133">
        <f>商品录入!AB105*$E105</f>
        <v>0</v>
      </c>
      <c r="AC105" s="133">
        <f>商品录入!AC105*$E105</f>
        <v>0</v>
      </c>
      <c r="AD105" s="133">
        <f>商品录入!AD105*$E105</f>
        <v>0</v>
      </c>
      <c r="AE105" s="133">
        <f>商品录入!AE105*$E105</f>
        <v>0</v>
      </c>
      <c r="AF105" s="133">
        <f>商品录入!AF105*$E105</f>
        <v>0</v>
      </c>
      <c r="AG105" s="133">
        <f>商品录入!AG105*$E105</f>
        <v>0</v>
      </c>
      <c r="AH105" s="133">
        <f>商品录入!AH105*$E105</f>
        <v>0</v>
      </c>
      <c r="AI105" s="133">
        <f>商品录入!AI105*$E105</f>
        <v>0</v>
      </c>
      <c r="AJ105" s="133">
        <f>商品录入!AJ105*$E105</f>
        <v>0</v>
      </c>
      <c r="AK105" s="133">
        <f>商品录入!AK105*$E105</f>
        <v>0</v>
      </c>
      <c r="AL105" s="133">
        <f>商品录入!AL105*$E105</f>
        <v>0</v>
      </c>
      <c r="AM105" s="133">
        <f>商品录入!AM105*$E105</f>
        <v>0</v>
      </c>
      <c r="AN105" s="133">
        <f>商品录入!AN105*$E105</f>
        <v>0</v>
      </c>
      <c r="AO105" s="133">
        <f>商品录入!AO105*$E105</f>
        <v>0</v>
      </c>
      <c r="AP105" s="133">
        <f>商品录入!AP105*$E105</f>
        <v>0</v>
      </c>
      <c r="AQ105" s="133">
        <f>商品录入!AQ105*$E105</f>
        <v>0</v>
      </c>
      <c r="AR105" s="133">
        <f>商品录入!AR105*$E105</f>
        <v>0</v>
      </c>
      <c r="AS105" s="133">
        <f>商品录入!AS105*$E105</f>
        <v>0</v>
      </c>
      <c r="AT105" s="133">
        <f>商品录入!AT105*$E105</f>
        <v>0</v>
      </c>
      <c r="AU105" s="133">
        <f>商品录入!AU105*$E105</f>
        <v>0</v>
      </c>
      <c r="AV105" s="133">
        <f>商品录入!AV105*$E105</f>
        <v>0</v>
      </c>
      <c r="AW105" s="133">
        <f>商品录入!AW105*$E105</f>
        <v>0</v>
      </c>
      <c r="AX105" s="133">
        <f>商品录入!AX105*$E105</f>
        <v>0</v>
      </c>
      <c r="AY105" s="133">
        <f>商品录入!AY105*$E105</f>
        <v>0</v>
      </c>
      <c r="AZ105" s="133">
        <f>商品录入!AZ105*$E105</f>
        <v>0</v>
      </c>
      <c r="BA105" s="133">
        <f>商品录入!BA105*$E105</f>
        <v>0</v>
      </c>
      <c r="BB105" s="133">
        <f>商品录入!BB105*$E105</f>
        <v>0</v>
      </c>
      <c r="BC105" s="133">
        <f>商品录入!BC105*$E105</f>
        <v>0</v>
      </c>
      <c r="BD105" s="133">
        <f>商品录入!BD105*$E105</f>
        <v>0</v>
      </c>
      <c r="BE105" s="133">
        <f>商品录入!BE105*$E105</f>
        <v>0</v>
      </c>
      <c r="BF105" s="133">
        <f>商品录入!BF105*$E105</f>
        <v>0</v>
      </c>
      <c r="BG105" s="133">
        <f>商品录入!BG105*$E105</f>
        <v>0</v>
      </c>
      <c r="BH105" s="133">
        <f>商品录入!BH105*$E105</f>
        <v>0</v>
      </c>
      <c r="BI105" s="133">
        <f>商品录入!BI105*$E105</f>
        <v>0</v>
      </c>
      <c r="BJ105" s="133">
        <f>商品录入!BJ105*$E105</f>
        <v>0</v>
      </c>
      <c r="BK105" s="133">
        <f>商品录入!BK105*$E105</f>
        <v>0</v>
      </c>
      <c r="BL105" s="133">
        <f>商品录入!BL105*$E105</f>
        <v>0</v>
      </c>
      <c r="BM105" s="133">
        <f>商品录入!BM105*$E105</f>
        <v>0</v>
      </c>
      <c r="BN105" s="133">
        <f>商品录入!BN105*$E105</f>
        <v>0</v>
      </c>
      <c r="BO105" s="133">
        <f>商品录入!BO105*$E105</f>
        <v>0</v>
      </c>
      <c r="BP105" s="133">
        <f>商品录入!BP105*$E105</f>
        <v>0</v>
      </c>
      <c r="BQ105" s="133">
        <f>商品录入!BQ105*$E105</f>
        <v>0</v>
      </c>
      <c r="BR105" s="133">
        <f>商品录入!BR105*$E105</f>
        <v>0</v>
      </c>
      <c r="BS105" s="133">
        <f>商品录入!BS105*$E105</f>
        <v>0</v>
      </c>
      <c r="BT105" s="133">
        <f>商品录入!BT105*$E105</f>
        <v>0</v>
      </c>
      <c r="BU105" s="133">
        <f>商品录入!BU105*$E105</f>
        <v>0</v>
      </c>
      <c r="BV105" s="133">
        <f>商品录入!BV105*$E105</f>
        <v>0</v>
      </c>
      <c r="BW105" s="133">
        <f>商品录入!BW105*$E105</f>
        <v>0</v>
      </c>
    </row>
    <row r="106" s="178" customFormat="1" customHeight="1" spans="1:75">
      <c r="A106" s="161">
        <v>102</v>
      </c>
      <c r="B106" s="162">
        <f>商品录入!B106</f>
        <v>0</v>
      </c>
      <c r="C106" s="162">
        <f>商品录入!C106</f>
        <v>0</v>
      </c>
      <c r="D106" s="162">
        <f>商品录入!D106</f>
        <v>0</v>
      </c>
      <c r="E106" s="162">
        <f>商品录入!E106</f>
        <v>0</v>
      </c>
      <c r="F106" s="162">
        <f>商品录入!F106</f>
        <v>0</v>
      </c>
      <c r="G106" s="162">
        <f>商品录入!G106</f>
        <v>0</v>
      </c>
      <c r="H106" s="162">
        <f>商品录入!H106</f>
        <v>0</v>
      </c>
      <c r="I106" s="162">
        <f>商品录入!I106</f>
        <v>0</v>
      </c>
      <c r="J106" s="162">
        <f>商品录入!J106</f>
        <v>0</v>
      </c>
      <c r="K106" s="162">
        <f>商品录入!K106</f>
        <v>0</v>
      </c>
      <c r="L106" s="162">
        <f>商品录入!L106</f>
        <v>0</v>
      </c>
      <c r="M106" s="162">
        <f>商品录入!M106</f>
        <v>0</v>
      </c>
      <c r="N106" s="133">
        <f>商品录入!N106*$E106</f>
        <v>0</v>
      </c>
      <c r="O106" s="133">
        <f>商品录入!O106*$E106</f>
        <v>0</v>
      </c>
      <c r="P106" s="133">
        <f>商品录入!P106*$E106</f>
        <v>0</v>
      </c>
      <c r="Q106" s="133">
        <f>商品录入!Q106*$E106</f>
        <v>0</v>
      </c>
      <c r="R106" s="133">
        <f>商品录入!R106*$E106</f>
        <v>0</v>
      </c>
      <c r="S106" s="133">
        <f>商品录入!S106*$E106</f>
        <v>0</v>
      </c>
      <c r="T106" s="133">
        <f>商品录入!T106*$E106</f>
        <v>0</v>
      </c>
      <c r="U106" s="133">
        <f>商品录入!U106*$E106</f>
        <v>0</v>
      </c>
      <c r="V106" s="133">
        <f>商品录入!V106*$E106</f>
        <v>0</v>
      </c>
      <c r="W106" s="133">
        <f>商品录入!W106*$E106</f>
        <v>0</v>
      </c>
      <c r="X106" s="133">
        <f>商品录入!X106*$E106</f>
        <v>0</v>
      </c>
      <c r="Y106" s="133">
        <f>商品录入!Y106*$E106</f>
        <v>0</v>
      </c>
      <c r="Z106" s="133">
        <f>商品录入!Z106*$E106</f>
        <v>0</v>
      </c>
      <c r="AA106" s="133">
        <f>商品录入!AA106*$E106</f>
        <v>0</v>
      </c>
      <c r="AB106" s="133">
        <f>商品录入!AB106*$E106</f>
        <v>0</v>
      </c>
      <c r="AC106" s="133">
        <f>商品录入!AC106*$E106</f>
        <v>0</v>
      </c>
      <c r="AD106" s="133">
        <f>商品录入!AD106*$E106</f>
        <v>0</v>
      </c>
      <c r="AE106" s="133">
        <f>商品录入!AE106*$E106</f>
        <v>0</v>
      </c>
      <c r="AF106" s="133">
        <f>商品录入!AF106*$E106</f>
        <v>0</v>
      </c>
      <c r="AG106" s="133">
        <f>商品录入!AG106*$E106</f>
        <v>0</v>
      </c>
      <c r="AH106" s="133">
        <f>商品录入!AH106*$E106</f>
        <v>0</v>
      </c>
      <c r="AI106" s="133">
        <f>商品录入!AI106*$E106</f>
        <v>0</v>
      </c>
      <c r="AJ106" s="133">
        <f>商品录入!AJ106*$E106</f>
        <v>0</v>
      </c>
      <c r="AK106" s="133">
        <f>商品录入!AK106*$E106</f>
        <v>0</v>
      </c>
      <c r="AL106" s="133">
        <f>商品录入!AL106*$E106</f>
        <v>0</v>
      </c>
      <c r="AM106" s="133">
        <f>商品录入!AM106*$E106</f>
        <v>0</v>
      </c>
      <c r="AN106" s="133">
        <f>商品录入!AN106*$E106</f>
        <v>0</v>
      </c>
      <c r="AO106" s="133">
        <f>商品录入!AO106*$E106</f>
        <v>0</v>
      </c>
      <c r="AP106" s="133">
        <f>商品录入!AP106*$E106</f>
        <v>0</v>
      </c>
      <c r="AQ106" s="133">
        <f>商品录入!AQ106*$E106</f>
        <v>0</v>
      </c>
      <c r="AR106" s="133">
        <f>商品录入!AR106*$E106</f>
        <v>0</v>
      </c>
      <c r="AS106" s="133">
        <f>商品录入!AS106*$E106</f>
        <v>0</v>
      </c>
      <c r="AT106" s="133">
        <f>商品录入!AT106*$E106</f>
        <v>0</v>
      </c>
      <c r="AU106" s="133">
        <f>商品录入!AU106*$E106</f>
        <v>0</v>
      </c>
      <c r="AV106" s="133">
        <f>商品录入!AV106*$E106</f>
        <v>0</v>
      </c>
      <c r="AW106" s="133">
        <f>商品录入!AW106*$E106</f>
        <v>0</v>
      </c>
      <c r="AX106" s="133">
        <f>商品录入!AX106*$E106</f>
        <v>0</v>
      </c>
      <c r="AY106" s="133">
        <f>商品录入!AY106*$E106</f>
        <v>0</v>
      </c>
      <c r="AZ106" s="133">
        <f>商品录入!AZ106*$E106</f>
        <v>0</v>
      </c>
      <c r="BA106" s="133">
        <f>商品录入!BA106*$E106</f>
        <v>0</v>
      </c>
      <c r="BB106" s="133">
        <f>商品录入!BB106*$E106</f>
        <v>0</v>
      </c>
      <c r="BC106" s="133">
        <f>商品录入!BC106*$E106</f>
        <v>0</v>
      </c>
      <c r="BD106" s="133">
        <f>商品录入!BD106*$E106</f>
        <v>0</v>
      </c>
      <c r="BE106" s="133">
        <f>商品录入!BE106*$E106</f>
        <v>0</v>
      </c>
      <c r="BF106" s="133">
        <f>商品录入!BF106*$E106</f>
        <v>0</v>
      </c>
      <c r="BG106" s="133">
        <f>商品录入!BG106*$E106</f>
        <v>0</v>
      </c>
      <c r="BH106" s="133">
        <f>商品录入!BH106*$E106</f>
        <v>0</v>
      </c>
      <c r="BI106" s="133">
        <f>商品录入!BI106*$E106</f>
        <v>0</v>
      </c>
      <c r="BJ106" s="133">
        <f>商品录入!BJ106*$E106</f>
        <v>0</v>
      </c>
      <c r="BK106" s="133">
        <f>商品录入!BK106*$E106</f>
        <v>0</v>
      </c>
      <c r="BL106" s="133">
        <f>商品录入!BL106*$E106</f>
        <v>0</v>
      </c>
      <c r="BM106" s="133">
        <f>商品录入!BM106*$E106</f>
        <v>0</v>
      </c>
      <c r="BN106" s="133">
        <f>商品录入!BN106*$E106</f>
        <v>0</v>
      </c>
      <c r="BO106" s="133">
        <f>商品录入!BO106*$E106</f>
        <v>0</v>
      </c>
      <c r="BP106" s="133">
        <f>商品录入!BP106*$E106</f>
        <v>0</v>
      </c>
      <c r="BQ106" s="133">
        <f>商品录入!BQ106*$E106</f>
        <v>0</v>
      </c>
      <c r="BR106" s="133">
        <f>商品录入!BR106*$E106</f>
        <v>0</v>
      </c>
      <c r="BS106" s="133">
        <f>商品录入!BS106*$E106</f>
        <v>0</v>
      </c>
      <c r="BT106" s="133">
        <f>商品录入!BT106*$E106</f>
        <v>0</v>
      </c>
      <c r="BU106" s="133">
        <f>商品录入!BU106*$E106</f>
        <v>0</v>
      </c>
      <c r="BV106" s="133">
        <f>商品录入!BV106*$E106</f>
        <v>0</v>
      </c>
      <c r="BW106" s="133">
        <f>商品录入!BW106*$E106</f>
        <v>0</v>
      </c>
    </row>
    <row r="107" s="178" customFormat="1" customHeight="1" spans="1:75">
      <c r="A107" s="161">
        <v>103</v>
      </c>
      <c r="B107" s="162">
        <f>商品录入!B107</f>
        <v>0</v>
      </c>
      <c r="C107" s="162">
        <f>商品录入!C107</f>
        <v>0</v>
      </c>
      <c r="D107" s="162">
        <f>商品录入!D107</f>
        <v>0</v>
      </c>
      <c r="E107" s="162">
        <f>商品录入!E107</f>
        <v>0</v>
      </c>
      <c r="F107" s="162">
        <f>商品录入!F107</f>
        <v>0</v>
      </c>
      <c r="G107" s="162">
        <f>商品录入!G107</f>
        <v>0</v>
      </c>
      <c r="H107" s="162">
        <f>商品录入!H107</f>
        <v>0</v>
      </c>
      <c r="I107" s="162">
        <f>商品录入!I107</f>
        <v>0</v>
      </c>
      <c r="J107" s="162">
        <f>商品录入!J107</f>
        <v>0</v>
      </c>
      <c r="K107" s="162">
        <f>商品录入!K107</f>
        <v>0</v>
      </c>
      <c r="L107" s="162">
        <f>商品录入!L107</f>
        <v>0</v>
      </c>
      <c r="M107" s="162">
        <f>商品录入!M107</f>
        <v>0</v>
      </c>
      <c r="N107" s="133">
        <f>商品录入!N107*$E107</f>
        <v>0</v>
      </c>
      <c r="O107" s="133">
        <f>商品录入!O107*$E107</f>
        <v>0</v>
      </c>
      <c r="P107" s="133">
        <f>商品录入!P107*$E107</f>
        <v>0</v>
      </c>
      <c r="Q107" s="133">
        <f>商品录入!Q107*$E107</f>
        <v>0</v>
      </c>
      <c r="R107" s="133">
        <f>商品录入!R107*$E107</f>
        <v>0</v>
      </c>
      <c r="S107" s="133">
        <f>商品录入!S107*$E107</f>
        <v>0</v>
      </c>
      <c r="T107" s="133">
        <f>商品录入!T107*$E107</f>
        <v>0</v>
      </c>
      <c r="U107" s="133">
        <f>商品录入!U107*$E107</f>
        <v>0</v>
      </c>
      <c r="V107" s="133">
        <f>商品录入!V107*$E107</f>
        <v>0</v>
      </c>
      <c r="W107" s="133">
        <f>商品录入!W107*$E107</f>
        <v>0</v>
      </c>
      <c r="X107" s="133">
        <f>商品录入!X107*$E107</f>
        <v>0</v>
      </c>
      <c r="Y107" s="133">
        <f>商品录入!Y107*$E107</f>
        <v>0</v>
      </c>
      <c r="Z107" s="133">
        <f>商品录入!Z107*$E107</f>
        <v>0</v>
      </c>
      <c r="AA107" s="133">
        <f>商品录入!AA107*$E107</f>
        <v>0</v>
      </c>
      <c r="AB107" s="133">
        <f>商品录入!AB107*$E107</f>
        <v>0</v>
      </c>
      <c r="AC107" s="133">
        <f>商品录入!AC107*$E107</f>
        <v>0</v>
      </c>
      <c r="AD107" s="133">
        <f>商品录入!AD107*$E107</f>
        <v>0</v>
      </c>
      <c r="AE107" s="133">
        <f>商品录入!AE107*$E107</f>
        <v>0</v>
      </c>
      <c r="AF107" s="133">
        <f>商品录入!AF107*$E107</f>
        <v>0</v>
      </c>
      <c r="AG107" s="133">
        <f>商品录入!AG107*$E107</f>
        <v>0</v>
      </c>
      <c r="AH107" s="133">
        <f>商品录入!AH107*$E107</f>
        <v>0</v>
      </c>
      <c r="AI107" s="133">
        <f>商品录入!AI107*$E107</f>
        <v>0</v>
      </c>
      <c r="AJ107" s="133">
        <f>商品录入!AJ107*$E107</f>
        <v>0</v>
      </c>
      <c r="AK107" s="133">
        <f>商品录入!AK107*$E107</f>
        <v>0</v>
      </c>
      <c r="AL107" s="133">
        <f>商品录入!AL107*$E107</f>
        <v>0</v>
      </c>
      <c r="AM107" s="133">
        <f>商品录入!AM107*$E107</f>
        <v>0</v>
      </c>
      <c r="AN107" s="133">
        <f>商品录入!AN107*$E107</f>
        <v>0</v>
      </c>
      <c r="AO107" s="133">
        <f>商品录入!AO107*$E107</f>
        <v>0</v>
      </c>
      <c r="AP107" s="133">
        <f>商品录入!AP107*$E107</f>
        <v>0</v>
      </c>
      <c r="AQ107" s="133">
        <f>商品录入!AQ107*$E107</f>
        <v>0</v>
      </c>
      <c r="AR107" s="133">
        <f>商品录入!AR107*$E107</f>
        <v>0</v>
      </c>
      <c r="AS107" s="133">
        <f>商品录入!AS107*$E107</f>
        <v>0</v>
      </c>
      <c r="AT107" s="133">
        <f>商品录入!AT107*$E107</f>
        <v>0</v>
      </c>
      <c r="AU107" s="133">
        <f>商品录入!AU107*$E107</f>
        <v>0</v>
      </c>
      <c r="AV107" s="133">
        <f>商品录入!AV107*$E107</f>
        <v>0</v>
      </c>
      <c r="AW107" s="133">
        <f>商品录入!AW107*$E107</f>
        <v>0</v>
      </c>
      <c r="AX107" s="133">
        <f>商品录入!AX107*$E107</f>
        <v>0</v>
      </c>
      <c r="AY107" s="133">
        <f>商品录入!AY107*$E107</f>
        <v>0</v>
      </c>
      <c r="AZ107" s="133">
        <f>商品录入!AZ107*$E107</f>
        <v>0</v>
      </c>
      <c r="BA107" s="133">
        <f>商品录入!BA107*$E107</f>
        <v>0</v>
      </c>
      <c r="BB107" s="133">
        <f>商品录入!BB107*$E107</f>
        <v>0</v>
      </c>
      <c r="BC107" s="133">
        <f>商品录入!BC107*$E107</f>
        <v>0</v>
      </c>
      <c r="BD107" s="133">
        <f>商品录入!BD107*$E107</f>
        <v>0</v>
      </c>
      <c r="BE107" s="133">
        <f>商品录入!BE107*$E107</f>
        <v>0</v>
      </c>
      <c r="BF107" s="133">
        <f>商品录入!BF107*$E107</f>
        <v>0</v>
      </c>
      <c r="BG107" s="133">
        <f>商品录入!BG107*$E107</f>
        <v>0</v>
      </c>
      <c r="BH107" s="133">
        <f>商品录入!BH107*$E107</f>
        <v>0</v>
      </c>
      <c r="BI107" s="133">
        <f>商品录入!BI107*$E107</f>
        <v>0</v>
      </c>
      <c r="BJ107" s="133">
        <f>商品录入!BJ107*$E107</f>
        <v>0</v>
      </c>
      <c r="BK107" s="133">
        <f>商品录入!BK107*$E107</f>
        <v>0</v>
      </c>
      <c r="BL107" s="133">
        <f>商品录入!BL107*$E107</f>
        <v>0</v>
      </c>
      <c r="BM107" s="133">
        <f>商品录入!BM107*$E107</f>
        <v>0</v>
      </c>
      <c r="BN107" s="133">
        <f>商品录入!BN107*$E107</f>
        <v>0</v>
      </c>
      <c r="BO107" s="133">
        <f>商品录入!BO107*$E107</f>
        <v>0</v>
      </c>
      <c r="BP107" s="133">
        <f>商品录入!BP107*$E107</f>
        <v>0</v>
      </c>
      <c r="BQ107" s="133">
        <f>商品录入!BQ107*$E107</f>
        <v>0</v>
      </c>
      <c r="BR107" s="133">
        <f>商品录入!BR107*$E107</f>
        <v>0</v>
      </c>
      <c r="BS107" s="133">
        <f>商品录入!BS107*$E107</f>
        <v>0</v>
      </c>
      <c r="BT107" s="133">
        <f>商品录入!BT107*$E107</f>
        <v>0</v>
      </c>
      <c r="BU107" s="133">
        <f>商品录入!BU107*$E107</f>
        <v>0</v>
      </c>
      <c r="BV107" s="133">
        <f>商品录入!BV107*$E107</f>
        <v>0</v>
      </c>
      <c r="BW107" s="133">
        <f>商品录入!BW107*$E107</f>
        <v>0</v>
      </c>
    </row>
    <row r="108" s="178" customFormat="1" customHeight="1" spans="1:75">
      <c r="A108" s="161">
        <v>104</v>
      </c>
      <c r="B108" s="162">
        <f>商品录入!B108</f>
        <v>0</v>
      </c>
      <c r="C108" s="162">
        <f>商品录入!C108</f>
        <v>0</v>
      </c>
      <c r="D108" s="162">
        <f>商品录入!D108</f>
        <v>0</v>
      </c>
      <c r="E108" s="162">
        <f>商品录入!E108</f>
        <v>0</v>
      </c>
      <c r="F108" s="162">
        <f>商品录入!F108</f>
        <v>0</v>
      </c>
      <c r="G108" s="162">
        <f>商品录入!G108</f>
        <v>0</v>
      </c>
      <c r="H108" s="162">
        <f>商品录入!H108</f>
        <v>0</v>
      </c>
      <c r="I108" s="162">
        <f>商品录入!I108</f>
        <v>0</v>
      </c>
      <c r="J108" s="162">
        <f>商品录入!J108</f>
        <v>0</v>
      </c>
      <c r="K108" s="162">
        <f>商品录入!K108</f>
        <v>0</v>
      </c>
      <c r="L108" s="162">
        <f>商品录入!L108</f>
        <v>0</v>
      </c>
      <c r="M108" s="162">
        <f>商品录入!M108</f>
        <v>0</v>
      </c>
      <c r="N108" s="133">
        <f>商品录入!N108*$E108</f>
        <v>0</v>
      </c>
      <c r="O108" s="133">
        <f>商品录入!O108*$E108</f>
        <v>0</v>
      </c>
      <c r="P108" s="133">
        <f>商品录入!P108*$E108</f>
        <v>0</v>
      </c>
      <c r="Q108" s="133">
        <f>商品录入!Q108*$E108</f>
        <v>0</v>
      </c>
      <c r="R108" s="133">
        <f>商品录入!R108*$E108</f>
        <v>0</v>
      </c>
      <c r="S108" s="133">
        <f>商品录入!S108*$E108</f>
        <v>0</v>
      </c>
      <c r="T108" s="133">
        <f>商品录入!T108*$E108</f>
        <v>0</v>
      </c>
      <c r="U108" s="133">
        <f>商品录入!U108*$E108</f>
        <v>0</v>
      </c>
      <c r="V108" s="133">
        <f>商品录入!V108*$E108</f>
        <v>0</v>
      </c>
      <c r="W108" s="133">
        <f>商品录入!W108*$E108</f>
        <v>0</v>
      </c>
      <c r="X108" s="133">
        <f>商品录入!X108*$E108</f>
        <v>0</v>
      </c>
      <c r="Y108" s="133">
        <f>商品录入!Y108*$E108</f>
        <v>0</v>
      </c>
      <c r="Z108" s="133">
        <f>商品录入!Z108*$E108</f>
        <v>0</v>
      </c>
      <c r="AA108" s="133">
        <f>商品录入!AA108*$E108</f>
        <v>0</v>
      </c>
      <c r="AB108" s="133">
        <f>商品录入!AB108*$E108</f>
        <v>0</v>
      </c>
      <c r="AC108" s="133">
        <f>商品录入!AC108*$E108</f>
        <v>0</v>
      </c>
      <c r="AD108" s="133">
        <f>商品录入!AD108*$E108</f>
        <v>0</v>
      </c>
      <c r="AE108" s="133">
        <f>商品录入!AE108*$E108</f>
        <v>0</v>
      </c>
      <c r="AF108" s="133">
        <f>商品录入!AF108*$E108</f>
        <v>0</v>
      </c>
      <c r="AG108" s="133">
        <f>商品录入!AG108*$E108</f>
        <v>0</v>
      </c>
      <c r="AH108" s="133">
        <f>商品录入!AH108*$E108</f>
        <v>0</v>
      </c>
      <c r="AI108" s="133">
        <f>商品录入!AI108*$E108</f>
        <v>0</v>
      </c>
      <c r="AJ108" s="133">
        <f>商品录入!AJ108*$E108</f>
        <v>0</v>
      </c>
      <c r="AK108" s="133">
        <f>商品录入!AK108*$E108</f>
        <v>0</v>
      </c>
      <c r="AL108" s="133">
        <f>商品录入!AL108*$E108</f>
        <v>0</v>
      </c>
      <c r="AM108" s="133">
        <f>商品录入!AM108*$E108</f>
        <v>0</v>
      </c>
      <c r="AN108" s="133">
        <f>商品录入!AN108*$E108</f>
        <v>0</v>
      </c>
      <c r="AO108" s="133">
        <f>商品录入!AO108*$E108</f>
        <v>0</v>
      </c>
      <c r="AP108" s="133">
        <f>商品录入!AP108*$E108</f>
        <v>0</v>
      </c>
      <c r="AQ108" s="133">
        <f>商品录入!AQ108*$E108</f>
        <v>0</v>
      </c>
      <c r="AR108" s="133">
        <f>商品录入!AR108*$E108</f>
        <v>0</v>
      </c>
      <c r="AS108" s="133">
        <f>商品录入!AS108*$E108</f>
        <v>0</v>
      </c>
      <c r="AT108" s="133">
        <f>商品录入!AT108*$E108</f>
        <v>0</v>
      </c>
      <c r="AU108" s="133">
        <f>商品录入!AU108*$E108</f>
        <v>0</v>
      </c>
      <c r="AV108" s="133">
        <f>商品录入!AV108*$E108</f>
        <v>0</v>
      </c>
      <c r="AW108" s="133">
        <f>商品录入!AW108*$E108</f>
        <v>0</v>
      </c>
      <c r="AX108" s="133">
        <f>商品录入!AX108*$E108</f>
        <v>0</v>
      </c>
      <c r="AY108" s="133">
        <f>商品录入!AY108*$E108</f>
        <v>0</v>
      </c>
      <c r="AZ108" s="133">
        <f>商品录入!AZ108*$E108</f>
        <v>0</v>
      </c>
      <c r="BA108" s="133">
        <f>商品录入!BA108*$E108</f>
        <v>0</v>
      </c>
      <c r="BB108" s="133">
        <f>商品录入!BB108*$E108</f>
        <v>0</v>
      </c>
      <c r="BC108" s="133">
        <f>商品录入!BC108*$E108</f>
        <v>0</v>
      </c>
      <c r="BD108" s="133">
        <f>商品录入!BD108*$E108</f>
        <v>0</v>
      </c>
      <c r="BE108" s="133">
        <f>商品录入!BE108*$E108</f>
        <v>0</v>
      </c>
      <c r="BF108" s="133">
        <f>商品录入!BF108*$E108</f>
        <v>0</v>
      </c>
      <c r="BG108" s="133">
        <f>商品录入!BG108*$E108</f>
        <v>0</v>
      </c>
      <c r="BH108" s="133">
        <f>商品录入!BH108*$E108</f>
        <v>0</v>
      </c>
      <c r="BI108" s="133">
        <f>商品录入!BI108*$E108</f>
        <v>0</v>
      </c>
      <c r="BJ108" s="133">
        <f>商品录入!BJ108*$E108</f>
        <v>0</v>
      </c>
      <c r="BK108" s="133">
        <f>商品录入!BK108*$E108</f>
        <v>0</v>
      </c>
      <c r="BL108" s="133">
        <f>商品录入!BL108*$E108</f>
        <v>0</v>
      </c>
      <c r="BM108" s="133">
        <f>商品录入!BM108*$E108</f>
        <v>0</v>
      </c>
      <c r="BN108" s="133">
        <f>商品录入!BN108*$E108</f>
        <v>0</v>
      </c>
      <c r="BO108" s="133">
        <f>商品录入!BO108*$E108</f>
        <v>0</v>
      </c>
      <c r="BP108" s="133">
        <f>商品录入!BP108*$E108</f>
        <v>0</v>
      </c>
      <c r="BQ108" s="133">
        <f>商品录入!BQ108*$E108</f>
        <v>0</v>
      </c>
      <c r="BR108" s="133">
        <f>商品录入!BR108*$E108</f>
        <v>0</v>
      </c>
      <c r="BS108" s="133">
        <f>商品录入!BS108*$E108</f>
        <v>0</v>
      </c>
      <c r="BT108" s="133">
        <f>商品录入!BT108*$E108</f>
        <v>0</v>
      </c>
      <c r="BU108" s="133">
        <f>商品录入!BU108*$E108</f>
        <v>0</v>
      </c>
      <c r="BV108" s="133">
        <f>商品录入!BV108*$E108</f>
        <v>0</v>
      </c>
      <c r="BW108" s="133">
        <f>商品录入!BW108*$E108</f>
        <v>0</v>
      </c>
    </row>
    <row r="109" s="178" customFormat="1" customHeight="1" spans="1:75">
      <c r="A109" s="161">
        <v>105</v>
      </c>
      <c r="B109" s="162">
        <f>商品录入!B109</f>
        <v>0</v>
      </c>
      <c r="C109" s="162">
        <f>商品录入!C109</f>
        <v>0</v>
      </c>
      <c r="D109" s="162">
        <f>商品录入!D109</f>
        <v>0</v>
      </c>
      <c r="E109" s="162">
        <f>商品录入!E109</f>
        <v>0</v>
      </c>
      <c r="F109" s="162">
        <f>商品录入!F109</f>
        <v>0</v>
      </c>
      <c r="G109" s="162">
        <f>商品录入!G109</f>
        <v>0</v>
      </c>
      <c r="H109" s="162">
        <f>商品录入!H109</f>
        <v>0</v>
      </c>
      <c r="I109" s="162">
        <f>商品录入!I109</f>
        <v>0</v>
      </c>
      <c r="J109" s="162">
        <f>商品录入!J109</f>
        <v>0</v>
      </c>
      <c r="K109" s="162">
        <f>商品录入!K109</f>
        <v>0</v>
      </c>
      <c r="L109" s="162">
        <f>商品录入!L109</f>
        <v>0</v>
      </c>
      <c r="M109" s="162">
        <f>商品录入!M109</f>
        <v>0</v>
      </c>
      <c r="N109" s="133">
        <f>商品录入!N109*$E109</f>
        <v>0</v>
      </c>
      <c r="O109" s="133">
        <f>商品录入!O109*$E109</f>
        <v>0</v>
      </c>
      <c r="P109" s="133">
        <f>商品录入!P109*$E109</f>
        <v>0</v>
      </c>
      <c r="Q109" s="133">
        <f>商品录入!Q109*$E109</f>
        <v>0</v>
      </c>
      <c r="R109" s="133">
        <f>商品录入!R109*$E109</f>
        <v>0</v>
      </c>
      <c r="S109" s="133">
        <f>商品录入!S109*$E109</f>
        <v>0</v>
      </c>
      <c r="T109" s="133">
        <f>商品录入!T109*$E109</f>
        <v>0</v>
      </c>
      <c r="U109" s="133">
        <f>商品录入!U109*$E109</f>
        <v>0</v>
      </c>
      <c r="V109" s="133">
        <f>商品录入!V109*$E109</f>
        <v>0</v>
      </c>
      <c r="W109" s="133">
        <f>商品录入!W109*$E109</f>
        <v>0</v>
      </c>
      <c r="X109" s="133">
        <f>商品录入!X109*$E109</f>
        <v>0</v>
      </c>
      <c r="Y109" s="133">
        <f>商品录入!Y109*$E109</f>
        <v>0</v>
      </c>
      <c r="Z109" s="133">
        <f>商品录入!Z109*$E109</f>
        <v>0</v>
      </c>
      <c r="AA109" s="133">
        <f>商品录入!AA109*$E109</f>
        <v>0</v>
      </c>
      <c r="AB109" s="133">
        <f>商品录入!AB109*$E109</f>
        <v>0</v>
      </c>
      <c r="AC109" s="133">
        <f>商品录入!AC109*$E109</f>
        <v>0</v>
      </c>
      <c r="AD109" s="133">
        <f>商品录入!AD109*$E109</f>
        <v>0</v>
      </c>
      <c r="AE109" s="133">
        <f>商品录入!AE109*$E109</f>
        <v>0</v>
      </c>
      <c r="AF109" s="133">
        <f>商品录入!AF109*$E109</f>
        <v>0</v>
      </c>
      <c r="AG109" s="133">
        <f>商品录入!AG109*$E109</f>
        <v>0</v>
      </c>
      <c r="AH109" s="133">
        <f>商品录入!AH109*$E109</f>
        <v>0</v>
      </c>
      <c r="AI109" s="133">
        <f>商品录入!AI109*$E109</f>
        <v>0</v>
      </c>
      <c r="AJ109" s="133">
        <f>商品录入!AJ109*$E109</f>
        <v>0</v>
      </c>
      <c r="AK109" s="133">
        <f>商品录入!AK109*$E109</f>
        <v>0</v>
      </c>
      <c r="AL109" s="133">
        <f>商品录入!AL109*$E109</f>
        <v>0</v>
      </c>
      <c r="AM109" s="133">
        <f>商品录入!AM109*$E109</f>
        <v>0</v>
      </c>
      <c r="AN109" s="133">
        <f>商品录入!AN109*$E109</f>
        <v>0</v>
      </c>
      <c r="AO109" s="133">
        <f>商品录入!AO109*$E109</f>
        <v>0</v>
      </c>
      <c r="AP109" s="133">
        <f>商品录入!AP109*$E109</f>
        <v>0</v>
      </c>
      <c r="AQ109" s="133">
        <f>商品录入!AQ109*$E109</f>
        <v>0</v>
      </c>
      <c r="AR109" s="133">
        <f>商品录入!AR109*$E109</f>
        <v>0</v>
      </c>
      <c r="AS109" s="133">
        <f>商品录入!AS109*$E109</f>
        <v>0</v>
      </c>
      <c r="AT109" s="133">
        <f>商品录入!AT109*$E109</f>
        <v>0</v>
      </c>
      <c r="AU109" s="133">
        <f>商品录入!AU109*$E109</f>
        <v>0</v>
      </c>
      <c r="AV109" s="133">
        <f>商品录入!AV109*$E109</f>
        <v>0</v>
      </c>
      <c r="AW109" s="133">
        <f>商品录入!AW109*$E109</f>
        <v>0</v>
      </c>
      <c r="AX109" s="133">
        <f>商品录入!AX109*$E109</f>
        <v>0</v>
      </c>
      <c r="AY109" s="133">
        <f>商品录入!AY109*$E109</f>
        <v>0</v>
      </c>
      <c r="AZ109" s="133">
        <f>商品录入!AZ109*$E109</f>
        <v>0</v>
      </c>
      <c r="BA109" s="133">
        <f>商品录入!BA109*$E109</f>
        <v>0</v>
      </c>
      <c r="BB109" s="133">
        <f>商品录入!BB109*$E109</f>
        <v>0</v>
      </c>
      <c r="BC109" s="133">
        <f>商品录入!BC109*$E109</f>
        <v>0</v>
      </c>
      <c r="BD109" s="133">
        <f>商品录入!BD109*$E109</f>
        <v>0</v>
      </c>
      <c r="BE109" s="133">
        <f>商品录入!BE109*$E109</f>
        <v>0</v>
      </c>
      <c r="BF109" s="133">
        <f>商品录入!BF109*$E109</f>
        <v>0</v>
      </c>
      <c r="BG109" s="133">
        <f>商品录入!BG109*$E109</f>
        <v>0</v>
      </c>
      <c r="BH109" s="133">
        <f>商品录入!BH109*$E109</f>
        <v>0</v>
      </c>
      <c r="BI109" s="133">
        <f>商品录入!BI109*$E109</f>
        <v>0</v>
      </c>
      <c r="BJ109" s="133">
        <f>商品录入!BJ109*$E109</f>
        <v>0</v>
      </c>
      <c r="BK109" s="133">
        <f>商品录入!BK109*$E109</f>
        <v>0</v>
      </c>
      <c r="BL109" s="133">
        <f>商品录入!BL109*$E109</f>
        <v>0</v>
      </c>
      <c r="BM109" s="133">
        <f>商品录入!BM109*$E109</f>
        <v>0</v>
      </c>
      <c r="BN109" s="133">
        <f>商品录入!BN109*$E109</f>
        <v>0</v>
      </c>
      <c r="BO109" s="133">
        <f>商品录入!BO109*$E109</f>
        <v>0</v>
      </c>
      <c r="BP109" s="133">
        <f>商品录入!BP109*$E109</f>
        <v>0</v>
      </c>
      <c r="BQ109" s="133">
        <f>商品录入!BQ109*$E109</f>
        <v>0</v>
      </c>
      <c r="BR109" s="133">
        <f>商品录入!BR109*$E109</f>
        <v>0</v>
      </c>
      <c r="BS109" s="133">
        <f>商品录入!BS109*$E109</f>
        <v>0</v>
      </c>
      <c r="BT109" s="133">
        <f>商品录入!BT109*$E109</f>
        <v>0</v>
      </c>
      <c r="BU109" s="133">
        <f>商品录入!BU109*$E109</f>
        <v>0</v>
      </c>
      <c r="BV109" s="133">
        <f>商品录入!BV109*$E109</f>
        <v>0</v>
      </c>
      <c r="BW109" s="133">
        <f>商品录入!BW109*$E109</f>
        <v>0</v>
      </c>
    </row>
    <row r="110" s="178" customFormat="1" customHeight="1" spans="1:75">
      <c r="A110" s="161">
        <v>106</v>
      </c>
      <c r="B110" s="162">
        <f>商品录入!B110</f>
        <v>0</v>
      </c>
      <c r="C110" s="162">
        <f>商品录入!C110</f>
        <v>0</v>
      </c>
      <c r="D110" s="162">
        <f>商品录入!D110</f>
        <v>0</v>
      </c>
      <c r="E110" s="162">
        <f>商品录入!E110</f>
        <v>0</v>
      </c>
      <c r="F110" s="162">
        <f>商品录入!F110</f>
        <v>0</v>
      </c>
      <c r="G110" s="162">
        <f>商品录入!G110</f>
        <v>0</v>
      </c>
      <c r="H110" s="162">
        <f>商品录入!H110</f>
        <v>0</v>
      </c>
      <c r="I110" s="162">
        <f>商品录入!I110</f>
        <v>0</v>
      </c>
      <c r="J110" s="162">
        <f>商品录入!J110</f>
        <v>0</v>
      </c>
      <c r="K110" s="162">
        <f>商品录入!K110</f>
        <v>0</v>
      </c>
      <c r="L110" s="162">
        <f>商品录入!L110</f>
        <v>0</v>
      </c>
      <c r="M110" s="162">
        <f>商品录入!M110</f>
        <v>0</v>
      </c>
      <c r="N110" s="133">
        <f>商品录入!N110*$E110</f>
        <v>0</v>
      </c>
      <c r="O110" s="133">
        <f>商品录入!O110*$E110</f>
        <v>0</v>
      </c>
      <c r="P110" s="133">
        <f>商品录入!P110*$E110</f>
        <v>0</v>
      </c>
      <c r="Q110" s="133">
        <f>商品录入!Q110*$E110</f>
        <v>0</v>
      </c>
      <c r="R110" s="133">
        <f>商品录入!R110*$E110</f>
        <v>0</v>
      </c>
      <c r="S110" s="133">
        <f>商品录入!S110*$E110</f>
        <v>0</v>
      </c>
      <c r="T110" s="133">
        <f>商品录入!T110*$E110</f>
        <v>0</v>
      </c>
      <c r="U110" s="133">
        <f>商品录入!U110*$E110</f>
        <v>0</v>
      </c>
      <c r="V110" s="133">
        <f>商品录入!V110*$E110</f>
        <v>0</v>
      </c>
      <c r="W110" s="133">
        <f>商品录入!W110*$E110</f>
        <v>0</v>
      </c>
      <c r="X110" s="133">
        <f>商品录入!X110*$E110</f>
        <v>0</v>
      </c>
      <c r="Y110" s="133">
        <f>商品录入!Y110*$E110</f>
        <v>0</v>
      </c>
      <c r="Z110" s="133">
        <f>商品录入!Z110*$E110</f>
        <v>0</v>
      </c>
      <c r="AA110" s="133">
        <f>商品录入!AA110*$E110</f>
        <v>0</v>
      </c>
      <c r="AB110" s="133">
        <f>商品录入!AB110*$E110</f>
        <v>0</v>
      </c>
      <c r="AC110" s="133">
        <f>商品录入!AC110*$E110</f>
        <v>0</v>
      </c>
      <c r="AD110" s="133">
        <f>商品录入!AD110*$E110</f>
        <v>0</v>
      </c>
      <c r="AE110" s="133">
        <f>商品录入!AE110*$E110</f>
        <v>0</v>
      </c>
      <c r="AF110" s="133">
        <f>商品录入!AF110*$E110</f>
        <v>0</v>
      </c>
      <c r="AG110" s="133">
        <f>商品录入!AG110*$E110</f>
        <v>0</v>
      </c>
      <c r="AH110" s="133">
        <f>商品录入!AH110*$E110</f>
        <v>0</v>
      </c>
      <c r="AI110" s="133">
        <f>商品录入!AI110*$E110</f>
        <v>0</v>
      </c>
      <c r="AJ110" s="133">
        <f>商品录入!AJ110*$E110</f>
        <v>0</v>
      </c>
      <c r="AK110" s="133">
        <f>商品录入!AK110*$E110</f>
        <v>0</v>
      </c>
      <c r="AL110" s="133">
        <f>商品录入!AL110*$E110</f>
        <v>0</v>
      </c>
      <c r="AM110" s="133">
        <f>商品录入!AM110*$E110</f>
        <v>0</v>
      </c>
      <c r="AN110" s="133">
        <f>商品录入!AN110*$E110</f>
        <v>0</v>
      </c>
      <c r="AO110" s="133">
        <f>商品录入!AO110*$E110</f>
        <v>0</v>
      </c>
      <c r="AP110" s="133">
        <f>商品录入!AP110*$E110</f>
        <v>0</v>
      </c>
      <c r="AQ110" s="133">
        <f>商品录入!AQ110*$E110</f>
        <v>0</v>
      </c>
      <c r="AR110" s="133">
        <f>商品录入!AR110*$E110</f>
        <v>0</v>
      </c>
      <c r="AS110" s="133">
        <f>商品录入!AS110*$E110</f>
        <v>0</v>
      </c>
      <c r="AT110" s="133">
        <f>商品录入!AT110*$E110</f>
        <v>0</v>
      </c>
      <c r="AU110" s="133">
        <f>商品录入!AU110*$E110</f>
        <v>0</v>
      </c>
      <c r="AV110" s="133">
        <f>商品录入!AV110*$E110</f>
        <v>0</v>
      </c>
      <c r="AW110" s="133">
        <f>商品录入!AW110*$E110</f>
        <v>0</v>
      </c>
      <c r="AX110" s="133">
        <f>商品录入!AX110*$E110</f>
        <v>0</v>
      </c>
      <c r="AY110" s="133">
        <f>商品录入!AY110*$E110</f>
        <v>0</v>
      </c>
      <c r="AZ110" s="133">
        <f>商品录入!AZ110*$E110</f>
        <v>0</v>
      </c>
      <c r="BA110" s="133">
        <f>商品录入!BA110*$E110</f>
        <v>0</v>
      </c>
      <c r="BB110" s="133">
        <f>商品录入!BB110*$E110</f>
        <v>0</v>
      </c>
      <c r="BC110" s="133">
        <f>商品录入!BC110*$E110</f>
        <v>0</v>
      </c>
      <c r="BD110" s="133">
        <f>商品录入!BD110*$E110</f>
        <v>0</v>
      </c>
      <c r="BE110" s="133">
        <f>商品录入!BE110*$E110</f>
        <v>0</v>
      </c>
      <c r="BF110" s="133">
        <f>商品录入!BF110*$E110</f>
        <v>0</v>
      </c>
      <c r="BG110" s="133">
        <f>商品录入!BG110*$E110</f>
        <v>0</v>
      </c>
      <c r="BH110" s="133">
        <f>商品录入!BH110*$E110</f>
        <v>0</v>
      </c>
      <c r="BI110" s="133">
        <f>商品录入!BI110*$E110</f>
        <v>0</v>
      </c>
      <c r="BJ110" s="133">
        <f>商品录入!BJ110*$E110</f>
        <v>0</v>
      </c>
      <c r="BK110" s="133">
        <f>商品录入!BK110*$E110</f>
        <v>0</v>
      </c>
      <c r="BL110" s="133">
        <f>商品录入!BL110*$E110</f>
        <v>0</v>
      </c>
      <c r="BM110" s="133">
        <f>商品录入!BM110*$E110</f>
        <v>0</v>
      </c>
      <c r="BN110" s="133">
        <f>商品录入!BN110*$E110</f>
        <v>0</v>
      </c>
      <c r="BO110" s="133">
        <f>商品录入!BO110*$E110</f>
        <v>0</v>
      </c>
      <c r="BP110" s="133">
        <f>商品录入!BP110*$E110</f>
        <v>0</v>
      </c>
      <c r="BQ110" s="133">
        <f>商品录入!BQ110*$E110</f>
        <v>0</v>
      </c>
      <c r="BR110" s="133">
        <f>商品录入!BR110*$E110</f>
        <v>0</v>
      </c>
      <c r="BS110" s="133">
        <f>商品录入!BS110*$E110</f>
        <v>0</v>
      </c>
      <c r="BT110" s="133">
        <f>商品录入!BT110*$E110</f>
        <v>0</v>
      </c>
      <c r="BU110" s="133">
        <f>商品录入!BU110*$E110</f>
        <v>0</v>
      </c>
      <c r="BV110" s="133">
        <f>商品录入!BV110*$E110</f>
        <v>0</v>
      </c>
      <c r="BW110" s="133">
        <f>商品录入!BW110*$E110</f>
        <v>0</v>
      </c>
    </row>
    <row r="111" s="178" customFormat="1" customHeight="1" spans="1:75">
      <c r="A111" s="161">
        <v>107</v>
      </c>
      <c r="B111" s="162">
        <f>商品录入!B111</f>
        <v>0</v>
      </c>
      <c r="C111" s="162">
        <f>商品录入!C111</f>
        <v>0</v>
      </c>
      <c r="D111" s="162">
        <f>商品录入!D111</f>
        <v>0</v>
      </c>
      <c r="E111" s="162">
        <f>商品录入!E111</f>
        <v>0</v>
      </c>
      <c r="F111" s="162">
        <f>商品录入!F111</f>
        <v>0</v>
      </c>
      <c r="G111" s="162">
        <f>商品录入!G111</f>
        <v>0</v>
      </c>
      <c r="H111" s="162">
        <f>商品录入!H111</f>
        <v>0</v>
      </c>
      <c r="I111" s="162">
        <f>商品录入!I111</f>
        <v>0</v>
      </c>
      <c r="J111" s="162">
        <f>商品录入!J111</f>
        <v>0</v>
      </c>
      <c r="K111" s="162">
        <f>商品录入!K111</f>
        <v>0</v>
      </c>
      <c r="L111" s="162">
        <f>商品录入!L111</f>
        <v>0</v>
      </c>
      <c r="M111" s="162">
        <f>商品录入!M111</f>
        <v>0</v>
      </c>
      <c r="N111" s="133">
        <f>商品录入!N111*$E111</f>
        <v>0</v>
      </c>
      <c r="O111" s="133">
        <f>商品录入!O111*$E111</f>
        <v>0</v>
      </c>
      <c r="P111" s="133">
        <f>商品录入!P111*$E111</f>
        <v>0</v>
      </c>
      <c r="Q111" s="133">
        <f>商品录入!Q111*$E111</f>
        <v>0</v>
      </c>
      <c r="R111" s="133">
        <f>商品录入!R111*$E111</f>
        <v>0</v>
      </c>
      <c r="S111" s="133">
        <f>商品录入!S111*$E111</f>
        <v>0</v>
      </c>
      <c r="T111" s="133">
        <f>商品录入!T111*$E111</f>
        <v>0</v>
      </c>
      <c r="U111" s="133">
        <f>商品录入!U111*$E111</f>
        <v>0</v>
      </c>
      <c r="V111" s="133">
        <f>商品录入!V111*$E111</f>
        <v>0</v>
      </c>
      <c r="W111" s="133">
        <f>商品录入!W111*$E111</f>
        <v>0</v>
      </c>
      <c r="X111" s="133">
        <f>商品录入!X111*$E111</f>
        <v>0</v>
      </c>
      <c r="Y111" s="133">
        <f>商品录入!Y111*$E111</f>
        <v>0</v>
      </c>
      <c r="Z111" s="133">
        <f>商品录入!Z111*$E111</f>
        <v>0</v>
      </c>
      <c r="AA111" s="133">
        <f>商品录入!AA111*$E111</f>
        <v>0</v>
      </c>
      <c r="AB111" s="133">
        <f>商品录入!AB111*$E111</f>
        <v>0</v>
      </c>
      <c r="AC111" s="133">
        <f>商品录入!AC111*$E111</f>
        <v>0</v>
      </c>
      <c r="AD111" s="133">
        <f>商品录入!AD111*$E111</f>
        <v>0</v>
      </c>
      <c r="AE111" s="133">
        <f>商品录入!AE111*$E111</f>
        <v>0</v>
      </c>
      <c r="AF111" s="133">
        <f>商品录入!AF111*$E111</f>
        <v>0</v>
      </c>
      <c r="AG111" s="133">
        <f>商品录入!AG111*$E111</f>
        <v>0</v>
      </c>
      <c r="AH111" s="133">
        <f>商品录入!AH111*$E111</f>
        <v>0</v>
      </c>
      <c r="AI111" s="133">
        <f>商品录入!AI111*$E111</f>
        <v>0</v>
      </c>
      <c r="AJ111" s="133">
        <f>商品录入!AJ111*$E111</f>
        <v>0</v>
      </c>
      <c r="AK111" s="133">
        <f>商品录入!AK111*$E111</f>
        <v>0</v>
      </c>
      <c r="AL111" s="133">
        <f>商品录入!AL111*$E111</f>
        <v>0</v>
      </c>
      <c r="AM111" s="133">
        <f>商品录入!AM111*$E111</f>
        <v>0</v>
      </c>
      <c r="AN111" s="133">
        <f>商品录入!AN111*$E111</f>
        <v>0</v>
      </c>
      <c r="AO111" s="133">
        <f>商品录入!AO111*$E111</f>
        <v>0</v>
      </c>
      <c r="AP111" s="133">
        <f>商品录入!AP111*$E111</f>
        <v>0</v>
      </c>
      <c r="AQ111" s="133">
        <f>商品录入!AQ111*$E111</f>
        <v>0</v>
      </c>
      <c r="AR111" s="133">
        <f>商品录入!AR111*$E111</f>
        <v>0</v>
      </c>
      <c r="AS111" s="133">
        <f>商品录入!AS111*$E111</f>
        <v>0</v>
      </c>
      <c r="AT111" s="133">
        <f>商品录入!AT111*$E111</f>
        <v>0</v>
      </c>
      <c r="AU111" s="133">
        <f>商品录入!AU111*$E111</f>
        <v>0</v>
      </c>
      <c r="AV111" s="133">
        <f>商品录入!AV111*$E111</f>
        <v>0</v>
      </c>
      <c r="AW111" s="133">
        <f>商品录入!AW111*$E111</f>
        <v>0</v>
      </c>
      <c r="AX111" s="133">
        <f>商品录入!AX111*$E111</f>
        <v>0</v>
      </c>
      <c r="AY111" s="133">
        <f>商品录入!AY111*$E111</f>
        <v>0</v>
      </c>
      <c r="AZ111" s="133">
        <f>商品录入!AZ111*$E111</f>
        <v>0</v>
      </c>
      <c r="BA111" s="133">
        <f>商品录入!BA111*$E111</f>
        <v>0</v>
      </c>
      <c r="BB111" s="133">
        <f>商品录入!BB111*$E111</f>
        <v>0</v>
      </c>
      <c r="BC111" s="133">
        <f>商品录入!BC111*$E111</f>
        <v>0</v>
      </c>
      <c r="BD111" s="133">
        <f>商品录入!BD111*$E111</f>
        <v>0</v>
      </c>
      <c r="BE111" s="133">
        <f>商品录入!BE111*$E111</f>
        <v>0</v>
      </c>
      <c r="BF111" s="133">
        <f>商品录入!BF111*$E111</f>
        <v>0</v>
      </c>
      <c r="BG111" s="133">
        <f>商品录入!BG111*$E111</f>
        <v>0</v>
      </c>
      <c r="BH111" s="133">
        <f>商品录入!BH111*$E111</f>
        <v>0</v>
      </c>
      <c r="BI111" s="133">
        <f>商品录入!BI111*$E111</f>
        <v>0</v>
      </c>
      <c r="BJ111" s="133">
        <f>商品录入!BJ111*$E111</f>
        <v>0</v>
      </c>
      <c r="BK111" s="133">
        <f>商品录入!BK111*$E111</f>
        <v>0</v>
      </c>
      <c r="BL111" s="133">
        <f>商品录入!BL111*$E111</f>
        <v>0</v>
      </c>
      <c r="BM111" s="133">
        <f>商品录入!BM111*$E111</f>
        <v>0</v>
      </c>
      <c r="BN111" s="133">
        <f>商品录入!BN111*$E111</f>
        <v>0</v>
      </c>
      <c r="BO111" s="133">
        <f>商品录入!BO111*$E111</f>
        <v>0</v>
      </c>
      <c r="BP111" s="133">
        <f>商品录入!BP111*$E111</f>
        <v>0</v>
      </c>
      <c r="BQ111" s="133">
        <f>商品录入!BQ111*$E111</f>
        <v>0</v>
      </c>
      <c r="BR111" s="133">
        <f>商品录入!BR111*$E111</f>
        <v>0</v>
      </c>
      <c r="BS111" s="133">
        <f>商品录入!BS111*$E111</f>
        <v>0</v>
      </c>
      <c r="BT111" s="133">
        <f>商品录入!BT111*$E111</f>
        <v>0</v>
      </c>
      <c r="BU111" s="133">
        <f>商品录入!BU111*$E111</f>
        <v>0</v>
      </c>
      <c r="BV111" s="133">
        <f>商品录入!BV111*$E111</f>
        <v>0</v>
      </c>
      <c r="BW111" s="133">
        <f>商品录入!BW111*$E111</f>
        <v>0</v>
      </c>
    </row>
    <row r="112" s="178" customFormat="1" customHeight="1" spans="1:75">
      <c r="A112" s="161">
        <v>108</v>
      </c>
      <c r="B112" s="162">
        <f>商品录入!B112</f>
        <v>0</v>
      </c>
      <c r="C112" s="162">
        <f>商品录入!C112</f>
        <v>0</v>
      </c>
      <c r="D112" s="162">
        <f>商品录入!D112</f>
        <v>0</v>
      </c>
      <c r="E112" s="162">
        <f>商品录入!E112</f>
        <v>0</v>
      </c>
      <c r="F112" s="162">
        <f>商品录入!F112</f>
        <v>0</v>
      </c>
      <c r="G112" s="162">
        <f>商品录入!G112</f>
        <v>0</v>
      </c>
      <c r="H112" s="162">
        <f>商品录入!H112</f>
        <v>0</v>
      </c>
      <c r="I112" s="162">
        <f>商品录入!I112</f>
        <v>0</v>
      </c>
      <c r="J112" s="162">
        <f>商品录入!J112</f>
        <v>0</v>
      </c>
      <c r="K112" s="162">
        <f>商品录入!K112</f>
        <v>0</v>
      </c>
      <c r="L112" s="162">
        <f>商品录入!L112</f>
        <v>0</v>
      </c>
      <c r="M112" s="162">
        <f>商品录入!M112</f>
        <v>0</v>
      </c>
      <c r="N112" s="133">
        <f>商品录入!N112*$E112</f>
        <v>0</v>
      </c>
      <c r="O112" s="133">
        <f>商品录入!O112*$E112</f>
        <v>0</v>
      </c>
      <c r="P112" s="133">
        <f>商品录入!P112*$E112</f>
        <v>0</v>
      </c>
      <c r="Q112" s="133">
        <f>商品录入!Q112*$E112</f>
        <v>0</v>
      </c>
      <c r="R112" s="133">
        <f>商品录入!R112*$E112</f>
        <v>0</v>
      </c>
      <c r="S112" s="133">
        <f>商品录入!S112*$E112</f>
        <v>0</v>
      </c>
      <c r="T112" s="133">
        <f>商品录入!T112*$E112</f>
        <v>0</v>
      </c>
      <c r="U112" s="133">
        <f>商品录入!U112*$E112</f>
        <v>0</v>
      </c>
      <c r="V112" s="133">
        <f>商品录入!V112*$E112</f>
        <v>0</v>
      </c>
      <c r="W112" s="133">
        <f>商品录入!W112*$E112</f>
        <v>0</v>
      </c>
      <c r="X112" s="133">
        <f>商品录入!X112*$E112</f>
        <v>0</v>
      </c>
      <c r="Y112" s="133">
        <f>商品录入!Y112*$E112</f>
        <v>0</v>
      </c>
      <c r="Z112" s="133">
        <f>商品录入!Z112*$E112</f>
        <v>0</v>
      </c>
      <c r="AA112" s="133">
        <f>商品录入!AA112*$E112</f>
        <v>0</v>
      </c>
      <c r="AB112" s="133">
        <f>商品录入!AB112*$E112</f>
        <v>0</v>
      </c>
      <c r="AC112" s="133">
        <f>商品录入!AC112*$E112</f>
        <v>0</v>
      </c>
      <c r="AD112" s="133">
        <f>商品录入!AD112*$E112</f>
        <v>0</v>
      </c>
      <c r="AE112" s="133">
        <f>商品录入!AE112*$E112</f>
        <v>0</v>
      </c>
      <c r="AF112" s="133">
        <f>商品录入!AF112*$E112</f>
        <v>0</v>
      </c>
      <c r="AG112" s="133">
        <f>商品录入!AG112*$E112</f>
        <v>0</v>
      </c>
      <c r="AH112" s="133">
        <f>商品录入!AH112*$E112</f>
        <v>0</v>
      </c>
      <c r="AI112" s="133">
        <f>商品录入!AI112*$E112</f>
        <v>0</v>
      </c>
      <c r="AJ112" s="133">
        <f>商品录入!AJ112*$E112</f>
        <v>0</v>
      </c>
      <c r="AK112" s="133">
        <f>商品录入!AK112*$E112</f>
        <v>0</v>
      </c>
      <c r="AL112" s="133">
        <f>商品录入!AL112*$E112</f>
        <v>0</v>
      </c>
      <c r="AM112" s="133">
        <f>商品录入!AM112*$E112</f>
        <v>0</v>
      </c>
      <c r="AN112" s="133">
        <f>商品录入!AN112*$E112</f>
        <v>0</v>
      </c>
      <c r="AO112" s="133">
        <f>商品录入!AO112*$E112</f>
        <v>0</v>
      </c>
      <c r="AP112" s="133">
        <f>商品录入!AP112*$E112</f>
        <v>0</v>
      </c>
      <c r="AQ112" s="133">
        <f>商品录入!AQ112*$E112</f>
        <v>0</v>
      </c>
      <c r="AR112" s="133">
        <f>商品录入!AR112*$E112</f>
        <v>0</v>
      </c>
      <c r="AS112" s="133">
        <f>商品录入!AS112*$E112</f>
        <v>0</v>
      </c>
      <c r="AT112" s="133">
        <f>商品录入!AT112*$E112</f>
        <v>0</v>
      </c>
      <c r="AU112" s="133">
        <f>商品录入!AU112*$E112</f>
        <v>0</v>
      </c>
      <c r="AV112" s="133">
        <f>商品录入!AV112*$E112</f>
        <v>0</v>
      </c>
      <c r="AW112" s="133">
        <f>商品录入!AW112*$E112</f>
        <v>0</v>
      </c>
      <c r="AX112" s="133">
        <f>商品录入!AX112*$E112</f>
        <v>0</v>
      </c>
      <c r="AY112" s="133">
        <f>商品录入!AY112*$E112</f>
        <v>0</v>
      </c>
      <c r="AZ112" s="133">
        <f>商品录入!AZ112*$E112</f>
        <v>0</v>
      </c>
      <c r="BA112" s="133">
        <f>商品录入!BA112*$E112</f>
        <v>0</v>
      </c>
      <c r="BB112" s="133">
        <f>商品录入!BB112*$E112</f>
        <v>0</v>
      </c>
      <c r="BC112" s="133">
        <f>商品录入!BC112*$E112</f>
        <v>0</v>
      </c>
      <c r="BD112" s="133">
        <f>商品录入!BD112*$E112</f>
        <v>0</v>
      </c>
      <c r="BE112" s="133">
        <f>商品录入!BE112*$E112</f>
        <v>0</v>
      </c>
      <c r="BF112" s="133">
        <f>商品录入!BF112*$E112</f>
        <v>0</v>
      </c>
      <c r="BG112" s="133">
        <f>商品录入!BG112*$E112</f>
        <v>0</v>
      </c>
      <c r="BH112" s="133">
        <f>商品录入!BH112*$E112</f>
        <v>0</v>
      </c>
      <c r="BI112" s="133">
        <f>商品录入!BI112*$E112</f>
        <v>0</v>
      </c>
      <c r="BJ112" s="133">
        <f>商品录入!BJ112*$E112</f>
        <v>0</v>
      </c>
      <c r="BK112" s="133">
        <f>商品录入!BK112*$E112</f>
        <v>0</v>
      </c>
      <c r="BL112" s="133">
        <f>商品录入!BL112*$E112</f>
        <v>0</v>
      </c>
      <c r="BM112" s="133">
        <f>商品录入!BM112*$E112</f>
        <v>0</v>
      </c>
      <c r="BN112" s="133">
        <f>商品录入!BN112*$E112</f>
        <v>0</v>
      </c>
      <c r="BO112" s="133">
        <f>商品录入!BO112*$E112</f>
        <v>0</v>
      </c>
      <c r="BP112" s="133">
        <f>商品录入!BP112*$E112</f>
        <v>0</v>
      </c>
      <c r="BQ112" s="133">
        <f>商品录入!BQ112*$E112</f>
        <v>0</v>
      </c>
      <c r="BR112" s="133">
        <f>商品录入!BR112*$E112</f>
        <v>0</v>
      </c>
      <c r="BS112" s="133">
        <f>商品录入!BS112*$E112</f>
        <v>0</v>
      </c>
      <c r="BT112" s="133">
        <f>商品录入!BT112*$E112</f>
        <v>0</v>
      </c>
      <c r="BU112" s="133">
        <f>商品录入!BU112*$E112</f>
        <v>0</v>
      </c>
      <c r="BV112" s="133">
        <f>商品录入!BV112*$E112</f>
        <v>0</v>
      </c>
      <c r="BW112" s="133">
        <f>商品录入!BW112*$E112</f>
        <v>0</v>
      </c>
    </row>
    <row r="113" s="178" customFormat="1" customHeight="1" spans="1:75">
      <c r="A113" s="161">
        <v>109</v>
      </c>
      <c r="B113" s="162">
        <f>商品录入!B113</f>
        <v>0</v>
      </c>
      <c r="C113" s="162">
        <f>商品录入!C113</f>
        <v>0</v>
      </c>
      <c r="D113" s="162">
        <f>商品录入!D113</f>
        <v>0</v>
      </c>
      <c r="E113" s="162">
        <f>商品录入!E113</f>
        <v>0</v>
      </c>
      <c r="F113" s="162">
        <f>商品录入!F113</f>
        <v>0</v>
      </c>
      <c r="G113" s="162">
        <f>商品录入!G113</f>
        <v>0</v>
      </c>
      <c r="H113" s="162">
        <f>商品录入!H113</f>
        <v>0</v>
      </c>
      <c r="I113" s="162">
        <f>商品录入!I113</f>
        <v>0</v>
      </c>
      <c r="J113" s="162">
        <f>商品录入!J113</f>
        <v>0</v>
      </c>
      <c r="K113" s="162">
        <f>商品录入!K113</f>
        <v>0</v>
      </c>
      <c r="L113" s="162">
        <f>商品录入!L113</f>
        <v>0</v>
      </c>
      <c r="M113" s="162">
        <f>商品录入!M113</f>
        <v>0</v>
      </c>
      <c r="N113" s="133">
        <f>商品录入!N113*$E113</f>
        <v>0</v>
      </c>
      <c r="O113" s="133">
        <f>商品录入!O113*$E113</f>
        <v>0</v>
      </c>
      <c r="P113" s="133">
        <f>商品录入!P113*$E113</f>
        <v>0</v>
      </c>
      <c r="Q113" s="133">
        <f>商品录入!Q113*$E113</f>
        <v>0</v>
      </c>
      <c r="R113" s="133">
        <f>商品录入!R113*$E113</f>
        <v>0</v>
      </c>
      <c r="S113" s="133">
        <f>商品录入!S113*$E113</f>
        <v>0</v>
      </c>
      <c r="T113" s="133">
        <f>商品录入!T113*$E113</f>
        <v>0</v>
      </c>
      <c r="U113" s="133">
        <f>商品录入!U113*$E113</f>
        <v>0</v>
      </c>
      <c r="V113" s="133">
        <f>商品录入!V113*$E113</f>
        <v>0</v>
      </c>
      <c r="W113" s="133">
        <f>商品录入!W113*$E113</f>
        <v>0</v>
      </c>
      <c r="X113" s="133">
        <f>商品录入!X113*$E113</f>
        <v>0</v>
      </c>
      <c r="Y113" s="133">
        <f>商品录入!Y113*$E113</f>
        <v>0</v>
      </c>
      <c r="Z113" s="133">
        <f>商品录入!Z113*$E113</f>
        <v>0</v>
      </c>
      <c r="AA113" s="133">
        <f>商品录入!AA113*$E113</f>
        <v>0</v>
      </c>
      <c r="AB113" s="133">
        <f>商品录入!AB113*$E113</f>
        <v>0</v>
      </c>
      <c r="AC113" s="133">
        <f>商品录入!AC113*$E113</f>
        <v>0</v>
      </c>
      <c r="AD113" s="133">
        <f>商品录入!AD113*$E113</f>
        <v>0</v>
      </c>
      <c r="AE113" s="133">
        <f>商品录入!AE113*$E113</f>
        <v>0</v>
      </c>
      <c r="AF113" s="133">
        <f>商品录入!AF113*$E113</f>
        <v>0</v>
      </c>
      <c r="AG113" s="133">
        <f>商品录入!AG113*$E113</f>
        <v>0</v>
      </c>
      <c r="AH113" s="133">
        <f>商品录入!AH113*$E113</f>
        <v>0</v>
      </c>
      <c r="AI113" s="133">
        <f>商品录入!AI113*$E113</f>
        <v>0</v>
      </c>
      <c r="AJ113" s="133">
        <f>商品录入!AJ113*$E113</f>
        <v>0</v>
      </c>
      <c r="AK113" s="133">
        <f>商品录入!AK113*$E113</f>
        <v>0</v>
      </c>
      <c r="AL113" s="133">
        <f>商品录入!AL113*$E113</f>
        <v>0</v>
      </c>
      <c r="AM113" s="133">
        <f>商品录入!AM113*$E113</f>
        <v>0</v>
      </c>
      <c r="AN113" s="133">
        <f>商品录入!AN113*$E113</f>
        <v>0</v>
      </c>
      <c r="AO113" s="133">
        <f>商品录入!AO113*$E113</f>
        <v>0</v>
      </c>
      <c r="AP113" s="133">
        <f>商品录入!AP113*$E113</f>
        <v>0</v>
      </c>
      <c r="AQ113" s="133">
        <f>商品录入!AQ113*$E113</f>
        <v>0</v>
      </c>
      <c r="AR113" s="133">
        <f>商品录入!AR113*$E113</f>
        <v>0</v>
      </c>
      <c r="AS113" s="133">
        <f>商品录入!AS113*$E113</f>
        <v>0</v>
      </c>
      <c r="AT113" s="133">
        <f>商品录入!AT113*$E113</f>
        <v>0</v>
      </c>
      <c r="AU113" s="133">
        <f>商品录入!AU113*$E113</f>
        <v>0</v>
      </c>
      <c r="AV113" s="133">
        <f>商品录入!AV113*$E113</f>
        <v>0</v>
      </c>
      <c r="AW113" s="133">
        <f>商品录入!AW113*$E113</f>
        <v>0</v>
      </c>
      <c r="AX113" s="133">
        <f>商品录入!AX113*$E113</f>
        <v>0</v>
      </c>
      <c r="AY113" s="133">
        <f>商品录入!AY113*$E113</f>
        <v>0</v>
      </c>
      <c r="AZ113" s="133">
        <f>商品录入!AZ113*$E113</f>
        <v>0</v>
      </c>
      <c r="BA113" s="133">
        <f>商品录入!BA113*$E113</f>
        <v>0</v>
      </c>
      <c r="BB113" s="133">
        <f>商品录入!BB113*$E113</f>
        <v>0</v>
      </c>
      <c r="BC113" s="133">
        <f>商品录入!BC113*$E113</f>
        <v>0</v>
      </c>
      <c r="BD113" s="133">
        <f>商品录入!BD113*$E113</f>
        <v>0</v>
      </c>
      <c r="BE113" s="133">
        <f>商品录入!BE113*$E113</f>
        <v>0</v>
      </c>
      <c r="BF113" s="133">
        <f>商品录入!BF113*$E113</f>
        <v>0</v>
      </c>
      <c r="BG113" s="133">
        <f>商品录入!BG113*$E113</f>
        <v>0</v>
      </c>
      <c r="BH113" s="133">
        <f>商品录入!BH113*$E113</f>
        <v>0</v>
      </c>
      <c r="BI113" s="133">
        <f>商品录入!BI113*$E113</f>
        <v>0</v>
      </c>
      <c r="BJ113" s="133">
        <f>商品录入!BJ113*$E113</f>
        <v>0</v>
      </c>
      <c r="BK113" s="133">
        <f>商品录入!BK113*$E113</f>
        <v>0</v>
      </c>
      <c r="BL113" s="133">
        <f>商品录入!BL113*$E113</f>
        <v>0</v>
      </c>
      <c r="BM113" s="133">
        <f>商品录入!BM113*$E113</f>
        <v>0</v>
      </c>
      <c r="BN113" s="133">
        <f>商品录入!BN113*$E113</f>
        <v>0</v>
      </c>
      <c r="BO113" s="133">
        <f>商品录入!BO113*$E113</f>
        <v>0</v>
      </c>
      <c r="BP113" s="133">
        <f>商品录入!BP113*$E113</f>
        <v>0</v>
      </c>
      <c r="BQ113" s="133">
        <f>商品录入!BQ113*$E113</f>
        <v>0</v>
      </c>
      <c r="BR113" s="133">
        <f>商品录入!BR113*$E113</f>
        <v>0</v>
      </c>
      <c r="BS113" s="133">
        <f>商品录入!BS113*$E113</f>
        <v>0</v>
      </c>
      <c r="BT113" s="133">
        <f>商品录入!BT113*$E113</f>
        <v>0</v>
      </c>
      <c r="BU113" s="133">
        <f>商品录入!BU113*$E113</f>
        <v>0</v>
      </c>
      <c r="BV113" s="133">
        <f>商品录入!BV113*$E113</f>
        <v>0</v>
      </c>
      <c r="BW113" s="133">
        <f>商品录入!BW113*$E113</f>
        <v>0</v>
      </c>
    </row>
    <row r="114" s="178" customFormat="1" customHeight="1" spans="1:75">
      <c r="A114" s="161">
        <v>110</v>
      </c>
      <c r="B114" s="162">
        <f>商品录入!B114</f>
        <v>0</v>
      </c>
      <c r="C114" s="162">
        <f>商品录入!C114</f>
        <v>0</v>
      </c>
      <c r="D114" s="162">
        <f>商品录入!D114</f>
        <v>0</v>
      </c>
      <c r="E114" s="162">
        <f>商品录入!E114</f>
        <v>0</v>
      </c>
      <c r="F114" s="162">
        <f>商品录入!F114</f>
        <v>0</v>
      </c>
      <c r="G114" s="162">
        <f>商品录入!G114</f>
        <v>0</v>
      </c>
      <c r="H114" s="162">
        <f>商品录入!H114</f>
        <v>0</v>
      </c>
      <c r="I114" s="162">
        <f>商品录入!I114</f>
        <v>0</v>
      </c>
      <c r="J114" s="162">
        <f>商品录入!J114</f>
        <v>0</v>
      </c>
      <c r="K114" s="162">
        <f>商品录入!K114</f>
        <v>0</v>
      </c>
      <c r="L114" s="162">
        <f>商品录入!L114</f>
        <v>0</v>
      </c>
      <c r="M114" s="162">
        <f>商品录入!M114</f>
        <v>0</v>
      </c>
      <c r="N114" s="133">
        <f>商品录入!N114*$E114</f>
        <v>0</v>
      </c>
      <c r="O114" s="133">
        <f>商品录入!O114*$E114</f>
        <v>0</v>
      </c>
      <c r="P114" s="133">
        <f>商品录入!P114*$E114</f>
        <v>0</v>
      </c>
      <c r="Q114" s="133">
        <f>商品录入!Q114*$E114</f>
        <v>0</v>
      </c>
      <c r="R114" s="133">
        <f>商品录入!R114*$E114</f>
        <v>0</v>
      </c>
      <c r="S114" s="133">
        <f>商品录入!S114*$E114</f>
        <v>0</v>
      </c>
      <c r="T114" s="133">
        <f>商品录入!T114*$E114</f>
        <v>0</v>
      </c>
      <c r="U114" s="133">
        <f>商品录入!U114*$E114</f>
        <v>0</v>
      </c>
      <c r="V114" s="133">
        <f>商品录入!V114*$E114</f>
        <v>0</v>
      </c>
      <c r="W114" s="133">
        <f>商品录入!W114*$E114</f>
        <v>0</v>
      </c>
      <c r="X114" s="133">
        <f>商品录入!X114*$E114</f>
        <v>0</v>
      </c>
      <c r="Y114" s="133">
        <f>商品录入!Y114*$E114</f>
        <v>0</v>
      </c>
      <c r="Z114" s="133">
        <f>商品录入!Z114*$E114</f>
        <v>0</v>
      </c>
      <c r="AA114" s="133">
        <f>商品录入!AA114*$E114</f>
        <v>0</v>
      </c>
      <c r="AB114" s="133">
        <f>商品录入!AB114*$E114</f>
        <v>0</v>
      </c>
      <c r="AC114" s="133">
        <f>商品录入!AC114*$E114</f>
        <v>0</v>
      </c>
      <c r="AD114" s="133">
        <f>商品录入!AD114*$E114</f>
        <v>0</v>
      </c>
      <c r="AE114" s="133">
        <f>商品录入!AE114*$E114</f>
        <v>0</v>
      </c>
      <c r="AF114" s="133">
        <f>商品录入!AF114*$E114</f>
        <v>0</v>
      </c>
      <c r="AG114" s="133">
        <f>商品录入!AG114*$E114</f>
        <v>0</v>
      </c>
      <c r="AH114" s="133">
        <f>商品录入!AH114*$E114</f>
        <v>0</v>
      </c>
      <c r="AI114" s="133">
        <f>商品录入!AI114*$E114</f>
        <v>0</v>
      </c>
      <c r="AJ114" s="133">
        <f>商品录入!AJ114*$E114</f>
        <v>0</v>
      </c>
      <c r="AK114" s="133">
        <f>商品录入!AK114*$E114</f>
        <v>0</v>
      </c>
      <c r="AL114" s="133">
        <f>商品录入!AL114*$E114</f>
        <v>0</v>
      </c>
      <c r="AM114" s="133">
        <f>商品录入!AM114*$E114</f>
        <v>0</v>
      </c>
      <c r="AN114" s="133">
        <f>商品录入!AN114*$E114</f>
        <v>0</v>
      </c>
      <c r="AO114" s="133">
        <f>商品录入!AO114*$E114</f>
        <v>0</v>
      </c>
      <c r="AP114" s="133">
        <f>商品录入!AP114*$E114</f>
        <v>0</v>
      </c>
      <c r="AQ114" s="133">
        <f>商品录入!AQ114*$E114</f>
        <v>0</v>
      </c>
      <c r="AR114" s="133">
        <f>商品录入!AR114*$E114</f>
        <v>0</v>
      </c>
      <c r="AS114" s="133">
        <f>商品录入!AS114*$E114</f>
        <v>0</v>
      </c>
      <c r="AT114" s="133">
        <f>商品录入!AT114*$E114</f>
        <v>0</v>
      </c>
      <c r="AU114" s="133">
        <f>商品录入!AU114*$E114</f>
        <v>0</v>
      </c>
      <c r="AV114" s="133">
        <f>商品录入!AV114*$E114</f>
        <v>0</v>
      </c>
      <c r="AW114" s="133">
        <f>商品录入!AW114*$E114</f>
        <v>0</v>
      </c>
      <c r="AX114" s="133">
        <f>商品录入!AX114*$E114</f>
        <v>0</v>
      </c>
      <c r="AY114" s="133">
        <f>商品录入!AY114*$E114</f>
        <v>0</v>
      </c>
      <c r="AZ114" s="133">
        <f>商品录入!AZ114*$E114</f>
        <v>0</v>
      </c>
      <c r="BA114" s="133">
        <f>商品录入!BA114*$E114</f>
        <v>0</v>
      </c>
      <c r="BB114" s="133">
        <f>商品录入!BB114*$E114</f>
        <v>0</v>
      </c>
      <c r="BC114" s="133">
        <f>商品录入!BC114*$E114</f>
        <v>0</v>
      </c>
      <c r="BD114" s="133">
        <f>商品录入!BD114*$E114</f>
        <v>0</v>
      </c>
      <c r="BE114" s="133">
        <f>商品录入!BE114*$E114</f>
        <v>0</v>
      </c>
      <c r="BF114" s="133">
        <f>商品录入!BF114*$E114</f>
        <v>0</v>
      </c>
      <c r="BG114" s="133">
        <f>商品录入!BG114*$E114</f>
        <v>0</v>
      </c>
      <c r="BH114" s="133">
        <f>商品录入!BH114*$E114</f>
        <v>0</v>
      </c>
      <c r="BI114" s="133">
        <f>商品录入!BI114*$E114</f>
        <v>0</v>
      </c>
      <c r="BJ114" s="133">
        <f>商品录入!BJ114*$E114</f>
        <v>0</v>
      </c>
      <c r="BK114" s="133">
        <f>商品录入!BK114*$E114</f>
        <v>0</v>
      </c>
      <c r="BL114" s="133">
        <f>商品录入!BL114*$E114</f>
        <v>0</v>
      </c>
      <c r="BM114" s="133">
        <f>商品录入!BM114*$E114</f>
        <v>0</v>
      </c>
      <c r="BN114" s="133">
        <f>商品录入!BN114*$E114</f>
        <v>0</v>
      </c>
      <c r="BO114" s="133">
        <f>商品录入!BO114*$E114</f>
        <v>0</v>
      </c>
      <c r="BP114" s="133">
        <f>商品录入!BP114*$E114</f>
        <v>0</v>
      </c>
      <c r="BQ114" s="133">
        <f>商品录入!BQ114*$E114</f>
        <v>0</v>
      </c>
      <c r="BR114" s="133">
        <f>商品录入!BR114*$E114</f>
        <v>0</v>
      </c>
      <c r="BS114" s="133">
        <f>商品录入!BS114*$E114</f>
        <v>0</v>
      </c>
      <c r="BT114" s="133">
        <f>商品录入!BT114*$E114</f>
        <v>0</v>
      </c>
      <c r="BU114" s="133">
        <f>商品录入!BU114*$E114</f>
        <v>0</v>
      </c>
      <c r="BV114" s="133">
        <f>商品录入!BV114*$E114</f>
        <v>0</v>
      </c>
      <c r="BW114" s="133">
        <f>商品录入!BW114*$E114</f>
        <v>0</v>
      </c>
    </row>
    <row r="115" s="178" customFormat="1" customHeight="1" spans="1:75">
      <c r="A115" s="161">
        <v>111</v>
      </c>
      <c r="B115" s="162">
        <f>商品录入!B115</f>
        <v>0</v>
      </c>
      <c r="C115" s="162">
        <f>商品录入!C115</f>
        <v>0</v>
      </c>
      <c r="D115" s="162">
        <f>商品录入!D115</f>
        <v>0</v>
      </c>
      <c r="E115" s="162">
        <f>商品录入!E115</f>
        <v>0</v>
      </c>
      <c r="F115" s="162">
        <f>商品录入!F115</f>
        <v>0</v>
      </c>
      <c r="G115" s="162">
        <f>商品录入!G115</f>
        <v>0</v>
      </c>
      <c r="H115" s="162">
        <f>商品录入!H115</f>
        <v>0</v>
      </c>
      <c r="I115" s="162">
        <f>商品录入!I115</f>
        <v>0</v>
      </c>
      <c r="J115" s="162">
        <f>商品录入!J115</f>
        <v>0</v>
      </c>
      <c r="K115" s="162">
        <f>商品录入!K115</f>
        <v>0</v>
      </c>
      <c r="L115" s="162">
        <f>商品录入!L115</f>
        <v>0</v>
      </c>
      <c r="M115" s="162">
        <f>商品录入!M115</f>
        <v>0</v>
      </c>
      <c r="N115" s="133">
        <f>商品录入!N115*$E115</f>
        <v>0</v>
      </c>
      <c r="O115" s="133">
        <f>商品录入!O115*$E115</f>
        <v>0</v>
      </c>
      <c r="P115" s="133">
        <f>商品录入!P115*$E115</f>
        <v>0</v>
      </c>
      <c r="Q115" s="133">
        <f>商品录入!Q115*$E115</f>
        <v>0</v>
      </c>
      <c r="R115" s="133">
        <f>商品录入!R115*$E115</f>
        <v>0</v>
      </c>
      <c r="S115" s="133">
        <f>商品录入!S115*$E115</f>
        <v>0</v>
      </c>
      <c r="T115" s="133">
        <f>商品录入!T115*$E115</f>
        <v>0</v>
      </c>
      <c r="U115" s="133">
        <f>商品录入!U115*$E115</f>
        <v>0</v>
      </c>
      <c r="V115" s="133">
        <f>商品录入!V115*$E115</f>
        <v>0</v>
      </c>
      <c r="W115" s="133">
        <f>商品录入!W115*$E115</f>
        <v>0</v>
      </c>
      <c r="X115" s="133">
        <f>商品录入!X115*$E115</f>
        <v>0</v>
      </c>
      <c r="Y115" s="133">
        <f>商品录入!Y115*$E115</f>
        <v>0</v>
      </c>
      <c r="Z115" s="133">
        <f>商品录入!Z115*$E115</f>
        <v>0</v>
      </c>
      <c r="AA115" s="133">
        <f>商品录入!AA115*$E115</f>
        <v>0</v>
      </c>
      <c r="AB115" s="133">
        <f>商品录入!AB115*$E115</f>
        <v>0</v>
      </c>
      <c r="AC115" s="133">
        <f>商品录入!AC115*$E115</f>
        <v>0</v>
      </c>
      <c r="AD115" s="133">
        <f>商品录入!AD115*$E115</f>
        <v>0</v>
      </c>
      <c r="AE115" s="133">
        <f>商品录入!AE115*$E115</f>
        <v>0</v>
      </c>
      <c r="AF115" s="133">
        <f>商品录入!AF115*$E115</f>
        <v>0</v>
      </c>
      <c r="AG115" s="133">
        <f>商品录入!AG115*$E115</f>
        <v>0</v>
      </c>
      <c r="AH115" s="133">
        <f>商品录入!AH115*$E115</f>
        <v>0</v>
      </c>
      <c r="AI115" s="133">
        <f>商品录入!AI115*$E115</f>
        <v>0</v>
      </c>
      <c r="AJ115" s="133">
        <f>商品录入!AJ115*$E115</f>
        <v>0</v>
      </c>
      <c r="AK115" s="133">
        <f>商品录入!AK115*$E115</f>
        <v>0</v>
      </c>
      <c r="AL115" s="133">
        <f>商品录入!AL115*$E115</f>
        <v>0</v>
      </c>
      <c r="AM115" s="133">
        <f>商品录入!AM115*$E115</f>
        <v>0</v>
      </c>
      <c r="AN115" s="133">
        <f>商品录入!AN115*$E115</f>
        <v>0</v>
      </c>
      <c r="AO115" s="133">
        <f>商品录入!AO115*$E115</f>
        <v>0</v>
      </c>
      <c r="AP115" s="133">
        <f>商品录入!AP115*$E115</f>
        <v>0</v>
      </c>
      <c r="AQ115" s="133">
        <f>商品录入!AQ115*$E115</f>
        <v>0</v>
      </c>
      <c r="AR115" s="133">
        <f>商品录入!AR115*$E115</f>
        <v>0</v>
      </c>
      <c r="AS115" s="133">
        <f>商品录入!AS115*$E115</f>
        <v>0</v>
      </c>
      <c r="AT115" s="133">
        <f>商品录入!AT115*$E115</f>
        <v>0</v>
      </c>
      <c r="AU115" s="133">
        <f>商品录入!AU115*$E115</f>
        <v>0</v>
      </c>
      <c r="AV115" s="133">
        <f>商品录入!AV115*$E115</f>
        <v>0</v>
      </c>
      <c r="AW115" s="133">
        <f>商品录入!AW115*$E115</f>
        <v>0</v>
      </c>
      <c r="AX115" s="133">
        <f>商品录入!AX115*$E115</f>
        <v>0</v>
      </c>
      <c r="AY115" s="133">
        <f>商品录入!AY115*$E115</f>
        <v>0</v>
      </c>
      <c r="AZ115" s="133">
        <f>商品录入!AZ115*$E115</f>
        <v>0</v>
      </c>
      <c r="BA115" s="133">
        <f>商品录入!BA115*$E115</f>
        <v>0</v>
      </c>
      <c r="BB115" s="133">
        <f>商品录入!BB115*$E115</f>
        <v>0</v>
      </c>
      <c r="BC115" s="133">
        <f>商品录入!BC115*$E115</f>
        <v>0</v>
      </c>
      <c r="BD115" s="133">
        <f>商品录入!BD115*$E115</f>
        <v>0</v>
      </c>
      <c r="BE115" s="133">
        <f>商品录入!BE115*$E115</f>
        <v>0</v>
      </c>
      <c r="BF115" s="133">
        <f>商品录入!BF115*$E115</f>
        <v>0</v>
      </c>
      <c r="BG115" s="133">
        <f>商品录入!BG115*$E115</f>
        <v>0</v>
      </c>
      <c r="BH115" s="133">
        <f>商品录入!BH115*$E115</f>
        <v>0</v>
      </c>
      <c r="BI115" s="133">
        <f>商品录入!BI115*$E115</f>
        <v>0</v>
      </c>
      <c r="BJ115" s="133">
        <f>商品录入!BJ115*$E115</f>
        <v>0</v>
      </c>
      <c r="BK115" s="133">
        <f>商品录入!BK115*$E115</f>
        <v>0</v>
      </c>
      <c r="BL115" s="133">
        <f>商品录入!BL115*$E115</f>
        <v>0</v>
      </c>
      <c r="BM115" s="133">
        <f>商品录入!BM115*$E115</f>
        <v>0</v>
      </c>
      <c r="BN115" s="133">
        <f>商品录入!BN115*$E115</f>
        <v>0</v>
      </c>
      <c r="BO115" s="133">
        <f>商品录入!BO115*$E115</f>
        <v>0</v>
      </c>
      <c r="BP115" s="133">
        <f>商品录入!BP115*$E115</f>
        <v>0</v>
      </c>
      <c r="BQ115" s="133">
        <f>商品录入!BQ115*$E115</f>
        <v>0</v>
      </c>
      <c r="BR115" s="133">
        <f>商品录入!BR115*$E115</f>
        <v>0</v>
      </c>
      <c r="BS115" s="133">
        <f>商品录入!BS115*$E115</f>
        <v>0</v>
      </c>
      <c r="BT115" s="133">
        <f>商品录入!BT115*$E115</f>
        <v>0</v>
      </c>
      <c r="BU115" s="133">
        <f>商品录入!BU115*$E115</f>
        <v>0</v>
      </c>
      <c r="BV115" s="133">
        <f>商品录入!BV115*$E115</f>
        <v>0</v>
      </c>
      <c r="BW115" s="133">
        <f>商品录入!BW115*$E115</f>
        <v>0</v>
      </c>
    </row>
    <row r="116" s="178" customFormat="1" customHeight="1" spans="1:75">
      <c r="A116" s="161">
        <v>112</v>
      </c>
      <c r="B116" s="162">
        <f>商品录入!B116</f>
        <v>0</v>
      </c>
      <c r="C116" s="162">
        <f>商品录入!C116</f>
        <v>0</v>
      </c>
      <c r="D116" s="162">
        <f>商品录入!D116</f>
        <v>0</v>
      </c>
      <c r="E116" s="162">
        <f>商品录入!E116</f>
        <v>0</v>
      </c>
      <c r="F116" s="162">
        <f>商品录入!F116</f>
        <v>0</v>
      </c>
      <c r="G116" s="162">
        <f>商品录入!G116</f>
        <v>0</v>
      </c>
      <c r="H116" s="162">
        <f>商品录入!H116</f>
        <v>0</v>
      </c>
      <c r="I116" s="162">
        <f>商品录入!I116</f>
        <v>0</v>
      </c>
      <c r="J116" s="162">
        <f>商品录入!J116</f>
        <v>0</v>
      </c>
      <c r="K116" s="162">
        <f>商品录入!K116</f>
        <v>0</v>
      </c>
      <c r="L116" s="162">
        <f>商品录入!L116</f>
        <v>0</v>
      </c>
      <c r="M116" s="162">
        <f>商品录入!M116</f>
        <v>0</v>
      </c>
      <c r="N116" s="133">
        <f>商品录入!N116*$E116</f>
        <v>0</v>
      </c>
      <c r="O116" s="133">
        <f>商品录入!O116*$E116</f>
        <v>0</v>
      </c>
      <c r="P116" s="133">
        <f>商品录入!P116*$E116</f>
        <v>0</v>
      </c>
      <c r="Q116" s="133">
        <f>商品录入!Q116*$E116</f>
        <v>0</v>
      </c>
      <c r="R116" s="133">
        <f>商品录入!R116*$E116</f>
        <v>0</v>
      </c>
      <c r="S116" s="133">
        <f>商品录入!S116*$E116</f>
        <v>0</v>
      </c>
      <c r="T116" s="133">
        <f>商品录入!T116*$E116</f>
        <v>0</v>
      </c>
      <c r="U116" s="133">
        <f>商品录入!U116*$E116</f>
        <v>0</v>
      </c>
      <c r="V116" s="133">
        <f>商品录入!V116*$E116</f>
        <v>0</v>
      </c>
      <c r="W116" s="133">
        <f>商品录入!W116*$E116</f>
        <v>0</v>
      </c>
      <c r="X116" s="133">
        <f>商品录入!X116*$E116</f>
        <v>0</v>
      </c>
      <c r="Y116" s="133">
        <f>商品录入!Y116*$E116</f>
        <v>0</v>
      </c>
      <c r="Z116" s="133">
        <f>商品录入!Z116*$E116</f>
        <v>0</v>
      </c>
      <c r="AA116" s="133">
        <f>商品录入!AA116*$E116</f>
        <v>0</v>
      </c>
      <c r="AB116" s="133">
        <f>商品录入!AB116*$E116</f>
        <v>0</v>
      </c>
      <c r="AC116" s="133">
        <f>商品录入!AC116*$E116</f>
        <v>0</v>
      </c>
      <c r="AD116" s="133">
        <f>商品录入!AD116*$E116</f>
        <v>0</v>
      </c>
      <c r="AE116" s="133">
        <f>商品录入!AE116*$E116</f>
        <v>0</v>
      </c>
      <c r="AF116" s="133">
        <f>商品录入!AF116*$E116</f>
        <v>0</v>
      </c>
      <c r="AG116" s="133">
        <f>商品录入!AG116*$E116</f>
        <v>0</v>
      </c>
      <c r="AH116" s="133">
        <f>商品录入!AH116*$E116</f>
        <v>0</v>
      </c>
      <c r="AI116" s="133">
        <f>商品录入!AI116*$E116</f>
        <v>0</v>
      </c>
      <c r="AJ116" s="133">
        <f>商品录入!AJ116*$E116</f>
        <v>0</v>
      </c>
      <c r="AK116" s="133">
        <f>商品录入!AK116*$E116</f>
        <v>0</v>
      </c>
      <c r="AL116" s="133">
        <f>商品录入!AL116*$E116</f>
        <v>0</v>
      </c>
      <c r="AM116" s="133">
        <f>商品录入!AM116*$E116</f>
        <v>0</v>
      </c>
      <c r="AN116" s="133">
        <f>商品录入!AN116*$E116</f>
        <v>0</v>
      </c>
      <c r="AO116" s="133">
        <f>商品录入!AO116*$E116</f>
        <v>0</v>
      </c>
      <c r="AP116" s="133">
        <f>商品录入!AP116*$E116</f>
        <v>0</v>
      </c>
      <c r="AQ116" s="133">
        <f>商品录入!AQ116*$E116</f>
        <v>0</v>
      </c>
      <c r="AR116" s="133">
        <f>商品录入!AR116*$E116</f>
        <v>0</v>
      </c>
      <c r="AS116" s="133">
        <f>商品录入!AS116*$E116</f>
        <v>0</v>
      </c>
      <c r="AT116" s="133">
        <f>商品录入!AT116*$E116</f>
        <v>0</v>
      </c>
      <c r="AU116" s="133">
        <f>商品录入!AU116*$E116</f>
        <v>0</v>
      </c>
      <c r="AV116" s="133">
        <f>商品录入!AV116*$E116</f>
        <v>0</v>
      </c>
      <c r="AW116" s="133">
        <f>商品录入!AW116*$E116</f>
        <v>0</v>
      </c>
      <c r="AX116" s="133">
        <f>商品录入!AX116*$E116</f>
        <v>0</v>
      </c>
      <c r="AY116" s="133">
        <f>商品录入!AY116*$E116</f>
        <v>0</v>
      </c>
      <c r="AZ116" s="133">
        <f>商品录入!AZ116*$E116</f>
        <v>0</v>
      </c>
      <c r="BA116" s="133">
        <f>商品录入!BA116*$E116</f>
        <v>0</v>
      </c>
      <c r="BB116" s="133">
        <f>商品录入!BB116*$E116</f>
        <v>0</v>
      </c>
      <c r="BC116" s="133">
        <f>商品录入!BC116*$E116</f>
        <v>0</v>
      </c>
      <c r="BD116" s="133">
        <f>商品录入!BD116*$E116</f>
        <v>0</v>
      </c>
      <c r="BE116" s="133">
        <f>商品录入!BE116*$E116</f>
        <v>0</v>
      </c>
      <c r="BF116" s="133">
        <f>商品录入!BF116*$E116</f>
        <v>0</v>
      </c>
      <c r="BG116" s="133">
        <f>商品录入!BG116*$E116</f>
        <v>0</v>
      </c>
      <c r="BH116" s="133">
        <f>商品录入!BH116*$E116</f>
        <v>0</v>
      </c>
      <c r="BI116" s="133">
        <f>商品录入!BI116*$E116</f>
        <v>0</v>
      </c>
      <c r="BJ116" s="133">
        <f>商品录入!BJ116*$E116</f>
        <v>0</v>
      </c>
      <c r="BK116" s="133">
        <f>商品录入!BK116*$E116</f>
        <v>0</v>
      </c>
      <c r="BL116" s="133">
        <f>商品录入!BL116*$E116</f>
        <v>0</v>
      </c>
      <c r="BM116" s="133">
        <f>商品录入!BM116*$E116</f>
        <v>0</v>
      </c>
      <c r="BN116" s="133">
        <f>商品录入!BN116*$E116</f>
        <v>0</v>
      </c>
      <c r="BO116" s="133">
        <f>商品录入!BO116*$E116</f>
        <v>0</v>
      </c>
      <c r="BP116" s="133">
        <f>商品录入!BP116*$E116</f>
        <v>0</v>
      </c>
      <c r="BQ116" s="133">
        <f>商品录入!BQ116*$E116</f>
        <v>0</v>
      </c>
      <c r="BR116" s="133">
        <f>商品录入!BR116*$E116</f>
        <v>0</v>
      </c>
      <c r="BS116" s="133">
        <f>商品录入!BS116*$E116</f>
        <v>0</v>
      </c>
      <c r="BT116" s="133">
        <f>商品录入!BT116*$E116</f>
        <v>0</v>
      </c>
      <c r="BU116" s="133">
        <f>商品录入!BU116*$E116</f>
        <v>0</v>
      </c>
      <c r="BV116" s="133">
        <f>商品录入!BV116*$E116</f>
        <v>0</v>
      </c>
      <c r="BW116" s="133">
        <f>商品录入!BW116*$E116</f>
        <v>0</v>
      </c>
    </row>
    <row r="117" s="178" customFormat="1" customHeight="1" spans="1:75">
      <c r="A117" s="161">
        <v>113</v>
      </c>
      <c r="B117" s="162">
        <f>商品录入!B117</f>
        <v>0</v>
      </c>
      <c r="C117" s="162">
        <f>商品录入!C117</f>
        <v>0</v>
      </c>
      <c r="D117" s="162">
        <f>商品录入!D117</f>
        <v>0</v>
      </c>
      <c r="E117" s="162">
        <f>商品录入!E117</f>
        <v>0</v>
      </c>
      <c r="F117" s="162">
        <f>商品录入!F117</f>
        <v>0</v>
      </c>
      <c r="G117" s="162">
        <f>商品录入!G117</f>
        <v>0</v>
      </c>
      <c r="H117" s="162">
        <f>商品录入!H117</f>
        <v>0</v>
      </c>
      <c r="I117" s="162">
        <f>商品录入!I117</f>
        <v>0</v>
      </c>
      <c r="J117" s="162">
        <f>商品录入!J117</f>
        <v>0</v>
      </c>
      <c r="K117" s="162">
        <f>商品录入!K117</f>
        <v>0</v>
      </c>
      <c r="L117" s="162">
        <f>商品录入!L117</f>
        <v>0</v>
      </c>
      <c r="M117" s="162">
        <f>商品录入!M117</f>
        <v>0</v>
      </c>
      <c r="N117" s="133">
        <f>商品录入!N117*$E117</f>
        <v>0</v>
      </c>
      <c r="O117" s="133">
        <f>商品录入!O117*$E117</f>
        <v>0</v>
      </c>
      <c r="P117" s="133">
        <f>商品录入!P117*$E117</f>
        <v>0</v>
      </c>
      <c r="Q117" s="133">
        <f>商品录入!Q117*$E117</f>
        <v>0</v>
      </c>
      <c r="R117" s="133">
        <f>商品录入!R117*$E117</f>
        <v>0</v>
      </c>
      <c r="S117" s="133">
        <f>商品录入!S117*$E117</f>
        <v>0</v>
      </c>
      <c r="T117" s="133">
        <f>商品录入!T117*$E117</f>
        <v>0</v>
      </c>
      <c r="U117" s="133">
        <f>商品录入!U117*$E117</f>
        <v>0</v>
      </c>
      <c r="V117" s="133">
        <f>商品录入!V117*$E117</f>
        <v>0</v>
      </c>
      <c r="W117" s="133">
        <f>商品录入!W117*$E117</f>
        <v>0</v>
      </c>
      <c r="X117" s="133">
        <f>商品录入!X117*$E117</f>
        <v>0</v>
      </c>
      <c r="Y117" s="133">
        <f>商品录入!Y117*$E117</f>
        <v>0</v>
      </c>
      <c r="Z117" s="133">
        <f>商品录入!Z117*$E117</f>
        <v>0</v>
      </c>
      <c r="AA117" s="133">
        <f>商品录入!AA117*$E117</f>
        <v>0</v>
      </c>
      <c r="AB117" s="133">
        <f>商品录入!AB117*$E117</f>
        <v>0</v>
      </c>
      <c r="AC117" s="133">
        <f>商品录入!AC117*$E117</f>
        <v>0</v>
      </c>
      <c r="AD117" s="133">
        <f>商品录入!AD117*$E117</f>
        <v>0</v>
      </c>
      <c r="AE117" s="133">
        <f>商品录入!AE117*$E117</f>
        <v>0</v>
      </c>
      <c r="AF117" s="133">
        <f>商品录入!AF117*$E117</f>
        <v>0</v>
      </c>
      <c r="AG117" s="133">
        <f>商品录入!AG117*$E117</f>
        <v>0</v>
      </c>
      <c r="AH117" s="133">
        <f>商品录入!AH117*$E117</f>
        <v>0</v>
      </c>
      <c r="AI117" s="133">
        <f>商品录入!AI117*$E117</f>
        <v>0</v>
      </c>
      <c r="AJ117" s="133">
        <f>商品录入!AJ117*$E117</f>
        <v>0</v>
      </c>
      <c r="AK117" s="133">
        <f>商品录入!AK117*$E117</f>
        <v>0</v>
      </c>
      <c r="AL117" s="133">
        <f>商品录入!AL117*$E117</f>
        <v>0</v>
      </c>
      <c r="AM117" s="133">
        <f>商品录入!AM117*$E117</f>
        <v>0</v>
      </c>
      <c r="AN117" s="133">
        <f>商品录入!AN117*$E117</f>
        <v>0</v>
      </c>
      <c r="AO117" s="133">
        <f>商品录入!AO117*$E117</f>
        <v>0</v>
      </c>
      <c r="AP117" s="133">
        <f>商品录入!AP117*$E117</f>
        <v>0</v>
      </c>
      <c r="AQ117" s="133">
        <f>商品录入!AQ117*$E117</f>
        <v>0</v>
      </c>
      <c r="AR117" s="133">
        <f>商品录入!AR117*$E117</f>
        <v>0</v>
      </c>
      <c r="AS117" s="133">
        <f>商品录入!AS117*$E117</f>
        <v>0</v>
      </c>
      <c r="AT117" s="133">
        <f>商品录入!AT117*$E117</f>
        <v>0</v>
      </c>
      <c r="AU117" s="133">
        <f>商品录入!AU117*$E117</f>
        <v>0</v>
      </c>
      <c r="AV117" s="133">
        <f>商品录入!AV117*$E117</f>
        <v>0</v>
      </c>
      <c r="AW117" s="133">
        <f>商品录入!AW117*$E117</f>
        <v>0</v>
      </c>
      <c r="AX117" s="133">
        <f>商品录入!AX117*$E117</f>
        <v>0</v>
      </c>
      <c r="AY117" s="133">
        <f>商品录入!AY117*$E117</f>
        <v>0</v>
      </c>
      <c r="AZ117" s="133">
        <f>商品录入!AZ117*$E117</f>
        <v>0</v>
      </c>
      <c r="BA117" s="133">
        <f>商品录入!BA117*$E117</f>
        <v>0</v>
      </c>
      <c r="BB117" s="133">
        <f>商品录入!BB117*$E117</f>
        <v>0</v>
      </c>
      <c r="BC117" s="133">
        <f>商品录入!BC117*$E117</f>
        <v>0</v>
      </c>
      <c r="BD117" s="133">
        <f>商品录入!BD117*$E117</f>
        <v>0</v>
      </c>
      <c r="BE117" s="133">
        <f>商品录入!BE117*$E117</f>
        <v>0</v>
      </c>
      <c r="BF117" s="133">
        <f>商品录入!BF117*$E117</f>
        <v>0</v>
      </c>
      <c r="BG117" s="133">
        <f>商品录入!BG117*$E117</f>
        <v>0</v>
      </c>
      <c r="BH117" s="133">
        <f>商品录入!BH117*$E117</f>
        <v>0</v>
      </c>
      <c r="BI117" s="133">
        <f>商品录入!BI117*$E117</f>
        <v>0</v>
      </c>
      <c r="BJ117" s="133">
        <f>商品录入!BJ117*$E117</f>
        <v>0</v>
      </c>
      <c r="BK117" s="133">
        <f>商品录入!BK117*$E117</f>
        <v>0</v>
      </c>
      <c r="BL117" s="133">
        <f>商品录入!BL117*$E117</f>
        <v>0</v>
      </c>
      <c r="BM117" s="133">
        <f>商品录入!BM117*$E117</f>
        <v>0</v>
      </c>
      <c r="BN117" s="133">
        <f>商品录入!BN117*$E117</f>
        <v>0</v>
      </c>
      <c r="BO117" s="133">
        <f>商品录入!BO117*$E117</f>
        <v>0</v>
      </c>
      <c r="BP117" s="133">
        <f>商品录入!BP117*$E117</f>
        <v>0</v>
      </c>
      <c r="BQ117" s="133">
        <f>商品录入!BQ117*$E117</f>
        <v>0</v>
      </c>
      <c r="BR117" s="133">
        <f>商品录入!BR117*$E117</f>
        <v>0</v>
      </c>
      <c r="BS117" s="133">
        <f>商品录入!BS117*$E117</f>
        <v>0</v>
      </c>
      <c r="BT117" s="133">
        <f>商品录入!BT117*$E117</f>
        <v>0</v>
      </c>
      <c r="BU117" s="133">
        <f>商品录入!BU117*$E117</f>
        <v>0</v>
      </c>
      <c r="BV117" s="133">
        <f>商品录入!BV117*$E117</f>
        <v>0</v>
      </c>
      <c r="BW117" s="133">
        <f>商品录入!BW117*$E117</f>
        <v>0</v>
      </c>
    </row>
    <row r="118" s="178" customFormat="1" customHeight="1" spans="1:75">
      <c r="A118" s="161">
        <v>114</v>
      </c>
      <c r="B118" s="162">
        <f>商品录入!B118</f>
        <v>0</v>
      </c>
      <c r="C118" s="162">
        <f>商品录入!C118</f>
        <v>0</v>
      </c>
      <c r="D118" s="162">
        <f>商品录入!D118</f>
        <v>0</v>
      </c>
      <c r="E118" s="162">
        <f>商品录入!E118</f>
        <v>0</v>
      </c>
      <c r="F118" s="162">
        <f>商品录入!F118</f>
        <v>0</v>
      </c>
      <c r="G118" s="162">
        <f>商品录入!G118</f>
        <v>0</v>
      </c>
      <c r="H118" s="162">
        <f>商品录入!H118</f>
        <v>0</v>
      </c>
      <c r="I118" s="162">
        <f>商品录入!I118</f>
        <v>0</v>
      </c>
      <c r="J118" s="162">
        <f>商品录入!J118</f>
        <v>0</v>
      </c>
      <c r="K118" s="162">
        <f>商品录入!K118</f>
        <v>0</v>
      </c>
      <c r="L118" s="162">
        <f>商品录入!L118</f>
        <v>0</v>
      </c>
      <c r="M118" s="162">
        <f>商品录入!M118</f>
        <v>0</v>
      </c>
      <c r="N118" s="133">
        <f>商品录入!N118*$E118</f>
        <v>0</v>
      </c>
      <c r="O118" s="133">
        <f>商品录入!O118*$E118</f>
        <v>0</v>
      </c>
      <c r="P118" s="133">
        <f>商品录入!P118*$E118</f>
        <v>0</v>
      </c>
      <c r="Q118" s="133">
        <f>商品录入!Q118*$E118</f>
        <v>0</v>
      </c>
      <c r="R118" s="133">
        <f>商品录入!R118*$E118</f>
        <v>0</v>
      </c>
      <c r="S118" s="133">
        <f>商品录入!S118*$E118</f>
        <v>0</v>
      </c>
      <c r="T118" s="133">
        <f>商品录入!T118*$E118</f>
        <v>0</v>
      </c>
      <c r="U118" s="133">
        <f>商品录入!U118*$E118</f>
        <v>0</v>
      </c>
      <c r="V118" s="133">
        <f>商品录入!V118*$E118</f>
        <v>0</v>
      </c>
      <c r="W118" s="133">
        <f>商品录入!W118*$E118</f>
        <v>0</v>
      </c>
      <c r="X118" s="133">
        <f>商品录入!X118*$E118</f>
        <v>0</v>
      </c>
      <c r="Y118" s="133">
        <f>商品录入!Y118*$E118</f>
        <v>0</v>
      </c>
      <c r="Z118" s="133">
        <f>商品录入!Z118*$E118</f>
        <v>0</v>
      </c>
      <c r="AA118" s="133">
        <f>商品录入!AA118*$E118</f>
        <v>0</v>
      </c>
      <c r="AB118" s="133">
        <f>商品录入!AB118*$E118</f>
        <v>0</v>
      </c>
      <c r="AC118" s="133">
        <f>商品录入!AC118*$E118</f>
        <v>0</v>
      </c>
      <c r="AD118" s="133">
        <f>商品录入!AD118*$E118</f>
        <v>0</v>
      </c>
      <c r="AE118" s="133">
        <f>商品录入!AE118*$E118</f>
        <v>0</v>
      </c>
      <c r="AF118" s="133">
        <f>商品录入!AF118*$E118</f>
        <v>0</v>
      </c>
      <c r="AG118" s="133">
        <f>商品录入!AG118*$E118</f>
        <v>0</v>
      </c>
      <c r="AH118" s="133">
        <f>商品录入!AH118*$E118</f>
        <v>0</v>
      </c>
      <c r="AI118" s="133">
        <f>商品录入!AI118*$E118</f>
        <v>0</v>
      </c>
      <c r="AJ118" s="133">
        <f>商品录入!AJ118*$E118</f>
        <v>0</v>
      </c>
      <c r="AK118" s="133">
        <f>商品录入!AK118*$E118</f>
        <v>0</v>
      </c>
      <c r="AL118" s="133">
        <f>商品录入!AL118*$E118</f>
        <v>0</v>
      </c>
      <c r="AM118" s="133">
        <f>商品录入!AM118*$E118</f>
        <v>0</v>
      </c>
      <c r="AN118" s="133">
        <f>商品录入!AN118*$E118</f>
        <v>0</v>
      </c>
      <c r="AO118" s="133">
        <f>商品录入!AO118*$E118</f>
        <v>0</v>
      </c>
      <c r="AP118" s="133">
        <f>商品录入!AP118*$E118</f>
        <v>0</v>
      </c>
      <c r="AQ118" s="133">
        <f>商品录入!AQ118*$E118</f>
        <v>0</v>
      </c>
      <c r="AR118" s="133">
        <f>商品录入!AR118*$E118</f>
        <v>0</v>
      </c>
      <c r="AS118" s="133">
        <f>商品录入!AS118*$E118</f>
        <v>0</v>
      </c>
      <c r="AT118" s="133">
        <f>商品录入!AT118*$E118</f>
        <v>0</v>
      </c>
      <c r="AU118" s="133">
        <f>商品录入!AU118*$E118</f>
        <v>0</v>
      </c>
      <c r="AV118" s="133">
        <f>商品录入!AV118*$E118</f>
        <v>0</v>
      </c>
      <c r="AW118" s="133">
        <f>商品录入!AW118*$E118</f>
        <v>0</v>
      </c>
      <c r="AX118" s="133">
        <f>商品录入!AX118*$E118</f>
        <v>0</v>
      </c>
      <c r="AY118" s="133">
        <f>商品录入!AY118*$E118</f>
        <v>0</v>
      </c>
      <c r="AZ118" s="133">
        <f>商品录入!AZ118*$E118</f>
        <v>0</v>
      </c>
      <c r="BA118" s="133">
        <f>商品录入!BA118*$E118</f>
        <v>0</v>
      </c>
      <c r="BB118" s="133">
        <f>商品录入!BB118*$E118</f>
        <v>0</v>
      </c>
      <c r="BC118" s="133">
        <f>商品录入!BC118*$E118</f>
        <v>0</v>
      </c>
      <c r="BD118" s="133">
        <f>商品录入!BD118*$E118</f>
        <v>0</v>
      </c>
      <c r="BE118" s="133">
        <f>商品录入!BE118*$E118</f>
        <v>0</v>
      </c>
      <c r="BF118" s="133">
        <f>商品录入!BF118*$E118</f>
        <v>0</v>
      </c>
      <c r="BG118" s="133">
        <f>商品录入!BG118*$E118</f>
        <v>0</v>
      </c>
      <c r="BH118" s="133">
        <f>商品录入!BH118*$E118</f>
        <v>0</v>
      </c>
      <c r="BI118" s="133">
        <f>商品录入!BI118*$E118</f>
        <v>0</v>
      </c>
      <c r="BJ118" s="133">
        <f>商品录入!BJ118*$E118</f>
        <v>0</v>
      </c>
      <c r="BK118" s="133">
        <f>商品录入!BK118*$E118</f>
        <v>0</v>
      </c>
      <c r="BL118" s="133">
        <f>商品录入!BL118*$E118</f>
        <v>0</v>
      </c>
      <c r="BM118" s="133">
        <f>商品录入!BM118*$E118</f>
        <v>0</v>
      </c>
      <c r="BN118" s="133">
        <f>商品录入!BN118*$E118</f>
        <v>0</v>
      </c>
      <c r="BO118" s="133">
        <f>商品录入!BO118*$E118</f>
        <v>0</v>
      </c>
      <c r="BP118" s="133">
        <f>商品录入!BP118*$E118</f>
        <v>0</v>
      </c>
      <c r="BQ118" s="133">
        <f>商品录入!BQ118*$E118</f>
        <v>0</v>
      </c>
      <c r="BR118" s="133">
        <f>商品录入!BR118*$E118</f>
        <v>0</v>
      </c>
      <c r="BS118" s="133">
        <f>商品录入!BS118*$E118</f>
        <v>0</v>
      </c>
      <c r="BT118" s="133">
        <f>商品录入!BT118*$E118</f>
        <v>0</v>
      </c>
      <c r="BU118" s="133">
        <f>商品录入!BU118*$E118</f>
        <v>0</v>
      </c>
      <c r="BV118" s="133">
        <f>商品录入!BV118*$E118</f>
        <v>0</v>
      </c>
      <c r="BW118" s="133">
        <f>商品录入!BW118*$E118</f>
        <v>0</v>
      </c>
    </row>
    <row r="119" s="178" customFormat="1" customHeight="1" spans="1:75">
      <c r="A119" s="161">
        <v>115</v>
      </c>
      <c r="B119" s="162">
        <f>商品录入!B119</f>
        <v>0</v>
      </c>
      <c r="C119" s="162">
        <f>商品录入!C119</f>
        <v>0</v>
      </c>
      <c r="D119" s="162">
        <f>商品录入!D119</f>
        <v>0</v>
      </c>
      <c r="E119" s="162">
        <f>商品录入!E119</f>
        <v>0</v>
      </c>
      <c r="F119" s="162">
        <f>商品录入!F119</f>
        <v>0</v>
      </c>
      <c r="G119" s="162">
        <f>商品录入!G119</f>
        <v>0</v>
      </c>
      <c r="H119" s="162">
        <f>商品录入!H119</f>
        <v>0</v>
      </c>
      <c r="I119" s="162">
        <f>商品录入!I119</f>
        <v>0</v>
      </c>
      <c r="J119" s="162">
        <f>商品录入!J119</f>
        <v>0</v>
      </c>
      <c r="K119" s="162">
        <f>商品录入!K119</f>
        <v>0</v>
      </c>
      <c r="L119" s="162">
        <f>商品录入!L119</f>
        <v>0</v>
      </c>
      <c r="M119" s="162">
        <f>商品录入!M119</f>
        <v>0</v>
      </c>
      <c r="N119" s="133">
        <f>商品录入!N119*$E119</f>
        <v>0</v>
      </c>
      <c r="O119" s="133">
        <f>商品录入!O119*$E119</f>
        <v>0</v>
      </c>
      <c r="P119" s="133">
        <f>商品录入!P119*$E119</f>
        <v>0</v>
      </c>
      <c r="Q119" s="133">
        <f>商品录入!Q119*$E119</f>
        <v>0</v>
      </c>
      <c r="R119" s="133">
        <f>商品录入!R119*$E119</f>
        <v>0</v>
      </c>
      <c r="S119" s="133">
        <f>商品录入!S119*$E119</f>
        <v>0</v>
      </c>
      <c r="T119" s="133">
        <f>商品录入!T119*$E119</f>
        <v>0</v>
      </c>
      <c r="U119" s="133">
        <f>商品录入!U119*$E119</f>
        <v>0</v>
      </c>
      <c r="V119" s="133">
        <f>商品录入!V119*$E119</f>
        <v>0</v>
      </c>
      <c r="W119" s="133">
        <f>商品录入!W119*$E119</f>
        <v>0</v>
      </c>
      <c r="X119" s="133">
        <f>商品录入!X119*$E119</f>
        <v>0</v>
      </c>
      <c r="Y119" s="133">
        <f>商品录入!Y119*$E119</f>
        <v>0</v>
      </c>
      <c r="Z119" s="133">
        <f>商品录入!Z119*$E119</f>
        <v>0</v>
      </c>
      <c r="AA119" s="133">
        <f>商品录入!AA119*$E119</f>
        <v>0</v>
      </c>
      <c r="AB119" s="133">
        <f>商品录入!AB119*$E119</f>
        <v>0</v>
      </c>
      <c r="AC119" s="133">
        <f>商品录入!AC119*$E119</f>
        <v>0</v>
      </c>
      <c r="AD119" s="133">
        <f>商品录入!AD119*$E119</f>
        <v>0</v>
      </c>
      <c r="AE119" s="133">
        <f>商品录入!AE119*$E119</f>
        <v>0</v>
      </c>
      <c r="AF119" s="133">
        <f>商品录入!AF119*$E119</f>
        <v>0</v>
      </c>
      <c r="AG119" s="133">
        <f>商品录入!AG119*$E119</f>
        <v>0</v>
      </c>
      <c r="AH119" s="133">
        <f>商品录入!AH119*$E119</f>
        <v>0</v>
      </c>
      <c r="AI119" s="133">
        <f>商品录入!AI119*$E119</f>
        <v>0</v>
      </c>
      <c r="AJ119" s="133">
        <f>商品录入!AJ119*$E119</f>
        <v>0</v>
      </c>
      <c r="AK119" s="133">
        <f>商品录入!AK119*$E119</f>
        <v>0</v>
      </c>
      <c r="AL119" s="133">
        <f>商品录入!AL119*$E119</f>
        <v>0</v>
      </c>
      <c r="AM119" s="133">
        <f>商品录入!AM119*$E119</f>
        <v>0</v>
      </c>
      <c r="AN119" s="133">
        <f>商品录入!AN119*$E119</f>
        <v>0</v>
      </c>
      <c r="AO119" s="133">
        <f>商品录入!AO119*$E119</f>
        <v>0</v>
      </c>
      <c r="AP119" s="133">
        <f>商品录入!AP119*$E119</f>
        <v>0</v>
      </c>
      <c r="AQ119" s="133">
        <f>商品录入!AQ119*$E119</f>
        <v>0</v>
      </c>
      <c r="AR119" s="133">
        <f>商品录入!AR119*$E119</f>
        <v>0</v>
      </c>
      <c r="AS119" s="133">
        <f>商品录入!AS119*$E119</f>
        <v>0</v>
      </c>
      <c r="AT119" s="133">
        <f>商品录入!AT119*$E119</f>
        <v>0</v>
      </c>
      <c r="AU119" s="133">
        <f>商品录入!AU119*$E119</f>
        <v>0</v>
      </c>
      <c r="AV119" s="133">
        <f>商品录入!AV119*$E119</f>
        <v>0</v>
      </c>
      <c r="AW119" s="133">
        <f>商品录入!AW119*$E119</f>
        <v>0</v>
      </c>
      <c r="AX119" s="133">
        <f>商品录入!AX119*$E119</f>
        <v>0</v>
      </c>
      <c r="AY119" s="133">
        <f>商品录入!AY119*$E119</f>
        <v>0</v>
      </c>
      <c r="AZ119" s="133">
        <f>商品录入!AZ119*$E119</f>
        <v>0</v>
      </c>
      <c r="BA119" s="133">
        <f>商品录入!BA119*$E119</f>
        <v>0</v>
      </c>
      <c r="BB119" s="133">
        <f>商品录入!BB119*$E119</f>
        <v>0</v>
      </c>
      <c r="BC119" s="133">
        <f>商品录入!BC119*$E119</f>
        <v>0</v>
      </c>
      <c r="BD119" s="133">
        <f>商品录入!BD119*$E119</f>
        <v>0</v>
      </c>
      <c r="BE119" s="133">
        <f>商品录入!BE119*$E119</f>
        <v>0</v>
      </c>
      <c r="BF119" s="133">
        <f>商品录入!BF119*$E119</f>
        <v>0</v>
      </c>
      <c r="BG119" s="133">
        <f>商品录入!BG119*$E119</f>
        <v>0</v>
      </c>
      <c r="BH119" s="133">
        <f>商品录入!BH119*$E119</f>
        <v>0</v>
      </c>
      <c r="BI119" s="133">
        <f>商品录入!BI119*$E119</f>
        <v>0</v>
      </c>
      <c r="BJ119" s="133">
        <f>商品录入!BJ119*$E119</f>
        <v>0</v>
      </c>
      <c r="BK119" s="133">
        <f>商品录入!BK119*$E119</f>
        <v>0</v>
      </c>
      <c r="BL119" s="133">
        <f>商品录入!BL119*$E119</f>
        <v>0</v>
      </c>
      <c r="BM119" s="133">
        <f>商品录入!BM119*$E119</f>
        <v>0</v>
      </c>
      <c r="BN119" s="133">
        <f>商品录入!BN119*$E119</f>
        <v>0</v>
      </c>
      <c r="BO119" s="133">
        <f>商品录入!BO119*$E119</f>
        <v>0</v>
      </c>
      <c r="BP119" s="133">
        <f>商品录入!BP119*$E119</f>
        <v>0</v>
      </c>
      <c r="BQ119" s="133">
        <f>商品录入!BQ119*$E119</f>
        <v>0</v>
      </c>
      <c r="BR119" s="133">
        <f>商品录入!BR119*$E119</f>
        <v>0</v>
      </c>
      <c r="BS119" s="133">
        <f>商品录入!BS119*$E119</f>
        <v>0</v>
      </c>
      <c r="BT119" s="133">
        <f>商品录入!BT119*$E119</f>
        <v>0</v>
      </c>
      <c r="BU119" s="133">
        <f>商品录入!BU119*$E119</f>
        <v>0</v>
      </c>
      <c r="BV119" s="133">
        <f>商品录入!BV119*$E119</f>
        <v>0</v>
      </c>
      <c r="BW119" s="133">
        <f>商品录入!BW119*$E119</f>
        <v>0</v>
      </c>
    </row>
    <row r="120" s="178" customFormat="1" customHeight="1" spans="1:75">
      <c r="A120" s="161">
        <v>116</v>
      </c>
      <c r="B120" s="162">
        <f>商品录入!B120</f>
        <v>0</v>
      </c>
      <c r="C120" s="162">
        <f>商品录入!C120</f>
        <v>0</v>
      </c>
      <c r="D120" s="162">
        <f>商品录入!D120</f>
        <v>0</v>
      </c>
      <c r="E120" s="162">
        <f>商品录入!E120</f>
        <v>0</v>
      </c>
      <c r="F120" s="162">
        <f>商品录入!F120</f>
        <v>0</v>
      </c>
      <c r="G120" s="162">
        <f>商品录入!G120</f>
        <v>0</v>
      </c>
      <c r="H120" s="162">
        <f>商品录入!H120</f>
        <v>0</v>
      </c>
      <c r="I120" s="162">
        <f>商品录入!I120</f>
        <v>0</v>
      </c>
      <c r="J120" s="162">
        <f>商品录入!J120</f>
        <v>0</v>
      </c>
      <c r="K120" s="162">
        <f>商品录入!K120</f>
        <v>0</v>
      </c>
      <c r="L120" s="162">
        <f>商品录入!L120</f>
        <v>0</v>
      </c>
      <c r="M120" s="162">
        <f>商品录入!M120</f>
        <v>0</v>
      </c>
      <c r="N120" s="133">
        <f>商品录入!N120*$E120</f>
        <v>0</v>
      </c>
      <c r="O120" s="133">
        <f>商品录入!O120*$E120</f>
        <v>0</v>
      </c>
      <c r="P120" s="133">
        <f>商品录入!P120*$E120</f>
        <v>0</v>
      </c>
      <c r="Q120" s="133">
        <f>商品录入!Q120*$E120</f>
        <v>0</v>
      </c>
      <c r="R120" s="133">
        <f>商品录入!R120*$E120</f>
        <v>0</v>
      </c>
      <c r="S120" s="133">
        <f>商品录入!S120*$E120</f>
        <v>0</v>
      </c>
      <c r="T120" s="133">
        <f>商品录入!T120*$E120</f>
        <v>0</v>
      </c>
      <c r="U120" s="133">
        <f>商品录入!U120*$E120</f>
        <v>0</v>
      </c>
      <c r="V120" s="133">
        <f>商品录入!V120*$E120</f>
        <v>0</v>
      </c>
      <c r="W120" s="133">
        <f>商品录入!W120*$E120</f>
        <v>0</v>
      </c>
      <c r="X120" s="133">
        <f>商品录入!X120*$E120</f>
        <v>0</v>
      </c>
      <c r="Y120" s="133">
        <f>商品录入!Y120*$E120</f>
        <v>0</v>
      </c>
      <c r="Z120" s="133">
        <f>商品录入!Z120*$E120</f>
        <v>0</v>
      </c>
      <c r="AA120" s="133">
        <f>商品录入!AA120*$E120</f>
        <v>0</v>
      </c>
      <c r="AB120" s="133">
        <f>商品录入!AB120*$E120</f>
        <v>0</v>
      </c>
      <c r="AC120" s="133">
        <f>商品录入!AC120*$E120</f>
        <v>0</v>
      </c>
      <c r="AD120" s="133">
        <f>商品录入!AD120*$E120</f>
        <v>0</v>
      </c>
      <c r="AE120" s="133">
        <f>商品录入!AE120*$E120</f>
        <v>0</v>
      </c>
      <c r="AF120" s="133">
        <f>商品录入!AF120*$E120</f>
        <v>0</v>
      </c>
      <c r="AG120" s="133">
        <f>商品录入!AG120*$E120</f>
        <v>0</v>
      </c>
      <c r="AH120" s="133">
        <f>商品录入!AH120*$E120</f>
        <v>0</v>
      </c>
      <c r="AI120" s="133">
        <f>商品录入!AI120*$E120</f>
        <v>0</v>
      </c>
      <c r="AJ120" s="133">
        <f>商品录入!AJ120*$E120</f>
        <v>0</v>
      </c>
      <c r="AK120" s="133">
        <f>商品录入!AK120*$E120</f>
        <v>0</v>
      </c>
      <c r="AL120" s="133">
        <f>商品录入!AL120*$E120</f>
        <v>0</v>
      </c>
      <c r="AM120" s="133">
        <f>商品录入!AM120*$E120</f>
        <v>0</v>
      </c>
      <c r="AN120" s="133">
        <f>商品录入!AN120*$E120</f>
        <v>0</v>
      </c>
      <c r="AO120" s="133">
        <f>商品录入!AO120*$E120</f>
        <v>0</v>
      </c>
      <c r="AP120" s="133">
        <f>商品录入!AP120*$E120</f>
        <v>0</v>
      </c>
      <c r="AQ120" s="133">
        <f>商品录入!AQ120*$E120</f>
        <v>0</v>
      </c>
      <c r="AR120" s="133">
        <f>商品录入!AR120*$E120</f>
        <v>0</v>
      </c>
      <c r="AS120" s="133">
        <f>商品录入!AS120*$E120</f>
        <v>0</v>
      </c>
      <c r="AT120" s="133">
        <f>商品录入!AT120*$E120</f>
        <v>0</v>
      </c>
      <c r="AU120" s="133">
        <f>商品录入!AU120*$E120</f>
        <v>0</v>
      </c>
      <c r="AV120" s="133">
        <f>商品录入!AV120*$E120</f>
        <v>0</v>
      </c>
      <c r="AW120" s="133">
        <f>商品录入!AW120*$E120</f>
        <v>0</v>
      </c>
      <c r="AX120" s="133">
        <f>商品录入!AX120*$E120</f>
        <v>0</v>
      </c>
      <c r="AY120" s="133">
        <f>商品录入!AY120*$E120</f>
        <v>0</v>
      </c>
      <c r="AZ120" s="133">
        <f>商品录入!AZ120*$E120</f>
        <v>0</v>
      </c>
      <c r="BA120" s="133">
        <f>商品录入!BA120*$E120</f>
        <v>0</v>
      </c>
      <c r="BB120" s="133">
        <f>商品录入!BB120*$E120</f>
        <v>0</v>
      </c>
      <c r="BC120" s="133">
        <f>商品录入!BC120*$E120</f>
        <v>0</v>
      </c>
      <c r="BD120" s="133">
        <f>商品录入!BD120*$E120</f>
        <v>0</v>
      </c>
      <c r="BE120" s="133">
        <f>商品录入!BE120*$E120</f>
        <v>0</v>
      </c>
      <c r="BF120" s="133">
        <f>商品录入!BF120*$E120</f>
        <v>0</v>
      </c>
      <c r="BG120" s="133">
        <f>商品录入!BG120*$E120</f>
        <v>0</v>
      </c>
      <c r="BH120" s="133">
        <f>商品录入!BH120*$E120</f>
        <v>0</v>
      </c>
      <c r="BI120" s="133">
        <f>商品录入!BI120*$E120</f>
        <v>0</v>
      </c>
      <c r="BJ120" s="133">
        <f>商品录入!BJ120*$E120</f>
        <v>0</v>
      </c>
      <c r="BK120" s="133">
        <f>商品录入!BK120*$E120</f>
        <v>0</v>
      </c>
      <c r="BL120" s="133">
        <f>商品录入!BL120*$E120</f>
        <v>0</v>
      </c>
      <c r="BM120" s="133">
        <f>商品录入!BM120*$E120</f>
        <v>0</v>
      </c>
      <c r="BN120" s="133">
        <f>商品录入!BN120*$E120</f>
        <v>0</v>
      </c>
      <c r="BO120" s="133">
        <f>商品录入!BO120*$E120</f>
        <v>0</v>
      </c>
      <c r="BP120" s="133">
        <f>商品录入!BP120*$E120</f>
        <v>0</v>
      </c>
      <c r="BQ120" s="133">
        <f>商品录入!BQ120*$E120</f>
        <v>0</v>
      </c>
      <c r="BR120" s="133">
        <f>商品录入!BR120*$E120</f>
        <v>0</v>
      </c>
      <c r="BS120" s="133">
        <f>商品录入!BS120*$E120</f>
        <v>0</v>
      </c>
      <c r="BT120" s="133">
        <f>商品录入!BT120*$E120</f>
        <v>0</v>
      </c>
      <c r="BU120" s="133">
        <f>商品录入!BU120*$E120</f>
        <v>0</v>
      </c>
      <c r="BV120" s="133">
        <f>商品录入!BV120*$E120</f>
        <v>0</v>
      </c>
      <c r="BW120" s="133">
        <f>商品录入!BW120*$E120</f>
        <v>0</v>
      </c>
    </row>
    <row r="121" s="178" customFormat="1" customHeight="1" spans="1:75">
      <c r="A121" s="161">
        <v>117</v>
      </c>
      <c r="B121" s="162">
        <f>商品录入!B121</f>
        <v>0</v>
      </c>
      <c r="C121" s="162">
        <f>商品录入!C121</f>
        <v>0</v>
      </c>
      <c r="D121" s="162">
        <f>商品录入!D121</f>
        <v>0</v>
      </c>
      <c r="E121" s="162">
        <f>商品录入!E121</f>
        <v>0</v>
      </c>
      <c r="F121" s="162">
        <f>商品录入!F121</f>
        <v>0</v>
      </c>
      <c r="G121" s="162">
        <f>商品录入!G121</f>
        <v>0</v>
      </c>
      <c r="H121" s="162">
        <f>商品录入!H121</f>
        <v>0</v>
      </c>
      <c r="I121" s="162">
        <f>商品录入!I121</f>
        <v>0</v>
      </c>
      <c r="J121" s="162">
        <f>商品录入!J121</f>
        <v>0</v>
      </c>
      <c r="K121" s="162">
        <f>商品录入!K121</f>
        <v>0</v>
      </c>
      <c r="L121" s="162">
        <f>商品录入!L121</f>
        <v>0</v>
      </c>
      <c r="M121" s="162">
        <f>商品录入!M121</f>
        <v>0</v>
      </c>
      <c r="N121" s="133">
        <f>商品录入!N121*$E121</f>
        <v>0</v>
      </c>
      <c r="O121" s="133">
        <f>商品录入!O121*$E121</f>
        <v>0</v>
      </c>
      <c r="P121" s="133">
        <f>商品录入!P121*$E121</f>
        <v>0</v>
      </c>
      <c r="Q121" s="133">
        <f>商品录入!Q121*$E121</f>
        <v>0</v>
      </c>
      <c r="R121" s="133">
        <f>商品录入!R121*$E121</f>
        <v>0</v>
      </c>
      <c r="S121" s="133">
        <f>商品录入!S121*$E121</f>
        <v>0</v>
      </c>
      <c r="T121" s="133">
        <f>商品录入!T121*$E121</f>
        <v>0</v>
      </c>
      <c r="U121" s="133">
        <f>商品录入!U121*$E121</f>
        <v>0</v>
      </c>
      <c r="V121" s="133">
        <f>商品录入!V121*$E121</f>
        <v>0</v>
      </c>
      <c r="W121" s="133">
        <f>商品录入!W121*$E121</f>
        <v>0</v>
      </c>
      <c r="X121" s="133">
        <f>商品录入!X121*$E121</f>
        <v>0</v>
      </c>
      <c r="Y121" s="133">
        <f>商品录入!Y121*$E121</f>
        <v>0</v>
      </c>
      <c r="Z121" s="133">
        <f>商品录入!Z121*$E121</f>
        <v>0</v>
      </c>
      <c r="AA121" s="133">
        <f>商品录入!AA121*$E121</f>
        <v>0</v>
      </c>
      <c r="AB121" s="133">
        <f>商品录入!AB121*$E121</f>
        <v>0</v>
      </c>
      <c r="AC121" s="133">
        <f>商品录入!AC121*$E121</f>
        <v>0</v>
      </c>
      <c r="AD121" s="133">
        <f>商品录入!AD121*$E121</f>
        <v>0</v>
      </c>
      <c r="AE121" s="133">
        <f>商品录入!AE121*$E121</f>
        <v>0</v>
      </c>
      <c r="AF121" s="133">
        <f>商品录入!AF121*$E121</f>
        <v>0</v>
      </c>
      <c r="AG121" s="133">
        <f>商品录入!AG121*$E121</f>
        <v>0</v>
      </c>
      <c r="AH121" s="133">
        <f>商品录入!AH121*$E121</f>
        <v>0</v>
      </c>
      <c r="AI121" s="133">
        <f>商品录入!AI121*$E121</f>
        <v>0</v>
      </c>
      <c r="AJ121" s="133">
        <f>商品录入!AJ121*$E121</f>
        <v>0</v>
      </c>
      <c r="AK121" s="133">
        <f>商品录入!AK121*$E121</f>
        <v>0</v>
      </c>
      <c r="AL121" s="133">
        <f>商品录入!AL121*$E121</f>
        <v>0</v>
      </c>
      <c r="AM121" s="133">
        <f>商品录入!AM121*$E121</f>
        <v>0</v>
      </c>
      <c r="AN121" s="133">
        <f>商品录入!AN121*$E121</f>
        <v>0</v>
      </c>
      <c r="AO121" s="133">
        <f>商品录入!AO121*$E121</f>
        <v>0</v>
      </c>
      <c r="AP121" s="133">
        <f>商品录入!AP121*$E121</f>
        <v>0</v>
      </c>
      <c r="AQ121" s="133">
        <f>商品录入!AQ121*$E121</f>
        <v>0</v>
      </c>
      <c r="AR121" s="133">
        <f>商品录入!AR121*$E121</f>
        <v>0</v>
      </c>
      <c r="AS121" s="133">
        <f>商品录入!AS121*$E121</f>
        <v>0</v>
      </c>
      <c r="AT121" s="133">
        <f>商品录入!AT121*$E121</f>
        <v>0</v>
      </c>
      <c r="AU121" s="133">
        <f>商品录入!AU121*$E121</f>
        <v>0</v>
      </c>
      <c r="AV121" s="133">
        <f>商品录入!AV121*$E121</f>
        <v>0</v>
      </c>
      <c r="AW121" s="133">
        <f>商品录入!AW121*$E121</f>
        <v>0</v>
      </c>
      <c r="AX121" s="133">
        <f>商品录入!AX121*$E121</f>
        <v>0</v>
      </c>
      <c r="AY121" s="133">
        <f>商品录入!AY121*$E121</f>
        <v>0</v>
      </c>
      <c r="AZ121" s="133">
        <f>商品录入!AZ121*$E121</f>
        <v>0</v>
      </c>
      <c r="BA121" s="133">
        <f>商品录入!BA121*$E121</f>
        <v>0</v>
      </c>
      <c r="BB121" s="133">
        <f>商品录入!BB121*$E121</f>
        <v>0</v>
      </c>
      <c r="BC121" s="133">
        <f>商品录入!BC121*$E121</f>
        <v>0</v>
      </c>
      <c r="BD121" s="133">
        <f>商品录入!BD121*$E121</f>
        <v>0</v>
      </c>
      <c r="BE121" s="133">
        <f>商品录入!BE121*$E121</f>
        <v>0</v>
      </c>
      <c r="BF121" s="133">
        <f>商品录入!BF121*$E121</f>
        <v>0</v>
      </c>
      <c r="BG121" s="133">
        <f>商品录入!BG121*$E121</f>
        <v>0</v>
      </c>
      <c r="BH121" s="133">
        <f>商品录入!BH121*$E121</f>
        <v>0</v>
      </c>
      <c r="BI121" s="133">
        <f>商品录入!BI121*$E121</f>
        <v>0</v>
      </c>
      <c r="BJ121" s="133">
        <f>商品录入!BJ121*$E121</f>
        <v>0</v>
      </c>
      <c r="BK121" s="133">
        <f>商品录入!BK121*$E121</f>
        <v>0</v>
      </c>
      <c r="BL121" s="133">
        <f>商品录入!BL121*$E121</f>
        <v>0</v>
      </c>
      <c r="BM121" s="133">
        <f>商品录入!BM121*$E121</f>
        <v>0</v>
      </c>
      <c r="BN121" s="133">
        <f>商品录入!BN121*$E121</f>
        <v>0</v>
      </c>
      <c r="BO121" s="133">
        <f>商品录入!BO121*$E121</f>
        <v>0</v>
      </c>
      <c r="BP121" s="133">
        <f>商品录入!BP121*$E121</f>
        <v>0</v>
      </c>
      <c r="BQ121" s="133">
        <f>商品录入!BQ121*$E121</f>
        <v>0</v>
      </c>
      <c r="BR121" s="133">
        <f>商品录入!BR121*$E121</f>
        <v>0</v>
      </c>
      <c r="BS121" s="133">
        <f>商品录入!BS121*$E121</f>
        <v>0</v>
      </c>
      <c r="BT121" s="133">
        <f>商品录入!BT121*$E121</f>
        <v>0</v>
      </c>
      <c r="BU121" s="133">
        <f>商品录入!BU121*$E121</f>
        <v>0</v>
      </c>
      <c r="BV121" s="133">
        <f>商品录入!BV121*$E121</f>
        <v>0</v>
      </c>
      <c r="BW121" s="133">
        <f>商品录入!BW121*$E121</f>
        <v>0</v>
      </c>
    </row>
    <row r="122" s="178" customFormat="1" customHeight="1" spans="1:75">
      <c r="A122" s="161">
        <v>118</v>
      </c>
      <c r="B122" s="162">
        <f>商品录入!B122</f>
        <v>0</v>
      </c>
      <c r="C122" s="162">
        <f>商品录入!C122</f>
        <v>0</v>
      </c>
      <c r="D122" s="162">
        <f>商品录入!D122</f>
        <v>0</v>
      </c>
      <c r="E122" s="162">
        <f>商品录入!E122</f>
        <v>0</v>
      </c>
      <c r="F122" s="162">
        <f>商品录入!F122</f>
        <v>0</v>
      </c>
      <c r="G122" s="162">
        <f>商品录入!G122</f>
        <v>0</v>
      </c>
      <c r="H122" s="162">
        <f>商品录入!H122</f>
        <v>0</v>
      </c>
      <c r="I122" s="162">
        <f>商品录入!I122</f>
        <v>0</v>
      </c>
      <c r="J122" s="162">
        <f>商品录入!J122</f>
        <v>0</v>
      </c>
      <c r="K122" s="162">
        <f>商品录入!K122</f>
        <v>0</v>
      </c>
      <c r="L122" s="162">
        <f>商品录入!L122</f>
        <v>0</v>
      </c>
      <c r="M122" s="162">
        <f>商品录入!M122</f>
        <v>0</v>
      </c>
      <c r="N122" s="133">
        <f>商品录入!N122*$E122</f>
        <v>0</v>
      </c>
      <c r="O122" s="133">
        <f>商品录入!O122*$E122</f>
        <v>0</v>
      </c>
      <c r="P122" s="133">
        <f>商品录入!P122*$E122</f>
        <v>0</v>
      </c>
      <c r="Q122" s="133">
        <f>商品录入!Q122*$E122</f>
        <v>0</v>
      </c>
      <c r="R122" s="133">
        <f>商品录入!R122*$E122</f>
        <v>0</v>
      </c>
      <c r="S122" s="133">
        <f>商品录入!S122*$E122</f>
        <v>0</v>
      </c>
      <c r="T122" s="133">
        <f>商品录入!T122*$E122</f>
        <v>0</v>
      </c>
      <c r="U122" s="133">
        <f>商品录入!U122*$E122</f>
        <v>0</v>
      </c>
      <c r="V122" s="133">
        <f>商品录入!V122*$E122</f>
        <v>0</v>
      </c>
      <c r="W122" s="133">
        <f>商品录入!W122*$E122</f>
        <v>0</v>
      </c>
      <c r="X122" s="133">
        <f>商品录入!X122*$E122</f>
        <v>0</v>
      </c>
      <c r="Y122" s="133">
        <f>商品录入!Y122*$E122</f>
        <v>0</v>
      </c>
      <c r="Z122" s="133">
        <f>商品录入!Z122*$E122</f>
        <v>0</v>
      </c>
      <c r="AA122" s="133">
        <f>商品录入!AA122*$E122</f>
        <v>0</v>
      </c>
      <c r="AB122" s="133">
        <f>商品录入!AB122*$E122</f>
        <v>0</v>
      </c>
      <c r="AC122" s="133">
        <f>商品录入!AC122*$E122</f>
        <v>0</v>
      </c>
      <c r="AD122" s="133">
        <f>商品录入!AD122*$E122</f>
        <v>0</v>
      </c>
      <c r="AE122" s="133">
        <f>商品录入!AE122*$E122</f>
        <v>0</v>
      </c>
      <c r="AF122" s="133">
        <f>商品录入!AF122*$E122</f>
        <v>0</v>
      </c>
      <c r="AG122" s="133">
        <f>商品录入!AG122*$E122</f>
        <v>0</v>
      </c>
      <c r="AH122" s="133">
        <f>商品录入!AH122*$E122</f>
        <v>0</v>
      </c>
      <c r="AI122" s="133">
        <f>商品录入!AI122*$E122</f>
        <v>0</v>
      </c>
      <c r="AJ122" s="133">
        <f>商品录入!AJ122*$E122</f>
        <v>0</v>
      </c>
      <c r="AK122" s="133">
        <f>商品录入!AK122*$E122</f>
        <v>0</v>
      </c>
      <c r="AL122" s="133">
        <f>商品录入!AL122*$E122</f>
        <v>0</v>
      </c>
      <c r="AM122" s="133">
        <f>商品录入!AM122*$E122</f>
        <v>0</v>
      </c>
      <c r="AN122" s="133">
        <f>商品录入!AN122*$E122</f>
        <v>0</v>
      </c>
      <c r="AO122" s="133">
        <f>商品录入!AO122*$E122</f>
        <v>0</v>
      </c>
      <c r="AP122" s="133">
        <f>商品录入!AP122*$E122</f>
        <v>0</v>
      </c>
      <c r="AQ122" s="133">
        <f>商品录入!AQ122*$E122</f>
        <v>0</v>
      </c>
      <c r="AR122" s="133">
        <f>商品录入!AR122*$E122</f>
        <v>0</v>
      </c>
      <c r="AS122" s="133">
        <f>商品录入!AS122*$E122</f>
        <v>0</v>
      </c>
      <c r="AT122" s="133">
        <f>商品录入!AT122*$E122</f>
        <v>0</v>
      </c>
      <c r="AU122" s="133">
        <f>商品录入!AU122*$E122</f>
        <v>0</v>
      </c>
      <c r="AV122" s="133">
        <f>商品录入!AV122*$E122</f>
        <v>0</v>
      </c>
      <c r="AW122" s="133">
        <f>商品录入!AW122*$E122</f>
        <v>0</v>
      </c>
      <c r="AX122" s="133">
        <f>商品录入!AX122*$E122</f>
        <v>0</v>
      </c>
      <c r="AY122" s="133">
        <f>商品录入!AY122*$E122</f>
        <v>0</v>
      </c>
      <c r="AZ122" s="133">
        <f>商品录入!AZ122*$E122</f>
        <v>0</v>
      </c>
      <c r="BA122" s="133">
        <f>商品录入!BA122*$E122</f>
        <v>0</v>
      </c>
      <c r="BB122" s="133">
        <f>商品录入!BB122*$E122</f>
        <v>0</v>
      </c>
      <c r="BC122" s="133">
        <f>商品录入!BC122*$E122</f>
        <v>0</v>
      </c>
      <c r="BD122" s="133">
        <f>商品录入!BD122*$E122</f>
        <v>0</v>
      </c>
      <c r="BE122" s="133">
        <f>商品录入!BE122*$E122</f>
        <v>0</v>
      </c>
      <c r="BF122" s="133">
        <f>商品录入!BF122*$E122</f>
        <v>0</v>
      </c>
      <c r="BG122" s="133">
        <f>商品录入!BG122*$E122</f>
        <v>0</v>
      </c>
      <c r="BH122" s="133">
        <f>商品录入!BH122*$E122</f>
        <v>0</v>
      </c>
      <c r="BI122" s="133">
        <f>商品录入!BI122*$E122</f>
        <v>0</v>
      </c>
      <c r="BJ122" s="133">
        <f>商品录入!BJ122*$E122</f>
        <v>0</v>
      </c>
      <c r="BK122" s="133">
        <f>商品录入!BK122*$E122</f>
        <v>0</v>
      </c>
      <c r="BL122" s="133">
        <f>商品录入!BL122*$E122</f>
        <v>0</v>
      </c>
      <c r="BM122" s="133">
        <f>商品录入!BM122*$E122</f>
        <v>0</v>
      </c>
      <c r="BN122" s="133">
        <f>商品录入!BN122*$E122</f>
        <v>0</v>
      </c>
      <c r="BO122" s="133">
        <f>商品录入!BO122*$E122</f>
        <v>0</v>
      </c>
      <c r="BP122" s="133">
        <f>商品录入!BP122*$E122</f>
        <v>0</v>
      </c>
      <c r="BQ122" s="133">
        <f>商品录入!BQ122*$E122</f>
        <v>0</v>
      </c>
      <c r="BR122" s="133">
        <f>商品录入!BR122*$E122</f>
        <v>0</v>
      </c>
      <c r="BS122" s="133">
        <f>商品录入!BS122*$E122</f>
        <v>0</v>
      </c>
      <c r="BT122" s="133">
        <f>商品录入!BT122*$E122</f>
        <v>0</v>
      </c>
      <c r="BU122" s="133">
        <f>商品录入!BU122*$E122</f>
        <v>0</v>
      </c>
      <c r="BV122" s="133">
        <f>商品录入!BV122*$E122</f>
        <v>0</v>
      </c>
      <c r="BW122" s="133">
        <f>商品录入!BW122*$E122</f>
        <v>0</v>
      </c>
    </row>
    <row r="123" s="178" customFormat="1" customHeight="1" spans="1:75">
      <c r="A123" s="161">
        <v>119</v>
      </c>
      <c r="B123" s="162">
        <f>商品录入!B123</f>
        <v>0</v>
      </c>
      <c r="C123" s="162">
        <f>商品录入!C123</f>
        <v>0</v>
      </c>
      <c r="D123" s="162">
        <f>商品录入!D123</f>
        <v>0</v>
      </c>
      <c r="E123" s="162">
        <f>商品录入!E123</f>
        <v>0</v>
      </c>
      <c r="F123" s="162">
        <f>商品录入!F123</f>
        <v>0</v>
      </c>
      <c r="G123" s="162">
        <f>商品录入!G123</f>
        <v>0</v>
      </c>
      <c r="H123" s="162">
        <f>商品录入!H123</f>
        <v>0</v>
      </c>
      <c r="I123" s="162">
        <f>商品录入!I123</f>
        <v>0</v>
      </c>
      <c r="J123" s="162">
        <f>商品录入!J123</f>
        <v>0</v>
      </c>
      <c r="K123" s="162">
        <f>商品录入!K123</f>
        <v>0</v>
      </c>
      <c r="L123" s="162">
        <f>商品录入!L123</f>
        <v>0</v>
      </c>
      <c r="M123" s="162">
        <f>商品录入!M123</f>
        <v>0</v>
      </c>
      <c r="N123" s="133">
        <f>商品录入!N123*$E123</f>
        <v>0</v>
      </c>
      <c r="O123" s="133">
        <f>商品录入!O123*$E123</f>
        <v>0</v>
      </c>
      <c r="P123" s="133">
        <f>商品录入!P123*$E123</f>
        <v>0</v>
      </c>
      <c r="Q123" s="133">
        <f>商品录入!Q123*$E123</f>
        <v>0</v>
      </c>
      <c r="R123" s="133">
        <f>商品录入!R123*$E123</f>
        <v>0</v>
      </c>
      <c r="S123" s="133">
        <f>商品录入!S123*$E123</f>
        <v>0</v>
      </c>
      <c r="T123" s="133">
        <f>商品录入!T123*$E123</f>
        <v>0</v>
      </c>
      <c r="U123" s="133">
        <f>商品录入!U123*$E123</f>
        <v>0</v>
      </c>
      <c r="V123" s="133">
        <f>商品录入!V123*$E123</f>
        <v>0</v>
      </c>
      <c r="W123" s="133">
        <f>商品录入!W123*$E123</f>
        <v>0</v>
      </c>
      <c r="X123" s="133">
        <f>商品录入!X123*$E123</f>
        <v>0</v>
      </c>
      <c r="Y123" s="133">
        <f>商品录入!Y123*$E123</f>
        <v>0</v>
      </c>
      <c r="Z123" s="133">
        <f>商品录入!Z123*$E123</f>
        <v>0</v>
      </c>
      <c r="AA123" s="133">
        <f>商品录入!AA123*$E123</f>
        <v>0</v>
      </c>
      <c r="AB123" s="133">
        <f>商品录入!AB123*$E123</f>
        <v>0</v>
      </c>
      <c r="AC123" s="133">
        <f>商品录入!AC123*$E123</f>
        <v>0</v>
      </c>
      <c r="AD123" s="133">
        <f>商品录入!AD123*$E123</f>
        <v>0</v>
      </c>
      <c r="AE123" s="133">
        <f>商品录入!AE123*$E123</f>
        <v>0</v>
      </c>
      <c r="AF123" s="133">
        <f>商品录入!AF123*$E123</f>
        <v>0</v>
      </c>
      <c r="AG123" s="133">
        <f>商品录入!AG123*$E123</f>
        <v>0</v>
      </c>
      <c r="AH123" s="133">
        <f>商品录入!AH123*$E123</f>
        <v>0</v>
      </c>
      <c r="AI123" s="133">
        <f>商品录入!AI123*$E123</f>
        <v>0</v>
      </c>
      <c r="AJ123" s="133">
        <f>商品录入!AJ123*$E123</f>
        <v>0</v>
      </c>
      <c r="AK123" s="133">
        <f>商品录入!AK123*$E123</f>
        <v>0</v>
      </c>
      <c r="AL123" s="133">
        <f>商品录入!AL123*$E123</f>
        <v>0</v>
      </c>
      <c r="AM123" s="133">
        <f>商品录入!AM123*$E123</f>
        <v>0</v>
      </c>
      <c r="AN123" s="133">
        <f>商品录入!AN123*$E123</f>
        <v>0</v>
      </c>
      <c r="AO123" s="133">
        <f>商品录入!AO123*$E123</f>
        <v>0</v>
      </c>
      <c r="AP123" s="133">
        <f>商品录入!AP123*$E123</f>
        <v>0</v>
      </c>
      <c r="AQ123" s="133">
        <f>商品录入!AQ123*$E123</f>
        <v>0</v>
      </c>
      <c r="AR123" s="133">
        <f>商品录入!AR123*$E123</f>
        <v>0</v>
      </c>
      <c r="AS123" s="133">
        <f>商品录入!AS123*$E123</f>
        <v>0</v>
      </c>
      <c r="AT123" s="133">
        <f>商品录入!AT123*$E123</f>
        <v>0</v>
      </c>
      <c r="AU123" s="133">
        <f>商品录入!AU123*$E123</f>
        <v>0</v>
      </c>
      <c r="AV123" s="133">
        <f>商品录入!AV123*$E123</f>
        <v>0</v>
      </c>
      <c r="AW123" s="133">
        <f>商品录入!AW123*$E123</f>
        <v>0</v>
      </c>
      <c r="AX123" s="133">
        <f>商品录入!AX123*$E123</f>
        <v>0</v>
      </c>
      <c r="AY123" s="133">
        <f>商品录入!AY123*$E123</f>
        <v>0</v>
      </c>
      <c r="AZ123" s="133">
        <f>商品录入!AZ123*$E123</f>
        <v>0</v>
      </c>
      <c r="BA123" s="133">
        <f>商品录入!BA123*$E123</f>
        <v>0</v>
      </c>
      <c r="BB123" s="133">
        <f>商品录入!BB123*$E123</f>
        <v>0</v>
      </c>
      <c r="BC123" s="133">
        <f>商品录入!BC123*$E123</f>
        <v>0</v>
      </c>
      <c r="BD123" s="133">
        <f>商品录入!BD123*$E123</f>
        <v>0</v>
      </c>
      <c r="BE123" s="133">
        <f>商品录入!BE123*$E123</f>
        <v>0</v>
      </c>
      <c r="BF123" s="133">
        <f>商品录入!BF123*$E123</f>
        <v>0</v>
      </c>
      <c r="BG123" s="133">
        <f>商品录入!BG123*$E123</f>
        <v>0</v>
      </c>
      <c r="BH123" s="133">
        <f>商品录入!BH123*$E123</f>
        <v>0</v>
      </c>
      <c r="BI123" s="133">
        <f>商品录入!BI123*$E123</f>
        <v>0</v>
      </c>
      <c r="BJ123" s="133">
        <f>商品录入!BJ123*$E123</f>
        <v>0</v>
      </c>
      <c r="BK123" s="133">
        <f>商品录入!BK123*$E123</f>
        <v>0</v>
      </c>
      <c r="BL123" s="133">
        <f>商品录入!BL123*$E123</f>
        <v>0</v>
      </c>
      <c r="BM123" s="133">
        <f>商品录入!BM123*$E123</f>
        <v>0</v>
      </c>
      <c r="BN123" s="133">
        <f>商品录入!BN123*$E123</f>
        <v>0</v>
      </c>
      <c r="BO123" s="133">
        <f>商品录入!BO123*$E123</f>
        <v>0</v>
      </c>
      <c r="BP123" s="133">
        <f>商品录入!BP123*$E123</f>
        <v>0</v>
      </c>
      <c r="BQ123" s="133">
        <f>商品录入!BQ123*$E123</f>
        <v>0</v>
      </c>
      <c r="BR123" s="133">
        <f>商品录入!BR123*$E123</f>
        <v>0</v>
      </c>
      <c r="BS123" s="133">
        <f>商品录入!BS123*$E123</f>
        <v>0</v>
      </c>
      <c r="BT123" s="133">
        <f>商品录入!BT123*$E123</f>
        <v>0</v>
      </c>
      <c r="BU123" s="133">
        <f>商品录入!BU123*$E123</f>
        <v>0</v>
      </c>
      <c r="BV123" s="133">
        <f>商品录入!BV123*$E123</f>
        <v>0</v>
      </c>
      <c r="BW123" s="133">
        <f>商品录入!BW123*$E123</f>
        <v>0</v>
      </c>
    </row>
    <row r="124" s="178" customFormat="1" customHeight="1" spans="1:75">
      <c r="A124" s="161">
        <v>120</v>
      </c>
      <c r="B124" s="162">
        <f>商品录入!B124</f>
        <v>0</v>
      </c>
      <c r="C124" s="162">
        <f>商品录入!C124</f>
        <v>0</v>
      </c>
      <c r="D124" s="162">
        <f>商品录入!D124</f>
        <v>0</v>
      </c>
      <c r="E124" s="162">
        <f>商品录入!E124</f>
        <v>0</v>
      </c>
      <c r="F124" s="162">
        <f>商品录入!F124</f>
        <v>0</v>
      </c>
      <c r="G124" s="162">
        <f>商品录入!G124</f>
        <v>0</v>
      </c>
      <c r="H124" s="162">
        <f>商品录入!H124</f>
        <v>0</v>
      </c>
      <c r="I124" s="162">
        <f>商品录入!I124</f>
        <v>0</v>
      </c>
      <c r="J124" s="162">
        <f>商品录入!J124</f>
        <v>0</v>
      </c>
      <c r="K124" s="162">
        <f>商品录入!K124</f>
        <v>0</v>
      </c>
      <c r="L124" s="162">
        <f>商品录入!L124</f>
        <v>0</v>
      </c>
      <c r="M124" s="162">
        <f>商品录入!M124</f>
        <v>0</v>
      </c>
      <c r="N124" s="133">
        <f>商品录入!N124*$E124</f>
        <v>0</v>
      </c>
      <c r="O124" s="133">
        <f>商品录入!O124*$E124</f>
        <v>0</v>
      </c>
      <c r="P124" s="133">
        <f>商品录入!P124*$E124</f>
        <v>0</v>
      </c>
      <c r="Q124" s="133">
        <f>商品录入!Q124*$E124</f>
        <v>0</v>
      </c>
      <c r="R124" s="133">
        <f>商品录入!R124*$E124</f>
        <v>0</v>
      </c>
      <c r="S124" s="133">
        <f>商品录入!S124*$E124</f>
        <v>0</v>
      </c>
      <c r="T124" s="133">
        <f>商品录入!T124*$E124</f>
        <v>0</v>
      </c>
      <c r="U124" s="133">
        <f>商品录入!U124*$E124</f>
        <v>0</v>
      </c>
      <c r="V124" s="133">
        <f>商品录入!V124*$E124</f>
        <v>0</v>
      </c>
      <c r="W124" s="133">
        <f>商品录入!W124*$E124</f>
        <v>0</v>
      </c>
      <c r="X124" s="133">
        <f>商品录入!X124*$E124</f>
        <v>0</v>
      </c>
      <c r="Y124" s="133">
        <f>商品录入!Y124*$E124</f>
        <v>0</v>
      </c>
      <c r="Z124" s="133">
        <f>商品录入!Z124*$E124</f>
        <v>0</v>
      </c>
      <c r="AA124" s="133">
        <f>商品录入!AA124*$E124</f>
        <v>0</v>
      </c>
      <c r="AB124" s="133">
        <f>商品录入!AB124*$E124</f>
        <v>0</v>
      </c>
      <c r="AC124" s="133">
        <f>商品录入!AC124*$E124</f>
        <v>0</v>
      </c>
      <c r="AD124" s="133">
        <f>商品录入!AD124*$E124</f>
        <v>0</v>
      </c>
      <c r="AE124" s="133">
        <f>商品录入!AE124*$E124</f>
        <v>0</v>
      </c>
      <c r="AF124" s="133">
        <f>商品录入!AF124*$E124</f>
        <v>0</v>
      </c>
      <c r="AG124" s="133">
        <f>商品录入!AG124*$E124</f>
        <v>0</v>
      </c>
      <c r="AH124" s="133">
        <f>商品录入!AH124*$E124</f>
        <v>0</v>
      </c>
      <c r="AI124" s="133">
        <f>商品录入!AI124*$E124</f>
        <v>0</v>
      </c>
      <c r="AJ124" s="133">
        <f>商品录入!AJ124*$E124</f>
        <v>0</v>
      </c>
      <c r="AK124" s="133">
        <f>商品录入!AK124*$E124</f>
        <v>0</v>
      </c>
      <c r="AL124" s="133">
        <f>商品录入!AL124*$E124</f>
        <v>0</v>
      </c>
      <c r="AM124" s="133">
        <f>商品录入!AM124*$E124</f>
        <v>0</v>
      </c>
      <c r="AN124" s="133">
        <f>商品录入!AN124*$E124</f>
        <v>0</v>
      </c>
      <c r="AO124" s="133">
        <f>商品录入!AO124*$E124</f>
        <v>0</v>
      </c>
      <c r="AP124" s="133">
        <f>商品录入!AP124*$E124</f>
        <v>0</v>
      </c>
      <c r="AQ124" s="133">
        <f>商品录入!AQ124*$E124</f>
        <v>0</v>
      </c>
      <c r="AR124" s="133">
        <f>商品录入!AR124*$E124</f>
        <v>0</v>
      </c>
      <c r="AS124" s="133">
        <f>商品录入!AS124*$E124</f>
        <v>0</v>
      </c>
      <c r="AT124" s="133">
        <f>商品录入!AT124*$E124</f>
        <v>0</v>
      </c>
      <c r="AU124" s="133">
        <f>商品录入!AU124*$E124</f>
        <v>0</v>
      </c>
      <c r="AV124" s="133">
        <f>商品录入!AV124*$E124</f>
        <v>0</v>
      </c>
      <c r="AW124" s="133">
        <f>商品录入!AW124*$E124</f>
        <v>0</v>
      </c>
      <c r="AX124" s="133">
        <f>商品录入!AX124*$E124</f>
        <v>0</v>
      </c>
      <c r="AY124" s="133">
        <f>商品录入!AY124*$E124</f>
        <v>0</v>
      </c>
      <c r="AZ124" s="133">
        <f>商品录入!AZ124*$E124</f>
        <v>0</v>
      </c>
      <c r="BA124" s="133">
        <f>商品录入!BA124*$E124</f>
        <v>0</v>
      </c>
      <c r="BB124" s="133">
        <f>商品录入!BB124*$E124</f>
        <v>0</v>
      </c>
      <c r="BC124" s="133">
        <f>商品录入!BC124*$E124</f>
        <v>0</v>
      </c>
      <c r="BD124" s="133">
        <f>商品录入!BD124*$E124</f>
        <v>0</v>
      </c>
      <c r="BE124" s="133">
        <f>商品录入!BE124*$E124</f>
        <v>0</v>
      </c>
      <c r="BF124" s="133">
        <f>商品录入!BF124*$E124</f>
        <v>0</v>
      </c>
      <c r="BG124" s="133">
        <f>商品录入!BG124*$E124</f>
        <v>0</v>
      </c>
      <c r="BH124" s="133">
        <f>商品录入!BH124*$E124</f>
        <v>0</v>
      </c>
      <c r="BI124" s="133">
        <f>商品录入!BI124*$E124</f>
        <v>0</v>
      </c>
      <c r="BJ124" s="133">
        <f>商品录入!BJ124*$E124</f>
        <v>0</v>
      </c>
      <c r="BK124" s="133">
        <f>商品录入!BK124*$E124</f>
        <v>0</v>
      </c>
      <c r="BL124" s="133">
        <f>商品录入!BL124*$E124</f>
        <v>0</v>
      </c>
      <c r="BM124" s="133">
        <f>商品录入!BM124*$E124</f>
        <v>0</v>
      </c>
      <c r="BN124" s="133">
        <f>商品录入!BN124*$E124</f>
        <v>0</v>
      </c>
      <c r="BO124" s="133">
        <f>商品录入!BO124*$E124</f>
        <v>0</v>
      </c>
      <c r="BP124" s="133">
        <f>商品录入!BP124*$E124</f>
        <v>0</v>
      </c>
      <c r="BQ124" s="133">
        <f>商品录入!BQ124*$E124</f>
        <v>0</v>
      </c>
      <c r="BR124" s="133">
        <f>商品录入!BR124*$E124</f>
        <v>0</v>
      </c>
      <c r="BS124" s="133">
        <f>商品录入!BS124*$E124</f>
        <v>0</v>
      </c>
      <c r="BT124" s="133">
        <f>商品录入!BT124*$E124</f>
        <v>0</v>
      </c>
      <c r="BU124" s="133">
        <f>商品录入!BU124*$E124</f>
        <v>0</v>
      </c>
      <c r="BV124" s="133">
        <f>商品录入!BV124*$E124</f>
        <v>0</v>
      </c>
      <c r="BW124" s="133">
        <f>商品录入!BW124*$E124</f>
        <v>0</v>
      </c>
    </row>
    <row r="125" s="178" customFormat="1" customHeight="1" spans="1:75">
      <c r="A125" s="161">
        <v>121</v>
      </c>
      <c r="B125" s="162">
        <f>商品录入!B125</f>
        <v>0</v>
      </c>
      <c r="C125" s="162">
        <f>商品录入!C125</f>
        <v>0</v>
      </c>
      <c r="D125" s="162">
        <f>商品录入!D125</f>
        <v>0</v>
      </c>
      <c r="E125" s="162">
        <f>商品录入!E125</f>
        <v>0</v>
      </c>
      <c r="F125" s="162">
        <f>商品录入!F125</f>
        <v>0</v>
      </c>
      <c r="G125" s="162">
        <f>商品录入!G125</f>
        <v>0</v>
      </c>
      <c r="H125" s="162">
        <f>商品录入!H125</f>
        <v>0</v>
      </c>
      <c r="I125" s="162">
        <f>商品录入!I125</f>
        <v>0</v>
      </c>
      <c r="J125" s="162">
        <f>商品录入!J125</f>
        <v>0</v>
      </c>
      <c r="K125" s="162">
        <f>商品录入!K125</f>
        <v>0</v>
      </c>
      <c r="L125" s="162">
        <f>商品录入!L125</f>
        <v>0</v>
      </c>
      <c r="M125" s="162">
        <f>商品录入!M125</f>
        <v>0</v>
      </c>
      <c r="N125" s="133">
        <f>商品录入!N125*$E125</f>
        <v>0</v>
      </c>
      <c r="O125" s="133">
        <f>商品录入!O125*$E125</f>
        <v>0</v>
      </c>
      <c r="P125" s="133">
        <f>商品录入!P125*$E125</f>
        <v>0</v>
      </c>
      <c r="Q125" s="133">
        <f>商品录入!Q125*$E125</f>
        <v>0</v>
      </c>
      <c r="R125" s="133">
        <f>商品录入!R125*$E125</f>
        <v>0</v>
      </c>
      <c r="S125" s="133">
        <f>商品录入!S125*$E125</f>
        <v>0</v>
      </c>
      <c r="T125" s="133">
        <f>商品录入!T125*$E125</f>
        <v>0</v>
      </c>
      <c r="U125" s="133">
        <f>商品录入!U125*$E125</f>
        <v>0</v>
      </c>
      <c r="V125" s="133">
        <f>商品录入!V125*$E125</f>
        <v>0</v>
      </c>
      <c r="W125" s="133">
        <f>商品录入!W125*$E125</f>
        <v>0</v>
      </c>
      <c r="X125" s="133">
        <f>商品录入!X125*$E125</f>
        <v>0</v>
      </c>
      <c r="Y125" s="133">
        <f>商品录入!Y125*$E125</f>
        <v>0</v>
      </c>
      <c r="Z125" s="133">
        <f>商品录入!Z125*$E125</f>
        <v>0</v>
      </c>
      <c r="AA125" s="133">
        <f>商品录入!AA125*$E125</f>
        <v>0</v>
      </c>
      <c r="AB125" s="133">
        <f>商品录入!AB125*$E125</f>
        <v>0</v>
      </c>
      <c r="AC125" s="133">
        <f>商品录入!AC125*$E125</f>
        <v>0</v>
      </c>
      <c r="AD125" s="133">
        <f>商品录入!AD125*$E125</f>
        <v>0</v>
      </c>
      <c r="AE125" s="133">
        <f>商品录入!AE125*$E125</f>
        <v>0</v>
      </c>
      <c r="AF125" s="133">
        <f>商品录入!AF125*$E125</f>
        <v>0</v>
      </c>
      <c r="AG125" s="133">
        <f>商品录入!AG125*$E125</f>
        <v>0</v>
      </c>
      <c r="AH125" s="133">
        <f>商品录入!AH125*$E125</f>
        <v>0</v>
      </c>
      <c r="AI125" s="133">
        <f>商品录入!AI125*$E125</f>
        <v>0</v>
      </c>
      <c r="AJ125" s="133">
        <f>商品录入!AJ125*$E125</f>
        <v>0</v>
      </c>
      <c r="AK125" s="133">
        <f>商品录入!AK125*$E125</f>
        <v>0</v>
      </c>
      <c r="AL125" s="133">
        <f>商品录入!AL125*$E125</f>
        <v>0</v>
      </c>
      <c r="AM125" s="133">
        <f>商品录入!AM125*$E125</f>
        <v>0</v>
      </c>
      <c r="AN125" s="133">
        <f>商品录入!AN125*$E125</f>
        <v>0</v>
      </c>
      <c r="AO125" s="133">
        <f>商品录入!AO125*$E125</f>
        <v>0</v>
      </c>
      <c r="AP125" s="133">
        <f>商品录入!AP125*$E125</f>
        <v>0</v>
      </c>
      <c r="AQ125" s="133">
        <f>商品录入!AQ125*$E125</f>
        <v>0</v>
      </c>
      <c r="AR125" s="133">
        <f>商品录入!AR125*$E125</f>
        <v>0</v>
      </c>
      <c r="AS125" s="133">
        <f>商品录入!AS125*$E125</f>
        <v>0</v>
      </c>
      <c r="AT125" s="133">
        <f>商品录入!AT125*$E125</f>
        <v>0</v>
      </c>
      <c r="AU125" s="133">
        <f>商品录入!AU125*$E125</f>
        <v>0</v>
      </c>
      <c r="AV125" s="133">
        <f>商品录入!AV125*$E125</f>
        <v>0</v>
      </c>
      <c r="AW125" s="133">
        <f>商品录入!AW125*$E125</f>
        <v>0</v>
      </c>
      <c r="AX125" s="133">
        <f>商品录入!AX125*$E125</f>
        <v>0</v>
      </c>
      <c r="AY125" s="133">
        <f>商品录入!AY125*$E125</f>
        <v>0</v>
      </c>
      <c r="AZ125" s="133">
        <f>商品录入!AZ125*$E125</f>
        <v>0</v>
      </c>
      <c r="BA125" s="133">
        <f>商品录入!BA125*$E125</f>
        <v>0</v>
      </c>
      <c r="BB125" s="133">
        <f>商品录入!BB125*$E125</f>
        <v>0</v>
      </c>
      <c r="BC125" s="133">
        <f>商品录入!BC125*$E125</f>
        <v>0</v>
      </c>
      <c r="BD125" s="133">
        <f>商品录入!BD125*$E125</f>
        <v>0</v>
      </c>
      <c r="BE125" s="133">
        <f>商品录入!BE125*$E125</f>
        <v>0</v>
      </c>
      <c r="BF125" s="133">
        <f>商品录入!BF125*$E125</f>
        <v>0</v>
      </c>
      <c r="BG125" s="133">
        <f>商品录入!BG125*$E125</f>
        <v>0</v>
      </c>
      <c r="BH125" s="133">
        <f>商品录入!BH125*$E125</f>
        <v>0</v>
      </c>
      <c r="BI125" s="133">
        <f>商品录入!BI125*$E125</f>
        <v>0</v>
      </c>
      <c r="BJ125" s="133">
        <f>商品录入!BJ125*$E125</f>
        <v>0</v>
      </c>
      <c r="BK125" s="133">
        <f>商品录入!BK125*$E125</f>
        <v>0</v>
      </c>
      <c r="BL125" s="133">
        <f>商品录入!BL125*$E125</f>
        <v>0</v>
      </c>
      <c r="BM125" s="133">
        <f>商品录入!BM125*$E125</f>
        <v>0</v>
      </c>
      <c r="BN125" s="133">
        <f>商品录入!BN125*$E125</f>
        <v>0</v>
      </c>
      <c r="BO125" s="133">
        <f>商品录入!BO125*$E125</f>
        <v>0</v>
      </c>
      <c r="BP125" s="133">
        <f>商品录入!BP125*$E125</f>
        <v>0</v>
      </c>
      <c r="BQ125" s="133">
        <f>商品录入!BQ125*$E125</f>
        <v>0</v>
      </c>
      <c r="BR125" s="133">
        <f>商品录入!BR125*$E125</f>
        <v>0</v>
      </c>
      <c r="BS125" s="133">
        <f>商品录入!BS125*$E125</f>
        <v>0</v>
      </c>
      <c r="BT125" s="133">
        <f>商品录入!BT125*$E125</f>
        <v>0</v>
      </c>
      <c r="BU125" s="133">
        <f>商品录入!BU125*$E125</f>
        <v>0</v>
      </c>
      <c r="BV125" s="133">
        <f>商品录入!BV125*$E125</f>
        <v>0</v>
      </c>
      <c r="BW125" s="133">
        <f>商品录入!BW125*$E125</f>
        <v>0</v>
      </c>
    </row>
    <row r="126" s="178" customFormat="1" customHeight="1" spans="1:75">
      <c r="A126" s="161">
        <v>122</v>
      </c>
      <c r="B126" s="162">
        <f>商品录入!B126</f>
        <v>0</v>
      </c>
      <c r="C126" s="162">
        <f>商品录入!C126</f>
        <v>0</v>
      </c>
      <c r="D126" s="162">
        <f>商品录入!D126</f>
        <v>0</v>
      </c>
      <c r="E126" s="162">
        <f>商品录入!E126</f>
        <v>0</v>
      </c>
      <c r="F126" s="162">
        <f>商品录入!F126</f>
        <v>0</v>
      </c>
      <c r="G126" s="162">
        <f>商品录入!G126</f>
        <v>0</v>
      </c>
      <c r="H126" s="162">
        <f>商品录入!H126</f>
        <v>0</v>
      </c>
      <c r="I126" s="162">
        <f>商品录入!I126</f>
        <v>0</v>
      </c>
      <c r="J126" s="162">
        <f>商品录入!J126</f>
        <v>0</v>
      </c>
      <c r="K126" s="162">
        <f>商品录入!K126</f>
        <v>0</v>
      </c>
      <c r="L126" s="162">
        <f>商品录入!L126</f>
        <v>0</v>
      </c>
      <c r="M126" s="162">
        <f>商品录入!M126</f>
        <v>0</v>
      </c>
      <c r="N126" s="133">
        <f>商品录入!N126*$E126</f>
        <v>0</v>
      </c>
      <c r="O126" s="133">
        <f>商品录入!O126*$E126</f>
        <v>0</v>
      </c>
      <c r="P126" s="133">
        <f>商品录入!P126*$E126</f>
        <v>0</v>
      </c>
      <c r="Q126" s="133">
        <f>商品录入!Q126*$E126</f>
        <v>0</v>
      </c>
      <c r="R126" s="133">
        <f>商品录入!R126*$E126</f>
        <v>0</v>
      </c>
      <c r="S126" s="133">
        <f>商品录入!S126*$E126</f>
        <v>0</v>
      </c>
      <c r="T126" s="133">
        <f>商品录入!T126*$E126</f>
        <v>0</v>
      </c>
      <c r="U126" s="133">
        <f>商品录入!U126*$E126</f>
        <v>0</v>
      </c>
      <c r="V126" s="133">
        <f>商品录入!V126*$E126</f>
        <v>0</v>
      </c>
      <c r="W126" s="133">
        <f>商品录入!W126*$E126</f>
        <v>0</v>
      </c>
      <c r="X126" s="133">
        <f>商品录入!X126*$E126</f>
        <v>0</v>
      </c>
      <c r="Y126" s="133">
        <f>商品录入!Y126*$E126</f>
        <v>0</v>
      </c>
      <c r="Z126" s="133">
        <f>商品录入!Z126*$E126</f>
        <v>0</v>
      </c>
      <c r="AA126" s="133">
        <f>商品录入!AA126*$E126</f>
        <v>0</v>
      </c>
      <c r="AB126" s="133">
        <f>商品录入!AB126*$E126</f>
        <v>0</v>
      </c>
      <c r="AC126" s="133">
        <f>商品录入!AC126*$E126</f>
        <v>0</v>
      </c>
      <c r="AD126" s="133">
        <f>商品录入!AD126*$E126</f>
        <v>0</v>
      </c>
      <c r="AE126" s="133">
        <f>商品录入!AE126*$E126</f>
        <v>0</v>
      </c>
      <c r="AF126" s="133">
        <f>商品录入!AF126*$E126</f>
        <v>0</v>
      </c>
      <c r="AG126" s="133">
        <f>商品录入!AG126*$E126</f>
        <v>0</v>
      </c>
      <c r="AH126" s="133">
        <f>商品录入!AH126*$E126</f>
        <v>0</v>
      </c>
      <c r="AI126" s="133">
        <f>商品录入!AI126*$E126</f>
        <v>0</v>
      </c>
      <c r="AJ126" s="133">
        <f>商品录入!AJ126*$E126</f>
        <v>0</v>
      </c>
      <c r="AK126" s="133">
        <f>商品录入!AK126*$E126</f>
        <v>0</v>
      </c>
      <c r="AL126" s="133">
        <f>商品录入!AL126*$E126</f>
        <v>0</v>
      </c>
      <c r="AM126" s="133">
        <f>商品录入!AM126*$E126</f>
        <v>0</v>
      </c>
      <c r="AN126" s="133">
        <f>商品录入!AN126*$E126</f>
        <v>0</v>
      </c>
      <c r="AO126" s="133">
        <f>商品录入!AO126*$E126</f>
        <v>0</v>
      </c>
      <c r="AP126" s="133">
        <f>商品录入!AP126*$E126</f>
        <v>0</v>
      </c>
      <c r="AQ126" s="133">
        <f>商品录入!AQ126*$E126</f>
        <v>0</v>
      </c>
      <c r="AR126" s="133">
        <f>商品录入!AR126*$E126</f>
        <v>0</v>
      </c>
      <c r="AS126" s="133">
        <f>商品录入!AS126*$E126</f>
        <v>0</v>
      </c>
      <c r="AT126" s="133">
        <f>商品录入!AT126*$E126</f>
        <v>0</v>
      </c>
      <c r="AU126" s="133">
        <f>商品录入!AU126*$E126</f>
        <v>0</v>
      </c>
      <c r="AV126" s="133">
        <f>商品录入!AV126*$E126</f>
        <v>0</v>
      </c>
      <c r="AW126" s="133">
        <f>商品录入!AW126*$E126</f>
        <v>0</v>
      </c>
      <c r="AX126" s="133">
        <f>商品录入!AX126*$E126</f>
        <v>0</v>
      </c>
      <c r="AY126" s="133">
        <f>商品录入!AY126*$E126</f>
        <v>0</v>
      </c>
      <c r="AZ126" s="133">
        <f>商品录入!AZ126*$E126</f>
        <v>0</v>
      </c>
      <c r="BA126" s="133">
        <f>商品录入!BA126*$E126</f>
        <v>0</v>
      </c>
      <c r="BB126" s="133">
        <f>商品录入!BB126*$E126</f>
        <v>0</v>
      </c>
      <c r="BC126" s="133">
        <f>商品录入!BC126*$E126</f>
        <v>0</v>
      </c>
      <c r="BD126" s="133">
        <f>商品录入!BD126*$E126</f>
        <v>0</v>
      </c>
      <c r="BE126" s="133">
        <f>商品录入!BE126*$E126</f>
        <v>0</v>
      </c>
      <c r="BF126" s="133">
        <f>商品录入!BF126*$E126</f>
        <v>0</v>
      </c>
      <c r="BG126" s="133">
        <f>商品录入!BG126*$E126</f>
        <v>0</v>
      </c>
      <c r="BH126" s="133">
        <f>商品录入!BH126*$E126</f>
        <v>0</v>
      </c>
      <c r="BI126" s="133">
        <f>商品录入!BI126*$E126</f>
        <v>0</v>
      </c>
      <c r="BJ126" s="133">
        <f>商品录入!BJ126*$E126</f>
        <v>0</v>
      </c>
      <c r="BK126" s="133">
        <f>商品录入!BK126*$E126</f>
        <v>0</v>
      </c>
      <c r="BL126" s="133">
        <f>商品录入!BL126*$E126</f>
        <v>0</v>
      </c>
      <c r="BM126" s="133">
        <f>商品录入!BM126*$E126</f>
        <v>0</v>
      </c>
      <c r="BN126" s="133">
        <f>商品录入!BN126*$E126</f>
        <v>0</v>
      </c>
      <c r="BO126" s="133">
        <f>商品录入!BO126*$E126</f>
        <v>0</v>
      </c>
      <c r="BP126" s="133">
        <f>商品录入!BP126*$E126</f>
        <v>0</v>
      </c>
      <c r="BQ126" s="133">
        <f>商品录入!BQ126*$E126</f>
        <v>0</v>
      </c>
      <c r="BR126" s="133">
        <f>商品录入!BR126*$E126</f>
        <v>0</v>
      </c>
      <c r="BS126" s="133">
        <f>商品录入!BS126*$E126</f>
        <v>0</v>
      </c>
      <c r="BT126" s="133">
        <f>商品录入!BT126*$E126</f>
        <v>0</v>
      </c>
      <c r="BU126" s="133">
        <f>商品录入!BU126*$E126</f>
        <v>0</v>
      </c>
      <c r="BV126" s="133">
        <f>商品录入!BV126*$E126</f>
        <v>0</v>
      </c>
      <c r="BW126" s="133">
        <f>商品录入!BW126*$E126</f>
        <v>0</v>
      </c>
    </row>
    <row r="127" s="178" customFormat="1" customHeight="1" spans="1:75">
      <c r="A127" s="161">
        <v>123</v>
      </c>
      <c r="B127" s="162">
        <f>商品录入!B127</f>
        <v>0</v>
      </c>
      <c r="C127" s="162">
        <f>商品录入!C127</f>
        <v>0</v>
      </c>
      <c r="D127" s="162">
        <f>商品录入!D127</f>
        <v>0</v>
      </c>
      <c r="E127" s="162">
        <f>商品录入!E127</f>
        <v>0</v>
      </c>
      <c r="F127" s="162">
        <f>商品录入!F127</f>
        <v>0</v>
      </c>
      <c r="G127" s="162">
        <f>商品录入!G127</f>
        <v>0</v>
      </c>
      <c r="H127" s="162">
        <f>商品录入!H127</f>
        <v>0</v>
      </c>
      <c r="I127" s="162">
        <f>商品录入!I127</f>
        <v>0</v>
      </c>
      <c r="J127" s="162">
        <f>商品录入!J127</f>
        <v>0</v>
      </c>
      <c r="K127" s="162">
        <f>商品录入!K127</f>
        <v>0</v>
      </c>
      <c r="L127" s="162">
        <f>商品录入!L127</f>
        <v>0</v>
      </c>
      <c r="M127" s="162">
        <f>商品录入!M127</f>
        <v>0</v>
      </c>
      <c r="N127" s="133">
        <f>商品录入!N127*$E127</f>
        <v>0</v>
      </c>
      <c r="O127" s="133">
        <f>商品录入!O127*$E127</f>
        <v>0</v>
      </c>
      <c r="P127" s="133">
        <f>商品录入!P127*$E127</f>
        <v>0</v>
      </c>
      <c r="Q127" s="133">
        <f>商品录入!Q127*$E127</f>
        <v>0</v>
      </c>
      <c r="R127" s="133">
        <f>商品录入!R127*$E127</f>
        <v>0</v>
      </c>
      <c r="S127" s="133">
        <f>商品录入!S127*$E127</f>
        <v>0</v>
      </c>
      <c r="T127" s="133">
        <f>商品录入!T127*$E127</f>
        <v>0</v>
      </c>
      <c r="U127" s="133">
        <f>商品录入!U127*$E127</f>
        <v>0</v>
      </c>
      <c r="V127" s="133">
        <f>商品录入!V127*$E127</f>
        <v>0</v>
      </c>
      <c r="W127" s="133">
        <f>商品录入!W127*$E127</f>
        <v>0</v>
      </c>
      <c r="X127" s="133">
        <f>商品录入!X127*$E127</f>
        <v>0</v>
      </c>
      <c r="Y127" s="133">
        <f>商品录入!Y127*$E127</f>
        <v>0</v>
      </c>
      <c r="Z127" s="133">
        <f>商品录入!Z127*$E127</f>
        <v>0</v>
      </c>
      <c r="AA127" s="133">
        <f>商品录入!AA127*$E127</f>
        <v>0</v>
      </c>
      <c r="AB127" s="133">
        <f>商品录入!AB127*$E127</f>
        <v>0</v>
      </c>
      <c r="AC127" s="133">
        <f>商品录入!AC127*$E127</f>
        <v>0</v>
      </c>
      <c r="AD127" s="133">
        <f>商品录入!AD127*$E127</f>
        <v>0</v>
      </c>
      <c r="AE127" s="133">
        <f>商品录入!AE127*$E127</f>
        <v>0</v>
      </c>
      <c r="AF127" s="133">
        <f>商品录入!AF127*$E127</f>
        <v>0</v>
      </c>
      <c r="AG127" s="133">
        <f>商品录入!AG127*$E127</f>
        <v>0</v>
      </c>
      <c r="AH127" s="133">
        <f>商品录入!AH127*$E127</f>
        <v>0</v>
      </c>
      <c r="AI127" s="133">
        <f>商品录入!AI127*$E127</f>
        <v>0</v>
      </c>
      <c r="AJ127" s="133">
        <f>商品录入!AJ127*$E127</f>
        <v>0</v>
      </c>
      <c r="AK127" s="133">
        <f>商品录入!AK127*$E127</f>
        <v>0</v>
      </c>
      <c r="AL127" s="133">
        <f>商品录入!AL127*$E127</f>
        <v>0</v>
      </c>
      <c r="AM127" s="133">
        <f>商品录入!AM127*$E127</f>
        <v>0</v>
      </c>
      <c r="AN127" s="133">
        <f>商品录入!AN127*$E127</f>
        <v>0</v>
      </c>
      <c r="AO127" s="133">
        <f>商品录入!AO127*$E127</f>
        <v>0</v>
      </c>
      <c r="AP127" s="133">
        <f>商品录入!AP127*$E127</f>
        <v>0</v>
      </c>
      <c r="AQ127" s="133">
        <f>商品录入!AQ127*$E127</f>
        <v>0</v>
      </c>
      <c r="AR127" s="133">
        <f>商品录入!AR127*$E127</f>
        <v>0</v>
      </c>
      <c r="AS127" s="133">
        <f>商品录入!AS127*$E127</f>
        <v>0</v>
      </c>
      <c r="AT127" s="133">
        <f>商品录入!AT127*$E127</f>
        <v>0</v>
      </c>
      <c r="AU127" s="133">
        <f>商品录入!AU127*$E127</f>
        <v>0</v>
      </c>
      <c r="AV127" s="133">
        <f>商品录入!AV127*$E127</f>
        <v>0</v>
      </c>
      <c r="AW127" s="133">
        <f>商品录入!AW127*$E127</f>
        <v>0</v>
      </c>
      <c r="AX127" s="133">
        <f>商品录入!AX127*$E127</f>
        <v>0</v>
      </c>
      <c r="AY127" s="133">
        <f>商品录入!AY127*$E127</f>
        <v>0</v>
      </c>
      <c r="AZ127" s="133">
        <f>商品录入!AZ127*$E127</f>
        <v>0</v>
      </c>
      <c r="BA127" s="133">
        <f>商品录入!BA127*$E127</f>
        <v>0</v>
      </c>
      <c r="BB127" s="133">
        <f>商品录入!BB127*$E127</f>
        <v>0</v>
      </c>
      <c r="BC127" s="133">
        <f>商品录入!BC127*$E127</f>
        <v>0</v>
      </c>
      <c r="BD127" s="133">
        <f>商品录入!BD127*$E127</f>
        <v>0</v>
      </c>
      <c r="BE127" s="133">
        <f>商品录入!BE127*$E127</f>
        <v>0</v>
      </c>
      <c r="BF127" s="133">
        <f>商品录入!BF127*$E127</f>
        <v>0</v>
      </c>
      <c r="BG127" s="133">
        <f>商品录入!BG127*$E127</f>
        <v>0</v>
      </c>
      <c r="BH127" s="133">
        <f>商品录入!BH127*$E127</f>
        <v>0</v>
      </c>
      <c r="BI127" s="133">
        <f>商品录入!BI127*$E127</f>
        <v>0</v>
      </c>
      <c r="BJ127" s="133">
        <f>商品录入!BJ127*$E127</f>
        <v>0</v>
      </c>
      <c r="BK127" s="133">
        <f>商品录入!BK127*$E127</f>
        <v>0</v>
      </c>
      <c r="BL127" s="133">
        <f>商品录入!BL127*$E127</f>
        <v>0</v>
      </c>
      <c r="BM127" s="133">
        <f>商品录入!BM127*$E127</f>
        <v>0</v>
      </c>
      <c r="BN127" s="133">
        <f>商品录入!BN127*$E127</f>
        <v>0</v>
      </c>
      <c r="BO127" s="133">
        <f>商品录入!BO127*$E127</f>
        <v>0</v>
      </c>
      <c r="BP127" s="133">
        <f>商品录入!BP127*$E127</f>
        <v>0</v>
      </c>
      <c r="BQ127" s="133">
        <f>商品录入!BQ127*$E127</f>
        <v>0</v>
      </c>
      <c r="BR127" s="133">
        <f>商品录入!BR127*$E127</f>
        <v>0</v>
      </c>
      <c r="BS127" s="133">
        <f>商品录入!BS127*$E127</f>
        <v>0</v>
      </c>
      <c r="BT127" s="133">
        <f>商品录入!BT127*$E127</f>
        <v>0</v>
      </c>
      <c r="BU127" s="133">
        <f>商品录入!BU127*$E127</f>
        <v>0</v>
      </c>
      <c r="BV127" s="133">
        <f>商品录入!BV127*$E127</f>
        <v>0</v>
      </c>
      <c r="BW127" s="133">
        <f>商品录入!BW127*$E127</f>
        <v>0</v>
      </c>
    </row>
    <row r="128" s="178" customFormat="1" customHeight="1" spans="1:75">
      <c r="A128" s="161">
        <v>124</v>
      </c>
      <c r="B128" s="162">
        <f>商品录入!B128</f>
        <v>0</v>
      </c>
      <c r="C128" s="162">
        <f>商品录入!C128</f>
        <v>0</v>
      </c>
      <c r="D128" s="162">
        <f>商品录入!D128</f>
        <v>0</v>
      </c>
      <c r="E128" s="162">
        <f>商品录入!E128</f>
        <v>0</v>
      </c>
      <c r="F128" s="162">
        <f>商品录入!F128</f>
        <v>0</v>
      </c>
      <c r="G128" s="162">
        <f>商品录入!G128</f>
        <v>0</v>
      </c>
      <c r="H128" s="162">
        <f>商品录入!H128</f>
        <v>0</v>
      </c>
      <c r="I128" s="162">
        <f>商品录入!I128</f>
        <v>0</v>
      </c>
      <c r="J128" s="162">
        <f>商品录入!J128</f>
        <v>0</v>
      </c>
      <c r="K128" s="162">
        <f>商品录入!K128</f>
        <v>0</v>
      </c>
      <c r="L128" s="162">
        <f>商品录入!L128</f>
        <v>0</v>
      </c>
      <c r="M128" s="162">
        <f>商品录入!M128</f>
        <v>0</v>
      </c>
      <c r="N128" s="133">
        <f>商品录入!N128*$E128</f>
        <v>0</v>
      </c>
      <c r="O128" s="133">
        <f>商品录入!O128*$E128</f>
        <v>0</v>
      </c>
      <c r="P128" s="133">
        <f>商品录入!P128*$E128</f>
        <v>0</v>
      </c>
      <c r="Q128" s="133">
        <f>商品录入!Q128*$E128</f>
        <v>0</v>
      </c>
      <c r="R128" s="133">
        <f>商品录入!R128*$E128</f>
        <v>0</v>
      </c>
      <c r="S128" s="133">
        <f>商品录入!S128*$E128</f>
        <v>0</v>
      </c>
      <c r="T128" s="133">
        <f>商品录入!T128*$E128</f>
        <v>0</v>
      </c>
      <c r="U128" s="133">
        <f>商品录入!U128*$E128</f>
        <v>0</v>
      </c>
      <c r="V128" s="133">
        <f>商品录入!V128*$E128</f>
        <v>0</v>
      </c>
      <c r="W128" s="133">
        <f>商品录入!W128*$E128</f>
        <v>0</v>
      </c>
      <c r="X128" s="133">
        <f>商品录入!X128*$E128</f>
        <v>0</v>
      </c>
      <c r="Y128" s="133">
        <f>商品录入!Y128*$E128</f>
        <v>0</v>
      </c>
      <c r="Z128" s="133">
        <f>商品录入!Z128*$E128</f>
        <v>0</v>
      </c>
      <c r="AA128" s="133">
        <f>商品录入!AA128*$E128</f>
        <v>0</v>
      </c>
      <c r="AB128" s="133">
        <f>商品录入!AB128*$E128</f>
        <v>0</v>
      </c>
      <c r="AC128" s="133">
        <f>商品录入!AC128*$E128</f>
        <v>0</v>
      </c>
      <c r="AD128" s="133">
        <f>商品录入!AD128*$E128</f>
        <v>0</v>
      </c>
      <c r="AE128" s="133">
        <f>商品录入!AE128*$E128</f>
        <v>0</v>
      </c>
      <c r="AF128" s="133">
        <f>商品录入!AF128*$E128</f>
        <v>0</v>
      </c>
      <c r="AG128" s="133">
        <f>商品录入!AG128*$E128</f>
        <v>0</v>
      </c>
      <c r="AH128" s="133">
        <f>商品录入!AH128*$E128</f>
        <v>0</v>
      </c>
      <c r="AI128" s="133">
        <f>商品录入!AI128*$E128</f>
        <v>0</v>
      </c>
      <c r="AJ128" s="133">
        <f>商品录入!AJ128*$E128</f>
        <v>0</v>
      </c>
      <c r="AK128" s="133">
        <f>商品录入!AK128*$E128</f>
        <v>0</v>
      </c>
      <c r="AL128" s="133">
        <f>商品录入!AL128*$E128</f>
        <v>0</v>
      </c>
      <c r="AM128" s="133">
        <f>商品录入!AM128*$E128</f>
        <v>0</v>
      </c>
      <c r="AN128" s="133">
        <f>商品录入!AN128*$E128</f>
        <v>0</v>
      </c>
      <c r="AO128" s="133">
        <f>商品录入!AO128*$E128</f>
        <v>0</v>
      </c>
      <c r="AP128" s="133">
        <f>商品录入!AP128*$E128</f>
        <v>0</v>
      </c>
      <c r="AQ128" s="133">
        <f>商品录入!AQ128*$E128</f>
        <v>0</v>
      </c>
      <c r="AR128" s="133">
        <f>商品录入!AR128*$E128</f>
        <v>0</v>
      </c>
      <c r="AS128" s="133">
        <f>商品录入!AS128*$E128</f>
        <v>0</v>
      </c>
      <c r="AT128" s="133">
        <f>商品录入!AT128*$E128</f>
        <v>0</v>
      </c>
      <c r="AU128" s="133">
        <f>商品录入!AU128*$E128</f>
        <v>0</v>
      </c>
      <c r="AV128" s="133">
        <f>商品录入!AV128*$E128</f>
        <v>0</v>
      </c>
      <c r="AW128" s="133">
        <f>商品录入!AW128*$E128</f>
        <v>0</v>
      </c>
      <c r="AX128" s="133">
        <f>商品录入!AX128*$E128</f>
        <v>0</v>
      </c>
      <c r="AY128" s="133">
        <f>商品录入!AY128*$E128</f>
        <v>0</v>
      </c>
      <c r="AZ128" s="133">
        <f>商品录入!AZ128*$E128</f>
        <v>0</v>
      </c>
      <c r="BA128" s="133">
        <f>商品录入!BA128*$E128</f>
        <v>0</v>
      </c>
      <c r="BB128" s="133">
        <f>商品录入!BB128*$E128</f>
        <v>0</v>
      </c>
      <c r="BC128" s="133">
        <f>商品录入!BC128*$E128</f>
        <v>0</v>
      </c>
      <c r="BD128" s="133">
        <f>商品录入!BD128*$E128</f>
        <v>0</v>
      </c>
      <c r="BE128" s="133">
        <f>商品录入!BE128*$E128</f>
        <v>0</v>
      </c>
      <c r="BF128" s="133">
        <f>商品录入!BF128*$E128</f>
        <v>0</v>
      </c>
      <c r="BG128" s="133">
        <f>商品录入!BG128*$E128</f>
        <v>0</v>
      </c>
      <c r="BH128" s="133">
        <f>商品录入!BH128*$E128</f>
        <v>0</v>
      </c>
      <c r="BI128" s="133">
        <f>商品录入!BI128*$E128</f>
        <v>0</v>
      </c>
      <c r="BJ128" s="133">
        <f>商品录入!BJ128*$E128</f>
        <v>0</v>
      </c>
      <c r="BK128" s="133">
        <f>商品录入!BK128*$E128</f>
        <v>0</v>
      </c>
      <c r="BL128" s="133">
        <f>商品录入!BL128*$E128</f>
        <v>0</v>
      </c>
      <c r="BM128" s="133">
        <f>商品录入!BM128*$E128</f>
        <v>0</v>
      </c>
      <c r="BN128" s="133">
        <f>商品录入!BN128*$E128</f>
        <v>0</v>
      </c>
      <c r="BO128" s="133">
        <f>商品录入!BO128*$E128</f>
        <v>0</v>
      </c>
      <c r="BP128" s="133">
        <f>商品录入!BP128*$E128</f>
        <v>0</v>
      </c>
      <c r="BQ128" s="133">
        <f>商品录入!BQ128*$E128</f>
        <v>0</v>
      </c>
      <c r="BR128" s="133">
        <f>商品录入!BR128*$E128</f>
        <v>0</v>
      </c>
      <c r="BS128" s="133">
        <f>商品录入!BS128*$E128</f>
        <v>0</v>
      </c>
      <c r="BT128" s="133">
        <f>商品录入!BT128*$E128</f>
        <v>0</v>
      </c>
      <c r="BU128" s="133">
        <f>商品录入!BU128*$E128</f>
        <v>0</v>
      </c>
      <c r="BV128" s="133">
        <f>商品录入!BV128*$E128</f>
        <v>0</v>
      </c>
      <c r="BW128" s="133">
        <f>商品录入!BW128*$E128</f>
        <v>0</v>
      </c>
    </row>
    <row r="129" s="178" customFormat="1" customHeight="1" spans="1:75">
      <c r="A129" s="161">
        <v>125</v>
      </c>
      <c r="B129" s="162">
        <f>商品录入!B129</f>
        <v>0</v>
      </c>
      <c r="C129" s="162">
        <f>商品录入!C129</f>
        <v>0</v>
      </c>
      <c r="D129" s="162">
        <f>商品录入!D129</f>
        <v>0</v>
      </c>
      <c r="E129" s="162">
        <f>商品录入!E129</f>
        <v>0</v>
      </c>
      <c r="F129" s="162">
        <f>商品录入!F129</f>
        <v>0</v>
      </c>
      <c r="G129" s="162">
        <f>商品录入!G129</f>
        <v>0</v>
      </c>
      <c r="H129" s="162">
        <f>商品录入!H129</f>
        <v>0</v>
      </c>
      <c r="I129" s="162">
        <f>商品录入!I129</f>
        <v>0</v>
      </c>
      <c r="J129" s="162">
        <f>商品录入!J129</f>
        <v>0</v>
      </c>
      <c r="K129" s="162">
        <f>商品录入!K129</f>
        <v>0</v>
      </c>
      <c r="L129" s="162">
        <f>商品录入!L129</f>
        <v>0</v>
      </c>
      <c r="M129" s="162">
        <f>商品录入!M129</f>
        <v>0</v>
      </c>
      <c r="N129" s="133">
        <f>商品录入!N129*$E129</f>
        <v>0</v>
      </c>
      <c r="O129" s="133">
        <f>商品录入!O129*$E129</f>
        <v>0</v>
      </c>
      <c r="P129" s="133">
        <f>商品录入!P129*$E129</f>
        <v>0</v>
      </c>
      <c r="Q129" s="133">
        <f>商品录入!Q129*$E129</f>
        <v>0</v>
      </c>
      <c r="R129" s="133">
        <f>商品录入!R129*$E129</f>
        <v>0</v>
      </c>
      <c r="S129" s="133">
        <f>商品录入!S129*$E129</f>
        <v>0</v>
      </c>
      <c r="T129" s="133">
        <f>商品录入!T129*$E129</f>
        <v>0</v>
      </c>
      <c r="U129" s="133">
        <f>商品录入!U129*$E129</f>
        <v>0</v>
      </c>
      <c r="V129" s="133">
        <f>商品录入!V129*$E129</f>
        <v>0</v>
      </c>
      <c r="W129" s="133">
        <f>商品录入!W129*$E129</f>
        <v>0</v>
      </c>
      <c r="X129" s="133">
        <f>商品录入!X129*$E129</f>
        <v>0</v>
      </c>
      <c r="Y129" s="133">
        <f>商品录入!Y129*$E129</f>
        <v>0</v>
      </c>
      <c r="Z129" s="133">
        <f>商品录入!Z129*$E129</f>
        <v>0</v>
      </c>
      <c r="AA129" s="133">
        <f>商品录入!AA129*$E129</f>
        <v>0</v>
      </c>
      <c r="AB129" s="133">
        <f>商品录入!AB129*$E129</f>
        <v>0</v>
      </c>
      <c r="AC129" s="133">
        <f>商品录入!AC129*$E129</f>
        <v>0</v>
      </c>
      <c r="AD129" s="133">
        <f>商品录入!AD129*$E129</f>
        <v>0</v>
      </c>
      <c r="AE129" s="133">
        <f>商品录入!AE129*$E129</f>
        <v>0</v>
      </c>
      <c r="AF129" s="133">
        <f>商品录入!AF129*$E129</f>
        <v>0</v>
      </c>
      <c r="AG129" s="133">
        <f>商品录入!AG129*$E129</f>
        <v>0</v>
      </c>
      <c r="AH129" s="133">
        <f>商品录入!AH129*$E129</f>
        <v>0</v>
      </c>
      <c r="AI129" s="133">
        <f>商品录入!AI129*$E129</f>
        <v>0</v>
      </c>
      <c r="AJ129" s="133">
        <f>商品录入!AJ129*$E129</f>
        <v>0</v>
      </c>
      <c r="AK129" s="133">
        <f>商品录入!AK129*$E129</f>
        <v>0</v>
      </c>
      <c r="AL129" s="133">
        <f>商品录入!AL129*$E129</f>
        <v>0</v>
      </c>
      <c r="AM129" s="133">
        <f>商品录入!AM129*$E129</f>
        <v>0</v>
      </c>
      <c r="AN129" s="133">
        <f>商品录入!AN129*$E129</f>
        <v>0</v>
      </c>
      <c r="AO129" s="133">
        <f>商品录入!AO129*$E129</f>
        <v>0</v>
      </c>
      <c r="AP129" s="133">
        <f>商品录入!AP129*$E129</f>
        <v>0</v>
      </c>
      <c r="AQ129" s="133">
        <f>商品录入!AQ129*$E129</f>
        <v>0</v>
      </c>
      <c r="AR129" s="133">
        <f>商品录入!AR129*$E129</f>
        <v>0</v>
      </c>
      <c r="AS129" s="133">
        <f>商品录入!AS129*$E129</f>
        <v>0</v>
      </c>
      <c r="AT129" s="133">
        <f>商品录入!AT129*$E129</f>
        <v>0</v>
      </c>
      <c r="AU129" s="133">
        <f>商品录入!AU129*$E129</f>
        <v>0</v>
      </c>
      <c r="AV129" s="133">
        <f>商品录入!AV129*$E129</f>
        <v>0</v>
      </c>
      <c r="AW129" s="133">
        <f>商品录入!AW129*$E129</f>
        <v>0</v>
      </c>
      <c r="AX129" s="133">
        <f>商品录入!AX129*$E129</f>
        <v>0</v>
      </c>
      <c r="AY129" s="133">
        <f>商品录入!AY129*$E129</f>
        <v>0</v>
      </c>
      <c r="AZ129" s="133">
        <f>商品录入!AZ129*$E129</f>
        <v>0</v>
      </c>
      <c r="BA129" s="133">
        <f>商品录入!BA129*$E129</f>
        <v>0</v>
      </c>
      <c r="BB129" s="133">
        <f>商品录入!BB129*$E129</f>
        <v>0</v>
      </c>
      <c r="BC129" s="133">
        <f>商品录入!BC129*$E129</f>
        <v>0</v>
      </c>
      <c r="BD129" s="133">
        <f>商品录入!BD129*$E129</f>
        <v>0</v>
      </c>
      <c r="BE129" s="133">
        <f>商品录入!BE129*$E129</f>
        <v>0</v>
      </c>
      <c r="BF129" s="133">
        <f>商品录入!BF129*$E129</f>
        <v>0</v>
      </c>
      <c r="BG129" s="133">
        <f>商品录入!BG129*$E129</f>
        <v>0</v>
      </c>
      <c r="BH129" s="133">
        <f>商品录入!BH129*$E129</f>
        <v>0</v>
      </c>
      <c r="BI129" s="133">
        <f>商品录入!BI129*$E129</f>
        <v>0</v>
      </c>
      <c r="BJ129" s="133">
        <f>商品录入!BJ129*$E129</f>
        <v>0</v>
      </c>
      <c r="BK129" s="133">
        <f>商品录入!BK129*$E129</f>
        <v>0</v>
      </c>
      <c r="BL129" s="133">
        <f>商品录入!BL129*$E129</f>
        <v>0</v>
      </c>
      <c r="BM129" s="133">
        <f>商品录入!BM129*$E129</f>
        <v>0</v>
      </c>
      <c r="BN129" s="133">
        <f>商品录入!BN129*$E129</f>
        <v>0</v>
      </c>
      <c r="BO129" s="133">
        <f>商品录入!BO129*$E129</f>
        <v>0</v>
      </c>
      <c r="BP129" s="133">
        <f>商品录入!BP129*$E129</f>
        <v>0</v>
      </c>
      <c r="BQ129" s="133">
        <f>商品录入!BQ129*$E129</f>
        <v>0</v>
      </c>
      <c r="BR129" s="133">
        <f>商品录入!BR129*$E129</f>
        <v>0</v>
      </c>
      <c r="BS129" s="133">
        <f>商品录入!BS129*$E129</f>
        <v>0</v>
      </c>
      <c r="BT129" s="133">
        <f>商品录入!BT129*$E129</f>
        <v>0</v>
      </c>
      <c r="BU129" s="133">
        <f>商品录入!BU129*$E129</f>
        <v>0</v>
      </c>
      <c r="BV129" s="133">
        <f>商品录入!BV129*$E129</f>
        <v>0</v>
      </c>
      <c r="BW129" s="133">
        <f>商品录入!BW129*$E129</f>
        <v>0</v>
      </c>
    </row>
    <row r="130" s="178" customFormat="1" customHeight="1" spans="1:75">
      <c r="A130" s="161">
        <v>126</v>
      </c>
      <c r="B130" s="162">
        <f>商品录入!B130</f>
        <v>0</v>
      </c>
      <c r="C130" s="162">
        <f>商品录入!C130</f>
        <v>0</v>
      </c>
      <c r="D130" s="162">
        <f>商品录入!D130</f>
        <v>0</v>
      </c>
      <c r="E130" s="162">
        <f>商品录入!E130</f>
        <v>0</v>
      </c>
      <c r="F130" s="162">
        <f>商品录入!F130</f>
        <v>0</v>
      </c>
      <c r="G130" s="162">
        <f>商品录入!G130</f>
        <v>0</v>
      </c>
      <c r="H130" s="162">
        <f>商品录入!H130</f>
        <v>0</v>
      </c>
      <c r="I130" s="162">
        <f>商品录入!I130</f>
        <v>0</v>
      </c>
      <c r="J130" s="162">
        <f>商品录入!J130</f>
        <v>0</v>
      </c>
      <c r="K130" s="162">
        <f>商品录入!K130</f>
        <v>0</v>
      </c>
      <c r="L130" s="162">
        <f>商品录入!L130</f>
        <v>0</v>
      </c>
      <c r="M130" s="162">
        <f>商品录入!M130</f>
        <v>0</v>
      </c>
      <c r="N130" s="133">
        <f>商品录入!N130*$E130</f>
        <v>0</v>
      </c>
      <c r="O130" s="133">
        <f>商品录入!O130*$E130</f>
        <v>0</v>
      </c>
      <c r="P130" s="133">
        <f>商品录入!P130*$E130</f>
        <v>0</v>
      </c>
      <c r="Q130" s="133">
        <f>商品录入!Q130*$E130</f>
        <v>0</v>
      </c>
      <c r="R130" s="133">
        <f>商品录入!R130*$E130</f>
        <v>0</v>
      </c>
      <c r="S130" s="133">
        <f>商品录入!S130*$E130</f>
        <v>0</v>
      </c>
      <c r="T130" s="133">
        <f>商品录入!T130*$E130</f>
        <v>0</v>
      </c>
      <c r="U130" s="133">
        <f>商品录入!U130*$E130</f>
        <v>0</v>
      </c>
      <c r="V130" s="133">
        <f>商品录入!V130*$E130</f>
        <v>0</v>
      </c>
      <c r="W130" s="133">
        <f>商品录入!W130*$E130</f>
        <v>0</v>
      </c>
      <c r="X130" s="133">
        <f>商品录入!X130*$E130</f>
        <v>0</v>
      </c>
      <c r="Y130" s="133">
        <f>商品录入!Y130*$E130</f>
        <v>0</v>
      </c>
      <c r="Z130" s="133">
        <f>商品录入!Z130*$E130</f>
        <v>0</v>
      </c>
      <c r="AA130" s="133">
        <f>商品录入!AA130*$E130</f>
        <v>0</v>
      </c>
      <c r="AB130" s="133">
        <f>商品录入!AB130*$E130</f>
        <v>0</v>
      </c>
      <c r="AC130" s="133">
        <f>商品录入!AC130*$E130</f>
        <v>0</v>
      </c>
      <c r="AD130" s="133">
        <f>商品录入!AD130*$E130</f>
        <v>0</v>
      </c>
      <c r="AE130" s="133">
        <f>商品录入!AE130*$E130</f>
        <v>0</v>
      </c>
      <c r="AF130" s="133">
        <f>商品录入!AF130*$E130</f>
        <v>0</v>
      </c>
      <c r="AG130" s="133">
        <f>商品录入!AG130*$E130</f>
        <v>0</v>
      </c>
      <c r="AH130" s="133">
        <f>商品录入!AH130*$E130</f>
        <v>0</v>
      </c>
      <c r="AI130" s="133">
        <f>商品录入!AI130*$E130</f>
        <v>0</v>
      </c>
      <c r="AJ130" s="133">
        <f>商品录入!AJ130*$E130</f>
        <v>0</v>
      </c>
      <c r="AK130" s="133">
        <f>商品录入!AK130*$E130</f>
        <v>0</v>
      </c>
      <c r="AL130" s="133">
        <f>商品录入!AL130*$E130</f>
        <v>0</v>
      </c>
      <c r="AM130" s="133">
        <f>商品录入!AM130*$E130</f>
        <v>0</v>
      </c>
      <c r="AN130" s="133">
        <f>商品录入!AN130*$E130</f>
        <v>0</v>
      </c>
      <c r="AO130" s="133">
        <f>商品录入!AO130*$E130</f>
        <v>0</v>
      </c>
      <c r="AP130" s="133">
        <f>商品录入!AP130*$E130</f>
        <v>0</v>
      </c>
      <c r="AQ130" s="133">
        <f>商品录入!AQ130*$E130</f>
        <v>0</v>
      </c>
      <c r="AR130" s="133">
        <f>商品录入!AR130*$E130</f>
        <v>0</v>
      </c>
      <c r="AS130" s="133">
        <f>商品录入!AS130*$E130</f>
        <v>0</v>
      </c>
      <c r="AT130" s="133">
        <f>商品录入!AT130*$E130</f>
        <v>0</v>
      </c>
      <c r="AU130" s="133">
        <f>商品录入!AU130*$E130</f>
        <v>0</v>
      </c>
      <c r="AV130" s="133">
        <f>商品录入!AV130*$E130</f>
        <v>0</v>
      </c>
      <c r="AW130" s="133">
        <f>商品录入!AW130*$E130</f>
        <v>0</v>
      </c>
      <c r="AX130" s="133">
        <f>商品录入!AX130*$E130</f>
        <v>0</v>
      </c>
      <c r="AY130" s="133">
        <f>商品录入!AY130*$E130</f>
        <v>0</v>
      </c>
      <c r="AZ130" s="133">
        <f>商品录入!AZ130*$E130</f>
        <v>0</v>
      </c>
      <c r="BA130" s="133">
        <f>商品录入!BA130*$E130</f>
        <v>0</v>
      </c>
      <c r="BB130" s="133">
        <f>商品录入!BB130*$E130</f>
        <v>0</v>
      </c>
      <c r="BC130" s="133">
        <f>商品录入!BC130*$E130</f>
        <v>0</v>
      </c>
      <c r="BD130" s="133">
        <f>商品录入!BD130*$E130</f>
        <v>0</v>
      </c>
      <c r="BE130" s="133">
        <f>商品录入!BE130*$E130</f>
        <v>0</v>
      </c>
      <c r="BF130" s="133">
        <f>商品录入!BF130*$E130</f>
        <v>0</v>
      </c>
      <c r="BG130" s="133">
        <f>商品录入!BG130*$E130</f>
        <v>0</v>
      </c>
      <c r="BH130" s="133">
        <f>商品录入!BH130*$E130</f>
        <v>0</v>
      </c>
      <c r="BI130" s="133">
        <f>商品录入!BI130*$E130</f>
        <v>0</v>
      </c>
      <c r="BJ130" s="133">
        <f>商品录入!BJ130*$E130</f>
        <v>0</v>
      </c>
      <c r="BK130" s="133">
        <f>商品录入!BK130*$E130</f>
        <v>0</v>
      </c>
      <c r="BL130" s="133">
        <f>商品录入!BL130*$E130</f>
        <v>0</v>
      </c>
      <c r="BM130" s="133">
        <f>商品录入!BM130*$E130</f>
        <v>0</v>
      </c>
      <c r="BN130" s="133">
        <f>商品录入!BN130*$E130</f>
        <v>0</v>
      </c>
      <c r="BO130" s="133">
        <f>商品录入!BO130*$E130</f>
        <v>0</v>
      </c>
      <c r="BP130" s="133">
        <f>商品录入!BP130*$E130</f>
        <v>0</v>
      </c>
      <c r="BQ130" s="133">
        <f>商品录入!BQ130*$E130</f>
        <v>0</v>
      </c>
      <c r="BR130" s="133">
        <f>商品录入!BR130*$E130</f>
        <v>0</v>
      </c>
      <c r="BS130" s="133">
        <f>商品录入!BS130*$E130</f>
        <v>0</v>
      </c>
      <c r="BT130" s="133">
        <f>商品录入!BT130*$E130</f>
        <v>0</v>
      </c>
      <c r="BU130" s="133">
        <f>商品录入!BU130*$E130</f>
        <v>0</v>
      </c>
      <c r="BV130" s="133">
        <f>商品录入!BV130*$E130</f>
        <v>0</v>
      </c>
      <c r="BW130" s="133">
        <f>商品录入!BW130*$E130</f>
        <v>0</v>
      </c>
    </row>
    <row r="131" s="178" customFormat="1" customHeight="1" spans="1:75">
      <c r="A131" s="161">
        <v>127</v>
      </c>
      <c r="B131" s="162">
        <f>商品录入!B131</f>
        <v>0</v>
      </c>
      <c r="C131" s="162">
        <f>商品录入!C131</f>
        <v>0</v>
      </c>
      <c r="D131" s="162">
        <f>商品录入!D131</f>
        <v>0</v>
      </c>
      <c r="E131" s="162">
        <f>商品录入!E131</f>
        <v>0</v>
      </c>
      <c r="F131" s="162">
        <f>商品录入!F131</f>
        <v>0</v>
      </c>
      <c r="G131" s="162">
        <f>商品录入!G131</f>
        <v>0</v>
      </c>
      <c r="H131" s="162">
        <f>商品录入!H131</f>
        <v>0</v>
      </c>
      <c r="I131" s="162">
        <f>商品录入!I131</f>
        <v>0</v>
      </c>
      <c r="J131" s="162">
        <f>商品录入!J131</f>
        <v>0</v>
      </c>
      <c r="K131" s="162">
        <f>商品录入!K131</f>
        <v>0</v>
      </c>
      <c r="L131" s="162">
        <f>商品录入!L131</f>
        <v>0</v>
      </c>
      <c r="M131" s="162">
        <f>商品录入!M131</f>
        <v>0</v>
      </c>
      <c r="N131" s="133">
        <f>商品录入!N131*$E131</f>
        <v>0</v>
      </c>
      <c r="O131" s="133">
        <f>商品录入!O131*$E131</f>
        <v>0</v>
      </c>
      <c r="P131" s="133">
        <f>商品录入!P131*$E131</f>
        <v>0</v>
      </c>
      <c r="Q131" s="133">
        <f>商品录入!Q131*$E131</f>
        <v>0</v>
      </c>
      <c r="R131" s="133">
        <f>商品录入!R131*$E131</f>
        <v>0</v>
      </c>
      <c r="S131" s="133">
        <f>商品录入!S131*$E131</f>
        <v>0</v>
      </c>
      <c r="T131" s="133">
        <f>商品录入!T131*$E131</f>
        <v>0</v>
      </c>
      <c r="U131" s="133">
        <f>商品录入!U131*$E131</f>
        <v>0</v>
      </c>
      <c r="V131" s="133">
        <f>商品录入!V131*$E131</f>
        <v>0</v>
      </c>
      <c r="W131" s="133">
        <f>商品录入!W131*$E131</f>
        <v>0</v>
      </c>
      <c r="X131" s="133">
        <f>商品录入!X131*$E131</f>
        <v>0</v>
      </c>
      <c r="Y131" s="133">
        <f>商品录入!Y131*$E131</f>
        <v>0</v>
      </c>
      <c r="Z131" s="133">
        <f>商品录入!Z131*$E131</f>
        <v>0</v>
      </c>
      <c r="AA131" s="133">
        <f>商品录入!AA131*$E131</f>
        <v>0</v>
      </c>
      <c r="AB131" s="133">
        <f>商品录入!AB131*$E131</f>
        <v>0</v>
      </c>
      <c r="AC131" s="133">
        <f>商品录入!AC131*$E131</f>
        <v>0</v>
      </c>
      <c r="AD131" s="133">
        <f>商品录入!AD131*$E131</f>
        <v>0</v>
      </c>
      <c r="AE131" s="133">
        <f>商品录入!AE131*$E131</f>
        <v>0</v>
      </c>
      <c r="AF131" s="133">
        <f>商品录入!AF131*$E131</f>
        <v>0</v>
      </c>
      <c r="AG131" s="133">
        <f>商品录入!AG131*$E131</f>
        <v>0</v>
      </c>
      <c r="AH131" s="133">
        <f>商品录入!AH131*$E131</f>
        <v>0</v>
      </c>
      <c r="AI131" s="133">
        <f>商品录入!AI131*$E131</f>
        <v>0</v>
      </c>
      <c r="AJ131" s="133">
        <f>商品录入!AJ131*$E131</f>
        <v>0</v>
      </c>
      <c r="AK131" s="133">
        <f>商品录入!AK131*$E131</f>
        <v>0</v>
      </c>
      <c r="AL131" s="133">
        <f>商品录入!AL131*$E131</f>
        <v>0</v>
      </c>
      <c r="AM131" s="133">
        <f>商品录入!AM131*$E131</f>
        <v>0</v>
      </c>
      <c r="AN131" s="133">
        <f>商品录入!AN131*$E131</f>
        <v>0</v>
      </c>
      <c r="AO131" s="133">
        <f>商品录入!AO131*$E131</f>
        <v>0</v>
      </c>
      <c r="AP131" s="133">
        <f>商品录入!AP131*$E131</f>
        <v>0</v>
      </c>
      <c r="AQ131" s="133">
        <f>商品录入!AQ131*$E131</f>
        <v>0</v>
      </c>
      <c r="AR131" s="133">
        <f>商品录入!AR131*$E131</f>
        <v>0</v>
      </c>
      <c r="AS131" s="133">
        <f>商品录入!AS131*$E131</f>
        <v>0</v>
      </c>
      <c r="AT131" s="133">
        <f>商品录入!AT131*$E131</f>
        <v>0</v>
      </c>
      <c r="AU131" s="133">
        <f>商品录入!AU131*$E131</f>
        <v>0</v>
      </c>
      <c r="AV131" s="133">
        <f>商品录入!AV131*$E131</f>
        <v>0</v>
      </c>
      <c r="AW131" s="133">
        <f>商品录入!AW131*$E131</f>
        <v>0</v>
      </c>
      <c r="AX131" s="133">
        <f>商品录入!AX131*$E131</f>
        <v>0</v>
      </c>
      <c r="AY131" s="133">
        <f>商品录入!AY131*$E131</f>
        <v>0</v>
      </c>
      <c r="AZ131" s="133">
        <f>商品录入!AZ131*$E131</f>
        <v>0</v>
      </c>
      <c r="BA131" s="133">
        <f>商品录入!BA131*$E131</f>
        <v>0</v>
      </c>
      <c r="BB131" s="133">
        <f>商品录入!BB131*$E131</f>
        <v>0</v>
      </c>
      <c r="BC131" s="133">
        <f>商品录入!BC131*$E131</f>
        <v>0</v>
      </c>
      <c r="BD131" s="133">
        <f>商品录入!BD131*$E131</f>
        <v>0</v>
      </c>
      <c r="BE131" s="133">
        <f>商品录入!BE131*$E131</f>
        <v>0</v>
      </c>
      <c r="BF131" s="133">
        <f>商品录入!BF131*$E131</f>
        <v>0</v>
      </c>
      <c r="BG131" s="133">
        <f>商品录入!BG131*$E131</f>
        <v>0</v>
      </c>
      <c r="BH131" s="133">
        <f>商品录入!BH131*$E131</f>
        <v>0</v>
      </c>
      <c r="BI131" s="133">
        <f>商品录入!BI131*$E131</f>
        <v>0</v>
      </c>
      <c r="BJ131" s="133">
        <f>商品录入!BJ131*$E131</f>
        <v>0</v>
      </c>
      <c r="BK131" s="133">
        <f>商品录入!BK131*$E131</f>
        <v>0</v>
      </c>
      <c r="BL131" s="133">
        <f>商品录入!BL131*$E131</f>
        <v>0</v>
      </c>
      <c r="BM131" s="133">
        <f>商品录入!BM131*$E131</f>
        <v>0</v>
      </c>
      <c r="BN131" s="133">
        <f>商品录入!BN131*$E131</f>
        <v>0</v>
      </c>
      <c r="BO131" s="133">
        <f>商品录入!BO131*$E131</f>
        <v>0</v>
      </c>
      <c r="BP131" s="133">
        <f>商品录入!BP131*$E131</f>
        <v>0</v>
      </c>
      <c r="BQ131" s="133">
        <f>商品录入!BQ131*$E131</f>
        <v>0</v>
      </c>
      <c r="BR131" s="133">
        <f>商品录入!BR131*$E131</f>
        <v>0</v>
      </c>
      <c r="BS131" s="133">
        <f>商品录入!BS131*$E131</f>
        <v>0</v>
      </c>
      <c r="BT131" s="133">
        <f>商品录入!BT131*$E131</f>
        <v>0</v>
      </c>
      <c r="BU131" s="133">
        <f>商品录入!BU131*$E131</f>
        <v>0</v>
      </c>
      <c r="BV131" s="133">
        <f>商品录入!BV131*$E131</f>
        <v>0</v>
      </c>
      <c r="BW131" s="133">
        <f>商品录入!BW131*$E131</f>
        <v>0</v>
      </c>
    </row>
    <row r="132" s="178" customFormat="1" customHeight="1" spans="1:75">
      <c r="A132" s="161">
        <v>128</v>
      </c>
      <c r="B132" s="162">
        <f>商品录入!B132</f>
        <v>0</v>
      </c>
      <c r="C132" s="162">
        <f>商品录入!C132</f>
        <v>0</v>
      </c>
      <c r="D132" s="162">
        <f>商品录入!D132</f>
        <v>0</v>
      </c>
      <c r="E132" s="162">
        <f>商品录入!E132</f>
        <v>0</v>
      </c>
      <c r="F132" s="162">
        <f>商品录入!F132</f>
        <v>0</v>
      </c>
      <c r="G132" s="162">
        <f>商品录入!G132</f>
        <v>0</v>
      </c>
      <c r="H132" s="162">
        <f>商品录入!H132</f>
        <v>0</v>
      </c>
      <c r="I132" s="162">
        <f>商品录入!I132</f>
        <v>0</v>
      </c>
      <c r="J132" s="162">
        <f>商品录入!J132</f>
        <v>0</v>
      </c>
      <c r="K132" s="162">
        <f>商品录入!K132</f>
        <v>0</v>
      </c>
      <c r="L132" s="162">
        <f>商品录入!L132</f>
        <v>0</v>
      </c>
      <c r="M132" s="162">
        <f>商品录入!M132</f>
        <v>0</v>
      </c>
      <c r="N132" s="133">
        <f>商品录入!N132*$E132</f>
        <v>0</v>
      </c>
      <c r="O132" s="133">
        <f>商品录入!O132*$E132</f>
        <v>0</v>
      </c>
      <c r="P132" s="133">
        <f>商品录入!P132*$E132</f>
        <v>0</v>
      </c>
      <c r="Q132" s="133">
        <f>商品录入!Q132*$E132</f>
        <v>0</v>
      </c>
      <c r="R132" s="133">
        <f>商品录入!R132*$E132</f>
        <v>0</v>
      </c>
      <c r="S132" s="133">
        <f>商品录入!S132*$E132</f>
        <v>0</v>
      </c>
      <c r="T132" s="133">
        <f>商品录入!T132*$E132</f>
        <v>0</v>
      </c>
      <c r="U132" s="133">
        <f>商品录入!U132*$E132</f>
        <v>0</v>
      </c>
      <c r="V132" s="133">
        <f>商品录入!V132*$E132</f>
        <v>0</v>
      </c>
      <c r="W132" s="133">
        <f>商品录入!W132*$E132</f>
        <v>0</v>
      </c>
      <c r="X132" s="133">
        <f>商品录入!X132*$E132</f>
        <v>0</v>
      </c>
      <c r="Y132" s="133">
        <f>商品录入!Y132*$E132</f>
        <v>0</v>
      </c>
      <c r="Z132" s="133">
        <f>商品录入!Z132*$E132</f>
        <v>0</v>
      </c>
      <c r="AA132" s="133">
        <f>商品录入!AA132*$E132</f>
        <v>0</v>
      </c>
      <c r="AB132" s="133">
        <f>商品录入!AB132*$E132</f>
        <v>0</v>
      </c>
      <c r="AC132" s="133">
        <f>商品录入!AC132*$E132</f>
        <v>0</v>
      </c>
      <c r="AD132" s="133">
        <f>商品录入!AD132*$E132</f>
        <v>0</v>
      </c>
      <c r="AE132" s="133">
        <f>商品录入!AE132*$E132</f>
        <v>0</v>
      </c>
      <c r="AF132" s="133">
        <f>商品录入!AF132*$E132</f>
        <v>0</v>
      </c>
      <c r="AG132" s="133">
        <f>商品录入!AG132*$E132</f>
        <v>0</v>
      </c>
      <c r="AH132" s="133">
        <f>商品录入!AH132*$E132</f>
        <v>0</v>
      </c>
      <c r="AI132" s="133">
        <f>商品录入!AI132*$E132</f>
        <v>0</v>
      </c>
      <c r="AJ132" s="133">
        <f>商品录入!AJ132*$E132</f>
        <v>0</v>
      </c>
      <c r="AK132" s="133">
        <f>商品录入!AK132*$E132</f>
        <v>0</v>
      </c>
      <c r="AL132" s="133">
        <f>商品录入!AL132*$E132</f>
        <v>0</v>
      </c>
      <c r="AM132" s="133">
        <f>商品录入!AM132*$E132</f>
        <v>0</v>
      </c>
      <c r="AN132" s="133">
        <f>商品录入!AN132*$E132</f>
        <v>0</v>
      </c>
      <c r="AO132" s="133">
        <f>商品录入!AO132*$E132</f>
        <v>0</v>
      </c>
      <c r="AP132" s="133">
        <f>商品录入!AP132*$E132</f>
        <v>0</v>
      </c>
      <c r="AQ132" s="133">
        <f>商品录入!AQ132*$E132</f>
        <v>0</v>
      </c>
      <c r="AR132" s="133">
        <f>商品录入!AR132*$E132</f>
        <v>0</v>
      </c>
      <c r="AS132" s="133">
        <f>商品录入!AS132*$E132</f>
        <v>0</v>
      </c>
      <c r="AT132" s="133">
        <f>商品录入!AT132*$E132</f>
        <v>0</v>
      </c>
      <c r="AU132" s="133">
        <f>商品录入!AU132*$E132</f>
        <v>0</v>
      </c>
      <c r="AV132" s="133">
        <f>商品录入!AV132*$E132</f>
        <v>0</v>
      </c>
      <c r="AW132" s="133">
        <f>商品录入!AW132*$E132</f>
        <v>0</v>
      </c>
      <c r="AX132" s="133">
        <f>商品录入!AX132*$E132</f>
        <v>0</v>
      </c>
      <c r="AY132" s="133">
        <f>商品录入!AY132*$E132</f>
        <v>0</v>
      </c>
      <c r="AZ132" s="133">
        <f>商品录入!AZ132*$E132</f>
        <v>0</v>
      </c>
      <c r="BA132" s="133">
        <f>商品录入!BA132*$E132</f>
        <v>0</v>
      </c>
      <c r="BB132" s="133">
        <f>商品录入!BB132*$E132</f>
        <v>0</v>
      </c>
      <c r="BC132" s="133">
        <f>商品录入!BC132*$E132</f>
        <v>0</v>
      </c>
      <c r="BD132" s="133">
        <f>商品录入!BD132*$E132</f>
        <v>0</v>
      </c>
      <c r="BE132" s="133">
        <f>商品录入!BE132*$E132</f>
        <v>0</v>
      </c>
      <c r="BF132" s="133">
        <f>商品录入!BF132*$E132</f>
        <v>0</v>
      </c>
      <c r="BG132" s="133">
        <f>商品录入!BG132*$E132</f>
        <v>0</v>
      </c>
      <c r="BH132" s="133">
        <f>商品录入!BH132*$E132</f>
        <v>0</v>
      </c>
      <c r="BI132" s="133">
        <f>商品录入!BI132*$E132</f>
        <v>0</v>
      </c>
      <c r="BJ132" s="133">
        <f>商品录入!BJ132*$E132</f>
        <v>0</v>
      </c>
      <c r="BK132" s="133">
        <f>商品录入!BK132*$E132</f>
        <v>0</v>
      </c>
      <c r="BL132" s="133">
        <f>商品录入!BL132*$E132</f>
        <v>0</v>
      </c>
      <c r="BM132" s="133">
        <f>商品录入!BM132*$E132</f>
        <v>0</v>
      </c>
      <c r="BN132" s="133">
        <f>商品录入!BN132*$E132</f>
        <v>0</v>
      </c>
      <c r="BO132" s="133">
        <f>商品录入!BO132*$E132</f>
        <v>0</v>
      </c>
      <c r="BP132" s="133">
        <f>商品录入!BP132*$E132</f>
        <v>0</v>
      </c>
      <c r="BQ132" s="133">
        <f>商品录入!BQ132*$E132</f>
        <v>0</v>
      </c>
      <c r="BR132" s="133">
        <f>商品录入!BR132*$E132</f>
        <v>0</v>
      </c>
      <c r="BS132" s="133">
        <f>商品录入!BS132*$E132</f>
        <v>0</v>
      </c>
      <c r="BT132" s="133">
        <f>商品录入!BT132*$E132</f>
        <v>0</v>
      </c>
      <c r="BU132" s="133">
        <f>商品录入!BU132*$E132</f>
        <v>0</v>
      </c>
      <c r="BV132" s="133">
        <f>商品录入!BV132*$E132</f>
        <v>0</v>
      </c>
      <c r="BW132" s="133">
        <f>商品录入!BW132*$E132</f>
        <v>0</v>
      </c>
    </row>
    <row r="133" s="178" customFormat="1" customHeight="1" spans="1:75">
      <c r="A133" s="161">
        <v>129</v>
      </c>
      <c r="B133" s="162">
        <f>商品录入!B133</f>
        <v>0</v>
      </c>
      <c r="C133" s="162">
        <f>商品录入!C133</f>
        <v>0</v>
      </c>
      <c r="D133" s="162">
        <f>商品录入!D133</f>
        <v>0</v>
      </c>
      <c r="E133" s="162">
        <f>商品录入!E133</f>
        <v>0</v>
      </c>
      <c r="F133" s="162">
        <f>商品录入!F133</f>
        <v>0</v>
      </c>
      <c r="G133" s="162">
        <f>商品录入!G133</f>
        <v>0</v>
      </c>
      <c r="H133" s="162">
        <f>商品录入!H133</f>
        <v>0</v>
      </c>
      <c r="I133" s="162">
        <f>商品录入!I133</f>
        <v>0</v>
      </c>
      <c r="J133" s="162">
        <f>商品录入!J133</f>
        <v>0</v>
      </c>
      <c r="K133" s="162">
        <f>商品录入!K133</f>
        <v>0</v>
      </c>
      <c r="L133" s="162">
        <f>商品录入!L133</f>
        <v>0</v>
      </c>
      <c r="M133" s="162">
        <f>商品录入!M133</f>
        <v>0</v>
      </c>
      <c r="N133" s="133">
        <f>商品录入!N133*$E133</f>
        <v>0</v>
      </c>
      <c r="O133" s="133">
        <f>商品录入!O133*$E133</f>
        <v>0</v>
      </c>
      <c r="P133" s="133">
        <f>商品录入!P133*$E133</f>
        <v>0</v>
      </c>
      <c r="Q133" s="133">
        <f>商品录入!Q133*$E133</f>
        <v>0</v>
      </c>
      <c r="R133" s="133">
        <f>商品录入!R133*$E133</f>
        <v>0</v>
      </c>
      <c r="S133" s="133">
        <f>商品录入!S133*$E133</f>
        <v>0</v>
      </c>
      <c r="T133" s="133">
        <f>商品录入!T133*$E133</f>
        <v>0</v>
      </c>
      <c r="U133" s="133">
        <f>商品录入!U133*$E133</f>
        <v>0</v>
      </c>
      <c r="V133" s="133">
        <f>商品录入!V133*$E133</f>
        <v>0</v>
      </c>
      <c r="W133" s="133">
        <f>商品录入!W133*$E133</f>
        <v>0</v>
      </c>
      <c r="X133" s="133">
        <f>商品录入!X133*$E133</f>
        <v>0</v>
      </c>
      <c r="Y133" s="133">
        <f>商品录入!Y133*$E133</f>
        <v>0</v>
      </c>
      <c r="Z133" s="133">
        <f>商品录入!Z133*$E133</f>
        <v>0</v>
      </c>
      <c r="AA133" s="133">
        <f>商品录入!AA133*$E133</f>
        <v>0</v>
      </c>
      <c r="AB133" s="133">
        <f>商品录入!AB133*$E133</f>
        <v>0</v>
      </c>
      <c r="AC133" s="133">
        <f>商品录入!AC133*$E133</f>
        <v>0</v>
      </c>
      <c r="AD133" s="133">
        <f>商品录入!AD133*$E133</f>
        <v>0</v>
      </c>
      <c r="AE133" s="133">
        <f>商品录入!AE133*$E133</f>
        <v>0</v>
      </c>
      <c r="AF133" s="133">
        <f>商品录入!AF133*$E133</f>
        <v>0</v>
      </c>
      <c r="AG133" s="133">
        <f>商品录入!AG133*$E133</f>
        <v>0</v>
      </c>
      <c r="AH133" s="133">
        <f>商品录入!AH133*$E133</f>
        <v>0</v>
      </c>
      <c r="AI133" s="133">
        <f>商品录入!AI133*$E133</f>
        <v>0</v>
      </c>
      <c r="AJ133" s="133">
        <f>商品录入!AJ133*$E133</f>
        <v>0</v>
      </c>
      <c r="AK133" s="133">
        <f>商品录入!AK133*$E133</f>
        <v>0</v>
      </c>
      <c r="AL133" s="133">
        <f>商品录入!AL133*$E133</f>
        <v>0</v>
      </c>
      <c r="AM133" s="133">
        <f>商品录入!AM133*$E133</f>
        <v>0</v>
      </c>
      <c r="AN133" s="133">
        <f>商品录入!AN133*$E133</f>
        <v>0</v>
      </c>
      <c r="AO133" s="133">
        <f>商品录入!AO133*$E133</f>
        <v>0</v>
      </c>
      <c r="AP133" s="133">
        <f>商品录入!AP133*$E133</f>
        <v>0</v>
      </c>
      <c r="AQ133" s="133">
        <f>商品录入!AQ133*$E133</f>
        <v>0</v>
      </c>
      <c r="AR133" s="133">
        <f>商品录入!AR133*$E133</f>
        <v>0</v>
      </c>
      <c r="AS133" s="133">
        <f>商品录入!AS133*$E133</f>
        <v>0</v>
      </c>
      <c r="AT133" s="133">
        <f>商品录入!AT133*$E133</f>
        <v>0</v>
      </c>
      <c r="AU133" s="133">
        <f>商品录入!AU133*$E133</f>
        <v>0</v>
      </c>
      <c r="AV133" s="133">
        <f>商品录入!AV133*$E133</f>
        <v>0</v>
      </c>
      <c r="AW133" s="133">
        <f>商品录入!AW133*$E133</f>
        <v>0</v>
      </c>
      <c r="AX133" s="133">
        <f>商品录入!AX133*$E133</f>
        <v>0</v>
      </c>
      <c r="AY133" s="133">
        <f>商品录入!AY133*$E133</f>
        <v>0</v>
      </c>
      <c r="AZ133" s="133">
        <f>商品录入!AZ133*$E133</f>
        <v>0</v>
      </c>
      <c r="BA133" s="133">
        <f>商品录入!BA133*$E133</f>
        <v>0</v>
      </c>
      <c r="BB133" s="133">
        <f>商品录入!BB133*$E133</f>
        <v>0</v>
      </c>
      <c r="BC133" s="133">
        <f>商品录入!BC133*$E133</f>
        <v>0</v>
      </c>
      <c r="BD133" s="133">
        <f>商品录入!BD133*$E133</f>
        <v>0</v>
      </c>
      <c r="BE133" s="133">
        <f>商品录入!BE133*$E133</f>
        <v>0</v>
      </c>
      <c r="BF133" s="133">
        <f>商品录入!BF133*$E133</f>
        <v>0</v>
      </c>
      <c r="BG133" s="133">
        <f>商品录入!BG133*$E133</f>
        <v>0</v>
      </c>
      <c r="BH133" s="133">
        <f>商品录入!BH133*$E133</f>
        <v>0</v>
      </c>
      <c r="BI133" s="133">
        <f>商品录入!BI133*$E133</f>
        <v>0</v>
      </c>
      <c r="BJ133" s="133">
        <f>商品录入!BJ133*$E133</f>
        <v>0</v>
      </c>
      <c r="BK133" s="133">
        <f>商品录入!BK133*$E133</f>
        <v>0</v>
      </c>
      <c r="BL133" s="133">
        <f>商品录入!BL133*$E133</f>
        <v>0</v>
      </c>
      <c r="BM133" s="133">
        <f>商品录入!BM133*$E133</f>
        <v>0</v>
      </c>
      <c r="BN133" s="133">
        <f>商品录入!BN133*$E133</f>
        <v>0</v>
      </c>
      <c r="BO133" s="133">
        <f>商品录入!BO133*$E133</f>
        <v>0</v>
      </c>
      <c r="BP133" s="133">
        <f>商品录入!BP133*$E133</f>
        <v>0</v>
      </c>
      <c r="BQ133" s="133">
        <f>商品录入!BQ133*$E133</f>
        <v>0</v>
      </c>
      <c r="BR133" s="133">
        <f>商品录入!BR133*$E133</f>
        <v>0</v>
      </c>
      <c r="BS133" s="133">
        <f>商品录入!BS133*$E133</f>
        <v>0</v>
      </c>
      <c r="BT133" s="133">
        <f>商品录入!BT133*$E133</f>
        <v>0</v>
      </c>
      <c r="BU133" s="133">
        <f>商品录入!BU133*$E133</f>
        <v>0</v>
      </c>
      <c r="BV133" s="133">
        <f>商品录入!BV133*$E133</f>
        <v>0</v>
      </c>
      <c r="BW133" s="133">
        <f>商品录入!BW133*$E133</f>
        <v>0</v>
      </c>
    </row>
    <row r="134" s="178" customFormat="1" customHeight="1" spans="1:75">
      <c r="A134" s="161">
        <v>130</v>
      </c>
      <c r="B134" s="162">
        <f>商品录入!B134</f>
        <v>0</v>
      </c>
      <c r="C134" s="162">
        <f>商品录入!C134</f>
        <v>0</v>
      </c>
      <c r="D134" s="162">
        <f>商品录入!D134</f>
        <v>0</v>
      </c>
      <c r="E134" s="162">
        <f>商品录入!E134</f>
        <v>0</v>
      </c>
      <c r="F134" s="162">
        <f>商品录入!F134</f>
        <v>0</v>
      </c>
      <c r="G134" s="162">
        <f>商品录入!G134</f>
        <v>0</v>
      </c>
      <c r="H134" s="162">
        <f>商品录入!H134</f>
        <v>0</v>
      </c>
      <c r="I134" s="162">
        <f>商品录入!I134</f>
        <v>0</v>
      </c>
      <c r="J134" s="162">
        <f>商品录入!J134</f>
        <v>0</v>
      </c>
      <c r="K134" s="162">
        <f>商品录入!K134</f>
        <v>0</v>
      </c>
      <c r="L134" s="162">
        <f>商品录入!L134</f>
        <v>0</v>
      </c>
      <c r="M134" s="162">
        <f>商品录入!M134</f>
        <v>0</v>
      </c>
      <c r="N134" s="133">
        <f>商品录入!N134*$E134</f>
        <v>0</v>
      </c>
      <c r="O134" s="133">
        <f>商品录入!O134*$E134</f>
        <v>0</v>
      </c>
      <c r="P134" s="133">
        <f>商品录入!P134*$E134</f>
        <v>0</v>
      </c>
      <c r="Q134" s="133">
        <f>商品录入!Q134*$E134</f>
        <v>0</v>
      </c>
      <c r="R134" s="133">
        <f>商品录入!R134*$E134</f>
        <v>0</v>
      </c>
      <c r="S134" s="133">
        <f>商品录入!S134*$E134</f>
        <v>0</v>
      </c>
      <c r="T134" s="133">
        <f>商品录入!T134*$E134</f>
        <v>0</v>
      </c>
      <c r="U134" s="133">
        <f>商品录入!U134*$E134</f>
        <v>0</v>
      </c>
      <c r="V134" s="133">
        <f>商品录入!V134*$E134</f>
        <v>0</v>
      </c>
      <c r="W134" s="133">
        <f>商品录入!W134*$E134</f>
        <v>0</v>
      </c>
      <c r="X134" s="133">
        <f>商品录入!X134*$E134</f>
        <v>0</v>
      </c>
      <c r="Y134" s="133">
        <f>商品录入!Y134*$E134</f>
        <v>0</v>
      </c>
      <c r="Z134" s="133">
        <f>商品录入!Z134*$E134</f>
        <v>0</v>
      </c>
      <c r="AA134" s="133">
        <f>商品录入!AA134*$E134</f>
        <v>0</v>
      </c>
      <c r="AB134" s="133">
        <f>商品录入!AB134*$E134</f>
        <v>0</v>
      </c>
      <c r="AC134" s="133">
        <f>商品录入!AC134*$E134</f>
        <v>0</v>
      </c>
      <c r="AD134" s="133">
        <f>商品录入!AD134*$E134</f>
        <v>0</v>
      </c>
      <c r="AE134" s="133">
        <f>商品录入!AE134*$E134</f>
        <v>0</v>
      </c>
      <c r="AF134" s="133">
        <f>商品录入!AF134*$E134</f>
        <v>0</v>
      </c>
      <c r="AG134" s="133">
        <f>商品录入!AG134*$E134</f>
        <v>0</v>
      </c>
      <c r="AH134" s="133">
        <f>商品录入!AH134*$E134</f>
        <v>0</v>
      </c>
      <c r="AI134" s="133">
        <f>商品录入!AI134*$E134</f>
        <v>0</v>
      </c>
      <c r="AJ134" s="133">
        <f>商品录入!AJ134*$E134</f>
        <v>0</v>
      </c>
      <c r="AK134" s="133">
        <f>商品录入!AK134*$E134</f>
        <v>0</v>
      </c>
      <c r="AL134" s="133">
        <f>商品录入!AL134*$E134</f>
        <v>0</v>
      </c>
      <c r="AM134" s="133">
        <f>商品录入!AM134*$E134</f>
        <v>0</v>
      </c>
      <c r="AN134" s="133">
        <f>商品录入!AN134*$E134</f>
        <v>0</v>
      </c>
      <c r="AO134" s="133">
        <f>商品录入!AO134*$E134</f>
        <v>0</v>
      </c>
      <c r="AP134" s="133">
        <f>商品录入!AP134*$E134</f>
        <v>0</v>
      </c>
      <c r="AQ134" s="133">
        <f>商品录入!AQ134*$E134</f>
        <v>0</v>
      </c>
      <c r="AR134" s="133">
        <f>商品录入!AR134*$E134</f>
        <v>0</v>
      </c>
      <c r="AS134" s="133">
        <f>商品录入!AS134*$E134</f>
        <v>0</v>
      </c>
      <c r="AT134" s="133">
        <f>商品录入!AT134*$E134</f>
        <v>0</v>
      </c>
      <c r="AU134" s="133">
        <f>商品录入!AU134*$E134</f>
        <v>0</v>
      </c>
      <c r="AV134" s="133">
        <f>商品录入!AV134*$E134</f>
        <v>0</v>
      </c>
      <c r="AW134" s="133">
        <f>商品录入!AW134*$E134</f>
        <v>0</v>
      </c>
      <c r="AX134" s="133">
        <f>商品录入!AX134*$E134</f>
        <v>0</v>
      </c>
      <c r="AY134" s="133">
        <f>商品录入!AY134*$E134</f>
        <v>0</v>
      </c>
      <c r="AZ134" s="133">
        <f>商品录入!AZ134*$E134</f>
        <v>0</v>
      </c>
      <c r="BA134" s="133">
        <f>商品录入!BA134*$E134</f>
        <v>0</v>
      </c>
      <c r="BB134" s="133">
        <f>商品录入!BB134*$E134</f>
        <v>0</v>
      </c>
      <c r="BC134" s="133">
        <f>商品录入!BC134*$E134</f>
        <v>0</v>
      </c>
      <c r="BD134" s="133">
        <f>商品录入!BD134*$E134</f>
        <v>0</v>
      </c>
      <c r="BE134" s="133">
        <f>商品录入!BE134*$E134</f>
        <v>0</v>
      </c>
      <c r="BF134" s="133">
        <f>商品录入!BF134*$E134</f>
        <v>0</v>
      </c>
      <c r="BG134" s="133">
        <f>商品录入!BG134*$E134</f>
        <v>0</v>
      </c>
      <c r="BH134" s="133">
        <f>商品录入!BH134*$E134</f>
        <v>0</v>
      </c>
      <c r="BI134" s="133">
        <f>商品录入!BI134*$E134</f>
        <v>0</v>
      </c>
      <c r="BJ134" s="133">
        <f>商品录入!BJ134*$E134</f>
        <v>0</v>
      </c>
      <c r="BK134" s="133">
        <f>商品录入!BK134*$E134</f>
        <v>0</v>
      </c>
      <c r="BL134" s="133">
        <f>商品录入!BL134*$E134</f>
        <v>0</v>
      </c>
      <c r="BM134" s="133">
        <f>商品录入!BM134*$E134</f>
        <v>0</v>
      </c>
      <c r="BN134" s="133">
        <f>商品录入!BN134*$E134</f>
        <v>0</v>
      </c>
      <c r="BO134" s="133">
        <f>商品录入!BO134*$E134</f>
        <v>0</v>
      </c>
      <c r="BP134" s="133">
        <f>商品录入!BP134*$E134</f>
        <v>0</v>
      </c>
      <c r="BQ134" s="133">
        <f>商品录入!BQ134*$E134</f>
        <v>0</v>
      </c>
      <c r="BR134" s="133">
        <f>商品录入!BR134*$E134</f>
        <v>0</v>
      </c>
      <c r="BS134" s="133">
        <f>商品录入!BS134*$E134</f>
        <v>0</v>
      </c>
      <c r="BT134" s="133">
        <f>商品录入!BT134*$E134</f>
        <v>0</v>
      </c>
      <c r="BU134" s="133">
        <f>商品录入!BU134*$E134</f>
        <v>0</v>
      </c>
      <c r="BV134" s="133">
        <f>商品录入!BV134*$E134</f>
        <v>0</v>
      </c>
      <c r="BW134" s="133">
        <f>商品录入!BW134*$E134</f>
        <v>0</v>
      </c>
    </row>
    <row r="135" s="178" customFormat="1" customHeight="1" spans="1:75">
      <c r="A135" s="161">
        <v>131</v>
      </c>
      <c r="B135" s="162">
        <f>商品录入!B135</f>
        <v>0</v>
      </c>
      <c r="C135" s="162">
        <f>商品录入!C135</f>
        <v>0</v>
      </c>
      <c r="D135" s="162">
        <f>商品录入!D135</f>
        <v>0</v>
      </c>
      <c r="E135" s="162">
        <f>商品录入!E135</f>
        <v>0</v>
      </c>
      <c r="F135" s="162">
        <f>商品录入!F135</f>
        <v>0</v>
      </c>
      <c r="G135" s="162">
        <f>商品录入!G135</f>
        <v>0</v>
      </c>
      <c r="H135" s="162">
        <f>商品录入!H135</f>
        <v>0</v>
      </c>
      <c r="I135" s="162">
        <f>商品录入!I135</f>
        <v>0</v>
      </c>
      <c r="J135" s="162">
        <f>商品录入!J135</f>
        <v>0</v>
      </c>
      <c r="K135" s="162">
        <f>商品录入!K135</f>
        <v>0</v>
      </c>
      <c r="L135" s="162">
        <f>商品录入!L135</f>
        <v>0</v>
      </c>
      <c r="M135" s="162">
        <f>商品录入!M135</f>
        <v>0</v>
      </c>
      <c r="N135" s="133">
        <f>商品录入!N135*$E135</f>
        <v>0</v>
      </c>
      <c r="O135" s="133">
        <f>商品录入!O135*$E135</f>
        <v>0</v>
      </c>
      <c r="P135" s="133">
        <f>商品录入!P135*$E135</f>
        <v>0</v>
      </c>
      <c r="Q135" s="133">
        <f>商品录入!Q135*$E135</f>
        <v>0</v>
      </c>
      <c r="R135" s="133">
        <f>商品录入!R135*$E135</f>
        <v>0</v>
      </c>
      <c r="S135" s="133">
        <f>商品录入!S135*$E135</f>
        <v>0</v>
      </c>
      <c r="T135" s="133">
        <f>商品录入!T135*$E135</f>
        <v>0</v>
      </c>
      <c r="U135" s="133">
        <f>商品录入!U135*$E135</f>
        <v>0</v>
      </c>
      <c r="V135" s="133">
        <f>商品录入!V135*$E135</f>
        <v>0</v>
      </c>
      <c r="W135" s="133">
        <f>商品录入!W135*$E135</f>
        <v>0</v>
      </c>
      <c r="X135" s="133">
        <f>商品录入!X135*$E135</f>
        <v>0</v>
      </c>
      <c r="Y135" s="133">
        <f>商品录入!Y135*$E135</f>
        <v>0</v>
      </c>
      <c r="Z135" s="133">
        <f>商品录入!Z135*$E135</f>
        <v>0</v>
      </c>
      <c r="AA135" s="133">
        <f>商品录入!AA135*$E135</f>
        <v>0</v>
      </c>
      <c r="AB135" s="133">
        <f>商品录入!AB135*$E135</f>
        <v>0</v>
      </c>
      <c r="AC135" s="133">
        <f>商品录入!AC135*$E135</f>
        <v>0</v>
      </c>
      <c r="AD135" s="133">
        <f>商品录入!AD135*$E135</f>
        <v>0</v>
      </c>
      <c r="AE135" s="133">
        <f>商品录入!AE135*$E135</f>
        <v>0</v>
      </c>
      <c r="AF135" s="133">
        <f>商品录入!AF135*$E135</f>
        <v>0</v>
      </c>
      <c r="AG135" s="133">
        <f>商品录入!AG135*$E135</f>
        <v>0</v>
      </c>
      <c r="AH135" s="133">
        <f>商品录入!AH135*$E135</f>
        <v>0</v>
      </c>
      <c r="AI135" s="133">
        <f>商品录入!AI135*$E135</f>
        <v>0</v>
      </c>
      <c r="AJ135" s="133">
        <f>商品录入!AJ135*$E135</f>
        <v>0</v>
      </c>
      <c r="AK135" s="133">
        <f>商品录入!AK135*$E135</f>
        <v>0</v>
      </c>
      <c r="AL135" s="133">
        <f>商品录入!AL135*$E135</f>
        <v>0</v>
      </c>
      <c r="AM135" s="133">
        <f>商品录入!AM135*$E135</f>
        <v>0</v>
      </c>
      <c r="AN135" s="133">
        <f>商品录入!AN135*$E135</f>
        <v>0</v>
      </c>
      <c r="AO135" s="133">
        <f>商品录入!AO135*$E135</f>
        <v>0</v>
      </c>
      <c r="AP135" s="133">
        <f>商品录入!AP135*$E135</f>
        <v>0</v>
      </c>
      <c r="AQ135" s="133">
        <f>商品录入!AQ135*$E135</f>
        <v>0</v>
      </c>
      <c r="AR135" s="133">
        <f>商品录入!AR135*$E135</f>
        <v>0</v>
      </c>
      <c r="AS135" s="133">
        <f>商品录入!AS135*$E135</f>
        <v>0</v>
      </c>
      <c r="AT135" s="133">
        <f>商品录入!AT135*$E135</f>
        <v>0</v>
      </c>
      <c r="AU135" s="133">
        <f>商品录入!AU135*$E135</f>
        <v>0</v>
      </c>
      <c r="AV135" s="133">
        <f>商品录入!AV135*$E135</f>
        <v>0</v>
      </c>
      <c r="AW135" s="133">
        <f>商品录入!AW135*$E135</f>
        <v>0</v>
      </c>
      <c r="AX135" s="133">
        <f>商品录入!AX135*$E135</f>
        <v>0</v>
      </c>
      <c r="AY135" s="133">
        <f>商品录入!AY135*$E135</f>
        <v>0</v>
      </c>
      <c r="AZ135" s="133">
        <f>商品录入!AZ135*$E135</f>
        <v>0</v>
      </c>
      <c r="BA135" s="133">
        <f>商品录入!BA135*$E135</f>
        <v>0</v>
      </c>
      <c r="BB135" s="133">
        <f>商品录入!BB135*$E135</f>
        <v>0</v>
      </c>
      <c r="BC135" s="133">
        <f>商品录入!BC135*$E135</f>
        <v>0</v>
      </c>
      <c r="BD135" s="133">
        <f>商品录入!BD135*$E135</f>
        <v>0</v>
      </c>
      <c r="BE135" s="133">
        <f>商品录入!BE135*$E135</f>
        <v>0</v>
      </c>
      <c r="BF135" s="133">
        <f>商品录入!BF135*$E135</f>
        <v>0</v>
      </c>
      <c r="BG135" s="133">
        <f>商品录入!BG135*$E135</f>
        <v>0</v>
      </c>
      <c r="BH135" s="133">
        <f>商品录入!BH135*$E135</f>
        <v>0</v>
      </c>
      <c r="BI135" s="133">
        <f>商品录入!BI135*$E135</f>
        <v>0</v>
      </c>
      <c r="BJ135" s="133">
        <f>商品录入!BJ135*$E135</f>
        <v>0</v>
      </c>
      <c r="BK135" s="133">
        <f>商品录入!BK135*$E135</f>
        <v>0</v>
      </c>
      <c r="BL135" s="133">
        <f>商品录入!BL135*$E135</f>
        <v>0</v>
      </c>
      <c r="BM135" s="133">
        <f>商品录入!BM135*$E135</f>
        <v>0</v>
      </c>
      <c r="BN135" s="133">
        <f>商品录入!BN135*$E135</f>
        <v>0</v>
      </c>
      <c r="BO135" s="133">
        <f>商品录入!BO135*$E135</f>
        <v>0</v>
      </c>
      <c r="BP135" s="133">
        <f>商品录入!BP135*$E135</f>
        <v>0</v>
      </c>
      <c r="BQ135" s="133">
        <f>商品录入!BQ135*$E135</f>
        <v>0</v>
      </c>
      <c r="BR135" s="133">
        <f>商品录入!BR135*$E135</f>
        <v>0</v>
      </c>
      <c r="BS135" s="133">
        <f>商品录入!BS135*$E135</f>
        <v>0</v>
      </c>
      <c r="BT135" s="133">
        <f>商品录入!BT135*$E135</f>
        <v>0</v>
      </c>
      <c r="BU135" s="133">
        <f>商品录入!BU135*$E135</f>
        <v>0</v>
      </c>
      <c r="BV135" s="133">
        <f>商品录入!BV135*$E135</f>
        <v>0</v>
      </c>
      <c r="BW135" s="133">
        <f>商品录入!BW135*$E135</f>
        <v>0</v>
      </c>
    </row>
    <row r="136" s="178" customFormat="1" customHeight="1" spans="1:75">
      <c r="A136" s="161">
        <v>132</v>
      </c>
      <c r="B136" s="162">
        <f>商品录入!B136</f>
        <v>0</v>
      </c>
      <c r="C136" s="162">
        <f>商品录入!C136</f>
        <v>0</v>
      </c>
      <c r="D136" s="162">
        <f>商品录入!D136</f>
        <v>0</v>
      </c>
      <c r="E136" s="162">
        <f>商品录入!E136</f>
        <v>0</v>
      </c>
      <c r="F136" s="162">
        <f>商品录入!F136</f>
        <v>0</v>
      </c>
      <c r="G136" s="162">
        <f>商品录入!G136</f>
        <v>0</v>
      </c>
      <c r="H136" s="162">
        <f>商品录入!H136</f>
        <v>0</v>
      </c>
      <c r="I136" s="162">
        <f>商品录入!I136</f>
        <v>0</v>
      </c>
      <c r="J136" s="162">
        <f>商品录入!J136</f>
        <v>0</v>
      </c>
      <c r="K136" s="162">
        <f>商品录入!K136</f>
        <v>0</v>
      </c>
      <c r="L136" s="162">
        <f>商品录入!L136</f>
        <v>0</v>
      </c>
      <c r="M136" s="162">
        <f>商品录入!M136</f>
        <v>0</v>
      </c>
      <c r="N136" s="133">
        <f>商品录入!N136*$E136</f>
        <v>0</v>
      </c>
      <c r="O136" s="133">
        <f>商品录入!O136*$E136</f>
        <v>0</v>
      </c>
      <c r="P136" s="133">
        <f>商品录入!P136*$E136</f>
        <v>0</v>
      </c>
      <c r="Q136" s="133">
        <f>商品录入!Q136*$E136</f>
        <v>0</v>
      </c>
      <c r="R136" s="133">
        <f>商品录入!R136*$E136</f>
        <v>0</v>
      </c>
      <c r="S136" s="133">
        <f>商品录入!S136*$E136</f>
        <v>0</v>
      </c>
      <c r="T136" s="133">
        <f>商品录入!T136*$E136</f>
        <v>0</v>
      </c>
      <c r="U136" s="133">
        <f>商品录入!U136*$E136</f>
        <v>0</v>
      </c>
      <c r="V136" s="133">
        <f>商品录入!V136*$E136</f>
        <v>0</v>
      </c>
      <c r="W136" s="133">
        <f>商品录入!W136*$E136</f>
        <v>0</v>
      </c>
      <c r="X136" s="133">
        <f>商品录入!X136*$E136</f>
        <v>0</v>
      </c>
      <c r="Y136" s="133">
        <f>商品录入!Y136*$E136</f>
        <v>0</v>
      </c>
      <c r="Z136" s="133">
        <f>商品录入!Z136*$E136</f>
        <v>0</v>
      </c>
      <c r="AA136" s="133">
        <f>商品录入!AA136*$E136</f>
        <v>0</v>
      </c>
      <c r="AB136" s="133">
        <f>商品录入!AB136*$E136</f>
        <v>0</v>
      </c>
      <c r="AC136" s="133">
        <f>商品录入!AC136*$E136</f>
        <v>0</v>
      </c>
      <c r="AD136" s="133">
        <f>商品录入!AD136*$E136</f>
        <v>0</v>
      </c>
      <c r="AE136" s="133">
        <f>商品录入!AE136*$E136</f>
        <v>0</v>
      </c>
      <c r="AF136" s="133">
        <f>商品录入!AF136*$E136</f>
        <v>0</v>
      </c>
      <c r="AG136" s="133">
        <f>商品录入!AG136*$E136</f>
        <v>0</v>
      </c>
      <c r="AH136" s="133">
        <f>商品录入!AH136*$E136</f>
        <v>0</v>
      </c>
      <c r="AI136" s="133">
        <f>商品录入!AI136*$E136</f>
        <v>0</v>
      </c>
      <c r="AJ136" s="133">
        <f>商品录入!AJ136*$E136</f>
        <v>0</v>
      </c>
      <c r="AK136" s="133">
        <f>商品录入!AK136*$E136</f>
        <v>0</v>
      </c>
      <c r="AL136" s="133">
        <f>商品录入!AL136*$E136</f>
        <v>0</v>
      </c>
      <c r="AM136" s="133">
        <f>商品录入!AM136*$E136</f>
        <v>0</v>
      </c>
      <c r="AN136" s="133">
        <f>商品录入!AN136*$E136</f>
        <v>0</v>
      </c>
      <c r="AO136" s="133">
        <f>商品录入!AO136*$E136</f>
        <v>0</v>
      </c>
      <c r="AP136" s="133">
        <f>商品录入!AP136*$E136</f>
        <v>0</v>
      </c>
      <c r="AQ136" s="133">
        <f>商品录入!AQ136*$E136</f>
        <v>0</v>
      </c>
      <c r="AR136" s="133">
        <f>商品录入!AR136*$E136</f>
        <v>0</v>
      </c>
      <c r="AS136" s="133">
        <f>商品录入!AS136*$E136</f>
        <v>0</v>
      </c>
      <c r="AT136" s="133">
        <f>商品录入!AT136*$E136</f>
        <v>0</v>
      </c>
      <c r="AU136" s="133">
        <f>商品录入!AU136*$E136</f>
        <v>0</v>
      </c>
      <c r="AV136" s="133">
        <f>商品录入!AV136*$E136</f>
        <v>0</v>
      </c>
      <c r="AW136" s="133">
        <f>商品录入!AW136*$E136</f>
        <v>0</v>
      </c>
      <c r="AX136" s="133">
        <f>商品录入!AX136*$E136</f>
        <v>0</v>
      </c>
      <c r="AY136" s="133">
        <f>商品录入!AY136*$E136</f>
        <v>0</v>
      </c>
      <c r="AZ136" s="133">
        <f>商品录入!AZ136*$E136</f>
        <v>0</v>
      </c>
      <c r="BA136" s="133">
        <f>商品录入!BA136*$E136</f>
        <v>0</v>
      </c>
      <c r="BB136" s="133">
        <f>商品录入!BB136*$E136</f>
        <v>0</v>
      </c>
      <c r="BC136" s="133">
        <f>商品录入!BC136*$E136</f>
        <v>0</v>
      </c>
      <c r="BD136" s="133">
        <f>商品录入!BD136*$E136</f>
        <v>0</v>
      </c>
      <c r="BE136" s="133">
        <f>商品录入!BE136*$E136</f>
        <v>0</v>
      </c>
      <c r="BF136" s="133">
        <f>商品录入!BF136*$E136</f>
        <v>0</v>
      </c>
      <c r="BG136" s="133">
        <f>商品录入!BG136*$E136</f>
        <v>0</v>
      </c>
      <c r="BH136" s="133">
        <f>商品录入!BH136*$E136</f>
        <v>0</v>
      </c>
      <c r="BI136" s="133">
        <f>商品录入!BI136*$E136</f>
        <v>0</v>
      </c>
      <c r="BJ136" s="133">
        <f>商品录入!BJ136*$E136</f>
        <v>0</v>
      </c>
      <c r="BK136" s="133">
        <f>商品录入!BK136*$E136</f>
        <v>0</v>
      </c>
      <c r="BL136" s="133">
        <f>商品录入!BL136*$E136</f>
        <v>0</v>
      </c>
      <c r="BM136" s="133">
        <f>商品录入!BM136*$E136</f>
        <v>0</v>
      </c>
      <c r="BN136" s="133">
        <f>商品录入!BN136*$E136</f>
        <v>0</v>
      </c>
      <c r="BO136" s="133">
        <f>商品录入!BO136*$E136</f>
        <v>0</v>
      </c>
      <c r="BP136" s="133">
        <f>商品录入!BP136*$E136</f>
        <v>0</v>
      </c>
      <c r="BQ136" s="133">
        <f>商品录入!BQ136*$E136</f>
        <v>0</v>
      </c>
      <c r="BR136" s="133">
        <f>商品录入!BR136*$E136</f>
        <v>0</v>
      </c>
      <c r="BS136" s="133">
        <f>商品录入!BS136*$E136</f>
        <v>0</v>
      </c>
      <c r="BT136" s="133">
        <f>商品录入!BT136*$E136</f>
        <v>0</v>
      </c>
      <c r="BU136" s="133">
        <f>商品录入!BU136*$E136</f>
        <v>0</v>
      </c>
      <c r="BV136" s="133">
        <f>商品录入!BV136*$E136</f>
        <v>0</v>
      </c>
      <c r="BW136" s="133">
        <f>商品录入!BW136*$E136</f>
        <v>0</v>
      </c>
    </row>
    <row r="137" s="178" customFormat="1" customHeight="1" spans="1:75">
      <c r="A137" s="161">
        <v>133</v>
      </c>
      <c r="B137" s="162">
        <f>商品录入!B137</f>
        <v>0</v>
      </c>
      <c r="C137" s="162">
        <f>商品录入!C137</f>
        <v>0</v>
      </c>
      <c r="D137" s="162">
        <f>商品录入!D137</f>
        <v>0</v>
      </c>
      <c r="E137" s="162">
        <f>商品录入!E137</f>
        <v>0</v>
      </c>
      <c r="F137" s="162">
        <f>商品录入!F137</f>
        <v>0</v>
      </c>
      <c r="G137" s="162">
        <f>商品录入!G137</f>
        <v>0</v>
      </c>
      <c r="H137" s="162">
        <f>商品录入!H137</f>
        <v>0</v>
      </c>
      <c r="I137" s="162">
        <f>商品录入!I137</f>
        <v>0</v>
      </c>
      <c r="J137" s="162">
        <f>商品录入!J137</f>
        <v>0</v>
      </c>
      <c r="K137" s="162">
        <f>商品录入!K137</f>
        <v>0</v>
      </c>
      <c r="L137" s="162">
        <f>商品录入!L137</f>
        <v>0</v>
      </c>
      <c r="M137" s="162">
        <f>商品录入!M137</f>
        <v>0</v>
      </c>
      <c r="N137" s="133">
        <f>商品录入!N137*$E137</f>
        <v>0</v>
      </c>
      <c r="O137" s="133">
        <f>商品录入!O137*$E137</f>
        <v>0</v>
      </c>
      <c r="P137" s="133">
        <f>商品录入!P137*$E137</f>
        <v>0</v>
      </c>
      <c r="Q137" s="133">
        <f>商品录入!Q137*$E137</f>
        <v>0</v>
      </c>
      <c r="R137" s="133">
        <f>商品录入!R137*$E137</f>
        <v>0</v>
      </c>
      <c r="S137" s="133">
        <f>商品录入!S137*$E137</f>
        <v>0</v>
      </c>
      <c r="T137" s="133">
        <f>商品录入!T137*$E137</f>
        <v>0</v>
      </c>
      <c r="U137" s="133">
        <f>商品录入!U137*$E137</f>
        <v>0</v>
      </c>
      <c r="V137" s="133">
        <f>商品录入!V137*$E137</f>
        <v>0</v>
      </c>
      <c r="W137" s="133">
        <f>商品录入!W137*$E137</f>
        <v>0</v>
      </c>
      <c r="X137" s="133">
        <f>商品录入!X137*$E137</f>
        <v>0</v>
      </c>
      <c r="Y137" s="133">
        <f>商品录入!Y137*$E137</f>
        <v>0</v>
      </c>
      <c r="Z137" s="133">
        <f>商品录入!Z137*$E137</f>
        <v>0</v>
      </c>
      <c r="AA137" s="133">
        <f>商品录入!AA137*$E137</f>
        <v>0</v>
      </c>
      <c r="AB137" s="133">
        <f>商品录入!AB137*$E137</f>
        <v>0</v>
      </c>
      <c r="AC137" s="133">
        <f>商品录入!AC137*$E137</f>
        <v>0</v>
      </c>
      <c r="AD137" s="133">
        <f>商品录入!AD137*$E137</f>
        <v>0</v>
      </c>
      <c r="AE137" s="133">
        <f>商品录入!AE137*$E137</f>
        <v>0</v>
      </c>
      <c r="AF137" s="133">
        <f>商品录入!AF137*$E137</f>
        <v>0</v>
      </c>
      <c r="AG137" s="133">
        <f>商品录入!AG137*$E137</f>
        <v>0</v>
      </c>
      <c r="AH137" s="133">
        <f>商品录入!AH137*$E137</f>
        <v>0</v>
      </c>
      <c r="AI137" s="133">
        <f>商品录入!AI137*$E137</f>
        <v>0</v>
      </c>
      <c r="AJ137" s="133">
        <f>商品录入!AJ137*$E137</f>
        <v>0</v>
      </c>
      <c r="AK137" s="133">
        <f>商品录入!AK137*$E137</f>
        <v>0</v>
      </c>
      <c r="AL137" s="133">
        <f>商品录入!AL137*$E137</f>
        <v>0</v>
      </c>
      <c r="AM137" s="133">
        <f>商品录入!AM137*$E137</f>
        <v>0</v>
      </c>
      <c r="AN137" s="133">
        <f>商品录入!AN137*$E137</f>
        <v>0</v>
      </c>
      <c r="AO137" s="133">
        <f>商品录入!AO137*$E137</f>
        <v>0</v>
      </c>
      <c r="AP137" s="133">
        <f>商品录入!AP137*$E137</f>
        <v>0</v>
      </c>
      <c r="AQ137" s="133">
        <f>商品录入!AQ137*$E137</f>
        <v>0</v>
      </c>
      <c r="AR137" s="133">
        <f>商品录入!AR137*$E137</f>
        <v>0</v>
      </c>
      <c r="AS137" s="133">
        <f>商品录入!AS137*$E137</f>
        <v>0</v>
      </c>
      <c r="AT137" s="133">
        <f>商品录入!AT137*$E137</f>
        <v>0</v>
      </c>
      <c r="AU137" s="133">
        <f>商品录入!AU137*$E137</f>
        <v>0</v>
      </c>
      <c r="AV137" s="133">
        <f>商品录入!AV137*$E137</f>
        <v>0</v>
      </c>
      <c r="AW137" s="133">
        <f>商品录入!AW137*$E137</f>
        <v>0</v>
      </c>
      <c r="AX137" s="133">
        <f>商品录入!AX137*$E137</f>
        <v>0</v>
      </c>
      <c r="AY137" s="133">
        <f>商品录入!AY137*$E137</f>
        <v>0</v>
      </c>
      <c r="AZ137" s="133">
        <f>商品录入!AZ137*$E137</f>
        <v>0</v>
      </c>
      <c r="BA137" s="133">
        <f>商品录入!BA137*$E137</f>
        <v>0</v>
      </c>
      <c r="BB137" s="133">
        <f>商品录入!BB137*$E137</f>
        <v>0</v>
      </c>
      <c r="BC137" s="133">
        <f>商品录入!BC137*$E137</f>
        <v>0</v>
      </c>
      <c r="BD137" s="133">
        <f>商品录入!BD137*$E137</f>
        <v>0</v>
      </c>
      <c r="BE137" s="133">
        <f>商品录入!BE137*$E137</f>
        <v>0</v>
      </c>
      <c r="BF137" s="133">
        <f>商品录入!BF137*$E137</f>
        <v>0</v>
      </c>
      <c r="BG137" s="133">
        <f>商品录入!BG137*$E137</f>
        <v>0</v>
      </c>
      <c r="BH137" s="133">
        <f>商品录入!BH137*$E137</f>
        <v>0</v>
      </c>
      <c r="BI137" s="133">
        <f>商品录入!BI137*$E137</f>
        <v>0</v>
      </c>
      <c r="BJ137" s="133">
        <f>商品录入!BJ137*$E137</f>
        <v>0</v>
      </c>
      <c r="BK137" s="133">
        <f>商品录入!BK137*$E137</f>
        <v>0</v>
      </c>
      <c r="BL137" s="133">
        <f>商品录入!BL137*$E137</f>
        <v>0</v>
      </c>
      <c r="BM137" s="133">
        <f>商品录入!BM137*$E137</f>
        <v>0</v>
      </c>
      <c r="BN137" s="133">
        <f>商品录入!BN137*$E137</f>
        <v>0</v>
      </c>
      <c r="BO137" s="133">
        <f>商品录入!BO137*$E137</f>
        <v>0</v>
      </c>
      <c r="BP137" s="133">
        <f>商品录入!BP137*$E137</f>
        <v>0</v>
      </c>
      <c r="BQ137" s="133">
        <f>商品录入!BQ137*$E137</f>
        <v>0</v>
      </c>
      <c r="BR137" s="133">
        <f>商品录入!BR137*$E137</f>
        <v>0</v>
      </c>
      <c r="BS137" s="133">
        <f>商品录入!BS137*$E137</f>
        <v>0</v>
      </c>
      <c r="BT137" s="133">
        <f>商品录入!BT137*$E137</f>
        <v>0</v>
      </c>
      <c r="BU137" s="133">
        <f>商品录入!BU137*$E137</f>
        <v>0</v>
      </c>
      <c r="BV137" s="133">
        <f>商品录入!BV137*$E137</f>
        <v>0</v>
      </c>
      <c r="BW137" s="133">
        <f>商品录入!BW137*$E137</f>
        <v>0</v>
      </c>
    </row>
    <row r="138" s="178" customFormat="1" customHeight="1" spans="1:75">
      <c r="A138" s="161">
        <v>134</v>
      </c>
      <c r="B138" s="162">
        <f>商品录入!B138</f>
        <v>0</v>
      </c>
      <c r="C138" s="162">
        <f>商品录入!C138</f>
        <v>0</v>
      </c>
      <c r="D138" s="162">
        <f>商品录入!D138</f>
        <v>0</v>
      </c>
      <c r="E138" s="162">
        <f>商品录入!E138</f>
        <v>0</v>
      </c>
      <c r="F138" s="162">
        <f>商品录入!F138</f>
        <v>0</v>
      </c>
      <c r="G138" s="162">
        <f>商品录入!G138</f>
        <v>0</v>
      </c>
      <c r="H138" s="162">
        <f>商品录入!H138</f>
        <v>0</v>
      </c>
      <c r="I138" s="162">
        <f>商品录入!I138</f>
        <v>0</v>
      </c>
      <c r="J138" s="162">
        <f>商品录入!J138</f>
        <v>0</v>
      </c>
      <c r="K138" s="162">
        <f>商品录入!K138</f>
        <v>0</v>
      </c>
      <c r="L138" s="162">
        <f>商品录入!L138</f>
        <v>0</v>
      </c>
      <c r="M138" s="162">
        <f>商品录入!M138</f>
        <v>0</v>
      </c>
      <c r="N138" s="133">
        <f>商品录入!N138*$E138</f>
        <v>0</v>
      </c>
      <c r="O138" s="133">
        <f>商品录入!O138*$E138</f>
        <v>0</v>
      </c>
      <c r="P138" s="133">
        <f>商品录入!P138*$E138</f>
        <v>0</v>
      </c>
      <c r="Q138" s="133">
        <f>商品录入!Q138*$E138</f>
        <v>0</v>
      </c>
      <c r="R138" s="133">
        <f>商品录入!R138*$E138</f>
        <v>0</v>
      </c>
      <c r="S138" s="133">
        <f>商品录入!S138*$E138</f>
        <v>0</v>
      </c>
      <c r="T138" s="133">
        <f>商品录入!T138*$E138</f>
        <v>0</v>
      </c>
      <c r="U138" s="133">
        <f>商品录入!U138*$E138</f>
        <v>0</v>
      </c>
      <c r="V138" s="133">
        <f>商品录入!V138*$E138</f>
        <v>0</v>
      </c>
      <c r="W138" s="133">
        <f>商品录入!W138*$E138</f>
        <v>0</v>
      </c>
      <c r="X138" s="133">
        <f>商品录入!X138*$E138</f>
        <v>0</v>
      </c>
      <c r="Y138" s="133">
        <f>商品录入!Y138*$E138</f>
        <v>0</v>
      </c>
      <c r="Z138" s="133">
        <f>商品录入!Z138*$E138</f>
        <v>0</v>
      </c>
      <c r="AA138" s="133">
        <f>商品录入!AA138*$E138</f>
        <v>0</v>
      </c>
      <c r="AB138" s="133">
        <f>商品录入!AB138*$E138</f>
        <v>0</v>
      </c>
      <c r="AC138" s="133">
        <f>商品录入!AC138*$E138</f>
        <v>0</v>
      </c>
      <c r="AD138" s="133">
        <f>商品录入!AD138*$E138</f>
        <v>0</v>
      </c>
      <c r="AE138" s="133">
        <f>商品录入!AE138*$E138</f>
        <v>0</v>
      </c>
      <c r="AF138" s="133">
        <f>商品录入!AF138*$E138</f>
        <v>0</v>
      </c>
      <c r="AG138" s="133">
        <f>商品录入!AG138*$E138</f>
        <v>0</v>
      </c>
      <c r="AH138" s="133">
        <f>商品录入!AH138*$E138</f>
        <v>0</v>
      </c>
      <c r="AI138" s="133">
        <f>商品录入!AI138*$E138</f>
        <v>0</v>
      </c>
      <c r="AJ138" s="133">
        <f>商品录入!AJ138*$E138</f>
        <v>0</v>
      </c>
      <c r="AK138" s="133">
        <f>商品录入!AK138*$E138</f>
        <v>0</v>
      </c>
      <c r="AL138" s="133">
        <f>商品录入!AL138*$E138</f>
        <v>0</v>
      </c>
      <c r="AM138" s="133">
        <f>商品录入!AM138*$E138</f>
        <v>0</v>
      </c>
      <c r="AN138" s="133">
        <f>商品录入!AN138*$E138</f>
        <v>0</v>
      </c>
      <c r="AO138" s="133">
        <f>商品录入!AO138*$E138</f>
        <v>0</v>
      </c>
      <c r="AP138" s="133">
        <f>商品录入!AP138*$E138</f>
        <v>0</v>
      </c>
      <c r="AQ138" s="133">
        <f>商品录入!AQ138*$E138</f>
        <v>0</v>
      </c>
      <c r="AR138" s="133">
        <f>商品录入!AR138*$E138</f>
        <v>0</v>
      </c>
      <c r="AS138" s="133">
        <f>商品录入!AS138*$E138</f>
        <v>0</v>
      </c>
      <c r="AT138" s="133">
        <f>商品录入!AT138*$E138</f>
        <v>0</v>
      </c>
      <c r="AU138" s="133">
        <f>商品录入!AU138*$E138</f>
        <v>0</v>
      </c>
      <c r="AV138" s="133">
        <f>商品录入!AV138*$E138</f>
        <v>0</v>
      </c>
      <c r="AW138" s="133">
        <f>商品录入!AW138*$E138</f>
        <v>0</v>
      </c>
      <c r="AX138" s="133">
        <f>商品录入!AX138*$E138</f>
        <v>0</v>
      </c>
      <c r="AY138" s="133">
        <f>商品录入!AY138*$E138</f>
        <v>0</v>
      </c>
      <c r="AZ138" s="133">
        <f>商品录入!AZ138*$E138</f>
        <v>0</v>
      </c>
      <c r="BA138" s="133">
        <f>商品录入!BA138*$E138</f>
        <v>0</v>
      </c>
      <c r="BB138" s="133">
        <f>商品录入!BB138*$E138</f>
        <v>0</v>
      </c>
      <c r="BC138" s="133">
        <f>商品录入!BC138*$E138</f>
        <v>0</v>
      </c>
      <c r="BD138" s="133">
        <f>商品录入!BD138*$E138</f>
        <v>0</v>
      </c>
      <c r="BE138" s="133">
        <f>商品录入!BE138*$E138</f>
        <v>0</v>
      </c>
      <c r="BF138" s="133">
        <f>商品录入!BF138*$E138</f>
        <v>0</v>
      </c>
      <c r="BG138" s="133">
        <f>商品录入!BG138*$E138</f>
        <v>0</v>
      </c>
      <c r="BH138" s="133">
        <f>商品录入!BH138*$E138</f>
        <v>0</v>
      </c>
      <c r="BI138" s="133">
        <f>商品录入!BI138*$E138</f>
        <v>0</v>
      </c>
      <c r="BJ138" s="133">
        <f>商品录入!BJ138*$E138</f>
        <v>0</v>
      </c>
      <c r="BK138" s="133">
        <f>商品录入!BK138*$E138</f>
        <v>0</v>
      </c>
      <c r="BL138" s="133">
        <f>商品录入!BL138*$E138</f>
        <v>0</v>
      </c>
      <c r="BM138" s="133">
        <f>商品录入!BM138*$E138</f>
        <v>0</v>
      </c>
      <c r="BN138" s="133">
        <f>商品录入!BN138*$E138</f>
        <v>0</v>
      </c>
      <c r="BO138" s="133">
        <f>商品录入!BO138*$E138</f>
        <v>0</v>
      </c>
      <c r="BP138" s="133">
        <f>商品录入!BP138*$E138</f>
        <v>0</v>
      </c>
      <c r="BQ138" s="133">
        <f>商品录入!BQ138*$E138</f>
        <v>0</v>
      </c>
      <c r="BR138" s="133">
        <f>商品录入!BR138*$E138</f>
        <v>0</v>
      </c>
      <c r="BS138" s="133">
        <f>商品录入!BS138*$E138</f>
        <v>0</v>
      </c>
      <c r="BT138" s="133">
        <f>商品录入!BT138*$E138</f>
        <v>0</v>
      </c>
      <c r="BU138" s="133">
        <f>商品录入!BU138*$E138</f>
        <v>0</v>
      </c>
      <c r="BV138" s="133">
        <f>商品录入!BV138*$E138</f>
        <v>0</v>
      </c>
      <c r="BW138" s="133">
        <f>商品录入!BW138*$E138</f>
        <v>0</v>
      </c>
    </row>
    <row r="139" s="178" customFormat="1" customHeight="1" spans="1:75">
      <c r="A139" s="161">
        <v>135</v>
      </c>
      <c r="B139" s="162">
        <f>商品录入!B139</f>
        <v>0</v>
      </c>
      <c r="C139" s="162">
        <f>商品录入!C139</f>
        <v>0</v>
      </c>
      <c r="D139" s="162">
        <f>商品录入!D139</f>
        <v>0</v>
      </c>
      <c r="E139" s="162">
        <f>商品录入!E139</f>
        <v>0</v>
      </c>
      <c r="F139" s="162">
        <f>商品录入!F139</f>
        <v>0</v>
      </c>
      <c r="G139" s="162">
        <f>商品录入!G139</f>
        <v>0</v>
      </c>
      <c r="H139" s="162">
        <f>商品录入!H139</f>
        <v>0</v>
      </c>
      <c r="I139" s="162">
        <f>商品录入!I139</f>
        <v>0</v>
      </c>
      <c r="J139" s="162">
        <f>商品录入!J139</f>
        <v>0</v>
      </c>
      <c r="K139" s="162">
        <f>商品录入!K139</f>
        <v>0</v>
      </c>
      <c r="L139" s="162">
        <f>商品录入!L139</f>
        <v>0</v>
      </c>
      <c r="M139" s="162">
        <f>商品录入!M139</f>
        <v>0</v>
      </c>
      <c r="N139" s="133">
        <f>商品录入!N139*$E139</f>
        <v>0</v>
      </c>
      <c r="O139" s="133">
        <f>商品录入!O139*$E139</f>
        <v>0</v>
      </c>
      <c r="P139" s="133">
        <f>商品录入!P139*$E139</f>
        <v>0</v>
      </c>
      <c r="Q139" s="133">
        <f>商品录入!Q139*$E139</f>
        <v>0</v>
      </c>
      <c r="R139" s="133">
        <f>商品录入!R139*$E139</f>
        <v>0</v>
      </c>
      <c r="S139" s="133">
        <f>商品录入!S139*$E139</f>
        <v>0</v>
      </c>
      <c r="T139" s="133">
        <f>商品录入!T139*$E139</f>
        <v>0</v>
      </c>
      <c r="U139" s="133">
        <f>商品录入!U139*$E139</f>
        <v>0</v>
      </c>
      <c r="V139" s="133">
        <f>商品录入!V139*$E139</f>
        <v>0</v>
      </c>
      <c r="W139" s="133">
        <f>商品录入!W139*$E139</f>
        <v>0</v>
      </c>
      <c r="X139" s="133">
        <f>商品录入!X139*$E139</f>
        <v>0</v>
      </c>
      <c r="Y139" s="133">
        <f>商品录入!Y139*$E139</f>
        <v>0</v>
      </c>
      <c r="Z139" s="133">
        <f>商品录入!Z139*$E139</f>
        <v>0</v>
      </c>
      <c r="AA139" s="133">
        <f>商品录入!AA139*$E139</f>
        <v>0</v>
      </c>
      <c r="AB139" s="133">
        <f>商品录入!AB139*$E139</f>
        <v>0</v>
      </c>
      <c r="AC139" s="133">
        <f>商品录入!AC139*$E139</f>
        <v>0</v>
      </c>
      <c r="AD139" s="133">
        <f>商品录入!AD139*$E139</f>
        <v>0</v>
      </c>
      <c r="AE139" s="133">
        <f>商品录入!AE139*$E139</f>
        <v>0</v>
      </c>
      <c r="AF139" s="133">
        <f>商品录入!AF139*$E139</f>
        <v>0</v>
      </c>
      <c r="AG139" s="133">
        <f>商品录入!AG139*$E139</f>
        <v>0</v>
      </c>
      <c r="AH139" s="133">
        <f>商品录入!AH139*$E139</f>
        <v>0</v>
      </c>
      <c r="AI139" s="133">
        <f>商品录入!AI139*$E139</f>
        <v>0</v>
      </c>
      <c r="AJ139" s="133">
        <f>商品录入!AJ139*$E139</f>
        <v>0</v>
      </c>
      <c r="AK139" s="133">
        <f>商品录入!AK139*$E139</f>
        <v>0</v>
      </c>
      <c r="AL139" s="133">
        <f>商品录入!AL139*$E139</f>
        <v>0</v>
      </c>
      <c r="AM139" s="133">
        <f>商品录入!AM139*$E139</f>
        <v>0</v>
      </c>
      <c r="AN139" s="133">
        <f>商品录入!AN139*$E139</f>
        <v>0</v>
      </c>
      <c r="AO139" s="133">
        <f>商品录入!AO139*$E139</f>
        <v>0</v>
      </c>
      <c r="AP139" s="133">
        <f>商品录入!AP139*$E139</f>
        <v>0</v>
      </c>
      <c r="AQ139" s="133">
        <f>商品录入!AQ139*$E139</f>
        <v>0</v>
      </c>
      <c r="AR139" s="133">
        <f>商品录入!AR139*$E139</f>
        <v>0</v>
      </c>
      <c r="AS139" s="133">
        <f>商品录入!AS139*$E139</f>
        <v>0</v>
      </c>
      <c r="AT139" s="133">
        <f>商品录入!AT139*$E139</f>
        <v>0</v>
      </c>
      <c r="AU139" s="133">
        <f>商品录入!AU139*$E139</f>
        <v>0</v>
      </c>
      <c r="AV139" s="133">
        <f>商品录入!AV139*$E139</f>
        <v>0</v>
      </c>
      <c r="AW139" s="133">
        <f>商品录入!AW139*$E139</f>
        <v>0</v>
      </c>
      <c r="AX139" s="133">
        <f>商品录入!AX139*$E139</f>
        <v>0</v>
      </c>
      <c r="AY139" s="133">
        <f>商品录入!AY139*$E139</f>
        <v>0</v>
      </c>
      <c r="AZ139" s="133">
        <f>商品录入!AZ139*$E139</f>
        <v>0</v>
      </c>
      <c r="BA139" s="133">
        <f>商品录入!BA139*$E139</f>
        <v>0</v>
      </c>
      <c r="BB139" s="133">
        <f>商品录入!BB139*$E139</f>
        <v>0</v>
      </c>
      <c r="BC139" s="133">
        <f>商品录入!BC139*$E139</f>
        <v>0</v>
      </c>
      <c r="BD139" s="133">
        <f>商品录入!BD139*$E139</f>
        <v>0</v>
      </c>
      <c r="BE139" s="133">
        <f>商品录入!BE139*$E139</f>
        <v>0</v>
      </c>
      <c r="BF139" s="133">
        <f>商品录入!BF139*$E139</f>
        <v>0</v>
      </c>
      <c r="BG139" s="133">
        <f>商品录入!BG139*$E139</f>
        <v>0</v>
      </c>
      <c r="BH139" s="133">
        <f>商品录入!BH139*$E139</f>
        <v>0</v>
      </c>
      <c r="BI139" s="133">
        <f>商品录入!BI139*$E139</f>
        <v>0</v>
      </c>
      <c r="BJ139" s="133">
        <f>商品录入!BJ139*$E139</f>
        <v>0</v>
      </c>
      <c r="BK139" s="133">
        <f>商品录入!BK139*$E139</f>
        <v>0</v>
      </c>
      <c r="BL139" s="133">
        <f>商品录入!BL139*$E139</f>
        <v>0</v>
      </c>
      <c r="BM139" s="133">
        <f>商品录入!BM139*$E139</f>
        <v>0</v>
      </c>
      <c r="BN139" s="133">
        <f>商品录入!BN139*$E139</f>
        <v>0</v>
      </c>
      <c r="BO139" s="133">
        <f>商品录入!BO139*$E139</f>
        <v>0</v>
      </c>
      <c r="BP139" s="133">
        <f>商品录入!BP139*$E139</f>
        <v>0</v>
      </c>
      <c r="BQ139" s="133">
        <f>商品录入!BQ139*$E139</f>
        <v>0</v>
      </c>
      <c r="BR139" s="133">
        <f>商品录入!BR139*$E139</f>
        <v>0</v>
      </c>
      <c r="BS139" s="133">
        <f>商品录入!BS139*$E139</f>
        <v>0</v>
      </c>
      <c r="BT139" s="133">
        <f>商品录入!BT139*$E139</f>
        <v>0</v>
      </c>
      <c r="BU139" s="133">
        <f>商品录入!BU139*$E139</f>
        <v>0</v>
      </c>
      <c r="BV139" s="133">
        <f>商品录入!BV139*$E139</f>
        <v>0</v>
      </c>
      <c r="BW139" s="133">
        <f>商品录入!BW139*$E139</f>
        <v>0</v>
      </c>
    </row>
    <row r="140" s="178" customFormat="1" customHeight="1" spans="1:75">
      <c r="A140" s="161">
        <v>136</v>
      </c>
      <c r="B140" s="162">
        <f>商品录入!B140</f>
        <v>0</v>
      </c>
      <c r="C140" s="162">
        <f>商品录入!C140</f>
        <v>0</v>
      </c>
      <c r="D140" s="162">
        <f>商品录入!D140</f>
        <v>0</v>
      </c>
      <c r="E140" s="162">
        <f>商品录入!E140</f>
        <v>0</v>
      </c>
      <c r="F140" s="162">
        <f>商品录入!F140</f>
        <v>0</v>
      </c>
      <c r="G140" s="162">
        <f>商品录入!G140</f>
        <v>0</v>
      </c>
      <c r="H140" s="162">
        <f>商品录入!H140</f>
        <v>0</v>
      </c>
      <c r="I140" s="162">
        <f>商品录入!I140</f>
        <v>0</v>
      </c>
      <c r="J140" s="162">
        <f>商品录入!J140</f>
        <v>0</v>
      </c>
      <c r="K140" s="162">
        <f>商品录入!K140</f>
        <v>0</v>
      </c>
      <c r="L140" s="162">
        <f>商品录入!L140</f>
        <v>0</v>
      </c>
      <c r="M140" s="162">
        <f>商品录入!M140</f>
        <v>0</v>
      </c>
      <c r="N140" s="133">
        <f>商品录入!N140*$E140</f>
        <v>0</v>
      </c>
      <c r="O140" s="133">
        <f>商品录入!O140*$E140</f>
        <v>0</v>
      </c>
      <c r="P140" s="133">
        <f>商品录入!P140*$E140</f>
        <v>0</v>
      </c>
      <c r="Q140" s="133">
        <f>商品录入!Q140*$E140</f>
        <v>0</v>
      </c>
      <c r="R140" s="133">
        <f>商品录入!R140*$E140</f>
        <v>0</v>
      </c>
      <c r="S140" s="133">
        <f>商品录入!S140*$E140</f>
        <v>0</v>
      </c>
      <c r="T140" s="133">
        <f>商品录入!T140*$E140</f>
        <v>0</v>
      </c>
      <c r="U140" s="133">
        <f>商品录入!U140*$E140</f>
        <v>0</v>
      </c>
      <c r="V140" s="133">
        <f>商品录入!V140*$E140</f>
        <v>0</v>
      </c>
      <c r="W140" s="133">
        <f>商品录入!W140*$E140</f>
        <v>0</v>
      </c>
      <c r="X140" s="133">
        <f>商品录入!X140*$E140</f>
        <v>0</v>
      </c>
      <c r="Y140" s="133">
        <f>商品录入!Y140*$E140</f>
        <v>0</v>
      </c>
      <c r="Z140" s="133">
        <f>商品录入!Z140*$E140</f>
        <v>0</v>
      </c>
      <c r="AA140" s="133">
        <f>商品录入!AA140*$E140</f>
        <v>0</v>
      </c>
      <c r="AB140" s="133">
        <f>商品录入!AB140*$E140</f>
        <v>0</v>
      </c>
      <c r="AC140" s="133">
        <f>商品录入!AC140*$E140</f>
        <v>0</v>
      </c>
      <c r="AD140" s="133">
        <f>商品录入!AD140*$E140</f>
        <v>0</v>
      </c>
      <c r="AE140" s="133">
        <f>商品录入!AE140*$E140</f>
        <v>0</v>
      </c>
      <c r="AF140" s="133">
        <f>商品录入!AF140*$E140</f>
        <v>0</v>
      </c>
      <c r="AG140" s="133">
        <f>商品录入!AG140*$E140</f>
        <v>0</v>
      </c>
      <c r="AH140" s="133">
        <f>商品录入!AH140*$E140</f>
        <v>0</v>
      </c>
      <c r="AI140" s="133">
        <f>商品录入!AI140*$E140</f>
        <v>0</v>
      </c>
      <c r="AJ140" s="133">
        <f>商品录入!AJ140*$E140</f>
        <v>0</v>
      </c>
      <c r="AK140" s="133">
        <f>商品录入!AK140*$E140</f>
        <v>0</v>
      </c>
      <c r="AL140" s="133">
        <f>商品录入!AL140*$E140</f>
        <v>0</v>
      </c>
      <c r="AM140" s="133">
        <f>商品录入!AM140*$E140</f>
        <v>0</v>
      </c>
      <c r="AN140" s="133">
        <f>商品录入!AN140*$E140</f>
        <v>0</v>
      </c>
      <c r="AO140" s="133">
        <f>商品录入!AO140*$E140</f>
        <v>0</v>
      </c>
      <c r="AP140" s="133">
        <f>商品录入!AP140*$E140</f>
        <v>0</v>
      </c>
      <c r="AQ140" s="133">
        <f>商品录入!AQ140*$E140</f>
        <v>0</v>
      </c>
      <c r="AR140" s="133">
        <f>商品录入!AR140*$E140</f>
        <v>0</v>
      </c>
      <c r="AS140" s="133">
        <f>商品录入!AS140*$E140</f>
        <v>0</v>
      </c>
      <c r="AT140" s="133">
        <f>商品录入!AT140*$E140</f>
        <v>0</v>
      </c>
      <c r="AU140" s="133">
        <f>商品录入!AU140*$E140</f>
        <v>0</v>
      </c>
      <c r="AV140" s="133">
        <f>商品录入!AV140*$E140</f>
        <v>0</v>
      </c>
      <c r="AW140" s="133">
        <f>商品录入!AW140*$E140</f>
        <v>0</v>
      </c>
      <c r="AX140" s="133">
        <f>商品录入!AX140*$E140</f>
        <v>0</v>
      </c>
      <c r="AY140" s="133">
        <f>商品录入!AY140*$E140</f>
        <v>0</v>
      </c>
      <c r="AZ140" s="133">
        <f>商品录入!AZ140*$E140</f>
        <v>0</v>
      </c>
      <c r="BA140" s="133">
        <f>商品录入!BA140*$E140</f>
        <v>0</v>
      </c>
      <c r="BB140" s="133">
        <f>商品录入!BB140*$E140</f>
        <v>0</v>
      </c>
      <c r="BC140" s="133">
        <f>商品录入!BC140*$E140</f>
        <v>0</v>
      </c>
      <c r="BD140" s="133">
        <f>商品录入!BD140*$E140</f>
        <v>0</v>
      </c>
      <c r="BE140" s="133">
        <f>商品录入!BE140*$E140</f>
        <v>0</v>
      </c>
      <c r="BF140" s="133">
        <f>商品录入!BF140*$E140</f>
        <v>0</v>
      </c>
      <c r="BG140" s="133">
        <f>商品录入!BG140*$E140</f>
        <v>0</v>
      </c>
      <c r="BH140" s="133">
        <f>商品录入!BH140*$E140</f>
        <v>0</v>
      </c>
      <c r="BI140" s="133">
        <f>商品录入!BI140*$E140</f>
        <v>0</v>
      </c>
      <c r="BJ140" s="133">
        <f>商品录入!BJ140*$E140</f>
        <v>0</v>
      </c>
      <c r="BK140" s="133">
        <f>商品录入!BK140*$E140</f>
        <v>0</v>
      </c>
      <c r="BL140" s="133">
        <f>商品录入!BL140*$E140</f>
        <v>0</v>
      </c>
      <c r="BM140" s="133">
        <f>商品录入!BM140*$E140</f>
        <v>0</v>
      </c>
      <c r="BN140" s="133">
        <f>商品录入!BN140*$E140</f>
        <v>0</v>
      </c>
      <c r="BO140" s="133">
        <f>商品录入!BO140*$E140</f>
        <v>0</v>
      </c>
      <c r="BP140" s="133">
        <f>商品录入!BP140*$E140</f>
        <v>0</v>
      </c>
      <c r="BQ140" s="133">
        <f>商品录入!BQ140*$E140</f>
        <v>0</v>
      </c>
      <c r="BR140" s="133">
        <f>商品录入!BR140*$E140</f>
        <v>0</v>
      </c>
      <c r="BS140" s="133">
        <f>商品录入!BS140*$E140</f>
        <v>0</v>
      </c>
      <c r="BT140" s="133">
        <f>商品录入!BT140*$E140</f>
        <v>0</v>
      </c>
      <c r="BU140" s="133">
        <f>商品录入!BU140*$E140</f>
        <v>0</v>
      </c>
      <c r="BV140" s="133">
        <f>商品录入!BV140*$E140</f>
        <v>0</v>
      </c>
      <c r="BW140" s="133">
        <f>商品录入!BW140*$E140</f>
        <v>0</v>
      </c>
    </row>
    <row r="141" s="178" customFormat="1" customHeight="1" spans="1:75">
      <c r="A141" s="161">
        <v>137</v>
      </c>
      <c r="B141" s="162">
        <f>商品录入!B141</f>
        <v>0</v>
      </c>
      <c r="C141" s="162">
        <f>商品录入!C141</f>
        <v>0</v>
      </c>
      <c r="D141" s="162">
        <f>商品录入!D141</f>
        <v>0</v>
      </c>
      <c r="E141" s="162">
        <f>商品录入!E141</f>
        <v>0</v>
      </c>
      <c r="F141" s="162">
        <f>商品录入!F141</f>
        <v>0</v>
      </c>
      <c r="G141" s="162">
        <f>商品录入!G141</f>
        <v>0</v>
      </c>
      <c r="H141" s="162">
        <f>商品录入!H141</f>
        <v>0</v>
      </c>
      <c r="I141" s="162">
        <f>商品录入!I141</f>
        <v>0</v>
      </c>
      <c r="J141" s="162">
        <f>商品录入!J141</f>
        <v>0</v>
      </c>
      <c r="K141" s="162">
        <f>商品录入!K141</f>
        <v>0</v>
      </c>
      <c r="L141" s="162">
        <f>商品录入!L141</f>
        <v>0</v>
      </c>
      <c r="M141" s="162">
        <f>商品录入!M141</f>
        <v>0</v>
      </c>
      <c r="N141" s="133">
        <f>商品录入!N141*$E141</f>
        <v>0</v>
      </c>
      <c r="O141" s="133">
        <f>商品录入!O141*$E141</f>
        <v>0</v>
      </c>
      <c r="P141" s="133">
        <f>商品录入!P141*$E141</f>
        <v>0</v>
      </c>
      <c r="Q141" s="133">
        <f>商品录入!Q141*$E141</f>
        <v>0</v>
      </c>
      <c r="R141" s="133">
        <f>商品录入!R141*$E141</f>
        <v>0</v>
      </c>
      <c r="S141" s="133">
        <f>商品录入!S141*$E141</f>
        <v>0</v>
      </c>
      <c r="T141" s="133">
        <f>商品录入!T141*$E141</f>
        <v>0</v>
      </c>
      <c r="U141" s="133">
        <f>商品录入!U141*$E141</f>
        <v>0</v>
      </c>
      <c r="V141" s="133">
        <f>商品录入!V141*$E141</f>
        <v>0</v>
      </c>
      <c r="W141" s="133">
        <f>商品录入!W141*$E141</f>
        <v>0</v>
      </c>
      <c r="X141" s="133">
        <f>商品录入!X141*$E141</f>
        <v>0</v>
      </c>
      <c r="Y141" s="133">
        <f>商品录入!Y141*$E141</f>
        <v>0</v>
      </c>
      <c r="Z141" s="133">
        <f>商品录入!Z141*$E141</f>
        <v>0</v>
      </c>
      <c r="AA141" s="133">
        <f>商品录入!AA141*$E141</f>
        <v>0</v>
      </c>
      <c r="AB141" s="133">
        <f>商品录入!AB141*$E141</f>
        <v>0</v>
      </c>
      <c r="AC141" s="133">
        <f>商品录入!AC141*$E141</f>
        <v>0</v>
      </c>
      <c r="AD141" s="133">
        <f>商品录入!AD141*$E141</f>
        <v>0</v>
      </c>
      <c r="AE141" s="133">
        <f>商品录入!AE141*$E141</f>
        <v>0</v>
      </c>
      <c r="AF141" s="133">
        <f>商品录入!AF141*$E141</f>
        <v>0</v>
      </c>
      <c r="AG141" s="133">
        <f>商品录入!AG141*$E141</f>
        <v>0</v>
      </c>
      <c r="AH141" s="133">
        <f>商品录入!AH141*$E141</f>
        <v>0</v>
      </c>
      <c r="AI141" s="133">
        <f>商品录入!AI141*$E141</f>
        <v>0</v>
      </c>
      <c r="AJ141" s="133">
        <f>商品录入!AJ141*$E141</f>
        <v>0</v>
      </c>
      <c r="AK141" s="133">
        <f>商品录入!AK141*$E141</f>
        <v>0</v>
      </c>
      <c r="AL141" s="133">
        <f>商品录入!AL141*$E141</f>
        <v>0</v>
      </c>
      <c r="AM141" s="133">
        <f>商品录入!AM141*$E141</f>
        <v>0</v>
      </c>
      <c r="AN141" s="133">
        <f>商品录入!AN141*$E141</f>
        <v>0</v>
      </c>
      <c r="AO141" s="133">
        <f>商品录入!AO141*$E141</f>
        <v>0</v>
      </c>
      <c r="AP141" s="133">
        <f>商品录入!AP141*$E141</f>
        <v>0</v>
      </c>
      <c r="AQ141" s="133">
        <f>商品录入!AQ141*$E141</f>
        <v>0</v>
      </c>
      <c r="AR141" s="133">
        <f>商品录入!AR141*$E141</f>
        <v>0</v>
      </c>
      <c r="AS141" s="133">
        <f>商品录入!AS141*$E141</f>
        <v>0</v>
      </c>
      <c r="AT141" s="133">
        <f>商品录入!AT141*$E141</f>
        <v>0</v>
      </c>
      <c r="AU141" s="133">
        <f>商品录入!AU141*$E141</f>
        <v>0</v>
      </c>
      <c r="AV141" s="133">
        <f>商品录入!AV141*$E141</f>
        <v>0</v>
      </c>
      <c r="AW141" s="133">
        <f>商品录入!AW141*$E141</f>
        <v>0</v>
      </c>
      <c r="AX141" s="133">
        <f>商品录入!AX141*$E141</f>
        <v>0</v>
      </c>
      <c r="AY141" s="133">
        <f>商品录入!AY141*$E141</f>
        <v>0</v>
      </c>
      <c r="AZ141" s="133">
        <f>商品录入!AZ141*$E141</f>
        <v>0</v>
      </c>
      <c r="BA141" s="133">
        <f>商品录入!BA141*$E141</f>
        <v>0</v>
      </c>
      <c r="BB141" s="133">
        <f>商品录入!BB141*$E141</f>
        <v>0</v>
      </c>
      <c r="BC141" s="133">
        <f>商品录入!BC141*$E141</f>
        <v>0</v>
      </c>
      <c r="BD141" s="133">
        <f>商品录入!BD141*$E141</f>
        <v>0</v>
      </c>
      <c r="BE141" s="133">
        <f>商品录入!BE141*$E141</f>
        <v>0</v>
      </c>
      <c r="BF141" s="133">
        <f>商品录入!BF141*$E141</f>
        <v>0</v>
      </c>
      <c r="BG141" s="133">
        <f>商品录入!BG141*$E141</f>
        <v>0</v>
      </c>
      <c r="BH141" s="133">
        <f>商品录入!BH141*$E141</f>
        <v>0</v>
      </c>
      <c r="BI141" s="133">
        <f>商品录入!BI141*$E141</f>
        <v>0</v>
      </c>
      <c r="BJ141" s="133">
        <f>商品录入!BJ141*$E141</f>
        <v>0</v>
      </c>
      <c r="BK141" s="133">
        <f>商品录入!BK141*$E141</f>
        <v>0</v>
      </c>
      <c r="BL141" s="133">
        <f>商品录入!BL141*$E141</f>
        <v>0</v>
      </c>
      <c r="BM141" s="133">
        <f>商品录入!BM141*$E141</f>
        <v>0</v>
      </c>
      <c r="BN141" s="133">
        <f>商品录入!BN141*$E141</f>
        <v>0</v>
      </c>
      <c r="BO141" s="133">
        <f>商品录入!BO141*$E141</f>
        <v>0</v>
      </c>
      <c r="BP141" s="133">
        <f>商品录入!BP141*$E141</f>
        <v>0</v>
      </c>
      <c r="BQ141" s="133">
        <f>商品录入!BQ141*$E141</f>
        <v>0</v>
      </c>
      <c r="BR141" s="133">
        <f>商品录入!BR141*$E141</f>
        <v>0</v>
      </c>
      <c r="BS141" s="133">
        <f>商品录入!BS141*$E141</f>
        <v>0</v>
      </c>
      <c r="BT141" s="133">
        <f>商品录入!BT141*$E141</f>
        <v>0</v>
      </c>
      <c r="BU141" s="133">
        <f>商品录入!BU141*$E141</f>
        <v>0</v>
      </c>
      <c r="BV141" s="133">
        <f>商品录入!BV141*$E141</f>
        <v>0</v>
      </c>
      <c r="BW141" s="133">
        <f>商品录入!BW141*$E141</f>
        <v>0</v>
      </c>
    </row>
    <row r="142" s="178" customFormat="1" customHeight="1" spans="1:75">
      <c r="A142" s="161">
        <v>138</v>
      </c>
      <c r="B142" s="162">
        <f>商品录入!B142</f>
        <v>0</v>
      </c>
      <c r="C142" s="162">
        <f>商品录入!C142</f>
        <v>0</v>
      </c>
      <c r="D142" s="162">
        <f>商品录入!D142</f>
        <v>0</v>
      </c>
      <c r="E142" s="162">
        <f>商品录入!E142</f>
        <v>0</v>
      </c>
      <c r="F142" s="162">
        <f>商品录入!F142</f>
        <v>0</v>
      </c>
      <c r="G142" s="162">
        <f>商品录入!G142</f>
        <v>0</v>
      </c>
      <c r="H142" s="162">
        <f>商品录入!H142</f>
        <v>0</v>
      </c>
      <c r="I142" s="162">
        <f>商品录入!I142</f>
        <v>0</v>
      </c>
      <c r="J142" s="162">
        <f>商品录入!J142</f>
        <v>0</v>
      </c>
      <c r="K142" s="162">
        <f>商品录入!K142</f>
        <v>0</v>
      </c>
      <c r="L142" s="162">
        <f>商品录入!L142</f>
        <v>0</v>
      </c>
      <c r="M142" s="162">
        <f>商品录入!M142</f>
        <v>0</v>
      </c>
      <c r="N142" s="133">
        <f>商品录入!N142*$E142</f>
        <v>0</v>
      </c>
      <c r="O142" s="133">
        <f>商品录入!O142*$E142</f>
        <v>0</v>
      </c>
      <c r="P142" s="133">
        <f>商品录入!P142*$E142</f>
        <v>0</v>
      </c>
      <c r="Q142" s="133">
        <f>商品录入!Q142*$E142</f>
        <v>0</v>
      </c>
      <c r="R142" s="133">
        <f>商品录入!R142*$E142</f>
        <v>0</v>
      </c>
      <c r="S142" s="133">
        <f>商品录入!S142*$E142</f>
        <v>0</v>
      </c>
      <c r="T142" s="133">
        <f>商品录入!T142*$E142</f>
        <v>0</v>
      </c>
      <c r="U142" s="133">
        <f>商品录入!U142*$E142</f>
        <v>0</v>
      </c>
      <c r="V142" s="133">
        <f>商品录入!V142*$E142</f>
        <v>0</v>
      </c>
      <c r="W142" s="133">
        <f>商品录入!W142*$E142</f>
        <v>0</v>
      </c>
      <c r="X142" s="133">
        <f>商品录入!X142*$E142</f>
        <v>0</v>
      </c>
      <c r="Y142" s="133">
        <f>商品录入!Y142*$E142</f>
        <v>0</v>
      </c>
      <c r="Z142" s="133">
        <f>商品录入!Z142*$E142</f>
        <v>0</v>
      </c>
      <c r="AA142" s="133">
        <f>商品录入!AA142*$E142</f>
        <v>0</v>
      </c>
      <c r="AB142" s="133">
        <f>商品录入!AB142*$E142</f>
        <v>0</v>
      </c>
      <c r="AC142" s="133">
        <f>商品录入!AC142*$E142</f>
        <v>0</v>
      </c>
      <c r="AD142" s="133">
        <f>商品录入!AD142*$E142</f>
        <v>0</v>
      </c>
      <c r="AE142" s="133">
        <f>商品录入!AE142*$E142</f>
        <v>0</v>
      </c>
      <c r="AF142" s="133">
        <f>商品录入!AF142*$E142</f>
        <v>0</v>
      </c>
      <c r="AG142" s="133">
        <f>商品录入!AG142*$E142</f>
        <v>0</v>
      </c>
      <c r="AH142" s="133">
        <f>商品录入!AH142*$E142</f>
        <v>0</v>
      </c>
      <c r="AI142" s="133">
        <f>商品录入!AI142*$E142</f>
        <v>0</v>
      </c>
      <c r="AJ142" s="133">
        <f>商品录入!AJ142*$E142</f>
        <v>0</v>
      </c>
      <c r="AK142" s="133">
        <f>商品录入!AK142*$E142</f>
        <v>0</v>
      </c>
      <c r="AL142" s="133">
        <f>商品录入!AL142*$E142</f>
        <v>0</v>
      </c>
      <c r="AM142" s="133">
        <f>商品录入!AM142*$E142</f>
        <v>0</v>
      </c>
      <c r="AN142" s="133">
        <f>商品录入!AN142*$E142</f>
        <v>0</v>
      </c>
      <c r="AO142" s="133">
        <f>商品录入!AO142*$E142</f>
        <v>0</v>
      </c>
      <c r="AP142" s="133">
        <f>商品录入!AP142*$E142</f>
        <v>0</v>
      </c>
      <c r="AQ142" s="133">
        <f>商品录入!AQ142*$E142</f>
        <v>0</v>
      </c>
      <c r="AR142" s="133">
        <f>商品录入!AR142*$E142</f>
        <v>0</v>
      </c>
      <c r="AS142" s="133">
        <f>商品录入!AS142*$E142</f>
        <v>0</v>
      </c>
      <c r="AT142" s="133">
        <f>商品录入!AT142*$E142</f>
        <v>0</v>
      </c>
      <c r="AU142" s="133">
        <f>商品录入!AU142*$E142</f>
        <v>0</v>
      </c>
      <c r="AV142" s="133">
        <f>商品录入!AV142*$E142</f>
        <v>0</v>
      </c>
      <c r="AW142" s="133">
        <f>商品录入!AW142*$E142</f>
        <v>0</v>
      </c>
      <c r="AX142" s="133">
        <f>商品录入!AX142*$E142</f>
        <v>0</v>
      </c>
      <c r="AY142" s="133">
        <f>商品录入!AY142*$E142</f>
        <v>0</v>
      </c>
      <c r="AZ142" s="133">
        <f>商品录入!AZ142*$E142</f>
        <v>0</v>
      </c>
      <c r="BA142" s="133">
        <f>商品录入!BA142*$E142</f>
        <v>0</v>
      </c>
      <c r="BB142" s="133">
        <f>商品录入!BB142*$E142</f>
        <v>0</v>
      </c>
      <c r="BC142" s="133">
        <f>商品录入!BC142*$E142</f>
        <v>0</v>
      </c>
      <c r="BD142" s="133">
        <f>商品录入!BD142*$E142</f>
        <v>0</v>
      </c>
      <c r="BE142" s="133">
        <f>商品录入!BE142*$E142</f>
        <v>0</v>
      </c>
      <c r="BF142" s="133">
        <f>商品录入!BF142*$E142</f>
        <v>0</v>
      </c>
      <c r="BG142" s="133">
        <f>商品录入!BG142*$E142</f>
        <v>0</v>
      </c>
      <c r="BH142" s="133">
        <f>商品录入!BH142*$E142</f>
        <v>0</v>
      </c>
      <c r="BI142" s="133">
        <f>商品录入!BI142*$E142</f>
        <v>0</v>
      </c>
      <c r="BJ142" s="133">
        <f>商品录入!BJ142*$E142</f>
        <v>0</v>
      </c>
      <c r="BK142" s="133">
        <f>商品录入!BK142*$E142</f>
        <v>0</v>
      </c>
      <c r="BL142" s="133">
        <f>商品录入!BL142*$E142</f>
        <v>0</v>
      </c>
      <c r="BM142" s="133">
        <f>商品录入!BM142*$E142</f>
        <v>0</v>
      </c>
      <c r="BN142" s="133">
        <f>商品录入!BN142*$E142</f>
        <v>0</v>
      </c>
      <c r="BO142" s="133">
        <f>商品录入!BO142*$E142</f>
        <v>0</v>
      </c>
      <c r="BP142" s="133">
        <f>商品录入!BP142*$E142</f>
        <v>0</v>
      </c>
      <c r="BQ142" s="133">
        <f>商品录入!BQ142*$E142</f>
        <v>0</v>
      </c>
      <c r="BR142" s="133">
        <f>商品录入!BR142*$E142</f>
        <v>0</v>
      </c>
      <c r="BS142" s="133">
        <f>商品录入!BS142*$E142</f>
        <v>0</v>
      </c>
      <c r="BT142" s="133">
        <f>商品录入!BT142*$E142</f>
        <v>0</v>
      </c>
      <c r="BU142" s="133">
        <f>商品录入!BU142*$E142</f>
        <v>0</v>
      </c>
      <c r="BV142" s="133">
        <f>商品录入!BV142*$E142</f>
        <v>0</v>
      </c>
      <c r="BW142" s="133">
        <f>商品录入!BW142*$E142</f>
        <v>0</v>
      </c>
    </row>
    <row r="143" s="178" customFormat="1" customHeight="1" spans="1:75">
      <c r="A143" s="161">
        <v>139</v>
      </c>
      <c r="B143" s="162">
        <f>商品录入!B143</f>
        <v>0</v>
      </c>
      <c r="C143" s="162">
        <f>商品录入!C143</f>
        <v>0</v>
      </c>
      <c r="D143" s="162">
        <f>商品录入!D143</f>
        <v>0</v>
      </c>
      <c r="E143" s="162">
        <f>商品录入!E143</f>
        <v>0</v>
      </c>
      <c r="F143" s="162">
        <f>商品录入!F143</f>
        <v>0</v>
      </c>
      <c r="G143" s="162">
        <f>商品录入!G143</f>
        <v>0</v>
      </c>
      <c r="H143" s="162">
        <f>商品录入!H143</f>
        <v>0</v>
      </c>
      <c r="I143" s="162">
        <f>商品录入!I143</f>
        <v>0</v>
      </c>
      <c r="J143" s="162">
        <f>商品录入!J143</f>
        <v>0</v>
      </c>
      <c r="K143" s="162">
        <f>商品录入!K143</f>
        <v>0</v>
      </c>
      <c r="L143" s="162">
        <f>商品录入!L143</f>
        <v>0</v>
      </c>
      <c r="M143" s="162">
        <f>商品录入!M143</f>
        <v>0</v>
      </c>
      <c r="N143" s="133">
        <f>商品录入!N143*$E143</f>
        <v>0</v>
      </c>
      <c r="O143" s="133">
        <f>商品录入!O143*$E143</f>
        <v>0</v>
      </c>
      <c r="P143" s="133">
        <f>商品录入!P143*$E143</f>
        <v>0</v>
      </c>
      <c r="Q143" s="133">
        <f>商品录入!Q143*$E143</f>
        <v>0</v>
      </c>
      <c r="R143" s="133">
        <f>商品录入!R143*$E143</f>
        <v>0</v>
      </c>
      <c r="S143" s="133">
        <f>商品录入!S143*$E143</f>
        <v>0</v>
      </c>
      <c r="T143" s="133">
        <f>商品录入!T143*$E143</f>
        <v>0</v>
      </c>
      <c r="U143" s="133">
        <f>商品录入!U143*$E143</f>
        <v>0</v>
      </c>
      <c r="V143" s="133">
        <f>商品录入!V143*$E143</f>
        <v>0</v>
      </c>
      <c r="W143" s="133">
        <f>商品录入!W143*$E143</f>
        <v>0</v>
      </c>
      <c r="X143" s="133">
        <f>商品录入!X143*$E143</f>
        <v>0</v>
      </c>
      <c r="Y143" s="133">
        <f>商品录入!Y143*$E143</f>
        <v>0</v>
      </c>
      <c r="Z143" s="133">
        <f>商品录入!Z143*$E143</f>
        <v>0</v>
      </c>
      <c r="AA143" s="133">
        <f>商品录入!AA143*$E143</f>
        <v>0</v>
      </c>
      <c r="AB143" s="133">
        <f>商品录入!AB143*$E143</f>
        <v>0</v>
      </c>
      <c r="AC143" s="133">
        <f>商品录入!AC143*$E143</f>
        <v>0</v>
      </c>
      <c r="AD143" s="133">
        <f>商品录入!AD143*$E143</f>
        <v>0</v>
      </c>
      <c r="AE143" s="133">
        <f>商品录入!AE143*$E143</f>
        <v>0</v>
      </c>
      <c r="AF143" s="133">
        <f>商品录入!AF143*$E143</f>
        <v>0</v>
      </c>
      <c r="AG143" s="133">
        <f>商品录入!AG143*$E143</f>
        <v>0</v>
      </c>
      <c r="AH143" s="133">
        <f>商品录入!AH143*$E143</f>
        <v>0</v>
      </c>
      <c r="AI143" s="133">
        <f>商品录入!AI143*$E143</f>
        <v>0</v>
      </c>
      <c r="AJ143" s="133">
        <f>商品录入!AJ143*$E143</f>
        <v>0</v>
      </c>
      <c r="AK143" s="133">
        <f>商品录入!AK143*$E143</f>
        <v>0</v>
      </c>
      <c r="AL143" s="133">
        <f>商品录入!AL143*$E143</f>
        <v>0</v>
      </c>
      <c r="AM143" s="133">
        <f>商品录入!AM143*$E143</f>
        <v>0</v>
      </c>
      <c r="AN143" s="133">
        <f>商品录入!AN143*$E143</f>
        <v>0</v>
      </c>
      <c r="AO143" s="133">
        <f>商品录入!AO143*$E143</f>
        <v>0</v>
      </c>
      <c r="AP143" s="133">
        <f>商品录入!AP143*$E143</f>
        <v>0</v>
      </c>
      <c r="AQ143" s="133">
        <f>商品录入!AQ143*$E143</f>
        <v>0</v>
      </c>
      <c r="AR143" s="133">
        <f>商品录入!AR143*$E143</f>
        <v>0</v>
      </c>
      <c r="AS143" s="133">
        <f>商品录入!AS143*$E143</f>
        <v>0</v>
      </c>
      <c r="AT143" s="133">
        <f>商品录入!AT143*$E143</f>
        <v>0</v>
      </c>
      <c r="AU143" s="133">
        <f>商品录入!AU143*$E143</f>
        <v>0</v>
      </c>
      <c r="AV143" s="133">
        <f>商品录入!AV143*$E143</f>
        <v>0</v>
      </c>
      <c r="AW143" s="133">
        <f>商品录入!AW143*$E143</f>
        <v>0</v>
      </c>
      <c r="AX143" s="133">
        <f>商品录入!AX143*$E143</f>
        <v>0</v>
      </c>
      <c r="AY143" s="133">
        <f>商品录入!AY143*$E143</f>
        <v>0</v>
      </c>
      <c r="AZ143" s="133">
        <f>商品录入!AZ143*$E143</f>
        <v>0</v>
      </c>
      <c r="BA143" s="133">
        <f>商品录入!BA143*$E143</f>
        <v>0</v>
      </c>
      <c r="BB143" s="133">
        <f>商品录入!BB143*$E143</f>
        <v>0</v>
      </c>
      <c r="BC143" s="133">
        <f>商品录入!BC143*$E143</f>
        <v>0</v>
      </c>
      <c r="BD143" s="133">
        <f>商品录入!BD143*$E143</f>
        <v>0</v>
      </c>
      <c r="BE143" s="133">
        <f>商品录入!BE143*$E143</f>
        <v>0</v>
      </c>
      <c r="BF143" s="133">
        <f>商品录入!BF143*$E143</f>
        <v>0</v>
      </c>
      <c r="BG143" s="133">
        <f>商品录入!BG143*$E143</f>
        <v>0</v>
      </c>
      <c r="BH143" s="133">
        <f>商品录入!BH143*$E143</f>
        <v>0</v>
      </c>
      <c r="BI143" s="133">
        <f>商品录入!BI143*$E143</f>
        <v>0</v>
      </c>
      <c r="BJ143" s="133">
        <f>商品录入!BJ143*$E143</f>
        <v>0</v>
      </c>
      <c r="BK143" s="133">
        <f>商品录入!BK143*$E143</f>
        <v>0</v>
      </c>
      <c r="BL143" s="133">
        <f>商品录入!BL143*$E143</f>
        <v>0</v>
      </c>
      <c r="BM143" s="133">
        <f>商品录入!BM143*$E143</f>
        <v>0</v>
      </c>
      <c r="BN143" s="133">
        <f>商品录入!BN143*$E143</f>
        <v>0</v>
      </c>
      <c r="BO143" s="133">
        <f>商品录入!BO143*$E143</f>
        <v>0</v>
      </c>
      <c r="BP143" s="133">
        <f>商品录入!BP143*$E143</f>
        <v>0</v>
      </c>
      <c r="BQ143" s="133">
        <f>商品录入!BQ143*$E143</f>
        <v>0</v>
      </c>
      <c r="BR143" s="133">
        <f>商品录入!BR143*$E143</f>
        <v>0</v>
      </c>
      <c r="BS143" s="133">
        <f>商品录入!BS143*$E143</f>
        <v>0</v>
      </c>
      <c r="BT143" s="133">
        <f>商品录入!BT143*$E143</f>
        <v>0</v>
      </c>
      <c r="BU143" s="133">
        <f>商品录入!BU143*$E143</f>
        <v>0</v>
      </c>
      <c r="BV143" s="133">
        <f>商品录入!BV143*$E143</f>
        <v>0</v>
      </c>
      <c r="BW143" s="133">
        <f>商品录入!BW143*$E143</f>
        <v>0</v>
      </c>
    </row>
    <row r="144" s="178" customFormat="1" customHeight="1" spans="1:75">
      <c r="A144" s="161">
        <v>140</v>
      </c>
      <c r="B144" s="162">
        <f>商品录入!B144</f>
        <v>0</v>
      </c>
      <c r="C144" s="162">
        <f>商品录入!C144</f>
        <v>0</v>
      </c>
      <c r="D144" s="162">
        <f>商品录入!D144</f>
        <v>0</v>
      </c>
      <c r="E144" s="162">
        <f>商品录入!E144</f>
        <v>0</v>
      </c>
      <c r="F144" s="162">
        <f>商品录入!F144</f>
        <v>0</v>
      </c>
      <c r="G144" s="162">
        <f>商品录入!G144</f>
        <v>0</v>
      </c>
      <c r="H144" s="162">
        <f>商品录入!H144</f>
        <v>0</v>
      </c>
      <c r="I144" s="162">
        <f>商品录入!I144</f>
        <v>0</v>
      </c>
      <c r="J144" s="162">
        <f>商品录入!J144</f>
        <v>0</v>
      </c>
      <c r="K144" s="162">
        <f>商品录入!K144</f>
        <v>0</v>
      </c>
      <c r="L144" s="162">
        <f>商品录入!L144</f>
        <v>0</v>
      </c>
      <c r="M144" s="162">
        <f>商品录入!M144</f>
        <v>0</v>
      </c>
      <c r="N144" s="133">
        <f>商品录入!N144*$E144</f>
        <v>0</v>
      </c>
      <c r="O144" s="133">
        <f>商品录入!O144*$E144</f>
        <v>0</v>
      </c>
      <c r="P144" s="133">
        <f>商品录入!P144*$E144</f>
        <v>0</v>
      </c>
      <c r="Q144" s="133">
        <f>商品录入!Q144*$E144</f>
        <v>0</v>
      </c>
      <c r="R144" s="133">
        <f>商品录入!R144*$E144</f>
        <v>0</v>
      </c>
      <c r="S144" s="133">
        <f>商品录入!S144*$E144</f>
        <v>0</v>
      </c>
      <c r="T144" s="133">
        <f>商品录入!T144*$E144</f>
        <v>0</v>
      </c>
      <c r="U144" s="133">
        <f>商品录入!U144*$E144</f>
        <v>0</v>
      </c>
      <c r="V144" s="133">
        <f>商品录入!V144*$E144</f>
        <v>0</v>
      </c>
      <c r="W144" s="133">
        <f>商品录入!W144*$E144</f>
        <v>0</v>
      </c>
      <c r="X144" s="133">
        <f>商品录入!X144*$E144</f>
        <v>0</v>
      </c>
      <c r="Y144" s="133">
        <f>商品录入!Y144*$E144</f>
        <v>0</v>
      </c>
      <c r="Z144" s="133">
        <f>商品录入!Z144*$E144</f>
        <v>0</v>
      </c>
      <c r="AA144" s="133">
        <f>商品录入!AA144*$E144</f>
        <v>0</v>
      </c>
      <c r="AB144" s="133">
        <f>商品录入!AB144*$E144</f>
        <v>0</v>
      </c>
      <c r="AC144" s="133">
        <f>商品录入!AC144*$E144</f>
        <v>0</v>
      </c>
      <c r="AD144" s="133">
        <f>商品录入!AD144*$E144</f>
        <v>0</v>
      </c>
      <c r="AE144" s="133">
        <f>商品录入!AE144*$E144</f>
        <v>0</v>
      </c>
      <c r="AF144" s="133">
        <f>商品录入!AF144*$E144</f>
        <v>0</v>
      </c>
      <c r="AG144" s="133">
        <f>商品录入!AG144*$E144</f>
        <v>0</v>
      </c>
      <c r="AH144" s="133">
        <f>商品录入!AH144*$E144</f>
        <v>0</v>
      </c>
      <c r="AI144" s="133">
        <f>商品录入!AI144*$E144</f>
        <v>0</v>
      </c>
      <c r="AJ144" s="133">
        <f>商品录入!AJ144*$E144</f>
        <v>0</v>
      </c>
      <c r="AK144" s="133">
        <f>商品录入!AK144*$E144</f>
        <v>0</v>
      </c>
      <c r="AL144" s="133">
        <f>商品录入!AL144*$E144</f>
        <v>0</v>
      </c>
      <c r="AM144" s="133">
        <f>商品录入!AM144*$E144</f>
        <v>0</v>
      </c>
      <c r="AN144" s="133">
        <f>商品录入!AN144*$E144</f>
        <v>0</v>
      </c>
      <c r="AO144" s="133">
        <f>商品录入!AO144*$E144</f>
        <v>0</v>
      </c>
      <c r="AP144" s="133">
        <f>商品录入!AP144*$E144</f>
        <v>0</v>
      </c>
      <c r="AQ144" s="133">
        <f>商品录入!AQ144*$E144</f>
        <v>0</v>
      </c>
      <c r="AR144" s="133">
        <f>商品录入!AR144*$E144</f>
        <v>0</v>
      </c>
      <c r="AS144" s="133">
        <f>商品录入!AS144*$E144</f>
        <v>0</v>
      </c>
      <c r="AT144" s="133">
        <f>商品录入!AT144*$E144</f>
        <v>0</v>
      </c>
      <c r="AU144" s="133">
        <f>商品录入!AU144*$E144</f>
        <v>0</v>
      </c>
      <c r="AV144" s="133">
        <f>商品录入!AV144*$E144</f>
        <v>0</v>
      </c>
      <c r="AW144" s="133">
        <f>商品录入!AW144*$E144</f>
        <v>0</v>
      </c>
      <c r="AX144" s="133">
        <f>商品录入!AX144*$E144</f>
        <v>0</v>
      </c>
      <c r="AY144" s="133">
        <f>商品录入!AY144*$E144</f>
        <v>0</v>
      </c>
      <c r="AZ144" s="133">
        <f>商品录入!AZ144*$E144</f>
        <v>0</v>
      </c>
      <c r="BA144" s="133">
        <f>商品录入!BA144*$E144</f>
        <v>0</v>
      </c>
      <c r="BB144" s="133">
        <f>商品录入!BB144*$E144</f>
        <v>0</v>
      </c>
      <c r="BC144" s="133">
        <f>商品录入!BC144*$E144</f>
        <v>0</v>
      </c>
      <c r="BD144" s="133">
        <f>商品录入!BD144*$E144</f>
        <v>0</v>
      </c>
      <c r="BE144" s="133">
        <f>商品录入!BE144*$E144</f>
        <v>0</v>
      </c>
      <c r="BF144" s="133">
        <f>商品录入!BF144*$E144</f>
        <v>0</v>
      </c>
      <c r="BG144" s="133">
        <f>商品录入!BG144*$E144</f>
        <v>0</v>
      </c>
      <c r="BH144" s="133">
        <f>商品录入!BH144*$E144</f>
        <v>0</v>
      </c>
      <c r="BI144" s="133">
        <f>商品录入!BI144*$E144</f>
        <v>0</v>
      </c>
      <c r="BJ144" s="133">
        <f>商品录入!BJ144*$E144</f>
        <v>0</v>
      </c>
      <c r="BK144" s="133">
        <f>商品录入!BK144*$E144</f>
        <v>0</v>
      </c>
      <c r="BL144" s="133">
        <f>商品录入!BL144*$E144</f>
        <v>0</v>
      </c>
      <c r="BM144" s="133">
        <f>商品录入!BM144*$E144</f>
        <v>0</v>
      </c>
      <c r="BN144" s="133">
        <f>商品录入!BN144*$E144</f>
        <v>0</v>
      </c>
      <c r="BO144" s="133">
        <f>商品录入!BO144*$E144</f>
        <v>0</v>
      </c>
      <c r="BP144" s="133">
        <f>商品录入!BP144*$E144</f>
        <v>0</v>
      </c>
      <c r="BQ144" s="133">
        <f>商品录入!BQ144*$E144</f>
        <v>0</v>
      </c>
      <c r="BR144" s="133">
        <f>商品录入!BR144*$E144</f>
        <v>0</v>
      </c>
      <c r="BS144" s="133">
        <f>商品录入!BS144*$E144</f>
        <v>0</v>
      </c>
      <c r="BT144" s="133">
        <f>商品录入!BT144*$E144</f>
        <v>0</v>
      </c>
      <c r="BU144" s="133">
        <f>商品录入!BU144*$E144</f>
        <v>0</v>
      </c>
      <c r="BV144" s="133">
        <f>商品录入!BV144*$E144</f>
        <v>0</v>
      </c>
      <c r="BW144" s="133">
        <f>商品录入!BW144*$E144</f>
        <v>0</v>
      </c>
    </row>
    <row r="145" customHeight="1" spans="1:75">
      <c r="A145" s="162"/>
      <c r="B145" s="162" t="str">
        <f>商品录入!B145</f>
        <v>小商品成本</v>
      </c>
      <c r="C145" s="162"/>
      <c r="D145" s="162"/>
      <c r="E145" s="162"/>
      <c r="F145" s="162">
        <f t="shared" ref="F145:M145" si="0">SUM(F5:F144)</f>
        <v>0</v>
      </c>
      <c r="G145" s="162">
        <f t="shared" si="0"/>
        <v>0</v>
      </c>
      <c r="H145" s="162">
        <f t="shared" si="0"/>
        <v>159</v>
      </c>
      <c r="I145" s="162">
        <f t="shared" si="0"/>
        <v>5579.2</v>
      </c>
      <c r="J145" s="162">
        <f t="shared" si="0"/>
        <v>4</v>
      </c>
      <c r="K145" s="162">
        <f t="shared" si="0"/>
        <v>205.9</v>
      </c>
      <c r="L145" s="162">
        <f t="shared" si="0"/>
        <v>155</v>
      </c>
      <c r="M145" s="162">
        <f t="shared" si="0"/>
        <v>5373.3</v>
      </c>
      <c r="N145" s="133">
        <f>商品录入!N145*$E145</f>
        <v>0</v>
      </c>
      <c r="O145" s="133">
        <f>商品录入!O145*$E145</f>
        <v>0</v>
      </c>
      <c r="P145" s="133">
        <f>商品录入!P145*$E145</f>
        <v>0</v>
      </c>
      <c r="Q145" s="133">
        <f>商品录入!Q145*$E145</f>
        <v>0</v>
      </c>
      <c r="R145" s="133">
        <f>商品录入!R145*$E145</f>
        <v>0</v>
      </c>
      <c r="S145" s="133">
        <f>商品录入!S145*$E145</f>
        <v>0</v>
      </c>
      <c r="T145" s="133">
        <f>商品录入!T145*$E145</f>
        <v>0</v>
      </c>
      <c r="U145" s="133">
        <f>商品录入!U145*$E145</f>
        <v>0</v>
      </c>
      <c r="V145" s="133">
        <f>商品录入!V145*$E145</f>
        <v>0</v>
      </c>
      <c r="W145" s="133">
        <f>商品录入!W145*$E145</f>
        <v>0</v>
      </c>
      <c r="X145" s="133">
        <f>商品录入!X145*$E145</f>
        <v>0</v>
      </c>
      <c r="Y145" s="133">
        <f>商品录入!Y145*$E145</f>
        <v>0</v>
      </c>
      <c r="Z145" s="133">
        <f>商品录入!Z145*$E145</f>
        <v>0</v>
      </c>
      <c r="AA145" s="133">
        <f>商品录入!AA145*$E145</f>
        <v>0</v>
      </c>
      <c r="AB145" s="133">
        <f>商品录入!AB145*$E145</f>
        <v>0</v>
      </c>
      <c r="AC145" s="133">
        <f>商品录入!AC145*$E145</f>
        <v>0</v>
      </c>
      <c r="AD145" s="133">
        <f>商品录入!AD145*$E145</f>
        <v>0</v>
      </c>
      <c r="AE145" s="133">
        <f>商品录入!AE145*$E145</f>
        <v>0</v>
      </c>
      <c r="AF145" s="133">
        <f>商品录入!AF145*$E145</f>
        <v>0</v>
      </c>
      <c r="AG145" s="133">
        <f>商品录入!AG145*$E145</f>
        <v>0</v>
      </c>
      <c r="AH145" s="133">
        <f>商品录入!AH145*$E145</f>
        <v>0</v>
      </c>
      <c r="AI145" s="133">
        <f>商品录入!AI145*$E145</f>
        <v>0</v>
      </c>
      <c r="AJ145" s="133">
        <f>商品录入!AJ145*$E145</f>
        <v>0</v>
      </c>
      <c r="AK145" s="133">
        <f>商品录入!AK145*$E145</f>
        <v>0</v>
      </c>
      <c r="AL145" s="133">
        <f>商品录入!AL145*$E145</f>
        <v>0</v>
      </c>
      <c r="AM145" s="133">
        <f>商品录入!AM145*$E145</f>
        <v>0</v>
      </c>
      <c r="AN145" s="133">
        <f>商品录入!AN145*$E145</f>
        <v>0</v>
      </c>
      <c r="AO145" s="133">
        <f>商品录入!AO145*$E145</f>
        <v>0</v>
      </c>
      <c r="AP145" s="133">
        <f>商品录入!AP145*$E145</f>
        <v>0</v>
      </c>
      <c r="AQ145" s="133">
        <f>商品录入!AQ145*$E145</f>
        <v>0</v>
      </c>
      <c r="AR145" s="133">
        <f>商品录入!AR145*$E145</f>
        <v>0</v>
      </c>
      <c r="AS145" s="133">
        <f>商品录入!AS145*$E145</f>
        <v>0</v>
      </c>
      <c r="AT145" s="133">
        <f>商品录入!AT145*$E145</f>
        <v>0</v>
      </c>
      <c r="AU145" s="133">
        <f>商品录入!AU145*$E145</f>
        <v>0</v>
      </c>
      <c r="AV145" s="133">
        <f>商品录入!AV145*$E145</f>
        <v>0</v>
      </c>
      <c r="AW145" s="133">
        <f>商品录入!AW145*$E145</f>
        <v>0</v>
      </c>
      <c r="AX145" s="133">
        <f>商品录入!AX145*$E145</f>
        <v>0</v>
      </c>
      <c r="AY145" s="133">
        <f>商品录入!AY145*$E145</f>
        <v>0</v>
      </c>
      <c r="AZ145" s="133">
        <f>商品录入!AZ145*$E145</f>
        <v>0</v>
      </c>
      <c r="BA145" s="133">
        <f>商品录入!BA145*$E145</f>
        <v>0</v>
      </c>
      <c r="BB145" s="133">
        <f>商品录入!BB145*$E145</f>
        <v>0</v>
      </c>
      <c r="BC145" s="133">
        <f>商品录入!BC145*$E145</f>
        <v>0</v>
      </c>
      <c r="BD145" s="133">
        <f>商品录入!BD145*$E145</f>
        <v>0</v>
      </c>
      <c r="BE145" s="133">
        <f>商品录入!BE145*$E145</f>
        <v>0</v>
      </c>
      <c r="BF145" s="133">
        <f>商品录入!BF145*$E145</f>
        <v>0</v>
      </c>
      <c r="BG145" s="133">
        <f>商品录入!BG145*$E145</f>
        <v>0</v>
      </c>
      <c r="BH145" s="133">
        <f>商品录入!BH145*$E145</f>
        <v>0</v>
      </c>
      <c r="BI145" s="133">
        <f>商品录入!BI145*$E145</f>
        <v>0</v>
      </c>
      <c r="BJ145" s="133">
        <f>商品录入!BJ145*$E145</f>
        <v>0</v>
      </c>
      <c r="BK145" s="133">
        <f>商品录入!BK145*$E145</f>
        <v>0</v>
      </c>
      <c r="BL145" s="133">
        <f>商品录入!BL145*$E145</f>
        <v>0</v>
      </c>
      <c r="BM145" s="133">
        <f>商品录入!BM145*$E145</f>
        <v>0</v>
      </c>
      <c r="BN145" s="133">
        <f>商品录入!BN145*$E145</f>
        <v>0</v>
      </c>
      <c r="BO145" s="133">
        <f>商品录入!BO145*$E145</f>
        <v>0</v>
      </c>
      <c r="BP145" s="133">
        <f>商品录入!BP145*$E145</f>
        <v>0</v>
      </c>
      <c r="BQ145" s="133">
        <f>商品录入!BQ145*$E145</f>
        <v>0</v>
      </c>
      <c r="BR145" s="133">
        <f>商品录入!BR145*$E145</f>
        <v>0</v>
      </c>
      <c r="BS145" s="133">
        <f>商品录入!BS145*$E145</f>
        <v>0</v>
      </c>
      <c r="BT145" s="133">
        <f>商品录入!BT145*$E145</f>
        <v>0</v>
      </c>
      <c r="BU145" s="133">
        <f>商品录入!BU145*$E145</f>
        <v>0</v>
      </c>
      <c r="BV145" s="133">
        <f>商品录入!BV145*$E145</f>
        <v>0</v>
      </c>
      <c r="BW145" s="133">
        <f>商品录入!BW145*$E145</f>
        <v>0</v>
      </c>
    </row>
  </sheetData>
  <sheetProtection formatCells="0" formatColumns="0" formatRows="0" insertRows="0" insertColumns="0" insertHyperlinks="0" deleteColumns="0" deleteRows="0" sort="0" autoFilter="0" pivotTables="0"/>
  <mergeCells count="45">
    <mergeCell ref="B1:G1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200"/>
  <sheetViews>
    <sheetView workbookViewId="0">
      <selection activeCell="A1" sqref="A1"/>
    </sheetView>
  </sheetViews>
  <sheetFormatPr defaultColWidth="8.275" defaultRowHeight="20" customHeight="1"/>
  <cols>
    <col min="1" max="2" width="8.275" style="132" customWidth="1"/>
    <col min="3" max="3" width="9.36666666666667" style="132" customWidth="1"/>
    <col min="4" max="25" width="8.275" style="132" customWidth="1"/>
    <col min="26" max="26" width="11.8166666666667" style="132" customWidth="1"/>
    <col min="27" max="42" width="8.275" style="132" customWidth="1"/>
  </cols>
  <sheetData>
    <row r="1" ht="27" customHeight="1" spans="1:42">
      <c r="A1" s="133" t="s">
        <v>76</v>
      </c>
      <c r="B1" s="133" t="s">
        <v>77</v>
      </c>
      <c r="C1" s="133" t="s">
        <v>78</v>
      </c>
      <c r="D1" s="133" t="s">
        <v>79</v>
      </c>
      <c r="E1" s="133" t="s">
        <v>80</v>
      </c>
      <c r="F1" s="133" t="s">
        <v>81</v>
      </c>
      <c r="G1" s="133" t="s">
        <v>82</v>
      </c>
      <c r="H1" s="133" t="s">
        <v>83</v>
      </c>
      <c r="I1" s="133" t="s">
        <v>84</v>
      </c>
      <c r="J1" s="133" t="s">
        <v>85</v>
      </c>
      <c r="K1" s="134" t="s">
        <v>86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5" t="s">
        <v>23</v>
      </c>
      <c r="AA1" s="15" t="s">
        <v>24</v>
      </c>
      <c r="AB1" s="15" t="s">
        <v>25</v>
      </c>
      <c r="AC1" s="15" t="s">
        <v>26</v>
      </c>
      <c r="AD1" s="15" t="s">
        <v>27</v>
      </c>
      <c r="AE1" s="15" t="s">
        <v>28</v>
      </c>
      <c r="AF1" s="15" t="s">
        <v>29</v>
      </c>
      <c r="AG1" s="15" t="s">
        <v>30</v>
      </c>
      <c r="AH1" s="15" t="s">
        <v>31</v>
      </c>
      <c r="AI1" s="15" t="s">
        <v>32</v>
      </c>
      <c r="AJ1" s="15" t="s">
        <v>33</v>
      </c>
      <c r="AK1" s="15" t="s">
        <v>34</v>
      </c>
      <c r="AL1" s="15" t="s">
        <v>35</v>
      </c>
      <c r="AM1" s="15" t="s">
        <v>36</v>
      </c>
      <c r="AN1" s="15" t="s">
        <v>37</v>
      </c>
      <c r="AO1" s="15" t="s">
        <v>38</v>
      </c>
      <c r="AP1" s="15" t="s">
        <v>39</v>
      </c>
    </row>
    <row r="2" customHeight="1" spans="1:42">
      <c r="A2" s="40" t="str">
        <f>前台工资录入!A2</f>
        <v>李龙梅</v>
      </c>
      <c r="B2" s="40" t="str">
        <f>前台工资录入!B2</f>
        <v>前厅</v>
      </c>
      <c r="C2" s="40" t="str">
        <f>前台工资录入!C2</f>
        <v>前台</v>
      </c>
      <c r="D2" s="40" t="str">
        <f>前台工资录入!D2</f>
        <v>是</v>
      </c>
      <c r="E2" s="40">
        <f>前台工资录入!E2</f>
        <v>0</v>
      </c>
      <c r="F2" s="40">
        <f>前台工资录入!F2</f>
        <v>0</v>
      </c>
      <c r="G2" s="40">
        <f>前台工资录入!G2</f>
        <v>4500</v>
      </c>
      <c r="H2" s="40">
        <f>前台工资录入!H2</f>
        <v>4050</v>
      </c>
      <c r="I2" s="40">
        <f>前台工资录入!I2</f>
        <v>0</v>
      </c>
      <c r="J2" s="40">
        <f>前台工资录入!J2</f>
        <v>450</v>
      </c>
      <c r="K2" s="40">
        <f>前台工资录入!K2</f>
        <v>25</v>
      </c>
      <c r="L2" s="203">
        <f t="shared" ref="L2:AM2" si="0">IFERROR($G2/$K$2,0)</f>
        <v>180</v>
      </c>
      <c r="M2" s="203">
        <f t="shared" si="0"/>
        <v>180</v>
      </c>
      <c r="N2" s="203">
        <f t="shared" si="0"/>
        <v>180</v>
      </c>
      <c r="O2" s="203">
        <f t="shared" si="0"/>
        <v>180</v>
      </c>
      <c r="P2" s="203">
        <f t="shared" si="0"/>
        <v>180</v>
      </c>
      <c r="Q2" s="203">
        <f t="shared" si="0"/>
        <v>180</v>
      </c>
      <c r="R2" s="203">
        <f t="shared" si="0"/>
        <v>180</v>
      </c>
      <c r="S2" s="203">
        <f t="shared" si="0"/>
        <v>180</v>
      </c>
      <c r="T2" s="203">
        <f t="shared" si="0"/>
        <v>180</v>
      </c>
      <c r="U2" s="203">
        <f t="shared" si="0"/>
        <v>180</v>
      </c>
      <c r="V2" s="203">
        <f t="shared" si="0"/>
        <v>180</v>
      </c>
      <c r="W2" s="203">
        <f t="shared" si="0"/>
        <v>180</v>
      </c>
      <c r="X2" s="203">
        <f t="shared" si="0"/>
        <v>180</v>
      </c>
      <c r="Y2" s="203">
        <f t="shared" si="0"/>
        <v>180</v>
      </c>
      <c r="Z2" s="203">
        <f t="shared" si="0"/>
        <v>180</v>
      </c>
      <c r="AA2" s="203">
        <f t="shared" si="0"/>
        <v>180</v>
      </c>
      <c r="AB2" s="203">
        <f t="shared" si="0"/>
        <v>180</v>
      </c>
      <c r="AC2" s="203">
        <f t="shared" si="0"/>
        <v>180</v>
      </c>
      <c r="AD2" s="203">
        <f t="shared" si="0"/>
        <v>180</v>
      </c>
      <c r="AE2" s="203">
        <f t="shared" si="0"/>
        <v>180</v>
      </c>
      <c r="AF2" s="203">
        <f t="shared" si="0"/>
        <v>180</v>
      </c>
      <c r="AG2" s="203">
        <f t="shared" si="0"/>
        <v>180</v>
      </c>
      <c r="AH2" s="203">
        <f t="shared" si="0"/>
        <v>180</v>
      </c>
      <c r="AI2" s="203">
        <f t="shared" si="0"/>
        <v>180</v>
      </c>
      <c r="AJ2" s="203">
        <f t="shared" si="0"/>
        <v>180</v>
      </c>
      <c r="AK2" s="203">
        <f t="shared" si="0"/>
        <v>180</v>
      </c>
      <c r="AL2" s="203">
        <f t="shared" si="0"/>
        <v>180</v>
      </c>
      <c r="AM2" s="203">
        <f t="shared" si="0"/>
        <v>180</v>
      </c>
      <c r="AN2" s="203">
        <f t="shared" ref="AN2:AN15" si="1">IFERROR(IF($K2&gt;=30,G2/$K2,0),0)</f>
        <v>0</v>
      </c>
      <c r="AO2" s="203">
        <f t="shared" ref="AO2:AO15" si="2">IFERROR(IF($K2&gt;=30,G2/$K2,0),0)</f>
        <v>0</v>
      </c>
      <c r="AP2" s="203">
        <f t="shared" ref="AP2:AP15" si="3">IFERROR(IF($K2&gt;=31,G2/$K2,0),0)</f>
        <v>0</v>
      </c>
    </row>
    <row r="3" customHeight="1" spans="1:42">
      <c r="A3" s="40" t="str">
        <f>前台工资录入!A3</f>
        <v>于子杭</v>
      </c>
      <c r="B3" s="40" t="str">
        <f>前台工资录入!B3</f>
        <v>前厅</v>
      </c>
      <c r="C3" s="40" t="str">
        <f>前台工资录入!C3</f>
        <v>前厅领班</v>
      </c>
      <c r="D3" s="40" t="str">
        <f>前台工资录入!D3</f>
        <v>是</v>
      </c>
      <c r="E3" s="40">
        <f>前台工资录入!E3</f>
        <v>0</v>
      </c>
      <c r="F3" s="40">
        <f>前台工资录入!F3</f>
        <v>0</v>
      </c>
      <c r="G3" s="40">
        <f>前台工资录入!G3</f>
        <v>4500</v>
      </c>
      <c r="H3" s="40">
        <f>前台工资录入!H3</f>
        <v>4050</v>
      </c>
      <c r="I3" s="40">
        <f>前台工资录入!I3</f>
        <v>0</v>
      </c>
      <c r="J3" s="40">
        <f>前台工资录入!J3</f>
        <v>450</v>
      </c>
      <c r="K3" s="40">
        <f>前台工资录入!K3</f>
        <v>25</v>
      </c>
      <c r="L3" s="203">
        <f t="shared" ref="L3:AM3" si="4">IFERROR($G3/$K$2,0)</f>
        <v>180</v>
      </c>
      <c r="M3" s="203">
        <f t="shared" si="4"/>
        <v>180</v>
      </c>
      <c r="N3" s="203">
        <f t="shared" si="4"/>
        <v>180</v>
      </c>
      <c r="O3" s="203">
        <f t="shared" si="4"/>
        <v>180</v>
      </c>
      <c r="P3" s="203">
        <f t="shared" si="4"/>
        <v>180</v>
      </c>
      <c r="Q3" s="203">
        <f t="shared" si="4"/>
        <v>180</v>
      </c>
      <c r="R3" s="203">
        <f t="shared" si="4"/>
        <v>180</v>
      </c>
      <c r="S3" s="203">
        <f t="shared" si="4"/>
        <v>180</v>
      </c>
      <c r="T3" s="203">
        <f t="shared" si="4"/>
        <v>180</v>
      </c>
      <c r="U3" s="203">
        <f t="shared" si="4"/>
        <v>180</v>
      </c>
      <c r="V3" s="203">
        <f t="shared" si="4"/>
        <v>180</v>
      </c>
      <c r="W3" s="203">
        <f t="shared" si="4"/>
        <v>180</v>
      </c>
      <c r="X3" s="203">
        <f t="shared" si="4"/>
        <v>180</v>
      </c>
      <c r="Y3" s="203">
        <f t="shared" si="4"/>
        <v>180</v>
      </c>
      <c r="Z3" s="203">
        <f t="shared" si="4"/>
        <v>180</v>
      </c>
      <c r="AA3" s="203">
        <f t="shared" si="4"/>
        <v>180</v>
      </c>
      <c r="AB3" s="203">
        <f t="shared" si="4"/>
        <v>180</v>
      </c>
      <c r="AC3" s="203">
        <f t="shared" si="4"/>
        <v>180</v>
      </c>
      <c r="AD3" s="203">
        <f t="shared" si="4"/>
        <v>180</v>
      </c>
      <c r="AE3" s="203">
        <f t="shared" si="4"/>
        <v>180</v>
      </c>
      <c r="AF3" s="203">
        <f t="shared" si="4"/>
        <v>180</v>
      </c>
      <c r="AG3" s="203">
        <f t="shared" si="4"/>
        <v>180</v>
      </c>
      <c r="AH3" s="203">
        <f t="shared" si="4"/>
        <v>180</v>
      </c>
      <c r="AI3" s="203">
        <f t="shared" si="4"/>
        <v>180</v>
      </c>
      <c r="AJ3" s="203">
        <f t="shared" si="4"/>
        <v>180</v>
      </c>
      <c r="AK3" s="203">
        <f t="shared" si="4"/>
        <v>180</v>
      </c>
      <c r="AL3" s="203">
        <f t="shared" si="4"/>
        <v>180</v>
      </c>
      <c r="AM3" s="203">
        <f t="shared" si="4"/>
        <v>180</v>
      </c>
      <c r="AN3" s="203">
        <f t="shared" si="1"/>
        <v>0</v>
      </c>
      <c r="AO3" s="203">
        <f t="shared" si="2"/>
        <v>0</v>
      </c>
      <c r="AP3" s="203">
        <f t="shared" si="3"/>
        <v>0</v>
      </c>
    </row>
    <row r="4" customHeight="1" spans="1:42">
      <c r="A4" s="40" t="str">
        <f>前台工资录入!A4</f>
        <v>张馨月</v>
      </c>
      <c r="B4" s="40" t="str">
        <f>前台工资录入!B4</f>
        <v>前厅</v>
      </c>
      <c r="C4" s="40" t="str">
        <f>前台工资录入!C4</f>
        <v>服务经理</v>
      </c>
      <c r="D4" s="40" t="str">
        <f>前台工资录入!D4</f>
        <v>是</v>
      </c>
      <c r="E4" s="40">
        <f>前台工资录入!E4</f>
        <v>0</v>
      </c>
      <c r="F4" s="40">
        <f>前台工资录入!F4</f>
        <v>0</v>
      </c>
      <c r="G4" s="40">
        <f>前台工资录入!G4</f>
        <v>4000</v>
      </c>
      <c r="H4" s="40">
        <f>前台工资录入!H4</f>
        <v>4000</v>
      </c>
      <c r="I4" s="40">
        <f>前台工资录入!I4</f>
        <v>0</v>
      </c>
      <c r="J4" s="40">
        <f>前台工资录入!J4</f>
        <v>0</v>
      </c>
      <c r="K4" s="40">
        <f>前台工资录入!K4</f>
        <v>25</v>
      </c>
      <c r="L4" s="203">
        <f t="shared" ref="L4:AM4" si="5">IFERROR($G4/$K$2,0)</f>
        <v>160</v>
      </c>
      <c r="M4" s="203">
        <f t="shared" si="5"/>
        <v>160</v>
      </c>
      <c r="N4" s="203">
        <f t="shared" si="5"/>
        <v>160</v>
      </c>
      <c r="O4" s="203">
        <f t="shared" si="5"/>
        <v>160</v>
      </c>
      <c r="P4" s="203">
        <f t="shared" si="5"/>
        <v>160</v>
      </c>
      <c r="Q4" s="203">
        <f t="shared" si="5"/>
        <v>160</v>
      </c>
      <c r="R4" s="203">
        <f t="shared" si="5"/>
        <v>160</v>
      </c>
      <c r="S4" s="203">
        <f t="shared" si="5"/>
        <v>160</v>
      </c>
      <c r="T4" s="203">
        <f t="shared" si="5"/>
        <v>160</v>
      </c>
      <c r="U4" s="203">
        <f t="shared" si="5"/>
        <v>160</v>
      </c>
      <c r="V4" s="203">
        <f t="shared" si="5"/>
        <v>160</v>
      </c>
      <c r="W4" s="203">
        <f t="shared" si="5"/>
        <v>160</v>
      </c>
      <c r="X4" s="203">
        <f t="shared" si="5"/>
        <v>160</v>
      </c>
      <c r="Y4" s="203">
        <f t="shared" si="5"/>
        <v>160</v>
      </c>
      <c r="Z4" s="203">
        <f t="shared" si="5"/>
        <v>160</v>
      </c>
      <c r="AA4" s="203">
        <f t="shared" si="5"/>
        <v>160</v>
      </c>
      <c r="AB4" s="203">
        <f t="shared" si="5"/>
        <v>160</v>
      </c>
      <c r="AC4" s="203">
        <f t="shared" si="5"/>
        <v>160</v>
      </c>
      <c r="AD4" s="203">
        <f t="shared" si="5"/>
        <v>160</v>
      </c>
      <c r="AE4" s="203">
        <f t="shared" si="5"/>
        <v>160</v>
      </c>
      <c r="AF4" s="203">
        <f t="shared" si="5"/>
        <v>160</v>
      </c>
      <c r="AG4" s="203">
        <f t="shared" si="5"/>
        <v>160</v>
      </c>
      <c r="AH4" s="203">
        <f t="shared" si="5"/>
        <v>160</v>
      </c>
      <c r="AI4" s="203">
        <f t="shared" si="5"/>
        <v>160</v>
      </c>
      <c r="AJ4" s="203">
        <f t="shared" si="5"/>
        <v>160</v>
      </c>
      <c r="AK4" s="203">
        <f t="shared" si="5"/>
        <v>160</v>
      </c>
      <c r="AL4" s="203">
        <f t="shared" si="5"/>
        <v>160</v>
      </c>
      <c r="AM4" s="203">
        <f t="shared" si="5"/>
        <v>160</v>
      </c>
      <c r="AN4" s="203">
        <f t="shared" si="1"/>
        <v>0</v>
      </c>
      <c r="AO4" s="203">
        <f t="shared" si="2"/>
        <v>0</v>
      </c>
      <c r="AP4" s="203">
        <f t="shared" si="3"/>
        <v>0</v>
      </c>
    </row>
    <row r="5" customHeight="1" spans="1:42">
      <c r="A5" s="40" t="str">
        <f>前台工资录入!A5</f>
        <v>徐嘉瑜</v>
      </c>
      <c r="B5" s="40" t="str">
        <f>前台工资录入!B5</f>
        <v>前厅</v>
      </c>
      <c r="C5" s="40" t="str">
        <f>前台工资录入!C5</f>
        <v>前台</v>
      </c>
      <c r="D5" s="40" t="str">
        <f>前台工资录入!D5</f>
        <v>是</v>
      </c>
      <c r="E5" s="40">
        <f>前台工资录入!E5</f>
        <v>0</v>
      </c>
      <c r="F5" s="40">
        <f>前台工资录入!F5</f>
        <v>0</v>
      </c>
      <c r="G5" s="40">
        <f>前台工资录入!G5</f>
        <v>3500</v>
      </c>
      <c r="H5" s="40">
        <f>前台工资录入!H5</f>
        <v>3500</v>
      </c>
      <c r="I5" s="40">
        <f>前台工资录入!I5</f>
        <v>0</v>
      </c>
      <c r="J5" s="40">
        <f>前台工资录入!J5</f>
        <v>0</v>
      </c>
      <c r="K5" s="40">
        <f>前台工资录入!K5</f>
        <v>20</v>
      </c>
      <c r="L5" s="203">
        <f t="shared" ref="L5:AM5" si="6">IFERROR($G5/$K$2,0)</f>
        <v>140</v>
      </c>
      <c r="M5" s="203">
        <f t="shared" si="6"/>
        <v>140</v>
      </c>
      <c r="N5" s="203">
        <f t="shared" si="6"/>
        <v>140</v>
      </c>
      <c r="O5" s="203">
        <f t="shared" si="6"/>
        <v>140</v>
      </c>
      <c r="P5" s="203">
        <f t="shared" si="6"/>
        <v>140</v>
      </c>
      <c r="Q5" s="203">
        <f t="shared" si="6"/>
        <v>140</v>
      </c>
      <c r="R5" s="203">
        <f t="shared" si="6"/>
        <v>140</v>
      </c>
      <c r="S5" s="203">
        <f t="shared" si="6"/>
        <v>140</v>
      </c>
      <c r="T5" s="203">
        <f t="shared" si="6"/>
        <v>140</v>
      </c>
      <c r="U5" s="203">
        <f t="shared" si="6"/>
        <v>140</v>
      </c>
      <c r="V5" s="203">
        <f t="shared" si="6"/>
        <v>140</v>
      </c>
      <c r="W5" s="203">
        <f t="shared" si="6"/>
        <v>140</v>
      </c>
      <c r="X5" s="203">
        <f t="shared" si="6"/>
        <v>140</v>
      </c>
      <c r="Y5" s="203">
        <f t="shared" si="6"/>
        <v>140</v>
      </c>
      <c r="Z5" s="203">
        <f t="shared" si="6"/>
        <v>140</v>
      </c>
      <c r="AA5" s="203">
        <f t="shared" si="6"/>
        <v>140</v>
      </c>
      <c r="AB5" s="203">
        <f t="shared" si="6"/>
        <v>140</v>
      </c>
      <c r="AC5" s="203">
        <f t="shared" si="6"/>
        <v>140</v>
      </c>
      <c r="AD5" s="203">
        <f t="shared" si="6"/>
        <v>140</v>
      </c>
      <c r="AE5" s="203">
        <f t="shared" si="6"/>
        <v>140</v>
      </c>
      <c r="AF5" s="203">
        <f t="shared" si="6"/>
        <v>140</v>
      </c>
      <c r="AG5" s="203">
        <f t="shared" si="6"/>
        <v>140</v>
      </c>
      <c r="AH5" s="203">
        <f t="shared" si="6"/>
        <v>140</v>
      </c>
      <c r="AI5" s="203">
        <f t="shared" si="6"/>
        <v>140</v>
      </c>
      <c r="AJ5" s="203">
        <f t="shared" si="6"/>
        <v>140</v>
      </c>
      <c r="AK5" s="203">
        <f t="shared" si="6"/>
        <v>140</v>
      </c>
      <c r="AL5" s="203">
        <f t="shared" si="6"/>
        <v>140</v>
      </c>
      <c r="AM5" s="203">
        <f t="shared" si="6"/>
        <v>140</v>
      </c>
      <c r="AN5" s="203">
        <f t="shared" si="1"/>
        <v>0</v>
      </c>
      <c r="AO5" s="203">
        <f t="shared" si="2"/>
        <v>0</v>
      </c>
      <c r="AP5" s="203">
        <f t="shared" si="3"/>
        <v>0</v>
      </c>
    </row>
    <row r="6" customHeight="1" spans="1:42">
      <c r="A6" s="40" t="str">
        <f>前台工资录入!A6</f>
        <v>王增</v>
      </c>
      <c r="B6" s="40" t="str">
        <f>前台工资录入!B6</f>
        <v>前厅</v>
      </c>
      <c r="C6" s="40" t="str">
        <f>前台工资录入!C6</f>
        <v>前台</v>
      </c>
      <c r="D6" s="40" t="str">
        <f>前台工资录入!D6</f>
        <v>是</v>
      </c>
      <c r="E6" s="40">
        <f>前台工资录入!E6</f>
        <v>0</v>
      </c>
      <c r="F6" s="40">
        <f>前台工资录入!F6</f>
        <v>0</v>
      </c>
      <c r="G6" s="40">
        <f>前台工资录入!G6</f>
        <v>3500</v>
      </c>
      <c r="H6" s="40">
        <f>前台工资录入!H6</f>
        <v>3500</v>
      </c>
      <c r="I6" s="40">
        <f>前台工资录入!I6</f>
        <v>0</v>
      </c>
      <c r="J6" s="40">
        <f>前台工资录入!J6</f>
        <v>0</v>
      </c>
      <c r="K6" s="40">
        <f>前台工资录入!K6</f>
        <v>20</v>
      </c>
      <c r="L6" s="203">
        <f t="shared" ref="L6:AM6" si="7">IFERROR($G6/$K$2,0)</f>
        <v>140</v>
      </c>
      <c r="M6" s="203">
        <f t="shared" si="7"/>
        <v>140</v>
      </c>
      <c r="N6" s="203">
        <f t="shared" si="7"/>
        <v>140</v>
      </c>
      <c r="O6" s="203">
        <f t="shared" si="7"/>
        <v>140</v>
      </c>
      <c r="P6" s="203">
        <f t="shared" si="7"/>
        <v>140</v>
      </c>
      <c r="Q6" s="203">
        <f t="shared" si="7"/>
        <v>140</v>
      </c>
      <c r="R6" s="203">
        <f t="shared" si="7"/>
        <v>140</v>
      </c>
      <c r="S6" s="203">
        <f t="shared" si="7"/>
        <v>140</v>
      </c>
      <c r="T6" s="203">
        <f t="shared" si="7"/>
        <v>140</v>
      </c>
      <c r="U6" s="203">
        <f t="shared" si="7"/>
        <v>140</v>
      </c>
      <c r="V6" s="203">
        <f t="shared" si="7"/>
        <v>140</v>
      </c>
      <c r="W6" s="203">
        <f t="shared" si="7"/>
        <v>140</v>
      </c>
      <c r="X6" s="203">
        <f t="shared" si="7"/>
        <v>140</v>
      </c>
      <c r="Y6" s="203">
        <f t="shared" si="7"/>
        <v>140</v>
      </c>
      <c r="Z6" s="203">
        <f t="shared" si="7"/>
        <v>140</v>
      </c>
      <c r="AA6" s="203">
        <f t="shared" si="7"/>
        <v>140</v>
      </c>
      <c r="AB6" s="203">
        <f t="shared" si="7"/>
        <v>140</v>
      </c>
      <c r="AC6" s="203">
        <f t="shared" si="7"/>
        <v>140</v>
      </c>
      <c r="AD6" s="203">
        <f t="shared" si="7"/>
        <v>140</v>
      </c>
      <c r="AE6" s="203">
        <f t="shared" si="7"/>
        <v>140</v>
      </c>
      <c r="AF6" s="203">
        <f t="shared" si="7"/>
        <v>140</v>
      </c>
      <c r="AG6" s="203">
        <f t="shared" si="7"/>
        <v>140</v>
      </c>
      <c r="AH6" s="203">
        <f t="shared" si="7"/>
        <v>140</v>
      </c>
      <c r="AI6" s="203">
        <f t="shared" si="7"/>
        <v>140</v>
      </c>
      <c r="AJ6" s="203">
        <f t="shared" si="7"/>
        <v>140</v>
      </c>
      <c r="AK6" s="203">
        <f t="shared" si="7"/>
        <v>140</v>
      </c>
      <c r="AL6" s="203">
        <f t="shared" si="7"/>
        <v>140</v>
      </c>
      <c r="AM6" s="203">
        <f t="shared" si="7"/>
        <v>140</v>
      </c>
      <c r="AN6" s="203">
        <f t="shared" si="1"/>
        <v>0</v>
      </c>
      <c r="AO6" s="203">
        <f t="shared" si="2"/>
        <v>0</v>
      </c>
      <c r="AP6" s="203">
        <f t="shared" si="3"/>
        <v>0</v>
      </c>
    </row>
    <row r="7" customHeight="1" spans="1:42">
      <c r="A7" s="40" t="str">
        <f>前台工资录入!A7</f>
        <v>宋雨霏</v>
      </c>
      <c r="B7" s="40" t="str">
        <f>前台工资录入!B7</f>
        <v>前厅</v>
      </c>
      <c r="C7" s="40" t="str">
        <f>前台工资录入!C7</f>
        <v>前台</v>
      </c>
      <c r="D7" s="40" t="str">
        <f>前台工资录入!D7</f>
        <v>是</v>
      </c>
      <c r="E7" s="40">
        <f>前台工资录入!E7</f>
        <v>0</v>
      </c>
      <c r="F7" s="40">
        <f>前台工资录入!F7</f>
        <v>0</v>
      </c>
      <c r="G7" s="40">
        <f>前台工资录入!G7</f>
        <v>3500</v>
      </c>
      <c r="H7" s="40">
        <f>前台工资录入!H7</f>
        <v>3500</v>
      </c>
      <c r="I7" s="40">
        <f>前台工资录入!I7</f>
        <v>0</v>
      </c>
      <c r="J7" s="40">
        <f>前台工资录入!J7</f>
        <v>0</v>
      </c>
      <c r="K7" s="40">
        <f>前台工资录入!K7</f>
        <v>20</v>
      </c>
      <c r="L7" s="203">
        <f t="shared" ref="L7:AM7" si="8">IFERROR($G7/$K$2,0)</f>
        <v>140</v>
      </c>
      <c r="M7" s="203">
        <f t="shared" si="8"/>
        <v>140</v>
      </c>
      <c r="N7" s="203">
        <f t="shared" si="8"/>
        <v>140</v>
      </c>
      <c r="O7" s="203">
        <f t="shared" si="8"/>
        <v>140</v>
      </c>
      <c r="P7" s="203">
        <f t="shared" si="8"/>
        <v>140</v>
      </c>
      <c r="Q7" s="203">
        <f t="shared" si="8"/>
        <v>140</v>
      </c>
      <c r="R7" s="203">
        <f t="shared" si="8"/>
        <v>140</v>
      </c>
      <c r="S7" s="203">
        <f t="shared" si="8"/>
        <v>140</v>
      </c>
      <c r="T7" s="203">
        <f t="shared" si="8"/>
        <v>140</v>
      </c>
      <c r="U7" s="203">
        <f t="shared" si="8"/>
        <v>140</v>
      </c>
      <c r="V7" s="203">
        <f t="shared" si="8"/>
        <v>140</v>
      </c>
      <c r="W7" s="203">
        <f t="shared" si="8"/>
        <v>140</v>
      </c>
      <c r="X7" s="203">
        <f t="shared" si="8"/>
        <v>140</v>
      </c>
      <c r="Y7" s="203">
        <f t="shared" si="8"/>
        <v>140</v>
      </c>
      <c r="Z7" s="203">
        <f t="shared" si="8"/>
        <v>140</v>
      </c>
      <c r="AA7" s="203">
        <f t="shared" si="8"/>
        <v>140</v>
      </c>
      <c r="AB7" s="203">
        <f t="shared" si="8"/>
        <v>140</v>
      </c>
      <c r="AC7" s="203">
        <f t="shared" si="8"/>
        <v>140</v>
      </c>
      <c r="AD7" s="203">
        <f t="shared" si="8"/>
        <v>140</v>
      </c>
      <c r="AE7" s="203">
        <f t="shared" si="8"/>
        <v>140</v>
      </c>
      <c r="AF7" s="203">
        <f t="shared" si="8"/>
        <v>140</v>
      </c>
      <c r="AG7" s="203">
        <f t="shared" si="8"/>
        <v>140</v>
      </c>
      <c r="AH7" s="203">
        <f t="shared" si="8"/>
        <v>140</v>
      </c>
      <c r="AI7" s="203">
        <f t="shared" si="8"/>
        <v>140</v>
      </c>
      <c r="AJ7" s="203">
        <f t="shared" si="8"/>
        <v>140</v>
      </c>
      <c r="AK7" s="203">
        <f t="shared" si="8"/>
        <v>140</v>
      </c>
      <c r="AL7" s="203">
        <f t="shared" si="8"/>
        <v>140</v>
      </c>
      <c r="AM7" s="203">
        <f t="shared" si="8"/>
        <v>140</v>
      </c>
      <c r="AN7" s="203">
        <f t="shared" si="1"/>
        <v>0</v>
      </c>
      <c r="AO7" s="203">
        <f t="shared" si="2"/>
        <v>0</v>
      </c>
      <c r="AP7" s="203">
        <f t="shared" si="3"/>
        <v>0</v>
      </c>
    </row>
    <row r="8" customHeight="1" spans="1:42">
      <c r="A8" s="40" t="str">
        <f>前台工资录入!A8</f>
        <v>翟芮瑶</v>
      </c>
      <c r="B8" s="40" t="str">
        <f>前台工资录入!B8</f>
        <v>前厅</v>
      </c>
      <c r="C8" s="40" t="str">
        <f>前台工资录入!C8</f>
        <v>前台</v>
      </c>
      <c r="D8" s="40" t="str">
        <f>前台工资录入!D8</f>
        <v>是</v>
      </c>
      <c r="E8" s="40">
        <f>前台工资录入!E8</f>
        <v>0</v>
      </c>
      <c r="F8" s="40">
        <f>前台工资录入!F8</f>
        <v>0</v>
      </c>
      <c r="G8" s="40">
        <f>前台工资录入!G8</f>
        <v>3500</v>
      </c>
      <c r="H8" s="40">
        <f>前台工资录入!H8</f>
        <v>3500</v>
      </c>
      <c r="I8" s="40">
        <f>前台工资录入!I8</f>
        <v>0</v>
      </c>
      <c r="J8" s="40">
        <f>前台工资录入!J8</f>
        <v>0</v>
      </c>
      <c r="K8" s="40">
        <f>前台工资录入!K8</f>
        <v>20</v>
      </c>
      <c r="L8" s="203">
        <f t="shared" ref="L8:AM8" si="9">IFERROR($G8/$K$2,0)</f>
        <v>140</v>
      </c>
      <c r="M8" s="203">
        <f t="shared" si="9"/>
        <v>140</v>
      </c>
      <c r="N8" s="203">
        <f t="shared" si="9"/>
        <v>140</v>
      </c>
      <c r="O8" s="203">
        <f t="shared" si="9"/>
        <v>140</v>
      </c>
      <c r="P8" s="203">
        <f t="shared" si="9"/>
        <v>140</v>
      </c>
      <c r="Q8" s="203">
        <f t="shared" si="9"/>
        <v>140</v>
      </c>
      <c r="R8" s="203">
        <f t="shared" si="9"/>
        <v>140</v>
      </c>
      <c r="S8" s="203">
        <f t="shared" si="9"/>
        <v>140</v>
      </c>
      <c r="T8" s="203">
        <f t="shared" si="9"/>
        <v>140</v>
      </c>
      <c r="U8" s="203">
        <f t="shared" si="9"/>
        <v>140</v>
      </c>
      <c r="V8" s="203">
        <f t="shared" si="9"/>
        <v>140</v>
      </c>
      <c r="W8" s="203">
        <f t="shared" si="9"/>
        <v>140</v>
      </c>
      <c r="X8" s="203">
        <f t="shared" si="9"/>
        <v>140</v>
      </c>
      <c r="Y8" s="203">
        <f t="shared" si="9"/>
        <v>140</v>
      </c>
      <c r="Z8" s="203">
        <f t="shared" si="9"/>
        <v>140</v>
      </c>
      <c r="AA8" s="203">
        <f t="shared" si="9"/>
        <v>140</v>
      </c>
      <c r="AB8" s="203">
        <f t="shared" si="9"/>
        <v>140</v>
      </c>
      <c r="AC8" s="203">
        <f t="shared" si="9"/>
        <v>140</v>
      </c>
      <c r="AD8" s="203">
        <f t="shared" si="9"/>
        <v>140</v>
      </c>
      <c r="AE8" s="203">
        <f t="shared" si="9"/>
        <v>140</v>
      </c>
      <c r="AF8" s="203">
        <f t="shared" si="9"/>
        <v>140</v>
      </c>
      <c r="AG8" s="203">
        <f t="shared" si="9"/>
        <v>140</v>
      </c>
      <c r="AH8" s="203">
        <f t="shared" si="9"/>
        <v>140</v>
      </c>
      <c r="AI8" s="203">
        <f t="shared" si="9"/>
        <v>140</v>
      </c>
      <c r="AJ8" s="203">
        <f t="shared" si="9"/>
        <v>140</v>
      </c>
      <c r="AK8" s="203">
        <f t="shared" si="9"/>
        <v>140</v>
      </c>
      <c r="AL8" s="203">
        <f t="shared" si="9"/>
        <v>140</v>
      </c>
      <c r="AM8" s="203">
        <f t="shared" si="9"/>
        <v>140</v>
      </c>
      <c r="AN8" s="203">
        <f t="shared" si="1"/>
        <v>0</v>
      </c>
      <c r="AO8" s="203">
        <f t="shared" si="2"/>
        <v>0</v>
      </c>
      <c r="AP8" s="203">
        <f t="shared" si="3"/>
        <v>0</v>
      </c>
    </row>
    <row r="9" customHeight="1" spans="1:42">
      <c r="A9" s="40" t="str">
        <f>前台工资录入!A9</f>
        <v>孙源</v>
      </c>
      <c r="B9" s="40" t="str">
        <f>前台工资录入!B9</f>
        <v>前厅</v>
      </c>
      <c r="C9" s="40" t="str">
        <f>前台工资录入!C9</f>
        <v>前台</v>
      </c>
      <c r="D9" s="40" t="str">
        <f>前台工资录入!D9</f>
        <v>是</v>
      </c>
      <c r="E9" s="40">
        <f>前台工资录入!E9</f>
        <v>0</v>
      </c>
      <c r="F9" s="40">
        <f>前台工资录入!F9</f>
        <v>0</v>
      </c>
      <c r="G9" s="40">
        <f>前台工资录入!G9</f>
        <v>3500</v>
      </c>
      <c r="H9" s="40">
        <f>前台工资录入!H9</f>
        <v>3500</v>
      </c>
      <c r="I9" s="40">
        <f>前台工资录入!I9</f>
        <v>0</v>
      </c>
      <c r="J9" s="40">
        <f>前台工资录入!J9</f>
        <v>0</v>
      </c>
      <c r="K9" s="40">
        <f>前台工资录入!K9</f>
        <v>20</v>
      </c>
      <c r="L9" s="203">
        <f t="shared" ref="L9:AM9" si="10">IFERROR($G9/$K$2,0)</f>
        <v>140</v>
      </c>
      <c r="M9" s="203">
        <f t="shared" si="10"/>
        <v>140</v>
      </c>
      <c r="N9" s="203">
        <f t="shared" si="10"/>
        <v>140</v>
      </c>
      <c r="O9" s="203">
        <f t="shared" si="10"/>
        <v>140</v>
      </c>
      <c r="P9" s="203">
        <f t="shared" si="10"/>
        <v>140</v>
      </c>
      <c r="Q9" s="203">
        <f t="shared" si="10"/>
        <v>140</v>
      </c>
      <c r="R9" s="203">
        <f t="shared" si="10"/>
        <v>140</v>
      </c>
      <c r="S9" s="203">
        <f t="shared" si="10"/>
        <v>140</v>
      </c>
      <c r="T9" s="203">
        <f t="shared" si="10"/>
        <v>140</v>
      </c>
      <c r="U9" s="203">
        <f t="shared" si="10"/>
        <v>140</v>
      </c>
      <c r="V9" s="203">
        <f t="shared" si="10"/>
        <v>140</v>
      </c>
      <c r="W9" s="203">
        <f t="shared" si="10"/>
        <v>140</v>
      </c>
      <c r="X9" s="203">
        <f t="shared" si="10"/>
        <v>140</v>
      </c>
      <c r="Y9" s="203">
        <f t="shared" si="10"/>
        <v>140</v>
      </c>
      <c r="Z9" s="203">
        <f t="shared" si="10"/>
        <v>140</v>
      </c>
      <c r="AA9" s="203">
        <f t="shared" si="10"/>
        <v>140</v>
      </c>
      <c r="AB9" s="203">
        <f t="shared" si="10"/>
        <v>140</v>
      </c>
      <c r="AC9" s="203">
        <f t="shared" si="10"/>
        <v>140</v>
      </c>
      <c r="AD9" s="203">
        <f t="shared" si="10"/>
        <v>140</v>
      </c>
      <c r="AE9" s="203">
        <f t="shared" si="10"/>
        <v>140</v>
      </c>
      <c r="AF9" s="203">
        <f t="shared" si="10"/>
        <v>140</v>
      </c>
      <c r="AG9" s="203">
        <f t="shared" si="10"/>
        <v>140</v>
      </c>
      <c r="AH9" s="203">
        <f t="shared" si="10"/>
        <v>140</v>
      </c>
      <c r="AI9" s="203">
        <f t="shared" si="10"/>
        <v>140</v>
      </c>
      <c r="AJ9" s="203">
        <f t="shared" si="10"/>
        <v>140</v>
      </c>
      <c r="AK9" s="203">
        <f t="shared" si="10"/>
        <v>140</v>
      </c>
      <c r="AL9" s="203">
        <f t="shared" si="10"/>
        <v>140</v>
      </c>
      <c r="AM9" s="203">
        <f t="shared" si="10"/>
        <v>140</v>
      </c>
      <c r="AN9" s="203">
        <f t="shared" si="1"/>
        <v>0</v>
      </c>
      <c r="AO9" s="203">
        <f t="shared" si="2"/>
        <v>0</v>
      </c>
      <c r="AP9" s="203">
        <f t="shared" si="3"/>
        <v>0</v>
      </c>
    </row>
    <row r="10" customHeight="1" spans="1:42">
      <c r="A10" s="40" t="str">
        <f>前台工资录入!A10</f>
        <v>吴怡</v>
      </c>
      <c r="B10" s="40" t="str">
        <f>前台工资录入!B10</f>
        <v>前厅</v>
      </c>
      <c r="C10" s="40" t="str">
        <f>前台工资录入!C10</f>
        <v>前台</v>
      </c>
      <c r="D10" s="40">
        <f>前台工资录入!D10</f>
        <v>0</v>
      </c>
      <c r="E10" s="40">
        <f>前台工资录入!E10</f>
        <v>0</v>
      </c>
      <c r="F10" s="40">
        <f>前台工资录入!F10</f>
        <v>0</v>
      </c>
      <c r="G10" s="40">
        <f>前台工资录入!G10</f>
        <v>3500</v>
      </c>
      <c r="H10" s="40">
        <f>前台工资录入!H10</f>
        <v>3500</v>
      </c>
      <c r="I10" s="40">
        <f>前台工资录入!I10</f>
        <v>0</v>
      </c>
      <c r="J10" s="40">
        <f>前台工资录入!J10</f>
        <v>0</v>
      </c>
      <c r="K10" s="40">
        <f>前台工资录入!K10</f>
        <v>20</v>
      </c>
      <c r="L10" s="203">
        <f t="shared" ref="L10:AM10" si="11">IFERROR($G10/$K$2,0)</f>
        <v>140</v>
      </c>
      <c r="M10" s="203">
        <f t="shared" si="11"/>
        <v>140</v>
      </c>
      <c r="N10" s="203">
        <f t="shared" si="11"/>
        <v>140</v>
      </c>
      <c r="O10" s="203">
        <f t="shared" si="11"/>
        <v>140</v>
      </c>
      <c r="P10" s="203">
        <f t="shared" si="11"/>
        <v>140</v>
      </c>
      <c r="Q10" s="203">
        <f t="shared" si="11"/>
        <v>140</v>
      </c>
      <c r="R10" s="203">
        <f t="shared" si="11"/>
        <v>140</v>
      </c>
      <c r="S10" s="203">
        <f t="shared" si="11"/>
        <v>140</v>
      </c>
      <c r="T10" s="203">
        <f t="shared" si="11"/>
        <v>140</v>
      </c>
      <c r="U10" s="203">
        <f t="shared" si="11"/>
        <v>140</v>
      </c>
      <c r="V10" s="203">
        <f t="shared" si="11"/>
        <v>140</v>
      </c>
      <c r="W10" s="203">
        <f t="shared" si="11"/>
        <v>140</v>
      </c>
      <c r="X10" s="203">
        <f t="shared" si="11"/>
        <v>140</v>
      </c>
      <c r="Y10" s="203">
        <f t="shared" si="11"/>
        <v>140</v>
      </c>
      <c r="Z10" s="203">
        <f t="shared" si="11"/>
        <v>140</v>
      </c>
      <c r="AA10" s="203">
        <f t="shared" si="11"/>
        <v>140</v>
      </c>
      <c r="AB10" s="203">
        <f t="shared" si="11"/>
        <v>140</v>
      </c>
      <c r="AC10" s="203">
        <f t="shared" si="11"/>
        <v>140</v>
      </c>
      <c r="AD10" s="203">
        <f t="shared" si="11"/>
        <v>140</v>
      </c>
      <c r="AE10" s="203">
        <f t="shared" si="11"/>
        <v>140</v>
      </c>
      <c r="AF10" s="203">
        <f t="shared" si="11"/>
        <v>140</v>
      </c>
      <c r="AG10" s="203">
        <f t="shared" si="11"/>
        <v>140</v>
      </c>
      <c r="AH10" s="203">
        <f t="shared" si="11"/>
        <v>140</v>
      </c>
      <c r="AI10" s="203">
        <f t="shared" si="11"/>
        <v>140</v>
      </c>
      <c r="AJ10" s="203">
        <f t="shared" si="11"/>
        <v>140</v>
      </c>
      <c r="AK10" s="203">
        <f t="shared" si="11"/>
        <v>140</v>
      </c>
      <c r="AL10" s="203">
        <f t="shared" si="11"/>
        <v>140</v>
      </c>
      <c r="AM10" s="203">
        <f t="shared" si="11"/>
        <v>140</v>
      </c>
      <c r="AN10" s="203">
        <f t="shared" si="1"/>
        <v>0</v>
      </c>
      <c r="AO10" s="203">
        <f t="shared" si="2"/>
        <v>0</v>
      </c>
      <c r="AP10" s="203">
        <f t="shared" si="3"/>
        <v>0</v>
      </c>
    </row>
    <row r="11" s="200" customFormat="1" customHeight="1" spans="1:42">
      <c r="A11" s="40" t="str">
        <f>前台工资录入!A11</f>
        <v>刘昕</v>
      </c>
      <c r="B11" s="40" t="str">
        <f>前台工资录入!B11</f>
        <v>前厅</v>
      </c>
      <c r="C11" s="40" t="str">
        <f>前台工资录入!C11</f>
        <v>前台</v>
      </c>
      <c r="D11" s="40">
        <f>前台工资录入!D11</f>
        <v>0</v>
      </c>
      <c r="E11" s="40">
        <f>前台工资录入!E11</f>
        <v>0</v>
      </c>
      <c r="F11" s="40">
        <f>前台工资录入!F11</f>
        <v>0</v>
      </c>
      <c r="G11" s="40">
        <f>前台工资录入!G11</f>
        <v>3500</v>
      </c>
      <c r="H11" s="40">
        <f>前台工资录入!H11</f>
        <v>3500</v>
      </c>
      <c r="I11" s="40">
        <f>前台工资录入!I11</f>
        <v>0</v>
      </c>
      <c r="J11" s="40">
        <f>前台工资录入!J11</f>
        <v>0</v>
      </c>
      <c r="K11" s="40">
        <f>前台工资录入!K11</f>
        <v>20</v>
      </c>
      <c r="L11" s="203">
        <f t="shared" ref="L11:AM11" si="12">IFERROR($G11/$K$2,0)</f>
        <v>140</v>
      </c>
      <c r="M11" s="203">
        <f t="shared" si="12"/>
        <v>140</v>
      </c>
      <c r="N11" s="203">
        <f t="shared" si="12"/>
        <v>140</v>
      </c>
      <c r="O11" s="203">
        <f t="shared" si="12"/>
        <v>140</v>
      </c>
      <c r="P11" s="203">
        <f t="shared" si="12"/>
        <v>140</v>
      </c>
      <c r="Q11" s="203">
        <f t="shared" si="12"/>
        <v>140</v>
      </c>
      <c r="R11" s="203">
        <f t="shared" si="12"/>
        <v>140</v>
      </c>
      <c r="S11" s="203">
        <f t="shared" si="12"/>
        <v>140</v>
      </c>
      <c r="T11" s="203">
        <f t="shared" si="12"/>
        <v>140</v>
      </c>
      <c r="U11" s="203">
        <f t="shared" si="12"/>
        <v>140</v>
      </c>
      <c r="V11" s="203">
        <f t="shared" si="12"/>
        <v>140</v>
      </c>
      <c r="W11" s="203">
        <f t="shared" si="12"/>
        <v>140</v>
      </c>
      <c r="X11" s="203">
        <f t="shared" si="12"/>
        <v>140</v>
      </c>
      <c r="Y11" s="203">
        <f t="shared" si="12"/>
        <v>140</v>
      </c>
      <c r="Z11" s="203">
        <f t="shared" si="12"/>
        <v>140</v>
      </c>
      <c r="AA11" s="203">
        <f t="shared" si="12"/>
        <v>140</v>
      </c>
      <c r="AB11" s="203">
        <f t="shared" si="12"/>
        <v>140</v>
      </c>
      <c r="AC11" s="203">
        <f t="shared" si="12"/>
        <v>140</v>
      </c>
      <c r="AD11" s="203">
        <f t="shared" si="12"/>
        <v>140</v>
      </c>
      <c r="AE11" s="203">
        <f t="shared" si="12"/>
        <v>140</v>
      </c>
      <c r="AF11" s="203">
        <f t="shared" si="12"/>
        <v>140</v>
      </c>
      <c r="AG11" s="203">
        <f t="shared" si="12"/>
        <v>140</v>
      </c>
      <c r="AH11" s="203">
        <f t="shared" si="12"/>
        <v>140</v>
      </c>
      <c r="AI11" s="203">
        <f t="shared" si="12"/>
        <v>140</v>
      </c>
      <c r="AJ11" s="203">
        <f t="shared" si="12"/>
        <v>140</v>
      </c>
      <c r="AK11" s="203">
        <f t="shared" si="12"/>
        <v>140</v>
      </c>
      <c r="AL11" s="203">
        <f t="shared" si="12"/>
        <v>140</v>
      </c>
      <c r="AM11" s="203">
        <f t="shared" si="12"/>
        <v>140</v>
      </c>
      <c r="AN11" s="203">
        <f t="shared" si="1"/>
        <v>0</v>
      </c>
      <c r="AO11" s="203">
        <f t="shared" si="2"/>
        <v>0</v>
      </c>
      <c r="AP11" s="203">
        <f t="shared" si="3"/>
        <v>0</v>
      </c>
    </row>
    <row r="12" s="200" customFormat="1" customHeight="1" spans="1:42">
      <c r="A12" s="40" t="str">
        <f>前台工资录入!A12</f>
        <v>邹璇</v>
      </c>
      <c r="B12" s="40" t="str">
        <f>前台工资录入!B12</f>
        <v>前厅</v>
      </c>
      <c r="C12" s="40" t="str">
        <f>前台工资录入!C12</f>
        <v>前台</v>
      </c>
      <c r="D12" s="40">
        <f>前台工资录入!D12</f>
        <v>0</v>
      </c>
      <c r="E12" s="40">
        <f>前台工资录入!E12</f>
        <v>0</v>
      </c>
      <c r="F12" s="40">
        <f>前台工资录入!F12</f>
        <v>0</v>
      </c>
      <c r="G12" s="40">
        <f>前台工资录入!G12</f>
        <v>3500</v>
      </c>
      <c r="H12" s="40">
        <f>前台工资录入!H12</f>
        <v>3500</v>
      </c>
      <c r="I12" s="40">
        <f>前台工资录入!I12</f>
        <v>0</v>
      </c>
      <c r="J12" s="40">
        <f>前台工资录入!J12</f>
        <v>0</v>
      </c>
      <c r="K12" s="40">
        <f>前台工资录入!K12</f>
        <v>26</v>
      </c>
      <c r="L12" s="203">
        <f t="shared" ref="L12:AM12" si="13">IFERROR($G12/$K$2,0)</f>
        <v>140</v>
      </c>
      <c r="M12" s="203">
        <f t="shared" si="13"/>
        <v>140</v>
      </c>
      <c r="N12" s="203">
        <f t="shared" si="13"/>
        <v>140</v>
      </c>
      <c r="O12" s="203">
        <f t="shared" si="13"/>
        <v>140</v>
      </c>
      <c r="P12" s="203">
        <f t="shared" si="13"/>
        <v>140</v>
      </c>
      <c r="Q12" s="203">
        <f t="shared" si="13"/>
        <v>140</v>
      </c>
      <c r="R12" s="203">
        <f t="shared" si="13"/>
        <v>140</v>
      </c>
      <c r="S12" s="203">
        <f t="shared" si="13"/>
        <v>140</v>
      </c>
      <c r="T12" s="203">
        <f t="shared" si="13"/>
        <v>140</v>
      </c>
      <c r="U12" s="203">
        <f t="shared" si="13"/>
        <v>140</v>
      </c>
      <c r="V12" s="203">
        <f t="shared" si="13"/>
        <v>140</v>
      </c>
      <c r="W12" s="203">
        <f t="shared" si="13"/>
        <v>140</v>
      </c>
      <c r="X12" s="203">
        <f t="shared" si="13"/>
        <v>140</v>
      </c>
      <c r="Y12" s="203">
        <f t="shared" si="13"/>
        <v>140</v>
      </c>
      <c r="Z12" s="203">
        <f t="shared" si="13"/>
        <v>140</v>
      </c>
      <c r="AA12" s="203">
        <f t="shared" si="13"/>
        <v>140</v>
      </c>
      <c r="AB12" s="203">
        <f t="shared" si="13"/>
        <v>140</v>
      </c>
      <c r="AC12" s="203">
        <f t="shared" si="13"/>
        <v>140</v>
      </c>
      <c r="AD12" s="203">
        <f t="shared" si="13"/>
        <v>140</v>
      </c>
      <c r="AE12" s="203">
        <f t="shared" si="13"/>
        <v>140</v>
      </c>
      <c r="AF12" s="203">
        <f t="shared" si="13"/>
        <v>140</v>
      </c>
      <c r="AG12" s="203">
        <f t="shared" si="13"/>
        <v>140</v>
      </c>
      <c r="AH12" s="203">
        <f t="shared" si="13"/>
        <v>140</v>
      </c>
      <c r="AI12" s="203">
        <f t="shared" si="13"/>
        <v>140</v>
      </c>
      <c r="AJ12" s="203">
        <f t="shared" si="13"/>
        <v>140</v>
      </c>
      <c r="AK12" s="203">
        <f t="shared" si="13"/>
        <v>140</v>
      </c>
      <c r="AL12" s="203">
        <f t="shared" si="13"/>
        <v>140</v>
      </c>
      <c r="AM12" s="203">
        <f t="shared" si="13"/>
        <v>140</v>
      </c>
      <c r="AN12" s="203">
        <f t="shared" si="1"/>
        <v>0</v>
      </c>
      <c r="AO12" s="203">
        <f t="shared" si="2"/>
        <v>0</v>
      </c>
      <c r="AP12" s="203">
        <f t="shared" si="3"/>
        <v>0</v>
      </c>
    </row>
    <row r="13" s="200" customFormat="1" customHeight="1" spans="1:42">
      <c r="A13" s="40">
        <f>前台工资录入!A13</f>
        <v>0</v>
      </c>
      <c r="B13" s="40">
        <f>前台工资录入!B13</f>
        <v>0</v>
      </c>
      <c r="C13" s="40">
        <f>前台工资录入!C13</f>
        <v>0</v>
      </c>
      <c r="D13" s="40">
        <f>前台工资录入!D13</f>
        <v>0</v>
      </c>
      <c r="E13" s="40">
        <f>前台工资录入!E13</f>
        <v>0</v>
      </c>
      <c r="F13" s="40">
        <f>前台工资录入!F13</f>
        <v>0</v>
      </c>
      <c r="G13" s="40">
        <f>前台工资录入!G13</f>
        <v>0</v>
      </c>
      <c r="H13" s="40">
        <f>前台工资录入!H13</f>
        <v>0</v>
      </c>
      <c r="I13" s="40">
        <f>前台工资录入!I13</f>
        <v>0</v>
      </c>
      <c r="J13" s="40">
        <f>前台工资录入!J13</f>
        <v>0</v>
      </c>
      <c r="K13" s="40">
        <f>前台工资录入!K13</f>
        <v>0</v>
      </c>
      <c r="L13" s="203">
        <f t="shared" ref="L13:AM13" si="14">IFERROR($G13/$K$2,0)</f>
        <v>0</v>
      </c>
      <c r="M13" s="203">
        <f t="shared" si="14"/>
        <v>0</v>
      </c>
      <c r="N13" s="203">
        <f t="shared" si="14"/>
        <v>0</v>
      </c>
      <c r="O13" s="203">
        <f t="shared" si="14"/>
        <v>0</v>
      </c>
      <c r="P13" s="203">
        <f t="shared" si="14"/>
        <v>0</v>
      </c>
      <c r="Q13" s="203">
        <f t="shared" si="14"/>
        <v>0</v>
      </c>
      <c r="R13" s="203">
        <f t="shared" si="14"/>
        <v>0</v>
      </c>
      <c r="S13" s="203">
        <f t="shared" si="14"/>
        <v>0</v>
      </c>
      <c r="T13" s="203">
        <f t="shared" si="14"/>
        <v>0</v>
      </c>
      <c r="U13" s="203">
        <f t="shared" si="14"/>
        <v>0</v>
      </c>
      <c r="V13" s="203">
        <f t="shared" si="14"/>
        <v>0</v>
      </c>
      <c r="W13" s="203">
        <f t="shared" si="14"/>
        <v>0</v>
      </c>
      <c r="X13" s="203">
        <f t="shared" si="14"/>
        <v>0</v>
      </c>
      <c r="Y13" s="203">
        <f t="shared" si="14"/>
        <v>0</v>
      </c>
      <c r="Z13" s="203">
        <f t="shared" si="14"/>
        <v>0</v>
      </c>
      <c r="AA13" s="203">
        <f t="shared" si="14"/>
        <v>0</v>
      </c>
      <c r="AB13" s="203">
        <f t="shared" si="14"/>
        <v>0</v>
      </c>
      <c r="AC13" s="203">
        <f t="shared" si="14"/>
        <v>0</v>
      </c>
      <c r="AD13" s="203">
        <f t="shared" si="14"/>
        <v>0</v>
      </c>
      <c r="AE13" s="203">
        <f t="shared" si="14"/>
        <v>0</v>
      </c>
      <c r="AF13" s="203">
        <f t="shared" si="14"/>
        <v>0</v>
      </c>
      <c r="AG13" s="203">
        <f t="shared" si="14"/>
        <v>0</v>
      </c>
      <c r="AH13" s="203">
        <f t="shared" si="14"/>
        <v>0</v>
      </c>
      <c r="AI13" s="203">
        <f t="shared" si="14"/>
        <v>0</v>
      </c>
      <c r="AJ13" s="203">
        <f t="shared" si="14"/>
        <v>0</v>
      </c>
      <c r="AK13" s="203">
        <f t="shared" si="14"/>
        <v>0</v>
      </c>
      <c r="AL13" s="203">
        <f t="shared" si="14"/>
        <v>0</v>
      </c>
      <c r="AM13" s="203">
        <f t="shared" si="14"/>
        <v>0</v>
      </c>
      <c r="AN13" s="203">
        <f t="shared" si="1"/>
        <v>0</v>
      </c>
      <c r="AO13" s="203">
        <f t="shared" si="2"/>
        <v>0</v>
      </c>
      <c r="AP13" s="203">
        <f t="shared" si="3"/>
        <v>0</v>
      </c>
    </row>
    <row r="14" s="200" customFormat="1" customHeight="1" spans="1:42">
      <c r="A14" s="40">
        <f>前台工资录入!A14</f>
        <v>0</v>
      </c>
      <c r="B14" s="40">
        <f>前台工资录入!B14</f>
        <v>0</v>
      </c>
      <c r="C14" s="40">
        <f>前台工资录入!C14</f>
        <v>0</v>
      </c>
      <c r="D14" s="40">
        <f>前台工资录入!D14</f>
        <v>0</v>
      </c>
      <c r="E14" s="40">
        <f>前台工资录入!E14</f>
        <v>0</v>
      </c>
      <c r="F14" s="40">
        <f>前台工资录入!F14</f>
        <v>0</v>
      </c>
      <c r="G14" s="40">
        <f>前台工资录入!G14</f>
        <v>0</v>
      </c>
      <c r="H14" s="40">
        <f>前台工资录入!H14</f>
        <v>0</v>
      </c>
      <c r="I14" s="40">
        <f>前台工资录入!I14</f>
        <v>0</v>
      </c>
      <c r="J14" s="40">
        <f>前台工资录入!J14</f>
        <v>0</v>
      </c>
      <c r="K14" s="40">
        <f>前台工资录入!K14</f>
        <v>0</v>
      </c>
      <c r="L14" s="203">
        <f t="shared" ref="L14:AM14" si="15">IFERROR($G14/$K$2,0)</f>
        <v>0</v>
      </c>
      <c r="M14" s="203">
        <f t="shared" si="15"/>
        <v>0</v>
      </c>
      <c r="N14" s="203">
        <f t="shared" si="15"/>
        <v>0</v>
      </c>
      <c r="O14" s="203">
        <f t="shared" si="15"/>
        <v>0</v>
      </c>
      <c r="P14" s="203">
        <f t="shared" si="15"/>
        <v>0</v>
      </c>
      <c r="Q14" s="203">
        <f t="shared" si="15"/>
        <v>0</v>
      </c>
      <c r="R14" s="203">
        <f t="shared" si="15"/>
        <v>0</v>
      </c>
      <c r="S14" s="203">
        <f t="shared" si="15"/>
        <v>0</v>
      </c>
      <c r="T14" s="203">
        <f t="shared" si="15"/>
        <v>0</v>
      </c>
      <c r="U14" s="203">
        <f t="shared" si="15"/>
        <v>0</v>
      </c>
      <c r="V14" s="203">
        <f t="shared" si="15"/>
        <v>0</v>
      </c>
      <c r="W14" s="203">
        <f t="shared" si="15"/>
        <v>0</v>
      </c>
      <c r="X14" s="203">
        <f t="shared" si="15"/>
        <v>0</v>
      </c>
      <c r="Y14" s="203">
        <f t="shared" si="15"/>
        <v>0</v>
      </c>
      <c r="Z14" s="203">
        <f t="shared" si="15"/>
        <v>0</v>
      </c>
      <c r="AA14" s="203">
        <f t="shared" si="15"/>
        <v>0</v>
      </c>
      <c r="AB14" s="203">
        <f t="shared" si="15"/>
        <v>0</v>
      </c>
      <c r="AC14" s="203">
        <f t="shared" si="15"/>
        <v>0</v>
      </c>
      <c r="AD14" s="203">
        <f t="shared" si="15"/>
        <v>0</v>
      </c>
      <c r="AE14" s="203">
        <f t="shared" si="15"/>
        <v>0</v>
      </c>
      <c r="AF14" s="203">
        <f t="shared" si="15"/>
        <v>0</v>
      </c>
      <c r="AG14" s="203">
        <f t="shared" si="15"/>
        <v>0</v>
      </c>
      <c r="AH14" s="203">
        <f t="shared" si="15"/>
        <v>0</v>
      </c>
      <c r="AI14" s="203">
        <f t="shared" si="15"/>
        <v>0</v>
      </c>
      <c r="AJ14" s="203">
        <f t="shared" si="15"/>
        <v>0</v>
      </c>
      <c r="AK14" s="203">
        <f t="shared" si="15"/>
        <v>0</v>
      </c>
      <c r="AL14" s="203">
        <f t="shared" si="15"/>
        <v>0</v>
      </c>
      <c r="AM14" s="203">
        <f t="shared" si="15"/>
        <v>0</v>
      </c>
      <c r="AN14" s="203">
        <f t="shared" si="1"/>
        <v>0</v>
      </c>
      <c r="AO14" s="203">
        <f t="shared" si="2"/>
        <v>0</v>
      </c>
      <c r="AP14" s="203">
        <f t="shared" si="3"/>
        <v>0</v>
      </c>
    </row>
    <row r="15" s="200" customFormat="1" customHeight="1" spans="1:42">
      <c r="A15" s="40">
        <f>前台工资录入!A15</f>
        <v>0</v>
      </c>
      <c r="B15" s="40">
        <f>前台工资录入!B15</f>
        <v>0</v>
      </c>
      <c r="C15" s="40">
        <f>前台工资录入!C15</f>
        <v>0</v>
      </c>
      <c r="D15" s="40">
        <f>前台工资录入!D15</f>
        <v>0</v>
      </c>
      <c r="E15" s="40">
        <f>前台工资录入!E15</f>
        <v>0</v>
      </c>
      <c r="F15" s="40">
        <f>前台工资录入!F15</f>
        <v>0</v>
      </c>
      <c r="G15" s="40">
        <f>前台工资录入!G15</f>
        <v>0</v>
      </c>
      <c r="H15" s="40">
        <f>前台工资录入!H15</f>
        <v>0</v>
      </c>
      <c r="I15" s="40">
        <f>前台工资录入!I15</f>
        <v>0</v>
      </c>
      <c r="J15" s="40">
        <f>前台工资录入!J15</f>
        <v>0</v>
      </c>
      <c r="K15" s="40">
        <f>前台工资录入!K15</f>
        <v>0</v>
      </c>
      <c r="L15" s="203">
        <f t="shared" ref="L15:AM15" si="16">IFERROR($G15/$K$2,0)</f>
        <v>0</v>
      </c>
      <c r="M15" s="203">
        <f t="shared" si="16"/>
        <v>0</v>
      </c>
      <c r="N15" s="203">
        <f t="shared" si="16"/>
        <v>0</v>
      </c>
      <c r="O15" s="203">
        <f t="shared" si="16"/>
        <v>0</v>
      </c>
      <c r="P15" s="203">
        <f t="shared" si="16"/>
        <v>0</v>
      </c>
      <c r="Q15" s="203">
        <f t="shared" si="16"/>
        <v>0</v>
      </c>
      <c r="R15" s="203">
        <f t="shared" si="16"/>
        <v>0</v>
      </c>
      <c r="S15" s="203">
        <f t="shared" si="16"/>
        <v>0</v>
      </c>
      <c r="T15" s="203">
        <f t="shared" si="16"/>
        <v>0</v>
      </c>
      <c r="U15" s="203">
        <f t="shared" si="16"/>
        <v>0</v>
      </c>
      <c r="V15" s="203">
        <f t="shared" si="16"/>
        <v>0</v>
      </c>
      <c r="W15" s="203">
        <f t="shared" si="16"/>
        <v>0</v>
      </c>
      <c r="X15" s="203">
        <f t="shared" si="16"/>
        <v>0</v>
      </c>
      <c r="Y15" s="203">
        <f t="shared" si="16"/>
        <v>0</v>
      </c>
      <c r="Z15" s="203">
        <f t="shared" si="16"/>
        <v>0</v>
      </c>
      <c r="AA15" s="203">
        <f t="shared" si="16"/>
        <v>0</v>
      </c>
      <c r="AB15" s="203">
        <f t="shared" si="16"/>
        <v>0</v>
      </c>
      <c r="AC15" s="203">
        <f t="shared" si="16"/>
        <v>0</v>
      </c>
      <c r="AD15" s="203">
        <f t="shared" si="16"/>
        <v>0</v>
      </c>
      <c r="AE15" s="203">
        <f t="shared" si="16"/>
        <v>0</v>
      </c>
      <c r="AF15" s="203">
        <f t="shared" si="16"/>
        <v>0</v>
      </c>
      <c r="AG15" s="203">
        <f t="shared" si="16"/>
        <v>0</v>
      </c>
      <c r="AH15" s="203">
        <f t="shared" si="16"/>
        <v>0</v>
      </c>
      <c r="AI15" s="203">
        <f t="shared" si="16"/>
        <v>0</v>
      </c>
      <c r="AJ15" s="203">
        <f t="shared" si="16"/>
        <v>0</v>
      </c>
      <c r="AK15" s="203">
        <f t="shared" si="16"/>
        <v>0</v>
      </c>
      <c r="AL15" s="203">
        <f t="shared" si="16"/>
        <v>0</v>
      </c>
      <c r="AM15" s="203">
        <f t="shared" si="16"/>
        <v>0</v>
      </c>
      <c r="AN15" s="203">
        <f t="shared" si="1"/>
        <v>0</v>
      </c>
      <c r="AO15" s="203">
        <f t="shared" si="2"/>
        <v>0</v>
      </c>
      <c r="AP15" s="203">
        <f t="shared" si="3"/>
        <v>0</v>
      </c>
    </row>
    <row r="16" s="131" customFormat="1" customHeight="1" spans="1:42">
      <c r="A16" s="136" t="s">
        <v>335</v>
      </c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>
        <f t="shared" ref="L16:AP16" si="17">SUM(L2:L15)</f>
        <v>1640</v>
      </c>
      <c r="M16" s="136">
        <f t="shared" si="17"/>
        <v>1640</v>
      </c>
      <c r="N16" s="136">
        <f t="shared" si="17"/>
        <v>1640</v>
      </c>
      <c r="O16" s="136">
        <f t="shared" si="17"/>
        <v>1640</v>
      </c>
      <c r="P16" s="136">
        <f t="shared" si="17"/>
        <v>1640</v>
      </c>
      <c r="Q16" s="136">
        <f t="shared" si="17"/>
        <v>1640</v>
      </c>
      <c r="R16" s="136">
        <f t="shared" si="17"/>
        <v>1640</v>
      </c>
      <c r="S16" s="136">
        <f t="shared" si="17"/>
        <v>1640</v>
      </c>
      <c r="T16" s="136">
        <f t="shared" si="17"/>
        <v>1640</v>
      </c>
      <c r="U16" s="136">
        <f t="shared" si="17"/>
        <v>1640</v>
      </c>
      <c r="V16" s="136">
        <f t="shared" si="17"/>
        <v>1640</v>
      </c>
      <c r="W16" s="136">
        <f t="shared" si="17"/>
        <v>1640</v>
      </c>
      <c r="X16" s="136">
        <f t="shared" si="17"/>
        <v>1640</v>
      </c>
      <c r="Y16" s="136">
        <f t="shared" si="17"/>
        <v>1640</v>
      </c>
      <c r="Z16" s="136">
        <f t="shared" si="17"/>
        <v>1640</v>
      </c>
      <c r="AA16" s="136">
        <f t="shared" si="17"/>
        <v>1640</v>
      </c>
      <c r="AB16" s="136">
        <f t="shared" si="17"/>
        <v>1640</v>
      </c>
      <c r="AC16" s="136">
        <f t="shared" si="17"/>
        <v>1640</v>
      </c>
      <c r="AD16" s="136">
        <f t="shared" si="17"/>
        <v>1640</v>
      </c>
      <c r="AE16" s="136">
        <f t="shared" si="17"/>
        <v>1640</v>
      </c>
      <c r="AF16" s="136">
        <f t="shared" si="17"/>
        <v>1640</v>
      </c>
      <c r="AG16" s="136">
        <f t="shared" si="17"/>
        <v>1640</v>
      </c>
      <c r="AH16" s="136">
        <f t="shared" si="17"/>
        <v>1640</v>
      </c>
      <c r="AI16" s="136">
        <f t="shared" si="17"/>
        <v>1640</v>
      </c>
      <c r="AJ16" s="136">
        <f t="shared" si="17"/>
        <v>1640</v>
      </c>
      <c r="AK16" s="136">
        <f t="shared" si="17"/>
        <v>1640</v>
      </c>
      <c r="AL16" s="136">
        <f t="shared" si="17"/>
        <v>1640</v>
      </c>
      <c r="AM16" s="136">
        <f t="shared" si="17"/>
        <v>1640</v>
      </c>
      <c r="AN16" s="136">
        <f t="shared" si="17"/>
        <v>0</v>
      </c>
      <c r="AO16" s="136">
        <f t="shared" si="17"/>
        <v>0</v>
      </c>
      <c r="AP16" s="136">
        <f t="shared" si="17"/>
        <v>0</v>
      </c>
    </row>
    <row r="17" ht="13.5" spans="41:42">
      <c r="AO17" s="139"/>
      <c r="AP17" s="139"/>
    </row>
    <row r="18" ht="13.5" spans="41:42">
      <c r="AO18" s="139"/>
      <c r="AP18" s="139"/>
    </row>
    <row r="19" ht="13.5" spans="41:42">
      <c r="AO19" s="139"/>
      <c r="AP19" s="139"/>
    </row>
    <row r="20" ht="13.5" spans="41:42">
      <c r="AO20" s="139"/>
      <c r="AP20" s="139"/>
    </row>
    <row r="21" ht="13.5" spans="41:42">
      <c r="AO21" s="139"/>
      <c r="AP21" s="139"/>
    </row>
    <row r="22" ht="13.5" spans="41:42">
      <c r="AO22" s="139"/>
      <c r="AP22" s="139"/>
    </row>
    <row r="23" ht="13.5" spans="41:42">
      <c r="AO23" s="139"/>
      <c r="AP23" s="139"/>
    </row>
    <row r="24" ht="13.5" spans="41:42">
      <c r="AO24" s="139"/>
      <c r="AP24" s="139"/>
    </row>
    <row r="25" ht="13.5" spans="41:42">
      <c r="AO25" s="139"/>
      <c r="AP25" s="139"/>
    </row>
    <row r="26" ht="13.5" spans="41:42">
      <c r="AO26" s="139"/>
      <c r="AP26" s="139"/>
    </row>
    <row r="27" ht="13.5" spans="41:42">
      <c r="AO27" s="139"/>
      <c r="AP27" s="139"/>
    </row>
    <row r="28" ht="13.5" spans="41:42">
      <c r="AO28" s="139"/>
      <c r="AP28" s="139"/>
    </row>
    <row r="29" ht="13.5" spans="41:42">
      <c r="AO29" s="139"/>
      <c r="AP29" s="139"/>
    </row>
    <row r="30" ht="13.5" spans="41:42">
      <c r="AO30" s="139"/>
      <c r="AP30" s="139"/>
    </row>
    <row r="31" ht="13.5" spans="41:42">
      <c r="AO31" s="139"/>
      <c r="AP31" s="139"/>
    </row>
    <row r="32" ht="13.5" spans="41:42">
      <c r="AO32" s="139"/>
      <c r="AP32" s="139"/>
    </row>
    <row r="33" ht="13.5" spans="41:42">
      <c r="AO33" s="139"/>
      <c r="AP33" s="139"/>
    </row>
    <row r="34" ht="13.5" spans="41:42">
      <c r="AO34" s="139"/>
      <c r="AP34" s="139"/>
    </row>
    <row r="35" ht="13.5" spans="41:42">
      <c r="AO35" s="139"/>
      <c r="AP35" s="139"/>
    </row>
    <row r="36" ht="13.5" spans="41:42">
      <c r="AO36" s="139"/>
      <c r="AP36" s="139"/>
    </row>
    <row r="37" ht="13.5" spans="41:42">
      <c r="AO37" s="139"/>
      <c r="AP37" s="139"/>
    </row>
    <row r="38" ht="13.5" spans="41:42">
      <c r="AO38" s="139"/>
      <c r="AP38" s="139"/>
    </row>
    <row r="39" ht="13.5" spans="41:42">
      <c r="AO39" s="139"/>
      <c r="AP39" s="139"/>
    </row>
    <row r="40" ht="13.5" spans="41:42">
      <c r="AO40" s="139"/>
      <c r="AP40" s="139"/>
    </row>
    <row r="41" ht="13.5" spans="41:42">
      <c r="AO41" s="139"/>
      <c r="AP41" s="139"/>
    </row>
    <row r="42" ht="13.5" spans="41:42">
      <c r="AO42" s="139"/>
      <c r="AP42" s="139"/>
    </row>
    <row r="43" ht="13.5" spans="41:42">
      <c r="AO43" s="139"/>
      <c r="AP43" s="139"/>
    </row>
    <row r="44" ht="13.5" spans="41:42">
      <c r="AO44" s="139"/>
      <c r="AP44" s="139"/>
    </row>
    <row r="45" ht="13.5" spans="41:42">
      <c r="AO45" s="139"/>
      <c r="AP45" s="139"/>
    </row>
    <row r="46" ht="13.5" spans="41:42">
      <c r="AO46" s="139"/>
      <c r="AP46" s="139"/>
    </row>
    <row r="47" ht="13.5" spans="41:42">
      <c r="AO47" s="139"/>
      <c r="AP47" s="139"/>
    </row>
    <row r="48" ht="13.5" spans="41:42">
      <c r="AO48" s="139"/>
      <c r="AP48" s="139"/>
    </row>
    <row r="49" ht="13.5" spans="41:42">
      <c r="AO49" s="139"/>
      <c r="AP49" s="139"/>
    </row>
    <row r="50" ht="13.5" spans="41:42">
      <c r="AO50" s="139"/>
      <c r="AP50" s="139"/>
    </row>
    <row r="51" ht="13.5" spans="41:42">
      <c r="AO51" s="139"/>
      <c r="AP51" s="139"/>
    </row>
    <row r="52" ht="13.5" spans="41:42">
      <c r="AO52" s="139"/>
      <c r="AP52" s="139"/>
    </row>
    <row r="53" ht="13.5" spans="41:42">
      <c r="AO53" s="139"/>
      <c r="AP53" s="139"/>
    </row>
    <row r="54" ht="13.5" spans="41:42">
      <c r="AO54" s="139"/>
      <c r="AP54" s="139"/>
    </row>
    <row r="55" ht="13.5" spans="41:42">
      <c r="AO55" s="139"/>
      <c r="AP55" s="139"/>
    </row>
    <row r="56" ht="13.5" spans="41:42">
      <c r="AO56" s="139"/>
      <c r="AP56" s="139"/>
    </row>
    <row r="57" ht="13.5" spans="41:42">
      <c r="AO57" s="139"/>
      <c r="AP57" s="139"/>
    </row>
    <row r="58" ht="13.5" spans="41:42">
      <c r="AO58" s="139"/>
      <c r="AP58" s="139"/>
    </row>
    <row r="59" ht="13.5" spans="41:42">
      <c r="AO59" s="139"/>
      <c r="AP59" s="139"/>
    </row>
    <row r="60" ht="13.5" spans="41:42">
      <c r="AO60" s="139"/>
      <c r="AP60" s="139"/>
    </row>
    <row r="61" ht="13.5" spans="41:42">
      <c r="AO61" s="139"/>
      <c r="AP61" s="139"/>
    </row>
    <row r="62" ht="13.5" spans="41:42">
      <c r="AO62" s="139"/>
      <c r="AP62" s="139"/>
    </row>
    <row r="63" ht="13.5" spans="41:42">
      <c r="AO63" s="139"/>
      <c r="AP63" s="139"/>
    </row>
    <row r="64" ht="13.5" spans="41:42">
      <c r="AO64" s="139"/>
      <c r="AP64" s="139"/>
    </row>
    <row r="65" ht="13.5" spans="41:42">
      <c r="AO65" s="139"/>
      <c r="AP65" s="139"/>
    </row>
    <row r="66" ht="13.5" spans="41:42">
      <c r="AO66" s="139"/>
      <c r="AP66" s="139"/>
    </row>
    <row r="67" ht="13.5" spans="41:42">
      <c r="AO67" s="139"/>
      <c r="AP67" s="139"/>
    </row>
    <row r="68" ht="13.5" spans="41:42">
      <c r="AO68" s="139"/>
      <c r="AP68" s="139"/>
    </row>
    <row r="69" ht="13.5" spans="41:42">
      <c r="AO69" s="139"/>
      <c r="AP69" s="139"/>
    </row>
    <row r="70" ht="13.5" spans="41:42">
      <c r="AO70" s="139"/>
      <c r="AP70" s="139"/>
    </row>
    <row r="71" ht="13.5" spans="41:42">
      <c r="AO71" s="139"/>
      <c r="AP71" s="139"/>
    </row>
    <row r="72" ht="13.5" spans="41:42">
      <c r="AO72" s="139"/>
      <c r="AP72" s="139"/>
    </row>
    <row r="73" ht="13.5" spans="41:42">
      <c r="AO73" s="139"/>
      <c r="AP73" s="139"/>
    </row>
    <row r="74" ht="13.5" spans="41:42">
      <c r="AO74" s="139"/>
      <c r="AP74" s="139"/>
    </row>
    <row r="75" ht="13.5" spans="41:42">
      <c r="AO75" s="139"/>
      <c r="AP75" s="139"/>
    </row>
    <row r="76" ht="13.5" spans="41:42">
      <c r="AO76" s="139"/>
      <c r="AP76" s="139"/>
    </row>
    <row r="77" ht="13.5" spans="41:42">
      <c r="AO77" s="139"/>
      <c r="AP77" s="139"/>
    </row>
    <row r="78" ht="13.5" spans="41:42">
      <c r="AO78" s="139"/>
      <c r="AP78" s="139"/>
    </row>
    <row r="79" ht="13.5" spans="41:42">
      <c r="AO79" s="139"/>
      <c r="AP79" s="139"/>
    </row>
    <row r="80" ht="13.5" spans="41:42">
      <c r="AO80" s="139"/>
      <c r="AP80" s="139"/>
    </row>
    <row r="81" ht="13.5" spans="41:42">
      <c r="AO81" s="139"/>
      <c r="AP81" s="139"/>
    </row>
    <row r="82" ht="13.5" spans="41:42">
      <c r="AO82" s="139"/>
      <c r="AP82" s="139"/>
    </row>
    <row r="83" ht="13.5" spans="41:42">
      <c r="AO83" s="139"/>
      <c r="AP83" s="139"/>
    </row>
    <row r="84" ht="13.5" spans="41:42">
      <c r="AO84" s="139"/>
      <c r="AP84" s="139"/>
    </row>
    <row r="85" ht="13.5" spans="41:42">
      <c r="AO85" s="139"/>
      <c r="AP85" s="139"/>
    </row>
    <row r="86" ht="13.5" spans="41:42">
      <c r="AO86" s="139"/>
      <c r="AP86" s="139"/>
    </row>
    <row r="87" ht="13.5" spans="41:42">
      <c r="AO87" s="139"/>
      <c r="AP87" s="139"/>
    </row>
    <row r="88" ht="13.5" spans="41:42">
      <c r="AO88" s="139"/>
      <c r="AP88" s="139"/>
    </row>
    <row r="89" ht="13.5" spans="41:42">
      <c r="AO89" s="139"/>
      <c r="AP89" s="139"/>
    </row>
    <row r="90" ht="13.5" spans="41:42">
      <c r="AO90" s="139"/>
      <c r="AP90" s="139"/>
    </row>
    <row r="91" ht="13.5" spans="41:42">
      <c r="AO91" s="139"/>
      <c r="AP91" s="139"/>
    </row>
    <row r="92" ht="13.5" spans="41:42">
      <c r="AO92" s="139"/>
      <c r="AP92" s="139"/>
    </row>
    <row r="93" ht="13.5" spans="41:42">
      <c r="AO93" s="139"/>
      <c r="AP93" s="139"/>
    </row>
    <row r="94" ht="13.5" spans="41:42">
      <c r="AO94" s="139"/>
      <c r="AP94" s="139"/>
    </row>
    <row r="95" ht="13.5" spans="41:42">
      <c r="AO95" s="139"/>
      <c r="AP95" s="139"/>
    </row>
    <row r="96" ht="13.5" spans="41:42">
      <c r="AO96" s="139"/>
      <c r="AP96" s="139"/>
    </row>
    <row r="97" ht="13.5" spans="41:42">
      <c r="AO97" s="139"/>
      <c r="AP97" s="139"/>
    </row>
    <row r="98" ht="13.5" spans="41:42">
      <c r="AO98" s="139"/>
      <c r="AP98" s="139"/>
    </row>
    <row r="99" ht="13.5" spans="41:42">
      <c r="AO99" s="139"/>
      <c r="AP99" s="139"/>
    </row>
    <row r="100" ht="13.5" spans="41:42">
      <c r="AO100" s="139"/>
      <c r="AP100" s="139"/>
    </row>
    <row r="101" ht="13.5" spans="41:42">
      <c r="AO101" s="139"/>
      <c r="AP101" s="139"/>
    </row>
    <row r="102" ht="13.5" spans="41:42">
      <c r="AO102" s="139"/>
      <c r="AP102" s="139"/>
    </row>
    <row r="103" ht="13.5" spans="41:42">
      <c r="AO103" s="139"/>
      <c r="AP103" s="139"/>
    </row>
    <row r="104" ht="13.5" spans="41:42">
      <c r="AO104" s="139"/>
      <c r="AP104" s="139"/>
    </row>
    <row r="105" ht="13.5" spans="41:42">
      <c r="AO105" s="139"/>
      <c r="AP105" s="139"/>
    </row>
    <row r="106" ht="13.5" spans="41:42">
      <c r="AO106" s="139"/>
      <c r="AP106" s="139"/>
    </row>
    <row r="107" ht="13.5" spans="41:42">
      <c r="AO107" s="139"/>
      <c r="AP107" s="139"/>
    </row>
    <row r="108" ht="13.5" spans="41:42">
      <c r="AO108" s="139"/>
      <c r="AP108" s="139"/>
    </row>
    <row r="109" ht="13.5" spans="41:42">
      <c r="AO109" s="139"/>
      <c r="AP109" s="139"/>
    </row>
    <row r="110" ht="13.5" spans="41:42">
      <c r="AO110" s="139"/>
      <c r="AP110" s="139"/>
    </row>
    <row r="111" ht="13.5" spans="41:42">
      <c r="AO111" s="139"/>
      <c r="AP111" s="139"/>
    </row>
    <row r="112" ht="13.5" spans="41:42">
      <c r="AO112" s="139"/>
      <c r="AP112" s="139"/>
    </row>
    <row r="113" ht="13.5" spans="41:42">
      <c r="AO113" s="139"/>
      <c r="AP113" s="139"/>
    </row>
    <row r="114" ht="13.5" spans="41:42">
      <c r="AO114" s="139"/>
      <c r="AP114" s="139"/>
    </row>
    <row r="115" ht="13.5" spans="41:42">
      <c r="AO115" s="139"/>
      <c r="AP115" s="139"/>
    </row>
    <row r="116" ht="13.5" spans="41:42">
      <c r="AO116" s="139"/>
      <c r="AP116" s="139"/>
    </row>
    <row r="117" ht="13.5" spans="41:42">
      <c r="AO117" s="139"/>
      <c r="AP117" s="139"/>
    </row>
    <row r="118" ht="13.5" spans="41:42">
      <c r="AO118" s="139"/>
      <c r="AP118" s="139"/>
    </row>
    <row r="119" ht="13.5" spans="41:42">
      <c r="AO119" s="139"/>
      <c r="AP119" s="139"/>
    </row>
    <row r="120" ht="13.5" spans="41:42">
      <c r="AO120" s="139"/>
      <c r="AP120" s="139"/>
    </row>
    <row r="121" ht="13.5" spans="41:42">
      <c r="AO121" s="139"/>
      <c r="AP121" s="139"/>
    </row>
    <row r="122" ht="13.5" spans="41:42">
      <c r="AO122" s="139"/>
      <c r="AP122" s="139"/>
    </row>
    <row r="123" ht="13.5" spans="41:42">
      <c r="AO123" s="139"/>
      <c r="AP123" s="139"/>
    </row>
    <row r="124" ht="13.5" spans="41:42">
      <c r="AO124" s="139"/>
      <c r="AP124" s="139"/>
    </row>
    <row r="125" ht="13.5" spans="41:42">
      <c r="AO125" s="139"/>
      <c r="AP125" s="139"/>
    </row>
    <row r="126" ht="13.5" spans="41:42">
      <c r="AO126" s="139"/>
      <c r="AP126" s="139"/>
    </row>
    <row r="127" ht="13.5" spans="41:42">
      <c r="AO127" s="139"/>
      <c r="AP127" s="139"/>
    </row>
    <row r="128" ht="13.5" spans="41:42">
      <c r="AO128" s="139"/>
      <c r="AP128" s="139"/>
    </row>
    <row r="129" ht="13.5" spans="41:42">
      <c r="AO129" s="139"/>
      <c r="AP129" s="139"/>
    </row>
    <row r="130" ht="13.5" spans="41:42">
      <c r="AO130" s="139"/>
      <c r="AP130" s="139"/>
    </row>
    <row r="131" ht="13.5" spans="41:42">
      <c r="AO131" s="139"/>
      <c r="AP131" s="139"/>
    </row>
    <row r="132" ht="13.5" spans="41:42">
      <c r="AO132" s="139"/>
      <c r="AP132" s="139"/>
    </row>
    <row r="133" ht="13.5" spans="41:42">
      <c r="AO133" s="139"/>
      <c r="AP133" s="139"/>
    </row>
    <row r="134" ht="13.5" spans="41:42">
      <c r="AO134" s="139"/>
      <c r="AP134" s="139"/>
    </row>
    <row r="135" ht="13.5" spans="41:42">
      <c r="AO135" s="139"/>
      <c r="AP135" s="139"/>
    </row>
    <row r="136" ht="13.5" spans="41:42">
      <c r="AO136" s="139"/>
      <c r="AP136" s="139"/>
    </row>
    <row r="137" ht="13.5" spans="41:42">
      <c r="AO137" s="139"/>
      <c r="AP137" s="139"/>
    </row>
    <row r="138" ht="13.5" spans="41:42">
      <c r="AO138" s="139"/>
      <c r="AP138" s="139"/>
    </row>
    <row r="139" ht="13.5" spans="41:42">
      <c r="AO139" s="139"/>
      <c r="AP139" s="139"/>
    </row>
    <row r="140" ht="13.5" spans="41:42">
      <c r="AO140" s="139"/>
      <c r="AP140" s="139"/>
    </row>
    <row r="141" ht="13.5" spans="41:42">
      <c r="AO141" s="139"/>
      <c r="AP141" s="139"/>
    </row>
    <row r="142" ht="13.5" spans="41:42">
      <c r="AO142" s="139"/>
      <c r="AP142" s="139"/>
    </row>
    <row r="143" ht="13.5" spans="41:42">
      <c r="AO143" s="139"/>
      <c r="AP143" s="139"/>
    </row>
    <row r="144" ht="13.5" spans="41:42">
      <c r="AO144" s="139"/>
      <c r="AP144" s="139"/>
    </row>
    <row r="145" ht="13.5" spans="41:42">
      <c r="AO145" s="139"/>
      <c r="AP145" s="139"/>
    </row>
    <row r="146" ht="13.5" spans="41:42">
      <c r="AO146" s="139"/>
      <c r="AP146" s="139"/>
    </row>
    <row r="147" ht="13.5" spans="41:42">
      <c r="AO147" s="139"/>
      <c r="AP147" s="139"/>
    </row>
    <row r="148" ht="13.5" spans="41:42">
      <c r="AO148" s="139"/>
      <c r="AP148" s="139"/>
    </row>
    <row r="149" ht="13.5" spans="41:42">
      <c r="AO149" s="139"/>
      <c r="AP149" s="139"/>
    </row>
    <row r="150" ht="13.5" spans="41:42">
      <c r="AO150" s="139"/>
      <c r="AP150" s="139"/>
    </row>
    <row r="151" ht="13.5" spans="41:42">
      <c r="AO151" s="139"/>
      <c r="AP151" s="139"/>
    </row>
    <row r="152" ht="13.5" spans="41:42">
      <c r="AO152" s="139"/>
      <c r="AP152" s="139"/>
    </row>
    <row r="153" ht="13.5" spans="41:42">
      <c r="AO153" s="139"/>
      <c r="AP153" s="139"/>
    </row>
    <row r="154" ht="13.5" spans="41:42">
      <c r="AO154" s="139"/>
      <c r="AP154" s="139"/>
    </row>
    <row r="155" ht="13.5" spans="41:42">
      <c r="AO155" s="139"/>
      <c r="AP155" s="139"/>
    </row>
    <row r="156" ht="13.5" spans="41:42">
      <c r="AO156" s="139"/>
      <c r="AP156" s="139"/>
    </row>
    <row r="157" ht="13.5" spans="41:42">
      <c r="AO157" s="139"/>
      <c r="AP157" s="139"/>
    </row>
    <row r="158" ht="13.5" spans="41:42">
      <c r="AO158" s="139"/>
      <c r="AP158" s="139"/>
    </row>
    <row r="159" ht="13.5" spans="41:42">
      <c r="AO159" s="139"/>
      <c r="AP159" s="139"/>
    </row>
    <row r="160" ht="13.5" spans="41:42">
      <c r="AO160" s="139"/>
      <c r="AP160" s="139"/>
    </row>
    <row r="161" ht="13.5" spans="41:42">
      <c r="AO161" s="139"/>
      <c r="AP161" s="139"/>
    </row>
    <row r="162" ht="13.5" spans="41:42">
      <c r="AO162" s="139"/>
      <c r="AP162" s="139"/>
    </row>
    <row r="163" ht="13.5" spans="41:42">
      <c r="AO163" s="139"/>
      <c r="AP163" s="139"/>
    </row>
    <row r="164" ht="13.5" spans="41:42">
      <c r="AO164" s="139"/>
      <c r="AP164" s="139"/>
    </row>
    <row r="165" ht="13.5" spans="41:42">
      <c r="AO165" s="139"/>
      <c r="AP165" s="139"/>
    </row>
    <row r="166" ht="13.5" spans="41:42">
      <c r="AO166" s="139"/>
      <c r="AP166" s="139"/>
    </row>
    <row r="167" ht="13.5" spans="41:42">
      <c r="AO167" s="139"/>
      <c r="AP167" s="139"/>
    </row>
    <row r="168" ht="13.5" spans="41:42">
      <c r="AO168" s="139"/>
      <c r="AP168" s="139"/>
    </row>
    <row r="169" ht="13.5" spans="41:42">
      <c r="AO169" s="139"/>
      <c r="AP169" s="139"/>
    </row>
    <row r="170" ht="13.5" spans="41:42">
      <c r="AO170" s="139"/>
      <c r="AP170" s="139"/>
    </row>
    <row r="171" ht="13.5" spans="41:42">
      <c r="AO171" s="139"/>
      <c r="AP171" s="139"/>
    </row>
    <row r="172" ht="13.5" spans="41:42">
      <c r="AO172" s="139"/>
      <c r="AP172" s="139"/>
    </row>
    <row r="173" ht="13.5" spans="41:42">
      <c r="AO173" s="139"/>
      <c r="AP173" s="139"/>
    </row>
    <row r="174" ht="13.5" spans="41:42">
      <c r="AO174" s="139"/>
      <c r="AP174" s="139"/>
    </row>
    <row r="175" ht="13.5" spans="41:42">
      <c r="AO175" s="139"/>
      <c r="AP175" s="139"/>
    </row>
    <row r="176" ht="13.5" spans="41:42">
      <c r="AO176" s="139"/>
      <c r="AP176" s="139"/>
    </row>
    <row r="177" ht="13.5" spans="41:42">
      <c r="AO177" s="139"/>
      <c r="AP177" s="139"/>
    </row>
    <row r="178" ht="13.5" spans="41:42">
      <c r="AO178" s="139"/>
      <c r="AP178" s="139"/>
    </row>
    <row r="179" ht="13.5" spans="41:42">
      <c r="AO179" s="139"/>
      <c r="AP179" s="139"/>
    </row>
    <row r="180" ht="13.5" spans="41:42">
      <c r="AO180" s="139"/>
      <c r="AP180" s="139"/>
    </row>
    <row r="181" ht="13.5" spans="41:42">
      <c r="AO181" s="139"/>
      <c r="AP181" s="139"/>
    </row>
    <row r="182" ht="13.5" spans="41:42">
      <c r="AO182" s="139"/>
      <c r="AP182" s="139"/>
    </row>
    <row r="183" ht="13.5" spans="41:42">
      <c r="AO183" s="139"/>
      <c r="AP183" s="139"/>
    </row>
    <row r="184" ht="13.5" spans="41:42">
      <c r="AO184" s="139"/>
      <c r="AP184" s="139"/>
    </row>
    <row r="185" ht="13.5" spans="41:42">
      <c r="AO185" s="139"/>
      <c r="AP185" s="139"/>
    </row>
    <row r="186" ht="13.5" spans="41:42">
      <c r="AO186" s="139"/>
      <c r="AP186" s="139"/>
    </row>
    <row r="187" ht="13.5" spans="41:42">
      <c r="AO187" s="139"/>
      <c r="AP187" s="139"/>
    </row>
    <row r="188" ht="13.5" spans="41:42">
      <c r="AO188" s="139"/>
      <c r="AP188" s="139"/>
    </row>
    <row r="189" ht="13.5" spans="41:42">
      <c r="AO189" s="139"/>
      <c r="AP189" s="139"/>
    </row>
    <row r="190" ht="13.5" spans="41:42">
      <c r="AO190" s="139"/>
      <c r="AP190" s="139"/>
    </row>
    <row r="191" ht="13.5" spans="41:42">
      <c r="AO191" s="139"/>
      <c r="AP191" s="139"/>
    </row>
    <row r="192" ht="13.5" spans="41:42">
      <c r="AO192" s="139"/>
      <c r="AP192" s="139"/>
    </row>
    <row r="193" ht="13.5" spans="41:42">
      <c r="AO193" s="139"/>
      <c r="AP193" s="139"/>
    </row>
    <row r="194" ht="13.5" spans="41:42">
      <c r="AO194" s="139"/>
      <c r="AP194" s="139"/>
    </row>
    <row r="195" ht="13.5" spans="41:42">
      <c r="AO195" s="139"/>
      <c r="AP195" s="139"/>
    </row>
    <row r="196" ht="13.5" spans="41:42">
      <c r="AO196" s="139"/>
      <c r="AP196" s="139"/>
    </row>
    <row r="197" ht="13.5" spans="41:42">
      <c r="AO197" s="139"/>
      <c r="AP197" s="139"/>
    </row>
    <row r="198" ht="13.5" spans="41:42">
      <c r="AO198" s="139"/>
      <c r="AP198" s="139"/>
    </row>
    <row r="199" ht="13.5" spans="41:42">
      <c r="AO199" s="139"/>
      <c r="AP199" s="139"/>
    </row>
    <row r="200" ht="13.5" spans="41:42">
      <c r="AO200" s="139"/>
      <c r="AP200" s="139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客房耗材出入库表 (2)">
    <tabColor rgb="FFFF0000"/>
    <pageSetUpPr fitToPage="1"/>
  </sheetPr>
  <dimension ref="A1:BW61"/>
  <sheetViews>
    <sheetView showGridLines="0" workbookViewId="0">
      <pane ySplit="4" topLeftCell="A5" activePane="bottomLeft" state="frozen"/>
      <selection/>
      <selection pane="bottomLeft" activeCell="G11" sqref="G11"/>
    </sheetView>
  </sheetViews>
  <sheetFormatPr defaultColWidth="9" defaultRowHeight="25" customHeight="1"/>
  <cols>
    <col min="1" max="1" width="4.81666666666667" style="143"/>
    <col min="2" max="2" width="15" style="143"/>
    <col min="3" max="3" width="8.25833333333333" style="143"/>
    <col min="4" max="4" width="5.125" style="143"/>
    <col min="5" max="5" width="7" style="143"/>
    <col min="6" max="6" width="10.875" style="143"/>
    <col min="7" max="7" width="10.875" style="145"/>
    <col min="8" max="8" width="10.875" style="144"/>
    <col min="9" max="9" width="10.875" style="145"/>
    <col min="10" max="10" width="10.875" style="144"/>
    <col min="11" max="11" width="10.875" style="145"/>
    <col min="12" max="12" width="10.875" style="144"/>
    <col min="13" max="13" width="10.875" style="145"/>
    <col min="14" max="14" width="8.08333333333333" style="143"/>
    <col min="15" max="75" width="9" style="3"/>
  </cols>
  <sheetData>
    <row r="1" s="18" customFormat="1" ht="40" customHeight="1" spans="1:75">
      <c r="A1" s="148"/>
      <c r="B1" s="148" t="s">
        <v>313</v>
      </c>
      <c r="C1" s="148"/>
      <c r="D1" s="148"/>
      <c r="E1" s="148"/>
      <c r="F1" s="148"/>
      <c r="G1" s="148"/>
      <c r="H1" s="149"/>
      <c r="I1" s="150"/>
      <c r="J1" s="149"/>
      <c r="K1" s="150"/>
      <c r="L1" s="149"/>
      <c r="M1" s="150"/>
      <c r="N1" s="148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</row>
    <row r="2" s="18" customFormat="1" ht="15" customHeight="1" spans="1:75">
      <c r="A2" s="148"/>
      <c r="B2" s="153" t="s">
        <v>2</v>
      </c>
      <c r="C2" s="148"/>
      <c r="D2" s="148"/>
      <c r="E2" s="148"/>
      <c r="F2" s="148"/>
      <c r="G2" s="150"/>
      <c r="H2" s="149"/>
      <c r="I2" s="150"/>
      <c r="J2" s="149"/>
      <c r="K2" s="150"/>
      <c r="L2" s="149"/>
      <c r="M2" s="150"/>
      <c r="N2" s="215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</row>
    <row r="3" s="18" customFormat="1" customHeight="1" spans="1:75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64</v>
      </c>
      <c r="F3" s="20" t="s">
        <v>128</v>
      </c>
      <c r="G3" s="20" t="s">
        <v>129</v>
      </c>
      <c r="H3" s="20" t="s">
        <v>130</v>
      </c>
      <c r="I3" s="20" t="s">
        <v>131</v>
      </c>
      <c r="J3" s="20" t="s">
        <v>132</v>
      </c>
      <c r="K3" s="20" t="s">
        <v>65</v>
      </c>
      <c r="L3" s="20" t="s">
        <v>133</v>
      </c>
      <c r="M3" s="20" t="s">
        <v>129</v>
      </c>
      <c r="N3" s="20"/>
      <c r="O3" s="20" t="s">
        <v>9</v>
      </c>
      <c r="P3" s="20"/>
      <c r="Q3" s="20" t="s">
        <v>10</v>
      </c>
      <c r="R3" s="20"/>
      <c r="S3" s="20" t="s">
        <v>11</v>
      </c>
      <c r="T3" s="20"/>
      <c r="U3" s="20" t="s">
        <v>12</v>
      </c>
      <c r="V3" s="20"/>
      <c r="W3" s="20" t="s">
        <v>13</v>
      </c>
      <c r="X3" s="20"/>
      <c r="Y3" s="20" t="s">
        <v>14</v>
      </c>
      <c r="Z3" s="20"/>
      <c r="AA3" s="20" t="s">
        <v>15</v>
      </c>
      <c r="AB3" s="20"/>
      <c r="AC3" s="20" t="s">
        <v>16</v>
      </c>
      <c r="AD3" s="20"/>
      <c r="AE3" s="20" t="s">
        <v>17</v>
      </c>
      <c r="AF3" s="20"/>
      <c r="AG3" s="20" t="s">
        <v>18</v>
      </c>
      <c r="AH3" s="20"/>
      <c r="AI3" s="20" t="s">
        <v>19</v>
      </c>
      <c r="AJ3" s="20"/>
      <c r="AK3" s="20" t="s">
        <v>20</v>
      </c>
      <c r="AL3" s="20"/>
      <c r="AM3" s="20" t="s">
        <v>21</v>
      </c>
      <c r="AN3" s="20"/>
      <c r="AO3" s="20" t="s">
        <v>22</v>
      </c>
      <c r="AP3" s="20"/>
      <c r="AQ3" s="20" t="s">
        <v>23</v>
      </c>
      <c r="AR3" s="20"/>
      <c r="AS3" s="20" t="s">
        <v>24</v>
      </c>
      <c r="AT3" s="20"/>
      <c r="AU3" s="20" t="s">
        <v>25</v>
      </c>
      <c r="AV3" s="20"/>
      <c r="AW3" s="20" t="s">
        <v>26</v>
      </c>
      <c r="AX3" s="20"/>
      <c r="AY3" s="20" t="s">
        <v>27</v>
      </c>
      <c r="AZ3" s="20"/>
      <c r="BA3" s="20" t="s">
        <v>28</v>
      </c>
      <c r="BB3" s="20"/>
      <c r="BC3" s="20" t="s">
        <v>29</v>
      </c>
      <c r="BD3" s="20"/>
      <c r="BE3" s="20" t="s">
        <v>30</v>
      </c>
      <c r="BF3" s="20"/>
      <c r="BG3" s="20" t="s">
        <v>31</v>
      </c>
      <c r="BH3" s="20"/>
      <c r="BI3" s="20" t="s">
        <v>32</v>
      </c>
      <c r="BJ3" s="20"/>
      <c r="BK3" s="20" t="s">
        <v>33</v>
      </c>
      <c r="BL3" s="20"/>
      <c r="BM3" s="20" t="s">
        <v>34</v>
      </c>
      <c r="BN3" s="20"/>
      <c r="BO3" s="20" t="s">
        <v>35</v>
      </c>
      <c r="BP3" s="20"/>
      <c r="BQ3" s="20" t="s">
        <v>36</v>
      </c>
      <c r="BR3" s="20"/>
      <c r="BS3" s="20" t="s">
        <v>37</v>
      </c>
      <c r="BT3" s="20"/>
      <c r="BU3" s="20" t="s">
        <v>38</v>
      </c>
      <c r="BV3" s="20"/>
      <c r="BW3" s="20" t="s">
        <v>39</v>
      </c>
    </row>
    <row r="4" s="18" customFormat="1" customHeight="1" spans="1:75">
      <c r="A4" s="210"/>
      <c r="B4" s="210"/>
      <c r="C4" s="210"/>
      <c r="D4" s="210"/>
      <c r="E4" s="210"/>
      <c r="F4" s="20"/>
      <c r="G4" s="20"/>
      <c r="H4" s="20"/>
      <c r="I4" s="20"/>
      <c r="J4" s="20"/>
      <c r="K4" s="20"/>
      <c r="L4" s="20"/>
      <c r="M4" s="20"/>
      <c r="N4" s="20" t="s">
        <v>134</v>
      </c>
      <c r="O4" s="20" t="s">
        <v>686</v>
      </c>
      <c r="P4" s="20" t="s">
        <v>134</v>
      </c>
      <c r="Q4" s="20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40" customFormat="1" customHeight="1" spans="1:75">
      <c r="A5" s="161">
        <v>1</v>
      </c>
      <c r="B5" s="162" t="str">
        <f>客房耗材出入库录入!B5</f>
        <v>牙刷</v>
      </c>
      <c r="C5" s="162">
        <f>客房耗材出入库录入!C5</f>
        <v>0</v>
      </c>
      <c r="D5" s="162" t="str">
        <f>客房耗材出入库录入!D5</f>
        <v>支</v>
      </c>
      <c r="E5" s="162">
        <f>客房耗材出入库录入!E5</f>
        <v>0.39</v>
      </c>
      <c r="F5" s="162">
        <f>客房耗材出入库录入!F5</f>
        <v>5400</v>
      </c>
      <c r="G5" s="162">
        <f>客房耗材出入库录入!G5</f>
        <v>2106</v>
      </c>
      <c r="H5" s="162">
        <f>客房耗材出入库录入!H5</f>
        <v>0</v>
      </c>
      <c r="I5" s="162">
        <f>客房耗材出入库录入!I5</f>
        <v>0</v>
      </c>
      <c r="J5" s="162">
        <f>客房耗材出入库录入!J5</f>
        <v>3784</v>
      </c>
      <c r="K5" s="162">
        <f>客房耗材出入库录入!K5</f>
        <v>1475.76</v>
      </c>
      <c r="L5" s="162">
        <f>客房耗材出入库录入!L5</f>
        <v>1616</v>
      </c>
      <c r="M5" s="162">
        <f>客房耗材出入库录入!M5</f>
        <v>630.24</v>
      </c>
      <c r="N5" s="162">
        <f>客房耗材出入库录入!N5</f>
        <v>0</v>
      </c>
      <c r="O5" s="162">
        <f>客房耗材出入库录入!O5*$E5</f>
        <v>38.22</v>
      </c>
      <c r="P5" s="162">
        <f>客房耗材出入库录入!P5*$E5</f>
        <v>0</v>
      </c>
      <c r="Q5" s="162">
        <f>客房耗材出入库录入!Q5*$E5</f>
        <v>41.34</v>
      </c>
      <c r="R5" s="162">
        <f>客房耗材出入库录入!R5*$E5</f>
        <v>0</v>
      </c>
      <c r="S5" s="162">
        <f>客房耗材出入库录入!S5*$E5</f>
        <v>46.8</v>
      </c>
      <c r="T5" s="162">
        <f>客房耗材出入库录入!T5*$E5</f>
        <v>0</v>
      </c>
      <c r="U5" s="162">
        <f>客房耗材出入库录入!U5*$E5</f>
        <v>39.78</v>
      </c>
      <c r="V5" s="162">
        <f>客房耗材出入库录入!V5*$E5</f>
        <v>0</v>
      </c>
      <c r="W5" s="162">
        <f>客房耗材出入库录入!W5*$E5</f>
        <v>47.97</v>
      </c>
      <c r="X5" s="162">
        <f>客房耗材出入库录入!X5*$E5</f>
        <v>0</v>
      </c>
      <c r="Y5" s="162">
        <f>客房耗材出入库录入!Y5*$E5</f>
        <v>38.22</v>
      </c>
      <c r="Z5" s="162">
        <f>客房耗材出入库录入!Z5*$E5</f>
        <v>0</v>
      </c>
      <c r="AA5" s="162">
        <f>客房耗材出入库录入!AA5*$E5</f>
        <v>51.48</v>
      </c>
      <c r="AB5" s="162">
        <f>客房耗材出入库录入!AB5*$E5</f>
        <v>0</v>
      </c>
      <c r="AC5" s="162">
        <f>客房耗材出入库录入!AC5*$E5</f>
        <v>49.14</v>
      </c>
      <c r="AD5" s="162">
        <f>客房耗材出入库录入!AD5*$E5</f>
        <v>0</v>
      </c>
      <c r="AE5" s="162">
        <f>客房耗材出入库录入!AE5*$E5</f>
        <v>48.36</v>
      </c>
      <c r="AF5" s="162">
        <f>客房耗材出入库录入!AF5*$E5</f>
        <v>0</v>
      </c>
      <c r="AG5" s="162">
        <f>客房耗材出入库录入!AG5*$E5</f>
        <v>55.38</v>
      </c>
      <c r="AH5" s="162">
        <f>客房耗材出入库录入!AH5*$E5</f>
        <v>0</v>
      </c>
      <c r="AI5" s="162">
        <f>客房耗材出入库录入!AI5*$E5</f>
        <v>51.09</v>
      </c>
      <c r="AJ5" s="162">
        <f>客房耗材出入库录入!AJ5*$E5</f>
        <v>0</v>
      </c>
      <c r="AK5" s="162">
        <f>客房耗材出入库录入!AK5*$E5</f>
        <v>47.97</v>
      </c>
      <c r="AL5" s="162">
        <f>客房耗材出入库录入!AL5*$E5</f>
        <v>0</v>
      </c>
      <c r="AM5" s="162">
        <f>客房耗材出入库录入!AM5*$E5</f>
        <v>53.82</v>
      </c>
      <c r="AN5" s="162">
        <f>客房耗材出入库录入!AN5*$E5</f>
        <v>0</v>
      </c>
      <c r="AO5" s="162">
        <f>客房耗材出入库录入!AO5*$E5</f>
        <v>37.44</v>
      </c>
      <c r="AP5" s="162">
        <f>客房耗材出入库录入!AP5*$E5</f>
        <v>0</v>
      </c>
      <c r="AQ5" s="162">
        <f>客房耗材出入库录入!AQ5*$E5</f>
        <v>46.41</v>
      </c>
      <c r="AR5" s="162">
        <f>客房耗材出入库录入!AR5*$E5</f>
        <v>0</v>
      </c>
      <c r="AS5" s="162">
        <f>客房耗材出入库录入!AS5*$E5</f>
        <v>47.97</v>
      </c>
      <c r="AT5" s="162">
        <f>客房耗材出入库录入!AT5*$E5</f>
        <v>0</v>
      </c>
      <c r="AU5" s="162">
        <f>客房耗材出入库录入!AU5*$E5</f>
        <v>44.46</v>
      </c>
      <c r="AV5" s="162">
        <f>客房耗材出入库录入!AV5*$E5</f>
        <v>0</v>
      </c>
      <c r="AW5" s="162">
        <f>客房耗材出入库录入!AW5*$E5</f>
        <v>46.8</v>
      </c>
      <c r="AX5" s="162">
        <f>客房耗材出入库录入!AX5*$E5</f>
        <v>0</v>
      </c>
      <c r="AY5" s="162">
        <f>客房耗材出入库录入!AY5*$E5</f>
        <v>45.24</v>
      </c>
      <c r="AZ5" s="162">
        <f>客房耗材出入库录入!AZ5*$E5</f>
        <v>0</v>
      </c>
      <c r="BA5" s="162">
        <f>客房耗材出入库录入!BA5*$E5</f>
        <v>49.53</v>
      </c>
      <c r="BB5" s="162">
        <f>客房耗材出入库录入!BB5*$E5</f>
        <v>0</v>
      </c>
      <c r="BC5" s="162">
        <f>客房耗材出入库录入!BC5*$E5</f>
        <v>47.58</v>
      </c>
      <c r="BD5" s="162">
        <f>客房耗材出入库录入!BD5*$E5</f>
        <v>0</v>
      </c>
      <c r="BE5" s="162">
        <f>客房耗材出入库录入!BE5*$E5</f>
        <v>46.02</v>
      </c>
      <c r="BF5" s="162">
        <f>客房耗材出入库录入!BF5*$E5</f>
        <v>0</v>
      </c>
      <c r="BG5" s="162">
        <f>客房耗材出入库录入!BG5*$E5</f>
        <v>47.97</v>
      </c>
      <c r="BH5" s="162">
        <f>客房耗材出入库录入!BH5*$E5</f>
        <v>0</v>
      </c>
      <c r="BI5" s="162">
        <f>客房耗材出入库录入!BI5*$E5</f>
        <v>46.41</v>
      </c>
      <c r="BJ5" s="162">
        <f>客房耗材出入库录入!BJ5*$E5</f>
        <v>0</v>
      </c>
      <c r="BK5" s="162">
        <f>客房耗材出入库录入!BK5*$E5</f>
        <v>51.48</v>
      </c>
      <c r="BL5" s="162">
        <f>客房耗材出入库录入!BL5*$E5</f>
        <v>0</v>
      </c>
      <c r="BM5" s="162">
        <f>客房耗材出入库录入!BM5*$E5</f>
        <v>46.02</v>
      </c>
      <c r="BN5" s="162">
        <f>客房耗材出入库录入!BN5*$E5</f>
        <v>0</v>
      </c>
      <c r="BO5" s="162">
        <f>客房耗材出入库录入!BO5*$E5</f>
        <v>46.8</v>
      </c>
      <c r="BP5" s="162">
        <f>客房耗材出入库录入!BP5*$E5</f>
        <v>0</v>
      </c>
      <c r="BQ5" s="162">
        <f>客房耗材出入库录入!BQ5*$E5</f>
        <v>50.7</v>
      </c>
      <c r="BR5" s="162">
        <f>客房耗材出入库录入!BR5*$E5</f>
        <v>0</v>
      </c>
      <c r="BS5" s="162">
        <f>客房耗材出入库录入!BS5*$E5</f>
        <v>53.04</v>
      </c>
      <c r="BT5" s="162">
        <f>客房耗材出入库录入!BT5*$E5</f>
        <v>0</v>
      </c>
      <c r="BU5" s="162">
        <f>客房耗材出入库录入!BU5*$E5</f>
        <v>55.38</v>
      </c>
      <c r="BV5" s="162">
        <f>客房耗材出入库录入!BV5*$E5</f>
        <v>0</v>
      </c>
      <c r="BW5" s="162">
        <f>客房耗材出入库录入!BW5*$E5</f>
        <v>56.94</v>
      </c>
    </row>
    <row r="6" s="140" customFormat="1" customHeight="1" spans="1:75">
      <c r="A6" s="161">
        <v>1</v>
      </c>
      <c r="B6" s="162" t="str">
        <f>客房耗材出入库录入!B6</f>
        <v>牙膏</v>
      </c>
      <c r="C6" s="162">
        <f>客房耗材出入库录入!C6</f>
        <v>0</v>
      </c>
      <c r="D6" s="162" t="str">
        <f>客房耗材出入库录入!D6</f>
        <v>支</v>
      </c>
      <c r="E6" s="162">
        <f>客房耗材出入库录入!E6</f>
        <v>0.16</v>
      </c>
      <c r="F6" s="162">
        <f>客房耗材出入库录入!F6</f>
        <v>6407</v>
      </c>
      <c r="G6" s="162">
        <f>客房耗材出入库录入!G6</f>
        <v>1025.12</v>
      </c>
      <c r="H6" s="162">
        <f>客房耗材出入库录入!H6</f>
        <v>0</v>
      </c>
      <c r="I6" s="162">
        <f>客房耗材出入库录入!I6</f>
        <v>0</v>
      </c>
      <c r="J6" s="162">
        <f>客房耗材出入库录入!J6</f>
        <v>3399</v>
      </c>
      <c r="K6" s="162">
        <f>客房耗材出入库录入!K6</f>
        <v>543.84</v>
      </c>
      <c r="L6" s="162">
        <f>客房耗材出入库录入!L6</f>
        <v>3008</v>
      </c>
      <c r="M6" s="162">
        <f>客房耗材出入库录入!M6</f>
        <v>481.28</v>
      </c>
      <c r="N6" s="162">
        <f>客房耗材出入库录入!N6</f>
        <v>0</v>
      </c>
      <c r="O6" s="162">
        <f>客房耗材出入库录入!O6*$E6</f>
        <v>14.4</v>
      </c>
      <c r="P6" s="162">
        <f>客房耗材出入库录入!P6*$E6</f>
        <v>0</v>
      </c>
      <c r="Q6" s="162">
        <f>客房耗材出入库录入!Q6*$E6</f>
        <v>15.2</v>
      </c>
      <c r="R6" s="162">
        <f>客房耗材出入库录入!R6*$E6</f>
        <v>0</v>
      </c>
      <c r="S6" s="162">
        <f>客房耗材出入库录入!S6*$E6</f>
        <v>18.08</v>
      </c>
      <c r="T6" s="162">
        <f>客房耗材出入库录入!T6*$E6</f>
        <v>0</v>
      </c>
      <c r="U6" s="162">
        <f>客房耗材出入库录入!U6*$E6</f>
        <v>15.04</v>
      </c>
      <c r="V6" s="162">
        <f>客房耗材出入库录入!V6*$E6</f>
        <v>0</v>
      </c>
      <c r="W6" s="162">
        <f>客房耗材出入库录入!W6*$E6</f>
        <v>16.96</v>
      </c>
      <c r="X6" s="162">
        <f>客房耗材出入库录入!X6*$E6</f>
        <v>0</v>
      </c>
      <c r="Y6" s="162">
        <f>客房耗材出入库录入!Y6*$E6</f>
        <v>14.08</v>
      </c>
      <c r="Z6" s="162">
        <f>客房耗材出入库录入!Z6*$E6</f>
        <v>0</v>
      </c>
      <c r="AA6" s="162">
        <f>客房耗材出入库录入!AA6*$E6</f>
        <v>17.92</v>
      </c>
      <c r="AB6" s="162">
        <f>客房耗材出入库录入!AB6*$E6</f>
        <v>0</v>
      </c>
      <c r="AC6" s="162">
        <f>客房耗材出入库录入!AC6*$E6</f>
        <v>18.88</v>
      </c>
      <c r="AD6" s="162">
        <f>客房耗材出入库录入!AD6*$E6</f>
        <v>0</v>
      </c>
      <c r="AE6" s="162">
        <f>客房耗材出入库录入!AE6*$E6</f>
        <v>16.8</v>
      </c>
      <c r="AF6" s="162">
        <f>客房耗材出入库录入!AF6*$E6</f>
        <v>0</v>
      </c>
      <c r="AG6" s="162">
        <f>客房耗材出入库录入!AG6*$E6</f>
        <v>20.32</v>
      </c>
      <c r="AH6" s="162">
        <f>客房耗材出入库录入!AH6*$E6</f>
        <v>0</v>
      </c>
      <c r="AI6" s="162">
        <f>客房耗材出入库录入!AI6*$E6</f>
        <v>18.88</v>
      </c>
      <c r="AJ6" s="162">
        <f>客房耗材出入库录入!AJ6*$E6</f>
        <v>0</v>
      </c>
      <c r="AK6" s="162">
        <f>客房耗材出入库录入!AK6*$E6</f>
        <v>17.28</v>
      </c>
      <c r="AL6" s="162">
        <f>客房耗材出入库录入!AL6*$E6</f>
        <v>0</v>
      </c>
      <c r="AM6" s="162">
        <f>客房耗材出入库录入!AM6*$E6</f>
        <v>19.84</v>
      </c>
      <c r="AN6" s="162">
        <f>客房耗材出入库录入!AN6*$E6</f>
        <v>0</v>
      </c>
      <c r="AO6" s="162">
        <f>客房耗材出入库录入!AO6*$E6</f>
        <v>14.08</v>
      </c>
      <c r="AP6" s="162">
        <f>客房耗材出入库录入!AP6*$E6</f>
        <v>0</v>
      </c>
      <c r="AQ6" s="162">
        <f>客房耗材出入库录入!AQ6*$E6</f>
        <v>16.8</v>
      </c>
      <c r="AR6" s="162">
        <f>客房耗材出入库录入!AR6*$E6</f>
        <v>0</v>
      </c>
      <c r="AS6" s="162">
        <f>客房耗材出入库录入!AS6*$E6</f>
        <v>17.76</v>
      </c>
      <c r="AT6" s="162">
        <f>客房耗材出入库录入!AT6*$E6</f>
        <v>0</v>
      </c>
      <c r="AU6" s="162">
        <f>客房耗材出入库录入!AU6*$E6</f>
        <v>16.16</v>
      </c>
      <c r="AV6" s="162">
        <f>客房耗材出入库录入!AV6*$E6</f>
        <v>0</v>
      </c>
      <c r="AW6" s="162">
        <f>客房耗材出入库录入!AW6*$E6</f>
        <v>18.56</v>
      </c>
      <c r="AX6" s="162">
        <f>客房耗材出入库录入!AX6*$E6</f>
        <v>0</v>
      </c>
      <c r="AY6" s="162">
        <f>客房耗材出入库录入!AY6*$E6</f>
        <v>16.96</v>
      </c>
      <c r="AZ6" s="162">
        <f>客房耗材出入库录入!AZ6*$E6</f>
        <v>0</v>
      </c>
      <c r="BA6" s="162">
        <f>客房耗材出入库录入!BA6*$E6</f>
        <v>17.92</v>
      </c>
      <c r="BB6" s="162">
        <f>客房耗材出入库录入!BB6*$E6</f>
        <v>0</v>
      </c>
      <c r="BC6" s="162">
        <f>客房耗材出入库录入!BC6*$E6</f>
        <v>18.72</v>
      </c>
      <c r="BD6" s="162">
        <f>客房耗材出入库录入!BD6*$E6</f>
        <v>0</v>
      </c>
      <c r="BE6" s="162">
        <f>客房耗材出入库录入!BE6*$E6</f>
        <v>16.96</v>
      </c>
      <c r="BF6" s="162">
        <f>客房耗材出入库录入!BF6*$E6</f>
        <v>0</v>
      </c>
      <c r="BG6" s="162">
        <f>客房耗材出入库录入!BG6*$E6</f>
        <v>17.92</v>
      </c>
      <c r="BH6" s="162">
        <f>客房耗材出入库录入!BH6*$E6</f>
        <v>0</v>
      </c>
      <c r="BI6" s="162">
        <f>客房耗材出入库录入!BI6*$E6</f>
        <v>17.12</v>
      </c>
      <c r="BJ6" s="162">
        <f>客房耗材出入库录入!BJ6*$E6</f>
        <v>0</v>
      </c>
      <c r="BK6" s="162">
        <f>客房耗材出入库录入!BK6*$E6</f>
        <v>18.72</v>
      </c>
      <c r="BL6" s="162">
        <f>客房耗材出入库录入!BL6*$E6</f>
        <v>0</v>
      </c>
      <c r="BM6" s="162">
        <f>客房耗材出入库录入!BM6*$E6</f>
        <v>16.96</v>
      </c>
      <c r="BN6" s="162">
        <f>客房耗材出入库录入!BN6*$E6</f>
        <v>0</v>
      </c>
      <c r="BO6" s="162">
        <f>客房耗材出入库录入!BO6*$E6</f>
        <v>16.48</v>
      </c>
      <c r="BP6" s="162">
        <f>客房耗材出入库录入!BP6*$E6</f>
        <v>0</v>
      </c>
      <c r="BQ6" s="162">
        <f>客房耗材出入库录入!BQ6*$E6</f>
        <v>18.24</v>
      </c>
      <c r="BR6" s="162">
        <f>客房耗材出入库录入!BR6*$E6</f>
        <v>0</v>
      </c>
      <c r="BS6" s="162">
        <f>客房耗材出入库录入!BS6*$E6</f>
        <v>19.84</v>
      </c>
      <c r="BT6" s="162">
        <f>客房耗材出入库录入!BT6*$E6</f>
        <v>0</v>
      </c>
      <c r="BU6" s="162">
        <f>客房耗材出入库录入!BU6*$E6</f>
        <v>20.16</v>
      </c>
      <c r="BV6" s="162">
        <f>客房耗材出入库录入!BV6*$E6</f>
        <v>0</v>
      </c>
      <c r="BW6" s="162">
        <f>客房耗材出入库录入!BW6*$E6</f>
        <v>20.8</v>
      </c>
    </row>
    <row r="7" s="140" customFormat="1" customHeight="1" spans="1:75">
      <c r="A7" s="161">
        <v>1</v>
      </c>
      <c r="B7" s="162" t="str">
        <f>客房耗材出入库录入!B7</f>
        <v>梳子</v>
      </c>
      <c r="C7" s="162">
        <f>客房耗材出入库录入!C7</f>
        <v>0</v>
      </c>
      <c r="D7" s="162" t="str">
        <f>客房耗材出入库录入!D7</f>
        <v>把</v>
      </c>
      <c r="E7" s="162">
        <f>客房耗材出入库录入!E7</f>
        <v>0.3</v>
      </c>
      <c r="F7" s="162">
        <f>客房耗材出入库录入!F7</f>
        <v>3959</v>
      </c>
      <c r="G7" s="162">
        <f>客房耗材出入库录入!G7</f>
        <v>1187.7</v>
      </c>
      <c r="H7" s="162">
        <f>客房耗材出入库录入!H7</f>
        <v>0</v>
      </c>
      <c r="I7" s="162">
        <f>客房耗材出入库录入!I7</f>
        <v>0</v>
      </c>
      <c r="J7" s="162">
        <f>客房耗材出入库录入!J7</f>
        <v>2501</v>
      </c>
      <c r="K7" s="162">
        <f>客房耗材出入库录入!K7</f>
        <v>750.3</v>
      </c>
      <c r="L7" s="162">
        <f>客房耗材出入库录入!L7</f>
        <v>1458</v>
      </c>
      <c r="M7" s="162">
        <f>客房耗材出入库录入!M7</f>
        <v>437.4</v>
      </c>
      <c r="N7" s="162">
        <f>客房耗材出入库录入!N7</f>
        <v>0</v>
      </c>
      <c r="O7" s="162">
        <f>客房耗材出入库录入!O7*$E7</f>
        <v>22.8</v>
      </c>
      <c r="P7" s="162">
        <f>客房耗材出入库录入!P7*$E7</f>
        <v>0</v>
      </c>
      <c r="Q7" s="162">
        <f>客房耗材出入库录入!Q7*$E7</f>
        <v>24</v>
      </c>
      <c r="R7" s="162">
        <f>客房耗材出入库录入!R7*$E7</f>
        <v>0</v>
      </c>
      <c r="S7" s="162">
        <f>客房耗材出入库录入!S7*$E7</f>
        <v>25.5</v>
      </c>
      <c r="T7" s="162">
        <f>客房耗材出入库录入!T7*$E7</f>
        <v>0</v>
      </c>
      <c r="U7" s="162">
        <f>客房耗材出入库录入!U7*$E7</f>
        <v>21.3</v>
      </c>
      <c r="V7" s="162">
        <f>客房耗材出入库录入!V7*$E7</f>
        <v>0</v>
      </c>
      <c r="W7" s="162">
        <f>客房耗材出入库录入!W7*$E7</f>
        <v>23.4</v>
      </c>
      <c r="X7" s="162">
        <f>客房耗材出入库录入!X7*$E7</f>
        <v>0</v>
      </c>
      <c r="Y7" s="162">
        <f>客房耗材出入库录入!Y7*$E7</f>
        <v>26.4</v>
      </c>
      <c r="Z7" s="162">
        <f>客房耗材出入库录入!Z7*$E7</f>
        <v>0</v>
      </c>
      <c r="AA7" s="162">
        <f>客房耗材出入库录入!AA7*$E7</f>
        <v>20.4</v>
      </c>
      <c r="AB7" s="162">
        <f>客房耗材出入库录入!AB7*$E7</f>
        <v>0</v>
      </c>
      <c r="AC7" s="162">
        <f>客房耗材出入库录入!AC7*$E7</f>
        <v>24</v>
      </c>
      <c r="AD7" s="162">
        <f>客房耗材出入库录入!AD7*$E7</f>
        <v>0</v>
      </c>
      <c r="AE7" s="162">
        <f>客房耗材出入库录入!AE7*$E7</f>
        <v>23.4</v>
      </c>
      <c r="AF7" s="162">
        <f>客房耗材出入库录入!AF7*$E7</f>
        <v>0</v>
      </c>
      <c r="AG7" s="162">
        <f>客房耗材出入库录入!AG7*$E7</f>
        <v>27.6</v>
      </c>
      <c r="AH7" s="162">
        <f>客房耗材出入库录入!AH7*$E7</f>
        <v>0</v>
      </c>
      <c r="AI7" s="162">
        <f>客房耗材出入库录入!AI7*$E7</f>
        <v>26.4</v>
      </c>
      <c r="AJ7" s="162">
        <f>客房耗材出入库录入!AJ7*$E7</f>
        <v>0</v>
      </c>
      <c r="AK7" s="162">
        <f>客房耗材出入库录入!AK7*$E7</f>
        <v>24.6</v>
      </c>
      <c r="AL7" s="162">
        <f>客房耗材出入库录入!AL7*$E7</f>
        <v>0</v>
      </c>
      <c r="AM7" s="162">
        <f>客房耗材出入库录入!AM7*$E7</f>
        <v>27</v>
      </c>
      <c r="AN7" s="162">
        <f>客房耗材出入库录入!AN7*$E7</f>
        <v>0</v>
      </c>
      <c r="AO7" s="162">
        <f>客房耗材出入库录入!AO7*$E7</f>
        <v>15.6</v>
      </c>
      <c r="AP7" s="162">
        <f>客房耗材出入库录入!AP7*$E7</f>
        <v>0</v>
      </c>
      <c r="AQ7" s="162">
        <f>客房耗材出入库录入!AQ7*$E7</f>
        <v>22.8</v>
      </c>
      <c r="AR7" s="162">
        <f>客房耗材出入库录入!AR7*$E7</f>
        <v>0</v>
      </c>
      <c r="AS7" s="162">
        <f>客房耗材出入库录入!AS7*$E7</f>
        <v>23.7</v>
      </c>
      <c r="AT7" s="162">
        <f>客房耗材出入库录入!AT7*$E7</f>
        <v>0</v>
      </c>
      <c r="AU7" s="162">
        <f>客房耗材出入库录入!AU7*$E7</f>
        <v>22.2</v>
      </c>
      <c r="AV7" s="162">
        <f>客房耗材出入库录入!AV7*$E7</f>
        <v>0</v>
      </c>
      <c r="AW7" s="162">
        <f>客房耗材出入库录入!AW7*$E7</f>
        <v>25.8</v>
      </c>
      <c r="AX7" s="162">
        <f>客房耗材出入库录入!AX7*$E7</f>
        <v>0</v>
      </c>
      <c r="AY7" s="162">
        <f>客房耗材出入库录入!AY7*$E7</f>
        <v>24.9</v>
      </c>
      <c r="AZ7" s="162">
        <f>客房耗材出入库录入!AZ7*$E7</f>
        <v>0</v>
      </c>
      <c r="BA7" s="162">
        <f>客房耗材出入库录入!BA7*$E7</f>
        <v>24</v>
      </c>
      <c r="BB7" s="162">
        <f>客房耗材出入库录入!BB7*$E7</f>
        <v>0</v>
      </c>
      <c r="BC7" s="162">
        <f>客房耗材出入库录入!BC7*$E7</f>
        <v>25.5</v>
      </c>
      <c r="BD7" s="162">
        <f>客房耗材出入库录入!BD7*$E7</f>
        <v>0</v>
      </c>
      <c r="BE7" s="162">
        <f>客房耗材出入库录入!BE7*$E7</f>
        <v>22.5</v>
      </c>
      <c r="BF7" s="162">
        <f>客房耗材出入库录入!BF7*$E7</f>
        <v>0</v>
      </c>
      <c r="BG7" s="162">
        <f>客房耗材出入库录入!BG7*$E7</f>
        <v>23.7</v>
      </c>
      <c r="BH7" s="162">
        <f>客房耗材出入库录入!BH7*$E7</f>
        <v>0</v>
      </c>
      <c r="BI7" s="162">
        <f>客房耗材出入库录入!BI7*$E7</f>
        <v>24</v>
      </c>
      <c r="BJ7" s="162">
        <f>客房耗材出入库录入!BJ7*$E7</f>
        <v>0</v>
      </c>
      <c r="BK7" s="162">
        <f>客房耗材出入库录入!BK7*$E7</f>
        <v>25.8</v>
      </c>
      <c r="BL7" s="162">
        <f>客房耗材出入库录入!BL7*$E7</f>
        <v>0</v>
      </c>
      <c r="BM7" s="162">
        <f>客房耗材出入库录入!BM7*$E7</f>
        <v>22.8</v>
      </c>
      <c r="BN7" s="162">
        <f>客房耗材出入库录入!BN7*$E7</f>
        <v>0</v>
      </c>
      <c r="BO7" s="162">
        <f>客房耗材出入库录入!BO7*$E7</f>
        <v>24</v>
      </c>
      <c r="BP7" s="162">
        <f>客房耗材出入库录入!BP7*$E7</f>
        <v>0</v>
      </c>
      <c r="BQ7" s="162">
        <f>客房耗材出入库录入!BQ7*$E7</f>
        <v>25.8</v>
      </c>
      <c r="BR7" s="162">
        <f>客房耗材出入库录入!BR7*$E7</f>
        <v>0</v>
      </c>
      <c r="BS7" s="162">
        <f>客房耗材出入库录入!BS7*$E7</f>
        <v>27.6</v>
      </c>
      <c r="BT7" s="162">
        <f>客房耗材出入库录入!BT7*$E7</f>
        <v>0</v>
      </c>
      <c r="BU7" s="162">
        <f>客房耗材出入库录入!BU7*$E7</f>
        <v>25.8</v>
      </c>
      <c r="BV7" s="162">
        <f>客房耗材出入库录入!BV7*$E7</f>
        <v>0</v>
      </c>
      <c r="BW7" s="162">
        <f>客房耗材出入库录入!BW7*$E7</f>
        <v>27</v>
      </c>
    </row>
    <row r="8" s="140" customFormat="1" customHeight="1" spans="1:75">
      <c r="A8" s="161">
        <v>1</v>
      </c>
      <c r="B8" s="162" t="str">
        <f>客房耗材出入库录入!B8</f>
        <v>护理包</v>
      </c>
      <c r="C8" s="162">
        <f>客房耗材出入库录入!C8</f>
        <v>0</v>
      </c>
      <c r="D8" s="162" t="str">
        <f>客房耗材出入库录入!D8</f>
        <v>包</v>
      </c>
      <c r="E8" s="162">
        <f>客房耗材出入库录入!E8</f>
        <v>0.3</v>
      </c>
      <c r="F8" s="162">
        <f>客房耗材出入库录入!F8</f>
        <v>4755</v>
      </c>
      <c r="G8" s="162">
        <f>客房耗材出入库录入!G8</f>
        <v>1426.5</v>
      </c>
      <c r="H8" s="162">
        <f>客房耗材出入库录入!H8</f>
        <v>0</v>
      </c>
      <c r="I8" s="162">
        <f>客房耗材出入库录入!I8</f>
        <v>0</v>
      </c>
      <c r="J8" s="162">
        <f>客房耗材出入库录入!J8</f>
        <v>2243</v>
      </c>
      <c r="K8" s="162">
        <f>客房耗材出入库录入!K8</f>
        <v>672.9</v>
      </c>
      <c r="L8" s="162">
        <f>客房耗材出入库录入!L8</f>
        <v>2512</v>
      </c>
      <c r="M8" s="162">
        <f>客房耗材出入库录入!M8</f>
        <v>753.6</v>
      </c>
      <c r="N8" s="162">
        <f>客房耗材出入库录入!N8</f>
        <v>0</v>
      </c>
      <c r="O8" s="162">
        <f>客房耗材出入库录入!O8*$E8</f>
        <v>19.5</v>
      </c>
      <c r="P8" s="162">
        <f>客房耗材出入库录入!P8*$E8</f>
        <v>0</v>
      </c>
      <c r="Q8" s="162">
        <f>客房耗材出入库录入!Q8*$E8</f>
        <v>23.4</v>
      </c>
      <c r="R8" s="162">
        <f>客房耗材出入库录入!R8*$E8</f>
        <v>0</v>
      </c>
      <c r="S8" s="162">
        <f>客房耗材出入库录入!S8*$E8</f>
        <v>22.5</v>
      </c>
      <c r="T8" s="162">
        <f>客房耗材出入库录入!T8*$E8</f>
        <v>0</v>
      </c>
      <c r="U8" s="162">
        <f>客房耗材出入库录入!U8*$E8</f>
        <v>18.6</v>
      </c>
      <c r="V8" s="162">
        <f>客房耗材出入库录入!V8*$E8</f>
        <v>0</v>
      </c>
      <c r="W8" s="162">
        <f>客房耗材出入库录入!W8*$E8</f>
        <v>23.4</v>
      </c>
      <c r="X8" s="162">
        <f>客房耗材出入库录入!X8*$E8</f>
        <v>0</v>
      </c>
      <c r="Y8" s="162">
        <f>客房耗材出入库录入!Y8*$E8</f>
        <v>23.7</v>
      </c>
      <c r="Z8" s="162">
        <f>客房耗材出入库录入!Z8*$E8</f>
        <v>0</v>
      </c>
      <c r="AA8" s="162">
        <f>客房耗材出入库录入!AA8*$E8</f>
        <v>19.5</v>
      </c>
      <c r="AB8" s="162">
        <f>客房耗材出入库录入!AB8*$E8</f>
        <v>0</v>
      </c>
      <c r="AC8" s="162">
        <f>客房耗材出入库录入!AC8*$E8</f>
        <v>22.5</v>
      </c>
      <c r="AD8" s="162">
        <f>客房耗材出入库录入!AD8*$E8</f>
        <v>0</v>
      </c>
      <c r="AE8" s="162">
        <f>客房耗材出入库录入!AE8*$E8</f>
        <v>20.7</v>
      </c>
      <c r="AF8" s="162">
        <f>客房耗材出入库录入!AF8*$E8</f>
        <v>0</v>
      </c>
      <c r="AG8" s="162">
        <f>客房耗材出入库录入!AG8*$E8</f>
        <v>21.9</v>
      </c>
      <c r="AH8" s="162">
        <f>客房耗材出入库录入!AH8*$E8</f>
        <v>0</v>
      </c>
      <c r="AI8" s="162">
        <f>客房耗材出入库录入!AI8*$E8</f>
        <v>20.4</v>
      </c>
      <c r="AJ8" s="162">
        <f>客房耗材出入库录入!AJ8*$E8</f>
        <v>0</v>
      </c>
      <c r="AK8" s="162">
        <f>客房耗材出入库录入!AK8*$E8</f>
        <v>21</v>
      </c>
      <c r="AL8" s="162">
        <f>客房耗材出入库录入!AL8*$E8</f>
        <v>0</v>
      </c>
      <c r="AM8" s="162">
        <f>客房耗材出入库录入!AM8*$E8</f>
        <v>21.6</v>
      </c>
      <c r="AN8" s="162">
        <f>客房耗材出入库录入!AN8*$E8</f>
        <v>0</v>
      </c>
      <c r="AO8" s="162">
        <f>客房耗材出入库录入!AO8*$E8</f>
        <v>15</v>
      </c>
      <c r="AP8" s="162">
        <f>客房耗材出入库录入!AP8*$E8</f>
        <v>0</v>
      </c>
      <c r="AQ8" s="162">
        <f>客房耗材出入库录入!AQ8*$E8</f>
        <v>19.8</v>
      </c>
      <c r="AR8" s="162">
        <f>客房耗材出入库录入!AR8*$E8</f>
        <v>0</v>
      </c>
      <c r="AS8" s="162">
        <f>客房耗材出入库录入!AS8*$E8</f>
        <v>21</v>
      </c>
      <c r="AT8" s="162">
        <f>客房耗材出入库录入!AT8*$E8</f>
        <v>0</v>
      </c>
      <c r="AU8" s="162">
        <f>客房耗材出入库录入!AU8*$E8</f>
        <v>20.7</v>
      </c>
      <c r="AV8" s="162">
        <f>客房耗材出入库录入!AV8*$E8</f>
        <v>0</v>
      </c>
      <c r="AW8" s="162">
        <f>客房耗材出入库录入!AW8*$E8</f>
        <v>22.5</v>
      </c>
      <c r="AX8" s="162">
        <f>客房耗材出入库录入!AX8*$E8</f>
        <v>0</v>
      </c>
      <c r="AY8" s="162">
        <f>客房耗材出入库录入!AY8*$E8</f>
        <v>21.9</v>
      </c>
      <c r="AZ8" s="162">
        <f>客房耗材出入库录入!AZ8*$E8</f>
        <v>0</v>
      </c>
      <c r="BA8" s="162">
        <f>客房耗材出入库录入!BA8*$E8</f>
        <v>21.3</v>
      </c>
      <c r="BB8" s="162">
        <f>客房耗材出入库录入!BB8*$E8</f>
        <v>0</v>
      </c>
      <c r="BC8" s="162">
        <f>客房耗材出入库录入!BC8*$E8</f>
        <v>22.8</v>
      </c>
      <c r="BD8" s="162">
        <f>客房耗材出入库录入!BD8*$E8</f>
        <v>0</v>
      </c>
      <c r="BE8" s="162">
        <f>客房耗材出入库录入!BE8*$E8</f>
        <v>20.4</v>
      </c>
      <c r="BF8" s="162">
        <f>客房耗材出入库录入!BF8*$E8</f>
        <v>0</v>
      </c>
      <c r="BG8" s="162">
        <f>客房耗材出入库录入!BG8*$E8</f>
        <v>19.8</v>
      </c>
      <c r="BH8" s="162">
        <f>客房耗材出入库录入!BH8*$E8</f>
        <v>0</v>
      </c>
      <c r="BI8" s="162">
        <f>客房耗材出入库录入!BI8*$E8</f>
        <v>21.3</v>
      </c>
      <c r="BJ8" s="162">
        <f>客房耗材出入库录入!BJ8*$E8</f>
        <v>0</v>
      </c>
      <c r="BK8" s="162">
        <f>客房耗材出入库录入!BK8*$E8</f>
        <v>22.5</v>
      </c>
      <c r="BL8" s="162">
        <f>客房耗材出入库录入!BL8*$E8</f>
        <v>0</v>
      </c>
      <c r="BM8" s="162">
        <f>客房耗材出入库录入!BM8*$E8</f>
        <v>21.6</v>
      </c>
      <c r="BN8" s="162">
        <f>客房耗材出入库录入!BN8*$E8</f>
        <v>0</v>
      </c>
      <c r="BO8" s="162">
        <f>客房耗材出入库录入!BO8*$E8</f>
        <v>21.3</v>
      </c>
      <c r="BP8" s="162">
        <f>客房耗材出入库录入!BP8*$E8</f>
        <v>0</v>
      </c>
      <c r="BQ8" s="162">
        <f>客房耗材出入库录入!BQ8*$E8</f>
        <v>25.2</v>
      </c>
      <c r="BR8" s="162">
        <f>客房耗材出入库录入!BR8*$E8</f>
        <v>0</v>
      </c>
      <c r="BS8" s="162">
        <f>客房耗材出入库录入!BS8*$E8</f>
        <v>25.2</v>
      </c>
      <c r="BT8" s="162">
        <f>客房耗材出入库录入!BT8*$E8</f>
        <v>0</v>
      </c>
      <c r="BU8" s="162">
        <f>客房耗材出入库录入!BU8*$E8</f>
        <v>26.1</v>
      </c>
      <c r="BV8" s="162">
        <f>客房耗材出入库录入!BV8*$E8</f>
        <v>0</v>
      </c>
      <c r="BW8" s="162">
        <f>客房耗材出入库录入!BW8*$E8</f>
        <v>25.8</v>
      </c>
    </row>
    <row r="9" s="140" customFormat="1" customHeight="1" spans="1:75">
      <c r="A9" s="161">
        <v>1</v>
      </c>
      <c r="B9" s="162" t="str">
        <f>客房耗材出入库录入!B9</f>
        <v>浴帽</v>
      </c>
      <c r="C9" s="162">
        <f>客房耗材出入库录入!C9</f>
        <v>0</v>
      </c>
      <c r="D9" s="162" t="str">
        <f>客房耗材出入库录入!D9</f>
        <v>包</v>
      </c>
      <c r="E9" s="162">
        <f>客房耗材出入库录入!E9</f>
        <v>0.21</v>
      </c>
      <c r="F9" s="162">
        <f>客房耗材出入库录入!F9</f>
        <v>5900</v>
      </c>
      <c r="G9" s="162">
        <f>客房耗材出入库录入!G9</f>
        <v>1239</v>
      </c>
      <c r="H9" s="162">
        <f>客房耗材出入库录入!H9</f>
        <v>0</v>
      </c>
      <c r="I9" s="162">
        <f>客房耗材出入库录入!I9</f>
        <v>0</v>
      </c>
      <c r="J9" s="162">
        <f>客房耗材出入库录入!J9</f>
        <v>1912</v>
      </c>
      <c r="K9" s="162">
        <f>客房耗材出入库录入!K9</f>
        <v>401.52</v>
      </c>
      <c r="L9" s="162">
        <f>客房耗材出入库录入!L9</f>
        <v>3988</v>
      </c>
      <c r="M9" s="162">
        <f>客房耗材出入库录入!M9</f>
        <v>837.48</v>
      </c>
      <c r="N9" s="162">
        <f>客房耗材出入库录入!N9</f>
        <v>0</v>
      </c>
      <c r="O9" s="162">
        <f>客房耗材出入库录入!O9*$E9</f>
        <v>10.5</v>
      </c>
      <c r="P9" s="162">
        <f>客房耗材出入库录入!P9*$E9</f>
        <v>0</v>
      </c>
      <c r="Q9" s="162">
        <f>客房耗材出入库录入!Q9*$E9</f>
        <v>13.86</v>
      </c>
      <c r="R9" s="162">
        <f>客房耗材出入库录入!R9*$E9</f>
        <v>0</v>
      </c>
      <c r="S9" s="162">
        <f>客房耗材出入库录入!S9*$E9</f>
        <v>13.65</v>
      </c>
      <c r="T9" s="162">
        <f>客房耗材出入库录入!T9*$E9</f>
        <v>0</v>
      </c>
      <c r="U9" s="162">
        <f>客房耗材出入库录入!U9*$E9</f>
        <v>11.13</v>
      </c>
      <c r="V9" s="162">
        <f>客房耗材出入库录入!V9*$E9</f>
        <v>0</v>
      </c>
      <c r="W9" s="162">
        <f>客房耗材出入库录入!W9*$E9</f>
        <v>10.92</v>
      </c>
      <c r="X9" s="162">
        <f>客房耗材出入库录入!X9*$E9</f>
        <v>0</v>
      </c>
      <c r="Y9" s="162">
        <f>客房耗材出入库录入!Y9*$E9</f>
        <v>13.23</v>
      </c>
      <c r="Z9" s="162">
        <f>客房耗材出入库录入!Z9*$E9</f>
        <v>0</v>
      </c>
      <c r="AA9" s="162">
        <f>客房耗材出入库录入!AA9*$E9</f>
        <v>10.5</v>
      </c>
      <c r="AB9" s="162">
        <f>客房耗材出入库录入!AB9*$E9</f>
        <v>0</v>
      </c>
      <c r="AC9" s="162">
        <f>客房耗材出入库录入!AC9*$E9</f>
        <v>12.18</v>
      </c>
      <c r="AD9" s="162">
        <f>客房耗材出入库录入!AD9*$E9</f>
        <v>0</v>
      </c>
      <c r="AE9" s="162">
        <f>客房耗材出入库录入!AE9*$E9</f>
        <v>13.02</v>
      </c>
      <c r="AF9" s="162">
        <f>客房耗材出入库录入!AF9*$E9</f>
        <v>0</v>
      </c>
      <c r="AG9" s="162">
        <f>客房耗材出入库录入!AG9*$E9</f>
        <v>12.6</v>
      </c>
      <c r="AH9" s="162">
        <f>客房耗材出入库录入!AH9*$E9</f>
        <v>0</v>
      </c>
      <c r="AI9" s="162">
        <f>客房耗材出入库录入!AI9*$E9</f>
        <v>13.23</v>
      </c>
      <c r="AJ9" s="162">
        <f>客房耗材出入库录入!AJ9*$E9</f>
        <v>0</v>
      </c>
      <c r="AK9" s="162">
        <f>客房耗材出入库录入!AK9*$E9</f>
        <v>12.18</v>
      </c>
      <c r="AL9" s="162">
        <f>客房耗材出入库录入!AL9*$E9</f>
        <v>0</v>
      </c>
      <c r="AM9" s="162">
        <f>客房耗材出入库录入!AM9*$E9</f>
        <v>14.28</v>
      </c>
      <c r="AN9" s="162">
        <f>客房耗材出入库录入!AN9*$E9</f>
        <v>0</v>
      </c>
      <c r="AO9" s="162">
        <f>客房耗材出入库录入!AO9*$E9</f>
        <v>8.82</v>
      </c>
      <c r="AP9" s="162">
        <f>客房耗材出入库录入!AP9*$E9</f>
        <v>0</v>
      </c>
      <c r="AQ9" s="162">
        <f>客房耗材出入库录入!AQ10*$E9</f>
        <v>26.88</v>
      </c>
      <c r="AR9" s="162">
        <f>客房耗材出入库录入!AR9*$E9</f>
        <v>0</v>
      </c>
      <c r="AS9" s="162">
        <f>客房耗材出入库录入!AS9*$E9</f>
        <v>12.81</v>
      </c>
      <c r="AT9" s="162">
        <f>客房耗材出入库录入!AT9*$E9</f>
        <v>0</v>
      </c>
      <c r="AU9" s="162">
        <f>客房耗材出入库录入!AU9*$E9</f>
        <v>12.18</v>
      </c>
      <c r="AV9" s="162">
        <f>客房耗材出入库录入!AV9*$E9</f>
        <v>0</v>
      </c>
      <c r="AW9" s="162">
        <f>客房耗材出入库录入!AW9*$E9</f>
        <v>13.23</v>
      </c>
      <c r="AX9" s="162">
        <f>客房耗材出入库录入!AX9*$E9</f>
        <v>0</v>
      </c>
      <c r="AY9" s="162">
        <f>客房耗材出入库录入!AY9*$E9</f>
        <v>13.44</v>
      </c>
      <c r="AZ9" s="162">
        <f>客房耗材出入库录入!AZ9*$E9</f>
        <v>0</v>
      </c>
      <c r="BA9" s="162">
        <f>客房耗材出入库录入!BA9*$E9</f>
        <v>14.28</v>
      </c>
      <c r="BB9" s="162">
        <f>客房耗材出入库录入!BB9*$E9</f>
        <v>0</v>
      </c>
      <c r="BC9" s="162">
        <f>客房耗材出入库录入!BC9*$E9</f>
        <v>12.6</v>
      </c>
      <c r="BD9" s="162">
        <f>客房耗材出入库录入!BD9*$E9</f>
        <v>0</v>
      </c>
      <c r="BE9" s="162">
        <f>客房耗材出入库录入!BE9*$E9</f>
        <v>13.02</v>
      </c>
      <c r="BF9" s="162">
        <f>客房耗材出入库录入!BF9*$E9</f>
        <v>0</v>
      </c>
      <c r="BG9" s="162">
        <f>客房耗材出入库录入!BG9*$E9</f>
        <v>13.65</v>
      </c>
      <c r="BH9" s="162">
        <f>客房耗材出入库录入!BH9*$E9</f>
        <v>0</v>
      </c>
      <c r="BI9" s="162">
        <f>客房耗材出入库录入!BI9*$E9</f>
        <v>13.23</v>
      </c>
      <c r="BJ9" s="162">
        <f>客房耗材出入库录入!BJ9*$E9</f>
        <v>0</v>
      </c>
      <c r="BK9" s="162">
        <f>客房耗材出入库录入!BK9*$E9</f>
        <v>14.28</v>
      </c>
      <c r="BL9" s="162">
        <f>客房耗材出入库录入!BL9*$E9</f>
        <v>0</v>
      </c>
      <c r="BM9" s="162">
        <f>客房耗材出入库录入!BM9*$E9</f>
        <v>13.23</v>
      </c>
      <c r="BN9" s="162">
        <f>客房耗材出入库录入!BN9*$E9</f>
        <v>0</v>
      </c>
      <c r="BO9" s="162">
        <f>客房耗材出入库录入!BO9*$E9</f>
        <v>13.02</v>
      </c>
      <c r="BP9" s="162">
        <f>客房耗材出入库录入!BP9*$E9</f>
        <v>0</v>
      </c>
      <c r="BQ9" s="162">
        <f>客房耗材出入库录入!BQ9*$E9</f>
        <v>14.28</v>
      </c>
      <c r="BR9" s="162">
        <f>客房耗材出入库录入!BR9*$E9</f>
        <v>0</v>
      </c>
      <c r="BS9" s="162">
        <f>客房耗材出入库录入!BS9*$E9</f>
        <v>15.12</v>
      </c>
      <c r="BT9" s="162">
        <f>客房耗材出入库录入!BT9*$E9</f>
        <v>0</v>
      </c>
      <c r="BU9" s="162">
        <f>客房耗材出入库录入!BU9*$E9</f>
        <v>15.96</v>
      </c>
      <c r="BV9" s="162">
        <f>客房耗材出入库录入!BV9*$E9</f>
        <v>0</v>
      </c>
      <c r="BW9" s="162">
        <f>客房耗材出入库录入!BW9*$E9</f>
        <v>15.75</v>
      </c>
    </row>
    <row r="10" s="140" customFormat="1" customHeight="1" spans="1:75">
      <c r="A10" s="161">
        <v>1</v>
      </c>
      <c r="B10" s="162" t="str">
        <f>客房耗材出入库录入!B10</f>
        <v>拖鞋</v>
      </c>
      <c r="C10" s="162">
        <f>客房耗材出入库录入!C10</f>
        <v>0</v>
      </c>
      <c r="D10" s="162" t="str">
        <f>客房耗材出入库录入!D10</f>
        <v>双</v>
      </c>
      <c r="E10" s="162">
        <f>客房耗材出入库录入!E10</f>
        <v>1.59</v>
      </c>
      <c r="F10" s="162">
        <f>客房耗材出入库录入!F10</f>
        <v>7546</v>
      </c>
      <c r="G10" s="162">
        <f>客房耗材出入库录入!G10</f>
        <v>11998.14</v>
      </c>
      <c r="H10" s="162">
        <f>客房耗材出入库录入!H10</f>
        <v>0</v>
      </c>
      <c r="I10" s="162">
        <f>客房耗材出入库录入!I10</f>
        <v>0</v>
      </c>
      <c r="J10" s="162">
        <f>客房耗材出入库录入!J10</f>
        <v>4101</v>
      </c>
      <c r="K10" s="162">
        <f>客房耗材出入库录入!K10</f>
        <v>6520.59</v>
      </c>
      <c r="L10" s="162">
        <f>客房耗材出入库录入!L10</f>
        <v>3445</v>
      </c>
      <c r="M10" s="162">
        <f>客房耗材出入库录入!M10</f>
        <v>5477.55</v>
      </c>
      <c r="N10" s="162">
        <f>客房耗材出入库录入!N10</f>
        <v>0</v>
      </c>
      <c r="O10" s="162">
        <f>客房耗材出入库录入!O10*$E10</f>
        <v>181.26</v>
      </c>
      <c r="P10" s="162">
        <f>客房耗材出入库录入!P10*$E10</f>
        <v>0</v>
      </c>
      <c r="Q10" s="162">
        <f>客房耗材出入库录入!Q10*$E10</f>
        <v>193.98</v>
      </c>
      <c r="R10" s="162">
        <f>客房耗材出入库录入!R10*$E10</f>
        <v>0</v>
      </c>
      <c r="S10" s="162">
        <f>客房耗材出入库录入!S10*$E10</f>
        <v>200.34</v>
      </c>
      <c r="T10" s="162">
        <f>客房耗材出入库录入!T10*$E10</f>
        <v>0</v>
      </c>
      <c r="U10" s="162">
        <f>客房耗材出入库录入!U10*$E10</f>
        <v>187.62</v>
      </c>
      <c r="V10" s="162">
        <f>客房耗材出入库录入!V10*$E10</f>
        <v>0</v>
      </c>
      <c r="W10" s="162">
        <f>客房耗材出入库录入!W10*$E10</f>
        <v>209.88</v>
      </c>
      <c r="X10" s="162">
        <f>客房耗材出入库录入!X10*$E10</f>
        <v>0</v>
      </c>
      <c r="Y10" s="162">
        <f>客房耗材出入库录入!Y10*$E10</f>
        <v>197.16</v>
      </c>
      <c r="Z10" s="162">
        <f>客房耗材出入库录入!Z10*$E10</f>
        <v>0</v>
      </c>
      <c r="AA10" s="162">
        <f>客房耗材出入库录入!AA10*$E10</f>
        <v>216.24</v>
      </c>
      <c r="AB10" s="162">
        <f>客房耗材出入库录入!AB10*$E10</f>
        <v>0</v>
      </c>
      <c r="AC10" s="162">
        <f>客房耗材出入库录入!AC10*$E10</f>
        <v>201.93</v>
      </c>
      <c r="AD10" s="162">
        <f>客房耗材出入库录入!AD10*$E10</f>
        <v>0</v>
      </c>
      <c r="AE10" s="162">
        <f>客房耗材出入库录入!AE10*$E10</f>
        <v>198.75</v>
      </c>
      <c r="AF10" s="162">
        <f>客房耗材出入库录入!AF10*$E10</f>
        <v>0</v>
      </c>
      <c r="AG10" s="162">
        <f>客房耗材出入库录入!AG10*$E10</f>
        <v>206.7</v>
      </c>
      <c r="AH10" s="162">
        <f>客房耗材出入库录入!AH10*$E10</f>
        <v>0</v>
      </c>
      <c r="AI10" s="162">
        <f>客房耗材出入库录入!AI10*$E10</f>
        <v>213.06</v>
      </c>
      <c r="AJ10" s="162">
        <f>客房耗材出入库录入!AJ10*$E10</f>
        <v>0</v>
      </c>
      <c r="AK10" s="162">
        <f>客房耗材出入库录入!AK10*$E10</f>
        <v>225.78</v>
      </c>
      <c r="AL10" s="162">
        <f>客房耗材出入库录入!AL10*$E10</f>
        <v>0</v>
      </c>
      <c r="AM10" s="162">
        <f>客房耗材出入库录入!AM10*$E10</f>
        <v>251.22</v>
      </c>
      <c r="AN10" s="162">
        <f>客房耗材出入库录入!AN10*$E10</f>
        <v>0</v>
      </c>
      <c r="AO10" s="162">
        <f>客房耗材出入库录入!AO10*$E10</f>
        <v>165.36</v>
      </c>
      <c r="AP10" s="162">
        <f>客房耗材出入库录入!AP10*$E10</f>
        <v>0</v>
      </c>
      <c r="AQ10" s="162">
        <f>客房耗材出入库录入!AQ10*$E10</f>
        <v>203.52</v>
      </c>
      <c r="AR10" s="162">
        <f>客房耗材出入库录入!AR10*$E10</f>
        <v>0</v>
      </c>
      <c r="AS10" s="162">
        <f>客房耗材出入库录入!AS10*$E10</f>
        <v>214.65</v>
      </c>
      <c r="AT10" s="162">
        <f>客房耗材出入库录入!AT10*$E10</f>
        <v>0</v>
      </c>
      <c r="AU10" s="162">
        <f>客房耗材出入库录入!AU10*$E10</f>
        <v>193.98</v>
      </c>
      <c r="AV10" s="162">
        <f>客房耗材出入库录入!AV10*$E10</f>
        <v>0</v>
      </c>
      <c r="AW10" s="162">
        <f>客房耗材出入库录入!AW10*$E10</f>
        <v>221.01</v>
      </c>
      <c r="AX10" s="162">
        <f>客房耗材出入库录入!AX10*$E10</f>
        <v>0</v>
      </c>
      <c r="AY10" s="162">
        <f>客房耗材出入库录入!AY10*$E10</f>
        <v>201.93</v>
      </c>
      <c r="AZ10" s="162">
        <f>客房耗材出入库录入!AZ10*$E10</f>
        <v>0</v>
      </c>
      <c r="BA10" s="162">
        <f>客房耗材出入库录入!BA10*$E10</f>
        <v>217.83</v>
      </c>
      <c r="BB10" s="162">
        <f>客房耗材出入库录入!BB10*$E10</f>
        <v>0</v>
      </c>
      <c r="BC10" s="162">
        <f>客房耗材出入库录入!BC10*$E10</f>
        <v>209.88</v>
      </c>
      <c r="BD10" s="162">
        <f>客房耗材出入库录入!BD10*$E10</f>
        <v>0</v>
      </c>
      <c r="BE10" s="162">
        <f>客房耗材出入库录入!BE10*$E10</f>
        <v>198.75</v>
      </c>
      <c r="BF10" s="162">
        <f>客房耗材出入库录入!BF10*$E10</f>
        <v>0</v>
      </c>
      <c r="BG10" s="162">
        <f>客房耗材出入库录入!BG10*$E10</f>
        <v>213.06</v>
      </c>
      <c r="BH10" s="162">
        <f>客房耗材出入库录入!BH10*$E10</f>
        <v>0</v>
      </c>
      <c r="BI10" s="162">
        <f>客房耗材出入库录入!BI10*$E10</f>
        <v>205.11</v>
      </c>
      <c r="BJ10" s="162">
        <f>客房耗材出入库录入!BJ10*$E10</f>
        <v>0</v>
      </c>
      <c r="BK10" s="162">
        <f>客房耗材出入库录入!BK10*$E10</f>
        <v>216.24</v>
      </c>
      <c r="BL10" s="162">
        <f>客房耗材出入库录入!BL10*$E10</f>
        <v>0</v>
      </c>
      <c r="BM10" s="162">
        <f>客房耗材出入库录入!BM10*$E10</f>
        <v>192.39</v>
      </c>
      <c r="BN10" s="162">
        <f>客房耗材出入库录入!BN10*$E10</f>
        <v>0</v>
      </c>
      <c r="BO10" s="162">
        <f>客房耗材出入库录入!BO10*$E10</f>
        <v>200.34</v>
      </c>
      <c r="BP10" s="162">
        <f>客房耗材出入库录入!BP10*$E10</f>
        <v>0</v>
      </c>
      <c r="BQ10" s="162">
        <f>客房耗材出入库录入!BQ10*$E10</f>
        <v>216.24</v>
      </c>
      <c r="BR10" s="162">
        <f>客房耗材出入库录入!BR10*$E10</f>
        <v>0</v>
      </c>
      <c r="BS10" s="162">
        <f>客房耗材出入库录入!BS10*$E10</f>
        <v>243.27</v>
      </c>
      <c r="BT10" s="162">
        <f>客房耗材出入库录入!BT10*$E10</f>
        <v>0</v>
      </c>
      <c r="BU10" s="162">
        <f>客房耗材出入库录入!BU10*$E10</f>
        <v>257.58</v>
      </c>
      <c r="BV10" s="162">
        <f>客房耗材出入库录入!BV10*$E10</f>
        <v>0</v>
      </c>
      <c r="BW10" s="162">
        <f>客房耗材出入库录入!BW10*$E10</f>
        <v>265.53</v>
      </c>
    </row>
    <row r="11" s="140" customFormat="1" customHeight="1" spans="1:75">
      <c r="A11" s="161">
        <v>1</v>
      </c>
      <c r="B11" s="162" t="str">
        <f>客房耗材出入库录入!B11</f>
        <v>儿童牙刷</v>
      </c>
      <c r="C11" s="162">
        <f>客房耗材出入库录入!C11</f>
        <v>0</v>
      </c>
      <c r="D11" s="162" t="str">
        <f>客房耗材出入库录入!D11</f>
        <v>支</v>
      </c>
      <c r="E11" s="162">
        <f>客房耗材出入库录入!E11</f>
        <v>1</v>
      </c>
      <c r="F11" s="162">
        <f>客房耗材出入库录入!F11</f>
        <v>500</v>
      </c>
      <c r="G11" s="162">
        <f>客房耗材出入库录入!G11</f>
        <v>500</v>
      </c>
      <c r="H11" s="162">
        <f>客房耗材出入库录入!H11</f>
        <v>0</v>
      </c>
      <c r="I11" s="162">
        <f>客房耗材出入库录入!I11</f>
        <v>0</v>
      </c>
      <c r="J11" s="162">
        <f>客房耗材出入库录入!J11</f>
        <v>89</v>
      </c>
      <c r="K11" s="162">
        <f>客房耗材出入库录入!K11</f>
        <v>89</v>
      </c>
      <c r="L11" s="162">
        <f>客房耗材出入库录入!L11</f>
        <v>411</v>
      </c>
      <c r="M11" s="162">
        <f>客房耗材出入库录入!M11</f>
        <v>411</v>
      </c>
      <c r="N11" s="162">
        <f>客房耗材出入库录入!N11</f>
        <v>0</v>
      </c>
      <c r="O11" s="162">
        <f>客房耗材出入库录入!O11*$E11</f>
        <v>1</v>
      </c>
      <c r="P11" s="162">
        <f>客房耗材出入库录入!P11*$E11</f>
        <v>0</v>
      </c>
      <c r="Q11" s="162">
        <f>客房耗材出入库录入!Q11*$E11</f>
        <v>4</v>
      </c>
      <c r="R11" s="162">
        <f>客房耗材出入库录入!R11*$E11</f>
        <v>0</v>
      </c>
      <c r="S11" s="162">
        <f>客房耗材出入库录入!S11*$E11</f>
        <v>2</v>
      </c>
      <c r="T11" s="162">
        <f>客房耗材出入库录入!T11*$E11</f>
        <v>0</v>
      </c>
      <c r="U11" s="162">
        <f>客房耗材出入库录入!U11*$E11</f>
        <v>2</v>
      </c>
      <c r="V11" s="162">
        <f>客房耗材出入库录入!V11*$E11</f>
        <v>0</v>
      </c>
      <c r="W11" s="162">
        <f>客房耗材出入库录入!W11*$E11</f>
        <v>3</v>
      </c>
      <c r="X11" s="162">
        <f>客房耗材出入库录入!X11*$E11</f>
        <v>0</v>
      </c>
      <c r="Y11" s="162">
        <f>客房耗材出入库录入!Y11*$E11</f>
        <v>0</v>
      </c>
      <c r="Z11" s="162">
        <f>客房耗材出入库录入!Z11*$E11</f>
        <v>0</v>
      </c>
      <c r="AA11" s="162">
        <f>客房耗材出入库录入!AA11*$E11</f>
        <v>2</v>
      </c>
      <c r="AB11" s="162">
        <f>客房耗材出入库录入!AB11*$E11</f>
        <v>0</v>
      </c>
      <c r="AC11" s="162">
        <f>客房耗材出入库录入!AC11*$E11</f>
        <v>2</v>
      </c>
      <c r="AD11" s="162">
        <f>客房耗材出入库录入!AD11*$E11</f>
        <v>0</v>
      </c>
      <c r="AE11" s="162">
        <f>客房耗材出入库录入!AE11*$E11</f>
        <v>4</v>
      </c>
      <c r="AF11" s="162">
        <f>客房耗材出入库录入!AF11*$E11</f>
        <v>0</v>
      </c>
      <c r="AG11" s="162">
        <f>客房耗材出入库录入!AG11*$E11</f>
        <v>0</v>
      </c>
      <c r="AH11" s="162">
        <f>客房耗材出入库录入!AH11*$E11</f>
        <v>0</v>
      </c>
      <c r="AI11" s="162">
        <f>客房耗材出入库录入!AI11*$E11</f>
        <v>3</v>
      </c>
      <c r="AJ11" s="162">
        <f>客房耗材出入库录入!AJ11*$E11</f>
        <v>0</v>
      </c>
      <c r="AK11" s="162">
        <f>客房耗材出入库录入!AK11*$E11</f>
        <v>3</v>
      </c>
      <c r="AL11" s="162">
        <f>客房耗材出入库录入!AL11*$E11</f>
        <v>0</v>
      </c>
      <c r="AM11" s="162">
        <f>客房耗材出入库录入!AM11*$E11</f>
        <v>1</v>
      </c>
      <c r="AN11" s="162">
        <f>客房耗材出入库录入!AN11*$E11</f>
        <v>0</v>
      </c>
      <c r="AO11" s="162">
        <f>客房耗材出入库录入!AO11*$E11</f>
        <v>2</v>
      </c>
      <c r="AP11" s="162">
        <f>客房耗材出入库录入!AP11*$E11</f>
        <v>0</v>
      </c>
      <c r="AQ11" s="162">
        <f>客房耗材出入库录入!AQ12*$E11</f>
        <v>0</v>
      </c>
      <c r="AR11" s="162">
        <f>客房耗材出入库录入!AR11*$E11</f>
        <v>0</v>
      </c>
      <c r="AS11" s="162">
        <f>客房耗材出入库录入!AS11*$E11</f>
        <v>3</v>
      </c>
      <c r="AT11" s="162">
        <f>客房耗材出入库录入!AT11*$E11</f>
        <v>0</v>
      </c>
      <c r="AU11" s="162">
        <f>客房耗材出入库录入!AU11*$E11</f>
        <v>1</v>
      </c>
      <c r="AV11" s="162">
        <f>客房耗材出入库录入!AV11*$E11</f>
        <v>0</v>
      </c>
      <c r="AW11" s="162">
        <f>客房耗材出入库录入!AW11*$E11</f>
        <v>4</v>
      </c>
      <c r="AX11" s="162">
        <f>客房耗材出入库录入!AX11*$E11</f>
        <v>0</v>
      </c>
      <c r="AY11" s="162">
        <f>客房耗材出入库录入!AY11*$E11</f>
        <v>1</v>
      </c>
      <c r="AZ11" s="162">
        <f>客房耗材出入库录入!AZ11*$E11</f>
        <v>0</v>
      </c>
      <c r="BA11" s="162">
        <f>客房耗材出入库录入!BA11*$E11</f>
        <v>3</v>
      </c>
      <c r="BB11" s="162">
        <f>客房耗材出入库录入!BB11*$E11</f>
        <v>0</v>
      </c>
      <c r="BC11" s="162">
        <f>客房耗材出入库录入!BC11*$E11</f>
        <v>2</v>
      </c>
      <c r="BD11" s="162">
        <f>客房耗材出入库录入!BD11*$E11</f>
        <v>0</v>
      </c>
      <c r="BE11" s="162">
        <f>客房耗材出入库录入!BE11*$E11</f>
        <v>3</v>
      </c>
      <c r="BF11" s="162">
        <f>客房耗材出入库录入!BF11*$E11</f>
        <v>0</v>
      </c>
      <c r="BG11" s="162">
        <f>客房耗材出入库录入!BG11*$E11</f>
        <v>4</v>
      </c>
      <c r="BH11" s="162">
        <f>客房耗材出入库录入!BH11*$E11</f>
        <v>0</v>
      </c>
      <c r="BI11" s="162">
        <f>客房耗材出入库录入!BI11*$E11</f>
        <v>3</v>
      </c>
      <c r="BJ11" s="162">
        <f>客房耗材出入库录入!BJ11*$E11</f>
        <v>0</v>
      </c>
      <c r="BK11" s="162">
        <f>客房耗材出入库录入!BK11*$E11</f>
        <v>5</v>
      </c>
      <c r="BL11" s="162">
        <f>客房耗材出入库录入!BL11*$E11</f>
        <v>0</v>
      </c>
      <c r="BM11" s="162">
        <f>客房耗材出入库录入!BM11*$E11</f>
        <v>2</v>
      </c>
      <c r="BN11" s="162">
        <f>客房耗材出入库录入!BN11*$E11</f>
        <v>0</v>
      </c>
      <c r="BO11" s="162">
        <f>客房耗材出入库录入!BO11*$E11</f>
        <v>3</v>
      </c>
      <c r="BP11" s="162">
        <f>客房耗材出入库录入!BP11*$E11</f>
        <v>0</v>
      </c>
      <c r="BQ11" s="162">
        <f>客房耗材出入库录入!BQ11*$E11</f>
        <v>5</v>
      </c>
      <c r="BR11" s="162">
        <f>客房耗材出入库录入!BR11*$E11</f>
        <v>0</v>
      </c>
      <c r="BS11" s="162">
        <f>客房耗材出入库录入!BS11*$E11</f>
        <v>6</v>
      </c>
      <c r="BT11" s="162">
        <f>客房耗材出入库录入!BT11*$E11</f>
        <v>0</v>
      </c>
      <c r="BU11" s="162">
        <f>客房耗材出入库录入!BU11*$E11</f>
        <v>7</v>
      </c>
      <c r="BV11" s="162">
        <f>客房耗材出入库录入!BV11*$E11</f>
        <v>0</v>
      </c>
      <c r="BW11" s="162">
        <f>客房耗材出入库录入!BW11*$E11</f>
        <v>8</v>
      </c>
    </row>
    <row r="12" s="140" customFormat="1" customHeight="1" spans="1:75">
      <c r="A12" s="161">
        <v>1</v>
      </c>
      <c r="B12" s="162" t="str">
        <f>客房耗材出入库录入!B12</f>
        <v>儿童拖鞋</v>
      </c>
      <c r="C12" s="162">
        <f>客房耗材出入库录入!C12</f>
        <v>0</v>
      </c>
      <c r="D12" s="162" t="str">
        <f>客房耗材出入库录入!D12</f>
        <v>双</v>
      </c>
      <c r="E12" s="162">
        <f>客房耗材出入库录入!E12</f>
        <v>1.8</v>
      </c>
      <c r="F12" s="162">
        <f>客房耗材出入库录入!F12</f>
        <v>500</v>
      </c>
      <c r="G12" s="162">
        <f>客房耗材出入库录入!G12</f>
        <v>900</v>
      </c>
      <c r="H12" s="162">
        <f>客房耗材出入库录入!H12</f>
        <v>0</v>
      </c>
      <c r="I12" s="162">
        <f>客房耗材出入库录入!I12</f>
        <v>0</v>
      </c>
      <c r="J12" s="162">
        <f>客房耗材出入库录入!J12</f>
        <v>92</v>
      </c>
      <c r="K12" s="162">
        <f>客房耗材出入库录入!K12</f>
        <v>165.6</v>
      </c>
      <c r="L12" s="162">
        <f>客房耗材出入库录入!L12</f>
        <v>408</v>
      </c>
      <c r="M12" s="162">
        <f>客房耗材出入库录入!M12</f>
        <v>734.4</v>
      </c>
      <c r="N12" s="162">
        <f>客房耗材出入库录入!N12</f>
        <v>0</v>
      </c>
      <c r="O12" s="162">
        <f>客房耗材出入库录入!O12*$E12</f>
        <v>1.8</v>
      </c>
      <c r="P12" s="162">
        <f>客房耗材出入库录入!P12*$E12</f>
        <v>0</v>
      </c>
      <c r="Q12" s="162">
        <f>客房耗材出入库录入!Q12*$E12</f>
        <v>7.2</v>
      </c>
      <c r="R12" s="162">
        <f>客房耗材出入库录入!R12*$E12</f>
        <v>0</v>
      </c>
      <c r="S12" s="162">
        <f>客房耗材出入库录入!S12*$E12</f>
        <v>3.6</v>
      </c>
      <c r="T12" s="162">
        <f>客房耗材出入库录入!T12*$E12</f>
        <v>0</v>
      </c>
      <c r="U12" s="162">
        <f>客房耗材出入库录入!U12*$E12</f>
        <v>3.6</v>
      </c>
      <c r="V12" s="162">
        <f>客房耗材出入库录入!V12*$E12</f>
        <v>0</v>
      </c>
      <c r="W12" s="162">
        <f>客房耗材出入库录入!W12*$E12</f>
        <v>7.2</v>
      </c>
      <c r="X12" s="162">
        <f>客房耗材出入库录入!X12*$E12</f>
        <v>0</v>
      </c>
      <c r="Y12" s="162">
        <f>客房耗材出入库录入!Y12*$E12</f>
        <v>0</v>
      </c>
      <c r="Z12" s="162">
        <f>客房耗材出入库录入!Z12*$E12</f>
        <v>0</v>
      </c>
      <c r="AA12" s="162">
        <f>客房耗材出入库录入!AA12*$E12</f>
        <v>3.6</v>
      </c>
      <c r="AB12" s="162">
        <f>客房耗材出入库录入!AB12*$E12</f>
        <v>0</v>
      </c>
      <c r="AC12" s="162">
        <f>客房耗材出入库录入!AC12*$E12</f>
        <v>3.6</v>
      </c>
      <c r="AD12" s="162">
        <f>客房耗材出入库录入!AD12*$E12</f>
        <v>0</v>
      </c>
      <c r="AE12" s="162">
        <f>客房耗材出入库录入!AE12*$E12</f>
        <v>5.4</v>
      </c>
      <c r="AF12" s="162">
        <f>客房耗材出入库录入!AF12*$E12</f>
        <v>0</v>
      </c>
      <c r="AG12" s="162">
        <f>客房耗材出入库录入!AG12*$E12</f>
        <v>0</v>
      </c>
      <c r="AH12" s="162">
        <f>客房耗材出入库录入!AH12*$E12</f>
        <v>0</v>
      </c>
      <c r="AI12" s="162">
        <f>客房耗材出入库录入!AI12*$E12</f>
        <v>3.6</v>
      </c>
      <c r="AJ12" s="162">
        <f>客房耗材出入库录入!AJ12*$E12</f>
        <v>0</v>
      </c>
      <c r="AK12" s="162">
        <f>客房耗材出入库录入!AK12*$E12</f>
        <v>5.4</v>
      </c>
      <c r="AL12" s="162">
        <f>客房耗材出入库录入!AL12*$E12</f>
        <v>0</v>
      </c>
      <c r="AM12" s="162">
        <f>客房耗材出入库录入!AM12*$E12</f>
        <v>1.8</v>
      </c>
      <c r="AN12" s="162">
        <f>客房耗材出入库录入!AN12*$E12</f>
        <v>0</v>
      </c>
      <c r="AO12" s="162">
        <f>客房耗材出入库录入!AO12*$E12</f>
        <v>3.6</v>
      </c>
      <c r="AP12" s="162">
        <f>客房耗材出入库录入!AP12*$E12</f>
        <v>0</v>
      </c>
      <c r="AQ12" s="162">
        <f>客房耗材出入库录入!AQ12*$E12</f>
        <v>0</v>
      </c>
      <c r="AR12" s="162">
        <f>客房耗材出入库录入!AR12*$E12</f>
        <v>0</v>
      </c>
      <c r="AS12" s="162">
        <f>客房耗材出入库录入!AS12*$E12</f>
        <v>5.4</v>
      </c>
      <c r="AT12" s="162">
        <f>客房耗材出入库录入!AT12*$E12</f>
        <v>0</v>
      </c>
      <c r="AU12" s="162">
        <f>客房耗材出入库录入!AU12*$E12</f>
        <v>1.8</v>
      </c>
      <c r="AV12" s="162">
        <f>客房耗材出入库录入!AV12*$E12</f>
        <v>0</v>
      </c>
      <c r="AW12" s="162">
        <f>客房耗材出入库录入!AW12*$E12</f>
        <v>7.2</v>
      </c>
      <c r="AX12" s="162">
        <f>客房耗材出入库录入!AX12*$E12</f>
        <v>0</v>
      </c>
      <c r="AY12" s="162">
        <f>客房耗材出入库录入!AY12*$E12</f>
        <v>1.8</v>
      </c>
      <c r="AZ12" s="162">
        <f>客房耗材出入库录入!AZ12*$E12</f>
        <v>0</v>
      </c>
      <c r="BA12" s="162">
        <f>客房耗材出入库录入!BA12*$E12</f>
        <v>5.4</v>
      </c>
      <c r="BB12" s="162">
        <f>客房耗材出入库录入!BB12*$E12</f>
        <v>0</v>
      </c>
      <c r="BC12" s="162">
        <f>客房耗材出入库录入!BC12*$E12</f>
        <v>3.6</v>
      </c>
      <c r="BD12" s="162">
        <f>客房耗材出入库录入!BD12*$E12</f>
        <v>0</v>
      </c>
      <c r="BE12" s="162">
        <f>客房耗材出入库录入!BE12*$E12</f>
        <v>3.6</v>
      </c>
      <c r="BF12" s="162">
        <f>客房耗材出入库录入!BF12*$E12</f>
        <v>0</v>
      </c>
      <c r="BG12" s="162">
        <f>客房耗材出入库录入!BG12*$E12</f>
        <v>7.2</v>
      </c>
      <c r="BH12" s="162">
        <f>客房耗材出入库录入!BH12*$E12</f>
        <v>0</v>
      </c>
      <c r="BI12" s="162">
        <f>客房耗材出入库录入!BI12*$E12</f>
        <v>5.4</v>
      </c>
      <c r="BJ12" s="162">
        <f>客房耗材出入库录入!BJ12*$E12</f>
        <v>0</v>
      </c>
      <c r="BK12" s="162">
        <f>客房耗材出入库录入!BK12*$E12</f>
        <v>9</v>
      </c>
      <c r="BL12" s="162">
        <f>客房耗材出入库录入!BL12*$E12</f>
        <v>0</v>
      </c>
      <c r="BM12" s="162">
        <f>客房耗材出入库录入!BM12*$E12</f>
        <v>5.4</v>
      </c>
      <c r="BN12" s="162">
        <f>客房耗材出入库录入!BN12*$E12</f>
        <v>0</v>
      </c>
      <c r="BO12" s="162">
        <f>客房耗材出入库录入!BO12*$E12</f>
        <v>7.2</v>
      </c>
      <c r="BP12" s="162">
        <f>客房耗材出入库录入!BP12*$E12</f>
        <v>0</v>
      </c>
      <c r="BQ12" s="162">
        <f>客房耗材出入库录入!BQ12*$E12</f>
        <v>10.8</v>
      </c>
      <c r="BR12" s="162">
        <f>客房耗材出入库录入!BR12*$E12</f>
        <v>0</v>
      </c>
      <c r="BS12" s="162">
        <f>客房耗材出入库录入!BS12*$E12</f>
        <v>14.4</v>
      </c>
      <c r="BT12" s="162">
        <f>客房耗材出入库录入!BT12*$E12</f>
        <v>0</v>
      </c>
      <c r="BU12" s="162">
        <f>客房耗材出入库录入!BU12*$E12</f>
        <v>12.6</v>
      </c>
      <c r="BV12" s="162">
        <f>客房耗材出入库录入!BV12*$E12</f>
        <v>0</v>
      </c>
      <c r="BW12" s="162">
        <f>客房耗材出入库录入!BW12*$E12</f>
        <v>14.4</v>
      </c>
    </row>
    <row r="13" s="140" customFormat="1" customHeight="1" spans="1:75">
      <c r="A13" s="161">
        <v>1</v>
      </c>
      <c r="B13" s="162" t="str">
        <f>客房耗材出入库录入!B13</f>
        <v>洗衣液</v>
      </c>
      <c r="C13" s="162">
        <f>客房耗材出入库录入!C13</f>
        <v>0</v>
      </c>
      <c r="D13" s="162" t="str">
        <f>客房耗材出入库录入!D13</f>
        <v>瓶</v>
      </c>
      <c r="E13" s="162">
        <f>客房耗材出入库录入!E13</f>
        <v>7.9</v>
      </c>
      <c r="F13" s="162">
        <f>客房耗材出入库录入!F13</f>
        <v>21</v>
      </c>
      <c r="G13" s="162">
        <f>客房耗材出入库录入!G13</f>
        <v>165.9</v>
      </c>
      <c r="H13" s="162">
        <f>客房耗材出入库录入!H13</f>
        <v>0</v>
      </c>
      <c r="I13" s="162">
        <f>客房耗材出入库录入!I13</f>
        <v>0</v>
      </c>
      <c r="J13" s="162">
        <f>客房耗材出入库录入!J13</f>
        <v>11</v>
      </c>
      <c r="K13" s="162">
        <f>客房耗材出入库录入!K13</f>
        <v>86.9</v>
      </c>
      <c r="L13" s="162">
        <f>客房耗材出入库录入!L13</f>
        <v>10</v>
      </c>
      <c r="M13" s="162">
        <f>客房耗材出入库录入!M13</f>
        <v>79</v>
      </c>
      <c r="N13" s="162">
        <f>客房耗材出入库录入!N13</f>
        <v>0</v>
      </c>
      <c r="O13" s="162">
        <f>客房耗材出入库录入!O13*$E13</f>
        <v>0</v>
      </c>
      <c r="P13" s="162">
        <f>客房耗材出入库录入!P13*$E13</f>
        <v>0</v>
      </c>
      <c r="Q13" s="162">
        <f>客房耗材出入库录入!Q13*$E13</f>
        <v>0</v>
      </c>
      <c r="R13" s="162">
        <f>客房耗材出入库录入!R13*$E13</f>
        <v>0</v>
      </c>
      <c r="S13" s="162">
        <f>客房耗材出入库录入!S13*$E13</f>
        <v>0</v>
      </c>
      <c r="T13" s="162">
        <f>客房耗材出入库录入!T13*$E13</f>
        <v>0</v>
      </c>
      <c r="U13" s="162">
        <f>客房耗材出入库录入!U13*$E13</f>
        <v>0</v>
      </c>
      <c r="V13" s="162">
        <f>客房耗材出入库录入!V13*$E13</f>
        <v>0</v>
      </c>
      <c r="W13" s="162">
        <f>客房耗材出入库录入!W13*$E13</f>
        <v>0</v>
      </c>
      <c r="X13" s="162">
        <f>客房耗材出入库录入!X13*$E13</f>
        <v>0</v>
      </c>
      <c r="Y13" s="162">
        <f>客房耗材出入库录入!Y13*$E13</f>
        <v>0</v>
      </c>
      <c r="Z13" s="162">
        <f>客房耗材出入库录入!Z13*$E13</f>
        <v>0</v>
      </c>
      <c r="AA13" s="162">
        <f>客房耗材出入库录入!AA13*$E13</f>
        <v>7.9</v>
      </c>
      <c r="AB13" s="162">
        <f>客房耗材出入库录入!AB13*$E13</f>
        <v>0</v>
      </c>
      <c r="AC13" s="162">
        <f>客房耗材出入库录入!AC13*$E13</f>
        <v>0</v>
      </c>
      <c r="AD13" s="162">
        <f>客房耗材出入库录入!AD13*$E13</f>
        <v>0</v>
      </c>
      <c r="AE13" s="162">
        <f>客房耗材出入库录入!AE13*$E13</f>
        <v>7.9</v>
      </c>
      <c r="AF13" s="162">
        <f>客房耗材出入库录入!AF13*$E13</f>
        <v>0</v>
      </c>
      <c r="AG13" s="162">
        <f>客房耗材出入库录入!AG13*$E13</f>
        <v>0</v>
      </c>
      <c r="AH13" s="162">
        <f>客房耗材出入库录入!AH13*$E13</f>
        <v>0</v>
      </c>
      <c r="AI13" s="162">
        <f>客房耗材出入库录入!AI13*$E13</f>
        <v>0</v>
      </c>
      <c r="AJ13" s="162">
        <f>客房耗材出入库录入!AJ13*$E13</f>
        <v>0</v>
      </c>
      <c r="AK13" s="162">
        <f>客房耗材出入库录入!AK13*$E13</f>
        <v>0</v>
      </c>
      <c r="AL13" s="162">
        <f>客房耗材出入库录入!AL13*$E13</f>
        <v>0</v>
      </c>
      <c r="AM13" s="162">
        <f>客房耗材出入库录入!AM13*$E13</f>
        <v>0</v>
      </c>
      <c r="AN13" s="162">
        <f>客房耗材出入库录入!AN13*$E13</f>
        <v>0</v>
      </c>
      <c r="AO13" s="162">
        <f>客房耗材出入库录入!AO13*$E13</f>
        <v>7.9</v>
      </c>
      <c r="AP13" s="162">
        <f>客房耗材出入库录入!AP13*$E13</f>
        <v>0</v>
      </c>
      <c r="AQ13" s="162">
        <f>客房耗材出入库录入!AQ13*$E13</f>
        <v>0</v>
      </c>
      <c r="AR13" s="162">
        <f>客房耗材出入库录入!AR13*$E13</f>
        <v>0</v>
      </c>
      <c r="AS13" s="162">
        <f>客房耗材出入库录入!AS13*$E13</f>
        <v>0</v>
      </c>
      <c r="AT13" s="162">
        <f>客房耗材出入库录入!AT13*$E13</f>
        <v>0</v>
      </c>
      <c r="AU13" s="162">
        <f>客房耗材出入库录入!AU13*$E13</f>
        <v>7.9</v>
      </c>
      <c r="AV13" s="162">
        <f>客房耗材出入库录入!AV13*$E13</f>
        <v>0</v>
      </c>
      <c r="AW13" s="162">
        <f>客房耗材出入库录入!AW13*$E13</f>
        <v>0</v>
      </c>
      <c r="AX13" s="162">
        <f>客房耗材出入库录入!AX13*$E13</f>
        <v>0</v>
      </c>
      <c r="AY13" s="162">
        <f>客房耗材出入库录入!AY13*$E13</f>
        <v>0</v>
      </c>
      <c r="AZ13" s="162">
        <f>客房耗材出入库录入!AZ13*$E13</f>
        <v>0</v>
      </c>
      <c r="BA13" s="162">
        <f>客房耗材出入库录入!BA13*$E13</f>
        <v>7.9</v>
      </c>
      <c r="BB13" s="162">
        <f>客房耗材出入库录入!BB13*$E13</f>
        <v>0</v>
      </c>
      <c r="BC13" s="162">
        <f>客房耗材出入库录入!BC13*$E13</f>
        <v>0</v>
      </c>
      <c r="BD13" s="162">
        <f>客房耗材出入库录入!BD13*$E13</f>
        <v>0</v>
      </c>
      <c r="BE13" s="162">
        <f>客房耗材出入库录入!BE13*$E13</f>
        <v>0</v>
      </c>
      <c r="BF13" s="162">
        <f>客房耗材出入库录入!BF13*$E13</f>
        <v>0</v>
      </c>
      <c r="BG13" s="162">
        <f>客房耗材出入库录入!BG13*$E13</f>
        <v>7.9</v>
      </c>
      <c r="BH13" s="162">
        <f>客房耗材出入库录入!BH13*$E13</f>
        <v>0</v>
      </c>
      <c r="BI13" s="162">
        <f>客房耗材出入库录入!BI13*$E13</f>
        <v>0</v>
      </c>
      <c r="BJ13" s="162">
        <f>客房耗材出入库录入!BJ13*$E13</f>
        <v>0</v>
      </c>
      <c r="BK13" s="162">
        <f>客房耗材出入库录入!BK13*$E13</f>
        <v>0</v>
      </c>
      <c r="BL13" s="162">
        <f>客房耗材出入库录入!BL13*$E13</f>
        <v>0</v>
      </c>
      <c r="BM13" s="162">
        <f>客房耗材出入库录入!BM13*$E13</f>
        <v>0</v>
      </c>
      <c r="BN13" s="162">
        <f>客房耗材出入库录入!BN13*$E13</f>
        <v>0</v>
      </c>
      <c r="BO13" s="162">
        <f>客房耗材出入库录入!BO13*$E13</f>
        <v>7.9</v>
      </c>
      <c r="BP13" s="162">
        <f>客房耗材出入库录入!BP13*$E13</f>
        <v>0</v>
      </c>
      <c r="BQ13" s="162">
        <f>客房耗材出入库录入!BQ13*$E13</f>
        <v>15.8</v>
      </c>
      <c r="BR13" s="162">
        <f>客房耗材出入库录入!BR13*$E13</f>
        <v>0</v>
      </c>
      <c r="BS13" s="162">
        <f>客房耗材出入库录入!BS13*$E13</f>
        <v>7.9</v>
      </c>
      <c r="BT13" s="162">
        <f>客房耗材出入库录入!BT13*$E13</f>
        <v>0</v>
      </c>
      <c r="BU13" s="162">
        <f>客房耗材出入库录入!BU13*$E13</f>
        <v>7.9</v>
      </c>
      <c r="BV13" s="162">
        <f>客房耗材出入库录入!BV13*$E13</f>
        <v>0</v>
      </c>
      <c r="BW13" s="162">
        <f>客房耗材出入库录入!BW13*$E13</f>
        <v>0</v>
      </c>
    </row>
    <row r="14" s="140" customFormat="1" customHeight="1" spans="1:75">
      <c r="A14" s="161">
        <v>1</v>
      </c>
      <c r="B14" s="162" t="str">
        <f>客房耗材出入库录入!B14</f>
        <v>洗手液</v>
      </c>
      <c r="C14" s="162">
        <f>客房耗材出入库录入!C14</f>
        <v>0</v>
      </c>
      <c r="D14" s="162" t="str">
        <f>客房耗材出入库录入!D14</f>
        <v>瓶</v>
      </c>
      <c r="E14" s="162">
        <f>客房耗材出入库录入!E14</f>
        <v>7.9</v>
      </c>
      <c r="F14" s="162">
        <f>客房耗材出入库录入!F14</f>
        <v>83</v>
      </c>
      <c r="G14" s="162">
        <f>客房耗材出入库录入!G14</f>
        <v>655.7</v>
      </c>
      <c r="H14" s="162">
        <f>客房耗材出入库录入!H14</f>
        <v>0</v>
      </c>
      <c r="I14" s="162">
        <f>客房耗材出入库录入!I14</f>
        <v>0</v>
      </c>
      <c r="J14" s="162">
        <f>客房耗材出入库录入!J14</f>
        <v>28</v>
      </c>
      <c r="K14" s="162">
        <f>客房耗材出入库录入!K14</f>
        <v>221.2</v>
      </c>
      <c r="L14" s="162">
        <f>客房耗材出入库录入!L14</f>
        <v>55</v>
      </c>
      <c r="M14" s="162">
        <f>客房耗材出入库录入!M14</f>
        <v>434.5</v>
      </c>
      <c r="N14" s="162">
        <f>客房耗材出入库录入!N14</f>
        <v>0</v>
      </c>
      <c r="O14" s="162">
        <f>客房耗材出入库录入!O14*$E14</f>
        <v>7.9</v>
      </c>
      <c r="P14" s="162">
        <f>客房耗材出入库录入!P14*$E14</f>
        <v>0</v>
      </c>
      <c r="Q14" s="162">
        <f>客房耗材出入库录入!Q14*$E14</f>
        <v>7.9</v>
      </c>
      <c r="R14" s="162">
        <f>客房耗材出入库录入!R14*$E14</f>
        <v>0</v>
      </c>
      <c r="S14" s="162">
        <f>客房耗材出入库录入!S14*$E14</f>
        <v>7.9</v>
      </c>
      <c r="T14" s="162">
        <f>客房耗材出入库录入!T14*$E14</f>
        <v>0</v>
      </c>
      <c r="U14" s="162">
        <f>客房耗材出入库录入!U14*$E14</f>
        <v>15.8</v>
      </c>
      <c r="V14" s="162">
        <f>客房耗材出入库录入!V14*$E14</f>
        <v>0</v>
      </c>
      <c r="W14" s="162">
        <f>客房耗材出入库录入!W14*$E14</f>
        <v>7.9</v>
      </c>
      <c r="X14" s="162">
        <f>客房耗材出入库录入!X14*$E14</f>
        <v>0</v>
      </c>
      <c r="Y14" s="162">
        <f>客房耗材出入库录入!Y14*$E14</f>
        <v>0</v>
      </c>
      <c r="Z14" s="162">
        <f>客房耗材出入库录入!Z14*$E14</f>
        <v>0</v>
      </c>
      <c r="AA14" s="162">
        <f>客房耗材出入库录入!AA14*$E14</f>
        <v>7.9</v>
      </c>
      <c r="AB14" s="162">
        <f>客房耗材出入库录入!AB14*$E14</f>
        <v>0</v>
      </c>
      <c r="AC14" s="162">
        <f>客房耗材出入库录入!AC14*$E14</f>
        <v>0</v>
      </c>
      <c r="AD14" s="162">
        <f>客房耗材出入库录入!AD14*$E14</f>
        <v>0</v>
      </c>
      <c r="AE14" s="162">
        <f>客房耗材出入库录入!AE14*$E14</f>
        <v>15.8</v>
      </c>
      <c r="AF14" s="162">
        <f>客房耗材出入库录入!AF14*$E14</f>
        <v>0</v>
      </c>
      <c r="AG14" s="162">
        <f>客房耗材出入库录入!AG14*$E14</f>
        <v>7.9</v>
      </c>
      <c r="AH14" s="162">
        <f>客房耗材出入库录入!AH14*$E14</f>
        <v>0</v>
      </c>
      <c r="AI14" s="162">
        <f>客房耗材出入库录入!AI14*$E14</f>
        <v>7.9</v>
      </c>
      <c r="AJ14" s="162">
        <f>客房耗材出入库录入!AJ14*$E14</f>
        <v>0</v>
      </c>
      <c r="AK14" s="162">
        <f>客房耗材出入库录入!AK14*$E14</f>
        <v>0</v>
      </c>
      <c r="AL14" s="162">
        <f>客房耗材出入库录入!AL14*$E14</f>
        <v>0</v>
      </c>
      <c r="AM14" s="162">
        <f>客房耗材出入库录入!AM14*$E14</f>
        <v>15.8</v>
      </c>
      <c r="AN14" s="162">
        <f>客房耗材出入库录入!AN14*$E14</f>
        <v>0</v>
      </c>
      <c r="AO14" s="162">
        <f>客房耗材出入库录入!AO14*$E14</f>
        <v>7.9</v>
      </c>
      <c r="AP14" s="162">
        <f>客房耗材出入库录入!AP14*$E14</f>
        <v>0</v>
      </c>
      <c r="AQ14" s="162">
        <f>客房耗材出入库录入!AQ14*$E14</f>
        <v>0</v>
      </c>
      <c r="AR14" s="162">
        <f>客房耗材出入库录入!AR14*$E14</f>
        <v>0</v>
      </c>
      <c r="AS14" s="162">
        <f>客房耗材出入库录入!AS14*$E14</f>
        <v>7.9</v>
      </c>
      <c r="AT14" s="162">
        <f>客房耗材出入库录入!AT14*$E14</f>
        <v>0</v>
      </c>
      <c r="AU14" s="162">
        <f>客房耗材出入库录入!AU14*$E14</f>
        <v>0</v>
      </c>
      <c r="AV14" s="162">
        <f>客房耗材出入库录入!AV14*$E14</f>
        <v>0</v>
      </c>
      <c r="AW14" s="162">
        <f>客房耗材出入库录入!AW14*$E14</f>
        <v>7.9</v>
      </c>
      <c r="AX14" s="162">
        <f>客房耗材出入库录入!AX14*$E14</f>
        <v>0</v>
      </c>
      <c r="AY14" s="162">
        <f>客房耗材出入库录入!AY14*$E14</f>
        <v>0</v>
      </c>
      <c r="AZ14" s="162">
        <f>客房耗材出入库录入!AZ14*$E14</f>
        <v>0</v>
      </c>
      <c r="BA14" s="162">
        <f>客房耗材出入库录入!BA14*$E14</f>
        <v>7.9</v>
      </c>
      <c r="BB14" s="162">
        <f>客房耗材出入库录入!BB14*$E14</f>
        <v>0</v>
      </c>
      <c r="BC14" s="162">
        <f>客房耗材出入库录入!BC14*$E14</f>
        <v>15.8</v>
      </c>
      <c r="BD14" s="162">
        <f>客房耗材出入库录入!BD14*$E14</f>
        <v>0</v>
      </c>
      <c r="BE14" s="162">
        <f>客房耗材出入库录入!BE14*$E14</f>
        <v>15.8</v>
      </c>
      <c r="BF14" s="162">
        <f>客房耗材出入库录入!BF14*$E14</f>
        <v>0</v>
      </c>
      <c r="BG14" s="162">
        <f>客房耗材出入库录入!BG14*$E14</f>
        <v>0</v>
      </c>
      <c r="BH14" s="162">
        <f>客房耗材出入库录入!BH14*$E14</f>
        <v>0</v>
      </c>
      <c r="BI14" s="162">
        <f>客房耗材出入库录入!BI14*$E14</f>
        <v>7.9</v>
      </c>
      <c r="BJ14" s="162">
        <f>客房耗材出入库录入!BJ14*$E14</f>
        <v>0</v>
      </c>
      <c r="BK14" s="162">
        <f>客房耗材出入库录入!BK14*$E14</f>
        <v>7.9</v>
      </c>
      <c r="BL14" s="162">
        <f>客房耗材出入库录入!BL14*$E14</f>
        <v>0</v>
      </c>
      <c r="BM14" s="162">
        <f>客房耗材出入库录入!BM14*$E14</f>
        <v>0</v>
      </c>
      <c r="BN14" s="162">
        <f>客房耗材出入库录入!BN14*$E14</f>
        <v>0</v>
      </c>
      <c r="BO14" s="162">
        <f>客房耗材出入库录入!BO14*$E14</f>
        <v>15.8</v>
      </c>
      <c r="BP14" s="162">
        <f>客房耗材出入库录入!BP14*$E14</f>
        <v>0</v>
      </c>
      <c r="BQ14" s="162">
        <f>客房耗材出入库录入!BQ14*$E14</f>
        <v>0</v>
      </c>
      <c r="BR14" s="162">
        <f>客房耗材出入库录入!BR14*$E14</f>
        <v>0</v>
      </c>
      <c r="BS14" s="162">
        <f>客房耗材出入库录入!BS14*$E14</f>
        <v>7.9</v>
      </c>
      <c r="BT14" s="162">
        <f>客房耗材出入库录入!BT14*$E14</f>
        <v>0</v>
      </c>
      <c r="BU14" s="162">
        <f>客房耗材出入库录入!BU14*$E14</f>
        <v>0</v>
      </c>
      <c r="BV14" s="162">
        <f>客房耗材出入库录入!BV14*$E14</f>
        <v>0</v>
      </c>
      <c r="BW14" s="162">
        <f>客房耗材出入库录入!BW14*$E14</f>
        <v>15.8</v>
      </c>
    </row>
    <row r="15" s="140" customFormat="1" customHeight="1" spans="1:75">
      <c r="A15" s="161">
        <v>1</v>
      </c>
      <c r="B15" s="162" t="str">
        <f>客房耗材出入库录入!B15</f>
        <v>洗衣液补充液</v>
      </c>
      <c r="C15" s="162">
        <f>客房耗材出入库录入!C15</f>
        <v>0</v>
      </c>
      <c r="D15" s="162" t="str">
        <f>客房耗材出入库录入!D15</f>
        <v>桶</v>
      </c>
      <c r="E15" s="162">
        <f>客房耗材出入库录入!E15</f>
        <v>48</v>
      </c>
      <c r="F15" s="162">
        <f>客房耗材出入库录入!F15</f>
        <v>23</v>
      </c>
      <c r="G15" s="162">
        <f>客房耗材出入库录入!G15</f>
        <v>1104</v>
      </c>
      <c r="H15" s="162">
        <f>客房耗材出入库录入!H15</f>
        <v>0</v>
      </c>
      <c r="I15" s="162">
        <f>客房耗材出入库录入!I15</f>
        <v>0</v>
      </c>
      <c r="J15" s="162">
        <f>客房耗材出入库录入!J15</f>
        <v>10</v>
      </c>
      <c r="K15" s="162">
        <f>客房耗材出入库录入!K15</f>
        <v>480</v>
      </c>
      <c r="L15" s="162">
        <f>客房耗材出入库录入!L15</f>
        <v>13</v>
      </c>
      <c r="M15" s="162">
        <f>客房耗材出入库录入!M15</f>
        <v>624</v>
      </c>
      <c r="N15" s="162">
        <f>客房耗材出入库录入!N15</f>
        <v>0</v>
      </c>
      <c r="O15" s="162">
        <f>客房耗材出入库录入!O15*$E15</f>
        <v>0</v>
      </c>
      <c r="P15" s="162">
        <f>客房耗材出入库录入!P15*$E15</f>
        <v>0</v>
      </c>
      <c r="Q15" s="162">
        <f>客房耗材出入库录入!Q15*$E15</f>
        <v>0</v>
      </c>
      <c r="R15" s="162">
        <f>客房耗材出入库录入!R15*$E15</f>
        <v>0</v>
      </c>
      <c r="S15" s="162">
        <f>客房耗材出入库录入!S15*$E15</f>
        <v>48</v>
      </c>
      <c r="T15" s="162">
        <f>客房耗材出入库录入!T15*$E15</f>
        <v>0</v>
      </c>
      <c r="U15" s="162">
        <f>客房耗材出入库录入!U15*$E15</f>
        <v>0</v>
      </c>
      <c r="V15" s="162">
        <f>客房耗材出入库录入!V15*$E15</f>
        <v>0</v>
      </c>
      <c r="W15" s="162">
        <f>客房耗材出入库录入!W15*$E15</f>
        <v>48</v>
      </c>
      <c r="X15" s="162">
        <f>客房耗材出入库录入!X15*$E15</f>
        <v>0</v>
      </c>
      <c r="Y15" s="162">
        <f>客房耗材出入库录入!Y15*$E15</f>
        <v>0</v>
      </c>
      <c r="Z15" s="162">
        <f>客房耗材出入库录入!Z15*$E15</f>
        <v>0</v>
      </c>
      <c r="AA15" s="162">
        <f>客房耗材出入库录入!AA15*$E15</f>
        <v>48</v>
      </c>
      <c r="AB15" s="162">
        <f>客房耗材出入库录入!AB15*$E15</f>
        <v>0</v>
      </c>
      <c r="AC15" s="162">
        <f>客房耗材出入库录入!AC15*$E15</f>
        <v>0</v>
      </c>
      <c r="AD15" s="162">
        <f>客房耗材出入库录入!AD15*$E15</f>
        <v>0</v>
      </c>
      <c r="AE15" s="162">
        <f>客房耗材出入库录入!AE15*$E15</f>
        <v>0</v>
      </c>
      <c r="AF15" s="162">
        <f>客房耗材出入库录入!AF15*$E15</f>
        <v>0</v>
      </c>
      <c r="AG15" s="162">
        <f>客房耗材出入库录入!AG15*$E15</f>
        <v>0</v>
      </c>
      <c r="AH15" s="162">
        <f>客房耗材出入库录入!AH15*$E15</f>
        <v>0</v>
      </c>
      <c r="AI15" s="162">
        <f>客房耗材出入库录入!AI15*$E15</f>
        <v>48</v>
      </c>
      <c r="AJ15" s="162">
        <f>客房耗材出入库录入!AJ15*$E15</f>
        <v>0</v>
      </c>
      <c r="AK15" s="162">
        <f>客房耗材出入库录入!AK15*$E15</f>
        <v>0</v>
      </c>
      <c r="AL15" s="162">
        <f>客房耗材出入库录入!AL15*$E15</f>
        <v>0</v>
      </c>
      <c r="AM15" s="162">
        <f>客房耗材出入库录入!AM15*$E15</f>
        <v>48</v>
      </c>
      <c r="AN15" s="162">
        <f>客房耗材出入库录入!AN15*$E15</f>
        <v>0</v>
      </c>
      <c r="AO15" s="162">
        <f>客房耗材出入库录入!AO15*$E15</f>
        <v>0</v>
      </c>
      <c r="AP15" s="162">
        <f>客房耗材出入库录入!AP15*$E15</f>
        <v>0</v>
      </c>
      <c r="AQ15" s="162">
        <f>客房耗材出入库录入!AQ15*$E15</f>
        <v>48</v>
      </c>
      <c r="AR15" s="162">
        <f>客房耗材出入库录入!AR15*$E15</f>
        <v>0</v>
      </c>
      <c r="AS15" s="162">
        <f>客房耗材出入库录入!AS15*$E15</f>
        <v>0</v>
      </c>
      <c r="AT15" s="162">
        <f>客房耗材出入库录入!AT15*$E15</f>
        <v>0</v>
      </c>
      <c r="AU15" s="162">
        <f>客房耗材出入库录入!AU15*$E15</f>
        <v>0</v>
      </c>
      <c r="AV15" s="162">
        <f>客房耗材出入库录入!AV15*$E15</f>
        <v>0</v>
      </c>
      <c r="AW15" s="162">
        <f>客房耗材出入库录入!AW15*$E15</f>
        <v>0</v>
      </c>
      <c r="AX15" s="162">
        <f>客房耗材出入库录入!AX15*$E15</f>
        <v>0</v>
      </c>
      <c r="AY15" s="162">
        <f>客房耗材出入库录入!AY15*$E15</f>
        <v>0</v>
      </c>
      <c r="AZ15" s="162">
        <f>客房耗材出入库录入!AZ15*$E15</f>
        <v>0</v>
      </c>
      <c r="BA15" s="162">
        <f>客房耗材出入库录入!BA15*$E15</f>
        <v>48</v>
      </c>
      <c r="BB15" s="162">
        <f>客房耗材出入库录入!BB15*$E15</f>
        <v>0</v>
      </c>
      <c r="BC15" s="162">
        <f>客房耗材出入库录入!BC15*$E15</f>
        <v>0</v>
      </c>
      <c r="BD15" s="162">
        <f>客房耗材出入库录入!BD15*$E15</f>
        <v>0</v>
      </c>
      <c r="BE15" s="162">
        <f>客房耗材出入库录入!BE15*$E15</f>
        <v>0</v>
      </c>
      <c r="BF15" s="162">
        <f>客房耗材出入库录入!BF15*$E15</f>
        <v>0</v>
      </c>
      <c r="BG15" s="162">
        <f>客房耗材出入库录入!BG15*$E15</f>
        <v>48</v>
      </c>
      <c r="BH15" s="162">
        <f>客房耗材出入库录入!BH15*$E15</f>
        <v>0</v>
      </c>
      <c r="BI15" s="162">
        <f>客房耗材出入库录入!BI15*$E15</f>
        <v>0</v>
      </c>
      <c r="BJ15" s="162">
        <f>客房耗材出入库录入!BJ15*$E15</f>
        <v>0</v>
      </c>
      <c r="BK15" s="162">
        <f>客房耗材出入库录入!BK15*$E15</f>
        <v>0</v>
      </c>
      <c r="BL15" s="162">
        <f>客房耗材出入库录入!BL15*$E15</f>
        <v>0</v>
      </c>
      <c r="BM15" s="162">
        <f>客房耗材出入库录入!BM15*$E15</f>
        <v>0</v>
      </c>
      <c r="BN15" s="162">
        <f>客房耗材出入库录入!BN15*$E15</f>
        <v>0</v>
      </c>
      <c r="BO15" s="162">
        <f>客房耗材出入库录入!BO15*$E15</f>
        <v>0</v>
      </c>
      <c r="BP15" s="162">
        <f>客房耗材出入库录入!BP15*$E15</f>
        <v>0</v>
      </c>
      <c r="BQ15" s="162">
        <f>客房耗材出入库录入!BQ15*$E15</f>
        <v>0</v>
      </c>
      <c r="BR15" s="162">
        <f>客房耗材出入库录入!BR15*$E15</f>
        <v>0</v>
      </c>
      <c r="BS15" s="162">
        <f>客房耗材出入库录入!BS15*$E15</f>
        <v>48</v>
      </c>
      <c r="BT15" s="162">
        <f>客房耗材出入库录入!BT15*$E15</f>
        <v>0</v>
      </c>
      <c r="BU15" s="162">
        <f>客房耗材出入库录入!BU15*$E15</f>
        <v>48</v>
      </c>
      <c r="BV15" s="162">
        <f>客房耗材出入库录入!BV15*$E15</f>
        <v>0</v>
      </c>
      <c r="BW15" s="162">
        <f>客房耗材出入库录入!BW15*$E15</f>
        <v>0</v>
      </c>
    </row>
    <row r="16" s="140" customFormat="1" customHeight="1" spans="1:75">
      <c r="A16" s="161">
        <v>1</v>
      </c>
      <c r="B16" s="162" t="str">
        <f>客房耗材出入库录入!B16</f>
        <v>环保袋</v>
      </c>
      <c r="C16" s="162">
        <f>客房耗材出入库录入!C16</f>
        <v>0</v>
      </c>
      <c r="D16" s="162" t="str">
        <f>客房耗材出入库录入!D16</f>
        <v>个</v>
      </c>
      <c r="E16" s="162">
        <f>客房耗材出入库录入!E16</f>
        <v>0.75</v>
      </c>
      <c r="F16" s="162">
        <f>客房耗材出入库录入!F16</f>
        <v>3159</v>
      </c>
      <c r="G16" s="162">
        <f>客房耗材出入库录入!G16</f>
        <v>2369.25</v>
      </c>
      <c r="H16" s="162">
        <f>客房耗材出入库录入!H16</f>
        <v>0</v>
      </c>
      <c r="I16" s="162">
        <f>客房耗材出入库录入!I16</f>
        <v>0</v>
      </c>
      <c r="J16" s="162">
        <f>客房耗材出入库录入!J16</f>
        <v>1101</v>
      </c>
      <c r="K16" s="162">
        <f>客房耗材出入库录入!K16</f>
        <v>825.75</v>
      </c>
      <c r="L16" s="162">
        <f>客房耗材出入库录入!L16</f>
        <v>2058</v>
      </c>
      <c r="M16" s="162">
        <f>客房耗材出入库录入!M16</f>
        <v>1543.5</v>
      </c>
      <c r="N16" s="162">
        <f>客房耗材出入库录入!N16</f>
        <v>0</v>
      </c>
      <c r="O16" s="162">
        <f>客房耗材出入库录入!O16*$E16</f>
        <v>18.75</v>
      </c>
      <c r="P16" s="162">
        <f>客房耗材出入库录入!P16*$E16</f>
        <v>0</v>
      </c>
      <c r="Q16" s="162">
        <f>客房耗材出入库录入!Q16*$E16</f>
        <v>17.25</v>
      </c>
      <c r="R16" s="162">
        <f>客房耗材出入库录入!R16*$E16</f>
        <v>0</v>
      </c>
      <c r="S16" s="162">
        <f>客房耗材出入库录入!S16*$E16</f>
        <v>28.5</v>
      </c>
      <c r="T16" s="162">
        <f>客房耗材出入库录入!T16*$E16</f>
        <v>0</v>
      </c>
      <c r="U16" s="162">
        <f>客房耗材出入库录入!U16*$E16</f>
        <v>22.5</v>
      </c>
      <c r="V16" s="162">
        <f>客房耗材出入库录入!V16*$E16</f>
        <v>0</v>
      </c>
      <c r="W16" s="162">
        <f>客房耗材出入库录入!W16*$E16</f>
        <v>29.25</v>
      </c>
      <c r="X16" s="162">
        <f>客房耗材出入库录入!X16*$E16</f>
        <v>0</v>
      </c>
      <c r="Y16" s="162">
        <f>客房耗材出入库录入!Y16*$E16</f>
        <v>25.5</v>
      </c>
      <c r="Z16" s="162">
        <f>客房耗材出入库录入!Z16*$E16</f>
        <v>0</v>
      </c>
      <c r="AA16" s="162">
        <f>客房耗材出入库录入!AA16*$E16</f>
        <v>22.5</v>
      </c>
      <c r="AB16" s="162">
        <f>客房耗材出入库录入!AB16*$E16</f>
        <v>0</v>
      </c>
      <c r="AC16" s="162">
        <f>客房耗材出入库录入!AC16*$E16</f>
        <v>28.5</v>
      </c>
      <c r="AD16" s="162">
        <f>客房耗材出入库录入!AD16*$E16</f>
        <v>0</v>
      </c>
      <c r="AE16" s="162">
        <f>客房耗材出入库录入!AE16*$E16</f>
        <v>24</v>
      </c>
      <c r="AF16" s="162">
        <f>客房耗材出入库录入!AF16*$E16</f>
        <v>0</v>
      </c>
      <c r="AG16" s="162">
        <f>客房耗材出入库录入!AG16*$E16</f>
        <v>30.75</v>
      </c>
      <c r="AH16" s="162">
        <f>客房耗材出入库录入!AH16*$E16</f>
        <v>0</v>
      </c>
      <c r="AI16" s="162">
        <f>客房耗材出入库录入!AI16*$E16</f>
        <v>19.5</v>
      </c>
      <c r="AJ16" s="162">
        <f>客房耗材出入库录入!AJ16*$E16</f>
        <v>0</v>
      </c>
      <c r="AK16" s="162">
        <f>客房耗材出入库录入!AK16*$E16</f>
        <v>27</v>
      </c>
      <c r="AL16" s="162">
        <f>客房耗材出入库录入!AL16*$E16</f>
        <v>0</v>
      </c>
      <c r="AM16" s="162">
        <f>客房耗材出入库录入!AM16*$E16</f>
        <v>32.25</v>
      </c>
      <c r="AN16" s="162">
        <f>客房耗材出入库录入!AN16*$E16</f>
        <v>0</v>
      </c>
      <c r="AO16" s="162">
        <f>客房耗材出入库录入!AO16*$E16</f>
        <v>21.75</v>
      </c>
      <c r="AP16" s="162">
        <f>客房耗材出入库录入!AP16*$E16</f>
        <v>0</v>
      </c>
      <c r="AQ16" s="162">
        <f>客房耗材出入库录入!AQ16*$E16</f>
        <v>18.75</v>
      </c>
      <c r="AR16" s="162">
        <f>客房耗材出入库录入!AR16*$E16</f>
        <v>0</v>
      </c>
      <c r="AS16" s="162">
        <f>客房耗材出入库录入!AS16*$E16</f>
        <v>23.25</v>
      </c>
      <c r="AT16" s="162">
        <f>客房耗材出入库录入!AT16*$E16</f>
        <v>0</v>
      </c>
      <c r="AU16" s="162">
        <f>客房耗材出入库录入!AU16*$E16</f>
        <v>18</v>
      </c>
      <c r="AV16" s="162">
        <f>客房耗材出入库录入!AV16*$E16</f>
        <v>0</v>
      </c>
      <c r="AW16" s="162">
        <f>客房耗材出入库录入!AW16*$E16</f>
        <v>24.75</v>
      </c>
      <c r="AX16" s="162">
        <f>客房耗材出入库录入!AX16*$E16</f>
        <v>0</v>
      </c>
      <c r="AY16" s="162">
        <f>客房耗材出入库录入!AY16*$E16</f>
        <v>18</v>
      </c>
      <c r="AZ16" s="162">
        <f>客房耗材出入库录入!AZ16*$E16</f>
        <v>0</v>
      </c>
      <c r="BA16" s="162">
        <f>客房耗材出入库录入!BA16*$E16</f>
        <v>27</v>
      </c>
      <c r="BB16" s="162">
        <f>客房耗材出入库录入!BB16*$E16</f>
        <v>0</v>
      </c>
      <c r="BC16" s="162">
        <f>客房耗材出入库录入!BC16*$E16</f>
        <v>30.75</v>
      </c>
      <c r="BD16" s="162">
        <f>客房耗材出入库录入!BD16*$E16</f>
        <v>0</v>
      </c>
      <c r="BE16" s="162">
        <f>客房耗材出入库录入!BE16*$E16</f>
        <v>27</v>
      </c>
      <c r="BF16" s="162">
        <f>客房耗材出入库录入!BF16*$E16</f>
        <v>0</v>
      </c>
      <c r="BG16" s="162">
        <f>客房耗材出入库录入!BG16*$E16</f>
        <v>32.25</v>
      </c>
      <c r="BH16" s="162">
        <f>客房耗材出入库录入!BH16*$E16</f>
        <v>0</v>
      </c>
      <c r="BI16" s="162">
        <f>客房耗材出入库录入!BI16*$E16</f>
        <v>27.75</v>
      </c>
      <c r="BJ16" s="162">
        <f>客房耗材出入库录入!BJ16*$E16</f>
        <v>0</v>
      </c>
      <c r="BK16" s="162">
        <f>客房耗材出入库录入!BK16*$E16</f>
        <v>23.25</v>
      </c>
      <c r="BL16" s="162">
        <f>客房耗材出入库录入!BL16*$E16</f>
        <v>0</v>
      </c>
      <c r="BM16" s="162">
        <f>客房耗材出入库录入!BM16*$E16</f>
        <v>24</v>
      </c>
      <c r="BN16" s="162">
        <f>客房耗材出入库录入!BN16*$E16</f>
        <v>0</v>
      </c>
      <c r="BO16" s="162">
        <f>客房耗材出入库录入!BO16*$E16</f>
        <v>27</v>
      </c>
      <c r="BP16" s="162">
        <f>客房耗材出入库录入!BP16*$E16</f>
        <v>0</v>
      </c>
      <c r="BQ16" s="162">
        <f>客房耗材出入库录入!BQ16*$E16</f>
        <v>30</v>
      </c>
      <c r="BR16" s="162">
        <f>客房耗材出入库录入!BR16*$E16</f>
        <v>0</v>
      </c>
      <c r="BS16" s="162">
        <f>客房耗材出入库录入!BS16*$E16</f>
        <v>39</v>
      </c>
      <c r="BT16" s="162">
        <f>客房耗材出入库录入!BT16*$E16</f>
        <v>0</v>
      </c>
      <c r="BU16" s="162">
        <f>客房耗材出入库录入!BU16*$E16</f>
        <v>42</v>
      </c>
      <c r="BV16" s="162">
        <f>客房耗材出入库录入!BV16*$E16</f>
        <v>0</v>
      </c>
      <c r="BW16" s="162">
        <f>客房耗材出入库录入!BW16*$E16</f>
        <v>45</v>
      </c>
    </row>
    <row r="17" s="140" customFormat="1" customHeight="1" spans="1:75">
      <c r="A17" s="161">
        <v>1</v>
      </c>
      <c r="B17" s="162" t="str">
        <f>客房耗材出入库录入!B17</f>
        <v>红茶</v>
      </c>
      <c r="C17" s="162">
        <f>客房耗材出入库录入!C17</f>
        <v>0</v>
      </c>
      <c r="D17" s="162" t="str">
        <f>客房耗材出入库录入!D17</f>
        <v>包</v>
      </c>
      <c r="E17" s="162">
        <f>客房耗材出入库录入!E17</f>
        <v>0.39</v>
      </c>
      <c r="F17" s="162">
        <f>客房耗材出入库录入!F17</f>
        <v>772</v>
      </c>
      <c r="G17" s="162">
        <f>客房耗材出入库录入!G17</f>
        <v>301.08</v>
      </c>
      <c r="H17" s="162">
        <f>客房耗材出入库录入!H17</f>
        <v>0</v>
      </c>
      <c r="I17" s="162">
        <f>客房耗材出入库录入!I17</f>
        <v>0</v>
      </c>
      <c r="J17" s="162">
        <f>客房耗材出入库录入!J17</f>
        <v>565</v>
      </c>
      <c r="K17" s="162">
        <f>客房耗材出入库录入!K17</f>
        <v>220.35</v>
      </c>
      <c r="L17" s="162">
        <f>客房耗材出入库录入!L17</f>
        <v>207</v>
      </c>
      <c r="M17" s="162">
        <f>客房耗材出入库录入!M17</f>
        <v>80.73</v>
      </c>
      <c r="N17" s="162">
        <f>客房耗材出入库录入!N17</f>
        <v>0</v>
      </c>
      <c r="O17" s="162">
        <f>客房耗材出入库录入!O17*$E17</f>
        <v>6.63</v>
      </c>
      <c r="P17" s="162">
        <f>客房耗材出入库录入!P17*$E17</f>
        <v>0</v>
      </c>
      <c r="Q17" s="162">
        <f>客房耗材出入库录入!Q17*$E17</f>
        <v>7.02</v>
      </c>
      <c r="R17" s="162">
        <f>客房耗材出入库录入!R17*$E17</f>
        <v>0</v>
      </c>
      <c r="S17" s="162">
        <f>客房耗材出入库录入!S17*$E17</f>
        <v>7.41</v>
      </c>
      <c r="T17" s="162">
        <f>客房耗材出入库录入!T17*$E17</f>
        <v>0</v>
      </c>
      <c r="U17" s="162">
        <f>客房耗材出入库录入!U17*$E17</f>
        <v>5.85</v>
      </c>
      <c r="V17" s="162">
        <f>客房耗材出入库录入!V17*$E17</f>
        <v>0</v>
      </c>
      <c r="W17" s="162">
        <f>客房耗材出入库录入!W17*$E17</f>
        <v>6.24</v>
      </c>
      <c r="X17" s="162">
        <f>客房耗材出入库录入!X17*$E17</f>
        <v>0</v>
      </c>
      <c r="Y17" s="162">
        <f>客房耗材出入库录入!Y17*$E17</f>
        <v>7.41</v>
      </c>
      <c r="Z17" s="162">
        <f>客房耗材出入库录入!Z17*$E17</f>
        <v>0</v>
      </c>
      <c r="AA17" s="162">
        <f>客房耗材出入库录入!AA17*$E17</f>
        <v>6.63</v>
      </c>
      <c r="AB17" s="162">
        <f>客房耗材出入库录入!AB17*$E17</f>
        <v>0</v>
      </c>
      <c r="AC17" s="162">
        <f>客房耗材出入库录入!AC17*$E17</f>
        <v>8.19</v>
      </c>
      <c r="AD17" s="162">
        <f>客房耗材出入库录入!AD17*$E17</f>
        <v>0</v>
      </c>
      <c r="AE17" s="162">
        <f>客房耗材出入库录入!AE17*$E17</f>
        <v>7.02</v>
      </c>
      <c r="AF17" s="162">
        <f>客房耗材出入库录入!AF17*$E17</f>
        <v>0</v>
      </c>
      <c r="AG17" s="162">
        <f>客房耗材出入库录入!AG17*$E17</f>
        <v>8.97</v>
      </c>
      <c r="AH17" s="162">
        <f>客房耗材出入库录入!AH17*$E17</f>
        <v>0</v>
      </c>
      <c r="AI17" s="162">
        <f>客房耗材出入库录入!AI17*$E17</f>
        <v>7.02</v>
      </c>
      <c r="AJ17" s="162">
        <f>客房耗材出入库录入!AJ17*$E17</f>
        <v>0</v>
      </c>
      <c r="AK17" s="162">
        <f>客房耗材出入库录入!AK17*$E17</f>
        <v>7.8</v>
      </c>
      <c r="AL17" s="162">
        <f>客房耗材出入库录入!AL17*$E17</f>
        <v>0</v>
      </c>
      <c r="AM17" s="162">
        <f>客房耗材出入库录入!AM17*$E17</f>
        <v>9.36</v>
      </c>
      <c r="AN17" s="162">
        <f>客房耗材出入库录入!AN17*$E17</f>
        <v>0</v>
      </c>
      <c r="AO17" s="162">
        <f>客房耗材出入库录入!AO17*$E17</f>
        <v>6.63</v>
      </c>
      <c r="AP17" s="162">
        <f>客房耗材出入库录入!AP17*$E17</f>
        <v>0</v>
      </c>
      <c r="AQ17" s="162">
        <f>客房耗材出入库录入!AQ17*$E17</f>
        <v>7.8</v>
      </c>
      <c r="AR17" s="162">
        <f>客房耗材出入库录入!AR17*$E17</f>
        <v>0</v>
      </c>
      <c r="AS17" s="162">
        <f>客房耗材出入库录入!AS17*$E17</f>
        <v>5.46</v>
      </c>
      <c r="AT17" s="162">
        <f>客房耗材出入库录入!AT17*$E17</f>
        <v>0</v>
      </c>
      <c r="AU17" s="162">
        <f>客房耗材出入库录入!AU17*$E17</f>
        <v>5.07</v>
      </c>
      <c r="AV17" s="162">
        <f>客房耗材出入库录入!AV17*$E17</f>
        <v>0</v>
      </c>
      <c r="AW17" s="162">
        <f>客房耗材出入库录入!AW17*$E17</f>
        <v>7.02</v>
      </c>
      <c r="AX17" s="162">
        <f>客房耗材出入库录入!AX17*$E17</f>
        <v>0</v>
      </c>
      <c r="AY17" s="162">
        <f>客房耗材出入库录入!AY17*$E17</f>
        <v>5.85</v>
      </c>
      <c r="AZ17" s="162">
        <f>客房耗材出入库录入!AZ17*$E17</f>
        <v>0</v>
      </c>
      <c r="BA17" s="162">
        <f>客房耗材出入库录入!BA17*$E17</f>
        <v>7.02</v>
      </c>
      <c r="BB17" s="162">
        <f>客房耗材出入库录入!BB17*$E17</f>
        <v>0</v>
      </c>
      <c r="BC17" s="162">
        <f>客房耗材出入库录入!BC17*$E17</f>
        <v>8.58</v>
      </c>
      <c r="BD17" s="162">
        <f>客房耗材出入库录入!BD17*$E17</f>
        <v>0</v>
      </c>
      <c r="BE17" s="162">
        <f>客房耗材出入库录入!BE17*$E17</f>
        <v>7.02</v>
      </c>
      <c r="BF17" s="162">
        <f>客房耗材出入库录入!BF17*$E17</f>
        <v>0</v>
      </c>
      <c r="BG17" s="162">
        <f>客房耗材出入库录入!BG17*$E17</f>
        <v>5.85</v>
      </c>
      <c r="BH17" s="162">
        <f>客房耗材出入库录入!BH17*$E17</f>
        <v>0</v>
      </c>
      <c r="BI17" s="162">
        <f>客房耗材出入库录入!BI17*$E17</f>
        <v>7.02</v>
      </c>
      <c r="BJ17" s="162">
        <f>客房耗材出入库录入!BJ17*$E17</f>
        <v>0</v>
      </c>
      <c r="BK17" s="162">
        <f>客房耗材出入库录入!BK17*$E17</f>
        <v>6.63</v>
      </c>
      <c r="BL17" s="162">
        <f>客房耗材出入库录入!BL17*$E17</f>
        <v>0</v>
      </c>
      <c r="BM17" s="162">
        <f>客房耗材出入库录入!BM17*$E17</f>
        <v>5.85</v>
      </c>
      <c r="BN17" s="162">
        <f>客房耗材出入库录入!BN17*$E17</f>
        <v>0</v>
      </c>
      <c r="BO17" s="162">
        <f>客房耗材出入库录入!BO17*$E17</f>
        <v>6.63</v>
      </c>
      <c r="BP17" s="162">
        <f>客房耗材出入库录入!BP17*$E17</f>
        <v>0</v>
      </c>
      <c r="BQ17" s="162">
        <f>客房耗材出入库录入!BQ17*$E17</f>
        <v>7.41</v>
      </c>
      <c r="BR17" s="162">
        <f>客房耗材出入库录入!BR17*$E17</f>
        <v>0</v>
      </c>
      <c r="BS17" s="162">
        <f>客房耗材出入库录入!BS17*$E17</f>
        <v>8.19</v>
      </c>
      <c r="BT17" s="162">
        <f>客房耗材出入库录入!BT17*$E17</f>
        <v>0</v>
      </c>
      <c r="BU17" s="162">
        <f>客房耗材出入库录入!BU17*$E17</f>
        <v>8.58</v>
      </c>
      <c r="BV17" s="162">
        <f>客房耗材出入库录入!BV17*$E17</f>
        <v>0</v>
      </c>
      <c r="BW17" s="162">
        <f>客房耗材出入库录入!BW17*$E17</f>
        <v>8.19</v>
      </c>
    </row>
    <row r="18" s="140" customFormat="1" customHeight="1" spans="1:75">
      <c r="A18" s="161">
        <v>1</v>
      </c>
      <c r="B18" s="162" t="str">
        <f>客房耗材出入库录入!B18</f>
        <v>绿茶</v>
      </c>
      <c r="C18" s="162">
        <f>客房耗材出入库录入!C18</f>
        <v>0</v>
      </c>
      <c r="D18" s="162" t="str">
        <f>客房耗材出入库录入!D18</f>
        <v>包</v>
      </c>
      <c r="E18" s="162">
        <f>客房耗材出入库录入!E18</f>
        <v>0.39</v>
      </c>
      <c r="F18" s="162">
        <f>客房耗材出入库录入!F18</f>
        <v>857</v>
      </c>
      <c r="G18" s="162">
        <f>客房耗材出入库录入!G18</f>
        <v>334.23</v>
      </c>
      <c r="H18" s="162">
        <f>客房耗材出入库录入!H18</f>
        <v>0</v>
      </c>
      <c r="I18" s="162">
        <f>客房耗材出入库录入!I18</f>
        <v>0</v>
      </c>
      <c r="J18" s="162">
        <f>客房耗材出入库录入!J18</f>
        <v>557</v>
      </c>
      <c r="K18" s="162">
        <f>客房耗材出入库录入!K18</f>
        <v>217.23</v>
      </c>
      <c r="L18" s="162">
        <f>客房耗材出入库录入!L18</f>
        <v>300</v>
      </c>
      <c r="M18" s="162">
        <f>客房耗材出入库录入!M18</f>
        <v>117</v>
      </c>
      <c r="N18" s="162">
        <f>客房耗材出入库录入!N18</f>
        <v>0</v>
      </c>
      <c r="O18" s="162">
        <f>客房耗材出入库录入!O18*$E18</f>
        <v>7.41</v>
      </c>
      <c r="P18" s="162">
        <f>客房耗材出入库录入!P18*$E18</f>
        <v>0</v>
      </c>
      <c r="Q18" s="162">
        <f>客房耗材出入库录入!Q18*$E18</f>
        <v>6.24</v>
      </c>
      <c r="R18" s="162">
        <f>客房耗材出入库录入!R18*$E18</f>
        <v>0</v>
      </c>
      <c r="S18" s="162">
        <f>客房耗材出入库录入!S18*$E18</f>
        <v>6.63</v>
      </c>
      <c r="T18" s="162">
        <f>客房耗材出入库录入!T18*$E18</f>
        <v>0</v>
      </c>
      <c r="U18" s="162">
        <f>客房耗材出入库录入!U18*$E18</f>
        <v>6.24</v>
      </c>
      <c r="V18" s="162">
        <f>客房耗材出入库录入!V18*$E18</f>
        <v>0</v>
      </c>
      <c r="W18" s="162">
        <f>客房耗材出入库录入!W18*$E18</f>
        <v>6.24</v>
      </c>
      <c r="X18" s="162">
        <f>客房耗材出入库录入!X18*$E18</f>
        <v>0</v>
      </c>
      <c r="Y18" s="162">
        <f>客房耗材出入库录入!Y18*$E18</f>
        <v>5.46</v>
      </c>
      <c r="Z18" s="162">
        <f>客房耗材出入库录入!Z18*$E18</f>
        <v>0</v>
      </c>
      <c r="AA18" s="162">
        <f>客房耗材出入库录入!AA18*$E18</f>
        <v>6.63</v>
      </c>
      <c r="AB18" s="162">
        <f>客房耗材出入库录入!AB18*$E18</f>
        <v>0</v>
      </c>
      <c r="AC18" s="162">
        <f>客房耗材出入库录入!AC18*$E18</f>
        <v>8.58</v>
      </c>
      <c r="AD18" s="162">
        <f>客房耗材出入库录入!AD18*$E18</f>
        <v>0</v>
      </c>
      <c r="AE18" s="162">
        <f>客房耗材出入库录入!AE18*$E18</f>
        <v>7.8</v>
      </c>
      <c r="AF18" s="162">
        <f>客房耗材出入库录入!AF18*$E18</f>
        <v>0</v>
      </c>
      <c r="AG18" s="162">
        <f>客房耗材出入库录入!AG18*$E18</f>
        <v>7.8</v>
      </c>
      <c r="AH18" s="162">
        <f>客房耗材出入库录入!AH18*$E18</f>
        <v>0</v>
      </c>
      <c r="AI18" s="162">
        <f>客房耗材出入库录入!AI18*$E18</f>
        <v>6.63</v>
      </c>
      <c r="AJ18" s="162">
        <f>客房耗材出入库录入!AJ18*$E18</f>
        <v>0</v>
      </c>
      <c r="AK18" s="162">
        <f>客房耗材出入库录入!AK18*$E18</f>
        <v>7.02</v>
      </c>
      <c r="AL18" s="162">
        <f>客房耗材出入库录入!AL18*$E18</f>
        <v>0</v>
      </c>
      <c r="AM18" s="162">
        <f>客房耗材出入库录入!AM18*$E18</f>
        <v>8.97</v>
      </c>
      <c r="AN18" s="162">
        <f>客房耗材出入库录入!AN18*$E18</f>
        <v>0</v>
      </c>
      <c r="AO18" s="162">
        <f>客房耗材出入库录入!AO18*$E18</f>
        <v>7.02</v>
      </c>
      <c r="AP18" s="162">
        <f>客房耗材出入库录入!AP18*$E18</f>
        <v>0</v>
      </c>
      <c r="AQ18" s="162">
        <f>客房耗材出入库录入!AQ18*$E18</f>
        <v>7.41</v>
      </c>
      <c r="AR18" s="162">
        <f>客房耗材出入库录入!AR18*$E18</f>
        <v>0</v>
      </c>
      <c r="AS18" s="162">
        <f>客房耗材出入库录入!AS18*$E18</f>
        <v>6.24</v>
      </c>
      <c r="AT18" s="162">
        <f>客房耗材出入库录入!AT18*$E18</f>
        <v>0</v>
      </c>
      <c r="AU18" s="162">
        <f>客房耗材出入库录入!AU18*$E18</f>
        <v>5.85</v>
      </c>
      <c r="AV18" s="162">
        <f>客房耗材出入库录入!AV18*$E18</f>
        <v>0</v>
      </c>
      <c r="AW18" s="162">
        <f>客房耗材出入库录入!AW18*$E18</f>
        <v>7.41</v>
      </c>
      <c r="AX18" s="162">
        <f>客房耗材出入库录入!AX18*$E18</f>
        <v>0</v>
      </c>
      <c r="AY18" s="162">
        <f>客房耗材出入库录入!AY18*$E18</f>
        <v>5.07</v>
      </c>
      <c r="AZ18" s="162">
        <f>客房耗材出入库录入!AZ18*$E18</f>
        <v>0</v>
      </c>
      <c r="BA18" s="162">
        <f>客房耗材出入库录入!BA18*$E18</f>
        <v>7.41</v>
      </c>
      <c r="BB18" s="162">
        <f>客房耗材出入库录入!BB18*$E18</f>
        <v>0</v>
      </c>
      <c r="BC18" s="162">
        <f>客房耗材出入库录入!BC18*$E18</f>
        <v>8.97</v>
      </c>
      <c r="BD18" s="162">
        <f>客房耗材出入库录入!BD18*$E18</f>
        <v>0</v>
      </c>
      <c r="BE18" s="162">
        <f>客房耗材出入库录入!BE18*$E18</f>
        <v>6.24</v>
      </c>
      <c r="BF18" s="162">
        <f>客房耗材出入库录入!BF18*$E18</f>
        <v>0</v>
      </c>
      <c r="BG18" s="162">
        <f>客房耗材出入库录入!BG18*$E18</f>
        <v>5.85</v>
      </c>
      <c r="BH18" s="162">
        <f>客房耗材出入库录入!BH18*$E18</f>
        <v>0</v>
      </c>
      <c r="BI18" s="162">
        <f>客房耗材出入库录入!BI18*$E18</f>
        <v>6.63</v>
      </c>
      <c r="BJ18" s="162">
        <f>客房耗材出入库录入!BJ18*$E18</f>
        <v>0</v>
      </c>
      <c r="BK18" s="162">
        <f>客房耗材出入库录入!BK18*$E18</f>
        <v>7.41</v>
      </c>
      <c r="BL18" s="162">
        <f>客房耗材出入库录入!BL18*$E18</f>
        <v>0</v>
      </c>
      <c r="BM18" s="162">
        <f>客房耗材出入库录入!BM18*$E18</f>
        <v>5.07</v>
      </c>
      <c r="BN18" s="162">
        <f>客房耗材出入库录入!BN18*$E18</f>
        <v>0</v>
      </c>
      <c r="BO18" s="162">
        <f>客房耗材出入库录入!BO18*$E18</f>
        <v>6.63</v>
      </c>
      <c r="BP18" s="162">
        <f>客房耗材出入库录入!BP18*$E18</f>
        <v>0</v>
      </c>
      <c r="BQ18" s="162">
        <f>客房耗材出入库录入!BQ18*$E18</f>
        <v>6.63</v>
      </c>
      <c r="BR18" s="162">
        <f>客房耗材出入库录入!BR18*$E18</f>
        <v>0</v>
      </c>
      <c r="BS18" s="162">
        <f>客房耗材出入库录入!BS18*$E18</f>
        <v>8.97</v>
      </c>
      <c r="BT18" s="162">
        <f>客房耗材出入库录入!BT18*$E18</f>
        <v>0</v>
      </c>
      <c r="BU18" s="162">
        <f>客房耗材出入库录入!BU18*$E18</f>
        <v>7.8</v>
      </c>
      <c r="BV18" s="162">
        <f>客房耗材出入库录入!BV18*$E18</f>
        <v>0</v>
      </c>
      <c r="BW18" s="162">
        <f>客房耗材出入库录入!BW18*$E18</f>
        <v>8.97</v>
      </c>
    </row>
    <row r="19" s="140" customFormat="1" customHeight="1" spans="1:75">
      <c r="A19" s="161">
        <v>1</v>
      </c>
      <c r="B19" s="162" t="str">
        <f>客房耗材出入库录入!B19</f>
        <v>洗发液</v>
      </c>
      <c r="C19" s="162">
        <f>客房耗材出入库录入!C19</f>
        <v>0</v>
      </c>
      <c r="D19" s="162" t="str">
        <f>客房耗材出入库录入!D19</f>
        <v>瓶</v>
      </c>
      <c r="E19" s="162">
        <f>客房耗材出入库录入!E19</f>
        <v>13.5</v>
      </c>
      <c r="F19" s="162">
        <f>客房耗材出入库录入!F19</f>
        <v>422</v>
      </c>
      <c r="G19" s="162">
        <f>客房耗材出入库录入!G19</f>
        <v>5697</v>
      </c>
      <c r="H19" s="162">
        <f>客房耗材出入库录入!H19</f>
        <v>0</v>
      </c>
      <c r="I19" s="162">
        <f>客房耗材出入库录入!I19</f>
        <v>0</v>
      </c>
      <c r="J19" s="162">
        <f>客房耗材出入库录入!J19</f>
        <v>254</v>
      </c>
      <c r="K19" s="162">
        <f>客房耗材出入库录入!K19</f>
        <v>3429</v>
      </c>
      <c r="L19" s="162">
        <f>客房耗材出入库录入!L19</f>
        <v>168</v>
      </c>
      <c r="M19" s="162">
        <f>客房耗材出入库录入!M19</f>
        <v>2268</v>
      </c>
      <c r="N19" s="162">
        <f>客房耗材出入库录入!N19</f>
        <v>0</v>
      </c>
      <c r="O19" s="162">
        <f>客房耗材出入库录入!O19*$E19</f>
        <v>81</v>
      </c>
      <c r="P19" s="162">
        <f>客房耗材出入库录入!P19*$E19</f>
        <v>0</v>
      </c>
      <c r="Q19" s="162">
        <f>客房耗材出入库录入!Q19*$E19</f>
        <v>94.5</v>
      </c>
      <c r="R19" s="162">
        <f>客房耗材出入库录入!R19*$E19</f>
        <v>0</v>
      </c>
      <c r="S19" s="162">
        <f>客房耗材出入库录入!S19*$E19</f>
        <v>94.5</v>
      </c>
      <c r="T19" s="162">
        <f>客房耗材出入库录入!T19*$E19</f>
        <v>0</v>
      </c>
      <c r="U19" s="162">
        <f>客房耗材出入库录入!U19*$E19</f>
        <v>108</v>
      </c>
      <c r="V19" s="162">
        <f>客房耗材出入库录入!V19*$E19</f>
        <v>0</v>
      </c>
      <c r="W19" s="162">
        <f>客房耗材出入库录入!W19*$E19</f>
        <v>108</v>
      </c>
      <c r="X19" s="162">
        <f>客房耗材出入库录入!X19*$E19</f>
        <v>0</v>
      </c>
      <c r="Y19" s="162">
        <f>客房耗材出入库录入!Y19*$E19</f>
        <v>94.5</v>
      </c>
      <c r="Z19" s="162">
        <f>客房耗材出入库录入!Z19*$E19</f>
        <v>0</v>
      </c>
      <c r="AA19" s="162">
        <f>客房耗材出入库录入!AA19*$E19</f>
        <v>108</v>
      </c>
      <c r="AB19" s="162">
        <f>客房耗材出入库录入!AB19*$E19</f>
        <v>0</v>
      </c>
      <c r="AC19" s="162">
        <f>客房耗材出入库录入!AC19*$E19</f>
        <v>108</v>
      </c>
      <c r="AD19" s="162">
        <f>客房耗材出入库录入!AD19*$E19</f>
        <v>0</v>
      </c>
      <c r="AE19" s="162">
        <f>客房耗材出入库录入!AE19*$E19</f>
        <v>81</v>
      </c>
      <c r="AF19" s="162">
        <f>客房耗材出入库录入!AF19*$E19</f>
        <v>0</v>
      </c>
      <c r="AG19" s="162">
        <f>客房耗材出入库录入!AG19*$E19</f>
        <v>94.5</v>
      </c>
      <c r="AH19" s="162">
        <f>客房耗材出入库录入!AH19*$E19</f>
        <v>0</v>
      </c>
      <c r="AI19" s="162">
        <f>客房耗材出入库录入!AI19*$E19</f>
        <v>121.5</v>
      </c>
      <c r="AJ19" s="162">
        <f>客房耗材出入库录入!AJ19*$E19</f>
        <v>0</v>
      </c>
      <c r="AK19" s="162">
        <f>客房耗材出入库录入!AK19*$E19</f>
        <v>108</v>
      </c>
      <c r="AL19" s="162">
        <f>客房耗材出入库录入!AL19*$E19</f>
        <v>0</v>
      </c>
      <c r="AM19" s="162">
        <f>客房耗材出入库录入!AM19*$E19</f>
        <v>121.5</v>
      </c>
      <c r="AN19" s="162">
        <f>客房耗材出入库录入!AN19*$E19</f>
        <v>0</v>
      </c>
      <c r="AO19" s="162">
        <f>客房耗材出入库录入!AO19*$E19</f>
        <v>108</v>
      </c>
      <c r="AP19" s="162">
        <f>客房耗材出入库录入!AP19*$E19</f>
        <v>0</v>
      </c>
      <c r="AQ19" s="162">
        <f>客房耗材出入库录入!AQ19*$E19</f>
        <v>121.5</v>
      </c>
      <c r="AR19" s="162">
        <f>客房耗材出入库录入!AR19*$E19</f>
        <v>0</v>
      </c>
      <c r="AS19" s="162">
        <f>客房耗材出入库录入!AS19*$E19</f>
        <v>108</v>
      </c>
      <c r="AT19" s="162">
        <f>客房耗材出入库录入!AT19*$E19</f>
        <v>0</v>
      </c>
      <c r="AU19" s="162">
        <f>客房耗材出入库录入!AU19*$E19</f>
        <v>108</v>
      </c>
      <c r="AV19" s="162">
        <f>客房耗材出入库录入!AV19*$E19</f>
        <v>0</v>
      </c>
      <c r="AW19" s="162">
        <f>客房耗材出入库录入!AW19*$E19</f>
        <v>135</v>
      </c>
      <c r="AX19" s="162">
        <f>客房耗材出入库录入!AX19*$E19</f>
        <v>0</v>
      </c>
      <c r="AY19" s="162">
        <f>客房耗材出入库录入!AY19*$E19</f>
        <v>108</v>
      </c>
      <c r="AZ19" s="162">
        <f>客房耗材出入库录入!AZ19*$E19</f>
        <v>0</v>
      </c>
      <c r="BA19" s="162">
        <f>客房耗材出入库录入!BA19*$E19</f>
        <v>135</v>
      </c>
      <c r="BB19" s="162">
        <f>客房耗材出入库录入!BB19*$E19</f>
        <v>0</v>
      </c>
      <c r="BC19" s="162">
        <f>客房耗材出入库录入!BC19*$E19</f>
        <v>148.5</v>
      </c>
      <c r="BD19" s="162">
        <f>客房耗材出入库录入!BD19*$E19</f>
        <v>0</v>
      </c>
      <c r="BE19" s="162">
        <f>客房耗材出入库录入!BE19*$E19</f>
        <v>121.5</v>
      </c>
      <c r="BF19" s="162">
        <f>客房耗材出入库录入!BF19*$E19</f>
        <v>0</v>
      </c>
      <c r="BG19" s="162">
        <f>客房耗材出入库录入!BG19*$E19</f>
        <v>135</v>
      </c>
      <c r="BH19" s="162">
        <f>客房耗材出入库录入!BH19*$E19</f>
        <v>0</v>
      </c>
      <c r="BI19" s="162">
        <f>客房耗材出入库录入!BI19*$E19</f>
        <v>108</v>
      </c>
      <c r="BJ19" s="162">
        <f>客房耗材出入库录入!BJ19*$E19</f>
        <v>0</v>
      </c>
      <c r="BK19" s="162">
        <f>客房耗材出入库录入!BK19*$E19</f>
        <v>121.5</v>
      </c>
      <c r="BL19" s="162">
        <f>客房耗材出入库录入!BL19*$E19</f>
        <v>0</v>
      </c>
      <c r="BM19" s="162">
        <f>客房耗材出入库录入!BM19*$E19</f>
        <v>108</v>
      </c>
      <c r="BN19" s="162">
        <f>客房耗材出入库录入!BN19*$E19</f>
        <v>0</v>
      </c>
      <c r="BO19" s="162">
        <f>客房耗材出入库录入!BO19*$E19</f>
        <v>108</v>
      </c>
      <c r="BP19" s="162">
        <f>客房耗材出入库录入!BP19*$E19</f>
        <v>0</v>
      </c>
      <c r="BQ19" s="162">
        <f>客房耗材出入库录入!BQ19*$E19</f>
        <v>94.5</v>
      </c>
      <c r="BR19" s="162">
        <f>客房耗材出入库录入!BR19*$E19</f>
        <v>0</v>
      </c>
      <c r="BS19" s="162">
        <f>客房耗材出入库录入!BS19*$E19</f>
        <v>148.5</v>
      </c>
      <c r="BT19" s="162">
        <f>客房耗材出入库录入!BT19*$E19</f>
        <v>0</v>
      </c>
      <c r="BU19" s="162">
        <f>客房耗材出入库录入!BU19*$E19</f>
        <v>94.5</v>
      </c>
      <c r="BV19" s="162">
        <f>客房耗材出入库录入!BV19*$E19</f>
        <v>0</v>
      </c>
      <c r="BW19" s="162">
        <f>客房耗材出入库录入!BW19*$E19</f>
        <v>94.5</v>
      </c>
    </row>
    <row r="20" s="140" customFormat="1" customHeight="1" spans="1:75">
      <c r="A20" s="161">
        <v>1</v>
      </c>
      <c r="B20" s="162" t="str">
        <f>客房耗材出入库录入!B20</f>
        <v>沐浴液</v>
      </c>
      <c r="C20" s="162">
        <f>客房耗材出入库录入!C20</f>
        <v>0</v>
      </c>
      <c r="D20" s="162" t="str">
        <f>客房耗材出入库录入!D20</f>
        <v>瓶</v>
      </c>
      <c r="E20" s="162">
        <f>客房耗材出入库录入!E20</f>
        <v>13.5</v>
      </c>
      <c r="F20" s="162">
        <f>客房耗材出入库录入!F20</f>
        <v>447</v>
      </c>
      <c r="G20" s="162">
        <f>客房耗材出入库录入!G20</f>
        <v>6034.5</v>
      </c>
      <c r="H20" s="162">
        <f>客房耗材出入库录入!H20</f>
        <v>0</v>
      </c>
      <c r="I20" s="162">
        <f>客房耗材出入库录入!I20</f>
        <v>0</v>
      </c>
      <c r="J20" s="162">
        <f>客房耗材出入库录入!J20</f>
        <v>248</v>
      </c>
      <c r="K20" s="162">
        <f>客房耗材出入库录入!K20</f>
        <v>3348</v>
      </c>
      <c r="L20" s="162">
        <f>客房耗材出入库录入!L20</f>
        <v>199</v>
      </c>
      <c r="M20" s="162">
        <f>客房耗材出入库录入!M20</f>
        <v>2686.5</v>
      </c>
      <c r="N20" s="162">
        <f>客房耗材出入库录入!N20</f>
        <v>0</v>
      </c>
      <c r="O20" s="162">
        <f>客房耗材出入库录入!O20*$E20</f>
        <v>81</v>
      </c>
      <c r="P20" s="162">
        <f>客房耗材出入库录入!P20*$E20</f>
        <v>0</v>
      </c>
      <c r="Q20" s="162">
        <f>客房耗材出入库录入!Q20*$E20</f>
        <v>81</v>
      </c>
      <c r="R20" s="162">
        <f>客房耗材出入库录入!R20*$E20</f>
        <v>0</v>
      </c>
      <c r="S20" s="162">
        <f>客房耗材出入库录入!S20*$E20</f>
        <v>94.5</v>
      </c>
      <c r="T20" s="162">
        <f>客房耗材出入库录入!T20*$E20</f>
        <v>0</v>
      </c>
      <c r="U20" s="162">
        <f>客房耗材出入库录入!U20*$E20</f>
        <v>108</v>
      </c>
      <c r="V20" s="162">
        <f>客房耗材出入库录入!V20*$E20</f>
        <v>0</v>
      </c>
      <c r="W20" s="162">
        <f>客房耗材出入库录入!W20*$E20</f>
        <v>94.5</v>
      </c>
      <c r="X20" s="162">
        <f>客房耗材出入库录入!X20*$E20</f>
        <v>0</v>
      </c>
      <c r="Y20" s="162">
        <f>客房耗材出入库录入!Y20*$E20</f>
        <v>108</v>
      </c>
      <c r="Z20" s="162">
        <f>客房耗材出入库录入!Z20*$E20</f>
        <v>0</v>
      </c>
      <c r="AA20" s="162">
        <f>客房耗材出入库录入!AA20*$E20</f>
        <v>81</v>
      </c>
      <c r="AB20" s="162">
        <f>客房耗材出入库录入!AB20*$E20</f>
        <v>0</v>
      </c>
      <c r="AC20" s="162">
        <f>客房耗材出入库录入!AC20*$E20</f>
        <v>81</v>
      </c>
      <c r="AD20" s="162">
        <f>客房耗材出入库录入!AD20*$E20</f>
        <v>0</v>
      </c>
      <c r="AE20" s="162">
        <f>客房耗材出入库录入!AE20*$E20</f>
        <v>94.5</v>
      </c>
      <c r="AF20" s="162">
        <f>客房耗材出入库录入!AF20*$E20</f>
        <v>0</v>
      </c>
      <c r="AG20" s="162">
        <f>客房耗材出入库录入!AG20*$E20</f>
        <v>108</v>
      </c>
      <c r="AH20" s="162">
        <f>客房耗材出入库录入!AH20*$E20</f>
        <v>0</v>
      </c>
      <c r="AI20" s="162">
        <f>客房耗材出入库录入!AI20*$E20</f>
        <v>94.5</v>
      </c>
      <c r="AJ20" s="162">
        <f>客房耗材出入库录入!AJ20*$E20</f>
        <v>0</v>
      </c>
      <c r="AK20" s="162">
        <f>客房耗材出入库录入!AK20*$E20</f>
        <v>108</v>
      </c>
      <c r="AL20" s="162">
        <f>客房耗材出入库录入!AL20*$E20</f>
        <v>0</v>
      </c>
      <c r="AM20" s="162">
        <f>客房耗材出入库录入!AM20*$E20</f>
        <v>94.5</v>
      </c>
      <c r="AN20" s="162">
        <f>客房耗材出入库录入!AN20*$E20</f>
        <v>0</v>
      </c>
      <c r="AO20" s="162">
        <f>客房耗材出入库录入!AO20*$E20</f>
        <v>108</v>
      </c>
      <c r="AP20" s="162">
        <f>客房耗材出入库录入!AP20*$E20</f>
        <v>0</v>
      </c>
      <c r="AQ20" s="162">
        <f>客房耗材出入库录入!AQ20*$E20</f>
        <v>108</v>
      </c>
      <c r="AR20" s="162">
        <f>客房耗材出入库录入!AR20*$E20</f>
        <v>0</v>
      </c>
      <c r="AS20" s="162">
        <f>客房耗材出入库录入!AS20*$E20</f>
        <v>108</v>
      </c>
      <c r="AT20" s="162">
        <f>客房耗材出入库录入!AT20*$E20</f>
        <v>0</v>
      </c>
      <c r="AU20" s="162">
        <f>客房耗材出入库录入!AU20*$E20</f>
        <v>94.5</v>
      </c>
      <c r="AV20" s="162">
        <f>客房耗材出入库录入!AV20*$E20</f>
        <v>0</v>
      </c>
      <c r="AW20" s="162">
        <f>客房耗材出入库录入!AW20*$E20</f>
        <v>121.5</v>
      </c>
      <c r="AX20" s="162">
        <f>客房耗材出入库录入!AX20*$E20</f>
        <v>0</v>
      </c>
      <c r="AY20" s="162">
        <f>客房耗材出入库录入!AY20*$E20</f>
        <v>121.5</v>
      </c>
      <c r="AZ20" s="162">
        <f>客房耗材出入库录入!AZ20*$E20</f>
        <v>0</v>
      </c>
      <c r="BA20" s="162">
        <f>客房耗材出入库录入!BA20*$E20</f>
        <v>135</v>
      </c>
      <c r="BB20" s="162">
        <f>客房耗材出入库录入!BB20*$E20</f>
        <v>0</v>
      </c>
      <c r="BC20" s="162">
        <f>客房耗材出入库录入!BC20*$E20</f>
        <v>135</v>
      </c>
      <c r="BD20" s="162">
        <f>客房耗材出入库录入!BD20*$E20</f>
        <v>0</v>
      </c>
      <c r="BE20" s="162">
        <f>客房耗材出入库录入!BE20*$E20</f>
        <v>121.5</v>
      </c>
      <c r="BF20" s="162">
        <f>客房耗材出入库录入!BF20*$E20</f>
        <v>0</v>
      </c>
      <c r="BG20" s="162">
        <f>客房耗材出入库录入!BG20*$E20</f>
        <v>121.5</v>
      </c>
      <c r="BH20" s="162">
        <f>客房耗材出入库录入!BH20*$E20</f>
        <v>0</v>
      </c>
      <c r="BI20" s="162">
        <f>客房耗材出入库录入!BI20*$E20</f>
        <v>135</v>
      </c>
      <c r="BJ20" s="162">
        <f>客房耗材出入库录入!BJ20*$E20</f>
        <v>0</v>
      </c>
      <c r="BK20" s="162">
        <f>客房耗材出入库录入!BK20*$E20</f>
        <v>121.5</v>
      </c>
      <c r="BL20" s="162">
        <f>客房耗材出入库录入!BL20*$E20</f>
        <v>0</v>
      </c>
      <c r="BM20" s="162">
        <f>客房耗材出入库录入!BM20*$E20</f>
        <v>94.5</v>
      </c>
      <c r="BN20" s="162">
        <f>客房耗材出入库录入!BN20*$E20</f>
        <v>0</v>
      </c>
      <c r="BO20" s="162">
        <f>客房耗材出入库录入!BO20*$E20</f>
        <v>121.5</v>
      </c>
      <c r="BP20" s="162">
        <f>客房耗材出入库录入!BP20*$E20</f>
        <v>0</v>
      </c>
      <c r="BQ20" s="162">
        <f>客房耗材出入库录入!BQ20*$E20</f>
        <v>94.5</v>
      </c>
      <c r="BR20" s="162">
        <f>客房耗材出入库录入!BR20*$E20</f>
        <v>0</v>
      </c>
      <c r="BS20" s="162">
        <f>客房耗材出入库录入!BS20*$E20</f>
        <v>162</v>
      </c>
      <c r="BT20" s="162">
        <f>客房耗材出入库录入!BT20*$E20</f>
        <v>0</v>
      </c>
      <c r="BU20" s="162">
        <f>客房耗材出入库录入!BU20*$E20</f>
        <v>135</v>
      </c>
      <c r="BV20" s="162">
        <f>客房耗材出入库录入!BV20*$E20</f>
        <v>0</v>
      </c>
      <c r="BW20" s="162">
        <f>客房耗材出入库录入!BW20*$E20</f>
        <v>81</v>
      </c>
    </row>
    <row r="21" s="140" customFormat="1" customHeight="1" spans="1:75">
      <c r="A21" s="161">
        <v>1</v>
      </c>
      <c r="B21" s="162" t="str">
        <f>客房耗材出入库录入!B21</f>
        <v>护发素</v>
      </c>
      <c r="C21" s="162">
        <f>客房耗材出入库录入!C21</f>
        <v>0</v>
      </c>
      <c r="D21" s="162" t="str">
        <f>客房耗材出入库录入!D21</f>
        <v>瓶</v>
      </c>
      <c r="E21" s="162">
        <f>客房耗材出入库录入!E21</f>
        <v>13.5</v>
      </c>
      <c r="F21" s="162">
        <f>客房耗材出入库录入!F21</f>
        <v>476</v>
      </c>
      <c r="G21" s="162">
        <f>客房耗材出入库录入!G21</f>
        <v>6426</v>
      </c>
      <c r="H21" s="162">
        <f>客房耗材出入库录入!H21</f>
        <v>0</v>
      </c>
      <c r="I21" s="162">
        <f>客房耗材出入库录入!I21</f>
        <v>0</v>
      </c>
      <c r="J21" s="162">
        <f>客房耗材出入库录入!J21</f>
        <v>146</v>
      </c>
      <c r="K21" s="162">
        <f>客房耗材出入库录入!K21</f>
        <v>1971</v>
      </c>
      <c r="L21" s="162">
        <f>客房耗材出入库录入!L21</f>
        <v>330</v>
      </c>
      <c r="M21" s="162">
        <f>客房耗材出入库录入!M21</f>
        <v>4455</v>
      </c>
      <c r="N21" s="162">
        <f>客房耗材出入库录入!N21</f>
        <v>0</v>
      </c>
      <c r="O21" s="162">
        <f>客房耗材出入库录入!O21*$E21</f>
        <v>67.5</v>
      </c>
      <c r="P21" s="162">
        <f>客房耗材出入库录入!P21*$E21</f>
        <v>0</v>
      </c>
      <c r="Q21" s="162">
        <f>客房耗材出入库录入!Q21*$E21</f>
        <v>54</v>
      </c>
      <c r="R21" s="162">
        <f>客房耗材出入库录入!R21*$E21</f>
        <v>0</v>
      </c>
      <c r="S21" s="162">
        <f>客房耗材出入库录入!S21*$E21</f>
        <v>67.5</v>
      </c>
      <c r="T21" s="162">
        <f>客房耗材出入库录入!T21*$E21</f>
        <v>0</v>
      </c>
      <c r="U21" s="162">
        <f>客房耗材出入库录入!U21*$E21</f>
        <v>54</v>
      </c>
      <c r="V21" s="162">
        <f>客房耗材出入库录入!V21*$E21</f>
        <v>0</v>
      </c>
      <c r="W21" s="162">
        <f>客房耗材出入库录入!W21*$E21</f>
        <v>54</v>
      </c>
      <c r="X21" s="162">
        <f>客房耗材出入库录入!X21*$E21</f>
        <v>0</v>
      </c>
      <c r="Y21" s="162">
        <f>客房耗材出入库录入!Y21*$E21</f>
        <v>67.5</v>
      </c>
      <c r="Z21" s="162">
        <f>客房耗材出入库录入!Z21*$E21</f>
        <v>0</v>
      </c>
      <c r="AA21" s="162">
        <f>客房耗材出入库录入!AA21*$E21</f>
        <v>40.5</v>
      </c>
      <c r="AB21" s="162">
        <f>客房耗材出入库录入!AB21*$E21</f>
        <v>0</v>
      </c>
      <c r="AC21" s="162">
        <f>客房耗材出入库录入!AC21*$E21</f>
        <v>54</v>
      </c>
      <c r="AD21" s="162">
        <f>客房耗材出入库录入!AD21*$E21</f>
        <v>0</v>
      </c>
      <c r="AE21" s="162">
        <f>客房耗材出入库录入!AE21*$E21</f>
        <v>67.5</v>
      </c>
      <c r="AF21" s="162">
        <f>客房耗材出入库录入!AF21*$E21</f>
        <v>0</v>
      </c>
      <c r="AG21" s="162">
        <f>客房耗材出入库录入!AG21*$E21</f>
        <v>54</v>
      </c>
      <c r="AH21" s="162">
        <f>客房耗材出入库录入!AH21*$E21</f>
        <v>0</v>
      </c>
      <c r="AI21" s="162">
        <f>客房耗材出入库录入!AI21*$E21</f>
        <v>67.5</v>
      </c>
      <c r="AJ21" s="162">
        <f>客房耗材出入库录入!AJ21*$E21</f>
        <v>0</v>
      </c>
      <c r="AK21" s="162">
        <f>客房耗材出入库录入!AK21*$E21</f>
        <v>54</v>
      </c>
      <c r="AL21" s="162">
        <f>客房耗材出入库录入!AL21*$E21</f>
        <v>0</v>
      </c>
      <c r="AM21" s="162">
        <f>客房耗材出入库录入!AM21*$E21</f>
        <v>81</v>
      </c>
      <c r="AN21" s="162">
        <f>客房耗材出入库录入!AN21*$E21</f>
        <v>0</v>
      </c>
      <c r="AO21" s="162">
        <f>客房耗材出入库录入!AO21*$E21</f>
        <v>67.5</v>
      </c>
      <c r="AP21" s="162">
        <f>客房耗材出入库录入!AP21*$E21</f>
        <v>0</v>
      </c>
      <c r="AQ21" s="162">
        <f>客房耗材出入库录入!AQ21*$E21</f>
        <v>54</v>
      </c>
      <c r="AR21" s="162">
        <f>客房耗材出入库录入!AR21*$E21</f>
        <v>0</v>
      </c>
      <c r="AS21" s="162">
        <f>客房耗材出入库录入!AS21*$E21</f>
        <v>67.5</v>
      </c>
      <c r="AT21" s="162">
        <f>客房耗材出入库录入!AT21*$E21</f>
        <v>0</v>
      </c>
      <c r="AU21" s="162">
        <f>客房耗材出入库录入!AU21*$E21</f>
        <v>67.5</v>
      </c>
      <c r="AV21" s="162">
        <f>客房耗材出入库录入!AV21*$E21</f>
        <v>0</v>
      </c>
      <c r="AW21" s="162">
        <f>客房耗材出入库录入!AW21*$E21</f>
        <v>81</v>
      </c>
      <c r="AX21" s="162">
        <f>客房耗材出入库录入!AX21*$E21</f>
        <v>0</v>
      </c>
      <c r="AY21" s="162">
        <f>客房耗材出入库录入!AY21*$E21</f>
        <v>54</v>
      </c>
      <c r="AZ21" s="162">
        <f>客房耗材出入库录入!AZ21*$E21</f>
        <v>0</v>
      </c>
      <c r="BA21" s="162">
        <f>客房耗材出入库录入!BA21*$E21</f>
        <v>81</v>
      </c>
      <c r="BB21" s="162">
        <f>客房耗材出入库录入!BB21*$E21</f>
        <v>0</v>
      </c>
      <c r="BC21" s="162">
        <f>客房耗材出入库录入!BC21*$E21</f>
        <v>54</v>
      </c>
      <c r="BD21" s="162">
        <f>客房耗材出入库录入!BD21*$E21</f>
        <v>0</v>
      </c>
      <c r="BE21" s="162">
        <f>客房耗材出入库录入!BE21*$E21</f>
        <v>81</v>
      </c>
      <c r="BF21" s="162">
        <f>客房耗材出入库录入!BF21*$E21</f>
        <v>0</v>
      </c>
      <c r="BG21" s="162">
        <f>客房耗材出入库录入!BG21*$E21</f>
        <v>67.5</v>
      </c>
      <c r="BH21" s="162">
        <f>客房耗材出入库录入!BH21*$E21</f>
        <v>0</v>
      </c>
      <c r="BI21" s="162">
        <f>客房耗材出入库录入!BI21*$E21</f>
        <v>81</v>
      </c>
      <c r="BJ21" s="162">
        <f>客房耗材出入库录入!BJ21*$E21</f>
        <v>0</v>
      </c>
      <c r="BK21" s="162">
        <f>客房耗材出入库录入!BK21*$E21</f>
        <v>67.5</v>
      </c>
      <c r="BL21" s="162">
        <f>客房耗材出入库录入!BL21*$E21</f>
        <v>0</v>
      </c>
      <c r="BM21" s="162">
        <f>客房耗材出入库录入!BM21*$E21</f>
        <v>54</v>
      </c>
      <c r="BN21" s="162">
        <f>客房耗材出入库录入!BN21*$E21</f>
        <v>0</v>
      </c>
      <c r="BO21" s="162">
        <f>客房耗材出入库录入!BO21*$E21</f>
        <v>54</v>
      </c>
      <c r="BP21" s="162">
        <f>客房耗材出入库录入!BP21*$E21</f>
        <v>0</v>
      </c>
      <c r="BQ21" s="162">
        <f>客房耗材出入库录入!BQ21*$E21</f>
        <v>40.5</v>
      </c>
      <c r="BR21" s="162">
        <f>客房耗材出入库录入!BR21*$E21</f>
        <v>0</v>
      </c>
      <c r="BS21" s="162">
        <f>客房耗材出入库录入!BS21*$E21</f>
        <v>94.5</v>
      </c>
      <c r="BT21" s="162">
        <f>客房耗材出入库录入!BT21*$E21</f>
        <v>0</v>
      </c>
      <c r="BU21" s="162">
        <f>客房耗材出入库录入!BU21*$E21</f>
        <v>54</v>
      </c>
      <c r="BV21" s="162">
        <f>客房耗材出入库录入!BV21*$E21</f>
        <v>0</v>
      </c>
      <c r="BW21" s="162">
        <f>客房耗材出入库录入!BW21*$E21</f>
        <v>67.5</v>
      </c>
    </row>
    <row r="22" s="140" customFormat="1" customHeight="1" spans="1:75">
      <c r="A22" s="161">
        <v>1</v>
      </c>
      <c r="B22" s="162" t="str">
        <f>客房耗材出入库录入!B22</f>
        <v>厕纸</v>
      </c>
      <c r="C22" s="162">
        <f>客房耗材出入库录入!C22</f>
        <v>0</v>
      </c>
      <c r="D22" s="162" t="str">
        <f>客房耗材出入库录入!D22</f>
        <v>卷</v>
      </c>
      <c r="E22" s="162">
        <f>客房耗材出入库录入!E22</f>
        <v>0.75</v>
      </c>
      <c r="F22" s="162">
        <f>客房耗材出入库录入!F22</f>
        <v>4725</v>
      </c>
      <c r="G22" s="162">
        <f>客房耗材出入库录入!G22</f>
        <v>3543.75</v>
      </c>
      <c r="H22" s="162">
        <f>客房耗材出入库录入!H22</f>
        <v>0</v>
      </c>
      <c r="I22" s="162">
        <f>客房耗材出入库录入!I22</f>
        <v>0</v>
      </c>
      <c r="J22" s="162">
        <f>客房耗材出入库录入!J22</f>
        <v>2883</v>
      </c>
      <c r="K22" s="162">
        <f>客房耗材出入库录入!K22</f>
        <v>2162.25</v>
      </c>
      <c r="L22" s="162">
        <f>客房耗材出入库录入!L22</f>
        <v>1842</v>
      </c>
      <c r="M22" s="162">
        <f>客房耗材出入库录入!M22</f>
        <v>1381.5</v>
      </c>
      <c r="N22" s="162">
        <f>客房耗材出入库录入!N22</f>
        <v>0</v>
      </c>
      <c r="O22" s="162">
        <f>客房耗材出入库录入!O22*$E22</f>
        <v>60.75</v>
      </c>
      <c r="P22" s="162">
        <f>客房耗材出入库录入!P22*$E22</f>
        <v>0</v>
      </c>
      <c r="Q22" s="162">
        <f>客房耗材出入库录入!Q22*$E22</f>
        <v>73.5</v>
      </c>
      <c r="R22" s="162">
        <f>客房耗材出入库录入!R22*$E22</f>
        <v>0</v>
      </c>
      <c r="S22" s="162">
        <f>客房耗材出入库录入!S22*$E22</f>
        <v>72</v>
      </c>
      <c r="T22" s="162">
        <f>客房耗材出入库录入!T22*$E22</f>
        <v>0</v>
      </c>
      <c r="U22" s="162">
        <f>客房耗材出入库录入!U22*$E22</f>
        <v>62.25</v>
      </c>
      <c r="V22" s="162">
        <f>客房耗材出入库录入!V22*$E22</f>
        <v>0</v>
      </c>
      <c r="W22" s="162">
        <f>客房耗材出入库录入!W22*$E22</f>
        <v>69.75</v>
      </c>
      <c r="X22" s="162">
        <f>客房耗材出入库录入!X22*$E22</f>
        <v>0</v>
      </c>
      <c r="Y22" s="162">
        <f>客房耗材出入库录入!Y22*$E22</f>
        <v>69</v>
      </c>
      <c r="Z22" s="162">
        <f>客房耗材出入库录入!Z22*$E22</f>
        <v>0</v>
      </c>
      <c r="AA22" s="162">
        <f>客房耗材出入库录入!AA22*$E22</f>
        <v>68.25</v>
      </c>
      <c r="AB22" s="162">
        <f>客房耗材出入库录入!AB22*$E22</f>
        <v>0</v>
      </c>
      <c r="AC22" s="162">
        <f>客房耗材出入库录入!AC22*$E22</f>
        <v>69.75</v>
      </c>
      <c r="AD22" s="162">
        <f>客房耗材出入库录入!AD22*$E22</f>
        <v>0</v>
      </c>
      <c r="AE22" s="162">
        <f>客房耗材出入库录入!AE22*$E22</f>
        <v>66.75</v>
      </c>
      <c r="AF22" s="162">
        <f>客房耗材出入库录入!AF22*$E22</f>
        <v>0</v>
      </c>
      <c r="AG22" s="162">
        <f>客房耗材出入库录入!AG22*$E22</f>
        <v>67.5</v>
      </c>
      <c r="AH22" s="162">
        <f>客房耗材出入库录入!AH22*$E22</f>
        <v>0</v>
      </c>
      <c r="AI22" s="162">
        <f>客房耗材出入库录入!AI22*$E22</f>
        <v>67.5</v>
      </c>
      <c r="AJ22" s="162">
        <f>客房耗材出入库录入!AJ22*$E22</f>
        <v>0</v>
      </c>
      <c r="AK22" s="162">
        <f>客房耗材出入库录入!AK22*$E22</f>
        <v>69</v>
      </c>
      <c r="AL22" s="162">
        <f>客房耗材出入库录入!AL22*$E22</f>
        <v>0</v>
      </c>
      <c r="AM22" s="162">
        <f>客房耗材出入库录入!AM22*$E22</f>
        <v>72</v>
      </c>
      <c r="AN22" s="162">
        <f>客房耗材出入库录入!AN22*$E22</f>
        <v>0</v>
      </c>
      <c r="AO22" s="162">
        <f>客房耗材出入库录入!AO22*$E22</f>
        <v>56.25</v>
      </c>
      <c r="AP22" s="162">
        <f>客房耗材出入库录入!AP22*$E22</f>
        <v>0</v>
      </c>
      <c r="AQ22" s="162">
        <f>客房耗材出入库录入!AQ22*$E22</f>
        <v>64.5</v>
      </c>
      <c r="AR22" s="162">
        <f>客房耗材出入库录入!AR22*$E22</f>
        <v>0</v>
      </c>
      <c r="AS22" s="162">
        <f>客房耗材出入库录入!AS22*$E22</f>
        <v>69</v>
      </c>
      <c r="AT22" s="162">
        <f>客房耗材出入库录入!AT22*$E22</f>
        <v>0</v>
      </c>
      <c r="AU22" s="162">
        <f>客房耗材出入库录入!AU22*$E22</f>
        <v>61.5</v>
      </c>
      <c r="AV22" s="162">
        <f>客房耗材出入库录入!AV22*$E22</f>
        <v>0</v>
      </c>
      <c r="AW22" s="162">
        <f>客房耗材出入库录入!AW22*$E22</f>
        <v>72</v>
      </c>
      <c r="AX22" s="162">
        <f>客房耗材出入库录入!AX22*$E22</f>
        <v>0</v>
      </c>
      <c r="AY22" s="162">
        <f>客房耗材出入库录入!AY22*$E22</f>
        <v>66.75</v>
      </c>
      <c r="AZ22" s="162">
        <f>客房耗材出入库录入!AZ22*$E22</f>
        <v>0</v>
      </c>
      <c r="BA22" s="162">
        <f>客房耗材出入库录入!BA22*$E22</f>
        <v>69.75</v>
      </c>
      <c r="BB22" s="162">
        <f>客房耗材出入库录入!BB22*$E22</f>
        <v>0</v>
      </c>
      <c r="BC22" s="162">
        <f>客房耗材出入库录入!BC22*$E22</f>
        <v>71.25</v>
      </c>
      <c r="BD22" s="162">
        <f>客房耗材出入库录入!BD22*$E22</f>
        <v>0</v>
      </c>
      <c r="BE22" s="162">
        <f>客房耗材出入库录入!BE22*$E22</f>
        <v>72.75</v>
      </c>
      <c r="BF22" s="162">
        <f>客房耗材出入库录入!BF22*$E22</f>
        <v>0</v>
      </c>
      <c r="BG22" s="162">
        <f>客房耗材出入库录入!BG22*$E22</f>
        <v>69.75</v>
      </c>
      <c r="BH22" s="162">
        <f>客房耗材出入库录入!BH22*$E22</f>
        <v>0</v>
      </c>
      <c r="BI22" s="162">
        <f>客房耗材出入库录入!BI22*$E22</f>
        <v>72.75</v>
      </c>
      <c r="BJ22" s="162">
        <f>客房耗材出入库录入!BJ22*$E22</f>
        <v>0</v>
      </c>
      <c r="BK22" s="162">
        <f>客房耗材出入库录入!BK22*$E22</f>
        <v>76.5</v>
      </c>
      <c r="BL22" s="162">
        <f>客房耗材出入库录入!BL22*$E22</f>
        <v>0</v>
      </c>
      <c r="BM22" s="162">
        <f>客房耗材出入库录入!BM22*$E22</f>
        <v>69.75</v>
      </c>
      <c r="BN22" s="162">
        <f>客房耗材出入库录入!BN22*$E22</f>
        <v>0</v>
      </c>
      <c r="BO22" s="162">
        <f>客房耗材出入库录入!BO22*$E22</f>
        <v>69</v>
      </c>
      <c r="BP22" s="162">
        <f>客房耗材出入库录入!BP22*$E22</f>
        <v>0</v>
      </c>
      <c r="BQ22" s="162">
        <f>客房耗材出入库录入!BQ22*$E22</f>
        <v>75.75</v>
      </c>
      <c r="BR22" s="162">
        <f>客房耗材出入库录入!BR22*$E22</f>
        <v>0</v>
      </c>
      <c r="BS22" s="162">
        <f>客房耗材出入库录入!BS22*$E22</f>
        <v>81</v>
      </c>
      <c r="BT22" s="162">
        <f>客房耗材出入库录入!BT22*$E22</f>
        <v>0</v>
      </c>
      <c r="BU22" s="162">
        <f>客房耗材出入库录入!BU22*$E22</f>
        <v>79.5</v>
      </c>
      <c r="BV22" s="162">
        <f>客房耗材出入库录入!BV22*$E22</f>
        <v>0</v>
      </c>
      <c r="BW22" s="162">
        <f>客房耗材出入库录入!BW22*$E22</f>
        <v>76.5</v>
      </c>
    </row>
    <row r="23" s="140" customFormat="1" customHeight="1" spans="1:75">
      <c r="A23" s="161">
        <v>1</v>
      </c>
      <c r="B23" s="162" t="str">
        <f>客房耗材出入库录入!B23</f>
        <v>抽纸</v>
      </c>
      <c r="C23" s="162">
        <f>客房耗材出入库录入!C23</f>
        <v>0</v>
      </c>
      <c r="D23" s="162" t="str">
        <f>客房耗材出入库录入!D23</f>
        <v>包</v>
      </c>
      <c r="E23" s="162">
        <f>客房耗材出入库录入!E23</f>
        <v>0.45</v>
      </c>
      <c r="F23" s="162">
        <f>客房耗材出入库录入!F23</f>
        <v>4436</v>
      </c>
      <c r="G23" s="162">
        <f>客房耗材出入库录入!G23</f>
        <v>1996.2</v>
      </c>
      <c r="H23" s="162">
        <f>客房耗材出入库录入!H23</f>
        <v>0</v>
      </c>
      <c r="I23" s="162">
        <f>客房耗材出入库录入!I23</f>
        <v>0</v>
      </c>
      <c r="J23" s="162">
        <f>客房耗材出入库录入!J23</f>
        <v>3689</v>
      </c>
      <c r="K23" s="162">
        <f>客房耗材出入库录入!K23</f>
        <v>1660.05</v>
      </c>
      <c r="L23" s="162">
        <f>客房耗材出入库录入!L23</f>
        <v>747</v>
      </c>
      <c r="M23" s="162">
        <f>客房耗材出入库录入!M23</f>
        <v>336.15</v>
      </c>
      <c r="N23" s="162">
        <f>客房耗材出入库录入!N23</f>
        <v>0</v>
      </c>
      <c r="O23" s="162">
        <f>客房耗材出入库录入!O23*$E23</f>
        <v>41.85</v>
      </c>
      <c r="P23" s="162">
        <f>客房耗材出入库录入!P23*$E23</f>
        <v>0</v>
      </c>
      <c r="Q23" s="162">
        <f>客房耗材出入库录入!Q23*$E23</f>
        <v>40.5</v>
      </c>
      <c r="R23" s="162">
        <f>客房耗材出入库录入!R23*$E23</f>
        <v>0</v>
      </c>
      <c r="S23" s="162">
        <f>客房耗材出入库录入!S23*$E23</f>
        <v>414.45</v>
      </c>
      <c r="T23" s="162">
        <f>客房耗材出入库录入!T23*$E23</f>
        <v>0</v>
      </c>
      <c r="U23" s="162">
        <f>客房耗材出入库录入!U23*$E23</f>
        <v>39.6</v>
      </c>
      <c r="V23" s="162">
        <f>客房耗材出入库录入!V23*$E23</f>
        <v>0</v>
      </c>
      <c r="W23" s="162">
        <f>客房耗材出入库录入!W23*$E23</f>
        <v>40.05</v>
      </c>
      <c r="X23" s="162">
        <f>客房耗材出入库录入!X23*$E23</f>
        <v>0</v>
      </c>
      <c r="Y23" s="162">
        <f>客房耗材出入库录入!Y23*$E23</f>
        <v>42.3</v>
      </c>
      <c r="Z23" s="162">
        <f>客房耗材出入库录入!Z23*$E23</f>
        <v>0</v>
      </c>
      <c r="AA23" s="162">
        <f>客房耗材出入库录入!AA23*$E23</f>
        <v>41.4</v>
      </c>
      <c r="AB23" s="162">
        <f>客房耗材出入库录入!AB23*$E23</f>
        <v>0</v>
      </c>
      <c r="AC23" s="162">
        <f>客房耗材出入库录入!AC23*$E23</f>
        <v>42.75</v>
      </c>
      <c r="AD23" s="162">
        <f>客房耗材出入库录入!AD23*$E23</f>
        <v>0</v>
      </c>
      <c r="AE23" s="162">
        <f>客房耗材出入库录入!AE23*$E23</f>
        <v>41.4</v>
      </c>
      <c r="AF23" s="162">
        <f>客房耗材出入库录入!AF23*$E23</f>
        <v>0</v>
      </c>
      <c r="AG23" s="162">
        <f>客房耗材出入库录入!AG23*$E23</f>
        <v>41.4</v>
      </c>
      <c r="AH23" s="162">
        <f>客房耗材出入库录入!AH23*$E23</f>
        <v>0</v>
      </c>
      <c r="AI23" s="162">
        <f>客房耗材出入库录入!AI23*$E23</f>
        <v>38.25</v>
      </c>
      <c r="AJ23" s="162">
        <f>客房耗材出入库录入!AJ23*$E23</f>
        <v>0</v>
      </c>
      <c r="AK23" s="162">
        <f>客房耗材出入库录入!AK23*$E23</f>
        <v>39.6</v>
      </c>
      <c r="AL23" s="162">
        <f>客房耗材出入库录入!AL23*$E23</f>
        <v>0</v>
      </c>
      <c r="AM23" s="162">
        <f>客房耗材出入库录入!AM23*$E23</f>
        <v>40.95</v>
      </c>
      <c r="AN23" s="162">
        <f>客房耗材出入库录入!AN23*$E23</f>
        <v>0</v>
      </c>
      <c r="AO23" s="162">
        <f>客房耗材出入库录入!AO23*$E23</f>
        <v>36</v>
      </c>
      <c r="AP23" s="162">
        <f>客房耗材出入库录入!AP23*$E23</f>
        <v>0</v>
      </c>
      <c r="AQ23" s="162">
        <f>客房耗材出入库录入!AQ23*$E23</f>
        <v>39.6</v>
      </c>
      <c r="AR23" s="162">
        <f>客房耗材出入库录入!AR23*$E23</f>
        <v>0</v>
      </c>
      <c r="AS23" s="162">
        <f>客房耗材出入库录入!AS23*$E23</f>
        <v>41.85</v>
      </c>
      <c r="AT23" s="162">
        <f>客房耗材出入库录入!AT23*$E23</f>
        <v>0</v>
      </c>
      <c r="AU23" s="162">
        <f>客房耗材出入库录入!AU23*$E23</f>
        <v>38.7</v>
      </c>
      <c r="AV23" s="162">
        <f>客房耗材出入库录入!AV23*$E23</f>
        <v>0</v>
      </c>
      <c r="AW23" s="162">
        <f>客房耗材出入库录入!AW23*$E23</f>
        <v>42.75</v>
      </c>
      <c r="AX23" s="162">
        <f>客房耗材出入库录入!AX23*$E23</f>
        <v>0</v>
      </c>
      <c r="AY23" s="162">
        <f>客房耗材出入库录入!AY23*$E23</f>
        <v>40.95</v>
      </c>
      <c r="AZ23" s="162">
        <f>客房耗材出入库录入!AZ23*$E23</f>
        <v>0</v>
      </c>
      <c r="BA23" s="162">
        <f>客房耗材出入库录入!BA23*$E23</f>
        <v>40.5</v>
      </c>
      <c r="BB23" s="162">
        <f>客房耗材出入库录入!BB23*$E23</f>
        <v>0</v>
      </c>
      <c r="BC23" s="162">
        <f>客房耗材出入库录入!BC23*$E23</f>
        <v>40.95</v>
      </c>
      <c r="BD23" s="162">
        <f>客房耗材出入库录入!BD23*$E23</f>
        <v>0</v>
      </c>
      <c r="BE23" s="162">
        <f>客房耗材出入库录入!BE23*$E23</f>
        <v>42.75</v>
      </c>
      <c r="BF23" s="162">
        <f>客房耗材出入库录入!BF23*$E23</f>
        <v>0</v>
      </c>
      <c r="BG23" s="162">
        <f>客房耗材出入库录入!BG23*$E23</f>
        <v>41.4</v>
      </c>
      <c r="BH23" s="162">
        <f>客房耗材出入库录入!BH23*$E23</f>
        <v>0</v>
      </c>
      <c r="BI23" s="162">
        <f>客房耗材出入库录入!BI23*$E23</f>
        <v>41.85</v>
      </c>
      <c r="BJ23" s="162">
        <f>客房耗材出入库录入!BJ23*$E23</f>
        <v>0</v>
      </c>
      <c r="BK23" s="162">
        <f>客房耗材出入库录入!BK23*$E23</f>
        <v>43.65</v>
      </c>
      <c r="BL23" s="162">
        <f>客房耗材出入库录入!BL23*$E23</f>
        <v>0</v>
      </c>
      <c r="BM23" s="162">
        <f>客房耗材出入库录入!BM23*$E23</f>
        <v>40.5</v>
      </c>
      <c r="BN23" s="162">
        <f>客房耗材出入库录入!BN23*$E23</f>
        <v>0</v>
      </c>
      <c r="BO23" s="162">
        <f>客房耗材出入库录入!BO23*$E23</f>
        <v>41.85</v>
      </c>
      <c r="BP23" s="162">
        <f>客房耗材出入库录入!BP23*$E23</f>
        <v>0</v>
      </c>
      <c r="BQ23" s="162">
        <f>客房耗材出入库录入!BQ23*$E23</f>
        <v>44.55</v>
      </c>
      <c r="BR23" s="162">
        <f>客房耗材出入库录入!BR23*$E23</f>
        <v>0</v>
      </c>
      <c r="BS23" s="162">
        <f>客房耗材出入库录入!BS23*$E23</f>
        <v>47.7</v>
      </c>
      <c r="BT23" s="162">
        <f>客房耗材出入库录入!BT23*$E23</f>
        <v>0</v>
      </c>
      <c r="BU23" s="162">
        <f>客房耗材出入库录入!BU23*$E23</f>
        <v>45.9</v>
      </c>
      <c r="BV23" s="162">
        <f>客房耗材出入库录入!BV23*$E23</f>
        <v>0</v>
      </c>
      <c r="BW23" s="162">
        <f>客房耗材出入库录入!BW23*$E23</f>
        <v>44.1</v>
      </c>
    </row>
    <row r="24" s="140" customFormat="1" customHeight="1" spans="1:75">
      <c r="A24" s="161">
        <v>1</v>
      </c>
      <c r="B24" s="162" t="str">
        <f>客房耗材出入库录入!B24</f>
        <v>矿泉水</v>
      </c>
      <c r="C24" s="162">
        <f>客房耗材出入库录入!C24</f>
        <v>0</v>
      </c>
      <c r="D24" s="162" t="str">
        <f>客房耗材出入库录入!D24</f>
        <v>瓶</v>
      </c>
      <c r="E24" s="162">
        <f>客房耗材出入库录入!E24</f>
        <v>0.667</v>
      </c>
      <c r="F24" s="162">
        <f>客房耗材出入库录入!F24</f>
        <v>15786</v>
      </c>
      <c r="G24" s="162">
        <f>客房耗材出入库录入!G24</f>
        <v>10529.262</v>
      </c>
      <c r="H24" s="162">
        <f>客房耗材出入库录入!H24</f>
        <v>0</v>
      </c>
      <c r="I24" s="162">
        <f>客房耗材出入库录入!I24</f>
        <v>0</v>
      </c>
      <c r="J24" s="162">
        <f>客房耗材出入库录入!J24</f>
        <v>10137</v>
      </c>
      <c r="K24" s="162">
        <f>客房耗材出入库录入!K24</f>
        <v>6761.379</v>
      </c>
      <c r="L24" s="162">
        <f>客房耗材出入库录入!L24</f>
        <v>5649</v>
      </c>
      <c r="M24" s="162">
        <f>客房耗材出入库录入!M24</f>
        <v>3767.883</v>
      </c>
      <c r="N24" s="162">
        <f>客房耗材出入库录入!N24</f>
        <v>0</v>
      </c>
      <c r="O24" s="162">
        <f>客房耗材出入库录入!O24*$E24</f>
        <v>212.106</v>
      </c>
      <c r="P24" s="162">
        <f>客房耗材出入库录入!P24*$E24</f>
        <v>0</v>
      </c>
      <c r="Q24" s="162">
        <f>客房耗材出入库录入!Q24*$E24</f>
        <v>190.762</v>
      </c>
      <c r="R24" s="162">
        <f>客房耗材出入库录入!R24*$E24</f>
        <v>0</v>
      </c>
      <c r="S24" s="162">
        <f>客房耗材出入库录入!S24*$E24</f>
        <v>216.775</v>
      </c>
      <c r="T24" s="162">
        <f>客房耗材出入库录入!T24*$E24</f>
        <v>0</v>
      </c>
      <c r="U24" s="162">
        <f>客房耗材出入库录入!U24*$E24</f>
        <v>182.758</v>
      </c>
      <c r="V24" s="162">
        <f>客房耗材出入库录入!V24*$E24</f>
        <v>0</v>
      </c>
      <c r="W24" s="162">
        <f>客房耗材出入库录入!W24*$E24</f>
        <v>191.429</v>
      </c>
      <c r="X24" s="162">
        <f>客房耗材出入库录入!X24*$E24</f>
        <v>0</v>
      </c>
      <c r="Y24" s="162">
        <f>客房耗材出入库录入!Y24*$E24</f>
        <v>230.115</v>
      </c>
      <c r="Z24" s="162">
        <f>客房耗材出入库录入!Z24*$E24</f>
        <v>0</v>
      </c>
      <c r="AA24" s="162">
        <f>客房耗材出入库录入!AA24*$E24</f>
        <v>220.11</v>
      </c>
      <c r="AB24" s="162">
        <f>客房耗材出入库录入!AB24*$E24</f>
        <v>0</v>
      </c>
      <c r="AC24" s="162">
        <f>客房耗材出入库录入!AC24*$E24</f>
        <v>224.112</v>
      </c>
      <c r="AD24" s="162">
        <f>客房耗材出入库录入!AD24*$E24</f>
        <v>0</v>
      </c>
      <c r="AE24" s="162">
        <f>客房耗材出入库录入!AE24*$E24</f>
        <v>234.784</v>
      </c>
      <c r="AF24" s="162">
        <f>客房耗材出入库录入!AF24*$E24</f>
        <v>0</v>
      </c>
      <c r="AG24" s="162">
        <f>客房耗材出入库录入!AG24*$E24</f>
        <v>226.78</v>
      </c>
      <c r="AH24" s="162">
        <f>客房耗材出入库录入!AH24*$E24</f>
        <v>0</v>
      </c>
      <c r="AI24" s="162">
        <f>客房耗材出入库录入!AI24*$E24</f>
        <v>222.111</v>
      </c>
      <c r="AJ24" s="162">
        <f>客房耗材出入库录入!AJ24*$E24</f>
        <v>0</v>
      </c>
      <c r="AK24" s="162">
        <f>客房耗材出入库录入!AK24*$E24</f>
        <v>221.444</v>
      </c>
      <c r="AL24" s="162">
        <f>客房耗材出入库录入!AL24*$E24</f>
        <v>0</v>
      </c>
      <c r="AM24" s="162">
        <f>客房耗材出入库录入!AM24*$E24</f>
        <v>228.781</v>
      </c>
      <c r="AN24" s="162">
        <f>客房耗材出入库录入!AN24*$E24</f>
        <v>0</v>
      </c>
      <c r="AO24" s="162">
        <f>客房耗材出入库录入!AO24*$E24</f>
        <v>209.438</v>
      </c>
      <c r="AP24" s="162">
        <f>客房耗材出入库录入!AP24*$E24</f>
        <v>0</v>
      </c>
      <c r="AQ24" s="162">
        <f>客房耗材出入库录入!AQ24*$E24</f>
        <v>222.111</v>
      </c>
      <c r="AR24" s="162">
        <f>客房耗材出入库录入!AR24*$E24</f>
        <v>0</v>
      </c>
      <c r="AS24" s="162">
        <f>客房耗材出入库录入!AS24*$E24</f>
        <v>231.449</v>
      </c>
      <c r="AT24" s="162">
        <f>客房耗材出入库录入!AT24*$E24</f>
        <v>0</v>
      </c>
      <c r="AU24" s="162">
        <f>客房耗材出入库录入!AU24*$E24</f>
        <v>210.772</v>
      </c>
      <c r="AV24" s="162">
        <f>客房耗材出入库录入!AV24*$E24</f>
        <v>0</v>
      </c>
      <c r="AW24" s="162">
        <f>客房耗材出入库录入!AW24*$E24</f>
        <v>214.774</v>
      </c>
      <c r="AX24" s="162">
        <f>客房耗材出入库录入!AX24*$E24</f>
        <v>0</v>
      </c>
      <c r="AY24" s="162">
        <f>客房耗材出入库录入!AY24*$E24</f>
        <v>229.448</v>
      </c>
      <c r="AZ24" s="162">
        <f>客房耗材出入库录入!AZ24*$E24</f>
        <v>0</v>
      </c>
      <c r="BA24" s="162">
        <f>客房耗材出入库录入!BA24*$E24</f>
        <v>222.111</v>
      </c>
      <c r="BB24" s="162">
        <f>客房耗材出入库录入!BB24*$E24</f>
        <v>0</v>
      </c>
      <c r="BC24" s="162">
        <f>客房耗材出入库录入!BC24*$E24</f>
        <v>207.437</v>
      </c>
      <c r="BD24" s="162">
        <f>客房耗材出入库录入!BD24*$E24</f>
        <v>0</v>
      </c>
      <c r="BE24" s="162">
        <f>客房耗材出入库录入!BE24*$E24</f>
        <v>198.766</v>
      </c>
      <c r="BF24" s="162">
        <f>客房耗材出入库录入!BF24*$E24</f>
        <v>0</v>
      </c>
      <c r="BG24" s="162">
        <f>客房耗材出入库录入!BG24*$E24</f>
        <v>214.774</v>
      </c>
      <c r="BH24" s="162">
        <f>客房耗材出入库录入!BH24*$E24</f>
        <v>0</v>
      </c>
      <c r="BI24" s="162">
        <f>客房耗材出入库录入!BI24*$E24</f>
        <v>206.77</v>
      </c>
      <c r="BJ24" s="162">
        <f>客房耗材出入库录入!BJ24*$E24</f>
        <v>0</v>
      </c>
      <c r="BK24" s="162">
        <f>客房耗材出入库录入!BK24*$E24</f>
        <v>207.437</v>
      </c>
      <c r="BL24" s="162">
        <f>客房耗材出入库录入!BL24*$E24</f>
        <v>0</v>
      </c>
      <c r="BM24" s="162">
        <f>客房耗材出入库录入!BM24*$E24</f>
        <v>213.44</v>
      </c>
      <c r="BN24" s="162">
        <f>客房耗材出入库录入!BN24*$E24</f>
        <v>0</v>
      </c>
      <c r="BO24" s="162">
        <f>客房耗材出入库录入!BO24*$E24</f>
        <v>236.118</v>
      </c>
      <c r="BP24" s="162">
        <f>客房耗材出入库录入!BP24*$E24</f>
        <v>0</v>
      </c>
      <c r="BQ24" s="162">
        <f>客房耗材出入库录入!BQ24*$E24</f>
        <v>220.777</v>
      </c>
      <c r="BR24" s="162">
        <f>客房耗材出入库录入!BR24*$E24</f>
        <v>0</v>
      </c>
      <c r="BS24" s="162">
        <f>客房耗材出入库录入!BS24*$E24</f>
        <v>228.114</v>
      </c>
      <c r="BT24" s="162">
        <f>客房耗材出入库录入!BT24*$E24</f>
        <v>0</v>
      </c>
      <c r="BU24" s="162">
        <f>客房耗材出入库录入!BU24*$E24</f>
        <v>227.447</v>
      </c>
      <c r="BV24" s="162">
        <f>客房耗材出入库录入!BV24*$E24</f>
        <v>0</v>
      </c>
      <c r="BW24" s="162">
        <f>客房耗材出入库录入!BW24*$E24</f>
        <v>258.129</v>
      </c>
    </row>
    <row r="25" s="140" customFormat="1" customHeight="1" spans="1:75">
      <c r="A25" s="161">
        <v>1</v>
      </c>
      <c r="B25" s="162" t="str">
        <f>客房耗材出入库录入!B25</f>
        <v>大黑垃圾袋</v>
      </c>
      <c r="C25" s="162">
        <f>客房耗材出入库录入!C25</f>
        <v>0</v>
      </c>
      <c r="D25" s="162" t="str">
        <f>客房耗材出入库录入!D25</f>
        <v>个</v>
      </c>
      <c r="E25" s="162">
        <f>客房耗材出入库录入!E25</f>
        <v>0.36</v>
      </c>
      <c r="F25" s="162">
        <f>客房耗材出入库录入!F25</f>
        <v>1541</v>
      </c>
      <c r="G25" s="162">
        <f>客房耗材出入库录入!G25</f>
        <v>554.76</v>
      </c>
      <c r="H25" s="162">
        <f>客房耗材出入库录入!H25</f>
        <v>0</v>
      </c>
      <c r="I25" s="162">
        <f>客房耗材出入库录入!I25</f>
        <v>0</v>
      </c>
      <c r="J25" s="162">
        <f>客房耗材出入库录入!J25</f>
        <v>941</v>
      </c>
      <c r="K25" s="162">
        <f>客房耗材出入库录入!K25</f>
        <v>338.76</v>
      </c>
      <c r="L25" s="162">
        <f>客房耗材出入库录入!L25</f>
        <v>600</v>
      </c>
      <c r="M25" s="162">
        <f>客房耗材出入库录入!M25</f>
        <v>216</v>
      </c>
      <c r="N25" s="162">
        <f>客房耗材出入库录入!N25</f>
        <v>0</v>
      </c>
      <c r="O25" s="162">
        <f>客房耗材出入库录入!O25*$E25</f>
        <v>10.08</v>
      </c>
      <c r="P25" s="162">
        <f>客房耗材出入库录入!P25*$E25</f>
        <v>0</v>
      </c>
      <c r="Q25" s="162">
        <f>客房耗材出入库录入!Q25*$E25</f>
        <v>11.52</v>
      </c>
      <c r="R25" s="162">
        <f>客房耗材出入库录入!R25*$E25</f>
        <v>0</v>
      </c>
      <c r="S25" s="162">
        <f>客房耗材出入库录入!S25*$E25</f>
        <v>12.6</v>
      </c>
      <c r="T25" s="162">
        <f>客房耗材出入库录入!T25*$E25</f>
        <v>0</v>
      </c>
      <c r="U25" s="162">
        <f>客房耗材出入库录入!U25*$E25</f>
        <v>11.52</v>
      </c>
      <c r="V25" s="162">
        <f>客房耗材出入库录入!V25*$E25</f>
        <v>0</v>
      </c>
      <c r="W25" s="162">
        <f>客房耗材出入库录入!W25*$E25</f>
        <v>12.6</v>
      </c>
      <c r="X25" s="162">
        <f>客房耗材出入库录入!X25*$E25</f>
        <v>0</v>
      </c>
      <c r="Y25" s="162">
        <f>客房耗材出入库录入!Y25*$E25</f>
        <v>8.64</v>
      </c>
      <c r="Z25" s="162">
        <f>客房耗材出入库录入!Z25*$E25</f>
        <v>0</v>
      </c>
      <c r="AA25" s="162">
        <f>客房耗材出入库录入!AA25*$E25</f>
        <v>9.36</v>
      </c>
      <c r="AB25" s="162">
        <f>客房耗材出入库录入!AB25*$E25</f>
        <v>0</v>
      </c>
      <c r="AC25" s="162">
        <f>客房耗材出入库录入!AC25*$E25</f>
        <v>8.28</v>
      </c>
      <c r="AD25" s="162">
        <f>客房耗材出入库录入!AD25*$E25</f>
        <v>0</v>
      </c>
      <c r="AE25" s="162">
        <f>客房耗材出入库录入!AE25*$E25</f>
        <v>9.72</v>
      </c>
      <c r="AF25" s="162">
        <f>客房耗材出入库录入!AF25*$E25</f>
        <v>0</v>
      </c>
      <c r="AG25" s="162">
        <f>客房耗材出入库录入!AG25*$E25</f>
        <v>10.8</v>
      </c>
      <c r="AH25" s="162">
        <f>客房耗材出入库录入!AH25*$E25</f>
        <v>0</v>
      </c>
      <c r="AI25" s="162">
        <f>客房耗材出入库录入!AI25*$E25</f>
        <v>11.52</v>
      </c>
      <c r="AJ25" s="162">
        <f>客房耗材出入库录入!AJ25*$E25</f>
        <v>0</v>
      </c>
      <c r="AK25" s="162">
        <f>客房耗材出入库录入!AK25*$E25</f>
        <v>12.24</v>
      </c>
      <c r="AL25" s="162">
        <f>客房耗材出入库录入!AL25*$E25</f>
        <v>0</v>
      </c>
      <c r="AM25" s="162">
        <f>客房耗材出入库录入!AM25*$E25</f>
        <v>13.68</v>
      </c>
      <c r="AN25" s="162">
        <f>客房耗材出入库录入!AN25*$E25</f>
        <v>0</v>
      </c>
      <c r="AO25" s="162">
        <f>客房耗材出入库录入!AO25*$E25</f>
        <v>7.2</v>
      </c>
      <c r="AP25" s="162">
        <f>客房耗材出入库录入!AP25*$E25</f>
        <v>0</v>
      </c>
      <c r="AQ25" s="162">
        <f>客房耗材出入库录入!AQ25*$E25</f>
        <v>10.44</v>
      </c>
      <c r="AR25" s="162">
        <f>客房耗材出入库录入!AR25*$E25</f>
        <v>0</v>
      </c>
      <c r="AS25" s="162">
        <f>客房耗材出入库录入!AS25*$E25</f>
        <v>9.36</v>
      </c>
      <c r="AT25" s="162">
        <f>客房耗材出入库录入!AT25*$E25</f>
        <v>0</v>
      </c>
      <c r="AU25" s="162">
        <f>客房耗材出入库录入!AU25*$E25</f>
        <v>7.92</v>
      </c>
      <c r="AV25" s="162">
        <f>客房耗材出入库录入!AV25*$E25</f>
        <v>0</v>
      </c>
      <c r="AW25" s="162">
        <f>客房耗材出入库录入!AW25*$E25</f>
        <v>10.44</v>
      </c>
      <c r="AX25" s="162">
        <f>客房耗材出入库录入!AX25*$E25</f>
        <v>0</v>
      </c>
      <c r="AY25" s="162">
        <f>客房耗材出入库录入!AY25*$E25</f>
        <v>9.72</v>
      </c>
      <c r="AZ25" s="162">
        <f>客房耗材出入库录入!AZ25*$E25</f>
        <v>0</v>
      </c>
      <c r="BA25" s="162">
        <f>客房耗材出入库录入!BA25*$E25</f>
        <v>10.8</v>
      </c>
      <c r="BB25" s="162">
        <f>客房耗材出入库录入!BB25*$E25</f>
        <v>0</v>
      </c>
      <c r="BC25" s="162">
        <f>客房耗材出入库录入!BC25*$E25</f>
        <v>11.52</v>
      </c>
      <c r="BD25" s="162">
        <f>客房耗材出入库录入!BD25*$E25</f>
        <v>0</v>
      </c>
      <c r="BE25" s="162">
        <f>客房耗材出入库录入!BE25*$E25</f>
        <v>11.88</v>
      </c>
      <c r="BF25" s="162">
        <f>客房耗材出入库录入!BF25*$E25</f>
        <v>0</v>
      </c>
      <c r="BG25" s="162">
        <f>客房耗材出入库录入!BG25*$E25</f>
        <v>12.6</v>
      </c>
      <c r="BH25" s="162">
        <f>客房耗材出入库录入!BH25*$E25</f>
        <v>0</v>
      </c>
      <c r="BI25" s="162">
        <f>客房耗材出入库录入!BI25*$E25</f>
        <v>11.52</v>
      </c>
      <c r="BJ25" s="162">
        <f>客房耗材出入库录入!BJ25*$E25</f>
        <v>0</v>
      </c>
      <c r="BK25" s="162">
        <f>客房耗材出入库录入!BK25*$E25</f>
        <v>12.96</v>
      </c>
      <c r="BL25" s="162">
        <f>客房耗材出入库录入!BL25*$E25</f>
        <v>0</v>
      </c>
      <c r="BM25" s="162">
        <f>客房耗材出入库录入!BM25*$E25</f>
        <v>11.52</v>
      </c>
      <c r="BN25" s="162">
        <f>客房耗材出入库录入!BN25*$E25</f>
        <v>0</v>
      </c>
      <c r="BO25" s="162">
        <f>客房耗材出入库录入!BO25*$E25</f>
        <v>10.44</v>
      </c>
      <c r="BP25" s="162">
        <f>客房耗材出入库录入!BP25*$E25</f>
        <v>0</v>
      </c>
      <c r="BQ25" s="162">
        <f>客房耗材出入库录入!BQ25*$E25</f>
        <v>11.16</v>
      </c>
      <c r="BR25" s="162">
        <f>客房耗材出入库录入!BR25*$E25</f>
        <v>0</v>
      </c>
      <c r="BS25" s="162">
        <f>客房耗材出入库录入!BS25*$E25</f>
        <v>12.96</v>
      </c>
      <c r="BT25" s="162">
        <f>客房耗材出入库录入!BT25*$E25</f>
        <v>0</v>
      </c>
      <c r="BU25" s="162">
        <f>客房耗材出入库录入!BU25*$E25</f>
        <v>12.24</v>
      </c>
      <c r="BV25" s="162">
        <f>客房耗材出入库录入!BV25*$E25</f>
        <v>0</v>
      </c>
      <c r="BW25" s="162">
        <f>客房耗材出入库录入!BW25*$E25</f>
        <v>11.52</v>
      </c>
    </row>
    <row r="26" s="140" customFormat="1" customHeight="1" spans="1:75">
      <c r="A26" s="161">
        <v>1</v>
      </c>
      <c r="B26" s="162" t="str">
        <f>客房耗材出入库录入!B26</f>
        <v>小白垃圾袋</v>
      </c>
      <c r="C26" s="162">
        <f>客房耗材出入库录入!C26</f>
        <v>0</v>
      </c>
      <c r="D26" s="162" t="str">
        <f>客房耗材出入库录入!D26</f>
        <v>个</v>
      </c>
      <c r="E26" s="162">
        <f>客房耗材出入库录入!E26</f>
        <v>0.027</v>
      </c>
      <c r="F26" s="162">
        <f>客房耗材出入库录入!F26</f>
        <v>15272</v>
      </c>
      <c r="G26" s="162">
        <f>客房耗材出入库录入!G26</f>
        <v>412.344</v>
      </c>
      <c r="H26" s="162">
        <f>客房耗材出入库录入!H26</f>
        <v>0</v>
      </c>
      <c r="I26" s="162">
        <f>客房耗材出入库录入!I26</f>
        <v>0</v>
      </c>
      <c r="J26" s="162">
        <f>客房耗材出入库录入!J26</f>
        <v>6862</v>
      </c>
      <c r="K26" s="162">
        <f>客房耗材出入库录入!K26</f>
        <v>185.274</v>
      </c>
      <c r="L26" s="162">
        <f>客房耗材出入库录入!L26</f>
        <v>8410</v>
      </c>
      <c r="M26" s="162">
        <f>客房耗材出入库录入!M26</f>
        <v>227.07</v>
      </c>
      <c r="N26" s="162">
        <f>客房耗材出入库录入!N26</f>
        <v>0</v>
      </c>
      <c r="O26" s="162">
        <f>客房耗材出入库录入!O26*$E26</f>
        <v>5.508</v>
      </c>
      <c r="P26" s="162">
        <f>客房耗材出入库录入!P26*$E26</f>
        <v>0</v>
      </c>
      <c r="Q26" s="162">
        <f>客房耗材出入库录入!Q26*$E26</f>
        <v>5.697</v>
      </c>
      <c r="R26" s="162">
        <f>客房耗材出入库录入!R26*$E26</f>
        <v>0</v>
      </c>
      <c r="S26" s="162">
        <f>客房耗材出入库录入!S26*$E26</f>
        <v>5.994</v>
      </c>
      <c r="T26" s="162">
        <f>客房耗材出入库录入!T26*$E26</f>
        <v>0</v>
      </c>
      <c r="U26" s="162">
        <f>客房耗材出入库录入!U26*$E26</f>
        <v>5.859</v>
      </c>
      <c r="V26" s="162">
        <f>客房耗材出入库录入!V26*$E26</f>
        <v>0</v>
      </c>
      <c r="W26" s="162">
        <f>客房耗材出入库录入!W26*$E26</f>
        <v>5.67</v>
      </c>
      <c r="X26" s="162">
        <f>客房耗材出入库录入!X26*$E26</f>
        <v>0</v>
      </c>
      <c r="Y26" s="162">
        <f>客房耗材出入库录入!Y26*$E26</f>
        <v>5.346</v>
      </c>
      <c r="Z26" s="162">
        <f>客房耗材出入库录入!Z26*$E26</f>
        <v>0</v>
      </c>
      <c r="AA26" s="162">
        <f>客房耗材出入库录入!AA26*$E26</f>
        <v>5.751</v>
      </c>
      <c r="AB26" s="162">
        <f>客房耗材出入库录入!AB26*$E26</f>
        <v>0</v>
      </c>
      <c r="AC26" s="162">
        <f>客房耗材出入库录入!AC26*$E26</f>
        <v>5.778</v>
      </c>
      <c r="AD26" s="162">
        <f>客房耗材出入库录入!AD26*$E26</f>
        <v>0</v>
      </c>
      <c r="AE26" s="162">
        <f>客房耗材出入库录入!AE26*$E26</f>
        <v>5.886</v>
      </c>
      <c r="AF26" s="162">
        <f>客房耗材出入库录入!AF26*$E26</f>
        <v>0</v>
      </c>
      <c r="AG26" s="162">
        <f>客房耗材出入库录入!AG26*$E26</f>
        <v>5.805</v>
      </c>
      <c r="AH26" s="162">
        <f>客房耗材出入库录入!AH26*$E26</f>
        <v>0</v>
      </c>
      <c r="AI26" s="162">
        <f>客房耗材出入库录入!AI26*$E26</f>
        <v>5.751</v>
      </c>
      <c r="AJ26" s="162">
        <f>客房耗材出入库录入!AJ26*$E26</f>
        <v>0</v>
      </c>
      <c r="AK26" s="162">
        <f>客房耗材出入库录入!AK26*$E26</f>
        <v>6.048</v>
      </c>
      <c r="AL26" s="162">
        <f>客房耗材出入库录入!AL26*$E26</f>
        <v>0</v>
      </c>
      <c r="AM26" s="162">
        <f>客房耗材出入库录入!AM26*$E26</f>
        <v>6.372</v>
      </c>
      <c r="AN26" s="162">
        <f>客房耗材出入库录入!AN26*$E26</f>
        <v>0</v>
      </c>
      <c r="AO26" s="162">
        <f>客房耗材出入库录入!AO26*$E26</f>
        <v>5.373</v>
      </c>
      <c r="AP26" s="162">
        <f>客房耗材出入库录入!AP26*$E26</f>
        <v>0</v>
      </c>
      <c r="AQ26" s="162">
        <f>客房耗材出入库录入!AQ26*$E26</f>
        <v>5.859</v>
      </c>
      <c r="AR26" s="162">
        <f>客房耗材出入库录入!AR26*$E26</f>
        <v>0</v>
      </c>
      <c r="AS26" s="162">
        <f>客房耗材出入库录入!AS26*$E26</f>
        <v>6.021</v>
      </c>
      <c r="AT26" s="162">
        <f>客房耗材出入库录入!AT26*$E26</f>
        <v>0</v>
      </c>
      <c r="AU26" s="162">
        <f>客房耗材出入库录入!AU26*$E26</f>
        <v>5.616</v>
      </c>
      <c r="AV26" s="162">
        <f>客房耗材出入库录入!AV26*$E26</f>
        <v>0</v>
      </c>
      <c r="AW26" s="162">
        <f>客房耗材出入库录入!AW26*$E26</f>
        <v>5.967</v>
      </c>
      <c r="AX26" s="162">
        <f>客房耗材出入库录入!AX26*$E26</f>
        <v>0</v>
      </c>
      <c r="AY26" s="162">
        <f>客房耗材出入库录入!AY26*$E26</f>
        <v>6.129</v>
      </c>
      <c r="AZ26" s="162">
        <f>客房耗材出入库录入!AZ26*$E26</f>
        <v>0</v>
      </c>
      <c r="BA26" s="162">
        <f>客房耗材出入库录入!BA26*$E26</f>
        <v>6.237</v>
      </c>
      <c r="BB26" s="162">
        <f>客房耗材出入库录入!BB26*$E26</f>
        <v>0</v>
      </c>
      <c r="BC26" s="162">
        <f>客房耗材出入库录入!BC26*$E26</f>
        <v>6.372</v>
      </c>
      <c r="BD26" s="162">
        <f>客房耗材出入库录入!BD26*$E26</f>
        <v>0</v>
      </c>
      <c r="BE26" s="162">
        <f>客房耗材出入库录入!BE26*$E26</f>
        <v>6.156</v>
      </c>
      <c r="BF26" s="162">
        <f>客房耗材出入库录入!BF26*$E26</f>
        <v>0</v>
      </c>
      <c r="BG26" s="162">
        <f>客房耗材出入库录入!BG26*$E26</f>
        <v>6.237</v>
      </c>
      <c r="BH26" s="162">
        <f>客房耗材出入库录入!BH26*$E26</f>
        <v>0</v>
      </c>
      <c r="BI26" s="162">
        <f>客房耗材出入库录入!BI26*$E26</f>
        <v>5.967</v>
      </c>
      <c r="BJ26" s="162">
        <f>客房耗材出入库录入!BJ26*$E26</f>
        <v>0</v>
      </c>
      <c r="BK26" s="162">
        <f>客房耗材出入库录入!BK26*$E26</f>
        <v>6.318</v>
      </c>
      <c r="BL26" s="162">
        <f>客房耗材出入库录入!BL26*$E26</f>
        <v>0</v>
      </c>
      <c r="BM26" s="162">
        <f>客房耗材出入库录入!BM26*$E26</f>
        <v>6.129</v>
      </c>
      <c r="BN26" s="162">
        <f>客房耗材出入库录入!BN26*$E26</f>
        <v>0</v>
      </c>
      <c r="BO26" s="162">
        <f>客房耗材出入库录入!BO26*$E26</f>
        <v>6.048</v>
      </c>
      <c r="BP26" s="162">
        <f>客房耗材出入库录入!BP26*$E26</f>
        <v>0</v>
      </c>
      <c r="BQ26" s="162">
        <f>客房耗材出入库录入!BQ26*$E26</f>
        <v>6.156</v>
      </c>
      <c r="BR26" s="162">
        <f>客房耗材出入库录入!BR26*$E26</f>
        <v>0</v>
      </c>
      <c r="BS26" s="162">
        <f>客房耗材出入库录入!BS26*$E26</f>
        <v>6.318</v>
      </c>
      <c r="BT26" s="162">
        <f>客房耗材出入库录入!BT26*$E26</f>
        <v>0</v>
      </c>
      <c r="BU26" s="162">
        <f>客房耗材出入库录入!BU26*$E26</f>
        <v>6.426</v>
      </c>
      <c r="BV26" s="162">
        <f>客房耗材出入库录入!BV26*$E26</f>
        <v>0</v>
      </c>
      <c r="BW26" s="162">
        <f>客房耗材出入库录入!BW26*$E26</f>
        <v>6.48</v>
      </c>
    </row>
    <row r="27" s="140" customFormat="1" customHeight="1" spans="1:75">
      <c r="A27" s="161">
        <v>1</v>
      </c>
      <c r="B27" s="162" t="str">
        <f>客房耗材出入库录入!B27</f>
        <v>茶颜悦色绿茶</v>
      </c>
      <c r="C27" s="162">
        <f>客房耗材出入库录入!C27</f>
        <v>0</v>
      </c>
      <c r="D27" s="162" t="str">
        <f>客房耗材出入库录入!D27</f>
        <v>包</v>
      </c>
      <c r="E27" s="162">
        <f>客房耗材出入库录入!E27</f>
        <v>0.43</v>
      </c>
      <c r="F27" s="162">
        <f>客房耗材出入库录入!F27</f>
        <v>780</v>
      </c>
      <c r="G27" s="162">
        <f>客房耗材出入库录入!G27</f>
        <v>335.4</v>
      </c>
      <c r="H27" s="162">
        <f>客房耗材出入库录入!H27</f>
        <v>0</v>
      </c>
      <c r="I27" s="162">
        <f>客房耗材出入库录入!I27</f>
        <v>0</v>
      </c>
      <c r="J27" s="162">
        <f>客房耗材出入库录入!J27</f>
        <v>599</v>
      </c>
      <c r="K27" s="162">
        <f>客房耗材出入库录入!K27</f>
        <v>257.57</v>
      </c>
      <c r="L27" s="162">
        <f>客房耗材出入库录入!L27</f>
        <v>181</v>
      </c>
      <c r="M27" s="162">
        <f>客房耗材出入库录入!M27</f>
        <v>77.83</v>
      </c>
      <c r="N27" s="162">
        <f>客房耗材出入库录入!N27</f>
        <v>0</v>
      </c>
      <c r="O27" s="162">
        <f>客房耗材出入库录入!O27*$E27</f>
        <v>7.74</v>
      </c>
      <c r="P27" s="162">
        <f>客房耗材出入库录入!P27*$E27</f>
        <v>0</v>
      </c>
      <c r="Q27" s="162">
        <f>客房耗材出入库录入!Q27*$E27</f>
        <v>8.17</v>
      </c>
      <c r="R27" s="162">
        <f>客房耗材出入库录入!R27*$E27</f>
        <v>0</v>
      </c>
      <c r="S27" s="162">
        <f>客房耗材出入库录入!S27*$E27</f>
        <v>8.17</v>
      </c>
      <c r="T27" s="162">
        <f>客房耗材出入库录入!T27*$E27</f>
        <v>0</v>
      </c>
      <c r="U27" s="162">
        <f>客房耗材出入库录入!U27*$E27</f>
        <v>9.89</v>
      </c>
      <c r="V27" s="162">
        <f>客房耗材出入库录入!V27*$E27</f>
        <v>0</v>
      </c>
      <c r="W27" s="162">
        <f>客房耗材出入库录入!W27*$E27</f>
        <v>10.32</v>
      </c>
      <c r="X27" s="162">
        <f>客房耗材出入库录入!X27*$E27</f>
        <v>0</v>
      </c>
      <c r="Y27" s="162">
        <f>客房耗材出入库录入!Y27*$E27</f>
        <v>8.6</v>
      </c>
      <c r="Z27" s="162">
        <f>客房耗材出入库录入!Z27*$E27</f>
        <v>0</v>
      </c>
      <c r="AA27" s="162">
        <f>客房耗材出入库录入!AA27*$E27</f>
        <v>8.17</v>
      </c>
      <c r="AB27" s="162">
        <f>客房耗材出入库录入!AB27*$E27</f>
        <v>0</v>
      </c>
      <c r="AC27" s="162">
        <f>客房耗材出入库录入!AC27*$E27</f>
        <v>6.88</v>
      </c>
      <c r="AD27" s="162">
        <f>客房耗材出入库录入!AD27*$E27</f>
        <v>0</v>
      </c>
      <c r="AE27" s="162">
        <f>客房耗材出入库录入!AE27*$E27</f>
        <v>10.32</v>
      </c>
      <c r="AF27" s="162">
        <f>客房耗材出入库录入!AF27*$E27</f>
        <v>0</v>
      </c>
      <c r="AG27" s="162">
        <f>客房耗材出入库录入!AG27*$E27</f>
        <v>7.74</v>
      </c>
      <c r="AH27" s="162">
        <f>客房耗材出入库录入!AH27*$E27</f>
        <v>0</v>
      </c>
      <c r="AI27" s="162">
        <f>客房耗材出入库录入!AI27*$E27</f>
        <v>9.89</v>
      </c>
      <c r="AJ27" s="162">
        <f>客房耗材出入库录入!AJ27*$E27</f>
        <v>0</v>
      </c>
      <c r="AK27" s="162">
        <f>客房耗材出入库录入!AK27*$E27</f>
        <v>9.03</v>
      </c>
      <c r="AL27" s="162">
        <f>客房耗材出入库录入!AL27*$E27</f>
        <v>0</v>
      </c>
      <c r="AM27" s="162">
        <f>客房耗材出入库录入!AM27*$E27</f>
        <v>11.18</v>
      </c>
      <c r="AN27" s="162">
        <f>客房耗材出入库录入!AN27*$E27</f>
        <v>0</v>
      </c>
      <c r="AO27" s="162">
        <f>客房耗材出入库录入!AO27*$E27</f>
        <v>6.45</v>
      </c>
      <c r="AP27" s="162">
        <f>客房耗材出入库录入!AP27*$E27</f>
        <v>0</v>
      </c>
      <c r="AQ27" s="162">
        <f>客房耗材出入库录入!AQ27*$E27</f>
        <v>7.74</v>
      </c>
      <c r="AR27" s="162">
        <f>客房耗材出入库录入!AR27*$E27</f>
        <v>0</v>
      </c>
      <c r="AS27" s="162">
        <f>客房耗材出入库录入!AS27*$E27</f>
        <v>9.03</v>
      </c>
      <c r="AT27" s="162">
        <f>客房耗材出入库录入!AT27*$E27</f>
        <v>0</v>
      </c>
      <c r="AU27" s="162">
        <f>客房耗材出入库录入!AU27*$E27</f>
        <v>6.88</v>
      </c>
      <c r="AV27" s="162">
        <f>客房耗材出入库录入!AV27*$E27</f>
        <v>0</v>
      </c>
      <c r="AW27" s="162">
        <f>客房耗材出入库录入!AW27*$E27</f>
        <v>9.46</v>
      </c>
      <c r="AX27" s="162">
        <f>客房耗材出入库录入!AX27*$E27</f>
        <v>0</v>
      </c>
      <c r="AY27" s="162">
        <f>客房耗材出入库录入!AY27*$E27</f>
        <v>9.89</v>
      </c>
      <c r="AZ27" s="162">
        <f>客房耗材出入库录入!AZ27*$E27</f>
        <v>0</v>
      </c>
      <c r="BA27" s="162">
        <f>客房耗材出入库录入!BA27*$E27</f>
        <v>10.32</v>
      </c>
      <c r="BB27" s="162">
        <f>客房耗材出入库录入!BB27*$E27</f>
        <v>0</v>
      </c>
      <c r="BC27" s="162">
        <f>客房耗材出入库录入!BC27*$E27</f>
        <v>8.17</v>
      </c>
      <c r="BD27" s="162">
        <f>客房耗材出入库录入!BD27*$E27</f>
        <v>0</v>
      </c>
      <c r="BE27" s="162">
        <f>客房耗材出入库录入!BE27*$E27</f>
        <v>6.88</v>
      </c>
      <c r="BF27" s="162">
        <f>客房耗材出入库录入!BF27*$E27</f>
        <v>0</v>
      </c>
      <c r="BG27" s="162">
        <f>客房耗材出入库录入!BG27*$E27</f>
        <v>6.02</v>
      </c>
      <c r="BH27" s="162">
        <f>客房耗材出入库录入!BH27*$E27</f>
        <v>0</v>
      </c>
      <c r="BI27" s="162">
        <f>客房耗材出入库录入!BI27*$E27</f>
        <v>7.31</v>
      </c>
      <c r="BJ27" s="162">
        <f>客房耗材出入库录入!BJ27*$E27</f>
        <v>0</v>
      </c>
      <c r="BK27" s="162">
        <f>客房耗材出入库录入!BK27*$E27</f>
        <v>7.74</v>
      </c>
      <c r="BL27" s="162">
        <f>客房耗材出入库录入!BL27*$E27</f>
        <v>0</v>
      </c>
      <c r="BM27" s="162">
        <f>客房耗材出入库录入!BM27*$E27</f>
        <v>6.45</v>
      </c>
      <c r="BN27" s="162">
        <f>客房耗材出入库录入!BN27*$E27</f>
        <v>0</v>
      </c>
      <c r="BO27" s="162">
        <f>客房耗材出入库录入!BO27*$E27</f>
        <v>7.74</v>
      </c>
      <c r="BP27" s="162">
        <f>客房耗材出入库录入!BP27*$E27</f>
        <v>0</v>
      </c>
      <c r="BQ27" s="162">
        <f>客房耗材出入库录入!BQ27*$E27</f>
        <v>6.88</v>
      </c>
      <c r="BR27" s="162">
        <f>客房耗材出入库录入!BR27*$E27</f>
        <v>0</v>
      </c>
      <c r="BS27" s="162">
        <f>客房耗材出入库录入!BS27*$E27</f>
        <v>8.17</v>
      </c>
      <c r="BT27" s="162">
        <f>客房耗材出入库录入!BT27*$E27</f>
        <v>0</v>
      </c>
      <c r="BU27" s="162">
        <f>客房耗材出入库录入!BU27*$E27</f>
        <v>8.6</v>
      </c>
      <c r="BV27" s="162">
        <f>客房耗材出入库录入!BV27*$E27</f>
        <v>0</v>
      </c>
      <c r="BW27" s="162">
        <f>客房耗材出入库录入!BW27*$E27</f>
        <v>7.74</v>
      </c>
    </row>
    <row r="28" s="140" customFormat="1" customHeight="1" spans="1:75">
      <c r="A28" s="161">
        <v>1</v>
      </c>
      <c r="B28" s="162" t="str">
        <f>客房耗材出入库录入!B28</f>
        <v>茶颜悦色红茶</v>
      </c>
      <c r="C28" s="162">
        <f>客房耗材出入库录入!C28</f>
        <v>0</v>
      </c>
      <c r="D28" s="162" t="str">
        <f>客房耗材出入库录入!D28</f>
        <v>包</v>
      </c>
      <c r="E28" s="162">
        <f>客房耗材出入库录入!E28</f>
        <v>0.43</v>
      </c>
      <c r="F28" s="162">
        <f>客房耗材出入库录入!F28</f>
        <v>785</v>
      </c>
      <c r="G28" s="162">
        <f>客房耗材出入库录入!G28</f>
        <v>337.55</v>
      </c>
      <c r="H28" s="162">
        <f>客房耗材出入库录入!H28</f>
        <v>0</v>
      </c>
      <c r="I28" s="162">
        <f>客房耗材出入库录入!I28</f>
        <v>0</v>
      </c>
      <c r="J28" s="162">
        <f>客房耗材出入库录入!J28</f>
        <v>581</v>
      </c>
      <c r="K28" s="162">
        <f>客房耗材出入库录入!K28</f>
        <v>249.83</v>
      </c>
      <c r="L28" s="162">
        <f>客房耗材出入库录入!L28</f>
        <v>204</v>
      </c>
      <c r="M28" s="162">
        <f>客房耗材出入库录入!M28</f>
        <v>87.72</v>
      </c>
      <c r="N28" s="162">
        <f>客房耗材出入库录入!N28</f>
        <v>0</v>
      </c>
      <c r="O28" s="162">
        <f>客房耗材出入库录入!O28*$E28</f>
        <v>7.74</v>
      </c>
      <c r="P28" s="162">
        <f>客房耗材出入库录入!P28*$E28</f>
        <v>0</v>
      </c>
      <c r="Q28" s="162">
        <f>客房耗材出入库录入!Q28*$E28</f>
        <v>7.31</v>
      </c>
      <c r="R28" s="162">
        <f>客房耗材出入库录入!R28*$E28</f>
        <v>0</v>
      </c>
      <c r="S28" s="162">
        <f>客房耗材出入库录入!S28*$E28</f>
        <v>7.31</v>
      </c>
      <c r="T28" s="162">
        <f>客房耗材出入库录入!T28*$E28</f>
        <v>0</v>
      </c>
      <c r="U28" s="162">
        <f>客房耗材出入库录入!U28*$E28</f>
        <v>8.6</v>
      </c>
      <c r="V28" s="162">
        <f>客房耗材出入库录入!V28*$E28</f>
        <v>0</v>
      </c>
      <c r="W28" s="162">
        <f>客房耗材出入库录入!W28*$E28</f>
        <v>10.75</v>
      </c>
      <c r="X28" s="162">
        <f>客房耗材出入库录入!X28*$E28</f>
        <v>0</v>
      </c>
      <c r="Y28" s="162">
        <f>客房耗材出入库录入!Y28*$E28</f>
        <v>9.03</v>
      </c>
      <c r="Z28" s="162">
        <f>客房耗材出入库录入!Z28*$E28</f>
        <v>0</v>
      </c>
      <c r="AA28" s="162">
        <f>客房耗材出入库录入!AA28*$E28</f>
        <v>7.74</v>
      </c>
      <c r="AB28" s="162">
        <f>客房耗材出入库录入!AB28*$E28</f>
        <v>0</v>
      </c>
      <c r="AC28" s="162">
        <f>客房耗材出入库录入!AC28*$E28</f>
        <v>7.31</v>
      </c>
      <c r="AD28" s="162">
        <f>客房耗材出入库录入!AD28*$E28</f>
        <v>0</v>
      </c>
      <c r="AE28" s="162">
        <f>客房耗材出入库录入!AE28*$E28</f>
        <v>10.75</v>
      </c>
      <c r="AF28" s="162">
        <f>客房耗材出入库录入!AF28*$E28</f>
        <v>0</v>
      </c>
      <c r="AG28" s="162">
        <f>客房耗材出入库录入!AG28*$E28</f>
        <v>8.17</v>
      </c>
      <c r="AH28" s="162">
        <f>客房耗材出入库录入!AH28*$E28</f>
        <v>0</v>
      </c>
      <c r="AI28" s="162">
        <f>客房耗材出入库录入!AI28*$E28</f>
        <v>10.32</v>
      </c>
      <c r="AJ28" s="162">
        <f>客房耗材出入库录入!AJ28*$E28</f>
        <v>0</v>
      </c>
      <c r="AK28" s="162">
        <f>客房耗材出入库录入!AK28*$E28</f>
        <v>9.89</v>
      </c>
      <c r="AL28" s="162">
        <f>客房耗材出入库录入!AL28*$E28</f>
        <v>0</v>
      </c>
      <c r="AM28" s="162">
        <f>客房耗材出入库录入!AM28*$E28</f>
        <v>10.32</v>
      </c>
      <c r="AN28" s="162">
        <f>客房耗材出入库录入!AN28*$E28</f>
        <v>0</v>
      </c>
      <c r="AO28" s="162">
        <f>客房耗材出入库录入!AO28*$E28</f>
        <v>6.45</v>
      </c>
      <c r="AP28" s="162">
        <f>客房耗材出入库录入!AP28*$E28</f>
        <v>0</v>
      </c>
      <c r="AQ28" s="162">
        <f>客房耗材出入库录入!AQ28*$E28</f>
        <v>8.6</v>
      </c>
      <c r="AR28" s="162">
        <f>客房耗材出入库录入!AR28*$E28</f>
        <v>0</v>
      </c>
      <c r="AS28" s="162">
        <f>客房耗材出入库录入!AS28*$E28</f>
        <v>7.74</v>
      </c>
      <c r="AT28" s="162">
        <f>客房耗材出入库录入!AT28*$E28</f>
        <v>0</v>
      </c>
      <c r="AU28" s="162">
        <f>客房耗材出入库录入!AU28*$E28</f>
        <v>6.88</v>
      </c>
      <c r="AV28" s="162">
        <f>客房耗材出入库录入!AV28*$E28</f>
        <v>0</v>
      </c>
      <c r="AW28" s="162">
        <f>客房耗材出入库录入!AW28*$E28</f>
        <v>8.6</v>
      </c>
      <c r="AX28" s="162">
        <f>客房耗材出入库录入!AX28*$E28</f>
        <v>0</v>
      </c>
      <c r="AY28" s="162">
        <f>客房耗材出入库录入!AY28*$E28</f>
        <v>8.17</v>
      </c>
      <c r="AZ28" s="162">
        <f>客房耗材出入库录入!AZ28*$E28</f>
        <v>0</v>
      </c>
      <c r="BA28" s="162">
        <f>客房耗材出入库录入!BA28*$E28</f>
        <v>9.46</v>
      </c>
      <c r="BB28" s="162">
        <f>客房耗材出入库录入!BB28*$E28</f>
        <v>0</v>
      </c>
      <c r="BC28" s="162">
        <f>客房耗材出入库录入!BC28*$E28</f>
        <v>7.74</v>
      </c>
      <c r="BD28" s="162">
        <f>客房耗材出入库录入!BD28*$E28</f>
        <v>0</v>
      </c>
      <c r="BE28" s="162">
        <f>客房耗材出入库录入!BE28*$E28</f>
        <v>6.02</v>
      </c>
      <c r="BF28" s="162">
        <f>客房耗材出入库录入!BF28*$E28</f>
        <v>0</v>
      </c>
      <c r="BG28" s="162">
        <f>客房耗材出入库录入!BG28*$E28</f>
        <v>6.88</v>
      </c>
      <c r="BH28" s="162">
        <f>客房耗材出入库录入!BH28*$E28</f>
        <v>0</v>
      </c>
      <c r="BI28" s="162">
        <f>客房耗材出入库录入!BI28*$E28</f>
        <v>6.88</v>
      </c>
      <c r="BJ28" s="162">
        <f>客房耗材出入库录入!BJ28*$E28</f>
        <v>0</v>
      </c>
      <c r="BK28" s="162">
        <f>客房耗材出入库录入!BK28*$E28</f>
        <v>5.59</v>
      </c>
      <c r="BL28" s="162">
        <f>客房耗材出入库录入!BL28*$E28</f>
        <v>0</v>
      </c>
      <c r="BM28" s="162">
        <f>客房耗材出入库录入!BM28*$E28</f>
        <v>6.88</v>
      </c>
      <c r="BN28" s="162">
        <f>客房耗材出入库录入!BN28*$E28</f>
        <v>0</v>
      </c>
      <c r="BO28" s="162">
        <f>客房耗材出入库录入!BO28*$E28</f>
        <v>7.31</v>
      </c>
      <c r="BP28" s="162">
        <f>客房耗材出入库录入!BP28*$E28</f>
        <v>0</v>
      </c>
      <c r="BQ28" s="162">
        <f>客房耗材出入库录入!BQ28*$E28</f>
        <v>6.45</v>
      </c>
      <c r="BR28" s="162">
        <f>客房耗材出入库录入!BR28*$E28</f>
        <v>0</v>
      </c>
      <c r="BS28" s="162">
        <f>客房耗材出入库录入!BS28*$E28</f>
        <v>7.31</v>
      </c>
      <c r="BT28" s="162">
        <f>客房耗材出入库录入!BT28*$E28</f>
        <v>0</v>
      </c>
      <c r="BU28" s="162">
        <f>客房耗材出入库录入!BU28*$E28</f>
        <v>9.03</v>
      </c>
      <c r="BV28" s="162">
        <f>客房耗材出入库录入!BV28*$E28</f>
        <v>0</v>
      </c>
      <c r="BW28" s="162">
        <f>客房耗材出入库录入!BW28*$E28</f>
        <v>8.6</v>
      </c>
    </row>
    <row r="29" s="140" customFormat="1" customHeight="1" spans="1:75">
      <c r="A29" s="161">
        <v>1</v>
      </c>
      <c r="B29" s="162" t="str">
        <f>客房耗材出入库录入!B29</f>
        <v>饮料可乐雪碧</v>
      </c>
      <c r="C29" s="162">
        <f>客房耗材出入库录入!C29</f>
        <v>0</v>
      </c>
      <c r="D29" s="162" t="str">
        <f>客房耗材出入库录入!D29</f>
        <v>瓶</v>
      </c>
      <c r="E29" s="162">
        <f>客房耗材出入库录入!E29</f>
        <v>1.125</v>
      </c>
      <c r="F29" s="162">
        <f>客房耗材出入库录入!F29</f>
        <v>3184</v>
      </c>
      <c r="G29" s="162">
        <f>客房耗材出入库录入!G29</f>
        <v>3582</v>
      </c>
      <c r="H29" s="162">
        <f>客房耗材出入库录入!H29</f>
        <v>0</v>
      </c>
      <c r="I29" s="162">
        <f>客房耗材出入库录入!I29</f>
        <v>0</v>
      </c>
      <c r="J29" s="162">
        <f>客房耗材出入库录入!J29</f>
        <v>2739</v>
      </c>
      <c r="K29" s="162">
        <f>客房耗材出入库录入!K29</f>
        <v>3081.375</v>
      </c>
      <c r="L29" s="162">
        <f>客房耗材出入库录入!L29</f>
        <v>445</v>
      </c>
      <c r="M29" s="162">
        <f>客房耗材出入库录入!M29</f>
        <v>500.625</v>
      </c>
      <c r="N29" s="162">
        <f>客房耗材出入库录入!N29</f>
        <v>0</v>
      </c>
      <c r="O29" s="162">
        <f>客房耗材出入库录入!O29*$E29</f>
        <v>96.75</v>
      </c>
      <c r="P29" s="162">
        <f>客房耗材出入库录入!P29*$E29</f>
        <v>0</v>
      </c>
      <c r="Q29" s="162">
        <f>客房耗材出入库录入!Q29*$E29</f>
        <v>96.75</v>
      </c>
      <c r="R29" s="162">
        <f>客房耗材出入库录入!R29*$E29</f>
        <v>0</v>
      </c>
      <c r="S29" s="162">
        <f>客房耗材出入库录入!S29*$E29</f>
        <v>102.375</v>
      </c>
      <c r="T29" s="162">
        <f>客房耗材出入库录入!T29*$E29</f>
        <v>0</v>
      </c>
      <c r="U29" s="162">
        <f>客房耗材出入库录入!U29*$E29</f>
        <v>81</v>
      </c>
      <c r="V29" s="162">
        <f>客房耗材出入库录入!V29*$E29</f>
        <v>0</v>
      </c>
      <c r="W29" s="162">
        <f>客房耗材出入库录入!W29*$E29</f>
        <v>95.625</v>
      </c>
      <c r="X29" s="162">
        <f>客房耗材出入库录入!X29*$E29</f>
        <v>0</v>
      </c>
      <c r="Y29" s="162">
        <f>客房耗材出入库录入!Y29*$E29</f>
        <v>99</v>
      </c>
      <c r="Z29" s="162">
        <f>客房耗材出入库录入!Z29*$E29</f>
        <v>0</v>
      </c>
      <c r="AA29" s="162">
        <f>客房耗材出入库录入!AA29*$E29</f>
        <v>99</v>
      </c>
      <c r="AB29" s="162">
        <f>客房耗材出入库录入!AB29*$E29</f>
        <v>0</v>
      </c>
      <c r="AC29" s="162">
        <f>客房耗材出入库录入!AC29*$E29</f>
        <v>86.625</v>
      </c>
      <c r="AD29" s="162">
        <f>客房耗材出入库录入!AD29*$E29</f>
        <v>0</v>
      </c>
      <c r="AE29" s="162">
        <f>客房耗材出入库录入!AE29*$E29</f>
        <v>84.375</v>
      </c>
      <c r="AF29" s="162">
        <f>客房耗材出入库录入!AF29*$E29</f>
        <v>0</v>
      </c>
      <c r="AG29" s="162">
        <f>客房耗材出入库录入!AG29*$E29</f>
        <v>101.25</v>
      </c>
      <c r="AH29" s="162">
        <f>客房耗材出入库录入!AH29*$E29</f>
        <v>0</v>
      </c>
      <c r="AI29" s="162">
        <f>客房耗材出入库录入!AI29*$E29</f>
        <v>103.5</v>
      </c>
      <c r="AJ29" s="162">
        <f>客房耗材出入库录入!AJ29*$E29</f>
        <v>0</v>
      </c>
      <c r="AK29" s="162">
        <f>客房耗材出入库录入!AK29*$E29</f>
        <v>93.375</v>
      </c>
      <c r="AL29" s="162">
        <f>客房耗材出入库录入!AL29*$E29</f>
        <v>0</v>
      </c>
      <c r="AM29" s="162">
        <f>客房耗材出入库录入!AM29*$E29</f>
        <v>108</v>
      </c>
      <c r="AN29" s="162">
        <f>客房耗材出入库录入!AN29*$E29</f>
        <v>0</v>
      </c>
      <c r="AO29" s="162">
        <f>客房耗材出入库录入!AO29*$E29</f>
        <v>83.25</v>
      </c>
      <c r="AP29" s="162">
        <f>客房耗材出入库录入!AP29*$E29</f>
        <v>0</v>
      </c>
      <c r="AQ29" s="162">
        <f>客房耗材出入库录入!AQ29*$E29</f>
        <v>96.75</v>
      </c>
      <c r="AR29" s="162">
        <f>客房耗材出入库录入!AR29*$E29</f>
        <v>0</v>
      </c>
      <c r="AS29" s="162">
        <f>客房耗材出入库录入!AS29*$E29</f>
        <v>99</v>
      </c>
      <c r="AT29" s="162">
        <f>客房耗材出入库录入!AT29*$E29</f>
        <v>0</v>
      </c>
      <c r="AU29" s="162">
        <f>客房耗材出入库录入!AU29*$E29</f>
        <v>93.375</v>
      </c>
      <c r="AV29" s="162">
        <f>客房耗材出入库录入!AV29*$E29</f>
        <v>0</v>
      </c>
      <c r="AW29" s="162">
        <f>客房耗材出入库录入!AW29*$E29</f>
        <v>103.5</v>
      </c>
      <c r="AX29" s="162">
        <f>客房耗材出入库录入!AX29*$E29</f>
        <v>0</v>
      </c>
      <c r="AY29" s="162">
        <f>客房耗材出入库录入!AY29*$E29</f>
        <v>99</v>
      </c>
      <c r="AZ29" s="162">
        <f>客房耗材出入库录入!AZ29*$E29</f>
        <v>0</v>
      </c>
      <c r="BA29" s="162">
        <f>客房耗材出入库录入!BA29*$E29</f>
        <v>102.375</v>
      </c>
      <c r="BB29" s="162">
        <f>客房耗材出入库录入!BB29*$E29</f>
        <v>0</v>
      </c>
      <c r="BC29" s="162">
        <f>客房耗材出入库录入!BC29*$E29</f>
        <v>104.625</v>
      </c>
      <c r="BD29" s="162">
        <f>客房耗材出入库录入!BD29*$E29</f>
        <v>0</v>
      </c>
      <c r="BE29" s="162">
        <f>客房耗材出入库录入!BE29*$E29</f>
        <v>95.625</v>
      </c>
      <c r="BF29" s="162">
        <f>客房耗材出入库录入!BF29*$E29</f>
        <v>0</v>
      </c>
      <c r="BG29" s="162">
        <f>客房耗材出入库录入!BG29*$E29</f>
        <v>101.25</v>
      </c>
      <c r="BH29" s="162">
        <f>客房耗材出入库录入!BH29*$E29</f>
        <v>0</v>
      </c>
      <c r="BI29" s="162">
        <f>客房耗材出入库录入!BI29*$E29</f>
        <v>103.5</v>
      </c>
      <c r="BJ29" s="162">
        <f>客房耗材出入库录入!BJ29*$E29</f>
        <v>0</v>
      </c>
      <c r="BK29" s="162">
        <f>客房耗材出入库录入!BK29*$E29</f>
        <v>105.75</v>
      </c>
      <c r="BL29" s="162">
        <f>客房耗材出入库录入!BL29*$E29</f>
        <v>0</v>
      </c>
      <c r="BM29" s="162">
        <f>客房耗材出入库录入!BM29*$E29</f>
        <v>101.25</v>
      </c>
      <c r="BN29" s="162">
        <f>客房耗材出入库录入!BN29*$E29</f>
        <v>0</v>
      </c>
      <c r="BO29" s="162">
        <f>客房耗材出入库录入!BO29*$E29</f>
        <v>103.5</v>
      </c>
      <c r="BP29" s="162">
        <f>客房耗材出入库录入!BP29*$E29</f>
        <v>0</v>
      </c>
      <c r="BQ29" s="162">
        <f>客房耗材出入库录入!BQ29*$E29</f>
        <v>101.25</v>
      </c>
      <c r="BR29" s="162">
        <f>客房耗材出入库录入!BR29*$E29</f>
        <v>0</v>
      </c>
      <c r="BS29" s="162">
        <f>客房耗材出入库录入!BS29*$E29</f>
        <v>108</v>
      </c>
      <c r="BT29" s="162">
        <f>客房耗材出入库录入!BT29*$E29</f>
        <v>0</v>
      </c>
      <c r="BU29" s="162">
        <f>客房耗材出入库录入!BU29*$E29</f>
        <v>114.75</v>
      </c>
      <c r="BV29" s="162">
        <f>客房耗材出入库录入!BV29*$E29</f>
        <v>0</v>
      </c>
      <c r="BW29" s="162">
        <f>客房耗材出入库录入!BW29*$E29</f>
        <v>117</v>
      </c>
    </row>
    <row r="30" s="140" customFormat="1" customHeight="1" spans="1:75">
      <c r="A30" s="161">
        <v>1</v>
      </c>
      <c r="B30" s="162" t="str">
        <f>客房耗材出入库录入!B30</f>
        <v>咖啡</v>
      </c>
      <c r="C30" s="162">
        <f>客房耗材出入库录入!C30</f>
        <v>0</v>
      </c>
      <c r="D30" s="162" t="str">
        <f>客房耗材出入库录入!D30</f>
        <v>袋</v>
      </c>
      <c r="E30" s="162">
        <f>客房耗材出入库录入!E30</f>
        <v>0.6</v>
      </c>
      <c r="F30" s="162">
        <f>客房耗材出入库录入!F30</f>
        <v>3494</v>
      </c>
      <c r="G30" s="162">
        <f>客房耗材出入库录入!G30</f>
        <v>2096.4</v>
      </c>
      <c r="H30" s="162">
        <f>客房耗材出入库录入!H30</f>
        <v>0</v>
      </c>
      <c r="I30" s="162">
        <f>客房耗材出入库录入!I30</f>
        <v>0</v>
      </c>
      <c r="J30" s="162">
        <f>客房耗材出入库录入!J30</f>
        <v>2545</v>
      </c>
      <c r="K30" s="162">
        <f>客房耗材出入库录入!K30</f>
        <v>1527</v>
      </c>
      <c r="L30" s="162">
        <f>客房耗材出入库录入!L30</f>
        <v>949</v>
      </c>
      <c r="M30" s="162">
        <f>客房耗材出入库录入!M30</f>
        <v>569.4</v>
      </c>
      <c r="N30" s="162">
        <f>客房耗材出入库录入!N30</f>
        <v>0</v>
      </c>
      <c r="O30" s="162">
        <f>客房耗材出入库录入!O30*$E30</f>
        <v>45</v>
      </c>
      <c r="P30" s="162">
        <f>客房耗材出入库录入!P30*$E30</f>
        <v>0</v>
      </c>
      <c r="Q30" s="162">
        <f>客房耗材出入库录入!Q30*$E30</f>
        <v>48</v>
      </c>
      <c r="R30" s="162">
        <f>客房耗材出入库录入!R30*$E30</f>
        <v>0</v>
      </c>
      <c r="S30" s="162">
        <f>客房耗材出入库录入!S30*$E30</f>
        <v>49.8</v>
      </c>
      <c r="T30" s="162">
        <f>客房耗材出入库录入!T30*$E30</f>
        <v>0</v>
      </c>
      <c r="U30" s="162">
        <f>客房耗材出入库录入!U30*$E30</f>
        <v>51</v>
      </c>
      <c r="V30" s="162">
        <f>客房耗材出入库录入!V30*$E30</f>
        <v>0</v>
      </c>
      <c r="W30" s="162">
        <f>客房耗材出入库录入!W30*$E30</f>
        <v>49.2</v>
      </c>
      <c r="X30" s="162">
        <f>客房耗材出入库录入!X30*$E30</f>
        <v>0</v>
      </c>
      <c r="Y30" s="162">
        <f>客房耗材出入库录入!Y30*$E30</f>
        <v>45.6</v>
      </c>
      <c r="Z30" s="162">
        <f>客房耗材出入库录入!Z30*$E30</f>
        <v>0</v>
      </c>
      <c r="AA30" s="162">
        <f>客房耗材出入库录入!AA30*$E30</f>
        <v>48</v>
      </c>
      <c r="AB30" s="162">
        <f>客房耗材出入库录入!AB30*$E30</f>
        <v>0</v>
      </c>
      <c r="AC30" s="162">
        <f>客房耗材出入库录入!AC30*$E30</f>
        <v>46.8</v>
      </c>
      <c r="AD30" s="162">
        <f>客房耗材出入库录入!AD30*$E30</f>
        <v>0</v>
      </c>
      <c r="AE30" s="162">
        <f>客房耗材出入库录入!AE30*$E30</f>
        <v>50.4</v>
      </c>
      <c r="AF30" s="162">
        <f>客房耗材出入库录入!AF30*$E30</f>
        <v>0</v>
      </c>
      <c r="AG30" s="162">
        <f>客房耗材出入库录入!AG30*$E30</f>
        <v>48.6</v>
      </c>
      <c r="AH30" s="162">
        <f>客房耗材出入库录入!AH30*$E30</f>
        <v>0</v>
      </c>
      <c r="AI30" s="162">
        <f>客房耗材出入库录入!AI30*$E30</f>
        <v>49.8</v>
      </c>
      <c r="AJ30" s="162">
        <f>客房耗材出入库录入!AJ30*$E30</f>
        <v>0</v>
      </c>
      <c r="AK30" s="162">
        <f>客房耗材出入库录入!AK30*$E30</f>
        <v>51.6</v>
      </c>
      <c r="AL30" s="162">
        <f>客房耗材出入库录入!AL30*$E30</f>
        <v>0</v>
      </c>
      <c r="AM30" s="162">
        <f>客房耗材出入库录入!AM30*$E30</f>
        <v>45</v>
      </c>
      <c r="AN30" s="162">
        <f>客房耗材出入库录入!AN30*$E30</f>
        <v>0</v>
      </c>
      <c r="AO30" s="162">
        <f>客房耗材出入库录入!AO30*$E30</f>
        <v>41.4</v>
      </c>
      <c r="AP30" s="162">
        <f>客房耗材出入库录入!AP30*$E30</f>
        <v>0</v>
      </c>
      <c r="AQ30" s="162">
        <f>客房耗材出入库录入!AQ30*$E30</f>
        <v>43.2</v>
      </c>
      <c r="AR30" s="162">
        <f>客房耗材出入库录入!AR30*$E30</f>
        <v>0</v>
      </c>
      <c r="AS30" s="162">
        <f>客房耗材出入库录入!AS30*$E30</f>
        <v>45.6</v>
      </c>
      <c r="AT30" s="162">
        <f>客房耗材出入库录入!AT30*$E30</f>
        <v>0</v>
      </c>
      <c r="AU30" s="162">
        <f>客房耗材出入库录入!AU30*$E30</f>
        <v>42.6</v>
      </c>
      <c r="AV30" s="162">
        <f>客房耗材出入库录入!AV30*$E30</f>
        <v>0</v>
      </c>
      <c r="AW30" s="162">
        <f>客房耗材出入库录入!AW30*$E30</f>
        <v>50.4</v>
      </c>
      <c r="AX30" s="162">
        <f>客房耗材出入库录入!AX30*$E30</f>
        <v>0</v>
      </c>
      <c r="AY30" s="162">
        <f>客房耗材出入库录入!AY30*$E30</f>
        <v>49.2</v>
      </c>
      <c r="AZ30" s="162">
        <f>客房耗材出入库录入!AZ30*$E30</f>
        <v>0</v>
      </c>
      <c r="BA30" s="162">
        <f>客房耗材出入库录入!BA30*$E30</f>
        <v>53.4</v>
      </c>
      <c r="BB30" s="162">
        <f>客房耗材出入库录入!BB30*$E30</f>
        <v>0</v>
      </c>
      <c r="BC30" s="162">
        <f>客房耗材出入库录入!BC30*$E30</f>
        <v>49.8</v>
      </c>
      <c r="BD30" s="162">
        <f>客房耗材出入库录入!BD30*$E30</f>
        <v>0</v>
      </c>
      <c r="BE30" s="162">
        <f>客房耗材出入库录入!BE30*$E30</f>
        <v>49.2</v>
      </c>
      <c r="BF30" s="162">
        <f>客房耗材出入库录入!BF30*$E30</f>
        <v>0</v>
      </c>
      <c r="BG30" s="162">
        <f>客房耗材出入库录入!BG30*$E30</f>
        <v>52.8</v>
      </c>
      <c r="BH30" s="162">
        <f>客房耗材出入库录入!BH30*$E30</f>
        <v>0</v>
      </c>
      <c r="BI30" s="162">
        <f>客房耗材出入库录入!BI30*$E30</f>
        <v>50.4</v>
      </c>
      <c r="BJ30" s="162">
        <f>客房耗材出入库录入!BJ30*$E30</f>
        <v>0</v>
      </c>
      <c r="BK30" s="162">
        <f>客房耗材出入库录入!BK30*$E30</f>
        <v>49.8</v>
      </c>
      <c r="BL30" s="162">
        <f>客房耗材出入库录入!BL30*$E30</f>
        <v>0</v>
      </c>
      <c r="BM30" s="162">
        <f>客房耗材出入库录入!BM30*$E30</f>
        <v>49.2</v>
      </c>
      <c r="BN30" s="162">
        <f>客房耗材出入库录入!BN30*$E30</f>
        <v>0</v>
      </c>
      <c r="BO30" s="162">
        <f>客房耗材出入库录入!BO30*$E30</f>
        <v>48.6</v>
      </c>
      <c r="BP30" s="162">
        <f>客房耗材出入库录入!BP30*$E30</f>
        <v>0</v>
      </c>
      <c r="BQ30" s="162">
        <f>客房耗材出入库录入!BQ30*$E30</f>
        <v>49.8</v>
      </c>
      <c r="BR30" s="162">
        <f>客房耗材出入库录入!BR30*$E30</f>
        <v>0</v>
      </c>
      <c r="BS30" s="162">
        <f>客房耗材出入库录入!BS30*$E30</f>
        <v>55.8</v>
      </c>
      <c r="BT30" s="162">
        <f>客房耗材出入库录入!BT30*$E30</f>
        <v>0</v>
      </c>
      <c r="BU30" s="162">
        <f>客房耗材出入库录入!BU30*$E30</f>
        <v>58.2</v>
      </c>
      <c r="BV30" s="162">
        <f>客房耗材出入库录入!BV30*$E30</f>
        <v>0</v>
      </c>
      <c r="BW30" s="162">
        <f>客房耗材出入库录入!BW30*$E30</f>
        <v>58.8</v>
      </c>
    </row>
    <row r="31" s="140" customFormat="1" customHeight="1" spans="1:75">
      <c r="A31" s="161">
        <v>1</v>
      </c>
      <c r="B31" s="162" t="str">
        <f>客房耗材出入库录入!B31</f>
        <v>饮料维他水溶     </v>
      </c>
      <c r="C31" s="162">
        <f>客房耗材出入库录入!C31</f>
        <v>0</v>
      </c>
      <c r="D31" s="162" t="str">
        <f>客房耗材出入库录入!D31</f>
        <v>瓶</v>
      </c>
      <c r="E31" s="162">
        <f>客房耗材出入库录入!E31</f>
        <v>1.5</v>
      </c>
      <c r="F31" s="162">
        <f>客房耗材出入库录入!F31</f>
        <v>0</v>
      </c>
      <c r="G31" s="162">
        <f>客房耗材出入库录入!G31</f>
        <v>0</v>
      </c>
      <c r="H31" s="162">
        <f>客房耗材出入库录入!H31</f>
        <v>3600</v>
      </c>
      <c r="I31" s="162">
        <f>客房耗材出入库录入!I31</f>
        <v>5400</v>
      </c>
      <c r="J31" s="162">
        <f>客房耗材出入库录入!J31</f>
        <v>2641</v>
      </c>
      <c r="K31" s="162">
        <f>客房耗材出入库录入!K31</f>
        <v>3961.5</v>
      </c>
      <c r="L31" s="162">
        <f>客房耗材出入库录入!L31</f>
        <v>959</v>
      </c>
      <c r="M31" s="162">
        <f>客房耗材出入库录入!M31</f>
        <v>1438.5</v>
      </c>
      <c r="N31" s="162">
        <f>客房耗材出入库录入!N31</f>
        <v>0</v>
      </c>
      <c r="O31" s="162">
        <f>客房耗材出入库录入!O31*$E31</f>
        <v>0</v>
      </c>
      <c r="P31" s="162">
        <f>客房耗材出入库录入!P31*$E31</f>
        <v>0</v>
      </c>
      <c r="Q31" s="162">
        <f>客房耗材出入库录入!Q31*$E31</f>
        <v>0</v>
      </c>
      <c r="R31" s="162">
        <f>客房耗材出入库录入!R31*$E31</f>
        <v>0</v>
      </c>
      <c r="S31" s="162">
        <f>客房耗材出入库录入!S31*$E31</f>
        <v>0</v>
      </c>
      <c r="T31" s="162">
        <f>客房耗材出入库录入!T31*$E31</f>
        <v>0</v>
      </c>
      <c r="U31" s="162">
        <f>客房耗材出入库录入!U31*$E31</f>
        <v>0</v>
      </c>
      <c r="V31" s="162">
        <f>客房耗材出入库录入!V31*$E31</f>
        <v>0</v>
      </c>
      <c r="W31" s="162">
        <f>客房耗材出入库录入!W31*$E31</f>
        <v>0</v>
      </c>
      <c r="X31" s="162">
        <f>客房耗材出入库录入!X31*$E31</f>
        <v>0</v>
      </c>
      <c r="Y31" s="162">
        <f>客房耗材出入库录入!Y31*$E31</f>
        <v>0</v>
      </c>
      <c r="Z31" s="162">
        <f>客房耗材出入库录入!Z31*$E31</f>
        <v>0</v>
      </c>
      <c r="AA31" s="162">
        <f>客房耗材出入库录入!AA31*$E31</f>
        <v>0</v>
      </c>
      <c r="AB31" s="162">
        <f>客房耗材出入库录入!AB31*$E31</f>
        <v>0</v>
      </c>
      <c r="AC31" s="162">
        <f>客房耗材出入库录入!AC31*$E31</f>
        <v>0</v>
      </c>
      <c r="AD31" s="162">
        <f>客房耗材出入库录入!AD31*$E31</f>
        <v>0</v>
      </c>
      <c r="AE31" s="162">
        <f>客房耗材出入库录入!AE31*$E31</f>
        <v>0</v>
      </c>
      <c r="AF31" s="162">
        <f>客房耗材出入库录入!AF31*$E31</f>
        <v>0</v>
      </c>
      <c r="AG31" s="162">
        <f>客房耗材出入库录入!AG31*$E31</f>
        <v>0</v>
      </c>
      <c r="AH31" s="162">
        <f>客房耗材出入库录入!AH31*$E31</f>
        <v>0</v>
      </c>
      <c r="AI31" s="162">
        <f>客房耗材出入库录入!AI31*$E31</f>
        <v>0</v>
      </c>
      <c r="AJ31" s="162">
        <f>客房耗材出入库录入!AJ31*$E31</f>
        <v>0</v>
      </c>
      <c r="AK31" s="162">
        <f>客房耗材出入库录入!AK31*$E31</f>
        <v>0</v>
      </c>
      <c r="AL31" s="162">
        <f>客房耗材出入库录入!AL31*$E31</f>
        <v>1800</v>
      </c>
      <c r="AM31" s="162">
        <f>客房耗材出入库录入!AM31*$E31</f>
        <v>0</v>
      </c>
      <c r="AN31" s="162">
        <f>客房耗材出入库录入!AN31*$E31</f>
        <v>0</v>
      </c>
      <c r="AO31" s="162">
        <f>客房耗材出入库录入!AO31*$E31</f>
        <v>399</v>
      </c>
      <c r="AP31" s="162">
        <f>客房耗材出入库录入!AP31*$E31</f>
        <v>0</v>
      </c>
      <c r="AQ31" s="162">
        <f>客房耗材出入库录入!AQ31*$E31</f>
        <v>192</v>
      </c>
      <c r="AR31" s="162">
        <f>客房耗材出入库录入!AR31*$E31</f>
        <v>0</v>
      </c>
      <c r="AS31" s="162">
        <f>客房耗材出入库录入!AS31*$E31</f>
        <v>205.5</v>
      </c>
      <c r="AT31" s="162">
        <f>客房耗材出入库录入!AT31*$E31</f>
        <v>0</v>
      </c>
      <c r="AU31" s="162">
        <f>客房耗材出入库录入!AU31*$E31</f>
        <v>228</v>
      </c>
      <c r="AV31" s="162">
        <f>客房耗材出入库录入!AV31*$E31</f>
        <v>0</v>
      </c>
      <c r="AW31" s="162">
        <f>客房耗材出入库录入!AW31*$E31</f>
        <v>213</v>
      </c>
      <c r="AX31" s="162">
        <f>客房耗材出入库录入!AX31*$E31</f>
        <v>0</v>
      </c>
      <c r="AY31" s="162">
        <f>客房耗材出入库录入!AY31*$E31</f>
        <v>202.5</v>
      </c>
      <c r="AZ31" s="162">
        <f>客房耗材出入库录入!AZ31*$E31</f>
        <v>3600</v>
      </c>
      <c r="BA31" s="162">
        <f>客房耗材出入库录入!BA31*$E31</f>
        <v>195</v>
      </c>
      <c r="BB31" s="162">
        <f>客房耗材出入库录入!BB31*$E31</f>
        <v>0</v>
      </c>
      <c r="BC31" s="162">
        <f>客房耗材出入库录入!BC31*$E31</f>
        <v>211.5</v>
      </c>
      <c r="BD31" s="162">
        <f>客房耗材出入库录入!BD31*$E31</f>
        <v>0</v>
      </c>
      <c r="BE31" s="162">
        <f>客房耗材出入库录入!BE31*$E31</f>
        <v>217.5</v>
      </c>
      <c r="BF31" s="162">
        <f>客房耗材出入库录入!BF31*$E31</f>
        <v>0</v>
      </c>
      <c r="BG31" s="162">
        <f>客房耗材出入库录入!BG31*$E31</f>
        <v>220.5</v>
      </c>
      <c r="BH31" s="162">
        <f>客房耗材出入库录入!BH31*$E31</f>
        <v>0</v>
      </c>
      <c r="BI31" s="162">
        <f>客房耗材出入库录入!BI31*$E31</f>
        <v>190.5</v>
      </c>
      <c r="BJ31" s="162">
        <f>客房耗材出入库录入!BJ31*$E31</f>
        <v>0</v>
      </c>
      <c r="BK31" s="162">
        <f>客房耗材出入库录入!BK31*$E31</f>
        <v>205.5</v>
      </c>
      <c r="BL31" s="162">
        <f>客房耗材出入库录入!BL31*$E31</f>
        <v>0</v>
      </c>
      <c r="BM31" s="162">
        <f>客房耗材出入库录入!BM31*$E31</f>
        <v>183</v>
      </c>
      <c r="BN31" s="162">
        <f>客房耗材出入库录入!BN31*$E31</f>
        <v>0</v>
      </c>
      <c r="BO31" s="162">
        <f>客房耗材出入库录入!BO31*$E31</f>
        <v>205.5</v>
      </c>
      <c r="BP31" s="162">
        <f>客房耗材出入库录入!BP31*$E31</f>
        <v>0</v>
      </c>
      <c r="BQ31" s="162">
        <f>客房耗材出入库录入!BQ31*$E31</f>
        <v>199.5</v>
      </c>
      <c r="BR31" s="162">
        <f>客房耗材出入库录入!BR31*$E31</f>
        <v>0</v>
      </c>
      <c r="BS31" s="162">
        <f>客房耗材出入库录入!BS31*$E31</f>
        <v>231</v>
      </c>
      <c r="BT31" s="162">
        <f>客房耗材出入库录入!BT31*$E31</f>
        <v>0</v>
      </c>
      <c r="BU31" s="162">
        <f>客房耗材出入库录入!BU31*$E31</f>
        <v>222</v>
      </c>
      <c r="BV31" s="162">
        <f>客房耗材出入库录入!BV31*$E31</f>
        <v>0</v>
      </c>
      <c r="BW31" s="162">
        <f>客房耗材出入库录入!BW31*$E31</f>
        <v>240</v>
      </c>
    </row>
    <row r="32" s="140" customFormat="1" customHeight="1" spans="1:75">
      <c r="A32" s="161">
        <v>1</v>
      </c>
      <c r="B32" s="162">
        <f>客房耗材出入库录入!B32</f>
        <v>0</v>
      </c>
      <c r="C32" s="162">
        <f>客房耗材出入库录入!C32</f>
        <v>0</v>
      </c>
      <c r="D32" s="162">
        <f>客房耗材出入库录入!D32</f>
        <v>0</v>
      </c>
      <c r="E32" s="162">
        <f>客房耗材出入库录入!E32</f>
        <v>0</v>
      </c>
      <c r="F32" s="162">
        <f>客房耗材出入库录入!F32</f>
        <v>0</v>
      </c>
      <c r="G32" s="162">
        <f>客房耗材出入库录入!G32</f>
        <v>0</v>
      </c>
      <c r="H32" s="162">
        <f>客房耗材出入库录入!H32</f>
        <v>0</v>
      </c>
      <c r="I32" s="162">
        <f>客房耗材出入库录入!I32</f>
        <v>0</v>
      </c>
      <c r="J32" s="162">
        <f>客房耗材出入库录入!J32</f>
        <v>0</v>
      </c>
      <c r="K32" s="162">
        <f>客房耗材出入库录入!K32</f>
        <v>0</v>
      </c>
      <c r="L32" s="162">
        <f>客房耗材出入库录入!L32</f>
        <v>0</v>
      </c>
      <c r="M32" s="162">
        <f>客房耗材出入库录入!M32</f>
        <v>0</v>
      </c>
      <c r="N32" s="162">
        <f>客房耗材出入库录入!N32</f>
        <v>0</v>
      </c>
      <c r="O32" s="162">
        <f>客房耗材出入库录入!O32*$E32</f>
        <v>0</v>
      </c>
      <c r="P32" s="162">
        <f>客房耗材出入库录入!P32*$E32</f>
        <v>0</v>
      </c>
      <c r="Q32" s="162">
        <f>客房耗材出入库录入!Q32*$E32</f>
        <v>0</v>
      </c>
      <c r="R32" s="162">
        <f>客房耗材出入库录入!R32*$E32</f>
        <v>0</v>
      </c>
      <c r="S32" s="162">
        <f>客房耗材出入库录入!S32*$E32</f>
        <v>0</v>
      </c>
      <c r="T32" s="162">
        <f>客房耗材出入库录入!T32*$E32</f>
        <v>0</v>
      </c>
      <c r="U32" s="162">
        <f>客房耗材出入库录入!U32*$E32</f>
        <v>0</v>
      </c>
      <c r="V32" s="162">
        <f>客房耗材出入库录入!V32*$E32</f>
        <v>0</v>
      </c>
      <c r="W32" s="162">
        <f>客房耗材出入库录入!W32*$E32</f>
        <v>0</v>
      </c>
      <c r="X32" s="162">
        <f>客房耗材出入库录入!X32*$E32</f>
        <v>0</v>
      </c>
      <c r="Y32" s="162">
        <f>客房耗材出入库录入!Y32*$E32</f>
        <v>0</v>
      </c>
      <c r="Z32" s="162">
        <f>客房耗材出入库录入!Z32*$E32</f>
        <v>0</v>
      </c>
      <c r="AA32" s="162">
        <f>客房耗材出入库录入!AA32*$E32</f>
        <v>0</v>
      </c>
      <c r="AB32" s="162">
        <f>客房耗材出入库录入!AB32*$E32</f>
        <v>0</v>
      </c>
      <c r="AC32" s="162">
        <f>客房耗材出入库录入!AC32*$E32</f>
        <v>0</v>
      </c>
      <c r="AD32" s="162">
        <f>客房耗材出入库录入!AD32*$E32</f>
        <v>0</v>
      </c>
      <c r="AE32" s="162">
        <f>客房耗材出入库录入!AE32*$E32</f>
        <v>0</v>
      </c>
      <c r="AF32" s="162">
        <f>客房耗材出入库录入!AF32*$E32</f>
        <v>0</v>
      </c>
      <c r="AG32" s="162">
        <f>客房耗材出入库录入!AG32*$E32</f>
        <v>0</v>
      </c>
      <c r="AH32" s="162">
        <f>客房耗材出入库录入!AH32*$E32</f>
        <v>0</v>
      </c>
      <c r="AI32" s="162">
        <f>客房耗材出入库录入!AI32*$E32</f>
        <v>0</v>
      </c>
      <c r="AJ32" s="162">
        <f>客房耗材出入库录入!AJ32*$E32</f>
        <v>0</v>
      </c>
      <c r="AK32" s="162">
        <f>客房耗材出入库录入!AK32*$E32</f>
        <v>0</v>
      </c>
      <c r="AL32" s="162">
        <f>客房耗材出入库录入!AL32*$E32</f>
        <v>0</v>
      </c>
      <c r="AM32" s="162">
        <f>客房耗材出入库录入!AM32*$E32</f>
        <v>0</v>
      </c>
      <c r="AN32" s="162">
        <f>客房耗材出入库录入!AN32*$E32</f>
        <v>0</v>
      </c>
      <c r="AO32" s="162">
        <f>客房耗材出入库录入!AO32*$E32</f>
        <v>0</v>
      </c>
      <c r="AP32" s="162">
        <f>客房耗材出入库录入!AP32*$E32</f>
        <v>0</v>
      </c>
      <c r="AQ32" s="162">
        <f>客房耗材出入库录入!AQ32*$E32</f>
        <v>0</v>
      </c>
      <c r="AR32" s="162">
        <f>客房耗材出入库录入!AR32*$E32</f>
        <v>0</v>
      </c>
      <c r="AS32" s="162">
        <f>客房耗材出入库录入!AS32*$E32</f>
        <v>0</v>
      </c>
      <c r="AT32" s="162">
        <f>客房耗材出入库录入!AT32*$E32</f>
        <v>0</v>
      </c>
      <c r="AU32" s="162">
        <f>客房耗材出入库录入!AU32*$E32</f>
        <v>0</v>
      </c>
      <c r="AV32" s="162">
        <f>客房耗材出入库录入!AV32*$E32</f>
        <v>0</v>
      </c>
      <c r="AW32" s="162">
        <f>客房耗材出入库录入!AW32*$E32</f>
        <v>0</v>
      </c>
      <c r="AX32" s="162">
        <f>客房耗材出入库录入!AX32*$E32</f>
        <v>0</v>
      </c>
      <c r="AY32" s="162">
        <f>客房耗材出入库录入!AY32*$E32</f>
        <v>0</v>
      </c>
      <c r="AZ32" s="162">
        <f>客房耗材出入库录入!AZ32*$E32</f>
        <v>0</v>
      </c>
      <c r="BA32" s="162">
        <f>客房耗材出入库录入!BA32*$E32</f>
        <v>0</v>
      </c>
      <c r="BB32" s="162">
        <f>客房耗材出入库录入!BB32*$E32</f>
        <v>0</v>
      </c>
      <c r="BC32" s="162">
        <f>客房耗材出入库录入!BC32*$E32</f>
        <v>0</v>
      </c>
      <c r="BD32" s="162">
        <f>客房耗材出入库录入!BD32*$E32</f>
        <v>0</v>
      </c>
      <c r="BE32" s="162">
        <f>客房耗材出入库录入!BE32*$E32</f>
        <v>0</v>
      </c>
      <c r="BF32" s="162">
        <f>客房耗材出入库录入!BF32*$E32</f>
        <v>0</v>
      </c>
      <c r="BG32" s="162">
        <f>客房耗材出入库录入!BG32*$E32</f>
        <v>0</v>
      </c>
      <c r="BH32" s="162">
        <f>客房耗材出入库录入!BH32*$E32</f>
        <v>0</v>
      </c>
      <c r="BI32" s="162">
        <f>客房耗材出入库录入!BI32*$E32</f>
        <v>0</v>
      </c>
      <c r="BJ32" s="162">
        <f>客房耗材出入库录入!BJ32*$E32</f>
        <v>0</v>
      </c>
      <c r="BK32" s="162">
        <f>客房耗材出入库录入!BK32*$E32</f>
        <v>0</v>
      </c>
      <c r="BL32" s="162">
        <f>客房耗材出入库录入!BL32*$E32</f>
        <v>0</v>
      </c>
      <c r="BM32" s="162">
        <f>客房耗材出入库录入!BM32*$E32</f>
        <v>0</v>
      </c>
      <c r="BN32" s="162">
        <f>客房耗材出入库录入!BN32*$E32</f>
        <v>0</v>
      </c>
      <c r="BO32" s="162">
        <f>客房耗材出入库录入!BO32*$E32</f>
        <v>0</v>
      </c>
      <c r="BP32" s="162">
        <f>客房耗材出入库录入!BP32*$E32</f>
        <v>0</v>
      </c>
      <c r="BQ32" s="162">
        <f>客房耗材出入库录入!BQ32*$E32</f>
        <v>0</v>
      </c>
      <c r="BR32" s="162">
        <f>客房耗材出入库录入!BR32*$E32</f>
        <v>0</v>
      </c>
      <c r="BS32" s="162">
        <f>客房耗材出入库录入!BS32*$E32</f>
        <v>0</v>
      </c>
      <c r="BT32" s="162">
        <f>客房耗材出入库录入!BT32*$E32</f>
        <v>0</v>
      </c>
      <c r="BU32" s="162">
        <f>客房耗材出入库录入!BU32*$E32</f>
        <v>0</v>
      </c>
      <c r="BV32" s="162">
        <f>客房耗材出入库录入!BV32*$E32</f>
        <v>0</v>
      </c>
      <c r="BW32" s="162">
        <f>客房耗材出入库录入!BW32*$E32</f>
        <v>0</v>
      </c>
    </row>
    <row r="33" s="140" customFormat="1" customHeight="1" spans="1:75">
      <c r="A33" s="161">
        <v>1</v>
      </c>
      <c r="B33" s="162">
        <f>客房耗材出入库录入!B33</f>
        <v>0</v>
      </c>
      <c r="C33" s="162">
        <f>客房耗材出入库录入!C33</f>
        <v>0</v>
      </c>
      <c r="D33" s="162">
        <f>客房耗材出入库录入!D33</f>
        <v>0</v>
      </c>
      <c r="E33" s="162">
        <f>客房耗材出入库录入!E33</f>
        <v>0</v>
      </c>
      <c r="F33" s="162">
        <f>客房耗材出入库录入!F33</f>
        <v>0</v>
      </c>
      <c r="G33" s="162">
        <f>客房耗材出入库录入!G33</f>
        <v>0</v>
      </c>
      <c r="H33" s="162">
        <f>客房耗材出入库录入!H33</f>
        <v>0</v>
      </c>
      <c r="I33" s="162">
        <f>客房耗材出入库录入!I33</f>
        <v>0</v>
      </c>
      <c r="J33" s="162">
        <f>客房耗材出入库录入!J33</f>
        <v>0</v>
      </c>
      <c r="K33" s="162">
        <f>客房耗材出入库录入!K33</f>
        <v>0</v>
      </c>
      <c r="L33" s="162">
        <f>客房耗材出入库录入!L33</f>
        <v>0</v>
      </c>
      <c r="M33" s="162">
        <f>客房耗材出入库录入!M33</f>
        <v>0</v>
      </c>
      <c r="N33" s="162">
        <f>客房耗材出入库录入!N33</f>
        <v>0</v>
      </c>
      <c r="O33" s="162">
        <f>客房耗材出入库录入!O33*$E33</f>
        <v>0</v>
      </c>
      <c r="P33" s="162">
        <f>客房耗材出入库录入!P33*$E33</f>
        <v>0</v>
      </c>
      <c r="Q33" s="162">
        <f>客房耗材出入库录入!Q33*$E33</f>
        <v>0</v>
      </c>
      <c r="R33" s="162">
        <f>客房耗材出入库录入!R33*$E33</f>
        <v>0</v>
      </c>
      <c r="S33" s="162">
        <f>客房耗材出入库录入!S33*$E33</f>
        <v>0</v>
      </c>
      <c r="T33" s="162">
        <f>客房耗材出入库录入!T33*$E33</f>
        <v>0</v>
      </c>
      <c r="U33" s="162">
        <f>客房耗材出入库录入!U33*$E33</f>
        <v>0</v>
      </c>
      <c r="V33" s="162">
        <f>客房耗材出入库录入!V33*$E33</f>
        <v>0</v>
      </c>
      <c r="W33" s="162">
        <f>客房耗材出入库录入!W33*$E33</f>
        <v>0</v>
      </c>
      <c r="X33" s="162">
        <f>客房耗材出入库录入!X33*$E33</f>
        <v>0</v>
      </c>
      <c r="Y33" s="162">
        <f>客房耗材出入库录入!Y33*$E33</f>
        <v>0</v>
      </c>
      <c r="Z33" s="162">
        <f>客房耗材出入库录入!Z33*$E33</f>
        <v>0</v>
      </c>
      <c r="AA33" s="162">
        <f>客房耗材出入库录入!AA33*$E33</f>
        <v>0</v>
      </c>
      <c r="AB33" s="162">
        <f>客房耗材出入库录入!AB33*$E33</f>
        <v>0</v>
      </c>
      <c r="AC33" s="162">
        <f>客房耗材出入库录入!AC33*$E33</f>
        <v>0</v>
      </c>
      <c r="AD33" s="162">
        <f>客房耗材出入库录入!AD33*$E33</f>
        <v>0</v>
      </c>
      <c r="AE33" s="162">
        <f>客房耗材出入库录入!AE33*$E33</f>
        <v>0</v>
      </c>
      <c r="AF33" s="162">
        <f>客房耗材出入库录入!AF33*$E33</f>
        <v>0</v>
      </c>
      <c r="AG33" s="162">
        <f>客房耗材出入库录入!AG33*$E33</f>
        <v>0</v>
      </c>
      <c r="AH33" s="162">
        <f>客房耗材出入库录入!AH33*$E33</f>
        <v>0</v>
      </c>
      <c r="AI33" s="162">
        <f>客房耗材出入库录入!AI33*$E33</f>
        <v>0</v>
      </c>
      <c r="AJ33" s="162">
        <f>客房耗材出入库录入!AJ33*$E33</f>
        <v>0</v>
      </c>
      <c r="AK33" s="162">
        <f>客房耗材出入库录入!AK33*$E33</f>
        <v>0</v>
      </c>
      <c r="AL33" s="162">
        <f>客房耗材出入库录入!AL33*$E33</f>
        <v>0</v>
      </c>
      <c r="AM33" s="162">
        <f>客房耗材出入库录入!AM33*$E33</f>
        <v>0</v>
      </c>
      <c r="AN33" s="162">
        <f>客房耗材出入库录入!AN33*$E33</f>
        <v>0</v>
      </c>
      <c r="AO33" s="162">
        <f>客房耗材出入库录入!AO33*$E33</f>
        <v>0</v>
      </c>
      <c r="AP33" s="162">
        <f>客房耗材出入库录入!AP33*$E33</f>
        <v>0</v>
      </c>
      <c r="AQ33" s="162">
        <f>客房耗材出入库录入!AQ33*$E33</f>
        <v>0</v>
      </c>
      <c r="AR33" s="162">
        <f>客房耗材出入库录入!AR33*$E33</f>
        <v>0</v>
      </c>
      <c r="AS33" s="162">
        <f>客房耗材出入库录入!AS33*$E33</f>
        <v>0</v>
      </c>
      <c r="AT33" s="162">
        <f>客房耗材出入库录入!AT33*$E33</f>
        <v>0</v>
      </c>
      <c r="AU33" s="162">
        <f>客房耗材出入库录入!AU33*$E33</f>
        <v>0</v>
      </c>
      <c r="AV33" s="162">
        <f>客房耗材出入库录入!AV33*$E33</f>
        <v>0</v>
      </c>
      <c r="AW33" s="162">
        <f>客房耗材出入库录入!AW33*$E33</f>
        <v>0</v>
      </c>
      <c r="AX33" s="162">
        <f>客房耗材出入库录入!AX33*$E33</f>
        <v>0</v>
      </c>
      <c r="AY33" s="162">
        <f>客房耗材出入库录入!AY33*$E33</f>
        <v>0</v>
      </c>
      <c r="AZ33" s="162">
        <f>客房耗材出入库录入!AZ33*$E33</f>
        <v>0</v>
      </c>
      <c r="BA33" s="162">
        <f>客房耗材出入库录入!BA33*$E33</f>
        <v>0</v>
      </c>
      <c r="BB33" s="162">
        <f>客房耗材出入库录入!BB33*$E33</f>
        <v>0</v>
      </c>
      <c r="BC33" s="162">
        <f>客房耗材出入库录入!BC33*$E33</f>
        <v>0</v>
      </c>
      <c r="BD33" s="162">
        <f>客房耗材出入库录入!BD33*$E33</f>
        <v>0</v>
      </c>
      <c r="BE33" s="162">
        <f>客房耗材出入库录入!BE33*$E33</f>
        <v>0</v>
      </c>
      <c r="BF33" s="162">
        <f>客房耗材出入库录入!BF33*$E33</f>
        <v>0</v>
      </c>
      <c r="BG33" s="162">
        <f>客房耗材出入库录入!BG33*$E33</f>
        <v>0</v>
      </c>
      <c r="BH33" s="162">
        <f>客房耗材出入库录入!BH33*$E33</f>
        <v>0</v>
      </c>
      <c r="BI33" s="162">
        <f>客房耗材出入库录入!BI33*$E33</f>
        <v>0</v>
      </c>
      <c r="BJ33" s="162">
        <f>客房耗材出入库录入!BJ33*$E33</f>
        <v>0</v>
      </c>
      <c r="BK33" s="162">
        <f>客房耗材出入库录入!BK33*$E33</f>
        <v>0</v>
      </c>
      <c r="BL33" s="162">
        <f>客房耗材出入库录入!BL33*$E33</f>
        <v>0</v>
      </c>
      <c r="BM33" s="162">
        <f>客房耗材出入库录入!BM33*$E33</f>
        <v>0</v>
      </c>
      <c r="BN33" s="162">
        <f>客房耗材出入库录入!BN33*$E33</f>
        <v>0</v>
      </c>
      <c r="BO33" s="162">
        <f>客房耗材出入库录入!BO33*$E33</f>
        <v>0</v>
      </c>
      <c r="BP33" s="162">
        <f>客房耗材出入库录入!BP33*$E33</f>
        <v>0</v>
      </c>
      <c r="BQ33" s="162">
        <f>客房耗材出入库录入!BQ33*$E33</f>
        <v>0</v>
      </c>
      <c r="BR33" s="162">
        <f>客房耗材出入库录入!BR33*$E33</f>
        <v>0</v>
      </c>
      <c r="BS33" s="162">
        <f>客房耗材出入库录入!BS33*$E33</f>
        <v>0</v>
      </c>
      <c r="BT33" s="162">
        <f>客房耗材出入库录入!BT33*$E33</f>
        <v>0</v>
      </c>
      <c r="BU33" s="162">
        <f>客房耗材出入库录入!BU33*$E33</f>
        <v>0</v>
      </c>
      <c r="BV33" s="162">
        <f>客房耗材出入库录入!BV33*$E33</f>
        <v>0</v>
      </c>
      <c r="BW33" s="162">
        <f>客房耗材出入库录入!BW33*$E33</f>
        <v>0</v>
      </c>
    </row>
    <row r="34" s="140" customFormat="1" customHeight="1" spans="1:75">
      <c r="A34" s="161">
        <v>1</v>
      </c>
      <c r="B34" s="162">
        <f>客房耗材出入库录入!B34</f>
        <v>0</v>
      </c>
      <c r="C34" s="162">
        <f>客房耗材出入库录入!C34</f>
        <v>0</v>
      </c>
      <c r="D34" s="162">
        <f>客房耗材出入库录入!D34</f>
        <v>0</v>
      </c>
      <c r="E34" s="162">
        <f>客房耗材出入库录入!E34</f>
        <v>0</v>
      </c>
      <c r="F34" s="162">
        <f>客房耗材出入库录入!F34</f>
        <v>0</v>
      </c>
      <c r="G34" s="162">
        <f>客房耗材出入库录入!G34</f>
        <v>0</v>
      </c>
      <c r="H34" s="162">
        <f>客房耗材出入库录入!H34</f>
        <v>0</v>
      </c>
      <c r="I34" s="162">
        <f>客房耗材出入库录入!I34</f>
        <v>0</v>
      </c>
      <c r="J34" s="162">
        <f>客房耗材出入库录入!J34</f>
        <v>0</v>
      </c>
      <c r="K34" s="162">
        <f>客房耗材出入库录入!K34</f>
        <v>0</v>
      </c>
      <c r="L34" s="162">
        <f>客房耗材出入库录入!L34</f>
        <v>0</v>
      </c>
      <c r="M34" s="162">
        <f>客房耗材出入库录入!M34</f>
        <v>0</v>
      </c>
      <c r="N34" s="162">
        <f>客房耗材出入库录入!N34</f>
        <v>0</v>
      </c>
      <c r="O34" s="162">
        <f>客房耗材出入库录入!O34*$E34</f>
        <v>0</v>
      </c>
      <c r="P34" s="162">
        <f>客房耗材出入库录入!P34*$E34</f>
        <v>0</v>
      </c>
      <c r="Q34" s="162">
        <f>客房耗材出入库录入!Q34*$E34</f>
        <v>0</v>
      </c>
      <c r="R34" s="162">
        <f>客房耗材出入库录入!R34*$E34</f>
        <v>0</v>
      </c>
      <c r="S34" s="162">
        <f>客房耗材出入库录入!S34*$E34</f>
        <v>0</v>
      </c>
      <c r="T34" s="162">
        <f>客房耗材出入库录入!T34*$E34</f>
        <v>0</v>
      </c>
      <c r="U34" s="162">
        <f>客房耗材出入库录入!U34*$E34</f>
        <v>0</v>
      </c>
      <c r="V34" s="162">
        <f>客房耗材出入库录入!V34*$E34</f>
        <v>0</v>
      </c>
      <c r="W34" s="162">
        <f>客房耗材出入库录入!W34*$E34</f>
        <v>0</v>
      </c>
      <c r="X34" s="162">
        <f>客房耗材出入库录入!X34*$E34</f>
        <v>0</v>
      </c>
      <c r="Y34" s="162">
        <f>客房耗材出入库录入!Y34*$E34</f>
        <v>0</v>
      </c>
      <c r="Z34" s="162">
        <f>客房耗材出入库录入!Z34*$E34</f>
        <v>0</v>
      </c>
      <c r="AA34" s="162">
        <f>客房耗材出入库录入!AA34*$E34</f>
        <v>0</v>
      </c>
      <c r="AB34" s="162">
        <f>客房耗材出入库录入!AB34*$E34</f>
        <v>0</v>
      </c>
      <c r="AC34" s="162">
        <f>客房耗材出入库录入!AC34*$E34</f>
        <v>0</v>
      </c>
      <c r="AD34" s="162">
        <f>客房耗材出入库录入!AD34*$E34</f>
        <v>0</v>
      </c>
      <c r="AE34" s="162">
        <f>客房耗材出入库录入!AE34*$E34</f>
        <v>0</v>
      </c>
      <c r="AF34" s="162">
        <f>客房耗材出入库录入!AF34*$E34</f>
        <v>0</v>
      </c>
      <c r="AG34" s="162">
        <f>客房耗材出入库录入!AG34*$E34</f>
        <v>0</v>
      </c>
      <c r="AH34" s="162">
        <f>客房耗材出入库录入!AH34*$E34</f>
        <v>0</v>
      </c>
      <c r="AI34" s="162">
        <f>客房耗材出入库录入!AI34*$E34</f>
        <v>0</v>
      </c>
      <c r="AJ34" s="162">
        <f>客房耗材出入库录入!AJ34*$E34</f>
        <v>0</v>
      </c>
      <c r="AK34" s="162">
        <f>客房耗材出入库录入!AK34*$E34</f>
        <v>0</v>
      </c>
      <c r="AL34" s="162">
        <f>客房耗材出入库录入!AL34*$E34</f>
        <v>0</v>
      </c>
      <c r="AM34" s="162">
        <f>客房耗材出入库录入!AM34*$E34</f>
        <v>0</v>
      </c>
      <c r="AN34" s="162">
        <f>客房耗材出入库录入!AN34*$E34</f>
        <v>0</v>
      </c>
      <c r="AO34" s="162">
        <f>客房耗材出入库录入!AO34*$E34</f>
        <v>0</v>
      </c>
      <c r="AP34" s="162">
        <f>客房耗材出入库录入!AP34*$E34</f>
        <v>0</v>
      </c>
      <c r="AQ34" s="162">
        <f>客房耗材出入库录入!AQ34*$E34</f>
        <v>0</v>
      </c>
      <c r="AR34" s="162">
        <f>客房耗材出入库录入!AR34*$E34</f>
        <v>0</v>
      </c>
      <c r="AS34" s="162">
        <f>客房耗材出入库录入!AS34*$E34</f>
        <v>0</v>
      </c>
      <c r="AT34" s="162">
        <f>客房耗材出入库录入!AT34*$E34</f>
        <v>0</v>
      </c>
      <c r="AU34" s="162">
        <f>客房耗材出入库录入!AU34*$E34</f>
        <v>0</v>
      </c>
      <c r="AV34" s="162">
        <f>客房耗材出入库录入!AV34*$E34</f>
        <v>0</v>
      </c>
      <c r="AW34" s="162">
        <f>客房耗材出入库录入!AW34*$E34</f>
        <v>0</v>
      </c>
      <c r="AX34" s="162">
        <f>客房耗材出入库录入!AX34*$E34</f>
        <v>0</v>
      </c>
      <c r="AY34" s="162">
        <f>客房耗材出入库录入!AY34*$E34</f>
        <v>0</v>
      </c>
      <c r="AZ34" s="162">
        <f>客房耗材出入库录入!AZ34*$E34</f>
        <v>0</v>
      </c>
      <c r="BA34" s="162">
        <f>客房耗材出入库录入!BA34*$E34</f>
        <v>0</v>
      </c>
      <c r="BB34" s="162">
        <f>客房耗材出入库录入!BB34*$E34</f>
        <v>0</v>
      </c>
      <c r="BC34" s="162">
        <f>客房耗材出入库录入!BC34*$E34</f>
        <v>0</v>
      </c>
      <c r="BD34" s="162">
        <f>客房耗材出入库录入!BD34*$E34</f>
        <v>0</v>
      </c>
      <c r="BE34" s="162">
        <f>客房耗材出入库录入!BE34*$E34</f>
        <v>0</v>
      </c>
      <c r="BF34" s="162">
        <f>客房耗材出入库录入!BF34*$E34</f>
        <v>0</v>
      </c>
      <c r="BG34" s="162">
        <f>客房耗材出入库录入!BG34*$E34</f>
        <v>0</v>
      </c>
      <c r="BH34" s="162">
        <f>客房耗材出入库录入!BH34*$E34</f>
        <v>0</v>
      </c>
      <c r="BI34" s="162">
        <f>客房耗材出入库录入!BI34*$E34</f>
        <v>0</v>
      </c>
      <c r="BJ34" s="162">
        <f>客房耗材出入库录入!BJ34*$E34</f>
        <v>0</v>
      </c>
      <c r="BK34" s="162">
        <f>客房耗材出入库录入!BK34*$E34</f>
        <v>0</v>
      </c>
      <c r="BL34" s="162">
        <f>客房耗材出入库录入!BL34*$E34</f>
        <v>0</v>
      </c>
      <c r="BM34" s="162">
        <f>客房耗材出入库录入!BM34*$E34</f>
        <v>0</v>
      </c>
      <c r="BN34" s="162">
        <f>客房耗材出入库录入!BN34*$E34</f>
        <v>0</v>
      </c>
      <c r="BO34" s="162">
        <f>客房耗材出入库录入!BO34*$E34</f>
        <v>0</v>
      </c>
      <c r="BP34" s="162">
        <f>客房耗材出入库录入!BP34*$E34</f>
        <v>0</v>
      </c>
      <c r="BQ34" s="162">
        <f>客房耗材出入库录入!BQ34*$E34</f>
        <v>0</v>
      </c>
      <c r="BR34" s="162">
        <f>客房耗材出入库录入!BR34*$E34</f>
        <v>0</v>
      </c>
      <c r="BS34" s="162">
        <f>客房耗材出入库录入!BS34*$E34</f>
        <v>0</v>
      </c>
      <c r="BT34" s="162">
        <f>客房耗材出入库录入!BT34*$E34</f>
        <v>0</v>
      </c>
      <c r="BU34" s="162">
        <f>客房耗材出入库录入!BU34*$E34</f>
        <v>0</v>
      </c>
      <c r="BV34" s="162">
        <f>客房耗材出入库录入!BV34*$E34</f>
        <v>0</v>
      </c>
      <c r="BW34" s="162">
        <f>客房耗材出入库录入!BW34*$E34</f>
        <v>0</v>
      </c>
    </row>
    <row r="35" s="140" customFormat="1" customHeight="1" spans="1:75">
      <c r="A35" s="161">
        <v>1</v>
      </c>
      <c r="B35" s="162">
        <f>客房耗材出入库录入!B35</f>
        <v>0</v>
      </c>
      <c r="C35" s="162">
        <f>客房耗材出入库录入!C35</f>
        <v>0</v>
      </c>
      <c r="D35" s="162">
        <f>客房耗材出入库录入!D35</f>
        <v>0</v>
      </c>
      <c r="E35" s="162">
        <f>客房耗材出入库录入!E35</f>
        <v>0</v>
      </c>
      <c r="F35" s="162">
        <f>客房耗材出入库录入!F35</f>
        <v>0</v>
      </c>
      <c r="G35" s="162">
        <f>客房耗材出入库录入!G35</f>
        <v>0</v>
      </c>
      <c r="H35" s="162">
        <f>客房耗材出入库录入!H35</f>
        <v>0</v>
      </c>
      <c r="I35" s="162">
        <f>客房耗材出入库录入!I35</f>
        <v>0</v>
      </c>
      <c r="J35" s="162">
        <f>客房耗材出入库录入!J35</f>
        <v>0</v>
      </c>
      <c r="K35" s="162">
        <f>客房耗材出入库录入!K35</f>
        <v>0</v>
      </c>
      <c r="L35" s="162">
        <f>客房耗材出入库录入!L35</f>
        <v>0</v>
      </c>
      <c r="M35" s="162">
        <f>客房耗材出入库录入!M35</f>
        <v>0</v>
      </c>
      <c r="N35" s="162">
        <f>客房耗材出入库录入!N35</f>
        <v>0</v>
      </c>
      <c r="O35" s="162">
        <f>客房耗材出入库录入!O35*$E35</f>
        <v>0</v>
      </c>
      <c r="P35" s="162">
        <f>客房耗材出入库录入!P35*$E35</f>
        <v>0</v>
      </c>
      <c r="Q35" s="162">
        <f>客房耗材出入库录入!Q35*$E35</f>
        <v>0</v>
      </c>
      <c r="R35" s="162">
        <f>客房耗材出入库录入!R35*$E35</f>
        <v>0</v>
      </c>
      <c r="S35" s="162">
        <f>客房耗材出入库录入!S35*$E35</f>
        <v>0</v>
      </c>
      <c r="T35" s="162">
        <f>客房耗材出入库录入!T35*$E35</f>
        <v>0</v>
      </c>
      <c r="U35" s="162">
        <f>客房耗材出入库录入!U35*$E35</f>
        <v>0</v>
      </c>
      <c r="V35" s="162">
        <f>客房耗材出入库录入!V35*$E35</f>
        <v>0</v>
      </c>
      <c r="W35" s="162">
        <f>客房耗材出入库录入!W35*$E35</f>
        <v>0</v>
      </c>
      <c r="X35" s="162">
        <f>客房耗材出入库录入!X35*$E35</f>
        <v>0</v>
      </c>
      <c r="Y35" s="162">
        <f>客房耗材出入库录入!Y35*$E35</f>
        <v>0</v>
      </c>
      <c r="Z35" s="162">
        <f>客房耗材出入库录入!Z35*$E35</f>
        <v>0</v>
      </c>
      <c r="AA35" s="162">
        <f>客房耗材出入库录入!AA35*$E35</f>
        <v>0</v>
      </c>
      <c r="AB35" s="162">
        <f>客房耗材出入库录入!AB35*$E35</f>
        <v>0</v>
      </c>
      <c r="AC35" s="162">
        <f>客房耗材出入库录入!AC35*$E35</f>
        <v>0</v>
      </c>
      <c r="AD35" s="162">
        <f>客房耗材出入库录入!AD35*$E35</f>
        <v>0</v>
      </c>
      <c r="AE35" s="162">
        <f>客房耗材出入库录入!AE35*$E35</f>
        <v>0</v>
      </c>
      <c r="AF35" s="162">
        <f>客房耗材出入库录入!AF35*$E35</f>
        <v>0</v>
      </c>
      <c r="AG35" s="162">
        <f>客房耗材出入库录入!AG35*$E35</f>
        <v>0</v>
      </c>
      <c r="AH35" s="162">
        <f>客房耗材出入库录入!AH35*$E35</f>
        <v>0</v>
      </c>
      <c r="AI35" s="162">
        <f>客房耗材出入库录入!AI35*$E35</f>
        <v>0</v>
      </c>
      <c r="AJ35" s="162">
        <f>客房耗材出入库录入!AJ35*$E35</f>
        <v>0</v>
      </c>
      <c r="AK35" s="162">
        <f>客房耗材出入库录入!AK35*$E35</f>
        <v>0</v>
      </c>
      <c r="AL35" s="162">
        <f>客房耗材出入库录入!AL35*$E35</f>
        <v>0</v>
      </c>
      <c r="AM35" s="162">
        <f>客房耗材出入库录入!AM35*$E35</f>
        <v>0</v>
      </c>
      <c r="AN35" s="162">
        <f>客房耗材出入库录入!AN35*$E35</f>
        <v>0</v>
      </c>
      <c r="AO35" s="162">
        <f>客房耗材出入库录入!AO35*$E35</f>
        <v>0</v>
      </c>
      <c r="AP35" s="162">
        <f>客房耗材出入库录入!AP35*$E35</f>
        <v>0</v>
      </c>
      <c r="AQ35" s="162">
        <f>客房耗材出入库录入!AQ35*$E35</f>
        <v>0</v>
      </c>
      <c r="AR35" s="162">
        <f>客房耗材出入库录入!AR35*$E35</f>
        <v>0</v>
      </c>
      <c r="AS35" s="162">
        <f>客房耗材出入库录入!AS35*$E35</f>
        <v>0</v>
      </c>
      <c r="AT35" s="162">
        <f>客房耗材出入库录入!AT35*$E35</f>
        <v>0</v>
      </c>
      <c r="AU35" s="162">
        <f>客房耗材出入库录入!AU35*$E35</f>
        <v>0</v>
      </c>
      <c r="AV35" s="162">
        <f>客房耗材出入库录入!AV35*$E35</f>
        <v>0</v>
      </c>
      <c r="AW35" s="162">
        <f>客房耗材出入库录入!AW35*$E35</f>
        <v>0</v>
      </c>
      <c r="AX35" s="162">
        <f>客房耗材出入库录入!AX35*$E35</f>
        <v>0</v>
      </c>
      <c r="AY35" s="162">
        <f>客房耗材出入库录入!AY35*$E35</f>
        <v>0</v>
      </c>
      <c r="AZ35" s="162">
        <f>客房耗材出入库录入!AZ35*$E35</f>
        <v>0</v>
      </c>
      <c r="BA35" s="162">
        <f>客房耗材出入库录入!BA35*$E35</f>
        <v>0</v>
      </c>
      <c r="BB35" s="162">
        <f>客房耗材出入库录入!BB35*$E35</f>
        <v>0</v>
      </c>
      <c r="BC35" s="162">
        <f>客房耗材出入库录入!BC35*$E35</f>
        <v>0</v>
      </c>
      <c r="BD35" s="162">
        <f>客房耗材出入库录入!BD35*$E35</f>
        <v>0</v>
      </c>
      <c r="BE35" s="162">
        <f>客房耗材出入库录入!BE35*$E35</f>
        <v>0</v>
      </c>
      <c r="BF35" s="162">
        <f>客房耗材出入库录入!BF35*$E35</f>
        <v>0</v>
      </c>
      <c r="BG35" s="162">
        <f>客房耗材出入库录入!BG35*$E35</f>
        <v>0</v>
      </c>
      <c r="BH35" s="162">
        <f>客房耗材出入库录入!BH35*$E35</f>
        <v>0</v>
      </c>
      <c r="BI35" s="162">
        <f>客房耗材出入库录入!BI35*$E35</f>
        <v>0</v>
      </c>
      <c r="BJ35" s="162">
        <f>客房耗材出入库录入!BJ35*$E35</f>
        <v>0</v>
      </c>
      <c r="BK35" s="162">
        <f>客房耗材出入库录入!BK35*$E35</f>
        <v>0</v>
      </c>
      <c r="BL35" s="162">
        <f>客房耗材出入库录入!BL35*$E35</f>
        <v>0</v>
      </c>
      <c r="BM35" s="162">
        <f>客房耗材出入库录入!BM35*$E35</f>
        <v>0</v>
      </c>
      <c r="BN35" s="162">
        <f>客房耗材出入库录入!BN35*$E35</f>
        <v>0</v>
      </c>
      <c r="BO35" s="162">
        <f>客房耗材出入库录入!BO35*$E35</f>
        <v>0</v>
      </c>
      <c r="BP35" s="162">
        <f>客房耗材出入库录入!BP35*$E35</f>
        <v>0</v>
      </c>
      <c r="BQ35" s="162">
        <f>客房耗材出入库录入!BQ35*$E35</f>
        <v>0</v>
      </c>
      <c r="BR35" s="162">
        <f>客房耗材出入库录入!BR35*$E35</f>
        <v>0</v>
      </c>
      <c r="BS35" s="162">
        <f>客房耗材出入库录入!BS35*$E35</f>
        <v>0</v>
      </c>
      <c r="BT35" s="162">
        <f>客房耗材出入库录入!BT35*$E35</f>
        <v>0</v>
      </c>
      <c r="BU35" s="162">
        <f>客房耗材出入库录入!BU35*$E35</f>
        <v>0</v>
      </c>
      <c r="BV35" s="162">
        <f>客房耗材出入库录入!BV35*$E35</f>
        <v>0</v>
      </c>
      <c r="BW35" s="162">
        <f>客房耗材出入库录入!BW35*$E35</f>
        <v>0</v>
      </c>
    </row>
    <row r="36" s="140" customFormat="1" customHeight="1" spans="1:75">
      <c r="A36" s="161">
        <v>1</v>
      </c>
      <c r="B36" s="162">
        <f>客房耗材出入库录入!B36</f>
        <v>0</v>
      </c>
      <c r="C36" s="162">
        <f>客房耗材出入库录入!C36</f>
        <v>0</v>
      </c>
      <c r="D36" s="162">
        <f>客房耗材出入库录入!D36</f>
        <v>0</v>
      </c>
      <c r="E36" s="162">
        <f>客房耗材出入库录入!E36</f>
        <v>0</v>
      </c>
      <c r="F36" s="162">
        <f>客房耗材出入库录入!F36</f>
        <v>0</v>
      </c>
      <c r="G36" s="162">
        <f>客房耗材出入库录入!G36</f>
        <v>0</v>
      </c>
      <c r="H36" s="162">
        <f>客房耗材出入库录入!H36</f>
        <v>0</v>
      </c>
      <c r="I36" s="162">
        <f>客房耗材出入库录入!I36</f>
        <v>0</v>
      </c>
      <c r="J36" s="162">
        <f>客房耗材出入库录入!J36</f>
        <v>0</v>
      </c>
      <c r="K36" s="162">
        <f>客房耗材出入库录入!K36</f>
        <v>0</v>
      </c>
      <c r="L36" s="162">
        <f>客房耗材出入库录入!L36</f>
        <v>0</v>
      </c>
      <c r="M36" s="162">
        <f>客房耗材出入库录入!M36</f>
        <v>0</v>
      </c>
      <c r="N36" s="162">
        <f>客房耗材出入库录入!N36</f>
        <v>0</v>
      </c>
      <c r="O36" s="162">
        <f>客房耗材出入库录入!O36*$E36</f>
        <v>0</v>
      </c>
      <c r="P36" s="162">
        <f>客房耗材出入库录入!P36*$E36</f>
        <v>0</v>
      </c>
      <c r="Q36" s="162">
        <f>客房耗材出入库录入!Q36*$E36</f>
        <v>0</v>
      </c>
      <c r="R36" s="162">
        <f>客房耗材出入库录入!R36*$E36</f>
        <v>0</v>
      </c>
      <c r="S36" s="162">
        <f>客房耗材出入库录入!S36*$E36</f>
        <v>0</v>
      </c>
      <c r="T36" s="162">
        <f>客房耗材出入库录入!T36*$E36</f>
        <v>0</v>
      </c>
      <c r="U36" s="162">
        <f>客房耗材出入库录入!U36*$E36</f>
        <v>0</v>
      </c>
      <c r="V36" s="162">
        <f>客房耗材出入库录入!V36*$E36</f>
        <v>0</v>
      </c>
      <c r="W36" s="162">
        <f>客房耗材出入库录入!W36*$E36</f>
        <v>0</v>
      </c>
      <c r="X36" s="162">
        <f>客房耗材出入库录入!X36*$E36</f>
        <v>0</v>
      </c>
      <c r="Y36" s="162">
        <f>客房耗材出入库录入!Y36*$E36</f>
        <v>0</v>
      </c>
      <c r="Z36" s="162">
        <f>客房耗材出入库录入!Z36*$E36</f>
        <v>0</v>
      </c>
      <c r="AA36" s="162">
        <f>客房耗材出入库录入!AA36*$E36</f>
        <v>0</v>
      </c>
      <c r="AB36" s="162">
        <f>客房耗材出入库录入!AB36*$E36</f>
        <v>0</v>
      </c>
      <c r="AC36" s="162">
        <f>客房耗材出入库录入!AC36*$E36</f>
        <v>0</v>
      </c>
      <c r="AD36" s="162">
        <f>客房耗材出入库录入!AD36*$E36</f>
        <v>0</v>
      </c>
      <c r="AE36" s="162">
        <f>客房耗材出入库录入!AE36*$E36</f>
        <v>0</v>
      </c>
      <c r="AF36" s="162">
        <f>客房耗材出入库录入!AF36*$E36</f>
        <v>0</v>
      </c>
      <c r="AG36" s="162">
        <f>客房耗材出入库录入!AG36*$E36</f>
        <v>0</v>
      </c>
      <c r="AH36" s="162">
        <f>客房耗材出入库录入!AH36*$E36</f>
        <v>0</v>
      </c>
      <c r="AI36" s="162">
        <f>客房耗材出入库录入!AI36*$E36</f>
        <v>0</v>
      </c>
      <c r="AJ36" s="162">
        <f>客房耗材出入库录入!AJ36*$E36</f>
        <v>0</v>
      </c>
      <c r="AK36" s="162">
        <f>客房耗材出入库录入!AK36*$E36</f>
        <v>0</v>
      </c>
      <c r="AL36" s="162">
        <f>客房耗材出入库录入!AL36*$E36</f>
        <v>0</v>
      </c>
      <c r="AM36" s="162">
        <f>客房耗材出入库录入!AM36*$E36</f>
        <v>0</v>
      </c>
      <c r="AN36" s="162">
        <f>客房耗材出入库录入!AN36*$E36</f>
        <v>0</v>
      </c>
      <c r="AO36" s="162">
        <f>客房耗材出入库录入!AO36*$E36</f>
        <v>0</v>
      </c>
      <c r="AP36" s="162">
        <f>客房耗材出入库录入!AP36*$E36</f>
        <v>0</v>
      </c>
      <c r="AQ36" s="162">
        <f>客房耗材出入库录入!AQ36*$E36</f>
        <v>0</v>
      </c>
      <c r="AR36" s="162">
        <f>客房耗材出入库录入!AR36*$E36</f>
        <v>0</v>
      </c>
      <c r="AS36" s="162">
        <f>客房耗材出入库录入!AS36*$E36</f>
        <v>0</v>
      </c>
      <c r="AT36" s="162">
        <f>客房耗材出入库录入!AT36*$E36</f>
        <v>0</v>
      </c>
      <c r="AU36" s="162">
        <f>客房耗材出入库录入!AU36*$E36</f>
        <v>0</v>
      </c>
      <c r="AV36" s="162">
        <f>客房耗材出入库录入!AV36*$E36</f>
        <v>0</v>
      </c>
      <c r="AW36" s="162">
        <f>客房耗材出入库录入!AW36*$E36</f>
        <v>0</v>
      </c>
      <c r="AX36" s="162">
        <f>客房耗材出入库录入!AX36*$E36</f>
        <v>0</v>
      </c>
      <c r="AY36" s="162">
        <f>客房耗材出入库录入!AY36*$E36</f>
        <v>0</v>
      </c>
      <c r="AZ36" s="162">
        <f>客房耗材出入库录入!AZ36*$E36</f>
        <v>0</v>
      </c>
      <c r="BA36" s="162">
        <f>客房耗材出入库录入!BA36*$E36</f>
        <v>0</v>
      </c>
      <c r="BB36" s="162">
        <f>客房耗材出入库录入!BB36*$E36</f>
        <v>0</v>
      </c>
      <c r="BC36" s="162">
        <f>客房耗材出入库录入!BC36*$E36</f>
        <v>0</v>
      </c>
      <c r="BD36" s="162">
        <f>客房耗材出入库录入!BD36*$E36</f>
        <v>0</v>
      </c>
      <c r="BE36" s="162">
        <f>客房耗材出入库录入!BE36*$E36</f>
        <v>0</v>
      </c>
      <c r="BF36" s="162">
        <f>客房耗材出入库录入!BF36*$E36</f>
        <v>0</v>
      </c>
      <c r="BG36" s="162">
        <f>客房耗材出入库录入!BG36*$E36</f>
        <v>0</v>
      </c>
      <c r="BH36" s="162">
        <f>客房耗材出入库录入!BH36*$E36</f>
        <v>0</v>
      </c>
      <c r="BI36" s="162">
        <f>客房耗材出入库录入!BI36*$E36</f>
        <v>0</v>
      </c>
      <c r="BJ36" s="162">
        <f>客房耗材出入库录入!BJ36*$E36</f>
        <v>0</v>
      </c>
      <c r="BK36" s="162">
        <f>客房耗材出入库录入!BK36*$E36</f>
        <v>0</v>
      </c>
      <c r="BL36" s="162">
        <f>客房耗材出入库录入!BL36*$E36</f>
        <v>0</v>
      </c>
      <c r="BM36" s="162">
        <f>客房耗材出入库录入!BM36*$E36</f>
        <v>0</v>
      </c>
      <c r="BN36" s="162">
        <f>客房耗材出入库录入!BN36*$E36</f>
        <v>0</v>
      </c>
      <c r="BO36" s="162">
        <f>客房耗材出入库录入!BO36*$E36</f>
        <v>0</v>
      </c>
      <c r="BP36" s="162">
        <f>客房耗材出入库录入!BP36*$E36</f>
        <v>0</v>
      </c>
      <c r="BQ36" s="162">
        <f>客房耗材出入库录入!BQ36*$E36</f>
        <v>0</v>
      </c>
      <c r="BR36" s="162">
        <f>客房耗材出入库录入!BR36*$E36</f>
        <v>0</v>
      </c>
      <c r="BS36" s="162">
        <f>客房耗材出入库录入!BS36*$E36</f>
        <v>0</v>
      </c>
      <c r="BT36" s="162">
        <f>客房耗材出入库录入!BT36*$E36</f>
        <v>0</v>
      </c>
      <c r="BU36" s="162">
        <f>客房耗材出入库录入!BU36*$E36</f>
        <v>0</v>
      </c>
      <c r="BV36" s="162">
        <f>客房耗材出入库录入!BV36*$E36</f>
        <v>0</v>
      </c>
      <c r="BW36" s="162">
        <f>客房耗材出入库录入!BW36*$E36</f>
        <v>0</v>
      </c>
    </row>
    <row r="37" s="140" customFormat="1" customHeight="1" spans="1:75">
      <c r="A37" s="161">
        <v>1</v>
      </c>
      <c r="B37" s="162">
        <f>客房耗材出入库录入!B37</f>
        <v>0</v>
      </c>
      <c r="C37" s="162">
        <f>客房耗材出入库录入!C37</f>
        <v>0</v>
      </c>
      <c r="D37" s="162">
        <f>客房耗材出入库录入!D37</f>
        <v>0</v>
      </c>
      <c r="E37" s="162">
        <f>客房耗材出入库录入!E37</f>
        <v>0</v>
      </c>
      <c r="F37" s="162">
        <f>客房耗材出入库录入!F37</f>
        <v>0</v>
      </c>
      <c r="G37" s="162">
        <f>客房耗材出入库录入!G37</f>
        <v>0</v>
      </c>
      <c r="H37" s="162">
        <f>客房耗材出入库录入!H37</f>
        <v>0</v>
      </c>
      <c r="I37" s="162">
        <f>客房耗材出入库录入!I37</f>
        <v>0</v>
      </c>
      <c r="J37" s="162">
        <f>客房耗材出入库录入!J37</f>
        <v>0</v>
      </c>
      <c r="K37" s="162">
        <f>客房耗材出入库录入!K37</f>
        <v>0</v>
      </c>
      <c r="L37" s="162">
        <f>客房耗材出入库录入!L37</f>
        <v>0</v>
      </c>
      <c r="M37" s="162">
        <f>客房耗材出入库录入!M37</f>
        <v>0</v>
      </c>
      <c r="N37" s="162">
        <f>客房耗材出入库录入!N37</f>
        <v>0</v>
      </c>
      <c r="O37" s="162">
        <f>客房耗材出入库录入!O37*$E37</f>
        <v>0</v>
      </c>
      <c r="P37" s="162">
        <f>客房耗材出入库录入!P37*$E37</f>
        <v>0</v>
      </c>
      <c r="Q37" s="162">
        <f>客房耗材出入库录入!Q37*$E37</f>
        <v>0</v>
      </c>
      <c r="R37" s="162">
        <f>客房耗材出入库录入!R37*$E37</f>
        <v>0</v>
      </c>
      <c r="S37" s="162">
        <f>客房耗材出入库录入!S37*$E37</f>
        <v>0</v>
      </c>
      <c r="T37" s="162">
        <f>客房耗材出入库录入!T37*$E37</f>
        <v>0</v>
      </c>
      <c r="U37" s="162">
        <f>客房耗材出入库录入!U37*$E37</f>
        <v>0</v>
      </c>
      <c r="V37" s="162">
        <f>客房耗材出入库录入!V37*$E37</f>
        <v>0</v>
      </c>
      <c r="W37" s="162">
        <f>客房耗材出入库录入!W37*$E37</f>
        <v>0</v>
      </c>
      <c r="X37" s="162">
        <f>客房耗材出入库录入!X37*$E37</f>
        <v>0</v>
      </c>
      <c r="Y37" s="162">
        <f>客房耗材出入库录入!Y37*$E37</f>
        <v>0</v>
      </c>
      <c r="Z37" s="162">
        <f>客房耗材出入库录入!Z37*$E37</f>
        <v>0</v>
      </c>
      <c r="AA37" s="162">
        <f>客房耗材出入库录入!AA37*$E37</f>
        <v>0</v>
      </c>
      <c r="AB37" s="162">
        <f>客房耗材出入库录入!AB37*$E37</f>
        <v>0</v>
      </c>
      <c r="AC37" s="162">
        <f>客房耗材出入库录入!AC37*$E37</f>
        <v>0</v>
      </c>
      <c r="AD37" s="162">
        <f>客房耗材出入库录入!AD37*$E37</f>
        <v>0</v>
      </c>
      <c r="AE37" s="162">
        <f>客房耗材出入库录入!AE37*$E37</f>
        <v>0</v>
      </c>
      <c r="AF37" s="162">
        <f>客房耗材出入库录入!AF37*$E37</f>
        <v>0</v>
      </c>
      <c r="AG37" s="162">
        <f>客房耗材出入库录入!AG37*$E37</f>
        <v>0</v>
      </c>
      <c r="AH37" s="162">
        <f>客房耗材出入库录入!AH37*$E37</f>
        <v>0</v>
      </c>
      <c r="AI37" s="162">
        <f>客房耗材出入库录入!AI37*$E37</f>
        <v>0</v>
      </c>
      <c r="AJ37" s="162">
        <f>客房耗材出入库录入!AJ37*$E37</f>
        <v>0</v>
      </c>
      <c r="AK37" s="162">
        <f>客房耗材出入库录入!AK37*$E37</f>
        <v>0</v>
      </c>
      <c r="AL37" s="162">
        <f>客房耗材出入库录入!AL37*$E37</f>
        <v>0</v>
      </c>
      <c r="AM37" s="162">
        <f>客房耗材出入库录入!AM37*$E37</f>
        <v>0</v>
      </c>
      <c r="AN37" s="162">
        <f>客房耗材出入库录入!AN37*$E37</f>
        <v>0</v>
      </c>
      <c r="AO37" s="162">
        <f>客房耗材出入库录入!AO37*$E37</f>
        <v>0</v>
      </c>
      <c r="AP37" s="162">
        <f>客房耗材出入库录入!AP37*$E37</f>
        <v>0</v>
      </c>
      <c r="AQ37" s="162">
        <f>客房耗材出入库录入!AQ37*$E37</f>
        <v>0</v>
      </c>
      <c r="AR37" s="162">
        <f>客房耗材出入库录入!AR37*$E37</f>
        <v>0</v>
      </c>
      <c r="AS37" s="162">
        <f>客房耗材出入库录入!AS37*$E37</f>
        <v>0</v>
      </c>
      <c r="AT37" s="162">
        <f>客房耗材出入库录入!AT37*$E37</f>
        <v>0</v>
      </c>
      <c r="AU37" s="162">
        <f>客房耗材出入库录入!AU37*$E37</f>
        <v>0</v>
      </c>
      <c r="AV37" s="162">
        <f>客房耗材出入库录入!AV37*$E37</f>
        <v>0</v>
      </c>
      <c r="AW37" s="162">
        <f>客房耗材出入库录入!AW37*$E37</f>
        <v>0</v>
      </c>
      <c r="AX37" s="162">
        <f>客房耗材出入库录入!AX37*$E37</f>
        <v>0</v>
      </c>
      <c r="AY37" s="162">
        <f>客房耗材出入库录入!AY37*$E37</f>
        <v>0</v>
      </c>
      <c r="AZ37" s="162">
        <f>客房耗材出入库录入!AZ37*$E37</f>
        <v>0</v>
      </c>
      <c r="BA37" s="162">
        <f>客房耗材出入库录入!BA37*$E37</f>
        <v>0</v>
      </c>
      <c r="BB37" s="162">
        <f>客房耗材出入库录入!BB37*$E37</f>
        <v>0</v>
      </c>
      <c r="BC37" s="162">
        <f>客房耗材出入库录入!BC37*$E37</f>
        <v>0</v>
      </c>
      <c r="BD37" s="162">
        <f>客房耗材出入库录入!BD37*$E37</f>
        <v>0</v>
      </c>
      <c r="BE37" s="162">
        <f>客房耗材出入库录入!BE37*$E37</f>
        <v>0</v>
      </c>
      <c r="BF37" s="162">
        <f>客房耗材出入库录入!BF37*$E37</f>
        <v>0</v>
      </c>
      <c r="BG37" s="162">
        <f>客房耗材出入库录入!BG37*$E37</f>
        <v>0</v>
      </c>
      <c r="BH37" s="162">
        <f>客房耗材出入库录入!BH37*$E37</f>
        <v>0</v>
      </c>
      <c r="BI37" s="162">
        <f>客房耗材出入库录入!BI37*$E37</f>
        <v>0</v>
      </c>
      <c r="BJ37" s="162">
        <f>客房耗材出入库录入!BJ37*$E37</f>
        <v>0</v>
      </c>
      <c r="BK37" s="162">
        <f>客房耗材出入库录入!BK37*$E37</f>
        <v>0</v>
      </c>
      <c r="BL37" s="162">
        <f>客房耗材出入库录入!BL37*$E37</f>
        <v>0</v>
      </c>
      <c r="BM37" s="162">
        <f>客房耗材出入库录入!BM37*$E37</f>
        <v>0</v>
      </c>
      <c r="BN37" s="162">
        <f>客房耗材出入库录入!BN37*$E37</f>
        <v>0</v>
      </c>
      <c r="BO37" s="162">
        <f>客房耗材出入库录入!BO37*$E37</f>
        <v>0</v>
      </c>
      <c r="BP37" s="162">
        <f>客房耗材出入库录入!BP37*$E37</f>
        <v>0</v>
      </c>
      <c r="BQ37" s="162">
        <f>客房耗材出入库录入!BQ37*$E37</f>
        <v>0</v>
      </c>
      <c r="BR37" s="162">
        <f>客房耗材出入库录入!BR37*$E37</f>
        <v>0</v>
      </c>
      <c r="BS37" s="162">
        <f>客房耗材出入库录入!BS37*$E37</f>
        <v>0</v>
      </c>
      <c r="BT37" s="162">
        <f>客房耗材出入库录入!BT37*$E37</f>
        <v>0</v>
      </c>
      <c r="BU37" s="162">
        <f>客房耗材出入库录入!BU37*$E37</f>
        <v>0</v>
      </c>
      <c r="BV37" s="162">
        <f>客房耗材出入库录入!BV37*$E37</f>
        <v>0</v>
      </c>
      <c r="BW37" s="162">
        <f>客房耗材出入库录入!BW37*$E37</f>
        <v>0</v>
      </c>
    </row>
    <row r="38" s="140" customFormat="1" customHeight="1" spans="1:75">
      <c r="A38" s="161">
        <v>1</v>
      </c>
      <c r="B38" s="162">
        <f>客房耗材出入库录入!B38</f>
        <v>0</v>
      </c>
      <c r="C38" s="162">
        <f>客房耗材出入库录入!C38</f>
        <v>0</v>
      </c>
      <c r="D38" s="162">
        <f>客房耗材出入库录入!D38</f>
        <v>0</v>
      </c>
      <c r="E38" s="162">
        <f>客房耗材出入库录入!E38</f>
        <v>0</v>
      </c>
      <c r="F38" s="162">
        <f>客房耗材出入库录入!F38</f>
        <v>0</v>
      </c>
      <c r="G38" s="162">
        <f>客房耗材出入库录入!G38</f>
        <v>0</v>
      </c>
      <c r="H38" s="162">
        <f>客房耗材出入库录入!H38</f>
        <v>0</v>
      </c>
      <c r="I38" s="162">
        <f>客房耗材出入库录入!I38</f>
        <v>0</v>
      </c>
      <c r="J38" s="162">
        <f>客房耗材出入库录入!J38</f>
        <v>0</v>
      </c>
      <c r="K38" s="162">
        <f>客房耗材出入库录入!K38</f>
        <v>0</v>
      </c>
      <c r="L38" s="162">
        <f>客房耗材出入库录入!L38</f>
        <v>0</v>
      </c>
      <c r="M38" s="162">
        <f>客房耗材出入库录入!M38</f>
        <v>0</v>
      </c>
      <c r="N38" s="162">
        <f>客房耗材出入库录入!N38</f>
        <v>0</v>
      </c>
      <c r="O38" s="162">
        <f>客房耗材出入库录入!O38*$E38</f>
        <v>0</v>
      </c>
      <c r="P38" s="162">
        <f>客房耗材出入库录入!P38*$E38</f>
        <v>0</v>
      </c>
      <c r="Q38" s="162">
        <f>客房耗材出入库录入!Q38*$E38</f>
        <v>0</v>
      </c>
      <c r="R38" s="162">
        <f>客房耗材出入库录入!R38*$E38</f>
        <v>0</v>
      </c>
      <c r="S38" s="162">
        <f>客房耗材出入库录入!S38*$E38</f>
        <v>0</v>
      </c>
      <c r="T38" s="162">
        <f>客房耗材出入库录入!T38*$E38</f>
        <v>0</v>
      </c>
      <c r="U38" s="162">
        <f>客房耗材出入库录入!U38*$E38</f>
        <v>0</v>
      </c>
      <c r="V38" s="162">
        <f>客房耗材出入库录入!V38*$E38</f>
        <v>0</v>
      </c>
      <c r="W38" s="162">
        <f>客房耗材出入库录入!W38*$E38</f>
        <v>0</v>
      </c>
      <c r="X38" s="162">
        <f>客房耗材出入库录入!X38*$E38</f>
        <v>0</v>
      </c>
      <c r="Y38" s="162">
        <f>客房耗材出入库录入!Y38*$E38</f>
        <v>0</v>
      </c>
      <c r="Z38" s="162">
        <f>客房耗材出入库录入!Z38*$E38</f>
        <v>0</v>
      </c>
      <c r="AA38" s="162">
        <f>客房耗材出入库录入!AA38*$E38</f>
        <v>0</v>
      </c>
      <c r="AB38" s="162">
        <f>客房耗材出入库录入!AB38*$E38</f>
        <v>0</v>
      </c>
      <c r="AC38" s="162">
        <f>客房耗材出入库录入!AC38*$E38</f>
        <v>0</v>
      </c>
      <c r="AD38" s="162">
        <f>客房耗材出入库录入!AD38*$E38</f>
        <v>0</v>
      </c>
      <c r="AE38" s="162">
        <f>客房耗材出入库录入!AE38*$E38</f>
        <v>0</v>
      </c>
      <c r="AF38" s="162">
        <f>客房耗材出入库录入!AF38*$E38</f>
        <v>0</v>
      </c>
      <c r="AG38" s="162">
        <f>客房耗材出入库录入!AG38*$E38</f>
        <v>0</v>
      </c>
      <c r="AH38" s="162">
        <f>客房耗材出入库录入!AH38*$E38</f>
        <v>0</v>
      </c>
      <c r="AI38" s="162">
        <f>客房耗材出入库录入!AI38*$E38</f>
        <v>0</v>
      </c>
      <c r="AJ38" s="162">
        <f>客房耗材出入库录入!AJ38*$E38</f>
        <v>0</v>
      </c>
      <c r="AK38" s="162">
        <f>客房耗材出入库录入!AK38*$E38</f>
        <v>0</v>
      </c>
      <c r="AL38" s="162">
        <f>客房耗材出入库录入!AL38*$E38</f>
        <v>0</v>
      </c>
      <c r="AM38" s="162">
        <f>客房耗材出入库录入!AM38*$E38</f>
        <v>0</v>
      </c>
      <c r="AN38" s="162">
        <f>客房耗材出入库录入!AN38*$E38</f>
        <v>0</v>
      </c>
      <c r="AO38" s="162">
        <f>客房耗材出入库录入!AO38*$E38</f>
        <v>0</v>
      </c>
      <c r="AP38" s="162">
        <f>客房耗材出入库录入!AP38*$E38</f>
        <v>0</v>
      </c>
      <c r="AQ38" s="162">
        <f>客房耗材出入库录入!AQ38*$E38</f>
        <v>0</v>
      </c>
      <c r="AR38" s="162">
        <f>客房耗材出入库录入!AR38*$E38</f>
        <v>0</v>
      </c>
      <c r="AS38" s="162">
        <f>客房耗材出入库录入!AS38*$E38</f>
        <v>0</v>
      </c>
      <c r="AT38" s="162">
        <f>客房耗材出入库录入!AT38*$E38</f>
        <v>0</v>
      </c>
      <c r="AU38" s="162">
        <f>客房耗材出入库录入!AU38*$E38</f>
        <v>0</v>
      </c>
      <c r="AV38" s="162">
        <f>客房耗材出入库录入!AV38*$E38</f>
        <v>0</v>
      </c>
      <c r="AW38" s="162">
        <f>客房耗材出入库录入!AW38*$E38</f>
        <v>0</v>
      </c>
      <c r="AX38" s="162">
        <f>客房耗材出入库录入!AX38*$E38</f>
        <v>0</v>
      </c>
      <c r="AY38" s="162">
        <f>客房耗材出入库录入!AY38*$E38</f>
        <v>0</v>
      </c>
      <c r="AZ38" s="162">
        <f>客房耗材出入库录入!AZ38*$E38</f>
        <v>0</v>
      </c>
      <c r="BA38" s="162">
        <f>客房耗材出入库录入!BA38*$E38</f>
        <v>0</v>
      </c>
      <c r="BB38" s="162">
        <f>客房耗材出入库录入!BB38*$E38</f>
        <v>0</v>
      </c>
      <c r="BC38" s="162">
        <f>客房耗材出入库录入!BC38*$E38</f>
        <v>0</v>
      </c>
      <c r="BD38" s="162">
        <f>客房耗材出入库录入!BD38*$E38</f>
        <v>0</v>
      </c>
      <c r="BE38" s="162">
        <f>客房耗材出入库录入!BE38*$E38</f>
        <v>0</v>
      </c>
      <c r="BF38" s="162">
        <f>客房耗材出入库录入!BF38*$E38</f>
        <v>0</v>
      </c>
      <c r="BG38" s="162">
        <f>客房耗材出入库录入!BG38*$E38</f>
        <v>0</v>
      </c>
      <c r="BH38" s="162">
        <f>客房耗材出入库录入!BH38*$E38</f>
        <v>0</v>
      </c>
      <c r="BI38" s="162">
        <f>客房耗材出入库录入!BI38*$E38</f>
        <v>0</v>
      </c>
      <c r="BJ38" s="162">
        <f>客房耗材出入库录入!BJ38*$E38</f>
        <v>0</v>
      </c>
      <c r="BK38" s="162">
        <f>客房耗材出入库录入!BK38*$E38</f>
        <v>0</v>
      </c>
      <c r="BL38" s="162">
        <f>客房耗材出入库录入!BL38*$E38</f>
        <v>0</v>
      </c>
      <c r="BM38" s="162">
        <f>客房耗材出入库录入!BM38*$E38</f>
        <v>0</v>
      </c>
      <c r="BN38" s="162">
        <f>客房耗材出入库录入!BN38*$E38</f>
        <v>0</v>
      </c>
      <c r="BO38" s="162">
        <f>客房耗材出入库录入!BO38*$E38</f>
        <v>0</v>
      </c>
      <c r="BP38" s="162">
        <f>客房耗材出入库录入!BP38*$E38</f>
        <v>0</v>
      </c>
      <c r="BQ38" s="162">
        <f>客房耗材出入库录入!BQ38*$E38</f>
        <v>0</v>
      </c>
      <c r="BR38" s="162">
        <f>客房耗材出入库录入!BR38*$E38</f>
        <v>0</v>
      </c>
      <c r="BS38" s="162">
        <f>客房耗材出入库录入!BS38*$E38</f>
        <v>0</v>
      </c>
      <c r="BT38" s="162">
        <f>客房耗材出入库录入!BT38*$E38</f>
        <v>0</v>
      </c>
      <c r="BU38" s="162">
        <f>客房耗材出入库录入!BU38*$E38</f>
        <v>0</v>
      </c>
      <c r="BV38" s="162">
        <f>客房耗材出入库录入!BV38*$E38</f>
        <v>0</v>
      </c>
      <c r="BW38" s="162">
        <f>客房耗材出入库录入!BW38*$E38</f>
        <v>0</v>
      </c>
    </row>
    <row r="39" s="143" customFormat="1" customHeight="1" spans="1:75">
      <c r="A39" s="161">
        <v>1</v>
      </c>
      <c r="B39" s="162">
        <f>客房耗材出入库录入!B39</f>
        <v>0</v>
      </c>
      <c r="C39" s="162">
        <f>客房耗材出入库录入!C39</f>
        <v>0</v>
      </c>
      <c r="D39" s="162">
        <f>客房耗材出入库录入!D39</f>
        <v>0</v>
      </c>
      <c r="E39" s="162">
        <f>客房耗材出入库录入!E39</f>
        <v>0</v>
      </c>
      <c r="F39" s="162">
        <f>客房耗材出入库录入!F39</f>
        <v>0</v>
      </c>
      <c r="G39" s="162">
        <f>客房耗材出入库录入!G39</f>
        <v>0</v>
      </c>
      <c r="H39" s="162">
        <f>客房耗材出入库录入!H39</f>
        <v>0</v>
      </c>
      <c r="I39" s="162">
        <f>客房耗材出入库录入!I39</f>
        <v>0</v>
      </c>
      <c r="J39" s="162">
        <f>客房耗材出入库录入!J39</f>
        <v>0</v>
      </c>
      <c r="K39" s="162">
        <f>客房耗材出入库录入!K39</f>
        <v>0</v>
      </c>
      <c r="L39" s="162">
        <f>客房耗材出入库录入!L39</f>
        <v>0</v>
      </c>
      <c r="M39" s="162">
        <f>客房耗材出入库录入!M39</f>
        <v>0</v>
      </c>
      <c r="N39" s="162">
        <f>客房耗材出入库录入!N39</f>
        <v>0</v>
      </c>
      <c r="O39" s="162">
        <f>客房耗材出入库录入!O39*$E39</f>
        <v>0</v>
      </c>
      <c r="P39" s="162">
        <f>客房耗材出入库录入!P39*$E39</f>
        <v>0</v>
      </c>
      <c r="Q39" s="162">
        <f>客房耗材出入库录入!Q39*$E39</f>
        <v>0</v>
      </c>
      <c r="R39" s="162">
        <f>客房耗材出入库录入!R39*$E39</f>
        <v>0</v>
      </c>
      <c r="S39" s="162">
        <f>客房耗材出入库录入!S39*$E39</f>
        <v>0</v>
      </c>
      <c r="T39" s="162">
        <f>客房耗材出入库录入!T39*$E39</f>
        <v>0</v>
      </c>
      <c r="U39" s="162">
        <f>客房耗材出入库录入!U39*$E39</f>
        <v>0</v>
      </c>
      <c r="V39" s="162">
        <f>客房耗材出入库录入!V39*$E39</f>
        <v>0</v>
      </c>
      <c r="W39" s="162">
        <f>客房耗材出入库录入!W39*$E39</f>
        <v>0</v>
      </c>
      <c r="X39" s="162">
        <f>客房耗材出入库录入!X39*$E39</f>
        <v>0</v>
      </c>
      <c r="Y39" s="162">
        <f>客房耗材出入库录入!Y39*$E39</f>
        <v>0</v>
      </c>
      <c r="Z39" s="162">
        <f>客房耗材出入库录入!Z39*$E39</f>
        <v>0</v>
      </c>
      <c r="AA39" s="162">
        <f>客房耗材出入库录入!AA39*$E39</f>
        <v>0</v>
      </c>
      <c r="AB39" s="162">
        <f>客房耗材出入库录入!AB39*$E39</f>
        <v>0</v>
      </c>
      <c r="AC39" s="162">
        <f>客房耗材出入库录入!AC39*$E39</f>
        <v>0</v>
      </c>
      <c r="AD39" s="162">
        <f>客房耗材出入库录入!AD39*$E39</f>
        <v>0</v>
      </c>
      <c r="AE39" s="162">
        <f>客房耗材出入库录入!AE39*$E39</f>
        <v>0</v>
      </c>
      <c r="AF39" s="162">
        <f>客房耗材出入库录入!AF39*$E39</f>
        <v>0</v>
      </c>
      <c r="AG39" s="162">
        <f>客房耗材出入库录入!AG39*$E39</f>
        <v>0</v>
      </c>
      <c r="AH39" s="162">
        <f>客房耗材出入库录入!AH39*$E39</f>
        <v>0</v>
      </c>
      <c r="AI39" s="162">
        <f>客房耗材出入库录入!AI39*$E39</f>
        <v>0</v>
      </c>
      <c r="AJ39" s="162">
        <f>客房耗材出入库录入!AJ39*$E39</f>
        <v>0</v>
      </c>
      <c r="AK39" s="162">
        <f>客房耗材出入库录入!AK39*$E39</f>
        <v>0</v>
      </c>
      <c r="AL39" s="162">
        <f>客房耗材出入库录入!AL39*$E39</f>
        <v>0</v>
      </c>
      <c r="AM39" s="162">
        <f>客房耗材出入库录入!AM39*$E39</f>
        <v>0</v>
      </c>
      <c r="AN39" s="162">
        <f>客房耗材出入库录入!AN39*$E39</f>
        <v>0</v>
      </c>
      <c r="AO39" s="162">
        <f>客房耗材出入库录入!AO39*$E39</f>
        <v>0</v>
      </c>
      <c r="AP39" s="162">
        <f>客房耗材出入库录入!AP39*$E39</f>
        <v>0</v>
      </c>
      <c r="AQ39" s="162">
        <f>客房耗材出入库录入!AQ39*$E39</f>
        <v>0</v>
      </c>
      <c r="AR39" s="162">
        <f>客房耗材出入库录入!AR39*$E39</f>
        <v>0</v>
      </c>
      <c r="AS39" s="162">
        <f>客房耗材出入库录入!AS39*$E39</f>
        <v>0</v>
      </c>
      <c r="AT39" s="162">
        <f>客房耗材出入库录入!AT39*$E39</f>
        <v>0</v>
      </c>
      <c r="AU39" s="162">
        <f>客房耗材出入库录入!AU39*$E39</f>
        <v>0</v>
      </c>
      <c r="AV39" s="162">
        <f>客房耗材出入库录入!AV39*$E39</f>
        <v>0</v>
      </c>
      <c r="AW39" s="162">
        <f>客房耗材出入库录入!AW39*$E39</f>
        <v>0</v>
      </c>
      <c r="AX39" s="162">
        <f>客房耗材出入库录入!AX39*$E39</f>
        <v>0</v>
      </c>
      <c r="AY39" s="162">
        <f>客房耗材出入库录入!AY39*$E39</f>
        <v>0</v>
      </c>
      <c r="AZ39" s="162">
        <f>客房耗材出入库录入!AZ39*$E39</f>
        <v>0</v>
      </c>
      <c r="BA39" s="162">
        <f>客房耗材出入库录入!BA39*$E39</f>
        <v>0</v>
      </c>
      <c r="BB39" s="162">
        <f>客房耗材出入库录入!BB39*$E39</f>
        <v>0</v>
      </c>
      <c r="BC39" s="162">
        <f>客房耗材出入库录入!BC39*$E39</f>
        <v>0</v>
      </c>
      <c r="BD39" s="162">
        <f>客房耗材出入库录入!BD39*$E39</f>
        <v>0</v>
      </c>
      <c r="BE39" s="162">
        <f>客房耗材出入库录入!BE39*$E39</f>
        <v>0</v>
      </c>
      <c r="BF39" s="162">
        <f>客房耗材出入库录入!BF39*$E39</f>
        <v>0</v>
      </c>
      <c r="BG39" s="162">
        <f>客房耗材出入库录入!BG39*$E39</f>
        <v>0</v>
      </c>
      <c r="BH39" s="162">
        <f>客房耗材出入库录入!BH39*$E39</f>
        <v>0</v>
      </c>
      <c r="BI39" s="162">
        <f>客房耗材出入库录入!BI39*$E39</f>
        <v>0</v>
      </c>
      <c r="BJ39" s="162">
        <f>客房耗材出入库录入!BJ39*$E39</f>
        <v>0</v>
      </c>
      <c r="BK39" s="162">
        <f>客房耗材出入库录入!BK39*$E39</f>
        <v>0</v>
      </c>
      <c r="BL39" s="162">
        <f>客房耗材出入库录入!BL39*$E39</f>
        <v>0</v>
      </c>
      <c r="BM39" s="162">
        <f>客房耗材出入库录入!BM39*$E39</f>
        <v>0</v>
      </c>
      <c r="BN39" s="162">
        <f>客房耗材出入库录入!BN39*$E39</f>
        <v>0</v>
      </c>
      <c r="BO39" s="162">
        <f>客房耗材出入库录入!BO39*$E39</f>
        <v>0</v>
      </c>
      <c r="BP39" s="162">
        <f>客房耗材出入库录入!BP39*$E39</f>
        <v>0</v>
      </c>
      <c r="BQ39" s="162">
        <f>客房耗材出入库录入!BQ39*$E39</f>
        <v>0</v>
      </c>
      <c r="BR39" s="162">
        <f>客房耗材出入库录入!BR39*$E39</f>
        <v>0</v>
      </c>
      <c r="BS39" s="162">
        <f>客房耗材出入库录入!BS39*$E39</f>
        <v>0</v>
      </c>
      <c r="BT39" s="162">
        <f>客房耗材出入库录入!BT39*$E39</f>
        <v>0</v>
      </c>
      <c r="BU39" s="162">
        <f>客房耗材出入库录入!BU39*$E39</f>
        <v>0</v>
      </c>
      <c r="BV39" s="162">
        <f>客房耗材出入库录入!BV39*$E39</f>
        <v>0</v>
      </c>
      <c r="BW39" s="162">
        <f>客房耗材出入库录入!BW39*$E39</f>
        <v>0</v>
      </c>
    </row>
    <row r="40" s="143" customFormat="1" customHeight="1" spans="1:75">
      <c r="A40" s="161">
        <v>1</v>
      </c>
      <c r="B40" s="162">
        <f>客房耗材出入库录入!B40</f>
        <v>0</v>
      </c>
      <c r="C40" s="162">
        <f>客房耗材出入库录入!C40</f>
        <v>0</v>
      </c>
      <c r="D40" s="162">
        <f>客房耗材出入库录入!D40</f>
        <v>0</v>
      </c>
      <c r="E40" s="162">
        <f>客房耗材出入库录入!E40</f>
        <v>0</v>
      </c>
      <c r="F40" s="162">
        <f>客房耗材出入库录入!F40</f>
        <v>0</v>
      </c>
      <c r="G40" s="162">
        <f>客房耗材出入库录入!G40</f>
        <v>0</v>
      </c>
      <c r="H40" s="162">
        <f>客房耗材出入库录入!H40</f>
        <v>0</v>
      </c>
      <c r="I40" s="162">
        <f>客房耗材出入库录入!I40</f>
        <v>0</v>
      </c>
      <c r="J40" s="162">
        <f>客房耗材出入库录入!J40</f>
        <v>0</v>
      </c>
      <c r="K40" s="162">
        <f>客房耗材出入库录入!K40</f>
        <v>0</v>
      </c>
      <c r="L40" s="162">
        <f>客房耗材出入库录入!L40</f>
        <v>0</v>
      </c>
      <c r="M40" s="162">
        <f>客房耗材出入库录入!M40</f>
        <v>0</v>
      </c>
      <c r="N40" s="162">
        <f>客房耗材出入库录入!N40</f>
        <v>0</v>
      </c>
      <c r="O40" s="162">
        <f>客房耗材出入库录入!O40*$E40</f>
        <v>0</v>
      </c>
      <c r="P40" s="162">
        <f>客房耗材出入库录入!P40*$E40</f>
        <v>0</v>
      </c>
      <c r="Q40" s="162">
        <f>客房耗材出入库录入!Q40*$E40</f>
        <v>0</v>
      </c>
      <c r="R40" s="162">
        <f>客房耗材出入库录入!R40*$E40</f>
        <v>0</v>
      </c>
      <c r="S40" s="162">
        <f>客房耗材出入库录入!S40*$E40</f>
        <v>0</v>
      </c>
      <c r="T40" s="162">
        <f>客房耗材出入库录入!T40*$E40</f>
        <v>0</v>
      </c>
      <c r="U40" s="162">
        <f>客房耗材出入库录入!U40*$E40</f>
        <v>0</v>
      </c>
      <c r="V40" s="162">
        <f>客房耗材出入库录入!V40*$E40</f>
        <v>0</v>
      </c>
      <c r="W40" s="162">
        <f>客房耗材出入库录入!W40*$E40</f>
        <v>0</v>
      </c>
      <c r="X40" s="162">
        <f>客房耗材出入库录入!X40*$E40</f>
        <v>0</v>
      </c>
      <c r="Y40" s="162">
        <f>客房耗材出入库录入!Y40*$E40</f>
        <v>0</v>
      </c>
      <c r="Z40" s="162">
        <f>客房耗材出入库录入!Z40*$E40</f>
        <v>0</v>
      </c>
      <c r="AA40" s="162">
        <f>客房耗材出入库录入!AA40*$E40</f>
        <v>0</v>
      </c>
      <c r="AB40" s="162">
        <f>客房耗材出入库录入!AB40*$E40</f>
        <v>0</v>
      </c>
      <c r="AC40" s="162">
        <f>客房耗材出入库录入!AC40*$E40</f>
        <v>0</v>
      </c>
      <c r="AD40" s="162">
        <f>客房耗材出入库录入!AD40*$E40</f>
        <v>0</v>
      </c>
      <c r="AE40" s="162">
        <f>客房耗材出入库录入!AE40*$E40</f>
        <v>0</v>
      </c>
      <c r="AF40" s="162">
        <f>客房耗材出入库录入!AF40*$E40</f>
        <v>0</v>
      </c>
      <c r="AG40" s="162">
        <f>客房耗材出入库录入!AG40*$E40</f>
        <v>0</v>
      </c>
      <c r="AH40" s="162">
        <f>客房耗材出入库录入!AH40*$E40</f>
        <v>0</v>
      </c>
      <c r="AI40" s="162">
        <f>客房耗材出入库录入!AI40*$E40</f>
        <v>0</v>
      </c>
      <c r="AJ40" s="162">
        <f>客房耗材出入库录入!AJ40*$E40</f>
        <v>0</v>
      </c>
      <c r="AK40" s="162">
        <f>客房耗材出入库录入!AK40*$E40</f>
        <v>0</v>
      </c>
      <c r="AL40" s="162">
        <f>客房耗材出入库录入!AL40*$E40</f>
        <v>0</v>
      </c>
      <c r="AM40" s="162">
        <f>客房耗材出入库录入!AM40*$E40</f>
        <v>0</v>
      </c>
      <c r="AN40" s="162">
        <f>客房耗材出入库录入!AN40*$E40</f>
        <v>0</v>
      </c>
      <c r="AO40" s="162">
        <f>客房耗材出入库录入!AO40*$E40</f>
        <v>0</v>
      </c>
      <c r="AP40" s="162">
        <f>客房耗材出入库录入!AP40*$E40</f>
        <v>0</v>
      </c>
      <c r="AQ40" s="162">
        <f>客房耗材出入库录入!AQ40*$E40</f>
        <v>0</v>
      </c>
      <c r="AR40" s="162">
        <f>客房耗材出入库录入!AR40*$E40</f>
        <v>0</v>
      </c>
      <c r="AS40" s="162">
        <f>客房耗材出入库录入!AS40*$E40</f>
        <v>0</v>
      </c>
      <c r="AT40" s="162">
        <f>客房耗材出入库录入!AT40*$E40</f>
        <v>0</v>
      </c>
      <c r="AU40" s="162">
        <f>客房耗材出入库录入!AU40*$E40</f>
        <v>0</v>
      </c>
      <c r="AV40" s="162">
        <f>客房耗材出入库录入!AV40*$E40</f>
        <v>0</v>
      </c>
      <c r="AW40" s="162">
        <f>客房耗材出入库录入!AW40*$E40</f>
        <v>0</v>
      </c>
      <c r="AX40" s="162">
        <f>客房耗材出入库录入!AX40*$E40</f>
        <v>0</v>
      </c>
      <c r="AY40" s="162">
        <f>客房耗材出入库录入!AY40*$E40</f>
        <v>0</v>
      </c>
      <c r="AZ40" s="162">
        <f>客房耗材出入库录入!AZ40*$E40</f>
        <v>0</v>
      </c>
      <c r="BA40" s="162">
        <f>客房耗材出入库录入!BA40*$E40</f>
        <v>0</v>
      </c>
      <c r="BB40" s="162">
        <f>客房耗材出入库录入!BB40*$E40</f>
        <v>0</v>
      </c>
      <c r="BC40" s="162">
        <f>客房耗材出入库录入!BC40*$E40</f>
        <v>0</v>
      </c>
      <c r="BD40" s="162">
        <f>客房耗材出入库录入!BD40*$E40</f>
        <v>0</v>
      </c>
      <c r="BE40" s="162">
        <f>客房耗材出入库录入!BE40*$E40</f>
        <v>0</v>
      </c>
      <c r="BF40" s="162">
        <f>客房耗材出入库录入!BF40*$E40</f>
        <v>0</v>
      </c>
      <c r="BG40" s="162">
        <f>客房耗材出入库录入!BG40*$E40</f>
        <v>0</v>
      </c>
      <c r="BH40" s="162">
        <f>客房耗材出入库录入!BH40*$E40</f>
        <v>0</v>
      </c>
      <c r="BI40" s="162">
        <f>客房耗材出入库录入!BI40*$E40</f>
        <v>0</v>
      </c>
      <c r="BJ40" s="162">
        <f>客房耗材出入库录入!BJ40*$E40</f>
        <v>0</v>
      </c>
      <c r="BK40" s="162">
        <f>客房耗材出入库录入!BK40*$E40</f>
        <v>0</v>
      </c>
      <c r="BL40" s="162">
        <f>客房耗材出入库录入!BL40*$E40</f>
        <v>0</v>
      </c>
      <c r="BM40" s="162">
        <f>客房耗材出入库录入!BM40*$E40</f>
        <v>0</v>
      </c>
      <c r="BN40" s="162">
        <f>客房耗材出入库录入!BN40*$E40</f>
        <v>0</v>
      </c>
      <c r="BO40" s="162">
        <f>客房耗材出入库录入!BO40*$E40</f>
        <v>0</v>
      </c>
      <c r="BP40" s="162">
        <f>客房耗材出入库录入!BP40*$E40</f>
        <v>0</v>
      </c>
      <c r="BQ40" s="162">
        <f>客房耗材出入库录入!BQ40*$E40</f>
        <v>0</v>
      </c>
      <c r="BR40" s="162">
        <f>客房耗材出入库录入!BR40*$E40</f>
        <v>0</v>
      </c>
      <c r="BS40" s="162">
        <f>客房耗材出入库录入!BS40*$E40</f>
        <v>0</v>
      </c>
      <c r="BT40" s="162">
        <f>客房耗材出入库录入!BT40*$E40</f>
        <v>0</v>
      </c>
      <c r="BU40" s="162">
        <f>客房耗材出入库录入!BU40*$E40</f>
        <v>0</v>
      </c>
      <c r="BV40" s="162">
        <f>客房耗材出入库录入!BV40*$E40</f>
        <v>0</v>
      </c>
      <c r="BW40" s="162">
        <f>客房耗材出入库录入!BW40*$E40</f>
        <v>0</v>
      </c>
    </row>
    <row r="41" s="143" customFormat="1" customHeight="1" spans="1:75">
      <c r="A41" s="161">
        <v>1</v>
      </c>
      <c r="B41" s="162">
        <f>客房耗材出入库录入!B41</f>
        <v>0</v>
      </c>
      <c r="C41" s="162">
        <f>客房耗材出入库录入!C41</f>
        <v>0</v>
      </c>
      <c r="D41" s="162">
        <f>客房耗材出入库录入!D41</f>
        <v>0</v>
      </c>
      <c r="E41" s="162">
        <f>客房耗材出入库录入!E41</f>
        <v>0</v>
      </c>
      <c r="F41" s="162">
        <f>客房耗材出入库录入!F41</f>
        <v>0</v>
      </c>
      <c r="G41" s="162">
        <f>客房耗材出入库录入!G41</f>
        <v>0</v>
      </c>
      <c r="H41" s="162">
        <f>客房耗材出入库录入!H41</f>
        <v>0</v>
      </c>
      <c r="I41" s="162">
        <f>客房耗材出入库录入!I41</f>
        <v>0</v>
      </c>
      <c r="J41" s="162">
        <f>客房耗材出入库录入!J41</f>
        <v>0</v>
      </c>
      <c r="K41" s="162">
        <f>客房耗材出入库录入!K41</f>
        <v>0</v>
      </c>
      <c r="L41" s="162">
        <f>客房耗材出入库录入!L41</f>
        <v>0</v>
      </c>
      <c r="M41" s="162">
        <f>客房耗材出入库录入!M41</f>
        <v>0</v>
      </c>
      <c r="N41" s="162">
        <f>客房耗材出入库录入!N41</f>
        <v>0</v>
      </c>
      <c r="O41" s="162">
        <f>客房耗材出入库录入!O41*$E41</f>
        <v>0</v>
      </c>
      <c r="P41" s="162">
        <f>客房耗材出入库录入!P41*$E41</f>
        <v>0</v>
      </c>
      <c r="Q41" s="162">
        <f>客房耗材出入库录入!Q41*$E41</f>
        <v>0</v>
      </c>
      <c r="R41" s="162">
        <f>客房耗材出入库录入!R41*$E41</f>
        <v>0</v>
      </c>
      <c r="S41" s="162">
        <f>客房耗材出入库录入!S41*$E41</f>
        <v>0</v>
      </c>
      <c r="T41" s="162">
        <f>客房耗材出入库录入!T41*$E41</f>
        <v>0</v>
      </c>
      <c r="U41" s="162">
        <f>客房耗材出入库录入!U41*$E41</f>
        <v>0</v>
      </c>
      <c r="V41" s="162">
        <f>客房耗材出入库录入!V41*$E41</f>
        <v>0</v>
      </c>
      <c r="W41" s="162">
        <f>客房耗材出入库录入!W41*$E41</f>
        <v>0</v>
      </c>
      <c r="X41" s="162">
        <f>客房耗材出入库录入!X41*$E41</f>
        <v>0</v>
      </c>
      <c r="Y41" s="162">
        <f>客房耗材出入库录入!Y41*$E41</f>
        <v>0</v>
      </c>
      <c r="Z41" s="162">
        <f>客房耗材出入库录入!Z41*$E41</f>
        <v>0</v>
      </c>
      <c r="AA41" s="162">
        <f>客房耗材出入库录入!AA41*$E41</f>
        <v>0</v>
      </c>
      <c r="AB41" s="162">
        <f>客房耗材出入库录入!AB41*$E41</f>
        <v>0</v>
      </c>
      <c r="AC41" s="162">
        <f>客房耗材出入库录入!AC41*$E41</f>
        <v>0</v>
      </c>
      <c r="AD41" s="162">
        <f>客房耗材出入库录入!AD41*$E41</f>
        <v>0</v>
      </c>
      <c r="AE41" s="162">
        <f>客房耗材出入库录入!AE41*$E41</f>
        <v>0</v>
      </c>
      <c r="AF41" s="162">
        <f>客房耗材出入库录入!AF41*$E41</f>
        <v>0</v>
      </c>
      <c r="AG41" s="162">
        <f>客房耗材出入库录入!AG41*$E41</f>
        <v>0</v>
      </c>
      <c r="AH41" s="162">
        <f>客房耗材出入库录入!AH41*$E41</f>
        <v>0</v>
      </c>
      <c r="AI41" s="162">
        <f>客房耗材出入库录入!AI41*$E41</f>
        <v>0</v>
      </c>
      <c r="AJ41" s="162">
        <f>客房耗材出入库录入!AJ41*$E41</f>
        <v>0</v>
      </c>
      <c r="AK41" s="162">
        <f>客房耗材出入库录入!AK41*$E41</f>
        <v>0</v>
      </c>
      <c r="AL41" s="162">
        <f>客房耗材出入库录入!AL41*$E41</f>
        <v>0</v>
      </c>
      <c r="AM41" s="162">
        <f>客房耗材出入库录入!AM41*$E41</f>
        <v>0</v>
      </c>
      <c r="AN41" s="162">
        <f>客房耗材出入库录入!AN41*$E41</f>
        <v>0</v>
      </c>
      <c r="AO41" s="162">
        <f>客房耗材出入库录入!AO41*$E41</f>
        <v>0</v>
      </c>
      <c r="AP41" s="162">
        <f>客房耗材出入库录入!AP41*$E41</f>
        <v>0</v>
      </c>
      <c r="AQ41" s="162">
        <f>客房耗材出入库录入!AQ41*$E41</f>
        <v>0</v>
      </c>
      <c r="AR41" s="162">
        <f>客房耗材出入库录入!AR41*$E41</f>
        <v>0</v>
      </c>
      <c r="AS41" s="162">
        <f>客房耗材出入库录入!AS41*$E41</f>
        <v>0</v>
      </c>
      <c r="AT41" s="162">
        <f>客房耗材出入库录入!AT41*$E41</f>
        <v>0</v>
      </c>
      <c r="AU41" s="162">
        <f>客房耗材出入库录入!AU41*$E41</f>
        <v>0</v>
      </c>
      <c r="AV41" s="162">
        <f>客房耗材出入库录入!AV41*$E41</f>
        <v>0</v>
      </c>
      <c r="AW41" s="162">
        <f>客房耗材出入库录入!AW41*$E41</f>
        <v>0</v>
      </c>
      <c r="AX41" s="162">
        <f>客房耗材出入库录入!AX41*$E41</f>
        <v>0</v>
      </c>
      <c r="AY41" s="162">
        <f>客房耗材出入库录入!AY41*$E41</f>
        <v>0</v>
      </c>
      <c r="AZ41" s="162">
        <f>客房耗材出入库录入!AZ41*$E41</f>
        <v>0</v>
      </c>
      <c r="BA41" s="162">
        <f>客房耗材出入库录入!BA41*$E41</f>
        <v>0</v>
      </c>
      <c r="BB41" s="162">
        <f>客房耗材出入库录入!BB41*$E41</f>
        <v>0</v>
      </c>
      <c r="BC41" s="162">
        <f>客房耗材出入库录入!BC41*$E41</f>
        <v>0</v>
      </c>
      <c r="BD41" s="162">
        <f>客房耗材出入库录入!BD41*$E41</f>
        <v>0</v>
      </c>
      <c r="BE41" s="162">
        <f>客房耗材出入库录入!BE41*$E41</f>
        <v>0</v>
      </c>
      <c r="BF41" s="162">
        <f>客房耗材出入库录入!BF41*$E41</f>
        <v>0</v>
      </c>
      <c r="BG41" s="162">
        <f>客房耗材出入库录入!BG41*$E41</f>
        <v>0</v>
      </c>
      <c r="BH41" s="162">
        <f>客房耗材出入库录入!BH41*$E41</f>
        <v>0</v>
      </c>
      <c r="BI41" s="162">
        <f>客房耗材出入库录入!BI41*$E41</f>
        <v>0</v>
      </c>
      <c r="BJ41" s="162">
        <f>客房耗材出入库录入!BJ41*$E41</f>
        <v>0</v>
      </c>
      <c r="BK41" s="162">
        <f>客房耗材出入库录入!BK41*$E41</f>
        <v>0</v>
      </c>
      <c r="BL41" s="162">
        <f>客房耗材出入库录入!BL41*$E41</f>
        <v>0</v>
      </c>
      <c r="BM41" s="162">
        <f>客房耗材出入库录入!BM41*$E41</f>
        <v>0</v>
      </c>
      <c r="BN41" s="162">
        <f>客房耗材出入库录入!BN41*$E41</f>
        <v>0</v>
      </c>
      <c r="BO41" s="162">
        <f>客房耗材出入库录入!BO41*$E41</f>
        <v>0</v>
      </c>
      <c r="BP41" s="162">
        <f>客房耗材出入库录入!BP41*$E41</f>
        <v>0</v>
      </c>
      <c r="BQ41" s="162">
        <f>客房耗材出入库录入!BQ41*$E41</f>
        <v>0</v>
      </c>
      <c r="BR41" s="162">
        <f>客房耗材出入库录入!BR41*$E41</f>
        <v>0</v>
      </c>
      <c r="BS41" s="162">
        <f>客房耗材出入库录入!BS41*$E41</f>
        <v>0</v>
      </c>
      <c r="BT41" s="162">
        <f>客房耗材出入库录入!BT41*$E41</f>
        <v>0</v>
      </c>
      <c r="BU41" s="162">
        <f>客房耗材出入库录入!BU41*$E41</f>
        <v>0</v>
      </c>
      <c r="BV41" s="162">
        <f>客房耗材出入库录入!BV41*$E41</f>
        <v>0</v>
      </c>
      <c r="BW41" s="162">
        <f>客房耗材出入库录入!BW41*$E41</f>
        <v>0</v>
      </c>
    </row>
    <row r="42" s="143" customFormat="1" customHeight="1" spans="1:75">
      <c r="A42" s="161">
        <v>1</v>
      </c>
      <c r="B42" s="162">
        <f>客房耗材出入库录入!B42</f>
        <v>0</v>
      </c>
      <c r="C42" s="162">
        <f>客房耗材出入库录入!C42</f>
        <v>0</v>
      </c>
      <c r="D42" s="162">
        <f>客房耗材出入库录入!D42</f>
        <v>0</v>
      </c>
      <c r="E42" s="162">
        <f>客房耗材出入库录入!E42</f>
        <v>0</v>
      </c>
      <c r="F42" s="162">
        <f>客房耗材出入库录入!F42</f>
        <v>0</v>
      </c>
      <c r="G42" s="162">
        <f>客房耗材出入库录入!G42</f>
        <v>0</v>
      </c>
      <c r="H42" s="162">
        <f>客房耗材出入库录入!H42</f>
        <v>0</v>
      </c>
      <c r="I42" s="162">
        <f>客房耗材出入库录入!I42</f>
        <v>0</v>
      </c>
      <c r="J42" s="162">
        <f>客房耗材出入库录入!J42</f>
        <v>0</v>
      </c>
      <c r="K42" s="162">
        <f>客房耗材出入库录入!K42</f>
        <v>0</v>
      </c>
      <c r="L42" s="162">
        <f>客房耗材出入库录入!L42</f>
        <v>0</v>
      </c>
      <c r="M42" s="162">
        <f>客房耗材出入库录入!M42</f>
        <v>0</v>
      </c>
      <c r="N42" s="162">
        <f>客房耗材出入库录入!N42</f>
        <v>0</v>
      </c>
      <c r="O42" s="162">
        <f>客房耗材出入库录入!O42*$E42</f>
        <v>0</v>
      </c>
      <c r="P42" s="162">
        <f>客房耗材出入库录入!P42*$E42</f>
        <v>0</v>
      </c>
      <c r="Q42" s="162">
        <f>客房耗材出入库录入!Q42*$E42</f>
        <v>0</v>
      </c>
      <c r="R42" s="162">
        <f>客房耗材出入库录入!R42*$E42</f>
        <v>0</v>
      </c>
      <c r="S42" s="162">
        <f>客房耗材出入库录入!S42*$E42</f>
        <v>0</v>
      </c>
      <c r="T42" s="162">
        <f>客房耗材出入库录入!T42*$E42</f>
        <v>0</v>
      </c>
      <c r="U42" s="162">
        <f>客房耗材出入库录入!U42*$E42</f>
        <v>0</v>
      </c>
      <c r="V42" s="162">
        <f>客房耗材出入库录入!V42*$E42</f>
        <v>0</v>
      </c>
      <c r="W42" s="162">
        <f>客房耗材出入库录入!W42*$E42</f>
        <v>0</v>
      </c>
      <c r="X42" s="162">
        <f>客房耗材出入库录入!X42*$E42</f>
        <v>0</v>
      </c>
      <c r="Y42" s="162">
        <f>客房耗材出入库录入!Y42*$E42</f>
        <v>0</v>
      </c>
      <c r="Z42" s="162">
        <f>客房耗材出入库录入!Z42*$E42</f>
        <v>0</v>
      </c>
      <c r="AA42" s="162">
        <f>客房耗材出入库录入!AA42*$E42</f>
        <v>0</v>
      </c>
      <c r="AB42" s="162">
        <f>客房耗材出入库录入!AB42*$E42</f>
        <v>0</v>
      </c>
      <c r="AC42" s="162">
        <f>客房耗材出入库录入!AC42*$E42</f>
        <v>0</v>
      </c>
      <c r="AD42" s="162">
        <f>客房耗材出入库录入!AD42*$E42</f>
        <v>0</v>
      </c>
      <c r="AE42" s="162">
        <f>客房耗材出入库录入!AE42*$E42</f>
        <v>0</v>
      </c>
      <c r="AF42" s="162">
        <f>客房耗材出入库录入!AF42*$E42</f>
        <v>0</v>
      </c>
      <c r="AG42" s="162">
        <f>客房耗材出入库录入!AG42*$E42</f>
        <v>0</v>
      </c>
      <c r="AH42" s="162">
        <f>客房耗材出入库录入!AH42*$E42</f>
        <v>0</v>
      </c>
      <c r="AI42" s="162">
        <f>客房耗材出入库录入!AI42*$E42</f>
        <v>0</v>
      </c>
      <c r="AJ42" s="162">
        <f>客房耗材出入库录入!AJ42*$E42</f>
        <v>0</v>
      </c>
      <c r="AK42" s="162">
        <f>客房耗材出入库录入!AK42*$E42</f>
        <v>0</v>
      </c>
      <c r="AL42" s="162">
        <f>客房耗材出入库录入!AL42*$E42</f>
        <v>0</v>
      </c>
      <c r="AM42" s="162">
        <f>客房耗材出入库录入!AM42*$E42</f>
        <v>0</v>
      </c>
      <c r="AN42" s="162">
        <f>客房耗材出入库录入!AN42*$E42</f>
        <v>0</v>
      </c>
      <c r="AO42" s="162">
        <f>客房耗材出入库录入!AO42*$E42</f>
        <v>0</v>
      </c>
      <c r="AP42" s="162">
        <f>客房耗材出入库录入!AP42*$E42</f>
        <v>0</v>
      </c>
      <c r="AQ42" s="162">
        <f>客房耗材出入库录入!AQ42*$E42</f>
        <v>0</v>
      </c>
      <c r="AR42" s="162">
        <f>客房耗材出入库录入!AR42*$E42</f>
        <v>0</v>
      </c>
      <c r="AS42" s="162">
        <f>客房耗材出入库录入!AS42*$E42</f>
        <v>0</v>
      </c>
      <c r="AT42" s="162">
        <f>客房耗材出入库录入!AT42*$E42</f>
        <v>0</v>
      </c>
      <c r="AU42" s="162">
        <f>客房耗材出入库录入!AU42*$E42</f>
        <v>0</v>
      </c>
      <c r="AV42" s="162">
        <f>客房耗材出入库录入!AV42*$E42</f>
        <v>0</v>
      </c>
      <c r="AW42" s="162">
        <f>客房耗材出入库录入!AW42*$E42</f>
        <v>0</v>
      </c>
      <c r="AX42" s="162">
        <f>客房耗材出入库录入!AX42*$E42</f>
        <v>0</v>
      </c>
      <c r="AY42" s="162">
        <f>客房耗材出入库录入!AY42*$E42</f>
        <v>0</v>
      </c>
      <c r="AZ42" s="162">
        <f>客房耗材出入库录入!AZ42*$E42</f>
        <v>0</v>
      </c>
      <c r="BA42" s="162">
        <f>客房耗材出入库录入!BA42*$E42</f>
        <v>0</v>
      </c>
      <c r="BB42" s="162">
        <f>客房耗材出入库录入!BB42*$E42</f>
        <v>0</v>
      </c>
      <c r="BC42" s="162">
        <f>客房耗材出入库录入!BC42*$E42</f>
        <v>0</v>
      </c>
      <c r="BD42" s="162">
        <f>客房耗材出入库录入!BD42*$E42</f>
        <v>0</v>
      </c>
      <c r="BE42" s="162">
        <f>客房耗材出入库录入!BE42*$E42</f>
        <v>0</v>
      </c>
      <c r="BF42" s="162">
        <f>客房耗材出入库录入!BF42*$E42</f>
        <v>0</v>
      </c>
      <c r="BG42" s="162">
        <f>客房耗材出入库录入!BG42*$E42</f>
        <v>0</v>
      </c>
      <c r="BH42" s="162">
        <f>客房耗材出入库录入!BH42*$E42</f>
        <v>0</v>
      </c>
      <c r="BI42" s="162">
        <f>客房耗材出入库录入!BI42*$E42</f>
        <v>0</v>
      </c>
      <c r="BJ42" s="162">
        <f>客房耗材出入库录入!BJ42*$E42</f>
        <v>0</v>
      </c>
      <c r="BK42" s="162">
        <f>客房耗材出入库录入!BK42*$E42</f>
        <v>0</v>
      </c>
      <c r="BL42" s="162">
        <f>客房耗材出入库录入!BL42*$E42</f>
        <v>0</v>
      </c>
      <c r="BM42" s="162">
        <f>客房耗材出入库录入!BM42*$E42</f>
        <v>0</v>
      </c>
      <c r="BN42" s="162">
        <f>客房耗材出入库录入!BN42*$E42</f>
        <v>0</v>
      </c>
      <c r="BO42" s="162">
        <f>客房耗材出入库录入!BO42*$E42</f>
        <v>0</v>
      </c>
      <c r="BP42" s="162">
        <f>客房耗材出入库录入!BP42*$E42</f>
        <v>0</v>
      </c>
      <c r="BQ42" s="162">
        <f>客房耗材出入库录入!BQ42*$E42</f>
        <v>0</v>
      </c>
      <c r="BR42" s="162">
        <f>客房耗材出入库录入!BR42*$E42</f>
        <v>0</v>
      </c>
      <c r="BS42" s="162">
        <f>客房耗材出入库录入!BS42*$E42</f>
        <v>0</v>
      </c>
      <c r="BT42" s="162">
        <f>客房耗材出入库录入!BT42*$E42</f>
        <v>0</v>
      </c>
      <c r="BU42" s="162">
        <f>客房耗材出入库录入!BU42*$E42</f>
        <v>0</v>
      </c>
      <c r="BV42" s="162">
        <f>客房耗材出入库录入!BV42*$E42</f>
        <v>0</v>
      </c>
      <c r="BW42" s="162">
        <f>客房耗材出入库录入!BW42*$E42</f>
        <v>0</v>
      </c>
    </row>
    <row r="43" s="143" customFormat="1" customHeight="1" spans="1:75">
      <c r="A43" s="161">
        <v>1</v>
      </c>
      <c r="B43" s="162">
        <f>客房耗材出入库录入!B43</f>
        <v>0</v>
      </c>
      <c r="C43" s="162">
        <f>客房耗材出入库录入!C43</f>
        <v>0</v>
      </c>
      <c r="D43" s="162">
        <f>客房耗材出入库录入!D43</f>
        <v>0</v>
      </c>
      <c r="E43" s="162">
        <f>客房耗材出入库录入!E43</f>
        <v>0</v>
      </c>
      <c r="F43" s="162">
        <f>客房耗材出入库录入!F43</f>
        <v>0</v>
      </c>
      <c r="G43" s="162">
        <f>客房耗材出入库录入!G43</f>
        <v>0</v>
      </c>
      <c r="H43" s="162">
        <f>客房耗材出入库录入!H43</f>
        <v>0</v>
      </c>
      <c r="I43" s="162">
        <f>客房耗材出入库录入!I43</f>
        <v>0</v>
      </c>
      <c r="J43" s="162">
        <f>客房耗材出入库录入!J43</f>
        <v>0</v>
      </c>
      <c r="K43" s="162">
        <f>客房耗材出入库录入!K43</f>
        <v>0</v>
      </c>
      <c r="L43" s="162">
        <f>客房耗材出入库录入!L43</f>
        <v>0</v>
      </c>
      <c r="M43" s="162">
        <f>客房耗材出入库录入!M43</f>
        <v>0</v>
      </c>
      <c r="N43" s="162">
        <f>客房耗材出入库录入!N43</f>
        <v>0</v>
      </c>
      <c r="O43" s="162">
        <f>客房耗材出入库录入!O43*$E43</f>
        <v>0</v>
      </c>
      <c r="P43" s="162">
        <f>客房耗材出入库录入!P43*$E43</f>
        <v>0</v>
      </c>
      <c r="Q43" s="162">
        <f>客房耗材出入库录入!Q43*$E43</f>
        <v>0</v>
      </c>
      <c r="R43" s="162">
        <f>客房耗材出入库录入!R43*$E43</f>
        <v>0</v>
      </c>
      <c r="S43" s="162">
        <f>客房耗材出入库录入!S43*$E43</f>
        <v>0</v>
      </c>
      <c r="T43" s="162">
        <f>客房耗材出入库录入!T43*$E43</f>
        <v>0</v>
      </c>
      <c r="U43" s="162">
        <f>客房耗材出入库录入!U43*$E43</f>
        <v>0</v>
      </c>
      <c r="V43" s="162">
        <f>客房耗材出入库录入!V43*$E43</f>
        <v>0</v>
      </c>
      <c r="W43" s="162">
        <f>客房耗材出入库录入!W43*$E43</f>
        <v>0</v>
      </c>
      <c r="X43" s="162">
        <f>客房耗材出入库录入!X43*$E43</f>
        <v>0</v>
      </c>
      <c r="Y43" s="162">
        <f>客房耗材出入库录入!Y43*$E43</f>
        <v>0</v>
      </c>
      <c r="Z43" s="162">
        <f>客房耗材出入库录入!Z43*$E43</f>
        <v>0</v>
      </c>
      <c r="AA43" s="162">
        <f>客房耗材出入库录入!AA43*$E43</f>
        <v>0</v>
      </c>
      <c r="AB43" s="162">
        <f>客房耗材出入库录入!AB43*$E43</f>
        <v>0</v>
      </c>
      <c r="AC43" s="162">
        <f>客房耗材出入库录入!AC43*$E43</f>
        <v>0</v>
      </c>
      <c r="AD43" s="162">
        <f>客房耗材出入库录入!AD43*$E43</f>
        <v>0</v>
      </c>
      <c r="AE43" s="162">
        <f>客房耗材出入库录入!AE43*$E43</f>
        <v>0</v>
      </c>
      <c r="AF43" s="162">
        <f>客房耗材出入库录入!AF43*$E43</f>
        <v>0</v>
      </c>
      <c r="AG43" s="162">
        <f>客房耗材出入库录入!AG43*$E43</f>
        <v>0</v>
      </c>
      <c r="AH43" s="162">
        <f>客房耗材出入库录入!AH43*$E43</f>
        <v>0</v>
      </c>
      <c r="AI43" s="162">
        <f>客房耗材出入库录入!AI43*$E43</f>
        <v>0</v>
      </c>
      <c r="AJ43" s="162">
        <f>客房耗材出入库录入!AJ43*$E43</f>
        <v>0</v>
      </c>
      <c r="AK43" s="162">
        <f>客房耗材出入库录入!AK43*$E43</f>
        <v>0</v>
      </c>
      <c r="AL43" s="162">
        <f>客房耗材出入库录入!AL43*$E43</f>
        <v>0</v>
      </c>
      <c r="AM43" s="162">
        <f>客房耗材出入库录入!AM43*$E43</f>
        <v>0</v>
      </c>
      <c r="AN43" s="162">
        <f>客房耗材出入库录入!AN43*$E43</f>
        <v>0</v>
      </c>
      <c r="AO43" s="162">
        <f>客房耗材出入库录入!AO43*$E43</f>
        <v>0</v>
      </c>
      <c r="AP43" s="162">
        <f>客房耗材出入库录入!AP43*$E43</f>
        <v>0</v>
      </c>
      <c r="AQ43" s="162">
        <f>客房耗材出入库录入!AQ43*$E43</f>
        <v>0</v>
      </c>
      <c r="AR43" s="162">
        <f>客房耗材出入库录入!AR43*$E43</f>
        <v>0</v>
      </c>
      <c r="AS43" s="162">
        <f>客房耗材出入库录入!AS43*$E43</f>
        <v>0</v>
      </c>
      <c r="AT43" s="162">
        <f>客房耗材出入库录入!AT43*$E43</f>
        <v>0</v>
      </c>
      <c r="AU43" s="162">
        <f>客房耗材出入库录入!AU43*$E43</f>
        <v>0</v>
      </c>
      <c r="AV43" s="162">
        <f>客房耗材出入库录入!AV43*$E43</f>
        <v>0</v>
      </c>
      <c r="AW43" s="162">
        <f>客房耗材出入库录入!AW43*$E43</f>
        <v>0</v>
      </c>
      <c r="AX43" s="162">
        <f>客房耗材出入库录入!AX43*$E43</f>
        <v>0</v>
      </c>
      <c r="AY43" s="162">
        <f>客房耗材出入库录入!AY43*$E43</f>
        <v>0</v>
      </c>
      <c r="AZ43" s="162">
        <f>客房耗材出入库录入!AZ43*$E43</f>
        <v>0</v>
      </c>
      <c r="BA43" s="162">
        <f>客房耗材出入库录入!BA43*$E43</f>
        <v>0</v>
      </c>
      <c r="BB43" s="162">
        <f>客房耗材出入库录入!BB43*$E43</f>
        <v>0</v>
      </c>
      <c r="BC43" s="162">
        <f>客房耗材出入库录入!BC43*$E43</f>
        <v>0</v>
      </c>
      <c r="BD43" s="162">
        <f>客房耗材出入库录入!BD43*$E43</f>
        <v>0</v>
      </c>
      <c r="BE43" s="162">
        <f>客房耗材出入库录入!BE43*$E43</f>
        <v>0</v>
      </c>
      <c r="BF43" s="162">
        <f>客房耗材出入库录入!BF43*$E43</f>
        <v>0</v>
      </c>
      <c r="BG43" s="162">
        <f>客房耗材出入库录入!BG43*$E43</f>
        <v>0</v>
      </c>
      <c r="BH43" s="162">
        <f>客房耗材出入库录入!BH43*$E43</f>
        <v>0</v>
      </c>
      <c r="BI43" s="162">
        <f>客房耗材出入库录入!BI43*$E43</f>
        <v>0</v>
      </c>
      <c r="BJ43" s="162">
        <f>客房耗材出入库录入!BJ43*$E43</f>
        <v>0</v>
      </c>
      <c r="BK43" s="162">
        <f>客房耗材出入库录入!BK43*$E43</f>
        <v>0</v>
      </c>
      <c r="BL43" s="162">
        <f>客房耗材出入库录入!BL43*$E43</f>
        <v>0</v>
      </c>
      <c r="BM43" s="162">
        <f>客房耗材出入库录入!BM43*$E43</f>
        <v>0</v>
      </c>
      <c r="BN43" s="162">
        <f>客房耗材出入库录入!BN43*$E43</f>
        <v>0</v>
      </c>
      <c r="BO43" s="162">
        <f>客房耗材出入库录入!BO43*$E43</f>
        <v>0</v>
      </c>
      <c r="BP43" s="162">
        <f>客房耗材出入库录入!BP43*$E43</f>
        <v>0</v>
      </c>
      <c r="BQ43" s="162">
        <f>客房耗材出入库录入!BQ43*$E43</f>
        <v>0</v>
      </c>
      <c r="BR43" s="162">
        <f>客房耗材出入库录入!BR43*$E43</f>
        <v>0</v>
      </c>
      <c r="BS43" s="162">
        <f>客房耗材出入库录入!BS43*$E43</f>
        <v>0</v>
      </c>
      <c r="BT43" s="162">
        <f>客房耗材出入库录入!BT43*$E43</f>
        <v>0</v>
      </c>
      <c r="BU43" s="162">
        <f>客房耗材出入库录入!BU43*$E43</f>
        <v>0</v>
      </c>
      <c r="BV43" s="162">
        <f>客房耗材出入库录入!BV43*$E43</f>
        <v>0</v>
      </c>
      <c r="BW43" s="162">
        <f>客房耗材出入库录入!BW43*$E43</f>
        <v>0</v>
      </c>
    </row>
    <row r="44" s="143" customFormat="1" customHeight="1" spans="1:75">
      <c r="A44" s="161">
        <v>1</v>
      </c>
      <c r="B44" s="162">
        <f>客房耗材出入库录入!B44</f>
        <v>0</v>
      </c>
      <c r="C44" s="162">
        <f>客房耗材出入库录入!C44</f>
        <v>0</v>
      </c>
      <c r="D44" s="162">
        <f>客房耗材出入库录入!D44</f>
        <v>0</v>
      </c>
      <c r="E44" s="162">
        <f>客房耗材出入库录入!E44</f>
        <v>0</v>
      </c>
      <c r="F44" s="162">
        <f>客房耗材出入库录入!F44</f>
        <v>0</v>
      </c>
      <c r="G44" s="162">
        <f>客房耗材出入库录入!G44</f>
        <v>0</v>
      </c>
      <c r="H44" s="162">
        <f>客房耗材出入库录入!H44</f>
        <v>0</v>
      </c>
      <c r="I44" s="162">
        <f>客房耗材出入库录入!I44</f>
        <v>0</v>
      </c>
      <c r="J44" s="162">
        <f>客房耗材出入库录入!J44</f>
        <v>0</v>
      </c>
      <c r="K44" s="162">
        <f>客房耗材出入库录入!K44</f>
        <v>0</v>
      </c>
      <c r="L44" s="162">
        <f>客房耗材出入库录入!L44</f>
        <v>0</v>
      </c>
      <c r="M44" s="162">
        <f>客房耗材出入库录入!M44</f>
        <v>0</v>
      </c>
      <c r="N44" s="162">
        <f>客房耗材出入库录入!N44</f>
        <v>0</v>
      </c>
      <c r="O44" s="162">
        <f>客房耗材出入库录入!O44*$E44</f>
        <v>0</v>
      </c>
      <c r="P44" s="162">
        <f>客房耗材出入库录入!P44*$E44</f>
        <v>0</v>
      </c>
      <c r="Q44" s="162">
        <f>客房耗材出入库录入!Q44*$E44</f>
        <v>0</v>
      </c>
      <c r="R44" s="162">
        <f>客房耗材出入库录入!R44*$E44</f>
        <v>0</v>
      </c>
      <c r="S44" s="162">
        <f>客房耗材出入库录入!S44*$E44</f>
        <v>0</v>
      </c>
      <c r="T44" s="162">
        <f>客房耗材出入库录入!T44*$E44</f>
        <v>0</v>
      </c>
      <c r="U44" s="162">
        <f>客房耗材出入库录入!U44*$E44</f>
        <v>0</v>
      </c>
      <c r="V44" s="162">
        <f>客房耗材出入库录入!V44*$E44</f>
        <v>0</v>
      </c>
      <c r="W44" s="162">
        <f>客房耗材出入库录入!W44*$E44</f>
        <v>0</v>
      </c>
      <c r="X44" s="162">
        <f>客房耗材出入库录入!X44*$E44</f>
        <v>0</v>
      </c>
      <c r="Y44" s="162">
        <f>客房耗材出入库录入!Y44*$E44</f>
        <v>0</v>
      </c>
      <c r="Z44" s="162">
        <f>客房耗材出入库录入!Z44*$E44</f>
        <v>0</v>
      </c>
      <c r="AA44" s="162">
        <f>客房耗材出入库录入!AA44*$E44</f>
        <v>0</v>
      </c>
      <c r="AB44" s="162">
        <f>客房耗材出入库录入!AB44*$E44</f>
        <v>0</v>
      </c>
      <c r="AC44" s="162">
        <f>客房耗材出入库录入!AC44*$E44</f>
        <v>0</v>
      </c>
      <c r="AD44" s="162">
        <f>客房耗材出入库录入!AD44*$E44</f>
        <v>0</v>
      </c>
      <c r="AE44" s="162">
        <f>客房耗材出入库录入!AE44*$E44</f>
        <v>0</v>
      </c>
      <c r="AF44" s="162">
        <f>客房耗材出入库录入!AF44*$E44</f>
        <v>0</v>
      </c>
      <c r="AG44" s="162">
        <f>客房耗材出入库录入!AG44*$E44</f>
        <v>0</v>
      </c>
      <c r="AH44" s="162">
        <f>客房耗材出入库录入!AH44*$E44</f>
        <v>0</v>
      </c>
      <c r="AI44" s="162">
        <f>客房耗材出入库录入!AI44*$E44</f>
        <v>0</v>
      </c>
      <c r="AJ44" s="162">
        <f>客房耗材出入库录入!AJ44*$E44</f>
        <v>0</v>
      </c>
      <c r="AK44" s="162">
        <f>客房耗材出入库录入!AK44*$E44</f>
        <v>0</v>
      </c>
      <c r="AL44" s="162">
        <f>客房耗材出入库录入!AL44*$E44</f>
        <v>0</v>
      </c>
      <c r="AM44" s="162">
        <f>客房耗材出入库录入!AM44*$E44</f>
        <v>0</v>
      </c>
      <c r="AN44" s="162">
        <f>客房耗材出入库录入!AN44*$E44</f>
        <v>0</v>
      </c>
      <c r="AO44" s="162">
        <f>客房耗材出入库录入!AO44*$E44</f>
        <v>0</v>
      </c>
      <c r="AP44" s="162">
        <f>客房耗材出入库录入!AP44*$E44</f>
        <v>0</v>
      </c>
      <c r="AQ44" s="162">
        <f>客房耗材出入库录入!AQ44*$E44</f>
        <v>0</v>
      </c>
      <c r="AR44" s="162">
        <f>客房耗材出入库录入!AR44*$E44</f>
        <v>0</v>
      </c>
      <c r="AS44" s="162">
        <f>客房耗材出入库录入!AS44*$E44</f>
        <v>0</v>
      </c>
      <c r="AT44" s="162">
        <f>客房耗材出入库录入!AT44*$E44</f>
        <v>0</v>
      </c>
      <c r="AU44" s="162">
        <f>客房耗材出入库录入!AU44*$E44</f>
        <v>0</v>
      </c>
      <c r="AV44" s="162">
        <f>客房耗材出入库录入!AV44*$E44</f>
        <v>0</v>
      </c>
      <c r="AW44" s="162">
        <f>客房耗材出入库录入!AW44*$E44</f>
        <v>0</v>
      </c>
      <c r="AX44" s="162">
        <f>客房耗材出入库录入!AX44*$E44</f>
        <v>0</v>
      </c>
      <c r="AY44" s="162">
        <f>客房耗材出入库录入!AY44*$E44</f>
        <v>0</v>
      </c>
      <c r="AZ44" s="162">
        <f>客房耗材出入库录入!AZ44*$E44</f>
        <v>0</v>
      </c>
      <c r="BA44" s="162">
        <f>客房耗材出入库录入!BA44*$E44</f>
        <v>0</v>
      </c>
      <c r="BB44" s="162">
        <f>客房耗材出入库录入!BB44*$E44</f>
        <v>0</v>
      </c>
      <c r="BC44" s="162">
        <f>客房耗材出入库录入!BC44*$E44</f>
        <v>0</v>
      </c>
      <c r="BD44" s="162">
        <f>客房耗材出入库录入!BD44*$E44</f>
        <v>0</v>
      </c>
      <c r="BE44" s="162">
        <f>客房耗材出入库录入!BE44*$E44</f>
        <v>0</v>
      </c>
      <c r="BF44" s="162">
        <f>客房耗材出入库录入!BF44*$E44</f>
        <v>0</v>
      </c>
      <c r="BG44" s="162">
        <f>客房耗材出入库录入!BG44*$E44</f>
        <v>0</v>
      </c>
      <c r="BH44" s="162">
        <f>客房耗材出入库录入!BH44*$E44</f>
        <v>0</v>
      </c>
      <c r="BI44" s="162">
        <f>客房耗材出入库录入!BI44*$E44</f>
        <v>0</v>
      </c>
      <c r="BJ44" s="162">
        <f>客房耗材出入库录入!BJ44*$E44</f>
        <v>0</v>
      </c>
      <c r="BK44" s="162">
        <f>客房耗材出入库录入!BK44*$E44</f>
        <v>0</v>
      </c>
      <c r="BL44" s="162">
        <f>客房耗材出入库录入!BL44*$E44</f>
        <v>0</v>
      </c>
      <c r="BM44" s="162">
        <f>客房耗材出入库录入!BM44*$E44</f>
        <v>0</v>
      </c>
      <c r="BN44" s="162">
        <f>客房耗材出入库录入!BN44*$E44</f>
        <v>0</v>
      </c>
      <c r="BO44" s="162">
        <f>客房耗材出入库录入!BO44*$E44</f>
        <v>0</v>
      </c>
      <c r="BP44" s="162">
        <f>客房耗材出入库录入!BP44*$E44</f>
        <v>0</v>
      </c>
      <c r="BQ44" s="162">
        <f>客房耗材出入库录入!BQ44*$E44</f>
        <v>0</v>
      </c>
      <c r="BR44" s="162">
        <f>客房耗材出入库录入!BR44*$E44</f>
        <v>0</v>
      </c>
      <c r="BS44" s="162">
        <f>客房耗材出入库录入!BS44*$E44</f>
        <v>0</v>
      </c>
      <c r="BT44" s="162">
        <f>客房耗材出入库录入!BT44*$E44</f>
        <v>0</v>
      </c>
      <c r="BU44" s="162">
        <f>客房耗材出入库录入!BU44*$E44</f>
        <v>0</v>
      </c>
      <c r="BV44" s="162">
        <f>客房耗材出入库录入!BV44*$E44</f>
        <v>0</v>
      </c>
      <c r="BW44" s="162">
        <f>客房耗材出入库录入!BW44*$E44</f>
        <v>0</v>
      </c>
    </row>
    <row r="45" s="143" customFormat="1" customHeight="1" spans="1:75">
      <c r="A45" s="161">
        <v>1</v>
      </c>
      <c r="B45" s="162">
        <f>客房耗材出入库录入!B45</f>
        <v>0</v>
      </c>
      <c r="C45" s="162">
        <f>客房耗材出入库录入!C45</f>
        <v>0</v>
      </c>
      <c r="D45" s="162">
        <f>客房耗材出入库录入!D45</f>
        <v>0</v>
      </c>
      <c r="E45" s="162">
        <f>客房耗材出入库录入!E45</f>
        <v>0</v>
      </c>
      <c r="F45" s="162">
        <f>客房耗材出入库录入!F45</f>
        <v>0</v>
      </c>
      <c r="G45" s="162">
        <f>客房耗材出入库录入!G45</f>
        <v>0</v>
      </c>
      <c r="H45" s="162">
        <f>客房耗材出入库录入!H45</f>
        <v>0</v>
      </c>
      <c r="I45" s="162">
        <f>客房耗材出入库录入!I45</f>
        <v>0</v>
      </c>
      <c r="J45" s="162">
        <f>客房耗材出入库录入!J45</f>
        <v>0</v>
      </c>
      <c r="K45" s="162">
        <f>客房耗材出入库录入!K45</f>
        <v>0</v>
      </c>
      <c r="L45" s="162">
        <f>客房耗材出入库录入!L45</f>
        <v>0</v>
      </c>
      <c r="M45" s="162">
        <f>客房耗材出入库录入!M45</f>
        <v>0</v>
      </c>
      <c r="N45" s="162">
        <f>客房耗材出入库录入!N45</f>
        <v>0</v>
      </c>
      <c r="O45" s="162">
        <f>客房耗材出入库录入!O45*$E45</f>
        <v>0</v>
      </c>
      <c r="P45" s="162">
        <f>客房耗材出入库录入!P45*$E45</f>
        <v>0</v>
      </c>
      <c r="Q45" s="162">
        <f>客房耗材出入库录入!Q45*$E45</f>
        <v>0</v>
      </c>
      <c r="R45" s="162">
        <f>客房耗材出入库录入!R45*$E45</f>
        <v>0</v>
      </c>
      <c r="S45" s="162">
        <f>客房耗材出入库录入!S45*$E45</f>
        <v>0</v>
      </c>
      <c r="T45" s="162">
        <f>客房耗材出入库录入!T45*$E45</f>
        <v>0</v>
      </c>
      <c r="U45" s="162">
        <f>客房耗材出入库录入!U45*$E45</f>
        <v>0</v>
      </c>
      <c r="V45" s="162">
        <f>客房耗材出入库录入!V45*$E45</f>
        <v>0</v>
      </c>
      <c r="W45" s="162">
        <f>客房耗材出入库录入!W45*$E45</f>
        <v>0</v>
      </c>
      <c r="X45" s="162">
        <f>客房耗材出入库录入!X45*$E45</f>
        <v>0</v>
      </c>
      <c r="Y45" s="162">
        <f>客房耗材出入库录入!Y45*$E45</f>
        <v>0</v>
      </c>
      <c r="Z45" s="162">
        <f>客房耗材出入库录入!Z45*$E45</f>
        <v>0</v>
      </c>
      <c r="AA45" s="162">
        <f>客房耗材出入库录入!AA45*$E45</f>
        <v>0</v>
      </c>
      <c r="AB45" s="162">
        <f>客房耗材出入库录入!AB45*$E45</f>
        <v>0</v>
      </c>
      <c r="AC45" s="162">
        <f>客房耗材出入库录入!AC45*$E45</f>
        <v>0</v>
      </c>
      <c r="AD45" s="162">
        <f>客房耗材出入库录入!AD45*$E45</f>
        <v>0</v>
      </c>
      <c r="AE45" s="162">
        <f>客房耗材出入库录入!AE45*$E45</f>
        <v>0</v>
      </c>
      <c r="AF45" s="162">
        <f>客房耗材出入库录入!AF45*$E45</f>
        <v>0</v>
      </c>
      <c r="AG45" s="162">
        <f>客房耗材出入库录入!AG45*$E45</f>
        <v>0</v>
      </c>
      <c r="AH45" s="162">
        <f>客房耗材出入库录入!AH45*$E45</f>
        <v>0</v>
      </c>
      <c r="AI45" s="162">
        <f>客房耗材出入库录入!AI45*$E45</f>
        <v>0</v>
      </c>
      <c r="AJ45" s="162">
        <f>客房耗材出入库录入!AJ45*$E45</f>
        <v>0</v>
      </c>
      <c r="AK45" s="162">
        <f>客房耗材出入库录入!AK45*$E45</f>
        <v>0</v>
      </c>
      <c r="AL45" s="162">
        <f>客房耗材出入库录入!AL45*$E45</f>
        <v>0</v>
      </c>
      <c r="AM45" s="162">
        <f>客房耗材出入库录入!AM45*$E45</f>
        <v>0</v>
      </c>
      <c r="AN45" s="162">
        <f>客房耗材出入库录入!AN45*$E45</f>
        <v>0</v>
      </c>
      <c r="AO45" s="162">
        <f>客房耗材出入库录入!AO45*$E45</f>
        <v>0</v>
      </c>
      <c r="AP45" s="162">
        <f>客房耗材出入库录入!AP45*$E45</f>
        <v>0</v>
      </c>
      <c r="AQ45" s="162">
        <f>客房耗材出入库录入!AQ45*$E45</f>
        <v>0</v>
      </c>
      <c r="AR45" s="162">
        <f>客房耗材出入库录入!AR45*$E45</f>
        <v>0</v>
      </c>
      <c r="AS45" s="162">
        <f>客房耗材出入库录入!AS45*$E45</f>
        <v>0</v>
      </c>
      <c r="AT45" s="162">
        <f>客房耗材出入库录入!AT45*$E45</f>
        <v>0</v>
      </c>
      <c r="AU45" s="162">
        <f>客房耗材出入库录入!AU45*$E45</f>
        <v>0</v>
      </c>
      <c r="AV45" s="162">
        <f>客房耗材出入库录入!AV45*$E45</f>
        <v>0</v>
      </c>
      <c r="AW45" s="162">
        <f>客房耗材出入库录入!AW45*$E45</f>
        <v>0</v>
      </c>
      <c r="AX45" s="162">
        <f>客房耗材出入库录入!AX45*$E45</f>
        <v>0</v>
      </c>
      <c r="AY45" s="162">
        <f>客房耗材出入库录入!AY45*$E45</f>
        <v>0</v>
      </c>
      <c r="AZ45" s="162">
        <f>客房耗材出入库录入!AZ45*$E45</f>
        <v>0</v>
      </c>
      <c r="BA45" s="162">
        <f>客房耗材出入库录入!BA45*$E45</f>
        <v>0</v>
      </c>
      <c r="BB45" s="162">
        <f>客房耗材出入库录入!BB45*$E45</f>
        <v>0</v>
      </c>
      <c r="BC45" s="162">
        <f>客房耗材出入库录入!BC45*$E45</f>
        <v>0</v>
      </c>
      <c r="BD45" s="162">
        <f>客房耗材出入库录入!BD45*$E45</f>
        <v>0</v>
      </c>
      <c r="BE45" s="162">
        <f>客房耗材出入库录入!BE45*$E45</f>
        <v>0</v>
      </c>
      <c r="BF45" s="162">
        <f>客房耗材出入库录入!BF45*$E45</f>
        <v>0</v>
      </c>
      <c r="BG45" s="162">
        <f>客房耗材出入库录入!BG45*$E45</f>
        <v>0</v>
      </c>
      <c r="BH45" s="162">
        <f>客房耗材出入库录入!BH45*$E45</f>
        <v>0</v>
      </c>
      <c r="BI45" s="162">
        <f>客房耗材出入库录入!BI45*$E45</f>
        <v>0</v>
      </c>
      <c r="BJ45" s="162">
        <f>客房耗材出入库录入!BJ45*$E45</f>
        <v>0</v>
      </c>
      <c r="BK45" s="162">
        <f>客房耗材出入库录入!BK45*$E45</f>
        <v>0</v>
      </c>
      <c r="BL45" s="162">
        <f>客房耗材出入库录入!BL45*$E45</f>
        <v>0</v>
      </c>
      <c r="BM45" s="162">
        <f>客房耗材出入库录入!BM45*$E45</f>
        <v>0</v>
      </c>
      <c r="BN45" s="162">
        <f>客房耗材出入库录入!BN45*$E45</f>
        <v>0</v>
      </c>
      <c r="BO45" s="162">
        <f>客房耗材出入库录入!BO45*$E45</f>
        <v>0</v>
      </c>
      <c r="BP45" s="162">
        <f>客房耗材出入库录入!BP45*$E45</f>
        <v>0</v>
      </c>
      <c r="BQ45" s="162">
        <f>客房耗材出入库录入!BQ45*$E45</f>
        <v>0</v>
      </c>
      <c r="BR45" s="162">
        <f>客房耗材出入库录入!BR45*$E45</f>
        <v>0</v>
      </c>
      <c r="BS45" s="162">
        <f>客房耗材出入库录入!BS45*$E45</f>
        <v>0</v>
      </c>
      <c r="BT45" s="162">
        <f>客房耗材出入库录入!BT45*$E45</f>
        <v>0</v>
      </c>
      <c r="BU45" s="162">
        <f>客房耗材出入库录入!BU45*$E45</f>
        <v>0</v>
      </c>
      <c r="BV45" s="162">
        <f>客房耗材出入库录入!BV45*$E45</f>
        <v>0</v>
      </c>
      <c r="BW45" s="162">
        <f>客房耗材出入库录入!BW45*$E45</f>
        <v>0</v>
      </c>
    </row>
    <row r="46" s="143" customFormat="1" customHeight="1" spans="1:75">
      <c r="A46" s="161">
        <v>1</v>
      </c>
      <c r="B46" s="162">
        <f>客房耗材出入库录入!B46</f>
        <v>0</v>
      </c>
      <c r="C46" s="162">
        <f>客房耗材出入库录入!C46</f>
        <v>0</v>
      </c>
      <c r="D46" s="162">
        <f>客房耗材出入库录入!D46</f>
        <v>0</v>
      </c>
      <c r="E46" s="162">
        <f>客房耗材出入库录入!E46</f>
        <v>0</v>
      </c>
      <c r="F46" s="162">
        <f>客房耗材出入库录入!F46</f>
        <v>0</v>
      </c>
      <c r="G46" s="162">
        <f>客房耗材出入库录入!G46</f>
        <v>0</v>
      </c>
      <c r="H46" s="162">
        <f>客房耗材出入库录入!H46</f>
        <v>0</v>
      </c>
      <c r="I46" s="162">
        <f>客房耗材出入库录入!I46</f>
        <v>0</v>
      </c>
      <c r="J46" s="162">
        <f>客房耗材出入库录入!J46</f>
        <v>0</v>
      </c>
      <c r="K46" s="162">
        <f>客房耗材出入库录入!K46</f>
        <v>0</v>
      </c>
      <c r="L46" s="162">
        <f>客房耗材出入库录入!L46</f>
        <v>0</v>
      </c>
      <c r="M46" s="162">
        <f>客房耗材出入库录入!M46</f>
        <v>0</v>
      </c>
      <c r="N46" s="162">
        <f>客房耗材出入库录入!N46</f>
        <v>0</v>
      </c>
      <c r="O46" s="162">
        <f>客房耗材出入库录入!O46*$E46</f>
        <v>0</v>
      </c>
      <c r="P46" s="162">
        <f>客房耗材出入库录入!P46*$E46</f>
        <v>0</v>
      </c>
      <c r="Q46" s="162">
        <f>客房耗材出入库录入!Q46*$E46</f>
        <v>0</v>
      </c>
      <c r="R46" s="162">
        <f>客房耗材出入库录入!R46*$E46</f>
        <v>0</v>
      </c>
      <c r="S46" s="162">
        <f>客房耗材出入库录入!S46*$E46</f>
        <v>0</v>
      </c>
      <c r="T46" s="162">
        <f>客房耗材出入库录入!T46*$E46</f>
        <v>0</v>
      </c>
      <c r="U46" s="162">
        <f>客房耗材出入库录入!U46*$E46</f>
        <v>0</v>
      </c>
      <c r="V46" s="162">
        <f>客房耗材出入库录入!V46*$E46</f>
        <v>0</v>
      </c>
      <c r="W46" s="162">
        <f>客房耗材出入库录入!W46*$E46</f>
        <v>0</v>
      </c>
      <c r="X46" s="162">
        <f>客房耗材出入库录入!X46*$E46</f>
        <v>0</v>
      </c>
      <c r="Y46" s="162">
        <f>客房耗材出入库录入!Y46*$E46</f>
        <v>0</v>
      </c>
      <c r="Z46" s="162">
        <f>客房耗材出入库录入!Z46*$E46</f>
        <v>0</v>
      </c>
      <c r="AA46" s="162">
        <f>客房耗材出入库录入!AA46*$E46</f>
        <v>0</v>
      </c>
      <c r="AB46" s="162">
        <f>客房耗材出入库录入!AB46*$E46</f>
        <v>0</v>
      </c>
      <c r="AC46" s="162">
        <f>客房耗材出入库录入!AC46*$E46</f>
        <v>0</v>
      </c>
      <c r="AD46" s="162">
        <f>客房耗材出入库录入!AD46*$E46</f>
        <v>0</v>
      </c>
      <c r="AE46" s="162">
        <f>客房耗材出入库录入!AE46*$E46</f>
        <v>0</v>
      </c>
      <c r="AF46" s="162">
        <f>客房耗材出入库录入!AF46*$E46</f>
        <v>0</v>
      </c>
      <c r="AG46" s="162">
        <f>客房耗材出入库录入!AG46*$E46</f>
        <v>0</v>
      </c>
      <c r="AH46" s="162">
        <f>客房耗材出入库录入!AH46*$E46</f>
        <v>0</v>
      </c>
      <c r="AI46" s="162">
        <f>客房耗材出入库录入!AI46*$E46</f>
        <v>0</v>
      </c>
      <c r="AJ46" s="162">
        <f>客房耗材出入库录入!AJ46*$E46</f>
        <v>0</v>
      </c>
      <c r="AK46" s="162">
        <f>客房耗材出入库录入!AK46*$E46</f>
        <v>0</v>
      </c>
      <c r="AL46" s="162">
        <f>客房耗材出入库录入!AL46*$E46</f>
        <v>0</v>
      </c>
      <c r="AM46" s="162">
        <f>客房耗材出入库录入!AM46*$E46</f>
        <v>0</v>
      </c>
      <c r="AN46" s="162">
        <f>客房耗材出入库录入!AN46*$E46</f>
        <v>0</v>
      </c>
      <c r="AO46" s="162">
        <f>客房耗材出入库录入!AO46*$E46</f>
        <v>0</v>
      </c>
      <c r="AP46" s="162">
        <f>客房耗材出入库录入!AP46*$E46</f>
        <v>0</v>
      </c>
      <c r="AQ46" s="162">
        <f>客房耗材出入库录入!AQ46*$E46</f>
        <v>0</v>
      </c>
      <c r="AR46" s="162">
        <f>客房耗材出入库录入!AR46*$E46</f>
        <v>0</v>
      </c>
      <c r="AS46" s="162">
        <f>客房耗材出入库录入!AS46*$E46</f>
        <v>0</v>
      </c>
      <c r="AT46" s="162">
        <f>客房耗材出入库录入!AT46*$E46</f>
        <v>0</v>
      </c>
      <c r="AU46" s="162">
        <f>客房耗材出入库录入!AU46*$E46</f>
        <v>0</v>
      </c>
      <c r="AV46" s="162">
        <f>客房耗材出入库录入!AV46*$E46</f>
        <v>0</v>
      </c>
      <c r="AW46" s="162">
        <f>客房耗材出入库录入!AW46*$E46</f>
        <v>0</v>
      </c>
      <c r="AX46" s="162">
        <f>客房耗材出入库录入!AX46*$E46</f>
        <v>0</v>
      </c>
      <c r="AY46" s="162">
        <f>客房耗材出入库录入!AY46*$E46</f>
        <v>0</v>
      </c>
      <c r="AZ46" s="162">
        <f>客房耗材出入库录入!AZ46*$E46</f>
        <v>0</v>
      </c>
      <c r="BA46" s="162">
        <f>客房耗材出入库录入!BA46*$E46</f>
        <v>0</v>
      </c>
      <c r="BB46" s="162">
        <f>客房耗材出入库录入!BB46*$E46</f>
        <v>0</v>
      </c>
      <c r="BC46" s="162">
        <f>客房耗材出入库录入!BC46*$E46</f>
        <v>0</v>
      </c>
      <c r="BD46" s="162">
        <f>客房耗材出入库录入!BD46*$E46</f>
        <v>0</v>
      </c>
      <c r="BE46" s="162">
        <f>客房耗材出入库录入!BE46*$E46</f>
        <v>0</v>
      </c>
      <c r="BF46" s="162">
        <f>客房耗材出入库录入!BF46*$E46</f>
        <v>0</v>
      </c>
      <c r="BG46" s="162">
        <f>客房耗材出入库录入!BG46*$E46</f>
        <v>0</v>
      </c>
      <c r="BH46" s="162">
        <f>客房耗材出入库录入!BH46*$E46</f>
        <v>0</v>
      </c>
      <c r="BI46" s="162">
        <f>客房耗材出入库录入!BI46*$E46</f>
        <v>0</v>
      </c>
      <c r="BJ46" s="162">
        <f>客房耗材出入库录入!BJ46*$E46</f>
        <v>0</v>
      </c>
      <c r="BK46" s="162">
        <f>客房耗材出入库录入!BK46*$E46</f>
        <v>0</v>
      </c>
      <c r="BL46" s="162">
        <f>客房耗材出入库录入!BL46*$E46</f>
        <v>0</v>
      </c>
      <c r="BM46" s="162">
        <f>客房耗材出入库录入!BM46*$E46</f>
        <v>0</v>
      </c>
      <c r="BN46" s="162">
        <f>客房耗材出入库录入!BN46*$E46</f>
        <v>0</v>
      </c>
      <c r="BO46" s="162">
        <f>客房耗材出入库录入!BO46*$E46</f>
        <v>0</v>
      </c>
      <c r="BP46" s="162">
        <f>客房耗材出入库录入!BP46*$E46</f>
        <v>0</v>
      </c>
      <c r="BQ46" s="162">
        <f>客房耗材出入库录入!BQ46*$E46</f>
        <v>0</v>
      </c>
      <c r="BR46" s="162">
        <f>客房耗材出入库录入!BR46*$E46</f>
        <v>0</v>
      </c>
      <c r="BS46" s="162">
        <f>客房耗材出入库录入!BS46*$E46</f>
        <v>0</v>
      </c>
      <c r="BT46" s="162">
        <f>客房耗材出入库录入!BT46*$E46</f>
        <v>0</v>
      </c>
      <c r="BU46" s="162">
        <f>客房耗材出入库录入!BU46*$E46</f>
        <v>0</v>
      </c>
      <c r="BV46" s="162">
        <f>客房耗材出入库录入!BV46*$E46</f>
        <v>0</v>
      </c>
      <c r="BW46" s="162">
        <f>客房耗材出入库录入!BW46*$E46</f>
        <v>0</v>
      </c>
    </row>
    <row r="47" s="143" customFormat="1" customHeight="1" spans="1:75">
      <c r="A47" s="161">
        <v>1</v>
      </c>
      <c r="B47" s="162">
        <f>客房耗材出入库录入!B47</f>
        <v>0</v>
      </c>
      <c r="C47" s="162">
        <f>客房耗材出入库录入!C47</f>
        <v>0</v>
      </c>
      <c r="D47" s="162">
        <f>客房耗材出入库录入!D47</f>
        <v>0</v>
      </c>
      <c r="E47" s="162">
        <f>客房耗材出入库录入!E47</f>
        <v>0</v>
      </c>
      <c r="F47" s="162">
        <f>客房耗材出入库录入!F47</f>
        <v>0</v>
      </c>
      <c r="G47" s="162">
        <f>客房耗材出入库录入!G47</f>
        <v>0</v>
      </c>
      <c r="H47" s="162">
        <f>客房耗材出入库录入!H47</f>
        <v>0</v>
      </c>
      <c r="I47" s="162">
        <f>客房耗材出入库录入!I47</f>
        <v>0</v>
      </c>
      <c r="J47" s="162">
        <f>客房耗材出入库录入!J47</f>
        <v>0</v>
      </c>
      <c r="K47" s="162">
        <f>客房耗材出入库录入!K47</f>
        <v>0</v>
      </c>
      <c r="L47" s="162">
        <f>客房耗材出入库录入!L47</f>
        <v>0</v>
      </c>
      <c r="M47" s="162">
        <f>客房耗材出入库录入!M47</f>
        <v>0</v>
      </c>
      <c r="N47" s="162">
        <f>客房耗材出入库录入!N47</f>
        <v>0</v>
      </c>
      <c r="O47" s="162">
        <f>客房耗材出入库录入!O47*$E47</f>
        <v>0</v>
      </c>
      <c r="P47" s="162">
        <f>客房耗材出入库录入!P47*$E47</f>
        <v>0</v>
      </c>
      <c r="Q47" s="162">
        <f>客房耗材出入库录入!Q47*$E47</f>
        <v>0</v>
      </c>
      <c r="R47" s="162">
        <f>客房耗材出入库录入!R47*$E47</f>
        <v>0</v>
      </c>
      <c r="S47" s="162">
        <f>客房耗材出入库录入!S47*$E47</f>
        <v>0</v>
      </c>
      <c r="T47" s="162">
        <f>客房耗材出入库录入!T47*$E47</f>
        <v>0</v>
      </c>
      <c r="U47" s="162">
        <f>客房耗材出入库录入!U47*$E47</f>
        <v>0</v>
      </c>
      <c r="V47" s="162">
        <f>客房耗材出入库录入!V47*$E47</f>
        <v>0</v>
      </c>
      <c r="W47" s="162">
        <f>客房耗材出入库录入!W47*$E47</f>
        <v>0</v>
      </c>
      <c r="X47" s="162">
        <f>客房耗材出入库录入!X47*$E47</f>
        <v>0</v>
      </c>
      <c r="Y47" s="162">
        <f>客房耗材出入库录入!Y47*$E47</f>
        <v>0</v>
      </c>
      <c r="Z47" s="162">
        <f>客房耗材出入库录入!Z47*$E47</f>
        <v>0</v>
      </c>
      <c r="AA47" s="162">
        <f>客房耗材出入库录入!AA47*$E47</f>
        <v>0</v>
      </c>
      <c r="AB47" s="162">
        <f>客房耗材出入库录入!AB47*$E47</f>
        <v>0</v>
      </c>
      <c r="AC47" s="162">
        <f>客房耗材出入库录入!AC47*$E47</f>
        <v>0</v>
      </c>
      <c r="AD47" s="162">
        <f>客房耗材出入库录入!AD47*$E47</f>
        <v>0</v>
      </c>
      <c r="AE47" s="162">
        <f>客房耗材出入库录入!AE47*$E47</f>
        <v>0</v>
      </c>
      <c r="AF47" s="162">
        <f>客房耗材出入库录入!AF47*$E47</f>
        <v>0</v>
      </c>
      <c r="AG47" s="162">
        <f>客房耗材出入库录入!AG47*$E47</f>
        <v>0</v>
      </c>
      <c r="AH47" s="162">
        <f>客房耗材出入库录入!AH47*$E47</f>
        <v>0</v>
      </c>
      <c r="AI47" s="162">
        <f>客房耗材出入库录入!AI47*$E47</f>
        <v>0</v>
      </c>
      <c r="AJ47" s="162">
        <f>客房耗材出入库录入!AJ47*$E47</f>
        <v>0</v>
      </c>
      <c r="AK47" s="162">
        <f>客房耗材出入库录入!AK47*$E47</f>
        <v>0</v>
      </c>
      <c r="AL47" s="162">
        <f>客房耗材出入库录入!AL47*$E47</f>
        <v>0</v>
      </c>
      <c r="AM47" s="162">
        <f>客房耗材出入库录入!AM47*$E47</f>
        <v>0</v>
      </c>
      <c r="AN47" s="162">
        <f>客房耗材出入库录入!AN47*$E47</f>
        <v>0</v>
      </c>
      <c r="AO47" s="162">
        <f>客房耗材出入库录入!AO47*$E47</f>
        <v>0</v>
      </c>
      <c r="AP47" s="162">
        <f>客房耗材出入库录入!AP47*$E47</f>
        <v>0</v>
      </c>
      <c r="AQ47" s="162">
        <f>客房耗材出入库录入!AQ47*$E47</f>
        <v>0</v>
      </c>
      <c r="AR47" s="162">
        <f>客房耗材出入库录入!AR47*$E47</f>
        <v>0</v>
      </c>
      <c r="AS47" s="162">
        <f>客房耗材出入库录入!AS47*$E47</f>
        <v>0</v>
      </c>
      <c r="AT47" s="162">
        <f>客房耗材出入库录入!AT47*$E47</f>
        <v>0</v>
      </c>
      <c r="AU47" s="162">
        <f>客房耗材出入库录入!AU47*$E47</f>
        <v>0</v>
      </c>
      <c r="AV47" s="162">
        <f>客房耗材出入库录入!AV47*$E47</f>
        <v>0</v>
      </c>
      <c r="AW47" s="162">
        <f>客房耗材出入库录入!AW47*$E47</f>
        <v>0</v>
      </c>
      <c r="AX47" s="162">
        <f>客房耗材出入库录入!AX47*$E47</f>
        <v>0</v>
      </c>
      <c r="AY47" s="162">
        <f>客房耗材出入库录入!AY47*$E47</f>
        <v>0</v>
      </c>
      <c r="AZ47" s="162">
        <f>客房耗材出入库录入!AZ47*$E47</f>
        <v>0</v>
      </c>
      <c r="BA47" s="162">
        <f>客房耗材出入库录入!BA47*$E47</f>
        <v>0</v>
      </c>
      <c r="BB47" s="162">
        <f>客房耗材出入库录入!BB47*$E47</f>
        <v>0</v>
      </c>
      <c r="BC47" s="162">
        <f>客房耗材出入库录入!BC47*$E47</f>
        <v>0</v>
      </c>
      <c r="BD47" s="162">
        <f>客房耗材出入库录入!BD47*$E47</f>
        <v>0</v>
      </c>
      <c r="BE47" s="162">
        <f>客房耗材出入库录入!BE47*$E47</f>
        <v>0</v>
      </c>
      <c r="BF47" s="162">
        <f>客房耗材出入库录入!BF47*$E47</f>
        <v>0</v>
      </c>
      <c r="BG47" s="162">
        <f>客房耗材出入库录入!BG47*$E47</f>
        <v>0</v>
      </c>
      <c r="BH47" s="162">
        <f>客房耗材出入库录入!BH47*$E47</f>
        <v>0</v>
      </c>
      <c r="BI47" s="162">
        <f>客房耗材出入库录入!BI47*$E47</f>
        <v>0</v>
      </c>
      <c r="BJ47" s="162">
        <f>客房耗材出入库录入!BJ47*$E47</f>
        <v>0</v>
      </c>
      <c r="BK47" s="162">
        <f>客房耗材出入库录入!BK47*$E47</f>
        <v>0</v>
      </c>
      <c r="BL47" s="162">
        <f>客房耗材出入库录入!BL47*$E47</f>
        <v>0</v>
      </c>
      <c r="BM47" s="162">
        <f>客房耗材出入库录入!BM47*$E47</f>
        <v>0</v>
      </c>
      <c r="BN47" s="162">
        <f>客房耗材出入库录入!BN47*$E47</f>
        <v>0</v>
      </c>
      <c r="BO47" s="162">
        <f>客房耗材出入库录入!BO47*$E47</f>
        <v>0</v>
      </c>
      <c r="BP47" s="162">
        <f>客房耗材出入库录入!BP47*$E47</f>
        <v>0</v>
      </c>
      <c r="BQ47" s="162">
        <f>客房耗材出入库录入!BQ47*$E47</f>
        <v>0</v>
      </c>
      <c r="BR47" s="162">
        <f>客房耗材出入库录入!BR47*$E47</f>
        <v>0</v>
      </c>
      <c r="BS47" s="162">
        <f>客房耗材出入库录入!BS47*$E47</f>
        <v>0</v>
      </c>
      <c r="BT47" s="162">
        <f>客房耗材出入库录入!BT47*$E47</f>
        <v>0</v>
      </c>
      <c r="BU47" s="162">
        <f>客房耗材出入库录入!BU47*$E47</f>
        <v>0</v>
      </c>
      <c r="BV47" s="162">
        <f>客房耗材出入库录入!BV47*$E47</f>
        <v>0</v>
      </c>
      <c r="BW47" s="162">
        <f>客房耗材出入库录入!BW47*$E47</f>
        <v>0</v>
      </c>
    </row>
    <row r="48" s="143" customFormat="1" customHeight="1" spans="1:75">
      <c r="A48" s="161">
        <v>1</v>
      </c>
      <c r="B48" s="162">
        <f>客房耗材出入库录入!B48</f>
        <v>0</v>
      </c>
      <c r="C48" s="162">
        <f>客房耗材出入库录入!C48</f>
        <v>0</v>
      </c>
      <c r="D48" s="162">
        <f>客房耗材出入库录入!D48</f>
        <v>0</v>
      </c>
      <c r="E48" s="162">
        <f>客房耗材出入库录入!E48</f>
        <v>0</v>
      </c>
      <c r="F48" s="162">
        <f>客房耗材出入库录入!F48</f>
        <v>0</v>
      </c>
      <c r="G48" s="162">
        <f>客房耗材出入库录入!G48</f>
        <v>0</v>
      </c>
      <c r="H48" s="162">
        <f>客房耗材出入库录入!H48</f>
        <v>0</v>
      </c>
      <c r="I48" s="162">
        <f>客房耗材出入库录入!I48</f>
        <v>0</v>
      </c>
      <c r="J48" s="162">
        <f>客房耗材出入库录入!J48</f>
        <v>0</v>
      </c>
      <c r="K48" s="162">
        <f>客房耗材出入库录入!K48</f>
        <v>0</v>
      </c>
      <c r="L48" s="162">
        <f>客房耗材出入库录入!L48</f>
        <v>0</v>
      </c>
      <c r="M48" s="162">
        <f>客房耗材出入库录入!M48</f>
        <v>0</v>
      </c>
      <c r="N48" s="162">
        <f>客房耗材出入库录入!N48</f>
        <v>0</v>
      </c>
      <c r="O48" s="162">
        <f>客房耗材出入库录入!O48*$E48</f>
        <v>0</v>
      </c>
      <c r="P48" s="162">
        <f>客房耗材出入库录入!P48*$E48</f>
        <v>0</v>
      </c>
      <c r="Q48" s="162">
        <f>客房耗材出入库录入!Q48*$E48</f>
        <v>0</v>
      </c>
      <c r="R48" s="162">
        <f>客房耗材出入库录入!R48*$E48</f>
        <v>0</v>
      </c>
      <c r="S48" s="162">
        <f>客房耗材出入库录入!S48*$E48</f>
        <v>0</v>
      </c>
      <c r="T48" s="162">
        <f>客房耗材出入库录入!T48*$E48</f>
        <v>0</v>
      </c>
      <c r="U48" s="162">
        <f>客房耗材出入库录入!U48*$E48</f>
        <v>0</v>
      </c>
      <c r="V48" s="162">
        <f>客房耗材出入库录入!V48*$E48</f>
        <v>0</v>
      </c>
      <c r="W48" s="162">
        <f>客房耗材出入库录入!W48*$E48</f>
        <v>0</v>
      </c>
      <c r="X48" s="162">
        <f>客房耗材出入库录入!X48*$E48</f>
        <v>0</v>
      </c>
      <c r="Y48" s="162">
        <f>客房耗材出入库录入!Y48*$E48</f>
        <v>0</v>
      </c>
      <c r="Z48" s="162">
        <f>客房耗材出入库录入!Z48*$E48</f>
        <v>0</v>
      </c>
      <c r="AA48" s="162">
        <f>客房耗材出入库录入!AA48*$E48</f>
        <v>0</v>
      </c>
      <c r="AB48" s="162">
        <f>客房耗材出入库录入!AB48*$E48</f>
        <v>0</v>
      </c>
      <c r="AC48" s="162">
        <f>客房耗材出入库录入!AC48*$E48</f>
        <v>0</v>
      </c>
      <c r="AD48" s="162">
        <f>客房耗材出入库录入!AD48*$E48</f>
        <v>0</v>
      </c>
      <c r="AE48" s="162">
        <f>客房耗材出入库录入!AE48*$E48</f>
        <v>0</v>
      </c>
      <c r="AF48" s="162">
        <f>客房耗材出入库录入!AF48*$E48</f>
        <v>0</v>
      </c>
      <c r="AG48" s="162">
        <f>客房耗材出入库录入!AG48*$E48</f>
        <v>0</v>
      </c>
      <c r="AH48" s="162">
        <f>客房耗材出入库录入!AH48*$E48</f>
        <v>0</v>
      </c>
      <c r="AI48" s="162">
        <f>客房耗材出入库录入!AI48*$E48</f>
        <v>0</v>
      </c>
      <c r="AJ48" s="162">
        <f>客房耗材出入库录入!AJ48*$E48</f>
        <v>0</v>
      </c>
      <c r="AK48" s="162">
        <f>客房耗材出入库录入!AK48*$E48</f>
        <v>0</v>
      </c>
      <c r="AL48" s="162">
        <f>客房耗材出入库录入!AL48*$E48</f>
        <v>0</v>
      </c>
      <c r="AM48" s="162">
        <f>客房耗材出入库录入!AM48*$E48</f>
        <v>0</v>
      </c>
      <c r="AN48" s="162">
        <f>客房耗材出入库录入!AN48*$E48</f>
        <v>0</v>
      </c>
      <c r="AO48" s="162">
        <f>客房耗材出入库录入!AO48*$E48</f>
        <v>0</v>
      </c>
      <c r="AP48" s="162">
        <f>客房耗材出入库录入!AP48*$E48</f>
        <v>0</v>
      </c>
      <c r="AQ48" s="162">
        <f>客房耗材出入库录入!AQ48*$E48</f>
        <v>0</v>
      </c>
      <c r="AR48" s="162">
        <f>客房耗材出入库录入!AR48*$E48</f>
        <v>0</v>
      </c>
      <c r="AS48" s="162">
        <f>客房耗材出入库录入!AS48*$E48</f>
        <v>0</v>
      </c>
      <c r="AT48" s="162">
        <f>客房耗材出入库录入!AT48*$E48</f>
        <v>0</v>
      </c>
      <c r="AU48" s="162">
        <f>客房耗材出入库录入!AU48*$E48</f>
        <v>0</v>
      </c>
      <c r="AV48" s="162">
        <f>客房耗材出入库录入!AV48*$E48</f>
        <v>0</v>
      </c>
      <c r="AW48" s="162">
        <f>客房耗材出入库录入!AW48*$E48</f>
        <v>0</v>
      </c>
      <c r="AX48" s="162">
        <f>客房耗材出入库录入!AX48*$E48</f>
        <v>0</v>
      </c>
      <c r="AY48" s="162">
        <f>客房耗材出入库录入!AY48*$E48</f>
        <v>0</v>
      </c>
      <c r="AZ48" s="162">
        <f>客房耗材出入库录入!AZ48*$E48</f>
        <v>0</v>
      </c>
      <c r="BA48" s="162">
        <f>客房耗材出入库录入!BA48*$E48</f>
        <v>0</v>
      </c>
      <c r="BB48" s="162">
        <f>客房耗材出入库录入!BB48*$E48</f>
        <v>0</v>
      </c>
      <c r="BC48" s="162">
        <f>客房耗材出入库录入!BC48*$E48</f>
        <v>0</v>
      </c>
      <c r="BD48" s="162">
        <f>客房耗材出入库录入!BD48*$E48</f>
        <v>0</v>
      </c>
      <c r="BE48" s="162">
        <f>客房耗材出入库录入!BE48*$E48</f>
        <v>0</v>
      </c>
      <c r="BF48" s="162">
        <f>客房耗材出入库录入!BF48*$E48</f>
        <v>0</v>
      </c>
      <c r="BG48" s="162">
        <f>客房耗材出入库录入!BG48*$E48</f>
        <v>0</v>
      </c>
      <c r="BH48" s="162">
        <f>客房耗材出入库录入!BH48*$E48</f>
        <v>0</v>
      </c>
      <c r="BI48" s="162">
        <f>客房耗材出入库录入!BI48*$E48</f>
        <v>0</v>
      </c>
      <c r="BJ48" s="162">
        <f>客房耗材出入库录入!BJ48*$E48</f>
        <v>0</v>
      </c>
      <c r="BK48" s="162">
        <f>客房耗材出入库录入!BK48*$E48</f>
        <v>0</v>
      </c>
      <c r="BL48" s="162">
        <f>客房耗材出入库录入!BL48*$E48</f>
        <v>0</v>
      </c>
      <c r="BM48" s="162">
        <f>客房耗材出入库录入!BM48*$E48</f>
        <v>0</v>
      </c>
      <c r="BN48" s="162">
        <f>客房耗材出入库录入!BN48*$E48</f>
        <v>0</v>
      </c>
      <c r="BO48" s="162">
        <f>客房耗材出入库录入!BO48*$E48</f>
        <v>0</v>
      </c>
      <c r="BP48" s="162">
        <f>客房耗材出入库录入!BP48*$E48</f>
        <v>0</v>
      </c>
      <c r="BQ48" s="162">
        <f>客房耗材出入库录入!BQ48*$E48</f>
        <v>0</v>
      </c>
      <c r="BR48" s="162">
        <f>客房耗材出入库录入!BR48*$E48</f>
        <v>0</v>
      </c>
      <c r="BS48" s="162">
        <f>客房耗材出入库录入!BS48*$E48</f>
        <v>0</v>
      </c>
      <c r="BT48" s="162">
        <f>客房耗材出入库录入!BT48*$E48</f>
        <v>0</v>
      </c>
      <c r="BU48" s="162">
        <f>客房耗材出入库录入!BU48*$E48</f>
        <v>0</v>
      </c>
      <c r="BV48" s="162">
        <f>客房耗材出入库录入!BV48*$E48</f>
        <v>0</v>
      </c>
      <c r="BW48" s="162">
        <f>客房耗材出入库录入!BW48*$E48</f>
        <v>0</v>
      </c>
    </row>
    <row r="49" s="143" customFormat="1" customHeight="1" spans="1:75">
      <c r="A49" s="161">
        <v>1</v>
      </c>
      <c r="B49" s="162">
        <f>客房耗材出入库录入!B49</f>
        <v>0</v>
      </c>
      <c r="C49" s="162">
        <f>客房耗材出入库录入!C49</f>
        <v>0</v>
      </c>
      <c r="D49" s="162">
        <f>客房耗材出入库录入!D49</f>
        <v>0</v>
      </c>
      <c r="E49" s="162">
        <f>客房耗材出入库录入!E49</f>
        <v>0</v>
      </c>
      <c r="F49" s="162">
        <f>客房耗材出入库录入!F49</f>
        <v>0</v>
      </c>
      <c r="G49" s="162">
        <f>客房耗材出入库录入!G49</f>
        <v>0</v>
      </c>
      <c r="H49" s="162">
        <f>客房耗材出入库录入!H49</f>
        <v>0</v>
      </c>
      <c r="I49" s="162">
        <f>客房耗材出入库录入!I49</f>
        <v>0</v>
      </c>
      <c r="J49" s="162">
        <f>客房耗材出入库录入!J49</f>
        <v>0</v>
      </c>
      <c r="K49" s="162">
        <f>客房耗材出入库录入!K49</f>
        <v>0</v>
      </c>
      <c r="L49" s="162">
        <f>客房耗材出入库录入!L49</f>
        <v>0</v>
      </c>
      <c r="M49" s="162">
        <f>客房耗材出入库录入!M49</f>
        <v>0</v>
      </c>
      <c r="N49" s="162">
        <f>客房耗材出入库录入!N49</f>
        <v>0</v>
      </c>
      <c r="O49" s="162">
        <f>客房耗材出入库录入!O49*$E49</f>
        <v>0</v>
      </c>
      <c r="P49" s="162">
        <f>客房耗材出入库录入!P49*$E49</f>
        <v>0</v>
      </c>
      <c r="Q49" s="162">
        <f>客房耗材出入库录入!Q49*$E49</f>
        <v>0</v>
      </c>
      <c r="R49" s="162">
        <f>客房耗材出入库录入!R49*$E49</f>
        <v>0</v>
      </c>
      <c r="S49" s="162">
        <f>客房耗材出入库录入!S49*$E49</f>
        <v>0</v>
      </c>
      <c r="T49" s="162">
        <f>客房耗材出入库录入!T49*$E49</f>
        <v>0</v>
      </c>
      <c r="U49" s="162">
        <f>客房耗材出入库录入!U49*$E49</f>
        <v>0</v>
      </c>
      <c r="V49" s="162">
        <f>客房耗材出入库录入!V49*$E49</f>
        <v>0</v>
      </c>
      <c r="W49" s="162">
        <f>客房耗材出入库录入!W49*$E49</f>
        <v>0</v>
      </c>
      <c r="X49" s="162">
        <f>客房耗材出入库录入!X49*$E49</f>
        <v>0</v>
      </c>
      <c r="Y49" s="162">
        <f>客房耗材出入库录入!Y49*$E49</f>
        <v>0</v>
      </c>
      <c r="Z49" s="162">
        <f>客房耗材出入库录入!Z49*$E49</f>
        <v>0</v>
      </c>
      <c r="AA49" s="162">
        <f>客房耗材出入库录入!AA49*$E49</f>
        <v>0</v>
      </c>
      <c r="AB49" s="162">
        <f>客房耗材出入库录入!AB49*$E49</f>
        <v>0</v>
      </c>
      <c r="AC49" s="162">
        <f>客房耗材出入库录入!AC49*$E49</f>
        <v>0</v>
      </c>
      <c r="AD49" s="162">
        <f>客房耗材出入库录入!AD49*$E49</f>
        <v>0</v>
      </c>
      <c r="AE49" s="162">
        <f>客房耗材出入库录入!AE49*$E49</f>
        <v>0</v>
      </c>
      <c r="AF49" s="162">
        <f>客房耗材出入库录入!AF49*$E49</f>
        <v>0</v>
      </c>
      <c r="AG49" s="162">
        <f>客房耗材出入库录入!AG49*$E49</f>
        <v>0</v>
      </c>
      <c r="AH49" s="162">
        <f>客房耗材出入库录入!AH49*$E49</f>
        <v>0</v>
      </c>
      <c r="AI49" s="162">
        <f>客房耗材出入库录入!AI49*$E49</f>
        <v>0</v>
      </c>
      <c r="AJ49" s="162">
        <f>客房耗材出入库录入!AJ49*$E49</f>
        <v>0</v>
      </c>
      <c r="AK49" s="162">
        <f>客房耗材出入库录入!AK49*$E49</f>
        <v>0</v>
      </c>
      <c r="AL49" s="162">
        <f>客房耗材出入库录入!AL49*$E49</f>
        <v>0</v>
      </c>
      <c r="AM49" s="162">
        <f>客房耗材出入库录入!AM49*$E49</f>
        <v>0</v>
      </c>
      <c r="AN49" s="162">
        <f>客房耗材出入库录入!AN49*$E49</f>
        <v>0</v>
      </c>
      <c r="AO49" s="162">
        <f>客房耗材出入库录入!AO49*$E49</f>
        <v>0</v>
      </c>
      <c r="AP49" s="162">
        <f>客房耗材出入库录入!AP49*$E49</f>
        <v>0</v>
      </c>
      <c r="AQ49" s="162">
        <f>客房耗材出入库录入!AQ49*$E49</f>
        <v>0</v>
      </c>
      <c r="AR49" s="162">
        <f>客房耗材出入库录入!AR49*$E49</f>
        <v>0</v>
      </c>
      <c r="AS49" s="162">
        <f>客房耗材出入库录入!AS49*$E49</f>
        <v>0</v>
      </c>
      <c r="AT49" s="162">
        <f>客房耗材出入库录入!AT49*$E49</f>
        <v>0</v>
      </c>
      <c r="AU49" s="162">
        <f>客房耗材出入库录入!AU49*$E49</f>
        <v>0</v>
      </c>
      <c r="AV49" s="162">
        <f>客房耗材出入库录入!AV49*$E49</f>
        <v>0</v>
      </c>
      <c r="AW49" s="162">
        <f>客房耗材出入库录入!AW49*$E49</f>
        <v>0</v>
      </c>
      <c r="AX49" s="162">
        <f>客房耗材出入库录入!AX49*$E49</f>
        <v>0</v>
      </c>
      <c r="AY49" s="162">
        <f>客房耗材出入库录入!AY49*$E49</f>
        <v>0</v>
      </c>
      <c r="AZ49" s="162">
        <f>客房耗材出入库录入!AZ49*$E49</f>
        <v>0</v>
      </c>
      <c r="BA49" s="162">
        <f>客房耗材出入库录入!BA49*$E49</f>
        <v>0</v>
      </c>
      <c r="BB49" s="162">
        <f>客房耗材出入库录入!BB49*$E49</f>
        <v>0</v>
      </c>
      <c r="BC49" s="162">
        <f>客房耗材出入库录入!BC49*$E49</f>
        <v>0</v>
      </c>
      <c r="BD49" s="162">
        <f>客房耗材出入库录入!BD49*$E49</f>
        <v>0</v>
      </c>
      <c r="BE49" s="162">
        <f>客房耗材出入库录入!BE49*$E49</f>
        <v>0</v>
      </c>
      <c r="BF49" s="162">
        <f>客房耗材出入库录入!BF49*$E49</f>
        <v>0</v>
      </c>
      <c r="BG49" s="162">
        <f>客房耗材出入库录入!BG49*$E49</f>
        <v>0</v>
      </c>
      <c r="BH49" s="162">
        <f>客房耗材出入库录入!BH49*$E49</f>
        <v>0</v>
      </c>
      <c r="BI49" s="162">
        <f>客房耗材出入库录入!BI49*$E49</f>
        <v>0</v>
      </c>
      <c r="BJ49" s="162">
        <f>客房耗材出入库录入!BJ49*$E49</f>
        <v>0</v>
      </c>
      <c r="BK49" s="162">
        <f>客房耗材出入库录入!BK49*$E49</f>
        <v>0</v>
      </c>
      <c r="BL49" s="162">
        <f>客房耗材出入库录入!BL49*$E49</f>
        <v>0</v>
      </c>
      <c r="BM49" s="162">
        <f>客房耗材出入库录入!BM49*$E49</f>
        <v>0</v>
      </c>
      <c r="BN49" s="162">
        <f>客房耗材出入库录入!BN49*$E49</f>
        <v>0</v>
      </c>
      <c r="BO49" s="162">
        <f>客房耗材出入库录入!BO49*$E49</f>
        <v>0</v>
      </c>
      <c r="BP49" s="162">
        <f>客房耗材出入库录入!BP49*$E49</f>
        <v>0</v>
      </c>
      <c r="BQ49" s="162">
        <f>客房耗材出入库录入!BQ49*$E49</f>
        <v>0</v>
      </c>
      <c r="BR49" s="162">
        <f>客房耗材出入库录入!BR49*$E49</f>
        <v>0</v>
      </c>
      <c r="BS49" s="162">
        <f>客房耗材出入库录入!BS49*$E49</f>
        <v>0</v>
      </c>
      <c r="BT49" s="162">
        <f>客房耗材出入库录入!BT49*$E49</f>
        <v>0</v>
      </c>
      <c r="BU49" s="162">
        <f>客房耗材出入库录入!BU49*$E49</f>
        <v>0</v>
      </c>
      <c r="BV49" s="162">
        <f>客房耗材出入库录入!BV49*$E49</f>
        <v>0</v>
      </c>
      <c r="BW49" s="162">
        <f>客房耗材出入库录入!BW49*$E49</f>
        <v>0</v>
      </c>
    </row>
    <row r="50" s="143" customFormat="1" customHeight="1" spans="1:75">
      <c r="A50" s="161">
        <v>1</v>
      </c>
      <c r="B50" s="162">
        <f>客房耗材出入库录入!B50</f>
        <v>0</v>
      </c>
      <c r="C50" s="162">
        <f>客房耗材出入库录入!C50</f>
        <v>0</v>
      </c>
      <c r="D50" s="162">
        <f>客房耗材出入库录入!D50</f>
        <v>0</v>
      </c>
      <c r="E50" s="162">
        <f>客房耗材出入库录入!E50</f>
        <v>0</v>
      </c>
      <c r="F50" s="162">
        <f>客房耗材出入库录入!F50</f>
        <v>0</v>
      </c>
      <c r="G50" s="162">
        <f>客房耗材出入库录入!G50</f>
        <v>0</v>
      </c>
      <c r="H50" s="162">
        <f>客房耗材出入库录入!H50</f>
        <v>0</v>
      </c>
      <c r="I50" s="162">
        <f>客房耗材出入库录入!I50</f>
        <v>0</v>
      </c>
      <c r="J50" s="162">
        <f>客房耗材出入库录入!J50</f>
        <v>0</v>
      </c>
      <c r="K50" s="162">
        <f>客房耗材出入库录入!K50</f>
        <v>0</v>
      </c>
      <c r="L50" s="162">
        <f>客房耗材出入库录入!L50</f>
        <v>0</v>
      </c>
      <c r="M50" s="162">
        <f>客房耗材出入库录入!M50</f>
        <v>0</v>
      </c>
      <c r="N50" s="162">
        <f>客房耗材出入库录入!N50</f>
        <v>0</v>
      </c>
      <c r="O50" s="162">
        <f>客房耗材出入库录入!O50*$E50</f>
        <v>0</v>
      </c>
      <c r="P50" s="162">
        <f>客房耗材出入库录入!P50*$E50</f>
        <v>0</v>
      </c>
      <c r="Q50" s="162">
        <f>客房耗材出入库录入!Q50*$E50</f>
        <v>0</v>
      </c>
      <c r="R50" s="162">
        <f>客房耗材出入库录入!R50*$E50</f>
        <v>0</v>
      </c>
      <c r="S50" s="162">
        <f>客房耗材出入库录入!S50*$E50</f>
        <v>0</v>
      </c>
      <c r="T50" s="162">
        <f>客房耗材出入库录入!T50*$E50</f>
        <v>0</v>
      </c>
      <c r="U50" s="162">
        <f>客房耗材出入库录入!U50*$E50</f>
        <v>0</v>
      </c>
      <c r="V50" s="162">
        <f>客房耗材出入库录入!V50*$E50</f>
        <v>0</v>
      </c>
      <c r="W50" s="162">
        <f>客房耗材出入库录入!W50*$E50</f>
        <v>0</v>
      </c>
      <c r="X50" s="162">
        <f>客房耗材出入库录入!X50*$E50</f>
        <v>0</v>
      </c>
      <c r="Y50" s="162">
        <f>客房耗材出入库录入!Y50*$E50</f>
        <v>0</v>
      </c>
      <c r="Z50" s="162">
        <f>客房耗材出入库录入!Z50*$E50</f>
        <v>0</v>
      </c>
      <c r="AA50" s="162">
        <f>客房耗材出入库录入!AA50*$E50</f>
        <v>0</v>
      </c>
      <c r="AB50" s="162">
        <f>客房耗材出入库录入!AB50*$E50</f>
        <v>0</v>
      </c>
      <c r="AC50" s="162">
        <f>客房耗材出入库录入!AC50*$E50</f>
        <v>0</v>
      </c>
      <c r="AD50" s="162">
        <f>客房耗材出入库录入!AD50*$E50</f>
        <v>0</v>
      </c>
      <c r="AE50" s="162">
        <f>客房耗材出入库录入!AE50*$E50</f>
        <v>0</v>
      </c>
      <c r="AF50" s="162">
        <f>客房耗材出入库录入!AF50*$E50</f>
        <v>0</v>
      </c>
      <c r="AG50" s="162">
        <f>客房耗材出入库录入!AG50*$E50</f>
        <v>0</v>
      </c>
      <c r="AH50" s="162">
        <f>客房耗材出入库录入!AH50*$E50</f>
        <v>0</v>
      </c>
      <c r="AI50" s="162">
        <f>客房耗材出入库录入!AI50*$E50</f>
        <v>0</v>
      </c>
      <c r="AJ50" s="162">
        <f>客房耗材出入库录入!AJ50*$E50</f>
        <v>0</v>
      </c>
      <c r="AK50" s="162">
        <f>客房耗材出入库录入!AK50*$E50</f>
        <v>0</v>
      </c>
      <c r="AL50" s="162">
        <f>客房耗材出入库录入!AL50*$E50</f>
        <v>0</v>
      </c>
      <c r="AM50" s="162">
        <f>客房耗材出入库录入!AM50*$E50</f>
        <v>0</v>
      </c>
      <c r="AN50" s="162">
        <f>客房耗材出入库录入!AN50*$E50</f>
        <v>0</v>
      </c>
      <c r="AO50" s="162">
        <f>客房耗材出入库录入!AO50*$E50</f>
        <v>0</v>
      </c>
      <c r="AP50" s="162">
        <f>客房耗材出入库录入!AP50*$E50</f>
        <v>0</v>
      </c>
      <c r="AQ50" s="162">
        <f>客房耗材出入库录入!AQ50*$E50</f>
        <v>0</v>
      </c>
      <c r="AR50" s="162">
        <f>客房耗材出入库录入!AR50*$E50</f>
        <v>0</v>
      </c>
      <c r="AS50" s="162">
        <f>客房耗材出入库录入!AS50*$E50</f>
        <v>0</v>
      </c>
      <c r="AT50" s="162">
        <f>客房耗材出入库录入!AT50*$E50</f>
        <v>0</v>
      </c>
      <c r="AU50" s="162">
        <f>客房耗材出入库录入!AU50*$E50</f>
        <v>0</v>
      </c>
      <c r="AV50" s="162">
        <f>客房耗材出入库录入!AV50*$E50</f>
        <v>0</v>
      </c>
      <c r="AW50" s="162">
        <f>客房耗材出入库录入!AW50*$E50</f>
        <v>0</v>
      </c>
      <c r="AX50" s="162">
        <f>客房耗材出入库录入!AX50*$E50</f>
        <v>0</v>
      </c>
      <c r="AY50" s="162">
        <f>客房耗材出入库录入!AY50*$E50</f>
        <v>0</v>
      </c>
      <c r="AZ50" s="162">
        <f>客房耗材出入库录入!AZ50*$E50</f>
        <v>0</v>
      </c>
      <c r="BA50" s="162">
        <f>客房耗材出入库录入!BA50*$E50</f>
        <v>0</v>
      </c>
      <c r="BB50" s="162">
        <f>客房耗材出入库录入!BB50*$E50</f>
        <v>0</v>
      </c>
      <c r="BC50" s="162">
        <f>客房耗材出入库录入!BC50*$E50</f>
        <v>0</v>
      </c>
      <c r="BD50" s="162">
        <f>客房耗材出入库录入!BD50*$E50</f>
        <v>0</v>
      </c>
      <c r="BE50" s="162">
        <f>客房耗材出入库录入!BE50*$E50</f>
        <v>0</v>
      </c>
      <c r="BF50" s="162">
        <f>客房耗材出入库录入!BF50*$E50</f>
        <v>0</v>
      </c>
      <c r="BG50" s="162">
        <f>客房耗材出入库录入!BG50*$E50</f>
        <v>0</v>
      </c>
      <c r="BH50" s="162">
        <f>客房耗材出入库录入!BH50*$E50</f>
        <v>0</v>
      </c>
      <c r="BI50" s="162">
        <f>客房耗材出入库录入!BI50*$E50</f>
        <v>0</v>
      </c>
      <c r="BJ50" s="162">
        <f>客房耗材出入库录入!BJ50*$E50</f>
        <v>0</v>
      </c>
      <c r="BK50" s="162">
        <f>客房耗材出入库录入!BK50*$E50</f>
        <v>0</v>
      </c>
      <c r="BL50" s="162">
        <f>客房耗材出入库录入!BL50*$E50</f>
        <v>0</v>
      </c>
      <c r="BM50" s="162">
        <f>客房耗材出入库录入!BM50*$E50</f>
        <v>0</v>
      </c>
      <c r="BN50" s="162">
        <f>客房耗材出入库录入!BN50*$E50</f>
        <v>0</v>
      </c>
      <c r="BO50" s="162">
        <f>客房耗材出入库录入!BO50*$E50</f>
        <v>0</v>
      </c>
      <c r="BP50" s="162">
        <f>客房耗材出入库录入!BP50*$E50</f>
        <v>0</v>
      </c>
      <c r="BQ50" s="162">
        <f>客房耗材出入库录入!BQ50*$E50</f>
        <v>0</v>
      </c>
      <c r="BR50" s="162">
        <f>客房耗材出入库录入!BR50*$E50</f>
        <v>0</v>
      </c>
      <c r="BS50" s="162">
        <f>客房耗材出入库录入!BS50*$E50</f>
        <v>0</v>
      </c>
      <c r="BT50" s="162">
        <f>客房耗材出入库录入!BT50*$E50</f>
        <v>0</v>
      </c>
      <c r="BU50" s="162">
        <f>客房耗材出入库录入!BU50*$E50</f>
        <v>0</v>
      </c>
      <c r="BV50" s="162">
        <f>客房耗材出入库录入!BV50*$E50</f>
        <v>0</v>
      </c>
      <c r="BW50" s="162">
        <f>客房耗材出入库录入!BW50*$E50</f>
        <v>0</v>
      </c>
    </row>
    <row r="51" s="143" customFormat="1" customHeight="1" spans="1:75">
      <c r="A51" s="161">
        <v>1</v>
      </c>
      <c r="B51" s="162">
        <f>客房耗材出入库录入!B51</f>
        <v>0</v>
      </c>
      <c r="C51" s="162">
        <f>客房耗材出入库录入!C51</f>
        <v>0</v>
      </c>
      <c r="D51" s="162">
        <f>客房耗材出入库录入!D51</f>
        <v>0</v>
      </c>
      <c r="E51" s="162">
        <f>客房耗材出入库录入!E51</f>
        <v>0</v>
      </c>
      <c r="F51" s="162">
        <f>客房耗材出入库录入!F51</f>
        <v>0</v>
      </c>
      <c r="G51" s="162">
        <f>客房耗材出入库录入!G51</f>
        <v>0</v>
      </c>
      <c r="H51" s="162">
        <f>客房耗材出入库录入!H51</f>
        <v>0</v>
      </c>
      <c r="I51" s="162">
        <f>客房耗材出入库录入!I51</f>
        <v>0</v>
      </c>
      <c r="J51" s="162">
        <f>客房耗材出入库录入!J51</f>
        <v>0</v>
      </c>
      <c r="K51" s="162">
        <f>客房耗材出入库录入!K51</f>
        <v>0</v>
      </c>
      <c r="L51" s="162">
        <f>客房耗材出入库录入!L51</f>
        <v>0</v>
      </c>
      <c r="M51" s="162">
        <f>客房耗材出入库录入!M51</f>
        <v>0</v>
      </c>
      <c r="N51" s="162">
        <f>客房耗材出入库录入!N51</f>
        <v>0</v>
      </c>
      <c r="O51" s="162">
        <f>客房耗材出入库录入!O51*$E51</f>
        <v>0</v>
      </c>
      <c r="P51" s="162">
        <f>客房耗材出入库录入!P51*$E51</f>
        <v>0</v>
      </c>
      <c r="Q51" s="162">
        <f>客房耗材出入库录入!Q51*$E51</f>
        <v>0</v>
      </c>
      <c r="R51" s="162">
        <f>客房耗材出入库录入!R51*$E51</f>
        <v>0</v>
      </c>
      <c r="S51" s="162">
        <f>客房耗材出入库录入!S51*$E51</f>
        <v>0</v>
      </c>
      <c r="T51" s="162">
        <f>客房耗材出入库录入!T51*$E51</f>
        <v>0</v>
      </c>
      <c r="U51" s="162">
        <f>客房耗材出入库录入!U51*$E51</f>
        <v>0</v>
      </c>
      <c r="V51" s="162">
        <f>客房耗材出入库录入!V51*$E51</f>
        <v>0</v>
      </c>
      <c r="W51" s="162">
        <f>客房耗材出入库录入!W51*$E51</f>
        <v>0</v>
      </c>
      <c r="X51" s="162">
        <f>客房耗材出入库录入!X51*$E51</f>
        <v>0</v>
      </c>
      <c r="Y51" s="162">
        <f>客房耗材出入库录入!Y51*$E51</f>
        <v>0</v>
      </c>
      <c r="Z51" s="162">
        <f>客房耗材出入库录入!Z51*$E51</f>
        <v>0</v>
      </c>
      <c r="AA51" s="162">
        <f>客房耗材出入库录入!AA51*$E51</f>
        <v>0</v>
      </c>
      <c r="AB51" s="162">
        <f>客房耗材出入库录入!AB51*$E51</f>
        <v>0</v>
      </c>
      <c r="AC51" s="162">
        <f>客房耗材出入库录入!AC51*$E51</f>
        <v>0</v>
      </c>
      <c r="AD51" s="162">
        <f>客房耗材出入库录入!AD51*$E51</f>
        <v>0</v>
      </c>
      <c r="AE51" s="162">
        <f>客房耗材出入库录入!AE51*$E51</f>
        <v>0</v>
      </c>
      <c r="AF51" s="162">
        <f>客房耗材出入库录入!AF51*$E51</f>
        <v>0</v>
      </c>
      <c r="AG51" s="162">
        <f>客房耗材出入库录入!AG51*$E51</f>
        <v>0</v>
      </c>
      <c r="AH51" s="162">
        <f>客房耗材出入库录入!AH51*$E51</f>
        <v>0</v>
      </c>
      <c r="AI51" s="162">
        <f>客房耗材出入库录入!AI51*$E51</f>
        <v>0</v>
      </c>
      <c r="AJ51" s="162">
        <f>客房耗材出入库录入!AJ51*$E51</f>
        <v>0</v>
      </c>
      <c r="AK51" s="162">
        <f>客房耗材出入库录入!AK51*$E51</f>
        <v>0</v>
      </c>
      <c r="AL51" s="162">
        <f>客房耗材出入库录入!AL51*$E51</f>
        <v>0</v>
      </c>
      <c r="AM51" s="162">
        <f>客房耗材出入库录入!AM51*$E51</f>
        <v>0</v>
      </c>
      <c r="AN51" s="162">
        <f>客房耗材出入库录入!AN51*$E51</f>
        <v>0</v>
      </c>
      <c r="AO51" s="162">
        <f>客房耗材出入库录入!AO51*$E51</f>
        <v>0</v>
      </c>
      <c r="AP51" s="162">
        <f>客房耗材出入库录入!AP51*$E51</f>
        <v>0</v>
      </c>
      <c r="AQ51" s="162">
        <f>客房耗材出入库录入!AQ51*$E51</f>
        <v>0</v>
      </c>
      <c r="AR51" s="162">
        <f>客房耗材出入库录入!AR51*$E51</f>
        <v>0</v>
      </c>
      <c r="AS51" s="162">
        <f>客房耗材出入库录入!AS51*$E51</f>
        <v>0</v>
      </c>
      <c r="AT51" s="162">
        <f>客房耗材出入库录入!AT51*$E51</f>
        <v>0</v>
      </c>
      <c r="AU51" s="162">
        <f>客房耗材出入库录入!AU51*$E51</f>
        <v>0</v>
      </c>
      <c r="AV51" s="162">
        <f>客房耗材出入库录入!AV51*$E51</f>
        <v>0</v>
      </c>
      <c r="AW51" s="162">
        <f>客房耗材出入库录入!AW51*$E51</f>
        <v>0</v>
      </c>
      <c r="AX51" s="162">
        <f>客房耗材出入库录入!AX51*$E51</f>
        <v>0</v>
      </c>
      <c r="AY51" s="162">
        <f>客房耗材出入库录入!AY51*$E51</f>
        <v>0</v>
      </c>
      <c r="AZ51" s="162">
        <f>客房耗材出入库录入!AZ51*$E51</f>
        <v>0</v>
      </c>
      <c r="BA51" s="162">
        <f>客房耗材出入库录入!BA51*$E51</f>
        <v>0</v>
      </c>
      <c r="BB51" s="162">
        <f>客房耗材出入库录入!BB51*$E51</f>
        <v>0</v>
      </c>
      <c r="BC51" s="162">
        <f>客房耗材出入库录入!BC51*$E51</f>
        <v>0</v>
      </c>
      <c r="BD51" s="162">
        <f>客房耗材出入库录入!BD51*$E51</f>
        <v>0</v>
      </c>
      <c r="BE51" s="162">
        <f>客房耗材出入库录入!BE51*$E51</f>
        <v>0</v>
      </c>
      <c r="BF51" s="162">
        <f>客房耗材出入库录入!BF51*$E51</f>
        <v>0</v>
      </c>
      <c r="BG51" s="162">
        <f>客房耗材出入库录入!BG51*$E51</f>
        <v>0</v>
      </c>
      <c r="BH51" s="162">
        <f>客房耗材出入库录入!BH51*$E51</f>
        <v>0</v>
      </c>
      <c r="BI51" s="162">
        <f>客房耗材出入库录入!BI51*$E51</f>
        <v>0</v>
      </c>
      <c r="BJ51" s="162">
        <f>客房耗材出入库录入!BJ51*$E51</f>
        <v>0</v>
      </c>
      <c r="BK51" s="162">
        <f>客房耗材出入库录入!BK51*$E51</f>
        <v>0</v>
      </c>
      <c r="BL51" s="162">
        <f>客房耗材出入库录入!BL51*$E51</f>
        <v>0</v>
      </c>
      <c r="BM51" s="162">
        <f>客房耗材出入库录入!BM51*$E51</f>
        <v>0</v>
      </c>
      <c r="BN51" s="162">
        <f>客房耗材出入库录入!BN51*$E51</f>
        <v>0</v>
      </c>
      <c r="BO51" s="162">
        <f>客房耗材出入库录入!BO51*$E51</f>
        <v>0</v>
      </c>
      <c r="BP51" s="162">
        <f>客房耗材出入库录入!BP51*$E51</f>
        <v>0</v>
      </c>
      <c r="BQ51" s="162">
        <f>客房耗材出入库录入!BQ51*$E51</f>
        <v>0</v>
      </c>
      <c r="BR51" s="162">
        <f>客房耗材出入库录入!BR51*$E51</f>
        <v>0</v>
      </c>
      <c r="BS51" s="162">
        <f>客房耗材出入库录入!BS51*$E51</f>
        <v>0</v>
      </c>
      <c r="BT51" s="162">
        <f>客房耗材出入库录入!BT51*$E51</f>
        <v>0</v>
      </c>
      <c r="BU51" s="162">
        <f>客房耗材出入库录入!BU51*$E51</f>
        <v>0</v>
      </c>
      <c r="BV51" s="162">
        <f>客房耗材出入库录入!BV51*$E51</f>
        <v>0</v>
      </c>
      <c r="BW51" s="162">
        <f>客房耗材出入库录入!BW51*$E51</f>
        <v>0</v>
      </c>
    </row>
    <row r="52" s="143" customFormat="1" customHeight="1" spans="1:75">
      <c r="A52" s="161">
        <v>1</v>
      </c>
      <c r="B52" s="162">
        <f>客房耗材出入库录入!B52</f>
        <v>0</v>
      </c>
      <c r="C52" s="162">
        <f>客房耗材出入库录入!C52</f>
        <v>0</v>
      </c>
      <c r="D52" s="162">
        <f>客房耗材出入库录入!D52</f>
        <v>0</v>
      </c>
      <c r="E52" s="162">
        <f>客房耗材出入库录入!E52</f>
        <v>0</v>
      </c>
      <c r="F52" s="162">
        <f>客房耗材出入库录入!F52</f>
        <v>0</v>
      </c>
      <c r="G52" s="162">
        <f>客房耗材出入库录入!G52</f>
        <v>0</v>
      </c>
      <c r="H52" s="162">
        <f>客房耗材出入库录入!H52</f>
        <v>0</v>
      </c>
      <c r="I52" s="162">
        <f>客房耗材出入库录入!I52</f>
        <v>0</v>
      </c>
      <c r="J52" s="162">
        <f>客房耗材出入库录入!J52</f>
        <v>0</v>
      </c>
      <c r="K52" s="162">
        <f>客房耗材出入库录入!K52</f>
        <v>0</v>
      </c>
      <c r="L52" s="162">
        <f>客房耗材出入库录入!L52</f>
        <v>0</v>
      </c>
      <c r="M52" s="162">
        <f>客房耗材出入库录入!M52</f>
        <v>0</v>
      </c>
      <c r="N52" s="162">
        <f>客房耗材出入库录入!N52</f>
        <v>0</v>
      </c>
      <c r="O52" s="162">
        <f>客房耗材出入库录入!O52*$E52</f>
        <v>0</v>
      </c>
      <c r="P52" s="162">
        <f>客房耗材出入库录入!P52*$E52</f>
        <v>0</v>
      </c>
      <c r="Q52" s="162">
        <f>客房耗材出入库录入!Q52*$E52</f>
        <v>0</v>
      </c>
      <c r="R52" s="162">
        <f>客房耗材出入库录入!R52*$E52</f>
        <v>0</v>
      </c>
      <c r="S52" s="162">
        <f>客房耗材出入库录入!S52*$E52</f>
        <v>0</v>
      </c>
      <c r="T52" s="162">
        <f>客房耗材出入库录入!T52*$E52</f>
        <v>0</v>
      </c>
      <c r="U52" s="162">
        <f>客房耗材出入库录入!U52*$E52</f>
        <v>0</v>
      </c>
      <c r="V52" s="162">
        <f>客房耗材出入库录入!V52*$E52</f>
        <v>0</v>
      </c>
      <c r="W52" s="162">
        <f>客房耗材出入库录入!W52*$E52</f>
        <v>0</v>
      </c>
      <c r="X52" s="162">
        <f>客房耗材出入库录入!X52*$E52</f>
        <v>0</v>
      </c>
      <c r="Y52" s="162">
        <f>客房耗材出入库录入!Y52*$E52</f>
        <v>0</v>
      </c>
      <c r="Z52" s="162">
        <f>客房耗材出入库录入!Z52*$E52</f>
        <v>0</v>
      </c>
      <c r="AA52" s="162">
        <f>客房耗材出入库录入!AA52*$E52</f>
        <v>0</v>
      </c>
      <c r="AB52" s="162">
        <f>客房耗材出入库录入!AB52*$E52</f>
        <v>0</v>
      </c>
      <c r="AC52" s="162">
        <f>客房耗材出入库录入!AC52*$E52</f>
        <v>0</v>
      </c>
      <c r="AD52" s="162">
        <f>客房耗材出入库录入!AD52*$E52</f>
        <v>0</v>
      </c>
      <c r="AE52" s="162">
        <f>客房耗材出入库录入!AE52*$E52</f>
        <v>0</v>
      </c>
      <c r="AF52" s="162">
        <f>客房耗材出入库录入!AF52*$E52</f>
        <v>0</v>
      </c>
      <c r="AG52" s="162">
        <f>客房耗材出入库录入!AG52*$E52</f>
        <v>0</v>
      </c>
      <c r="AH52" s="162">
        <f>客房耗材出入库录入!AH52*$E52</f>
        <v>0</v>
      </c>
      <c r="AI52" s="162">
        <f>客房耗材出入库录入!AI52*$E52</f>
        <v>0</v>
      </c>
      <c r="AJ52" s="162">
        <f>客房耗材出入库录入!AJ52*$E52</f>
        <v>0</v>
      </c>
      <c r="AK52" s="162">
        <f>客房耗材出入库录入!AK52*$E52</f>
        <v>0</v>
      </c>
      <c r="AL52" s="162">
        <f>客房耗材出入库录入!AL52*$E52</f>
        <v>0</v>
      </c>
      <c r="AM52" s="162">
        <f>客房耗材出入库录入!AM52*$E52</f>
        <v>0</v>
      </c>
      <c r="AN52" s="162">
        <f>客房耗材出入库录入!AN52*$E52</f>
        <v>0</v>
      </c>
      <c r="AO52" s="162">
        <f>客房耗材出入库录入!AO52*$E52</f>
        <v>0</v>
      </c>
      <c r="AP52" s="162">
        <f>客房耗材出入库录入!AP52*$E52</f>
        <v>0</v>
      </c>
      <c r="AQ52" s="162">
        <f>客房耗材出入库录入!AQ52*$E52</f>
        <v>0</v>
      </c>
      <c r="AR52" s="162">
        <f>客房耗材出入库录入!AR52*$E52</f>
        <v>0</v>
      </c>
      <c r="AS52" s="162">
        <f>客房耗材出入库录入!AS52*$E52</f>
        <v>0</v>
      </c>
      <c r="AT52" s="162">
        <f>客房耗材出入库录入!AT52*$E52</f>
        <v>0</v>
      </c>
      <c r="AU52" s="162">
        <f>客房耗材出入库录入!AU52*$E52</f>
        <v>0</v>
      </c>
      <c r="AV52" s="162">
        <f>客房耗材出入库录入!AV52*$E52</f>
        <v>0</v>
      </c>
      <c r="AW52" s="162">
        <f>客房耗材出入库录入!AW52*$E52</f>
        <v>0</v>
      </c>
      <c r="AX52" s="162">
        <f>客房耗材出入库录入!AX52*$E52</f>
        <v>0</v>
      </c>
      <c r="AY52" s="162">
        <f>客房耗材出入库录入!AY52*$E52</f>
        <v>0</v>
      </c>
      <c r="AZ52" s="162">
        <f>客房耗材出入库录入!AZ52*$E52</f>
        <v>0</v>
      </c>
      <c r="BA52" s="162">
        <f>客房耗材出入库录入!BA52*$E52</f>
        <v>0</v>
      </c>
      <c r="BB52" s="162">
        <f>客房耗材出入库录入!BB52*$E52</f>
        <v>0</v>
      </c>
      <c r="BC52" s="162">
        <f>客房耗材出入库录入!BC52*$E52</f>
        <v>0</v>
      </c>
      <c r="BD52" s="162">
        <f>客房耗材出入库录入!BD52*$E52</f>
        <v>0</v>
      </c>
      <c r="BE52" s="162">
        <f>客房耗材出入库录入!BE52*$E52</f>
        <v>0</v>
      </c>
      <c r="BF52" s="162">
        <f>客房耗材出入库录入!BF52*$E52</f>
        <v>0</v>
      </c>
      <c r="BG52" s="162">
        <f>客房耗材出入库录入!BG52*$E52</f>
        <v>0</v>
      </c>
      <c r="BH52" s="162">
        <f>客房耗材出入库录入!BH52*$E52</f>
        <v>0</v>
      </c>
      <c r="BI52" s="162">
        <f>客房耗材出入库录入!BI52*$E52</f>
        <v>0</v>
      </c>
      <c r="BJ52" s="162">
        <f>客房耗材出入库录入!BJ52*$E52</f>
        <v>0</v>
      </c>
      <c r="BK52" s="162">
        <f>客房耗材出入库录入!BK52*$E52</f>
        <v>0</v>
      </c>
      <c r="BL52" s="162">
        <f>客房耗材出入库录入!BL52*$E52</f>
        <v>0</v>
      </c>
      <c r="BM52" s="162">
        <f>客房耗材出入库录入!BM52*$E52</f>
        <v>0</v>
      </c>
      <c r="BN52" s="162">
        <f>客房耗材出入库录入!BN52*$E52</f>
        <v>0</v>
      </c>
      <c r="BO52" s="162">
        <f>客房耗材出入库录入!BO52*$E52</f>
        <v>0</v>
      </c>
      <c r="BP52" s="162">
        <f>客房耗材出入库录入!BP52*$E52</f>
        <v>0</v>
      </c>
      <c r="BQ52" s="162">
        <f>客房耗材出入库录入!BQ52*$E52</f>
        <v>0</v>
      </c>
      <c r="BR52" s="162">
        <f>客房耗材出入库录入!BR52*$E52</f>
        <v>0</v>
      </c>
      <c r="BS52" s="162">
        <f>客房耗材出入库录入!BS52*$E52</f>
        <v>0</v>
      </c>
      <c r="BT52" s="162">
        <f>客房耗材出入库录入!BT52*$E52</f>
        <v>0</v>
      </c>
      <c r="BU52" s="162">
        <f>客房耗材出入库录入!BU52*$E52</f>
        <v>0</v>
      </c>
      <c r="BV52" s="162">
        <f>客房耗材出入库录入!BV52*$E52</f>
        <v>0</v>
      </c>
      <c r="BW52" s="162">
        <f>客房耗材出入库录入!BW52*$E52</f>
        <v>0</v>
      </c>
    </row>
    <row r="53" s="143" customFormat="1" customHeight="1" spans="1:75">
      <c r="A53" s="161">
        <v>1</v>
      </c>
      <c r="B53" s="162">
        <f>客房耗材出入库录入!B53</f>
        <v>0</v>
      </c>
      <c r="C53" s="162">
        <f>客房耗材出入库录入!C53</f>
        <v>0</v>
      </c>
      <c r="D53" s="162">
        <f>客房耗材出入库录入!D53</f>
        <v>0</v>
      </c>
      <c r="E53" s="162">
        <f>客房耗材出入库录入!E53</f>
        <v>0</v>
      </c>
      <c r="F53" s="162">
        <f>客房耗材出入库录入!F53</f>
        <v>0</v>
      </c>
      <c r="G53" s="162">
        <f>客房耗材出入库录入!G53</f>
        <v>0</v>
      </c>
      <c r="H53" s="162">
        <f>客房耗材出入库录入!H53</f>
        <v>0</v>
      </c>
      <c r="I53" s="162">
        <f>客房耗材出入库录入!I53</f>
        <v>0</v>
      </c>
      <c r="J53" s="162">
        <f>客房耗材出入库录入!J53</f>
        <v>0</v>
      </c>
      <c r="K53" s="162">
        <f>客房耗材出入库录入!K53</f>
        <v>0</v>
      </c>
      <c r="L53" s="162">
        <f>客房耗材出入库录入!L53</f>
        <v>0</v>
      </c>
      <c r="M53" s="162">
        <f>客房耗材出入库录入!M53</f>
        <v>0</v>
      </c>
      <c r="N53" s="162">
        <f>客房耗材出入库录入!N53</f>
        <v>0</v>
      </c>
      <c r="O53" s="162">
        <f>客房耗材出入库录入!O53*$E53</f>
        <v>0</v>
      </c>
      <c r="P53" s="162">
        <f>客房耗材出入库录入!P53*$E53</f>
        <v>0</v>
      </c>
      <c r="Q53" s="162">
        <f>客房耗材出入库录入!Q53*$E53</f>
        <v>0</v>
      </c>
      <c r="R53" s="162">
        <f>客房耗材出入库录入!R53*$E53</f>
        <v>0</v>
      </c>
      <c r="S53" s="162">
        <f>客房耗材出入库录入!S53*$E53</f>
        <v>0</v>
      </c>
      <c r="T53" s="162">
        <f>客房耗材出入库录入!T53*$E53</f>
        <v>0</v>
      </c>
      <c r="U53" s="162">
        <f>客房耗材出入库录入!U53*$E53</f>
        <v>0</v>
      </c>
      <c r="V53" s="162">
        <f>客房耗材出入库录入!V53*$E53</f>
        <v>0</v>
      </c>
      <c r="W53" s="162">
        <f>客房耗材出入库录入!W53*$E53</f>
        <v>0</v>
      </c>
      <c r="X53" s="162">
        <f>客房耗材出入库录入!X53*$E53</f>
        <v>0</v>
      </c>
      <c r="Y53" s="162">
        <f>客房耗材出入库录入!Y53*$E53</f>
        <v>0</v>
      </c>
      <c r="Z53" s="162">
        <f>客房耗材出入库录入!Z53*$E53</f>
        <v>0</v>
      </c>
      <c r="AA53" s="162">
        <f>客房耗材出入库录入!AA53*$E53</f>
        <v>0</v>
      </c>
      <c r="AB53" s="162">
        <f>客房耗材出入库录入!AB53*$E53</f>
        <v>0</v>
      </c>
      <c r="AC53" s="162">
        <f>客房耗材出入库录入!AC53*$E53</f>
        <v>0</v>
      </c>
      <c r="AD53" s="162">
        <f>客房耗材出入库录入!AD53*$E53</f>
        <v>0</v>
      </c>
      <c r="AE53" s="162">
        <f>客房耗材出入库录入!AE53*$E53</f>
        <v>0</v>
      </c>
      <c r="AF53" s="162">
        <f>客房耗材出入库录入!AF53*$E53</f>
        <v>0</v>
      </c>
      <c r="AG53" s="162">
        <f>客房耗材出入库录入!AG53*$E53</f>
        <v>0</v>
      </c>
      <c r="AH53" s="162">
        <f>客房耗材出入库录入!AH53*$E53</f>
        <v>0</v>
      </c>
      <c r="AI53" s="162">
        <f>客房耗材出入库录入!AI53*$E53</f>
        <v>0</v>
      </c>
      <c r="AJ53" s="162">
        <f>客房耗材出入库录入!AJ53*$E53</f>
        <v>0</v>
      </c>
      <c r="AK53" s="162">
        <f>客房耗材出入库录入!AK53*$E53</f>
        <v>0</v>
      </c>
      <c r="AL53" s="162">
        <f>客房耗材出入库录入!AL53*$E53</f>
        <v>0</v>
      </c>
      <c r="AM53" s="162">
        <f>客房耗材出入库录入!AM53*$E53</f>
        <v>0</v>
      </c>
      <c r="AN53" s="162">
        <f>客房耗材出入库录入!AN53*$E53</f>
        <v>0</v>
      </c>
      <c r="AO53" s="162">
        <f>客房耗材出入库录入!AO53*$E53</f>
        <v>0</v>
      </c>
      <c r="AP53" s="162">
        <f>客房耗材出入库录入!AP53*$E53</f>
        <v>0</v>
      </c>
      <c r="AQ53" s="162">
        <f>客房耗材出入库录入!AQ53*$E53</f>
        <v>0</v>
      </c>
      <c r="AR53" s="162">
        <f>客房耗材出入库录入!AR53*$E53</f>
        <v>0</v>
      </c>
      <c r="AS53" s="162">
        <f>客房耗材出入库录入!AS53*$E53</f>
        <v>0</v>
      </c>
      <c r="AT53" s="162">
        <f>客房耗材出入库录入!AT53*$E53</f>
        <v>0</v>
      </c>
      <c r="AU53" s="162">
        <f>客房耗材出入库录入!AU53*$E53</f>
        <v>0</v>
      </c>
      <c r="AV53" s="162">
        <f>客房耗材出入库录入!AV53*$E53</f>
        <v>0</v>
      </c>
      <c r="AW53" s="162">
        <f>客房耗材出入库录入!AW53*$E53</f>
        <v>0</v>
      </c>
      <c r="AX53" s="162">
        <f>客房耗材出入库录入!AX53*$E53</f>
        <v>0</v>
      </c>
      <c r="AY53" s="162">
        <f>客房耗材出入库录入!AY53*$E53</f>
        <v>0</v>
      </c>
      <c r="AZ53" s="162">
        <f>客房耗材出入库录入!AZ53*$E53</f>
        <v>0</v>
      </c>
      <c r="BA53" s="162">
        <f>客房耗材出入库录入!BA53*$E53</f>
        <v>0</v>
      </c>
      <c r="BB53" s="162">
        <f>客房耗材出入库录入!BB53*$E53</f>
        <v>0</v>
      </c>
      <c r="BC53" s="162">
        <f>客房耗材出入库录入!BC53*$E53</f>
        <v>0</v>
      </c>
      <c r="BD53" s="162">
        <f>客房耗材出入库录入!BD53*$E53</f>
        <v>0</v>
      </c>
      <c r="BE53" s="162">
        <f>客房耗材出入库录入!BE53*$E53</f>
        <v>0</v>
      </c>
      <c r="BF53" s="162">
        <f>客房耗材出入库录入!BF53*$E53</f>
        <v>0</v>
      </c>
      <c r="BG53" s="162">
        <f>客房耗材出入库录入!BG53*$E53</f>
        <v>0</v>
      </c>
      <c r="BH53" s="162">
        <f>客房耗材出入库录入!BH53*$E53</f>
        <v>0</v>
      </c>
      <c r="BI53" s="162">
        <f>客房耗材出入库录入!BI53*$E53</f>
        <v>0</v>
      </c>
      <c r="BJ53" s="162">
        <f>客房耗材出入库录入!BJ53*$E53</f>
        <v>0</v>
      </c>
      <c r="BK53" s="162">
        <f>客房耗材出入库录入!BK53*$E53</f>
        <v>0</v>
      </c>
      <c r="BL53" s="162">
        <f>客房耗材出入库录入!BL53*$E53</f>
        <v>0</v>
      </c>
      <c r="BM53" s="162">
        <f>客房耗材出入库录入!BM53*$E53</f>
        <v>0</v>
      </c>
      <c r="BN53" s="162">
        <f>客房耗材出入库录入!BN53*$E53</f>
        <v>0</v>
      </c>
      <c r="BO53" s="162">
        <f>客房耗材出入库录入!BO53*$E53</f>
        <v>0</v>
      </c>
      <c r="BP53" s="162">
        <f>客房耗材出入库录入!BP53*$E53</f>
        <v>0</v>
      </c>
      <c r="BQ53" s="162">
        <f>客房耗材出入库录入!BQ53*$E53</f>
        <v>0</v>
      </c>
      <c r="BR53" s="162">
        <f>客房耗材出入库录入!BR53*$E53</f>
        <v>0</v>
      </c>
      <c r="BS53" s="162">
        <f>客房耗材出入库录入!BS53*$E53</f>
        <v>0</v>
      </c>
      <c r="BT53" s="162">
        <f>客房耗材出入库录入!BT53*$E53</f>
        <v>0</v>
      </c>
      <c r="BU53" s="162">
        <f>客房耗材出入库录入!BU53*$E53</f>
        <v>0</v>
      </c>
      <c r="BV53" s="162">
        <f>客房耗材出入库录入!BV53*$E53</f>
        <v>0</v>
      </c>
      <c r="BW53" s="162">
        <f>客房耗材出入库录入!BW53*$E53</f>
        <v>0</v>
      </c>
    </row>
    <row r="54" s="143" customFormat="1" customHeight="1" spans="1:75">
      <c r="A54" s="161">
        <v>1</v>
      </c>
      <c r="B54" s="162">
        <f>客房耗材出入库录入!B54</f>
        <v>0</v>
      </c>
      <c r="C54" s="162">
        <f>客房耗材出入库录入!C54</f>
        <v>0</v>
      </c>
      <c r="D54" s="162">
        <f>客房耗材出入库录入!D54</f>
        <v>0</v>
      </c>
      <c r="E54" s="162">
        <f>客房耗材出入库录入!E54</f>
        <v>0</v>
      </c>
      <c r="F54" s="162">
        <f>客房耗材出入库录入!F54</f>
        <v>0</v>
      </c>
      <c r="G54" s="162">
        <f>客房耗材出入库录入!G54</f>
        <v>0</v>
      </c>
      <c r="H54" s="162">
        <f>客房耗材出入库录入!H54</f>
        <v>0</v>
      </c>
      <c r="I54" s="162">
        <f>客房耗材出入库录入!I54</f>
        <v>0</v>
      </c>
      <c r="J54" s="162">
        <f>客房耗材出入库录入!J54</f>
        <v>0</v>
      </c>
      <c r="K54" s="162">
        <f>客房耗材出入库录入!K54</f>
        <v>0</v>
      </c>
      <c r="L54" s="162">
        <f>客房耗材出入库录入!L54</f>
        <v>0</v>
      </c>
      <c r="M54" s="162">
        <f>客房耗材出入库录入!M54</f>
        <v>0</v>
      </c>
      <c r="N54" s="162">
        <f>客房耗材出入库录入!N54</f>
        <v>0</v>
      </c>
      <c r="O54" s="162">
        <f>客房耗材出入库录入!O54*$E54</f>
        <v>0</v>
      </c>
      <c r="P54" s="162">
        <f>客房耗材出入库录入!P54*$E54</f>
        <v>0</v>
      </c>
      <c r="Q54" s="162">
        <f>客房耗材出入库录入!Q54*$E54</f>
        <v>0</v>
      </c>
      <c r="R54" s="162">
        <f>客房耗材出入库录入!R54*$E54</f>
        <v>0</v>
      </c>
      <c r="S54" s="162">
        <f>客房耗材出入库录入!S54*$E54</f>
        <v>0</v>
      </c>
      <c r="T54" s="162">
        <f>客房耗材出入库录入!T54*$E54</f>
        <v>0</v>
      </c>
      <c r="U54" s="162">
        <f>客房耗材出入库录入!U54*$E54</f>
        <v>0</v>
      </c>
      <c r="V54" s="162">
        <f>客房耗材出入库录入!V54*$E54</f>
        <v>0</v>
      </c>
      <c r="W54" s="162">
        <f>客房耗材出入库录入!W54*$E54</f>
        <v>0</v>
      </c>
      <c r="X54" s="162">
        <f>客房耗材出入库录入!X54*$E54</f>
        <v>0</v>
      </c>
      <c r="Y54" s="162">
        <f>客房耗材出入库录入!Y54*$E54</f>
        <v>0</v>
      </c>
      <c r="Z54" s="162">
        <f>客房耗材出入库录入!Z54*$E54</f>
        <v>0</v>
      </c>
      <c r="AA54" s="162">
        <f>客房耗材出入库录入!AA54*$E54</f>
        <v>0</v>
      </c>
      <c r="AB54" s="162">
        <f>客房耗材出入库录入!AB54*$E54</f>
        <v>0</v>
      </c>
      <c r="AC54" s="162">
        <f>客房耗材出入库录入!AC54*$E54</f>
        <v>0</v>
      </c>
      <c r="AD54" s="162">
        <f>客房耗材出入库录入!AD54*$E54</f>
        <v>0</v>
      </c>
      <c r="AE54" s="162">
        <f>客房耗材出入库录入!AE54*$E54</f>
        <v>0</v>
      </c>
      <c r="AF54" s="162">
        <f>客房耗材出入库录入!AF54*$E54</f>
        <v>0</v>
      </c>
      <c r="AG54" s="162">
        <f>客房耗材出入库录入!AG54*$E54</f>
        <v>0</v>
      </c>
      <c r="AH54" s="162">
        <f>客房耗材出入库录入!AH54*$E54</f>
        <v>0</v>
      </c>
      <c r="AI54" s="162">
        <f>客房耗材出入库录入!AI54*$E54</f>
        <v>0</v>
      </c>
      <c r="AJ54" s="162">
        <f>客房耗材出入库录入!AJ54*$E54</f>
        <v>0</v>
      </c>
      <c r="AK54" s="162">
        <f>客房耗材出入库录入!AK54*$E54</f>
        <v>0</v>
      </c>
      <c r="AL54" s="162">
        <f>客房耗材出入库录入!AL54*$E54</f>
        <v>0</v>
      </c>
      <c r="AM54" s="162">
        <f>客房耗材出入库录入!AM54*$E54</f>
        <v>0</v>
      </c>
      <c r="AN54" s="162">
        <f>客房耗材出入库录入!AN54*$E54</f>
        <v>0</v>
      </c>
      <c r="AO54" s="162">
        <f>客房耗材出入库录入!AO54*$E54</f>
        <v>0</v>
      </c>
      <c r="AP54" s="162">
        <f>客房耗材出入库录入!AP54*$E54</f>
        <v>0</v>
      </c>
      <c r="AQ54" s="162">
        <f>客房耗材出入库录入!AQ54*$E54</f>
        <v>0</v>
      </c>
      <c r="AR54" s="162">
        <f>客房耗材出入库录入!AR54*$E54</f>
        <v>0</v>
      </c>
      <c r="AS54" s="162">
        <f>客房耗材出入库录入!AS54*$E54</f>
        <v>0</v>
      </c>
      <c r="AT54" s="162">
        <f>客房耗材出入库录入!AT54*$E54</f>
        <v>0</v>
      </c>
      <c r="AU54" s="162">
        <f>客房耗材出入库录入!AU54*$E54</f>
        <v>0</v>
      </c>
      <c r="AV54" s="162">
        <f>客房耗材出入库录入!AV54*$E54</f>
        <v>0</v>
      </c>
      <c r="AW54" s="162">
        <f>客房耗材出入库录入!AW54*$E54</f>
        <v>0</v>
      </c>
      <c r="AX54" s="162">
        <f>客房耗材出入库录入!AX54*$E54</f>
        <v>0</v>
      </c>
      <c r="AY54" s="162">
        <f>客房耗材出入库录入!AY54*$E54</f>
        <v>0</v>
      </c>
      <c r="AZ54" s="162">
        <f>客房耗材出入库录入!AZ54*$E54</f>
        <v>0</v>
      </c>
      <c r="BA54" s="162">
        <f>客房耗材出入库录入!BA54*$E54</f>
        <v>0</v>
      </c>
      <c r="BB54" s="162">
        <f>客房耗材出入库录入!BB54*$E54</f>
        <v>0</v>
      </c>
      <c r="BC54" s="162">
        <f>客房耗材出入库录入!BC54*$E54</f>
        <v>0</v>
      </c>
      <c r="BD54" s="162">
        <f>客房耗材出入库录入!BD54*$E54</f>
        <v>0</v>
      </c>
      <c r="BE54" s="162">
        <f>客房耗材出入库录入!BE54*$E54</f>
        <v>0</v>
      </c>
      <c r="BF54" s="162">
        <f>客房耗材出入库录入!BF54*$E54</f>
        <v>0</v>
      </c>
      <c r="BG54" s="162">
        <f>客房耗材出入库录入!BG54*$E54</f>
        <v>0</v>
      </c>
      <c r="BH54" s="162">
        <f>客房耗材出入库录入!BH54*$E54</f>
        <v>0</v>
      </c>
      <c r="BI54" s="162">
        <f>客房耗材出入库录入!BI54*$E54</f>
        <v>0</v>
      </c>
      <c r="BJ54" s="162">
        <f>客房耗材出入库录入!BJ54*$E54</f>
        <v>0</v>
      </c>
      <c r="BK54" s="162">
        <f>客房耗材出入库录入!BK54*$E54</f>
        <v>0</v>
      </c>
      <c r="BL54" s="162">
        <f>客房耗材出入库录入!BL54*$E54</f>
        <v>0</v>
      </c>
      <c r="BM54" s="162">
        <f>客房耗材出入库录入!BM54*$E54</f>
        <v>0</v>
      </c>
      <c r="BN54" s="162">
        <f>客房耗材出入库录入!BN54*$E54</f>
        <v>0</v>
      </c>
      <c r="BO54" s="162">
        <f>客房耗材出入库录入!BO54*$E54</f>
        <v>0</v>
      </c>
      <c r="BP54" s="162">
        <f>客房耗材出入库录入!BP54*$E54</f>
        <v>0</v>
      </c>
      <c r="BQ54" s="162">
        <f>客房耗材出入库录入!BQ54*$E54</f>
        <v>0</v>
      </c>
      <c r="BR54" s="162">
        <f>客房耗材出入库录入!BR54*$E54</f>
        <v>0</v>
      </c>
      <c r="BS54" s="162">
        <f>客房耗材出入库录入!BS54*$E54</f>
        <v>0</v>
      </c>
      <c r="BT54" s="162">
        <f>客房耗材出入库录入!BT54*$E54</f>
        <v>0</v>
      </c>
      <c r="BU54" s="162">
        <f>客房耗材出入库录入!BU54*$E54</f>
        <v>0</v>
      </c>
      <c r="BV54" s="162">
        <f>客房耗材出入库录入!BV54*$E54</f>
        <v>0</v>
      </c>
      <c r="BW54" s="162">
        <f>客房耗材出入库录入!BW54*$E54</f>
        <v>0</v>
      </c>
    </row>
    <row r="55" s="143" customFormat="1" customHeight="1" spans="1:75">
      <c r="A55" s="161">
        <v>1</v>
      </c>
      <c r="B55" s="162">
        <f>客房耗材出入库录入!B55</f>
        <v>0</v>
      </c>
      <c r="C55" s="162">
        <f>客房耗材出入库录入!C55</f>
        <v>0</v>
      </c>
      <c r="D55" s="162">
        <f>客房耗材出入库录入!D55</f>
        <v>0</v>
      </c>
      <c r="E55" s="162">
        <f>客房耗材出入库录入!E55</f>
        <v>0</v>
      </c>
      <c r="F55" s="162">
        <f>客房耗材出入库录入!F55</f>
        <v>0</v>
      </c>
      <c r="G55" s="162">
        <f>客房耗材出入库录入!G55</f>
        <v>0</v>
      </c>
      <c r="H55" s="162">
        <f>客房耗材出入库录入!H55</f>
        <v>0</v>
      </c>
      <c r="I55" s="162">
        <f>客房耗材出入库录入!I55</f>
        <v>0</v>
      </c>
      <c r="J55" s="162">
        <f>客房耗材出入库录入!J55</f>
        <v>0</v>
      </c>
      <c r="K55" s="162">
        <f>客房耗材出入库录入!K55</f>
        <v>0</v>
      </c>
      <c r="L55" s="162">
        <f>客房耗材出入库录入!L55</f>
        <v>0</v>
      </c>
      <c r="M55" s="162">
        <f>客房耗材出入库录入!M55</f>
        <v>0</v>
      </c>
      <c r="N55" s="162">
        <f>客房耗材出入库录入!N55</f>
        <v>0</v>
      </c>
      <c r="O55" s="162">
        <f>客房耗材出入库录入!O55*$E55</f>
        <v>0</v>
      </c>
      <c r="P55" s="162">
        <f>客房耗材出入库录入!P55*$E55</f>
        <v>0</v>
      </c>
      <c r="Q55" s="162">
        <f>客房耗材出入库录入!Q55*$E55</f>
        <v>0</v>
      </c>
      <c r="R55" s="162">
        <f>客房耗材出入库录入!R55*$E55</f>
        <v>0</v>
      </c>
      <c r="S55" s="162">
        <f>客房耗材出入库录入!S55*$E55</f>
        <v>0</v>
      </c>
      <c r="T55" s="162">
        <f>客房耗材出入库录入!T55*$E55</f>
        <v>0</v>
      </c>
      <c r="U55" s="162">
        <f>客房耗材出入库录入!U55*$E55</f>
        <v>0</v>
      </c>
      <c r="V55" s="162">
        <f>客房耗材出入库录入!V55*$E55</f>
        <v>0</v>
      </c>
      <c r="W55" s="162">
        <f>客房耗材出入库录入!W55*$E55</f>
        <v>0</v>
      </c>
      <c r="X55" s="162">
        <f>客房耗材出入库录入!X55*$E55</f>
        <v>0</v>
      </c>
      <c r="Y55" s="162">
        <f>客房耗材出入库录入!Y55*$E55</f>
        <v>0</v>
      </c>
      <c r="Z55" s="162">
        <f>客房耗材出入库录入!Z55*$E55</f>
        <v>0</v>
      </c>
      <c r="AA55" s="162">
        <f>客房耗材出入库录入!AA55*$E55</f>
        <v>0</v>
      </c>
      <c r="AB55" s="162">
        <f>客房耗材出入库录入!AB55*$E55</f>
        <v>0</v>
      </c>
      <c r="AC55" s="162">
        <f>客房耗材出入库录入!AC55*$E55</f>
        <v>0</v>
      </c>
      <c r="AD55" s="162">
        <f>客房耗材出入库录入!AD55*$E55</f>
        <v>0</v>
      </c>
      <c r="AE55" s="162">
        <f>客房耗材出入库录入!AE55*$E55</f>
        <v>0</v>
      </c>
      <c r="AF55" s="162">
        <f>客房耗材出入库录入!AF55*$E55</f>
        <v>0</v>
      </c>
      <c r="AG55" s="162">
        <f>客房耗材出入库录入!AG55*$E55</f>
        <v>0</v>
      </c>
      <c r="AH55" s="162">
        <f>客房耗材出入库录入!AH55*$E55</f>
        <v>0</v>
      </c>
      <c r="AI55" s="162">
        <f>客房耗材出入库录入!AI55*$E55</f>
        <v>0</v>
      </c>
      <c r="AJ55" s="162">
        <f>客房耗材出入库录入!AJ55*$E55</f>
        <v>0</v>
      </c>
      <c r="AK55" s="162">
        <f>客房耗材出入库录入!AK55*$E55</f>
        <v>0</v>
      </c>
      <c r="AL55" s="162">
        <f>客房耗材出入库录入!AL55*$E55</f>
        <v>0</v>
      </c>
      <c r="AM55" s="162">
        <f>客房耗材出入库录入!AM55*$E55</f>
        <v>0</v>
      </c>
      <c r="AN55" s="162">
        <f>客房耗材出入库录入!AN55*$E55</f>
        <v>0</v>
      </c>
      <c r="AO55" s="162">
        <f>客房耗材出入库录入!AO55*$E55</f>
        <v>0</v>
      </c>
      <c r="AP55" s="162">
        <f>客房耗材出入库录入!AP55*$E55</f>
        <v>0</v>
      </c>
      <c r="AQ55" s="162">
        <f>客房耗材出入库录入!AQ55*$E55</f>
        <v>0</v>
      </c>
      <c r="AR55" s="162">
        <f>客房耗材出入库录入!AR55*$E55</f>
        <v>0</v>
      </c>
      <c r="AS55" s="162">
        <f>客房耗材出入库录入!AS55*$E55</f>
        <v>0</v>
      </c>
      <c r="AT55" s="162">
        <f>客房耗材出入库录入!AT55*$E55</f>
        <v>0</v>
      </c>
      <c r="AU55" s="162">
        <f>客房耗材出入库录入!AU55*$E55</f>
        <v>0</v>
      </c>
      <c r="AV55" s="162">
        <f>客房耗材出入库录入!AV55*$E55</f>
        <v>0</v>
      </c>
      <c r="AW55" s="162">
        <f>客房耗材出入库录入!AW55*$E55</f>
        <v>0</v>
      </c>
      <c r="AX55" s="162">
        <f>客房耗材出入库录入!AX55*$E55</f>
        <v>0</v>
      </c>
      <c r="AY55" s="162">
        <f>客房耗材出入库录入!AY55*$E55</f>
        <v>0</v>
      </c>
      <c r="AZ55" s="162">
        <f>客房耗材出入库录入!AZ55*$E55</f>
        <v>0</v>
      </c>
      <c r="BA55" s="162">
        <f>客房耗材出入库录入!BA55*$E55</f>
        <v>0</v>
      </c>
      <c r="BB55" s="162">
        <f>客房耗材出入库录入!BB55*$E55</f>
        <v>0</v>
      </c>
      <c r="BC55" s="162">
        <f>客房耗材出入库录入!BC55*$E55</f>
        <v>0</v>
      </c>
      <c r="BD55" s="162">
        <f>客房耗材出入库录入!BD55*$E55</f>
        <v>0</v>
      </c>
      <c r="BE55" s="162">
        <f>客房耗材出入库录入!BE55*$E55</f>
        <v>0</v>
      </c>
      <c r="BF55" s="162">
        <f>客房耗材出入库录入!BF55*$E55</f>
        <v>0</v>
      </c>
      <c r="BG55" s="162">
        <f>客房耗材出入库录入!BG55*$E55</f>
        <v>0</v>
      </c>
      <c r="BH55" s="162">
        <f>客房耗材出入库录入!BH55*$E55</f>
        <v>0</v>
      </c>
      <c r="BI55" s="162">
        <f>客房耗材出入库录入!BI55*$E55</f>
        <v>0</v>
      </c>
      <c r="BJ55" s="162">
        <f>客房耗材出入库录入!BJ55*$E55</f>
        <v>0</v>
      </c>
      <c r="BK55" s="162">
        <f>客房耗材出入库录入!BK55*$E55</f>
        <v>0</v>
      </c>
      <c r="BL55" s="162">
        <f>客房耗材出入库录入!BL55*$E55</f>
        <v>0</v>
      </c>
      <c r="BM55" s="162">
        <f>客房耗材出入库录入!BM55*$E55</f>
        <v>0</v>
      </c>
      <c r="BN55" s="162">
        <f>客房耗材出入库录入!BN55*$E55</f>
        <v>0</v>
      </c>
      <c r="BO55" s="162">
        <f>客房耗材出入库录入!BO55*$E55</f>
        <v>0</v>
      </c>
      <c r="BP55" s="162">
        <f>客房耗材出入库录入!BP55*$E55</f>
        <v>0</v>
      </c>
      <c r="BQ55" s="162">
        <f>客房耗材出入库录入!BQ55*$E55</f>
        <v>0</v>
      </c>
      <c r="BR55" s="162">
        <f>客房耗材出入库录入!BR55*$E55</f>
        <v>0</v>
      </c>
      <c r="BS55" s="162">
        <f>客房耗材出入库录入!BS55*$E55</f>
        <v>0</v>
      </c>
      <c r="BT55" s="162">
        <f>客房耗材出入库录入!BT55*$E55</f>
        <v>0</v>
      </c>
      <c r="BU55" s="162">
        <f>客房耗材出入库录入!BU55*$E55</f>
        <v>0</v>
      </c>
      <c r="BV55" s="162">
        <f>客房耗材出入库录入!BV55*$E55</f>
        <v>0</v>
      </c>
      <c r="BW55" s="162">
        <f>客房耗材出入库录入!BW55*$E55</f>
        <v>0</v>
      </c>
    </row>
    <row r="56" s="143" customFormat="1" customHeight="1" spans="1:75">
      <c r="A56" s="161">
        <v>1</v>
      </c>
      <c r="B56" s="162">
        <f>客房耗材出入库录入!B56</f>
        <v>0</v>
      </c>
      <c r="C56" s="162">
        <f>客房耗材出入库录入!C56</f>
        <v>0</v>
      </c>
      <c r="D56" s="162">
        <f>客房耗材出入库录入!D56</f>
        <v>0</v>
      </c>
      <c r="E56" s="162">
        <f>客房耗材出入库录入!E56</f>
        <v>0</v>
      </c>
      <c r="F56" s="162">
        <f>客房耗材出入库录入!F56</f>
        <v>0</v>
      </c>
      <c r="G56" s="162">
        <f>客房耗材出入库录入!G56</f>
        <v>0</v>
      </c>
      <c r="H56" s="162">
        <f>客房耗材出入库录入!H56</f>
        <v>0</v>
      </c>
      <c r="I56" s="162">
        <f>客房耗材出入库录入!I56</f>
        <v>0</v>
      </c>
      <c r="J56" s="162">
        <f>客房耗材出入库录入!J56</f>
        <v>0</v>
      </c>
      <c r="K56" s="162">
        <f>客房耗材出入库录入!K56</f>
        <v>0</v>
      </c>
      <c r="L56" s="162">
        <f>客房耗材出入库录入!L56</f>
        <v>0</v>
      </c>
      <c r="M56" s="162">
        <f>客房耗材出入库录入!M56</f>
        <v>0</v>
      </c>
      <c r="N56" s="162">
        <f>客房耗材出入库录入!N56</f>
        <v>0</v>
      </c>
      <c r="O56" s="162">
        <f>客房耗材出入库录入!O56*$E56</f>
        <v>0</v>
      </c>
      <c r="P56" s="162">
        <f>客房耗材出入库录入!P56*$E56</f>
        <v>0</v>
      </c>
      <c r="Q56" s="162">
        <f>客房耗材出入库录入!Q56*$E56</f>
        <v>0</v>
      </c>
      <c r="R56" s="162">
        <f>客房耗材出入库录入!R56*$E56</f>
        <v>0</v>
      </c>
      <c r="S56" s="162">
        <f>客房耗材出入库录入!S56*$E56</f>
        <v>0</v>
      </c>
      <c r="T56" s="162">
        <f>客房耗材出入库录入!T56*$E56</f>
        <v>0</v>
      </c>
      <c r="U56" s="162">
        <f>客房耗材出入库录入!U56*$E56</f>
        <v>0</v>
      </c>
      <c r="V56" s="162">
        <f>客房耗材出入库录入!V56*$E56</f>
        <v>0</v>
      </c>
      <c r="W56" s="162">
        <f>客房耗材出入库录入!W56*$E56</f>
        <v>0</v>
      </c>
      <c r="X56" s="162">
        <f>客房耗材出入库录入!X56*$E56</f>
        <v>0</v>
      </c>
      <c r="Y56" s="162">
        <f>客房耗材出入库录入!Y56*$E56</f>
        <v>0</v>
      </c>
      <c r="Z56" s="162">
        <f>客房耗材出入库录入!Z56*$E56</f>
        <v>0</v>
      </c>
      <c r="AA56" s="162">
        <f>客房耗材出入库录入!AA56*$E56</f>
        <v>0</v>
      </c>
      <c r="AB56" s="162">
        <f>客房耗材出入库录入!AB56*$E56</f>
        <v>0</v>
      </c>
      <c r="AC56" s="162">
        <f>客房耗材出入库录入!AC56*$E56</f>
        <v>0</v>
      </c>
      <c r="AD56" s="162">
        <f>客房耗材出入库录入!AD56*$E56</f>
        <v>0</v>
      </c>
      <c r="AE56" s="162">
        <f>客房耗材出入库录入!AE56*$E56</f>
        <v>0</v>
      </c>
      <c r="AF56" s="162">
        <f>客房耗材出入库录入!AF56*$E56</f>
        <v>0</v>
      </c>
      <c r="AG56" s="162">
        <f>客房耗材出入库录入!AG56*$E56</f>
        <v>0</v>
      </c>
      <c r="AH56" s="162">
        <f>客房耗材出入库录入!AH56*$E56</f>
        <v>0</v>
      </c>
      <c r="AI56" s="162">
        <f>客房耗材出入库录入!AI56*$E56</f>
        <v>0</v>
      </c>
      <c r="AJ56" s="162">
        <f>客房耗材出入库录入!AJ56*$E56</f>
        <v>0</v>
      </c>
      <c r="AK56" s="162">
        <f>客房耗材出入库录入!AK56*$E56</f>
        <v>0</v>
      </c>
      <c r="AL56" s="162">
        <f>客房耗材出入库录入!AL56*$E56</f>
        <v>0</v>
      </c>
      <c r="AM56" s="162">
        <f>客房耗材出入库录入!AM56*$E56</f>
        <v>0</v>
      </c>
      <c r="AN56" s="162">
        <f>客房耗材出入库录入!AN56*$E56</f>
        <v>0</v>
      </c>
      <c r="AO56" s="162">
        <f>客房耗材出入库录入!AO56*$E56</f>
        <v>0</v>
      </c>
      <c r="AP56" s="162">
        <f>客房耗材出入库录入!AP56*$E56</f>
        <v>0</v>
      </c>
      <c r="AQ56" s="162">
        <f>客房耗材出入库录入!AQ56*$E56</f>
        <v>0</v>
      </c>
      <c r="AR56" s="162">
        <f>客房耗材出入库录入!AR56*$E56</f>
        <v>0</v>
      </c>
      <c r="AS56" s="162">
        <f>客房耗材出入库录入!AS56*$E56</f>
        <v>0</v>
      </c>
      <c r="AT56" s="162">
        <f>客房耗材出入库录入!AT56*$E56</f>
        <v>0</v>
      </c>
      <c r="AU56" s="162">
        <f>客房耗材出入库录入!AU56*$E56</f>
        <v>0</v>
      </c>
      <c r="AV56" s="162">
        <f>客房耗材出入库录入!AV56*$E56</f>
        <v>0</v>
      </c>
      <c r="AW56" s="162">
        <f>客房耗材出入库录入!AW56*$E56</f>
        <v>0</v>
      </c>
      <c r="AX56" s="162">
        <f>客房耗材出入库录入!AX56*$E56</f>
        <v>0</v>
      </c>
      <c r="AY56" s="162">
        <f>客房耗材出入库录入!AY56*$E56</f>
        <v>0</v>
      </c>
      <c r="AZ56" s="162">
        <f>客房耗材出入库录入!AZ56*$E56</f>
        <v>0</v>
      </c>
      <c r="BA56" s="162">
        <f>客房耗材出入库录入!BA56*$E56</f>
        <v>0</v>
      </c>
      <c r="BB56" s="162">
        <f>客房耗材出入库录入!BB56*$E56</f>
        <v>0</v>
      </c>
      <c r="BC56" s="162">
        <f>客房耗材出入库录入!BC56*$E56</f>
        <v>0</v>
      </c>
      <c r="BD56" s="162">
        <f>客房耗材出入库录入!BD56*$E56</f>
        <v>0</v>
      </c>
      <c r="BE56" s="162">
        <f>客房耗材出入库录入!BE56*$E56</f>
        <v>0</v>
      </c>
      <c r="BF56" s="162">
        <f>客房耗材出入库录入!BF56*$E56</f>
        <v>0</v>
      </c>
      <c r="BG56" s="162">
        <f>客房耗材出入库录入!BG56*$E56</f>
        <v>0</v>
      </c>
      <c r="BH56" s="162">
        <f>客房耗材出入库录入!BH56*$E56</f>
        <v>0</v>
      </c>
      <c r="BI56" s="162">
        <f>客房耗材出入库录入!BI56*$E56</f>
        <v>0</v>
      </c>
      <c r="BJ56" s="162">
        <f>客房耗材出入库录入!BJ56*$E56</f>
        <v>0</v>
      </c>
      <c r="BK56" s="162">
        <f>客房耗材出入库录入!BK56*$E56</f>
        <v>0</v>
      </c>
      <c r="BL56" s="162">
        <f>客房耗材出入库录入!BL56*$E56</f>
        <v>0</v>
      </c>
      <c r="BM56" s="162">
        <f>客房耗材出入库录入!BM56*$E56</f>
        <v>0</v>
      </c>
      <c r="BN56" s="162">
        <f>客房耗材出入库录入!BN56*$E56</f>
        <v>0</v>
      </c>
      <c r="BO56" s="162">
        <f>客房耗材出入库录入!BO56*$E56</f>
        <v>0</v>
      </c>
      <c r="BP56" s="162">
        <f>客房耗材出入库录入!BP56*$E56</f>
        <v>0</v>
      </c>
      <c r="BQ56" s="162">
        <f>客房耗材出入库录入!BQ56*$E56</f>
        <v>0</v>
      </c>
      <c r="BR56" s="162">
        <f>客房耗材出入库录入!BR56*$E56</f>
        <v>0</v>
      </c>
      <c r="BS56" s="162">
        <f>客房耗材出入库录入!BS56*$E56</f>
        <v>0</v>
      </c>
      <c r="BT56" s="162">
        <f>客房耗材出入库录入!BT56*$E56</f>
        <v>0</v>
      </c>
      <c r="BU56" s="162">
        <f>客房耗材出入库录入!BU56*$E56</f>
        <v>0</v>
      </c>
      <c r="BV56" s="162">
        <f>客房耗材出入库录入!BV56*$E56</f>
        <v>0</v>
      </c>
      <c r="BW56" s="162">
        <f>客房耗材出入库录入!BW56*$E56</f>
        <v>0</v>
      </c>
    </row>
    <row r="57" s="143" customFormat="1" customHeight="1" spans="1:75">
      <c r="A57" s="161">
        <v>1</v>
      </c>
      <c r="B57" s="162">
        <f>客房耗材出入库录入!B57</f>
        <v>0</v>
      </c>
      <c r="C57" s="162">
        <f>客房耗材出入库录入!C57</f>
        <v>0</v>
      </c>
      <c r="D57" s="162">
        <f>客房耗材出入库录入!D57</f>
        <v>0</v>
      </c>
      <c r="E57" s="162">
        <f>客房耗材出入库录入!E57</f>
        <v>0</v>
      </c>
      <c r="F57" s="162">
        <f>客房耗材出入库录入!F57</f>
        <v>0</v>
      </c>
      <c r="G57" s="162">
        <f>客房耗材出入库录入!G57</f>
        <v>0</v>
      </c>
      <c r="H57" s="162">
        <f>客房耗材出入库录入!H57</f>
        <v>0</v>
      </c>
      <c r="I57" s="162">
        <f>客房耗材出入库录入!I57</f>
        <v>0</v>
      </c>
      <c r="J57" s="162">
        <f>客房耗材出入库录入!J57</f>
        <v>0</v>
      </c>
      <c r="K57" s="162">
        <f>客房耗材出入库录入!K57</f>
        <v>0</v>
      </c>
      <c r="L57" s="162">
        <f>客房耗材出入库录入!L57</f>
        <v>0</v>
      </c>
      <c r="M57" s="162">
        <f>客房耗材出入库录入!M57</f>
        <v>0</v>
      </c>
      <c r="N57" s="162">
        <f>客房耗材出入库录入!N57</f>
        <v>0</v>
      </c>
      <c r="O57" s="162">
        <f>客房耗材出入库录入!O57*$E57</f>
        <v>0</v>
      </c>
      <c r="P57" s="162">
        <f>客房耗材出入库录入!P57*$E57</f>
        <v>0</v>
      </c>
      <c r="Q57" s="162">
        <f>客房耗材出入库录入!Q57*$E57</f>
        <v>0</v>
      </c>
      <c r="R57" s="162">
        <f>客房耗材出入库录入!R57*$E57</f>
        <v>0</v>
      </c>
      <c r="S57" s="162">
        <f>客房耗材出入库录入!S57*$E57</f>
        <v>0</v>
      </c>
      <c r="T57" s="162">
        <f>客房耗材出入库录入!T57*$E57</f>
        <v>0</v>
      </c>
      <c r="U57" s="162">
        <f>客房耗材出入库录入!U57*$E57</f>
        <v>0</v>
      </c>
      <c r="V57" s="162">
        <f>客房耗材出入库录入!V57*$E57</f>
        <v>0</v>
      </c>
      <c r="W57" s="162">
        <f>客房耗材出入库录入!W57*$E57</f>
        <v>0</v>
      </c>
      <c r="X57" s="162">
        <f>客房耗材出入库录入!X57*$E57</f>
        <v>0</v>
      </c>
      <c r="Y57" s="162">
        <f>客房耗材出入库录入!Y57*$E57</f>
        <v>0</v>
      </c>
      <c r="Z57" s="162">
        <f>客房耗材出入库录入!Z57*$E57</f>
        <v>0</v>
      </c>
      <c r="AA57" s="162">
        <f>客房耗材出入库录入!AA57*$E57</f>
        <v>0</v>
      </c>
      <c r="AB57" s="162">
        <f>客房耗材出入库录入!AB57*$E57</f>
        <v>0</v>
      </c>
      <c r="AC57" s="162">
        <f>客房耗材出入库录入!AC57*$E57</f>
        <v>0</v>
      </c>
      <c r="AD57" s="162">
        <f>客房耗材出入库录入!AD57*$E57</f>
        <v>0</v>
      </c>
      <c r="AE57" s="162">
        <f>客房耗材出入库录入!AE57*$E57</f>
        <v>0</v>
      </c>
      <c r="AF57" s="162">
        <f>客房耗材出入库录入!AF57*$E57</f>
        <v>0</v>
      </c>
      <c r="AG57" s="162">
        <f>客房耗材出入库录入!AG57*$E57</f>
        <v>0</v>
      </c>
      <c r="AH57" s="162">
        <f>客房耗材出入库录入!AH57*$E57</f>
        <v>0</v>
      </c>
      <c r="AI57" s="162">
        <f>客房耗材出入库录入!AI57*$E57</f>
        <v>0</v>
      </c>
      <c r="AJ57" s="162">
        <f>客房耗材出入库录入!AJ57*$E57</f>
        <v>0</v>
      </c>
      <c r="AK57" s="162">
        <f>客房耗材出入库录入!AK57*$E57</f>
        <v>0</v>
      </c>
      <c r="AL57" s="162">
        <f>客房耗材出入库录入!AL57*$E57</f>
        <v>0</v>
      </c>
      <c r="AM57" s="162">
        <f>客房耗材出入库录入!AM57*$E57</f>
        <v>0</v>
      </c>
      <c r="AN57" s="162">
        <f>客房耗材出入库录入!AN57*$E57</f>
        <v>0</v>
      </c>
      <c r="AO57" s="162">
        <f>客房耗材出入库录入!AO57*$E57</f>
        <v>0</v>
      </c>
      <c r="AP57" s="162">
        <f>客房耗材出入库录入!AP57*$E57</f>
        <v>0</v>
      </c>
      <c r="AQ57" s="162">
        <f>客房耗材出入库录入!AQ57*$E57</f>
        <v>0</v>
      </c>
      <c r="AR57" s="162">
        <f>客房耗材出入库录入!AR57*$E57</f>
        <v>0</v>
      </c>
      <c r="AS57" s="162">
        <f>客房耗材出入库录入!AS57*$E57</f>
        <v>0</v>
      </c>
      <c r="AT57" s="162">
        <f>客房耗材出入库录入!AT57*$E57</f>
        <v>0</v>
      </c>
      <c r="AU57" s="162">
        <f>客房耗材出入库录入!AU57*$E57</f>
        <v>0</v>
      </c>
      <c r="AV57" s="162">
        <f>客房耗材出入库录入!AV57*$E57</f>
        <v>0</v>
      </c>
      <c r="AW57" s="162">
        <f>客房耗材出入库录入!AW57*$E57</f>
        <v>0</v>
      </c>
      <c r="AX57" s="162">
        <f>客房耗材出入库录入!AX57*$E57</f>
        <v>0</v>
      </c>
      <c r="AY57" s="162">
        <f>客房耗材出入库录入!AY57*$E57</f>
        <v>0</v>
      </c>
      <c r="AZ57" s="162">
        <f>客房耗材出入库录入!AZ57*$E57</f>
        <v>0</v>
      </c>
      <c r="BA57" s="162">
        <f>客房耗材出入库录入!BA57*$E57</f>
        <v>0</v>
      </c>
      <c r="BB57" s="162">
        <f>客房耗材出入库录入!BB57*$E57</f>
        <v>0</v>
      </c>
      <c r="BC57" s="162">
        <f>客房耗材出入库录入!BC57*$E57</f>
        <v>0</v>
      </c>
      <c r="BD57" s="162">
        <f>客房耗材出入库录入!BD57*$E57</f>
        <v>0</v>
      </c>
      <c r="BE57" s="162">
        <f>客房耗材出入库录入!BE57*$E57</f>
        <v>0</v>
      </c>
      <c r="BF57" s="162">
        <f>客房耗材出入库录入!BF57*$E57</f>
        <v>0</v>
      </c>
      <c r="BG57" s="162">
        <f>客房耗材出入库录入!BG57*$E57</f>
        <v>0</v>
      </c>
      <c r="BH57" s="162">
        <f>客房耗材出入库录入!BH57*$E57</f>
        <v>0</v>
      </c>
      <c r="BI57" s="162">
        <f>客房耗材出入库录入!BI57*$E57</f>
        <v>0</v>
      </c>
      <c r="BJ57" s="162">
        <f>客房耗材出入库录入!BJ57*$E57</f>
        <v>0</v>
      </c>
      <c r="BK57" s="162">
        <f>客房耗材出入库录入!BK57*$E57</f>
        <v>0</v>
      </c>
      <c r="BL57" s="162">
        <f>客房耗材出入库录入!BL57*$E57</f>
        <v>0</v>
      </c>
      <c r="BM57" s="162">
        <f>客房耗材出入库录入!BM57*$E57</f>
        <v>0</v>
      </c>
      <c r="BN57" s="162">
        <f>客房耗材出入库录入!BN57*$E57</f>
        <v>0</v>
      </c>
      <c r="BO57" s="162">
        <f>客房耗材出入库录入!BO57*$E57</f>
        <v>0</v>
      </c>
      <c r="BP57" s="162">
        <f>客房耗材出入库录入!BP57*$E57</f>
        <v>0</v>
      </c>
      <c r="BQ57" s="162">
        <f>客房耗材出入库录入!BQ57*$E57</f>
        <v>0</v>
      </c>
      <c r="BR57" s="162">
        <f>客房耗材出入库录入!BR57*$E57</f>
        <v>0</v>
      </c>
      <c r="BS57" s="162">
        <f>客房耗材出入库录入!BS57*$E57</f>
        <v>0</v>
      </c>
      <c r="BT57" s="162">
        <f>客房耗材出入库录入!BT57*$E57</f>
        <v>0</v>
      </c>
      <c r="BU57" s="162">
        <f>客房耗材出入库录入!BU57*$E57</f>
        <v>0</v>
      </c>
      <c r="BV57" s="162">
        <f>客房耗材出入库录入!BV57*$E57</f>
        <v>0</v>
      </c>
      <c r="BW57" s="162">
        <f>客房耗材出入库录入!BW57*$E57</f>
        <v>0</v>
      </c>
    </row>
    <row r="58" s="143" customFormat="1" customHeight="1" spans="1:75">
      <c r="A58" s="161">
        <v>1</v>
      </c>
      <c r="B58" s="162">
        <f>客房耗材出入库录入!B58</f>
        <v>0</v>
      </c>
      <c r="C58" s="162">
        <f>客房耗材出入库录入!C58</f>
        <v>0</v>
      </c>
      <c r="D58" s="162">
        <f>客房耗材出入库录入!D58</f>
        <v>0</v>
      </c>
      <c r="E58" s="162">
        <f>客房耗材出入库录入!E58</f>
        <v>0</v>
      </c>
      <c r="F58" s="162">
        <f>客房耗材出入库录入!F58</f>
        <v>0</v>
      </c>
      <c r="G58" s="162">
        <f>客房耗材出入库录入!G58</f>
        <v>0</v>
      </c>
      <c r="H58" s="162">
        <f>客房耗材出入库录入!H58</f>
        <v>0</v>
      </c>
      <c r="I58" s="162">
        <f>客房耗材出入库录入!I58</f>
        <v>0</v>
      </c>
      <c r="J58" s="162">
        <f>客房耗材出入库录入!J58</f>
        <v>0</v>
      </c>
      <c r="K58" s="162">
        <f>客房耗材出入库录入!K58</f>
        <v>0</v>
      </c>
      <c r="L58" s="162">
        <f>客房耗材出入库录入!L58</f>
        <v>0</v>
      </c>
      <c r="M58" s="162">
        <f>客房耗材出入库录入!M58</f>
        <v>0</v>
      </c>
      <c r="N58" s="162">
        <f>客房耗材出入库录入!N58</f>
        <v>0</v>
      </c>
      <c r="O58" s="162">
        <f>客房耗材出入库录入!O58*$E58</f>
        <v>0</v>
      </c>
      <c r="P58" s="162">
        <f>客房耗材出入库录入!P58*$E58</f>
        <v>0</v>
      </c>
      <c r="Q58" s="162">
        <f>客房耗材出入库录入!Q58*$E58</f>
        <v>0</v>
      </c>
      <c r="R58" s="162">
        <f>客房耗材出入库录入!R58*$E58</f>
        <v>0</v>
      </c>
      <c r="S58" s="162">
        <f>客房耗材出入库录入!S58*$E58</f>
        <v>0</v>
      </c>
      <c r="T58" s="162">
        <f>客房耗材出入库录入!T58*$E58</f>
        <v>0</v>
      </c>
      <c r="U58" s="162">
        <f>客房耗材出入库录入!U58*$E58</f>
        <v>0</v>
      </c>
      <c r="V58" s="162">
        <f>客房耗材出入库录入!V58*$E58</f>
        <v>0</v>
      </c>
      <c r="W58" s="162">
        <f>客房耗材出入库录入!W58*$E58</f>
        <v>0</v>
      </c>
      <c r="X58" s="162">
        <f>客房耗材出入库录入!X58*$E58</f>
        <v>0</v>
      </c>
      <c r="Y58" s="162">
        <f>客房耗材出入库录入!Y58*$E58</f>
        <v>0</v>
      </c>
      <c r="Z58" s="162">
        <f>客房耗材出入库录入!Z58*$E58</f>
        <v>0</v>
      </c>
      <c r="AA58" s="162">
        <f>客房耗材出入库录入!AA58*$E58</f>
        <v>0</v>
      </c>
      <c r="AB58" s="162">
        <f>客房耗材出入库录入!AB58*$E58</f>
        <v>0</v>
      </c>
      <c r="AC58" s="162">
        <f>客房耗材出入库录入!AC58*$E58</f>
        <v>0</v>
      </c>
      <c r="AD58" s="162">
        <f>客房耗材出入库录入!AD58*$E58</f>
        <v>0</v>
      </c>
      <c r="AE58" s="162">
        <f>客房耗材出入库录入!AE58*$E58</f>
        <v>0</v>
      </c>
      <c r="AF58" s="162">
        <f>客房耗材出入库录入!AF58*$E58</f>
        <v>0</v>
      </c>
      <c r="AG58" s="162">
        <f>客房耗材出入库录入!AG58*$E58</f>
        <v>0</v>
      </c>
      <c r="AH58" s="162">
        <f>客房耗材出入库录入!AH58*$E58</f>
        <v>0</v>
      </c>
      <c r="AI58" s="162">
        <f>客房耗材出入库录入!AI58*$E58</f>
        <v>0</v>
      </c>
      <c r="AJ58" s="162">
        <f>客房耗材出入库录入!AJ58*$E58</f>
        <v>0</v>
      </c>
      <c r="AK58" s="162">
        <f>客房耗材出入库录入!AK58*$E58</f>
        <v>0</v>
      </c>
      <c r="AL58" s="162">
        <f>客房耗材出入库录入!AL58*$E58</f>
        <v>0</v>
      </c>
      <c r="AM58" s="162">
        <f>客房耗材出入库录入!AM58*$E58</f>
        <v>0</v>
      </c>
      <c r="AN58" s="162">
        <f>客房耗材出入库录入!AN58*$E58</f>
        <v>0</v>
      </c>
      <c r="AO58" s="162">
        <f>客房耗材出入库录入!AO58*$E58</f>
        <v>0</v>
      </c>
      <c r="AP58" s="162">
        <f>客房耗材出入库录入!AP58*$E58</f>
        <v>0</v>
      </c>
      <c r="AQ58" s="162">
        <f>客房耗材出入库录入!AQ58*$E58</f>
        <v>0</v>
      </c>
      <c r="AR58" s="162">
        <f>客房耗材出入库录入!AR58*$E58</f>
        <v>0</v>
      </c>
      <c r="AS58" s="162">
        <f>客房耗材出入库录入!AS58*$E58</f>
        <v>0</v>
      </c>
      <c r="AT58" s="162">
        <f>客房耗材出入库录入!AT58*$E58</f>
        <v>0</v>
      </c>
      <c r="AU58" s="162">
        <f>客房耗材出入库录入!AU58*$E58</f>
        <v>0</v>
      </c>
      <c r="AV58" s="162">
        <f>客房耗材出入库录入!AV58*$E58</f>
        <v>0</v>
      </c>
      <c r="AW58" s="162">
        <f>客房耗材出入库录入!AW58*$E58</f>
        <v>0</v>
      </c>
      <c r="AX58" s="162">
        <f>客房耗材出入库录入!AX58*$E58</f>
        <v>0</v>
      </c>
      <c r="AY58" s="162">
        <f>客房耗材出入库录入!AY58*$E58</f>
        <v>0</v>
      </c>
      <c r="AZ58" s="162">
        <f>客房耗材出入库录入!AZ58*$E58</f>
        <v>0</v>
      </c>
      <c r="BA58" s="162">
        <f>客房耗材出入库录入!BA58*$E58</f>
        <v>0</v>
      </c>
      <c r="BB58" s="162">
        <f>客房耗材出入库录入!BB58*$E58</f>
        <v>0</v>
      </c>
      <c r="BC58" s="162">
        <f>客房耗材出入库录入!BC58*$E58</f>
        <v>0</v>
      </c>
      <c r="BD58" s="162">
        <f>客房耗材出入库录入!BD58*$E58</f>
        <v>0</v>
      </c>
      <c r="BE58" s="162">
        <f>客房耗材出入库录入!BE58*$E58</f>
        <v>0</v>
      </c>
      <c r="BF58" s="162">
        <f>客房耗材出入库录入!BF58*$E58</f>
        <v>0</v>
      </c>
      <c r="BG58" s="162">
        <f>客房耗材出入库录入!BG58*$E58</f>
        <v>0</v>
      </c>
      <c r="BH58" s="162">
        <f>客房耗材出入库录入!BH58*$E58</f>
        <v>0</v>
      </c>
      <c r="BI58" s="162">
        <f>客房耗材出入库录入!BI58*$E58</f>
        <v>0</v>
      </c>
      <c r="BJ58" s="162">
        <f>客房耗材出入库录入!BJ58*$E58</f>
        <v>0</v>
      </c>
      <c r="BK58" s="162">
        <f>客房耗材出入库录入!BK58*$E58</f>
        <v>0</v>
      </c>
      <c r="BL58" s="162">
        <f>客房耗材出入库录入!BL58*$E58</f>
        <v>0</v>
      </c>
      <c r="BM58" s="162">
        <f>客房耗材出入库录入!BM58*$E58</f>
        <v>0</v>
      </c>
      <c r="BN58" s="162">
        <f>客房耗材出入库录入!BN58*$E58</f>
        <v>0</v>
      </c>
      <c r="BO58" s="162">
        <f>客房耗材出入库录入!BO58*$E58</f>
        <v>0</v>
      </c>
      <c r="BP58" s="162">
        <f>客房耗材出入库录入!BP58*$E58</f>
        <v>0</v>
      </c>
      <c r="BQ58" s="162">
        <f>客房耗材出入库录入!BQ58*$E58</f>
        <v>0</v>
      </c>
      <c r="BR58" s="162">
        <f>客房耗材出入库录入!BR58*$E58</f>
        <v>0</v>
      </c>
      <c r="BS58" s="162">
        <f>客房耗材出入库录入!BS58*$E58</f>
        <v>0</v>
      </c>
      <c r="BT58" s="162">
        <f>客房耗材出入库录入!BT58*$E58</f>
        <v>0</v>
      </c>
      <c r="BU58" s="162">
        <f>客房耗材出入库录入!BU58*$E58</f>
        <v>0</v>
      </c>
      <c r="BV58" s="162">
        <f>客房耗材出入库录入!BV58*$E58</f>
        <v>0</v>
      </c>
      <c r="BW58" s="162">
        <f>客房耗材出入库录入!BW58*$E58</f>
        <v>0</v>
      </c>
    </row>
    <row r="59" s="143" customFormat="1" customHeight="1" spans="1:75">
      <c r="A59" s="161">
        <v>1</v>
      </c>
      <c r="B59" s="162">
        <f>客房耗材出入库录入!B59</f>
        <v>0</v>
      </c>
      <c r="C59" s="162">
        <f>客房耗材出入库录入!C59</f>
        <v>0</v>
      </c>
      <c r="D59" s="162">
        <f>客房耗材出入库录入!D59</f>
        <v>0</v>
      </c>
      <c r="E59" s="162">
        <f>客房耗材出入库录入!E59</f>
        <v>0</v>
      </c>
      <c r="F59" s="162">
        <f>客房耗材出入库录入!F59</f>
        <v>0</v>
      </c>
      <c r="G59" s="162">
        <f>客房耗材出入库录入!G59</f>
        <v>0</v>
      </c>
      <c r="H59" s="162">
        <f>客房耗材出入库录入!H59</f>
        <v>0</v>
      </c>
      <c r="I59" s="162">
        <f>客房耗材出入库录入!I59</f>
        <v>0</v>
      </c>
      <c r="J59" s="162">
        <f>客房耗材出入库录入!J59</f>
        <v>0</v>
      </c>
      <c r="K59" s="162">
        <f>客房耗材出入库录入!K59</f>
        <v>0</v>
      </c>
      <c r="L59" s="162">
        <f>客房耗材出入库录入!L59</f>
        <v>0</v>
      </c>
      <c r="M59" s="162">
        <f>客房耗材出入库录入!M59</f>
        <v>0</v>
      </c>
      <c r="N59" s="162">
        <f>客房耗材出入库录入!N59</f>
        <v>0</v>
      </c>
      <c r="O59" s="162">
        <f>客房耗材出入库录入!O59*$E59</f>
        <v>0</v>
      </c>
      <c r="P59" s="162">
        <f>客房耗材出入库录入!P59*$E59</f>
        <v>0</v>
      </c>
      <c r="Q59" s="162">
        <f>客房耗材出入库录入!Q59*$E59</f>
        <v>0</v>
      </c>
      <c r="R59" s="162">
        <f>客房耗材出入库录入!R59*$E59</f>
        <v>0</v>
      </c>
      <c r="S59" s="162">
        <f>客房耗材出入库录入!S59*$E59</f>
        <v>0</v>
      </c>
      <c r="T59" s="162">
        <f>客房耗材出入库录入!T59*$E59</f>
        <v>0</v>
      </c>
      <c r="U59" s="162">
        <f>客房耗材出入库录入!U59*$E59</f>
        <v>0</v>
      </c>
      <c r="V59" s="162">
        <f>客房耗材出入库录入!V59*$E59</f>
        <v>0</v>
      </c>
      <c r="W59" s="162">
        <f>客房耗材出入库录入!W59*$E59</f>
        <v>0</v>
      </c>
      <c r="X59" s="162">
        <f>客房耗材出入库录入!X59*$E59</f>
        <v>0</v>
      </c>
      <c r="Y59" s="162">
        <f>客房耗材出入库录入!Y59*$E59</f>
        <v>0</v>
      </c>
      <c r="Z59" s="162">
        <f>客房耗材出入库录入!Z59*$E59</f>
        <v>0</v>
      </c>
      <c r="AA59" s="162">
        <f>客房耗材出入库录入!AA59*$E59</f>
        <v>0</v>
      </c>
      <c r="AB59" s="162">
        <f>客房耗材出入库录入!AB59*$E59</f>
        <v>0</v>
      </c>
      <c r="AC59" s="162">
        <f>客房耗材出入库录入!AC59*$E59</f>
        <v>0</v>
      </c>
      <c r="AD59" s="162">
        <f>客房耗材出入库录入!AD59*$E59</f>
        <v>0</v>
      </c>
      <c r="AE59" s="162">
        <f>客房耗材出入库录入!AE59*$E59</f>
        <v>0</v>
      </c>
      <c r="AF59" s="162">
        <f>客房耗材出入库录入!AF59*$E59</f>
        <v>0</v>
      </c>
      <c r="AG59" s="162">
        <f>客房耗材出入库录入!AG59*$E59</f>
        <v>0</v>
      </c>
      <c r="AH59" s="162">
        <f>客房耗材出入库录入!AH59*$E59</f>
        <v>0</v>
      </c>
      <c r="AI59" s="162">
        <f>客房耗材出入库录入!AI59*$E59</f>
        <v>0</v>
      </c>
      <c r="AJ59" s="162">
        <f>客房耗材出入库录入!AJ59*$E59</f>
        <v>0</v>
      </c>
      <c r="AK59" s="162">
        <f>客房耗材出入库录入!AK59*$E59</f>
        <v>0</v>
      </c>
      <c r="AL59" s="162">
        <f>客房耗材出入库录入!AL59*$E59</f>
        <v>0</v>
      </c>
      <c r="AM59" s="162">
        <f>客房耗材出入库录入!AM59*$E59</f>
        <v>0</v>
      </c>
      <c r="AN59" s="162">
        <f>客房耗材出入库录入!AN59*$E59</f>
        <v>0</v>
      </c>
      <c r="AO59" s="162">
        <f>客房耗材出入库录入!AO59*$E59</f>
        <v>0</v>
      </c>
      <c r="AP59" s="162">
        <f>客房耗材出入库录入!AP59*$E59</f>
        <v>0</v>
      </c>
      <c r="AQ59" s="162">
        <f>客房耗材出入库录入!AQ59*$E59</f>
        <v>0</v>
      </c>
      <c r="AR59" s="162">
        <f>客房耗材出入库录入!AR59*$E59</f>
        <v>0</v>
      </c>
      <c r="AS59" s="162">
        <f>客房耗材出入库录入!AS59*$E59</f>
        <v>0</v>
      </c>
      <c r="AT59" s="162">
        <f>客房耗材出入库录入!AT59*$E59</f>
        <v>0</v>
      </c>
      <c r="AU59" s="162">
        <f>客房耗材出入库录入!AU59*$E59</f>
        <v>0</v>
      </c>
      <c r="AV59" s="162">
        <f>客房耗材出入库录入!AV59*$E59</f>
        <v>0</v>
      </c>
      <c r="AW59" s="162">
        <f>客房耗材出入库录入!AW59*$E59</f>
        <v>0</v>
      </c>
      <c r="AX59" s="162">
        <f>客房耗材出入库录入!AX59*$E59</f>
        <v>0</v>
      </c>
      <c r="AY59" s="162">
        <f>客房耗材出入库录入!AY59*$E59</f>
        <v>0</v>
      </c>
      <c r="AZ59" s="162">
        <f>客房耗材出入库录入!AZ59*$E59</f>
        <v>0</v>
      </c>
      <c r="BA59" s="162">
        <f>客房耗材出入库录入!BA59*$E59</f>
        <v>0</v>
      </c>
      <c r="BB59" s="162">
        <f>客房耗材出入库录入!BB59*$E59</f>
        <v>0</v>
      </c>
      <c r="BC59" s="162">
        <f>客房耗材出入库录入!BC59*$E59</f>
        <v>0</v>
      </c>
      <c r="BD59" s="162">
        <f>客房耗材出入库录入!BD59*$E59</f>
        <v>0</v>
      </c>
      <c r="BE59" s="162">
        <f>客房耗材出入库录入!BE59*$E59</f>
        <v>0</v>
      </c>
      <c r="BF59" s="162">
        <f>客房耗材出入库录入!BF59*$E59</f>
        <v>0</v>
      </c>
      <c r="BG59" s="162">
        <f>客房耗材出入库录入!BG59*$E59</f>
        <v>0</v>
      </c>
      <c r="BH59" s="162">
        <f>客房耗材出入库录入!BH59*$E59</f>
        <v>0</v>
      </c>
      <c r="BI59" s="162">
        <f>客房耗材出入库录入!BI59*$E59</f>
        <v>0</v>
      </c>
      <c r="BJ59" s="162">
        <f>客房耗材出入库录入!BJ59*$E59</f>
        <v>0</v>
      </c>
      <c r="BK59" s="162">
        <f>客房耗材出入库录入!BK59*$E59</f>
        <v>0</v>
      </c>
      <c r="BL59" s="162">
        <f>客房耗材出入库录入!BL59*$E59</f>
        <v>0</v>
      </c>
      <c r="BM59" s="162">
        <f>客房耗材出入库录入!BM59*$E59</f>
        <v>0</v>
      </c>
      <c r="BN59" s="162">
        <f>客房耗材出入库录入!BN59*$E59</f>
        <v>0</v>
      </c>
      <c r="BO59" s="162">
        <f>客房耗材出入库录入!BO59*$E59</f>
        <v>0</v>
      </c>
      <c r="BP59" s="162">
        <f>客房耗材出入库录入!BP59*$E59</f>
        <v>0</v>
      </c>
      <c r="BQ59" s="162">
        <f>客房耗材出入库录入!BQ59*$E59</f>
        <v>0</v>
      </c>
      <c r="BR59" s="162">
        <f>客房耗材出入库录入!BR59*$E59</f>
        <v>0</v>
      </c>
      <c r="BS59" s="162">
        <f>客房耗材出入库录入!BS59*$E59</f>
        <v>0</v>
      </c>
      <c r="BT59" s="162">
        <f>客房耗材出入库录入!BT59*$E59</f>
        <v>0</v>
      </c>
      <c r="BU59" s="162">
        <f>客房耗材出入库录入!BU59*$E59</f>
        <v>0</v>
      </c>
      <c r="BV59" s="162">
        <f>客房耗材出入库录入!BV59*$E59</f>
        <v>0</v>
      </c>
      <c r="BW59" s="162">
        <f>客房耗材出入库录入!BW59*$E59</f>
        <v>0</v>
      </c>
    </row>
    <row r="60" s="143" customFormat="1" customHeight="1" spans="1:75">
      <c r="A60" s="161">
        <v>1</v>
      </c>
      <c r="B60" s="162">
        <f>客房耗材出入库录入!B60</f>
        <v>0</v>
      </c>
      <c r="C60" s="162">
        <f>客房耗材出入库录入!C60</f>
        <v>0</v>
      </c>
      <c r="D60" s="162">
        <f>客房耗材出入库录入!D60</f>
        <v>0</v>
      </c>
      <c r="E60" s="162">
        <f>客房耗材出入库录入!E60</f>
        <v>0</v>
      </c>
      <c r="F60" s="162">
        <f>客房耗材出入库录入!F60</f>
        <v>0</v>
      </c>
      <c r="G60" s="162">
        <f>客房耗材出入库录入!G60</f>
        <v>0</v>
      </c>
      <c r="H60" s="162">
        <f>客房耗材出入库录入!H60</f>
        <v>0</v>
      </c>
      <c r="I60" s="162">
        <f>客房耗材出入库录入!I60</f>
        <v>0</v>
      </c>
      <c r="J60" s="162">
        <f>客房耗材出入库录入!J60</f>
        <v>0</v>
      </c>
      <c r="K60" s="162">
        <f>客房耗材出入库录入!K60</f>
        <v>0</v>
      </c>
      <c r="L60" s="162">
        <f>客房耗材出入库录入!L60</f>
        <v>0</v>
      </c>
      <c r="M60" s="162">
        <f>客房耗材出入库录入!M60</f>
        <v>0</v>
      </c>
      <c r="N60" s="162">
        <f>客房耗材出入库录入!N60</f>
        <v>0</v>
      </c>
      <c r="O60" s="162">
        <f>客房耗材出入库录入!O60*$E60</f>
        <v>0</v>
      </c>
      <c r="P60" s="162">
        <f>客房耗材出入库录入!P60*$E60</f>
        <v>0</v>
      </c>
      <c r="Q60" s="162">
        <f>客房耗材出入库录入!Q60*$E60</f>
        <v>0</v>
      </c>
      <c r="R60" s="162">
        <f>客房耗材出入库录入!R60*$E60</f>
        <v>0</v>
      </c>
      <c r="S60" s="162">
        <f>客房耗材出入库录入!S60*$E60</f>
        <v>0</v>
      </c>
      <c r="T60" s="162">
        <f>客房耗材出入库录入!T60*$E60</f>
        <v>0</v>
      </c>
      <c r="U60" s="162">
        <f>客房耗材出入库录入!U60*$E60</f>
        <v>0</v>
      </c>
      <c r="V60" s="162">
        <f>客房耗材出入库录入!V60*$E60</f>
        <v>0</v>
      </c>
      <c r="W60" s="162">
        <f>客房耗材出入库录入!W60*$E60</f>
        <v>0</v>
      </c>
      <c r="X60" s="162">
        <f>客房耗材出入库录入!X60*$E60</f>
        <v>0</v>
      </c>
      <c r="Y60" s="162">
        <f>客房耗材出入库录入!Y60*$E60</f>
        <v>0</v>
      </c>
      <c r="Z60" s="162">
        <f>客房耗材出入库录入!Z60*$E60</f>
        <v>0</v>
      </c>
      <c r="AA60" s="162">
        <f>客房耗材出入库录入!AA60*$E60</f>
        <v>0</v>
      </c>
      <c r="AB60" s="162">
        <f>客房耗材出入库录入!AB60*$E60</f>
        <v>0</v>
      </c>
      <c r="AC60" s="162">
        <f>客房耗材出入库录入!AC60*$E60</f>
        <v>0</v>
      </c>
      <c r="AD60" s="162">
        <f>客房耗材出入库录入!AD60*$E60</f>
        <v>0</v>
      </c>
      <c r="AE60" s="162">
        <f>客房耗材出入库录入!AE60*$E60</f>
        <v>0</v>
      </c>
      <c r="AF60" s="162">
        <f>客房耗材出入库录入!AF60*$E60</f>
        <v>0</v>
      </c>
      <c r="AG60" s="162">
        <f>客房耗材出入库录入!AG60*$E60</f>
        <v>0</v>
      </c>
      <c r="AH60" s="162">
        <f>客房耗材出入库录入!AH60*$E60</f>
        <v>0</v>
      </c>
      <c r="AI60" s="162">
        <f>客房耗材出入库录入!AI60*$E60</f>
        <v>0</v>
      </c>
      <c r="AJ60" s="162">
        <f>客房耗材出入库录入!AJ60*$E60</f>
        <v>0</v>
      </c>
      <c r="AK60" s="162">
        <f>客房耗材出入库录入!AK60*$E60</f>
        <v>0</v>
      </c>
      <c r="AL60" s="162">
        <f>客房耗材出入库录入!AL60*$E60</f>
        <v>0</v>
      </c>
      <c r="AM60" s="162">
        <f>客房耗材出入库录入!AM60*$E60</f>
        <v>0</v>
      </c>
      <c r="AN60" s="162">
        <f>客房耗材出入库录入!AN60*$E60</f>
        <v>0</v>
      </c>
      <c r="AO60" s="162">
        <f>客房耗材出入库录入!AO60*$E60</f>
        <v>0</v>
      </c>
      <c r="AP60" s="162">
        <f>客房耗材出入库录入!AP60*$E60</f>
        <v>0</v>
      </c>
      <c r="AQ60" s="162">
        <f>客房耗材出入库录入!AQ60*$E60</f>
        <v>0</v>
      </c>
      <c r="AR60" s="162">
        <f>客房耗材出入库录入!AR60*$E60</f>
        <v>0</v>
      </c>
      <c r="AS60" s="162">
        <f>客房耗材出入库录入!AS60*$E60</f>
        <v>0</v>
      </c>
      <c r="AT60" s="162">
        <f>客房耗材出入库录入!AT60*$E60</f>
        <v>0</v>
      </c>
      <c r="AU60" s="162">
        <f>客房耗材出入库录入!AU60*$E60</f>
        <v>0</v>
      </c>
      <c r="AV60" s="162">
        <f>客房耗材出入库录入!AV60*$E60</f>
        <v>0</v>
      </c>
      <c r="AW60" s="162">
        <f>客房耗材出入库录入!AW60*$E60</f>
        <v>0</v>
      </c>
      <c r="AX60" s="162">
        <f>客房耗材出入库录入!AX60*$E60</f>
        <v>0</v>
      </c>
      <c r="AY60" s="162">
        <f>客房耗材出入库录入!AY60*$E60</f>
        <v>0</v>
      </c>
      <c r="AZ60" s="162">
        <f>客房耗材出入库录入!AZ60*$E60</f>
        <v>0</v>
      </c>
      <c r="BA60" s="162">
        <f>客房耗材出入库录入!BA60*$E60</f>
        <v>0</v>
      </c>
      <c r="BB60" s="162">
        <f>客房耗材出入库录入!BB60*$E60</f>
        <v>0</v>
      </c>
      <c r="BC60" s="162">
        <f>客房耗材出入库录入!BC60*$E60</f>
        <v>0</v>
      </c>
      <c r="BD60" s="162">
        <f>客房耗材出入库录入!BD60*$E60</f>
        <v>0</v>
      </c>
      <c r="BE60" s="162">
        <f>客房耗材出入库录入!BE60*$E60</f>
        <v>0</v>
      </c>
      <c r="BF60" s="162">
        <f>客房耗材出入库录入!BF60*$E60</f>
        <v>0</v>
      </c>
      <c r="BG60" s="162">
        <f>客房耗材出入库录入!BG60*$E60</f>
        <v>0</v>
      </c>
      <c r="BH60" s="162">
        <f>客房耗材出入库录入!BH60*$E60</f>
        <v>0</v>
      </c>
      <c r="BI60" s="162">
        <f>客房耗材出入库录入!BI60*$E60</f>
        <v>0</v>
      </c>
      <c r="BJ60" s="162">
        <f>客房耗材出入库录入!BJ60*$E60</f>
        <v>0</v>
      </c>
      <c r="BK60" s="162">
        <f>客房耗材出入库录入!BK60*$E60</f>
        <v>0</v>
      </c>
      <c r="BL60" s="162">
        <f>客房耗材出入库录入!BL60*$E60</f>
        <v>0</v>
      </c>
      <c r="BM60" s="162">
        <f>客房耗材出入库录入!BM60*$E60</f>
        <v>0</v>
      </c>
      <c r="BN60" s="162">
        <f>客房耗材出入库录入!BN60*$E60</f>
        <v>0</v>
      </c>
      <c r="BO60" s="162">
        <f>客房耗材出入库录入!BO60*$E60</f>
        <v>0</v>
      </c>
      <c r="BP60" s="162">
        <f>客房耗材出入库录入!BP60*$E60</f>
        <v>0</v>
      </c>
      <c r="BQ60" s="162">
        <f>客房耗材出入库录入!BQ60*$E60</f>
        <v>0</v>
      </c>
      <c r="BR60" s="162">
        <f>客房耗材出入库录入!BR60*$E60</f>
        <v>0</v>
      </c>
      <c r="BS60" s="162">
        <f>客房耗材出入库录入!BS60*$E60</f>
        <v>0</v>
      </c>
      <c r="BT60" s="162">
        <f>客房耗材出入库录入!BT60*$E60</f>
        <v>0</v>
      </c>
      <c r="BU60" s="162">
        <f>客房耗材出入库录入!BU60*$E60</f>
        <v>0</v>
      </c>
      <c r="BV60" s="162">
        <f>客房耗材出入库录入!BV60*$E60</f>
        <v>0</v>
      </c>
      <c r="BW60" s="162">
        <f>客房耗材出入库录入!BW60*$E60</f>
        <v>0</v>
      </c>
    </row>
    <row r="61" s="140" customFormat="1" customHeight="1" spans="1:75">
      <c r="A61" s="161"/>
      <c r="B61" s="162" t="str">
        <f>客房耗材出入库录入!B70</f>
        <v>合计</v>
      </c>
      <c r="C61" s="162">
        <f>客房耗材出入库录入!C70</f>
        <v>0</v>
      </c>
      <c r="D61" s="162">
        <f>客房耗材出入库录入!D70</f>
        <v>0</v>
      </c>
      <c r="E61" s="162">
        <f>客房耗材出入库录入!E70</f>
        <v>0</v>
      </c>
      <c r="F61" s="162"/>
      <c r="G61" s="216">
        <f t="shared" ref="G61:BR61" si="0">SUM(G5:G60)</f>
        <v>66857.786</v>
      </c>
      <c r="H61" s="216">
        <f t="shared" si="0"/>
        <v>3600</v>
      </c>
      <c r="I61" s="216">
        <f t="shared" si="0"/>
        <v>5400</v>
      </c>
      <c r="J61" s="216">
        <f t="shared" si="0"/>
        <v>54658</v>
      </c>
      <c r="K61" s="216">
        <f t="shared" si="0"/>
        <v>41603.928</v>
      </c>
      <c r="L61" s="216">
        <f t="shared" si="0"/>
        <v>40172</v>
      </c>
      <c r="M61" s="216">
        <f t="shared" si="0"/>
        <v>30653.858</v>
      </c>
      <c r="N61" s="216">
        <f t="shared" si="0"/>
        <v>0</v>
      </c>
      <c r="O61" s="216">
        <f t="shared" si="0"/>
        <v>1047.194</v>
      </c>
      <c r="P61" s="216">
        <f t="shared" si="0"/>
        <v>0</v>
      </c>
      <c r="Q61" s="216">
        <f t="shared" si="0"/>
        <v>1073.099</v>
      </c>
      <c r="R61" s="216">
        <f t="shared" si="0"/>
        <v>0</v>
      </c>
      <c r="S61" s="216">
        <f t="shared" si="0"/>
        <v>1576.884</v>
      </c>
      <c r="T61" s="216">
        <f t="shared" si="0"/>
        <v>0</v>
      </c>
      <c r="U61" s="216">
        <f t="shared" si="0"/>
        <v>1071.937</v>
      </c>
      <c r="V61" s="216">
        <f t="shared" si="0"/>
        <v>0</v>
      </c>
      <c r="W61" s="216">
        <f t="shared" si="0"/>
        <v>1182.254</v>
      </c>
      <c r="X61" s="216">
        <f t="shared" si="0"/>
        <v>0</v>
      </c>
      <c r="Y61" s="216">
        <f t="shared" si="0"/>
        <v>1138.791</v>
      </c>
      <c r="Z61" s="216">
        <f t="shared" si="0"/>
        <v>0</v>
      </c>
      <c r="AA61" s="216">
        <f t="shared" si="0"/>
        <v>1178.481</v>
      </c>
      <c r="AB61" s="216">
        <f t="shared" si="0"/>
        <v>0</v>
      </c>
      <c r="AC61" s="216">
        <f t="shared" si="0"/>
        <v>1120.785</v>
      </c>
      <c r="AD61" s="216">
        <f t="shared" si="0"/>
        <v>0</v>
      </c>
      <c r="AE61" s="216">
        <f t="shared" si="0"/>
        <v>1150.335</v>
      </c>
      <c r="AF61" s="216">
        <f t="shared" si="0"/>
        <v>0</v>
      </c>
      <c r="AG61" s="216">
        <f t="shared" si="0"/>
        <v>1174.465</v>
      </c>
      <c r="AH61" s="216">
        <f t="shared" si="0"/>
        <v>0</v>
      </c>
      <c r="AI61" s="216">
        <f t="shared" si="0"/>
        <v>1240.852</v>
      </c>
      <c r="AJ61" s="216">
        <f t="shared" si="0"/>
        <v>0</v>
      </c>
      <c r="AK61" s="216">
        <f t="shared" si="0"/>
        <v>1181.257</v>
      </c>
      <c r="AL61" s="216">
        <f t="shared" si="0"/>
        <v>1800</v>
      </c>
      <c r="AM61" s="216">
        <f t="shared" si="0"/>
        <v>1338.223</v>
      </c>
      <c r="AN61" s="216">
        <f t="shared" si="0"/>
        <v>0</v>
      </c>
      <c r="AO61" s="216">
        <f t="shared" si="0"/>
        <v>1447.411</v>
      </c>
      <c r="AP61" s="216">
        <f t="shared" si="0"/>
        <v>0</v>
      </c>
      <c r="AQ61" s="216">
        <f t="shared" si="0"/>
        <v>1392.47</v>
      </c>
      <c r="AR61" s="216">
        <f t="shared" si="0"/>
        <v>0</v>
      </c>
      <c r="AS61" s="216">
        <f t="shared" si="0"/>
        <v>1397.19</v>
      </c>
      <c r="AT61" s="216">
        <f t="shared" si="0"/>
        <v>0</v>
      </c>
      <c r="AU61" s="216">
        <f t="shared" si="0"/>
        <v>1321.543</v>
      </c>
      <c r="AV61" s="216">
        <f t="shared" si="0"/>
        <v>0</v>
      </c>
      <c r="AW61" s="216">
        <f t="shared" si="0"/>
        <v>1474.571</v>
      </c>
      <c r="AX61" s="216">
        <f t="shared" si="0"/>
        <v>0</v>
      </c>
      <c r="AY61" s="216">
        <f t="shared" si="0"/>
        <v>1361.347</v>
      </c>
      <c r="AZ61" s="216">
        <f t="shared" si="0"/>
        <v>3600</v>
      </c>
      <c r="BA61" s="216">
        <f t="shared" si="0"/>
        <v>1529.443</v>
      </c>
      <c r="BB61" s="216">
        <f t="shared" si="0"/>
        <v>0</v>
      </c>
      <c r="BC61" s="216">
        <f t="shared" si="0"/>
        <v>1463.644</v>
      </c>
      <c r="BD61" s="216">
        <f t="shared" si="0"/>
        <v>0</v>
      </c>
      <c r="BE61" s="216">
        <f t="shared" si="0"/>
        <v>1411.837</v>
      </c>
      <c r="BF61" s="216">
        <f t="shared" si="0"/>
        <v>0</v>
      </c>
      <c r="BG61" s="216">
        <f t="shared" si="0"/>
        <v>1503.361</v>
      </c>
      <c r="BH61" s="216">
        <f t="shared" si="0"/>
        <v>0</v>
      </c>
      <c r="BI61" s="216">
        <f t="shared" si="0"/>
        <v>1406.317</v>
      </c>
      <c r="BJ61" s="216">
        <f t="shared" si="0"/>
        <v>0</v>
      </c>
      <c r="BK61" s="216">
        <f t="shared" si="0"/>
        <v>1439.955</v>
      </c>
      <c r="BL61" s="216">
        <f t="shared" si="0"/>
        <v>0</v>
      </c>
      <c r="BM61" s="216">
        <f t="shared" si="0"/>
        <v>1299.939</v>
      </c>
      <c r="BN61" s="216">
        <f t="shared" si="0"/>
        <v>0</v>
      </c>
      <c r="BO61" s="216">
        <f t="shared" si="0"/>
        <v>1415.706</v>
      </c>
      <c r="BP61" s="216">
        <f t="shared" si="0"/>
        <v>0</v>
      </c>
      <c r="BQ61" s="216">
        <f t="shared" si="0"/>
        <v>1377.873</v>
      </c>
      <c r="BR61" s="216">
        <f t="shared" si="0"/>
        <v>0</v>
      </c>
      <c r="BS61" s="216">
        <f>SUM(BS5:BS60)</f>
        <v>1715.802</v>
      </c>
      <c r="BT61" s="216">
        <f>SUM(BT5:BT60)</f>
        <v>0</v>
      </c>
      <c r="BU61" s="216">
        <f>SUM(BU5:BU60)</f>
        <v>1602.453</v>
      </c>
      <c r="BV61" s="216">
        <f>SUM(BV5:BV60)</f>
        <v>0</v>
      </c>
      <c r="BW61" s="216">
        <f>SUM(BW5:BW60)</f>
        <v>1584.049</v>
      </c>
    </row>
  </sheetData>
  <sheetProtection formatCells="0" formatColumns="0" formatRows="0" insertRows="0" insertColumns="0" insertHyperlinks="0" deleteColumns="0" deleteRows="0" sort="0" autoFilter="0" pivotTables="0"/>
  <mergeCells count="14">
    <mergeCell ref="B1:G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45"/>
  <sheetViews>
    <sheetView workbookViewId="0">
      <selection activeCell="A1" sqref="A1"/>
    </sheetView>
  </sheetViews>
  <sheetFormatPr defaultColWidth="9" defaultRowHeight="25" customHeight="1"/>
  <cols>
    <col min="1" max="1" width="4.75" style="179"/>
    <col min="2" max="2" width="17.625" style="179"/>
    <col min="3" max="3" width="8.25833333333333" style="179"/>
    <col min="4" max="5" width="5.125" style="179"/>
    <col min="6" max="6" width="6.00833333333333" style="180" customWidth="1"/>
    <col min="7" max="7" width="8.20833333333333" style="208" customWidth="1"/>
    <col min="8" max="9" width="7.375" style="179"/>
  </cols>
  <sheetData>
    <row r="1" s="177" customFormat="1" ht="40" customHeight="1" spans="1:38">
      <c r="A1" s="182"/>
      <c r="B1" s="182" t="s">
        <v>380</v>
      </c>
      <c r="C1" s="182"/>
      <c r="D1" s="182"/>
      <c r="E1" s="182"/>
      <c r="F1" s="183"/>
      <c r="G1" s="209"/>
      <c r="H1" s="182"/>
      <c r="I1" s="182"/>
    </row>
    <row r="2" s="177" customFormat="1" ht="15" customHeight="1" spans="1:38">
      <c r="A2" s="182"/>
      <c r="B2" s="185" t="s">
        <v>2</v>
      </c>
      <c r="C2" s="182"/>
      <c r="D2" s="182"/>
      <c r="E2" s="182"/>
      <c r="F2" s="183"/>
      <c r="G2" s="209"/>
      <c r="H2" s="195"/>
      <c r="I2" s="182"/>
    </row>
    <row r="3" s="18" customFormat="1" customHeight="1" spans="1:38">
      <c r="A3" s="210" t="s">
        <v>3</v>
      </c>
      <c r="B3" s="210" t="s">
        <v>126</v>
      </c>
      <c r="C3" s="210" t="s">
        <v>127</v>
      </c>
      <c r="D3" s="210" t="s">
        <v>6</v>
      </c>
      <c r="E3" s="210" t="s">
        <v>64</v>
      </c>
      <c r="F3" s="20" t="s">
        <v>381</v>
      </c>
      <c r="G3" s="211" t="s">
        <v>65</v>
      </c>
      <c r="H3" s="20" t="s">
        <v>9</v>
      </c>
      <c r="I3" s="20" t="s">
        <v>10</v>
      </c>
      <c r="J3" s="20" t="s">
        <v>11</v>
      </c>
      <c r="K3" s="20" t="s">
        <v>12</v>
      </c>
      <c r="L3" s="20" t="s">
        <v>13</v>
      </c>
      <c r="M3" s="20" t="s">
        <v>14</v>
      </c>
      <c r="N3" s="20" t="s">
        <v>15</v>
      </c>
      <c r="O3" s="20" t="s">
        <v>16</v>
      </c>
      <c r="P3" s="20" t="s">
        <v>17</v>
      </c>
      <c r="Q3" s="20" t="s">
        <v>18</v>
      </c>
      <c r="R3" s="20" t="s">
        <v>19</v>
      </c>
      <c r="S3" s="20" t="s">
        <v>20</v>
      </c>
      <c r="T3" s="20" t="s">
        <v>21</v>
      </c>
      <c r="U3" s="20" t="s">
        <v>22</v>
      </c>
      <c r="V3" s="20" t="s">
        <v>23</v>
      </c>
      <c r="W3" s="20" t="s">
        <v>24</v>
      </c>
      <c r="X3" s="20" t="s">
        <v>25</v>
      </c>
      <c r="Y3" s="20" t="s">
        <v>26</v>
      </c>
      <c r="Z3" s="20" t="s">
        <v>27</v>
      </c>
      <c r="AA3" s="20" t="s">
        <v>28</v>
      </c>
      <c r="AB3" s="20" t="s">
        <v>29</v>
      </c>
      <c r="AC3" s="20" t="s">
        <v>30</v>
      </c>
      <c r="AD3" s="20" t="s">
        <v>31</v>
      </c>
      <c r="AE3" s="20" t="s">
        <v>32</v>
      </c>
      <c r="AF3" s="20" t="s">
        <v>33</v>
      </c>
      <c r="AG3" s="20" t="s">
        <v>34</v>
      </c>
      <c r="AH3" s="20" t="s">
        <v>35</v>
      </c>
      <c r="AI3" s="20" t="s">
        <v>36</v>
      </c>
      <c r="AJ3" s="20" t="s">
        <v>37</v>
      </c>
      <c r="AK3" s="20" t="s">
        <v>38</v>
      </c>
      <c r="AL3" s="20" t="s">
        <v>39</v>
      </c>
    </row>
    <row r="4" s="18" customFormat="1" customHeight="1" spans="1:38">
      <c r="A4" s="210"/>
      <c r="B4" s="210"/>
      <c r="C4" s="210"/>
      <c r="D4" s="210"/>
      <c r="E4" s="210"/>
      <c r="F4" s="20" t="s">
        <v>135</v>
      </c>
      <c r="G4" s="20"/>
      <c r="H4" s="20" t="s">
        <v>8</v>
      </c>
      <c r="I4" s="20" t="s">
        <v>8</v>
      </c>
      <c r="J4" s="20" t="s">
        <v>8</v>
      </c>
      <c r="K4" s="20" t="s">
        <v>8</v>
      </c>
      <c r="L4" s="20" t="s">
        <v>8</v>
      </c>
      <c r="M4" s="20" t="s">
        <v>8</v>
      </c>
      <c r="N4" s="20" t="s">
        <v>8</v>
      </c>
      <c r="O4" s="20" t="s">
        <v>8</v>
      </c>
      <c r="P4" s="20" t="s">
        <v>8</v>
      </c>
      <c r="Q4" s="20" t="s">
        <v>8</v>
      </c>
      <c r="R4" s="20" t="s">
        <v>8</v>
      </c>
      <c r="S4" s="20" t="s">
        <v>8</v>
      </c>
      <c r="T4" s="20" t="s">
        <v>8</v>
      </c>
      <c r="U4" s="20" t="s">
        <v>8</v>
      </c>
      <c r="V4" s="20" t="s">
        <v>8</v>
      </c>
      <c r="W4" s="20" t="s">
        <v>8</v>
      </c>
      <c r="X4" s="20" t="s">
        <v>8</v>
      </c>
      <c r="Y4" s="20" t="s">
        <v>8</v>
      </c>
      <c r="Z4" s="20" t="s">
        <v>8</v>
      </c>
      <c r="AA4" s="20" t="s">
        <v>8</v>
      </c>
      <c r="AB4" s="20" t="s">
        <v>8</v>
      </c>
      <c r="AC4" s="20" t="s">
        <v>8</v>
      </c>
      <c r="AD4" s="20" t="s">
        <v>8</v>
      </c>
      <c r="AE4" s="20" t="s">
        <v>8</v>
      </c>
      <c r="AF4" s="20" t="s">
        <v>8</v>
      </c>
      <c r="AG4" s="20" t="s">
        <v>8</v>
      </c>
      <c r="AH4" s="20" t="s">
        <v>8</v>
      </c>
      <c r="AI4" s="20" t="s">
        <v>8</v>
      </c>
      <c r="AJ4" s="20" t="s">
        <v>8</v>
      </c>
      <c r="AK4" s="20" t="s">
        <v>8</v>
      </c>
      <c r="AL4" s="20" t="s">
        <v>8</v>
      </c>
    </row>
    <row r="5" s="178" customFormat="1" customHeight="1" spans="1:38">
      <c r="A5" s="161">
        <v>1</v>
      </c>
      <c r="B5" s="212" t="str">
        <f>洗涤费录入!B5</f>
        <v>（大、小）床单</v>
      </c>
      <c r="C5" s="212">
        <f>洗涤费录入!C5</f>
        <v>0</v>
      </c>
      <c r="D5" s="212">
        <f>洗涤费录入!D5</f>
        <v>0</v>
      </c>
      <c r="E5" s="212">
        <f>洗涤费录入!E5</f>
        <v>1.43</v>
      </c>
      <c r="F5" s="212">
        <f>洗涤费录入!F5</f>
        <v>3496</v>
      </c>
      <c r="G5" s="212">
        <f>洗涤费录入!G5</f>
        <v>4999.28</v>
      </c>
      <c r="H5" s="213">
        <f>$E5*洗涤费录入!H5</f>
        <v>148.72</v>
      </c>
      <c r="I5" s="213">
        <f>$E5*洗涤费录入!I5</f>
        <v>110.11</v>
      </c>
      <c r="J5" s="213">
        <f>$E5*洗涤费录入!J5</f>
        <v>104.39</v>
      </c>
      <c r="K5" s="213">
        <f>$E5*洗涤费录入!K5</f>
        <v>132.99</v>
      </c>
      <c r="L5" s="213">
        <f>$E5*洗涤费录入!L5</f>
        <v>183.04</v>
      </c>
      <c r="M5" s="213">
        <f>$E5*洗涤费录入!M5</f>
        <v>211.64</v>
      </c>
      <c r="N5" s="213">
        <f>$E5*洗涤费录入!N5</f>
        <v>150.15</v>
      </c>
      <c r="O5" s="213">
        <f>$E5*洗涤费录入!O5</f>
        <v>155.87</v>
      </c>
      <c r="P5" s="213">
        <f>$E5*洗涤费录入!P5</f>
        <v>185.9</v>
      </c>
      <c r="Q5" s="213">
        <f>$E5*洗涤费录入!Q5</f>
        <v>157.3</v>
      </c>
      <c r="R5" s="213">
        <f>$E5*洗涤费录入!R5</f>
        <v>208.78</v>
      </c>
      <c r="S5" s="213">
        <f>$E5*洗涤费录入!S5</f>
        <v>215.93</v>
      </c>
      <c r="T5" s="213">
        <f>$E5*洗涤费录入!T5</f>
        <v>167.31</v>
      </c>
      <c r="U5" s="213">
        <f>$E5*洗涤费录入!U5</f>
        <v>150.15</v>
      </c>
      <c r="V5" s="213">
        <f>$E5*洗涤费录入!V5</f>
        <v>127.27</v>
      </c>
      <c r="W5" s="213">
        <f>$E5*洗涤费录入!W5</f>
        <v>121.55</v>
      </c>
      <c r="X5" s="213">
        <f>$E5*洗涤费录入!X5</f>
        <v>181.61</v>
      </c>
      <c r="Y5" s="213">
        <f>$E5*洗涤费录入!Y5</f>
        <v>207.35</v>
      </c>
      <c r="Z5" s="213">
        <f>$E5*洗涤费录入!Z5</f>
        <v>177.32</v>
      </c>
      <c r="AA5" s="213">
        <f>$E5*洗涤费录入!AA5</f>
        <v>198.77</v>
      </c>
      <c r="AB5" s="213">
        <f>$E5*洗涤费录入!AB5</f>
        <v>161.59</v>
      </c>
      <c r="AC5" s="213">
        <f>$E5*洗涤费录入!AC5</f>
        <v>124.41</v>
      </c>
      <c r="AD5" s="213">
        <f>$E5*洗涤费录入!AD5</f>
        <v>138.71</v>
      </c>
      <c r="AE5" s="213">
        <f>$E5*洗涤费录入!AE5</f>
        <v>125.84</v>
      </c>
      <c r="AF5" s="213">
        <f>$E5*洗涤费录入!AF5</f>
        <v>173.03</v>
      </c>
      <c r="AG5" s="213">
        <f>$E5*洗涤费录入!AG5</f>
        <v>148.72</v>
      </c>
      <c r="AH5" s="213">
        <f>$E5*洗涤费录入!AH5</f>
        <v>217.36</v>
      </c>
      <c r="AI5" s="213">
        <f>$E5*洗涤费录入!AI5</f>
        <v>111.54</v>
      </c>
      <c r="AJ5" s="213">
        <f>$E5*洗涤费录入!AJ5</f>
        <v>140.14</v>
      </c>
      <c r="AK5" s="213">
        <f>$E5*洗涤费录入!AK5</f>
        <v>197.34</v>
      </c>
      <c r="AL5" s="213">
        <f>$E5*洗涤费录入!AL5</f>
        <v>164.45</v>
      </c>
    </row>
    <row r="6" s="178" customFormat="1" customHeight="1" spans="1:38">
      <c r="A6" s="161">
        <v>2</v>
      </c>
      <c r="B6" s="212" t="str">
        <f>洗涤费录入!B6</f>
        <v>（大、小被罩）</v>
      </c>
      <c r="C6" s="212">
        <f>洗涤费录入!C6</f>
        <v>0</v>
      </c>
      <c r="D6" s="212">
        <f>洗涤费录入!D6</f>
        <v>0</v>
      </c>
      <c r="E6" s="212">
        <f>洗涤费录入!E6</f>
        <v>1.69</v>
      </c>
      <c r="F6" s="212">
        <f>洗涤费录入!F6</f>
        <v>3589</v>
      </c>
      <c r="G6" s="212">
        <f>洗涤费录入!G6</f>
        <v>6065.41</v>
      </c>
      <c r="H6" s="213">
        <f>$E6*洗涤费录入!H6</f>
        <v>189.28</v>
      </c>
      <c r="I6" s="213">
        <f>$E6*洗涤费录入!I6</f>
        <v>126.75</v>
      </c>
      <c r="J6" s="213">
        <f>$E6*洗涤费录入!J6</f>
        <v>130.13</v>
      </c>
      <c r="K6" s="213">
        <f>$E6*洗涤费录入!K6</f>
        <v>162.24</v>
      </c>
      <c r="L6" s="213">
        <f>$E6*洗涤费录入!L6</f>
        <v>226.46</v>
      </c>
      <c r="M6" s="213">
        <f>$E6*洗涤费录入!M6</f>
        <v>241.67</v>
      </c>
      <c r="N6" s="213">
        <f>$E6*洗涤费录入!N6</f>
        <v>180.83</v>
      </c>
      <c r="O6" s="213">
        <f>$E6*洗涤费录入!O6</f>
        <v>190.97</v>
      </c>
      <c r="P6" s="213">
        <f>$E6*洗涤费录入!P6</f>
        <v>226.46</v>
      </c>
      <c r="Q6" s="213">
        <f>$E6*洗涤费录入!Q6</f>
        <v>197.73</v>
      </c>
      <c r="R6" s="213">
        <f>$E6*洗涤费录入!R6</f>
        <v>246.74</v>
      </c>
      <c r="S6" s="213">
        <f>$E6*洗涤费录入!S6</f>
        <v>261.95</v>
      </c>
      <c r="T6" s="213">
        <f>$E6*洗涤费录入!T6</f>
        <v>204.49</v>
      </c>
      <c r="U6" s="213">
        <f>$E6*洗涤费录入!U6</f>
        <v>177.45</v>
      </c>
      <c r="V6" s="213">
        <f>$E6*洗涤费录入!V6</f>
        <v>148.72</v>
      </c>
      <c r="W6" s="213">
        <f>$E6*洗涤费录入!W6</f>
        <v>147.03</v>
      </c>
      <c r="X6" s="213">
        <f>$E6*洗涤费录入!X6</f>
        <v>228.15</v>
      </c>
      <c r="Y6" s="213">
        <f>$E6*洗涤费录入!Y6</f>
        <v>258.57</v>
      </c>
      <c r="Z6" s="213">
        <f>$E6*洗涤费录入!Z6</f>
        <v>221.39</v>
      </c>
      <c r="AA6" s="213">
        <f>$E6*洗涤费录入!AA6</f>
        <v>239.98</v>
      </c>
      <c r="AB6" s="213">
        <f>$E6*洗涤费录入!AB6</f>
        <v>201.11</v>
      </c>
      <c r="AC6" s="213">
        <f>$E6*洗涤费录入!AC6</f>
        <v>157.17</v>
      </c>
      <c r="AD6" s="213">
        <f>$E6*洗涤费录入!AD6</f>
        <v>169</v>
      </c>
      <c r="AE6" s="213">
        <f>$E6*洗涤费录入!AE6</f>
        <v>152.1</v>
      </c>
      <c r="AF6" s="213">
        <f>$E6*洗涤费录入!AF6</f>
        <v>196.04</v>
      </c>
      <c r="AG6" s="213">
        <f>$E6*洗涤费录入!AG6</f>
        <v>174.07</v>
      </c>
      <c r="AH6" s="213">
        <f>$E6*洗涤费录入!AH6</f>
        <v>253.5</v>
      </c>
      <c r="AI6" s="213">
        <f>$E6*洗涤费录入!AI6</f>
        <v>125.06</v>
      </c>
      <c r="AJ6" s="213">
        <f>$E6*洗涤费录入!AJ6</f>
        <v>160.55</v>
      </c>
      <c r="AK6" s="213">
        <f>$E6*洗涤费录入!AK6</f>
        <v>260.26</v>
      </c>
      <c r="AL6" s="213">
        <f>$E6*洗涤费录入!AL6</f>
        <v>209.56</v>
      </c>
    </row>
    <row r="7" s="178" customFormat="1" customHeight="1" spans="1:38">
      <c r="A7" s="161">
        <v>3</v>
      </c>
      <c r="B7" s="212" t="str">
        <f>洗涤费录入!B7</f>
        <v>枕套</v>
      </c>
      <c r="C7" s="212">
        <f>洗涤费录入!C7</f>
        <v>0</v>
      </c>
      <c r="D7" s="212">
        <f>洗涤费录入!D7</f>
        <v>0</v>
      </c>
      <c r="E7" s="212">
        <f>洗涤费录入!E7</f>
        <v>0.71</v>
      </c>
      <c r="F7" s="212">
        <f>洗涤费录入!F7</f>
        <v>10169</v>
      </c>
      <c r="G7" s="212">
        <f>洗涤费录入!G7</f>
        <v>7219.99</v>
      </c>
      <c r="H7" s="213">
        <f>$E7*洗涤费录入!H7</f>
        <v>305.3</v>
      </c>
      <c r="I7" s="213">
        <f>$E7*洗涤费录入!I7</f>
        <v>156.2</v>
      </c>
      <c r="J7" s="213">
        <f>$E7*洗涤费录入!J7</f>
        <v>191.7</v>
      </c>
      <c r="K7" s="213">
        <f>$E7*洗涤费录入!K7</f>
        <v>189.57</v>
      </c>
      <c r="L7" s="213">
        <f>$E7*洗涤费录入!L7</f>
        <v>262.7</v>
      </c>
      <c r="M7" s="213">
        <f>$E7*洗涤费录入!M7</f>
        <v>286.13</v>
      </c>
      <c r="N7" s="213">
        <f>$E7*洗涤费录入!N7</f>
        <v>269.8</v>
      </c>
      <c r="O7" s="213">
        <f>$E7*洗涤费录入!O7</f>
        <v>220.81</v>
      </c>
      <c r="P7" s="213">
        <f>$E7*洗涤费录入!P7</f>
        <v>264.83</v>
      </c>
      <c r="Q7" s="213">
        <f>$E7*洗涤费录入!Q7</f>
        <v>218.68</v>
      </c>
      <c r="R7" s="213">
        <f>$E7*洗涤费录入!R7</f>
        <v>305.3</v>
      </c>
      <c r="S7" s="213">
        <f>$E7*洗涤费录入!S7</f>
        <v>286.84</v>
      </c>
      <c r="T7" s="213">
        <f>$E7*洗涤费录入!T7</f>
        <v>244.95</v>
      </c>
      <c r="U7" s="213">
        <f>$E7*洗涤费录入!U7</f>
        <v>225.07</v>
      </c>
      <c r="V7" s="213">
        <f>$E7*洗涤费录入!V7</f>
        <v>182.47</v>
      </c>
      <c r="W7" s="213">
        <f>$E7*洗涤费录入!W7</f>
        <v>203.06</v>
      </c>
      <c r="X7" s="213">
        <f>$E7*洗涤费录入!X7</f>
        <v>276.9</v>
      </c>
      <c r="Y7" s="213">
        <f>$E7*洗涤费录入!Y7</f>
        <v>299.62</v>
      </c>
      <c r="Z7" s="213">
        <f>$E7*洗涤费录入!Z7</f>
        <v>267.67</v>
      </c>
      <c r="AA7" s="213">
        <f>$E7*洗涤费录入!AA7</f>
        <v>256.31</v>
      </c>
      <c r="AB7" s="213">
        <f>$E7*洗涤费录入!AB7</f>
        <v>203.77</v>
      </c>
      <c r="AC7" s="213">
        <f>$E7*洗涤费录入!AC7</f>
        <v>191.7</v>
      </c>
      <c r="AD7" s="213">
        <f>$E7*洗涤费录入!AD7</f>
        <v>191.7</v>
      </c>
      <c r="AE7" s="213">
        <f>$E7*洗涤费录入!AE7</f>
        <v>188.15</v>
      </c>
      <c r="AF7" s="213">
        <f>$E7*洗涤费录入!AF7</f>
        <v>231.46</v>
      </c>
      <c r="AG7" s="213">
        <f>$E7*洗涤费录入!AG7</f>
        <v>188.86</v>
      </c>
      <c r="AH7" s="213">
        <f>$E7*洗涤费录入!AH7</f>
        <v>280.45</v>
      </c>
      <c r="AI7" s="213">
        <f>$E7*洗涤费录入!AI7</f>
        <v>158.33</v>
      </c>
      <c r="AJ7" s="213">
        <f>$E7*洗涤费录入!AJ7</f>
        <v>188.86</v>
      </c>
      <c r="AK7" s="213">
        <f>$E7*洗涤费录入!AK7</f>
        <v>243.53</v>
      </c>
      <c r="AL7" s="213">
        <f>$E7*洗涤费录入!AL7</f>
        <v>239.27</v>
      </c>
    </row>
    <row r="8" s="178" customFormat="1" customHeight="1" spans="1:38">
      <c r="A8" s="161">
        <v>4</v>
      </c>
      <c r="B8" s="212" t="str">
        <f>洗涤费录入!B8</f>
        <v>浴巾</v>
      </c>
      <c r="C8" s="212">
        <f>洗涤费录入!C8</f>
        <v>0</v>
      </c>
      <c r="D8" s="212">
        <f>洗涤费录入!D8</f>
        <v>0</v>
      </c>
      <c r="E8" s="212">
        <f>洗涤费录入!E8</f>
        <v>0.98</v>
      </c>
      <c r="F8" s="212">
        <f>洗涤费录入!F8</f>
        <v>4754</v>
      </c>
      <c r="G8" s="212">
        <f>洗涤费录入!G8</f>
        <v>4658.92</v>
      </c>
      <c r="H8" s="213">
        <f>$E8*洗涤费录入!H8</f>
        <v>98.98</v>
      </c>
      <c r="I8" s="213">
        <f>$E8*洗涤费录入!I8</f>
        <v>109.76</v>
      </c>
      <c r="J8" s="213">
        <f>$E8*洗涤费录入!J8</f>
        <v>121.52</v>
      </c>
      <c r="K8" s="213">
        <f>$E8*洗涤费录入!K8</f>
        <v>131.32</v>
      </c>
      <c r="L8" s="213">
        <f>$E8*洗涤费录入!L8</f>
        <v>170.52</v>
      </c>
      <c r="M8" s="213">
        <f>$E8*洗涤费录入!M8</f>
        <v>160.72</v>
      </c>
      <c r="N8" s="213">
        <f>$E8*洗涤费录入!N8</f>
        <v>134.26</v>
      </c>
      <c r="O8" s="213">
        <f>$E8*洗涤费录入!O8</f>
        <v>148.96</v>
      </c>
      <c r="P8" s="213">
        <f>$E8*洗涤费录入!P8</f>
        <v>168.56</v>
      </c>
      <c r="Q8" s="213">
        <f>$E8*洗涤费录入!Q8</f>
        <v>138.18</v>
      </c>
      <c r="R8" s="213">
        <f>$E8*洗涤费录入!R8</f>
        <v>154.84</v>
      </c>
      <c r="S8" s="213">
        <f>$E8*洗涤费录入!S8</f>
        <v>187.18</v>
      </c>
      <c r="T8" s="213">
        <f>$E8*洗涤费录入!T8</f>
        <v>181.3</v>
      </c>
      <c r="U8" s="213">
        <f>$E8*洗涤费录入!U8</f>
        <v>145.04</v>
      </c>
      <c r="V8" s="213">
        <f>$E8*洗涤费录入!V8</f>
        <v>128.38</v>
      </c>
      <c r="W8" s="213">
        <f>$E8*洗涤费录入!W8</f>
        <v>128.38</v>
      </c>
      <c r="X8" s="213">
        <f>$E8*洗涤费录入!X8</f>
        <v>168.56</v>
      </c>
      <c r="Y8" s="213">
        <f>$E8*洗涤费录入!Y8</f>
        <v>202.86</v>
      </c>
      <c r="Z8" s="213">
        <f>$E8*洗涤费录入!Z8</f>
        <v>175.42</v>
      </c>
      <c r="AA8" s="213">
        <f>$E8*洗涤费录入!AA8</f>
        <v>204.82</v>
      </c>
      <c r="AB8" s="213">
        <f>$E8*洗涤费录入!AB8</f>
        <v>176.4</v>
      </c>
      <c r="AC8" s="213">
        <f>$E8*洗涤费录入!AC8</f>
        <v>159.74</v>
      </c>
      <c r="AD8" s="213">
        <f>$E8*洗涤费录入!AD8</f>
        <v>144.06</v>
      </c>
      <c r="AE8" s="213">
        <f>$E8*洗涤费录入!AE8</f>
        <v>125.44</v>
      </c>
      <c r="AF8" s="213">
        <f>$E8*洗涤费录入!AF8</f>
        <v>147</v>
      </c>
      <c r="AG8" s="213">
        <f>$E8*洗涤费录入!AG8</f>
        <v>154.84</v>
      </c>
      <c r="AH8" s="213">
        <f>$E8*洗涤费录入!AH8</f>
        <v>172.48</v>
      </c>
      <c r="AI8" s="213">
        <f>$E8*洗涤费录入!AI8</f>
        <v>112.7</v>
      </c>
      <c r="AJ8" s="213">
        <f>$E8*洗涤费录入!AJ8</f>
        <v>110.74</v>
      </c>
      <c r="AK8" s="213">
        <f>$E8*洗涤费录入!AK8</f>
        <v>149.94</v>
      </c>
      <c r="AL8" s="213">
        <f>$E8*洗涤费录入!AL8</f>
        <v>146.02</v>
      </c>
    </row>
    <row r="9" s="178" customFormat="1" customHeight="1" spans="1:38">
      <c r="A9" s="161">
        <v>5</v>
      </c>
      <c r="B9" s="212" t="str">
        <f>洗涤费录入!B9</f>
        <v>毛巾</v>
      </c>
      <c r="C9" s="212">
        <f>洗涤费录入!C9</f>
        <v>0</v>
      </c>
      <c r="D9" s="212">
        <f>洗涤费录入!D9</f>
        <v>0</v>
      </c>
      <c r="E9" s="212">
        <f>洗涤费录入!E9</f>
        <v>0.62</v>
      </c>
      <c r="F9" s="212">
        <f>洗涤费录入!F9</f>
        <v>4005</v>
      </c>
      <c r="G9" s="212">
        <f>洗涤费录入!G9</f>
        <v>2483.1</v>
      </c>
      <c r="H9" s="213">
        <f>$E9*洗涤费录入!H9</f>
        <v>63.86</v>
      </c>
      <c r="I9" s="213">
        <f>$E9*洗涤费录入!I9</f>
        <v>57.04</v>
      </c>
      <c r="J9" s="213">
        <f>$E9*洗涤费录入!J9</f>
        <v>68.2</v>
      </c>
      <c r="K9" s="213">
        <f>$E9*洗涤费录入!K9</f>
        <v>70.68</v>
      </c>
      <c r="L9" s="213">
        <f>$E9*洗涤费录入!L9</f>
        <v>76.88</v>
      </c>
      <c r="M9" s="213">
        <f>$E9*洗涤费录入!M9</f>
        <v>75.64</v>
      </c>
      <c r="N9" s="213">
        <f>$E9*洗涤费录入!N9</f>
        <v>76.26</v>
      </c>
      <c r="O9" s="213">
        <f>$E9*洗涤费录入!O9</f>
        <v>88.04</v>
      </c>
      <c r="P9" s="213">
        <f>$E9*洗涤费录入!P9</f>
        <v>92.38</v>
      </c>
      <c r="Q9" s="213">
        <f>$E9*洗涤费录入!Q9</f>
        <v>81.22</v>
      </c>
      <c r="R9" s="213">
        <f>$E9*洗涤费录入!R9</f>
        <v>88.04</v>
      </c>
      <c r="S9" s="213">
        <f>$E9*洗涤费录入!S9</f>
        <v>86.8</v>
      </c>
      <c r="T9" s="213">
        <f>$E9*洗涤费录入!T9</f>
        <v>103.54</v>
      </c>
      <c r="U9" s="213">
        <f>$E9*洗涤费录入!U9</f>
        <v>85.56</v>
      </c>
      <c r="V9" s="213">
        <f>$E9*洗涤费录入!V9</f>
        <v>79.36</v>
      </c>
      <c r="W9" s="213">
        <f>$E9*洗涤费录入!W9</f>
        <v>67.58</v>
      </c>
      <c r="X9" s="213">
        <f>$E9*洗涤费录入!X9</f>
        <v>112.22</v>
      </c>
      <c r="Y9" s="213">
        <f>$E9*洗涤费录入!Y9</f>
        <v>71.3</v>
      </c>
      <c r="Z9" s="213">
        <f>$E9*洗涤费录入!Z9</f>
        <v>97.96</v>
      </c>
      <c r="AA9" s="213">
        <f>$E9*洗涤费录入!AA9</f>
        <v>100.44</v>
      </c>
      <c r="AB9" s="213">
        <f>$E9*洗涤费录入!AB9</f>
        <v>100.44</v>
      </c>
      <c r="AC9" s="213">
        <f>$E9*洗涤费录入!AC9</f>
        <v>93.62</v>
      </c>
      <c r="AD9" s="213">
        <f>$E9*洗涤费录入!AD9</f>
        <v>83.7</v>
      </c>
      <c r="AE9" s="213">
        <f>$E9*洗涤费录入!AE9</f>
        <v>73.78</v>
      </c>
      <c r="AF9" s="213">
        <f>$E9*洗涤费录入!AF9</f>
        <v>62</v>
      </c>
      <c r="AG9" s="213">
        <f>$E9*洗涤费录入!AG9</f>
        <v>86.18</v>
      </c>
      <c r="AH9" s="213">
        <f>$E9*洗涤费录入!AH9</f>
        <v>80.6</v>
      </c>
      <c r="AI9" s="213">
        <f>$E9*洗涤费录入!AI9</f>
        <v>53.94</v>
      </c>
      <c r="AJ9" s="213">
        <f>$E9*洗涤费录入!AJ9</f>
        <v>62</v>
      </c>
      <c r="AK9" s="213">
        <f>$E9*洗涤费录入!AK9</f>
        <v>70.06</v>
      </c>
      <c r="AL9" s="213">
        <f>$E9*洗涤费录入!AL9</f>
        <v>73.78</v>
      </c>
    </row>
    <row r="10" s="178" customFormat="1" customHeight="1" spans="1:38">
      <c r="A10" s="161">
        <v>6</v>
      </c>
      <c r="B10" s="212" t="str">
        <f>洗涤费录入!B10</f>
        <v>方巾</v>
      </c>
      <c r="C10" s="212">
        <f>洗涤费录入!C10</f>
        <v>0</v>
      </c>
      <c r="D10" s="212">
        <f>洗涤费录入!D10</f>
        <v>0</v>
      </c>
      <c r="E10" s="212">
        <f>洗涤费录入!E10</f>
        <v>0.4</v>
      </c>
      <c r="F10" s="212">
        <f>洗涤费录入!F10</f>
        <v>3689</v>
      </c>
      <c r="G10" s="212">
        <f>洗涤费录入!G10</f>
        <v>1475.6</v>
      </c>
      <c r="H10" s="213">
        <f>$E10*洗涤费录入!H10</f>
        <v>46.8</v>
      </c>
      <c r="I10" s="213">
        <f>$E10*洗涤费录入!I10</f>
        <v>37.6</v>
      </c>
      <c r="J10" s="213">
        <f>$E10*洗涤费录入!J10</f>
        <v>41.6</v>
      </c>
      <c r="K10" s="213">
        <f>$E10*洗涤费录入!K10</f>
        <v>46.4</v>
      </c>
      <c r="L10" s="213">
        <f>$E10*洗涤费录入!L10</f>
        <v>53.6</v>
      </c>
      <c r="M10" s="213">
        <f>$E10*洗涤费录入!M10</f>
        <v>50.8</v>
      </c>
      <c r="N10" s="213">
        <f>$E10*洗涤费录入!N10</f>
        <v>45.2</v>
      </c>
      <c r="O10" s="213">
        <f>$E10*洗涤费录入!O10</f>
        <v>52.4</v>
      </c>
      <c r="P10" s="213">
        <f>$E10*洗涤费录入!P10</f>
        <v>49.2</v>
      </c>
      <c r="Q10" s="213">
        <f>$E10*洗涤费录入!Q10</f>
        <v>58</v>
      </c>
      <c r="R10" s="213">
        <f>$E10*洗涤费录入!R10</f>
        <v>48.8</v>
      </c>
      <c r="S10" s="213">
        <f>$E10*洗涤费录入!S10</f>
        <v>46.4</v>
      </c>
      <c r="T10" s="213">
        <f>$E10*洗涤费录入!T10</f>
        <v>53.2</v>
      </c>
      <c r="U10" s="213">
        <f>$E10*洗涤费录入!U10</f>
        <v>40.8</v>
      </c>
      <c r="V10" s="213">
        <f>$E10*洗涤费录入!V10</f>
        <v>38</v>
      </c>
      <c r="W10" s="213">
        <f>$E10*洗涤费录入!W10</f>
        <v>41.2</v>
      </c>
      <c r="X10" s="213">
        <f>$E10*洗涤费录入!X10</f>
        <v>57.6</v>
      </c>
      <c r="Y10" s="213">
        <f>$E10*洗涤费录入!Y10</f>
        <v>44.8</v>
      </c>
      <c r="Z10" s="213">
        <f>$E10*洗涤费录入!Z10</f>
        <v>54</v>
      </c>
      <c r="AA10" s="213">
        <f>$E10*洗涤费录入!AA10</f>
        <v>57.2</v>
      </c>
      <c r="AB10" s="213">
        <f>$E10*洗涤费录入!AB10</f>
        <v>47.6</v>
      </c>
      <c r="AC10" s="213">
        <f>$E10*洗涤费录入!AC10</f>
        <v>48</v>
      </c>
      <c r="AD10" s="213">
        <f>$E10*洗涤费录入!AD10</f>
        <v>49.2</v>
      </c>
      <c r="AE10" s="213">
        <f>$E10*洗涤费录入!AE10</f>
        <v>47.2</v>
      </c>
      <c r="AF10" s="213">
        <f>$E10*洗涤费录入!AF10</f>
        <v>37.6</v>
      </c>
      <c r="AG10" s="213">
        <f>$E10*洗涤费录入!AG10</f>
        <v>42.4</v>
      </c>
      <c r="AH10" s="213">
        <f>$E10*洗涤费录入!AH10</f>
        <v>60.8</v>
      </c>
      <c r="AI10" s="213">
        <f>$E10*洗涤费录入!AI10</f>
        <v>38.4</v>
      </c>
      <c r="AJ10" s="213">
        <f>$E10*洗涤费录入!AJ10</f>
        <v>40.4</v>
      </c>
      <c r="AK10" s="213">
        <f>$E10*洗涤费录入!AK10</f>
        <v>56.4</v>
      </c>
      <c r="AL10" s="213">
        <f>$E10*洗涤费录入!AL10</f>
        <v>44</v>
      </c>
    </row>
    <row r="11" s="178" customFormat="1" customHeight="1" spans="1:38">
      <c r="A11" s="161">
        <v>7</v>
      </c>
      <c r="B11" s="212" t="str">
        <f>洗涤费录入!B11</f>
        <v>地巾</v>
      </c>
      <c r="C11" s="212">
        <f>洗涤费录入!C11</f>
        <v>0</v>
      </c>
      <c r="D11" s="212">
        <f>洗涤费录入!D11</f>
        <v>0</v>
      </c>
      <c r="E11" s="212">
        <f>洗涤费录入!E11</f>
        <v>0.44</v>
      </c>
      <c r="F11" s="212">
        <f>洗涤费录入!F11</f>
        <v>2585</v>
      </c>
      <c r="G11" s="212">
        <f>洗涤费录入!G11</f>
        <v>1137.4</v>
      </c>
      <c r="H11" s="213">
        <f>$E11*洗涤费录入!H11</f>
        <v>29.04</v>
      </c>
      <c r="I11" s="213">
        <f>$E11*洗涤费录入!I11</f>
        <v>28.6</v>
      </c>
      <c r="J11" s="213">
        <f>$E11*洗涤费录入!J11</f>
        <v>27.72</v>
      </c>
      <c r="K11" s="213">
        <f>$E11*洗涤费录入!K11</f>
        <v>33</v>
      </c>
      <c r="L11" s="213">
        <f>$E11*洗涤费录入!L11</f>
        <v>42.24</v>
      </c>
      <c r="M11" s="213">
        <f>$E11*洗涤费录入!M11</f>
        <v>41.36</v>
      </c>
      <c r="N11" s="213">
        <f>$E11*洗涤费录入!N11</f>
        <v>32.12</v>
      </c>
      <c r="O11" s="213">
        <f>$E11*洗涤费录入!O11</f>
        <v>41.8</v>
      </c>
      <c r="P11" s="213">
        <f>$E11*洗涤费录入!P11</f>
        <v>43.12</v>
      </c>
      <c r="Q11" s="213">
        <f>$E11*洗涤费录入!Q11</f>
        <v>44.44</v>
      </c>
      <c r="R11" s="213">
        <f>$E11*洗涤费录入!R11</f>
        <v>41.36</v>
      </c>
      <c r="S11" s="213">
        <f>$E11*洗涤费录入!S11</f>
        <v>48.4</v>
      </c>
      <c r="T11" s="213">
        <f>$E11*洗涤费录入!T11</f>
        <v>44.44</v>
      </c>
      <c r="U11" s="213">
        <f>$E11*洗涤费录入!U11</f>
        <v>34.32</v>
      </c>
      <c r="V11" s="213">
        <f>$E11*洗涤费录入!V11</f>
        <v>32.12</v>
      </c>
      <c r="W11" s="213">
        <f>$E11*洗涤费录入!W11</f>
        <v>38.72</v>
      </c>
      <c r="X11" s="213">
        <f>$E11*洗涤费录入!X11</f>
        <v>43.12</v>
      </c>
      <c r="Y11" s="213">
        <f>$E11*洗涤费录入!Y11</f>
        <v>36.08</v>
      </c>
      <c r="Z11" s="213">
        <f>$E11*洗涤费录入!Z11</f>
        <v>38.72</v>
      </c>
      <c r="AA11" s="213">
        <f>$E11*洗涤费录入!AA11</f>
        <v>35.64</v>
      </c>
      <c r="AB11" s="213">
        <f>$E11*洗涤费录入!AB11</f>
        <v>34.32</v>
      </c>
      <c r="AC11" s="213">
        <f>$E11*洗涤费录入!AC11</f>
        <v>33.44</v>
      </c>
      <c r="AD11" s="213">
        <f>$E11*洗涤费录入!AD11</f>
        <v>38.72</v>
      </c>
      <c r="AE11" s="213">
        <f>$E11*洗涤费录入!AE11</f>
        <v>34.32</v>
      </c>
      <c r="AF11" s="213">
        <f>$E11*洗涤费录入!AF11</f>
        <v>34.76</v>
      </c>
      <c r="AG11" s="213">
        <f>$E11*洗涤费录入!AG11</f>
        <v>33.44</v>
      </c>
      <c r="AH11" s="213">
        <f>$E11*洗涤费录入!AH11</f>
        <v>40.04</v>
      </c>
      <c r="AI11" s="213">
        <f>$E11*洗涤费录入!AI11</f>
        <v>24.2</v>
      </c>
      <c r="AJ11" s="213">
        <f>$E11*洗涤费录入!AJ11</f>
        <v>32.12</v>
      </c>
      <c r="AK11" s="213">
        <f>$E11*洗涤费录入!AK11</f>
        <v>38.28</v>
      </c>
      <c r="AL11" s="213">
        <f>$E11*洗涤费录入!AL11</f>
        <v>37.4</v>
      </c>
    </row>
    <row r="12" s="178" customFormat="1" customHeight="1" spans="1:38">
      <c r="A12" s="161">
        <v>8</v>
      </c>
      <c r="B12" s="212" t="str">
        <f>洗涤费录入!B12</f>
        <v>浴袍</v>
      </c>
      <c r="C12" s="212">
        <f>洗涤费录入!C12</f>
        <v>0</v>
      </c>
      <c r="D12" s="212">
        <f>洗涤费录入!D12</f>
        <v>0</v>
      </c>
      <c r="E12" s="212">
        <f>洗涤费录入!E12</f>
        <v>3</v>
      </c>
      <c r="F12" s="212">
        <f>洗涤费录入!F12</f>
        <v>926</v>
      </c>
      <c r="G12" s="212">
        <f>洗涤费录入!G12</f>
        <v>2778</v>
      </c>
      <c r="H12" s="213">
        <f>$E12*洗涤费录入!H12</f>
        <v>84</v>
      </c>
      <c r="I12" s="213">
        <f>$E12*洗涤费录入!I12</f>
        <v>75</v>
      </c>
      <c r="J12" s="213">
        <f>$E12*洗涤费录入!J12</f>
        <v>81</v>
      </c>
      <c r="K12" s="213">
        <f>$E12*洗涤费录入!K12</f>
        <v>72</v>
      </c>
      <c r="L12" s="213">
        <f>$E12*洗涤费录入!L12</f>
        <v>90</v>
      </c>
      <c r="M12" s="213">
        <f>$E12*洗涤费录入!M12</f>
        <v>102</v>
      </c>
      <c r="N12" s="213">
        <f>$E12*洗涤费录入!N12</f>
        <v>84</v>
      </c>
      <c r="O12" s="213">
        <f>$E12*洗涤费录入!O12</f>
        <v>87</v>
      </c>
      <c r="P12" s="213">
        <f>$E12*洗涤费录入!P12</f>
        <v>84</v>
      </c>
      <c r="Q12" s="213">
        <f>$E12*洗涤费录入!Q12</f>
        <v>66</v>
      </c>
      <c r="R12" s="213">
        <f>$E12*洗涤费录入!R12</f>
        <v>81</v>
      </c>
      <c r="S12" s="213">
        <f>$E12*洗涤费录入!S12</f>
        <v>75</v>
      </c>
      <c r="T12" s="213">
        <f>$E12*洗涤费录入!T12</f>
        <v>129</v>
      </c>
      <c r="U12" s="213">
        <f>$E12*洗涤费录入!U12</f>
        <v>81</v>
      </c>
      <c r="V12" s="213">
        <f>$E12*洗涤费录入!V12</f>
        <v>66</v>
      </c>
      <c r="W12" s="213">
        <f>$E12*洗涤费录入!W12</f>
        <v>69</v>
      </c>
      <c r="X12" s="213">
        <f>$E12*洗涤费录入!X12</f>
        <v>132</v>
      </c>
      <c r="Y12" s="213">
        <f>$E12*洗涤费录入!Y12</f>
        <v>144</v>
      </c>
      <c r="Z12" s="213">
        <f>$E12*洗涤费录入!Z12</f>
        <v>117</v>
      </c>
      <c r="AA12" s="213">
        <f>$E12*洗涤费录入!AA12</f>
        <v>111</v>
      </c>
      <c r="AB12" s="213">
        <f>$E12*洗涤费录入!AB12</f>
        <v>135</v>
      </c>
      <c r="AC12" s="213">
        <f>$E12*洗涤费录入!AC12</f>
        <v>75</v>
      </c>
      <c r="AD12" s="213">
        <f>$E12*洗涤费录入!AD12</f>
        <v>57</v>
      </c>
      <c r="AE12" s="213">
        <f>$E12*洗涤费录入!AE12</f>
        <v>81</v>
      </c>
      <c r="AF12" s="213">
        <f>$E12*洗涤费录入!AF12</f>
        <v>93</v>
      </c>
      <c r="AG12" s="213">
        <f>$E12*洗涤费录入!AG12</f>
        <v>105</v>
      </c>
      <c r="AH12" s="213">
        <f>$E12*洗涤费录入!AH12</f>
        <v>102</v>
      </c>
      <c r="AI12" s="213">
        <f>$E12*洗涤费录入!AI12</f>
        <v>69</v>
      </c>
      <c r="AJ12" s="213">
        <f>$E12*洗涤费录入!AJ12</f>
        <v>84</v>
      </c>
      <c r="AK12" s="213">
        <f>$E12*洗涤费录入!AK12</f>
        <v>78</v>
      </c>
      <c r="AL12" s="213">
        <f>$E12*洗涤费录入!AL12</f>
        <v>69</v>
      </c>
    </row>
    <row r="13" s="178" customFormat="1" customHeight="1" spans="1:38">
      <c r="A13" s="161">
        <v>9</v>
      </c>
      <c r="B13" s="212" t="str">
        <f>洗涤费录入!B13</f>
        <v>保护垫</v>
      </c>
      <c r="C13" s="212">
        <f>洗涤费录入!C13</f>
        <v>0</v>
      </c>
      <c r="D13" s="212">
        <f>洗涤费录入!D13</f>
        <v>0</v>
      </c>
      <c r="E13" s="212">
        <f>洗涤费录入!E13</f>
        <v>7.2</v>
      </c>
      <c r="F13" s="212">
        <f>洗涤费录入!F13</f>
        <v>26</v>
      </c>
      <c r="G13" s="212">
        <f>洗涤费录入!G13</f>
        <v>187.2</v>
      </c>
      <c r="H13" s="213">
        <f>$E13*洗涤费录入!H13</f>
        <v>0</v>
      </c>
      <c r="I13" s="213">
        <f>$E13*洗涤费录入!I13</f>
        <v>14.4</v>
      </c>
      <c r="J13" s="213">
        <f>$E13*洗涤费录入!J13</f>
        <v>7.2</v>
      </c>
      <c r="K13" s="213">
        <f>$E13*洗涤费录入!K13</f>
        <v>7.2</v>
      </c>
      <c r="L13" s="213">
        <f>$E13*洗涤费录入!L13</f>
        <v>14.4</v>
      </c>
      <c r="M13" s="213">
        <f>$E13*洗涤费录入!M13</f>
        <v>21.6</v>
      </c>
      <c r="N13" s="213">
        <f>$E13*洗涤费录入!N13</f>
        <v>14.4</v>
      </c>
      <c r="O13" s="213">
        <f>$E13*洗涤费录入!O13</f>
        <v>0</v>
      </c>
      <c r="P13" s="213">
        <f>$E13*洗涤费录入!P13</f>
        <v>14.4</v>
      </c>
      <c r="Q13" s="213">
        <f>$E13*洗涤费录入!Q13</f>
        <v>7.2</v>
      </c>
      <c r="R13" s="213">
        <f>$E13*洗涤费录入!R13</f>
        <v>0</v>
      </c>
      <c r="S13" s="213">
        <f>$E13*洗涤费录入!S13</f>
        <v>0</v>
      </c>
      <c r="T13" s="213">
        <f>$E13*洗涤费录入!T13</f>
        <v>0</v>
      </c>
      <c r="U13" s="213">
        <f>$E13*洗涤费录入!U13</f>
        <v>14.4</v>
      </c>
      <c r="V13" s="213">
        <f>$E13*洗涤费录入!V13</f>
        <v>0</v>
      </c>
      <c r="W13" s="213">
        <f>$E13*洗涤费录入!W13</f>
        <v>14.4</v>
      </c>
      <c r="X13" s="213">
        <f>$E13*洗涤费录入!X13</f>
        <v>0</v>
      </c>
      <c r="Y13" s="213">
        <f>$E13*洗涤费录入!Y13</f>
        <v>0</v>
      </c>
      <c r="Z13" s="213">
        <f>$E13*洗涤费录入!Z13</f>
        <v>7.2</v>
      </c>
      <c r="AA13" s="213">
        <f>$E13*洗涤费录入!AA13</f>
        <v>7.2</v>
      </c>
      <c r="AB13" s="213">
        <f>$E13*洗涤费录入!AB13</f>
        <v>14.4</v>
      </c>
      <c r="AC13" s="213">
        <f>$E13*洗涤费录入!AC13</f>
        <v>0</v>
      </c>
      <c r="AD13" s="213">
        <f>$E13*洗涤费录入!AD13</f>
        <v>14.4</v>
      </c>
      <c r="AE13" s="213">
        <f>$E13*洗涤费录入!AE13</f>
        <v>0</v>
      </c>
      <c r="AF13" s="213">
        <f>$E13*洗涤费录入!AF13</f>
        <v>7.2</v>
      </c>
      <c r="AG13" s="213">
        <f>$E13*洗涤费录入!AG13</f>
        <v>7.2</v>
      </c>
      <c r="AH13" s="213">
        <f>$E13*洗涤费录入!AH13</f>
        <v>0</v>
      </c>
      <c r="AI13" s="213">
        <f>$E13*洗涤费录入!AI13</f>
        <v>0</v>
      </c>
      <c r="AJ13" s="213">
        <f>$E13*洗涤费录入!AJ13</f>
        <v>0</v>
      </c>
      <c r="AK13" s="213">
        <f>$E13*洗涤费录入!AK13</f>
        <v>0</v>
      </c>
      <c r="AL13" s="213">
        <f>$E13*洗涤费录入!AL13</f>
        <v>0</v>
      </c>
    </row>
    <row r="14" s="178" customFormat="1" customHeight="1" spans="1:38">
      <c r="A14" s="161">
        <v>10</v>
      </c>
      <c r="B14" s="212" t="str">
        <f>洗涤费录入!B14</f>
        <v>被芯</v>
      </c>
      <c r="C14" s="212">
        <f>洗涤费录入!C14</f>
        <v>0</v>
      </c>
      <c r="D14" s="212">
        <f>洗涤费录入!D14</f>
        <v>0</v>
      </c>
      <c r="E14" s="212">
        <f>洗涤费录入!E14</f>
        <v>9</v>
      </c>
      <c r="F14" s="212">
        <f>洗涤费录入!F14</f>
        <v>4</v>
      </c>
      <c r="G14" s="212">
        <f>洗涤费录入!G14</f>
        <v>36</v>
      </c>
      <c r="H14" s="213">
        <f>$E14*洗涤费录入!H14</f>
        <v>0</v>
      </c>
      <c r="I14" s="213">
        <f>$E14*洗涤费录入!I14</f>
        <v>0</v>
      </c>
      <c r="J14" s="213">
        <f>$E14*洗涤费录入!J14</f>
        <v>0</v>
      </c>
      <c r="K14" s="213">
        <f>$E14*洗涤费录入!K14</f>
        <v>0</v>
      </c>
      <c r="L14" s="213">
        <f>$E14*洗涤费录入!L14</f>
        <v>0</v>
      </c>
      <c r="M14" s="213">
        <f>$E14*洗涤费录入!M14</f>
        <v>0</v>
      </c>
      <c r="N14" s="213">
        <f>$E14*洗涤费录入!N14</f>
        <v>0</v>
      </c>
      <c r="O14" s="213">
        <f>$E14*洗涤费录入!O14</f>
        <v>0</v>
      </c>
      <c r="P14" s="213">
        <f>$E14*洗涤费录入!P14</f>
        <v>0</v>
      </c>
      <c r="Q14" s="213">
        <f>$E14*洗涤费录入!Q14</f>
        <v>0</v>
      </c>
      <c r="R14" s="213">
        <f>$E14*洗涤费录入!R14</f>
        <v>0</v>
      </c>
      <c r="S14" s="213">
        <f>$E14*洗涤费录入!S14</f>
        <v>0</v>
      </c>
      <c r="T14" s="213">
        <f>$E14*洗涤费录入!T14</f>
        <v>0</v>
      </c>
      <c r="U14" s="213">
        <f>$E14*洗涤费录入!U14</f>
        <v>0</v>
      </c>
      <c r="V14" s="213">
        <f>$E14*洗涤费录入!V14</f>
        <v>0</v>
      </c>
      <c r="W14" s="213">
        <f>$E14*洗涤费录入!W14</f>
        <v>0</v>
      </c>
      <c r="X14" s="213">
        <f>$E14*洗涤费录入!X14</f>
        <v>0</v>
      </c>
      <c r="Y14" s="213">
        <f>$E14*洗涤费录入!Y14</f>
        <v>0</v>
      </c>
      <c r="Z14" s="213">
        <f>$E14*洗涤费录入!Z14</f>
        <v>0</v>
      </c>
      <c r="AA14" s="213">
        <f>$E14*洗涤费录入!AA14</f>
        <v>0</v>
      </c>
      <c r="AB14" s="213">
        <f>$E14*洗涤费录入!AB14</f>
        <v>36</v>
      </c>
      <c r="AC14" s="213">
        <f>$E14*洗涤费录入!AC14</f>
        <v>0</v>
      </c>
      <c r="AD14" s="213">
        <f>$E14*洗涤费录入!AD14</f>
        <v>0</v>
      </c>
      <c r="AE14" s="213">
        <f>$E14*洗涤费录入!AE14</f>
        <v>0</v>
      </c>
      <c r="AF14" s="213">
        <f>$E14*洗涤费录入!AF14</f>
        <v>0</v>
      </c>
      <c r="AG14" s="213">
        <f>$E14*洗涤费录入!AG14</f>
        <v>0</v>
      </c>
      <c r="AH14" s="213">
        <f>$E14*洗涤费录入!AH14</f>
        <v>0</v>
      </c>
      <c r="AI14" s="213">
        <f>$E14*洗涤费录入!AI14</f>
        <v>0</v>
      </c>
      <c r="AJ14" s="213">
        <f>$E14*洗涤费录入!AJ14</f>
        <v>0</v>
      </c>
      <c r="AK14" s="213">
        <f>$E14*洗涤费录入!AK14</f>
        <v>0</v>
      </c>
      <c r="AL14" s="213">
        <f>$E14*洗涤费录入!AL14</f>
        <v>0</v>
      </c>
    </row>
    <row r="15" s="178" customFormat="1" customHeight="1" spans="1:38">
      <c r="A15" s="161">
        <v>11</v>
      </c>
      <c r="B15" s="212" t="str">
        <f>洗涤费录入!B15</f>
        <v>枕芯</v>
      </c>
      <c r="C15" s="212">
        <f>洗涤费录入!C15</f>
        <v>0</v>
      </c>
      <c r="D15" s="212">
        <f>洗涤费录入!D15</f>
        <v>0</v>
      </c>
      <c r="E15" s="212">
        <f>洗涤费录入!E15</f>
        <v>2.7</v>
      </c>
      <c r="F15" s="212">
        <f>洗涤费录入!F15</f>
        <v>0</v>
      </c>
      <c r="G15" s="212">
        <f>洗涤费录入!G15</f>
        <v>0</v>
      </c>
      <c r="H15" s="213">
        <f>$E15*洗涤费录入!H15</f>
        <v>0</v>
      </c>
      <c r="I15" s="213">
        <f>$E15*洗涤费录入!I15</f>
        <v>0</v>
      </c>
      <c r="J15" s="213">
        <f>$E15*洗涤费录入!J15</f>
        <v>0</v>
      </c>
      <c r="K15" s="213">
        <f>$E15*洗涤费录入!K15</f>
        <v>0</v>
      </c>
      <c r="L15" s="213">
        <f>$E15*洗涤费录入!L15</f>
        <v>0</v>
      </c>
      <c r="M15" s="213">
        <f>$E15*洗涤费录入!M15</f>
        <v>0</v>
      </c>
      <c r="N15" s="213">
        <f>$E15*洗涤费录入!N15</f>
        <v>0</v>
      </c>
      <c r="O15" s="213">
        <f>$E15*洗涤费录入!O15</f>
        <v>0</v>
      </c>
      <c r="P15" s="213">
        <f>$E15*洗涤费录入!P15</f>
        <v>0</v>
      </c>
      <c r="Q15" s="213">
        <f>$E15*洗涤费录入!Q15</f>
        <v>0</v>
      </c>
      <c r="R15" s="213">
        <f>$E15*洗涤费录入!R15</f>
        <v>0</v>
      </c>
      <c r="S15" s="213">
        <f>$E15*洗涤费录入!S15</f>
        <v>0</v>
      </c>
      <c r="T15" s="213">
        <f>$E15*洗涤费录入!T15</f>
        <v>0</v>
      </c>
      <c r="U15" s="213">
        <f>$E15*洗涤费录入!U15</f>
        <v>0</v>
      </c>
      <c r="V15" s="213">
        <f>$E15*洗涤费录入!V15</f>
        <v>0</v>
      </c>
      <c r="W15" s="213">
        <f>$E15*洗涤费录入!W15</f>
        <v>0</v>
      </c>
      <c r="X15" s="213">
        <f>$E15*洗涤费录入!X15</f>
        <v>0</v>
      </c>
      <c r="Y15" s="213">
        <f>$E15*洗涤费录入!Y15</f>
        <v>0</v>
      </c>
      <c r="Z15" s="213">
        <f>$E15*洗涤费录入!Z15</f>
        <v>0</v>
      </c>
      <c r="AA15" s="213">
        <f>$E15*洗涤费录入!AA15</f>
        <v>0</v>
      </c>
      <c r="AB15" s="213">
        <f>$E15*洗涤费录入!AB15</f>
        <v>0</v>
      </c>
      <c r="AC15" s="213">
        <f>$E15*洗涤费录入!AC15</f>
        <v>0</v>
      </c>
      <c r="AD15" s="213">
        <f>$E15*洗涤费录入!AD15</f>
        <v>0</v>
      </c>
      <c r="AE15" s="213">
        <f>$E15*洗涤费录入!AE15</f>
        <v>0</v>
      </c>
      <c r="AF15" s="213">
        <f>$E15*洗涤费录入!AF15</f>
        <v>0</v>
      </c>
      <c r="AG15" s="213">
        <f>$E15*洗涤费录入!AG15</f>
        <v>0</v>
      </c>
      <c r="AH15" s="213">
        <f>$E15*洗涤费录入!AH15</f>
        <v>0</v>
      </c>
      <c r="AI15" s="213">
        <f>$E15*洗涤费录入!AI15</f>
        <v>0</v>
      </c>
      <c r="AJ15" s="213">
        <f>$E15*洗涤费录入!AJ15</f>
        <v>0</v>
      </c>
      <c r="AK15" s="213">
        <f>$E15*洗涤费录入!AK15</f>
        <v>0</v>
      </c>
      <c r="AL15" s="213">
        <f>$E15*洗涤费录入!AL15</f>
        <v>0</v>
      </c>
    </row>
    <row r="16" s="178" customFormat="1" customHeight="1" spans="1:38">
      <c r="A16" s="161">
        <v>12</v>
      </c>
      <c r="B16" s="212" t="str">
        <f>洗涤费录入!B16</f>
        <v>重污处理</v>
      </c>
      <c r="C16" s="212">
        <f>洗涤费录入!C16</f>
        <v>0</v>
      </c>
      <c r="D16" s="212">
        <f>洗涤费录入!D16</f>
        <v>0</v>
      </c>
      <c r="E16" s="212">
        <f>洗涤费录入!E16</f>
        <v>10</v>
      </c>
      <c r="F16" s="212">
        <f>洗涤费录入!F16</f>
        <v>8</v>
      </c>
      <c r="G16" s="212">
        <f>洗涤费录入!G16</f>
        <v>80</v>
      </c>
      <c r="H16" s="213">
        <f>$E16*洗涤费录入!H16</f>
        <v>0</v>
      </c>
      <c r="I16" s="213">
        <f>$E16*洗涤费录入!I16</f>
        <v>10</v>
      </c>
      <c r="J16" s="213">
        <f>$E16*洗涤费录入!J16</f>
        <v>0</v>
      </c>
      <c r="K16" s="213">
        <f>$E16*洗涤费录入!K16</f>
        <v>0</v>
      </c>
      <c r="L16" s="213">
        <f>$E16*洗涤费录入!L16</f>
        <v>0</v>
      </c>
      <c r="M16" s="213">
        <f>$E16*洗涤费录入!M16</f>
        <v>20</v>
      </c>
      <c r="N16" s="213">
        <f>$E16*洗涤费录入!N16</f>
        <v>10</v>
      </c>
      <c r="O16" s="213">
        <f>$E16*洗涤费录入!O16</f>
        <v>0</v>
      </c>
      <c r="P16" s="213">
        <f>$E16*洗涤费录入!P16</f>
        <v>0</v>
      </c>
      <c r="Q16" s="213">
        <f>$E16*洗涤费录入!Q16</f>
        <v>0</v>
      </c>
      <c r="R16" s="213">
        <f>$E16*洗涤费录入!R16</f>
        <v>0</v>
      </c>
      <c r="S16" s="213">
        <f>$E16*洗涤费录入!S16</f>
        <v>0</v>
      </c>
      <c r="T16" s="213">
        <f>$E16*洗涤费录入!T16</f>
        <v>0</v>
      </c>
      <c r="U16" s="213">
        <f>$E16*洗涤费录入!U16</f>
        <v>10</v>
      </c>
      <c r="V16" s="213">
        <f>$E16*洗涤费录入!V16</f>
        <v>0</v>
      </c>
      <c r="W16" s="213">
        <f>$E16*洗涤费录入!W16</f>
        <v>0</v>
      </c>
      <c r="X16" s="213">
        <f>$E16*洗涤费录入!X16</f>
        <v>0</v>
      </c>
      <c r="Y16" s="213">
        <f>$E16*洗涤费录入!Y16</f>
        <v>0</v>
      </c>
      <c r="Z16" s="213">
        <f>$E16*洗涤费录入!Z16</f>
        <v>0</v>
      </c>
      <c r="AA16" s="213">
        <f>$E16*洗涤费录入!AA16</f>
        <v>0</v>
      </c>
      <c r="AB16" s="213">
        <f>$E16*洗涤费录入!AB16</f>
        <v>20</v>
      </c>
      <c r="AC16" s="213">
        <f>$E16*洗涤费录入!AC16</f>
        <v>0</v>
      </c>
      <c r="AD16" s="213">
        <f>$E16*洗涤费录入!AD16</f>
        <v>0</v>
      </c>
      <c r="AE16" s="213">
        <f>$E16*洗涤费录入!AE16</f>
        <v>0</v>
      </c>
      <c r="AF16" s="213">
        <f>$E16*洗涤费录入!AF16</f>
        <v>10</v>
      </c>
      <c r="AG16" s="213">
        <f>$E16*洗涤费录入!AG16</f>
        <v>0</v>
      </c>
      <c r="AH16" s="213">
        <f>$E16*洗涤费录入!AH16</f>
        <v>0</v>
      </c>
      <c r="AI16" s="213">
        <f>$E16*洗涤费录入!AI16</f>
        <v>0</v>
      </c>
      <c r="AJ16" s="213">
        <f>$E16*洗涤费录入!AJ16</f>
        <v>0</v>
      </c>
      <c r="AK16" s="213">
        <f>$E16*洗涤费录入!AK16</f>
        <v>0</v>
      </c>
      <c r="AL16" s="213">
        <f>$E16*洗涤费录入!AL16</f>
        <v>0</v>
      </c>
    </row>
    <row r="17" s="178" customFormat="1" customHeight="1" spans="1:38">
      <c r="A17" s="161">
        <v>13</v>
      </c>
      <c r="B17" s="212">
        <f>洗涤费录入!B17</f>
        <v>0</v>
      </c>
      <c r="C17" s="212">
        <f>洗涤费录入!C17</f>
        <v>0</v>
      </c>
      <c r="D17" s="212">
        <f>洗涤费录入!D17</f>
        <v>0</v>
      </c>
      <c r="E17" s="212">
        <f>洗涤费录入!E17</f>
        <v>0</v>
      </c>
      <c r="F17" s="212">
        <f>洗涤费录入!F17</f>
        <v>0</v>
      </c>
      <c r="G17" s="212">
        <f>洗涤费录入!G17</f>
        <v>0</v>
      </c>
      <c r="H17" s="213">
        <f>$E17*洗涤费录入!H17</f>
        <v>0</v>
      </c>
      <c r="I17" s="213">
        <f>$E17*洗涤费录入!I17</f>
        <v>0</v>
      </c>
      <c r="J17" s="213">
        <f>$E17*洗涤费录入!J17</f>
        <v>0</v>
      </c>
      <c r="K17" s="213">
        <f>$E17*洗涤费录入!K17</f>
        <v>0</v>
      </c>
      <c r="L17" s="213">
        <f>$E17*洗涤费录入!L17</f>
        <v>0</v>
      </c>
      <c r="M17" s="213">
        <f>$E17*洗涤费录入!M17</f>
        <v>0</v>
      </c>
      <c r="N17" s="213">
        <f>$E17*洗涤费录入!N17</f>
        <v>0</v>
      </c>
      <c r="O17" s="213">
        <f>$E17*洗涤费录入!O17</f>
        <v>0</v>
      </c>
      <c r="P17" s="213">
        <f>$E17*洗涤费录入!P17</f>
        <v>0</v>
      </c>
      <c r="Q17" s="213">
        <f>$E17*洗涤费录入!Q17</f>
        <v>0</v>
      </c>
      <c r="R17" s="213">
        <f>$E17*洗涤费录入!R17</f>
        <v>0</v>
      </c>
      <c r="S17" s="213">
        <f>$E17*洗涤费录入!S17</f>
        <v>0</v>
      </c>
      <c r="T17" s="213">
        <f>$E17*洗涤费录入!T17</f>
        <v>0</v>
      </c>
      <c r="U17" s="213">
        <f>$E17*洗涤费录入!U17</f>
        <v>0</v>
      </c>
      <c r="V17" s="213">
        <f>$E17*洗涤费录入!V17</f>
        <v>0</v>
      </c>
      <c r="W17" s="213">
        <f>$E17*洗涤费录入!W17</f>
        <v>0</v>
      </c>
      <c r="X17" s="213">
        <f>$E17*洗涤费录入!X17</f>
        <v>0</v>
      </c>
      <c r="Y17" s="213">
        <f>$E17*洗涤费录入!Y17</f>
        <v>0</v>
      </c>
      <c r="Z17" s="213">
        <f>$E17*洗涤费录入!Z17</f>
        <v>0</v>
      </c>
      <c r="AA17" s="213">
        <f>$E17*洗涤费录入!AA17</f>
        <v>0</v>
      </c>
      <c r="AB17" s="213">
        <f>$E17*洗涤费录入!AB17</f>
        <v>0</v>
      </c>
      <c r="AC17" s="213">
        <f>$E17*洗涤费录入!AC17</f>
        <v>0</v>
      </c>
      <c r="AD17" s="213">
        <f>$E17*洗涤费录入!AD17</f>
        <v>0</v>
      </c>
      <c r="AE17" s="213">
        <f>$E17*洗涤费录入!AE17</f>
        <v>0</v>
      </c>
      <c r="AF17" s="213">
        <f>$E17*洗涤费录入!AF17</f>
        <v>0</v>
      </c>
      <c r="AG17" s="213">
        <f>$E17*洗涤费录入!AG17</f>
        <v>0</v>
      </c>
      <c r="AH17" s="213">
        <f>$E17*洗涤费录入!AH17</f>
        <v>0</v>
      </c>
      <c r="AI17" s="213">
        <f>$E17*洗涤费录入!AI17</f>
        <v>0</v>
      </c>
      <c r="AJ17" s="213">
        <f>$E17*洗涤费录入!AJ17</f>
        <v>0</v>
      </c>
      <c r="AK17" s="213">
        <f>$E17*洗涤费录入!AK17</f>
        <v>0</v>
      </c>
      <c r="AL17" s="213">
        <f>$E17*洗涤费录入!AL17</f>
        <v>0</v>
      </c>
    </row>
    <row r="18" s="178" customFormat="1" customHeight="1" spans="1:38">
      <c r="A18" s="161">
        <v>14</v>
      </c>
      <c r="B18" s="212">
        <f>洗涤费录入!B18</f>
        <v>0</v>
      </c>
      <c r="C18" s="212">
        <f>洗涤费录入!C18</f>
        <v>0</v>
      </c>
      <c r="D18" s="212">
        <f>洗涤费录入!D18</f>
        <v>0</v>
      </c>
      <c r="E18" s="212">
        <f>洗涤费录入!E18</f>
        <v>0</v>
      </c>
      <c r="F18" s="212">
        <f>洗涤费录入!F18</f>
        <v>0</v>
      </c>
      <c r="G18" s="212">
        <f>洗涤费录入!G18</f>
        <v>0</v>
      </c>
      <c r="H18" s="213">
        <f>$E18*洗涤费录入!H18</f>
        <v>0</v>
      </c>
      <c r="I18" s="213">
        <f>$E18*洗涤费录入!I18</f>
        <v>0</v>
      </c>
      <c r="J18" s="213">
        <f>$E18*洗涤费录入!J18</f>
        <v>0</v>
      </c>
      <c r="K18" s="213">
        <f>$E18*洗涤费录入!K18</f>
        <v>0</v>
      </c>
      <c r="L18" s="213">
        <f>$E18*洗涤费录入!L18</f>
        <v>0</v>
      </c>
      <c r="M18" s="213">
        <f>$E18*洗涤费录入!M18</f>
        <v>0</v>
      </c>
      <c r="N18" s="213">
        <f>$E18*洗涤费录入!N18</f>
        <v>0</v>
      </c>
      <c r="O18" s="213">
        <f>$E18*洗涤费录入!O18</f>
        <v>0</v>
      </c>
      <c r="P18" s="213">
        <f>$E18*洗涤费录入!P18</f>
        <v>0</v>
      </c>
      <c r="Q18" s="213">
        <f>$E18*洗涤费录入!Q18</f>
        <v>0</v>
      </c>
      <c r="R18" s="213">
        <f>$E18*洗涤费录入!R18</f>
        <v>0</v>
      </c>
      <c r="S18" s="213">
        <f>$E18*洗涤费录入!S18</f>
        <v>0</v>
      </c>
      <c r="T18" s="213">
        <f>$E18*洗涤费录入!T18</f>
        <v>0</v>
      </c>
      <c r="U18" s="213">
        <f>$E18*洗涤费录入!U18</f>
        <v>0</v>
      </c>
      <c r="V18" s="213">
        <f>$E18*洗涤费录入!V18</f>
        <v>0</v>
      </c>
      <c r="W18" s="213">
        <f>$E18*洗涤费录入!W18</f>
        <v>0</v>
      </c>
      <c r="X18" s="213">
        <f>$E18*洗涤费录入!X18</f>
        <v>0</v>
      </c>
      <c r="Y18" s="213">
        <f>$E18*洗涤费录入!Y18</f>
        <v>0</v>
      </c>
      <c r="Z18" s="213">
        <f>$E18*洗涤费录入!Z18</f>
        <v>0</v>
      </c>
      <c r="AA18" s="213">
        <f>$E18*洗涤费录入!AA18</f>
        <v>0</v>
      </c>
      <c r="AB18" s="213">
        <f>$E18*洗涤费录入!AB18</f>
        <v>0</v>
      </c>
      <c r="AC18" s="213">
        <f>$E18*洗涤费录入!AC18</f>
        <v>0</v>
      </c>
      <c r="AD18" s="213">
        <f>$E18*洗涤费录入!AD18</f>
        <v>0</v>
      </c>
      <c r="AE18" s="213">
        <f>$E18*洗涤费录入!AE18</f>
        <v>0</v>
      </c>
      <c r="AF18" s="213">
        <f>$E18*洗涤费录入!AF18</f>
        <v>0</v>
      </c>
      <c r="AG18" s="213">
        <f>$E18*洗涤费录入!AG18</f>
        <v>0</v>
      </c>
      <c r="AH18" s="213">
        <f>$E18*洗涤费录入!AH18</f>
        <v>0</v>
      </c>
      <c r="AI18" s="213">
        <f>$E18*洗涤费录入!AI18</f>
        <v>0</v>
      </c>
      <c r="AJ18" s="213">
        <f>$E18*洗涤费录入!AJ18</f>
        <v>0</v>
      </c>
      <c r="AK18" s="213">
        <f>$E18*洗涤费录入!AK18</f>
        <v>0</v>
      </c>
      <c r="AL18" s="213">
        <f>$E18*洗涤费录入!AL18</f>
        <v>0</v>
      </c>
    </row>
    <row r="19" s="178" customFormat="1" customHeight="1" spans="1:38">
      <c r="A19" s="161">
        <v>15</v>
      </c>
      <c r="B19" s="212">
        <f>洗涤费录入!B19</f>
        <v>0</v>
      </c>
      <c r="C19" s="212">
        <f>洗涤费录入!C19</f>
        <v>0</v>
      </c>
      <c r="D19" s="212">
        <f>洗涤费录入!D19</f>
        <v>0</v>
      </c>
      <c r="E19" s="212">
        <f>洗涤费录入!E19</f>
        <v>0</v>
      </c>
      <c r="F19" s="212">
        <f>洗涤费录入!F19</f>
        <v>0</v>
      </c>
      <c r="G19" s="212">
        <f>洗涤费录入!G19</f>
        <v>0</v>
      </c>
      <c r="H19" s="213">
        <f>$E19*洗涤费录入!H19</f>
        <v>0</v>
      </c>
      <c r="I19" s="213">
        <f>$E19*洗涤费录入!I19</f>
        <v>0</v>
      </c>
      <c r="J19" s="213">
        <f>$E19*洗涤费录入!J19</f>
        <v>0</v>
      </c>
      <c r="K19" s="213">
        <f>$E19*洗涤费录入!K19</f>
        <v>0</v>
      </c>
      <c r="L19" s="213">
        <f>$E19*洗涤费录入!L19</f>
        <v>0</v>
      </c>
      <c r="M19" s="213">
        <f>$E19*洗涤费录入!M19</f>
        <v>0</v>
      </c>
      <c r="N19" s="213">
        <f>$E19*洗涤费录入!N19</f>
        <v>0</v>
      </c>
      <c r="O19" s="213">
        <f>$E19*洗涤费录入!O19</f>
        <v>0</v>
      </c>
      <c r="P19" s="213">
        <f>$E19*洗涤费录入!P19</f>
        <v>0</v>
      </c>
      <c r="Q19" s="213">
        <f>$E19*洗涤费录入!Q19</f>
        <v>0</v>
      </c>
      <c r="R19" s="213">
        <f>$E19*洗涤费录入!R19</f>
        <v>0</v>
      </c>
      <c r="S19" s="213">
        <f>$E19*洗涤费录入!S19</f>
        <v>0</v>
      </c>
      <c r="T19" s="213">
        <f>$E19*洗涤费录入!T19</f>
        <v>0</v>
      </c>
      <c r="U19" s="213">
        <f>$E19*洗涤费录入!U19</f>
        <v>0</v>
      </c>
      <c r="V19" s="213">
        <f>$E19*洗涤费录入!V19</f>
        <v>0</v>
      </c>
      <c r="W19" s="213">
        <f>$E19*洗涤费录入!W19</f>
        <v>0</v>
      </c>
      <c r="X19" s="213">
        <f>$E19*洗涤费录入!X19</f>
        <v>0</v>
      </c>
      <c r="Y19" s="213">
        <f>$E19*洗涤费录入!Y19</f>
        <v>0</v>
      </c>
      <c r="Z19" s="213">
        <f>$E19*洗涤费录入!Z19</f>
        <v>0</v>
      </c>
      <c r="AA19" s="213">
        <f>$E19*洗涤费录入!AA19</f>
        <v>0</v>
      </c>
      <c r="AB19" s="213">
        <f>$E19*洗涤费录入!AB19</f>
        <v>0</v>
      </c>
      <c r="AC19" s="213">
        <f>$E19*洗涤费录入!AC19</f>
        <v>0</v>
      </c>
      <c r="AD19" s="213">
        <f>$E19*洗涤费录入!AD19</f>
        <v>0</v>
      </c>
      <c r="AE19" s="213">
        <f>$E19*洗涤费录入!AE19</f>
        <v>0</v>
      </c>
      <c r="AF19" s="213">
        <f>$E19*洗涤费录入!AF19</f>
        <v>0</v>
      </c>
      <c r="AG19" s="213">
        <f>$E19*洗涤费录入!AG19</f>
        <v>0</v>
      </c>
      <c r="AH19" s="213">
        <f>$E19*洗涤费录入!AH19</f>
        <v>0</v>
      </c>
      <c r="AI19" s="213">
        <f>$E19*洗涤费录入!AI19</f>
        <v>0</v>
      </c>
      <c r="AJ19" s="213">
        <f>$E19*洗涤费录入!AJ19</f>
        <v>0</v>
      </c>
      <c r="AK19" s="213">
        <f>$E19*洗涤费录入!AK19</f>
        <v>0</v>
      </c>
      <c r="AL19" s="213">
        <f>$E19*洗涤费录入!AL19</f>
        <v>0</v>
      </c>
    </row>
    <row r="20" s="178" customFormat="1" customHeight="1" spans="1:38">
      <c r="A20" s="161">
        <v>16</v>
      </c>
      <c r="B20" s="212">
        <f>洗涤费录入!B20</f>
        <v>0</v>
      </c>
      <c r="C20" s="212">
        <f>洗涤费录入!C20</f>
        <v>0</v>
      </c>
      <c r="D20" s="212">
        <f>洗涤费录入!D20</f>
        <v>0</v>
      </c>
      <c r="E20" s="212">
        <f>洗涤费录入!E20</f>
        <v>0</v>
      </c>
      <c r="F20" s="212">
        <f>洗涤费录入!F20</f>
        <v>0</v>
      </c>
      <c r="G20" s="212">
        <f>洗涤费录入!G20</f>
        <v>0</v>
      </c>
      <c r="H20" s="213">
        <f>$E20*洗涤费录入!H20</f>
        <v>0</v>
      </c>
      <c r="I20" s="213">
        <f>$E20*洗涤费录入!I20</f>
        <v>0</v>
      </c>
      <c r="J20" s="213">
        <f>$E20*洗涤费录入!J20</f>
        <v>0</v>
      </c>
      <c r="K20" s="213">
        <f>$E20*洗涤费录入!K20</f>
        <v>0</v>
      </c>
      <c r="L20" s="213">
        <f>$E20*洗涤费录入!L20</f>
        <v>0</v>
      </c>
      <c r="M20" s="213">
        <f>$E20*洗涤费录入!M20</f>
        <v>0</v>
      </c>
      <c r="N20" s="213">
        <f>$E20*洗涤费录入!N20</f>
        <v>0</v>
      </c>
      <c r="O20" s="213">
        <f>$E20*洗涤费录入!O20</f>
        <v>0</v>
      </c>
      <c r="P20" s="213">
        <f>$E20*洗涤费录入!P20</f>
        <v>0</v>
      </c>
      <c r="Q20" s="213">
        <f>$E20*洗涤费录入!Q20</f>
        <v>0</v>
      </c>
      <c r="R20" s="213">
        <f>$E20*洗涤费录入!R20</f>
        <v>0</v>
      </c>
      <c r="S20" s="213">
        <f>$E20*洗涤费录入!S20</f>
        <v>0</v>
      </c>
      <c r="T20" s="213">
        <f>$E20*洗涤费录入!T20</f>
        <v>0</v>
      </c>
      <c r="U20" s="213">
        <f>$E20*洗涤费录入!U20</f>
        <v>0</v>
      </c>
      <c r="V20" s="213">
        <f>$E20*洗涤费录入!V20</f>
        <v>0</v>
      </c>
      <c r="W20" s="213">
        <f>$E20*洗涤费录入!W20</f>
        <v>0</v>
      </c>
      <c r="X20" s="213">
        <f>$E20*洗涤费录入!X20</f>
        <v>0</v>
      </c>
      <c r="Y20" s="213">
        <f>$E20*洗涤费录入!Y20</f>
        <v>0</v>
      </c>
      <c r="Z20" s="213">
        <f>$E20*洗涤费录入!Z20</f>
        <v>0</v>
      </c>
      <c r="AA20" s="213">
        <f>$E20*洗涤费录入!AA20</f>
        <v>0</v>
      </c>
      <c r="AB20" s="213">
        <f>$E20*洗涤费录入!AB20</f>
        <v>0</v>
      </c>
      <c r="AC20" s="213">
        <f>$E20*洗涤费录入!AC20</f>
        <v>0</v>
      </c>
      <c r="AD20" s="213">
        <f>$E20*洗涤费录入!AD20</f>
        <v>0</v>
      </c>
      <c r="AE20" s="213">
        <f>$E20*洗涤费录入!AE20</f>
        <v>0</v>
      </c>
      <c r="AF20" s="213">
        <f>$E20*洗涤费录入!AF20</f>
        <v>0</v>
      </c>
      <c r="AG20" s="213">
        <f>$E20*洗涤费录入!AG20</f>
        <v>0</v>
      </c>
      <c r="AH20" s="213">
        <f>$E20*洗涤费录入!AH20</f>
        <v>0</v>
      </c>
      <c r="AI20" s="213">
        <f>$E20*洗涤费录入!AI20</f>
        <v>0</v>
      </c>
      <c r="AJ20" s="213">
        <f>$E20*洗涤费录入!AJ20</f>
        <v>0</v>
      </c>
      <c r="AK20" s="213">
        <f>$E20*洗涤费录入!AK20</f>
        <v>0</v>
      </c>
      <c r="AL20" s="213">
        <f>$E20*洗涤费录入!AL20</f>
        <v>0</v>
      </c>
    </row>
    <row r="21" s="178" customFormat="1" customHeight="1" spans="1:38">
      <c r="A21" s="161">
        <v>17</v>
      </c>
      <c r="B21" s="212">
        <f>洗涤费录入!B21</f>
        <v>0</v>
      </c>
      <c r="C21" s="212">
        <f>洗涤费录入!C21</f>
        <v>0</v>
      </c>
      <c r="D21" s="212">
        <f>洗涤费录入!D21</f>
        <v>0</v>
      </c>
      <c r="E21" s="212">
        <f>洗涤费录入!E21</f>
        <v>0</v>
      </c>
      <c r="F21" s="212">
        <f>洗涤费录入!F21</f>
        <v>0</v>
      </c>
      <c r="G21" s="212">
        <f>洗涤费录入!G21</f>
        <v>0</v>
      </c>
      <c r="H21" s="213">
        <f>$E21*洗涤费录入!H21</f>
        <v>0</v>
      </c>
      <c r="I21" s="213">
        <f>$E21*洗涤费录入!I21</f>
        <v>0</v>
      </c>
      <c r="J21" s="213">
        <f>$E21*洗涤费录入!J21</f>
        <v>0</v>
      </c>
      <c r="K21" s="213">
        <f>$E21*洗涤费录入!K21</f>
        <v>0</v>
      </c>
      <c r="L21" s="213">
        <f>$E21*洗涤费录入!L21</f>
        <v>0</v>
      </c>
      <c r="M21" s="213">
        <f>$E21*洗涤费录入!M21</f>
        <v>0</v>
      </c>
      <c r="N21" s="213">
        <f>$E21*洗涤费录入!N21</f>
        <v>0</v>
      </c>
      <c r="O21" s="213">
        <f>$E21*洗涤费录入!O21</f>
        <v>0</v>
      </c>
      <c r="P21" s="213">
        <f>$E21*洗涤费录入!P21</f>
        <v>0</v>
      </c>
      <c r="Q21" s="213">
        <f>$E21*洗涤费录入!Q21</f>
        <v>0</v>
      </c>
      <c r="R21" s="213">
        <f>$E21*洗涤费录入!R21</f>
        <v>0</v>
      </c>
      <c r="S21" s="213">
        <f>$E21*洗涤费录入!S21</f>
        <v>0</v>
      </c>
      <c r="T21" s="213">
        <f>$E21*洗涤费录入!T21</f>
        <v>0</v>
      </c>
      <c r="U21" s="213">
        <f>$E21*洗涤费录入!U21</f>
        <v>0</v>
      </c>
      <c r="V21" s="213">
        <f>$E21*洗涤费录入!V21</f>
        <v>0</v>
      </c>
      <c r="W21" s="213">
        <f>$E21*洗涤费录入!W21</f>
        <v>0</v>
      </c>
      <c r="X21" s="213">
        <f>$E21*洗涤费录入!X21</f>
        <v>0</v>
      </c>
      <c r="Y21" s="213">
        <f>$E21*洗涤费录入!Y21</f>
        <v>0</v>
      </c>
      <c r="Z21" s="213">
        <f>$E21*洗涤费录入!Z21</f>
        <v>0</v>
      </c>
      <c r="AA21" s="213">
        <f>$E21*洗涤费录入!AA21</f>
        <v>0</v>
      </c>
      <c r="AB21" s="213">
        <f>$E21*洗涤费录入!AB21</f>
        <v>0</v>
      </c>
      <c r="AC21" s="213">
        <f>$E21*洗涤费录入!AC21</f>
        <v>0</v>
      </c>
      <c r="AD21" s="213">
        <f>$E21*洗涤费录入!AD21</f>
        <v>0</v>
      </c>
      <c r="AE21" s="213">
        <f>$E21*洗涤费录入!AE21</f>
        <v>0</v>
      </c>
      <c r="AF21" s="213">
        <f>$E21*洗涤费录入!AF21</f>
        <v>0</v>
      </c>
      <c r="AG21" s="213">
        <f>$E21*洗涤费录入!AG21</f>
        <v>0</v>
      </c>
      <c r="AH21" s="213">
        <f>$E21*洗涤费录入!AH21</f>
        <v>0</v>
      </c>
      <c r="AI21" s="213">
        <f>$E21*洗涤费录入!AI21</f>
        <v>0</v>
      </c>
      <c r="AJ21" s="213">
        <f>$E21*洗涤费录入!AJ21</f>
        <v>0</v>
      </c>
      <c r="AK21" s="213">
        <f>$E21*洗涤费录入!AK21</f>
        <v>0</v>
      </c>
      <c r="AL21" s="213">
        <f>$E21*洗涤费录入!AL21</f>
        <v>0</v>
      </c>
    </row>
    <row r="22" s="178" customFormat="1" customHeight="1" spans="1:38">
      <c r="A22" s="161">
        <v>18</v>
      </c>
      <c r="B22" s="212">
        <f>洗涤费录入!B22</f>
        <v>0</v>
      </c>
      <c r="C22" s="212">
        <f>洗涤费录入!C22</f>
        <v>0</v>
      </c>
      <c r="D22" s="212">
        <f>洗涤费录入!D22</f>
        <v>0</v>
      </c>
      <c r="E22" s="212">
        <f>洗涤费录入!E22</f>
        <v>0</v>
      </c>
      <c r="F22" s="212">
        <f>洗涤费录入!F22</f>
        <v>0</v>
      </c>
      <c r="G22" s="212">
        <f>洗涤费录入!G22</f>
        <v>0</v>
      </c>
      <c r="H22" s="213">
        <f>$E22*洗涤费录入!H22</f>
        <v>0</v>
      </c>
      <c r="I22" s="213">
        <f>$E22*洗涤费录入!I22</f>
        <v>0</v>
      </c>
      <c r="J22" s="213">
        <f>$E22*洗涤费录入!J22</f>
        <v>0</v>
      </c>
      <c r="K22" s="213">
        <f>$E22*洗涤费录入!K22</f>
        <v>0</v>
      </c>
      <c r="L22" s="213">
        <f>$E22*洗涤费录入!L22</f>
        <v>0</v>
      </c>
      <c r="M22" s="213">
        <f>$E22*洗涤费录入!M22</f>
        <v>0</v>
      </c>
      <c r="N22" s="213">
        <f>$E22*洗涤费录入!N22</f>
        <v>0</v>
      </c>
      <c r="O22" s="213">
        <f>$E22*洗涤费录入!O22</f>
        <v>0</v>
      </c>
      <c r="P22" s="213">
        <f>$E22*洗涤费录入!P22</f>
        <v>0</v>
      </c>
      <c r="Q22" s="213">
        <f>$E22*洗涤费录入!Q22</f>
        <v>0</v>
      </c>
      <c r="R22" s="213">
        <f>$E22*洗涤费录入!R22</f>
        <v>0</v>
      </c>
      <c r="S22" s="213">
        <f>$E22*洗涤费录入!S22</f>
        <v>0</v>
      </c>
      <c r="T22" s="213">
        <f>$E22*洗涤费录入!T22</f>
        <v>0</v>
      </c>
      <c r="U22" s="213">
        <f>$E22*洗涤费录入!U22</f>
        <v>0</v>
      </c>
      <c r="V22" s="213">
        <f>$E22*洗涤费录入!V22</f>
        <v>0</v>
      </c>
      <c r="W22" s="213">
        <f>$E22*洗涤费录入!W22</f>
        <v>0</v>
      </c>
      <c r="X22" s="213">
        <f>$E22*洗涤费录入!X22</f>
        <v>0</v>
      </c>
      <c r="Y22" s="213">
        <f>$E22*洗涤费录入!Y22</f>
        <v>0</v>
      </c>
      <c r="Z22" s="213">
        <f>$E22*洗涤费录入!Z22</f>
        <v>0</v>
      </c>
      <c r="AA22" s="213">
        <f>$E22*洗涤费录入!AA22</f>
        <v>0</v>
      </c>
      <c r="AB22" s="213">
        <f>$E22*洗涤费录入!AB22</f>
        <v>0</v>
      </c>
      <c r="AC22" s="213">
        <f>$E22*洗涤费录入!AC22</f>
        <v>0</v>
      </c>
      <c r="AD22" s="213">
        <f>$E22*洗涤费录入!AD22</f>
        <v>0</v>
      </c>
      <c r="AE22" s="213">
        <f>$E22*洗涤费录入!AE22</f>
        <v>0</v>
      </c>
      <c r="AF22" s="213">
        <f>$E22*洗涤费录入!AF22</f>
        <v>0</v>
      </c>
      <c r="AG22" s="213">
        <f>$E22*洗涤费录入!AG22</f>
        <v>0</v>
      </c>
      <c r="AH22" s="213">
        <f>$E22*洗涤费录入!AH22</f>
        <v>0</v>
      </c>
      <c r="AI22" s="213">
        <f>$E22*洗涤费录入!AI22</f>
        <v>0</v>
      </c>
      <c r="AJ22" s="213">
        <f>$E22*洗涤费录入!AJ22</f>
        <v>0</v>
      </c>
      <c r="AK22" s="213">
        <f>$E22*洗涤费录入!AK22</f>
        <v>0</v>
      </c>
      <c r="AL22" s="213">
        <f>$E22*洗涤费录入!AL22</f>
        <v>0</v>
      </c>
    </row>
    <row r="23" s="178" customFormat="1" customHeight="1" spans="1:38">
      <c r="A23" s="161">
        <v>19</v>
      </c>
      <c r="B23" s="212">
        <f>洗涤费录入!B23</f>
        <v>0</v>
      </c>
      <c r="C23" s="212">
        <f>洗涤费录入!C23</f>
        <v>0</v>
      </c>
      <c r="D23" s="212">
        <f>洗涤费录入!D23</f>
        <v>0</v>
      </c>
      <c r="E23" s="212">
        <f>洗涤费录入!E23</f>
        <v>0</v>
      </c>
      <c r="F23" s="212">
        <f>洗涤费录入!F23</f>
        <v>0</v>
      </c>
      <c r="G23" s="212">
        <f>洗涤费录入!G23</f>
        <v>0</v>
      </c>
      <c r="H23" s="213">
        <f>$E23*洗涤费录入!H23</f>
        <v>0</v>
      </c>
      <c r="I23" s="213">
        <f>$E23*洗涤费录入!I23</f>
        <v>0</v>
      </c>
      <c r="J23" s="213">
        <f>$E23*洗涤费录入!J23</f>
        <v>0</v>
      </c>
      <c r="K23" s="213">
        <f>$E23*洗涤费录入!K23</f>
        <v>0</v>
      </c>
      <c r="L23" s="213">
        <f>$E23*洗涤费录入!L23</f>
        <v>0</v>
      </c>
      <c r="M23" s="213">
        <f>$E23*洗涤费录入!M23</f>
        <v>0</v>
      </c>
      <c r="N23" s="213">
        <f>$E23*洗涤费录入!N23</f>
        <v>0</v>
      </c>
      <c r="O23" s="213">
        <f>$E23*洗涤费录入!O23</f>
        <v>0</v>
      </c>
      <c r="P23" s="213">
        <f>$E23*洗涤费录入!P23</f>
        <v>0</v>
      </c>
      <c r="Q23" s="213">
        <f>$E23*洗涤费录入!Q23</f>
        <v>0</v>
      </c>
      <c r="R23" s="213">
        <f>$E23*洗涤费录入!R23</f>
        <v>0</v>
      </c>
      <c r="S23" s="213">
        <f>$E23*洗涤费录入!S23</f>
        <v>0</v>
      </c>
      <c r="T23" s="213">
        <f>$E23*洗涤费录入!T23</f>
        <v>0</v>
      </c>
      <c r="U23" s="213">
        <f>$E23*洗涤费录入!U23</f>
        <v>0</v>
      </c>
      <c r="V23" s="213">
        <f>$E23*洗涤费录入!V23</f>
        <v>0</v>
      </c>
      <c r="W23" s="213">
        <f>$E23*洗涤费录入!W23</f>
        <v>0</v>
      </c>
      <c r="X23" s="213">
        <f>$E23*洗涤费录入!X23</f>
        <v>0</v>
      </c>
      <c r="Y23" s="213">
        <f>$E23*洗涤费录入!Y23</f>
        <v>0</v>
      </c>
      <c r="Z23" s="213">
        <f>$E23*洗涤费录入!Z23</f>
        <v>0</v>
      </c>
      <c r="AA23" s="213">
        <f>$E23*洗涤费录入!AA23</f>
        <v>0</v>
      </c>
      <c r="AB23" s="213">
        <f>$E23*洗涤费录入!AB23</f>
        <v>0</v>
      </c>
      <c r="AC23" s="213">
        <f>$E23*洗涤费录入!AC23</f>
        <v>0</v>
      </c>
      <c r="AD23" s="213">
        <f>$E23*洗涤费录入!AD23</f>
        <v>0</v>
      </c>
      <c r="AE23" s="213">
        <f>$E23*洗涤费录入!AE23</f>
        <v>0</v>
      </c>
      <c r="AF23" s="213">
        <f>$E23*洗涤费录入!AF23</f>
        <v>0</v>
      </c>
      <c r="AG23" s="213">
        <f>$E23*洗涤费录入!AG23</f>
        <v>0</v>
      </c>
      <c r="AH23" s="213">
        <f>$E23*洗涤费录入!AH23</f>
        <v>0</v>
      </c>
      <c r="AI23" s="213">
        <f>$E23*洗涤费录入!AI23</f>
        <v>0</v>
      </c>
      <c r="AJ23" s="213">
        <f>$E23*洗涤费录入!AJ23</f>
        <v>0</v>
      </c>
      <c r="AK23" s="213">
        <f>$E23*洗涤费录入!AK23</f>
        <v>0</v>
      </c>
      <c r="AL23" s="213">
        <f>$E23*洗涤费录入!AL23</f>
        <v>0</v>
      </c>
    </row>
    <row r="24" s="178" customFormat="1" customHeight="1" spans="1:38">
      <c r="A24" s="161">
        <v>20</v>
      </c>
      <c r="B24" s="212">
        <f>洗涤费录入!B24</f>
        <v>0</v>
      </c>
      <c r="C24" s="212">
        <f>洗涤费录入!C24</f>
        <v>0</v>
      </c>
      <c r="D24" s="212">
        <f>洗涤费录入!D24</f>
        <v>0</v>
      </c>
      <c r="E24" s="212">
        <f>洗涤费录入!E24</f>
        <v>0</v>
      </c>
      <c r="F24" s="212">
        <f>洗涤费录入!F24</f>
        <v>0</v>
      </c>
      <c r="G24" s="212">
        <f>洗涤费录入!G24</f>
        <v>0</v>
      </c>
      <c r="H24" s="213">
        <f>$E24*洗涤费录入!H24</f>
        <v>0</v>
      </c>
      <c r="I24" s="213">
        <f>$E24*洗涤费录入!I24</f>
        <v>0</v>
      </c>
      <c r="J24" s="213">
        <f>$E24*洗涤费录入!J24</f>
        <v>0</v>
      </c>
      <c r="K24" s="213">
        <f>$E24*洗涤费录入!K24</f>
        <v>0</v>
      </c>
      <c r="L24" s="213">
        <f>$E24*洗涤费录入!L24</f>
        <v>0</v>
      </c>
      <c r="M24" s="213">
        <f>$E24*洗涤费录入!M24</f>
        <v>0</v>
      </c>
      <c r="N24" s="213">
        <f>$E24*洗涤费录入!N24</f>
        <v>0</v>
      </c>
      <c r="O24" s="213">
        <f>$E24*洗涤费录入!O24</f>
        <v>0</v>
      </c>
      <c r="P24" s="213">
        <f>$E24*洗涤费录入!P24</f>
        <v>0</v>
      </c>
      <c r="Q24" s="213">
        <f>$E24*洗涤费录入!Q24</f>
        <v>0</v>
      </c>
      <c r="R24" s="213">
        <f>$E24*洗涤费录入!R24</f>
        <v>0</v>
      </c>
      <c r="S24" s="213">
        <f>$E24*洗涤费录入!S24</f>
        <v>0</v>
      </c>
      <c r="T24" s="213">
        <f>$E24*洗涤费录入!T24</f>
        <v>0</v>
      </c>
      <c r="U24" s="213">
        <f>$E24*洗涤费录入!U24</f>
        <v>0</v>
      </c>
      <c r="V24" s="213">
        <f>$E24*洗涤费录入!V24</f>
        <v>0</v>
      </c>
      <c r="W24" s="213">
        <f>$E24*洗涤费录入!W24</f>
        <v>0</v>
      </c>
      <c r="X24" s="213">
        <f>$E24*洗涤费录入!X24</f>
        <v>0</v>
      </c>
      <c r="Y24" s="213">
        <f>$E24*洗涤费录入!Y24</f>
        <v>0</v>
      </c>
      <c r="Z24" s="213">
        <f>$E24*洗涤费录入!Z24</f>
        <v>0</v>
      </c>
      <c r="AA24" s="213">
        <f>$E24*洗涤费录入!AA24</f>
        <v>0</v>
      </c>
      <c r="AB24" s="213">
        <f>$E24*洗涤费录入!AB24</f>
        <v>0</v>
      </c>
      <c r="AC24" s="213">
        <f>$E24*洗涤费录入!AC24</f>
        <v>0</v>
      </c>
      <c r="AD24" s="213">
        <f>$E24*洗涤费录入!AD24</f>
        <v>0</v>
      </c>
      <c r="AE24" s="213">
        <f>$E24*洗涤费录入!AE24</f>
        <v>0</v>
      </c>
      <c r="AF24" s="213">
        <f>$E24*洗涤费录入!AF24</f>
        <v>0</v>
      </c>
      <c r="AG24" s="213">
        <f>$E24*洗涤费录入!AG24</f>
        <v>0</v>
      </c>
      <c r="AH24" s="213">
        <f>$E24*洗涤费录入!AH24</f>
        <v>0</v>
      </c>
      <c r="AI24" s="213">
        <f>$E24*洗涤费录入!AI24</f>
        <v>0</v>
      </c>
      <c r="AJ24" s="213">
        <f>$E24*洗涤费录入!AJ24</f>
        <v>0</v>
      </c>
      <c r="AK24" s="213">
        <f>$E24*洗涤费录入!AK24</f>
        <v>0</v>
      </c>
      <c r="AL24" s="213">
        <f>$E24*洗涤费录入!AL24</f>
        <v>0</v>
      </c>
    </row>
    <row r="25" s="178" customFormat="1" customHeight="1" spans="1:38">
      <c r="A25" s="161">
        <v>21</v>
      </c>
      <c r="B25" s="212">
        <f>洗涤费录入!B25</f>
        <v>0</v>
      </c>
      <c r="C25" s="212">
        <f>洗涤费录入!C25</f>
        <v>0</v>
      </c>
      <c r="D25" s="212">
        <f>洗涤费录入!D25</f>
        <v>0</v>
      </c>
      <c r="E25" s="212">
        <f>洗涤费录入!E25</f>
        <v>0</v>
      </c>
      <c r="F25" s="212">
        <f>洗涤费录入!F25</f>
        <v>0</v>
      </c>
      <c r="G25" s="212">
        <f>洗涤费录入!G25</f>
        <v>0</v>
      </c>
      <c r="H25" s="213">
        <f>$E25*洗涤费录入!H25</f>
        <v>0</v>
      </c>
      <c r="I25" s="213">
        <f>$E25*洗涤费录入!I25</f>
        <v>0</v>
      </c>
      <c r="J25" s="213">
        <f>$E25*洗涤费录入!J25</f>
        <v>0</v>
      </c>
      <c r="K25" s="213">
        <f>$E25*洗涤费录入!K25</f>
        <v>0</v>
      </c>
      <c r="L25" s="213">
        <f>$E25*洗涤费录入!L25</f>
        <v>0</v>
      </c>
      <c r="M25" s="213">
        <f>$E25*洗涤费录入!M25</f>
        <v>0</v>
      </c>
      <c r="N25" s="213">
        <f>$E25*洗涤费录入!N25</f>
        <v>0</v>
      </c>
      <c r="O25" s="213">
        <f>$E25*洗涤费录入!O25</f>
        <v>0</v>
      </c>
      <c r="P25" s="213">
        <f>$E25*洗涤费录入!P25</f>
        <v>0</v>
      </c>
      <c r="Q25" s="213">
        <f>$E25*洗涤费录入!Q25</f>
        <v>0</v>
      </c>
      <c r="R25" s="213">
        <f>$E25*洗涤费录入!R25</f>
        <v>0</v>
      </c>
      <c r="S25" s="213">
        <f>$E25*洗涤费录入!S25</f>
        <v>0</v>
      </c>
      <c r="T25" s="213">
        <f>$E25*洗涤费录入!T25</f>
        <v>0</v>
      </c>
      <c r="U25" s="213">
        <f>$E25*洗涤费录入!U25</f>
        <v>0</v>
      </c>
      <c r="V25" s="213">
        <f>$E25*洗涤费录入!V25</f>
        <v>0</v>
      </c>
      <c r="W25" s="213">
        <f>$E25*洗涤费录入!W25</f>
        <v>0</v>
      </c>
      <c r="X25" s="213">
        <f>$E25*洗涤费录入!X25</f>
        <v>0</v>
      </c>
      <c r="Y25" s="213">
        <f>$E25*洗涤费录入!Y25</f>
        <v>0</v>
      </c>
      <c r="Z25" s="213">
        <f>$E25*洗涤费录入!Z25</f>
        <v>0</v>
      </c>
      <c r="AA25" s="213">
        <f>$E25*洗涤费录入!AA25</f>
        <v>0</v>
      </c>
      <c r="AB25" s="213">
        <f>$E25*洗涤费录入!AB25</f>
        <v>0</v>
      </c>
      <c r="AC25" s="213">
        <f>$E25*洗涤费录入!AC25</f>
        <v>0</v>
      </c>
      <c r="AD25" s="213">
        <f>$E25*洗涤费录入!AD25</f>
        <v>0</v>
      </c>
      <c r="AE25" s="213">
        <f>$E25*洗涤费录入!AE25</f>
        <v>0</v>
      </c>
      <c r="AF25" s="213">
        <f>$E25*洗涤费录入!AF25</f>
        <v>0</v>
      </c>
      <c r="AG25" s="213">
        <f>$E25*洗涤费录入!AG25</f>
        <v>0</v>
      </c>
      <c r="AH25" s="213">
        <f>$E25*洗涤费录入!AH25</f>
        <v>0</v>
      </c>
      <c r="AI25" s="213">
        <f>$E25*洗涤费录入!AI25</f>
        <v>0</v>
      </c>
      <c r="AJ25" s="213">
        <f>$E25*洗涤费录入!AJ25</f>
        <v>0</v>
      </c>
      <c r="AK25" s="213">
        <f>$E25*洗涤费录入!AK25</f>
        <v>0</v>
      </c>
      <c r="AL25" s="213">
        <f>$E25*洗涤费录入!AL25</f>
        <v>0</v>
      </c>
    </row>
    <row r="26" s="178" customFormat="1" customHeight="1" spans="1:38">
      <c r="A26" s="161">
        <v>22</v>
      </c>
      <c r="B26" s="212">
        <f>洗涤费录入!B26</f>
        <v>0</v>
      </c>
      <c r="C26" s="212">
        <f>洗涤费录入!C26</f>
        <v>0</v>
      </c>
      <c r="D26" s="212">
        <f>洗涤费录入!D26</f>
        <v>0</v>
      </c>
      <c r="E26" s="212">
        <f>洗涤费录入!E26</f>
        <v>0</v>
      </c>
      <c r="F26" s="212">
        <f>洗涤费录入!F26</f>
        <v>0</v>
      </c>
      <c r="G26" s="212">
        <f>洗涤费录入!G26</f>
        <v>0</v>
      </c>
      <c r="H26" s="213">
        <f>$E26*洗涤费录入!H26</f>
        <v>0</v>
      </c>
      <c r="I26" s="213">
        <f>$E26*洗涤费录入!I26</f>
        <v>0</v>
      </c>
      <c r="J26" s="213">
        <f>$E26*洗涤费录入!J26</f>
        <v>0</v>
      </c>
      <c r="K26" s="213">
        <f>$E26*洗涤费录入!K26</f>
        <v>0</v>
      </c>
      <c r="L26" s="213">
        <f>$E26*洗涤费录入!L26</f>
        <v>0</v>
      </c>
      <c r="M26" s="213">
        <f>$E26*洗涤费录入!M26</f>
        <v>0</v>
      </c>
      <c r="N26" s="213">
        <f>$E26*洗涤费录入!N26</f>
        <v>0</v>
      </c>
      <c r="O26" s="213">
        <f>$E26*洗涤费录入!O26</f>
        <v>0</v>
      </c>
      <c r="P26" s="213">
        <f>$E26*洗涤费录入!P26</f>
        <v>0</v>
      </c>
      <c r="Q26" s="213">
        <f>$E26*洗涤费录入!Q26</f>
        <v>0</v>
      </c>
      <c r="R26" s="213">
        <f>$E26*洗涤费录入!R26</f>
        <v>0</v>
      </c>
      <c r="S26" s="213">
        <f>$E26*洗涤费录入!S26</f>
        <v>0</v>
      </c>
      <c r="T26" s="213">
        <f>$E26*洗涤费录入!T26</f>
        <v>0</v>
      </c>
      <c r="U26" s="213">
        <f>$E26*洗涤费录入!U26</f>
        <v>0</v>
      </c>
      <c r="V26" s="213">
        <f>$E26*洗涤费录入!V26</f>
        <v>0</v>
      </c>
      <c r="W26" s="213">
        <f>$E26*洗涤费录入!W26</f>
        <v>0</v>
      </c>
      <c r="X26" s="213">
        <f>$E26*洗涤费录入!X26</f>
        <v>0</v>
      </c>
      <c r="Y26" s="213">
        <f>$E26*洗涤费录入!Y26</f>
        <v>0</v>
      </c>
      <c r="Z26" s="213">
        <f>$E26*洗涤费录入!Z26</f>
        <v>0</v>
      </c>
      <c r="AA26" s="213">
        <f>$E26*洗涤费录入!AA26</f>
        <v>0</v>
      </c>
      <c r="AB26" s="213">
        <f>$E26*洗涤费录入!AB26</f>
        <v>0</v>
      </c>
      <c r="AC26" s="213">
        <f>$E26*洗涤费录入!AC26</f>
        <v>0</v>
      </c>
      <c r="AD26" s="213">
        <f>$E26*洗涤费录入!AD26</f>
        <v>0</v>
      </c>
      <c r="AE26" s="213">
        <f>$E26*洗涤费录入!AE26</f>
        <v>0</v>
      </c>
      <c r="AF26" s="213">
        <f>$E26*洗涤费录入!AF26</f>
        <v>0</v>
      </c>
      <c r="AG26" s="213">
        <f>$E26*洗涤费录入!AG26</f>
        <v>0</v>
      </c>
      <c r="AH26" s="213">
        <f>$E26*洗涤费录入!AH26</f>
        <v>0</v>
      </c>
      <c r="AI26" s="213">
        <f>$E26*洗涤费录入!AI26</f>
        <v>0</v>
      </c>
      <c r="AJ26" s="213">
        <f>$E26*洗涤费录入!AJ26</f>
        <v>0</v>
      </c>
      <c r="AK26" s="213">
        <f>$E26*洗涤费录入!AK26</f>
        <v>0</v>
      </c>
      <c r="AL26" s="213">
        <f>$E26*洗涤费录入!AL26</f>
        <v>0</v>
      </c>
    </row>
    <row r="27" s="178" customFormat="1" customHeight="1" spans="1:38">
      <c r="A27" s="161">
        <v>23</v>
      </c>
      <c r="B27" s="212">
        <f>洗涤费录入!B27</f>
        <v>0</v>
      </c>
      <c r="C27" s="212">
        <f>洗涤费录入!C27</f>
        <v>0</v>
      </c>
      <c r="D27" s="212">
        <f>洗涤费录入!D27</f>
        <v>0</v>
      </c>
      <c r="E27" s="212">
        <f>洗涤费录入!E27</f>
        <v>0</v>
      </c>
      <c r="F27" s="212">
        <f>洗涤费录入!F27</f>
        <v>0</v>
      </c>
      <c r="G27" s="212">
        <f>洗涤费录入!G27</f>
        <v>0</v>
      </c>
      <c r="H27" s="213">
        <f>$E27*洗涤费录入!H27</f>
        <v>0</v>
      </c>
      <c r="I27" s="213">
        <f>$E27*洗涤费录入!I27</f>
        <v>0</v>
      </c>
      <c r="J27" s="213">
        <f>$E27*洗涤费录入!J27</f>
        <v>0</v>
      </c>
      <c r="K27" s="213">
        <f>$E27*洗涤费录入!K27</f>
        <v>0</v>
      </c>
      <c r="L27" s="213">
        <f>$E27*洗涤费录入!L27</f>
        <v>0</v>
      </c>
      <c r="M27" s="213">
        <f>$E27*洗涤费录入!M27</f>
        <v>0</v>
      </c>
      <c r="N27" s="213">
        <f>$E27*洗涤费录入!N27</f>
        <v>0</v>
      </c>
      <c r="O27" s="213">
        <f>$E27*洗涤费录入!O27</f>
        <v>0</v>
      </c>
      <c r="P27" s="213">
        <f>$E27*洗涤费录入!P27</f>
        <v>0</v>
      </c>
      <c r="Q27" s="213">
        <f>$E27*洗涤费录入!Q27</f>
        <v>0</v>
      </c>
      <c r="R27" s="213">
        <f>$E27*洗涤费录入!R27</f>
        <v>0</v>
      </c>
      <c r="S27" s="213">
        <f>$E27*洗涤费录入!S27</f>
        <v>0</v>
      </c>
      <c r="T27" s="213">
        <f>$E27*洗涤费录入!T27</f>
        <v>0</v>
      </c>
      <c r="U27" s="213">
        <f>$E27*洗涤费录入!U27</f>
        <v>0</v>
      </c>
      <c r="V27" s="213">
        <f>$E27*洗涤费录入!V27</f>
        <v>0</v>
      </c>
      <c r="W27" s="213">
        <f>$E27*洗涤费录入!W27</f>
        <v>0</v>
      </c>
      <c r="X27" s="213">
        <f>$E27*洗涤费录入!X27</f>
        <v>0</v>
      </c>
      <c r="Y27" s="213">
        <f>$E27*洗涤费录入!Y27</f>
        <v>0</v>
      </c>
      <c r="Z27" s="213">
        <f>$E27*洗涤费录入!Z27</f>
        <v>0</v>
      </c>
      <c r="AA27" s="213">
        <f>$E27*洗涤费录入!AA27</f>
        <v>0</v>
      </c>
      <c r="AB27" s="213">
        <f>$E27*洗涤费录入!AB27</f>
        <v>0</v>
      </c>
      <c r="AC27" s="213">
        <f>$E27*洗涤费录入!AC27</f>
        <v>0</v>
      </c>
      <c r="AD27" s="213">
        <f>$E27*洗涤费录入!AD27</f>
        <v>0</v>
      </c>
      <c r="AE27" s="213">
        <f>$E27*洗涤费录入!AE27</f>
        <v>0</v>
      </c>
      <c r="AF27" s="213">
        <f>$E27*洗涤费录入!AF27</f>
        <v>0</v>
      </c>
      <c r="AG27" s="213">
        <f>$E27*洗涤费录入!AG27</f>
        <v>0</v>
      </c>
      <c r="AH27" s="213">
        <f>$E27*洗涤费录入!AH27</f>
        <v>0</v>
      </c>
      <c r="AI27" s="213">
        <f>$E27*洗涤费录入!AI27</f>
        <v>0</v>
      </c>
      <c r="AJ27" s="213">
        <f>$E27*洗涤费录入!AJ27</f>
        <v>0</v>
      </c>
      <c r="AK27" s="213">
        <f>$E27*洗涤费录入!AK27</f>
        <v>0</v>
      </c>
      <c r="AL27" s="213">
        <f>$E27*洗涤费录入!AL27</f>
        <v>0</v>
      </c>
    </row>
    <row r="28" s="178" customFormat="1" customHeight="1" spans="1:38">
      <c r="A28" s="161">
        <v>24</v>
      </c>
      <c r="B28" s="212">
        <f>洗涤费录入!B28</f>
        <v>0</v>
      </c>
      <c r="C28" s="212">
        <f>洗涤费录入!C28</f>
        <v>0</v>
      </c>
      <c r="D28" s="212">
        <f>洗涤费录入!D28</f>
        <v>0</v>
      </c>
      <c r="E28" s="212">
        <f>洗涤费录入!E28</f>
        <v>0</v>
      </c>
      <c r="F28" s="212">
        <f>洗涤费录入!F28</f>
        <v>0</v>
      </c>
      <c r="G28" s="212">
        <f>洗涤费录入!G28</f>
        <v>0</v>
      </c>
      <c r="H28" s="213">
        <f>$E28*洗涤费录入!H28</f>
        <v>0</v>
      </c>
      <c r="I28" s="213">
        <f>$E28*洗涤费录入!I28</f>
        <v>0</v>
      </c>
      <c r="J28" s="213">
        <f>$E28*洗涤费录入!J28</f>
        <v>0</v>
      </c>
      <c r="K28" s="213">
        <f>$E28*洗涤费录入!K28</f>
        <v>0</v>
      </c>
      <c r="L28" s="213">
        <f>$E28*洗涤费录入!L28</f>
        <v>0</v>
      </c>
      <c r="M28" s="213">
        <f>$E28*洗涤费录入!M28</f>
        <v>0</v>
      </c>
      <c r="N28" s="213">
        <f>$E28*洗涤费录入!N28</f>
        <v>0</v>
      </c>
      <c r="O28" s="213">
        <f>$E28*洗涤费录入!O28</f>
        <v>0</v>
      </c>
      <c r="P28" s="213">
        <f>$E28*洗涤费录入!P28</f>
        <v>0</v>
      </c>
      <c r="Q28" s="213">
        <f>$E28*洗涤费录入!Q28</f>
        <v>0</v>
      </c>
      <c r="R28" s="213">
        <f>$E28*洗涤费录入!R28</f>
        <v>0</v>
      </c>
      <c r="S28" s="213">
        <f>$E28*洗涤费录入!S28</f>
        <v>0</v>
      </c>
      <c r="T28" s="213">
        <f>$E28*洗涤费录入!T28</f>
        <v>0</v>
      </c>
      <c r="U28" s="213">
        <f>$E28*洗涤费录入!U28</f>
        <v>0</v>
      </c>
      <c r="V28" s="213">
        <f>$E28*洗涤费录入!V28</f>
        <v>0</v>
      </c>
      <c r="W28" s="213">
        <f>$E28*洗涤费录入!W28</f>
        <v>0</v>
      </c>
      <c r="X28" s="213">
        <f>$E28*洗涤费录入!X28</f>
        <v>0</v>
      </c>
      <c r="Y28" s="213">
        <f>$E28*洗涤费录入!Y28</f>
        <v>0</v>
      </c>
      <c r="Z28" s="213">
        <f>$E28*洗涤费录入!Z28</f>
        <v>0</v>
      </c>
      <c r="AA28" s="213">
        <f>$E28*洗涤费录入!AA28</f>
        <v>0</v>
      </c>
      <c r="AB28" s="213">
        <f>$E28*洗涤费录入!AB28</f>
        <v>0</v>
      </c>
      <c r="AC28" s="213">
        <f>$E28*洗涤费录入!AC28</f>
        <v>0</v>
      </c>
      <c r="AD28" s="213">
        <f>$E28*洗涤费录入!AD28</f>
        <v>0</v>
      </c>
      <c r="AE28" s="213">
        <f>$E28*洗涤费录入!AE28</f>
        <v>0</v>
      </c>
      <c r="AF28" s="213">
        <f>$E28*洗涤费录入!AF28</f>
        <v>0</v>
      </c>
      <c r="AG28" s="213">
        <f>$E28*洗涤费录入!AG28</f>
        <v>0</v>
      </c>
      <c r="AH28" s="213">
        <f>$E28*洗涤费录入!AH28</f>
        <v>0</v>
      </c>
      <c r="AI28" s="213">
        <f>$E28*洗涤费录入!AI28</f>
        <v>0</v>
      </c>
      <c r="AJ28" s="213">
        <f>$E28*洗涤费录入!AJ28</f>
        <v>0</v>
      </c>
      <c r="AK28" s="213">
        <f>$E28*洗涤费录入!AK28</f>
        <v>0</v>
      </c>
      <c r="AL28" s="213">
        <f>$E28*洗涤费录入!AL28</f>
        <v>0</v>
      </c>
    </row>
    <row r="29" s="178" customFormat="1" customHeight="1" spans="1:38">
      <c r="A29" s="161">
        <v>25</v>
      </c>
      <c r="B29" s="212">
        <f>洗涤费录入!B29</f>
        <v>0</v>
      </c>
      <c r="C29" s="212">
        <f>洗涤费录入!C29</f>
        <v>0</v>
      </c>
      <c r="D29" s="212">
        <f>洗涤费录入!D29</f>
        <v>0</v>
      </c>
      <c r="E29" s="212">
        <f>洗涤费录入!E29</f>
        <v>0</v>
      </c>
      <c r="F29" s="212">
        <f>洗涤费录入!F29</f>
        <v>0</v>
      </c>
      <c r="G29" s="212">
        <f>洗涤费录入!G29</f>
        <v>0</v>
      </c>
      <c r="H29" s="213">
        <f>$E29*洗涤费录入!H29</f>
        <v>0</v>
      </c>
      <c r="I29" s="213">
        <f>$E29*洗涤费录入!I29</f>
        <v>0</v>
      </c>
      <c r="J29" s="213">
        <f>$E29*洗涤费录入!J29</f>
        <v>0</v>
      </c>
      <c r="K29" s="213">
        <f>$E29*洗涤费录入!K29</f>
        <v>0</v>
      </c>
      <c r="L29" s="213">
        <f>$E29*洗涤费录入!L29</f>
        <v>0</v>
      </c>
      <c r="M29" s="213">
        <f>$E29*洗涤费录入!M29</f>
        <v>0</v>
      </c>
      <c r="N29" s="213">
        <f>$E29*洗涤费录入!N29</f>
        <v>0</v>
      </c>
      <c r="O29" s="213">
        <f>$E29*洗涤费录入!O29</f>
        <v>0</v>
      </c>
      <c r="P29" s="213">
        <f>$E29*洗涤费录入!P29</f>
        <v>0</v>
      </c>
      <c r="Q29" s="213">
        <f>$E29*洗涤费录入!Q29</f>
        <v>0</v>
      </c>
      <c r="R29" s="213">
        <f>$E29*洗涤费录入!R29</f>
        <v>0</v>
      </c>
      <c r="S29" s="213">
        <f>$E29*洗涤费录入!S29</f>
        <v>0</v>
      </c>
      <c r="T29" s="213">
        <f>$E29*洗涤费录入!T29</f>
        <v>0</v>
      </c>
      <c r="U29" s="213">
        <f>$E29*洗涤费录入!U29</f>
        <v>0</v>
      </c>
      <c r="V29" s="213">
        <f>$E29*洗涤费录入!V29</f>
        <v>0</v>
      </c>
      <c r="W29" s="213">
        <f>$E29*洗涤费录入!W29</f>
        <v>0</v>
      </c>
      <c r="X29" s="213">
        <f>$E29*洗涤费录入!X29</f>
        <v>0</v>
      </c>
      <c r="Y29" s="213">
        <f>$E29*洗涤费录入!Y29</f>
        <v>0</v>
      </c>
      <c r="Z29" s="213">
        <f>$E29*洗涤费录入!Z29</f>
        <v>0</v>
      </c>
      <c r="AA29" s="213">
        <f>$E29*洗涤费录入!AA29</f>
        <v>0</v>
      </c>
      <c r="AB29" s="213">
        <f>$E29*洗涤费录入!AB29</f>
        <v>0</v>
      </c>
      <c r="AC29" s="213">
        <f>$E29*洗涤费录入!AC29</f>
        <v>0</v>
      </c>
      <c r="AD29" s="213">
        <f>$E29*洗涤费录入!AD29</f>
        <v>0</v>
      </c>
      <c r="AE29" s="213">
        <f>$E29*洗涤费录入!AE29</f>
        <v>0</v>
      </c>
      <c r="AF29" s="213">
        <f>$E29*洗涤费录入!AF29</f>
        <v>0</v>
      </c>
      <c r="AG29" s="213">
        <f>$E29*洗涤费录入!AG29</f>
        <v>0</v>
      </c>
      <c r="AH29" s="213">
        <f>$E29*洗涤费录入!AH29</f>
        <v>0</v>
      </c>
      <c r="AI29" s="213">
        <f>$E29*洗涤费录入!AI29</f>
        <v>0</v>
      </c>
      <c r="AJ29" s="213">
        <f>$E29*洗涤费录入!AJ29</f>
        <v>0</v>
      </c>
      <c r="AK29" s="213">
        <f>$E29*洗涤费录入!AK29</f>
        <v>0</v>
      </c>
      <c r="AL29" s="213">
        <f>$E29*洗涤费录入!AL29</f>
        <v>0</v>
      </c>
    </row>
    <row r="30" s="178" customFormat="1" customHeight="1" spans="1:38">
      <c r="A30" s="161">
        <v>26</v>
      </c>
      <c r="B30" s="212">
        <f>洗涤费录入!B30</f>
        <v>0</v>
      </c>
      <c r="C30" s="212">
        <f>洗涤费录入!C30</f>
        <v>0</v>
      </c>
      <c r="D30" s="212">
        <f>洗涤费录入!D30</f>
        <v>0</v>
      </c>
      <c r="E30" s="212">
        <f>洗涤费录入!E30</f>
        <v>0</v>
      </c>
      <c r="F30" s="212">
        <f>洗涤费录入!F30</f>
        <v>0</v>
      </c>
      <c r="G30" s="212">
        <f>洗涤费录入!G30</f>
        <v>0</v>
      </c>
      <c r="H30" s="213">
        <f>$E30*洗涤费录入!H30</f>
        <v>0</v>
      </c>
      <c r="I30" s="213">
        <f>$E30*洗涤费录入!I30</f>
        <v>0</v>
      </c>
      <c r="J30" s="213">
        <f>$E30*洗涤费录入!J30</f>
        <v>0</v>
      </c>
      <c r="K30" s="213">
        <f>$E30*洗涤费录入!K30</f>
        <v>0</v>
      </c>
      <c r="L30" s="213">
        <f>$E30*洗涤费录入!L30</f>
        <v>0</v>
      </c>
      <c r="M30" s="213">
        <f>$E30*洗涤费录入!M30</f>
        <v>0</v>
      </c>
      <c r="N30" s="213">
        <f>$E30*洗涤费录入!N30</f>
        <v>0</v>
      </c>
      <c r="O30" s="213">
        <f>$E30*洗涤费录入!O30</f>
        <v>0</v>
      </c>
      <c r="P30" s="213">
        <f>$E30*洗涤费录入!P30</f>
        <v>0</v>
      </c>
      <c r="Q30" s="213">
        <f>$E30*洗涤费录入!Q30</f>
        <v>0</v>
      </c>
      <c r="R30" s="213">
        <f>$E30*洗涤费录入!R30</f>
        <v>0</v>
      </c>
      <c r="S30" s="213">
        <f>$E30*洗涤费录入!S30</f>
        <v>0</v>
      </c>
      <c r="T30" s="213">
        <f>$E30*洗涤费录入!T30</f>
        <v>0</v>
      </c>
      <c r="U30" s="213">
        <f>$E30*洗涤费录入!U30</f>
        <v>0</v>
      </c>
      <c r="V30" s="213">
        <f>$E30*洗涤费录入!V30</f>
        <v>0</v>
      </c>
      <c r="W30" s="213">
        <f>$E30*洗涤费录入!W30</f>
        <v>0</v>
      </c>
      <c r="X30" s="213">
        <f>$E30*洗涤费录入!X30</f>
        <v>0</v>
      </c>
      <c r="Y30" s="213">
        <f>$E30*洗涤费录入!Y30</f>
        <v>0</v>
      </c>
      <c r="Z30" s="213">
        <f>$E30*洗涤费录入!Z30</f>
        <v>0</v>
      </c>
      <c r="AA30" s="213">
        <f>$E30*洗涤费录入!AA30</f>
        <v>0</v>
      </c>
      <c r="AB30" s="213">
        <f>$E30*洗涤费录入!AB30</f>
        <v>0</v>
      </c>
      <c r="AC30" s="213">
        <f>$E30*洗涤费录入!AC30</f>
        <v>0</v>
      </c>
      <c r="AD30" s="213">
        <f>$E30*洗涤费录入!AD30</f>
        <v>0</v>
      </c>
      <c r="AE30" s="213">
        <f>$E30*洗涤费录入!AE30</f>
        <v>0</v>
      </c>
      <c r="AF30" s="213">
        <f>$E30*洗涤费录入!AF30</f>
        <v>0</v>
      </c>
      <c r="AG30" s="213">
        <f>$E30*洗涤费录入!AG30</f>
        <v>0</v>
      </c>
      <c r="AH30" s="213">
        <f>$E30*洗涤费录入!AH30</f>
        <v>0</v>
      </c>
      <c r="AI30" s="213">
        <f>$E30*洗涤费录入!AI30</f>
        <v>0</v>
      </c>
      <c r="AJ30" s="213">
        <f>$E30*洗涤费录入!AJ30</f>
        <v>0</v>
      </c>
      <c r="AK30" s="213">
        <f>$E30*洗涤费录入!AK30</f>
        <v>0</v>
      </c>
      <c r="AL30" s="213">
        <f>$E30*洗涤费录入!AL30</f>
        <v>0</v>
      </c>
    </row>
    <row r="31" s="178" customFormat="1" customHeight="1" spans="1:38">
      <c r="A31" s="161">
        <v>27</v>
      </c>
      <c r="B31" s="212">
        <f>洗涤费录入!B31</f>
        <v>0</v>
      </c>
      <c r="C31" s="212">
        <f>洗涤费录入!C31</f>
        <v>0</v>
      </c>
      <c r="D31" s="212">
        <f>洗涤费录入!D31</f>
        <v>0</v>
      </c>
      <c r="E31" s="212">
        <f>洗涤费录入!E31</f>
        <v>0</v>
      </c>
      <c r="F31" s="212">
        <f>洗涤费录入!F31</f>
        <v>0</v>
      </c>
      <c r="G31" s="212">
        <f>洗涤费录入!G31</f>
        <v>0</v>
      </c>
      <c r="H31" s="213">
        <f>$E31*洗涤费录入!H31</f>
        <v>0</v>
      </c>
      <c r="I31" s="213">
        <f>$E31*洗涤费录入!I31</f>
        <v>0</v>
      </c>
      <c r="J31" s="213">
        <f>$E31*洗涤费录入!J31</f>
        <v>0</v>
      </c>
      <c r="K31" s="213">
        <f>$E31*洗涤费录入!K31</f>
        <v>0</v>
      </c>
      <c r="L31" s="213">
        <f>$E31*洗涤费录入!L31</f>
        <v>0</v>
      </c>
      <c r="M31" s="213">
        <f>$E31*洗涤费录入!M31</f>
        <v>0</v>
      </c>
      <c r="N31" s="213">
        <f>$E31*洗涤费录入!N31</f>
        <v>0</v>
      </c>
      <c r="O31" s="213">
        <f>$E31*洗涤费录入!O31</f>
        <v>0</v>
      </c>
      <c r="P31" s="213">
        <f>$E31*洗涤费录入!P31</f>
        <v>0</v>
      </c>
      <c r="Q31" s="213">
        <f>$E31*洗涤费录入!Q31</f>
        <v>0</v>
      </c>
      <c r="R31" s="213">
        <f>$E31*洗涤费录入!R31</f>
        <v>0</v>
      </c>
      <c r="S31" s="213">
        <f>$E31*洗涤费录入!S31</f>
        <v>0</v>
      </c>
      <c r="T31" s="213">
        <f>$E31*洗涤费录入!T31</f>
        <v>0</v>
      </c>
      <c r="U31" s="213">
        <f>$E31*洗涤费录入!U31</f>
        <v>0</v>
      </c>
      <c r="V31" s="213">
        <f>$E31*洗涤费录入!V31</f>
        <v>0</v>
      </c>
      <c r="W31" s="213">
        <f>$E31*洗涤费录入!W31</f>
        <v>0</v>
      </c>
      <c r="X31" s="213">
        <f>$E31*洗涤费录入!X31</f>
        <v>0</v>
      </c>
      <c r="Y31" s="213">
        <f>$E31*洗涤费录入!Y31</f>
        <v>0</v>
      </c>
      <c r="Z31" s="213">
        <f>$E31*洗涤费录入!Z31</f>
        <v>0</v>
      </c>
      <c r="AA31" s="213">
        <f>$E31*洗涤费录入!AA31</f>
        <v>0</v>
      </c>
      <c r="AB31" s="213">
        <f>$E31*洗涤费录入!AB31</f>
        <v>0</v>
      </c>
      <c r="AC31" s="213">
        <f>$E31*洗涤费录入!AC31</f>
        <v>0</v>
      </c>
      <c r="AD31" s="213">
        <f>$E31*洗涤费录入!AD31</f>
        <v>0</v>
      </c>
      <c r="AE31" s="213">
        <f>$E31*洗涤费录入!AE31</f>
        <v>0</v>
      </c>
      <c r="AF31" s="213">
        <f>$E31*洗涤费录入!AF31</f>
        <v>0</v>
      </c>
      <c r="AG31" s="213">
        <f>$E31*洗涤费录入!AG31</f>
        <v>0</v>
      </c>
      <c r="AH31" s="213">
        <f>$E31*洗涤费录入!AH31</f>
        <v>0</v>
      </c>
      <c r="AI31" s="213">
        <f>$E31*洗涤费录入!AI31</f>
        <v>0</v>
      </c>
      <c r="AJ31" s="213">
        <f>$E31*洗涤费录入!AJ31</f>
        <v>0</v>
      </c>
      <c r="AK31" s="213">
        <f>$E31*洗涤费录入!AK31</f>
        <v>0</v>
      </c>
      <c r="AL31" s="213">
        <f>$E31*洗涤费录入!AL31</f>
        <v>0</v>
      </c>
    </row>
    <row r="32" s="178" customFormat="1" customHeight="1" spans="1:38">
      <c r="A32" s="161">
        <v>28</v>
      </c>
      <c r="B32" s="212">
        <f>洗涤费录入!B32</f>
        <v>0</v>
      </c>
      <c r="C32" s="212">
        <f>洗涤费录入!C32</f>
        <v>0</v>
      </c>
      <c r="D32" s="212">
        <f>洗涤费录入!D32</f>
        <v>0</v>
      </c>
      <c r="E32" s="212">
        <f>洗涤费录入!E32</f>
        <v>0</v>
      </c>
      <c r="F32" s="212">
        <f>洗涤费录入!F32</f>
        <v>0</v>
      </c>
      <c r="G32" s="212">
        <f>洗涤费录入!G32</f>
        <v>0</v>
      </c>
      <c r="H32" s="213">
        <f>$E32*洗涤费录入!H32</f>
        <v>0</v>
      </c>
      <c r="I32" s="213">
        <f>$E32*洗涤费录入!I32</f>
        <v>0</v>
      </c>
      <c r="J32" s="213">
        <f>$E32*洗涤费录入!J32</f>
        <v>0</v>
      </c>
      <c r="K32" s="213">
        <f>$E32*洗涤费录入!K32</f>
        <v>0</v>
      </c>
      <c r="L32" s="213">
        <f>$E32*洗涤费录入!L32</f>
        <v>0</v>
      </c>
      <c r="M32" s="213">
        <f>$E32*洗涤费录入!M32</f>
        <v>0</v>
      </c>
      <c r="N32" s="213">
        <f>$E32*洗涤费录入!N32</f>
        <v>0</v>
      </c>
      <c r="O32" s="213">
        <f>$E32*洗涤费录入!O32</f>
        <v>0</v>
      </c>
      <c r="P32" s="213">
        <f>$E32*洗涤费录入!P32</f>
        <v>0</v>
      </c>
      <c r="Q32" s="213">
        <f>$E32*洗涤费录入!Q32</f>
        <v>0</v>
      </c>
      <c r="R32" s="213">
        <f>$E32*洗涤费录入!R32</f>
        <v>0</v>
      </c>
      <c r="S32" s="213">
        <f>$E32*洗涤费录入!S32</f>
        <v>0</v>
      </c>
      <c r="T32" s="213">
        <f>$E32*洗涤费录入!T32</f>
        <v>0</v>
      </c>
      <c r="U32" s="213">
        <f>$E32*洗涤费录入!U32</f>
        <v>0</v>
      </c>
      <c r="V32" s="213">
        <f>$E32*洗涤费录入!V32</f>
        <v>0</v>
      </c>
      <c r="W32" s="213">
        <f>$E32*洗涤费录入!W32</f>
        <v>0</v>
      </c>
      <c r="X32" s="213">
        <f>$E32*洗涤费录入!X32</f>
        <v>0</v>
      </c>
      <c r="Y32" s="213">
        <f>$E32*洗涤费录入!Y32</f>
        <v>0</v>
      </c>
      <c r="Z32" s="213">
        <f>$E32*洗涤费录入!Z32</f>
        <v>0</v>
      </c>
      <c r="AA32" s="213">
        <f>$E32*洗涤费录入!AA32</f>
        <v>0</v>
      </c>
      <c r="AB32" s="213">
        <f>$E32*洗涤费录入!AB32</f>
        <v>0</v>
      </c>
      <c r="AC32" s="213">
        <f>$E32*洗涤费录入!AC32</f>
        <v>0</v>
      </c>
      <c r="AD32" s="213">
        <f>$E32*洗涤费录入!AD32</f>
        <v>0</v>
      </c>
      <c r="AE32" s="213">
        <f>$E32*洗涤费录入!AE32</f>
        <v>0</v>
      </c>
      <c r="AF32" s="213">
        <f>$E32*洗涤费录入!AF32</f>
        <v>0</v>
      </c>
      <c r="AG32" s="213">
        <f>$E32*洗涤费录入!AG32</f>
        <v>0</v>
      </c>
      <c r="AH32" s="213">
        <f>$E32*洗涤费录入!AH32</f>
        <v>0</v>
      </c>
      <c r="AI32" s="213">
        <f>$E32*洗涤费录入!AI32</f>
        <v>0</v>
      </c>
      <c r="AJ32" s="213">
        <f>$E32*洗涤费录入!AJ32</f>
        <v>0</v>
      </c>
      <c r="AK32" s="213">
        <f>$E32*洗涤费录入!AK32</f>
        <v>0</v>
      </c>
      <c r="AL32" s="213">
        <f>$E32*洗涤费录入!AL32</f>
        <v>0</v>
      </c>
    </row>
    <row r="33" s="178" customFormat="1" customHeight="1" spans="1:38">
      <c r="A33" s="161">
        <v>29</v>
      </c>
      <c r="B33" s="212">
        <f>洗涤费录入!B33</f>
        <v>0</v>
      </c>
      <c r="C33" s="212">
        <f>洗涤费录入!C33</f>
        <v>0</v>
      </c>
      <c r="D33" s="212">
        <f>洗涤费录入!D33</f>
        <v>0</v>
      </c>
      <c r="E33" s="212">
        <f>洗涤费录入!E33</f>
        <v>0</v>
      </c>
      <c r="F33" s="212">
        <f>洗涤费录入!F33</f>
        <v>0</v>
      </c>
      <c r="G33" s="212">
        <f>洗涤费录入!G33</f>
        <v>0</v>
      </c>
      <c r="H33" s="213">
        <f>$E33*洗涤费录入!H33</f>
        <v>0</v>
      </c>
      <c r="I33" s="213">
        <f>$E33*洗涤费录入!I33</f>
        <v>0</v>
      </c>
      <c r="J33" s="213">
        <f>$E33*洗涤费录入!J33</f>
        <v>0</v>
      </c>
      <c r="K33" s="213">
        <f>$E33*洗涤费录入!K33</f>
        <v>0</v>
      </c>
      <c r="L33" s="213">
        <f>$E33*洗涤费录入!L33</f>
        <v>0</v>
      </c>
      <c r="M33" s="213">
        <f>$E33*洗涤费录入!M33</f>
        <v>0</v>
      </c>
      <c r="N33" s="213">
        <f>$E33*洗涤费录入!N33</f>
        <v>0</v>
      </c>
      <c r="O33" s="213">
        <f>$E33*洗涤费录入!O33</f>
        <v>0</v>
      </c>
      <c r="P33" s="213">
        <f>$E33*洗涤费录入!P33</f>
        <v>0</v>
      </c>
      <c r="Q33" s="213">
        <f>$E33*洗涤费录入!Q33</f>
        <v>0</v>
      </c>
      <c r="R33" s="213">
        <f>$E33*洗涤费录入!R33</f>
        <v>0</v>
      </c>
      <c r="S33" s="213">
        <f>$E33*洗涤费录入!S33</f>
        <v>0</v>
      </c>
      <c r="T33" s="213">
        <f>$E33*洗涤费录入!T33</f>
        <v>0</v>
      </c>
      <c r="U33" s="213">
        <f>$E33*洗涤费录入!U33</f>
        <v>0</v>
      </c>
      <c r="V33" s="213">
        <f>$E33*洗涤费录入!V33</f>
        <v>0</v>
      </c>
      <c r="W33" s="213">
        <f>$E33*洗涤费录入!W33</f>
        <v>0</v>
      </c>
      <c r="X33" s="213">
        <f>$E33*洗涤费录入!X33</f>
        <v>0</v>
      </c>
      <c r="Y33" s="213">
        <f>$E33*洗涤费录入!Y33</f>
        <v>0</v>
      </c>
      <c r="Z33" s="213">
        <f>$E33*洗涤费录入!Z33</f>
        <v>0</v>
      </c>
      <c r="AA33" s="213">
        <f>$E33*洗涤费录入!AA33</f>
        <v>0</v>
      </c>
      <c r="AB33" s="213">
        <f>$E33*洗涤费录入!AB33</f>
        <v>0</v>
      </c>
      <c r="AC33" s="213">
        <f>$E33*洗涤费录入!AC33</f>
        <v>0</v>
      </c>
      <c r="AD33" s="213">
        <f>$E33*洗涤费录入!AD33</f>
        <v>0</v>
      </c>
      <c r="AE33" s="213">
        <f>$E33*洗涤费录入!AE33</f>
        <v>0</v>
      </c>
      <c r="AF33" s="213">
        <f>$E33*洗涤费录入!AF33</f>
        <v>0</v>
      </c>
      <c r="AG33" s="213">
        <f>$E33*洗涤费录入!AG33</f>
        <v>0</v>
      </c>
      <c r="AH33" s="213">
        <f>$E33*洗涤费录入!AH33</f>
        <v>0</v>
      </c>
      <c r="AI33" s="213">
        <f>$E33*洗涤费录入!AI33</f>
        <v>0</v>
      </c>
      <c r="AJ33" s="213">
        <f>$E33*洗涤费录入!AJ33</f>
        <v>0</v>
      </c>
      <c r="AK33" s="213">
        <f>$E33*洗涤费录入!AK33</f>
        <v>0</v>
      </c>
      <c r="AL33" s="213">
        <f>$E33*洗涤费录入!AL33</f>
        <v>0</v>
      </c>
    </row>
    <row r="34" s="178" customFormat="1" customHeight="1" spans="1:38">
      <c r="A34" s="161">
        <v>30</v>
      </c>
      <c r="B34" s="212">
        <f>洗涤费录入!B34</f>
        <v>0</v>
      </c>
      <c r="C34" s="212">
        <f>洗涤费录入!C34</f>
        <v>0</v>
      </c>
      <c r="D34" s="212">
        <f>洗涤费录入!D34</f>
        <v>0</v>
      </c>
      <c r="E34" s="212">
        <f>洗涤费录入!E34</f>
        <v>0</v>
      </c>
      <c r="F34" s="212">
        <f>洗涤费录入!F34</f>
        <v>0</v>
      </c>
      <c r="G34" s="212">
        <f>洗涤费录入!G34</f>
        <v>0</v>
      </c>
      <c r="H34" s="213">
        <f>$E34*洗涤费录入!H34</f>
        <v>0</v>
      </c>
      <c r="I34" s="213">
        <f>$E34*洗涤费录入!I34</f>
        <v>0</v>
      </c>
      <c r="J34" s="213">
        <f>$E34*洗涤费录入!J34</f>
        <v>0</v>
      </c>
      <c r="K34" s="213">
        <f>$E34*洗涤费录入!K34</f>
        <v>0</v>
      </c>
      <c r="L34" s="213">
        <f>$E34*洗涤费录入!L34</f>
        <v>0</v>
      </c>
      <c r="M34" s="213">
        <f>$E34*洗涤费录入!M34</f>
        <v>0</v>
      </c>
      <c r="N34" s="213">
        <f>$E34*洗涤费录入!N34</f>
        <v>0</v>
      </c>
      <c r="O34" s="213">
        <f>$E34*洗涤费录入!O34</f>
        <v>0</v>
      </c>
      <c r="P34" s="213">
        <f>$E34*洗涤费录入!P34</f>
        <v>0</v>
      </c>
      <c r="Q34" s="213">
        <f>$E34*洗涤费录入!Q34</f>
        <v>0</v>
      </c>
      <c r="R34" s="213">
        <f>$E34*洗涤费录入!R34</f>
        <v>0</v>
      </c>
      <c r="S34" s="213">
        <f>$E34*洗涤费录入!S34</f>
        <v>0</v>
      </c>
      <c r="T34" s="213">
        <f>$E34*洗涤费录入!T34</f>
        <v>0</v>
      </c>
      <c r="U34" s="213">
        <f>$E34*洗涤费录入!U34</f>
        <v>0</v>
      </c>
      <c r="V34" s="213">
        <f>$E34*洗涤费录入!V34</f>
        <v>0</v>
      </c>
      <c r="W34" s="213">
        <f>$E34*洗涤费录入!W34</f>
        <v>0</v>
      </c>
      <c r="X34" s="213">
        <f>$E34*洗涤费录入!X34</f>
        <v>0</v>
      </c>
      <c r="Y34" s="213">
        <f>$E34*洗涤费录入!Y34</f>
        <v>0</v>
      </c>
      <c r="Z34" s="213">
        <f>$E34*洗涤费录入!Z34</f>
        <v>0</v>
      </c>
      <c r="AA34" s="213">
        <f>$E34*洗涤费录入!AA34</f>
        <v>0</v>
      </c>
      <c r="AB34" s="213">
        <f>$E34*洗涤费录入!AB34</f>
        <v>0</v>
      </c>
      <c r="AC34" s="213">
        <f>$E34*洗涤费录入!AC34</f>
        <v>0</v>
      </c>
      <c r="AD34" s="213">
        <f>$E34*洗涤费录入!AD34</f>
        <v>0</v>
      </c>
      <c r="AE34" s="213">
        <f>$E34*洗涤费录入!AE34</f>
        <v>0</v>
      </c>
      <c r="AF34" s="213">
        <f>$E34*洗涤费录入!AF34</f>
        <v>0</v>
      </c>
      <c r="AG34" s="213">
        <f>$E34*洗涤费录入!AG34</f>
        <v>0</v>
      </c>
      <c r="AH34" s="213">
        <f>$E34*洗涤费录入!AH34</f>
        <v>0</v>
      </c>
      <c r="AI34" s="213">
        <f>$E34*洗涤费录入!AI34</f>
        <v>0</v>
      </c>
      <c r="AJ34" s="213">
        <f>$E34*洗涤费录入!AJ34</f>
        <v>0</v>
      </c>
      <c r="AK34" s="213">
        <f>$E34*洗涤费录入!AK34</f>
        <v>0</v>
      </c>
      <c r="AL34" s="213">
        <f>$E34*洗涤费录入!AL34</f>
        <v>0</v>
      </c>
    </row>
    <row r="35" s="178" customFormat="1" customHeight="1" spans="1:38">
      <c r="A35" s="161">
        <v>31</v>
      </c>
      <c r="B35" s="212">
        <f>洗涤费录入!B35</f>
        <v>0</v>
      </c>
      <c r="C35" s="212">
        <f>洗涤费录入!C35</f>
        <v>0</v>
      </c>
      <c r="D35" s="212">
        <f>洗涤费录入!D35</f>
        <v>0</v>
      </c>
      <c r="E35" s="212">
        <f>洗涤费录入!E35</f>
        <v>0</v>
      </c>
      <c r="F35" s="212">
        <f>洗涤费录入!F35</f>
        <v>0</v>
      </c>
      <c r="G35" s="212">
        <f>洗涤费录入!G35</f>
        <v>0</v>
      </c>
      <c r="H35" s="213">
        <f>$E35*洗涤费录入!H35</f>
        <v>0</v>
      </c>
      <c r="I35" s="213">
        <f>$E35*洗涤费录入!I35</f>
        <v>0</v>
      </c>
      <c r="J35" s="213">
        <f>$E35*洗涤费录入!J35</f>
        <v>0</v>
      </c>
      <c r="K35" s="213">
        <f>$E35*洗涤费录入!K35</f>
        <v>0</v>
      </c>
      <c r="L35" s="213">
        <f>$E35*洗涤费录入!L35</f>
        <v>0</v>
      </c>
      <c r="M35" s="213">
        <f>$E35*洗涤费录入!M35</f>
        <v>0</v>
      </c>
      <c r="N35" s="213">
        <f>$E35*洗涤费录入!N35</f>
        <v>0</v>
      </c>
      <c r="O35" s="213">
        <f>$E35*洗涤费录入!O35</f>
        <v>0</v>
      </c>
      <c r="P35" s="213">
        <f>$E35*洗涤费录入!P35</f>
        <v>0</v>
      </c>
      <c r="Q35" s="213">
        <f>$E35*洗涤费录入!Q35</f>
        <v>0</v>
      </c>
      <c r="R35" s="213">
        <f>$E35*洗涤费录入!R35</f>
        <v>0</v>
      </c>
      <c r="S35" s="213">
        <f>$E35*洗涤费录入!S35</f>
        <v>0</v>
      </c>
      <c r="T35" s="213">
        <f>$E35*洗涤费录入!T35</f>
        <v>0</v>
      </c>
      <c r="U35" s="213">
        <f>$E35*洗涤费录入!U35</f>
        <v>0</v>
      </c>
      <c r="V35" s="213">
        <f>$E35*洗涤费录入!V35</f>
        <v>0</v>
      </c>
      <c r="W35" s="213">
        <f>$E35*洗涤费录入!W35</f>
        <v>0</v>
      </c>
      <c r="X35" s="213">
        <f>$E35*洗涤费录入!X35</f>
        <v>0</v>
      </c>
      <c r="Y35" s="213">
        <f>$E35*洗涤费录入!Y35</f>
        <v>0</v>
      </c>
      <c r="Z35" s="213">
        <f>$E35*洗涤费录入!Z35</f>
        <v>0</v>
      </c>
      <c r="AA35" s="213">
        <f>$E35*洗涤费录入!AA35</f>
        <v>0</v>
      </c>
      <c r="AB35" s="213">
        <f>$E35*洗涤费录入!AB35</f>
        <v>0</v>
      </c>
      <c r="AC35" s="213">
        <f>$E35*洗涤费录入!AC35</f>
        <v>0</v>
      </c>
      <c r="AD35" s="213">
        <f>$E35*洗涤费录入!AD35</f>
        <v>0</v>
      </c>
      <c r="AE35" s="213">
        <f>$E35*洗涤费录入!AE35</f>
        <v>0</v>
      </c>
      <c r="AF35" s="213">
        <f>$E35*洗涤费录入!AF35</f>
        <v>0</v>
      </c>
      <c r="AG35" s="213">
        <f>$E35*洗涤费录入!AG35</f>
        <v>0</v>
      </c>
      <c r="AH35" s="213">
        <f>$E35*洗涤费录入!AH35</f>
        <v>0</v>
      </c>
      <c r="AI35" s="213">
        <f>$E35*洗涤费录入!AI35</f>
        <v>0</v>
      </c>
      <c r="AJ35" s="213">
        <f>$E35*洗涤费录入!AJ35</f>
        <v>0</v>
      </c>
      <c r="AK35" s="213">
        <f>$E35*洗涤费录入!AK35</f>
        <v>0</v>
      </c>
      <c r="AL35" s="213">
        <f>$E35*洗涤费录入!AL35</f>
        <v>0</v>
      </c>
    </row>
    <row r="36" s="178" customFormat="1" customHeight="1" spans="1:38">
      <c r="A36" s="161">
        <v>32</v>
      </c>
      <c r="B36" s="212">
        <f>洗涤费录入!B36</f>
        <v>0</v>
      </c>
      <c r="C36" s="212">
        <f>洗涤费录入!C36</f>
        <v>0</v>
      </c>
      <c r="D36" s="212">
        <f>洗涤费录入!D36</f>
        <v>0</v>
      </c>
      <c r="E36" s="212">
        <f>洗涤费录入!E36</f>
        <v>0</v>
      </c>
      <c r="F36" s="212">
        <f>洗涤费录入!F36</f>
        <v>0</v>
      </c>
      <c r="G36" s="212">
        <f>洗涤费录入!G36</f>
        <v>0</v>
      </c>
      <c r="H36" s="213">
        <f>$E36*洗涤费录入!H36</f>
        <v>0</v>
      </c>
      <c r="I36" s="213">
        <f>$E36*洗涤费录入!I36</f>
        <v>0</v>
      </c>
      <c r="J36" s="213">
        <f>$E36*洗涤费录入!J36</f>
        <v>0</v>
      </c>
      <c r="K36" s="213">
        <f>$E36*洗涤费录入!K36</f>
        <v>0</v>
      </c>
      <c r="L36" s="213">
        <f>$E36*洗涤费录入!L36</f>
        <v>0</v>
      </c>
      <c r="M36" s="213">
        <f>$E36*洗涤费录入!M36</f>
        <v>0</v>
      </c>
      <c r="N36" s="213">
        <f>$E36*洗涤费录入!N36</f>
        <v>0</v>
      </c>
      <c r="O36" s="213">
        <f>$E36*洗涤费录入!O36</f>
        <v>0</v>
      </c>
      <c r="P36" s="213">
        <f>$E36*洗涤费录入!P36</f>
        <v>0</v>
      </c>
      <c r="Q36" s="213">
        <f>$E36*洗涤费录入!Q36</f>
        <v>0</v>
      </c>
      <c r="R36" s="213">
        <f>$E36*洗涤费录入!R36</f>
        <v>0</v>
      </c>
      <c r="S36" s="213">
        <f>$E36*洗涤费录入!S36</f>
        <v>0</v>
      </c>
      <c r="T36" s="213">
        <f>$E36*洗涤费录入!T36</f>
        <v>0</v>
      </c>
      <c r="U36" s="213">
        <f>$E36*洗涤费录入!U36</f>
        <v>0</v>
      </c>
      <c r="V36" s="213">
        <f>$E36*洗涤费录入!V36</f>
        <v>0</v>
      </c>
      <c r="W36" s="213">
        <f>$E36*洗涤费录入!W36</f>
        <v>0</v>
      </c>
      <c r="X36" s="213">
        <f>$E36*洗涤费录入!X36</f>
        <v>0</v>
      </c>
      <c r="Y36" s="213">
        <f>$E36*洗涤费录入!Y36</f>
        <v>0</v>
      </c>
      <c r="Z36" s="213">
        <f>$E36*洗涤费录入!Z36</f>
        <v>0</v>
      </c>
      <c r="AA36" s="213">
        <f>$E36*洗涤费录入!AA36</f>
        <v>0</v>
      </c>
      <c r="AB36" s="213">
        <f>$E36*洗涤费录入!AB36</f>
        <v>0</v>
      </c>
      <c r="AC36" s="213">
        <f>$E36*洗涤费录入!AC36</f>
        <v>0</v>
      </c>
      <c r="AD36" s="213">
        <f>$E36*洗涤费录入!AD36</f>
        <v>0</v>
      </c>
      <c r="AE36" s="213">
        <f>$E36*洗涤费录入!AE36</f>
        <v>0</v>
      </c>
      <c r="AF36" s="213">
        <f>$E36*洗涤费录入!AF36</f>
        <v>0</v>
      </c>
      <c r="AG36" s="213">
        <f>$E36*洗涤费录入!AG36</f>
        <v>0</v>
      </c>
      <c r="AH36" s="213">
        <f>$E36*洗涤费录入!AH36</f>
        <v>0</v>
      </c>
      <c r="AI36" s="213">
        <f>$E36*洗涤费录入!AI36</f>
        <v>0</v>
      </c>
      <c r="AJ36" s="213">
        <f>$E36*洗涤费录入!AJ36</f>
        <v>0</v>
      </c>
      <c r="AK36" s="213">
        <f>$E36*洗涤费录入!AK36</f>
        <v>0</v>
      </c>
      <c r="AL36" s="213">
        <f>$E36*洗涤费录入!AL36</f>
        <v>0</v>
      </c>
    </row>
    <row r="37" s="178" customFormat="1" customHeight="1" spans="1:38">
      <c r="A37" s="161">
        <v>33</v>
      </c>
      <c r="B37" s="212">
        <f>洗涤费录入!B37</f>
        <v>0</v>
      </c>
      <c r="C37" s="212">
        <f>洗涤费录入!C37</f>
        <v>0</v>
      </c>
      <c r="D37" s="212">
        <f>洗涤费录入!D37</f>
        <v>0</v>
      </c>
      <c r="E37" s="212">
        <f>洗涤费录入!E37</f>
        <v>0</v>
      </c>
      <c r="F37" s="212">
        <f>洗涤费录入!F37</f>
        <v>0</v>
      </c>
      <c r="G37" s="212">
        <f>洗涤费录入!G37</f>
        <v>0</v>
      </c>
      <c r="H37" s="213">
        <f>$E37*洗涤费录入!H37</f>
        <v>0</v>
      </c>
      <c r="I37" s="213">
        <f>$E37*洗涤费录入!I37</f>
        <v>0</v>
      </c>
      <c r="J37" s="213">
        <f>$E37*洗涤费录入!J37</f>
        <v>0</v>
      </c>
      <c r="K37" s="213">
        <f>$E37*洗涤费录入!K37</f>
        <v>0</v>
      </c>
      <c r="L37" s="213">
        <f>$E37*洗涤费录入!L37</f>
        <v>0</v>
      </c>
      <c r="M37" s="213">
        <f>$E37*洗涤费录入!M37</f>
        <v>0</v>
      </c>
      <c r="N37" s="213">
        <f>$E37*洗涤费录入!N37</f>
        <v>0</v>
      </c>
      <c r="O37" s="213">
        <f>$E37*洗涤费录入!O37</f>
        <v>0</v>
      </c>
      <c r="P37" s="213">
        <f>$E37*洗涤费录入!P37</f>
        <v>0</v>
      </c>
      <c r="Q37" s="213">
        <f>$E37*洗涤费录入!Q37</f>
        <v>0</v>
      </c>
      <c r="R37" s="213">
        <f>$E37*洗涤费录入!R37</f>
        <v>0</v>
      </c>
      <c r="S37" s="213">
        <f>$E37*洗涤费录入!S37</f>
        <v>0</v>
      </c>
      <c r="T37" s="213">
        <f>$E37*洗涤费录入!T37</f>
        <v>0</v>
      </c>
      <c r="U37" s="213">
        <f>$E37*洗涤费录入!U37</f>
        <v>0</v>
      </c>
      <c r="V37" s="213">
        <f>$E37*洗涤费录入!V37</f>
        <v>0</v>
      </c>
      <c r="W37" s="213">
        <f>$E37*洗涤费录入!W37</f>
        <v>0</v>
      </c>
      <c r="X37" s="213">
        <f>$E37*洗涤费录入!X37</f>
        <v>0</v>
      </c>
      <c r="Y37" s="213">
        <f>$E37*洗涤费录入!Y37</f>
        <v>0</v>
      </c>
      <c r="Z37" s="213">
        <f>$E37*洗涤费录入!Z37</f>
        <v>0</v>
      </c>
      <c r="AA37" s="213">
        <f>$E37*洗涤费录入!AA37</f>
        <v>0</v>
      </c>
      <c r="AB37" s="213">
        <f>$E37*洗涤费录入!AB37</f>
        <v>0</v>
      </c>
      <c r="AC37" s="213">
        <f>$E37*洗涤费录入!AC37</f>
        <v>0</v>
      </c>
      <c r="AD37" s="213">
        <f>$E37*洗涤费录入!AD37</f>
        <v>0</v>
      </c>
      <c r="AE37" s="213">
        <f>$E37*洗涤费录入!AE37</f>
        <v>0</v>
      </c>
      <c r="AF37" s="213">
        <f>$E37*洗涤费录入!AF37</f>
        <v>0</v>
      </c>
      <c r="AG37" s="213">
        <f>$E37*洗涤费录入!AG37</f>
        <v>0</v>
      </c>
      <c r="AH37" s="213">
        <f>$E37*洗涤费录入!AH37</f>
        <v>0</v>
      </c>
      <c r="AI37" s="213">
        <f>$E37*洗涤费录入!AI37</f>
        <v>0</v>
      </c>
      <c r="AJ37" s="213">
        <f>$E37*洗涤费录入!AJ37</f>
        <v>0</v>
      </c>
      <c r="AK37" s="213">
        <f>$E37*洗涤费录入!AK37</f>
        <v>0</v>
      </c>
      <c r="AL37" s="213">
        <f>$E37*洗涤费录入!AL37</f>
        <v>0</v>
      </c>
    </row>
    <row r="38" s="178" customFormat="1" customHeight="1" spans="1:38">
      <c r="A38" s="161">
        <v>34</v>
      </c>
      <c r="B38" s="212">
        <f>洗涤费录入!B38</f>
        <v>0</v>
      </c>
      <c r="C38" s="212">
        <f>洗涤费录入!C38</f>
        <v>0</v>
      </c>
      <c r="D38" s="212">
        <f>洗涤费录入!D38</f>
        <v>0</v>
      </c>
      <c r="E38" s="212">
        <f>洗涤费录入!E38</f>
        <v>0</v>
      </c>
      <c r="F38" s="212">
        <f>洗涤费录入!F38</f>
        <v>0</v>
      </c>
      <c r="G38" s="212">
        <f>洗涤费录入!G38</f>
        <v>0</v>
      </c>
      <c r="H38" s="213">
        <f>$E38*洗涤费录入!H38</f>
        <v>0</v>
      </c>
      <c r="I38" s="213">
        <f>$E38*洗涤费录入!I38</f>
        <v>0</v>
      </c>
      <c r="J38" s="213">
        <f>$E38*洗涤费录入!J38</f>
        <v>0</v>
      </c>
      <c r="K38" s="213">
        <f>$E38*洗涤费录入!K38</f>
        <v>0</v>
      </c>
      <c r="L38" s="213">
        <f>$E38*洗涤费录入!L38</f>
        <v>0</v>
      </c>
      <c r="M38" s="213">
        <f>$E38*洗涤费录入!M38</f>
        <v>0</v>
      </c>
      <c r="N38" s="213">
        <f>$E38*洗涤费录入!N38</f>
        <v>0</v>
      </c>
      <c r="O38" s="213">
        <f>$E38*洗涤费录入!O38</f>
        <v>0</v>
      </c>
      <c r="P38" s="213">
        <f>$E38*洗涤费录入!P38</f>
        <v>0</v>
      </c>
      <c r="Q38" s="213">
        <f>$E38*洗涤费录入!Q38</f>
        <v>0</v>
      </c>
      <c r="R38" s="213">
        <f>$E38*洗涤费录入!R38</f>
        <v>0</v>
      </c>
      <c r="S38" s="213">
        <f>$E38*洗涤费录入!S38</f>
        <v>0</v>
      </c>
      <c r="T38" s="213">
        <f>$E38*洗涤费录入!T38</f>
        <v>0</v>
      </c>
      <c r="U38" s="213">
        <f>$E38*洗涤费录入!U38</f>
        <v>0</v>
      </c>
      <c r="V38" s="213">
        <f>$E38*洗涤费录入!V38</f>
        <v>0</v>
      </c>
      <c r="W38" s="213">
        <f>$E38*洗涤费录入!W38</f>
        <v>0</v>
      </c>
      <c r="X38" s="213">
        <f>$E38*洗涤费录入!X38</f>
        <v>0</v>
      </c>
      <c r="Y38" s="213">
        <f>$E38*洗涤费录入!Y38</f>
        <v>0</v>
      </c>
      <c r="Z38" s="213">
        <f>$E38*洗涤费录入!Z38</f>
        <v>0</v>
      </c>
      <c r="AA38" s="213">
        <f>$E38*洗涤费录入!AA38</f>
        <v>0</v>
      </c>
      <c r="AB38" s="213">
        <f>$E38*洗涤费录入!AB38</f>
        <v>0</v>
      </c>
      <c r="AC38" s="213">
        <f>$E38*洗涤费录入!AC38</f>
        <v>0</v>
      </c>
      <c r="AD38" s="213">
        <f>$E38*洗涤费录入!AD38</f>
        <v>0</v>
      </c>
      <c r="AE38" s="213">
        <f>$E38*洗涤费录入!AE38</f>
        <v>0</v>
      </c>
      <c r="AF38" s="213">
        <f>$E38*洗涤费录入!AF38</f>
        <v>0</v>
      </c>
      <c r="AG38" s="213">
        <f>$E38*洗涤费录入!AG38</f>
        <v>0</v>
      </c>
      <c r="AH38" s="213">
        <f>$E38*洗涤费录入!AH38</f>
        <v>0</v>
      </c>
      <c r="AI38" s="213">
        <f>$E38*洗涤费录入!AI38</f>
        <v>0</v>
      </c>
      <c r="AJ38" s="213">
        <f>$E38*洗涤费录入!AJ38</f>
        <v>0</v>
      </c>
      <c r="AK38" s="213">
        <f>$E38*洗涤费录入!AK38</f>
        <v>0</v>
      </c>
      <c r="AL38" s="213">
        <f>$E38*洗涤费录入!AL38</f>
        <v>0</v>
      </c>
    </row>
    <row r="39" s="178" customFormat="1" customHeight="1" spans="1:38">
      <c r="A39" s="161">
        <v>35</v>
      </c>
      <c r="B39" s="212">
        <f>洗涤费录入!B39</f>
        <v>0</v>
      </c>
      <c r="C39" s="212">
        <f>洗涤费录入!C39</f>
        <v>0</v>
      </c>
      <c r="D39" s="212">
        <f>洗涤费录入!D39</f>
        <v>0</v>
      </c>
      <c r="E39" s="212">
        <f>洗涤费录入!E39</f>
        <v>0</v>
      </c>
      <c r="F39" s="212">
        <f>洗涤费录入!F39</f>
        <v>0</v>
      </c>
      <c r="G39" s="212">
        <f>洗涤费录入!G39</f>
        <v>0</v>
      </c>
      <c r="H39" s="213">
        <f>$E39*洗涤费录入!H39</f>
        <v>0</v>
      </c>
      <c r="I39" s="213">
        <f>$E39*洗涤费录入!I39</f>
        <v>0</v>
      </c>
      <c r="J39" s="213">
        <f>$E39*洗涤费录入!J39</f>
        <v>0</v>
      </c>
      <c r="K39" s="213">
        <f>$E39*洗涤费录入!K39</f>
        <v>0</v>
      </c>
      <c r="L39" s="213">
        <f>$E39*洗涤费录入!L39</f>
        <v>0</v>
      </c>
      <c r="M39" s="213">
        <f>$E39*洗涤费录入!M39</f>
        <v>0</v>
      </c>
      <c r="N39" s="213">
        <f>$E39*洗涤费录入!N39</f>
        <v>0</v>
      </c>
      <c r="O39" s="213">
        <f>$E39*洗涤费录入!O39</f>
        <v>0</v>
      </c>
      <c r="P39" s="213">
        <f>$E39*洗涤费录入!P39</f>
        <v>0</v>
      </c>
      <c r="Q39" s="213">
        <f>$E39*洗涤费录入!Q39</f>
        <v>0</v>
      </c>
      <c r="R39" s="213">
        <f>$E39*洗涤费录入!R39</f>
        <v>0</v>
      </c>
      <c r="S39" s="213">
        <f>$E39*洗涤费录入!S39</f>
        <v>0</v>
      </c>
      <c r="T39" s="213">
        <f>$E39*洗涤费录入!T39</f>
        <v>0</v>
      </c>
      <c r="U39" s="213">
        <f>$E39*洗涤费录入!U39</f>
        <v>0</v>
      </c>
      <c r="V39" s="213">
        <f>$E39*洗涤费录入!V39</f>
        <v>0</v>
      </c>
      <c r="W39" s="213">
        <f>$E39*洗涤费录入!W39</f>
        <v>0</v>
      </c>
      <c r="X39" s="213">
        <f>$E39*洗涤费录入!X39</f>
        <v>0</v>
      </c>
      <c r="Y39" s="213">
        <f>$E39*洗涤费录入!Y39</f>
        <v>0</v>
      </c>
      <c r="Z39" s="213">
        <f>$E39*洗涤费录入!Z39</f>
        <v>0</v>
      </c>
      <c r="AA39" s="213">
        <f>$E39*洗涤费录入!AA39</f>
        <v>0</v>
      </c>
      <c r="AB39" s="213">
        <f>$E39*洗涤费录入!AB39</f>
        <v>0</v>
      </c>
      <c r="AC39" s="213">
        <f>$E39*洗涤费录入!AC39</f>
        <v>0</v>
      </c>
      <c r="AD39" s="213">
        <f>$E39*洗涤费录入!AD39</f>
        <v>0</v>
      </c>
      <c r="AE39" s="213">
        <f>$E39*洗涤费录入!AE39</f>
        <v>0</v>
      </c>
      <c r="AF39" s="213">
        <f>$E39*洗涤费录入!AF39</f>
        <v>0</v>
      </c>
      <c r="AG39" s="213">
        <f>$E39*洗涤费录入!AG39</f>
        <v>0</v>
      </c>
      <c r="AH39" s="213">
        <f>$E39*洗涤费录入!AH39</f>
        <v>0</v>
      </c>
      <c r="AI39" s="213">
        <f>$E39*洗涤费录入!AI39</f>
        <v>0</v>
      </c>
      <c r="AJ39" s="213">
        <f>$E39*洗涤费录入!AJ39</f>
        <v>0</v>
      </c>
      <c r="AK39" s="213">
        <f>$E39*洗涤费录入!AK39</f>
        <v>0</v>
      </c>
      <c r="AL39" s="213">
        <f>$E39*洗涤费录入!AL39</f>
        <v>0</v>
      </c>
    </row>
    <row r="40" s="178" customFormat="1" customHeight="1" spans="1:38">
      <c r="A40" s="161">
        <v>36</v>
      </c>
      <c r="B40" s="212">
        <f>洗涤费录入!B40</f>
        <v>0</v>
      </c>
      <c r="C40" s="212">
        <f>洗涤费录入!C40</f>
        <v>0</v>
      </c>
      <c r="D40" s="212">
        <f>洗涤费录入!D40</f>
        <v>0</v>
      </c>
      <c r="E40" s="212">
        <f>洗涤费录入!E40</f>
        <v>0</v>
      </c>
      <c r="F40" s="212">
        <f>洗涤费录入!F40</f>
        <v>0</v>
      </c>
      <c r="G40" s="212">
        <f>洗涤费录入!G40</f>
        <v>0</v>
      </c>
      <c r="H40" s="213">
        <f>$E40*洗涤费录入!H40</f>
        <v>0</v>
      </c>
      <c r="I40" s="213">
        <f>$E40*洗涤费录入!I40</f>
        <v>0</v>
      </c>
      <c r="J40" s="213">
        <f>$E40*洗涤费录入!J40</f>
        <v>0</v>
      </c>
      <c r="K40" s="213">
        <f>$E40*洗涤费录入!K40</f>
        <v>0</v>
      </c>
      <c r="L40" s="213">
        <f>$E40*洗涤费录入!L40</f>
        <v>0</v>
      </c>
      <c r="M40" s="213">
        <f>$E40*洗涤费录入!M40</f>
        <v>0</v>
      </c>
      <c r="N40" s="213">
        <f>$E40*洗涤费录入!N40</f>
        <v>0</v>
      </c>
      <c r="O40" s="213">
        <f>$E40*洗涤费录入!O40</f>
        <v>0</v>
      </c>
      <c r="P40" s="213">
        <f>$E40*洗涤费录入!P40</f>
        <v>0</v>
      </c>
      <c r="Q40" s="213">
        <f>$E40*洗涤费录入!Q40</f>
        <v>0</v>
      </c>
      <c r="R40" s="213">
        <f>$E40*洗涤费录入!R40</f>
        <v>0</v>
      </c>
      <c r="S40" s="213">
        <f>$E40*洗涤费录入!S40</f>
        <v>0</v>
      </c>
      <c r="T40" s="213">
        <f>$E40*洗涤费录入!T40</f>
        <v>0</v>
      </c>
      <c r="U40" s="213">
        <f>$E40*洗涤费录入!U40</f>
        <v>0</v>
      </c>
      <c r="V40" s="213">
        <f>$E40*洗涤费录入!V40</f>
        <v>0</v>
      </c>
      <c r="W40" s="213">
        <f>$E40*洗涤费录入!W40</f>
        <v>0</v>
      </c>
      <c r="X40" s="213">
        <f>$E40*洗涤费录入!X40</f>
        <v>0</v>
      </c>
      <c r="Y40" s="213">
        <f>$E40*洗涤费录入!Y40</f>
        <v>0</v>
      </c>
      <c r="Z40" s="213">
        <f>$E40*洗涤费录入!Z40</f>
        <v>0</v>
      </c>
      <c r="AA40" s="213">
        <f>$E40*洗涤费录入!AA40</f>
        <v>0</v>
      </c>
      <c r="AB40" s="213">
        <f>$E40*洗涤费录入!AB40</f>
        <v>0</v>
      </c>
      <c r="AC40" s="213">
        <f>$E40*洗涤费录入!AC40</f>
        <v>0</v>
      </c>
      <c r="AD40" s="213">
        <f>$E40*洗涤费录入!AD40</f>
        <v>0</v>
      </c>
      <c r="AE40" s="213">
        <f>$E40*洗涤费录入!AE40</f>
        <v>0</v>
      </c>
      <c r="AF40" s="213">
        <f>$E40*洗涤费录入!AF40</f>
        <v>0</v>
      </c>
      <c r="AG40" s="213">
        <f>$E40*洗涤费录入!AG40</f>
        <v>0</v>
      </c>
      <c r="AH40" s="213">
        <f>$E40*洗涤费录入!AH40</f>
        <v>0</v>
      </c>
      <c r="AI40" s="213">
        <f>$E40*洗涤费录入!AI40</f>
        <v>0</v>
      </c>
      <c r="AJ40" s="213">
        <f>$E40*洗涤费录入!AJ40</f>
        <v>0</v>
      </c>
      <c r="AK40" s="213">
        <f>$E40*洗涤费录入!AK40</f>
        <v>0</v>
      </c>
      <c r="AL40" s="213">
        <f>$E40*洗涤费录入!AL40</f>
        <v>0</v>
      </c>
    </row>
    <row r="41" s="178" customFormat="1" customHeight="1" spans="1:38">
      <c r="A41" s="161">
        <v>37</v>
      </c>
      <c r="B41" s="212">
        <f>洗涤费录入!B41</f>
        <v>0</v>
      </c>
      <c r="C41" s="212">
        <f>洗涤费录入!C41</f>
        <v>0</v>
      </c>
      <c r="D41" s="212">
        <f>洗涤费录入!D41</f>
        <v>0</v>
      </c>
      <c r="E41" s="212">
        <f>洗涤费录入!E41</f>
        <v>0</v>
      </c>
      <c r="F41" s="212">
        <f>洗涤费录入!F41</f>
        <v>0</v>
      </c>
      <c r="G41" s="212">
        <f>洗涤费录入!G41</f>
        <v>0</v>
      </c>
      <c r="H41" s="213">
        <f>$E41*洗涤费录入!H41</f>
        <v>0</v>
      </c>
      <c r="I41" s="213">
        <f>$E41*洗涤费录入!I41</f>
        <v>0</v>
      </c>
      <c r="J41" s="213">
        <f>$E41*洗涤费录入!J41</f>
        <v>0</v>
      </c>
      <c r="K41" s="213">
        <f>$E41*洗涤费录入!K41</f>
        <v>0</v>
      </c>
      <c r="L41" s="213">
        <f>$E41*洗涤费录入!L41</f>
        <v>0</v>
      </c>
      <c r="M41" s="213">
        <f>$E41*洗涤费录入!M41</f>
        <v>0</v>
      </c>
      <c r="N41" s="213">
        <f>$E41*洗涤费录入!N41</f>
        <v>0</v>
      </c>
      <c r="O41" s="213">
        <f>$E41*洗涤费录入!O41</f>
        <v>0</v>
      </c>
      <c r="P41" s="213">
        <f>$E41*洗涤费录入!P41</f>
        <v>0</v>
      </c>
      <c r="Q41" s="213">
        <f>$E41*洗涤费录入!Q41</f>
        <v>0</v>
      </c>
      <c r="R41" s="213">
        <f>$E41*洗涤费录入!R41</f>
        <v>0</v>
      </c>
      <c r="S41" s="213">
        <f>$E41*洗涤费录入!S41</f>
        <v>0</v>
      </c>
      <c r="T41" s="213">
        <f>$E41*洗涤费录入!T41</f>
        <v>0</v>
      </c>
      <c r="U41" s="213">
        <f>$E41*洗涤费录入!U41</f>
        <v>0</v>
      </c>
      <c r="V41" s="213">
        <f>$E41*洗涤费录入!V41</f>
        <v>0</v>
      </c>
      <c r="W41" s="213">
        <f>$E41*洗涤费录入!W41</f>
        <v>0</v>
      </c>
      <c r="X41" s="213">
        <f>$E41*洗涤费录入!X41</f>
        <v>0</v>
      </c>
      <c r="Y41" s="213">
        <f>$E41*洗涤费录入!Y41</f>
        <v>0</v>
      </c>
      <c r="Z41" s="213">
        <f>$E41*洗涤费录入!Z41</f>
        <v>0</v>
      </c>
      <c r="AA41" s="213">
        <f>$E41*洗涤费录入!AA41</f>
        <v>0</v>
      </c>
      <c r="AB41" s="213">
        <f>$E41*洗涤费录入!AB41</f>
        <v>0</v>
      </c>
      <c r="AC41" s="213">
        <f>$E41*洗涤费录入!AC41</f>
        <v>0</v>
      </c>
      <c r="AD41" s="213">
        <f>$E41*洗涤费录入!AD41</f>
        <v>0</v>
      </c>
      <c r="AE41" s="213">
        <f>$E41*洗涤费录入!AE41</f>
        <v>0</v>
      </c>
      <c r="AF41" s="213">
        <f>$E41*洗涤费录入!AF41</f>
        <v>0</v>
      </c>
      <c r="AG41" s="213">
        <f>$E41*洗涤费录入!AG41</f>
        <v>0</v>
      </c>
      <c r="AH41" s="213">
        <f>$E41*洗涤费录入!AH41</f>
        <v>0</v>
      </c>
      <c r="AI41" s="213">
        <f>$E41*洗涤费录入!AI41</f>
        <v>0</v>
      </c>
      <c r="AJ41" s="213">
        <f>$E41*洗涤费录入!AJ41</f>
        <v>0</v>
      </c>
      <c r="AK41" s="213">
        <f>$E41*洗涤费录入!AK41</f>
        <v>0</v>
      </c>
      <c r="AL41" s="213">
        <f>$E41*洗涤费录入!AL41</f>
        <v>0</v>
      </c>
    </row>
    <row r="42" s="178" customFormat="1" customHeight="1" spans="1:38">
      <c r="A42" s="161">
        <v>38</v>
      </c>
      <c r="B42" s="212">
        <f>洗涤费录入!B42</f>
        <v>0</v>
      </c>
      <c r="C42" s="212">
        <f>洗涤费录入!C42</f>
        <v>0</v>
      </c>
      <c r="D42" s="212">
        <f>洗涤费录入!D42</f>
        <v>0</v>
      </c>
      <c r="E42" s="212">
        <f>洗涤费录入!E42</f>
        <v>0</v>
      </c>
      <c r="F42" s="212">
        <f>洗涤费录入!F42</f>
        <v>0</v>
      </c>
      <c r="G42" s="212">
        <f>洗涤费录入!G42</f>
        <v>0</v>
      </c>
      <c r="H42" s="213">
        <f>$E42*洗涤费录入!H42</f>
        <v>0</v>
      </c>
      <c r="I42" s="213">
        <f>$E42*洗涤费录入!I42</f>
        <v>0</v>
      </c>
      <c r="J42" s="213">
        <f>$E42*洗涤费录入!J42</f>
        <v>0</v>
      </c>
      <c r="K42" s="213">
        <f>$E42*洗涤费录入!K42</f>
        <v>0</v>
      </c>
      <c r="L42" s="213">
        <f>$E42*洗涤费录入!L42</f>
        <v>0</v>
      </c>
      <c r="M42" s="213">
        <f>$E42*洗涤费录入!M42</f>
        <v>0</v>
      </c>
      <c r="N42" s="213">
        <f>$E42*洗涤费录入!N42</f>
        <v>0</v>
      </c>
      <c r="O42" s="213">
        <f>$E42*洗涤费录入!O42</f>
        <v>0</v>
      </c>
      <c r="P42" s="213">
        <f>$E42*洗涤费录入!P42</f>
        <v>0</v>
      </c>
      <c r="Q42" s="213">
        <f>$E42*洗涤费录入!Q42</f>
        <v>0</v>
      </c>
      <c r="R42" s="213">
        <f>$E42*洗涤费录入!R42</f>
        <v>0</v>
      </c>
      <c r="S42" s="213">
        <f>$E42*洗涤费录入!S42</f>
        <v>0</v>
      </c>
      <c r="T42" s="213">
        <f>$E42*洗涤费录入!T42</f>
        <v>0</v>
      </c>
      <c r="U42" s="213">
        <f>$E42*洗涤费录入!U42</f>
        <v>0</v>
      </c>
      <c r="V42" s="213">
        <f>$E42*洗涤费录入!V42</f>
        <v>0</v>
      </c>
      <c r="W42" s="213">
        <f>$E42*洗涤费录入!W42</f>
        <v>0</v>
      </c>
      <c r="X42" s="213">
        <f>$E42*洗涤费录入!X42</f>
        <v>0</v>
      </c>
      <c r="Y42" s="213">
        <f>$E42*洗涤费录入!Y42</f>
        <v>0</v>
      </c>
      <c r="Z42" s="213">
        <f>$E42*洗涤费录入!Z42</f>
        <v>0</v>
      </c>
      <c r="AA42" s="213">
        <f>$E42*洗涤费录入!AA42</f>
        <v>0</v>
      </c>
      <c r="AB42" s="213">
        <f>$E42*洗涤费录入!AB42</f>
        <v>0</v>
      </c>
      <c r="AC42" s="213">
        <f>$E42*洗涤费录入!AC42</f>
        <v>0</v>
      </c>
      <c r="AD42" s="213">
        <f>$E42*洗涤费录入!AD42</f>
        <v>0</v>
      </c>
      <c r="AE42" s="213">
        <f>$E42*洗涤费录入!AE42</f>
        <v>0</v>
      </c>
      <c r="AF42" s="213">
        <f>$E42*洗涤费录入!AF42</f>
        <v>0</v>
      </c>
      <c r="AG42" s="213">
        <f>$E42*洗涤费录入!AG42</f>
        <v>0</v>
      </c>
      <c r="AH42" s="213">
        <f>$E42*洗涤费录入!AH42</f>
        <v>0</v>
      </c>
      <c r="AI42" s="213">
        <f>$E42*洗涤费录入!AI42</f>
        <v>0</v>
      </c>
      <c r="AJ42" s="213">
        <f>$E42*洗涤费录入!AJ42</f>
        <v>0</v>
      </c>
      <c r="AK42" s="213">
        <f>$E42*洗涤费录入!AK42</f>
        <v>0</v>
      </c>
      <c r="AL42" s="213">
        <f>$E42*洗涤费录入!AL42</f>
        <v>0</v>
      </c>
    </row>
    <row r="43" s="178" customFormat="1" customHeight="1" spans="1:38">
      <c r="A43" s="161">
        <v>39</v>
      </c>
      <c r="B43" s="212">
        <f>洗涤费录入!B43</f>
        <v>0</v>
      </c>
      <c r="C43" s="212">
        <f>洗涤费录入!C43</f>
        <v>0</v>
      </c>
      <c r="D43" s="212">
        <f>洗涤费录入!D43</f>
        <v>0</v>
      </c>
      <c r="E43" s="212">
        <f>洗涤费录入!E43</f>
        <v>0</v>
      </c>
      <c r="F43" s="212">
        <f>洗涤费录入!F43</f>
        <v>0</v>
      </c>
      <c r="G43" s="212">
        <f>洗涤费录入!G43</f>
        <v>0</v>
      </c>
      <c r="H43" s="213">
        <f>$E43*洗涤费录入!H43</f>
        <v>0</v>
      </c>
      <c r="I43" s="213">
        <f>$E43*洗涤费录入!I43</f>
        <v>0</v>
      </c>
      <c r="J43" s="213">
        <f>$E43*洗涤费录入!J43</f>
        <v>0</v>
      </c>
      <c r="K43" s="213">
        <f>$E43*洗涤费录入!K43</f>
        <v>0</v>
      </c>
      <c r="L43" s="213">
        <f>$E43*洗涤费录入!L43</f>
        <v>0</v>
      </c>
      <c r="M43" s="213">
        <f>$E43*洗涤费录入!M43</f>
        <v>0</v>
      </c>
      <c r="N43" s="213">
        <f>$E43*洗涤费录入!N43</f>
        <v>0</v>
      </c>
      <c r="O43" s="213">
        <f>$E43*洗涤费录入!O43</f>
        <v>0</v>
      </c>
      <c r="P43" s="213">
        <f>$E43*洗涤费录入!P43</f>
        <v>0</v>
      </c>
      <c r="Q43" s="213">
        <f>$E43*洗涤费录入!Q43</f>
        <v>0</v>
      </c>
      <c r="R43" s="213">
        <f>$E43*洗涤费录入!R43</f>
        <v>0</v>
      </c>
      <c r="S43" s="213">
        <f>$E43*洗涤费录入!S43</f>
        <v>0</v>
      </c>
      <c r="T43" s="213">
        <f>$E43*洗涤费录入!T43</f>
        <v>0</v>
      </c>
      <c r="U43" s="213">
        <f>$E43*洗涤费录入!U43</f>
        <v>0</v>
      </c>
      <c r="V43" s="213">
        <f>$E43*洗涤费录入!V43</f>
        <v>0</v>
      </c>
      <c r="W43" s="213">
        <f>$E43*洗涤费录入!W43</f>
        <v>0</v>
      </c>
      <c r="X43" s="213">
        <f>$E43*洗涤费录入!X43</f>
        <v>0</v>
      </c>
      <c r="Y43" s="213">
        <f>$E43*洗涤费录入!Y43</f>
        <v>0</v>
      </c>
      <c r="Z43" s="213">
        <f>$E43*洗涤费录入!Z43</f>
        <v>0</v>
      </c>
      <c r="AA43" s="213">
        <f>$E43*洗涤费录入!AA43</f>
        <v>0</v>
      </c>
      <c r="AB43" s="213">
        <f>$E43*洗涤费录入!AB43</f>
        <v>0</v>
      </c>
      <c r="AC43" s="213">
        <f>$E43*洗涤费录入!AC43</f>
        <v>0</v>
      </c>
      <c r="AD43" s="213">
        <f>$E43*洗涤费录入!AD43</f>
        <v>0</v>
      </c>
      <c r="AE43" s="213">
        <f>$E43*洗涤费录入!AE43</f>
        <v>0</v>
      </c>
      <c r="AF43" s="213">
        <f>$E43*洗涤费录入!AF43</f>
        <v>0</v>
      </c>
      <c r="AG43" s="213">
        <f>$E43*洗涤费录入!AG43</f>
        <v>0</v>
      </c>
      <c r="AH43" s="213">
        <f>$E43*洗涤费录入!AH43</f>
        <v>0</v>
      </c>
      <c r="AI43" s="213">
        <f>$E43*洗涤费录入!AI43</f>
        <v>0</v>
      </c>
      <c r="AJ43" s="213">
        <f>$E43*洗涤费录入!AJ43</f>
        <v>0</v>
      </c>
      <c r="AK43" s="213">
        <f>$E43*洗涤费录入!AK43</f>
        <v>0</v>
      </c>
      <c r="AL43" s="213">
        <f>$E43*洗涤费录入!AL43</f>
        <v>0</v>
      </c>
    </row>
    <row r="44" s="178" customFormat="1" customHeight="1" spans="1:38">
      <c r="A44" s="161">
        <v>40</v>
      </c>
      <c r="B44" s="212">
        <f>洗涤费录入!B44</f>
        <v>0</v>
      </c>
      <c r="C44" s="212">
        <f>洗涤费录入!C44</f>
        <v>0</v>
      </c>
      <c r="D44" s="212">
        <f>洗涤费录入!D44</f>
        <v>0</v>
      </c>
      <c r="E44" s="212">
        <f>洗涤费录入!E44</f>
        <v>0</v>
      </c>
      <c r="F44" s="212">
        <f>洗涤费录入!F44</f>
        <v>0</v>
      </c>
      <c r="G44" s="212">
        <f>洗涤费录入!G44</f>
        <v>0</v>
      </c>
      <c r="H44" s="213">
        <f>$E44*洗涤费录入!H44</f>
        <v>0</v>
      </c>
      <c r="I44" s="213">
        <f>$E44*洗涤费录入!I44</f>
        <v>0</v>
      </c>
      <c r="J44" s="213">
        <f>$E44*洗涤费录入!J44</f>
        <v>0</v>
      </c>
      <c r="K44" s="213">
        <f>$E44*洗涤费录入!K44</f>
        <v>0</v>
      </c>
      <c r="L44" s="213">
        <f>$E44*洗涤费录入!L44</f>
        <v>0</v>
      </c>
      <c r="M44" s="213">
        <f>$E44*洗涤费录入!M44</f>
        <v>0</v>
      </c>
      <c r="N44" s="213">
        <f>$E44*洗涤费录入!N44</f>
        <v>0</v>
      </c>
      <c r="O44" s="213">
        <f>$E44*洗涤费录入!O44</f>
        <v>0</v>
      </c>
      <c r="P44" s="213">
        <f>$E44*洗涤费录入!P44</f>
        <v>0</v>
      </c>
      <c r="Q44" s="213">
        <f>$E44*洗涤费录入!Q44</f>
        <v>0</v>
      </c>
      <c r="R44" s="213">
        <f>$E44*洗涤费录入!R44</f>
        <v>0</v>
      </c>
      <c r="S44" s="213">
        <f>$E44*洗涤费录入!S44</f>
        <v>0</v>
      </c>
      <c r="T44" s="213">
        <f>$E44*洗涤费录入!T44</f>
        <v>0</v>
      </c>
      <c r="U44" s="213">
        <f>$E44*洗涤费录入!U44</f>
        <v>0</v>
      </c>
      <c r="V44" s="213">
        <f>$E44*洗涤费录入!V44</f>
        <v>0</v>
      </c>
      <c r="W44" s="213">
        <f>$E44*洗涤费录入!W44</f>
        <v>0</v>
      </c>
      <c r="X44" s="213">
        <f>$E44*洗涤费录入!X44</f>
        <v>0</v>
      </c>
      <c r="Y44" s="213">
        <f>$E44*洗涤费录入!Y44</f>
        <v>0</v>
      </c>
      <c r="Z44" s="213">
        <f>$E44*洗涤费录入!Z44</f>
        <v>0</v>
      </c>
      <c r="AA44" s="213">
        <f>$E44*洗涤费录入!AA44</f>
        <v>0</v>
      </c>
      <c r="AB44" s="213">
        <f>$E44*洗涤费录入!AB44</f>
        <v>0</v>
      </c>
      <c r="AC44" s="213">
        <f>$E44*洗涤费录入!AC44</f>
        <v>0</v>
      </c>
      <c r="AD44" s="213">
        <f>$E44*洗涤费录入!AD44</f>
        <v>0</v>
      </c>
      <c r="AE44" s="213">
        <f>$E44*洗涤费录入!AE44</f>
        <v>0</v>
      </c>
      <c r="AF44" s="213">
        <f>$E44*洗涤费录入!AF44</f>
        <v>0</v>
      </c>
      <c r="AG44" s="213">
        <f>$E44*洗涤费录入!AG44</f>
        <v>0</v>
      </c>
      <c r="AH44" s="213">
        <f>$E44*洗涤费录入!AH44</f>
        <v>0</v>
      </c>
      <c r="AI44" s="213">
        <f>$E44*洗涤费录入!AI44</f>
        <v>0</v>
      </c>
      <c r="AJ44" s="213">
        <f>$E44*洗涤费录入!AJ44</f>
        <v>0</v>
      </c>
      <c r="AK44" s="213">
        <f>$E44*洗涤费录入!AK44</f>
        <v>0</v>
      </c>
      <c r="AL44" s="213">
        <f>$E44*洗涤费录入!AL44</f>
        <v>0</v>
      </c>
    </row>
    <row r="45" customHeight="1" spans="1:38">
      <c r="A45" s="161">
        <v>41</v>
      </c>
      <c r="B45" s="214" t="str">
        <f>洗涤费录入!B45</f>
        <v>洗涤费</v>
      </c>
      <c r="C45" s="212">
        <f>洗涤费录入!C45</f>
        <v>0</v>
      </c>
      <c r="D45" s="212">
        <f>洗涤费录入!D45</f>
        <v>0</v>
      </c>
      <c r="E45" s="212">
        <f>洗涤费录入!E45</f>
        <v>0</v>
      </c>
      <c r="F45" s="212">
        <f t="shared" ref="F45:AL45" si="0">SUM(F5:F44)</f>
        <v>33251</v>
      </c>
      <c r="G45" s="212">
        <f t="shared" si="0"/>
        <v>31120.9</v>
      </c>
      <c r="H45" s="212">
        <f t="shared" si="0"/>
        <v>965.98</v>
      </c>
      <c r="I45" s="212">
        <f t="shared" si="0"/>
        <v>725.46</v>
      </c>
      <c r="J45" s="212">
        <f t="shared" si="0"/>
        <v>773.46</v>
      </c>
      <c r="K45" s="212">
        <f t="shared" si="0"/>
        <v>845.4</v>
      </c>
      <c r="L45" s="212">
        <f t="shared" si="0"/>
        <v>1119.84</v>
      </c>
      <c r="M45" s="212">
        <f t="shared" si="0"/>
        <v>1211.56</v>
      </c>
      <c r="N45" s="212">
        <f t="shared" si="0"/>
        <v>997.02</v>
      </c>
      <c r="O45" s="212">
        <f t="shared" si="0"/>
        <v>985.85</v>
      </c>
      <c r="P45" s="212">
        <f t="shared" si="0"/>
        <v>1128.85</v>
      </c>
      <c r="Q45" s="212">
        <f t="shared" si="0"/>
        <v>968.75</v>
      </c>
      <c r="R45" s="212">
        <f t="shared" si="0"/>
        <v>1174.86</v>
      </c>
      <c r="S45" s="212">
        <f t="shared" si="0"/>
        <v>1208.5</v>
      </c>
      <c r="T45" s="212">
        <f t="shared" si="0"/>
        <v>1128.23</v>
      </c>
      <c r="U45" s="212">
        <f t="shared" si="0"/>
        <v>963.79</v>
      </c>
      <c r="V45" s="212">
        <f t="shared" si="0"/>
        <v>802.32</v>
      </c>
      <c r="W45" s="212">
        <f t="shared" si="0"/>
        <v>830.92</v>
      </c>
      <c r="X45" s="212">
        <f t="shared" si="0"/>
        <v>1200.16</v>
      </c>
      <c r="Y45" s="212">
        <f t="shared" si="0"/>
        <v>1264.58</v>
      </c>
      <c r="Z45" s="212">
        <f t="shared" si="0"/>
        <v>1156.68</v>
      </c>
      <c r="AA45" s="212">
        <f t="shared" si="0"/>
        <v>1211.36</v>
      </c>
      <c r="AB45" s="212">
        <f t="shared" si="0"/>
        <v>1130.63</v>
      </c>
      <c r="AC45" s="212">
        <f t="shared" si="0"/>
        <v>883.08</v>
      </c>
      <c r="AD45" s="212">
        <f t="shared" si="0"/>
        <v>886.49</v>
      </c>
      <c r="AE45" s="212">
        <f t="shared" si="0"/>
        <v>827.83</v>
      </c>
      <c r="AF45" s="212">
        <f t="shared" si="0"/>
        <v>992.09</v>
      </c>
      <c r="AG45" s="212">
        <f t="shared" si="0"/>
        <v>940.71</v>
      </c>
      <c r="AH45" s="212">
        <f t="shared" si="0"/>
        <v>1207.23</v>
      </c>
      <c r="AI45" s="212">
        <f t="shared" si="0"/>
        <v>693.17</v>
      </c>
      <c r="AJ45" s="212">
        <f t="shared" si="0"/>
        <v>818.81</v>
      </c>
      <c r="AK45" s="212">
        <f t="shared" si="0"/>
        <v>1093.81</v>
      </c>
      <c r="AL45" s="212">
        <f t="shared" si="0"/>
        <v>983.48</v>
      </c>
    </row>
  </sheetData>
  <sheetProtection formatCells="0" formatColumns="0" formatRows="0" insertRows="0" insertColumns="0" insertHyperlinks="0" deleteColumns="0" deleteRows="0" sort="0" autoFilter="0" pivotTables="0"/>
  <mergeCells count="7">
    <mergeCell ref="A3:A4"/>
    <mergeCell ref="B3:B4"/>
    <mergeCell ref="C3:C4"/>
    <mergeCell ref="D3:D4"/>
    <mergeCell ref="E3:E4"/>
    <mergeCell ref="F3:F4"/>
    <mergeCell ref="G3:G4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客房提成2">
    <tabColor rgb="FFFF0000"/>
  </sheetPr>
  <dimension ref="A1:AF2"/>
  <sheetViews>
    <sheetView workbookViewId="0">
      <selection activeCell="AE2" sqref="AE2:AF2"/>
    </sheetView>
  </sheetViews>
  <sheetFormatPr defaultColWidth="9.81666666666667" defaultRowHeight="13.5" outlineLevelRow="1"/>
  <cols>
    <col min="1" max="31" width="8.83333333333333" style="3" customWidth="1"/>
  </cols>
  <sheetData>
    <row r="1" spans="1:32">
      <c r="A1" s="49" t="s">
        <v>339</v>
      </c>
      <c r="B1" s="206">
        <v>46143</v>
      </c>
      <c r="C1" s="206">
        <v>46144</v>
      </c>
      <c r="D1" s="206">
        <v>46145</v>
      </c>
      <c r="E1" s="206">
        <v>46146</v>
      </c>
      <c r="F1" s="206">
        <v>46147</v>
      </c>
      <c r="G1" s="206">
        <v>46148</v>
      </c>
      <c r="H1" s="206">
        <v>46149</v>
      </c>
      <c r="I1" s="206">
        <v>46150</v>
      </c>
      <c r="J1" s="206">
        <v>46151</v>
      </c>
      <c r="K1" s="206">
        <v>46152</v>
      </c>
      <c r="L1" s="206">
        <v>46153</v>
      </c>
      <c r="M1" s="206">
        <v>46154</v>
      </c>
      <c r="N1" s="206">
        <v>46155</v>
      </c>
      <c r="O1" s="206">
        <v>46156</v>
      </c>
      <c r="P1" s="206">
        <v>46157</v>
      </c>
      <c r="Q1" s="206">
        <v>46158</v>
      </c>
      <c r="R1" s="206">
        <v>46159</v>
      </c>
      <c r="S1" s="206">
        <v>46160</v>
      </c>
      <c r="T1" s="206">
        <v>46161</v>
      </c>
      <c r="U1" s="206">
        <v>46162</v>
      </c>
      <c r="V1" s="206">
        <v>46163</v>
      </c>
      <c r="W1" s="206">
        <v>46164</v>
      </c>
      <c r="X1" s="206">
        <v>46165</v>
      </c>
      <c r="Y1" s="206">
        <v>46166</v>
      </c>
      <c r="Z1" s="206">
        <v>46167</v>
      </c>
      <c r="AA1" s="206">
        <v>46168</v>
      </c>
      <c r="AB1" s="206">
        <v>46169</v>
      </c>
      <c r="AC1" s="206">
        <v>46170</v>
      </c>
      <c r="AD1" s="206">
        <v>46171</v>
      </c>
      <c r="AE1" s="206">
        <v>46172</v>
      </c>
      <c r="AF1" s="206">
        <v>46173</v>
      </c>
    </row>
    <row r="2" ht="16.5" spans="1:32">
      <c r="A2" s="49" t="s">
        <v>8</v>
      </c>
      <c r="B2" s="207">
        <f>SUMIF(客房提成录入!$A:$A,B1,客房提成录入!$S:$S)</f>
        <v>0</v>
      </c>
      <c r="C2" s="207">
        <f>SUMIF(客房提成录入!$A:$A,C1,客房提成录入!$S:$S)</f>
        <v>0</v>
      </c>
      <c r="D2" s="207">
        <f>SUMIF(客房提成录入!$A:$A,D1,客房提成录入!$S:$S)</f>
        <v>0</v>
      </c>
      <c r="E2" s="207">
        <f>SUMIF(客房提成录入!$A:$A,E1,客房提成录入!$S:$S)</f>
        <v>0</v>
      </c>
      <c r="F2" s="207">
        <f>SUMIF(客房提成录入!$A:$A,F1,客房提成录入!$S:$S)</f>
        <v>0</v>
      </c>
      <c r="G2" s="207">
        <f>SUMIF(客房提成录入!$A:$A,G1,客房提成录入!$S:$S)</f>
        <v>0</v>
      </c>
      <c r="H2" s="207">
        <f>SUMIF(客房提成录入!$A:$A,H1,客房提成录入!$S:$S)</f>
        <v>0</v>
      </c>
      <c r="I2" s="207">
        <f>SUMIF(客房提成录入!$A:$A,I1,客房提成录入!$S:$S)</f>
        <v>0</v>
      </c>
      <c r="J2" s="207">
        <f>SUMIF(客房提成录入!$A:$A,J1,客房提成录入!$S:$S)</f>
        <v>0</v>
      </c>
      <c r="K2" s="207">
        <f>SUMIF(客房提成录入!$A:$A,K1,客房提成录入!$S:$S)</f>
        <v>0</v>
      </c>
      <c r="L2" s="207">
        <f>SUMIF(客房提成录入!$A:$A,L1,客房提成录入!$S:$S)</f>
        <v>0</v>
      </c>
      <c r="M2" s="207">
        <f>SUMIF(客房提成录入!$A:$A,M1,客房提成录入!$S:$S)</f>
        <v>0</v>
      </c>
      <c r="N2" s="207">
        <f>SUMIF(客房提成录入!$A:$A,N1,客房提成录入!$S:$S)</f>
        <v>0</v>
      </c>
      <c r="O2" s="207">
        <f>SUMIF(客房提成录入!$A:$A,O1,客房提成录入!$S:$S)</f>
        <v>0</v>
      </c>
      <c r="P2" s="207">
        <f>SUMIF(客房提成录入!$A:$A,P1,客房提成录入!$S:$S)</f>
        <v>0</v>
      </c>
      <c r="Q2" s="207">
        <f>SUMIF(客房提成录入!$A:$A,Q1,客房提成录入!$S:$S)</f>
        <v>0</v>
      </c>
      <c r="R2" s="207">
        <f>SUMIF(客房提成录入!$A:$A,R1,客房提成录入!$S:$S)</f>
        <v>0</v>
      </c>
      <c r="S2" s="207">
        <f>SUMIF(客房提成录入!$A:$A,S1,客房提成录入!$S:$S)</f>
        <v>0</v>
      </c>
      <c r="T2" s="207">
        <f>SUMIF(客房提成录入!$A:$A,T1,客房提成录入!$S:$S)</f>
        <v>0</v>
      </c>
      <c r="U2" s="207">
        <f>SUMIF(客房提成录入!$A:$A,U1,客房提成录入!$S:$S)</f>
        <v>0</v>
      </c>
      <c r="V2" s="207">
        <f>SUMIF(客房提成录入!$A:$A,V1,客房提成录入!$S:$S)</f>
        <v>0</v>
      </c>
      <c r="W2" s="207">
        <f>SUMIF(客房提成录入!$A:$A,W1,客房提成录入!$S:$S)</f>
        <v>0</v>
      </c>
      <c r="X2" s="207">
        <f>SUMIF(客房提成录入!$A:$A,X1,客房提成录入!$S:$S)</f>
        <v>0</v>
      </c>
      <c r="Y2" s="207">
        <f>SUMIF(客房提成录入!$A:$A,Y1,客房提成录入!$S:$S)</f>
        <v>0</v>
      </c>
      <c r="Z2" s="207">
        <f>SUMIF(客房提成录入!$A:$A,Z1,客房提成录入!$S:$S)</f>
        <v>0</v>
      </c>
      <c r="AA2" s="207">
        <f>SUMIF(客房提成录入!$A:$A,AA1,客房提成录入!$S:$S)</f>
        <v>0</v>
      </c>
      <c r="AB2" s="207">
        <f>SUMIF(客房提成录入!$A:$A,AB1,客房提成录入!$S:$S)</f>
        <v>0</v>
      </c>
      <c r="AC2" s="207">
        <f>SUMIF(客房提成录入!$A:$A,AC1,客房提成录入!$S:$S)</f>
        <v>0</v>
      </c>
      <c r="AD2" s="207">
        <f>SUMIF(客房提成录入!$A:$A,AD1,客房提成录入!$S:$S)</f>
        <v>0</v>
      </c>
      <c r="AE2" s="207">
        <f>SUMIF(客房提成录入!$A:$A,AE1,客房提成录入!$S:$S)</f>
        <v>0</v>
      </c>
      <c r="AF2" s="207">
        <f>SUMIF(客房提成录入!$A:$A,AF1,客房提成录入!$S:$S)</f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12"/>
  <sheetViews>
    <sheetView workbookViewId="0">
      <selection activeCell="L3" sqref="L3"/>
    </sheetView>
  </sheetViews>
  <sheetFormatPr defaultColWidth="8.275" defaultRowHeight="20" customHeight="1"/>
  <cols>
    <col min="1" max="40" width="8.275" style="132" customWidth="1"/>
    <col min="41" max="42" width="8.275" style="201" customWidth="1"/>
  </cols>
  <sheetData>
    <row r="1" s="129" customFormat="1" ht="27" customHeight="1" spans="1:42">
      <c r="A1" s="133" t="s">
        <v>76</v>
      </c>
      <c r="B1" s="133" t="s">
        <v>77</v>
      </c>
      <c r="C1" s="133" t="s">
        <v>78</v>
      </c>
      <c r="D1" s="133" t="s">
        <v>79</v>
      </c>
      <c r="E1" s="133" t="s">
        <v>80</v>
      </c>
      <c r="F1" s="133" t="s">
        <v>81</v>
      </c>
      <c r="G1" s="133" t="s">
        <v>82</v>
      </c>
      <c r="H1" s="133" t="s">
        <v>83</v>
      </c>
      <c r="I1" s="133" t="s">
        <v>84</v>
      </c>
      <c r="J1" s="133" t="s">
        <v>85</v>
      </c>
      <c r="K1" s="134" t="s">
        <v>86</v>
      </c>
      <c r="L1" s="15" t="s">
        <v>87</v>
      </c>
      <c r="M1" s="15" t="s">
        <v>88</v>
      </c>
      <c r="N1" s="15" t="s">
        <v>89</v>
      </c>
      <c r="O1" s="15" t="s">
        <v>90</v>
      </c>
      <c r="P1" s="15" t="s">
        <v>91</v>
      </c>
      <c r="Q1" s="15" t="s">
        <v>92</v>
      </c>
      <c r="R1" s="15" t="s">
        <v>93</v>
      </c>
      <c r="S1" s="15" t="s">
        <v>94</v>
      </c>
      <c r="T1" s="15" t="s">
        <v>95</v>
      </c>
      <c r="U1" s="15" t="s">
        <v>96</v>
      </c>
      <c r="V1" s="15" t="s">
        <v>97</v>
      </c>
      <c r="W1" s="15" t="s">
        <v>98</v>
      </c>
      <c r="X1" s="15" t="s">
        <v>99</v>
      </c>
      <c r="Y1" s="15" t="s">
        <v>100</v>
      </c>
      <c r="Z1" s="15" t="s">
        <v>101</v>
      </c>
      <c r="AA1" s="15" t="s">
        <v>102</v>
      </c>
      <c r="AB1" s="15" t="s">
        <v>103</v>
      </c>
      <c r="AC1" s="15" t="s">
        <v>104</v>
      </c>
      <c r="AD1" s="15" t="s">
        <v>105</v>
      </c>
      <c r="AE1" s="15" t="s">
        <v>106</v>
      </c>
      <c r="AF1" s="15" t="s">
        <v>107</v>
      </c>
      <c r="AG1" s="15" t="s">
        <v>108</v>
      </c>
      <c r="AH1" s="15" t="s">
        <v>109</v>
      </c>
      <c r="AI1" s="15" t="s">
        <v>110</v>
      </c>
      <c r="AJ1" s="15" t="s">
        <v>111</v>
      </c>
      <c r="AK1" s="15" t="s">
        <v>112</v>
      </c>
      <c r="AL1" s="15" t="s">
        <v>113</v>
      </c>
      <c r="AM1" s="15" t="s">
        <v>114</v>
      </c>
      <c r="AN1" s="15" t="s">
        <v>115</v>
      </c>
      <c r="AO1" s="202" t="s">
        <v>116</v>
      </c>
      <c r="AP1" s="202" t="s">
        <v>117</v>
      </c>
    </row>
    <row r="2" s="130" customFormat="1" customHeight="1" spans="1:42">
      <c r="A2" s="40" t="str">
        <f>客房工资录入!A2</f>
        <v>韩愈</v>
      </c>
      <c r="B2" s="40" t="str">
        <f>客房工资录入!B2</f>
        <v>客房</v>
      </c>
      <c r="C2" s="40" t="str">
        <f>客房工资录入!C2</f>
        <v>经理</v>
      </c>
      <c r="D2" s="40" t="str">
        <f>客房工资录入!D2</f>
        <v>是</v>
      </c>
      <c r="E2" s="40">
        <f>客房工资录入!E2</f>
        <v>0</v>
      </c>
      <c r="F2" s="40">
        <f>客房工资录入!F2</f>
        <v>0</v>
      </c>
      <c r="G2" s="40">
        <f>客房工资录入!G2</f>
        <v>5500</v>
      </c>
      <c r="H2" s="40">
        <f>客房工资录入!H2</f>
        <v>4950</v>
      </c>
      <c r="I2" s="40">
        <f>客房工资录入!I2</f>
        <v>0</v>
      </c>
      <c r="J2" s="40">
        <f>客房工资录入!J2</f>
        <v>550</v>
      </c>
      <c r="K2" s="40">
        <v>30</v>
      </c>
      <c r="L2" s="203">
        <f t="shared" ref="L2:AM2" si="0">$G2/$K2</f>
        <v>183.333333333333</v>
      </c>
      <c r="M2" s="84">
        <f t="shared" si="0"/>
        <v>183.333333333333</v>
      </c>
      <c r="N2" s="84">
        <f t="shared" si="0"/>
        <v>183.333333333333</v>
      </c>
      <c r="O2" s="84">
        <f t="shared" si="0"/>
        <v>183.333333333333</v>
      </c>
      <c r="P2" s="84">
        <f t="shared" si="0"/>
        <v>183.333333333333</v>
      </c>
      <c r="Q2" s="84">
        <f t="shared" si="0"/>
        <v>183.333333333333</v>
      </c>
      <c r="R2" s="84">
        <f t="shared" si="0"/>
        <v>183.333333333333</v>
      </c>
      <c r="S2" s="84">
        <f t="shared" si="0"/>
        <v>183.333333333333</v>
      </c>
      <c r="T2" s="84">
        <f t="shared" si="0"/>
        <v>183.333333333333</v>
      </c>
      <c r="U2" s="84">
        <f t="shared" si="0"/>
        <v>183.333333333333</v>
      </c>
      <c r="V2" s="84">
        <f t="shared" si="0"/>
        <v>183.333333333333</v>
      </c>
      <c r="W2" s="84">
        <f t="shared" si="0"/>
        <v>183.333333333333</v>
      </c>
      <c r="X2" s="84">
        <f t="shared" si="0"/>
        <v>183.333333333333</v>
      </c>
      <c r="Y2" s="84">
        <f t="shared" si="0"/>
        <v>183.333333333333</v>
      </c>
      <c r="Z2" s="84">
        <f t="shared" si="0"/>
        <v>183.333333333333</v>
      </c>
      <c r="AA2" s="84">
        <f t="shared" si="0"/>
        <v>183.333333333333</v>
      </c>
      <c r="AB2" s="84">
        <f t="shared" si="0"/>
        <v>183.333333333333</v>
      </c>
      <c r="AC2" s="84">
        <f t="shared" si="0"/>
        <v>183.333333333333</v>
      </c>
      <c r="AD2" s="84">
        <f t="shared" si="0"/>
        <v>183.333333333333</v>
      </c>
      <c r="AE2" s="84">
        <f t="shared" si="0"/>
        <v>183.333333333333</v>
      </c>
      <c r="AF2" s="84">
        <f t="shared" si="0"/>
        <v>183.333333333333</v>
      </c>
      <c r="AG2" s="84">
        <f t="shared" si="0"/>
        <v>183.333333333333</v>
      </c>
      <c r="AH2" s="84">
        <f t="shared" si="0"/>
        <v>183.333333333333</v>
      </c>
      <c r="AI2" s="84">
        <f t="shared" si="0"/>
        <v>183.333333333333</v>
      </c>
      <c r="AJ2" s="84">
        <f t="shared" si="0"/>
        <v>183.333333333333</v>
      </c>
      <c r="AK2" s="84">
        <f t="shared" si="0"/>
        <v>183.333333333333</v>
      </c>
      <c r="AL2" s="84">
        <f t="shared" si="0"/>
        <v>183.333333333333</v>
      </c>
      <c r="AM2" s="84">
        <f t="shared" si="0"/>
        <v>183.333333333333</v>
      </c>
      <c r="AN2" s="204">
        <f>IFERROR(IF($K2&gt;=30,G2/$K2,0),0)</f>
        <v>183.333333333333</v>
      </c>
      <c r="AO2" s="204">
        <f>IFERROR(IF($K2&gt;=30,G2/$K2,0),0)</f>
        <v>183.333333333333</v>
      </c>
      <c r="AP2" s="204">
        <f>IFERROR(IF($K2&gt;=31,G2/$K2,0),0)</f>
        <v>0</v>
      </c>
    </row>
    <row r="3" s="130" customFormat="1" customHeight="1" spans="1:42">
      <c r="A3" s="40" t="str">
        <f>客房工资录入!A3</f>
        <v>张凯娜</v>
      </c>
      <c r="B3" s="40" t="str">
        <f>客房工资录入!B3</f>
        <v>客房</v>
      </c>
      <c r="C3" s="40" t="str">
        <f>客房工资录入!C3</f>
        <v>领班</v>
      </c>
      <c r="D3" s="40" t="str">
        <f>客房工资录入!D3</f>
        <v>是</v>
      </c>
      <c r="E3" s="40">
        <f>客房工资录入!E3</f>
        <v>0</v>
      </c>
      <c r="F3" s="40">
        <f>客房工资录入!F3</f>
        <v>0</v>
      </c>
      <c r="G3" s="40">
        <f>客房工资录入!G3</f>
        <v>4000</v>
      </c>
      <c r="H3" s="40">
        <f>客房工资录入!H3</f>
        <v>4600</v>
      </c>
      <c r="I3" s="40">
        <f>客房工资录入!I3</f>
        <v>0</v>
      </c>
      <c r="J3" s="40">
        <f>客房工资录入!J3</f>
        <v>400</v>
      </c>
      <c r="K3" s="40">
        <v>30</v>
      </c>
      <c r="L3" s="203">
        <f t="shared" ref="L3:AM3" si="1">$G3/$K3</f>
        <v>133.333333333333</v>
      </c>
      <c r="M3" s="84">
        <f t="shared" si="1"/>
        <v>133.333333333333</v>
      </c>
      <c r="N3" s="84">
        <f t="shared" si="1"/>
        <v>133.333333333333</v>
      </c>
      <c r="O3" s="84">
        <f t="shared" si="1"/>
        <v>133.333333333333</v>
      </c>
      <c r="P3" s="84">
        <f t="shared" si="1"/>
        <v>133.333333333333</v>
      </c>
      <c r="Q3" s="84">
        <f t="shared" si="1"/>
        <v>133.333333333333</v>
      </c>
      <c r="R3" s="84">
        <f t="shared" si="1"/>
        <v>133.333333333333</v>
      </c>
      <c r="S3" s="84">
        <f t="shared" si="1"/>
        <v>133.333333333333</v>
      </c>
      <c r="T3" s="84">
        <f t="shared" si="1"/>
        <v>133.333333333333</v>
      </c>
      <c r="U3" s="84">
        <f t="shared" si="1"/>
        <v>133.333333333333</v>
      </c>
      <c r="V3" s="84">
        <f t="shared" si="1"/>
        <v>133.333333333333</v>
      </c>
      <c r="W3" s="84">
        <f t="shared" si="1"/>
        <v>133.333333333333</v>
      </c>
      <c r="X3" s="84">
        <f t="shared" si="1"/>
        <v>133.333333333333</v>
      </c>
      <c r="Y3" s="84">
        <f t="shared" si="1"/>
        <v>133.333333333333</v>
      </c>
      <c r="Z3" s="84">
        <f t="shared" si="1"/>
        <v>133.333333333333</v>
      </c>
      <c r="AA3" s="84">
        <f t="shared" si="1"/>
        <v>133.333333333333</v>
      </c>
      <c r="AB3" s="84">
        <f t="shared" si="1"/>
        <v>133.333333333333</v>
      </c>
      <c r="AC3" s="84">
        <f t="shared" si="1"/>
        <v>133.333333333333</v>
      </c>
      <c r="AD3" s="84">
        <f t="shared" si="1"/>
        <v>133.333333333333</v>
      </c>
      <c r="AE3" s="84">
        <f t="shared" si="1"/>
        <v>133.333333333333</v>
      </c>
      <c r="AF3" s="84">
        <f t="shared" si="1"/>
        <v>133.333333333333</v>
      </c>
      <c r="AG3" s="84">
        <f t="shared" si="1"/>
        <v>133.333333333333</v>
      </c>
      <c r="AH3" s="84">
        <f t="shared" si="1"/>
        <v>133.333333333333</v>
      </c>
      <c r="AI3" s="84">
        <f t="shared" si="1"/>
        <v>133.333333333333</v>
      </c>
      <c r="AJ3" s="84">
        <f t="shared" si="1"/>
        <v>133.333333333333</v>
      </c>
      <c r="AK3" s="84">
        <f t="shared" si="1"/>
        <v>133.333333333333</v>
      </c>
      <c r="AL3" s="84">
        <f t="shared" si="1"/>
        <v>133.333333333333</v>
      </c>
      <c r="AM3" s="84">
        <f t="shared" si="1"/>
        <v>133.333333333333</v>
      </c>
      <c r="AN3" s="204">
        <f>IFERROR(IF($K3&gt;=30,G3/$K3,0),0)</f>
        <v>133.333333333333</v>
      </c>
      <c r="AO3" s="204">
        <f>IFERROR(IF($K3&gt;=30,G3/$K3,0),0)</f>
        <v>133.333333333333</v>
      </c>
      <c r="AP3" s="204">
        <f>IFERROR(IF($K3&gt;=31,G3/$K3,0),0)</f>
        <v>0</v>
      </c>
    </row>
    <row r="4" s="130" customFormat="1" customHeight="1" spans="1:42">
      <c r="A4" s="40" t="str">
        <f>客房工资录入!A4</f>
        <v>初立玲</v>
      </c>
      <c r="B4" s="40" t="str">
        <f>客房工资录入!B4</f>
        <v>客房</v>
      </c>
      <c r="C4" s="40" t="str">
        <f>客房工资录入!C4</f>
        <v>客房服务员</v>
      </c>
      <c r="D4" s="40" t="str">
        <f>客房工资录入!D4</f>
        <v>是</v>
      </c>
      <c r="E4" s="40">
        <f>客房工资录入!E4</f>
        <v>0</v>
      </c>
      <c r="F4" s="40">
        <f>客房工资录入!F4</f>
        <v>0</v>
      </c>
      <c r="G4" s="40">
        <f>客房工资录入!G4</f>
        <v>3200</v>
      </c>
      <c r="H4" s="40">
        <f>客房工资录入!H4</f>
        <v>2200</v>
      </c>
      <c r="I4" s="40">
        <f>客房工资录入!I4</f>
        <v>1000</v>
      </c>
      <c r="J4" s="40">
        <f>客房工资录入!J4</f>
        <v>0</v>
      </c>
      <c r="K4" s="40">
        <v>30</v>
      </c>
      <c r="L4" s="203">
        <f t="shared" ref="L4:AM4" si="2">$G4/$K4</f>
        <v>106.666666666667</v>
      </c>
      <c r="M4" s="84">
        <f t="shared" si="2"/>
        <v>106.666666666667</v>
      </c>
      <c r="N4" s="84">
        <f t="shared" si="2"/>
        <v>106.666666666667</v>
      </c>
      <c r="O4" s="84">
        <f t="shared" si="2"/>
        <v>106.666666666667</v>
      </c>
      <c r="P4" s="84">
        <f t="shared" si="2"/>
        <v>106.666666666667</v>
      </c>
      <c r="Q4" s="84">
        <f t="shared" si="2"/>
        <v>106.666666666667</v>
      </c>
      <c r="R4" s="84">
        <f t="shared" si="2"/>
        <v>106.666666666667</v>
      </c>
      <c r="S4" s="84">
        <f t="shared" si="2"/>
        <v>106.666666666667</v>
      </c>
      <c r="T4" s="84">
        <f t="shared" si="2"/>
        <v>106.666666666667</v>
      </c>
      <c r="U4" s="84">
        <f t="shared" si="2"/>
        <v>106.666666666667</v>
      </c>
      <c r="V4" s="84">
        <f t="shared" si="2"/>
        <v>106.666666666667</v>
      </c>
      <c r="W4" s="84">
        <f t="shared" si="2"/>
        <v>106.666666666667</v>
      </c>
      <c r="X4" s="84">
        <f t="shared" si="2"/>
        <v>106.666666666667</v>
      </c>
      <c r="Y4" s="84">
        <f t="shared" si="2"/>
        <v>106.666666666667</v>
      </c>
      <c r="Z4" s="84">
        <f t="shared" si="2"/>
        <v>106.666666666667</v>
      </c>
      <c r="AA4" s="84">
        <f t="shared" si="2"/>
        <v>106.666666666667</v>
      </c>
      <c r="AB4" s="84">
        <f t="shared" si="2"/>
        <v>106.666666666667</v>
      </c>
      <c r="AC4" s="84">
        <f t="shared" si="2"/>
        <v>106.666666666667</v>
      </c>
      <c r="AD4" s="84">
        <f t="shared" si="2"/>
        <v>106.666666666667</v>
      </c>
      <c r="AE4" s="84">
        <f t="shared" si="2"/>
        <v>106.666666666667</v>
      </c>
      <c r="AF4" s="84">
        <f t="shared" si="2"/>
        <v>106.666666666667</v>
      </c>
      <c r="AG4" s="84">
        <f t="shared" si="2"/>
        <v>106.666666666667</v>
      </c>
      <c r="AH4" s="84">
        <f t="shared" si="2"/>
        <v>106.666666666667</v>
      </c>
      <c r="AI4" s="84">
        <f t="shared" si="2"/>
        <v>106.666666666667</v>
      </c>
      <c r="AJ4" s="84">
        <f t="shared" si="2"/>
        <v>106.666666666667</v>
      </c>
      <c r="AK4" s="84">
        <f t="shared" si="2"/>
        <v>106.666666666667</v>
      </c>
      <c r="AL4" s="84">
        <f t="shared" si="2"/>
        <v>106.666666666667</v>
      </c>
      <c r="AM4" s="84">
        <f t="shared" si="2"/>
        <v>106.666666666667</v>
      </c>
      <c r="AN4" s="204">
        <f>IFERROR(IF($K4&gt;=30,G4/$K4,0),0)</f>
        <v>106.666666666667</v>
      </c>
      <c r="AO4" s="204">
        <f>IFERROR(IF($K4&gt;=30,G4/$K4,0),0)</f>
        <v>106.666666666667</v>
      </c>
      <c r="AP4" s="204">
        <f>IFERROR(IF($K4&gt;=31,G4/$K4,0),0)</f>
        <v>0</v>
      </c>
    </row>
    <row r="5" s="130" customFormat="1" customHeight="1" spans="1:42">
      <c r="A5" s="40" t="str">
        <f>客房工资录入!A5</f>
        <v>张淑萍</v>
      </c>
      <c r="B5" s="40" t="str">
        <f>客房工资录入!B5</f>
        <v>客房</v>
      </c>
      <c r="C5" s="40" t="str">
        <f>客房工资录入!C5</f>
        <v>客房服务员</v>
      </c>
      <c r="D5" s="40" t="str">
        <f>客房工资录入!D5</f>
        <v>是</v>
      </c>
      <c r="E5" s="40">
        <f>客房工资录入!E5</f>
        <v>0</v>
      </c>
      <c r="F5" s="40">
        <f>客房工资录入!F5</f>
        <v>0</v>
      </c>
      <c r="G5" s="40">
        <f>客房工资录入!G5</f>
        <v>3200</v>
      </c>
      <c r="H5" s="40">
        <f>客房工资录入!H5</f>
        <v>2200</v>
      </c>
      <c r="I5" s="40">
        <f>客房工资录入!I5</f>
        <v>1000</v>
      </c>
      <c r="J5" s="40">
        <f>客房工资录入!J5</f>
        <v>0</v>
      </c>
      <c r="K5" s="40">
        <v>30</v>
      </c>
      <c r="L5" s="203">
        <f t="shared" ref="L5:AM5" si="3">$G5/$K5</f>
        <v>106.666666666667</v>
      </c>
      <c r="M5" s="84">
        <f t="shared" si="3"/>
        <v>106.666666666667</v>
      </c>
      <c r="N5" s="84">
        <f t="shared" si="3"/>
        <v>106.666666666667</v>
      </c>
      <c r="O5" s="84">
        <f t="shared" si="3"/>
        <v>106.666666666667</v>
      </c>
      <c r="P5" s="84">
        <f t="shared" si="3"/>
        <v>106.666666666667</v>
      </c>
      <c r="Q5" s="84">
        <f t="shared" si="3"/>
        <v>106.666666666667</v>
      </c>
      <c r="R5" s="84">
        <f t="shared" si="3"/>
        <v>106.666666666667</v>
      </c>
      <c r="S5" s="84">
        <f t="shared" si="3"/>
        <v>106.666666666667</v>
      </c>
      <c r="T5" s="84">
        <f t="shared" si="3"/>
        <v>106.666666666667</v>
      </c>
      <c r="U5" s="84">
        <f t="shared" si="3"/>
        <v>106.666666666667</v>
      </c>
      <c r="V5" s="84">
        <f t="shared" si="3"/>
        <v>106.666666666667</v>
      </c>
      <c r="W5" s="84">
        <f t="shared" si="3"/>
        <v>106.666666666667</v>
      </c>
      <c r="X5" s="84">
        <f t="shared" si="3"/>
        <v>106.666666666667</v>
      </c>
      <c r="Y5" s="84">
        <f t="shared" si="3"/>
        <v>106.666666666667</v>
      </c>
      <c r="Z5" s="84">
        <f t="shared" si="3"/>
        <v>106.666666666667</v>
      </c>
      <c r="AA5" s="84">
        <f t="shared" si="3"/>
        <v>106.666666666667</v>
      </c>
      <c r="AB5" s="84">
        <f t="shared" si="3"/>
        <v>106.666666666667</v>
      </c>
      <c r="AC5" s="84">
        <f t="shared" si="3"/>
        <v>106.666666666667</v>
      </c>
      <c r="AD5" s="84">
        <f t="shared" si="3"/>
        <v>106.666666666667</v>
      </c>
      <c r="AE5" s="84">
        <f t="shared" si="3"/>
        <v>106.666666666667</v>
      </c>
      <c r="AF5" s="84">
        <f t="shared" si="3"/>
        <v>106.666666666667</v>
      </c>
      <c r="AG5" s="84">
        <f t="shared" si="3"/>
        <v>106.666666666667</v>
      </c>
      <c r="AH5" s="84">
        <f t="shared" si="3"/>
        <v>106.666666666667</v>
      </c>
      <c r="AI5" s="84">
        <f t="shared" si="3"/>
        <v>106.666666666667</v>
      </c>
      <c r="AJ5" s="84">
        <f t="shared" si="3"/>
        <v>106.666666666667</v>
      </c>
      <c r="AK5" s="84">
        <f t="shared" si="3"/>
        <v>106.666666666667</v>
      </c>
      <c r="AL5" s="84">
        <f t="shared" si="3"/>
        <v>106.666666666667</v>
      </c>
      <c r="AM5" s="84">
        <f t="shared" si="3"/>
        <v>106.666666666667</v>
      </c>
      <c r="AN5" s="204">
        <f>IFERROR(IF($K5&gt;=30,G5/$K5,0),0)</f>
        <v>106.666666666667</v>
      </c>
      <c r="AO5" s="204">
        <f>IFERROR(IF($K5&gt;=30,G5/$K5,0),0)</f>
        <v>106.666666666667</v>
      </c>
      <c r="AP5" s="204">
        <f>IFERROR(IF($K5&gt;=31,G5/$K5,0),0)</f>
        <v>0</v>
      </c>
    </row>
    <row r="6" s="130" customFormat="1" customHeight="1" spans="1:4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203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204"/>
      <c r="AP6" s="204"/>
    </row>
    <row r="7" s="200" customFormat="1" customHeight="1" spans="1:42">
      <c r="A7" s="40"/>
      <c r="B7" s="40"/>
      <c r="C7" s="40"/>
      <c r="D7" s="40"/>
      <c r="E7" s="40"/>
      <c r="F7" s="40"/>
      <c r="G7" s="40"/>
      <c r="H7" s="40"/>
      <c r="I7" s="40"/>
      <c r="J7" s="40"/>
      <c r="K7" s="40"/>
      <c r="L7" s="203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204"/>
      <c r="AP7" s="204"/>
    </row>
    <row r="8" s="200" customFormat="1" customHeight="1" spans="1:42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203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204"/>
      <c r="AP8" s="204"/>
    </row>
    <row r="9" s="200" customFormat="1" customHeight="1" spans="1:42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203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204"/>
      <c r="AP9" s="204"/>
    </row>
    <row r="10" s="200" customFormat="1" customHeight="1" spans="1:4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203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204"/>
      <c r="AP10" s="204"/>
    </row>
    <row r="11" s="200" customFormat="1" customHeight="1" spans="1:42">
      <c r="A11" s="40"/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203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204"/>
      <c r="AP11" s="204"/>
    </row>
    <row r="12" s="131" customFormat="1" customHeight="1" spans="1:42">
      <c r="A12" s="136" t="s">
        <v>335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>
        <f t="shared" ref="L12:AP12" si="4">SUM(L2:L11)</f>
        <v>530</v>
      </c>
      <c r="M12" s="136">
        <f t="shared" si="4"/>
        <v>530</v>
      </c>
      <c r="N12" s="136">
        <f t="shared" si="4"/>
        <v>530</v>
      </c>
      <c r="O12" s="136">
        <f t="shared" si="4"/>
        <v>530</v>
      </c>
      <c r="P12" s="136">
        <f t="shared" si="4"/>
        <v>530</v>
      </c>
      <c r="Q12" s="136">
        <f t="shared" si="4"/>
        <v>530</v>
      </c>
      <c r="R12" s="136">
        <f t="shared" si="4"/>
        <v>530</v>
      </c>
      <c r="S12" s="136">
        <f t="shared" si="4"/>
        <v>530</v>
      </c>
      <c r="T12" s="136">
        <f t="shared" si="4"/>
        <v>530</v>
      </c>
      <c r="U12" s="136">
        <f t="shared" si="4"/>
        <v>530</v>
      </c>
      <c r="V12" s="136">
        <f t="shared" si="4"/>
        <v>530</v>
      </c>
      <c r="W12" s="136">
        <f t="shared" si="4"/>
        <v>530</v>
      </c>
      <c r="X12" s="136">
        <f t="shared" si="4"/>
        <v>530</v>
      </c>
      <c r="Y12" s="136">
        <f t="shared" si="4"/>
        <v>530</v>
      </c>
      <c r="Z12" s="136">
        <f t="shared" si="4"/>
        <v>530</v>
      </c>
      <c r="AA12" s="136">
        <f t="shared" si="4"/>
        <v>530</v>
      </c>
      <c r="AB12" s="136">
        <f t="shared" si="4"/>
        <v>530</v>
      </c>
      <c r="AC12" s="136">
        <f t="shared" si="4"/>
        <v>530</v>
      </c>
      <c r="AD12" s="136">
        <f t="shared" si="4"/>
        <v>530</v>
      </c>
      <c r="AE12" s="136">
        <f t="shared" si="4"/>
        <v>530</v>
      </c>
      <c r="AF12" s="136">
        <f t="shared" si="4"/>
        <v>530</v>
      </c>
      <c r="AG12" s="136">
        <f t="shared" si="4"/>
        <v>530</v>
      </c>
      <c r="AH12" s="136">
        <f t="shared" si="4"/>
        <v>530</v>
      </c>
      <c r="AI12" s="136">
        <f t="shared" si="4"/>
        <v>530</v>
      </c>
      <c r="AJ12" s="136">
        <f t="shared" si="4"/>
        <v>530</v>
      </c>
      <c r="AK12" s="136">
        <f t="shared" si="4"/>
        <v>530</v>
      </c>
      <c r="AL12" s="136">
        <f t="shared" si="4"/>
        <v>530</v>
      </c>
      <c r="AM12" s="136">
        <f t="shared" si="4"/>
        <v>530</v>
      </c>
      <c r="AN12" s="136">
        <f t="shared" si="4"/>
        <v>530</v>
      </c>
      <c r="AO12" s="205">
        <f t="shared" si="4"/>
        <v>530</v>
      </c>
      <c r="AP12" s="205">
        <f t="shared" si="4"/>
        <v>0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餐厅成本2">
    <tabColor rgb="FFFF0000"/>
    <pageSetUpPr fitToPage="1"/>
  </sheetPr>
  <dimension ref="A1:BW224"/>
  <sheetViews>
    <sheetView showGridLines="0" workbookViewId="0">
      <selection activeCell="H21" sqref="H21"/>
    </sheetView>
  </sheetViews>
  <sheetFormatPr defaultColWidth="9" defaultRowHeight="25" customHeight="1"/>
  <cols>
    <col min="1" max="1" width="4.75" style="179"/>
    <col min="2" max="2" width="17.625" style="179"/>
    <col min="3" max="3" width="8.25833333333333" style="179"/>
    <col min="4" max="4" width="5.125" style="179"/>
    <col min="5" max="5" width="7" style="179"/>
    <col min="6" max="6" width="8.875" style="179"/>
    <col min="7" max="7" width="8.875" style="181"/>
    <col min="8" max="8" width="9.08333333333333" style="180"/>
    <col min="9" max="9" width="9.18333333333333" style="181"/>
    <col min="10" max="10" width="8.875" style="180"/>
    <col min="11" max="11" width="11.3666666666667" style="181"/>
    <col min="12" max="12" width="8.875" style="180"/>
    <col min="13" max="13" width="11.0833333333333" style="181" customWidth="1"/>
    <col min="14" max="15" width="8.55" style="179"/>
    <col min="16" max="16" width="7.375" style="179"/>
    <col min="17" max="17" width="8.55" style="179"/>
    <col min="18" max="18" width="7.55" style="179"/>
    <col min="19" max="19" width="8.55" style="179"/>
    <col min="20" max="20" width="10.55" style="179"/>
    <col min="21" max="21" width="7.375" style="179"/>
    <col min="22" max="22" width="8.55" style="179"/>
    <col min="23" max="23" width="10.55" style="179"/>
    <col min="24" max="24" width="7.375" style="179"/>
    <col min="25" max="25" width="8.55" style="179"/>
    <col min="26" max="26" width="10.55" style="179"/>
    <col min="27" max="27" width="7.375" style="179"/>
    <col min="28" max="28" width="8.55" style="179"/>
    <col min="29" max="29" width="9.55" style="179"/>
    <col min="30" max="31" width="7.375" style="179"/>
    <col min="32" max="32" width="9" style="179"/>
    <col min="33" max="34" width="7.375" style="179"/>
    <col min="35" max="35" width="9" style="179"/>
    <col min="36" max="37" width="7.375" style="179"/>
    <col min="38" max="38" width="9" style="179"/>
    <col min="39" max="40" width="7.375" style="179"/>
    <col min="41" max="41" width="9" style="179"/>
    <col min="42" max="43" width="7.375" style="179"/>
    <col min="44" max="44" width="9" style="179"/>
    <col min="45" max="46" width="7.375" style="179"/>
    <col min="47" max="47" width="9" style="179"/>
    <col min="48" max="49" width="7.375" style="179"/>
    <col min="50" max="50" width="9" style="179"/>
    <col min="51" max="52" width="7.375" style="179"/>
    <col min="53" max="53" width="9" style="179"/>
    <col min="54" max="55" width="7.375" style="179"/>
    <col min="56" max="56" width="9" style="179"/>
    <col min="57" max="58" width="7.375" style="179"/>
    <col min="59" max="59" width="9" style="179"/>
    <col min="60" max="61" width="7.375" style="179"/>
    <col min="62" max="62" width="9" style="179"/>
    <col min="63" max="64" width="7.375" style="179"/>
    <col min="65" max="65" width="9" style="179"/>
    <col min="66" max="67" width="7.375" style="179"/>
    <col min="68" max="68" width="9" style="179"/>
    <col min="69" max="70" width="7.375" style="179"/>
    <col min="71" max="71" width="9" style="179"/>
    <col min="72" max="73" width="7.375" style="179"/>
    <col min="74" max="74" width="9" style="179"/>
    <col min="75" max="75" width="7.375" style="179"/>
  </cols>
  <sheetData>
    <row r="1" s="177" customFormat="1" ht="40" customHeight="1" spans="1:75">
      <c r="A1" s="182"/>
      <c r="B1" s="148" t="s">
        <v>400</v>
      </c>
      <c r="C1" s="148"/>
      <c r="D1" s="148"/>
      <c r="E1" s="182"/>
      <c r="F1" s="182"/>
      <c r="G1" s="184"/>
      <c r="H1" s="183"/>
      <c r="I1" s="184"/>
      <c r="J1" s="183"/>
      <c r="K1" s="184"/>
      <c r="L1" s="183"/>
      <c r="M1" s="184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</row>
    <row r="2" s="177" customFormat="1" ht="15" customHeight="1" spans="1:75">
      <c r="A2" s="182"/>
      <c r="B2" s="185" t="s">
        <v>2</v>
      </c>
      <c r="C2" s="182"/>
      <c r="D2" s="182"/>
      <c r="E2" s="182"/>
      <c r="F2" s="182"/>
      <c r="G2" s="184"/>
      <c r="H2" s="183"/>
      <c r="I2" s="184"/>
      <c r="J2" s="183"/>
      <c r="K2" s="184"/>
      <c r="L2" s="183"/>
      <c r="M2" s="184"/>
      <c r="N2" s="195" t="s">
        <v>125</v>
      </c>
      <c r="O2" s="195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</row>
    <row r="3" s="18" customFormat="1" customHeight="1" spans="1:75">
      <c r="A3" s="155" t="s">
        <v>3</v>
      </c>
      <c r="B3" s="155" t="s">
        <v>126</v>
      </c>
      <c r="C3" s="155" t="s">
        <v>127</v>
      </c>
      <c r="D3" s="155" t="s">
        <v>6</v>
      </c>
      <c r="E3" s="155" t="s">
        <v>64</v>
      </c>
      <c r="F3" s="156" t="s">
        <v>128</v>
      </c>
      <c r="G3" s="156" t="s">
        <v>129</v>
      </c>
      <c r="H3" s="156" t="s">
        <v>130</v>
      </c>
      <c r="I3" s="156" t="s">
        <v>131</v>
      </c>
      <c r="J3" s="156" t="s">
        <v>132</v>
      </c>
      <c r="K3" s="156" t="s">
        <v>65</v>
      </c>
      <c r="L3" s="156" t="s">
        <v>133</v>
      </c>
      <c r="M3" s="156" t="s">
        <v>129</v>
      </c>
      <c r="N3" s="196" t="s">
        <v>9</v>
      </c>
      <c r="O3" s="197"/>
      <c r="P3" s="196" t="s">
        <v>10</v>
      </c>
      <c r="Q3" s="197"/>
      <c r="R3" s="196" t="s">
        <v>11</v>
      </c>
      <c r="S3" s="197"/>
      <c r="T3" s="196" t="s">
        <v>12</v>
      </c>
      <c r="U3" s="197"/>
      <c r="V3" s="196" t="s">
        <v>13</v>
      </c>
      <c r="W3" s="197"/>
      <c r="X3" s="196" t="s">
        <v>14</v>
      </c>
      <c r="Y3" s="197"/>
      <c r="Z3" s="196" t="s">
        <v>15</v>
      </c>
      <c r="AA3" s="197"/>
      <c r="AB3" s="196" t="s">
        <v>16</v>
      </c>
      <c r="AC3" s="197"/>
      <c r="AD3" s="196" t="s">
        <v>17</v>
      </c>
      <c r="AE3" s="197"/>
      <c r="AF3" s="196" t="s">
        <v>18</v>
      </c>
      <c r="AG3" s="197"/>
      <c r="AH3" s="196" t="s">
        <v>19</v>
      </c>
      <c r="AI3" s="197"/>
      <c r="AJ3" s="196" t="s">
        <v>20</v>
      </c>
      <c r="AK3" s="197"/>
      <c r="AL3" s="196" t="s">
        <v>21</v>
      </c>
      <c r="AM3" s="197"/>
      <c r="AN3" s="196" t="s">
        <v>22</v>
      </c>
      <c r="AO3" s="197"/>
      <c r="AP3" s="196" t="s">
        <v>23</v>
      </c>
      <c r="AQ3" s="197"/>
      <c r="AR3" s="196" t="s">
        <v>24</v>
      </c>
      <c r="AS3" s="197"/>
      <c r="AT3" s="196" t="s">
        <v>25</v>
      </c>
      <c r="AU3" s="197"/>
      <c r="AV3" s="196" t="s">
        <v>26</v>
      </c>
      <c r="AW3" s="197"/>
      <c r="AX3" s="196" t="s">
        <v>27</v>
      </c>
      <c r="AY3" s="197"/>
      <c r="AZ3" s="196" t="s">
        <v>28</v>
      </c>
      <c r="BA3" s="197"/>
      <c r="BB3" s="196" t="s">
        <v>29</v>
      </c>
      <c r="BC3" s="197"/>
      <c r="BD3" s="196" t="s">
        <v>30</v>
      </c>
      <c r="BE3" s="197"/>
      <c r="BF3" s="196" t="s">
        <v>31</v>
      </c>
      <c r="BG3" s="197"/>
      <c r="BH3" s="196" t="s">
        <v>32</v>
      </c>
      <c r="BI3" s="197"/>
      <c r="BJ3" s="196" t="s">
        <v>33</v>
      </c>
      <c r="BK3" s="197"/>
      <c r="BL3" s="196" t="s">
        <v>34</v>
      </c>
      <c r="BM3" s="197"/>
      <c r="BN3" s="196" t="s">
        <v>35</v>
      </c>
      <c r="BO3" s="197"/>
      <c r="BP3" s="196" t="s">
        <v>36</v>
      </c>
      <c r="BQ3" s="197"/>
      <c r="BR3" s="196" t="s">
        <v>37</v>
      </c>
      <c r="BS3" s="197"/>
      <c r="BT3" s="196" t="s">
        <v>38</v>
      </c>
      <c r="BU3" s="197"/>
      <c r="BV3" s="196" t="s">
        <v>39</v>
      </c>
      <c r="BW3" s="197"/>
    </row>
    <row r="4" s="18" customFormat="1" customHeight="1" spans="1:75">
      <c r="A4" s="158"/>
      <c r="B4" s="158"/>
      <c r="C4" s="158"/>
      <c r="D4" s="158"/>
      <c r="E4" s="158"/>
      <c r="F4" s="159"/>
      <c r="G4" s="159"/>
      <c r="H4" s="159" t="s">
        <v>134</v>
      </c>
      <c r="I4" s="159" t="s">
        <v>8</v>
      </c>
      <c r="J4" s="159" t="s">
        <v>135</v>
      </c>
      <c r="K4" s="159"/>
      <c r="L4" s="159" t="s">
        <v>305</v>
      </c>
      <c r="M4" s="159"/>
      <c r="N4" s="20" t="s">
        <v>134</v>
      </c>
      <c r="O4" s="20" t="s">
        <v>135</v>
      </c>
      <c r="P4" s="20" t="s">
        <v>134</v>
      </c>
      <c r="Q4" s="20" t="s">
        <v>135</v>
      </c>
      <c r="R4" s="20" t="s">
        <v>134</v>
      </c>
      <c r="S4" s="20" t="s">
        <v>135</v>
      </c>
      <c r="T4" s="20" t="s">
        <v>134</v>
      </c>
      <c r="U4" s="20" t="s">
        <v>135</v>
      </c>
      <c r="V4" s="20" t="s">
        <v>134</v>
      </c>
      <c r="W4" s="20" t="s">
        <v>135</v>
      </c>
      <c r="X4" s="20" t="s">
        <v>134</v>
      </c>
      <c r="Y4" s="20" t="s">
        <v>135</v>
      </c>
      <c r="Z4" s="20" t="s">
        <v>134</v>
      </c>
      <c r="AA4" s="20" t="s">
        <v>135</v>
      </c>
      <c r="AB4" s="20" t="s">
        <v>134</v>
      </c>
      <c r="AC4" s="20" t="s">
        <v>135</v>
      </c>
      <c r="AD4" s="20" t="s">
        <v>134</v>
      </c>
      <c r="AE4" s="20" t="s">
        <v>135</v>
      </c>
      <c r="AF4" s="20" t="s">
        <v>134</v>
      </c>
      <c r="AG4" s="20" t="s">
        <v>135</v>
      </c>
      <c r="AH4" s="20" t="s">
        <v>134</v>
      </c>
      <c r="AI4" s="20" t="s">
        <v>135</v>
      </c>
      <c r="AJ4" s="20" t="s">
        <v>134</v>
      </c>
      <c r="AK4" s="20" t="s">
        <v>135</v>
      </c>
      <c r="AL4" s="20" t="s">
        <v>134</v>
      </c>
      <c r="AM4" s="20" t="s">
        <v>135</v>
      </c>
      <c r="AN4" s="20" t="s">
        <v>134</v>
      </c>
      <c r="AO4" s="20" t="s">
        <v>135</v>
      </c>
      <c r="AP4" s="20" t="s">
        <v>134</v>
      </c>
      <c r="AQ4" s="20" t="s">
        <v>135</v>
      </c>
      <c r="AR4" s="20" t="s">
        <v>134</v>
      </c>
      <c r="AS4" s="20" t="s">
        <v>135</v>
      </c>
      <c r="AT4" s="20" t="s">
        <v>134</v>
      </c>
      <c r="AU4" s="20" t="s">
        <v>135</v>
      </c>
      <c r="AV4" s="20" t="s">
        <v>134</v>
      </c>
      <c r="AW4" s="20" t="s">
        <v>135</v>
      </c>
      <c r="AX4" s="20" t="s">
        <v>134</v>
      </c>
      <c r="AY4" s="20" t="s">
        <v>135</v>
      </c>
      <c r="AZ4" s="20" t="s">
        <v>134</v>
      </c>
      <c r="BA4" s="20" t="s">
        <v>135</v>
      </c>
      <c r="BB4" s="20" t="s">
        <v>134</v>
      </c>
      <c r="BC4" s="20" t="s">
        <v>135</v>
      </c>
      <c r="BD4" s="20" t="s">
        <v>134</v>
      </c>
      <c r="BE4" s="20" t="s">
        <v>135</v>
      </c>
      <c r="BF4" s="20" t="s">
        <v>134</v>
      </c>
      <c r="BG4" s="20" t="s">
        <v>135</v>
      </c>
      <c r="BH4" s="20" t="s">
        <v>134</v>
      </c>
      <c r="BI4" s="20" t="s">
        <v>135</v>
      </c>
      <c r="BJ4" s="20" t="s">
        <v>134</v>
      </c>
      <c r="BK4" s="20" t="s">
        <v>135</v>
      </c>
      <c r="BL4" s="20" t="s">
        <v>134</v>
      </c>
      <c r="BM4" s="20" t="s">
        <v>135</v>
      </c>
      <c r="BN4" s="20" t="s">
        <v>134</v>
      </c>
      <c r="BO4" s="20" t="s">
        <v>135</v>
      </c>
      <c r="BP4" s="20" t="s">
        <v>134</v>
      </c>
      <c r="BQ4" s="20" t="s">
        <v>135</v>
      </c>
      <c r="BR4" s="20" t="s">
        <v>134</v>
      </c>
      <c r="BS4" s="20" t="s">
        <v>135</v>
      </c>
      <c r="BT4" s="20" t="s">
        <v>134</v>
      </c>
      <c r="BU4" s="20" t="s">
        <v>135</v>
      </c>
      <c r="BV4" s="20" t="s">
        <v>134</v>
      </c>
      <c r="BW4" s="20" t="s">
        <v>135</v>
      </c>
    </row>
    <row r="5" s="178" customFormat="1" customHeight="1" spans="1:75">
      <c r="A5" s="161">
        <v>1</v>
      </c>
      <c r="B5" s="21" t="str">
        <f>餐厅成本录入!B5</f>
        <v>刺黄瓜</v>
      </c>
      <c r="C5" s="21">
        <f>餐厅成本录入!C5</f>
        <v>0</v>
      </c>
      <c r="D5" s="21" t="str">
        <f>餐厅成本录入!D5</f>
        <v>斤</v>
      </c>
      <c r="E5" s="21">
        <f>餐厅成本录入!E5</f>
        <v>1.8</v>
      </c>
      <c r="F5" s="21">
        <f>餐厅成本录入!F5</f>
        <v>0</v>
      </c>
      <c r="G5" s="21">
        <f>餐厅成本录入!G5</f>
        <v>0</v>
      </c>
      <c r="H5" s="21">
        <f>餐厅成本录入!H5</f>
        <v>71.4</v>
      </c>
      <c r="I5" s="21">
        <f>餐厅成本录入!I5</f>
        <v>128.52</v>
      </c>
      <c r="J5" s="21">
        <f>餐厅成本录入!J5</f>
        <v>71.4</v>
      </c>
      <c r="K5" s="21">
        <f>餐厅成本录入!K5</f>
        <v>128.52</v>
      </c>
      <c r="L5" s="21">
        <f>餐厅成本录入!L5</f>
        <v>0</v>
      </c>
      <c r="M5" s="21">
        <f>餐厅成本录入!M5</f>
        <v>0</v>
      </c>
      <c r="N5" s="198">
        <f>$E5*餐厅成本录入!N5</f>
        <v>0</v>
      </c>
      <c r="O5" s="198">
        <f>$E5*餐厅成本录入!O5</f>
        <v>0</v>
      </c>
      <c r="P5" s="198">
        <f>$E5*餐厅成本录入!P5</f>
        <v>18</v>
      </c>
      <c r="Q5" s="198">
        <f>$E5*餐厅成本录入!Q5</f>
        <v>18</v>
      </c>
      <c r="R5" s="198">
        <f>$E5*餐厅成本录入!R5</f>
        <v>0</v>
      </c>
      <c r="S5" s="198">
        <f>$E5*餐厅成本录入!S5</f>
        <v>0</v>
      </c>
      <c r="T5" s="198">
        <f>$E5*餐厅成本录入!T5</f>
        <v>0</v>
      </c>
      <c r="U5" s="198">
        <f>$E5*餐厅成本录入!U5</f>
        <v>0</v>
      </c>
      <c r="V5" s="198">
        <f>$E5*餐厅成本录入!V5</f>
        <v>17.82</v>
      </c>
      <c r="W5" s="198">
        <f>$E5*餐厅成本录入!W5</f>
        <v>17.82</v>
      </c>
      <c r="X5" s="198">
        <f>$E5*餐厅成本录入!X5</f>
        <v>0</v>
      </c>
      <c r="Y5" s="198">
        <f>$E5*餐厅成本录入!Y5</f>
        <v>0</v>
      </c>
      <c r="Z5" s="198">
        <f>$E5*餐厅成本录入!Z5</f>
        <v>0</v>
      </c>
      <c r="AA5" s="198">
        <f>$E5*餐厅成本录入!AA5</f>
        <v>0</v>
      </c>
      <c r="AB5" s="198">
        <f>$E5*餐厅成本录入!AB5</f>
        <v>0</v>
      </c>
      <c r="AC5" s="198">
        <f>$E5*餐厅成本录入!AC5</f>
        <v>0</v>
      </c>
      <c r="AD5" s="198">
        <f>$E5*餐厅成本录入!AD5</f>
        <v>0</v>
      </c>
      <c r="AE5" s="198">
        <f>$E5*餐厅成本录入!AE5</f>
        <v>0</v>
      </c>
      <c r="AF5" s="198">
        <f>$E5*餐厅成本录入!AF5</f>
        <v>0</v>
      </c>
      <c r="AG5" s="198">
        <f>$E5*餐厅成本录入!AG5</f>
        <v>0</v>
      </c>
      <c r="AH5" s="198">
        <f>$E5*餐厅成本录入!AH5</f>
        <v>18</v>
      </c>
      <c r="AI5" s="198">
        <f>$E5*餐厅成本录入!AI5</f>
        <v>18</v>
      </c>
      <c r="AJ5" s="198">
        <f>$E5*餐厅成本录入!AJ5</f>
        <v>0</v>
      </c>
      <c r="AK5" s="198">
        <f>$E5*餐厅成本录入!AK5</f>
        <v>0</v>
      </c>
      <c r="AL5" s="198">
        <f>$E5*餐厅成本录入!AL5</f>
        <v>0</v>
      </c>
      <c r="AM5" s="198">
        <f>$E5*餐厅成本录入!AM5</f>
        <v>0</v>
      </c>
      <c r="AN5" s="198">
        <f>$E5*餐厅成本录入!AN5</f>
        <v>0</v>
      </c>
      <c r="AO5" s="198">
        <f>$E5*餐厅成本录入!AO5</f>
        <v>0</v>
      </c>
      <c r="AP5" s="198">
        <f>$E5*餐厅成本录入!AP5</f>
        <v>36</v>
      </c>
      <c r="AQ5" s="198">
        <f>$E5*餐厅成本录入!AQ5</f>
        <v>36</v>
      </c>
      <c r="AR5" s="198">
        <f>$E5*餐厅成本录入!AR5</f>
        <v>0</v>
      </c>
      <c r="AS5" s="198">
        <f>$E5*餐厅成本录入!AS5</f>
        <v>0</v>
      </c>
      <c r="AT5" s="198">
        <f>$E5*餐厅成本录入!AT5</f>
        <v>19.26</v>
      </c>
      <c r="AU5" s="198">
        <f>$E5*餐厅成本录入!AU5</f>
        <v>19.26</v>
      </c>
      <c r="AV5" s="198">
        <f>$E5*餐厅成本录入!AV5</f>
        <v>0</v>
      </c>
      <c r="AW5" s="198">
        <f>$E5*餐厅成本录入!AW5</f>
        <v>0</v>
      </c>
      <c r="AX5" s="198">
        <f>$E5*餐厅成本录入!AX5</f>
        <v>19.44</v>
      </c>
      <c r="AY5" s="198">
        <f>$E5*餐厅成本录入!AY5</f>
        <v>19.44</v>
      </c>
      <c r="AZ5" s="198">
        <f>$E5*餐厅成本录入!AZ5</f>
        <v>0</v>
      </c>
      <c r="BA5" s="198">
        <f>$E5*餐厅成本录入!BA5</f>
        <v>0</v>
      </c>
      <c r="BB5" s="198">
        <f>$E5*餐厅成本录入!BB5</f>
        <v>0</v>
      </c>
      <c r="BC5" s="198">
        <f>$E5*餐厅成本录入!BC5</f>
        <v>0</v>
      </c>
      <c r="BD5" s="198">
        <f>$E5*餐厅成本录入!BD5</f>
        <v>0</v>
      </c>
      <c r="BE5" s="198">
        <f>$E5*餐厅成本录入!BE5</f>
        <v>0</v>
      </c>
      <c r="BF5" s="198">
        <f>$E5*餐厅成本录入!BF5</f>
        <v>0</v>
      </c>
      <c r="BG5" s="198">
        <f>$E5*餐厅成本录入!BG5</f>
        <v>0</v>
      </c>
      <c r="BH5" s="198">
        <f>$E5*餐厅成本录入!BH5</f>
        <v>0</v>
      </c>
      <c r="BI5" s="198">
        <f>$E5*餐厅成本录入!BI5</f>
        <v>0</v>
      </c>
      <c r="BJ5" s="198">
        <f>$E5*餐厅成本录入!BJ5</f>
        <v>0</v>
      </c>
      <c r="BK5" s="198">
        <f>$E5*餐厅成本录入!BK5</f>
        <v>0</v>
      </c>
      <c r="BL5" s="198">
        <f>$E5*餐厅成本录入!BL5</f>
        <v>0</v>
      </c>
      <c r="BM5" s="198">
        <f>$E5*餐厅成本录入!BM5</f>
        <v>0</v>
      </c>
      <c r="BN5" s="198">
        <f>$E5*餐厅成本录入!BN5</f>
        <v>0</v>
      </c>
      <c r="BO5" s="198">
        <f>$E5*餐厅成本录入!BO5</f>
        <v>0</v>
      </c>
      <c r="BP5" s="198">
        <f>$E5*餐厅成本录入!BP5</f>
        <v>0</v>
      </c>
      <c r="BQ5" s="198">
        <f>$E5*餐厅成本录入!BQ5</f>
        <v>0</v>
      </c>
      <c r="BR5" s="198">
        <f>$E5*餐厅成本录入!BR5</f>
        <v>0</v>
      </c>
      <c r="BS5" s="198">
        <f>$E5*餐厅成本录入!BS5</f>
        <v>0</v>
      </c>
      <c r="BT5" s="198">
        <f>$E5*餐厅成本录入!BT5</f>
        <v>0</v>
      </c>
      <c r="BU5" s="198">
        <f>$E5*餐厅成本录入!BU5</f>
        <v>0</v>
      </c>
      <c r="BV5" s="198">
        <f>$E5*餐厅成本录入!BV5</f>
        <v>0</v>
      </c>
      <c r="BW5" s="198">
        <f>$E5*餐厅成本录入!BW5</f>
        <v>0</v>
      </c>
    </row>
    <row r="6" s="178" customFormat="1" customHeight="1" spans="1:75">
      <c r="A6" s="161">
        <v>2</v>
      </c>
      <c r="B6" s="21" t="str">
        <f>餐厅成本录入!B6</f>
        <v>西红柿</v>
      </c>
      <c r="C6" s="21">
        <f>餐厅成本录入!C6</f>
        <v>0</v>
      </c>
      <c r="D6" s="21">
        <f>餐厅成本录入!D6</f>
        <v>0</v>
      </c>
      <c r="E6" s="21">
        <f>餐厅成本录入!E6</f>
        <v>3.8</v>
      </c>
      <c r="F6" s="21">
        <f>餐厅成本录入!F6</f>
        <v>0</v>
      </c>
      <c r="G6" s="21">
        <f>餐厅成本录入!G6</f>
        <v>0</v>
      </c>
      <c r="H6" s="21">
        <f>餐厅成本录入!H6</f>
        <v>49.7</v>
      </c>
      <c r="I6" s="21">
        <f>餐厅成本录入!I6</f>
        <v>188.86</v>
      </c>
      <c r="J6" s="21">
        <f>餐厅成本录入!J6</f>
        <v>49.7</v>
      </c>
      <c r="K6" s="21">
        <f>餐厅成本录入!K6</f>
        <v>188.86</v>
      </c>
      <c r="L6" s="21">
        <f>餐厅成本录入!L6</f>
        <v>0</v>
      </c>
      <c r="M6" s="21">
        <f>餐厅成本录入!M6</f>
        <v>0</v>
      </c>
      <c r="N6" s="198">
        <f>$E6*餐厅成本录入!N6</f>
        <v>0</v>
      </c>
      <c r="O6" s="198">
        <f>$E6*餐厅成本录入!O6</f>
        <v>0</v>
      </c>
      <c r="P6" s="198">
        <f>$E6*餐厅成本录入!P6</f>
        <v>22.8</v>
      </c>
      <c r="Q6" s="198">
        <f>$E6*餐厅成本录入!Q6</f>
        <v>22.8</v>
      </c>
      <c r="R6" s="198">
        <f>$E6*餐厅成本录入!R6</f>
        <v>0</v>
      </c>
      <c r="S6" s="198">
        <f>$E6*餐厅成本录入!S6</f>
        <v>0</v>
      </c>
      <c r="T6" s="198">
        <f>$E6*餐厅成本录入!T6</f>
        <v>0</v>
      </c>
      <c r="U6" s="198">
        <f>$E6*餐厅成本录入!U6</f>
        <v>0</v>
      </c>
      <c r="V6" s="198">
        <f>$E6*餐厅成本录入!V6</f>
        <v>22.8</v>
      </c>
      <c r="W6" s="198">
        <f>$E6*餐厅成本录入!W6</f>
        <v>22.8</v>
      </c>
      <c r="X6" s="198">
        <f>$E6*餐厅成本录入!X6</f>
        <v>0</v>
      </c>
      <c r="Y6" s="198">
        <f>$E6*餐厅成本录入!Y6</f>
        <v>0</v>
      </c>
      <c r="Z6" s="198">
        <f>$E6*餐厅成本录入!Z6</f>
        <v>0</v>
      </c>
      <c r="AA6" s="198">
        <f>$E6*餐厅成本录入!AA6</f>
        <v>0</v>
      </c>
      <c r="AB6" s="198">
        <f>$E6*餐厅成本录入!AB6</f>
        <v>22.8</v>
      </c>
      <c r="AC6" s="198">
        <f>$E6*餐厅成本录入!AC6</f>
        <v>22.8</v>
      </c>
      <c r="AD6" s="198">
        <f>$E6*餐厅成本录入!AD6</f>
        <v>0</v>
      </c>
      <c r="AE6" s="198">
        <f>$E6*餐厅成本录入!AE6</f>
        <v>0</v>
      </c>
      <c r="AF6" s="198">
        <f>$E6*餐厅成本录入!AF6</f>
        <v>0</v>
      </c>
      <c r="AG6" s="198">
        <f>$E6*餐厅成本录入!AG6</f>
        <v>0</v>
      </c>
      <c r="AH6" s="198">
        <f>$E6*餐厅成本录入!AH6</f>
        <v>23.56</v>
      </c>
      <c r="AI6" s="198">
        <f>$E6*餐厅成本录入!AI6</f>
        <v>23.56</v>
      </c>
      <c r="AJ6" s="198">
        <f>$E6*餐厅成本录入!AJ6</f>
        <v>0</v>
      </c>
      <c r="AK6" s="198">
        <f>$E6*餐厅成本录入!AK6</f>
        <v>0</v>
      </c>
      <c r="AL6" s="198">
        <f>$E6*餐厅成本录入!AL6</f>
        <v>23.56</v>
      </c>
      <c r="AM6" s="198">
        <f>$E6*餐厅成本录入!AM6</f>
        <v>23.56</v>
      </c>
      <c r="AN6" s="198">
        <f>$E6*餐厅成本录入!AN6</f>
        <v>0</v>
      </c>
      <c r="AO6" s="198">
        <f>$E6*餐厅成本录入!AO6</f>
        <v>0</v>
      </c>
      <c r="AP6" s="198">
        <f>$E6*餐厅成本录入!AP6</f>
        <v>23.56</v>
      </c>
      <c r="AQ6" s="198">
        <f>$E6*餐厅成本录入!AQ6</f>
        <v>23.56</v>
      </c>
      <c r="AR6" s="198">
        <f>$E6*餐厅成本录入!AR6</f>
        <v>0</v>
      </c>
      <c r="AS6" s="198">
        <f>$E6*餐厅成本录入!AS6</f>
        <v>0</v>
      </c>
      <c r="AT6" s="198">
        <f>$E6*餐厅成本录入!AT6</f>
        <v>25.84</v>
      </c>
      <c r="AU6" s="198">
        <f>$E6*餐厅成本录入!AU6</f>
        <v>25.84</v>
      </c>
      <c r="AV6" s="198">
        <f>$E6*餐厅成本录入!AV6</f>
        <v>0</v>
      </c>
      <c r="AW6" s="198">
        <f>$E6*餐厅成本录入!AW6</f>
        <v>0</v>
      </c>
      <c r="AX6" s="198">
        <f>$E6*餐厅成本录入!AX6</f>
        <v>0</v>
      </c>
      <c r="AY6" s="198">
        <f>$E6*餐厅成本录入!AY6</f>
        <v>0</v>
      </c>
      <c r="AZ6" s="198">
        <f>$E6*餐厅成本录入!AZ6</f>
        <v>0</v>
      </c>
      <c r="BA6" s="198">
        <f>$E6*餐厅成本录入!BA6</f>
        <v>0</v>
      </c>
      <c r="BB6" s="198">
        <f>$E6*餐厅成本录入!BB6</f>
        <v>23.94</v>
      </c>
      <c r="BC6" s="198">
        <f>$E6*餐厅成本录入!BC6</f>
        <v>23.94</v>
      </c>
      <c r="BD6" s="198">
        <f>$E6*餐厅成本录入!BD6</f>
        <v>0</v>
      </c>
      <c r="BE6" s="198">
        <f>$E6*餐厅成本录入!BE6</f>
        <v>0</v>
      </c>
      <c r="BF6" s="198">
        <f>$E6*餐厅成本录入!BF6</f>
        <v>0</v>
      </c>
      <c r="BG6" s="198">
        <f>$E6*餐厅成本录入!BG6</f>
        <v>0</v>
      </c>
      <c r="BH6" s="198">
        <f>$E6*餐厅成本录入!BH6</f>
        <v>0</v>
      </c>
      <c r="BI6" s="198">
        <f>$E6*餐厅成本录入!BI6</f>
        <v>0</v>
      </c>
      <c r="BJ6" s="198">
        <f>$E6*餐厅成本录入!BJ6</f>
        <v>0</v>
      </c>
      <c r="BK6" s="198">
        <f>$E6*餐厅成本录入!BK6</f>
        <v>0</v>
      </c>
      <c r="BL6" s="198">
        <f>$E6*餐厅成本录入!BL6</f>
        <v>0</v>
      </c>
      <c r="BM6" s="198">
        <f>$E6*餐厅成本录入!BM6</f>
        <v>0</v>
      </c>
      <c r="BN6" s="198">
        <f>$E6*餐厅成本录入!BN6</f>
        <v>0</v>
      </c>
      <c r="BO6" s="198">
        <f>$E6*餐厅成本录入!BO6</f>
        <v>0</v>
      </c>
      <c r="BP6" s="198">
        <f>$E6*餐厅成本录入!BP6</f>
        <v>0</v>
      </c>
      <c r="BQ6" s="198">
        <f>$E6*餐厅成本录入!BQ6</f>
        <v>0</v>
      </c>
      <c r="BR6" s="198">
        <f>$E6*餐厅成本录入!BR6</f>
        <v>0</v>
      </c>
      <c r="BS6" s="198">
        <f>$E6*餐厅成本录入!BS6</f>
        <v>0</v>
      </c>
      <c r="BT6" s="198">
        <f>$E6*餐厅成本录入!BT6</f>
        <v>0</v>
      </c>
      <c r="BU6" s="198">
        <f>$E6*餐厅成本录入!BU6</f>
        <v>0</v>
      </c>
      <c r="BV6" s="198">
        <f>$E6*餐厅成本录入!BV6</f>
        <v>0</v>
      </c>
      <c r="BW6" s="198">
        <f>$E6*餐厅成本录入!BW6</f>
        <v>0</v>
      </c>
    </row>
    <row r="7" s="178" customFormat="1" customHeight="1" spans="1:75">
      <c r="A7" s="161">
        <v>3</v>
      </c>
      <c r="B7" s="21" t="str">
        <f>餐厅成本录入!B7</f>
        <v>大头菜</v>
      </c>
      <c r="C7" s="21">
        <f>餐厅成本录入!C7</f>
        <v>0</v>
      </c>
      <c r="D7" s="21">
        <f>餐厅成本录入!D7</f>
        <v>0</v>
      </c>
      <c r="E7" s="21">
        <f>餐厅成本录入!E7</f>
        <v>1</v>
      </c>
      <c r="F7" s="21">
        <f>餐厅成本录入!F7</f>
        <v>0</v>
      </c>
      <c r="G7" s="21">
        <f>餐厅成本录入!G7</f>
        <v>0</v>
      </c>
      <c r="H7" s="21">
        <f>餐厅成本录入!H7</f>
        <v>50.3</v>
      </c>
      <c r="I7" s="21">
        <f>餐厅成本录入!I7</f>
        <v>50.3</v>
      </c>
      <c r="J7" s="21">
        <f>餐厅成本录入!J7</f>
        <v>50.3</v>
      </c>
      <c r="K7" s="21">
        <f>餐厅成本录入!K7</f>
        <v>50.3</v>
      </c>
      <c r="L7" s="21">
        <f>餐厅成本录入!L7</f>
        <v>0</v>
      </c>
      <c r="M7" s="21">
        <f>餐厅成本录入!M7</f>
        <v>0</v>
      </c>
      <c r="N7" s="198">
        <f>$E7*餐厅成本录入!N7</f>
        <v>0</v>
      </c>
      <c r="O7" s="198">
        <f>$E7*餐厅成本录入!O7</f>
        <v>0</v>
      </c>
      <c r="P7" s="198">
        <f>$E7*餐厅成本录入!P7</f>
        <v>15.1</v>
      </c>
      <c r="Q7" s="198">
        <f>$E7*餐厅成本录入!Q7</f>
        <v>15.1</v>
      </c>
      <c r="R7" s="198">
        <f>$E7*餐厅成本录入!R7</f>
        <v>0</v>
      </c>
      <c r="S7" s="198">
        <f>$E7*餐厅成本录入!S7</f>
        <v>0</v>
      </c>
      <c r="T7" s="198">
        <f>$E7*餐厅成本录入!T7</f>
        <v>0</v>
      </c>
      <c r="U7" s="198">
        <f>$E7*餐厅成本录入!U7</f>
        <v>0</v>
      </c>
      <c r="V7" s="198">
        <f>$E7*餐厅成本录入!V7</f>
        <v>0</v>
      </c>
      <c r="W7" s="198">
        <f>$E7*餐厅成本录入!W7</f>
        <v>0</v>
      </c>
      <c r="X7" s="198">
        <f>$E7*餐厅成本录入!X7</f>
        <v>0</v>
      </c>
      <c r="Y7" s="198">
        <f>$E7*餐厅成本录入!Y7</f>
        <v>0</v>
      </c>
      <c r="Z7" s="198">
        <f>$E7*餐厅成本录入!Z7</f>
        <v>0</v>
      </c>
      <c r="AA7" s="198">
        <f>$E7*餐厅成本录入!AA7</f>
        <v>0</v>
      </c>
      <c r="AB7" s="198">
        <f>$E7*餐厅成本录入!AB7</f>
        <v>18.5</v>
      </c>
      <c r="AC7" s="198">
        <f>$E7*餐厅成本录入!AC7</f>
        <v>18.5</v>
      </c>
      <c r="AD7" s="198">
        <f>$E7*餐厅成本录入!AD7</f>
        <v>0</v>
      </c>
      <c r="AE7" s="198">
        <f>$E7*餐厅成本录入!AE7</f>
        <v>0</v>
      </c>
      <c r="AF7" s="198">
        <f>$E7*餐厅成本录入!AF7</f>
        <v>0</v>
      </c>
      <c r="AG7" s="198">
        <f>$E7*餐厅成本录入!AG7</f>
        <v>0</v>
      </c>
      <c r="AH7" s="198">
        <f>$E7*餐厅成本录入!AH7</f>
        <v>0</v>
      </c>
      <c r="AI7" s="198">
        <f>$E7*餐厅成本录入!AI7</f>
        <v>0</v>
      </c>
      <c r="AJ7" s="198">
        <f>$E7*餐厅成本录入!AJ7</f>
        <v>0</v>
      </c>
      <c r="AK7" s="198">
        <f>$E7*餐厅成本录入!AK7</f>
        <v>0</v>
      </c>
      <c r="AL7" s="198">
        <f>$E7*餐厅成本录入!AL7</f>
        <v>0</v>
      </c>
      <c r="AM7" s="198">
        <f>$E7*餐厅成本录入!AM7</f>
        <v>0</v>
      </c>
      <c r="AN7" s="198">
        <f>$E7*餐厅成本录入!AN7</f>
        <v>0</v>
      </c>
      <c r="AO7" s="198">
        <f>$E7*餐厅成本录入!AO7</f>
        <v>0</v>
      </c>
      <c r="AP7" s="198">
        <f>$E7*餐厅成本录入!AP7</f>
        <v>16.7</v>
      </c>
      <c r="AQ7" s="198">
        <f>$E7*餐厅成本录入!AQ7</f>
        <v>16.7</v>
      </c>
      <c r="AR7" s="198">
        <f>$E7*餐厅成本录入!AR7</f>
        <v>0</v>
      </c>
      <c r="AS7" s="198">
        <f>$E7*餐厅成本录入!AS7</f>
        <v>0</v>
      </c>
      <c r="AT7" s="198">
        <f>$E7*餐厅成本录入!AT7</f>
        <v>0</v>
      </c>
      <c r="AU7" s="198">
        <f>$E7*餐厅成本录入!AU7</f>
        <v>0</v>
      </c>
      <c r="AV7" s="198">
        <f>$E7*餐厅成本录入!AV7</f>
        <v>0</v>
      </c>
      <c r="AW7" s="198">
        <f>$E7*餐厅成本录入!AW7</f>
        <v>0</v>
      </c>
      <c r="AX7" s="198">
        <f>$E7*餐厅成本录入!AX7</f>
        <v>0</v>
      </c>
      <c r="AY7" s="198">
        <f>$E7*餐厅成本录入!AY7</f>
        <v>0</v>
      </c>
      <c r="AZ7" s="198">
        <f>$E7*餐厅成本录入!AZ7</f>
        <v>0</v>
      </c>
      <c r="BA7" s="198">
        <f>$E7*餐厅成本录入!BA7</f>
        <v>0</v>
      </c>
      <c r="BB7" s="198">
        <f>$E7*餐厅成本录入!BB7</f>
        <v>0</v>
      </c>
      <c r="BC7" s="198">
        <f>$E7*餐厅成本录入!BC7</f>
        <v>0</v>
      </c>
      <c r="BD7" s="198">
        <f>$E7*餐厅成本录入!BD7</f>
        <v>0</v>
      </c>
      <c r="BE7" s="198">
        <f>$E7*餐厅成本录入!BE7</f>
        <v>0</v>
      </c>
      <c r="BF7" s="198">
        <f>$E7*餐厅成本录入!BF7</f>
        <v>0</v>
      </c>
      <c r="BG7" s="198">
        <f>$E7*餐厅成本录入!BG7</f>
        <v>0</v>
      </c>
      <c r="BH7" s="198">
        <f>$E7*餐厅成本录入!BH7</f>
        <v>0</v>
      </c>
      <c r="BI7" s="198">
        <f>$E7*餐厅成本录入!BI7</f>
        <v>0</v>
      </c>
      <c r="BJ7" s="198">
        <f>$E7*餐厅成本录入!BJ7</f>
        <v>0</v>
      </c>
      <c r="BK7" s="198">
        <f>$E7*餐厅成本录入!BK7</f>
        <v>0</v>
      </c>
      <c r="BL7" s="198">
        <f>$E7*餐厅成本录入!BL7</f>
        <v>0</v>
      </c>
      <c r="BM7" s="198">
        <f>$E7*餐厅成本录入!BM7</f>
        <v>0</v>
      </c>
      <c r="BN7" s="198">
        <f>$E7*餐厅成本录入!BN7</f>
        <v>0</v>
      </c>
      <c r="BO7" s="198">
        <f>$E7*餐厅成本录入!BO7</f>
        <v>0</v>
      </c>
      <c r="BP7" s="198">
        <f>$E7*餐厅成本录入!BP7</f>
        <v>0</v>
      </c>
      <c r="BQ7" s="198">
        <f>$E7*餐厅成本录入!BQ7</f>
        <v>0</v>
      </c>
      <c r="BR7" s="198">
        <f>$E7*餐厅成本录入!BR7</f>
        <v>0</v>
      </c>
      <c r="BS7" s="198">
        <f>$E7*餐厅成本录入!BS7</f>
        <v>0</v>
      </c>
      <c r="BT7" s="198">
        <f>$E7*餐厅成本录入!BT7</f>
        <v>0</v>
      </c>
      <c r="BU7" s="198">
        <f>$E7*餐厅成本录入!BU7</f>
        <v>0</v>
      </c>
      <c r="BV7" s="198">
        <f>$E7*餐厅成本录入!BV7</f>
        <v>0</v>
      </c>
      <c r="BW7" s="198">
        <f>$E7*餐厅成本录入!BW7</f>
        <v>0</v>
      </c>
    </row>
    <row r="8" s="178" customFormat="1" customHeight="1" spans="1:75">
      <c r="A8" s="161">
        <v>4</v>
      </c>
      <c r="B8" s="21" t="str">
        <f>餐厅成本录入!B8</f>
        <v>有机花菜</v>
      </c>
      <c r="C8" s="21">
        <f>餐厅成本录入!C8</f>
        <v>0</v>
      </c>
      <c r="D8" s="21">
        <f>餐厅成本录入!D8</f>
        <v>0</v>
      </c>
      <c r="E8" s="21">
        <f>餐厅成本录入!E8</f>
        <v>2.5</v>
      </c>
      <c r="F8" s="21">
        <f>餐厅成本录入!F8</f>
        <v>0</v>
      </c>
      <c r="G8" s="21">
        <f>餐厅成本录入!G8</f>
        <v>0</v>
      </c>
      <c r="H8" s="21">
        <f>餐厅成本录入!H8</f>
        <v>40.2</v>
      </c>
      <c r="I8" s="21">
        <f>餐厅成本录入!I8</f>
        <v>100.5</v>
      </c>
      <c r="J8" s="21">
        <f>餐厅成本录入!J8</f>
        <v>40.2</v>
      </c>
      <c r="K8" s="21">
        <f>餐厅成本录入!K8</f>
        <v>100.5</v>
      </c>
      <c r="L8" s="21">
        <f>餐厅成本录入!L8</f>
        <v>0</v>
      </c>
      <c r="M8" s="21">
        <f>餐厅成本录入!M8</f>
        <v>0</v>
      </c>
      <c r="N8" s="198">
        <f>$E8*餐厅成本录入!N8</f>
        <v>0</v>
      </c>
      <c r="O8" s="198">
        <f>$E8*餐厅成本录入!O8</f>
        <v>0</v>
      </c>
      <c r="P8" s="198">
        <f>$E8*餐厅成本录入!P8</f>
        <v>0</v>
      </c>
      <c r="Q8" s="198">
        <f>$E8*餐厅成本录入!Q8</f>
        <v>0</v>
      </c>
      <c r="R8" s="198">
        <f>$E8*餐厅成本录入!R8</f>
        <v>0</v>
      </c>
      <c r="S8" s="198">
        <f>$E8*餐厅成本录入!S8</f>
        <v>0</v>
      </c>
      <c r="T8" s="198">
        <f>$E8*餐厅成本录入!T8</f>
        <v>0</v>
      </c>
      <c r="U8" s="198">
        <f>$E8*餐厅成本录入!U8</f>
        <v>0</v>
      </c>
      <c r="V8" s="198">
        <f>$E8*餐厅成本录入!V8</f>
        <v>16.25</v>
      </c>
      <c r="W8" s="198">
        <f>$E8*餐厅成本录入!W8</f>
        <v>16.25</v>
      </c>
      <c r="X8" s="198">
        <f>$E8*餐厅成本录入!X8</f>
        <v>0</v>
      </c>
      <c r="Y8" s="198">
        <f>$E8*餐厅成本录入!Y8</f>
        <v>0</v>
      </c>
      <c r="Z8" s="198">
        <f>$E8*餐厅成本录入!Z8</f>
        <v>0</v>
      </c>
      <c r="AA8" s="198">
        <f>$E8*餐厅成本录入!AA8</f>
        <v>0</v>
      </c>
      <c r="AB8" s="198">
        <f>$E8*餐厅成本录入!AB8</f>
        <v>17.5</v>
      </c>
      <c r="AC8" s="198">
        <f>$E8*餐厅成本录入!AC8</f>
        <v>17.5</v>
      </c>
      <c r="AD8" s="198">
        <f>$E8*餐厅成本录入!AD8</f>
        <v>0</v>
      </c>
      <c r="AE8" s="198">
        <f>$E8*餐厅成本录入!AE8</f>
        <v>0</v>
      </c>
      <c r="AF8" s="198">
        <f>$E8*餐厅成本录入!AF8</f>
        <v>0</v>
      </c>
      <c r="AG8" s="198">
        <f>$E8*餐厅成本录入!AG8</f>
        <v>0</v>
      </c>
      <c r="AH8" s="198">
        <f>$E8*餐厅成本录入!AH8</f>
        <v>0</v>
      </c>
      <c r="AI8" s="198">
        <f>$E8*餐厅成本录入!AI8</f>
        <v>0</v>
      </c>
      <c r="AJ8" s="198">
        <f>$E8*餐厅成本录入!AJ8</f>
        <v>0</v>
      </c>
      <c r="AK8" s="198">
        <f>$E8*餐厅成本录入!AK8</f>
        <v>0</v>
      </c>
      <c r="AL8" s="198">
        <f>$E8*餐厅成本录入!AL8</f>
        <v>0</v>
      </c>
      <c r="AM8" s="198">
        <f>$E8*餐厅成本录入!AM8</f>
        <v>0</v>
      </c>
      <c r="AN8" s="198">
        <f>$E8*餐厅成本录入!AN8</f>
        <v>0</v>
      </c>
      <c r="AO8" s="198">
        <f>$E8*餐厅成本录入!AO8</f>
        <v>0</v>
      </c>
      <c r="AP8" s="198">
        <f>$E8*餐厅成本录入!AP8</f>
        <v>0</v>
      </c>
      <c r="AQ8" s="198">
        <f>$E8*餐厅成本录入!AQ8</f>
        <v>0</v>
      </c>
      <c r="AR8" s="198">
        <f>$E8*餐厅成本录入!AR8</f>
        <v>0</v>
      </c>
      <c r="AS8" s="198">
        <f>$E8*餐厅成本录入!AS8</f>
        <v>0</v>
      </c>
      <c r="AT8" s="198">
        <f>$E8*餐厅成本录入!AT8</f>
        <v>0</v>
      </c>
      <c r="AU8" s="198">
        <f>$E8*餐厅成本录入!AU8</f>
        <v>0</v>
      </c>
      <c r="AV8" s="198">
        <f>$E8*餐厅成本录入!AV8</f>
        <v>0</v>
      </c>
      <c r="AW8" s="198">
        <f>$E8*餐厅成本录入!AW8</f>
        <v>0</v>
      </c>
      <c r="AX8" s="198">
        <f>$E8*餐厅成本录入!AX8</f>
        <v>0</v>
      </c>
      <c r="AY8" s="198">
        <f>$E8*餐厅成本录入!AY8</f>
        <v>0</v>
      </c>
      <c r="AZ8" s="198">
        <f>$E8*餐厅成本录入!AZ8</f>
        <v>0</v>
      </c>
      <c r="BA8" s="198">
        <f>$E8*餐厅成本录入!BA8</f>
        <v>0</v>
      </c>
      <c r="BB8" s="198">
        <f>$E8*餐厅成本录入!BB8</f>
        <v>16.75</v>
      </c>
      <c r="BC8" s="198">
        <f>$E8*餐厅成本录入!BC8</f>
        <v>16.75</v>
      </c>
      <c r="BD8" s="198">
        <f>$E8*餐厅成本录入!BD8</f>
        <v>0</v>
      </c>
      <c r="BE8" s="198">
        <f>$E8*餐厅成本录入!BE8</f>
        <v>0</v>
      </c>
      <c r="BF8" s="198">
        <f>$E8*餐厅成本录入!BF8</f>
        <v>0</v>
      </c>
      <c r="BG8" s="198">
        <f>$E8*餐厅成本录入!BG8</f>
        <v>0</v>
      </c>
      <c r="BH8" s="198">
        <f>$E8*餐厅成本录入!BH8</f>
        <v>15</v>
      </c>
      <c r="BI8" s="198">
        <f>$E8*餐厅成本录入!BI8</f>
        <v>15</v>
      </c>
      <c r="BJ8" s="198">
        <f>$E8*餐厅成本录入!BJ8</f>
        <v>0</v>
      </c>
      <c r="BK8" s="198">
        <f>$E8*餐厅成本录入!BK8</f>
        <v>0</v>
      </c>
      <c r="BL8" s="198">
        <f>$E8*餐厅成本录入!BL8</f>
        <v>0</v>
      </c>
      <c r="BM8" s="198">
        <f>$E8*餐厅成本录入!BM8</f>
        <v>0</v>
      </c>
      <c r="BN8" s="198">
        <f>$E8*餐厅成本录入!BN8</f>
        <v>35</v>
      </c>
      <c r="BO8" s="198">
        <f>$E8*餐厅成本录入!BO8</f>
        <v>35</v>
      </c>
      <c r="BP8" s="198">
        <f>$E8*餐厅成本录入!BP8</f>
        <v>0</v>
      </c>
      <c r="BQ8" s="198">
        <f>$E8*餐厅成本录入!BQ8</f>
        <v>0</v>
      </c>
      <c r="BR8" s="198">
        <f>$E8*餐厅成本录入!BR8</f>
        <v>0</v>
      </c>
      <c r="BS8" s="198">
        <f>$E8*餐厅成本录入!BS8</f>
        <v>0</v>
      </c>
      <c r="BT8" s="198">
        <f>$E8*餐厅成本录入!BT8</f>
        <v>0</v>
      </c>
      <c r="BU8" s="198">
        <f>$E8*餐厅成本录入!BU8</f>
        <v>0</v>
      </c>
      <c r="BV8" s="198">
        <f>$E8*餐厅成本录入!BV8</f>
        <v>0</v>
      </c>
      <c r="BW8" s="198">
        <f>$E8*餐厅成本录入!BW8</f>
        <v>0</v>
      </c>
    </row>
    <row r="9" s="178" customFormat="1" customHeight="1" spans="1:75">
      <c r="A9" s="161">
        <v>8</v>
      </c>
      <c r="B9" s="21" t="str">
        <f>餐厅成本录入!B9</f>
        <v>西兰花</v>
      </c>
      <c r="C9" s="21">
        <f>餐厅成本录入!C9</f>
        <v>0</v>
      </c>
      <c r="D9" s="21">
        <f>餐厅成本录入!D9</f>
        <v>0</v>
      </c>
      <c r="E9" s="21">
        <f>餐厅成本录入!E9</f>
        <v>3.8</v>
      </c>
      <c r="F9" s="21">
        <f>餐厅成本录入!F9</f>
        <v>0</v>
      </c>
      <c r="G9" s="21">
        <f>餐厅成本录入!G9</f>
        <v>0</v>
      </c>
      <c r="H9" s="21">
        <f>餐厅成本录入!H9</f>
        <v>38.2</v>
      </c>
      <c r="I9" s="21">
        <f>餐厅成本录入!I9</f>
        <v>145.16</v>
      </c>
      <c r="J9" s="21">
        <f>餐厅成本录入!J9</f>
        <v>38.2</v>
      </c>
      <c r="K9" s="21">
        <f>餐厅成本录入!K9</f>
        <v>145.16</v>
      </c>
      <c r="L9" s="21">
        <f>餐厅成本录入!L9</f>
        <v>0</v>
      </c>
      <c r="M9" s="21">
        <f>餐厅成本录入!M9</f>
        <v>0</v>
      </c>
      <c r="N9" s="198">
        <f>$E9*餐厅成本录入!N9</f>
        <v>0</v>
      </c>
      <c r="O9" s="198">
        <f>$E9*餐厅成本录入!O9</f>
        <v>0</v>
      </c>
      <c r="P9" s="198">
        <f>$E9*餐厅成本录入!P9</f>
        <v>0</v>
      </c>
      <c r="Q9" s="198">
        <f>$E9*餐厅成本录入!Q9</f>
        <v>0</v>
      </c>
      <c r="R9" s="198">
        <f>$E9*餐厅成本录入!R9</f>
        <v>0</v>
      </c>
      <c r="S9" s="198">
        <f>$E9*餐厅成本录入!S9</f>
        <v>0</v>
      </c>
      <c r="T9" s="198">
        <f>$E9*餐厅成本录入!T9</f>
        <v>0</v>
      </c>
      <c r="U9" s="198">
        <f>$E9*餐厅成本录入!U9</f>
        <v>0</v>
      </c>
      <c r="V9" s="198">
        <f>$E9*餐厅成本录入!V9</f>
        <v>24.32</v>
      </c>
      <c r="W9" s="198">
        <f>$E9*餐厅成本录入!W9</f>
        <v>24.32</v>
      </c>
      <c r="X9" s="198">
        <f>$E9*餐厅成本录入!X9</f>
        <v>0</v>
      </c>
      <c r="Y9" s="198">
        <f>$E9*餐厅成本录入!Y9</f>
        <v>0</v>
      </c>
      <c r="Z9" s="198">
        <f>$E9*餐厅成本录入!Z9</f>
        <v>0</v>
      </c>
      <c r="AA9" s="198">
        <f>$E9*餐厅成本录入!AA9</f>
        <v>0</v>
      </c>
      <c r="AB9" s="198">
        <f>$E9*餐厅成本录入!AB9</f>
        <v>23.56</v>
      </c>
      <c r="AC9" s="198">
        <f>$E9*餐厅成本录入!AC9</f>
        <v>23.56</v>
      </c>
      <c r="AD9" s="198">
        <f>$E9*餐厅成本录入!AD9</f>
        <v>0</v>
      </c>
      <c r="AE9" s="198">
        <f>$E9*餐厅成本录入!AE9</f>
        <v>0</v>
      </c>
      <c r="AF9" s="198">
        <f>$E9*餐厅成本录入!AF9</f>
        <v>0</v>
      </c>
      <c r="AG9" s="198">
        <f>$E9*餐厅成本录入!AG9</f>
        <v>0</v>
      </c>
      <c r="AH9" s="198">
        <f>$E9*餐厅成本录入!AH9</f>
        <v>0</v>
      </c>
      <c r="AI9" s="198">
        <f>$E9*餐厅成本录入!AI9</f>
        <v>0</v>
      </c>
      <c r="AJ9" s="198">
        <f>$E9*餐厅成本录入!AJ9</f>
        <v>0</v>
      </c>
      <c r="AK9" s="198">
        <f>$E9*餐厅成本录入!AK9</f>
        <v>0</v>
      </c>
      <c r="AL9" s="198">
        <f>$E9*餐厅成本录入!AL9</f>
        <v>0</v>
      </c>
      <c r="AM9" s="198">
        <f>$E9*餐厅成本录入!AM9</f>
        <v>0</v>
      </c>
      <c r="AN9" s="198">
        <f>$E9*餐厅成本录入!AN9</f>
        <v>0</v>
      </c>
      <c r="AO9" s="198">
        <f>$E9*餐厅成本录入!AO9</f>
        <v>0</v>
      </c>
      <c r="AP9" s="198">
        <f>$E9*餐厅成本录入!AP9</f>
        <v>24.32</v>
      </c>
      <c r="AQ9" s="198">
        <f>$E9*餐厅成本录入!AQ9</f>
        <v>24.32</v>
      </c>
      <c r="AR9" s="198">
        <f>$E9*餐厅成本录入!AR9</f>
        <v>0</v>
      </c>
      <c r="AS9" s="198">
        <f>$E9*餐厅成本录入!AS9</f>
        <v>0</v>
      </c>
      <c r="AT9" s="198">
        <f>$E9*餐厅成本录入!AT9</f>
        <v>25.84</v>
      </c>
      <c r="AU9" s="198">
        <f>$E9*餐厅成本录入!AU9</f>
        <v>25.84</v>
      </c>
      <c r="AV9" s="198">
        <f>$E9*餐厅成本录入!AV9</f>
        <v>0</v>
      </c>
      <c r="AW9" s="198">
        <f>$E9*餐厅成本录入!AW9</f>
        <v>0</v>
      </c>
      <c r="AX9" s="198">
        <f>$E9*餐厅成本录入!AX9</f>
        <v>0</v>
      </c>
      <c r="AY9" s="198">
        <f>$E9*餐厅成本录入!AY9</f>
        <v>0</v>
      </c>
      <c r="AZ9" s="198">
        <f>$E9*餐厅成本录入!AZ9</f>
        <v>0</v>
      </c>
      <c r="BA9" s="198">
        <f>$E9*餐厅成本录入!BA9</f>
        <v>0</v>
      </c>
      <c r="BB9" s="198">
        <f>$E9*餐厅成本录入!BB9</f>
        <v>24.32</v>
      </c>
      <c r="BC9" s="198">
        <f>$E9*餐厅成本录入!BC9</f>
        <v>24.32</v>
      </c>
      <c r="BD9" s="198">
        <f>$E9*餐厅成本录入!BD9</f>
        <v>0</v>
      </c>
      <c r="BE9" s="198">
        <f>$E9*餐厅成本录入!BE9</f>
        <v>0</v>
      </c>
      <c r="BF9" s="198">
        <f>$E9*餐厅成本录入!BF9</f>
        <v>0</v>
      </c>
      <c r="BG9" s="198">
        <f>$E9*餐厅成本录入!BG9</f>
        <v>0</v>
      </c>
      <c r="BH9" s="198">
        <f>$E9*餐厅成本录入!BH9</f>
        <v>22.8</v>
      </c>
      <c r="BI9" s="198">
        <f>$E9*餐厅成本录入!BI9</f>
        <v>22.8</v>
      </c>
      <c r="BJ9" s="198">
        <f>$E9*餐厅成本录入!BJ9</f>
        <v>0</v>
      </c>
      <c r="BK9" s="198">
        <f>$E9*餐厅成本录入!BK9</f>
        <v>0</v>
      </c>
      <c r="BL9" s="198">
        <f>$E9*餐厅成本录入!BL9</f>
        <v>0</v>
      </c>
      <c r="BM9" s="198">
        <f>$E9*餐厅成本录入!BM9</f>
        <v>0</v>
      </c>
      <c r="BN9" s="198">
        <f>$E9*餐厅成本录入!BN9</f>
        <v>0</v>
      </c>
      <c r="BO9" s="198">
        <f>$E9*餐厅成本录入!BO9</f>
        <v>0</v>
      </c>
      <c r="BP9" s="198">
        <f>$E9*餐厅成本录入!BP9</f>
        <v>0</v>
      </c>
      <c r="BQ9" s="198">
        <f>$E9*餐厅成本录入!BQ9</f>
        <v>0</v>
      </c>
      <c r="BR9" s="198">
        <f>$E9*餐厅成本录入!BR9</f>
        <v>0</v>
      </c>
      <c r="BS9" s="198">
        <f>$E9*餐厅成本录入!BS9</f>
        <v>0</v>
      </c>
      <c r="BT9" s="198">
        <f>$E9*餐厅成本录入!BT9</f>
        <v>0</v>
      </c>
      <c r="BU9" s="198">
        <f>$E9*餐厅成本录入!BU9</f>
        <v>0</v>
      </c>
      <c r="BV9" s="198">
        <f>$E9*餐厅成本录入!BV9</f>
        <v>0</v>
      </c>
      <c r="BW9" s="198">
        <f>$E9*餐厅成本录入!BW9</f>
        <v>0</v>
      </c>
    </row>
    <row r="10" s="178" customFormat="1" customHeight="1" spans="1:75">
      <c r="A10" s="161">
        <v>9</v>
      </c>
      <c r="B10" s="21" t="str">
        <f>餐厅成本录入!B10</f>
        <v>大土豆</v>
      </c>
      <c r="C10" s="21">
        <f>餐厅成本录入!C10</f>
        <v>0</v>
      </c>
      <c r="D10" s="21">
        <f>餐厅成本录入!D10</f>
        <v>0</v>
      </c>
      <c r="E10" s="21">
        <f>餐厅成本录入!E10</f>
        <v>1.5</v>
      </c>
      <c r="F10" s="21">
        <f>餐厅成本录入!F10</f>
        <v>0</v>
      </c>
      <c r="G10" s="21">
        <f>餐厅成本录入!G10</f>
        <v>0</v>
      </c>
      <c r="H10" s="21">
        <f>餐厅成本录入!H10</f>
        <v>81.1</v>
      </c>
      <c r="I10" s="21">
        <f>餐厅成本录入!I10</f>
        <v>121.65</v>
      </c>
      <c r="J10" s="21">
        <f>餐厅成本录入!J10</f>
        <v>81.1</v>
      </c>
      <c r="K10" s="21">
        <f>餐厅成本录入!K10</f>
        <v>121.65</v>
      </c>
      <c r="L10" s="21">
        <f>餐厅成本录入!L10</f>
        <v>0</v>
      </c>
      <c r="M10" s="21">
        <f>餐厅成本录入!M10</f>
        <v>0</v>
      </c>
      <c r="N10" s="198">
        <f>$E10*餐厅成本录入!N10</f>
        <v>0</v>
      </c>
      <c r="O10" s="198">
        <f>$E10*餐厅成本录入!O10</f>
        <v>0</v>
      </c>
      <c r="P10" s="198">
        <f>$E10*餐厅成本录入!P10</f>
        <v>15</v>
      </c>
      <c r="Q10" s="198">
        <f>$E10*餐厅成本录入!Q10</f>
        <v>15</v>
      </c>
      <c r="R10" s="198">
        <f>$E10*餐厅成本录入!R10</f>
        <v>0</v>
      </c>
      <c r="S10" s="198">
        <f>$E10*餐厅成本录入!S10</f>
        <v>0</v>
      </c>
      <c r="T10" s="198">
        <f>$E10*餐厅成本录入!T10</f>
        <v>0</v>
      </c>
      <c r="U10" s="198">
        <f>$E10*餐厅成本录入!U10</f>
        <v>0</v>
      </c>
      <c r="V10" s="198">
        <f>$E10*餐厅成本录入!V10</f>
        <v>14.85</v>
      </c>
      <c r="W10" s="198">
        <f>$E10*餐厅成本录入!W10</f>
        <v>14.85</v>
      </c>
      <c r="X10" s="198">
        <f>$E10*餐厅成本录入!X10</f>
        <v>0</v>
      </c>
      <c r="Y10" s="198">
        <f>$E10*餐厅成本录入!Y10</f>
        <v>0</v>
      </c>
      <c r="Z10" s="198">
        <f>$E10*餐厅成本录入!Z10</f>
        <v>0</v>
      </c>
      <c r="AA10" s="198">
        <f>$E10*餐厅成本录入!AA10</f>
        <v>0</v>
      </c>
      <c r="AB10" s="198">
        <f>$E10*餐厅成本录入!AB10</f>
        <v>15</v>
      </c>
      <c r="AC10" s="198">
        <f>$E10*餐厅成本录入!AC10</f>
        <v>15</v>
      </c>
      <c r="AD10" s="198">
        <f>$E10*餐厅成本录入!AD10</f>
        <v>0</v>
      </c>
      <c r="AE10" s="198">
        <f>$E10*餐厅成本录入!AE10</f>
        <v>0</v>
      </c>
      <c r="AF10" s="198">
        <f>$E10*餐厅成本录入!AF10</f>
        <v>0</v>
      </c>
      <c r="AG10" s="198">
        <f>$E10*餐厅成本录入!AG10</f>
        <v>0</v>
      </c>
      <c r="AH10" s="198">
        <f>$E10*餐厅成本录入!AH10</f>
        <v>15.15</v>
      </c>
      <c r="AI10" s="198">
        <f>$E10*餐厅成本录入!AI10</f>
        <v>15.15</v>
      </c>
      <c r="AJ10" s="198">
        <f>$E10*餐厅成本录入!AJ10</f>
        <v>0</v>
      </c>
      <c r="AK10" s="198">
        <f>$E10*餐厅成本录入!AK10</f>
        <v>0</v>
      </c>
      <c r="AL10" s="198">
        <f>$E10*餐厅成本录入!AL10</f>
        <v>15.3</v>
      </c>
      <c r="AM10" s="198">
        <f>$E10*餐厅成本录入!AM10</f>
        <v>15.3</v>
      </c>
      <c r="AN10" s="198">
        <f>$E10*餐厅成本录入!AN10</f>
        <v>0</v>
      </c>
      <c r="AO10" s="198">
        <f>$E10*餐厅成本录入!AO10</f>
        <v>0</v>
      </c>
      <c r="AP10" s="198">
        <f>$E10*餐厅成本录入!AP10</f>
        <v>15.45</v>
      </c>
      <c r="AQ10" s="198">
        <f>$E10*餐厅成本录入!AQ10</f>
        <v>15.45</v>
      </c>
      <c r="AR10" s="198">
        <f>$E10*餐厅成本录入!AR10</f>
        <v>0</v>
      </c>
      <c r="AS10" s="198">
        <f>$E10*餐厅成本录入!AS10</f>
        <v>0</v>
      </c>
      <c r="AT10" s="198">
        <f>$E10*餐厅成本录入!AT10</f>
        <v>15.9</v>
      </c>
      <c r="AU10" s="198">
        <f>$E10*餐厅成本录入!AU10</f>
        <v>15.9</v>
      </c>
      <c r="AV10" s="198">
        <f>$E10*餐厅成本录入!AV10</f>
        <v>0</v>
      </c>
      <c r="AW10" s="198">
        <f>$E10*餐厅成本录入!AW10</f>
        <v>0</v>
      </c>
      <c r="AX10" s="198">
        <f>$E10*餐厅成本录入!AX10</f>
        <v>0</v>
      </c>
      <c r="AY10" s="198">
        <f>$E10*餐厅成本录入!AY10</f>
        <v>0</v>
      </c>
      <c r="AZ10" s="198">
        <f>$E10*餐厅成本录入!AZ10</f>
        <v>0</v>
      </c>
      <c r="BA10" s="198">
        <f>$E10*餐厅成本录入!BA10</f>
        <v>0</v>
      </c>
      <c r="BB10" s="198">
        <f>$E10*餐厅成本录入!BB10</f>
        <v>0</v>
      </c>
      <c r="BC10" s="198">
        <f>$E10*餐厅成本录入!BC10</f>
        <v>0</v>
      </c>
      <c r="BD10" s="198">
        <f>$E10*餐厅成本录入!BD10</f>
        <v>0</v>
      </c>
      <c r="BE10" s="198">
        <f>$E10*餐厅成本录入!BE10</f>
        <v>0</v>
      </c>
      <c r="BF10" s="198">
        <f>$E10*餐厅成本录入!BF10</f>
        <v>0</v>
      </c>
      <c r="BG10" s="198">
        <f>$E10*餐厅成本录入!BG10</f>
        <v>0</v>
      </c>
      <c r="BH10" s="198">
        <f>$E10*餐厅成本录入!BH10</f>
        <v>15</v>
      </c>
      <c r="BI10" s="198">
        <f>$E10*餐厅成本录入!BI10</f>
        <v>15</v>
      </c>
      <c r="BJ10" s="198">
        <f>$E10*餐厅成本录入!BJ10</f>
        <v>0</v>
      </c>
      <c r="BK10" s="198">
        <f>$E10*餐厅成本录入!BK10</f>
        <v>0</v>
      </c>
      <c r="BL10" s="198">
        <f>$E10*餐厅成本录入!BL10</f>
        <v>0</v>
      </c>
      <c r="BM10" s="198">
        <f>$E10*餐厅成本录入!BM10</f>
        <v>0</v>
      </c>
      <c r="BN10" s="198">
        <f>$E10*餐厅成本录入!BN10</f>
        <v>0</v>
      </c>
      <c r="BO10" s="198">
        <f>$E10*餐厅成本录入!BO10</f>
        <v>0</v>
      </c>
      <c r="BP10" s="198">
        <f>$E10*餐厅成本录入!BP10</f>
        <v>0</v>
      </c>
      <c r="BQ10" s="198">
        <f>$E10*餐厅成本录入!BQ10</f>
        <v>0</v>
      </c>
      <c r="BR10" s="198">
        <f>$E10*餐厅成本录入!BR10</f>
        <v>0</v>
      </c>
      <c r="BS10" s="198">
        <f>$E10*餐厅成本录入!BS10</f>
        <v>0</v>
      </c>
      <c r="BT10" s="198">
        <f>$E10*餐厅成本录入!BT10</f>
        <v>0</v>
      </c>
      <c r="BU10" s="198">
        <f>$E10*餐厅成本录入!BU10</f>
        <v>0</v>
      </c>
      <c r="BV10" s="198">
        <f>$E10*餐厅成本录入!BV10</f>
        <v>0</v>
      </c>
      <c r="BW10" s="198">
        <f>$E10*餐厅成本录入!BW10</f>
        <v>0</v>
      </c>
    </row>
    <row r="11" s="178" customFormat="1" customHeight="1" spans="1:75">
      <c r="A11" s="161">
        <v>10</v>
      </c>
      <c r="B11" s="21" t="str">
        <f>餐厅成本录入!B11</f>
        <v>地瓜</v>
      </c>
      <c r="C11" s="21">
        <f>餐厅成本录入!C11</f>
        <v>0</v>
      </c>
      <c r="D11" s="21">
        <f>餐厅成本录入!D11</f>
        <v>0</v>
      </c>
      <c r="E11" s="21">
        <f>餐厅成本录入!E11</f>
        <v>3</v>
      </c>
      <c r="F11" s="21">
        <f>餐厅成本录入!F11</f>
        <v>0</v>
      </c>
      <c r="G11" s="21">
        <f>餐厅成本录入!G11</f>
        <v>0</v>
      </c>
      <c r="H11" s="21">
        <f>餐厅成本录入!H11</f>
        <v>102.1</v>
      </c>
      <c r="I11" s="21">
        <f>餐厅成本录入!I11</f>
        <v>306.3</v>
      </c>
      <c r="J11" s="21">
        <f>餐厅成本录入!J11</f>
        <v>102.1</v>
      </c>
      <c r="K11" s="21">
        <f>餐厅成本录入!K11</f>
        <v>306.3</v>
      </c>
      <c r="L11" s="21">
        <f>餐厅成本录入!L11</f>
        <v>0</v>
      </c>
      <c r="M11" s="21">
        <f>餐厅成本录入!M11</f>
        <v>0</v>
      </c>
      <c r="N11" s="198">
        <f>$E11*餐厅成本录入!N11</f>
        <v>0</v>
      </c>
      <c r="O11" s="198">
        <f>$E11*餐厅成本录入!O11</f>
        <v>0</v>
      </c>
      <c r="P11" s="198">
        <f>$E11*餐厅成本录入!P11</f>
        <v>30</v>
      </c>
      <c r="Q11" s="198">
        <f>$E11*餐厅成本录入!Q11</f>
        <v>30</v>
      </c>
      <c r="R11" s="198">
        <f>$E11*餐厅成本录入!R11</f>
        <v>0</v>
      </c>
      <c r="S11" s="198">
        <f>$E11*餐厅成本录入!S11</f>
        <v>0</v>
      </c>
      <c r="T11" s="198">
        <f>$E11*餐厅成本录入!T11</f>
        <v>0</v>
      </c>
      <c r="U11" s="198">
        <f>$E11*餐厅成本录入!U11</f>
        <v>0</v>
      </c>
      <c r="V11" s="198">
        <f>$E11*餐厅成本录入!V11</f>
        <v>30</v>
      </c>
      <c r="W11" s="198">
        <f>$E11*餐厅成本录入!W11</f>
        <v>30</v>
      </c>
      <c r="X11" s="198">
        <f>$E11*餐厅成本录入!X11</f>
        <v>0</v>
      </c>
      <c r="Y11" s="198">
        <f>$E11*餐厅成本录入!Y11</f>
        <v>0</v>
      </c>
      <c r="Z11" s="198">
        <f>$E11*餐厅成本录入!Z11</f>
        <v>0</v>
      </c>
      <c r="AA11" s="198">
        <f>$E11*餐厅成本录入!AA11</f>
        <v>0</v>
      </c>
      <c r="AB11" s="198">
        <f>$E11*餐厅成本录入!AB11</f>
        <v>30</v>
      </c>
      <c r="AC11" s="198">
        <f>$E11*餐厅成本录入!AC11</f>
        <v>30</v>
      </c>
      <c r="AD11" s="198">
        <f>$E11*餐厅成本录入!AD11</f>
        <v>0</v>
      </c>
      <c r="AE11" s="198">
        <f>$E11*餐厅成本录入!AE11</f>
        <v>0</v>
      </c>
      <c r="AF11" s="198">
        <f>$E11*餐厅成本录入!AF11</f>
        <v>0</v>
      </c>
      <c r="AG11" s="198">
        <f>$E11*餐厅成本录入!AG11</f>
        <v>0</v>
      </c>
      <c r="AH11" s="198">
        <f>$E11*餐厅成本录入!AH11</f>
        <v>30</v>
      </c>
      <c r="AI11" s="198">
        <f>$E11*餐厅成本录入!AI11</f>
        <v>30</v>
      </c>
      <c r="AJ11" s="198">
        <f>$E11*餐厅成本录入!AJ11</f>
        <v>0</v>
      </c>
      <c r="AK11" s="198">
        <f>$E11*餐厅成本录入!AK11</f>
        <v>0</v>
      </c>
      <c r="AL11" s="198">
        <f>$E11*餐厅成本录入!AL11</f>
        <v>30.9</v>
      </c>
      <c r="AM11" s="198">
        <f>$E11*餐厅成本录入!AM11</f>
        <v>30.9</v>
      </c>
      <c r="AN11" s="198">
        <f>$E11*餐厅成本录入!AN11</f>
        <v>0</v>
      </c>
      <c r="AO11" s="198">
        <f>$E11*餐厅成本录入!AO11</f>
        <v>0</v>
      </c>
      <c r="AP11" s="198">
        <f>$E11*餐厅成本录入!AP11</f>
        <v>30.3</v>
      </c>
      <c r="AQ11" s="198">
        <f>$E11*餐厅成本录入!AQ11</f>
        <v>30.3</v>
      </c>
      <c r="AR11" s="198">
        <f>$E11*餐厅成本录入!AR11</f>
        <v>0</v>
      </c>
      <c r="AS11" s="198">
        <f>$E11*餐厅成本录入!AS11</f>
        <v>0</v>
      </c>
      <c r="AT11" s="198">
        <f>$E11*餐厅成本录入!AT11</f>
        <v>63</v>
      </c>
      <c r="AU11" s="198">
        <f>$E11*餐厅成本录入!AU11</f>
        <v>63</v>
      </c>
      <c r="AV11" s="198">
        <f>$E11*餐厅成本录入!AV11</f>
        <v>0</v>
      </c>
      <c r="AW11" s="198">
        <f>$E11*餐厅成本录入!AW11</f>
        <v>0</v>
      </c>
      <c r="AX11" s="198">
        <f>$E11*餐厅成本录入!AX11</f>
        <v>0</v>
      </c>
      <c r="AY11" s="198">
        <f>$E11*餐厅成本录入!AY11</f>
        <v>0</v>
      </c>
      <c r="AZ11" s="198">
        <f>$E11*餐厅成本录入!AZ11</f>
        <v>0</v>
      </c>
      <c r="BA11" s="198">
        <f>$E11*餐厅成本录入!BA11</f>
        <v>0</v>
      </c>
      <c r="BB11" s="198">
        <f>$E11*餐厅成本录入!BB11</f>
        <v>32.1</v>
      </c>
      <c r="BC11" s="198">
        <f>$E11*餐厅成本录入!BC11</f>
        <v>32.1</v>
      </c>
      <c r="BD11" s="198">
        <f>$E11*餐厅成本录入!BD11</f>
        <v>0</v>
      </c>
      <c r="BE11" s="198">
        <f>$E11*餐厅成本录入!BE11</f>
        <v>0</v>
      </c>
      <c r="BF11" s="198">
        <f>$E11*餐厅成本录入!BF11</f>
        <v>0</v>
      </c>
      <c r="BG11" s="198">
        <f>$E11*餐厅成本录入!BG11</f>
        <v>0</v>
      </c>
      <c r="BH11" s="198">
        <f>$E11*餐厅成本录入!BH11</f>
        <v>0</v>
      </c>
      <c r="BI11" s="198">
        <f>$E11*餐厅成本录入!BI11</f>
        <v>0</v>
      </c>
      <c r="BJ11" s="198">
        <f>$E11*餐厅成本录入!BJ11</f>
        <v>0</v>
      </c>
      <c r="BK11" s="198">
        <f>$E11*餐厅成本录入!BK11</f>
        <v>0</v>
      </c>
      <c r="BL11" s="198">
        <f>$E11*餐厅成本录入!BL11</f>
        <v>0</v>
      </c>
      <c r="BM11" s="198">
        <f>$E11*餐厅成本录入!BM11</f>
        <v>0</v>
      </c>
      <c r="BN11" s="198">
        <f>$E11*餐厅成本录入!BN11</f>
        <v>30</v>
      </c>
      <c r="BO11" s="198">
        <f>$E11*餐厅成本录入!BO11</f>
        <v>30</v>
      </c>
      <c r="BP11" s="198">
        <f>$E11*餐厅成本录入!BP11</f>
        <v>0</v>
      </c>
      <c r="BQ11" s="198">
        <f>$E11*餐厅成本录入!BQ11</f>
        <v>0</v>
      </c>
      <c r="BR11" s="198">
        <f>$E11*餐厅成本录入!BR11</f>
        <v>0</v>
      </c>
      <c r="BS11" s="198">
        <f>$E11*餐厅成本录入!BS11</f>
        <v>0</v>
      </c>
      <c r="BT11" s="198">
        <f>$E11*餐厅成本录入!BT11</f>
        <v>0</v>
      </c>
      <c r="BU11" s="198">
        <f>$E11*餐厅成本录入!BU11</f>
        <v>0</v>
      </c>
      <c r="BV11" s="198">
        <f>$E11*餐厅成本录入!BV11</f>
        <v>0</v>
      </c>
      <c r="BW11" s="198">
        <f>$E11*餐厅成本录入!BW11</f>
        <v>0</v>
      </c>
    </row>
    <row r="12" s="178" customFormat="1" customHeight="1" spans="1:75">
      <c r="A12" s="161">
        <v>12</v>
      </c>
      <c r="B12" s="21" t="str">
        <f>餐厅成本录入!B12</f>
        <v>山药肉</v>
      </c>
      <c r="C12" s="21">
        <f>餐厅成本录入!C12</f>
        <v>0</v>
      </c>
      <c r="D12" s="21">
        <f>餐厅成本录入!D12</f>
        <v>0</v>
      </c>
      <c r="E12" s="21">
        <f>餐厅成本录入!E12</f>
        <v>8.5</v>
      </c>
      <c r="F12" s="21">
        <f>餐厅成本录入!F12</f>
        <v>0</v>
      </c>
      <c r="G12" s="21">
        <f>餐厅成本录入!G12</f>
        <v>0</v>
      </c>
      <c r="H12" s="21">
        <f>餐厅成本录入!H12</f>
        <v>31.7</v>
      </c>
      <c r="I12" s="21">
        <f>餐厅成本录入!I12</f>
        <v>269.45</v>
      </c>
      <c r="J12" s="21">
        <f>餐厅成本录入!J12</f>
        <v>31.7</v>
      </c>
      <c r="K12" s="21">
        <f>餐厅成本录入!K12</f>
        <v>269.45</v>
      </c>
      <c r="L12" s="21">
        <f>餐厅成本录入!L12</f>
        <v>0</v>
      </c>
      <c r="M12" s="21">
        <f>餐厅成本录入!M12</f>
        <v>0</v>
      </c>
      <c r="N12" s="198">
        <f>$E12*餐厅成本录入!N12</f>
        <v>0</v>
      </c>
      <c r="O12" s="198">
        <f>$E12*餐厅成本录入!O12</f>
        <v>0</v>
      </c>
      <c r="P12" s="198">
        <f>$E12*餐厅成本录入!P12</f>
        <v>44.2</v>
      </c>
      <c r="Q12" s="198">
        <f>$E12*餐厅成本录入!Q12</f>
        <v>44.2</v>
      </c>
      <c r="R12" s="198">
        <f>$E12*餐厅成本录入!R12</f>
        <v>0</v>
      </c>
      <c r="S12" s="198">
        <f>$E12*餐厅成本录入!S12</f>
        <v>0</v>
      </c>
      <c r="T12" s="198">
        <f>$E12*餐厅成本录入!T12</f>
        <v>0</v>
      </c>
      <c r="U12" s="198">
        <f>$E12*餐厅成本录入!U12</f>
        <v>0</v>
      </c>
      <c r="V12" s="198">
        <f>$E12*餐厅成本录入!V12</f>
        <v>0</v>
      </c>
      <c r="W12" s="198">
        <f>$E12*餐厅成本录入!W12</f>
        <v>0</v>
      </c>
      <c r="X12" s="198">
        <f>$E12*餐厅成本录入!X12</f>
        <v>0</v>
      </c>
      <c r="Y12" s="198">
        <f>$E12*餐厅成本录入!Y12</f>
        <v>0</v>
      </c>
      <c r="Z12" s="198">
        <f>$E12*餐厅成本录入!Z12</f>
        <v>0</v>
      </c>
      <c r="AA12" s="198">
        <f>$E12*餐厅成本录入!AA12</f>
        <v>0</v>
      </c>
      <c r="AB12" s="198">
        <f>$E12*餐厅成本录入!AB12</f>
        <v>45.9</v>
      </c>
      <c r="AC12" s="198">
        <f>$E12*餐厅成本录入!AC12</f>
        <v>45.9</v>
      </c>
      <c r="AD12" s="198">
        <f>$E12*餐厅成本录入!AD12</f>
        <v>0</v>
      </c>
      <c r="AE12" s="198">
        <f>$E12*餐厅成本录入!AE12</f>
        <v>0</v>
      </c>
      <c r="AF12" s="198">
        <f>$E12*餐厅成本录入!AF12</f>
        <v>0</v>
      </c>
      <c r="AG12" s="198">
        <f>$E12*餐厅成本录入!AG12</f>
        <v>0</v>
      </c>
      <c r="AH12" s="198">
        <f>$E12*餐厅成本录入!AH12</f>
        <v>0</v>
      </c>
      <c r="AI12" s="198">
        <f>$E12*餐厅成本录入!AI12</f>
        <v>0</v>
      </c>
      <c r="AJ12" s="198">
        <f>$E12*餐厅成本录入!AJ12</f>
        <v>0</v>
      </c>
      <c r="AK12" s="198">
        <f>$E12*餐厅成本录入!AK12</f>
        <v>0</v>
      </c>
      <c r="AL12" s="198">
        <f>$E12*餐厅成本录入!AL12</f>
        <v>0</v>
      </c>
      <c r="AM12" s="198">
        <f>$E12*餐厅成本录入!AM12</f>
        <v>0</v>
      </c>
      <c r="AN12" s="198">
        <f>$E12*餐厅成本录入!AN12</f>
        <v>0</v>
      </c>
      <c r="AO12" s="198">
        <f>$E12*餐厅成本录入!AO12</f>
        <v>0</v>
      </c>
      <c r="AP12" s="198">
        <f>$E12*餐厅成本录入!AP12</f>
        <v>45.05</v>
      </c>
      <c r="AQ12" s="198">
        <f>$E12*餐厅成本录入!AQ12</f>
        <v>45.05</v>
      </c>
      <c r="AR12" s="198">
        <f>$E12*餐厅成本录入!AR12</f>
        <v>0</v>
      </c>
      <c r="AS12" s="198">
        <f>$E12*餐厅成本录入!AS12</f>
        <v>0</v>
      </c>
      <c r="AT12" s="198">
        <f>$E12*餐厅成本录入!AT12</f>
        <v>0</v>
      </c>
      <c r="AU12" s="198">
        <f>$E12*餐厅成本录入!AU12</f>
        <v>0</v>
      </c>
      <c r="AV12" s="198">
        <f>$E12*餐厅成本录入!AV12</f>
        <v>0</v>
      </c>
      <c r="AW12" s="198">
        <f>$E12*餐厅成本录入!AW12</f>
        <v>0</v>
      </c>
      <c r="AX12" s="198">
        <f>$E12*餐厅成本录入!AX12</f>
        <v>0</v>
      </c>
      <c r="AY12" s="198">
        <f>$E12*餐厅成本录入!AY12</f>
        <v>0</v>
      </c>
      <c r="AZ12" s="198">
        <f>$E12*餐厅成本录入!AZ12</f>
        <v>0</v>
      </c>
      <c r="BA12" s="198">
        <f>$E12*餐厅成本录入!BA12</f>
        <v>0</v>
      </c>
      <c r="BB12" s="198">
        <f>$E12*餐厅成本录入!BB12</f>
        <v>43.35</v>
      </c>
      <c r="BC12" s="198">
        <f>$E12*餐厅成本录入!BC12</f>
        <v>43.35</v>
      </c>
      <c r="BD12" s="198">
        <f>$E12*餐厅成本录入!BD12</f>
        <v>0</v>
      </c>
      <c r="BE12" s="198">
        <f>$E12*餐厅成本录入!BE12</f>
        <v>0</v>
      </c>
      <c r="BF12" s="198">
        <f>$E12*餐厅成本录入!BF12</f>
        <v>0</v>
      </c>
      <c r="BG12" s="198">
        <f>$E12*餐厅成本录入!BG12</f>
        <v>0</v>
      </c>
      <c r="BH12" s="198">
        <f>$E12*餐厅成本录入!BH12</f>
        <v>17</v>
      </c>
      <c r="BI12" s="198">
        <f>$E12*餐厅成本录入!BI12</f>
        <v>17</v>
      </c>
      <c r="BJ12" s="198">
        <f>$E12*餐厅成本录入!BJ12</f>
        <v>0</v>
      </c>
      <c r="BK12" s="198">
        <f>$E12*餐厅成本录入!BK12</f>
        <v>0</v>
      </c>
      <c r="BL12" s="198">
        <f>$E12*餐厅成本录入!BL12</f>
        <v>0</v>
      </c>
      <c r="BM12" s="198">
        <f>$E12*餐厅成本录入!BM12</f>
        <v>0</v>
      </c>
      <c r="BN12" s="198">
        <f>$E12*餐厅成本录入!BN12</f>
        <v>73.95</v>
      </c>
      <c r="BO12" s="198">
        <f>$E12*餐厅成本录入!BO12</f>
        <v>73.95</v>
      </c>
      <c r="BP12" s="198">
        <f>$E12*餐厅成本录入!BP12</f>
        <v>0</v>
      </c>
      <c r="BQ12" s="198">
        <f>$E12*餐厅成本录入!BQ12</f>
        <v>0</v>
      </c>
      <c r="BR12" s="198">
        <f>$E12*餐厅成本录入!BR12</f>
        <v>0</v>
      </c>
      <c r="BS12" s="198">
        <f>$E12*餐厅成本录入!BS12</f>
        <v>0</v>
      </c>
      <c r="BT12" s="198">
        <f>$E12*餐厅成本录入!BT12</f>
        <v>0</v>
      </c>
      <c r="BU12" s="198">
        <f>$E12*餐厅成本录入!BU12</f>
        <v>0</v>
      </c>
      <c r="BV12" s="198">
        <f>$E12*餐厅成本录入!BV12</f>
        <v>0</v>
      </c>
      <c r="BW12" s="198">
        <f>$E12*餐厅成本录入!BW12</f>
        <v>0</v>
      </c>
    </row>
    <row r="13" s="178" customFormat="1" customHeight="1" spans="1:75">
      <c r="A13" s="161">
        <v>13</v>
      </c>
      <c r="B13" s="21" t="str">
        <f>餐厅成本录入!B13</f>
        <v>莴笋肉</v>
      </c>
      <c r="C13" s="21">
        <f>餐厅成本录入!C13</f>
        <v>0</v>
      </c>
      <c r="D13" s="21">
        <f>餐厅成本录入!D13</f>
        <v>0</v>
      </c>
      <c r="E13" s="21">
        <f>餐厅成本录入!E13</f>
        <v>4.5</v>
      </c>
      <c r="F13" s="21">
        <f>餐厅成本录入!F13</f>
        <v>0</v>
      </c>
      <c r="G13" s="21">
        <f>餐厅成本录入!G13</f>
        <v>0</v>
      </c>
      <c r="H13" s="21">
        <f>餐厅成本录入!H13</f>
        <v>35.8</v>
      </c>
      <c r="I13" s="21">
        <f>餐厅成本录入!I13</f>
        <v>161.1</v>
      </c>
      <c r="J13" s="21">
        <f>餐厅成本录入!J13</f>
        <v>35.8</v>
      </c>
      <c r="K13" s="21">
        <f>餐厅成本录入!K13</f>
        <v>161.1</v>
      </c>
      <c r="L13" s="21">
        <f>餐厅成本录入!L13</f>
        <v>0</v>
      </c>
      <c r="M13" s="21">
        <f>餐厅成本录入!M13</f>
        <v>0</v>
      </c>
      <c r="N13" s="198">
        <f>$E13*餐厅成本录入!N13</f>
        <v>0</v>
      </c>
      <c r="O13" s="198">
        <f>$E13*餐厅成本录入!O13</f>
        <v>0</v>
      </c>
      <c r="P13" s="198">
        <f>$E13*餐厅成本录入!P13</f>
        <v>36</v>
      </c>
      <c r="Q13" s="198">
        <f>$E13*餐厅成本录入!Q13</f>
        <v>36</v>
      </c>
      <c r="R13" s="198">
        <f>$E13*餐厅成本录入!R13</f>
        <v>0</v>
      </c>
      <c r="S13" s="198">
        <f>$E13*餐厅成本录入!S13</f>
        <v>0</v>
      </c>
      <c r="T13" s="198">
        <f>$E13*餐厅成本录入!T13</f>
        <v>0</v>
      </c>
      <c r="U13" s="198">
        <f>$E13*餐厅成本录入!U13</f>
        <v>0</v>
      </c>
      <c r="V13" s="198">
        <f>$E13*餐厅成本录入!V13</f>
        <v>0</v>
      </c>
      <c r="W13" s="198">
        <f>$E13*餐厅成本录入!W13</f>
        <v>0</v>
      </c>
      <c r="X13" s="198">
        <f>$E13*餐厅成本录入!X13</f>
        <v>0</v>
      </c>
      <c r="Y13" s="198">
        <f>$E13*餐厅成本录入!Y13</f>
        <v>0</v>
      </c>
      <c r="Z13" s="198">
        <f>$E13*餐厅成本录入!Z13</f>
        <v>0</v>
      </c>
      <c r="AA13" s="198">
        <f>$E13*餐厅成本录入!AA13</f>
        <v>0</v>
      </c>
      <c r="AB13" s="198">
        <f>$E13*餐厅成本录入!AB13</f>
        <v>36.9</v>
      </c>
      <c r="AC13" s="198">
        <f>$E13*餐厅成本录入!AC13</f>
        <v>36.9</v>
      </c>
      <c r="AD13" s="198">
        <f>$E13*餐厅成本录入!AD13</f>
        <v>0</v>
      </c>
      <c r="AE13" s="198">
        <f>$E13*餐厅成本录入!AE13</f>
        <v>0</v>
      </c>
      <c r="AF13" s="198">
        <f>$E13*餐厅成本录入!AF13</f>
        <v>0</v>
      </c>
      <c r="AG13" s="198">
        <f>$E13*餐厅成本录入!AG13</f>
        <v>0</v>
      </c>
      <c r="AH13" s="198">
        <f>$E13*餐厅成本录入!AH13</f>
        <v>0</v>
      </c>
      <c r="AI13" s="198">
        <f>$E13*餐厅成本录入!AI13</f>
        <v>0</v>
      </c>
      <c r="AJ13" s="198">
        <f>$E13*餐厅成本录入!AJ13</f>
        <v>0</v>
      </c>
      <c r="AK13" s="198">
        <f>$E13*餐厅成本录入!AK13</f>
        <v>0</v>
      </c>
      <c r="AL13" s="198">
        <f>$E13*餐厅成本录入!AL13</f>
        <v>0</v>
      </c>
      <c r="AM13" s="198">
        <f>$E13*餐厅成本录入!AM13</f>
        <v>0</v>
      </c>
      <c r="AN13" s="198">
        <f>$E13*餐厅成本录入!AN13</f>
        <v>0</v>
      </c>
      <c r="AO13" s="198">
        <f>$E13*餐厅成本录入!AO13</f>
        <v>0</v>
      </c>
      <c r="AP13" s="198">
        <f>$E13*餐厅成本录入!AP13</f>
        <v>34.2</v>
      </c>
      <c r="AQ13" s="198">
        <f>$E13*餐厅成本录入!AQ13</f>
        <v>34.2</v>
      </c>
      <c r="AR13" s="198">
        <f>$E13*餐厅成本录入!AR13</f>
        <v>0</v>
      </c>
      <c r="AS13" s="198">
        <f>$E13*餐厅成本录入!AS13</f>
        <v>0</v>
      </c>
      <c r="AT13" s="198">
        <f>$E13*餐厅成本录入!AT13</f>
        <v>0</v>
      </c>
      <c r="AU13" s="198">
        <f>$E13*餐厅成本录入!AU13</f>
        <v>0</v>
      </c>
      <c r="AV13" s="198">
        <f>$E13*餐厅成本录入!AV13</f>
        <v>0</v>
      </c>
      <c r="AW13" s="198">
        <f>$E13*餐厅成本录入!AW13</f>
        <v>0</v>
      </c>
      <c r="AX13" s="198">
        <f>$E13*餐厅成本录入!AX13</f>
        <v>0</v>
      </c>
      <c r="AY13" s="198">
        <f>$E13*餐厅成本录入!AY13</f>
        <v>0</v>
      </c>
      <c r="AZ13" s="198">
        <f>$E13*餐厅成本录入!AZ13</f>
        <v>0</v>
      </c>
      <c r="BA13" s="198">
        <f>$E13*餐厅成本录入!BA13</f>
        <v>0</v>
      </c>
      <c r="BB13" s="198">
        <f>$E13*餐厅成本录入!BB13</f>
        <v>0</v>
      </c>
      <c r="BC13" s="198">
        <f>$E13*餐厅成本录入!BC13</f>
        <v>0</v>
      </c>
      <c r="BD13" s="198">
        <f>$E13*餐厅成本录入!BD13</f>
        <v>0</v>
      </c>
      <c r="BE13" s="198">
        <f>$E13*餐厅成本录入!BE13</f>
        <v>0</v>
      </c>
      <c r="BF13" s="198">
        <f>$E13*餐厅成本录入!BF13</f>
        <v>0</v>
      </c>
      <c r="BG13" s="198">
        <f>$E13*餐厅成本录入!BG13</f>
        <v>0</v>
      </c>
      <c r="BH13" s="198">
        <f>$E13*餐厅成本录入!BH13</f>
        <v>9</v>
      </c>
      <c r="BI13" s="198">
        <f>$E13*餐厅成本录入!BI13</f>
        <v>9</v>
      </c>
      <c r="BJ13" s="198">
        <f>$E13*餐厅成本录入!BJ13</f>
        <v>0</v>
      </c>
      <c r="BK13" s="198">
        <f>$E13*餐厅成本录入!BK13</f>
        <v>0</v>
      </c>
      <c r="BL13" s="198">
        <f>$E13*餐厅成本录入!BL13</f>
        <v>0</v>
      </c>
      <c r="BM13" s="198">
        <f>$E13*餐厅成本录入!BM13</f>
        <v>0</v>
      </c>
      <c r="BN13" s="198">
        <f>$E13*餐厅成本录入!BN13</f>
        <v>45</v>
      </c>
      <c r="BO13" s="198">
        <f>$E13*餐厅成本录入!BO13</f>
        <v>45</v>
      </c>
      <c r="BP13" s="198">
        <f>$E13*餐厅成本录入!BP13</f>
        <v>0</v>
      </c>
      <c r="BQ13" s="198">
        <f>$E13*餐厅成本录入!BQ13</f>
        <v>0</v>
      </c>
      <c r="BR13" s="198">
        <f>$E13*餐厅成本录入!BR13</f>
        <v>0</v>
      </c>
      <c r="BS13" s="198">
        <f>$E13*餐厅成本录入!BS13</f>
        <v>0</v>
      </c>
      <c r="BT13" s="198">
        <f>$E13*餐厅成本录入!BT13</f>
        <v>0</v>
      </c>
      <c r="BU13" s="198">
        <f>$E13*餐厅成本录入!BU13</f>
        <v>0</v>
      </c>
      <c r="BV13" s="198">
        <f>$E13*餐厅成本录入!BV13</f>
        <v>0</v>
      </c>
      <c r="BW13" s="198">
        <f>$E13*餐厅成本录入!BW13</f>
        <v>0</v>
      </c>
    </row>
    <row r="14" s="178" customFormat="1" customHeight="1" spans="1:75">
      <c r="A14" s="161">
        <v>14</v>
      </c>
      <c r="B14" s="21" t="str">
        <f>餐厅成本录入!B14</f>
        <v>贝贝南瓜</v>
      </c>
      <c r="C14" s="21">
        <f>餐厅成本录入!C14</f>
        <v>0</v>
      </c>
      <c r="D14" s="21">
        <f>餐厅成本录入!D14</f>
        <v>0</v>
      </c>
      <c r="E14" s="21">
        <f>餐厅成本录入!E14</f>
        <v>2.8</v>
      </c>
      <c r="F14" s="21">
        <f>餐厅成本录入!F14</f>
        <v>0</v>
      </c>
      <c r="G14" s="21">
        <f>餐厅成本录入!G14</f>
        <v>0</v>
      </c>
      <c r="H14" s="21">
        <f>餐厅成本录入!H14</f>
        <v>48</v>
      </c>
      <c r="I14" s="21">
        <f>餐厅成本录入!I14</f>
        <v>134.4</v>
      </c>
      <c r="J14" s="21">
        <f>餐厅成本录入!J14</f>
        <v>48</v>
      </c>
      <c r="K14" s="21">
        <f>餐厅成本录入!K14</f>
        <v>134.4</v>
      </c>
      <c r="L14" s="21">
        <f>餐厅成本录入!L14</f>
        <v>0</v>
      </c>
      <c r="M14" s="21">
        <f>餐厅成本录入!M14</f>
        <v>0</v>
      </c>
      <c r="N14" s="198">
        <f>$E14*餐厅成本录入!N14</f>
        <v>0</v>
      </c>
      <c r="O14" s="198">
        <f>$E14*餐厅成本录入!O14</f>
        <v>0</v>
      </c>
      <c r="P14" s="198">
        <f>$E14*餐厅成本录入!P14</f>
        <v>27.72</v>
      </c>
      <c r="Q14" s="198">
        <f>$E14*餐厅成本录入!Q14</f>
        <v>27.72</v>
      </c>
      <c r="R14" s="198">
        <f>$E14*餐厅成本录入!R14</f>
        <v>0</v>
      </c>
      <c r="S14" s="198">
        <f>$E14*餐厅成本录入!S14</f>
        <v>0</v>
      </c>
      <c r="T14" s="198">
        <f>$E14*餐厅成本录入!T14</f>
        <v>0</v>
      </c>
      <c r="U14" s="198">
        <f>$E14*餐厅成本录入!U14</f>
        <v>0</v>
      </c>
      <c r="V14" s="198">
        <f>$E14*餐厅成本录入!V14</f>
        <v>0</v>
      </c>
      <c r="W14" s="198">
        <f>$E14*餐厅成本录入!W14</f>
        <v>0</v>
      </c>
      <c r="X14" s="198">
        <f>$E14*餐厅成本录入!X14</f>
        <v>0</v>
      </c>
      <c r="Y14" s="198">
        <f>$E14*餐厅成本录入!Y14</f>
        <v>0</v>
      </c>
      <c r="Z14" s="198">
        <f>$E14*餐厅成本录入!Z14</f>
        <v>0</v>
      </c>
      <c r="AA14" s="198">
        <f>$E14*餐厅成本录入!AA14</f>
        <v>0</v>
      </c>
      <c r="AB14" s="198">
        <f>$E14*餐厅成本录入!AB14</f>
        <v>0</v>
      </c>
      <c r="AC14" s="198">
        <f>$E14*餐厅成本录入!AC14</f>
        <v>0</v>
      </c>
      <c r="AD14" s="198">
        <f>$E14*餐厅成本录入!AD14</f>
        <v>0</v>
      </c>
      <c r="AE14" s="198">
        <f>$E14*餐厅成本录入!AE14</f>
        <v>0</v>
      </c>
      <c r="AF14" s="198">
        <f>$E14*餐厅成本录入!AF14</f>
        <v>0</v>
      </c>
      <c r="AG14" s="198">
        <f>$E14*餐厅成本录入!AG14</f>
        <v>0</v>
      </c>
      <c r="AH14" s="198">
        <f>$E14*餐厅成本录入!AH14</f>
        <v>23.8</v>
      </c>
      <c r="AI14" s="198">
        <f>$E14*餐厅成本录入!AI14</f>
        <v>23.8</v>
      </c>
      <c r="AJ14" s="198">
        <f>$E14*餐厅成本录入!AJ14</f>
        <v>0</v>
      </c>
      <c r="AK14" s="198">
        <f>$E14*餐厅成本录入!AK14</f>
        <v>0</v>
      </c>
      <c r="AL14" s="198">
        <f>$E14*餐厅成本录入!AL14</f>
        <v>0</v>
      </c>
      <c r="AM14" s="198">
        <f>$E14*餐厅成本录入!AM14</f>
        <v>0</v>
      </c>
      <c r="AN14" s="198">
        <f>$E14*餐厅成本录入!AN14</f>
        <v>0</v>
      </c>
      <c r="AO14" s="198">
        <f>$E14*餐厅成本录入!AO14</f>
        <v>0</v>
      </c>
      <c r="AP14" s="198">
        <f>$E14*餐厅成本录入!AP14</f>
        <v>28.56</v>
      </c>
      <c r="AQ14" s="198">
        <f>$E14*餐厅成本录入!AQ14</f>
        <v>28.56</v>
      </c>
      <c r="AR14" s="198">
        <f>$E14*餐厅成本录入!AR14</f>
        <v>0</v>
      </c>
      <c r="AS14" s="198">
        <f>$E14*餐厅成本录入!AS14</f>
        <v>0</v>
      </c>
      <c r="AT14" s="198">
        <f>$E14*餐厅成本录入!AT14</f>
        <v>23.52</v>
      </c>
      <c r="AU14" s="198">
        <f>$E14*餐厅成本录入!AU14</f>
        <v>23.52</v>
      </c>
      <c r="AV14" s="198">
        <f>$E14*餐厅成本录入!AV14</f>
        <v>0</v>
      </c>
      <c r="AW14" s="198">
        <f>$E14*餐厅成本录入!AW14</f>
        <v>0</v>
      </c>
      <c r="AX14" s="198">
        <f>$E14*餐厅成本录入!AX14</f>
        <v>0</v>
      </c>
      <c r="AY14" s="198">
        <f>$E14*餐厅成本录入!AY14</f>
        <v>0</v>
      </c>
      <c r="AZ14" s="198">
        <f>$E14*餐厅成本录入!AZ14</f>
        <v>0</v>
      </c>
      <c r="BA14" s="198">
        <f>$E14*餐厅成本录入!BA14</f>
        <v>0</v>
      </c>
      <c r="BB14" s="198">
        <f>$E14*餐厅成本录入!BB14</f>
        <v>30.8</v>
      </c>
      <c r="BC14" s="198">
        <f>$E14*餐厅成本录入!BC14</f>
        <v>30.8</v>
      </c>
      <c r="BD14" s="198">
        <f>$E14*餐厅成本录入!BD14</f>
        <v>0</v>
      </c>
      <c r="BE14" s="198">
        <f>$E14*餐厅成本录入!BE14</f>
        <v>0</v>
      </c>
      <c r="BF14" s="198">
        <f>$E14*餐厅成本录入!BF14</f>
        <v>0</v>
      </c>
      <c r="BG14" s="198">
        <f>$E14*餐厅成本录入!BG14</f>
        <v>0</v>
      </c>
      <c r="BH14" s="198">
        <f>$E14*餐厅成本录入!BH14</f>
        <v>0</v>
      </c>
      <c r="BI14" s="198">
        <f>$E14*餐厅成本录入!BI14</f>
        <v>0</v>
      </c>
      <c r="BJ14" s="198">
        <f>$E14*餐厅成本录入!BJ14</f>
        <v>0</v>
      </c>
      <c r="BK14" s="198">
        <f>$E14*餐厅成本录入!BK14</f>
        <v>0</v>
      </c>
      <c r="BL14" s="198">
        <f>$E14*餐厅成本录入!BL14</f>
        <v>0</v>
      </c>
      <c r="BM14" s="198">
        <f>$E14*餐厅成本录入!BM14</f>
        <v>0</v>
      </c>
      <c r="BN14" s="198">
        <f>$E14*餐厅成本录入!BN14</f>
        <v>0</v>
      </c>
      <c r="BO14" s="198">
        <f>$E14*餐厅成本录入!BO14</f>
        <v>0</v>
      </c>
      <c r="BP14" s="198">
        <f>$E14*餐厅成本录入!BP14</f>
        <v>0</v>
      </c>
      <c r="BQ14" s="198">
        <f>$E14*餐厅成本录入!BQ14</f>
        <v>0</v>
      </c>
      <c r="BR14" s="198">
        <f>$E14*餐厅成本录入!BR14</f>
        <v>0</v>
      </c>
      <c r="BS14" s="198">
        <f>$E14*餐厅成本录入!BS14</f>
        <v>0</v>
      </c>
      <c r="BT14" s="198">
        <f>$E14*餐厅成本录入!BT14</f>
        <v>0</v>
      </c>
      <c r="BU14" s="198">
        <f>$E14*餐厅成本录入!BU14</f>
        <v>0</v>
      </c>
      <c r="BV14" s="198">
        <f>$E14*餐厅成本录入!BV14</f>
        <v>0</v>
      </c>
      <c r="BW14" s="198">
        <f>$E14*餐厅成本录入!BW14</f>
        <v>0</v>
      </c>
    </row>
    <row r="15" s="178" customFormat="1" customHeight="1" spans="1:75">
      <c r="A15" s="161">
        <v>16</v>
      </c>
      <c r="B15" s="21" t="str">
        <f>餐厅成本录入!B15</f>
        <v>油麦菜</v>
      </c>
      <c r="C15" s="21">
        <f>餐厅成本录入!C15</f>
        <v>0</v>
      </c>
      <c r="D15" s="21">
        <f>餐厅成本录入!D15</f>
        <v>0</v>
      </c>
      <c r="E15" s="21">
        <f>餐厅成本录入!E15</f>
        <v>3.5</v>
      </c>
      <c r="F15" s="21">
        <f>餐厅成本录入!F15</f>
        <v>0</v>
      </c>
      <c r="G15" s="21">
        <f>餐厅成本录入!G15</f>
        <v>0</v>
      </c>
      <c r="H15" s="21">
        <f>餐厅成本录入!H15</f>
        <v>21.9</v>
      </c>
      <c r="I15" s="21">
        <f>餐厅成本录入!I15</f>
        <v>76.65</v>
      </c>
      <c r="J15" s="21">
        <f>餐厅成本录入!J15</f>
        <v>21.9</v>
      </c>
      <c r="K15" s="21">
        <f>餐厅成本录入!K15</f>
        <v>76.65</v>
      </c>
      <c r="L15" s="21">
        <f>餐厅成本录入!L15</f>
        <v>0</v>
      </c>
      <c r="M15" s="21">
        <f>餐厅成本录入!M15</f>
        <v>0</v>
      </c>
      <c r="N15" s="198">
        <f>$E15*餐厅成本录入!N15</f>
        <v>0</v>
      </c>
      <c r="O15" s="198">
        <f>$E15*餐厅成本录入!O15</f>
        <v>0</v>
      </c>
      <c r="P15" s="198">
        <f>$E15*餐厅成本录入!P15</f>
        <v>0</v>
      </c>
      <c r="Q15" s="198">
        <f>$E15*餐厅成本录入!Q15</f>
        <v>0</v>
      </c>
      <c r="R15" s="198">
        <f>$E15*餐厅成本录入!R15</f>
        <v>0</v>
      </c>
      <c r="S15" s="198">
        <f>$E15*餐厅成本录入!S15</f>
        <v>0</v>
      </c>
      <c r="T15" s="198">
        <f>$E15*餐厅成本录入!T15</f>
        <v>0</v>
      </c>
      <c r="U15" s="198">
        <f>$E15*餐厅成本录入!U15</f>
        <v>0</v>
      </c>
      <c r="V15" s="198">
        <f>$E15*餐厅成本录入!V15</f>
        <v>0</v>
      </c>
      <c r="W15" s="198">
        <f>$E15*餐厅成本录入!W15</f>
        <v>0</v>
      </c>
      <c r="X15" s="198">
        <f>$E15*餐厅成本录入!X15</f>
        <v>0</v>
      </c>
      <c r="Y15" s="198">
        <f>$E15*餐厅成本录入!Y15</f>
        <v>0</v>
      </c>
      <c r="Z15" s="198">
        <f>$E15*餐厅成本录入!Z15</f>
        <v>0</v>
      </c>
      <c r="AA15" s="198">
        <f>$E15*餐厅成本录入!AA15</f>
        <v>0</v>
      </c>
      <c r="AB15" s="198">
        <f>$E15*餐厅成本录入!AB15</f>
        <v>0</v>
      </c>
      <c r="AC15" s="198">
        <f>$E15*餐厅成本录入!AC15</f>
        <v>0</v>
      </c>
      <c r="AD15" s="198">
        <f>$E15*餐厅成本录入!AD15</f>
        <v>0</v>
      </c>
      <c r="AE15" s="198">
        <f>$E15*餐厅成本录入!AE15</f>
        <v>0</v>
      </c>
      <c r="AF15" s="198">
        <f>$E15*餐厅成本录入!AF15</f>
        <v>0</v>
      </c>
      <c r="AG15" s="198">
        <f>$E15*餐厅成本录入!AG15</f>
        <v>0</v>
      </c>
      <c r="AH15" s="198">
        <f>$E15*餐厅成本录入!AH15</f>
        <v>10.5</v>
      </c>
      <c r="AI15" s="198">
        <f>$E15*餐厅成本录入!AI15</f>
        <v>10.5</v>
      </c>
      <c r="AJ15" s="198">
        <f>$E15*餐厅成本录入!AJ15</f>
        <v>0</v>
      </c>
      <c r="AK15" s="198">
        <f>$E15*餐厅成本录入!AK15</f>
        <v>0</v>
      </c>
      <c r="AL15" s="198">
        <f>$E15*餐厅成本录入!AL15</f>
        <v>0</v>
      </c>
      <c r="AM15" s="198">
        <f>$E15*餐厅成本录入!AM15</f>
        <v>0</v>
      </c>
      <c r="AN15" s="198">
        <f>$E15*餐厅成本录入!AN15</f>
        <v>0</v>
      </c>
      <c r="AO15" s="198">
        <f>$E15*餐厅成本录入!AO15</f>
        <v>0</v>
      </c>
      <c r="AP15" s="198">
        <f>$E15*餐厅成本录入!AP15</f>
        <v>21.7</v>
      </c>
      <c r="AQ15" s="198">
        <f>$E15*餐厅成本录入!AQ15</f>
        <v>21.7</v>
      </c>
      <c r="AR15" s="198">
        <f>$E15*餐厅成本录入!AR15</f>
        <v>0</v>
      </c>
      <c r="AS15" s="198">
        <f>$E15*餐厅成本录入!AS15</f>
        <v>0</v>
      </c>
      <c r="AT15" s="198">
        <f>$E15*餐厅成本录入!AT15</f>
        <v>0</v>
      </c>
      <c r="AU15" s="198">
        <f>$E15*餐厅成本录入!AU15</f>
        <v>0</v>
      </c>
      <c r="AV15" s="198">
        <f>$E15*餐厅成本录入!AV15</f>
        <v>0</v>
      </c>
      <c r="AW15" s="198">
        <f>$E15*餐厅成本录入!AW15</f>
        <v>0</v>
      </c>
      <c r="AX15" s="198">
        <f>$E15*餐厅成本录入!AX15</f>
        <v>0</v>
      </c>
      <c r="AY15" s="198">
        <f>$E15*餐厅成本录入!AY15</f>
        <v>0</v>
      </c>
      <c r="AZ15" s="198">
        <f>$E15*餐厅成本录入!AZ15</f>
        <v>0</v>
      </c>
      <c r="BA15" s="198">
        <f>$E15*餐厅成本录入!BA15</f>
        <v>0</v>
      </c>
      <c r="BB15" s="198">
        <f>$E15*餐厅成本录入!BB15</f>
        <v>0</v>
      </c>
      <c r="BC15" s="198">
        <f>$E15*餐厅成本录入!BC15</f>
        <v>0</v>
      </c>
      <c r="BD15" s="198">
        <f>$E15*餐厅成本录入!BD15</f>
        <v>0</v>
      </c>
      <c r="BE15" s="198">
        <f>$E15*餐厅成本录入!BE15</f>
        <v>0</v>
      </c>
      <c r="BF15" s="198">
        <f>$E15*餐厅成本录入!BF15</f>
        <v>0</v>
      </c>
      <c r="BG15" s="198">
        <f>$E15*餐厅成本录入!BG15</f>
        <v>0</v>
      </c>
      <c r="BH15" s="198">
        <f>$E15*餐厅成本录入!BH15</f>
        <v>21</v>
      </c>
      <c r="BI15" s="198">
        <f>$E15*餐厅成本录入!BI15</f>
        <v>21</v>
      </c>
      <c r="BJ15" s="198">
        <f>$E15*餐厅成本录入!BJ15</f>
        <v>0</v>
      </c>
      <c r="BK15" s="198">
        <f>$E15*餐厅成本录入!BK15</f>
        <v>0</v>
      </c>
      <c r="BL15" s="198">
        <f>$E15*餐厅成本录入!BL15</f>
        <v>0</v>
      </c>
      <c r="BM15" s="198">
        <f>$E15*餐厅成本录入!BM15</f>
        <v>0</v>
      </c>
      <c r="BN15" s="198">
        <f>$E15*餐厅成本录入!BN15</f>
        <v>23.45</v>
      </c>
      <c r="BO15" s="198">
        <f>$E15*餐厅成本录入!BO15</f>
        <v>23.45</v>
      </c>
      <c r="BP15" s="198">
        <f>$E15*餐厅成本录入!BP15</f>
        <v>0</v>
      </c>
      <c r="BQ15" s="198">
        <f>$E15*餐厅成本录入!BQ15</f>
        <v>0</v>
      </c>
      <c r="BR15" s="198">
        <f>$E15*餐厅成本录入!BR15</f>
        <v>0</v>
      </c>
      <c r="BS15" s="198">
        <f>$E15*餐厅成本录入!BS15</f>
        <v>0</v>
      </c>
      <c r="BT15" s="198">
        <f>$E15*餐厅成本录入!BT15</f>
        <v>0</v>
      </c>
      <c r="BU15" s="198">
        <f>$E15*餐厅成本录入!BU15</f>
        <v>0</v>
      </c>
      <c r="BV15" s="198">
        <f>$E15*餐厅成本录入!BV15</f>
        <v>0</v>
      </c>
      <c r="BW15" s="198">
        <f>$E15*餐厅成本录入!BW15</f>
        <v>0</v>
      </c>
    </row>
    <row r="16" s="178" customFormat="1" customHeight="1" spans="1:75">
      <c r="A16" s="161">
        <v>17</v>
      </c>
      <c r="B16" s="21" t="str">
        <f>餐厅成本录入!B16</f>
        <v>油菜</v>
      </c>
      <c r="C16" s="21">
        <f>餐厅成本录入!C16</f>
        <v>0</v>
      </c>
      <c r="D16" s="21">
        <f>餐厅成本录入!D16</f>
        <v>0</v>
      </c>
      <c r="E16" s="21">
        <f>餐厅成本录入!E16</f>
        <v>1.5</v>
      </c>
      <c r="F16" s="21">
        <f>餐厅成本录入!F16</f>
        <v>0</v>
      </c>
      <c r="G16" s="21">
        <f>餐厅成本录入!G16</f>
        <v>0</v>
      </c>
      <c r="H16" s="21">
        <f>餐厅成本录入!H16</f>
        <v>30.7</v>
      </c>
      <c r="I16" s="21">
        <f>餐厅成本录入!I16</f>
        <v>46.05</v>
      </c>
      <c r="J16" s="21">
        <f>餐厅成本录入!J16</f>
        <v>30.7</v>
      </c>
      <c r="K16" s="21">
        <f>餐厅成本录入!K16</f>
        <v>46.05</v>
      </c>
      <c r="L16" s="21">
        <f>餐厅成本录入!L16</f>
        <v>0</v>
      </c>
      <c r="M16" s="21">
        <f>餐厅成本录入!M16</f>
        <v>0</v>
      </c>
      <c r="N16" s="198">
        <f>$E16*餐厅成本录入!N16</f>
        <v>0</v>
      </c>
      <c r="O16" s="198">
        <f>$E16*餐厅成本录入!O16</f>
        <v>0</v>
      </c>
      <c r="P16" s="198">
        <f>$E16*餐厅成本录入!P16</f>
        <v>9</v>
      </c>
      <c r="Q16" s="198">
        <f>$E16*餐厅成本录入!Q16</f>
        <v>9</v>
      </c>
      <c r="R16" s="198">
        <f>$E16*餐厅成本录入!R16</f>
        <v>0</v>
      </c>
      <c r="S16" s="198">
        <f>$E16*餐厅成本录入!S16</f>
        <v>0</v>
      </c>
      <c r="T16" s="198">
        <f>$E16*餐厅成本录入!T16</f>
        <v>0</v>
      </c>
      <c r="U16" s="198">
        <f>$E16*餐厅成本录入!U16</f>
        <v>0</v>
      </c>
      <c r="V16" s="198">
        <f>$E16*餐厅成本录入!V16</f>
        <v>0</v>
      </c>
      <c r="W16" s="198">
        <f>$E16*餐厅成本录入!W16</f>
        <v>0</v>
      </c>
      <c r="X16" s="198">
        <f>$E16*餐厅成本录入!X16</f>
        <v>0</v>
      </c>
      <c r="Y16" s="198">
        <f>$E16*餐厅成本录入!Y16</f>
        <v>0</v>
      </c>
      <c r="Z16" s="198">
        <f>$E16*餐厅成本录入!Z16</f>
        <v>0</v>
      </c>
      <c r="AA16" s="198">
        <f>$E16*餐厅成本录入!AA16</f>
        <v>0</v>
      </c>
      <c r="AB16" s="198">
        <f>$E16*餐厅成本录入!AB16</f>
        <v>0</v>
      </c>
      <c r="AC16" s="198">
        <f>$E16*餐厅成本录入!AC16</f>
        <v>0</v>
      </c>
      <c r="AD16" s="198">
        <f>$E16*餐厅成本录入!AD16</f>
        <v>0</v>
      </c>
      <c r="AE16" s="198">
        <f>$E16*餐厅成本录入!AE16</f>
        <v>0</v>
      </c>
      <c r="AF16" s="198">
        <f>$E16*餐厅成本录入!AF16</f>
        <v>0</v>
      </c>
      <c r="AG16" s="198">
        <f>$E16*餐厅成本录入!AG16</f>
        <v>0</v>
      </c>
      <c r="AH16" s="198">
        <f>$E16*餐厅成本录入!AH16</f>
        <v>0</v>
      </c>
      <c r="AI16" s="198">
        <f>$E16*餐厅成本录入!AI16</f>
        <v>0</v>
      </c>
      <c r="AJ16" s="198">
        <f>$E16*餐厅成本录入!AJ16</f>
        <v>0</v>
      </c>
      <c r="AK16" s="198">
        <f>$E16*餐厅成本录入!AK16</f>
        <v>0</v>
      </c>
      <c r="AL16" s="198">
        <f>$E16*餐厅成本录入!AL16</f>
        <v>9.15</v>
      </c>
      <c r="AM16" s="198">
        <f>$E16*餐厅成本录入!AM16</f>
        <v>9.15</v>
      </c>
      <c r="AN16" s="198">
        <f>$E16*餐厅成本录入!AN16</f>
        <v>0</v>
      </c>
      <c r="AO16" s="198">
        <f>$E16*餐厅成本录入!AO16</f>
        <v>0</v>
      </c>
      <c r="AP16" s="198">
        <f>$E16*餐厅成本录入!AP16</f>
        <v>9.15</v>
      </c>
      <c r="AQ16" s="198">
        <f>$E16*餐厅成本录入!AQ16</f>
        <v>9.15</v>
      </c>
      <c r="AR16" s="198">
        <f>$E16*餐厅成本录入!AR16</f>
        <v>0</v>
      </c>
      <c r="AS16" s="198">
        <f>$E16*餐厅成本录入!AS16</f>
        <v>0</v>
      </c>
      <c r="AT16" s="198">
        <f>$E16*餐厅成本录入!AT16</f>
        <v>0</v>
      </c>
      <c r="AU16" s="198">
        <f>$E16*餐厅成本录入!AU16</f>
        <v>0</v>
      </c>
      <c r="AV16" s="198">
        <f>$E16*餐厅成本录入!AV16</f>
        <v>0</v>
      </c>
      <c r="AW16" s="198">
        <f>$E16*餐厅成本录入!AW16</f>
        <v>0</v>
      </c>
      <c r="AX16" s="198">
        <f>$E16*餐厅成本录入!AX16</f>
        <v>0</v>
      </c>
      <c r="AY16" s="198">
        <f>$E16*餐厅成本录入!AY16</f>
        <v>0</v>
      </c>
      <c r="AZ16" s="198">
        <f>$E16*餐厅成本录入!AZ16</f>
        <v>0</v>
      </c>
      <c r="BA16" s="198">
        <f>$E16*餐厅成本录入!BA16</f>
        <v>0</v>
      </c>
      <c r="BB16" s="198">
        <f>$E16*餐厅成本录入!BB16</f>
        <v>9.75</v>
      </c>
      <c r="BC16" s="198">
        <f>$E16*餐厅成本录入!BC16</f>
        <v>9.75</v>
      </c>
      <c r="BD16" s="198">
        <f>$E16*餐厅成本录入!BD16</f>
        <v>0</v>
      </c>
      <c r="BE16" s="198">
        <f>$E16*餐厅成本录入!BE16</f>
        <v>0</v>
      </c>
      <c r="BF16" s="198">
        <f>$E16*餐厅成本录入!BF16</f>
        <v>0</v>
      </c>
      <c r="BG16" s="198">
        <f>$E16*餐厅成本录入!BG16</f>
        <v>0</v>
      </c>
      <c r="BH16" s="198">
        <f>$E16*餐厅成本录入!BH16</f>
        <v>9</v>
      </c>
      <c r="BI16" s="198">
        <f>$E16*餐厅成本录入!BI16</f>
        <v>9</v>
      </c>
      <c r="BJ16" s="198">
        <f>$E16*餐厅成本录入!BJ16</f>
        <v>0</v>
      </c>
      <c r="BK16" s="198">
        <f>$E16*餐厅成本录入!BK16</f>
        <v>0</v>
      </c>
      <c r="BL16" s="198">
        <f>$E16*餐厅成本录入!BL16</f>
        <v>0</v>
      </c>
      <c r="BM16" s="198">
        <f>$E16*餐厅成本录入!BM16</f>
        <v>0</v>
      </c>
      <c r="BN16" s="198">
        <f>$E16*餐厅成本录入!BN16</f>
        <v>0</v>
      </c>
      <c r="BO16" s="198">
        <f>$E16*餐厅成本录入!BO16</f>
        <v>0</v>
      </c>
      <c r="BP16" s="198">
        <f>$E16*餐厅成本录入!BP16</f>
        <v>0</v>
      </c>
      <c r="BQ16" s="198">
        <f>$E16*餐厅成本录入!BQ16</f>
        <v>0</v>
      </c>
      <c r="BR16" s="198">
        <f>$E16*餐厅成本录入!BR16</f>
        <v>0</v>
      </c>
      <c r="BS16" s="198">
        <f>$E16*餐厅成本录入!BS16</f>
        <v>0</v>
      </c>
      <c r="BT16" s="198">
        <f>$E16*餐厅成本录入!BT16</f>
        <v>0</v>
      </c>
      <c r="BU16" s="198">
        <f>$E16*餐厅成本录入!BU16</f>
        <v>0</v>
      </c>
      <c r="BV16" s="198">
        <f>$E16*餐厅成本录入!BV16</f>
        <v>0</v>
      </c>
      <c r="BW16" s="198">
        <f>$E16*餐厅成本录入!BW16</f>
        <v>0</v>
      </c>
    </row>
    <row r="17" s="178" customFormat="1" customHeight="1" spans="1:75">
      <c r="A17" s="161">
        <v>20</v>
      </c>
      <c r="B17" s="21" t="str">
        <f>餐厅成本录入!B17</f>
        <v>白菜</v>
      </c>
      <c r="C17" s="21">
        <f>餐厅成本录入!C17</f>
        <v>0</v>
      </c>
      <c r="D17" s="21">
        <f>餐厅成本录入!D17</f>
        <v>0</v>
      </c>
      <c r="E17" s="21">
        <f>餐厅成本录入!E17</f>
        <v>1</v>
      </c>
      <c r="F17" s="21">
        <f>餐厅成本录入!F17</f>
        <v>0</v>
      </c>
      <c r="G17" s="21">
        <f>餐厅成本录入!G17</f>
        <v>0</v>
      </c>
      <c r="H17" s="21">
        <f>餐厅成本录入!H17</f>
        <v>0</v>
      </c>
      <c r="I17" s="21">
        <f>餐厅成本录入!I17</f>
        <v>0</v>
      </c>
      <c r="J17" s="21">
        <f>餐厅成本录入!J17</f>
        <v>0</v>
      </c>
      <c r="K17" s="21">
        <f>餐厅成本录入!K17</f>
        <v>0</v>
      </c>
      <c r="L17" s="21">
        <f>餐厅成本录入!L17</f>
        <v>0</v>
      </c>
      <c r="M17" s="21">
        <f>餐厅成本录入!M17</f>
        <v>0</v>
      </c>
      <c r="N17" s="198">
        <f>$E17*餐厅成本录入!N17</f>
        <v>0</v>
      </c>
      <c r="O17" s="198">
        <f>$E17*餐厅成本录入!O17</f>
        <v>0</v>
      </c>
      <c r="P17" s="198">
        <f>$E17*餐厅成本录入!P17</f>
        <v>0</v>
      </c>
      <c r="Q17" s="198">
        <f>$E17*餐厅成本录入!Q17</f>
        <v>0</v>
      </c>
      <c r="R17" s="198">
        <f>$E17*餐厅成本录入!R17</f>
        <v>0</v>
      </c>
      <c r="S17" s="198">
        <f>$E17*餐厅成本录入!S17</f>
        <v>0</v>
      </c>
      <c r="T17" s="198">
        <f>$E17*餐厅成本录入!T17</f>
        <v>0</v>
      </c>
      <c r="U17" s="198">
        <f>$E17*餐厅成本录入!U17</f>
        <v>0</v>
      </c>
      <c r="V17" s="198">
        <f>$E17*餐厅成本录入!V17</f>
        <v>0</v>
      </c>
      <c r="W17" s="198">
        <f>$E17*餐厅成本录入!W17</f>
        <v>0</v>
      </c>
      <c r="X17" s="198">
        <f>$E17*餐厅成本录入!X17</f>
        <v>0</v>
      </c>
      <c r="Y17" s="198">
        <f>$E17*餐厅成本录入!Y17</f>
        <v>0</v>
      </c>
      <c r="Z17" s="198">
        <f>$E17*餐厅成本录入!Z17</f>
        <v>0</v>
      </c>
      <c r="AA17" s="198">
        <f>$E17*餐厅成本录入!AA17</f>
        <v>0</v>
      </c>
      <c r="AB17" s="198">
        <f>$E17*餐厅成本录入!AB17</f>
        <v>0</v>
      </c>
      <c r="AC17" s="198">
        <f>$E17*餐厅成本录入!AC17</f>
        <v>0</v>
      </c>
      <c r="AD17" s="198">
        <f>$E17*餐厅成本录入!AD17</f>
        <v>0</v>
      </c>
      <c r="AE17" s="198">
        <f>$E17*餐厅成本录入!AE17</f>
        <v>0</v>
      </c>
      <c r="AF17" s="198">
        <f>$E17*餐厅成本录入!AF17</f>
        <v>0</v>
      </c>
      <c r="AG17" s="198">
        <f>$E17*餐厅成本录入!AG17</f>
        <v>0</v>
      </c>
      <c r="AH17" s="198">
        <f>$E17*餐厅成本录入!AH17</f>
        <v>0</v>
      </c>
      <c r="AI17" s="198">
        <f>$E17*餐厅成本录入!AI17</f>
        <v>0</v>
      </c>
      <c r="AJ17" s="198">
        <f>$E17*餐厅成本录入!AJ17</f>
        <v>0</v>
      </c>
      <c r="AK17" s="198">
        <f>$E17*餐厅成本录入!AK17</f>
        <v>0</v>
      </c>
      <c r="AL17" s="198">
        <f>$E17*餐厅成本录入!AL17</f>
        <v>0</v>
      </c>
      <c r="AM17" s="198">
        <f>$E17*餐厅成本录入!AM17</f>
        <v>0</v>
      </c>
      <c r="AN17" s="198">
        <f>$E17*餐厅成本录入!AN17</f>
        <v>0</v>
      </c>
      <c r="AO17" s="198">
        <f>$E17*餐厅成本录入!AO17</f>
        <v>0</v>
      </c>
      <c r="AP17" s="198">
        <f>$E17*餐厅成本录入!AP17</f>
        <v>0</v>
      </c>
      <c r="AQ17" s="198">
        <f>$E17*餐厅成本录入!AQ17</f>
        <v>0</v>
      </c>
      <c r="AR17" s="198">
        <f>$E17*餐厅成本录入!AR17</f>
        <v>0</v>
      </c>
      <c r="AS17" s="198">
        <f>$E17*餐厅成本录入!AS17</f>
        <v>0</v>
      </c>
      <c r="AT17" s="198">
        <f>$E17*餐厅成本录入!AT17</f>
        <v>0</v>
      </c>
      <c r="AU17" s="198">
        <f>$E17*餐厅成本录入!AU17</f>
        <v>0</v>
      </c>
      <c r="AV17" s="198">
        <f>$E17*餐厅成本录入!AV17</f>
        <v>0</v>
      </c>
      <c r="AW17" s="198">
        <f>$E17*餐厅成本录入!AW17</f>
        <v>0</v>
      </c>
      <c r="AX17" s="198">
        <f>$E17*餐厅成本录入!AX17</f>
        <v>0</v>
      </c>
      <c r="AY17" s="198">
        <f>$E17*餐厅成本录入!AY17</f>
        <v>0</v>
      </c>
      <c r="AZ17" s="198">
        <f>$E17*餐厅成本录入!AZ17</f>
        <v>0</v>
      </c>
      <c r="BA17" s="198">
        <f>$E17*餐厅成本录入!BA17</f>
        <v>0</v>
      </c>
      <c r="BB17" s="198">
        <f>$E17*餐厅成本录入!BB17</f>
        <v>0</v>
      </c>
      <c r="BC17" s="198">
        <f>$E17*餐厅成本录入!BC17</f>
        <v>0</v>
      </c>
      <c r="BD17" s="198">
        <f>$E17*餐厅成本录入!BD17</f>
        <v>0</v>
      </c>
      <c r="BE17" s="198">
        <f>$E17*餐厅成本录入!BE17</f>
        <v>0</v>
      </c>
      <c r="BF17" s="198">
        <f>$E17*餐厅成本录入!BF17</f>
        <v>0</v>
      </c>
      <c r="BG17" s="198">
        <f>$E17*餐厅成本录入!BG17</f>
        <v>0</v>
      </c>
      <c r="BH17" s="198">
        <f>$E17*餐厅成本录入!BH17</f>
        <v>0</v>
      </c>
      <c r="BI17" s="198">
        <f>$E17*餐厅成本录入!BI17</f>
        <v>0</v>
      </c>
      <c r="BJ17" s="198">
        <f>$E17*餐厅成本录入!BJ17</f>
        <v>0</v>
      </c>
      <c r="BK17" s="198">
        <f>$E17*餐厅成本录入!BK17</f>
        <v>0</v>
      </c>
      <c r="BL17" s="198">
        <f>$E17*餐厅成本录入!BL17</f>
        <v>0</v>
      </c>
      <c r="BM17" s="198">
        <f>$E17*餐厅成本录入!BM17</f>
        <v>0</v>
      </c>
      <c r="BN17" s="198">
        <f>$E17*餐厅成本录入!BN17</f>
        <v>0</v>
      </c>
      <c r="BO17" s="198">
        <f>$E17*餐厅成本录入!BO17</f>
        <v>0</v>
      </c>
      <c r="BP17" s="198">
        <f>$E17*餐厅成本录入!BP17</f>
        <v>0</v>
      </c>
      <c r="BQ17" s="198">
        <f>$E17*餐厅成本录入!BQ17</f>
        <v>0</v>
      </c>
      <c r="BR17" s="198">
        <f>$E17*餐厅成本录入!BR17</f>
        <v>0</v>
      </c>
      <c r="BS17" s="198">
        <f>$E17*餐厅成本录入!BS17</f>
        <v>0</v>
      </c>
      <c r="BT17" s="198">
        <f>$E17*餐厅成本录入!BT17</f>
        <v>0</v>
      </c>
      <c r="BU17" s="198">
        <f>$E17*餐厅成本录入!BU17</f>
        <v>0</v>
      </c>
      <c r="BV17" s="198">
        <f>$E17*餐厅成本录入!BV17</f>
        <v>0</v>
      </c>
      <c r="BW17" s="198">
        <f>$E17*餐厅成本录入!BW17</f>
        <v>0</v>
      </c>
    </row>
    <row r="18" s="178" customFormat="1" customHeight="1" spans="1:75">
      <c r="A18" s="161">
        <v>21</v>
      </c>
      <c r="B18" s="21" t="str">
        <f>餐厅成本录入!B18</f>
        <v>小白菜</v>
      </c>
      <c r="C18" s="21">
        <f>餐厅成本录入!C18</f>
        <v>0</v>
      </c>
      <c r="D18" s="21">
        <f>餐厅成本录入!D18</f>
        <v>0</v>
      </c>
      <c r="E18" s="21">
        <f>餐厅成本录入!E18</f>
        <v>1</v>
      </c>
      <c r="F18" s="21">
        <f>餐厅成本录入!F18</f>
        <v>0</v>
      </c>
      <c r="G18" s="21">
        <f>餐厅成本录入!G18</f>
        <v>0</v>
      </c>
      <c r="H18" s="21">
        <f>餐厅成本录入!H18</f>
        <v>25.4</v>
      </c>
      <c r="I18" s="21">
        <f>餐厅成本录入!I18</f>
        <v>25.4</v>
      </c>
      <c r="J18" s="21">
        <f>餐厅成本录入!J18</f>
        <v>25.4</v>
      </c>
      <c r="K18" s="21">
        <f>餐厅成本录入!K18</f>
        <v>25.4</v>
      </c>
      <c r="L18" s="21">
        <f>餐厅成本录入!L18</f>
        <v>0</v>
      </c>
      <c r="M18" s="21">
        <f>餐厅成本录入!M18</f>
        <v>0</v>
      </c>
      <c r="N18" s="198">
        <f>$E18*餐厅成本录入!N18</f>
        <v>0</v>
      </c>
      <c r="O18" s="198">
        <f>$E18*餐厅成本录入!O18</f>
        <v>0</v>
      </c>
      <c r="P18" s="198">
        <f>$E18*餐厅成本录入!P18</f>
        <v>0</v>
      </c>
      <c r="Q18" s="198">
        <f>$E18*餐厅成本录入!Q18</f>
        <v>0</v>
      </c>
      <c r="R18" s="198">
        <f>$E18*餐厅成本录入!R18</f>
        <v>0</v>
      </c>
      <c r="S18" s="198">
        <f>$E18*餐厅成本录入!S18</f>
        <v>0</v>
      </c>
      <c r="T18" s="198">
        <f>$E18*餐厅成本录入!T18</f>
        <v>0</v>
      </c>
      <c r="U18" s="198">
        <f>$E18*餐厅成本录入!U18</f>
        <v>0</v>
      </c>
      <c r="V18" s="198">
        <f>$E18*餐厅成本录入!V18</f>
        <v>0</v>
      </c>
      <c r="W18" s="198">
        <f>$E18*餐厅成本录入!W18</f>
        <v>0</v>
      </c>
      <c r="X18" s="198">
        <f>$E18*餐厅成本录入!X18</f>
        <v>0</v>
      </c>
      <c r="Y18" s="198">
        <f>$E18*餐厅成本录入!Y18</f>
        <v>0</v>
      </c>
      <c r="Z18" s="198">
        <f>$E18*餐厅成本录入!Z18</f>
        <v>0</v>
      </c>
      <c r="AA18" s="198">
        <f>$E18*餐厅成本录入!AA18</f>
        <v>0</v>
      </c>
      <c r="AB18" s="198">
        <f>$E18*餐厅成本录入!AB18</f>
        <v>0</v>
      </c>
      <c r="AC18" s="198">
        <f>$E18*餐厅成本录入!AC18</f>
        <v>0</v>
      </c>
      <c r="AD18" s="198">
        <f>$E18*餐厅成本录入!AD18</f>
        <v>0</v>
      </c>
      <c r="AE18" s="198">
        <f>$E18*餐厅成本录入!AE18</f>
        <v>0</v>
      </c>
      <c r="AF18" s="198">
        <f>$E18*餐厅成本录入!AF18</f>
        <v>0</v>
      </c>
      <c r="AG18" s="198">
        <f>$E18*餐厅成本录入!AG18</f>
        <v>0</v>
      </c>
      <c r="AH18" s="198">
        <f>$E18*餐厅成本录入!AH18</f>
        <v>0</v>
      </c>
      <c r="AI18" s="198">
        <f>$E18*餐厅成本录入!AI18</f>
        <v>0</v>
      </c>
      <c r="AJ18" s="198">
        <f>$E18*餐厅成本录入!AJ18</f>
        <v>0</v>
      </c>
      <c r="AK18" s="198">
        <f>$E18*餐厅成本录入!AK18</f>
        <v>0</v>
      </c>
      <c r="AL18" s="198">
        <f>$E18*餐厅成本录入!AL18</f>
        <v>6</v>
      </c>
      <c r="AM18" s="198">
        <f>$E18*餐厅成本录入!AM18</f>
        <v>6</v>
      </c>
      <c r="AN18" s="198">
        <f>$E18*餐厅成本录入!AN18</f>
        <v>0</v>
      </c>
      <c r="AO18" s="198">
        <f>$E18*餐厅成本录入!AO18</f>
        <v>0</v>
      </c>
      <c r="AP18" s="198">
        <f>$E18*餐厅成本录入!AP18</f>
        <v>6.1</v>
      </c>
      <c r="AQ18" s="198">
        <f>$E18*餐厅成本录入!AQ18</f>
        <v>6.1</v>
      </c>
      <c r="AR18" s="198">
        <f>$E18*餐厅成本录入!AR18</f>
        <v>0</v>
      </c>
      <c r="AS18" s="198">
        <f>$E18*餐厅成本录入!AS18</f>
        <v>0</v>
      </c>
      <c r="AT18" s="198">
        <f>$E18*餐厅成本录入!AT18</f>
        <v>0</v>
      </c>
      <c r="AU18" s="198">
        <f>$E18*餐厅成本录入!AU18</f>
        <v>0</v>
      </c>
      <c r="AV18" s="198">
        <f>$E18*餐厅成本录入!AV18</f>
        <v>0</v>
      </c>
      <c r="AW18" s="198">
        <f>$E18*餐厅成本录入!AW18</f>
        <v>0</v>
      </c>
      <c r="AX18" s="198">
        <f>$E18*餐厅成本录入!AX18</f>
        <v>0</v>
      </c>
      <c r="AY18" s="198">
        <f>$E18*餐厅成本录入!AY18</f>
        <v>0</v>
      </c>
      <c r="AZ18" s="198">
        <f>$E18*餐厅成本录入!AZ18</f>
        <v>0</v>
      </c>
      <c r="BA18" s="198">
        <f>$E18*餐厅成本录入!BA18</f>
        <v>0</v>
      </c>
      <c r="BB18" s="198">
        <f>$E18*餐厅成本录入!BB18</f>
        <v>7.3</v>
      </c>
      <c r="BC18" s="198">
        <f>$E18*餐厅成本录入!BC18</f>
        <v>7.3</v>
      </c>
      <c r="BD18" s="198">
        <f>$E18*餐厅成本录入!BD18</f>
        <v>0</v>
      </c>
      <c r="BE18" s="198">
        <f>$E18*餐厅成本录入!BE18</f>
        <v>0</v>
      </c>
      <c r="BF18" s="198">
        <f>$E18*餐厅成本录入!BF18</f>
        <v>0</v>
      </c>
      <c r="BG18" s="198">
        <f>$E18*餐厅成本录入!BG18</f>
        <v>0</v>
      </c>
      <c r="BH18" s="198">
        <f>$E18*餐厅成本录入!BH18</f>
        <v>0</v>
      </c>
      <c r="BI18" s="198">
        <f>$E18*餐厅成本录入!BI18</f>
        <v>0</v>
      </c>
      <c r="BJ18" s="198">
        <f>$E18*餐厅成本录入!BJ18</f>
        <v>0</v>
      </c>
      <c r="BK18" s="198">
        <f>$E18*餐厅成本录入!BK18</f>
        <v>0</v>
      </c>
      <c r="BL18" s="198">
        <f>$E18*餐厅成本录入!BL18</f>
        <v>0</v>
      </c>
      <c r="BM18" s="198">
        <f>$E18*餐厅成本录入!BM18</f>
        <v>0</v>
      </c>
      <c r="BN18" s="198">
        <f>$E18*餐厅成本录入!BN18</f>
        <v>6</v>
      </c>
      <c r="BO18" s="198">
        <f>$E18*餐厅成本录入!BO18</f>
        <v>6</v>
      </c>
      <c r="BP18" s="198">
        <f>$E18*餐厅成本录入!BP18</f>
        <v>0</v>
      </c>
      <c r="BQ18" s="198">
        <f>$E18*餐厅成本录入!BQ18</f>
        <v>0</v>
      </c>
      <c r="BR18" s="198">
        <f>$E18*餐厅成本录入!BR18</f>
        <v>0</v>
      </c>
      <c r="BS18" s="198">
        <f>$E18*餐厅成本录入!BS18</f>
        <v>0</v>
      </c>
      <c r="BT18" s="198">
        <f>$E18*餐厅成本录入!BT18</f>
        <v>0</v>
      </c>
      <c r="BU18" s="198">
        <f>$E18*餐厅成本录入!BU18</f>
        <v>0</v>
      </c>
      <c r="BV18" s="198">
        <f>$E18*餐厅成本录入!BV18</f>
        <v>0</v>
      </c>
      <c r="BW18" s="198">
        <f>$E18*餐厅成本录入!BW18</f>
        <v>0</v>
      </c>
    </row>
    <row r="19" s="178" customFormat="1" customHeight="1" spans="1:75">
      <c r="A19" s="161">
        <v>22</v>
      </c>
      <c r="B19" s="21" t="str">
        <f>餐厅成本录入!B19</f>
        <v>娃娃菜</v>
      </c>
      <c r="C19" s="21">
        <f>餐厅成本录入!C19</f>
        <v>0</v>
      </c>
      <c r="D19" s="21">
        <f>餐厅成本录入!D19</f>
        <v>0</v>
      </c>
      <c r="E19" s="21">
        <f>餐厅成本录入!E19</f>
        <v>4</v>
      </c>
      <c r="F19" s="21">
        <f>餐厅成本录入!F19</f>
        <v>0</v>
      </c>
      <c r="G19" s="21">
        <f>餐厅成本录入!G19</f>
        <v>0</v>
      </c>
      <c r="H19" s="21">
        <f>餐厅成本录入!H19</f>
        <v>48.8</v>
      </c>
      <c r="I19" s="21">
        <f>餐厅成本录入!I19</f>
        <v>195.2</v>
      </c>
      <c r="J19" s="21">
        <f>餐厅成本录入!J19</f>
        <v>48.8</v>
      </c>
      <c r="K19" s="21">
        <f>餐厅成本录入!K19</f>
        <v>195.2</v>
      </c>
      <c r="L19" s="21">
        <f>餐厅成本录入!L19</f>
        <v>0</v>
      </c>
      <c r="M19" s="21">
        <f>餐厅成本录入!M19</f>
        <v>0</v>
      </c>
      <c r="N19" s="198">
        <f>$E19*餐厅成本录入!N19</f>
        <v>0</v>
      </c>
      <c r="O19" s="198">
        <f>$E19*餐厅成本录入!O19</f>
        <v>0</v>
      </c>
      <c r="P19" s="198">
        <f>$E19*餐厅成本录入!P19</f>
        <v>24</v>
      </c>
      <c r="Q19" s="198">
        <f>$E19*餐厅成本录入!Q19</f>
        <v>24</v>
      </c>
      <c r="R19" s="198">
        <f>$E19*餐厅成本录入!R19</f>
        <v>0</v>
      </c>
      <c r="S19" s="198">
        <f>$E19*餐厅成本录入!S19</f>
        <v>0</v>
      </c>
      <c r="T19" s="198">
        <f>$E19*餐厅成本录入!T19</f>
        <v>0</v>
      </c>
      <c r="U19" s="198">
        <f>$E19*餐厅成本录入!U19</f>
        <v>0</v>
      </c>
      <c r="V19" s="198">
        <f>$E19*餐厅成本录入!V19</f>
        <v>24</v>
      </c>
      <c r="W19" s="198">
        <f>$E19*餐厅成本录入!W19</f>
        <v>24</v>
      </c>
      <c r="X19" s="198">
        <f>$E19*餐厅成本录入!X19</f>
        <v>0</v>
      </c>
      <c r="Y19" s="198">
        <f>$E19*餐厅成本录入!Y19</f>
        <v>0</v>
      </c>
      <c r="Z19" s="198">
        <f>$E19*餐厅成本录入!Z19</f>
        <v>0</v>
      </c>
      <c r="AA19" s="198">
        <f>$E19*餐厅成本录入!AA19</f>
        <v>0</v>
      </c>
      <c r="AB19" s="198">
        <f>$E19*餐厅成本录入!AB19</f>
        <v>24</v>
      </c>
      <c r="AC19" s="198">
        <f>$E19*餐厅成本录入!AC19</f>
        <v>24</v>
      </c>
      <c r="AD19" s="198">
        <f>$E19*餐厅成本录入!AD19</f>
        <v>0</v>
      </c>
      <c r="AE19" s="198">
        <f>$E19*餐厅成本录入!AE19</f>
        <v>0</v>
      </c>
      <c r="AF19" s="198">
        <f>$E19*餐厅成本录入!AF19</f>
        <v>0</v>
      </c>
      <c r="AG19" s="198">
        <f>$E19*餐厅成本录入!AG19</f>
        <v>0</v>
      </c>
      <c r="AH19" s="198">
        <f>$E19*餐厅成本录入!AH19</f>
        <v>24</v>
      </c>
      <c r="AI19" s="198">
        <f>$E19*餐厅成本录入!AI19</f>
        <v>24</v>
      </c>
      <c r="AJ19" s="198">
        <f>$E19*餐厅成本录入!AJ19</f>
        <v>0</v>
      </c>
      <c r="AK19" s="198">
        <f>$E19*餐厅成本录入!AK19</f>
        <v>0</v>
      </c>
      <c r="AL19" s="198">
        <f>$E19*餐厅成本录入!AL19</f>
        <v>24</v>
      </c>
      <c r="AM19" s="198">
        <f>$E19*餐厅成本录入!AM19</f>
        <v>24</v>
      </c>
      <c r="AN19" s="198">
        <f>$E19*餐厅成本录入!AN19</f>
        <v>0</v>
      </c>
      <c r="AO19" s="198">
        <f>$E19*餐厅成本录入!AO19</f>
        <v>0</v>
      </c>
      <c r="AP19" s="198">
        <f>$E19*餐厅成本录入!AP19</f>
        <v>24</v>
      </c>
      <c r="AQ19" s="198">
        <f>$E19*餐厅成本录入!AQ19</f>
        <v>24</v>
      </c>
      <c r="AR19" s="198">
        <f>$E19*餐厅成本录入!AR19</f>
        <v>0</v>
      </c>
      <c r="AS19" s="198">
        <f>$E19*餐厅成本录入!AS19</f>
        <v>0</v>
      </c>
      <c r="AT19" s="198">
        <f>$E19*餐厅成本录入!AT19</f>
        <v>0</v>
      </c>
      <c r="AU19" s="198">
        <f>$E19*餐厅成本录入!AU19</f>
        <v>0</v>
      </c>
      <c r="AV19" s="198">
        <f>$E19*餐厅成本录入!AV19</f>
        <v>0</v>
      </c>
      <c r="AW19" s="198">
        <f>$E19*餐厅成本录入!AW19</f>
        <v>0</v>
      </c>
      <c r="AX19" s="198">
        <f>$E19*餐厅成本录入!AX19</f>
        <v>0</v>
      </c>
      <c r="AY19" s="198">
        <f>$E19*餐厅成本录入!AY19</f>
        <v>0</v>
      </c>
      <c r="AZ19" s="198">
        <f>$E19*餐厅成本录入!AZ19</f>
        <v>0</v>
      </c>
      <c r="BA19" s="198">
        <f>$E19*餐厅成本录入!BA19</f>
        <v>0</v>
      </c>
      <c r="BB19" s="198">
        <f>$E19*餐厅成本录入!BB19</f>
        <v>24</v>
      </c>
      <c r="BC19" s="198">
        <f>$E19*餐厅成本录入!BC19</f>
        <v>24</v>
      </c>
      <c r="BD19" s="198">
        <f>$E19*餐厅成本录入!BD19</f>
        <v>0</v>
      </c>
      <c r="BE19" s="198">
        <f>$E19*餐厅成本录入!BE19</f>
        <v>0</v>
      </c>
      <c r="BF19" s="198">
        <f>$E19*餐厅成本录入!BF19</f>
        <v>0</v>
      </c>
      <c r="BG19" s="198">
        <f>$E19*餐厅成本录入!BG19</f>
        <v>0</v>
      </c>
      <c r="BH19" s="198">
        <f>$E19*餐厅成本录入!BH19</f>
        <v>0</v>
      </c>
      <c r="BI19" s="198">
        <f>$E19*餐厅成本录入!BI19</f>
        <v>0</v>
      </c>
      <c r="BJ19" s="198">
        <f>$E19*餐厅成本录入!BJ19</f>
        <v>0</v>
      </c>
      <c r="BK19" s="198">
        <f>$E19*餐厅成本录入!BK19</f>
        <v>0</v>
      </c>
      <c r="BL19" s="198">
        <f>$E19*餐厅成本录入!BL19</f>
        <v>0</v>
      </c>
      <c r="BM19" s="198">
        <f>$E19*餐厅成本录入!BM19</f>
        <v>0</v>
      </c>
      <c r="BN19" s="198">
        <f>$E19*餐厅成本录入!BN19</f>
        <v>27.2</v>
      </c>
      <c r="BO19" s="198">
        <f>$E19*餐厅成本录入!BO19</f>
        <v>27.2</v>
      </c>
      <c r="BP19" s="198">
        <f>$E19*餐厅成本录入!BP19</f>
        <v>0</v>
      </c>
      <c r="BQ19" s="198">
        <f>$E19*餐厅成本录入!BQ19</f>
        <v>0</v>
      </c>
      <c r="BR19" s="198">
        <f>$E19*餐厅成本录入!BR19</f>
        <v>0</v>
      </c>
      <c r="BS19" s="198">
        <f>$E19*餐厅成本录入!BS19</f>
        <v>0</v>
      </c>
      <c r="BT19" s="198">
        <f>$E19*餐厅成本录入!BT19</f>
        <v>0</v>
      </c>
      <c r="BU19" s="198">
        <f>$E19*餐厅成本录入!BU19</f>
        <v>0</v>
      </c>
      <c r="BV19" s="198">
        <f>$E19*餐厅成本录入!BV19</f>
        <v>0</v>
      </c>
      <c r="BW19" s="198">
        <f>$E19*餐厅成本录入!BW19</f>
        <v>0</v>
      </c>
    </row>
    <row r="20" s="178" customFormat="1" customHeight="1" spans="1:75">
      <c r="A20" s="161">
        <v>23</v>
      </c>
      <c r="B20" s="21" t="str">
        <f>餐厅成本录入!B20</f>
        <v>菜心</v>
      </c>
      <c r="C20" s="21">
        <f>餐厅成本录入!C20</f>
        <v>0</v>
      </c>
      <c r="D20" s="21">
        <f>餐厅成本录入!D20</f>
        <v>0</v>
      </c>
      <c r="E20" s="21">
        <f>餐厅成本录入!E20</f>
        <v>4</v>
      </c>
      <c r="F20" s="21">
        <f>餐厅成本录入!F20</f>
        <v>0</v>
      </c>
      <c r="G20" s="21">
        <f>餐厅成本录入!G20</f>
        <v>0</v>
      </c>
      <c r="H20" s="21">
        <f>餐厅成本录入!H20</f>
        <v>30</v>
      </c>
      <c r="I20" s="21">
        <f>餐厅成本录入!I20</f>
        <v>120</v>
      </c>
      <c r="J20" s="21">
        <f>餐厅成本录入!J20</f>
        <v>30</v>
      </c>
      <c r="K20" s="21">
        <f>餐厅成本录入!K20</f>
        <v>120</v>
      </c>
      <c r="L20" s="21">
        <f>餐厅成本录入!L20</f>
        <v>0</v>
      </c>
      <c r="M20" s="21">
        <f>餐厅成本录入!M20</f>
        <v>0</v>
      </c>
      <c r="N20" s="198">
        <f>$E20*餐厅成本录入!N20</f>
        <v>0</v>
      </c>
      <c r="O20" s="198">
        <f>$E20*餐厅成本录入!O20</f>
        <v>0</v>
      </c>
      <c r="P20" s="198">
        <f>$E20*餐厅成本录入!P20</f>
        <v>24</v>
      </c>
      <c r="Q20" s="198">
        <f>$E20*餐厅成本录入!Q20</f>
        <v>24</v>
      </c>
      <c r="R20" s="198">
        <f>$E20*餐厅成本录入!R20</f>
        <v>0</v>
      </c>
      <c r="S20" s="198">
        <f>$E20*餐厅成本录入!S20</f>
        <v>0</v>
      </c>
      <c r="T20" s="198">
        <f>$E20*餐厅成本录入!T20</f>
        <v>0</v>
      </c>
      <c r="U20" s="198">
        <f>$E20*餐厅成本录入!U20</f>
        <v>0</v>
      </c>
      <c r="V20" s="198">
        <f>$E20*餐厅成本录入!V20</f>
        <v>0</v>
      </c>
      <c r="W20" s="198">
        <f>$E20*餐厅成本录入!W20</f>
        <v>0</v>
      </c>
      <c r="X20" s="198">
        <f>$E20*餐厅成本录入!X20</f>
        <v>0</v>
      </c>
      <c r="Y20" s="198">
        <f>$E20*餐厅成本录入!Y20</f>
        <v>0</v>
      </c>
      <c r="Z20" s="198">
        <f>$E20*餐厅成本录入!Z20</f>
        <v>0</v>
      </c>
      <c r="AA20" s="198">
        <f>$E20*餐厅成本录入!AA20</f>
        <v>0</v>
      </c>
      <c r="AB20" s="198">
        <f>$E20*餐厅成本录入!AB20</f>
        <v>24</v>
      </c>
      <c r="AC20" s="198">
        <f>$E20*餐厅成本录入!AC20</f>
        <v>24</v>
      </c>
      <c r="AD20" s="198">
        <f>$E20*餐厅成本录入!AD20</f>
        <v>0</v>
      </c>
      <c r="AE20" s="198">
        <f>$E20*餐厅成本录入!AE20</f>
        <v>0</v>
      </c>
      <c r="AF20" s="198">
        <f>$E20*餐厅成本录入!AF20</f>
        <v>0</v>
      </c>
      <c r="AG20" s="198">
        <f>$E20*餐厅成本录入!AG20</f>
        <v>0</v>
      </c>
      <c r="AH20" s="198">
        <f>$E20*餐厅成本录入!AH20</f>
        <v>24</v>
      </c>
      <c r="AI20" s="198">
        <f>$E20*餐厅成本录入!AI20</f>
        <v>24</v>
      </c>
      <c r="AJ20" s="198">
        <f>$E20*餐厅成本录入!AJ20</f>
        <v>0</v>
      </c>
      <c r="AK20" s="198">
        <f>$E20*餐厅成本录入!AK20</f>
        <v>0</v>
      </c>
      <c r="AL20" s="198">
        <f>$E20*餐厅成本录入!AL20</f>
        <v>24</v>
      </c>
      <c r="AM20" s="198">
        <f>$E20*餐厅成本录入!AM20</f>
        <v>24</v>
      </c>
      <c r="AN20" s="198">
        <f>$E20*餐厅成本录入!AN20</f>
        <v>0</v>
      </c>
      <c r="AO20" s="198">
        <f>$E20*餐厅成本录入!AO20</f>
        <v>0</v>
      </c>
      <c r="AP20" s="198">
        <f>$E20*餐厅成本录入!AP20</f>
        <v>24</v>
      </c>
      <c r="AQ20" s="198">
        <f>$E20*餐厅成本录入!AQ20</f>
        <v>24</v>
      </c>
      <c r="AR20" s="198">
        <f>$E20*餐厅成本录入!AR20</f>
        <v>0</v>
      </c>
      <c r="AS20" s="198">
        <f>$E20*餐厅成本录入!AS20</f>
        <v>0</v>
      </c>
      <c r="AT20" s="198">
        <f>$E20*餐厅成本录入!AT20</f>
        <v>0</v>
      </c>
      <c r="AU20" s="198">
        <f>$E20*餐厅成本录入!AU20</f>
        <v>0</v>
      </c>
      <c r="AV20" s="198">
        <f>$E20*餐厅成本录入!AV20</f>
        <v>0</v>
      </c>
      <c r="AW20" s="198">
        <f>$E20*餐厅成本录入!AW20</f>
        <v>0</v>
      </c>
      <c r="AX20" s="198">
        <f>$E20*餐厅成本录入!AX20</f>
        <v>0</v>
      </c>
      <c r="AY20" s="198">
        <f>$E20*餐厅成本录入!AY20</f>
        <v>0</v>
      </c>
      <c r="AZ20" s="198">
        <f>$E20*餐厅成本录入!AZ20</f>
        <v>0</v>
      </c>
      <c r="BA20" s="198">
        <f>$E20*餐厅成本录入!BA20</f>
        <v>0</v>
      </c>
      <c r="BB20" s="198">
        <f>$E20*餐厅成本录入!BB20</f>
        <v>0</v>
      </c>
      <c r="BC20" s="198">
        <f>$E20*餐厅成本录入!BC20</f>
        <v>0</v>
      </c>
      <c r="BD20" s="198">
        <f>$E20*餐厅成本录入!BD20</f>
        <v>0</v>
      </c>
      <c r="BE20" s="198">
        <f>$E20*餐厅成本录入!BE20</f>
        <v>0</v>
      </c>
      <c r="BF20" s="198">
        <f>$E20*餐厅成本录入!BF20</f>
        <v>0</v>
      </c>
      <c r="BG20" s="198">
        <f>$E20*餐厅成本录入!BG20</f>
        <v>0</v>
      </c>
      <c r="BH20" s="198">
        <f>$E20*餐厅成本录入!BH20</f>
        <v>0</v>
      </c>
      <c r="BI20" s="198">
        <f>$E20*餐厅成本录入!BI20</f>
        <v>0</v>
      </c>
      <c r="BJ20" s="198">
        <f>$E20*餐厅成本录入!BJ20</f>
        <v>0</v>
      </c>
      <c r="BK20" s="198">
        <f>$E20*餐厅成本录入!BK20</f>
        <v>0</v>
      </c>
      <c r="BL20" s="198">
        <f>$E20*餐厅成本录入!BL20</f>
        <v>0</v>
      </c>
      <c r="BM20" s="198">
        <f>$E20*餐厅成本录入!BM20</f>
        <v>0</v>
      </c>
      <c r="BN20" s="198">
        <f>$E20*餐厅成本录入!BN20</f>
        <v>0</v>
      </c>
      <c r="BO20" s="198">
        <f>$E20*餐厅成本录入!BO20</f>
        <v>0</v>
      </c>
      <c r="BP20" s="198">
        <f>$E20*餐厅成本录入!BP20</f>
        <v>0</v>
      </c>
      <c r="BQ20" s="198">
        <f>$E20*餐厅成本录入!BQ20</f>
        <v>0</v>
      </c>
      <c r="BR20" s="198">
        <f>$E20*餐厅成本录入!BR20</f>
        <v>0</v>
      </c>
      <c r="BS20" s="198">
        <f>$E20*餐厅成本录入!BS20</f>
        <v>0</v>
      </c>
      <c r="BT20" s="198">
        <f>$E20*餐厅成本录入!BT20</f>
        <v>0</v>
      </c>
      <c r="BU20" s="198">
        <f>$E20*餐厅成本录入!BU20</f>
        <v>0</v>
      </c>
      <c r="BV20" s="198">
        <f>$E20*餐厅成本录入!BV20</f>
        <v>0</v>
      </c>
      <c r="BW20" s="198">
        <f>$E20*餐厅成本录入!BW20</f>
        <v>0</v>
      </c>
    </row>
    <row r="21" s="178" customFormat="1" customHeight="1" spans="1:75">
      <c r="A21" s="161">
        <v>27</v>
      </c>
      <c r="B21" s="21" t="str">
        <f>餐厅成本录入!B21</f>
        <v>紫生菜</v>
      </c>
      <c r="C21" s="21">
        <f>餐厅成本录入!C21</f>
        <v>0</v>
      </c>
      <c r="D21" s="21">
        <f>餐厅成本录入!D21</f>
        <v>0</v>
      </c>
      <c r="E21" s="21">
        <f>餐厅成本录入!E21</f>
        <v>5</v>
      </c>
      <c r="F21" s="21">
        <f>餐厅成本录入!F21</f>
        <v>0</v>
      </c>
      <c r="G21" s="21">
        <f>餐厅成本录入!G21</f>
        <v>0</v>
      </c>
      <c r="H21" s="21">
        <f>餐厅成本录入!H21</f>
        <v>27.1</v>
      </c>
      <c r="I21" s="21">
        <f>餐厅成本录入!I21</f>
        <v>135.5</v>
      </c>
      <c r="J21" s="21">
        <f>餐厅成本录入!J21</f>
        <v>27.1</v>
      </c>
      <c r="K21" s="21">
        <f>餐厅成本录入!K21</f>
        <v>135.5</v>
      </c>
      <c r="L21" s="21">
        <f>餐厅成本录入!L21</f>
        <v>0</v>
      </c>
      <c r="M21" s="21">
        <f>餐厅成本录入!M21</f>
        <v>0</v>
      </c>
      <c r="N21" s="198">
        <f>$E21*餐厅成本录入!N21</f>
        <v>0</v>
      </c>
      <c r="O21" s="198">
        <f>$E21*餐厅成本录入!O21</f>
        <v>0</v>
      </c>
      <c r="P21" s="198">
        <f>$E21*餐厅成本录入!P21</f>
        <v>16.5</v>
      </c>
      <c r="Q21" s="198">
        <f>$E21*餐厅成本录入!Q21</f>
        <v>16.5</v>
      </c>
      <c r="R21" s="198">
        <f>$E21*餐厅成本录入!R21</f>
        <v>0</v>
      </c>
      <c r="S21" s="198">
        <f>$E21*餐厅成本录入!S21</f>
        <v>0</v>
      </c>
      <c r="T21" s="198">
        <f>$E21*餐厅成本录入!T21</f>
        <v>0</v>
      </c>
      <c r="U21" s="198">
        <f>$E21*餐厅成本录入!U21</f>
        <v>0</v>
      </c>
      <c r="V21" s="198">
        <f>$E21*餐厅成本录入!V21</f>
        <v>51.5</v>
      </c>
      <c r="W21" s="198">
        <f>$E21*餐厅成本录入!W21</f>
        <v>51.5</v>
      </c>
      <c r="X21" s="198">
        <f>$E21*餐厅成本录入!X21</f>
        <v>0</v>
      </c>
      <c r="Y21" s="198">
        <f>$E21*餐厅成本录入!Y21</f>
        <v>0</v>
      </c>
      <c r="Z21" s="198">
        <f>$E21*餐厅成本录入!Z21</f>
        <v>0</v>
      </c>
      <c r="AA21" s="198">
        <f>$E21*餐厅成本录入!AA21</f>
        <v>0</v>
      </c>
      <c r="AB21" s="198">
        <f>$E21*餐厅成本录入!AB21</f>
        <v>0</v>
      </c>
      <c r="AC21" s="198">
        <f>$E21*餐厅成本录入!AC21</f>
        <v>0</v>
      </c>
      <c r="AD21" s="198">
        <f>$E21*餐厅成本录入!AD21</f>
        <v>0</v>
      </c>
      <c r="AE21" s="198">
        <f>$E21*餐厅成本录入!AE21</f>
        <v>0</v>
      </c>
      <c r="AF21" s="198">
        <f>$E21*餐厅成本录入!AF21</f>
        <v>0</v>
      </c>
      <c r="AG21" s="198">
        <f>$E21*餐厅成本录入!AG21</f>
        <v>0</v>
      </c>
      <c r="AH21" s="198">
        <f>$E21*餐厅成本录入!AH21</f>
        <v>31.5</v>
      </c>
      <c r="AI21" s="198">
        <f>$E21*餐厅成本录入!AI21</f>
        <v>31.5</v>
      </c>
      <c r="AJ21" s="198">
        <f>$E21*餐厅成本录入!AJ21</f>
        <v>0</v>
      </c>
      <c r="AK21" s="198">
        <f>$E21*餐厅成本录入!AK21</f>
        <v>0</v>
      </c>
      <c r="AL21" s="198">
        <f>$E21*餐厅成本录入!AL21</f>
        <v>0</v>
      </c>
      <c r="AM21" s="198">
        <f>$E21*餐厅成本录入!AM21</f>
        <v>0</v>
      </c>
      <c r="AN21" s="198">
        <f>$E21*餐厅成本录入!AN21</f>
        <v>0</v>
      </c>
      <c r="AO21" s="198">
        <f>$E21*餐厅成本录入!AO21</f>
        <v>0</v>
      </c>
      <c r="AP21" s="198">
        <f>$E21*餐厅成本录入!AP21</f>
        <v>16</v>
      </c>
      <c r="AQ21" s="198">
        <f>$E21*餐厅成本录入!AQ21</f>
        <v>16</v>
      </c>
      <c r="AR21" s="198">
        <f>$E21*餐厅成本录入!AR21</f>
        <v>0</v>
      </c>
      <c r="AS21" s="198">
        <f>$E21*餐厅成本录入!AS21</f>
        <v>0</v>
      </c>
      <c r="AT21" s="198">
        <f>$E21*餐厅成本录入!AT21</f>
        <v>0</v>
      </c>
      <c r="AU21" s="198">
        <f>$E21*餐厅成本录入!AU21</f>
        <v>0</v>
      </c>
      <c r="AV21" s="198">
        <f>$E21*餐厅成本录入!AV21</f>
        <v>0</v>
      </c>
      <c r="AW21" s="198">
        <f>$E21*餐厅成本录入!AW21</f>
        <v>0</v>
      </c>
      <c r="AX21" s="198">
        <f>$E21*餐厅成本录入!AX21</f>
        <v>0</v>
      </c>
      <c r="AY21" s="198">
        <f>$E21*餐厅成本录入!AY21</f>
        <v>0</v>
      </c>
      <c r="AZ21" s="198">
        <f>$E21*餐厅成本录入!AZ21</f>
        <v>0</v>
      </c>
      <c r="BA21" s="198">
        <f>$E21*餐厅成本录入!BA21</f>
        <v>0</v>
      </c>
      <c r="BB21" s="198">
        <f>$E21*餐厅成本录入!BB21</f>
        <v>0</v>
      </c>
      <c r="BC21" s="198">
        <f>$E21*餐厅成本录入!BC21</f>
        <v>0</v>
      </c>
      <c r="BD21" s="198">
        <f>$E21*餐厅成本录入!BD21</f>
        <v>0</v>
      </c>
      <c r="BE21" s="198">
        <f>$E21*餐厅成本录入!BE21</f>
        <v>0</v>
      </c>
      <c r="BF21" s="198">
        <f>$E21*餐厅成本录入!BF21</f>
        <v>0</v>
      </c>
      <c r="BG21" s="198">
        <f>$E21*餐厅成本录入!BG21</f>
        <v>0</v>
      </c>
      <c r="BH21" s="198">
        <f>$E21*餐厅成本录入!BH21</f>
        <v>10</v>
      </c>
      <c r="BI21" s="198">
        <f>$E21*餐厅成本录入!BI21</f>
        <v>10</v>
      </c>
      <c r="BJ21" s="198">
        <f>$E21*餐厅成本录入!BJ21</f>
        <v>0</v>
      </c>
      <c r="BK21" s="198">
        <f>$E21*餐厅成本录入!BK21</f>
        <v>0</v>
      </c>
      <c r="BL21" s="198">
        <f>$E21*餐厅成本录入!BL21</f>
        <v>0</v>
      </c>
      <c r="BM21" s="198">
        <f>$E21*餐厅成本录入!BM21</f>
        <v>0</v>
      </c>
      <c r="BN21" s="198">
        <f>$E21*餐厅成本录入!BN21</f>
        <v>10</v>
      </c>
      <c r="BO21" s="198">
        <f>$E21*餐厅成本录入!BO21</f>
        <v>10</v>
      </c>
      <c r="BP21" s="198">
        <f>$E21*餐厅成本录入!BP21</f>
        <v>0</v>
      </c>
      <c r="BQ21" s="198">
        <f>$E21*餐厅成本录入!BQ21</f>
        <v>0</v>
      </c>
      <c r="BR21" s="198">
        <f>$E21*餐厅成本录入!BR21</f>
        <v>0</v>
      </c>
      <c r="BS21" s="198">
        <f>$E21*餐厅成本录入!BS21</f>
        <v>0</v>
      </c>
      <c r="BT21" s="198">
        <f>$E21*餐厅成本录入!BT21</f>
        <v>0</v>
      </c>
      <c r="BU21" s="198">
        <f>$E21*餐厅成本录入!BU21</f>
        <v>0</v>
      </c>
      <c r="BV21" s="198">
        <f>$E21*餐厅成本录入!BV21</f>
        <v>0</v>
      </c>
      <c r="BW21" s="198">
        <f>$E21*餐厅成本录入!BW21</f>
        <v>0</v>
      </c>
    </row>
    <row r="22" s="178" customFormat="1" customHeight="1" spans="1:75">
      <c r="A22" s="161">
        <v>28</v>
      </c>
      <c r="B22" s="21" t="str">
        <f>餐厅成本录入!B22</f>
        <v>苦菊</v>
      </c>
      <c r="C22" s="21">
        <f>餐厅成本录入!C22</f>
        <v>0</v>
      </c>
      <c r="D22" s="21">
        <f>餐厅成本录入!D22</f>
        <v>0</v>
      </c>
      <c r="E22" s="21">
        <f>餐厅成本录入!E22</f>
        <v>4</v>
      </c>
      <c r="F22" s="21">
        <f>餐厅成本录入!F22</f>
        <v>0</v>
      </c>
      <c r="G22" s="21">
        <f>餐厅成本录入!G22</f>
        <v>0</v>
      </c>
      <c r="H22" s="21">
        <f>餐厅成本录入!H22</f>
        <v>3.1</v>
      </c>
      <c r="I22" s="21">
        <f>餐厅成本录入!I22</f>
        <v>12.4</v>
      </c>
      <c r="J22" s="21">
        <f>餐厅成本录入!J22</f>
        <v>3.1</v>
      </c>
      <c r="K22" s="21">
        <f>餐厅成本录入!K22</f>
        <v>12.4</v>
      </c>
      <c r="L22" s="21">
        <f>餐厅成本录入!L22</f>
        <v>0</v>
      </c>
      <c r="M22" s="21">
        <f>餐厅成本录入!M22</f>
        <v>0</v>
      </c>
      <c r="N22" s="198">
        <f>$E22*餐厅成本录入!N22</f>
        <v>0</v>
      </c>
      <c r="O22" s="198">
        <f>$E22*餐厅成本录入!O22</f>
        <v>0</v>
      </c>
      <c r="P22" s="198">
        <f>$E22*餐厅成本录入!P22</f>
        <v>0</v>
      </c>
      <c r="Q22" s="198">
        <f>$E22*餐厅成本录入!Q22</f>
        <v>0</v>
      </c>
      <c r="R22" s="198">
        <f>$E22*餐厅成本录入!R22</f>
        <v>0</v>
      </c>
      <c r="S22" s="198">
        <f>$E22*餐厅成本录入!S22</f>
        <v>0</v>
      </c>
      <c r="T22" s="198">
        <f>$E22*餐厅成本录入!T22</f>
        <v>0</v>
      </c>
      <c r="U22" s="198">
        <f>$E22*餐厅成本录入!U22</f>
        <v>0</v>
      </c>
      <c r="V22" s="198">
        <f>$E22*餐厅成本录入!V22</f>
        <v>0</v>
      </c>
      <c r="W22" s="198">
        <f>$E22*餐厅成本录入!W22</f>
        <v>0</v>
      </c>
      <c r="X22" s="198">
        <f>$E22*餐厅成本录入!X22</f>
        <v>0</v>
      </c>
      <c r="Y22" s="198">
        <f>$E22*餐厅成本录入!Y22</f>
        <v>0</v>
      </c>
      <c r="Z22" s="198">
        <f>$E22*餐厅成本录入!Z22</f>
        <v>0</v>
      </c>
      <c r="AA22" s="198">
        <f>$E22*餐厅成本录入!AA22</f>
        <v>0</v>
      </c>
      <c r="AB22" s="198">
        <f>$E22*餐厅成本录入!AB22</f>
        <v>0</v>
      </c>
      <c r="AC22" s="198">
        <f>$E22*餐厅成本录入!AC22</f>
        <v>0</v>
      </c>
      <c r="AD22" s="198">
        <f>$E22*餐厅成本录入!AD22</f>
        <v>0</v>
      </c>
      <c r="AE22" s="198">
        <f>$E22*餐厅成本录入!AE22</f>
        <v>0</v>
      </c>
      <c r="AF22" s="198">
        <f>$E22*餐厅成本录入!AF22</f>
        <v>0</v>
      </c>
      <c r="AG22" s="198">
        <f>$E22*餐厅成本录入!AG22</f>
        <v>0</v>
      </c>
      <c r="AH22" s="198">
        <f>$E22*餐厅成本录入!AH22</f>
        <v>12.4</v>
      </c>
      <c r="AI22" s="198">
        <f>$E22*餐厅成本录入!AI22</f>
        <v>12.4</v>
      </c>
      <c r="AJ22" s="198">
        <f>$E22*餐厅成本录入!AJ22</f>
        <v>0</v>
      </c>
      <c r="AK22" s="198">
        <f>$E22*餐厅成本录入!AK22</f>
        <v>0</v>
      </c>
      <c r="AL22" s="198">
        <f>$E22*餐厅成本录入!AL22</f>
        <v>0</v>
      </c>
      <c r="AM22" s="198">
        <f>$E22*餐厅成本录入!AM22</f>
        <v>0</v>
      </c>
      <c r="AN22" s="198">
        <f>$E22*餐厅成本录入!AN22</f>
        <v>0</v>
      </c>
      <c r="AO22" s="198">
        <f>$E22*餐厅成本录入!AO22</f>
        <v>0</v>
      </c>
      <c r="AP22" s="198">
        <f>$E22*餐厅成本录入!AP22</f>
        <v>0</v>
      </c>
      <c r="AQ22" s="198">
        <f>$E22*餐厅成本录入!AQ22</f>
        <v>0</v>
      </c>
      <c r="AR22" s="198">
        <f>$E22*餐厅成本录入!AR22</f>
        <v>0</v>
      </c>
      <c r="AS22" s="198">
        <f>$E22*餐厅成本录入!AS22</f>
        <v>0</v>
      </c>
      <c r="AT22" s="198">
        <f>$E22*餐厅成本录入!AT22</f>
        <v>0</v>
      </c>
      <c r="AU22" s="198">
        <f>$E22*餐厅成本录入!AU22</f>
        <v>0</v>
      </c>
      <c r="AV22" s="198">
        <f>$E22*餐厅成本录入!AV22</f>
        <v>0</v>
      </c>
      <c r="AW22" s="198">
        <f>$E22*餐厅成本录入!AW22</f>
        <v>0</v>
      </c>
      <c r="AX22" s="198">
        <f>$E22*餐厅成本录入!AX22</f>
        <v>0</v>
      </c>
      <c r="AY22" s="198">
        <f>$E22*餐厅成本录入!AY22</f>
        <v>0</v>
      </c>
      <c r="AZ22" s="198">
        <f>$E22*餐厅成本录入!AZ22</f>
        <v>0</v>
      </c>
      <c r="BA22" s="198">
        <f>$E22*餐厅成本录入!BA22</f>
        <v>0</v>
      </c>
      <c r="BB22" s="198">
        <f>$E22*餐厅成本录入!BB22</f>
        <v>0</v>
      </c>
      <c r="BC22" s="198">
        <f>$E22*餐厅成本录入!BC22</f>
        <v>0</v>
      </c>
      <c r="BD22" s="198">
        <f>$E22*餐厅成本录入!BD22</f>
        <v>0</v>
      </c>
      <c r="BE22" s="198">
        <f>$E22*餐厅成本录入!BE22</f>
        <v>0</v>
      </c>
      <c r="BF22" s="198">
        <f>$E22*餐厅成本录入!BF22</f>
        <v>0</v>
      </c>
      <c r="BG22" s="198">
        <f>$E22*餐厅成本录入!BG22</f>
        <v>0</v>
      </c>
      <c r="BH22" s="198">
        <f>$E22*餐厅成本录入!BH22</f>
        <v>0</v>
      </c>
      <c r="BI22" s="198">
        <f>$E22*餐厅成本录入!BI22</f>
        <v>0</v>
      </c>
      <c r="BJ22" s="198">
        <f>$E22*餐厅成本录入!BJ22</f>
        <v>0</v>
      </c>
      <c r="BK22" s="198">
        <f>$E22*餐厅成本录入!BK22</f>
        <v>0</v>
      </c>
      <c r="BL22" s="198">
        <f>$E22*餐厅成本录入!BL22</f>
        <v>0</v>
      </c>
      <c r="BM22" s="198">
        <f>$E22*餐厅成本录入!BM22</f>
        <v>0</v>
      </c>
      <c r="BN22" s="198">
        <f>$E22*餐厅成本录入!BN22</f>
        <v>0</v>
      </c>
      <c r="BO22" s="198">
        <f>$E22*餐厅成本录入!BO22</f>
        <v>0</v>
      </c>
      <c r="BP22" s="198">
        <f>$E22*餐厅成本录入!BP22</f>
        <v>0</v>
      </c>
      <c r="BQ22" s="198">
        <f>$E22*餐厅成本录入!BQ22</f>
        <v>0</v>
      </c>
      <c r="BR22" s="198">
        <f>$E22*餐厅成本录入!BR22</f>
        <v>0</v>
      </c>
      <c r="BS22" s="198">
        <f>$E22*餐厅成本录入!BS22</f>
        <v>0</v>
      </c>
      <c r="BT22" s="198">
        <f>$E22*餐厅成本录入!BT22</f>
        <v>0</v>
      </c>
      <c r="BU22" s="198">
        <f>$E22*餐厅成本录入!BU22</f>
        <v>0</v>
      </c>
      <c r="BV22" s="198">
        <f>$E22*餐厅成本录入!BV22</f>
        <v>0</v>
      </c>
      <c r="BW22" s="198">
        <f>$E22*餐厅成本录入!BW22</f>
        <v>0</v>
      </c>
    </row>
    <row r="23" s="178" customFormat="1" customHeight="1" spans="1:75">
      <c r="A23" s="161">
        <v>29</v>
      </c>
      <c r="B23" s="21" t="str">
        <f>餐厅成本录入!B23</f>
        <v>香菜</v>
      </c>
      <c r="C23" s="21">
        <f>餐厅成本录入!C23</f>
        <v>0</v>
      </c>
      <c r="D23" s="21">
        <f>餐厅成本录入!D23</f>
        <v>0</v>
      </c>
      <c r="E23" s="21">
        <f>餐厅成本录入!E23</f>
        <v>3.5</v>
      </c>
      <c r="F23" s="21">
        <f>餐厅成本录入!F23</f>
        <v>0</v>
      </c>
      <c r="G23" s="21">
        <f>餐厅成本录入!G23</f>
        <v>0</v>
      </c>
      <c r="H23" s="21">
        <f>餐厅成本录入!H23</f>
        <v>11.8</v>
      </c>
      <c r="I23" s="21">
        <f>餐厅成本录入!I23</f>
        <v>41.3</v>
      </c>
      <c r="J23" s="21">
        <f>餐厅成本录入!J23</f>
        <v>11.8</v>
      </c>
      <c r="K23" s="21">
        <f>餐厅成本录入!K23</f>
        <v>41.3</v>
      </c>
      <c r="L23" s="21">
        <f>餐厅成本录入!L23</f>
        <v>0</v>
      </c>
      <c r="M23" s="21">
        <f>餐厅成本录入!M23</f>
        <v>0</v>
      </c>
      <c r="N23" s="198">
        <f>$E23*餐厅成本录入!N23</f>
        <v>0</v>
      </c>
      <c r="O23" s="198">
        <f>$E23*餐厅成本录入!O23</f>
        <v>0</v>
      </c>
      <c r="P23" s="198">
        <f>$E23*餐厅成本录入!P23</f>
        <v>10.5</v>
      </c>
      <c r="Q23" s="198">
        <f>$E23*餐厅成本录入!Q23</f>
        <v>10.5</v>
      </c>
      <c r="R23" s="198">
        <f>$E23*餐厅成本录入!R23</f>
        <v>0</v>
      </c>
      <c r="S23" s="198">
        <f>$E23*餐厅成本录入!S23</f>
        <v>0</v>
      </c>
      <c r="T23" s="198">
        <f>$E23*餐厅成本录入!T23</f>
        <v>0</v>
      </c>
      <c r="U23" s="198">
        <f>$E23*餐厅成本录入!U23</f>
        <v>0</v>
      </c>
      <c r="V23" s="198">
        <f>$E23*餐厅成本录入!V23</f>
        <v>0</v>
      </c>
      <c r="W23" s="198">
        <f>$E23*餐厅成本录入!W23</f>
        <v>0</v>
      </c>
      <c r="X23" s="198">
        <f>$E23*餐厅成本录入!X23</f>
        <v>0</v>
      </c>
      <c r="Y23" s="198">
        <f>$E23*餐厅成本录入!Y23</f>
        <v>0</v>
      </c>
      <c r="Z23" s="198">
        <f>$E23*餐厅成本录入!Z23</f>
        <v>0</v>
      </c>
      <c r="AA23" s="198">
        <f>$E23*餐厅成本录入!AA23</f>
        <v>0</v>
      </c>
      <c r="AB23" s="198">
        <f>$E23*餐厅成本录入!AB23</f>
        <v>10.5</v>
      </c>
      <c r="AC23" s="198">
        <f>$E23*餐厅成本录入!AC23</f>
        <v>10.5</v>
      </c>
      <c r="AD23" s="198">
        <f>$E23*餐厅成本录入!AD23</f>
        <v>0</v>
      </c>
      <c r="AE23" s="198">
        <f>$E23*餐厅成本录入!AE23</f>
        <v>0</v>
      </c>
      <c r="AF23" s="198">
        <f>$E23*餐厅成本录入!AF23</f>
        <v>0</v>
      </c>
      <c r="AG23" s="198">
        <f>$E23*餐厅成本录入!AG23</f>
        <v>0</v>
      </c>
      <c r="AH23" s="198">
        <f>$E23*餐厅成本录入!AH23</f>
        <v>0</v>
      </c>
      <c r="AI23" s="198">
        <f>$E23*餐厅成本录入!AI23</f>
        <v>0</v>
      </c>
      <c r="AJ23" s="198">
        <f>$E23*餐厅成本录入!AJ23</f>
        <v>0</v>
      </c>
      <c r="AK23" s="198">
        <f>$E23*餐厅成本录入!AK23</f>
        <v>0</v>
      </c>
      <c r="AL23" s="198">
        <f>$E23*餐厅成本录入!AL23</f>
        <v>0</v>
      </c>
      <c r="AM23" s="198">
        <f>$E23*餐厅成本录入!AM23</f>
        <v>0</v>
      </c>
      <c r="AN23" s="198">
        <f>$E23*餐厅成本录入!AN23</f>
        <v>0</v>
      </c>
      <c r="AO23" s="198">
        <f>$E23*餐厅成本录入!AO23</f>
        <v>0</v>
      </c>
      <c r="AP23" s="198">
        <f>$E23*餐厅成本录入!AP23</f>
        <v>11.2</v>
      </c>
      <c r="AQ23" s="198">
        <f>$E23*餐厅成本录入!AQ23</f>
        <v>11.2</v>
      </c>
      <c r="AR23" s="198">
        <f>$E23*餐厅成本录入!AR23</f>
        <v>0</v>
      </c>
      <c r="AS23" s="198">
        <f>$E23*餐厅成本录入!AS23</f>
        <v>0</v>
      </c>
      <c r="AT23" s="198">
        <f>$E23*餐厅成本录入!AT23</f>
        <v>0</v>
      </c>
      <c r="AU23" s="198">
        <f>$E23*餐厅成本录入!AU23</f>
        <v>0</v>
      </c>
      <c r="AV23" s="198">
        <f>$E23*餐厅成本录入!AV23</f>
        <v>0</v>
      </c>
      <c r="AW23" s="198">
        <f>$E23*餐厅成本录入!AW23</f>
        <v>0</v>
      </c>
      <c r="AX23" s="198">
        <f>$E23*餐厅成本录入!AX23</f>
        <v>0</v>
      </c>
      <c r="AY23" s="198">
        <f>$E23*餐厅成本录入!AY23</f>
        <v>0</v>
      </c>
      <c r="AZ23" s="198">
        <f>$E23*餐厅成本录入!AZ23</f>
        <v>0</v>
      </c>
      <c r="BA23" s="198">
        <f>$E23*餐厅成本录入!BA23</f>
        <v>0</v>
      </c>
      <c r="BB23" s="198">
        <f>$E23*餐厅成本录入!BB23</f>
        <v>9.1</v>
      </c>
      <c r="BC23" s="198">
        <f>$E23*餐厅成本录入!BC23</f>
        <v>9.1</v>
      </c>
      <c r="BD23" s="198">
        <f>$E23*餐厅成本录入!BD23</f>
        <v>0</v>
      </c>
      <c r="BE23" s="198">
        <f>$E23*餐厅成本录入!BE23</f>
        <v>0</v>
      </c>
      <c r="BF23" s="198">
        <f>$E23*餐厅成本录入!BF23</f>
        <v>0</v>
      </c>
      <c r="BG23" s="198">
        <f>$E23*餐厅成本录入!BG23</f>
        <v>0</v>
      </c>
      <c r="BH23" s="198">
        <f>$E23*餐厅成本录入!BH23</f>
        <v>0</v>
      </c>
      <c r="BI23" s="198">
        <f>$E23*餐厅成本录入!BI23</f>
        <v>0</v>
      </c>
      <c r="BJ23" s="198">
        <f>$E23*餐厅成本录入!BJ23</f>
        <v>0</v>
      </c>
      <c r="BK23" s="198">
        <f>$E23*餐厅成本录入!BK23</f>
        <v>0</v>
      </c>
      <c r="BL23" s="198">
        <f>$E23*餐厅成本录入!BL23</f>
        <v>0</v>
      </c>
      <c r="BM23" s="198">
        <f>$E23*餐厅成本录入!BM23</f>
        <v>0</v>
      </c>
      <c r="BN23" s="198">
        <f>$E23*餐厅成本录入!BN23</f>
        <v>0</v>
      </c>
      <c r="BO23" s="198">
        <f>$E23*餐厅成本录入!BO23</f>
        <v>0</v>
      </c>
      <c r="BP23" s="198">
        <f>$E23*餐厅成本录入!BP23</f>
        <v>0</v>
      </c>
      <c r="BQ23" s="198">
        <f>$E23*餐厅成本录入!BQ23</f>
        <v>0</v>
      </c>
      <c r="BR23" s="198">
        <f>$E23*餐厅成本录入!BR23</f>
        <v>0</v>
      </c>
      <c r="BS23" s="198">
        <f>$E23*餐厅成本录入!BS23</f>
        <v>0</v>
      </c>
      <c r="BT23" s="198">
        <f>$E23*餐厅成本录入!BT23</f>
        <v>0</v>
      </c>
      <c r="BU23" s="198">
        <f>$E23*餐厅成本录入!BU23</f>
        <v>0</v>
      </c>
      <c r="BV23" s="198">
        <f>$E23*餐厅成本录入!BV23</f>
        <v>0</v>
      </c>
      <c r="BW23" s="198">
        <f>$E23*餐厅成本录入!BW23</f>
        <v>0</v>
      </c>
    </row>
    <row r="24" s="178" customFormat="1" customHeight="1" spans="1:75">
      <c r="A24" s="161">
        <v>30</v>
      </c>
      <c r="B24" s="21" t="str">
        <f>餐厅成本录入!B24</f>
        <v>香葱</v>
      </c>
      <c r="C24" s="21">
        <f>餐厅成本录入!C24</f>
        <v>0</v>
      </c>
      <c r="D24" s="21">
        <f>餐厅成本录入!D24</f>
        <v>0</v>
      </c>
      <c r="E24" s="21">
        <f>餐厅成本录入!E24</f>
        <v>6</v>
      </c>
      <c r="F24" s="21">
        <f>餐厅成本录入!F24</f>
        <v>0</v>
      </c>
      <c r="G24" s="21">
        <f>餐厅成本录入!G24</f>
        <v>0</v>
      </c>
      <c r="H24" s="21">
        <f>餐厅成本录入!H24</f>
        <v>12.1</v>
      </c>
      <c r="I24" s="21">
        <f>餐厅成本录入!I24</f>
        <v>72.6</v>
      </c>
      <c r="J24" s="21">
        <f>餐厅成本录入!J24</f>
        <v>12.1</v>
      </c>
      <c r="K24" s="21">
        <f>餐厅成本录入!K24</f>
        <v>72.6</v>
      </c>
      <c r="L24" s="21">
        <f>餐厅成本录入!L24</f>
        <v>0</v>
      </c>
      <c r="M24" s="21">
        <f>餐厅成本录入!M24</f>
        <v>0</v>
      </c>
      <c r="N24" s="198">
        <f>$E24*餐厅成本录入!N24</f>
        <v>0</v>
      </c>
      <c r="O24" s="198">
        <f>$E24*餐厅成本录入!O24</f>
        <v>0</v>
      </c>
      <c r="P24" s="198">
        <f>$E24*餐厅成本录入!P24</f>
        <v>18</v>
      </c>
      <c r="Q24" s="198">
        <f>$E24*餐厅成本录入!Q24</f>
        <v>18</v>
      </c>
      <c r="R24" s="198">
        <f>$E24*餐厅成本录入!R24</f>
        <v>0</v>
      </c>
      <c r="S24" s="198">
        <f>$E24*餐厅成本录入!S24</f>
        <v>0</v>
      </c>
      <c r="T24" s="198">
        <f>$E24*餐厅成本录入!T24</f>
        <v>0</v>
      </c>
      <c r="U24" s="198">
        <f>$E24*餐厅成本录入!U24</f>
        <v>0</v>
      </c>
      <c r="V24" s="198">
        <f>$E24*餐厅成本录入!V24</f>
        <v>0</v>
      </c>
      <c r="W24" s="198">
        <f>$E24*餐厅成本录入!W24</f>
        <v>0</v>
      </c>
      <c r="X24" s="198">
        <f>$E24*餐厅成本录入!X24</f>
        <v>0</v>
      </c>
      <c r="Y24" s="198">
        <f>$E24*餐厅成本录入!Y24</f>
        <v>0</v>
      </c>
      <c r="Z24" s="198">
        <f>$E24*餐厅成本录入!Z24</f>
        <v>0</v>
      </c>
      <c r="AA24" s="198">
        <f>$E24*餐厅成本录入!AA24</f>
        <v>0</v>
      </c>
      <c r="AB24" s="198">
        <f>$E24*餐厅成本录入!AB24</f>
        <v>18</v>
      </c>
      <c r="AC24" s="198">
        <f>$E24*餐厅成本录入!AC24</f>
        <v>18</v>
      </c>
      <c r="AD24" s="198">
        <f>$E24*餐厅成本录入!AD24</f>
        <v>0</v>
      </c>
      <c r="AE24" s="198">
        <f>$E24*餐厅成本录入!AE24</f>
        <v>0</v>
      </c>
      <c r="AF24" s="198">
        <f>$E24*餐厅成本录入!AF24</f>
        <v>0</v>
      </c>
      <c r="AG24" s="198">
        <f>$E24*餐厅成本录入!AG24</f>
        <v>0</v>
      </c>
      <c r="AH24" s="198">
        <f>$E24*餐厅成本录入!AH24</f>
        <v>0</v>
      </c>
      <c r="AI24" s="198">
        <f>$E24*餐厅成本录入!AI24</f>
        <v>0</v>
      </c>
      <c r="AJ24" s="198">
        <f>$E24*餐厅成本录入!AJ24</f>
        <v>0</v>
      </c>
      <c r="AK24" s="198">
        <f>$E24*餐厅成本录入!AK24</f>
        <v>0</v>
      </c>
      <c r="AL24" s="198">
        <f>$E24*餐厅成本录入!AL24</f>
        <v>18.6</v>
      </c>
      <c r="AM24" s="198">
        <f>$E24*餐厅成本录入!AM24</f>
        <v>18.6</v>
      </c>
      <c r="AN24" s="198">
        <f>$E24*餐厅成本录入!AN24</f>
        <v>0</v>
      </c>
      <c r="AO24" s="198">
        <f>$E24*餐厅成本录入!AO24</f>
        <v>0</v>
      </c>
      <c r="AP24" s="198">
        <f>$E24*餐厅成本录入!AP24</f>
        <v>18</v>
      </c>
      <c r="AQ24" s="198">
        <f>$E24*餐厅成本录入!AQ24</f>
        <v>18</v>
      </c>
      <c r="AR24" s="198">
        <f>$E24*餐厅成本录入!AR24</f>
        <v>0</v>
      </c>
      <c r="AS24" s="198">
        <f>$E24*餐厅成本录入!AS24</f>
        <v>0</v>
      </c>
      <c r="AT24" s="198">
        <f>$E24*餐厅成本录入!AT24</f>
        <v>0</v>
      </c>
      <c r="AU24" s="198">
        <f>$E24*餐厅成本录入!AU24</f>
        <v>0</v>
      </c>
      <c r="AV24" s="198">
        <f>$E24*餐厅成本录入!AV24</f>
        <v>0</v>
      </c>
      <c r="AW24" s="198">
        <f>$E24*餐厅成本录入!AW24</f>
        <v>0</v>
      </c>
      <c r="AX24" s="198">
        <f>$E24*餐厅成本录入!AX24</f>
        <v>0</v>
      </c>
      <c r="AY24" s="198">
        <f>$E24*餐厅成本录入!AY24</f>
        <v>0</v>
      </c>
      <c r="AZ24" s="198">
        <f>$E24*餐厅成本录入!AZ24</f>
        <v>0</v>
      </c>
      <c r="BA24" s="198">
        <f>$E24*餐厅成本录入!BA24</f>
        <v>0</v>
      </c>
      <c r="BB24" s="198">
        <f>$E24*餐厅成本录入!BB24</f>
        <v>0</v>
      </c>
      <c r="BC24" s="198">
        <f>$E24*餐厅成本录入!BC24</f>
        <v>0</v>
      </c>
      <c r="BD24" s="198">
        <f>$E24*餐厅成本录入!BD24</f>
        <v>0</v>
      </c>
      <c r="BE24" s="198">
        <f>$E24*餐厅成本录入!BE24</f>
        <v>0</v>
      </c>
      <c r="BF24" s="198">
        <f>$E24*餐厅成本录入!BF24</f>
        <v>0</v>
      </c>
      <c r="BG24" s="198">
        <f>$E24*餐厅成本录入!BG24</f>
        <v>0</v>
      </c>
      <c r="BH24" s="198">
        <f>$E24*餐厅成本录入!BH24</f>
        <v>0</v>
      </c>
      <c r="BI24" s="198">
        <f>$E24*餐厅成本录入!BI24</f>
        <v>0</v>
      </c>
      <c r="BJ24" s="198">
        <f>$E24*餐厅成本录入!BJ24</f>
        <v>0</v>
      </c>
      <c r="BK24" s="198">
        <f>$E24*餐厅成本录入!BK24</f>
        <v>0</v>
      </c>
      <c r="BL24" s="198">
        <f>$E24*餐厅成本录入!BL24</f>
        <v>0</v>
      </c>
      <c r="BM24" s="198">
        <f>$E24*餐厅成本录入!BM24</f>
        <v>0</v>
      </c>
      <c r="BN24" s="198">
        <f>$E24*餐厅成本录入!BN24</f>
        <v>0</v>
      </c>
      <c r="BO24" s="198">
        <f>$E24*餐厅成本录入!BO24</f>
        <v>0</v>
      </c>
      <c r="BP24" s="198">
        <f>$E24*餐厅成本录入!BP24</f>
        <v>0</v>
      </c>
      <c r="BQ24" s="198">
        <f>$E24*餐厅成本录入!BQ24</f>
        <v>0</v>
      </c>
      <c r="BR24" s="198">
        <f>$E24*餐厅成本录入!BR24</f>
        <v>0</v>
      </c>
      <c r="BS24" s="198">
        <f>$E24*餐厅成本录入!BS24</f>
        <v>0</v>
      </c>
      <c r="BT24" s="198">
        <f>$E24*餐厅成本录入!BT24</f>
        <v>0</v>
      </c>
      <c r="BU24" s="198">
        <f>$E24*餐厅成本录入!BU24</f>
        <v>0</v>
      </c>
      <c r="BV24" s="198">
        <f>$E24*餐厅成本录入!BV24</f>
        <v>0</v>
      </c>
      <c r="BW24" s="198">
        <f>$E24*餐厅成本录入!BW24</f>
        <v>0</v>
      </c>
    </row>
    <row r="25" s="178" customFormat="1" customHeight="1" spans="1:75">
      <c r="A25" s="161">
        <v>31</v>
      </c>
      <c r="B25" s="21" t="str">
        <f>餐厅成本录入!B25</f>
        <v>大葱</v>
      </c>
      <c r="C25" s="21">
        <f>餐厅成本录入!C25</f>
        <v>0</v>
      </c>
      <c r="D25" s="21">
        <f>餐厅成本录入!D25</f>
        <v>0</v>
      </c>
      <c r="E25" s="21">
        <f>餐厅成本录入!E25</f>
        <v>1</v>
      </c>
      <c r="F25" s="21">
        <f>餐厅成本录入!F25</f>
        <v>0</v>
      </c>
      <c r="G25" s="21">
        <f>餐厅成本录入!G25</f>
        <v>0</v>
      </c>
      <c r="H25" s="21">
        <f>餐厅成本录入!H25</f>
        <v>47.1</v>
      </c>
      <c r="I25" s="21">
        <f>餐厅成本录入!I25</f>
        <v>47.1</v>
      </c>
      <c r="J25" s="21">
        <f>餐厅成本录入!J25</f>
        <v>47.1</v>
      </c>
      <c r="K25" s="21">
        <f>餐厅成本录入!K25</f>
        <v>47.1</v>
      </c>
      <c r="L25" s="21">
        <f>餐厅成本录入!L25</f>
        <v>0</v>
      </c>
      <c r="M25" s="21">
        <f>餐厅成本录入!M25</f>
        <v>0</v>
      </c>
      <c r="N25" s="198">
        <f>$E25*餐厅成本录入!N25</f>
        <v>0</v>
      </c>
      <c r="O25" s="198">
        <f>$E25*餐厅成本录入!O25</f>
        <v>0</v>
      </c>
      <c r="P25" s="198">
        <f>$E25*餐厅成本录入!P25</f>
        <v>0</v>
      </c>
      <c r="Q25" s="198">
        <f>$E25*餐厅成本录入!Q25</f>
        <v>0</v>
      </c>
      <c r="R25" s="198">
        <f>$E25*餐厅成本录入!R25</f>
        <v>0</v>
      </c>
      <c r="S25" s="198">
        <f>$E25*餐厅成本录入!S25</f>
        <v>0</v>
      </c>
      <c r="T25" s="198">
        <f>$E25*餐厅成本录入!T25</f>
        <v>0</v>
      </c>
      <c r="U25" s="198">
        <f>$E25*餐厅成本录入!U25</f>
        <v>0</v>
      </c>
      <c r="V25" s="198">
        <f>$E25*餐厅成本录入!V25</f>
        <v>0</v>
      </c>
      <c r="W25" s="198">
        <f>$E25*餐厅成本录入!W25</f>
        <v>0</v>
      </c>
      <c r="X25" s="198">
        <f>$E25*餐厅成本录入!X25</f>
        <v>0</v>
      </c>
      <c r="Y25" s="198">
        <f>$E25*餐厅成本录入!Y25</f>
        <v>0</v>
      </c>
      <c r="Z25" s="198">
        <f>$E25*餐厅成本录入!Z25</f>
        <v>0</v>
      </c>
      <c r="AA25" s="198">
        <f>$E25*餐厅成本录入!AA25</f>
        <v>0</v>
      </c>
      <c r="AB25" s="198">
        <f>$E25*餐厅成本录入!AB25</f>
        <v>0</v>
      </c>
      <c r="AC25" s="198">
        <f>$E25*餐厅成本录入!AC25</f>
        <v>0</v>
      </c>
      <c r="AD25" s="198">
        <f>$E25*餐厅成本录入!AD25</f>
        <v>0</v>
      </c>
      <c r="AE25" s="198">
        <f>$E25*餐厅成本录入!AE25</f>
        <v>0</v>
      </c>
      <c r="AF25" s="198">
        <f>$E25*餐厅成本录入!AF25</f>
        <v>0</v>
      </c>
      <c r="AG25" s="198">
        <f>$E25*餐厅成本录入!AG25</f>
        <v>0</v>
      </c>
      <c r="AH25" s="198">
        <f>$E25*餐厅成本录入!AH25</f>
        <v>31.6</v>
      </c>
      <c r="AI25" s="198">
        <f>$E25*餐厅成本录入!AI25</f>
        <v>31.6</v>
      </c>
      <c r="AJ25" s="198">
        <f>$E25*餐厅成本录入!AJ25</f>
        <v>0</v>
      </c>
      <c r="AK25" s="198">
        <f>$E25*餐厅成本录入!AK25</f>
        <v>0</v>
      </c>
      <c r="AL25" s="198">
        <f>$E25*餐厅成本录入!AL25</f>
        <v>0</v>
      </c>
      <c r="AM25" s="198">
        <f>$E25*餐厅成本录入!AM25</f>
        <v>0</v>
      </c>
      <c r="AN25" s="198">
        <f>$E25*餐厅成本录入!AN25</f>
        <v>0</v>
      </c>
      <c r="AO25" s="198">
        <f>$E25*餐厅成本录入!AO25</f>
        <v>0</v>
      </c>
      <c r="AP25" s="198">
        <f>$E25*餐厅成本录入!AP25</f>
        <v>0</v>
      </c>
      <c r="AQ25" s="198">
        <f>$E25*餐厅成本录入!AQ25</f>
        <v>0</v>
      </c>
      <c r="AR25" s="198">
        <f>$E25*餐厅成本录入!AR25</f>
        <v>0</v>
      </c>
      <c r="AS25" s="198">
        <f>$E25*餐厅成本录入!AS25</f>
        <v>0</v>
      </c>
      <c r="AT25" s="198">
        <f>$E25*餐厅成本录入!AT25</f>
        <v>0</v>
      </c>
      <c r="AU25" s="198">
        <f>$E25*餐厅成本录入!AU25</f>
        <v>0</v>
      </c>
      <c r="AV25" s="198">
        <f>$E25*餐厅成本录入!AV25</f>
        <v>0</v>
      </c>
      <c r="AW25" s="198">
        <f>$E25*餐厅成本录入!AW25</f>
        <v>0</v>
      </c>
      <c r="AX25" s="198">
        <f>$E25*餐厅成本录入!AX25</f>
        <v>0</v>
      </c>
      <c r="AY25" s="198">
        <f>$E25*餐厅成本录入!AY25</f>
        <v>0</v>
      </c>
      <c r="AZ25" s="198">
        <f>$E25*餐厅成本录入!AZ25</f>
        <v>0</v>
      </c>
      <c r="BA25" s="198">
        <f>$E25*餐厅成本录入!BA25</f>
        <v>0</v>
      </c>
      <c r="BB25" s="198">
        <f>$E25*餐厅成本录入!BB25</f>
        <v>5.5</v>
      </c>
      <c r="BC25" s="198">
        <f>$E25*餐厅成本录入!BC25</f>
        <v>5.5</v>
      </c>
      <c r="BD25" s="198">
        <f>$E25*餐厅成本录入!BD25</f>
        <v>0</v>
      </c>
      <c r="BE25" s="198">
        <f>$E25*餐厅成本录入!BE25</f>
        <v>0</v>
      </c>
      <c r="BF25" s="198">
        <f>$E25*餐厅成本录入!BF25</f>
        <v>10</v>
      </c>
      <c r="BG25" s="198">
        <f>$E25*餐厅成本录入!BG25</f>
        <v>10</v>
      </c>
      <c r="BH25" s="198">
        <f>$E25*餐厅成本录入!BH25</f>
        <v>0</v>
      </c>
      <c r="BI25" s="198">
        <f>$E25*餐厅成本录入!BI25</f>
        <v>0</v>
      </c>
      <c r="BJ25" s="198">
        <f>$E25*餐厅成本录入!BJ25</f>
        <v>0</v>
      </c>
      <c r="BK25" s="198">
        <f>$E25*餐厅成本录入!BK25</f>
        <v>0</v>
      </c>
      <c r="BL25" s="198">
        <f>$E25*餐厅成本录入!BL25</f>
        <v>0</v>
      </c>
      <c r="BM25" s="198">
        <f>$E25*餐厅成本录入!BM25</f>
        <v>0</v>
      </c>
      <c r="BN25" s="198">
        <f>$E25*餐厅成本录入!BN25</f>
        <v>0</v>
      </c>
      <c r="BO25" s="198">
        <f>$E25*餐厅成本录入!BO25</f>
        <v>0</v>
      </c>
      <c r="BP25" s="198">
        <f>$E25*餐厅成本录入!BP25</f>
        <v>0</v>
      </c>
      <c r="BQ25" s="198">
        <f>$E25*餐厅成本录入!BQ25</f>
        <v>0</v>
      </c>
      <c r="BR25" s="198">
        <f>$E25*餐厅成本录入!BR25</f>
        <v>0</v>
      </c>
      <c r="BS25" s="198">
        <f>$E25*餐厅成本录入!BS25</f>
        <v>0</v>
      </c>
      <c r="BT25" s="198">
        <f>$E25*餐厅成本录入!BT25</f>
        <v>0</v>
      </c>
      <c r="BU25" s="198">
        <f>$E25*餐厅成本录入!BU25</f>
        <v>0</v>
      </c>
      <c r="BV25" s="198">
        <f>$E25*餐厅成本录入!BV25</f>
        <v>0</v>
      </c>
      <c r="BW25" s="198">
        <f>$E25*餐厅成本录入!BW25</f>
        <v>0</v>
      </c>
    </row>
    <row r="26" s="178" customFormat="1" customHeight="1" spans="1:75">
      <c r="A26" s="161">
        <v>32</v>
      </c>
      <c r="B26" s="21" t="str">
        <f>餐厅成本录入!B26</f>
        <v>胡萝卜</v>
      </c>
      <c r="C26" s="21">
        <f>餐厅成本录入!C26</f>
        <v>0</v>
      </c>
      <c r="D26" s="21">
        <f>餐厅成本录入!D26</f>
        <v>0</v>
      </c>
      <c r="E26" s="21">
        <f>餐厅成本录入!E26</f>
        <v>1.8</v>
      </c>
      <c r="F26" s="21">
        <f>餐厅成本录入!F26</f>
        <v>0</v>
      </c>
      <c r="G26" s="21">
        <f>餐厅成本录入!G26</f>
        <v>0</v>
      </c>
      <c r="H26" s="21">
        <f>餐厅成本录入!H26</f>
        <v>33.4</v>
      </c>
      <c r="I26" s="21">
        <f>餐厅成本录入!I26</f>
        <v>60.12</v>
      </c>
      <c r="J26" s="21">
        <f>餐厅成本录入!J26</f>
        <v>33.4</v>
      </c>
      <c r="K26" s="21">
        <f>餐厅成本录入!K26</f>
        <v>60.12</v>
      </c>
      <c r="L26" s="21">
        <f>餐厅成本录入!L26</f>
        <v>0</v>
      </c>
      <c r="M26" s="21">
        <f>餐厅成本录入!M26</f>
        <v>0</v>
      </c>
      <c r="N26" s="198">
        <f>$E26*餐厅成本录入!N26</f>
        <v>0</v>
      </c>
      <c r="O26" s="198">
        <f>$E26*餐厅成本录入!O26</f>
        <v>0</v>
      </c>
      <c r="P26" s="198">
        <f>$E26*餐厅成本录入!P26</f>
        <v>10.8</v>
      </c>
      <c r="Q26" s="198">
        <f>$E26*餐厅成本录入!Q26</f>
        <v>10.8</v>
      </c>
      <c r="R26" s="198">
        <f>$E26*餐厅成本录入!R26</f>
        <v>0</v>
      </c>
      <c r="S26" s="198">
        <f>$E26*餐厅成本录入!S26</f>
        <v>0</v>
      </c>
      <c r="T26" s="198">
        <f>$E26*餐厅成本录入!T26</f>
        <v>0</v>
      </c>
      <c r="U26" s="198">
        <f>$E26*餐厅成本录入!U26</f>
        <v>0</v>
      </c>
      <c r="V26" s="198">
        <f>$E26*餐厅成本录入!V26</f>
        <v>10.8</v>
      </c>
      <c r="W26" s="198">
        <f>$E26*餐厅成本录入!W26</f>
        <v>10.8</v>
      </c>
      <c r="X26" s="198">
        <f>$E26*餐厅成本录入!X26</f>
        <v>0</v>
      </c>
      <c r="Y26" s="198">
        <f>$E26*餐厅成本录入!Y26</f>
        <v>0</v>
      </c>
      <c r="Z26" s="198">
        <f>$E26*餐厅成本录入!Z26</f>
        <v>0</v>
      </c>
      <c r="AA26" s="198">
        <f>$E26*餐厅成本录入!AA26</f>
        <v>0</v>
      </c>
      <c r="AB26" s="198">
        <f>$E26*餐厅成本录入!AB26</f>
        <v>10.98</v>
      </c>
      <c r="AC26" s="198">
        <f>$E26*餐厅成本录入!AC26</f>
        <v>10.98</v>
      </c>
      <c r="AD26" s="198">
        <f>$E26*餐厅成本录入!AD26</f>
        <v>0</v>
      </c>
      <c r="AE26" s="198">
        <f>$E26*餐厅成本录入!AE26</f>
        <v>0</v>
      </c>
      <c r="AF26" s="198">
        <f>$E26*餐厅成本录入!AF26</f>
        <v>0</v>
      </c>
      <c r="AG26" s="198">
        <f>$E26*餐厅成本录入!AG26</f>
        <v>0</v>
      </c>
      <c r="AH26" s="198">
        <f>$E26*餐厅成本录入!AH26</f>
        <v>5.76</v>
      </c>
      <c r="AI26" s="198">
        <f>$E26*餐厅成本录入!AI26</f>
        <v>5.76</v>
      </c>
      <c r="AJ26" s="198">
        <f>$E26*餐厅成本录入!AJ26</f>
        <v>0</v>
      </c>
      <c r="AK26" s="198">
        <f>$E26*餐厅成本录入!AK26</f>
        <v>0</v>
      </c>
      <c r="AL26" s="198">
        <f>$E26*餐厅成本录入!AL26</f>
        <v>5.58</v>
      </c>
      <c r="AM26" s="198">
        <f>$E26*餐厅成本录入!AM26</f>
        <v>5.58</v>
      </c>
      <c r="AN26" s="198">
        <f>$E26*餐厅成本录入!AN26</f>
        <v>0</v>
      </c>
      <c r="AO26" s="198">
        <f>$E26*餐厅成本录入!AO26</f>
        <v>0</v>
      </c>
      <c r="AP26" s="198">
        <f>$E26*餐厅成本录入!AP26</f>
        <v>5.4</v>
      </c>
      <c r="AQ26" s="198">
        <f>$E26*餐厅成本录入!AQ26</f>
        <v>5.4</v>
      </c>
      <c r="AR26" s="198">
        <f>$E26*餐厅成本录入!AR26</f>
        <v>0</v>
      </c>
      <c r="AS26" s="198">
        <f>$E26*餐厅成本录入!AS26</f>
        <v>0</v>
      </c>
      <c r="AT26" s="198">
        <f>$E26*餐厅成本录入!AT26</f>
        <v>0</v>
      </c>
      <c r="AU26" s="198">
        <f>$E26*餐厅成本录入!AU26</f>
        <v>0</v>
      </c>
      <c r="AV26" s="198">
        <f>$E26*餐厅成本录入!AV26</f>
        <v>0</v>
      </c>
      <c r="AW26" s="198">
        <f>$E26*餐厅成本录入!AW26</f>
        <v>0</v>
      </c>
      <c r="AX26" s="198">
        <f>$E26*餐厅成本录入!AX26</f>
        <v>0</v>
      </c>
      <c r="AY26" s="198">
        <f>$E26*餐厅成本录入!AY26</f>
        <v>0</v>
      </c>
      <c r="AZ26" s="198">
        <f>$E26*餐厅成本录入!AZ26</f>
        <v>0</v>
      </c>
      <c r="BA26" s="198">
        <f>$E26*餐厅成本录入!BA26</f>
        <v>0</v>
      </c>
      <c r="BB26" s="198">
        <f>$E26*餐厅成本录入!BB26</f>
        <v>0</v>
      </c>
      <c r="BC26" s="198">
        <f>$E26*餐厅成本录入!BC26</f>
        <v>0</v>
      </c>
      <c r="BD26" s="198">
        <f>$E26*餐厅成本录入!BD26</f>
        <v>0</v>
      </c>
      <c r="BE26" s="198">
        <f>$E26*餐厅成本录入!BE26</f>
        <v>0</v>
      </c>
      <c r="BF26" s="198">
        <f>$E26*餐厅成本录入!BF26</f>
        <v>10.8</v>
      </c>
      <c r="BG26" s="198">
        <f>$E26*餐厅成本录入!BG26</f>
        <v>10.8</v>
      </c>
      <c r="BH26" s="198">
        <f>$E26*餐厅成本录入!BH26</f>
        <v>0</v>
      </c>
      <c r="BI26" s="198">
        <f>$E26*餐厅成本录入!BI26</f>
        <v>0</v>
      </c>
      <c r="BJ26" s="198">
        <f>$E26*餐厅成本录入!BJ26</f>
        <v>0</v>
      </c>
      <c r="BK26" s="198">
        <f>$E26*餐厅成本录入!BK26</f>
        <v>0</v>
      </c>
      <c r="BL26" s="198">
        <f>$E26*餐厅成本录入!BL26</f>
        <v>0</v>
      </c>
      <c r="BM26" s="198">
        <f>$E26*餐厅成本录入!BM26</f>
        <v>0</v>
      </c>
      <c r="BN26" s="198">
        <f>$E26*餐厅成本录入!BN26</f>
        <v>0</v>
      </c>
      <c r="BO26" s="198">
        <f>$E26*餐厅成本录入!BO26</f>
        <v>0</v>
      </c>
      <c r="BP26" s="198">
        <f>$E26*餐厅成本录入!BP26</f>
        <v>0</v>
      </c>
      <c r="BQ26" s="198">
        <f>$E26*餐厅成本录入!BQ26</f>
        <v>0</v>
      </c>
      <c r="BR26" s="198">
        <f>$E26*餐厅成本录入!BR26</f>
        <v>0</v>
      </c>
      <c r="BS26" s="198">
        <f>$E26*餐厅成本录入!BS26</f>
        <v>0</v>
      </c>
      <c r="BT26" s="198">
        <f>$E26*餐厅成本录入!BT26</f>
        <v>0</v>
      </c>
      <c r="BU26" s="198">
        <f>$E26*餐厅成本录入!BU26</f>
        <v>0</v>
      </c>
      <c r="BV26" s="198">
        <f>$E26*餐厅成本录入!BV26</f>
        <v>0</v>
      </c>
      <c r="BW26" s="198">
        <f>$E26*餐厅成本录入!BW26</f>
        <v>0</v>
      </c>
    </row>
    <row r="27" s="178" customFormat="1" customHeight="1" spans="1:75">
      <c r="A27" s="161">
        <v>34</v>
      </c>
      <c r="B27" s="21" t="str">
        <f>餐厅成本录入!B27</f>
        <v>菜豆</v>
      </c>
      <c r="C27" s="21">
        <f>餐厅成本录入!C27</f>
        <v>0</v>
      </c>
      <c r="D27" s="21">
        <f>餐厅成本录入!D27</f>
        <v>0</v>
      </c>
      <c r="E27" s="21">
        <f>餐厅成本录入!E27</f>
        <v>6.1</v>
      </c>
      <c r="F27" s="21">
        <f>餐厅成本录入!F27</f>
        <v>0</v>
      </c>
      <c r="G27" s="21">
        <f>餐厅成本录入!G27</f>
        <v>0</v>
      </c>
      <c r="H27" s="21">
        <f>餐厅成本录入!H27</f>
        <v>24.8</v>
      </c>
      <c r="I27" s="21">
        <f>餐厅成本录入!I27</f>
        <v>151.28</v>
      </c>
      <c r="J27" s="21">
        <f>餐厅成本录入!J27</f>
        <v>24.8</v>
      </c>
      <c r="K27" s="21">
        <f>餐厅成本录入!K27</f>
        <v>151.28</v>
      </c>
      <c r="L27" s="21">
        <f>餐厅成本录入!L27</f>
        <v>0</v>
      </c>
      <c r="M27" s="21">
        <f>餐厅成本录入!M27</f>
        <v>0</v>
      </c>
      <c r="N27" s="198">
        <f>$E27*餐厅成本录入!N27</f>
        <v>0</v>
      </c>
      <c r="O27" s="198">
        <f>$E27*餐厅成本录入!O27</f>
        <v>0</v>
      </c>
      <c r="P27" s="198">
        <f>$E27*餐厅成本录入!P27</f>
        <v>0</v>
      </c>
      <c r="Q27" s="198">
        <f>$E27*餐厅成本录入!Q27</f>
        <v>0</v>
      </c>
      <c r="R27" s="198">
        <f>$E27*餐厅成本录入!R27</f>
        <v>0</v>
      </c>
      <c r="S27" s="198">
        <f>$E27*餐厅成本录入!S27</f>
        <v>0</v>
      </c>
      <c r="T27" s="198">
        <f>$E27*餐厅成本录入!T27</f>
        <v>0</v>
      </c>
      <c r="U27" s="198">
        <f>$E27*餐厅成本录入!U27</f>
        <v>0</v>
      </c>
      <c r="V27" s="198">
        <f>$E27*餐厅成本录入!V27</f>
        <v>0</v>
      </c>
      <c r="W27" s="198">
        <f>$E27*餐厅成本录入!W27</f>
        <v>0</v>
      </c>
      <c r="X27" s="198">
        <f>$E27*餐厅成本录入!X27</f>
        <v>0</v>
      </c>
      <c r="Y27" s="198">
        <f>$E27*餐厅成本录入!Y27</f>
        <v>0</v>
      </c>
      <c r="Z27" s="198">
        <f>$E27*餐厅成本录入!Z27</f>
        <v>0</v>
      </c>
      <c r="AA27" s="198">
        <f>$E27*餐厅成本录入!AA27</f>
        <v>0</v>
      </c>
      <c r="AB27" s="198">
        <f>$E27*餐厅成本录入!AB27</f>
        <v>37.21</v>
      </c>
      <c r="AC27" s="198">
        <f>$E27*餐厅成本录入!AC27</f>
        <v>37.21</v>
      </c>
      <c r="AD27" s="198">
        <f>$E27*餐厅成本录入!AD27</f>
        <v>0</v>
      </c>
      <c r="AE27" s="198">
        <f>$E27*餐厅成本录入!AE27</f>
        <v>0</v>
      </c>
      <c r="AF27" s="198">
        <f>$E27*餐厅成本录入!AF27</f>
        <v>0</v>
      </c>
      <c r="AG27" s="198">
        <f>$E27*餐厅成本录入!AG27</f>
        <v>0</v>
      </c>
      <c r="AH27" s="198">
        <f>$E27*餐厅成本录入!AH27</f>
        <v>0</v>
      </c>
      <c r="AI27" s="198">
        <f>$E27*餐厅成本录入!AI27</f>
        <v>0</v>
      </c>
      <c r="AJ27" s="198">
        <f>$E27*餐厅成本录入!AJ27</f>
        <v>0</v>
      </c>
      <c r="AK27" s="198">
        <f>$E27*餐厅成本录入!AK27</f>
        <v>0</v>
      </c>
      <c r="AL27" s="198">
        <f>$E27*餐厅成本录入!AL27</f>
        <v>0</v>
      </c>
      <c r="AM27" s="198">
        <f>$E27*餐厅成本录入!AM27</f>
        <v>0</v>
      </c>
      <c r="AN27" s="198">
        <f>$E27*餐厅成本录入!AN27</f>
        <v>0</v>
      </c>
      <c r="AO27" s="198">
        <f>$E27*餐厅成本录入!AO27</f>
        <v>0</v>
      </c>
      <c r="AP27" s="198">
        <f>$E27*餐厅成本录入!AP27</f>
        <v>37.82</v>
      </c>
      <c r="AQ27" s="198">
        <f>$E27*餐厅成本录入!AQ27</f>
        <v>37.82</v>
      </c>
      <c r="AR27" s="198">
        <f>$E27*餐厅成本录入!AR27</f>
        <v>0</v>
      </c>
      <c r="AS27" s="198">
        <f>$E27*餐厅成本录入!AS27</f>
        <v>0</v>
      </c>
      <c r="AT27" s="198">
        <f>$E27*餐厅成本录入!AT27</f>
        <v>0</v>
      </c>
      <c r="AU27" s="198">
        <f>$E27*餐厅成本录入!AU27</f>
        <v>0</v>
      </c>
      <c r="AV27" s="198">
        <f>$E27*餐厅成本录入!AV27</f>
        <v>0</v>
      </c>
      <c r="AW27" s="198">
        <f>$E27*餐厅成本录入!AW27</f>
        <v>0</v>
      </c>
      <c r="AX27" s="198">
        <f>$E27*餐厅成本录入!AX27</f>
        <v>0</v>
      </c>
      <c r="AY27" s="198">
        <f>$E27*餐厅成本录入!AY27</f>
        <v>0</v>
      </c>
      <c r="AZ27" s="198">
        <f>$E27*餐厅成本录入!AZ27</f>
        <v>0</v>
      </c>
      <c r="BA27" s="198">
        <f>$E27*餐厅成本录入!BA27</f>
        <v>0</v>
      </c>
      <c r="BB27" s="198">
        <f>$E27*餐厅成本录入!BB27</f>
        <v>39.65</v>
      </c>
      <c r="BC27" s="198">
        <f>$E27*餐厅成本录入!BC27</f>
        <v>39.65</v>
      </c>
      <c r="BD27" s="198">
        <f>$E27*餐厅成本录入!BD27</f>
        <v>0</v>
      </c>
      <c r="BE27" s="198">
        <f>$E27*餐厅成本录入!BE27</f>
        <v>0</v>
      </c>
      <c r="BF27" s="198">
        <f>$E27*餐厅成本录入!BF27</f>
        <v>36.6</v>
      </c>
      <c r="BG27" s="198">
        <f>$E27*餐厅成本录入!BG27</f>
        <v>36.6</v>
      </c>
      <c r="BH27" s="198">
        <f>$E27*餐厅成本录入!BH27</f>
        <v>0</v>
      </c>
      <c r="BI27" s="198">
        <f>$E27*餐厅成本录入!BI27</f>
        <v>0</v>
      </c>
      <c r="BJ27" s="198">
        <f>$E27*餐厅成本录入!BJ27</f>
        <v>0</v>
      </c>
      <c r="BK27" s="198">
        <f>$E27*餐厅成本录入!BK27</f>
        <v>0</v>
      </c>
      <c r="BL27" s="198">
        <f>$E27*餐厅成本录入!BL27</f>
        <v>0</v>
      </c>
      <c r="BM27" s="198">
        <f>$E27*餐厅成本录入!BM27</f>
        <v>0</v>
      </c>
      <c r="BN27" s="198">
        <f>$E27*餐厅成本录入!BN27</f>
        <v>0</v>
      </c>
      <c r="BO27" s="198">
        <f>$E27*餐厅成本录入!BO27</f>
        <v>0</v>
      </c>
      <c r="BP27" s="198">
        <f>$E27*餐厅成本录入!BP27</f>
        <v>0</v>
      </c>
      <c r="BQ27" s="198">
        <f>$E27*餐厅成本录入!BQ27</f>
        <v>0</v>
      </c>
      <c r="BR27" s="198">
        <f>$E27*餐厅成本录入!BR27</f>
        <v>0</v>
      </c>
      <c r="BS27" s="198">
        <f>$E27*餐厅成本录入!BS27</f>
        <v>0</v>
      </c>
      <c r="BT27" s="198">
        <f>$E27*餐厅成本录入!BT27</f>
        <v>0</v>
      </c>
      <c r="BU27" s="198">
        <f>$E27*餐厅成本录入!BU27</f>
        <v>0</v>
      </c>
      <c r="BV27" s="198">
        <f>$E27*餐厅成本录入!BV27</f>
        <v>0</v>
      </c>
      <c r="BW27" s="198">
        <f>$E27*餐厅成本录入!BW27</f>
        <v>0</v>
      </c>
    </row>
    <row r="28" s="178" customFormat="1" customHeight="1" spans="1:75">
      <c r="A28" s="161">
        <v>35</v>
      </c>
      <c r="B28" s="21" t="str">
        <f>餐厅成本录入!B28</f>
        <v>芸豆</v>
      </c>
      <c r="C28" s="21">
        <f>餐厅成本录入!C28</f>
        <v>0</v>
      </c>
      <c r="D28" s="21">
        <f>餐厅成本录入!D28</f>
        <v>0</v>
      </c>
      <c r="E28" s="21">
        <f>餐厅成本录入!E28</f>
        <v>3.5</v>
      </c>
      <c r="F28" s="21">
        <f>餐厅成本录入!F28</f>
        <v>0</v>
      </c>
      <c r="G28" s="21">
        <f>餐厅成本录入!G28</f>
        <v>0</v>
      </c>
      <c r="H28" s="21">
        <f>餐厅成本录入!H28</f>
        <v>18</v>
      </c>
      <c r="I28" s="21">
        <f>餐厅成本录入!I28</f>
        <v>63</v>
      </c>
      <c r="J28" s="21">
        <f>餐厅成本录入!J28</f>
        <v>18</v>
      </c>
      <c r="K28" s="21">
        <f>餐厅成本录入!K28</f>
        <v>63</v>
      </c>
      <c r="L28" s="21">
        <f>餐厅成本录入!L28</f>
        <v>0</v>
      </c>
      <c r="M28" s="21">
        <f>餐厅成本录入!M28</f>
        <v>0</v>
      </c>
      <c r="N28" s="198">
        <f>$E28*餐厅成本录入!N28</f>
        <v>0</v>
      </c>
      <c r="O28" s="198">
        <f>$E28*餐厅成本录入!O28</f>
        <v>0</v>
      </c>
      <c r="P28" s="198">
        <f>$E28*餐厅成本录入!P28</f>
        <v>21</v>
      </c>
      <c r="Q28" s="198">
        <f>$E28*餐厅成本录入!Q28</f>
        <v>21</v>
      </c>
      <c r="R28" s="198">
        <f>$E28*餐厅成本录入!R28</f>
        <v>0</v>
      </c>
      <c r="S28" s="198">
        <f>$E28*餐厅成本录入!S28</f>
        <v>0</v>
      </c>
      <c r="T28" s="198">
        <f>$E28*餐厅成本录入!T28</f>
        <v>0</v>
      </c>
      <c r="U28" s="198">
        <f>$E28*餐厅成本录入!U28</f>
        <v>0</v>
      </c>
      <c r="V28" s="198">
        <f>$E28*餐厅成本录入!V28</f>
        <v>0</v>
      </c>
      <c r="W28" s="198">
        <f>$E28*餐厅成本录入!W28</f>
        <v>0</v>
      </c>
      <c r="X28" s="198">
        <f>$E28*餐厅成本录入!X28</f>
        <v>0</v>
      </c>
      <c r="Y28" s="198">
        <f>$E28*餐厅成本录入!Y28</f>
        <v>0</v>
      </c>
      <c r="Z28" s="198">
        <f>$E28*餐厅成本录入!Z28</f>
        <v>0</v>
      </c>
      <c r="AA28" s="198">
        <f>$E28*餐厅成本录入!AA28</f>
        <v>0</v>
      </c>
      <c r="AB28" s="198">
        <f>$E28*餐厅成本录入!AB28</f>
        <v>0</v>
      </c>
      <c r="AC28" s="198">
        <f>$E28*餐厅成本录入!AC28</f>
        <v>0</v>
      </c>
      <c r="AD28" s="198">
        <f>$E28*餐厅成本录入!AD28</f>
        <v>0</v>
      </c>
      <c r="AE28" s="198">
        <f>$E28*餐厅成本录入!AE28</f>
        <v>0</v>
      </c>
      <c r="AF28" s="198">
        <f>$E28*餐厅成本录入!AF28</f>
        <v>0</v>
      </c>
      <c r="AG28" s="198">
        <f>$E28*餐厅成本录入!AG28</f>
        <v>0</v>
      </c>
      <c r="AH28" s="198">
        <f>$E28*餐厅成本录入!AH28</f>
        <v>21</v>
      </c>
      <c r="AI28" s="198">
        <f>$E28*餐厅成本录入!AI28</f>
        <v>21</v>
      </c>
      <c r="AJ28" s="198">
        <f>$E28*餐厅成本录入!AJ28</f>
        <v>0</v>
      </c>
      <c r="AK28" s="198">
        <f>$E28*餐厅成本录入!AK28</f>
        <v>0</v>
      </c>
      <c r="AL28" s="198">
        <f>$E28*餐厅成本录入!AL28</f>
        <v>21</v>
      </c>
      <c r="AM28" s="198">
        <f>$E28*餐厅成本录入!AM28</f>
        <v>21</v>
      </c>
      <c r="AN28" s="198">
        <f>$E28*餐厅成本录入!AN28</f>
        <v>0</v>
      </c>
      <c r="AO28" s="198">
        <f>$E28*餐厅成本录入!AO28</f>
        <v>0</v>
      </c>
      <c r="AP28" s="198">
        <f>$E28*餐厅成本录入!AP28</f>
        <v>0</v>
      </c>
      <c r="AQ28" s="198">
        <f>$E28*餐厅成本录入!AQ28</f>
        <v>0</v>
      </c>
      <c r="AR28" s="198">
        <f>$E28*餐厅成本录入!AR28</f>
        <v>0</v>
      </c>
      <c r="AS28" s="198">
        <f>$E28*餐厅成本录入!AS28</f>
        <v>0</v>
      </c>
      <c r="AT28" s="198">
        <f>$E28*餐厅成本录入!AT28</f>
        <v>0</v>
      </c>
      <c r="AU28" s="198">
        <f>$E28*餐厅成本录入!AU28</f>
        <v>0</v>
      </c>
      <c r="AV28" s="198">
        <f>$E28*餐厅成本录入!AV28</f>
        <v>0</v>
      </c>
      <c r="AW28" s="198">
        <f>$E28*餐厅成本录入!AW28</f>
        <v>0</v>
      </c>
      <c r="AX28" s="198">
        <f>$E28*餐厅成本录入!AX28</f>
        <v>0</v>
      </c>
      <c r="AY28" s="198">
        <f>$E28*餐厅成本录入!AY28</f>
        <v>0</v>
      </c>
      <c r="AZ28" s="198">
        <f>$E28*餐厅成本录入!AZ28</f>
        <v>0</v>
      </c>
      <c r="BA28" s="198">
        <f>$E28*餐厅成本录入!BA28</f>
        <v>0</v>
      </c>
      <c r="BB28" s="198">
        <f>$E28*餐厅成本录入!BB28</f>
        <v>0</v>
      </c>
      <c r="BC28" s="198">
        <f>$E28*餐厅成本录入!BC28</f>
        <v>0</v>
      </c>
      <c r="BD28" s="198">
        <f>$E28*餐厅成本录入!BD28</f>
        <v>0</v>
      </c>
      <c r="BE28" s="198">
        <f>$E28*餐厅成本录入!BE28</f>
        <v>0</v>
      </c>
      <c r="BF28" s="198">
        <f>$E28*餐厅成本录入!BF28</f>
        <v>0</v>
      </c>
      <c r="BG28" s="198">
        <f>$E28*餐厅成本录入!BG28</f>
        <v>0</v>
      </c>
      <c r="BH28" s="198">
        <f>$E28*餐厅成本录入!BH28</f>
        <v>0</v>
      </c>
      <c r="BI28" s="198">
        <f>$E28*餐厅成本录入!BI28</f>
        <v>0</v>
      </c>
      <c r="BJ28" s="198">
        <f>$E28*餐厅成本录入!BJ28</f>
        <v>0</v>
      </c>
      <c r="BK28" s="198">
        <f>$E28*餐厅成本录入!BK28</f>
        <v>0</v>
      </c>
      <c r="BL28" s="198">
        <f>$E28*餐厅成本录入!BL28</f>
        <v>0</v>
      </c>
      <c r="BM28" s="198">
        <f>$E28*餐厅成本录入!BM28</f>
        <v>0</v>
      </c>
      <c r="BN28" s="198">
        <f>$E28*餐厅成本录入!BN28</f>
        <v>0</v>
      </c>
      <c r="BO28" s="198">
        <f>$E28*餐厅成本录入!BO28</f>
        <v>0</v>
      </c>
      <c r="BP28" s="198">
        <f>$E28*餐厅成本录入!BP28</f>
        <v>0</v>
      </c>
      <c r="BQ28" s="198">
        <f>$E28*餐厅成本录入!BQ28</f>
        <v>0</v>
      </c>
      <c r="BR28" s="198">
        <f>$E28*餐厅成本录入!BR28</f>
        <v>0</v>
      </c>
      <c r="BS28" s="198">
        <f>$E28*餐厅成本录入!BS28</f>
        <v>0</v>
      </c>
      <c r="BT28" s="198">
        <f>$E28*餐厅成本录入!BT28</f>
        <v>0</v>
      </c>
      <c r="BU28" s="198">
        <f>$E28*餐厅成本录入!BU28</f>
        <v>0</v>
      </c>
      <c r="BV28" s="198">
        <f>$E28*餐厅成本录入!BV28</f>
        <v>0</v>
      </c>
      <c r="BW28" s="198">
        <f>$E28*餐厅成本录入!BW28</f>
        <v>0</v>
      </c>
    </row>
    <row r="29" s="178" customFormat="1" customHeight="1" spans="1:75">
      <c r="A29" s="161">
        <v>40</v>
      </c>
      <c r="B29" s="21" t="str">
        <f>餐厅成本录入!B29</f>
        <v>大蒜肉</v>
      </c>
      <c r="C29" s="21">
        <f>餐厅成本录入!C29</f>
        <v>0</v>
      </c>
      <c r="D29" s="21">
        <f>餐厅成本录入!D29</f>
        <v>0</v>
      </c>
      <c r="E29" s="21">
        <f>餐厅成本录入!E29</f>
        <v>5</v>
      </c>
      <c r="F29" s="21">
        <f>餐厅成本录入!F29</f>
        <v>0</v>
      </c>
      <c r="G29" s="21">
        <f>餐厅成本录入!G29</f>
        <v>0</v>
      </c>
      <c r="H29" s="21">
        <f>餐厅成本录入!H29</f>
        <v>18</v>
      </c>
      <c r="I29" s="21">
        <f>餐厅成本录入!I29</f>
        <v>90</v>
      </c>
      <c r="J29" s="21">
        <f>餐厅成本录入!J29</f>
        <v>18</v>
      </c>
      <c r="K29" s="21">
        <f>餐厅成本录入!K29</f>
        <v>90</v>
      </c>
      <c r="L29" s="21">
        <f>餐厅成本录入!L29</f>
        <v>0</v>
      </c>
      <c r="M29" s="21">
        <f>餐厅成本录入!M29</f>
        <v>0</v>
      </c>
      <c r="N29" s="198">
        <f>$E29*餐厅成本录入!N29</f>
        <v>0</v>
      </c>
      <c r="O29" s="198">
        <f>$E29*餐厅成本录入!O29</f>
        <v>0</v>
      </c>
      <c r="P29" s="198">
        <f>$E29*餐厅成本录入!P29</f>
        <v>0</v>
      </c>
      <c r="Q29" s="198">
        <f>$E29*餐厅成本录入!Q29</f>
        <v>0</v>
      </c>
      <c r="R29" s="198">
        <f>$E29*餐厅成本录入!R29</f>
        <v>0</v>
      </c>
      <c r="S29" s="198">
        <f>$E29*餐厅成本录入!S29</f>
        <v>0</v>
      </c>
      <c r="T29" s="198">
        <f>$E29*餐厅成本录入!T29</f>
        <v>0</v>
      </c>
      <c r="U29" s="198">
        <f>$E29*餐厅成本录入!U29</f>
        <v>0</v>
      </c>
      <c r="V29" s="198">
        <f>$E29*餐厅成本录入!V29</f>
        <v>30</v>
      </c>
      <c r="W29" s="198">
        <f>$E29*餐厅成本录入!W29</f>
        <v>30</v>
      </c>
      <c r="X29" s="198">
        <f>$E29*餐厅成本录入!X29</f>
        <v>0</v>
      </c>
      <c r="Y29" s="198">
        <f>$E29*餐厅成本录入!Y29</f>
        <v>0</v>
      </c>
      <c r="Z29" s="198">
        <f>$E29*餐厅成本录入!Z29</f>
        <v>0</v>
      </c>
      <c r="AA29" s="198">
        <f>$E29*餐厅成本录入!AA29</f>
        <v>0</v>
      </c>
      <c r="AB29" s="198">
        <f>$E29*餐厅成本录入!AB29</f>
        <v>0</v>
      </c>
      <c r="AC29" s="198">
        <f>$E29*餐厅成本录入!AC29</f>
        <v>0</v>
      </c>
      <c r="AD29" s="198">
        <f>$E29*餐厅成本录入!AD29</f>
        <v>0</v>
      </c>
      <c r="AE29" s="198">
        <f>$E29*餐厅成本录入!AE29</f>
        <v>0</v>
      </c>
      <c r="AF29" s="198">
        <f>$E29*餐厅成本录入!AF29</f>
        <v>0</v>
      </c>
      <c r="AG29" s="198">
        <f>$E29*餐厅成本录入!AG29</f>
        <v>0</v>
      </c>
      <c r="AH29" s="198">
        <f>$E29*餐厅成本录入!AH29</f>
        <v>0</v>
      </c>
      <c r="AI29" s="198">
        <f>$E29*餐厅成本录入!AI29</f>
        <v>0</v>
      </c>
      <c r="AJ29" s="198">
        <f>$E29*餐厅成本录入!AJ29</f>
        <v>0</v>
      </c>
      <c r="AK29" s="198">
        <f>$E29*餐厅成本录入!AK29</f>
        <v>0</v>
      </c>
      <c r="AL29" s="198">
        <f>$E29*餐厅成本录入!AL29</f>
        <v>30</v>
      </c>
      <c r="AM29" s="198">
        <f>$E29*餐厅成本录入!AM29</f>
        <v>30</v>
      </c>
      <c r="AN29" s="198">
        <f>$E29*餐厅成本录入!AN29</f>
        <v>0</v>
      </c>
      <c r="AO29" s="198">
        <f>$E29*餐厅成本录入!AO29</f>
        <v>0</v>
      </c>
      <c r="AP29" s="198">
        <f>$E29*餐厅成本录入!AP29</f>
        <v>0</v>
      </c>
      <c r="AQ29" s="198">
        <f>$E29*餐厅成本录入!AQ29</f>
        <v>0</v>
      </c>
      <c r="AR29" s="198">
        <f>$E29*餐厅成本录入!AR29</f>
        <v>0</v>
      </c>
      <c r="AS29" s="198">
        <f>$E29*餐厅成本录入!AS29</f>
        <v>0</v>
      </c>
      <c r="AT29" s="198">
        <f>$E29*餐厅成本录入!AT29</f>
        <v>0</v>
      </c>
      <c r="AU29" s="198">
        <f>$E29*餐厅成本录入!AU29</f>
        <v>0</v>
      </c>
      <c r="AV29" s="198">
        <f>$E29*餐厅成本录入!AV29</f>
        <v>0</v>
      </c>
      <c r="AW29" s="198">
        <f>$E29*餐厅成本录入!AW29</f>
        <v>0</v>
      </c>
      <c r="AX29" s="198">
        <f>$E29*餐厅成本录入!AX29</f>
        <v>0</v>
      </c>
      <c r="AY29" s="198">
        <f>$E29*餐厅成本录入!AY29</f>
        <v>0</v>
      </c>
      <c r="AZ29" s="198">
        <f>$E29*餐厅成本录入!AZ29</f>
        <v>0</v>
      </c>
      <c r="BA29" s="198">
        <f>$E29*餐厅成本录入!BA29</f>
        <v>0</v>
      </c>
      <c r="BB29" s="198">
        <f>$E29*餐厅成本录入!BB29</f>
        <v>0</v>
      </c>
      <c r="BC29" s="198">
        <f>$E29*餐厅成本录入!BC29</f>
        <v>0</v>
      </c>
      <c r="BD29" s="198">
        <f>$E29*餐厅成本录入!BD29</f>
        <v>0</v>
      </c>
      <c r="BE29" s="198">
        <f>$E29*餐厅成本录入!BE29</f>
        <v>0</v>
      </c>
      <c r="BF29" s="198">
        <f>$E29*餐厅成本录入!BF29</f>
        <v>30</v>
      </c>
      <c r="BG29" s="198">
        <f>$E29*餐厅成本录入!BG29</f>
        <v>30</v>
      </c>
      <c r="BH29" s="198">
        <f>$E29*餐厅成本录入!BH29</f>
        <v>0</v>
      </c>
      <c r="BI29" s="198">
        <f>$E29*餐厅成本录入!BI29</f>
        <v>0</v>
      </c>
      <c r="BJ29" s="198">
        <f>$E29*餐厅成本录入!BJ29</f>
        <v>0</v>
      </c>
      <c r="BK29" s="198">
        <f>$E29*餐厅成本录入!BK29</f>
        <v>0</v>
      </c>
      <c r="BL29" s="198">
        <f>$E29*餐厅成本录入!BL29</f>
        <v>0</v>
      </c>
      <c r="BM29" s="198">
        <f>$E29*餐厅成本录入!BM29</f>
        <v>0</v>
      </c>
      <c r="BN29" s="198">
        <f>$E29*餐厅成本录入!BN29</f>
        <v>0</v>
      </c>
      <c r="BO29" s="198">
        <f>$E29*餐厅成本录入!BO29</f>
        <v>0</v>
      </c>
      <c r="BP29" s="198">
        <f>$E29*餐厅成本录入!BP29</f>
        <v>0</v>
      </c>
      <c r="BQ29" s="198">
        <f>$E29*餐厅成本录入!BQ29</f>
        <v>0</v>
      </c>
      <c r="BR29" s="198">
        <f>$E29*餐厅成本录入!BR29</f>
        <v>0</v>
      </c>
      <c r="BS29" s="198">
        <f>$E29*餐厅成本录入!BS29</f>
        <v>0</v>
      </c>
      <c r="BT29" s="198">
        <f>$E29*餐厅成本录入!BT29</f>
        <v>0</v>
      </c>
      <c r="BU29" s="198">
        <f>$E29*餐厅成本录入!BU29</f>
        <v>0</v>
      </c>
      <c r="BV29" s="198">
        <f>$E29*餐厅成本录入!BV29</f>
        <v>0</v>
      </c>
      <c r="BW29" s="198">
        <f>$E29*餐厅成本录入!BW29</f>
        <v>0</v>
      </c>
    </row>
    <row r="30" s="178" customFormat="1" customHeight="1" spans="1:75">
      <c r="A30" s="161">
        <v>41</v>
      </c>
      <c r="B30" s="21" t="str">
        <f>餐厅成本录入!B30</f>
        <v>苦瓜</v>
      </c>
      <c r="C30" s="21">
        <f>餐厅成本录入!C30</f>
        <v>0</v>
      </c>
      <c r="D30" s="21">
        <f>餐厅成本录入!D30</f>
        <v>0</v>
      </c>
      <c r="E30" s="21">
        <f>餐厅成本录入!E30</f>
        <v>4</v>
      </c>
      <c r="F30" s="21">
        <f>餐厅成本录入!F30</f>
        <v>0</v>
      </c>
      <c r="G30" s="21">
        <f>餐厅成本录入!G30</f>
        <v>0</v>
      </c>
      <c r="H30" s="21">
        <f>餐厅成本录入!H30</f>
        <v>0</v>
      </c>
      <c r="I30" s="21">
        <f>餐厅成本录入!I30</f>
        <v>0</v>
      </c>
      <c r="J30" s="21">
        <f>餐厅成本录入!J30</f>
        <v>0</v>
      </c>
      <c r="K30" s="21">
        <f>餐厅成本录入!K30</f>
        <v>0</v>
      </c>
      <c r="L30" s="21">
        <f>餐厅成本录入!L30</f>
        <v>0</v>
      </c>
      <c r="M30" s="21">
        <f>餐厅成本录入!M30</f>
        <v>0</v>
      </c>
      <c r="N30" s="198">
        <f>$E30*餐厅成本录入!N30</f>
        <v>0</v>
      </c>
      <c r="O30" s="198">
        <f>$E30*餐厅成本录入!O30</f>
        <v>0</v>
      </c>
      <c r="P30" s="198">
        <f>$E30*餐厅成本录入!P30</f>
        <v>0</v>
      </c>
      <c r="Q30" s="198">
        <f>$E30*餐厅成本录入!Q30</f>
        <v>0</v>
      </c>
      <c r="R30" s="198">
        <f>$E30*餐厅成本录入!R30</f>
        <v>0</v>
      </c>
      <c r="S30" s="198">
        <f>$E30*餐厅成本录入!S30</f>
        <v>0</v>
      </c>
      <c r="T30" s="198">
        <f>$E30*餐厅成本录入!T30</f>
        <v>0</v>
      </c>
      <c r="U30" s="198">
        <f>$E30*餐厅成本录入!U30</f>
        <v>0</v>
      </c>
      <c r="V30" s="198">
        <f>$E30*餐厅成本录入!V30</f>
        <v>0</v>
      </c>
      <c r="W30" s="198">
        <f>$E30*餐厅成本录入!W30</f>
        <v>0</v>
      </c>
      <c r="X30" s="198">
        <f>$E30*餐厅成本录入!X30</f>
        <v>0</v>
      </c>
      <c r="Y30" s="198">
        <f>$E30*餐厅成本录入!Y30</f>
        <v>0</v>
      </c>
      <c r="Z30" s="198">
        <f>$E30*餐厅成本录入!Z30</f>
        <v>0</v>
      </c>
      <c r="AA30" s="198">
        <f>$E30*餐厅成本录入!AA30</f>
        <v>0</v>
      </c>
      <c r="AB30" s="198">
        <f>$E30*餐厅成本录入!AB30</f>
        <v>0</v>
      </c>
      <c r="AC30" s="198">
        <f>$E30*餐厅成本录入!AC30</f>
        <v>0</v>
      </c>
      <c r="AD30" s="198">
        <f>$E30*餐厅成本录入!AD30</f>
        <v>0</v>
      </c>
      <c r="AE30" s="198">
        <f>$E30*餐厅成本录入!AE30</f>
        <v>0</v>
      </c>
      <c r="AF30" s="198">
        <f>$E30*餐厅成本录入!AF30</f>
        <v>0</v>
      </c>
      <c r="AG30" s="198">
        <f>$E30*餐厅成本录入!AG30</f>
        <v>0</v>
      </c>
      <c r="AH30" s="198">
        <f>$E30*餐厅成本录入!AH30</f>
        <v>0</v>
      </c>
      <c r="AI30" s="198">
        <f>$E30*餐厅成本录入!AI30</f>
        <v>0</v>
      </c>
      <c r="AJ30" s="198">
        <f>$E30*餐厅成本录入!AJ30</f>
        <v>0</v>
      </c>
      <c r="AK30" s="198">
        <f>$E30*餐厅成本录入!AK30</f>
        <v>0</v>
      </c>
      <c r="AL30" s="198">
        <f>$E30*餐厅成本录入!AL30</f>
        <v>0</v>
      </c>
      <c r="AM30" s="198">
        <f>$E30*餐厅成本录入!AM30</f>
        <v>0</v>
      </c>
      <c r="AN30" s="198">
        <f>$E30*餐厅成本录入!AN30</f>
        <v>0</v>
      </c>
      <c r="AO30" s="198">
        <f>$E30*餐厅成本录入!AO30</f>
        <v>0</v>
      </c>
      <c r="AP30" s="198">
        <f>$E30*餐厅成本录入!AP30</f>
        <v>0</v>
      </c>
      <c r="AQ30" s="198">
        <f>$E30*餐厅成本录入!AQ30</f>
        <v>0</v>
      </c>
      <c r="AR30" s="198">
        <f>$E30*餐厅成本录入!AR30</f>
        <v>0</v>
      </c>
      <c r="AS30" s="198">
        <f>$E30*餐厅成本录入!AS30</f>
        <v>0</v>
      </c>
      <c r="AT30" s="198">
        <f>$E30*餐厅成本录入!AT30</f>
        <v>0</v>
      </c>
      <c r="AU30" s="198">
        <f>$E30*餐厅成本录入!AU30</f>
        <v>0</v>
      </c>
      <c r="AV30" s="198">
        <f>$E30*餐厅成本录入!AV30</f>
        <v>0</v>
      </c>
      <c r="AW30" s="198">
        <f>$E30*餐厅成本录入!AW30</f>
        <v>0</v>
      </c>
      <c r="AX30" s="198">
        <f>$E30*餐厅成本录入!AX30</f>
        <v>0</v>
      </c>
      <c r="AY30" s="198">
        <f>$E30*餐厅成本录入!AY30</f>
        <v>0</v>
      </c>
      <c r="AZ30" s="198">
        <f>$E30*餐厅成本录入!AZ30</f>
        <v>0</v>
      </c>
      <c r="BA30" s="198">
        <f>$E30*餐厅成本录入!BA30</f>
        <v>0</v>
      </c>
      <c r="BB30" s="198">
        <f>$E30*餐厅成本录入!BB30</f>
        <v>0</v>
      </c>
      <c r="BC30" s="198">
        <f>$E30*餐厅成本录入!BC30</f>
        <v>0</v>
      </c>
      <c r="BD30" s="198">
        <f>$E30*餐厅成本录入!BD30</f>
        <v>0</v>
      </c>
      <c r="BE30" s="198">
        <f>$E30*餐厅成本录入!BE30</f>
        <v>0</v>
      </c>
      <c r="BF30" s="198">
        <f>$E30*餐厅成本录入!BF30</f>
        <v>0</v>
      </c>
      <c r="BG30" s="198">
        <f>$E30*餐厅成本录入!BG30</f>
        <v>0</v>
      </c>
      <c r="BH30" s="198">
        <f>$E30*餐厅成本录入!BH30</f>
        <v>0</v>
      </c>
      <c r="BI30" s="198">
        <f>$E30*餐厅成本录入!BI30</f>
        <v>0</v>
      </c>
      <c r="BJ30" s="198">
        <f>$E30*餐厅成本录入!BJ30</f>
        <v>0</v>
      </c>
      <c r="BK30" s="198">
        <f>$E30*餐厅成本录入!BK30</f>
        <v>0</v>
      </c>
      <c r="BL30" s="198">
        <f>$E30*餐厅成本录入!BL30</f>
        <v>0</v>
      </c>
      <c r="BM30" s="198">
        <f>$E30*餐厅成本录入!BM30</f>
        <v>0</v>
      </c>
      <c r="BN30" s="198">
        <f>$E30*餐厅成本录入!BN30</f>
        <v>0</v>
      </c>
      <c r="BO30" s="198">
        <f>$E30*餐厅成本录入!BO30</f>
        <v>0</v>
      </c>
      <c r="BP30" s="198">
        <f>$E30*餐厅成本录入!BP30</f>
        <v>0</v>
      </c>
      <c r="BQ30" s="198">
        <f>$E30*餐厅成本录入!BQ30</f>
        <v>0</v>
      </c>
      <c r="BR30" s="198">
        <f>$E30*餐厅成本录入!BR30</f>
        <v>0</v>
      </c>
      <c r="BS30" s="198">
        <f>$E30*餐厅成本录入!BS30</f>
        <v>0</v>
      </c>
      <c r="BT30" s="198">
        <f>$E30*餐厅成本录入!BT30</f>
        <v>0</v>
      </c>
      <c r="BU30" s="198">
        <f>$E30*餐厅成本录入!BU30</f>
        <v>0</v>
      </c>
      <c r="BV30" s="198">
        <f>$E30*餐厅成本录入!BV30</f>
        <v>0</v>
      </c>
      <c r="BW30" s="198">
        <f>$E30*餐厅成本录入!BW30</f>
        <v>0</v>
      </c>
    </row>
    <row r="31" s="178" customFormat="1" customHeight="1" spans="1:75">
      <c r="A31" s="161">
        <v>42</v>
      </c>
      <c r="B31" s="21" t="str">
        <f>餐厅成本录入!B31</f>
        <v>茄子</v>
      </c>
      <c r="C31" s="21">
        <f>餐厅成本录入!C31</f>
        <v>0</v>
      </c>
      <c r="D31" s="21">
        <f>餐厅成本录入!D31</f>
        <v>0</v>
      </c>
      <c r="E31" s="21">
        <f>餐厅成本录入!E31</f>
        <v>2.8</v>
      </c>
      <c r="F31" s="21">
        <f>餐厅成本录入!F31</f>
        <v>0</v>
      </c>
      <c r="G31" s="21">
        <f>餐厅成本录入!G31</f>
        <v>0</v>
      </c>
      <c r="H31" s="21">
        <f>餐厅成本录入!H31</f>
        <v>31.5</v>
      </c>
      <c r="I31" s="21">
        <f>餐厅成本录入!I31</f>
        <v>88.2</v>
      </c>
      <c r="J31" s="21">
        <f>餐厅成本录入!J31</f>
        <v>31.5</v>
      </c>
      <c r="K31" s="21">
        <f>餐厅成本录入!K31</f>
        <v>88.2</v>
      </c>
      <c r="L31" s="21">
        <f>餐厅成本录入!L31</f>
        <v>0</v>
      </c>
      <c r="M31" s="21">
        <f>餐厅成本录入!M31</f>
        <v>0</v>
      </c>
      <c r="N31" s="198">
        <f>$E31*餐厅成本录入!N31</f>
        <v>0</v>
      </c>
      <c r="O31" s="198">
        <f>$E31*餐厅成本录入!O31</f>
        <v>0</v>
      </c>
      <c r="P31" s="198">
        <f>$E31*餐厅成本录入!P31</f>
        <v>16.8</v>
      </c>
      <c r="Q31" s="198">
        <f>$E31*餐厅成本录入!Q31</f>
        <v>16.8</v>
      </c>
      <c r="R31" s="198">
        <f>$E31*餐厅成本录入!R31</f>
        <v>0</v>
      </c>
      <c r="S31" s="198">
        <f>$E31*餐厅成本录入!S31</f>
        <v>0</v>
      </c>
      <c r="T31" s="198">
        <f>$E31*餐厅成本录入!T31</f>
        <v>0</v>
      </c>
      <c r="U31" s="198">
        <f>$E31*餐厅成本录入!U31</f>
        <v>0</v>
      </c>
      <c r="V31" s="198">
        <f>$E31*餐厅成本录入!V31</f>
        <v>0</v>
      </c>
      <c r="W31" s="198">
        <f>$E31*餐厅成本录入!W31</f>
        <v>0</v>
      </c>
      <c r="X31" s="198">
        <f>$E31*餐厅成本录入!X31</f>
        <v>0</v>
      </c>
      <c r="Y31" s="198">
        <f>$E31*餐厅成本录入!Y31</f>
        <v>0</v>
      </c>
      <c r="Z31" s="198">
        <f>$E31*餐厅成本录入!Z31</f>
        <v>0</v>
      </c>
      <c r="AA31" s="198">
        <f>$E31*餐厅成本录入!AA31</f>
        <v>0</v>
      </c>
      <c r="AB31" s="198">
        <f>$E31*餐厅成本录入!AB31</f>
        <v>0</v>
      </c>
      <c r="AC31" s="198">
        <f>$E31*餐厅成本录入!AC31</f>
        <v>0</v>
      </c>
      <c r="AD31" s="198">
        <f>$E31*餐厅成本录入!AD31</f>
        <v>0</v>
      </c>
      <c r="AE31" s="198">
        <f>$E31*餐厅成本录入!AE31</f>
        <v>0</v>
      </c>
      <c r="AF31" s="198">
        <f>$E31*餐厅成本录入!AF31</f>
        <v>0</v>
      </c>
      <c r="AG31" s="198">
        <f>$E31*餐厅成本录入!AG31</f>
        <v>0</v>
      </c>
      <c r="AH31" s="198">
        <f>$E31*餐厅成本录入!AH31</f>
        <v>17.64</v>
      </c>
      <c r="AI31" s="198">
        <f>$E31*餐厅成本录入!AI31</f>
        <v>17.64</v>
      </c>
      <c r="AJ31" s="198">
        <f>$E31*餐厅成本录入!AJ31</f>
        <v>0</v>
      </c>
      <c r="AK31" s="198">
        <f>$E31*餐厅成本录入!AK31</f>
        <v>0</v>
      </c>
      <c r="AL31" s="198">
        <f>$E31*餐厅成本录入!AL31</f>
        <v>0</v>
      </c>
      <c r="AM31" s="198">
        <f>$E31*餐厅成本录入!AM31</f>
        <v>0</v>
      </c>
      <c r="AN31" s="198">
        <f>$E31*餐厅成本录入!AN31</f>
        <v>0</v>
      </c>
      <c r="AO31" s="198">
        <f>$E31*餐厅成本录入!AO31</f>
        <v>0</v>
      </c>
      <c r="AP31" s="198">
        <f>$E31*餐厅成本录入!AP31</f>
        <v>0</v>
      </c>
      <c r="AQ31" s="198">
        <f>$E31*餐厅成本录入!AQ31</f>
        <v>0</v>
      </c>
      <c r="AR31" s="198">
        <f>$E31*餐厅成本录入!AR31</f>
        <v>0</v>
      </c>
      <c r="AS31" s="198">
        <f>$E31*餐厅成本录入!AS31</f>
        <v>0</v>
      </c>
      <c r="AT31" s="198">
        <f>$E31*餐厅成本录入!AT31</f>
        <v>0</v>
      </c>
      <c r="AU31" s="198">
        <f>$E31*餐厅成本录入!AU31</f>
        <v>0</v>
      </c>
      <c r="AV31" s="198">
        <f>$E31*餐厅成本录入!AV31</f>
        <v>0</v>
      </c>
      <c r="AW31" s="198">
        <f>$E31*餐厅成本录入!AW31</f>
        <v>0</v>
      </c>
      <c r="AX31" s="198">
        <f>$E31*餐厅成本录入!AX31</f>
        <v>18.2</v>
      </c>
      <c r="AY31" s="198">
        <f>$E31*餐厅成本录入!AY31</f>
        <v>18.2</v>
      </c>
      <c r="AZ31" s="198">
        <f>$E31*餐厅成本录入!AZ31</f>
        <v>0</v>
      </c>
      <c r="BA31" s="198">
        <f>$E31*餐厅成本录入!BA31</f>
        <v>0</v>
      </c>
      <c r="BB31" s="198">
        <f>$E31*餐厅成本录入!BB31</f>
        <v>18.76</v>
      </c>
      <c r="BC31" s="198">
        <f>$E31*餐厅成本录入!BC31</f>
        <v>18.76</v>
      </c>
      <c r="BD31" s="198">
        <f>$E31*餐厅成本录入!BD31</f>
        <v>0</v>
      </c>
      <c r="BE31" s="198">
        <f>$E31*餐厅成本录入!BE31</f>
        <v>0</v>
      </c>
      <c r="BF31" s="198">
        <f>$E31*餐厅成本录入!BF31</f>
        <v>16.8</v>
      </c>
      <c r="BG31" s="198">
        <f>$E31*餐厅成本录入!BG31</f>
        <v>16.8</v>
      </c>
      <c r="BH31" s="198">
        <f>$E31*餐厅成本录入!BH31</f>
        <v>0</v>
      </c>
      <c r="BI31" s="198">
        <f>$E31*餐厅成本录入!BI31</f>
        <v>0</v>
      </c>
      <c r="BJ31" s="198">
        <f>$E31*餐厅成本录入!BJ31</f>
        <v>0</v>
      </c>
      <c r="BK31" s="198">
        <f>$E31*餐厅成本录入!BK31</f>
        <v>0</v>
      </c>
      <c r="BL31" s="198">
        <f>$E31*餐厅成本录入!BL31</f>
        <v>0</v>
      </c>
      <c r="BM31" s="198">
        <f>$E31*餐厅成本录入!BM31</f>
        <v>0</v>
      </c>
      <c r="BN31" s="198">
        <f>$E31*餐厅成本录入!BN31</f>
        <v>0</v>
      </c>
      <c r="BO31" s="198">
        <f>$E31*餐厅成本录入!BO31</f>
        <v>0</v>
      </c>
      <c r="BP31" s="198">
        <f>$E31*餐厅成本录入!BP31</f>
        <v>0</v>
      </c>
      <c r="BQ31" s="198">
        <f>$E31*餐厅成本录入!BQ31</f>
        <v>0</v>
      </c>
      <c r="BR31" s="198">
        <f>$E31*餐厅成本录入!BR31</f>
        <v>0</v>
      </c>
      <c r="BS31" s="198">
        <f>$E31*餐厅成本录入!BS31</f>
        <v>0</v>
      </c>
      <c r="BT31" s="198">
        <f>$E31*餐厅成本录入!BT31</f>
        <v>0</v>
      </c>
      <c r="BU31" s="198">
        <f>$E31*餐厅成本录入!BU31</f>
        <v>0</v>
      </c>
      <c r="BV31" s="198">
        <f>$E31*餐厅成本录入!BV31</f>
        <v>0</v>
      </c>
      <c r="BW31" s="198">
        <f>$E31*餐厅成本录入!BW31</f>
        <v>0</v>
      </c>
    </row>
    <row r="32" s="178" customFormat="1" customHeight="1" spans="1:75">
      <c r="A32" s="161">
        <v>43</v>
      </c>
      <c r="B32" s="21" t="str">
        <f>餐厅成本录入!B32</f>
        <v>香菇</v>
      </c>
      <c r="C32" s="21">
        <f>餐厅成本录入!C32</f>
        <v>0</v>
      </c>
      <c r="D32" s="21">
        <f>餐厅成本录入!D32</f>
        <v>0</v>
      </c>
      <c r="E32" s="21">
        <f>餐厅成本录入!E32</f>
        <v>4.5</v>
      </c>
      <c r="F32" s="21">
        <f>餐厅成本录入!F32</f>
        <v>0</v>
      </c>
      <c r="G32" s="21">
        <f>餐厅成本录入!G32</f>
        <v>0</v>
      </c>
      <c r="H32" s="21">
        <f>餐厅成本录入!H32</f>
        <v>21.2</v>
      </c>
      <c r="I32" s="21">
        <f>餐厅成本录入!I32</f>
        <v>95.4</v>
      </c>
      <c r="J32" s="21">
        <f>餐厅成本录入!J32</f>
        <v>21.2</v>
      </c>
      <c r="K32" s="21">
        <f>餐厅成本录入!K32</f>
        <v>95.4</v>
      </c>
      <c r="L32" s="21">
        <f>餐厅成本录入!L32</f>
        <v>0</v>
      </c>
      <c r="M32" s="21">
        <f>餐厅成本录入!M32</f>
        <v>0</v>
      </c>
      <c r="N32" s="198">
        <f>$E32*餐厅成本录入!N32</f>
        <v>0</v>
      </c>
      <c r="O32" s="198">
        <f>$E32*餐厅成本录入!O32</f>
        <v>0</v>
      </c>
      <c r="P32" s="198">
        <f>$E32*餐厅成本录入!P32</f>
        <v>13.95</v>
      </c>
      <c r="Q32" s="198">
        <f>$E32*餐厅成本录入!Q32</f>
        <v>13.95</v>
      </c>
      <c r="R32" s="198">
        <f>$E32*餐厅成本录入!R32</f>
        <v>0</v>
      </c>
      <c r="S32" s="198">
        <f>$E32*餐厅成本录入!S32</f>
        <v>0</v>
      </c>
      <c r="T32" s="198">
        <f>$E32*餐厅成本录入!T32</f>
        <v>0</v>
      </c>
      <c r="U32" s="198">
        <f>$E32*餐厅成本录入!U32</f>
        <v>0</v>
      </c>
      <c r="V32" s="198">
        <f>$E32*餐厅成本录入!V32</f>
        <v>13.5</v>
      </c>
      <c r="W32" s="198">
        <f>$E32*餐厅成本录入!W32</f>
        <v>13.5</v>
      </c>
      <c r="X32" s="198">
        <f>$E32*餐厅成本录入!X32</f>
        <v>0</v>
      </c>
      <c r="Y32" s="198">
        <f>$E32*餐厅成本录入!Y32</f>
        <v>0</v>
      </c>
      <c r="Z32" s="198">
        <f>$E32*餐厅成本录入!Z32</f>
        <v>0</v>
      </c>
      <c r="AA32" s="198">
        <f>$E32*餐厅成本录入!AA32</f>
        <v>0</v>
      </c>
      <c r="AB32" s="198">
        <f>$E32*餐厅成本录入!AB32</f>
        <v>13.95</v>
      </c>
      <c r="AC32" s="198">
        <f>$E32*餐厅成本录入!AC32</f>
        <v>13.95</v>
      </c>
      <c r="AD32" s="198">
        <f>$E32*餐厅成本录入!AD32</f>
        <v>0</v>
      </c>
      <c r="AE32" s="198">
        <f>$E32*餐厅成本录入!AE32</f>
        <v>0</v>
      </c>
      <c r="AF32" s="198">
        <f>$E32*餐厅成本录入!AF32</f>
        <v>0</v>
      </c>
      <c r="AG32" s="198">
        <f>$E32*餐厅成本录入!AG32</f>
        <v>0</v>
      </c>
      <c r="AH32" s="198">
        <f>$E32*餐厅成本录入!AH32</f>
        <v>0</v>
      </c>
      <c r="AI32" s="198">
        <f>$E32*餐厅成本录入!AI32</f>
        <v>0</v>
      </c>
      <c r="AJ32" s="198">
        <f>$E32*餐厅成本录入!AJ32</f>
        <v>0</v>
      </c>
      <c r="AK32" s="198">
        <f>$E32*餐厅成本录入!AK32</f>
        <v>0</v>
      </c>
      <c r="AL32" s="198">
        <f>$E32*餐厅成本录入!AL32</f>
        <v>13.5</v>
      </c>
      <c r="AM32" s="198">
        <f>$E32*餐厅成本录入!AM32</f>
        <v>13.5</v>
      </c>
      <c r="AN32" s="198">
        <f>$E32*餐厅成本录入!AN32</f>
        <v>0</v>
      </c>
      <c r="AO32" s="198">
        <f>$E32*餐厅成本录入!AO32</f>
        <v>0</v>
      </c>
      <c r="AP32" s="198">
        <f>$E32*餐厅成本录入!AP32</f>
        <v>0</v>
      </c>
      <c r="AQ32" s="198">
        <f>$E32*餐厅成本录入!AQ32</f>
        <v>0</v>
      </c>
      <c r="AR32" s="198">
        <f>$E32*餐厅成本录入!AR32</f>
        <v>0</v>
      </c>
      <c r="AS32" s="198">
        <f>$E32*餐厅成本录入!AS32</f>
        <v>0</v>
      </c>
      <c r="AT32" s="198">
        <f>$E32*餐厅成本录入!AT32</f>
        <v>0</v>
      </c>
      <c r="AU32" s="198">
        <f>$E32*餐厅成本录入!AU32</f>
        <v>0</v>
      </c>
      <c r="AV32" s="198">
        <f>$E32*餐厅成本录入!AV32</f>
        <v>0</v>
      </c>
      <c r="AW32" s="198">
        <f>$E32*餐厅成本录入!AW32</f>
        <v>0</v>
      </c>
      <c r="AX32" s="198">
        <f>$E32*餐厅成本录入!AX32</f>
        <v>0</v>
      </c>
      <c r="AY32" s="198">
        <f>$E32*餐厅成本录入!AY32</f>
        <v>0</v>
      </c>
      <c r="AZ32" s="198">
        <f>$E32*餐厅成本录入!AZ32</f>
        <v>0</v>
      </c>
      <c r="BA32" s="198">
        <f>$E32*餐厅成本录入!BA32</f>
        <v>0</v>
      </c>
      <c r="BB32" s="198">
        <f>$E32*餐厅成本录入!BB32</f>
        <v>0</v>
      </c>
      <c r="BC32" s="198">
        <f>$E32*餐厅成本录入!BC32</f>
        <v>0</v>
      </c>
      <c r="BD32" s="198">
        <f>$E32*餐厅成本录入!BD32</f>
        <v>0</v>
      </c>
      <c r="BE32" s="198">
        <f>$E32*餐厅成本录入!BE32</f>
        <v>0</v>
      </c>
      <c r="BF32" s="198">
        <f>$E32*餐厅成本录入!BF32</f>
        <v>13.5</v>
      </c>
      <c r="BG32" s="198">
        <f>$E32*餐厅成本录入!BG32</f>
        <v>13.5</v>
      </c>
      <c r="BH32" s="198">
        <f>$E32*餐厅成本录入!BH32</f>
        <v>0</v>
      </c>
      <c r="BI32" s="198">
        <f>$E32*餐厅成本录入!BI32</f>
        <v>0</v>
      </c>
      <c r="BJ32" s="198">
        <f>$E32*餐厅成本录入!BJ32</f>
        <v>0</v>
      </c>
      <c r="BK32" s="198">
        <f>$E32*餐厅成本录入!BK32</f>
        <v>0</v>
      </c>
      <c r="BL32" s="198">
        <f>$E32*餐厅成本录入!BL32</f>
        <v>27</v>
      </c>
      <c r="BM32" s="198">
        <f>$E32*餐厅成本录入!BM32</f>
        <v>27</v>
      </c>
      <c r="BN32" s="198">
        <f>$E32*餐厅成本录入!BN32</f>
        <v>0</v>
      </c>
      <c r="BO32" s="198">
        <f>$E32*餐厅成本录入!BO32</f>
        <v>0</v>
      </c>
      <c r="BP32" s="198">
        <f>$E32*餐厅成本录入!BP32</f>
        <v>0</v>
      </c>
      <c r="BQ32" s="198">
        <f>$E32*餐厅成本录入!BQ32</f>
        <v>0</v>
      </c>
      <c r="BR32" s="198">
        <f>$E32*餐厅成本录入!BR32</f>
        <v>0</v>
      </c>
      <c r="BS32" s="198">
        <f>$E32*餐厅成本录入!BS32</f>
        <v>0</v>
      </c>
      <c r="BT32" s="198">
        <f>$E32*餐厅成本录入!BT32</f>
        <v>0</v>
      </c>
      <c r="BU32" s="198">
        <f>$E32*餐厅成本录入!BU32</f>
        <v>0</v>
      </c>
      <c r="BV32" s="198">
        <f>$E32*餐厅成本录入!BV32</f>
        <v>0</v>
      </c>
      <c r="BW32" s="198">
        <f>$E32*餐厅成本录入!BW32</f>
        <v>0</v>
      </c>
    </row>
    <row r="33" s="178" customFormat="1" customHeight="1" spans="1:75">
      <c r="A33" s="161">
        <v>44</v>
      </c>
      <c r="B33" s="21" t="str">
        <f>餐厅成本录入!B33</f>
        <v>尖椒</v>
      </c>
      <c r="C33" s="21">
        <f>餐厅成本录入!C33</f>
        <v>0</v>
      </c>
      <c r="D33" s="21">
        <f>餐厅成本录入!D33</f>
        <v>0</v>
      </c>
      <c r="E33" s="21">
        <f>餐厅成本录入!E33</f>
        <v>3.3</v>
      </c>
      <c r="F33" s="21">
        <f>餐厅成本录入!F33</f>
        <v>0</v>
      </c>
      <c r="G33" s="21">
        <f>餐厅成本录入!G33</f>
        <v>0</v>
      </c>
      <c r="H33" s="21">
        <f>餐厅成本录入!H33</f>
        <v>15</v>
      </c>
      <c r="I33" s="21">
        <f>餐厅成本录入!I33</f>
        <v>49.5</v>
      </c>
      <c r="J33" s="21">
        <f>餐厅成本录入!J33</f>
        <v>15</v>
      </c>
      <c r="K33" s="21">
        <f>餐厅成本录入!K33</f>
        <v>49.5</v>
      </c>
      <c r="L33" s="21">
        <f>餐厅成本录入!L33</f>
        <v>0</v>
      </c>
      <c r="M33" s="21">
        <f>餐厅成本录入!M33</f>
        <v>0</v>
      </c>
      <c r="N33" s="198">
        <f>$E33*餐厅成本录入!N33</f>
        <v>0</v>
      </c>
      <c r="O33" s="198">
        <f>$E33*餐厅成本录入!O33</f>
        <v>0</v>
      </c>
      <c r="P33" s="198">
        <f>$E33*餐厅成本录入!P33</f>
        <v>0</v>
      </c>
      <c r="Q33" s="198">
        <f>$E33*餐厅成本录入!Q33</f>
        <v>0</v>
      </c>
      <c r="R33" s="198">
        <f>$E33*餐厅成本录入!R33</f>
        <v>0</v>
      </c>
      <c r="S33" s="198">
        <f>$E33*餐厅成本录入!S33</f>
        <v>0</v>
      </c>
      <c r="T33" s="198">
        <f>$E33*餐厅成本录入!T33</f>
        <v>0</v>
      </c>
      <c r="U33" s="198">
        <f>$E33*餐厅成本录入!U33</f>
        <v>0</v>
      </c>
      <c r="V33" s="198">
        <f>$E33*餐厅成本录入!V33</f>
        <v>0</v>
      </c>
      <c r="W33" s="198">
        <f>$E33*餐厅成本录入!W33</f>
        <v>0</v>
      </c>
      <c r="X33" s="198">
        <f>$E33*餐厅成本录入!X33</f>
        <v>0</v>
      </c>
      <c r="Y33" s="198">
        <f>$E33*餐厅成本录入!Y33</f>
        <v>0</v>
      </c>
      <c r="Z33" s="198">
        <f>$E33*餐厅成本录入!Z33</f>
        <v>0</v>
      </c>
      <c r="AA33" s="198">
        <f>$E33*餐厅成本录入!AA33</f>
        <v>0</v>
      </c>
      <c r="AB33" s="198">
        <f>$E33*餐厅成本录入!AB33</f>
        <v>19.8</v>
      </c>
      <c r="AC33" s="198">
        <f>$E33*餐厅成本录入!AC33</f>
        <v>19.8</v>
      </c>
      <c r="AD33" s="198">
        <f>$E33*餐厅成本录入!AD33</f>
        <v>0</v>
      </c>
      <c r="AE33" s="198">
        <f>$E33*餐厅成本录入!AE33</f>
        <v>0</v>
      </c>
      <c r="AF33" s="198">
        <f>$E33*餐厅成本录入!AF33</f>
        <v>0</v>
      </c>
      <c r="AG33" s="198">
        <f>$E33*餐厅成本录入!AG33</f>
        <v>0</v>
      </c>
      <c r="AH33" s="198">
        <f>$E33*餐厅成本录入!AH33</f>
        <v>0</v>
      </c>
      <c r="AI33" s="198">
        <f>$E33*餐厅成本录入!AI33</f>
        <v>0</v>
      </c>
      <c r="AJ33" s="198">
        <f>$E33*餐厅成本录入!AJ33</f>
        <v>0</v>
      </c>
      <c r="AK33" s="198">
        <f>$E33*餐厅成本录入!AK33</f>
        <v>0</v>
      </c>
      <c r="AL33" s="198">
        <f>$E33*餐厅成本录入!AL33</f>
        <v>0</v>
      </c>
      <c r="AM33" s="198">
        <f>$E33*餐厅成本录入!AM33</f>
        <v>0</v>
      </c>
      <c r="AN33" s="198">
        <f>$E33*餐厅成本录入!AN33</f>
        <v>0</v>
      </c>
      <c r="AO33" s="198">
        <f>$E33*餐厅成本录入!AO33</f>
        <v>0</v>
      </c>
      <c r="AP33" s="198">
        <f>$E33*餐厅成本录入!AP33</f>
        <v>0</v>
      </c>
      <c r="AQ33" s="198">
        <f>$E33*餐厅成本录入!AQ33</f>
        <v>0</v>
      </c>
      <c r="AR33" s="198">
        <f>$E33*餐厅成本录入!AR33</f>
        <v>0</v>
      </c>
      <c r="AS33" s="198">
        <f>$E33*餐厅成本录入!AS33</f>
        <v>0</v>
      </c>
      <c r="AT33" s="198">
        <f>$E33*餐厅成本录入!AT33</f>
        <v>0</v>
      </c>
      <c r="AU33" s="198">
        <f>$E33*餐厅成本录入!AU33</f>
        <v>0</v>
      </c>
      <c r="AV33" s="198">
        <f>$E33*餐厅成本录入!AV33</f>
        <v>0</v>
      </c>
      <c r="AW33" s="198">
        <f>$E33*餐厅成本录入!AW33</f>
        <v>0</v>
      </c>
      <c r="AX33" s="198">
        <f>$E33*餐厅成本录入!AX33</f>
        <v>0</v>
      </c>
      <c r="AY33" s="198">
        <f>$E33*餐厅成本录入!AY33</f>
        <v>0</v>
      </c>
      <c r="AZ33" s="198">
        <f>$E33*餐厅成本录入!AZ33</f>
        <v>0</v>
      </c>
      <c r="BA33" s="198">
        <f>$E33*餐厅成本录入!BA33</f>
        <v>0</v>
      </c>
      <c r="BB33" s="198">
        <f>$E33*餐厅成本录入!BB33</f>
        <v>9.9</v>
      </c>
      <c r="BC33" s="198">
        <f>$E33*餐厅成本录入!BC33</f>
        <v>9.9</v>
      </c>
      <c r="BD33" s="198">
        <f>$E33*餐厅成本录入!BD33</f>
        <v>0</v>
      </c>
      <c r="BE33" s="198">
        <f>$E33*餐厅成本录入!BE33</f>
        <v>0</v>
      </c>
      <c r="BF33" s="198">
        <f>$E33*餐厅成本录入!BF33</f>
        <v>19.8</v>
      </c>
      <c r="BG33" s="198">
        <f>$E33*餐厅成本录入!BG33</f>
        <v>19.8</v>
      </c>
      <c r="BH33" s="198">
        <f>$E33*餐厅成本录入!BH33</f>
        <v>0</v>
      </c>
      <c r="BI33" s="198">
        <f>$E33*餐厅成本录入!BI33</f>
        <v>0</v>
      </c>
      <c r="BJ33" s="198">
        <f>$E33*餐厅成本录入!BJ33</f>
        <v>0</v>
      </c>
      <c r="BK33" s="198">
        <f>$E33*餐厅成本录入!BK33</f>
        <v>0</v>
      </c>
      <c r="BL33" s="198">
        <f>$E33*餐厅成本录入!BL33</f>
        <v>0</v>
      </c>
      <c r="BM33" s="198">
        <f>$E33*餐厅成本录入!BM33</f>
        <v>0</v>
      </c>
      <c r="BN33" s="198">
        <f>$E33*餐厅成本录入!BN33</f>
        <v>0</v>
      </c>
      <c r="BO33" s="198">
        <f>$E33*餐厅成本录入!BO33</f>
        <v>0</v>
      </c>
      <c r="BP33" s="198">
        <f>$E33*餐厅成本录入!BP33</f>
        <v>0</v>
      </c>
      <c r="BQ33" s="198">
        <f>$E33*餐厅成本录入!BQ33</f>
        <v>0</v>
      </c>
      <c r="BR33" s="198">
        <f>$E33*餐厅成本录入!BR33</f>
        <v>0</v>
      </c>
      <c r="BS33" s="198">
        <f>$E33*餐厅成本录入!BS33</f>
        <v>0</v>
      </c>
      <c r="BT33" s="198">
        <f>$E33*餐厅成本录入!BT33</f>
        <v>0</v>
      </c>
      <c r="BU33" s="198">
        <f>$E33*餐厅成本录入!BU33</f>
        <v>0</v>
      </c>
      <c r="BV33" s="198">
        <f>$E33*餐厅成本录入!BV33</f>
        <v>0</v>
      </c>
      <c r="BW33" s="198">
        <f>$E33*餐厅成本录入!BW33</f>
        <v>0</v>
      </c>
    </row>
    <row r="34" s="178" customFormat="1" customHeight="1" spans="1:75">
      <c r="A34" s="161">
        <v>45</v>
      </c>
      <c r="B34" s="21" t="str">
        <f>餐厅成本录入!B34</f>
        <v>韭菜</v>
      </c>
      <c r="C34" s="21">
        <f>餐厅成本录入!C34</f>
        <v>0</v>
      </c>
      <c r="D34" s="21">
        <f>餐厅成本录入!D34</f>
        <v>0</v>
      </c>
      <c r="E34" s="21">
        <f>餐厅成本录入!E34</f>
        <v>0</v>
      </c>
      <c r="F34" s="21">
        <f>餐厅成本录入!F34</f>
        <v>0</v>
      </c>
      <c r="G34" s="21">
        <f>餐厅成本录入!G34</f>
        <v>0</v>
      </c>
      <c r="H34" s="21">
        <f>餐厅成本录入!H34</f>
        <v>12.1</v>
      </c>
      <c r="I34" s="21">
        <f>餐厅成本录入!I34</f>
        <v>0</v>
      </c>
      <c r="J34" s="21">
        <f>餐厅成本录入!J34</f>
        <v>12.1</v>
      </c>
      <c r="K34" s="21">
        <f>餐厅成本录入!K34</f>
        <v>0</v>
      </c>
      <c r="L34" s="21">
        <f>餐厅成本录入!L34</f>
        <v>0</v>
      </c>
      <c r="M34" s="21">
        <f>餐厅成本录入!M34</f>
        <v>0</v>
      </c>
      <c r="N34" s="198">
        <f>$E34*餐厅成本录入!N34</f>
        <v>0</v>
      </c>
      <c r="O34" s="198">
        <f>$E34*餐厅成本录入!O34</f>
        <v>0</v>
      </c>
      <c r="P34" s="198">
        <f>$E34*餐厅成本录入!P34</f>
        <v>0</v>
      </c>
      <c r="Q34" s="198">
        <f>$E34*餐厅成本录入!Q34</f>
        <v>0</v>
      </c>
      <c r="R34" s="198">
        <f>$E34*餐厅成本录入!R34</f>
        <v>0</v>
      </c>
      <c r="S34" s="198">
        <f>$E34*餐厅成本录入!S34</f>
        <v>0</v>
      </c>
      <c r="T34" s="198">
        <f>$E34*餐厅成本录入!T34</f>
        <v>0</v>
      </c>
      <c r="U34" s="198">
        <f>$E34*餐厅成本录入!U34</f>
        <v>0</v>
      </c>
      <c r="V34" s="198">
        <f>$E34*餐厅成本录入!V34</f>
        <v>0</v>
      </c>
      <c r="W34" s="198">
        <f>$E34*餐厅成本录入!W34</f>
        <v>0</v>
      </c>
      <c r="X34" s="198">
        <f>$E34*餐厅成本录入!X34</f>
        <v>0</v>
      </c>
      <c r="Y34" s="198">
        <f>$E34*餐厅成本录入!Y34</f>
        <v>0</v>
      </c>
      <c r="Z34" s="198">
        <f>$E34*餐厅成本录入!Z34</f>
        <v>0</v>
      </c>
      <c r="AA34" s="198">
        <f>$E34*餐厅成本录入!AA34</f>
        <v>0</v>
      </c>
      <c r="AB34" s="198">
        <f>$E34*餐厅成本录入!AB34</f>
        <v>0</v>
      </c>
      <c r="AC34" s="198">
        <f>$E34*餐厅成本录入!AC34</f>
        <v>0</v>
      </c>
      <c r="AD34" s="198">
        <f>$E34*餐厅成本录入!AD34</f>
        <v>0</v>
      </c>
      <c r="AE34" s="198">
        <f>$E34*餐厅成本录入!AE34</f>
        <v>0</v>
      </c>
      <c r="AF34" s="198">
        <f>$E34*餐厅成本录入!AF34</f>
        <v>0</v>
      </c>
      <c r="AG34" s="198">
        <f>$E34*餐厅成本录入!AG34</f>
        <v>0</v>
      </c>
      <c r="AH34" s="198">
        <f>$E34*餐厅成本录入!AH34</f>
        <v>0</v>
      </c>
      <c r="AI34" s="198">
        <f>$E34*餐厅成本录入!AI34</f>
        <v>0</v>
      </c>
      <c r="AJ34" s="198">
        <f>$E34*餐厅成本录入!AJ34</f>
        <v>0</v>
      </c>
      <c r="AK34" s="198">
        <f>$E34*餐厅成本录入!AK34</f>
        <v>0</v>
      </c>
      <c r="AL34" s="198">
        <f>$E34*餐厅成本录入!AL34</f>
        <v>0</v>
      </c>
      <c r="AM34" s="198">
        <f>$E34*餐厅成本录入!AM34</f>
        <v>0</v>
      </c>
      <c r="AN34" s="198">
        <f>$E34*餐厅成本录入!AN34</f>
        <v>0</v>
      </c>
      <c r="AO34" s="198">
        <f>$E34*餐厅成本录入!AO34</f>
        <v>0</v>
      </c>
      <c r="AP34" s="198">
        <f>$E34*餐厅成本录入!AP34</f>
        <v>0</v>
      </c>
      <c r="AQ34" s="198">
        <f>$E34*餐厅成本录入!AQ34</f>
        <v>0</v>
      </c>
      <c r="AR34" s="198">
        <f>$E34*餐厅成本录入!AR34</f>
        <v>0</v>
      </c>
      <c r="AS34" s="198">
        <f>$E34*餐厅成本录入!AS34</f>
        <v>0</v>
      </c>
      <c r="AT34" s="198">
        <f>$E34*餐厅成本录入!AT34</f>
        <v>0</v>
      </c>
      <c r="AU34" s="198">
        <f>$E34*餐厅成本录入!AU34</f>
        <v>0</v>
      </c>
      <c r="AV34" s="198">
        <f>$E34*餐厅成本录入!AV34</f>
        <v>0</v>
      </c>
      <c r="AW34" s="198">
        <f>$E34*餐厅成本录入!AW34</f>
        <v>0</v>
      </c>
      <c r="AX34" s="198">
        <f>$E34*餐厅成本录入!AX34</f>
        <v>0</v>
      </c>
      <c r="AY34" s="198">
        <f>$E34*餐厅成本录入!AY34</f>
        <v>0</v>
      </c>
      <c r="AZ34" s="198">
        <f>$E34*餐厅成本录入!AZ34</f>
        <v>0</v>
      </c>
      <c r="BA34" s="198">
        <f>$E34*餐厅成本录入!BA34</f>
        <v>0</v>
      </c>
      <c r="BB34" s="198">
        <f>$E34*餐厅成本录入!BB34</f>
        <v>0</v>
      </c>
      <c r="BC34" s="198">
        <f>$E34*餐厅成本录入!BC34</f>
        <v>0</v>
      </c>
      <c r="BD34" s="198">
        <f>$E34*餐厅成本录入!BD34</f>
        <v>0</v>
      </c>
      <c r="BE34" s="198">
        <f>$E34*餐厅成本录入!BE34</f>
        <v>0</v>
      </c>
      <c r="BF34" s="198">
        <f>$E34*餐厅成本录入!BF34</f>
        <v>0</v>
      </c>
      <c r="BG34" s="198">
        <f>$E34*餐厅成本录入!BG34</f>
        <v>0</v>
      </c>
      <c r="BH34" s="198">
        <f>$E34*餐厅成本录入!BH34</f>
        <v>0</v>
      </c>
      <c r="BI34" s="198">
        <f>$E34*餐厅成本录入!BI34</f>
        <v>0</v>
      </c>
      <c r="BJ34" s="198">
        <f>$E34*餐厅成本录入!BJ34</f>
        <v>0</v>
      </c>
      <c r="BK34" s="198">
        <f>$E34*餐厅成本录入!BK34</f>
        <v>0</v>
      </c>
      <c r="BL34" s="198">
        <f>$E34*餐厅成本录入!BL34</f>
        <v>0</v>
      </c>
      <c r="BM34" s="198">
        <f>$E34*餐厅成本录入!BM34</f>
        <v>0</v>
      </c>
      <c r="BN34" s="198">
        <f>$E34*餐厅成本录入!BN34</f>
        <v>0</v>
      </c>
      <c r="BO34" s="198">
        <f>$E34*餐厅成本录入!BO34</f>
        <v>0</v>
      </c>
      <c r="BP34" s="198">
        <f>$E34*餐厅成本录入!BP34</f>
        <v>0</v>
      </c>
      <c r="BQ34" s="198">
        <f>$E34*餐厅成本录入!BQ34</f>
        <v>0</v>
      </c>
      <c r="BR34" s="198">
        <f>$E34*餐厅成本录入!BR34</f>
        <v>0</v>
      </c>
      <c r="BS34" s="198">
        <f>$E34*餐厅成本录入!BS34</f>
        <v>0</v>
      </c>
      <c r="BT34" s="198">
        <f>$E34*餐厅成本录入!BT34</f>
        <v>0</v>
      </c>
      <c r="BU34" s="198">
        <f>$E34*餐厅成本录入!BU34</f>
        <v>0</v>
      </c>
      <c r="BV34" s="198">
        <f>$E34*餐厅成本录入!BV34</f>
        <v>0</v>
      </c>
      <c r="BW34" s="198">
        <f>$E34*餐厅成本录入!BW34</f>
        <v>0</v>
      </c>
    </row>
    <row r="35" s="178" customFormat="1" customHeight="1" spans="1:75">
      <c r="A35" s="161">
        <v>47</v>
      </c>
      <c r="B35" s="21" t="str">
        <f>餐厅成本录入!B35</f>
        <v>蒜苔</v>
      </c>
      <c r="C35" s="21">
        <f>餐厅成本录入!C35</f>
        <v>0</v>
      </c>
      <c r="D35" s="21">
        <f>餐厅成本录入!D35</f>
        <v>0</v>
      </c>
      <c r="E35" s="21">
        <f>餐厅成本录入!E35</f>
        <v>5.5</v>
      </c>
      <c r="F35" s="21">
        <f>餐厅成本录入!F35</f>
        <v>0</v>
      </c>
      <c r="G35" s="21">
        <f>餐厅成本录入!G35</f>
        <v>0</v>
      </c>
      <c r="H35" s="21">
        <f>餐厅成本录入!H35</f>
        <v>43</v>
      </c>
      <c r="I35" s="21">
        <f>餐厅成本录入!I35</f>
        <v>236.5</v>
      </c>
      <c r="J35" s="21">
        <f>餐厅成本录入!J35</f>
        <v>43</v>
      </c>
      <c r="K35" s="21">
        <f>餐厅成本录入!K35</f>
        <v>236.5</v>
      </c>
      <c r="L35" s="21">
        <f>餐厅成本录入!L35</f>
        <v>0</v>
      </c>
      <c r="M35" s="21">
        <f>餐厅成本录入!M35</f>
        <v>0</v>
      </c>
      <c r="N35" s="198">
        <f>$E35*餐厅成本录入!N35</f>
        <v>0</v>
      </c>
      <c r="O35" s="198">
        <f>$E35*餐厅成本录入!O35</f>
        <v>0</v>
      </c>
      <c r="P35" s="198">
        <f>$E35*餐厅成本录入!P35</f>
        <v>33</v>
      </c>
      <c r="Q35" s="198">
        <f>$E35*餐厅成本录入!Q35</f>
        <v>33</v>
      </c>
      <c r="R35" s="198">
        <f>$E35*餐厅成本录入!R35</f>
        <v>0</v>
      </c>
      <c r="S35" s="198">
        <f>$E35*餐厅成本录入!S35</f>
        <v>0</v>
      </c>
      <c r="T35" s="198">
        <f>$E35*餐厅成本录入!T35</f>
        <v>0</v>
      </c>
      <c r="U35" s="198">
        <f>$E35*餐厅成本录入!U35</f>
        <v>0</v>
      </c>
      <c r="V35" s="198">
        <f>$E35*餐厅成本录入!V35</f>
        <v>33</v>
      </c>
      <c r="W35" s="198">
        <f>$E35*餐厅成本录入!W35</f>
        <v>33</v>
      </c>
      <c r="X35" s="198">
        <f>$E35*餐厅成本录入!X35</f>
        <v>0</v>
      </c>
      <c r="Y35" s="198">
        <f>$E35*餐厅成本录入!Y35</f>
        <v>0</v>
      </c>
      <c r="Z35" s="198">
        <f>$E35*餐厅成本录入!Z35</f>
        <v>0</v>
      </c>
      <c r="AA35" s="198">
        <f>$E35*餐厅成本录入!AA35</f>
        <v>0</v>
      </c>
      <c r="AB35" s="198">
        <f>$E35*餐厅成本录入!AB35</f>
        <v>33</v>
      </c>
      <c r="AC35" s="198">
        <f>$E35*餐厅成本录入!AC35</f>
        <v>33</v>
      </c>
      <c r="AD35" s="198">
        <f>$E35*餐厅成本录入!AD35</f>
        <v>0</v>
      </c>
      <c r="AE35" s="198">
        <f>$E35*餐厅成本录入!AE35</f>
        <v>0</v>
      </c>
      <c r="AF35" s="198">
        <f>$E35*餐厅成本录入!AF35</f>
        <v>0</v>
      </c>
      <c r="AG35" s="198">
        <f>$E35*餐厅成本录入!AG35</f>
        <v>0</v>
      </c>
      <c r="AH35" s="198">
        <f>$E35*餐厅成本录入!AH35</f>
        <v>34.1</v>
      </c>
      <c r="AI35" s="198">
        <f>$E35*餐厅成本录入!AI35</f>
        <v>34.1</v>
      </c>
      <c r="AJ35" s="198">
        <f>$E35*餐厅成本录入!AJ35</f>
        <v>0</v>
      </c>
      <c r="AK35" s="198">
        <f>$E35*餐厅成本录入!AK35</f>
        <v>0</v>
      </c>
      <c r="AL35" s="198">
        <f>$E35*餐厅成本录入!AL35</f>
        <v>34.1</v>
      </c>
      <c r="AM35" s="198">
        <f>$E35*餐厅成本录入!AM35</f>
        <v>34.1</v>
      </c>
      <c r="AN35" s="198">
        <f>$E35*餐厅成本录入!AN35</f>
        <v>0</v>
      </c>
      <c r="AO35" s="198">
        <f>$E35*餐厅成本录入!AO35</f>
        <v>0</v>
      </c>
      <c r="AP35" s="198">
        <f>$E35*餐厅成本录入!AP35</f>
        <v>0</v>
      </c>
      <c r="AQ35" s="198">
        <f>$E35*餐厅成本录入!AQ35</f>
        <v>0</v>
      </c>
      <c r="AR35" s="198">
        <f>$E35*餐厅成本录入!AR35</f>
        <v>0</v>
      </c>
      <c r="AS35" s="198">
        <f>$E35*餐厅成本录入!AS35</f>
        <v>0</v>
      </c>
      <c r="AT35" s="198">
        <f>$E35*餐厅成本录入!AT35</f>
        <v>0</v>
      </c>
      <c r="AU35" s="198">
        <f>$E35*餐厅成本录入!AU35</f>
        <v>0</v>
      </c>
      <c r="AV35" s="198">
        <f>$E35*餐厅成本录入!AV35</f>
        <v>0</v>
      </c>
      <c r="AW35" s="198">
        <f>$E35*餐厅成本录入!AW35</f>
        <v>0</v>
      </c>
      <c r="AX35" s="198">
        <f>$E35*餐厅成本录入!AX35</f>
        <v>0</v>
      </c>
      <c r="AY35" s="198">
        <f>$E35*餐厅成本录入!AY35</f>
        <v>0</v>
      </c>
      <c r="AZ35" s="198">
        <f>$E35*餐厅成本录入!AZ35</f>
        <v>0</v>
      </c>
      <c r="BA35" s="198">
        <f>$E35*餐厅成本录入!BA35</f>
        <v>0</v>
      </c>
      <c r="BB35" s="198">
        <f>$E35*餐厅成本录入!BB35</f>
        <v>36.3</v>
      </c>
      <c r="BC35" s="198">
        <f>$E35*餐厅成本录入!BC35</f>
        <v>36.3</v>
      </c>
      <c r="BD35" s="198">
        <f>$E35*餐厅成本录入!BD35</f>
        <v>0</v>
      </c>
      <c r="BE35" s="198">
        <f>$E35*餐厅成本录入!BE35</f>
        <v>0</v>
      </c>
      <c r="BF35" s="198">
        <f>$E35*餐厅成本录入!BF35</f>
        <v>33</v>
      </c>
      <c r="BG35" s="198">
        <f>$E35*餐厅成本录入!BG35</f>
        <v>33</v>
      </c>
      <c r="BH35" s="198">
        <f>$E35*餐厅成本录入!BH35</f>
        <v>0</v>
      </c>
      <c r="BI35" s="198">
        <f>$E35*餐厅成本录入!BI35</f>
        <v>0</v>
      </c>
      <c r="BJ35" s="198">
        <f>$E35*餐厅成本录入!BJ35</f>
        <v>0</v>
      </c>
      <c r="BK35" s="198">
        <f>$E35*餐厅成本录入!BK35</f>
        <v>0</v>
      </c>
      <c r="BL35" s="198">
        <f>$E35*餐厅成本录入!BL35</f>
        <v>0</v>
      </c>
      <c r="BM35" s="198">
        <f>$E35*餐厅成本录入!BM35</f>
        <v>0</v>
      </c>
      <c r="BN35" s="198">
        <f>$E35*餐厅成本录入!BN35</f>
        <v>0</v>
      </c>
      <c r="BO35" s="198">
        <f>$E35*餐厅成本录入!BO35</f>
        <v>0</v>
      </c>
      <c r="BP35" s="198">
        <f>$E35*餐厅成本录入!BP35</f>
        <v>0</v>
      </c>
      <c r="BQ35" s="198">
        <f>$E35*餐厅成本录入!BQ35</f>
        <v>0</v>
      </c>
      <c r="BR35" s="198">
        <f>$E35*餐厅成本录入!BR35</f>
        <v>0</v>
      </c>
      <c r="BS35" s="198">
        <f>$E35*餐厅成本录入!BS35</f>
        <v>0</v>
      </c>
      <c r="BT35" s="198">
        <f>$E35*餐厅成本录入!BT35</f>
        <v>0</v>
      </c>
      <c r="BU35" s="198">
        <f>$E35*餐厅成本录入!BU35</f>
        <v>0</v>
      </c>
      <c r="BV35" s="198">
        <f>$E35*餐厅成本录入!BV35</f>
        <v>0</v>
      </c>
      <c r="BW35" s="198">
        <f>$E35*餐厅成本录入!BW35</f>
        <v>0</v>
      </c>
    </row>
    <row r="36" s="178" customFormat="1" customHeight="1" spans="1:75">
      <c r="A36" s="161">
        <v>48</v>
      </c>
      <c r="B36" s="21" t="str">
        <f>餐厅成本录入!B36</f>
        <v>韭菜苔</v>
      </c>
      <c r="C36" s="21">
        <f>餐厅成本录入!C36</f>
        <v>0</v>
      </c>
      <c r="D36" s="21">
        <f>餐厅成本录入!D36</f>
        <v>0</v>
      </c>
      <c r="E36" s="21">
        <f>餐厅成本录入!E36</f>
        <v>5</v>
      </c>
      <c r="F36" s="21">
        <f>餐厅成本录入!F36</f>
        <v>0</v>
      </c>
      <c r="G36" s="21">
        <f>餐厅成本录入!G36</f>
        <v>0</v>
      </c>
      <c r="H36" s="21">
        <f>餐厅成本录入!H36</f>
        <v>27</v>
      </c>
      <c r="I36" s="21">
        <f>餐厅成本录入!I36</f>
        <v>135</v>
      </c>
      <c r="J36" s="21">
        <f>餐厅成本录入!J36</f>
        <v>27</v>
      </c>
      <c r="K36" s="21">
        <f>餐厅成本录入!K36</f>
        <v>135</v>
      </c>
      <c r="L36" s="21">
        <f>餐厅成本录入!L36</f>
        <v>0</v>
      </c>
      <c r="M36" s="21">
        <f>餐厅成本录入!M36</f>
        <v>0</v>
      </c>
      <c r="N36" s="198">
        <f>$E36*餐厅成本录入!N36</f>
        <v>0</v>
      </c>
      <c r="O36" s="198">
        <f>$E36*餐厅成本录入!O36</f>
        <v>0</v>
      </c>
      <c r="P36" s="198">
        <f>$E36*餐厅成本录入!P36</f>
        <v>0</v>
      </c>
      <c r="Q36" s="198">
        <f>$E36*餐厅成本录入!Q36</f>
        <v>0</v>
      </c>
      <c r="R36" s="198">
        <f>$E36*餐厅成本录入!R36</f>
        <v>0</v>
      </c>
      <c r="S36" s="198">
        <f>$E36*餐厅成本录入!S36</f>
        <v>0</v>
      </c>
      <c r="T36" s="198">
        <f>$E36*餐厅成本录入!T36</f>
        <v>0</v>
      </c>
      <c r="U36" s="198">
        <f>$E36*餐厅成本录入!U36</f>
        <v>0</v>
      </c>
      <c r="V36" s="198">
        <f>$E36*餐厅成本录入!V36</f>
        <v>0</v>
      </c>
      <c r="W36" s="198">
        <f>$E36*餐厅成本录入!W36</f>
        <v>0</v>
      </c>
      <c r="X36" s="198">
        <f>$E36*餐厅成本录入!X36</f>
        <v>0</v>
      </c>
      <c r="Y36" s="198">
        <f>$E36*餐厅成本录入!Y36</f>
        <v>0</v>
      </c>
      <c r="Z36" s="198">
        <f>$E36*餐厅成本录入!Z36</f>
        <v>0</v>
      </c>
      <c r="AA36" s="198">
        <f>$E36*餐厅成本录入!AA36</f>
        <v>0</v>
      </c>
      <c r="AB36" s="198">
        <f>$E36*餐厅成本录入!AB36</f>
        <v>0</v>
      </c>
      <c r="AC36" s="198">
        <f>$E36*餐厅成本录入!AC36</f>
        <v>0</v>
      </c>
      <c r="AD36" s="198">
        <f>$E36*餐厅成本录入!AD36</f>
        <v>0</v>
      </c>
      <c r="AE36" s="198">
        <f>$E36*餐厅成本录入!AE36</f>
        <v>0</v>
      </c>
      <c r="AF36" s="198">
        <f>$E36*餐厅成本录入!AF36</f>
        <v>0</v>
      </c>
      <c r="AG36" s="198">
        <f>$E36*餐厅成本录入!AG36</f>
        <v>0</v>
      </c>
      <c r="AH36" s="198">
        <f>$E36*餐厅成本录入!AH36</f>
        <v>0</v>
      </c>
      <c r="AI36" s="198">
        <f>$E36*餐厅成本录入!AI36</f>
        <v>0</v>
      </c>
      <c r="AJ36" s="198">
        <f>$E36*餐厅成本录入!AJ36</f>
        <v>0</v>
      </c>
      <c r="AK36" s="198">
        <f>$E36*餐厅成本录入!AK36</f>
        <v>0</v>
      </c>
      <c r="AL36" s="198">
        <f>$E36*餐厅成本录入!AL36</f>
        <v>30</v>
      </c>
      <c r="AM36" s="198">
        <f>$E36*餐厅成本录入!AM36</f>
        <v>30</v>
      </c>
      <c r="AN36" s="198">
        <f>$E36*餐厅成本录入!AN36</f>
        <v>0</v>
      </c>
      <c r="AO36" s="198">
        <f>$E36*餐厅成本录入!AO36</f>
        <v>0</v>
      </c>
      <c r="AP36" s="198">
        <f>$E36*餐厅成本录入!AP36</f>
        <v>0</v>
      </c>
      <c r="AQ36" s="198">
        <f>$E36*餐厅成本录入!AQ36</f>
        <v>0</v>
      </c>
      <c r="AR36" s="198">
        <f>$E36*餐厅成本录入!AR36</f>
        <v>0</v>
      </c>
      <c r="AS36" s="198">
        <f>$E36*餐厅成本录入!AS36</f>
        <v>0</v>
      </c>
      <c r="AT36" s="198">
        <f>$E36*餐厅成本录入!AT36</f>
        <v>15</v>
      </c>
      <c r="AU36" s="198">
        <f>$E36*餐厅成本录入!AU36</f>
        <v>15</v>
      </c>
      <c r="AV36" s="198">
        <f>$E36*餐厅成本录入!AV36</f>
        <v>0</v>
      </c>
      <c r="AW36" s="198">
        <f>$E36*餐厅成本录入!AW36</f>
        <v>0</v>
      </c>
      <c r="AX36" s="198">
        <f>$E36*餐厅成本录入!AX36</f>
        <v>30</v>
      </c>
      <c r="AY36" s="198">
        <f>$E36*餐厅成本录入!AY36</f>
        <v>30</v>
      </c>
      <c r="AZ36" s="198">
        <f>$E36*餐厅成本录入!AZ36</f>
        <v>0</v>
      </c>
      <c r="BA36" s="198">
        <f>$E36*餐厅成本录入!BA36</f>
        <v>0</v>
      </c>
      <c r="BB36" s="198">
        <f>$E36*餐厅成本录入!BB36</f>
        <v>0</v>
      </c>
      <c r="BC36" s="198">
        <f>$E36*餐厅成本录入!BC36</f>
        <v>0</v>
      </c>
      <c r="BD36" s="198">
        <f>$E36*餐厅成本录入!BD36</f>
        <v>0</v>
      </c>
      <c r="BE36" s="198">
        <f>$E36*餐厅成本录入!BE36</f>
        <v>0</v>
      </c>
      <c r="BF36" s="198">
        <f>$E36*餐厅成本录入!BF36</f>
        <v>30</v>
      </c>
      <c r="BG36" s="198">
        <f>$E36*餐厅成本录入!BG36</f>
        <v>30</v>
      </c>
      <c r="BH36" s="198">
        <f>$E36*餐厅成本录入!BH36</f>
        <v>0</v>
      </c>
      <c r="BI36" s="198">
        <f>$E36*餐厅成本录入!BI36</f>
        <v>0</v>
      </c>
      <c r="BJ36" s="198">
        <f>$E36*餐厅成本录入!BJ36</f>
        <v>0</v>
      </c>
      <c r="BK36" s="198">
        <f>$E36*餐厅成本录入!BK36</f>
        <v>0</v>
      </c>
      <c r="BL36" s="198">
        <f>$E36*餐厅成本录入!BL36</f>
        <v>30</v>
      </c>
      <c r="BM36" s="198">
        <f>$E36*餐厅成本录入!BM36</f>
        <v>30</v>
      </c>
      <c r="BN36" s="198">
        <f>$E36*餐厅成本录入!BN36</f>
        <v>0</v>
      </c>
      <c r="BO36" s="198">
        <f>$E36*餐厅成本录入!BO36</f>
        <v>0</v>
      </c>
      <c r="BP36" s="198">
        <f>$E36*餐厅成本录入!BP36</f>
        <v>0</v>
      </c>
      <c r="BQ36" s="198">
        <f>$E36*餐厅成本录入!BQ36</f>
        <v>0</v>
      </c>
      <c r="BR36" s="198">
        <f>$E36*餐厅成本录入!BR36</f>
        <v>0</v>
      </c>
      <c r="BS36" s="198">
        <f>$E36*餐厅成本录入!BS36</f>
        <v>0</v>
      </c>
      <c r="BT36" s="198">
        <f>$E36*餐厅成本录入!BT36</f>
        <v>0</v>
      </c>
      <c r="BU36" s="198">
        <f>$E36*餐厅成本录入!BU36</f>
        <v>0</v>
      </c>
      <c r="BV36" s="198">
        <f>$E36*餐厅成本录入!BV36</f>
        <v>0</v>
      </c>
      <c r="BW36" s="198">
        <f>$E36*餐厅成本录入!BW36</f>
        <v>0</v>
      </c>
    </row>
    <row r="37" s="178" customFormat="1" customHeight="1" spans="1:75">
      <c r="A37" s="161">
        <v>49</v>
      </c>
      <c r="B37" s="21" t="str">
        <f>餐厅成本录入!B37</f>
        <v>田七</v>
      </c>
      <c r="C37" s="21">
        <f>餐厅成本录入!C37</f>
        <v>0</v>
      </c>
      <c r="D37" s="21">
        <f>餐厅成本录入!D37</f>
        <v>0</v>
      </c>
      <c r="E37" s="21">
        <f>餐厅成本录入!E37</f>
        <v>3</v>
      </c>
      <c r="F37" s="21">
        <f>餐厅成本录入!F37</f>
        <v>0</v>
      </c>
      <c r="G37" s="21">
        <f>餐厅成本录入!G37</f>
        <v>0</v>
      </c>
      <c r="H37" s="21">
        <f>餐厅成本录入!H37</f>
        <v>9.4</v>
      </c>
      <c r="I37" s="21">
        <f>餐厅成本录入!I37</f>
        <v>28.2</v>
      </c>
      <c r="J37" s="21">
        <f>餐厅成本录入!J37</f>
        <v>9.4</v>
      </c>
      <c r="K37" s="21">
        <f>餐厅成本录入!K37</f>
        <v>28.2</v>
      </c>
      <c r="L37" s="21">
        <f>餐厅成本录入!L37</f>
        <v>0</v>
      </c>
      <c r="M37" s="21">
        <f>餐厅成本录入!M37</f>
        <v>0</v>
      </c>
      <c r="N37" s="198">
        <f>$E37*餐厅成本录入!N37</f>
        <v>0</v>
      </c>
      <c r="O37" s="198">
        <f>$E37*餐厅成本录入!O37</f>
        <v>0</v>
      </c>
      <c r="P37" s="198">
        <f>$E37*餐厅成本录入!P37</f>
        <v>0</v>
      </c>
      <c r="Q37" s="198">
        <f>$E37*餐厅成本录入!Q37</f>
        <v>0</v>
      </c>
      <c r="R37" s="198">
        <f>$E37*餐厅成本录入!R37</f>
        <v>0</v>
      </c>
      <c r="S37" s="198">
        <f>$E37*餐厅成本录入!S37</f>
        <v>0</v>
      </c>
      <c r="T37" s="198">
        <f>$E37*餐厅成本录入!T37</f>
        <v>0</v>
      </c>
      <c r="U37" s="198">
        <f>$E37*餐厅成本录入!U37</f>
        <v>0</v>
      </c>
      <c r="V37" s="198">
        <f>$E37*餐厅成本录入!V37</f>
        <v>9</v>
      </c>
      <c r="W37" s="198">
        <f>$E37*餐厅成本录入!W37</f>
        <v>9</v>
      </c>
      <c r="X37" s="198">
        <f>$E37*餐厅成本录入!X37</f>
        <v>0</v>
      </c>
      <c r="Y37" s="198">
        <f>$E37*餐厅成本录入!Y37</f>
        <v>0</v>
      </c>
      <c r="Z37" s="198">
        <f>$E37*餐厅成本录入!Z37</f>
        <v>0</v>
      </c>
      <c r="AA37" s="198">
        <f>$E37*餐厅成本录入!AA37</f>
        <v>0</v>
      </c>
      <c r="AB37" s="198">
        <f>$E37*餐厅成本录入!AB37</f>
        <v>0</v>
      </c>
      <c r="AC37" s="198">
        <f>$E37*餐厅成本录入!AC37</f>
        <v>0</v>
      </c>
      <c r="AD37" s="198">
        <f>$E37*餐厅成本录入!AD37</f>
        <v>0</v>
      </c>
      <c r="AE37" s="198">
        <f>$E37*餐厅成本录入!AE37</f>
        <v>0</v>
      </c>
      <c r="AF37" s="198">
        <f>$E37*餐厅成本录入!AF37</f>
        <v>0</v>
      </c>
      <c r="AG37" s="198">
        <f>$E37*餐厅成本录入!AG37</f>
        <v>0</v>
      </c>
      <c r="AH37" s="198">
        <f>$E37*餐厅成本录入!AH37</f>
        <v>0</v>
      </c>
      <c r="AI37" s="198">
        <f>$E37*餐厅成本录入!AI37</f>
        <v>0</v>
      </c>
      <c r="AJ37" s="198">
        <f>$E37*餐厅成本录入!AJ37</f>
        <v>0</v>
      </c>
      <c r="AK37" s="198">
        <f>$E37*餐厅成本录入!AK37</f>
        <v>0</v>
      </c>
      <c r="AL37" s="198">
        <f>$E37*餐厅成本录入!AL37</f>
        <v>0</v>
      </c>
      <c r="AM37" s="198">
        <f>$E37*餐厅成本录入!AM37</f>
        <v>0</v>
      </c>
      <c r="AN37" s="198">
        <f>$E37*餐厅成本录入!AN37</f>
        <v>0</v>
      </c>
      <c r="AO37" s="198">
        <f>$E37*餐厅成本录入!AO37</f>
        <v>0</v>
      </c>
      <c r="AP37" s="198">
        <f>$E37*餐厅成本录入!AP37</f>
        <v>0</v>
      </c>
      <c r="AQ37" s="198">
        <f>$E37*餐厅成本录入!AQ37</f>
        <v>0</v>
      </c>
      <c r="AR37" s="198">
        <f>$E37*餐厅成本录入!AR37</f>
        <v>0</v>
      </c>
      <c r="AS37" s="198">
        <f>$E37*餐厅成本录入!AS37</f>
        <v>0</v>
      </c>
      <c r="AT37" s="198">
        <f>$E37*餐厅成本录入!AT37</f>
        <v>7.2</v>
      </c>
      <c r="AU37" s="198">
        <f>$E37*餐厅成本录入!AU37</f>
        <v>7.2</v>
      </c>
      <c r="AV37" s="198">
        <f>$E37*餐厅成本录入!AV37</f>
        <v>0</v>
      </c>
      <c r="AW37" s="198">
        <f>$E37*餐厅成本录入!AW37</f>
        <v>0</v>
      </c>
      <c r="AX37" s="198">
        <f>$E37*餐厅成本录入!AX37</f>
        <v>0</v>
      </c>
      <c r="AY37" s="198">
        <f>$E37*餐厅成本录入!AY37</f>
        <v>0</v>
      </c>
      <c r="AZ37" s="198">
        <f>$E37*餐厅成本录入!AZ37</f>
        <v>0</v>
      </c>
      <c r="BA37" s="198">
        <f>$E37*餐厅成本录入!BA37</f>
        <v>0</v>
      </c>
      <c r="BB37" s="198">
        <f>$E37*餐厅成本录入!BB37</f>
        <v>0</v>
      </c>
      <c r="BC37" s="198">
        <f>$E37*餐厅成本录入!BC37</f>
        <v>0</v>
      </c>
      <c r="BD37" s="198">
        <f>$E37*餐厅成本录入!BD37</f>
        <v>0</v>
      </c>
      <c r="BE37" s="198">
        <f>$E37*餐厅成本录入!BE37</f>
        <v>0</v>
      </c>
      <c r="BF37" s="198">
        <f>$E37*餐厅成本录入!BF37</f>
        <v>6</v>
      </c>
      <c r="BG37" s="198">
        <f>$E37*餐厅成本录入!BG37</f>
        <v>6</v>
      </c>
      <c r="BH37" s="198">
        <f>$E37*餐厅成本录入!BH37</f>
        <v>0</v>
      </c>
      <c r="BI37" s="198">
        <f>$E37*餐厅成本录入!BI37</f>
        <v>0</v>
      </c>
      <c r="BJ37" s="198">
        <f>$E37*餐厅成本录入!BJ37</f>
        <v>0</v>
      </c>
      <c r="BK37" s="198">
        <f>$E37*餐厅成本录入!BK37</f>
        <v>0</v>
      </c>
      <c r="BL37" s="198">
        <f>$E37*餐厅成本录入!BL37</f>
        <v>6</v>
      </c>
      <c r="BM37" s="198">
        <f>$E37*餐厅成本录入!BM37</f>
        <v>6</v>
      </c>
      <c r="BN37" s="198">
        <f>$E37*餐厅成本录入!BN37</f>
        <v>0</v>
      </c>
      <c r="BO37" s="198">
        <f>$E37*餐厅成本录入!BO37</f>
        <v>0</v>
      </c>
      <c r="BP37" s="198">
        <f>$E37*餐厅成本录入!BP37</f>
        <v>0</v>
      </c>
      <c r="BQ37" s="198">
        <f>$E37*餐厅成本录入!BQ37</f>
        <v>0</v>
      </c>
      <c r="BR37" s="198">
        <f>$E37*餐厅成本录入!BR37</f>
        <v>0</v>
      </c>
      <c r="BS37" s="198">
        <f>$E37*餐厅成本录入!BS37</f>
        <v>0</v>
      </c>
      <c r="BT37" s="198">
        <f>$E37*餐厅成本录入!BT37</f>
        <v>0</v>
      </c>
      <c r="BU37" s="198">
        <f>$E37*餐厅成本录入!BU37</f>
        <v>0</v>
      </c>
      <c r="BV37" s="198">
        <f>$E37*餐厅成本录入!BV37</f>
        <v>0</v>
      </c>
      <c r="BW37" s="198">
        <f>$E37*餐厅成本录入!BW37</f>
        <v>0</v>
      </c>
    </row>
    <row r="38" s="178" customFormat="1" customHeight="1" spans="1:75">
      <c r="A38" s="161">
        <v>50</v>
      </c>
      <c r="B38" s="21" t="str">
        <f>餐厅成本录入!B38</f>
        <v>白萝卜</v>
      </c>
      <c r="C38" s="21">
        <f>餐厅成本录入!C38</f>
        <v>0</v>
      </c>
      <c r="D38" s="21">
        <f>餐厅成本录入!D38</f>
        <v>0</v>
      </c>
      <c r="E38" s="21">
        <f>餐厅成本录入!E38</f>
        <v>0</v>
      </c>
      <c r="F38" s="21">
        <f>餐厅成本录入!F38</f>
        <v>0</v>
      </c>
      <c r="G38" s="21">
        <f>餐厅成本录入!G38</f>
        <v>0</v>
      </c>
      <c r="H38" s="21">
        <f>餐厅成本录入!H38</f>
        <v>16</v>
      </c>
      <c r="I38" s="21">
        <f>餐厅成本录入!I38</f>
        <v>0</v>
      </c>
      <c r="J38" s="21">
        <f>餐厅成本录入!J38</f>
        <v>16</v>
      </c>
      <c r="K38" s="21">
        <f>餐厅成本录入!K38</f>
        <v>0</v>
      </c>
      <c r="L38" s="21">
        <f>餐厅成本录入!L38</f>
        <v>0</v>
      </c>
      <c r="M38" s="21">
        <f>餐厅成本录入!M38</f>
        <v>0</v>
      </c>
      <c r="N38" s="198">
        <f>$E38*餐厅成本录入!N38</f>
        <v>0</v>
      </c>
      <c r="O38" s="198">
        <f>$E38*餐厅成本录入!O38</f>
        <v>0</v>
      </c>
      <c r="P38" s="198">
        <f>$E38*餐厅成本录入!P38</f>
        <v>0</v>
      </c>
      <c r="Q38" s="198">
        <f>$E38*餐厅成本录入!Q38</f>
        <v>0</v>
      </c>
      <c r="R38" s="198">
        <f>$E38*餐厅成本录入!R38</f>
        <v>0</v>
      </c>
      <c r="S38" s="198">
        <f>$E38*餐厅成本录入!S38</f>
        <v>0</v>
      </c>
      <c r="T38" s="198">
        <f>$E38*餐厅成本录入!T38</f>
        <v>0</v>
      </c>
      <c r="U38" s="198">
        <f>$E38*餐厅成本录入!U38</f>
        <v>0</v>
      </c>
      <c r="V38" s="198">
        <f>$E38*餐厅成本录入!V38</f>
        <v>0</v>
      </c>
      <c r="W38" s="198">
        <f>$E38*餐厅成本录入!W38</f>
        <v>0</v>
      </c>
      <c r="X38" s="198">
        <f>$E38*餐厅成本录入!X38</f>
        <v>0</v>
      </c>
      <c r="Y38" s="198">
        <f>$E38*餐厅成本录入!Y38</f>
        <v>0</v>
      </c>
      <c r="Z38" s="198">
        <f>$E38*餐厅成本录入!Z38</f>
        <v>0</v>
      </c>
      <c r="AA38" s="198">
        <f>$E38*餐厅成本录入!AA38</f>
        <v>0</v>
      </c>
      <c r="AB38" s="198">
        <f>$E38*餐厅成本录入!AB38</f>
        <v>0</v>
      </c>
      <c r="AC38" s="198">
        <f>$E38*餐厅成本录入!AC38</f>
        <v>0</v>
      </c>
      <c r="AD38" s="198">
        <f>$E38*餐厅成本录入!AD38</f>
        <v>0</v>
      </c>
      <c r="AE38" s="198">
        <f>$E38*餐厅成本录入!AE38</f>
        <v>0</v>
      </c>
      <c r="AF38" s="198">
        <f>$E38*餐厅成本录入!AF38</f>
        <v>0</v>
      </c>
      <c r="AG38" s="198">
        <f>$E38*餐厅成本录入!AG38</f>
        <v>0</v>
      </c>
      <c r="AH38" s="198">
        <f>$E38*餐厅成本录入!AH38</f>
        <v>0</v>
      </c>
      <c r="AI38" s="198">
        <f>$E38*餐厅成本录入!AI38</f>
        <v>0</v>
      </c>
      <c r="AJ38" s="198">
        <f>$E38*餐厅成本录入!AJ38</f>
        <v>0</v>
      </c>
      <c r="AK38" s="198">
        <f>$E38*餐厅成本录入!AK38</f>
        <v>0</v>
      </c>
      <c r="AL38" s="198">
        <f>$E38*餐厅成本录入!AL38</f>
        <v>0</v>
      </c>
      <c r="AM38" s="198">
        <f>$E38*餐厅成本录入!AM38</f>
        <v>0</v>
      </c>
      <c r="AN38" s="198">
        <f>$E38*餐厅成本录入!AN38</f>
        <v>0</v>
      </c>
      <c r="AO38" s="198">
        <f>$E38*餐厅成本录入!AO38</f>
        <v>0</v>
      </c>
      <c r="AP38" s="198">
        <f>$E38*餐厅成本录入!AP38</f>
        <v>0</v>
      </c>
      <c r="AQ38" s="198">
        <f>$E38*餐厅成本录入!AQ38</f>
        <v>0</v>
      </c>
      <c r="AR38" s="198">
        <f>$E38*餐厅成本录入!AR38</f>
        <v>0</v>
      </c>
      <c r="AS38" s="198">
        <f>$E38*餐厅成本录入!AS38</f>
        <v>0</v>
      </c>
      <c r="AT38" s="198">
        <f>$E38*餐厅成本录入!AT38</f>
        <v>0</v>
      </c>
      <c r="AU38" s="198">
        <f>$E38*餐厅成本录入!AU38</f>
        <v>0</v>
      </c>
      <c r="AV38" s="198">
        <f>$E38*餐厅成本录入!AV38</f>
        <v>0</v>
      </c>
      <c r="AW38" s="198">
        <f>$E38*餐厅成本录入!AW38</f>
        <v>0</v>
      </c>
      <c r="AX38" s="198">
        <f>$E38*餐厅成本录入!AX38</f>
        <v>0</v>
      </c>
      <c r="AY38" s="198">
        <f>$E38*餐厅成本录入!AY38</f>
        <v>0</v>
      </c>
      <c r="AZ38" s="198">
        <f>$E38*餐厅成本录入!AZ38</f>
        <v>0</v>
      </c>
      <c r="BA38" s="198">
        <f>$E38*餐厅成本录入!BA38</f>
        <v>0</v>
      </c>
      <c r="BB38" s="198">
        <f>$E38*餐厅成本录入!BB38</f>
        <v>0</v>
      </c>
      <c r="BC38" s="198">
        <f>$E38*餐厅成本录入!BC38</f>
        <v>0</v>
      </c>
      <c r="BD38" s="198">
        <f>$E38*餐厅成本录入!BD38</f>
        <v>0</v>
      </c>
      <c r="BE38" s="198">
        <f>$E38*餐厅成本录入!BE38</f>
        <v>0</v>
      </c>
      <c r="BF38" s="198">
        <f>$E38*餐厅成本录入!BF38</f>
        <v>0</v>
      </c>
      <c r="BG38" s="198">
        <f>$E38*餐厅成本录入!BG38</f>
        <v>0</v>
      </c>
      <c r="BH38" s="198">
        <f>$E38*餐厅成本录入!BH38</f>
        <v>0</v>
      </c>
      <c r="BI38" s="198">
        <f>$E38*餐厅成本录入!BI38</f>
        <v>0</v>
      </c>
      <c r="BJ38" s="198">
        <f>$E38*餐厅成本录入!BJ38</f>
        <v>0</v>
      </c>
      <c r="BK38" s="198">
        <f>$E38*餐厅成本录入!BK38</f>
        <v>0</v>
      </c>
      <c r="BL38" s="198">
        <f>$E38*餐厅成本录入!BL38</f>
        <v>0</v>
      </c>
      <c r="BM38" s="198">
        <f>$E38*餐厅成本录入!BM38</f>
        <v>0</v>
      </c>
      <c r="BN38" s="198">
        <f>$E38*餐厅成本录入!BN38</f>
        <v>0</v>
      </c>
      <c r="BO38" s="198">
        <f>$E38*餐厅成本录入!BO38</f>
        <v>0</v>
      </c>
      <c r="BP38" s="198">
        <f>$E38*餐厅成本录入!BP38</f>
        <v>0</v>
      </c>
      <c r="BQ38" s="198">
        <f>$E38*餐厅成本录入!BQ38</f>
        <v>0</v>
      </c>
      <c r="BR38" s="198">
        <f>$E38*餐厅成本录入!BR38</f>
        <v>0</v>
      </c>
      <c r="BS38" s="198">
        <f>$E38*餐厅成本录入!BS38</f>
        <v>0</v>
      </c>
      <c r="BT38" s="198">
        <f>$E38*餐厅成本录入!BT38</f>
        <v>0</v>
      </c>
      <c r="BU38" s="198">
        <f>$E38*餐厅成本录入!BU38</f>
        <v>0</v>
      </c>
      <c r="BV38" s="198">
        <f>$E38*餐厅成本录入!BV38</f>
        <v>0</v>
      </c>
      <c r="BW38" s="198">
        <f>$E38*餐厅成本录入!BW38</f>
        <v>0</v>
      </c>
    </row>
    <row r="39" s="178" customFormat="1" customHeight="1" spans="1:75">
      <c r="A39" s="161">
        <v>51</v>
      </c>
      <c r="B39" s="21" t="str">
        <f>餐厅成本录入!B39</f>
        <v>青萝卜</v>
      </c>
      <c r="C39" s="21">
        <f>餐厅成本录入!C39</f>
        <v>0</v>
      </c>
      <c r="D39" s="21">
        <f>餐厅成本录入!D39</f>
        <v>0</v>
      </c>
      <c r="E39" s="21">
        <f>餐厅成本录入!E39</f>
        <v>0</v>
      </c>
      <c r="F39" s="21">
        <f>餐厅成本录入!F39</f>
        <v>0</v>
      </c>
      <c r="G39" s="21">
        <f>餐厅成本录入!G39</f>
        <v>0</v>
      </c>
      <c r="H39" s="21">
        <f>餐厅成本录入!H39</f>
        <v>0</v>
      </c>
      <c r="I39" s="21">
        <f>餐厅成本录入!I39</f>
        <v>0</v>
      </c>
      <c r="J39" s="21">
        <f>餐厅成本录入!J39</f>
        <v>0</v>
      </c>
      <c r="K39" s="21">
        <f>餐厅成本录入!K39</f>
        <v>0</v>
      </c>
      <c r="L39" s="21">
        <f>餐厅成本录入!L39</f>
        <v>0</v>
      </c>
      <c r="M39" s="21">
        <f>餐厅成本录入!M39</f>
        <v>0</v>
      </c>
      <c r="N39" s="198">
        <f>$E39*餐厅成本录入!N39</f>
        <v>0</v>
      </c>
      <c r="O39" s="198">
        <f>$E39*餐厅成本录入!O39</f>
        <v>0</v>
      </c>
      <c r="P39" s="198">
        <f>$E39*餐厅成本录入!P39</f>
        <v>0</v>
      </c>
      <c r="Q39" s="198">
        <f>$E39*餐厅成本录入!Q39</f>
        <v>0</v>
      </c>
      <c r="R39" s="198">
        <f>$E39*餐厅成本录入!R39</f>
        <v>0</v>
      </c>
      <c r="S39" s="198">
        <f>$E39*餐厅成本录入!S39</f>
        <v>0</v>
      </c>
      <c r="T39" s="198">
        <f>$E39*餐厅成本录入!T39</f>
        <v>0</v>
      </c>
      <c r="U39" s="198">
        <f>$E39*餐厅成本录入!U39</f>
        <v>0</v>
      </c>
      <c r="V39" s="198">
        <f>$E39*餐厅成本录入!V39</f>
        <v>0</v>
      </c>
      <c r="W39" s="198">
        <f>$E39*餐厅成本录入!W39</f>
        <v>0</v>
      </c>
      <c r="X39" s="198">
        <f>$E39*餐厅成本录入!X39</f>
        <v>0</v>
      </c>
      <c r="Y39" s="198">
        <f>$E39*餐厅成本录入!Y39</f>
        <v>0</v>
      </c>
      <c r="Z39" s="198">
        <f>$E39*餐厅成本录入!Z39</f>
        <v>0</v>
      </c>
      <c r="AA39" s="198">
        <f>$E39*餐厅成本录入!AA39</f>
        <v>0</v>
      </c>
      <c r="AB39" s="198">
        <f>$E39*餐厅成本录入!AB39</f>
        <v>0</v>
      </c>
      <c r="AC39" s="198">
        <f>$E39*餐厅成本录入!AC39</f>
        <v>0</v>
      </c>
      <c r="AD39" s="198">
        <f>$E39*餐厅成本录入!AD39</f>
        <v>0</v>
      </c>
      <c r="AE39" s="198">
        <f>$E39*餐厅成本录入!AE39</f>
        <v>0</v>
      </c>
      <c r="AF39" s="198">
        <f>$E39*餐厅成本录入!AF39</f>
        <v>0</v>
      </c>
      <c r="AG39" s="198">
        <f>$E39*餐厅成本录入!AG39</f>
        <v>0</v>
      </c>
      <c r="AH39" s="198">
        <f>$E39*餐厅成本录入!AH39</f>
        <v>0</v>
      </c>
      <c r="AI39" s="198">
        <f>$E39*餐厅成本录入!AI39</f>
        <v>0</v>
      </c>
      <c r="AJ39" s="198">
        <f>$E39*餐厅成本录入!AJ39</f>
        <v>0</v>
      </c>
      <c r="AK39" s="198">
        <f>$E39*餐厅成本录入!AK39</f>
        <v>0</v>
      </c>
      <c r="AL39" s="198">
        <f>$E39*餐厅成本录入!AL39</f>
        <v>0</v>
      </c>
      <c r="AM39" s="198">
        <f>$E39*餐厅成本录入!AM39</f>
        <v>0</v>
      </c>
      <c r="AN39" s="198">
        <f>$E39*餐厅成本录入!AN39</f>
        <v>0</v>
      </c>
      <c r="AO39" s="198">
        <f>$E39*餐厅成本录入!AO39</f>
        <v>0</v>
      </c>
      <c r="AP39" s="198">
        <f>$E39*餐厅成本录入!AP39</f>
        <v>0</v>
      </c>
      <c r="AQ39" s="198">
        <f>$E39*餐厅成本录入!AQ39</f>
        <v>0</v>
      </c>
      <c r="AR39" s="198">
        <f>$E39*餐厅成本录入!AR39</f>
        <v>0</v>
      </c>
      <c r="AS39" s="198">
        <f>$E39*餐厅成本录入!AS39</f>
        <v>0</v>
      </c>
      <c r="AT39" s="198">
        <f>$E39*餐厅成本录入!AT39</f>
        <v>0</v>
      </c>
      <c r="AU39" s="198">
        <f>$E39*餐厅成本录入!AU39</f>
        <v>0</v>
      </c>
      <c r="AV39" s="198">
        <f>$E39*餐厅成本录入!AV39</f>
        <v>0</v>
      </c>
      <c r="AW39" s="198">
        <f>$E39*餐厅成本录入!AW39</f>
        <v>0</v>
      </c>
      <c r="AX39" s="198">
        <f>$E39*餐厅成本录入!AX39</f>
        <v>0</v>
      </c>
      <c r="AY39" s="198">
        <f>$E39*餐厅成本录入!AY39</f>
        <v>0</v>
      </c>
      <c r="AZ39" s="198">
        <f>$E39*餐厅成本录入!AZ39</f>
        <v>0</v>
      </c>
      <c r="BA39" s="198">
        <f>$E39*餐厅成本录入!BA39</f>
        <v>0</v>
      </c>
      <c r="BB39" s="198">
        <f>$E39*餐厅成本录入!BB39</f>
        <v>0</v>
      </c>
      <c r="BC39" s="198">
        <f>$E39*餐厅成本录入!BC39</f>
        <v>0</v>
      </c>
      <c r="BD39" s="198">
        <f>$E39*餐厅成本录入!BD39</f>
        <v>0</v>
      </c>
      <c r="BE39" s="198">
        <f>$E39*餐厅成本录入!BE39</f>
        <v>0</v>
      </c>
      <c r="BF39" s="198">
        <f>$E39*餐厅成本录入!BF39</f>
        <v>0</v>
      </c>
      <c r="BG39" s="198">
        <f>$E39*餐厅成本录入!BG39</f>
        <v>0</v>
      </c>
      <c r="BH39" s="198">
        <f>$E39*餐厅成本录入!BH39</f>
        <v>0</v>
      </c>
      <c r="BI39" s="198">
        <f>$E39*餐厅成本录入!BI39</f>
        <v>0</v>
      </c>
      <c r="BJ39" s="198">
        <f>$E39*餐厅成本录入!BJ39</f>
        <v>0</v>
      </c>
      <c r="BK39" s="198">
        <f>$E39*餐厅成本录入!BK39</f>
        <v>0</v>
      </c>
      <c r="BL39" s="198">
        <f>$E39*餐厅成本录入!BL39</f>
        <v>0</v>
      </c>
      <c r="BM39" s="198">
        <f>$E39*餐厅成本录入!BM39</f>
        <v>0</v>
      </c>
      <c r="BN39" s="198">
        <f>$E39*餐厅成本录入!BN39</f>
        <v>0</v>
      </c>
      <c r="BO39" s="198">
        <f>$E39*餐厅成本录入!BO39</f>
        <v>0</v>
      </c>
      <c r="BP39" s="198">
        <f>$E39*餐厅成本录入!BP39</f>
        <v>0</v>
      </c>
      <c r="BQ39" s="198">
        <f>$E39*餐厅成本录入!BQ39</f>
        <v>0</v>
      </c>
      <c r="BR39" s="198">
        <f>$E39*餐厅成本录入!BR39</f>
        <v>0</v>
      </c>
      <c r="BS39" s="198">
        <f>$E39*餐厅成本录入!BS39</f>
        <v>0</v>
      </c>
      <c r="BT39" s="198">
        <f>$E39*餐厅成本录入!BT39</f>
        <v>0</v>
      </c>
      <c r="BU39" s="198">
        <f>$E39*餐厅成本录入!BU39</f>
        <v>0</v>
      </c>
      <c r="BV39" s="198">
        <f>$E39*餐厅成本录入!BV39</f>
        <v>0</v>
      </c>
      <c r="BW39" s="198">
        <f>$E39*餐厅成本录入!BW39</f>
        <v>0</v>
      </c>
    </row>
    <row r="40" s="178" customFormat="1" customHeight="1" spans="1:75">
      <c r="A40" s="161">
        <v>52</v>
      </c>
      <c r="B40" s="21" t="str">
        <f>餐厅成本录入!B40</f>
        <v>樱桃萝卜</v>
      </c>
      <c r="C40" s="21">
        <f>餐厅成本录入!C40</f>
        <v>0</v>
      </c>
      <c r="D40" s="21">
        <f>餐厅成本录入!D40</f>
        <v>0</v>
      </c>
      <c r="E40" s="21">
        <f>餐厅成本录入!E40</f>
        <v>0</v>
      </c>
      <c r="F40" s="21">
        <f>餐厅成本录入!F40</f>
        <v>0</v>
      </c>
      <c r="G40" s="21">
        <f>餐厅成本录入!G40</f>
        <v>0</v>
      </c>
      <c r="H40" s="21">
        <f>餐厅成本录入!H40</f>
        <v>3.1</v>
      </c>
      <c r="I40" s="21">
        <f>餐厅成本录入!I40</f>
        <v>0</v>
      </c>
      <c r="J40" s="21">
        <f>餐厅成本录入!J40</f>
        <v>3.1</v>
      </c>
      <c r="K40" s="21">
        <f>餐厅成本录入!K40</f>
        <v>0</v>
      </c>
      <c r="L40" s="21">
        <f>餐厅成本录入!L40</f>
        <v>0</v>
      </c>
      <c r="M40" s="21">
        <f>餐厅成本录入!M40</f>
        <v>0</v>
      </c>
      <c r="N40" s="198">
        <f>$E40*餐厅成本录入!N40</f>
        <v>0</v>
      </c>
      <c r="O40" s="198">
        <f>$E40*餐厅成本录入!O40</f>
        <v>0</v>
      </c>
      <c r="P40" s="198">
        <f>$E40*餐厅成本录入!P40</f>
        <v>0</v>
      </c>
      <c r="Q40" s="198">
        <f>$E40*餐厅成本录入!Q40</f>
        <v>0</v>
      </c>
      <c r="R40" s="198">
        <f>$E40*餐厅成本录入!R40</f>
        <v>0</v>
      </c>
      <c r="S40" s="198">
        <f>$E40*餐厅成本录入!S40</f>
        <v>0</v>
      </c>
      <c r="T40" s="198">
        <f>$E40*餐厅成本录入!T40</f>
        <v>0</v>
      </c>
      <c r="U40" s="198">
        <f>$E40*餐厅成本录入!U40</f>
        <v>0</v>
      </c>
      <c r="V40" s="198">
        <f>$E40*餐厅成本录入!V40</f>
        <v>0</v>
      </c>
      <c r="W40" s="198">
        <f>$E40*餐厅成本录入!W40</f>
        <v>0</v>
      </c>
      <c r="X40" s="198">
        <f>$E40*餐厅成本录入!X40</f>
        <v>0</v>
      </c>
      <c r="Y40" s="198">
        <f>$E40*餐厅成本录入!Y40</f>
        <v>0</v>
      </c>
      <c r="Z40" s="198">
        <f>$E40*餐厅成本录入!Z40</f>
        <v>0</v>
      </c>
      <c r="AA40" s="198">
        <f>$E40*餐厅成本录入!AA40</f>
        <v>0</v>
      </c>
      <c r="AB40" s="198">
        <f>$E40*餐厅成本录入!AB40</f>
        <v>0</v>
      </c>
      <c r="AC40" s="198">
        <f>$E40*餐厅成本录入!AC40</f>
        <v>0</v>
      </c>
      <c r="AD40" s="198">
        <f>$E40*餐厅成本录入!AD40</f>
        <v>0</v>
      </c>
      <c r="AE40" s="198">
        <f>$E40*餐厅成本录入!AE40</f>
        <v>0</v>
      </c>
      <c r="AF40" s="198">
        <f>$E40*餐厅成本录入!AF40</f>
        <v>0</v>
      </c>
      <c r="AG40" s="198">
        <f>$E40*餐厅成本录入!AG40</f>
        <v>0</v>
      </c>
      <c r="AH40" s="198">
        <f>$E40*餐厅成本录入!AH40</f>
        <v>0</v>
      </c>
      <c r="AI40" s="198">
        <f>$E40*餐厅成本录入!AI40</f>
        <v>0</v>
      </c>
      <c r="AJ40" s="198">
        <f>$E40*餐厅成本录入!AJ40</f>
        <v>0</v>
      </c>
      <c r="AK40" s="198">
        <f>$E40*餐厅成本录入!AK40</f>
        <v>0</v>
      </c>
      <c r="AL40" s="198">
        <f>$E40*餐厅成本录入!AL40</f>
        <v>0</v>
      </c>
      <c r="AM40" s="198">
        <f>$E40*餐厅成本录入!AM40</f>
        <v>0</v>
      </c>
      <c r="AN40" s="198">
        <f>$E40*餐厅成本录入!AN40</f>
        <v>0</v>
      </c>
      <c r="AO40" s="198">
        <f>$E40*餐厅成本录入!AO40</f>
        <v>0</v>
      </c>
      <c r="AP40" s="198">
        <f>$E40*餐厅成本录入!AP40</f>
        <v>0</v>
      </c>
      <c r="AQ40" s="198">
        <f>$E40*餐厅成本录入!AQ40</f>
        <v>0</v>
      </c>
      <c r="AR40" s="198">
        <f>$E40*餐厅成本录入!AR40</f>
        <v>0</v>
      </c>
      <c r="AS40" s="198">
        <f>$E40*餐厅成本录入!AS40</f>
        <v>0</v>
      </c>
      <c r="AT40" s="198">
        <f>$E40*餐厅成本录入!AT40</f>
        <v>0</v>
      </c>
      <c r="AU40" s="198">
        <f>$E40*餐厅成本录入!AU40</f>
        <v>0</v>
      </c>
      <c r="AV40" s="198">
        <f>$E40*餐厅成本录入!AV40</f>
        <v>0</v>
      </c>
      <c r="AW40" s="198">
        <f>$E40*餐厅成本录入!AW40</f>
        <v>0</v>
      </c>
      <c r="AX40" s="198">
        <f>$E40*餐厅成本录入!AX40</f>
        <v>0</v>
      </c>
      <c r="AY40" s="198">
        <f>$E40*餐厅成本录入!AY40</f>
        <v>0</v>
      </c>
      <c r="AZ40" s="198">
        <f>$E40*餐厅成本录入!AZ40</f>
        <v>0</v>
      </c>
      <c r="BA40" s="198">
        <f>$E40*餐厅成本录入!BA40</f>
        <v>0</v>
      </c>
      <c r="BB40" s="198">
        <f>$E40*餐厅成本录入!BB40</f>
        <v>0</v>
      </c>
      <c r="BC40" s="198">
        <f>$E40*餐厅成本录入!BC40</f>
        <v>0</v>
      </c>
      <c r="BD40" s="198">
        <f>$E40*餐厅成本录入!BD40</f>
        <v>0</v>
      </c>
      <c r="BE40" s="198">
        <f>$E40*餐厅成本录入!BE40</f>
        <v>0</v>
      </c>
      <c r="BF40" s="198">
        <f>$E40*餐厅成本录入!BF40</f>
        <v>0</v>
      </c>
      <c r="BG40" s="198">
        <f>$E40*餐厅成本录入!BG40</f>
        <v>0</v>
      </c>
      <c r="BH40" s="198">
        <f>$E40*餐厅成本录入!BH40</f>
        <v>0</v>
      </c>
      <c r="BI40" s="198">
        <f>$E40*餐厅成本录入!BI40</f>
        <v>0</v>
      </c>
      <c r="BJ40" s="198">
        <f>$E40*餐厅成本录入!BJ40</f>
        <v>0</v>
      </c>
      <c r="BK40" s="198">
        <f>$E40*餐厅成本录入!BK40</f>
        <v>0</v>
      </c>
      <c r="BL40" s="198">
        <f>$E40*餐厅成本录入!BL40</f>
        <v>0</v>
      </c>
      <c r="BM40" s="198">
        <f>$E40*餐厅成本录入!BM40</f>
        <v>0</v>
      </c>
      <c r="BN40" s="198">
        <f>$E40*餐厅成本录入!BN40</f>
        <v>0</v>
      </c>
      <c r="BO40" s="198">
        <f>$E40*餐厅成本录入!BO40</f>
        <v>0</v>
      </c>
      <c r="BP40" s="198">
        <f>$E40*餐厅成本录入!BP40</f>
        <v>0</v>
      </c>
      <c r="BQ40" s="198">
        <f>$E40*餐厅成本录入!BQ40</f>
        <v>0</v>
      </c>
      <c r="BR40" s="198">
        <f>$E40*餐厅成本录入!BR40</f>
        <v>0</v>
      </c>
      <c r="BS40" s="198">
        <f>$E40*餐厅成本录入!BS40</f>
        <v>0</v>
      </c>
      <c r="BT40" s="198">
        <f>$E40*餐厅成本录入!BT40</f>
        <v>0</v>
      </c>
      <c r="BU40" s="198">
        <f>$E40*餐厅成本录入!BU40</f>
        <v>0</v>
      </c>
      <c r="BV40" s="198">
        <f>$E40*餐厅成本录入!BV40</f>
        <v>0</v>
      </c>
      <c r="BW40" s="198">
        <f>$E40*餐厅成本录入!BW40</f>
        <v>0</v>
      </c>
    </row>
    <row r="41" s="178" customFormat="1" customHeight="1" spans="1:75">
      <c r="A41" s="161">
        <v>53</v>
      </c>
      <c r="B41" s="21" t="str">
        <f>餐厅成本录入!B41</f>
        <v>青杭椒</v>
      </c>
      <c r="C41" s="21">
        <f>餐厅成本录入!C41</f>
        <v>0</v>
      </c>
      <c r="D41" s="21">
        <f>餐厅成本录入!D41</f>
        <v>0</v>
      </c>
      <c r="E41" s="21">
        <f>餐厅成本录入!E41</f>
        <v>8</v>
      </c>
      <c r="F41" s="21">
        <f>餐厅成本录入!F41</f>
        <v>0</v>
      </c>
      <c r="G41" s="21">
        <f>餐厅成本录入!G41</f>
        <v>0</v>
      </c>
      <c r="H41" s="21">
        <f>餐厅成本录入!H41</f>
        <v>6.3</v>
      </c>
      <c r="I41" s="21">
        <f>餐厅成本录入!I41</f>
        <v>50.4</v>
      </c>
      <c r="J41" s="21">
        <f>餐厅成本录入!J41</f>
        <v>6.3</v>
      </c>
      <c r="K41" s="21">
        <f>餐厅成本录入!K41</f>
        <v>50.4</v>
      </c>
      <c r="L41" s="21">
        <f>餐厅成本录入!L41</f>
        <v>0</v>
      </c>
      <c r="M41" s="21">
        <f>餐厅成本录入!M41</f>
        <v>0</v>
      </c>
      <c r="N41" s="198">
        <f>$E41*餐厅成本录入!N41</f>
        <v>0</v>
      </c>
      <c r="O41" s="198">
        <f>$E41*餐厅成本录入!O41</f>
        <v>0</v>
      </c>
      <c r="P41" s="198">
        <f>$E41*餐厅成本录入!P41</f>
        <v>24.8</v>
      </c>
      <c r="Q41" s="198">
        <f>$E41*餐厅成本录入!Q41</f>
        <v>24.8</v>
      </c>
      <c r="R41" s="198">
        <f>$E41*餐厅成本录入!R41</f>
        <v>0</v>
      </c>
      <c r="S41" s="198">
        <f>$E41*餐厅成本录入!S41</f>
        <v>0</v>
      </c>
      <c r="T41" s="198">
        <f>$E41*餐厅成本录入!T41</f>
        <v>0</v>
      </c>
      <c r="U41" s="198">
        <f>$E41*餐厅成本录入!U41</f>
        <v>0</v>
      </c>
      <c r="V41" s="198">
        <f>$E41*餐厅成本录入!V41</f>
        <v>0</v>
      </c>
      <c r="W41" s="198">
        <f>$E41*餐厅成本录入!W41</f>
        <v>0</v>
      </c>
      <c r="X41" s="198">
        <f>$E41*餐厅成本录入!X41</f>
        <v>0</v>
      </c>
      <c r="Y41" s="198">
        <f>$E41*餐厅成本录入!Y41</f>
        <v>0</v>
      </c>
      <c r="Z41" s="198">
        <f>$E41*餐厅成本录入!Z41</f>
        <v>0</v>
      </c>
      <c r="AA41" s="198">
        <f>$E41*餐厅成本录入!AA41</f>
        <v>0</v>
      </c>
      <c r="AB41" s="198">
        <f>$E41*餐厅成本录入!AB41</f>
        <v>0</v>
      </c>
      <c r="AC41" s="198">
        <f>$E41*餐厅成本录入!AC41</f>
        <v>0</v>
      </c>
      <c r="AD41" s="198">
        <f>$E41*餐厅成本录入!AD41</f>
        <v>0</v>
      </c>
      <c r="AE41" s="198">
        <f>$E41*餐厅成本录入!AE41</f>
        <v>0</v>
      </c>
      <c r="AF41" s="198">
        <f>$E41*餐厅成本录入!AF41</f>
        <v>0</v>
      </c>
      <c r="AG41" s="198">
        <f>$E41*餐厅成本录入!AG41</f>
        <v>0</v>
      </c>
      <c r="AH41" s="198">
        <f>$E41*餐厅成本录入!AH41</f>
        <v>25.6</v>
      </c>
      <c r="AI41" s="198">
        <f>$E41*餐厅成本录入!AI41</f>
        <v>25.6</v>
      </c>
      <c r="AJ41" s="198">
        <f>$E41*餐厅成本录入!AJ41</f>
        <v>0</v>
      </c>
      <c r="AK41" s="198">
        <f>$E41*餐厅成本录入!AK41</f>
        <v>0</v>
      </c>
      <c r="AL41" s="198">
        <f>$E41*餐厅成本录入!AL41</f>
        <v>0</v>
      </c>
      <c r="AM41" s="198">
        <f>$E41*餐厅成本录入!AM41</f>
        <v>0</v>
      </c>
      <c r="AN41" s="198">
        <f>$E41*餐厅成本录入!AN41</f>
        <v>0</v>
      </c>
      <c r="AO41" s="198">
        <f>$E41*餐厅成本录入!AO41</f>
        <v>0</v>
      </c>
      <c r="AP41" s="198">
        <f>$E41*餐厅成本录入!AP41</f>
        <v>0</v>
      </c>
      <c r="AQ41" s="198">
        <f>$E41*餐厅成本录入!AQ41</f>
        <v>0</v>
      </c>
      <c r="AR41" s="198">
        <f>$E41*餐厅成本录入!AR41</f>
        <v>0</v>
      </c>
      <c r="AS41" s="198">
        <f>$E41*餐厅成本录入!AS41</f>
        <v>0</v>
      </c>
      <c r="AT41" s="198">
        <f>$E41*餐厅成本录入!AT41</f>
        <v>0</v>
      </c>
      <c r="AU41" s="198">
        <f>$E41*餐厅成本录入!AU41</f>
        <v>0</v>
      </c>
      <c r="AV41" s="198">
        <f>$E41*餐厅成本录入!AV41</f>
        <v>0</v>
      </c>
      <c r="AW41" s="198">
        <f>$E41*餐厅成本录入!AW41</f>
        <v>0</v>
      </c>
      <c r="AX41" s="198">
        <f>$E41*餐厅成本录入!AX41</f>
        <v>0</v>
      </c>
      <c r="AY41" s="198">
        <f>$E41*餐厅成本录入!AY41</f>
        <v>0</v>
      </c>
      <c r="AZ41" s="198">
        <f>$E41*餐厅成本录入!AZ41</f>
        <v>0</v>
      </c>
      <c r="BA41" s="198">
        <f>$E41*餐厅成本录入!BA41</f>
        <v>0</v>
      </c>
      <c r="BB41" s="198">
        <f>$E41*餐厅成本录入!BB41</f>
        <v>0</v>
      </c>
      <c r="BC41" s="198">
        <f>$E41*餐厅成本录入!BC41</f>
        <v>0</v>
      </c>
      <c r="BD41" s="198">
        <f>$E41*餐厅成本录入!BD41</f>
        <v>0</v>
      </c>
      <c r="BE41" s="198">
        <f>$E41*餐厅成本录入!BE41</f>
        <v>0</v>
      </c>
      <c r="BF41" s="198">
        <f>$E41*餐厅成本录入!BF41</f>
        <v>0</v>
      </c>
      <c r="BG41" s="198">
        <f>$E41*餐厅成本录入!BG41</f>
        <v>0</v>
      </c>
      <c r="BH41" s="198">
        <f>$E41*餐厅成本录入!BH41</f>
        <v>0</v>
      </c>
      <c r="BI41" s="198">
        <f>$E41*餐厅成本录入!BI41</f>
        <v>0</v>
      </c>
      <c r="BJ41" s="198">
        <f>$E41*餐厅成本录入!BJ41</f>
        <v>0</v>
      </c>
      <c r="BK41" s="198">
        <f>$E41*餐厅成本录入!BK41</f>
        <v>0</v>
      </c>
      <c r="BL41" s="198">
        <f>$E41*餐厅成本录入!BL41</f>
        <v>0</v>
      </c>
      <c r="BM41" s="198">
        <f>$E41*餐厅成本录入!BM41</f>
        <v>0</v>
      </c>
      <c r="BN41" s="198">
        <f>$E41*餐厅成本录入!BN41</f>
        <v>0</v>
      </c>
      <c r="BO41" s="198">
        <f>$E41*餐厅成本录入!BO41</f>
        <v>0</v>
      </c>
      <c r="BP41" s="198">
        <f>$E41*餐厅成本录入!BP41</f>
        <v>0</v>
      </c>
      <c r="BQ41" s="198">
        <f>$E41*餐厅成本录入!BQ41</f>
        <v>0</v>
      </c>
      <c r="BR41" s="198">
        <f>$E41*餐厅成本录入!BR41</f>
        <v>0</v>
      </c>
      <c r="BS41" s="198">
        <f>$E41*餐厅成本录入!BS41</f>
        <v>0</v>
      </c>
      <c r="BT41" s="198">
        <f>$E41*餐厅成本录入!BT41</f>
        <v>0</v>
      </c>
      <c r="BU41" s="198">
        <f>$E41*餐厅成本录入!BU41</f>
        <v>0</v>
      </c>
      <c r="BV41" s="198">
        <f>$E41*餐厅成本录入!BV41</f>
        <v>0</v>
      </c>
      <c r="BW41" s="198">
        <f>$E41*餐厅成本录入!BW41</f>
        <v>0</v>
      </c>
    </row>
    <row r="42" s="178" customFormat="1" customHeight="1" spans="1:75">
      <c r="A42" s="161">
        <v>55</v>
      </c>
      <c r="B42" s="21" t="str">
        <f>餐厅成本录入!B42</f>
        <v>紫甘蓝</v>
      </c>
      <c r="C42" s="21">
        <f>餐厅成本录入!C42</f>
        <v>0</v>
      </c>
      <c r="D42" s="21">
        <f>餐厅成本录入!D42</f>
        <v>0</v>
      </c>
      <c r="E42" s="21">
        <f>餐厅成本录入!E42</f>
        <v>2</v>
      </c>
      <c r="F42" s="21">
        <f>餐厅成本录入!F42</f>
        <v>0</v>
      </c>
      <c r="G42" s="21">
        <f>餐厅成本录入!G42</f>
        <v>0</v>
      </c>
      <c r="H42" s="21">
        <f>餐厅成本录入!H42</f>
        <v>15.5</v>
      </c>
      <c r="I42" s="21">
        <f>餐厅成本录入!I42</f>
        <v>31</v>
      </c>
      <c r="J42" s="21">
        <f>餐厅成本录入!J42</f>
        <v>15.5</v>
      </c>
      <c r="K42" s="21">
        <f>餐厅成本录入!K42</f>
        <v>31</v>
      </c>
      <c r="L42" s="21">
        <f>餐厅成本录入!L42</f>
        <v>0</v>
      </c>
      <c r="M42" s="21">
        <f>餐厅成本录入!M42</f>
        <v>0</v>
      </c>
      <c r="N42" s="198">
        <f>$E42*餐厅成本录入!N42</f>
        <v>0</v>
      </c>
      <c r="O42" s="198">
        <f>$E42*餐厅成本录入!O42</f>
        <v>0</v>
      </c>
      <c r="P42" s="198">
        <f>$E42*餐厅成本录入!P42</f>
        <v>0</v>
      </c>
      <c r="Q42" s="198">
        <f>$E42*餐厅成本录入!Q42</f>
        <v>0</v>
      </c>
      <c r="R42" s="198">
        <f>$E42*餐厅成本录入!R42</f>
        <v>0</v>
      </c>
      <c r="S42" s="198">
        <f>$E42*餐厅成本录入!S42</f>
        <v>0</v>
      </c>
      <c r="T42" s="198">
        <f>$E42*餐厅成本录入!T42</f>
        <v>0</v>
      </c>
      <c r="U42" s="198">
        <f>$E42*餐厅成本录入!U42</f>
        <v>0</v>
      </c>
      <c r="V42" s="198">
        <f>$E42*餐厅成本录入!V42</f>
        <v>10</v>
      </c>
      <c r="W42" s="198">
        <f>$E42*餐厅成本录入!W42</f>
        <v>10</v>
      </c>
      <c r="X42" s="198">
        <f>$E42*餐厅成本录入!X42</f>
        <v>0</v>
      </c>
      <c r="Y42" s="198">
        <f>$E42*餐厅成本录入!Y42</f>
        <v>0</v>
      </c>
      <c r="Z42" s="198">
        <f>$E42*餐厅成本录入!Z42</f>
        <v>0</v>
      </c>
      <c r="AA42" s="198">
        <f>$E42*餐厅成本录入!AA42</f>
        <v>0</v>
      </c>
      <c r="AB42" s="198">
        <f>$E42*餐厅成本录入!AB42</f>
        <v>0</v>
      </c>
      <c r="AC42" s="198">
        <f>$E42*餐厅成本录入!AC42</f>
        <v>0</v>
      </c>
      <c r="AD42" s="198">
        <f>$E42*餐厅成本录入!AD42</f>
        <v>0</v>
      </c>
      <c r="AE42" s="198">
        <f>$E42*餐厅成本录入!AE42</f>
        <v>0</v>
      </c>
      <c r="AF42" s="198">
        <f>$E42*餐厅成本录入!AF42</f>
        <v>0</v>
      </c>
      <c r="AG42" s="198">
        <f>$E42*餐厅成本录入!AG42</f>
        <v>0</v>
      </c>
      <c r="AH42" s="198">
        <f>$E42*餐厅成本录入!AH42</f>
        <v>13</v>
      </c>
      <c r="AI42" s="198">
        <f>$E42*餐厅成本录入!AI42</f>
        <v>13</v>
      </c>
      <c r="AJ42" s="198">
        <f>$E42*餐厅成本录入!AJ42</f>
        <v>0</v>
      </c>
      <c r="AK42" s="198">
        <f>$E42*餐厅成本录入!AK42</f>
        <v>0</v>
      </c>
      <c r="AL42" s="198">
        <f>$E42*餐厅成本录入!AL42</f>
        <v>0</v>
      </c>
      <c r="AM42" s="198">
        <f>$E42*餐厅成本录入!AM42</f>
        <v>0</v>
      </c>
      <c r="AN42" s="198">
        <f>$E42*餐厅成本录入!AN42</f>
        <v>0</v>
      </c>
      <c r="AO42" s="198">
        <f>$E42*餐厅成本录入!AO42</f>
        <v>0</v>
      </c>
      <c r="AP42" s="198">
        <f>$E42*餐厅成本录入!AP42</f>
        <v>0</v>
      </c>
      <c r="AQ42" s="198">
        <f>$E42*餐厅成本录入!AQ42</f>
        <v>0</v>
      </c>
      <c r="AR42" s="198">
        <f>$E42*餐厅成本录入!AR42</f>
        <v>0</v>
      </c>
      <c r="AS42" s="198">
        <f>$E42*餐厅成本录入!AS42</f>
        <v>0</v>
      </c>
      <c r="AT42" s="198">
        <f>$E42*餐厅成本录入!AT42</f>
        <v>0</v>
      </c>
      <c r="AU42" s="198">
        <f>$E42*餐厅成本录入!AU42</f>
        <v>0</v>
      </c>
      <c r="AV42" s="198">
        <f>$E42*餐厅成本录入!AV42</f>
        <v>0</v>
      </c>
      <c r="AW42" s="198">
        <f>$E42*餐厅成本录入!AW42</f>
        <v>0</v>
      </c>
      <c r="AX42" s="198">
        <f>$E42*餐厅成本录入!AX42</f>
        <v>0</v>
      </c>
      <c r="AY42" s="198">
        <f>$E42*餐厅成本录入!AY42</f>
        <v>0</v>
      </c>
      <c r="AZ42" s="198">
        <f>$E42*餐厅成本录入!AZ42</f>
        <v>0</v>
      </c>
      <c r="BA42" s="198">
        <f>$E42*餐厅成本录入!BA42</f>
        <v>0</v>
      </c>
      <c r="BB42" s="198">
        <f>$E42*餐厅成本录入!BB42</f>
        <v>0</v>
      </c>
      <c r="BC42" s="198">
        <f>$E42*餐厅成本录入!BC42</f>
        <v>0</v>
      </c>
      <c r="BD42" s="198">
        <f>$E42*餐厅成本录入!BD42</f>
        <v>0</v>
      </c>
      <c r="BE42" s="198">
        <f>$E42*餐厅成本录入!BE42</f>
        <v>0</v>
      </c>
      <c r="BF42" s="198">
        <f>$E42*餐厅成本录入!BF42</f>
        <v>4</v>
      </c>
      <c r="BG42" s="198">
        <f>$E42*餐厅成本录入!BG42</f>
        <v>4</v>
      </c>
      <c r="BH42" s="198">
        <f>$E42*餐厅成本录入!BH42</f>
        <v>0</v>
      </c>
      <c r="BI42" s="198">
        <f>$E42*餐厅成本录入!BI42</f>
        <v>0</v>
      </c>
      <c r="BJ42" s="198">
        <f>$E42*餐厅成本录入!BJ42</f>
        <v>0</v>
      </c>
      <c r="BK42" s="198">
        <f>$E42*餐厅成本录入!BK42</f>
        <v>0</v>
      </c>
      <c r="BL42" s="198">
        <f>$E42*餐厅成本录入!BL42</f>
        <v>4</v>
      </c>
      <c r="BM42" s="198">
        <f>$E42*餐厅成本录入!BM42</f>
        <v>4</v>
      </c>
      <c r="BN42" s="198">
        <f>$E42*餐厅成本录入!BN42</f>
        <v>0</v>
      </c>
      <c r="BO42" s="198">
        <f>$E42*餐厅成本录入!BO42</f>
        <v>0</v>
      </c>
      <c r="BP42" s="198">
        <f>$E42*餐厅成本录入!BP42</f>
        <v>0</v>
      </c>
      <c r="BQ42" s="198">
        <f>$E42*餐厅成本录入!BQ42</f>
        <v>0</v>
      </c>
      <c r="BR42" s="198">
        <f>$E42*餐厅成本录入!BR42</f>
        <v>0</v>
      </c>
      <c r="BS42" s="198">
        <f>$E42*餐厅成本录入!BS42</f>
        <v>0</v>
      </c>
      <c r="BT42" s="198">
        <f>$E42*餐厅成本录入!BT42</f>
        <v>0</v>
      </c>
      <c r="BU42" s="198">
        <f>$E42*餐厅成本录入!BU42</f>
        <v>0</v>
      </c>
      <c r="BV42" s="198">
        <f>$E42*餐厅成本录入!BV42</f>
        <v>0</v>
      </c>
      <c r="BW42" s="198">
        <f>$E42*餐厅成本录入!BW42</f>
        <v>0</v>
      </c>
    </row>
    <row r="43" s="178" customFormat="1" customHeight="1" spans="1:75">
      <c r="A43" s="161">
        <v>56</v>
      </c>
      <c r="B43" s="21" t="str">
        <f>餐厅成本录入!B43</f>
        <v>马家沟芹菜</v>
      </c>
      <c r="C43" s="21">
        <f>餐厅成本录入!C43</f>
        <v>0</v>
      </c>
      <c r="D43" s="21">
        <f>餐厅成本录入!D43</f>
        <v>0</v>
      </c>
      <c r="E43" s="21">
        <f>餐厅成本录入!E43</f>
        <v>8</v>
      </c>
      <c r="F43" s="21">
        <f>餐厅成本录入!F43</f>
        <v>0</v>
      </c>
      <c r="G43" s="21">
        <f>餐厅成本录入!G43</f>
        <v>0</v>
      </c>
      <c r="H43" s="21">
        <f>餐厅成本录入!H43</f>
        <v>3</v>
      </c>
      <c r="I43" s="21">
        <f>餐厅成本录入!I43</f>
        <v>24</v>
      </c>
      <c r="J43" s="21">
        <f>餐厅成本录入!J43</f>
        <v>3</v>
      </c>
      <c r="K43" s="21">
        <f>餐厅成本录入!K43</f>
        <v>24</v>
      </c>
      <c r="L43" s="21">
        <f>餐厅成本录入!L43</f>
        <v>0</v>
      </c>
      <c r="M43" s="21">
        <f>餐厅成本录入!M43</f>
        <v>0</v>
      </c>
      <c r="N43" s="198">
        <f>$E43*餐厅成本录入!N43</f>
        <v>0</v>
      </c>
      <c r="O43" s="198">
        <f>$E43*餐厅成本录入!O43</f>
        <v>0</v>
      </c>
      <c r="P43" s="198">
        <f>$E43*餐厅成本录入!P43</f>
        <v>24</v>
      </c>
      <c r="Q43" s="198">
        <f>$E43*餐厅成本录入!Q43</f>
        <v>24</v>
      </c>
      <c r="R43" s="198">
        <f>$E43*餐厅成本录入!R43</f>
        <v>0</v>
      </c>
      <c r="S43" s="198">
        <f>$E43*餐厅成本录入!S43</f>
        <v>0</v>
      </c>
      <c r="T43" s="198">
        <f>$E43*餐厅成本录入!T43</f>
        <v>0</v>
      </c>
      <c r="U43" s="198">
        <f>$E43*餐厅成本录入!U43</f>
        <v>0</v>
      </c>
      <c r="V43" s="198">
        <f>$E43*餐厅成本录入!V43</f>
        <v>0</v>
      </c>
      <c r="W43" s="198">
        <f>$E43*餐厅成本录入!W43</f>
        <v>0</v>
      </c>
      <c r="X43" s="198">
        <f>$E43*餐厅成本录入!X43</f>
        <v>0</v>
      </c>
      <c r="Y43" s="198">
        <f>$E43*餐厅成本录入!Y43</f>
        <v>0</v>
      </c>
      <c r="Z43" s="198">
        <f>$E43*餐厅成本录入!Z43</f>
        <v>0</v>
      </c>
      <c r="AA43" s="198">
        <f>$E43*餐厅成本录入!AA43</f>
        <v>0</v>
      </c>
      <c r="AB43" s="198">
        <f>$E43*餐厅成本录入!AB43</f>
        <v>0</v>
      </c>
      <c r="AC43" s="198">
        <f>$E43*餐厅成本录入!AC43</f>
        <v>0</v>
      </c>
      <c r="AD43" s="198">
        <f>$E43*餐厅成本录入!AD43</f>
        <v>0</v>
      </c>
      <c r="AE43" s="198">
        <f>$E43*餐厅成本录入!AE43</f>
        <v>0</v>
      </c>
      <c r="AF43" s="198">
        <f>$E43*餐厅成本录入!AF43</f>
        <v>0</v>
      </c>
      <c r="AG43" s="198">
        <f>$E43*餐厅成本录入!AG43</f>
        <v>0</v>
      </c>
      <c r="AH43" s="198">
        <f>$E43*餐厅成本录入!AH43</f>
        <v>0</v>
      </c>
      <c r="AI43" s="198">
        <f>$E43*餐厅成本录入!AI43</f>
        <v>0</v>
      </c>
      <c r="AJ43" s="198">
        <f>$E43*餐厅成本录入!AJ43</f>
        <v>0</v>
      </c>
      <c r="AK43" s="198">
        <f>$E43*餐厅成本录入!AK43</f>
        <v>0</v>
      </c>
      <c r="AL43" s="198">
        <f>$E43*餐厅成本录入!AL43</f>
        <v>0</v>
      </c>
      <c r="AM43" s="198">
        <f>$E43*餐厅成本录入!AM43</f>
        <v>0</v>
      </c>
      <c r="AN43" s="198">
        <f>$E43*餐厅成本录入!AN43</f>
        <v>0</v>
      </c>
      <c r="AO43" s="198">
        <f>$E43*餐厅成本录入!AO43</f>
        <v>0</v>
      </c>
      <c r="AP43" s="198">
        <f>$E43*餐厅成本录入!AP43</f>
        <v>0</v>
      </c>
      <c r="AQ43" s="198">
        <f>$E43*餐厅成本录入!AQ43</f>
        <v>0</v>
      </c>
      <c r="AR43" s="198">
        <f>$E43*餐厅成本录入!AR43</f>
        <v>0</v>
      </c>
      <c r="AS43" s="198">
        <f>$E43*餐厅成本录入!AS43</f>
        <v>0</v>
      </c>
      <c r="AT43" s="198">
        <f>$E43*餐厅成本录入!AT43</f>
        <v>0</v>
      </c>
      <c r="AU43" s="198">
        <f>$E43*餐厅成本录入!AU43</f>
        <v>0</v>
      </c>
      <c r="AV43" s="198">
        <f>$E43*餐厅成本录入!AV43</f>
        <v>0</v>
      </c>
      <c r="AW43" s="198">
        <f>$E43*餐厅成本录入!AW43</f>
        <v>0</v>
      </c>
      <c r="AX43" s="198">
        <f>$E43*餐厅成本录入!AX43</f>
        <v>0</v>
      </c>
      <c r="AY43" s="198">
        <f>$E43*餐厅成本录入!AY43</f>
        <v>0</v>
      </c>
      <c r="AZ43" s="198">
        <f>$E43*餐厅成本录入!AZ43</f>
        <v>0</v>
      </c>
      <c r="BA43" s="198">
        <f>$E43*餐厅成本录入!BA43</f>
        <v>0</v>
      </c>
      <c r="BB43" s="198">
        <f>$E43*餐厅成本录入!BB43</f>
        <v>0</v>
      </c>
      <c r="BC43" s="198">
        <f>$E43*餐厅成本录入!BC43</f>
        <v>0</v>
      </c>
      <c r="BD43" s="198">
        <f>$E43*餐厅成本录入!BD43</f>
        <v>0</v>
      </c>
      <c r="BE43" s="198">
        <f>$E43*餐厅成本录入!BE43</f>
        <v>0</v>
      </c>
      <c r="BF43" s="198">
        <f>$E43*餐厅成本录入!BF43</f>
        <v>0</v>
      </c>
      <c r="BG43" s="198">
        <f>$E43*餐厅成本录入!BG43</f>
        <v>0</v>
      </c>
      <c r="BH43" s="198">
        <f>$E43*餐厅成本录入!BH43</f>
        <v>0</v>
      </c>
      <c r="BI43" s="198">
        <f>$E43*餐厅成本录入!BI43</f>
        <v>0</v>
      </c>
      <c r="BJ43" s="198">
        <f>$E43*餐厅成本录入!BJ43</f>
        <v>0</v>
      </c>
      <c r="BK43" s="198">
        <f>$E43*餐厅成本录入!BK43</f>
        <v>0</v>
      </c>
      <c r="BL43" s="198">
        <f>$E43*餐厅成本录入!BL43</f>
        <v>0</v>
      </c>
      <c r="BM43" s="198">
        <f>$E43*餐厅成本录入!BM43</f>
        <v>0</v>
      </c>
      <c r="BN43" s="198">
        <f>$E43*餐厅成本录入!BN43</f>
        <v>0</v>
      </c>
      <c r="BO43" s="198">
        <f>$E43*餐厅成本录入!BO43</f>
        <v>0</v>
      </c>
      <c r="BP43" s="198">
        <f>$E43*餐厅成本录入!BP43</f>
        <v>0</v>
      </c>
      <c r="BQ43" s="198">
        <f>$E43*餐厅成本录入!BQ43</f>
        <v>0</v>
      </c>
      <c r="BR43" s="198">
        <f>$E43*餐厅成本录入!BR43</f>
        <v>0</v>
      </c>
      <c r="BS43" s="198">
        <f>$E43*餐厅成本录入!BS43</f>
        <v>0</v>
      </c>
      <c r="BT43" s="198">
        <f>$E43*餐厅成本录入!BT43</f>
        <v>0</v>
      </c>
      <c r="BU43" s="198">
        <f>$E43*餐厅成本录入!BU43</f>
        <v>0</v>
      </c>
      <c r="BV43" s="198">
        <f>$E43*餐厅成本录入!BV43</f>
        <v>0</v>
      </c>
      <c r="BW43" s="198">
        <f>$E43*餐厅成本录入!BW43</f>
        <v>0</v>
      </c>
    </row>
    <row r="44" s="178" customFormat="1" customHeight="1" spans="1:75">
      <c r="A44" s="161">
        <v>57</v>
      </c>
      <c r="B44" s="21" t="str">
        <f>餐厅成本录入!B44</f>
        <v>洋葱</v>
      </c>
      <c r="C44" s="21">
        <f>餐厅成本录入!C44</f>
        <v>0</v>
      </c>
      <c r="D44" s="21">
        <f>餐厅成本录入!D44</f>
        <v>0</v>
      </c>
      <c r="E44" s="21">
        <f>餐厅成本录入!E44</f>
        <v>1.2</v>
      </c>
      <c r="F44" s="21">
        <f>餐厅成本录入!F44</f>
        <v>0</v>
      </c>
      <c r="G44" s="21">
        <f>餐厅成本录入!G44</f>
        <v>0</v>
      </c>
      <c r="H44" s="21">
        <f>餐厅成本录入!H44</f>
        <v>40.3</v>
      </c>
      <c r="I44" s="21">
        <f>餐厅成本录入!I44</f>
        <v>48.36</v>
      </c>
      <c r="J44" s="21">
        <f>餐厅成本录入!J44</f>
        <v>40.3</v>
      </c>
      <c r="K44" s="21">
        <f>餐厅成本录入!K44</f>
        <v>48.36</v>
      </c>
      <c r="L44" s="21">
        <f>餐厅成本录入!L44</f>
        <v>0</v>
      </c>
      <c r="M44" s="21">
        <f>餐厅成本录入!M44</f>
        <v>0</v>
      </c>
      <c r="N44" s="198">
        <f>$E44*餐厅成本录入!N44</f>
        <v>0</v>
      </c>
      <c r="O44" s="198">
        <f>$E44*餐厅成本录入!O44</f>
        <v>0</v>
      </c>
      <c r="P44" s="198">
        <f>$E44*餐厅成本录入!P44</f>
        <v>12.36</v>
      </c>
      <c r="Q44" s="198">
        <f>$E44*餐厅成本录入!Q44</f>
        <v>12.36</v>
      </c>
      <c r="R44" s="198">
        <f>$E44*餐厅成本录入!R44</f>
        <v>0</v>
      </c>
      <c r="S44" s="198">
        <f>$E44*餐厅成本录入!S44</f>
        <v>0</v>
      </c>
      <c r="T44" s="198">
        <f>$E44*餐厅成本录入!T44</f>
        <v>0</v>
      </c>
      <c r="U44" s="198">
        <f>$E44*餐厅成本录入!U44</f>
        <v>0</v>
      </c>
      <c r="V44" s="198">
        <f>$E44*餐厅成本录入!V44</f>
        <v>0</v>
      </c>
      <c r="W44" s="198">
        <f>$E44*餐厅成本录入!W44</f>
        <v>0</v>
      </c>
      <c r="X44" s="198">
        <f>$E44*餐厅成本录入!X44</f>
        <v>0</v>
      </c>
      <c r="Y44" s="198">
        <f>$E44*餐厅成本录入!Y44</f>
        <v>0</v>
      </c>
      <c r="Z44" s="198">
        <f>$E44*餐厅成本录入!Z44</f>
        <v>0</v>
      </c>
      <c r="AA44" s="198">
        <f>$E44*餐厅成本录入!AA44</f>
        <v>0</v>
      </c>
      <c r="AB44" s="198">
        <f>$E44*餐厅成本录入!AB44</f>
        <v>12</v>
      </c>
      <c r="AC44" s="198">
        <f>$E44*餐厅成本录入!AC44</f>
        <v>12</v>
      </c>
      <c r="AD44" s="198">
        <f>$E44*餐厅成本录入!AD44</f>
        <v>0</v>
      </c>
      <c r="AE44" s="198">
        <f>$E44*餐厅成本录入!AE44</f>
        <v>0</v>
      </c>
      <c r="AF44" s="198">
        <f>$E44*餐厅成本录入!AF44</f>
        <v>0</v>
      </c>
      <c r="AG44" s="198">
        <f>$E44*餐厅成本录入!AG44</f>
        <v>0</v>
      </c>
      <c r="AH44" s="198">
        <f>$E44*餐厅成本录入!AH44</f>
        <v>0</v>
      </c>
      <c r="AI44" s="198">
        <f>$E44*餐厅成本录入!AI44</f>
        <v>0</v>
      </c>
      <c r="AJ44" s="198">
        <f>$E44*餐厅成本录入!AJ44</f>
        <v>0</v>
      </c>
      <c r="AK44" s="198">
        <f>$E44*餐厅成本录入!AK44</f>
        <v>0</v>
      </c>
      <c r="AL44" s="198">
        <f>$E44*餐厅成本录入!AL44</f>
        <v>0</v>
      </c>
      <c r="AM44" s="198">
        <f>$E44*餐厅成本录入!AM44</f>
        <v>0</v>
      </c>
      <c r="AN44" s="198">
        <f>$E44*餐厅成本录入!AN44</f>
        <v>0</v>
      </c>
      <c r="AO44" s="198">
        <f>$E44*餐厅成本录入!AO44</f>
        <v>0</v>
      </c>
      <c r="AP44" s="198">
        <f>$E44*餐厅成本录入!AP44</f>
        <v>0</v>
      </c>
      <c r="AQ44" s="198">
        <f>$E44*餐厅成本录入!AQ44</f>
        <v>0</v>
      </c>
      <c r="AR44" s="198">
        <f>$E44*餐厅成本录入!AR44</f>
        <v>0</v>
      </c>
      <c r="AS44" s="198">
        <f>$E44*餐厅成本录入!AS44</f>
        <v>0</v>
      </c>
      <c r="AT44" s="198">
        <f>$E44*餐厅成本录入!AT44</f>
        <v>0</v>
      </c>
      <c r="AU44" s="198">
        <f>$E44*餐厅成本录入!AU44</f>
        <v>0</v>
      </c>
      <c r="AV44" s="198">
        <f>$E44*餐厅成本录入!AV44</f>
        <v>0</v>
      </c>
      <c r="AW44" s="198">
        <f>$E44*餐厅成本录入!AW44</f>
        <v>0</v>
      </c>
      <c r="AX44" s="198">
        <f>$E44*餐厅成本录入!AX44</f>
        <v>0</v>
      </c>
      <c r="AY44" s="198">
        <f>$E44*餐厅成本录入!AY44</f>
        <v>0</v>
      </c>
      <c r="AZ44" s="198">
        <f>$E44*餐厅成本录入!AZ44</f>
        <v>0</v>
      </c>
      <c r="BA44" s="198">
        <f>$E44*餐厅成本录入!BA44</f>
        <v>0</v>
      </c>
      <c r="BB44" s="198">
        <f>$E44*餐厅成本录入!BB44</f>
        <v>0</v>
      </c>
      <c r="BC44" s="198">
        <f>$E44*餐厅成本录入!BC44</f>
        <v>0</v>
      </c>
      <c r="BD44" s="198">
        <f>$E44*餐厅成本录入!BD44</f>
        <v>0</v>
      </c>
      <c r="BE44" s="198">
        <f>$E44*餐厅成本录入!BE44</f>
        <v>0</v>
      </c>
      <c r="BF44" s="198">
        <f>$E44*餐厅成本录入!BF44</f>
        <v>12</v>
      </c>
      <c r="BG44" s="198">
        <f>$E44*餐厅成本录入!BG44</f>
        <v>12</v>
      </c>
      <c r="BH44" s="198">
        <f>$E44*餐厅成本录入!BH44</f>
        <v>0</v>
      </c>
      <c r="BI44" s="198">
        <f>$E44*餐厅成本录入!BI44</f>
        <v>0</v>
      </c>
      <c r="BJ44" s="198">
        <f>$E44*餐厅成本录入!BJ44</f>
        <v>0</v>
      </c>
      <c r="BK44" s="198">
        <f>$E44*餐厅成本录入!BK44</f>
        <v>0</v>
      </c>
      <c r="BL44" s="198">
        <f>$E44*餐厅成本录入!BL44</f>
        <v>12</v>
      </c>
      <c r="BM44" s="198">
        <f>$E44*餐厅成本录入!BM44</f>
        <v>12</v>
      </c>
      <c r="BN44" s="198">
        <f>$E44*餐厅成本录入!BN44</f>
        <v>0</v>
      </c>
      <c r="BO44" s="198">
        <f>$E44*餐厅成本录入!BO44</f>
        <v>0</v>
      </c>
      <c r="BP44" s="198">
        <f>$E44*餐厅成本录入!BP44</f>
        <v>0</v>
      </c>
      <c r="BQ44" s="198">
        <f>$E44*餐厅成本录入!BQ44</f>
        <v>0</v>
      </c>
      <c r="BR44" s="198">
        <f>$E44*餐厅成本录入!BR44</f>
        <v>0</v>
      </c>
      <c r="BS44" s="198">
        <f>$E44*餐厅成本录入!BS44</f>
        <v>0</v>
      </c>
      <c r="BT44" s="198">
        <f>$E44*餐厅成本录入!BT44</f>
        <v>0</v>
      </c>
      <c r="BU44" s="198">
        <f>$E44*餐厅成本录入!BU44</f>
        <v>0</v>
      </c>
      <c r="BV44" s="198">
        <f>$E44*餐厅成本录入!BV44</f>
        <v>0</v>
      </c>
      <c r="BW44" s="198">
        <f>$E44*餐厅成本录入!BW44</f>
        <v>0</v>
      </c>
    </row>
    <row r="45" s="178" customFormat="1" customHeight="1" spans="1:75">
      <c r="A45" s="161">
        <v>58</v>
      </c>
      <c r="B45" s="21" t="str">
        <f>餐厅成本录入!B45</f>
        <v>芹菜</v>
      </c>
      <c r="C45" s="21">
        <f>餐厅成本录入!C45</f>
        <v>0</v>
      </c>
      <c r="D45" s="21">
        <f>餐厅成本录入!D45</f>
        <v>0</v>
      </c>
      <c r="E45" s="21">
        <f>餐厅成本录入!E45</f>
        <v>0</v>
      </c>
      <c r="F45" s="21">
        <f>餐厅成本录入!F45</f>
        <v>0</v>
      </c>
      <c r="G45" s="21">
        <f>餐厅成本录入!G45</f>
        <v>0</v>
      </c>
      <c r="H45" s="21">
        <f>餐厅成本录入!H45</f>
        <v>0</v>
      </c>
      <c r="I45" s="21">
        <f>餐厅成本录入!I45</f>
        <v>0</v>
      </c>
      <c r="J45" s="21">
        <f>餐厅成本录入!J45</f>
        <v>0</v>
      </c>
      <c r="K45" s="21">
        <f>餐厅成本录入!K45</f>
        <v>0</v>
      </c>
      <c r="L45" s="21">
        <f>餐厅成本录入!L45</f>
        <v>0</v>
      </c>
      <c r="M45" s="21">
        <f>餐厅成本录入!M45</f>
        <v>0</v>
      </c>
      <c r="N45" s="198">
        <f>$E45*餐厅成本录入!N45</f>
        <v>0</v>
      </c>
      <c r="O45" s="198">
        <f>$E45*餐厅成本录入!O45</f>
        <v>0</v>
      </c>
      <c r="P45" s="198">
        <f>$E45*餐厅成本录入!P45</f>
        <v>0</v>
      </c>
      <c r="Q45" s="198">
        <f>$E45*餐厅成本录入!Q45</f>
        <v>0</v>
      </c>
      <c r="R45" s="198">
        <f>$E45*餐厅成本录入!R45</f>
        <v>0</v>
      </c>
      <c r="S45" s="198">
        <f>$E45*餐厅成本录入!S45</f>
        <v>0</v>
      </c>
      <c r="T45" s="198">
        <f>$E45*餐厅成本录入!T45</f>
        <v>0</v>
      </c>
      <c r="U45" s="198">
        <f>$E45*餐厅成本录入!U45</f>
        <v>0</v>
      </c>
      <c r="V45" s="198">
        <f>$E45*餐厅成本录入!V45</f>
        <v>0</v>
      </c>
      <c r="W45" s="198">
        <f>$E45*餐厅成本录入!W45</f>
        <v>0</v>
      </c>
      <c r="X45" s="198">
        <f>$E45*餐厅成本录入!X45</f>
        <v>0</v>
      </c>
      <c r="Y45" s="198">
        <f>$E45*餐厅成本录入!Y45</f>
        <v>0</v>
      </c>
      <c r="Z45" s="198">
        <f>$E45*餐厅成本录入!Z45</f>
        <v>0</v>
      </c>
      <c r="AA45" s="198">
        <f>$E45*餐厅成本录入!AA45</f>
        <v>0</v>
      </c>
      <c r="AB45" s="198">
        <f>$E45*餐厅成本录入!AB45</f>
        <v>0</v>
      </c>
      <c r="AC45" s="198">
        <f>$E45*餐厅成本录入!AC45</f>
        <v>0</v>
      </c>
      <c r="AD45" s="198">
        <f>$E45*餐厅成本录入!AD45</f>
        <v>0</v>
      </c>
      <c r="AE45" s="198">
        <f>$E45*餐厅成本录入!AE45</f>
        <v>0</v>
      </c>
      <c r="AF45" s="198">
        <f>$E45*餐厅成本录入!AF45</f>
        <v>0</v>
      </c>
      <c r="AG45" s="198">
        <f>$E45*餐厅成本录入!AG45</f>
        <v>0</v>
      </c>
      <c r="AH45" s="198">
        <f>$E45*餐厅成本录入!AH45</f>
        <v>0</v>
      </c>
      <c r="AI45" s="198">
        <f>$E45*餐厅成本录入!AI45</f>
        <v>0</v>
      </c>
      <c r="AJ45" s="198">
        <f>$E45*餐厅成本录入!AJ45</f>
        <v>0</v>
      </c>
      <c r="AK45" s="198">
        <f>$E45*餐厅成本录入!AK45</f>
        <v>0</v>
      </c>
      <c r="AL45" s="198">
        <f>$E45*餐厅成本录入!AL45</f>
        <v>0</v>
      </c>
      <c r="AM45" s="198">
        <f>$E45*餐厅成本录入!AM45</f>
        <v>0</v>
      </c>
      <c r="AN45" s="198">
        <f>$E45*餐厅成本录入!AN45</f>
        <v>0</v>
      </c>
      <c r="AO45" s="198">
        <f>$E45*餐厅成本录入!AO45</f>
        <v>0</v>
      </c>
      <c r="AP45" s="198">
        <f>$E45*餐厅成本录入!AP45</f>
        <v>0</v>
      </c>
      <c r="AQ45" s="198">
        <f>$E45*餐厅成本录入!AQ45</f>
        <v>0</v>
      </c>
      <c r="AR45" s="198">
        <f>$E45*餐厅成本录入!AR45</f>
        <v>0</v>
      </c>
      <c r="AS45" s="198">
        <f>$E45*餐厅成本录入!AS45</f>
        <v>0</v>
      </c>
      <c r="AT45" s="198">
        <f>$E45*餐厅成本录入!AT45</f>
        <v>0</v>
      </c>
      <c r="AU45" s="198">
        <f>$E45*餐厅成本录入!AU45</f>
        <v>0</v>
      </c>
      <c r="AV45" s="198">
        <f>$E45*餐厅成本录入!AV45</f>
        <v>0</v>
      </c>
      <c r="AW45" s="198">
        <f>$E45*餐厅成本录入!AW45</f>
        <v>0</v>
      </c>
      <c r="AX45" s="198">
        <f>$E45*餐厅成本录入!AX45</f>
        <v>0</v>
      </c>
      <c r="AY45" s="198">
        <f>$E45*餐厅成本录入!AY45</f>
        <v>0</v>
      </c>
      <c r="AZ45" s="198">
        <f>$E45*餐厅成本录入!AZ45</f>
        <v>0</v>
      </c>
      <c r="BA45" s="198">
        <f>$E45*餐厅成本录入!BA45</f>
        <v>0</v>
      </c>
      <c r="BB45" s="198">
        <f>$E45*餐厅成本录入!BB45</f>
        <v>0</v>
      </c>
      <c r="BC45" s="198">
        <f>$E45*餐厅成本录入!BC45</f>
        <v>0</v>
      </c>
      <c r="BD45" s="198">
        <f>$E45*餐厅成本录入!BD45</f>
        <v>0</v>
      </c>
      <c r="BE45" s="198">
        <f>$E45*餐厅成本录入!BE45</f>
        <v>0</v>
      </c>
      <c r="BF45" s="198">
        <f>$E45*餐厅成本录入!BF45</f>
        <v>0</v>
      </c>
      <c r="BG45" s="198">
        <f>$E45*餐厅成本录入!BG45</f>
        <v>0</v>
      </c>
      <c r="BH45" s="198">
        <f>$E45*餐厅成本录入!BH45</f>
        <v>0</v>
      </c>
      <c r="BI45" s="198">
        <f>$E45*餐厅成本录入!BI45</f>
        <v>0</v>
      </c>
      <c r="BJ45" s="198">
        <f>$E45*餐厅成本录入!BJ45</f>
        <v>0</v>
      </c>
      <c r="BK45" s="198">
        <f>$E45*餐厅成本录入!BK45</f>
        <v>0</v>
      </c>
      <c r="BL45" s="198">
        <f>$E45*餐厅成本录入!BL45</f>
        <v>0</v>
      </c>
      <c r="BM45" s="198">
        <f>$E45*餐厅成本录入!BM45</f>
        <v>0</v>
      </c>
      <c r="BN45" s="198">
        <f>$E45*餐厅成本录入!BN45</f>
        <v>0</v>
      </c>
      <c r="BO45" s="198">
        <f>$E45*餐厅成本录入!BO45</f>
        <v>0</v>
      </c>
      <c r="BP45" s="198">
        <f>$E45*餐厅成本录入!BP45</f>
        <v>0</v>
      </c>
      <c r="BQ45" s="198">
        <f>$E45*餐厅成本录入!BQ45</f>
        <v>0</v>
      </c>
      <c r="BR45" s="198">
        <f>$E45*餐厅成本录入!BR45</f>
        <v>0</v>
      </c>
      <c r="BS45" s="198">
        <f>$E45*餐厅成本录入!BS45</f>
        <v>0</v>
      </c>
      <c r="BT45" s="198">
        <f>$E45*餐厅成本录入!BT45</f>
        <v>0</v>
      </c>
      <c r="BU45" s="198">
        <f>$E45*餐厅成本录入!BU45</f>
        <v>0</v>
      </c>
      <c r="BV45" s="198">
        <f>$E45*餐厅成本录入!BV45</f>
        <v>0</v>
      </c>
      <c r="BW45" s="198">
        <f>$E45*餐厅成本录入!BW45</f>
        <v>0</v>
      </c>
    </row>
    <row r="46" s="178" customFormat="1" customHeight="1" spans="1:75">
      <c r="A46" s="161">
        <v>59</v>
      </c>
      <c r="B46" s="21" t="str">
        <f>餐厅成本录入!B46</f>
        <v>西芹</v>
      </c>
      <c r="C46" s="21">
        <f>餐厅成本录入!C46</f>
        <v>0</v>
      </c>
      <c r="D46" s="21">
        <f>餐厅成本录入!D46</f>
        <v>0</v>
      </c>
      <c r="E46" s="21">
        <f>餐厅成本录入!E46</f>
        <v>3</v>
      </c>
      <c r="F46" s="21">
        <f>餐厅成本录入!F46</f>
        <v>0</v>
      </c>
      <c r="G46" s="21">
        <f>餐厅成本录入!G46</f>
        <v>0</v>
      </c>
      <c r="H46" s="21">
        <f>餐厅成本录入!H46</f>
        <v>6.3</v>
      </c>
      <c r="I46" s="21">
        <f>餐厅成本录入!I46</f>
        <v>18.9</v>
      </c>
      <c r="J46" s="21">
        <f>餐厅成本录入!J46</f>
        <v>6.3</v>
      </c>
      <c r="K46" s="21">
        <f>餐厅成本录入!K46</f>
        <v>18.9</v>
      </c>
      <c r="L46" s="21">
        <f>餐厅成本录入!L46</f>
        <v>0</v>
      </c>
      <c r="M46" s="21">
        <f>餐厅成本录入!M46</f>
        <v>0</v>
      </c>
      <c r="N46" s="198">
        <f>$E46*餐厅成本录入!N46</f>
        <v>0</v>
      </c>
      <c r="O46" s="198">
        <f>$E46*餐厅成本录入!O46</f>
        <v>0</v>
      </c>
      <c r="P46" s="198">
        <f>$E46*餐厅成本录入!P46</f>
        <v>0</v>
      </c>
      <c r="Q46" s="198">
        <f>$E46*餐厅成本录入!Q46</f>
        <v>0</v>
      </c>
      <c r="R46" s="198">
        <f>$E46*餐厅成本录入!R46</f>
        <v>0</v>
      </c>
      <c r="S46" s="198">
        <f>$E46*餐厅成本录入!S46</f>
        <v>0</v>
      </c>
      <c r="T46" s="198">
        <f>$E46*餐厅成本录入!T46</f>
        <v>0</v>
      </c>
      <c r="U46" s="198">
        <f>$E46*餐厅成本录入!U46</f>
        <v>0</v>
      </c>
      <c r="V46" s="198">
        <f>$E46*餐厅成本录入!V46</f>
        <v>0</v>
      </c>
      <c r="W46" s="198">
        <f>$E46*餐厅成本录入!W46</f>
        <v>0</v>
      </c>
      <c r="X46" s="198">
        <f>$E46*餐厅成本录入!X46</f>
        <v>0</v>
      </c>
      <c r="Y46" s="198">
        <f>$E46*餐厅成本录入!Y46</f>
        <v>0</v>
      </c>
      <c r="Z46" s="198">
        <f>$E46*餐厅成本录入!Z46</f>
        <v>0</v>
      </c>
      <c r="AA46" s="198">
        <f>$E46*餐厅成本录入!AA46</f>
        <v>0</v>
      </c>
      <c r="AB46" s="198">
        <f>$E46*餐厅成本录入!AB46</f>
        <v>18.9</v>
      </c>
      <c r="AC46" s="198">
        <f>$E46*餐厅成本录入!AC46</f>
        <v>18.9</v>
      </c>
      <c r="AD46" s="198">
        <f>$E46*餐厅成本录入!AD46</f>
        <v>0</v>
      </c>
      <c r="AE46" s="198">
        <f>$E46*餐厅成本录入!AE46</f>
        <v>0</v>
      </c>
      <c r="AF46" s="198">
        <f>$E46*餐厅成本录入!AF46</f>
        <v>0</v>
      </c>
      <c r="AG46" s="198">
        <f>$E46*餐厅成本录入!AG46</f>
        <v>0</v>
      </c>
      <c r="AH46" s="198">
        <f>$E46*餐厅成本录入!AH46</f>
        <v>0</v>
      </c>
      <c r="AI46" s="198">
        <f>$E46*餐厅成本录入!AI46</f>
        <v>0</v>
      </c>
      <c r="AJ46" s="198">
        <f>$E46*餐厅成本录入!AJ46</f>
        <v>0</v>
      </c>
      <c r="AK46" s="198">
        <f>$E46*餐厅成本录入!AK46</f>
        <v>0</v>
      </c>
      <c r="AL46" s="198">
        <f>$E46*餐厅成本录入!AL46</f>
        <v>0</v>
      </c>
      <c r="AM46" s="198">
        <f>$E46*餐厅成本录入!AM46</f>
        <v>0</v>
      </c>
      <c r="AN46" s="198">
        <f>$E46*餐厅成本录入!AN46</f>
        <v>0</v>
      </c>
      <c r="AO46" s="198">
        <f>$E46*餐厅成本录入!AO46</f>
        <v>0</v>
      </c>
      <c r="AP46" s="198">
        <f>$E46*餐厅成本录入!AP46</f>
        <v>0</v>
      </c>
      <c r="AQ46" s="198">
        <f>$E46*餐厅成本录入!AQ46</f>
        <v>0</v>
      </c>
      <c r="AR46" s="198">
        <f>$E46*餐厅成本录入!AR46</f>
        <v>0</v>
      </c>
      <c r="AS46" s="198">
        <f>$E46*餐厅成本录入!AS46</f>
        <v>0</v>
      </c>
      <c r="AT46" s="198">
        <f>$E46*餐厅成本录入!AT46</f>
        <v>0</v>
      </c>
      <c r="AU46" s="198">
        <f>$E46*餐厅成本录入!AU46</f>
        <v>0</v>
      </c>
      <c r="AV46" s="198">
        <f>$E46*餐厅成本录入!AV46</f>
        <v>0</v>
      </c>
      <c r="AW46" s="198">
        <f>$E46*餐厅成本录入!AW46</f>
        <v>0</v>
      </c>
      <c r="AX46" s="198">
        <f>$E46*餐厅成本录入!AX46</f>
        <v>0</v>
      </c>
      <c r="AY46" s="198">
        <f>$E46*餐厅成本录入!AY46</f>
        <v>0</v>
      </c>
      <c r="AZ46" s="198">
        <f>$E46*餐厅成本录入!AZ46</f>
        <v>0</v>
      </c>
      <c r="BA46" s="198">
        <f>$E46*餐厅成本录入!BA46</f>
        <v>0</v>
      </c>
      <c r="BB46" s="198">
        <f>$E46*餐厅成本录入!BB46</f>
        <v>0</v>
      </c>
      <c r="BC46" s="198">
        <f>$E46*餐厅成本录入!BC46</f>
        <v>0</v>
      </c>
      <c r="BD46" s="198">
        <f>$E46*餐厅成本录入!BD46</f>
        <v>0</v>
      </c>
      <c r="BE46" s="198">
        <f>$E46*餐厅成本录入!BE46</f>
        <v>0</v>
      </c>
      <c r="BF46" s="198">
        <f>$E46*餐厅成本录入!BF46</f>
        <v>0</v>
      </c>
      <c r="BG46" s="198">
        <f>$E46*餐厅成本录入!BG46</f>
        <v>0</v>
      </c>
      <c r="BH46" s="198">
        <f>$E46*餐厅成本录入!BH46</f>
        <v>0</v>
      </c>
      <c r="BI46" s="198">
        <f>$E46*餐厅成本录入!BI46</f>
        <v>0</v>
      </c>
      <c r="BJ46" s="198">
        <f>$E46*餐厅成本录入!BJ46</f>
        <v>0</v>
      </c>
      <c r="BK46" s="198">
        <f>$E46*餐厅成本录入!BK46</f>
        <v>0</v>
      </c>
      <c r="BL46" s="198">
        <f>$E46*餐厅成本录入!BL46</f>
        <v>0</v>
      </c>
      <c r="BM46" s="198">
        <f>$E46*餐厅成本录入!BM46</f>
        <v>0</v>
      </c>
      <c r="BN46" s="198">
        <f>$E46*餐厅成本录入!BN46</f>
        <v>0</v>
      </c>
      <c r="BO46" s="198">
        <f>$E46*餐厅成本录入!BO46</f>
        <v>0</v>
      </c>
      <c r="BP46" s="198">
        <f>$E46*餐厅成本录入!BP46</f>
        <v>0</v>
      </c>
      <c r="BQ46" s="198">
        <f>$E46*餐厅成本录入!BQ46</f>
        <v>0</v>
      </c>
      <c r="BR46" s="198">
        <f>$E46*餐厅成本录入!BR46</f>
        <v>0</v>
      </c>
      <c r="BS46" s="198">
        <f>$E46*餐厅成本录入!BS46</f>
        <v>0</v>
      </c>
      <c r="BT46" s="198">
        <f>$E46*餐厅成本录入!BT46</f>
        <v>0</v>
      </c>
      <c r="BU46" s="198">
        <f>$E46*餐厅成本录入!BU46</f>
        <v>0</v>
      </c>
      <c r="BV46" s="198">
        <f>$E46*餐厅成本录入!BV46</f>
        <v>0</v>
      </c>
      <c r="BW46" s="198">
        <f>$E46*餐厅成本录入!BW46</f>
        <v>0</v>
      </c>
    </row>
    <row r="47" s="178" customFormat="1" customHeight="1" spans="1:75">
      <c r="A47" s="161">
        <v>60</v>
      </c>
      <c r="B47" s="21" t="str">
        <f>餐厅成本录入!B47</f>
        <v>角瓜</v>
      </c>
      <c r="C47" s="21">
        <f>餐厅成本录入!C47</f>
        <v>0</v>
      </c>
      <c r="D47" s="21">
        <f>餐厅成本录入!D47</f>
        <v>0</v>
      </c>
      <c r="E47" s="21">
        <f>餐厅成本录入!E47</f>
        <v>1.5</v>
      </c>
      <c r="F47" s="21">
        <f>餐厅成本录入!F47</f>
        <v>0</v>
      </c>
      <c r="G47" s="21">
        <f>餐厅成本录入!G47</f>
        <v>0</v>
      </c>
      <c r="H47" s="21">
        <f>餐厅成本录入!H47</f>
        <v>18.1</v>
      </c>
      <c r="I47" s="21">
        <f>餐厅成本录入!I47</f>
        <v>27.15</v>
      </c>
      <c r="J47" s="21">
        <f>餐厅成本录入!J47</f>
        <v>18.1</v>
      </c>
      <c r="K47" s="21">
        <f>餐厅成本录入!K47</f>
        <v>27.15</v>
      </c>
      <c r="L47" s="21">
        <f>餐厅成本录入!L47</f>
        <v>0</v>
      </c>
      <c r="M47" s="21">
        <f>餐厅成本录入!M47</f>
        <v>0</v>
      </c>
      <c r="N47" s="198">
        <f>$E47*餐厅成本录入!N47</f>
        <v>0</v>
      </c>
      <c r="O47" s="198">
        <f>$E47*餐厅成本录入!O47</f>
        <v>0</v>
      </c>
      <c r="P47" s="198">
        <f>$E47*餐厅成本录入!P47</f>
        <v>9.15</v>
      </c>
      <c r="Q47" s="198">
        <f>$E47*餐厅成本录入!Q47</f>
        <v>9.15</v>
      </c>
      <c r="R47" s="198">
        <f>$E47*餐厅成本录入!R47</f>
        <v>0</v>
      </c>
      <c r="S47" s="198">
        <f>$E47*餐厅成本录入!S47</f>
        <v>0</v>
      </c>
      <c r="T47" s="198">
        <f>$E47*餐厅成本录入!T47</f>
        <v>0</v>
      </c>
      <c r="U47" s="198">
        <f>$E47*餐厅成本录入!U47</f>
        <v>0</v>
      </c>
      <c r="V47" s="198">
        <f>$E47*餐厅成本录入!V47</f>
        <v>0</v>
      </c>
      <c r="W47" s="198">
        <f>$E47*餐厅成本录入!W47</f>
        <v>0</v>
      </c>
      <c r="X47" s="198">
        <f>$E47*餐厅成本录入!X47</f>
        <v>0</v>
      </c>
      <c r="Y47" s="198">
        <f>$E47*餐厅成本录入!Y47</f>
        <v>0</v>
      </c>
      <c r="Z47" s="198">
        <f>$E47*餐厅成本录入!Z47</f>
        <v>0</v>
      </c>
      <c r="AA47" s="198">
        <f>$E47*餐厅成本录入!AA47</f>
        <v>0</v>
      </c>
      <c r="AB47" s="198">
        <f>$E47*餐厅成本录入!AB47</f>
        <v>9</v>
      </c>
      <c r="AC47" s="198">
        <f>$E47*餐厅成本录入!AC47</f>
        <v>9</v>
      </c>
      <c r="AD47" s="198">
        <f>$E47*餐厅成本录入!AD47</f>
        <v>0</v>
      </c>
      <c r="AE47" s="198">
        <f>$E47*餐厅成本录入!AE47</f>
        <v>0</v>
      </c>
      <c r="AF47" s="198">
        <f>$E47*餐厅成本录入!AF47</f>
        <v>0</v>
      </c>
      <c r="AG47" s="198">
        <f>$E47*餐厅成本录入!AG47</f>
        <v>0</v>
      </c>
      <c r="AH47" s="198">
        <f>$E47*餐厅成本录入!AH47</f>
        <v>0</v>
      </c>
      <c r="AI47" s="198">
        <f>$E47*餐厅成本录入!AI47</f>
        <v>0</v>
      </c>
      <c r="AJ47" s="198">
        <f>$E47*餐厅成本录入!AJ47</f>
        <v>0</v>
      </c>
      <c r="AK47" s="198">
        <f>$E47*餐厅成本录入!AK47</f>
        <v>0</v>
      </c>
      <c r="AL47" s="198">
        <f>$E47*餐厅成本录入!AL47</f>
        <v>0</v>
      </c>
      <c r="AM47" s="198">
        <f>$E47*餐厅成本录入!AM47</f>
        <v>0</v>
      </c>
      <c r="AN47" s="198">
        <f>$E47*餐厅成本录入!AN47</f>
        <v>0</v>
      </c>
      <c r="AO47" s="198">
        <f>$E47*餐厅成本录入!AO47</f>
        <v>0</v>
      </c>
      <c r="AP47" s="198">
        <f>$E47*餐厅成本录入!AP47</f>
        <v>0</v>
      </c>
      <c r="AQ47" s="198">
        <f>$E47*餐厅成本录入!AQ47</f>
        <v>0</v>
      </c>
      <c r="AR47" s="198">
        <f>$E47*餐厅成本录入!AR47</f>
        <v>0</v>
      </c>
      <c r="AS47" s="198">
        <f>$E47*餐厅成本录入!AS47</f>
        <v>0</v>
      </c>
      <c r="AT47" s="198">
        <f>$E47*餐厅成本录入!AT47</f>
        <v>0</v>
      </c>
      <c r="AU47" s="198">
        <f>$E47*餐厅成本录入!AU47</f>
        <v>0</v>
      </c>
      <c r="AV47" s="198">
        <f>$E47*餐厅成本录入!AV47</f>
        <v>0</v>
      </c>
      <c r="AW47" s="198">
        <f>$E47*餐厅成本录入!AW47</f>
        <v>0</v>
      </c>
      <c r="AX47" s="198">
        <f>$E47*餐厅成本录入!AX47</f>
        <v>0</v>
      </c>
      <c r="AY47" s="198">
        <f>$E47*餐厅成本录入!AY47</f>
        <v>0</v>
      </c>
      <c r="AZ47" s="198">
        <f>$E47*餐厅成本录入!AZ47</f>
        <v>0</v>
      </c>
      <c r="BA47" s="198">
        <f>$E47*餐厅成本录入!BA47</f>
        <v>0</v>
      </c>
      <c r="BB47" s="198">
        <f>$E47*餐厅成本录入!BB47</f>
        <v>0</v>
      </c>
      <c r="BC47" s="198">
        <f>$E47*餐厅成本录入!BC47</f>
        <v>0</v>
      </c>
      <c r="BD47" s="198">
        <f>$E47*餐厅成本录入!BD47</f>
        <v>0</v>
      </c>
      <c r="BE47" s="198">
        <f>$E47*餐厅成本录入!BE47</f>
        <v>0</v>
      </c>
      <c r="BF47" s="198">
        <f>$E47*餐厅成本录入!BF47</f>
        <v>0</v>
      </c>
      <c r="BG47" s="198">
        <f>$E47*餐厅成本录入!BG47</f>
        <v>0</v>
      </c>
      <c r="BH47" s="198">
        <f>$E47*餐厅成本录入!BH47</f>
        <v>0</v>
      </c>
      <c r="BI47" s="198">
        <f>$E47*餐厅成本录入!BI47</f>
        <v>0</v>
      </c>
      <c r="BJ47" s="198">
        <f>$E47*餐厅成本录入!BJ47</f>
        <v>0</v>
      </c>
      <c r="BK47" s="198">
        <f>$E47*餐厅成本录入!BK47</f>
        <v>0</v>
      </c>
      <c r="BL47" s="198">
        <f>$E47*餐厅成本录入!BL47</f>
        <v>9</v>
      </c>
      <c r="BM47" s="198">
        <f>$E47*餐厅成本录入!BM47</f>
        <v>9</v>
      </c>
      <c r="BN47" s="198">
        <f>$E47*餐厅成本录入!BN47</f>
        <v>0</v>
      </c>
      <c r="BO47" s="198">
        <f>$E47*餐厅成本录入!BO47</f>
        <v>0</v>
      </c>
      <c r="BP47" s="198">
        <f>$E47*餐厅成本录入!BP47</f>
        <v>0</v>
      </c>
      <c r="BQ47" s="198">
        <f>$E47*餐厅成本录入!BQ47</f>
        <v>0</v>
      </c>
      <c r="BR47" s="198">
        <f>$E47*餐厅成本录入!BR47</f>
        <v>0</v>
      </c>
      <c r="BS47" s="198">
        <f>$E47*餐厅成本录入!BS47</f>
        <v>0</v>
      </c>
      <c r="BT47" s="198">
        <f>$E47*餐厅成本录入!BT47</f>
        <v>0</v>
      </c>
      <c r="BU47" s="198">
        <f>$E47*餐厅成本录入!BU47</f>
        <v>0</v>
      </c>
      <c r="BV47" s="198">
        <f>$E47*餐厅成本录入!BV47</f>
        <v>0</v>
      </c>
      <c r="BW47" s="198">
        <f>$E47*餐厅成本录入!BW47</f>
        <v>0</v>
      </c>
    </row>
    <row r="48" s="178" customFormat="1" customHeight="1" spans="1:75">
      <c r="A48" s="161">
        <v>61</v>
      </c>
      <c r="B48" s="21" t="str">
        <f>餐厅成本录入!B48</f>
        <v>蟹味菇</v>
      </c>
      <c r="C48" s="21">
        <f>餐厅成本录入!C48</f>
        <v>0</v>
      </c>
      <c r="D48" s="21">
        <f>餐厅成本录入!D48</f>
        <v>0</v>
      </c>
      <c r="E48" s="21">
        <f>餐厅成本录入!E48</f>
        <v>15</v>
      </c>
      <c r="F48" s="21">
        <f>餐厅成本录入!F48</f>
        <v>0</v>
      </c>
      <c r="G48" s="21">
        <f>餐厅成本录入!G48</f>
        <v>0</v>
      </c>
      <c r="H48" s="21">
        <f>餐厅成本录入!H48</f>
        <v>4</v>
      </c>
      <c r="I48" s="21">
        <f>餐厅成本录入!I48</f>
        <v>60</v>
      </c>
      <c r="J48" s="21">
        <f>餐厅成本录入!J48</f>
        <v>4</v>
      </c>
      <c r="K48" s="21">
        <f>餐厅成本录入!K48</f>
        <v>60</v>
      </c>
      <c r="L48" s="21">
        <f>餐厅成本录入!L48</f>
        <v>0</v>
      </c>
      <c r="M48" s="21">
        <f>餐厅成本录入!M48</f>
        <v>0</v>
      </c>
      <c r="N48" s="198">
        <f>$E48*餐厅成本录入!N48</f>
        <v>0</v>
      </c>
      <c r="O48" s="198">
        <f>$E48*餐厅成本录入!O48</f>
        <v>0</v>
      </c>
      <c r="P48" s="198">
        <f>$E48*餐厅成本录入!P48</f>
        <v>60</v>
      </c>
      <c r="Q48" s="198">
        <f>$E48*餐厅成本录入!Q48</f>
        <v>60</v>
      </c>
      <c r="R48" s="198">
        <f>$E48*餐厅成本录入!R48</f>
        <v>0</v>
      </c>
      <c r="S48" s="198">
        <f>$E48*餐厅成本录入!S48</f>
        <v>0</v>
      </c>
      <c r="T48" s="198">
        <f>$E48*餐厅成本录入!T48</f>
        <v>0</v>
      </c>
      <c r="U48" s="198">
        <f>$E48*餐厅成本录入!U48</f>
        <v>0</v>
      </c>
      <c r="V48" s="198">
        <f>$E48*餐厅成本录入!V48</f>
        <v>0</v>
      </c>
      <c r="W48" s="198">
        <f>$E48*餐厅成本录入!W48</f>
        <v>0</v>
      </c>
      <c r="X48" s="198">
        <f>$E48*餐厅成本录入!X48</f>
        <v>0</v>
      </c>
      <c r="Y48" s="198">
        <f>$E48*餐厅成本录入!Y48</f>
        <v>0</v>
      </c>
      <c r="Z48" s="198">
        <f>$E48*餐厅成本录入!Z48</f>
        <v>0</v>
      </c>
      <c r="AA48" s="198">
        <f>$E48*餐厅成本录入!AA48</f>
        <v>0</v>
      </c>
      <c r="AB48" s="198">
        <f>$E48*餐厅成本录入!AB48</f>
        <v>0</v>
      </c>
      <c r="AC48" s="198">
        <f>$E48*餐厅成本录入!AC48</f>
        <v>0</v>
      </c>
      <c r="AD48" s="198">
        <f>$E48*餐厅成本录入!AD48</f>
        <v>0</v>
      </c>
      <c r="AE48" s="198">
        <f>$E48*餐厅成本录入!AE48</f>
        <v>0</v>
      </c>
      <c r="AF48" s="198">
        <f>$E48*餐厅成本录入!AF48</f>
        <v>0</v>
      </c>
      <c r="AG48" s="198">
        <f>$E48*餐厅成本录入!AG48</f>
        <v>0</v>
      </c>
      <c r="AH48" s="198">
        <f>$E48*餐厅成本录入!AH48</f>
        <v>0</v>
      </c>
      <c r="AI48" s="198">
        <f>$E48*餐厅成本录入!AI48</f>
        <v>0</v>
      </c>
      <c r="AJ48" s="198">
        <f>$E48*餐厅成本录入!AJ48</f>
        <v>0</v>
      </c>
      <c r="AK48" s="198">
        <f>$E48*餐厅成本录入!AK48</f>
        <v>0</v>
      </c>
      <c r="AL48" s="198">
        <f>$E48*餐厅成本录入!AL48</f>
        <v>0</v>
      </c>
      <c r="AM48" s="198">
        <f>$E48*餐厅成本录入!AM48</f>
        <v>0</v>
      </c>
      <c r="AN48" s="198">
        <f>$E48*餐厅成本录入!AN48</f>
        <v>0</v>
      </c>
      <c r="AO48" s="198">
        <f>$E48*餐厅成本录入!AO48</f>
        <v>0</v>
      </c>
      <c r="AP48" s="198">
        <f>$E48*餐厅成本录入!AP48</f>
        <v>0</v>
      </c>
      <c r="AQ48" s="198">
        <f>$E48*餐厅成本录入!AQ48</f>
        <v>0</v>
      </c>
      <c r="AR48" s="198">
        <f>$E48*餐厅成本录入!AR48</f>
        <v>0</v>
      </c>
      <c r="AS48" s="198">
        <f>$E48*餐厅成本录入!AS48</f>
        <v>0</v>
      </c>
      <c r="AT48" s="198">
        <f>$E48*餐厅成本录入!AT48</f>
        <v>0</v>
      </c>
      <c r="AU48" s="198">
        <f>$E48*餐厅成本录入!AU48</f>
        <v>0</v>
      </c>
      <c r="AV48" s="198">
        <f>$E48*餐厅成本录入!AV48</f>
        <v>0</v>
      </c>
      <c r="AW48" s="198">
        <f>$E48*餐厅成本录入!AW48</f>
        <v>0</v>
      </c>
      <c r="AX48" s="198">
        <f>$E48*餐厅成本录入!AX48</f>
        <v>0</v>
      </c>
      <c r="AY48" s="198">
        <f>$E48*餐厅成本录入!AY48</f>
        <v>0</v>
      </c>
      <c r="AZ48" s="198">
        <f>$E48*餐厅成本录入!AZ48</f>
        <v>0</v>
      </c>
      <c r="BA48" s="198">
        <f>$E48*餐厅成本录入!BA48</f>
        <v>0</v>
      </c>
      <c r="BB48" s="198">
        <f>$E48*餐厅成本录入!BB48</f>
        <v>0</v>
      </c>
      <c r="BC48" s="198">
        <f>$E48*餐厅成本录入!BC48</f>
        <v>0</v>
      </c>
      <c r="BD48" s="198">
        <f>$E48*餐厅成本录入!BD48</f>
        <v>0</v>
      </c>
      <c r="BE48" s="198">
        <f>$E48*餐厅成本录入!BE48</f>
        <v>0</v>
      </c>
      <c r="BF48" s="198">
        <f>$E48*餐厅成本录入!BF48</f>
        <v>0</v>
      </c>
      <c r="BG48" s="198">
        <f>$E48*餐厅成本录入!BG48</f>
        <v>0</v>
      </c>
      <c r="BH48" s="198">
        <f>$E48*餐厅成本录入!BH48</f>
        <v>0</v>
      </c>
      <c r="BI48" s="198">
        <f>$E48*餐厅成本录入!BI48</f>
        <v>0</v>
      </c>
      <c r="BJ48" s="198">
        <f>$E48*餐厅成本录入!BJ48</f>
        <v>0</v>
      </c>
      <c r="BK48" s="198">
        <f>$E48*餐厅成本录入!BK48</f>
        <v>0</v>
      </c>
      <c r="BL48" s="198">
        <f>$E48*餐厅成本录入!BL48</f>
        <v>0</v>
      </c>
      <c r="BM48" s="198">
        <f>$E48*餐厅成本录入!BM48</f>
        <v>0</v>
      </c>
      <c r="BN48" s="198">
        <f>$E48*餐厅成本录入!BN48</f>
        <v>0</v>
      </c>
      <c r="BO48" s="198">
        <f>$E48*餐厅成本录入!BO48</f>
        <v>0</v>
      </c>
      <c r="BP48" s="198">
        <f>$E48*餐厅成本录入!BP48</f>
        <v>0</v>
      </c>
      <c r="BQ48" s="198">
        <f>$E48*餐厅成本录入!BQ48</f>
        <v>0</v>
      </c>
      <c r="BR48" s="198">
        <f>$E48*餐厅成本录入!BR48</f>
        <v>0</v>
      </c>
      <c r="BS48" s="198">
        <f>$E48*餐厅成本录入!BS48</f>
        <v>0</v>
      </c>
      <c r="BT48" s="198">
        <f>$E48*餐厅成本录入!BT48</f>
        <v>0</v>
      </c>
      <c r="BU48" s="198">
        <f>$E48*餐厅成本录入!BU48</f>
        <v>0</v>
      </c>
      <c r="BV48" s="198">
        <f>$E48*餐厅成本录入!BV48</f>
        <v>0</v>
      </c>
      <c r="BW48" s="198">
        <f>$E48*餐厅成本录入!BW48</f>
        <v>0</v>
      </c>
    </row>
    <row r="49" s="178" customFormat="1" customHeight="1" spans="1:75">
      <c r="A49" s="161">
        <v>62</v>
      </c>
      <c r="B49" s="21" t="str">
        <f>餐厅成本录入!B49</f>
        <v>球生菜</v>
      </c>
      <c r="C49" s="21">
        <f>餐厅成本录入!C49</f>
        <v>0</v>
      </c>
      <c r="D49" s="21">
        <f>餐厅成本录入!D49</f>
        <v>0</v>
      </c>
      <c r="E49" s="21">
        <f>餐厅成本录入!E49</f>
        <v>3</v>
      </c>
      <c r="F49" s="21">
        <f>餐厅成本录入!F49</f>
        <v>0</v>
      </c>
      <c r="G49" s="21">
        <f>餐厅成本录入!G49</f>
        <v>0</v>
      </c>
      <c r="H49" s="21">
        <f>餐厅成本录入!H49</f>
        <v>3</v>
      </c>
      <c r="I49" s="21">
        <f>餐厅成本录入!I49</f>
        <v>9</v>
      </c>
      <c r="J49" s="21">
        <f>餐厅成本录入!J49</f>
        <v>3</v>
      </c>
      <c r="K49" s="21">
        <f>餐厅成本录入!K49</f>
        <v>9</v>
      </c>
      <c r="L49" s="21">
        <f>餐厅成本录入!L49</f>
        <v>0</v>
      </c>
      <c r="M49" s="21">
        <f>餐厅成本录入!M49</f>
        <v>0</v>
      </c>
      <c r="N49" s="198">
        <f>$E49*餐厅成本录入!N49</f>
        <v>0</v>
      </c>
      <c r="O49" s="198">
        <f>$E49*餐厅成本录入!O49</f>
        <v>0</v>
      </c>
      <c r="P49" s="198">
        <f>$E49*餐厅成本录入!P49</f>
        <v>0</v>
      </c>
      <c r="Q49" s="198">
        <f>$E49*餐厅成本录入!Q49</f>
        <v>0</v>
      </c>
      <c r="R49" s="198">
        <f>$E49*餐厅成本录入!R49</f>
        <v>0</v>
      </c>
      <c r="S49" s="198">
        <f>$E49*餐厅成本录入!S49</f>
        <v>0</v>
      </c>
      <c r="T49" s="198">
        <f>$E49*餐厅成本录入!T49</f>
        <v>0</v>
      </c>
      <c r="U49" s="198">
        <f>$E49*餐厅成本录入!U49</f>
        <v>0</v>
      </c>
      <c r="V49" s="198">
        <f>$E49*餐厅成本录入!V49</f>
        <v>9</v>
      </c>
      <c r="W49" s="198">
        <f>$E49*餐厅成本录入!W49</f>
        <v>9</v>
      </c>
      <c r="X49" s="198">
        <f>$E49*餐厅成本录入!X49</f>
        <v>0</v>
      </c>
      <c r="Y49" s="198">
        <f>$E49*餐厅成本录入!Y49</f>
        <v>0</v>
      </c>
      <c r="Z49" s="198">
        <f>$E49*餐厅成本录入!Z49</f>
        <v>0</v>
      </c>
      <c r="AA49" s="198">
        <f>$E49*餐厅成本录入!AA49</f>
        <v>0</v>
      </c>
      <c r="AB49" s="198">
        <f>$E49*餐厅成本录入!AB49</f>
        <v>0</v>
      </c>
      <c r="AC49" s="198">
        <f>$E49*餐厅成本录入!AC49</f>
        <v>0</v>
      </c>
      <c r="AD49" s="198">
        <f>$E49*餐厅成本录入!AD49</f>
        <v>0</v>
      </c>
      <c r="AE49" s="198">
        <f>$E49*餐厅成本录入!AE49</f>
        <v>0</v>
      </c>
      <c r="AF49" s="198">
        <f>$E49*餐厅成本录入!AF49</f>
        <v>0</v>
      </c>
      <c r="AG49" s="198">
        <f>$E49*餐厅成本录入!AG49</f>
        <v>0</v>
      </c>
      <c r="AH49" s="198">
        <f>$E49*餐厅成本录入!AH49</f>
        <v>0</v>
      </c>
      <c r="AI49" s="198">
        <f>$E49*餐厅成本录入!AI49</f>
        <v>0</v>
      </c>
      <c r="AJ49" s="198">
        <f>$E49*餐厅成本录入!AJ49</f>
        <v>0</v>
      </c>
      <c r="AK49" s="198">
        <f>$E49*餐厅成本录入!AK49</f>
        <v>0</v>
      </c>
      <c r="AL49" s="198">
        <f>$E49*餐厅成本录入!AL49</f>
        <v>0</v>
      </c>
      <c r="AM49" s="198">
        <f>$E49*餐厅成本录入!AM49</f>
        <v>0</v>
      </c>
      <c r="AN49" s="198">
        <f>$E49*餐厅成本录入!AN49</f>
        <v>0</v>
      </c>
      <c r="AO49" s="198">
        <f>$E49*餐厅成本录入!AO49</f>
        <v>0</v>
      </c>
      <c r="AP49" s="198">
        <f>$E49*餐厅成本录入!AP49</f>
        <v>0</v>
      </c>
      <c r="AQ49" s="198">
        <f>$E49*餐厅成本录入!AQ49</f>
        <v>0</v>
      </c>
      <c r="AR49" s="198">
        <f>$E49*餐厅成本录入!AR49</f>
        <v>0</v>
      </c>
      <c r="AS49" s="198">
        <f>$E49*餐厅成本录入!AS49</f>
        <v>0</v>
      </c>
      <c r="AT49" s="198">
        <f>$E49*餐厅成本录入!AT49</f>
        <v>0</v>
      </c>
      <c r="AU49" s="198">
        <f>$E49*餐厅成本录入!AU49</f>
        <v>0</v>
      </c>
      <c r="AV49" s="198">
        <f>$E49*餐厅成本录入!AV49</f>
        <v>0</v>
      </c>
      <c r="AW49" s="198">
        <f>$E49*餐厅成本录入!AW49</f>
        <v>0</v>
      </c>
      <c r="AX49" s="198">
        <f>$E49*餐厅成本录入!AX49</f>
        <v>0</v>
      </c>
      <c r="AY49" s="198">
        <f>$E49*餐厅成本录入!AY49</f>
        <v>0</v>
      </c>
      <c r="AZ49" s="198">
        <f>$E49*餐厅成本录入!AZ49</f>
        <v>0</v>
      </c>
      <c r="BA49" s="198">
        <f>$E49*餐厅成本录入!BA49</f>
        <v>0</v>
      </c>
      <c r="BB49" s="198">
        <f>$E49*餐厅成本录入!BB49</f>
        <v>0</v>
      </c>
      <c r="BC49" s="198">
        <f>$E49*餐厅成本录入!BC49</f>
        <v>0</v>
      </c>
      <c r="BD49" s="198">
        <f>$E49*餐厅成本录入!BD49</f>
        <v>0</v>
      </c>
      <c r="BE49" s="198">
        <f>$E49*餐厅成本录入!BE49</f>
        <v>0</v>
      </c>
      <c r="BF49" s="198">
        <f>$E49*餐厅成本录入!BF49</f>
        <v>0</v>
      </c>
      <c r="BG49" s="198">
        <f>$E49*餐厅成本录入!BG49</f>
        <v>0</v>
      </c>
      <c r="BH49" s="198">
        <f>$E49*餐厅成本录入!BH49</f>
        <v>0</v>
      </c>
      <c r="BI49" s="198">
        <f>$E49*餐厅成本录入!BI49</f>
        <v>0</v>
      </c>
      <c r="BJ49" s="198">
        <f>$E49*餐厅成本录入!BJ49</f>
        <v>0</v>
      </c>
      <c r="BK49" s="198">
        <f>$E49*餐厅成本录入!BK49</f>
        <v>0</v>
      </c>
      <c r="BL49" s="198">
        <f>$E49*餐厅成本录入!BL49</f>
        <v>0</v>
      </c>
      <c r="BM49" s="198">
        <f>$E49*餐厅成本录入!BM49</f>
        <v>0</v>
      </c>
      <c r="BN49" s="198">
        <f>$E49*餐厅成本录入!BN49</f>
        <v>0</v>
      </c>
      <c r="BO49" s="198">
        <f>$E49*餐厅成本录入!BO49</f>
        <v>0</v>
      </c>
      <c r="BP49" s="198">
        <f>$E49*餐厅成本录入!BP49</f>
        <v>0</v>
      </c>
      <c r="BQ49" s="198">
        <f>$E49*餐厅成本录入!BQ49</f>
        <v>0</v>
      </c>
      <c r="BR49" s="198">
        <f>$E49*餐厅成本录入!BR49</f>
        <v>0</v>
      </c>
      <c r="BS49" s="198">
        <f>$E49*餐厅成本录入!BS49</f>
        <v>0</v>
      </c>
      <c r="BT49" s="198">
        <f>$E49*餐厅成本录入!BT49</f>
        <v>0</v>
      </c>
      <c r="BU49" s="198">
        <f>$E49*餐厅成本录入!BU49</f>
        <v>0</v>
      </c>
      <c r="BV49" s="198">
        <f>$E49*餐厅成本录入!BV49</f>
        <v>0</v>
      </c>
      <c r="BW49" s="198">
        <f>$E49*餐厅成本录入!BW49</f>
        <v>0</v>
      </c>
    </row>
    <row r="50" s="178" customFormat="1" customHeight="1" spans="1:75">
      <c r="A50" s="161">
        <v>63</v>
      </c>
      <c r="B50" s="21" t="str">
        <f>餐厅成本录入!B50</f>
        <v>姜</v>
      </c>
      <c r="C50" s="21">
        <f>餐厅成本录入!C50</f>
        <v>0</v>
      </c>
      <c r="D50" s="21">
        <f>餐厅成本录入!D50</f>
        <v>0</v>
      </c>
      <c r="E50" s="21">
        <f>餐厅成本录入!E50</f>
        <v>0</v>
      </c>
      <c r="F50" s="21">
        <f>餐厅成本录入!F50</f>
        <v>0</v>
      </c>
      <c r="G50" s="21">
        <f>餐厅成本录入!G50</f>
        <v>0</v>
      </c>
      <c r="H50" s="21">
        <f>餐厅成本录入!H50</f>
        <v>0</v>
      </c>
      <c r="I50" s="21">
        <f>餐厅成本录入!I50</f>
        <v>0</v>
      </c>
      <c r="J50" s="21">
        <f>餐厅成本录入!J50</f>
        <v>0</v>
      </c>
      <c r="K50" s="21">
        <f>餐厅成本录入!K50</f>
        <v>0</v>
      </c>
      <c r="L50" s="21">
        <f>餐厅成本录入!L50</f>
        <v>0</v>
      </c>
      <c r="M50" s="21">
        <f>餐厅成本录入!M50</f>
        <v>0</v>
      </c>
      <c r="N50" s="198">
        <f>$E50*餐厅成本录入!N50</f>
        <v>0</v>
      </c>
      <c r="O50" s="198">
        <f>$E50*餐厅成本录入!O50</f>
        <v>0</v>
      </c>
      <c r="P50" s="198">
        <f>$E50*餐厅成本录入!P50</f>
        <v>0</v>
      </c>
      <c r="Q50" s="198">
        <f>$E50*餐厅成本录入!Q50</f>
        <v>0</v>
      </c>
      <c r="R50" s="198">
        <f>$E50*餐厅成本录入!R50</f>
        <v>0</v>
      </c>
      <c r="S50" s="198">
        <f>$E50*餐厅成本录入!S50</f>
        <v>0</v>
      </c>
      <c r="T50" s="198">
        <f>$E50*餐厅成本录入!T50</f>
        <v>0</v>
      </c>
      <c r="U50" s="198">
        <f>$E50*餐厅成本录入!U50</f>
        <v>0</v>
      </c>
      <c r="V50" s="198">
        <f>$E50*餐厅成本录入!V50</f>
        <v>0</v>
      </c>
      <c r="W50" s="198">
        <f>$E50*餐厅成本录入!W50</f>
        <v>0</v>
      </c>
      <c r="X50" s="198">
        <f>$E50*餐厅成本录入!X50</f>
        <v>0</v>
      </c>
      <c r="Y50" s="198">
        <f>$E50*餐厅成本录入!Y50</f>
        <v>0</v>
      </c>
      <c r="Z50" s="198">
        <f>$E50*餐厅成本录入!Z50</f>
        <v>0</v>
      </c>
      <c r="AA50" s="198">
        <f>$E50*餐厅成本录入!AA50</f>
        <v>0</v>
      </c>
      <c r="AB50" s="198">
        <f>$E50*餐厅成本录入!AB50</f>
        <v>0</v>
      </c>
      <c r="AC50" s="198">
        <f>$E50*餐厅成本录入!AC50</f>
        <v>0</v>
      </c>
      <c r="AD50" s="198">
        <f>$E50*餐厅成本录入!AD50</f>
        <v>0</v>
      </c>
      <c r="AE50" s="198">
        <f>$E50*餐厅成本录入!AE50</f>
        <v>0</v>
      </c>
      <c r="AF50" s="198">
        <f>$E50*餐厅成本录入!AF50</f>
        <v>0</v>
      </c>
      <c r="AG50" s="198">
        <f>$E50*餐厅成本录入!AG50</f>
        <v>0</v>
      </c>
      <c r="AH50" s="198">
        <f>$E50*餐厅成本录入!AH50</f>
        <v>0</v>
      </c>
      <c r="AI50" s="198">
        <f>$E50*餐厅成本录入!AI50</f>
        <v>0</v>
      </c>
      <c r="AJ50" s="198">
        <f>$E50*餐厅成本录入!AJ50</f>
        <v>0</v>
      </c>
      <c r="AK50" s="198">
        <f>$E50*餐厅成本录入!AK50</f>
        <v>0</v>
      </c>
      <c r="AL50" s="198">
        <f>$E50*餐厅成本录入!AL50</f>
        <v>0</v>
      </c>
      <c r="AM50" s="198">
        <f>$E50*餐厅成本录入!AM50</f>
        <v>0</v>
      </c>
      <c r="AN50" s="198">
        <f>$E50*餐厅成本录入!AN50</f>
        <v>0</v>
      </c>
      <c r="AO50" s="198">
        <f>$E50*餐厅成本录入!AO50</f>
        <v>0</v>
      </c>
      <c r="AP50" s="198">
        <f>$E50*餐厅成本录入!AP50</f>
        <v>0</v>
      </c>
      <c r="AQ50" s="198">
        <f>$E50*餐厅成本录入!AQ50</f>
        <v>0</v>
      </c>
      <c r="AR50" s="198">
        <f>$E50*餐厅成本录入!AR50</f>
        <v>0</v>
      </c>
      <c r="AS50" s="198">
        <f>$E50*餐厅成本录入!AS50</f>
        <v>0</v>
      </c>
      <c r="AT50" s="198">
        <f>$E50*餐厅成本录入!AT50</f>
        <v>0</v>
      </c>
      <c r="AU50" s="198">
        <f>$E50*餐厅成本录入!AU50</f>
        <v>0</v>
      </c>
      <c r="AV50" s="198">
        <f>$E50*餐厅成本录入!AV50</f>
        <v>0</v>
      </c>
      <c r="AW50" s="198">
        <f>$E50*餐厅成本录入!AW50</f>
        <v>0</v>
      </c>
      <c r="AX50" s="198">
        <f>$E50*餐厅成本录入!AX50</f>
        <v>0</v>
      </c>
      <c r="AY50" s="198">
        <f>$E50*餐厅成本录入!AY50</f>
        <v>0</v>
      </c>
      <c r="AZ50" s="198">
        <f>$E50*餐厅成本录入!AZ50</f>
        <v>0</v>
      </c>
      <c r="BA50" s="198">
        <f>$E50*餐厅成本录入!BA50</f>
        <v>0</v>
      </c>
      <c r="BB50" s="198">
        <f>$E50*餐厅成本录入!BB50</f>
        <v>0</v>
      </c>
      <c r="BC50" s="198">
        <f>$E50*餐厅成本录入!BC50</f>
        <v>0</v>
      </c>
      <c r="BD50" s="198">
        <f>$E50*餐厅成本录入!BD50</f>
        <v>0</v>
      </c>
      <c r="BE50" s="198">
        <f>$E50*餐厅成本录入!BE50</f>
        <v>0</v>
      </c>
      <c r="BF50" s="198">
        <f>$E50*餐厅成本录入!BF50</f>
        <v>0</v>
      </c>
      <c r="BG50" s="198">
        <f>$E50*餐厅成本录入!BG50</f>
        <v>0</v>
      </c>
      <c r="BH50" s="198">
        <f>$E50*餐厅成本录入!BH50</f>
        <v>0</v>
      </c>
      <c r="BI50" s="198">
        <f>$E50*餐厅成本录入!BI50</f>
        <v>0</v>
      </c>
      <c r="BJ50" s="198">
        <f>$E50*餐厅成本录入!BJ50</f>
        <v>0</v>
      </c>
      <c r="BK50" s="198">
        <f>$E50*餐厅成本录入!BK50</f>
        <v>0</v>
      </c>
      <c r="BL50" s="198">
        <f>$E50*餐厅成本录入!BL50</f>
        <v>0</v>
      </c>
      <c r="BM50" s="198">
        <f>$E50*餐厅成本录入!BM50</f>
        <v>0</v>
      </c>
      <c r="BN50" s="198">
        <f>$E50*餐厅成本录入!BN50</f>
        <v>0</v>
      </c>
      <c r="BO50" s="198">
        <f>$E50*餐厅成本录入!BO50</f>
        <v>0</v>
      </c>
      <c r="BP50" s="198">
        <f>$E50*餐厅成本录入!BP50</f>
        <v>0</v>
      </c>
      <c r="BQ50" s="198">
        <f>$E50*餐厅成本录入!BQ50</f>
        <v>0</v>
      </c>
      <c r="BR50" s="198">
        <f>$E50*餐厅成本录入!BR50</f>
        <v>0</v>
      </c>
      <c r="BS50" s="198">
        <f>$E50*餐厅成本录入!BS50</f>
        <v>0</v>
      </c>
      <c r="BT50" s="198">
        <f>$E50*餐厅成本录入!BT50</f>
        <v>0</v>
      </c>
      <c r="BU50" s="198">
        <f>$E50*餐厅成本录入!BU50</f>
        <v>0</v>
      </c>
      <c r="BV50" s="198">
        <f>$E50*餐厅成本录入!BV50</f>
        <v>0</v>
      </c>
      <c r="BW50" s="198">
        <f>$E50*餐厅成本录入!BW50</f>
        <v>0</v>
      </c>
    </row>
    <row r="51" s="178" customFormat="1" customHeight="1" spans="1:75">
      <c r="A51" s="161">
        <v>64</v>
      </c>
      <c r="B51" s="21" t="str">
        <f>餐厅成本录入!B51</f>
        <v>秋葵</v>
      </c>
      <c r="C51" s="21">
        <f>餐厅成本录入!C51</f>
        <v>0</v>
      </c>
      <c r="D51" s="21">
        <f>餐厅成本录入!D51</f>
        <v>0</v>
      </c>
      <c r="E51" s="21">
        <f>餐厅成本录入!E51</f>
        <v>0</v>
      </c>
      <c r="F51" s="21">
        <f>餐厅成本录入!F51</f>
        <v>0</v>
      </c>
      <c r="G51" s="21">
        <f>餐厅成本录入!G51</f>
        <v>0</v>
      </c>
      <c r="H51" s="21">
        <f>餐厅成本录入!H51</f>
        <v>0</v>
      </c>
      <c r="I51" s="21">
        <f>餐厅成本录入!I51</f>
        <v>0</v>
      </c>
      <c r="J51" s="21">
        <f>餐厅成本录入!J51</f>
        <v>0</v>
      </c>
      <c r="K51" s="21">
        <f>餐厅成本录入!K51</f>
        <v>0</v>
      </c>
      <c r="L51" s="21">
        <f>餐厅成本录入!L51</f>
        <v>0</v>
      </c>
      <c r="M51" s="21">
        <f>餐厅成本录入!M51</f>
        <v>0</v>
      </c>
      <c r="N51" s="198">
        <f>$E51*餐厅成本录入!N51</f>
        <v>0</v>
      </c>
      <c r="O51" s="198">
        <f>$E51*餐厅成本录入!O51</f>
        <v>0</v>
      </c>
      <c r="P51" s="198">
        <f>$E51*餐厅成本录入!P51</f>
        <v>0</v>
      </c>
      <c r="Q51" s="198">
        <f>$E51*餐厅成本录入!Q51</f>
        <v>0</v>
      </c>
      <c r="R51" s="198">
        <f>$E51*餐厅成本录入!R51</f>
        <v>0</v>
      </c>
      <c r="S51" s="198">
        <f>$E51*餐厅成本录入!S51</f>
        <v>0</v>
      </c>
      <c r="T51" s="198">
        <f>$E51*餐厅成本录入!T51</f>
        <v>0</v>
      </c>
      <c r="U51" s="198">
        <f>$E51*餐厅成本录入!U51</f>
        <v>0</v>
      </c>
      <c r="V51" s="198">
        <f>$E51*餐厅成本录入!V51</f>
        <v>0</v>
      </c>
      <c r="W51" s="198">
        <f>$E51*餐厅成本录入!W51</f>
        <v>0</v>
      </c>
      <c r="X51" s="198">
        <f>$E51*餐厅成本录入!X51</f>
        <v>0</v>
      </c>
      <c r="Y51" s="198">
        <f>$E51*餐厅成本录入!Y51</f>
        <v>0</v>
      </c>
      <c r="Z51" s="198">
        <f>$E51*餐厅成本录入!Z51</f>
        <v>0</v>
      </c>
      <c r="AA51" s="198">
        <f>$E51*餐厅成本录入!AA51</f>
        <v>0</v>
      </c>
      <c r="AB51" s="198">
        <f>$E51*餐厅成本录入!AB51</f>
        <v>0</v>
      </c>
      <c r="AC51" s="198">
        <f>$E51*餐厅成本录入!AC51</f>
        <v>0</v>
      </c>
      <c r="AD51" s="198">
        <f>$E51*餐厅成本录入!AD51</f>
        <v>0</v>
      </c>
      <c r="AE51" s="198">
        <f>$E51*餐厅成本录入!AE51</f>
        <v>0</v>
      </c>
      <c r="AF51" s="198">
        <f>$E51*餐厅成本录入!AF51</f>
        <v>0</v>
      </c>
      <c r="AG51" s="198">
        <f>$E51*餐厅成本录入!AG51</f>
        <v>0</v>
      </c>
      <c r="AH51" s="198">
        <f>$E51*餐厅成本录入!AH51</f>
        <v>0</v>
      </c>
      <c r="AI51" s="198">
        <f>$E51*餐厅成本录入!AI51</f>
        <v>0</v>
      </c>
      <c r="AJ51" s="198">
        <f>$E51*餐厅成本录入!AJ51</f>
        <v>0</v>
      </c>
      <c r="AK51" s="198">
        <f>$E51*餐厅成本录入!AK51</f>
        <v>0</v>
      </c>
      <c r="AL51" s="198">
        <f>$E51*餐厅成本录入!AL51</f>
        <v>0</v>
      </c>
      <c r="AM51" s="198">
        <f>$E51*餐厅成本录入!AM51</f>
        <v>0</v>
      </c>
      <c r="AN51" s="198">
        <f>$E51*餐厅成本录入!AN51</f>
        <v>0</v>
      </c>
      <c r="AO51" s="198">
        <f>$E51*餐厅成本录入!AO51</f>
        <v>0</v>
      </c>
      <c r="AP51" s="198">
        <f>$E51*餐厅成本录入!AP51</f>
        <v>0</v>
      </c>
      <c r="AQ51" s="198">
        <f>$E51*餐厅成本录入!AQ51</f>
        <v>0</v>
      </c>
      <c r="AR51" s="198">
        <f>$E51*餐厅成本录入!AR51</f>
        <v>0</v>
      </c>
      <c r="AS51" s="198">
        <f>$E51*餐厅成本录入!AS51</f>
        <v>0</v>
      </c>
      <c r="AT51" s="198">
        <f>$E51*餐厅成本录入!AT51</f>
        <v>0</v>
      </c>
      <c r="AU51" s="198">
        <f>$E51*餐厅成本录入!AU51</f>
        <v>0</v>
      </c>
      <c r="AV51" s="198">
        <f>$E51*餐厅成本录入!AV51</f>
        <v>0</v>
      </c>
      <c r="AW51" s="198">
        <f>$E51*餐厅成本录入!AW51</f>
        <v>0</v>
      </c>
      <c r="AX51" s="198">
        <f>$E51*餐厅成本录入!AX51</f>
        <v>0</v>
      </c>
      <c r="AY51" s="198">
        <f>$E51*餐厅成本录入!AY51</f>
        <v>0</v>
      </c>
      <c r="AZ51" s="198">
        <f>$E51*餐厅成本录入!AZ51</f>
        <v>0</v>
      </c>
      <c r="BA51" s="198">
        <f>$E51*餐厅成本录入!BA51</f>
        <v>0</v>
      </c>
      <c r="BB51" s="198">
        <f>$E51*餐厅成本录入!BB51</f>
        <v>0</v>
      </c>
      <c r="BC51" s="198">
        <f>$E51*餐厅成本录入!BC51</f>
        <v>0</v>
      </c>
      <c r="BD51" s="198">
        <f>$E51*餐厅成本录入!BD51</f>
        <v>0</v>
      </c>
      <c r="BE51" s="198">
        <f>$E51*餐厅成本录入!BE51</f>
        <v>0</v>
      </c>
      <c r="BF51" s="198">
        <f>$E51*餐厅成本录入!BF51</f>
        <v>0</v>
      </c>
      <c r="BG51" s="198">
        <f>$E51*餐厅成本录入!BG51</f>
        <v>0</v>
      </c>
      <c r="BH51" s="198">
        <f>$E51*餐厅成本录入!BH51</f>
        <v>0</v>
      </c>
      <c r="BI51" s="198">
        <f>$E51*餐厅成本录入!BI51</f>
        <v>0</v>
      </c>
      <c r="BJ51" s="198">
        <f>$E51*餐厅成本录入!BJ51</f>
        <v>0</v>
      </c>
      <c r="BK51" s="198">
        <f>$E51*餐厅成本录入!BK51</f>
        <v>0</v>
      </c>
      <c r="BL51" s="198">
        <f>$E51*餐厅成本录入!BL51</f>
        <v>0</v>
      </c>
      <c r="BM51" s="198">
        <f>$E51*餐厅成本录入!BM51</f>
        <v>0</v>
      </c>
      <c r="BN51" s="198">
        <f>$E51*餐厅成本录入!BN51</f>
        <v>0</v>
      </c>
      <c r="BO51" s="198">
        <f>$E51*餐厅成本录入!BO51</f>
        <v>0</v>
      </c>
      <c r="BP51" s="198">
        <f>$E51*餐厅成本录入!BP51</f>
        <v>0</v>
      </c>
      <c r="BQ51" s="198">
        <f>$E51*餐厅成本录入!BQ51</f>
        <v>0</v>
      </c>
      <c r="BR51" s="198">
        <f>$E51*餐厅成本录入!BR51</f>
        <v>0</v>
      </c>
      <c r="BS51" s="198">
        <f>$E51*餐厅成本录入!BS51</f>
        <v>0</v>
      </c>
      <c r="BT51" s="198">
        <f>$E51*餐厅成本录入!BT51</f>
        <v>0</v>
      </c>
      <c r="BU51" s="198">
        <f>$E51*餐厅成本录入!BU51</f>
        <v>0</v>
      </c>
      <c r="BV51" s="198">
        <f>$E51*餐厅成本录入!BV51</f>
        <v>0</v>
      </c>
      <c r="BW51" s="198">
        <f>$E51*餐厅成本录入!BW51</f>
        <v>0</v>
      </c>
    </row>
    <row r="52" s="178" customFormat="1" customHeight="1" spans="1:75">
      <c r="A52" s="161">
        <v>65</v>
      </c>
      <c r="B52" s="21" t="str">
        <f>餐厅成本录入!B52</f>
        <v>香椿</v>
      </c>
      <c r="C52" s="21">
        <f>餐厅成本录入!C52</f>
        <v>0</v>
      </c>
      <c r="D52" s="21">
        <f>餐厅成本录入!D52</f>
        <v>0</v>
      </c>
      <c r="E52" s="21">
        <f>餐厅成本录入!E52</f>
        <v>0</v>
      </c>
      <c r="F52" s="21">
        <f>餐厅成本录入!F52</f>
        <v>0</v>
      </c>
      <c r="G52" s="21">
        <f>餐厅成本录入!G52</f>
        <v>0</v>
      </c>
      <c r="H52" s="21">
        <f>餐厅成本录入!H52</f>
        <v>0</v>
      </c>
      <c r="I52" s="21">
        <f>餐厅成本录入!I52</f>
        <v>0</v>
      </c>
      <c r="J52" s="21">
        <f>餐厅成本录入!J52</f>
        <v>0</v>
      </c>
      <c r="K52" s="21">
        <f>餐厅成本录入!K52</f>
        <v>0</v>
      </c>
      <c r="L52" s="21">
        <f>餐厅成本录入!L52</f>
        <v>0</v>
      </c>
      <c r="M52" s="21">
        <f>餐厅成本录入!M52</f>
        <v>0</v>
      </c>
      <c r="N52" s="198">
        <f>$E52*餐厅成本录入!N52</f>
        <v>0</v>
      </c>
      <c r="O52" s="198">
        <f>$E52*餐厅成本录入!O52</f>
        <v>0</v>
      </c>
      <c r="P52" s="198">
        <f>$E52*餐厅成本录入!P52</f>
        <v>0</v>
      </c>
      <c r="Q52" s="198">
        <f>$E52*餐厅成本录入!Q52</f>
        <v>0</v>
      </c>
      <c r="R52" s="198">
        <f>$E52*餐厅成本录入!R52</f>
        <v>0</v>
      </c>
      <c r="S52" s="198">
        <f>$E52*餐厅成本录入!S52</f>
        <v>0</v>
      </c>
      <c r="T52" s="198">
        <f>$E52*餐厅成本录入!T52</f>
        <v>0</v>
      </c>
      <c r="U52" s="198">
        <f>$E52*餐厅成本录入!U52</f>
        <v>0</v>
      </c>
      <c r="V52" s="198">
        <f>$E52*餐厅成本录入!V52</f>
        <v>0</v>
      </c>
      <c r="W52" s="198">
        <f>$E52*餐厅成本录入!W52</f>
        <v>0</v>
      </c>
      <c r="X52" s="198">
        <f>$E52*餐厅成本录入!X52</f>
        <v>0</v>
      </c>
      <c r="Y52" s="198">
        <f>$E52*餐厅成本录入!Y52</f>
        <v>0</v>
      </c>
      <c r="Z52" s="198">
        <f>$E52*餐厅成本录入!Z52</f>
        <v>0</v>
      </c>
      <c r="AA52" s="198">
        <f>$E52*餐厅成本录入!AA52</f>
        <v>0</v>
      </c>
      <c r="AB52" s="198">
        <f>$E52*餐厅成本录入!AB52</f>
        <v>0</v>
      </c>
      <c r="AC52" s="198">
        <f>$E52*餐厅成本录入!AC52</f>
        <v>0</v>
      </c>
      <c r="AD52" s="198">
        <f>$E52*餐厅成本录入!AD52</f>
        <v>0</v>
      </c>
      <c r="AE52" s="198">
        <f>$E52*餐厅成本录入!AE52</f>
        <v>0</v>
      </c>
      <c r="AF52" s="198">
        <f>$E52*餐厅成本录入!AF52</f>
        <v>0</v>
      </c>
      <c r="AG52" s="198">
        <f>$E52*餐厅成本录入!AG52</f>
        <v>0</v>
      </c>
      <c r="AH52" s="198">
        <f>$E52*餐厅成本录入!AH52</f>
        <v>0</v>
      </c>
      <c r="AI52" s="198">
        <f>$E52*餐厅成本录入!AI52</f>
        <v>0</v>
      </c>
      <c r="AJ52" s="198">
        <f>$E52*餐厅成本录入!AJ52</f>
        <v>0</v>
      </c>
      <c r="AK52" s="198">
        <f>$E52*餐厅成本录入!AK52</f>
        <v>0</v>
      </c>
      <c r="AL52" s="198">
        <f>$E52*餐厅成本录入!AL52</f>
        <v>0</v>
      </c>
      <c r="AM52" s="198">
        <f>$E52*餐厅成本录入!AM52</f>
        <v>0</v>
      </c>
      <c r="AN52" s="198">
        <f>$E52*餐厅成本录入!AN52</f>
        <v>0</v>
      </c>
      <c r="AO52" s="198">
        <f>$E52*餐厅成本录入!AO52</f>
        <v>0</v>
      </c>
      <c r="AP52" s="198">
        <f>$E52*餐厅成本录入!AP52</f>
        <v>0</v>
      </c>
      <c r="AQ52" s="198">
        <f>$E52*餐厅成本录入!AQ52</f>
        <v>0</v>
      </c>
      <c r="AR52" s="198">
        <f>$E52*餐厅成本录入!AR52</f>
        <v>0</v>
      </c>
      <c r="AS52" s="198">
        <f>$E52*餐厅成本录入!AS52</f>
        <v>0</v>
      </c>
      <c r="AT52" s="198">
        <f>$E52*餐厅成本录入!AT52</f>
        <v>0</v>
      </c>
      <c r="AU52" s="198">
        <f>$E52*餐厅成本录入!AU52</f>
        <v>0</v>
      </c>
      <c r="AV52" s="198">
        <f>$E52*餐厅成本录入!AV52</f>
        <v>0</v>
      </c>
      <c r="AW52" s="198">
        <f>$E52*餐厅成本录入!AW52</f>
        <v>0</v>
      </c>
      <c r="AX52" s="198">
        <f>$E52*餐厅成本录入!AX52</f>
        <v>0</v>
      </c>
      <c r="AY52" s="198">
        <f>$E52*餐厅成本录入!AY52</f>
        <v>0</v>
      </c>
      <c r="AZ52" s="198">
        <f>$E52*餐厅成本录入!AZ52</f>
        <v>0</v>
      </c>
      <c r="BA52" s="198">
        <f>$E52*餐厅成本录入!BA52</f>
        <v>0</v>
      </c>
      <c r="BB52" s="198">
        <f>$E52*餐厅成本录入!BB52</f>
        <v>0</v>
      </c>
      <c r="BC52" s="198">
        <f>$E52*餐厅成本录入!BC52</f>
        <v>0</v>
      </c>
      <c r="BD52" s="198">
        <f>$E52*餐厅成本录入!BD52</f>
        <v>0</v>
      </c>
      <c r="BE52" s="198">
        <f>$E52*餐厅成本录入!BE52</f>
        <v>0</v>
      </c>
      <c r="BF52" s="198">
        <f>$E52*餐厅成本录入!BF52</f>
        <v>0</v>
      </c>
      <c r="BG52" s="198">
        <f>$E52*餐厅成本录入!BG52</f>
        <v>0</v>
      </c>
      <c r="BH52" s="198">
        <f>$E52*餐厅成本录入!BH52</f>
        <v>0</v>
      </c>
      <c r="BI52" s="198">
        <f>$E52*餐厅成本录入!BI52</f>
        <v>0</v>
      </c>
      <c r="BJ52" s="198">
        <f>$E52*餐厅成本录入!BJ52</f>
        <v>0</v>
      </c>
      <c r="BK52" s="198">
        <f>$E52*餐厅成本录入!BK52</f>
        <v>0</v>
      </c>
      <c r="BL52" s="198">
        <f>$E52*餐厅成本录入!BL52</f>
        <v>0</v>
      </c>
      <c r="BM52" s="198">
        <f>$E52*餐厅成本录入!BM52</f>
        <v>0</v>
      </c>
      <c r="BN52" s="198">
        <f>$E52*餐厅成本录入!BN52</f>
        <v>0</v>
      </c>
      <c r="BO52" s="198">
        <f>$E52*餐厅成本录入!BO52</f>
        <v>0</v>
      </c>
      <c r="BP52" s="198">
        <f>$E52*餐厅成本录入!BP52</f>
        <v>0</v>
      </c>
      <c r="BQ52" s="198">
        <f>$E52*餐厅成本录入!BQ52</f>
        <v>0</v>
      </c>
      <c r="BR52" s="198">
        <f>$E52*餐厅成本录入!BR52</f>
        <v>0</v>
      </c>
      <c r="BS52" s="198">
        <f>$E52*餐厅成本录入!BS52</f>
        <v>0</v>
      </c>
      <c r="BT52" s="198">
        <f>$E52*餐厅成本录入!BT52</f>
        <v>0</v>
      </c>
      <c r="BU52" s="198">
        <f>$E52*餐厅成本录入!BU52</f>
        <v>0</v>
      </c>
      <c r="BV52" s="198">
        <f>$E52*餐厅成本录入!BV52</f>
        <v>0</v>
      </c>
      <c r="BW52" s="198">
        <f>$E52*餐厅成本录入!BW52</f>
        <v>0</v>
      </c>
    </row>
    <row r="53" s="178" customFormat="1" customHeight="1" spans="1:75">
      <c r="A53" s="161">
        <v>66</v>
      </c>
      <c r="B53" s="21" t="str">
        <f>餐厅成本录入!B53</f>
        <v>蒜苗</v>
      </c>
      <c r="C53" s="21">
        <f>餐厅成本录入!C53</f>
        <v>0</v>
      </c>
      <c r="D53" s="21">
        <f>餐厅成本录入!D53</f>
        <v>0</v>
      </c>
      <c r="E53" s="21">
        <f>餐厅成本录入!E53</f>
        <v>0</v>
      </c>
      <c r="F53" s="21">
        <f>餐厅成本录入!F53</f>
        <v>0</v>
      </c>
      <c r="G53" s="21">
        <f>餐厅成本录入!G53</f>
        <v>0</v>
      </c>
      <c r="H53" s="21">
        <f>餐厅成本录入!H53</f>
        <v>0</v>
      </c>
      <c r="I53" s="21">
        <f>餐厅成本录入!I53</f>
        <v>0</v>
      </c>
      <c r="J53" s="21">
        <f>餐厅成本录入!J53</f>
        <v>0</v>
      </c>
      <c r="K53" s="21">
        <f>餐厅成本录入!K53</f>
        <v>0</v>
      </c>
      <c r="L53" s="21">
        <f>餐厅成本录入!L53</f>
        <v>0</v>
      </c>
      <c r="M53" s="21">
        <f>餐厅成本录入!M53</f>
        <v>0</v>
      </c>
      <c r="N53" s="198">
        <f>$E53*餐厅成本录入!N53</f>
        <v>0</v>
      </c>
      <c r="O53" s="198">
        <f>$E53*餐厅成本录入!O53</f>
        <v>0</v>
      </c>
      <c r="P53" s="198">
        <f>$E53*餐厅成本录入!P53</f>
        <v>0</v>
      </c>
      <c r="Q53" s="198">
        <f>$E53*餐厅成本录入!Q53</f>
        <v>0</v>
      </c>
      <c r="R53" s="198">
        <f>$E53*餐厅成本录入!R53</f>
        <v>0</v>
      </c>
      <c r="S53" s="198">
        <f>$E53*餐厅成本录入!S53</f>
        <v>0</v>
      </c>
      <c r="T53" s="198">
        <f>$E53*餐厅成本录入!T53</f>
        <v>0</v>
      </c>
      <c r="U53" s="198">
        <f>$E53*餐厅成本录入!U53</f>
        <v>0</v>
      </c>
      <c r="V53" s="198">
        <f>$E53*餐厅成本录入!V53</f>
        <v>0</v>
      </c>
      <c r="W53" s="198">
        <f>$E53*餐厅成本录入!W53</f>
        <v>0</v>
      </c>
      <c r="X53" s="198">
        <f>$E53*餐厅成本录入!X53</f>
        <v>0</v>
      </c>
      <c r="Y53" s="198">
        <f>$E53*餐厅成本录入!Y53</f>
        <v>0</v>
      </c>
      <c r="Z53" s="198">
        <f>$E53*餐厅成本录入!Z53</f>
        <v>0</v>
      </c>
      <c r="AA53" s="198">
        <f>$E53*餐厅成本录入!AA53</f>
        <v>0</v>
      </c>
      <c r="AB53" s="198">
        <f>$E53*餐厅成本录入!AB53</f>
        <v>0</v>
      </c>
      <c r="AC53" s="198">
        <f>$E53*餐厅成本录入!AC53</f>
        <v>0</v>
      </c>
      <c r="AD53" s="198">
        <f>$E53*餐厅成本录入!AD53</f>
        <v>0</v>
      </c>
      <c r="AE53" s="198">
        <f>$E53*餐厅成本录入!AE53</f>
        <v>0</v>
      </c>
      <c r="AF53" s="198">
        <f>$E53*餐厅成本录入!AF53</f>
        <v>0</v>
      </c>
      <c r="AG53" s="198">
        <f>$E53*餐厅成本录入!AG53</f>
        <v>0</v>
      </c>
      <c r="AH53" s="198">
        <f>$E53*餐厅成本录入!AH53</f>
        <v>0</v>
      </c>
      <c r="AI53" s="198">
        <f>$E53*餐厅成本录入!AI53</f>
        <v>0</v>
      </c>
      <c r="AJ53" s="198">
        <f>$E53*餐厅成本录入!AJ53</f>
        <v>0</v>
      </c>
      <c r="AK53" s="198">
        <f>$E53*餐厅成本录入!AK53</f>
        <v>0</v>
      </c>
      <c r="AL53" s="198">
        <f>$E53*餐厅成本录入!AL53</f>
        <v>0</v>
      </c>
      <c r="AM53" s="198">
        <f>$E53*餐厅成本录入!AM53</f>
        <v>0</v>
      </c>
      <c r="AN53" s="198">
        <f>$E53*餐厅成本录入!AN53</f>
        <v>0</v>
      </c>
      <c r="AO53" s="198">
        <f>$E53*餐厅成本录入!AO53</f>
        <v>0</v>
      </c>
      <c r="AP53" s="198">
        <f>$E53*餐厅成本录入!AP53</f>
        <v>0</v>
      </c>
      <c r="AQ53" s="198">
        <f>$E53*餐厅成本录入!AQ53</f>
        <v>0</v>
      </c>
      <c r="AR53" s="198">
        <f>$E53*餐厅成本录入!AR53</f>
        <v>0</v>
      </c>
      <c r="AS53" s="198">
        <f>$E53*餐厅成本录入!AS53</f>
        <v>0</v>
      </c>
      <c r="AT53" s="198">
        <f>$E53*餐厅成本录入!AT53</f>
        <v>0</v>
      </c>
      <c r="AU53" s="198">
        <f>$E53*餐厅成本录入!AU53</f>
        <v>0</v>
      </c>
      <c r="AV53" s="198">
        <f>$E53*餐厅成本录入!AV53</f>
        <v>0</v>
      </c>
      <c r="AW53" s="198">
        <f>$E53*餐厅成本录入!AW53</f>
        <v>0</v>
      </c>
      <c r="AX53" s="198">
        <f>$E53*餐厅成本录入!AX53</f>
        <v>0</v>
      </c>
      <c r="AY53" s="198">
        <f>$E53*餐厅成本录入!AY53</f>
        <v>0</v>
      </c>
      <c r="AZ53" s="198">
        <f>$E53*餐厅成本录入!AZ53</f>
        <v>0</v>
      </c>
      <c r="BA53" s="198">
        <f>$E53*餐厅成本录入!BA53</f>
        <v>0</v>
      </c>
      <c r="BB53" s="198">
        <f>$E53*餐厅成本录入!BB53</f>
        <v>0</v>
      </c>
      <c r="BC53" s="198">
        <f>$E53*餐厅成本录入!BC53</f>
        <v>0</v>
      </c>
      <c r="BD53" s="198">
        <f>$E53*餐厅成本录入!BD53</f>
        <v>0</v>
      </c>
      <c r="BE53" s="198">
        <f>$E53*餐厅成本录入!BE53</f>
        <v>0</v>
      </c>
      <c r="BF53" s="198">
        <f>$E53*餐厅成本录入!BF53</f>
        <v>0</v>
      </c>
      <c r="BG53" s="198">
        <f>$E53*餐厅成本录入!BG53</f>
        <v>0</v>
      </c>
      <c r="BH53" s="198">
        <f>$E53*餐厅成本录入!BH53</f>
        <v>0</v>
      </c>
      <c r="BI53" s="198">
        <f>$E53*餐厅成本录入!BI53</f>
        <v>0</v>
      </c>
      <c r="BJ53" s="198">
        <f>$E53*餐厅成本录入!BJ53</f>
        <v>0</v>
      </c>
      <c r="BK53" s="198">
        <f>$E53*餐厅成本录入!BK53</f>
        <v>0</v>
      </c>
      <c r="BL53" s="198">
        <f>$E53*餐厅成本录入!BL53</f>
        <v>0</v>
      </c>
      <c r="BM53" s="198">
        <f>$E53*餐厅成本录入!BM53</f>
        <v>0</v>
      </c>
      <c r="BN53" s="198">
        <f>$E53*餐厅成本录入!BN53</f>
        <v>0</v>
      </c>
      <c r="BO53" s="198">
        <f>$E53*餐厅成本录入!BO53</f>
        <v>0</v>
      </c>
      <c r="BP53" s="198">
        <f>$E53*餐厅成本录入!BP53</f>
        <v>0</v>
      </c>
      <c r="BQ53" s="198">
        <f>$E53*餐厅成本录入!BQ53</f>
        <v>0</v>
      </c>
      <c r="BR53" s="198">
        <f>$E53*餐厅成本录入!BR53</f>
        <v>0</v>
      </c>
      <c r="BS53" s="198">
        <f>$E53*餐厅成本录入!BS53</f>
        <v>0</v>
      </c>
      <c r="BT53" s="198">
        <f>$E53*餐厅成本录入!BT53</f>
        <v>0</v>
      </c>
      <c r="BU53" s="198">
        <f>$E53*餐厅成本录入!BU53</f>
        <v>0</v>
      </c>
      <c r="BV53" s="198">
        <f>$E53*餐厅成本录入!BV53</f>
        <v>0</v>
      </c>
      <c r="BW53" s="198">
        <f>$E53*餐厅成本录入!BW53</f>
        <v>0</v>
      </c>
    </row>
    <row r="54" s="178" customFormat="1" customHeight="1" spans="1:75">
      <c r="A54" s="161">
        <v>68</v>
      </c>
      <c r="B54" s="21" t="str">
        <f>餐厅成本录入!B54</f>
        <v>冬瓜</v>
      </c>
      <c r="C54" s="21">
        <f>餐厅成本录入!C54</f>
        <v>0</v>
      </c>
      <c r="D54" s="21">
        <f>餐厅成本录入!D54</f>
        <v>0</v>
      </c>
      <c r="E54" s="21">
        <f>餐厅成本录入!E54</f>
        <v>0</v>
      </c>
      <c r="F54" s="21">
        <f>餐厅成本录入!F54</f>
        <v>0</v>
      </c>
      <c r="G54" s="21">
        <f>餐厅成本录入!G54</f>
        <v>0</v>
      </c>
      <c r="H54" s="21">
        <f>餐厅成本录入!H54</f>
        <v>0</v>
      </c>
      <c r="I54" s="21">
        <f>餐厅成本录入!I54</f>
        <v>0</v>
      </c>
      <c r="J54" s="21">
        <f>餐厅成本录入!J54</f>
        <v>0</v>
      </c>
      <c r="K54" s="21">
        <f>餐厅成本录入!K54</f>
        <v>0</v>
      </c>
      <c r="L54" s="21">
        <f>餐厅成本录入!L54</f>
        <v>0</v>
      </c>
      <c r="M54" s="21">
        <f>餐厅成本录入!M54</f>
        <v>0</v>
      </c>
      <c r="N54" s="198">
        <f>$E54*餐厅成本录入!N54</f>
        <v>0</v>
      </c>
      <c r="O54" s="198">
        <f>$E54*餐厅成本录入!O54</f>
        <v>0</v>
      </c>
      <c r="P54" s="198">
        <f>$E54*餐厅成本录入!P54</f>
        <v>0</v>
      </c>
      <c r="Q54" s="198">
        <f>$E54*餐厅成本录入!Q54</f>
        <v>0</v>
      </c>
      <c r="R54" s="198">
        <f>$E54*餐厅成本录入!R54</f>
        <v>0</v>
      </c>
      <c r="S54" s="198">
        <f>$E54*餐厅成本录入!S54</f>
        <v>0</v>
      </c>
      <c r="T54" s="198">
        <f>$E54*餐厅成本录入!T54</f>
        <v>0</v>
      </c>
      <c r="U54" s="198">
        <f>$E54*餐厅成本录入!U54</f>
        <v>0</v>
      </c>
      <c r="V54" s="198">
        <f>$E54*餐厅成本录入!V54</f>
        <v>0</v>
      </c>
      <c r="W54" s="198">
        <f>$E54*餐厅成本录入!W54</f>
        <v>0</v>
      </c>
      <c r="X54" s="198">
        <f>$E54*餐厅成本录入!X54</f>
        <v>0</v>
      </c>
      <c r="Y54" s="198">
        <f>$E54*餐厅成本录入!Y54</f>
        <v>0</v>
      </c>
      <c r="Z54" s="198">
        <f>$E54*餐厅成本录入!Z54</f>
        <v>0</v>
      </c>
      <c r="AA54" s="198">
        <f>$E54*餐厅成本录入!AA54</f>
        <v>0</v>
      </c>
      <c r="AB54" s="198">
        <f>$E54*餐厅成本录入!AB54</f>
        <v>0</v>
      </c>
      <c r="AC54" s="198">
        <f>$E54*餐厅成本录入!AC54</f>
        <v>0</v>
      </c>
      <c r="AD54" s="198">
        <f>$E54*餐厅成本录入!AD54</f>
        <v>0</v>
      </c>
      <c r="AE54" s="198">
        <f>$E54*餐厅成本录入!AE54</f>
        <v>0</v>
      </c>
      <c r="AF54" s="198">
        <f>$E54*餐厅成本录入!AF54</f>
        <v>0</v>
      </c>
      <c r="AG54" s="198">
        <f>$E54*餐厅成本录入!AG54</f>
        <v>0</v>
      </c>
      <c r="AH54" s="198">
        <f>$E54*餐厅成本录入!AH54</f>
        <v>0</v>
      </c>
      <c r="AI54" s="198">
        <f>$E54*餐厅成本录入!AI54</f>
        <v>0</v>
      </c>
      <c r="AJ54" s="198">
        <f>$E54*餐厅成本录入!AJ54</f>
        <v>0</v>
      </c>
      <c r="AK54" s="198">
        <f>$E54*餐厅成本录入!AK54</f>
        <v>0</v>
      </c>
      <c r="AL54" s="198">
        <f>$E54*餐厅成本录入!AL54</f>
        <v>0</v>
      </c>
      <c r="AM54" s="198">
        <f>$E54*餐厅成本录入!AM54</f>
        <v>0</v>
      </c>
      <c r="AN54" s="198">
        <f>$E54*餐厅成本录入!AN54</f>
        <v>0</v>
      </c>
      <c r="AO54" s="198">
        <f>$E54*餐厅成本录入!AO54</f>
        <v>0</v>
      </c>
      <c r="AP54" s="198">
        <f>$E54*餐厅成本录入!AP54</f>
        <v>0</v>
      </c>
      <c r="AQ54" s="198">
        <f>$E54*餐厅成本录入!AQ54</f>
        <v>0</v>
      </c>
      <c r="AR54" s="198">
        <f>$E54*餐厅成本录入!AR54</f>
        <v>0</v>
      </c>
      <c r="AS54" s="198">
        <f>$E54*餐厅成本录入!AS54</f>
        <v>0</v>
      </c>
      <c r="AT54" s="198">
        <f>$E54*餐厅成本录入!AT54</f>
        <v>0</v>
      </c>
      <c r="AU54" s="198">
        <f>$E54*餐厅成本录入!AU54</f>
        <v>0</v>
      </c>
      <c r="AV54" s="198">
        <f>$E54*餐厅成本录入!AV54</f>
        <v>0</v>
      </c>
      <c r="AW54" s="198">
        <f>$E54*餐厅成本录入!AW54</f>
        <v>0</v>
      </c>
      <c r="AX54" s="198">
        <f>$E54*餐厅成本录入!AX54</f>
        <v>0</v>
      </c>
      <c r="AY54" s="198">
        <f>$E54*餐厅成本录入!AY54</f>
        <v>0</v>
      </c>
      <c r="AZ54" s="198">
        <f>$E54*餐厅成本录入!AZ54</f>
        <v>0</v>
      </c>
      <c r="BA54" s="198">
        <f>$E54*餐厅成本录入!BA54</f>
        <v>0</v>
      </c>
      <c r="BB54" s="198">
        <f>$E54*餐厅成本录入!BB54</f>
        <v>0</v>
      </c>
      <c r="BC54" s="198">
        <f>$E54*餐厅成本录入!BC54</f>
        <v>0</v>
      </c>
      <c r="BD54" s="198">
        <f>$E54*餐厅成本录入!BD54</f>
        <v>0</v>
      </c>
      <c r="BE54" s="198">
        <f>$E54*餐厅成本录入!BE54</f>
        <v>0</v>
      </c>
      <c r="BF54" s="198">
        <f>$E54*餐厅成本录入!BF54</f>
        <v>0</v>
      </c>
      <c r="BG54" s="198">
        <f>$E54*餐厅成本录入!BG54</f>
        <v>0</v>
      </c>
      <c r="BH54" s="198">
        <f>$E54*餐厅成本录入!BH54</f>
        <v>0</v>
      </c>
      <c r="BI54" s="198">
        <f>$E54*餐厅成本录入!BI54</f>
        <v>0</v>
      </c>
      <c r="BJ54" s="198">
        <f>$E54*餐厅成本录入!BJ54</f>
        <v>0</v>
      </c>
      <c r="BK54" s="198">
        <f>$E54*餐厅成本录入!BK54</f>
        <v>0</v>
      </c>
      <c r="BL54" s="198">
        <f>$E54*餐厅成本录入!BL54</f>
        <v>0</v>
      </c>
      <c r="BM54" s="198">
        <f>$E54*餐厅成本录入!BM54</f>
        <v>0</v>
      </c>
      <c r="BN54" s="198">
        <f>$E54*餐厅成本录入!BN54</f>
        <v>0</v>
      </c>
      <c r="BO54" s="198">
        <f>$E54*餐厅成本录入!BO54</f>
        <v>0</v>
      </c>
      <c r="BP54" s="198">
        <f>$E54*餐厅成本录入!BP54</f>
        <v>0</v>
      </c>
      <c r="BQ54" s="198">
        <f>$E54*餐厅成本录入!BQ54</f>
        <v>0</v>
      </c>
      <c r="BR54" s="198">
        <f>$E54*餐厅成本录入!BR54</f>
        <v>0</v>
      </c>
      <c r="BS54" s="198">
        <f>$E54*餐厅成本录入!BS54</f>
        <v>0</v>
      </c>
      <c r="BT54" s="198">
        <f>$E54*餐厅成本录入!BT54</f>
        <v>0</v>
      </c>
      <c r="BU54" s="198">
        <f>$E54*餐厅成本录入!BU54</f>
        <v>0</v>
      </c>
      <c r="BV54" s="198">
        <f>$E54*餐厅成本录入!BV54</f>
        <v>0</v>
      </c>
      <c r="BW54" s="198">
        <f>$E54*餐厅成本录入!BW54</f>
        <v>0</v>
      </c>
    </row>
    <row r="55" s="178" customFormat="1" customHeight="1" spans="1:75">
      <c r="A55" s="161">
        <v>71</v>
      </c>
      <c r="B55" s="21">
        <f>餐厅成本录入!B55</f>
        <v>0</v>
      </c>
      <c r="C55" s="21">
        <f>餐厅成本录入!C55</f>
        <v>0</v>
      </c>
      <c r="D55" s="21">
        <f>餐厅成本录入!D55</f>
        <v>0</v>
      </c>
      <c r="E55" s="21">
        <f>餐厅成本录入!E55</f>
        <v>0</v>
      </c>
      <c r="F55" s="21">
        <f>餐厅成本录入!F55</f>
        <v>0</v>
      </c>
      <c r="G55" s="21">
        <f>餐厅成本录入!G55</f>
        <v>0</v>
      </c>
      <c r="H55" s="21">
        <f>餐厅成本录入!H55</f>
        <v>0</v>
      </c>
      <c r="I55" s="21">
        <f>餐厅成本录入!I55</f>
        <v>0</v>
      </c>
      <c r="J55" s="21">
        <f>餐厅成本录入!J55</f>
        <v>0</v>
      </c>
      <c r="K55" s="21">
        <f>餐厅成本录入!K55</f>
        <v>0</v>
      </c>
      <c r="L55" s="21">
        <f>餐厅成本录入!L55</f>
        <v>0</v>
      </c>
      <c r="M55" s="21">
        <f>餐厅成本录入!M55</f>
        <v>0</v>
      </c>
      <c r="N55" s="198">
        <f>$E55*餐厅成本录入!N55</f>
        <v>0</v>
      </c>
      <c r="O55" s="198">
        <f>$E55*餐厅成本录入!O55</f>
        <v>0</v>
      </c>
      <c r="P55" s="198">
        <f>$E55*餐厅成本录入!P55</f>
        <v>0</v>
      </c>
      <c r="Q55" s="198">
        <f>$E55*餐厅成本录入!Q55</f>
        <v>0</v>
      </c>
      <c r="R55" s="198">
        <f>$E55*餐厅成本录入!R55</f>
        <v>0</v>
      </c>
      <c r="S55" s="198">
        <f>$E55*餐厅成本录入!S55</f>
        <v>0</v>
      </c>
      <c r="T55" s="198">
        <f>$E55*餐厅成本录入!T55</f>
        <v>0</v>
      </c>
      <c r="U55" s="198">
        <f>$E55*餐厅成本录入!U55</f>
        <v>0</v>
      </c>
      <c r="V55" s="198">
        <f>$E55*餐厅成本录入!V55</f>
        <v>0</v>
      </c>
      <c r="W55" s="198">
        <f>$E55*餐厅成本录入!W55</f>
        <v>0</v>
      </c>
      <c r="X55" s="198">
        <f>$E55*餐厅成本录入!X55</f>
        <v>0</v>
      </c>
      <c r="Y55" s="198">
        <f>$E55*餐厅成本录入!Y55</f>
        <v>0</v>
      </c>
      <c r="Z55" s="198">
        <f>$E55*餐厅成本录入!Z55</f>
        <v>0</v>
      </c>
      <c r="AA55" s="198">
        <f>$E55*餐厅成本录入!AA55</f>
        <v>0</v>
      </c>
      <c r="AB55" s="198">
        <f>$E55*餐厅成本录入!AB55</f>
        <v>0</v>
      </c>
      <c r="AC55" s="198">
        <f>$E55*餐厅成本录入!AC55</f>
        <v>0</v>
      </c>
      <c r="AD55" s="198">
        <f>$E55*餐厅成本录入!AD55</f>
        <v>0</v>
      </c>
      <c r="AE55" s="198">
        <f>$E55*餐厅成本录入!AE55</f>
        <v>0</v>
      </c>
      <c r="AF55" s="198">
        <f>$E55*餐厅成本录入!AF55</f>
        <v>0</v>
      </c>
      <c r="AG55" s="198">
        <f>$E55*餐厅成本录入!AG55</f>
        <v>0</v>
      </c>
      <c r="AH55" s="198">
        <f>$E55*餐厅成本录入!AH55</f>
        <v>0</v>
      </c>
      <c r="AI55" s="198">
        <f>$E55*餐厅成本录入!AI55</f>
        <v>0</v>
      </c>
      <c r="AJ55" s="198">
        <f>$E55*餐厅成本录入!AJ55</f>
        <v>0</v>
      </c>
      <c r="AK55" s="198">
        <f>$E55*餐厅成本录入!AK55</f>
        <v>0</v>
      </c>
      <c r="AL55" s="198">
        <f>$E55*餐厅成本录入!AL55</f>
        <v>0</v>
      </c>
      <c r="AM55" s="198">
        <f>$E55*餐厅成本录入!AM55</f>
        <v>0</v>
      </c>
      <c r="AN55" s="198">
        <f>$E55*餐厅成本录入!AN55</f>
        <v>0</v>
      </c>
      <c r="AO55" s="198">
        <f>$E55*餐厅成本录入!AO55</f>
        <v>0</v>
      </c>
      <c r="AP55" s="198">
        <f>$E55*餐厅成本录入!AP55</f>
        <v>0</v>
      </c>
      <c r="AQ55" s="198">
        <f>$E55*餐厅成本录入!AQ55</f>
        <v>0</v>
      </c>
      <c r="AR55" s="198">
        <f>$E55*餐厅成本录入!AR55</f>
        <v>0</v>
      </c>
      <c r="AS55" s="198">
        <f>$E55*餐厅成本录入!AS55</f>
        <v>0</v>
      </c>
      <c r="AT55" s="198">
        <f>$E55*餐厅成本录入!AT55</f>
        <v>0</v>
      </c>
      <c r="AU55" s="198">
        <f>$E55*餐厅成本录入!AU55</f>
        <v>0</v>
      </c>
      <c r="AV55" s="198">
        <f>$E55*餐厅成本录入!AV55</f>
        <v>0</v>
      </c>
      <c r="AW55" s="198">
        <f>$E55*餐厅成本录入!AW55</f>
        <v>0</v>
      </c>
      <c r="AX55" s="198">
        <f>$E55*餐厅成本录入!AX55</f>
        <v>0</v>
      </c>
      <c r="AY55" s="198">
        <f>$E55*餐厅成本录入!AY55</f>
        <v>0</v>
      </c>
      <c r="AZ55" s="198">
        <f>$E55*餐厅成本录入!AZ55</f>
        <v>0</v>
      </c>
      <c r="BA55" s="198">
        <f>$E55*餐厅成本录入!BA55</f>
        <v>0</v>
      </c>
      <c r="BB55" s="198">
        <f>$E55*餐厅成本录入!BB55</f>
        <v>0</v>
      </c>
      <c r="BC55" s="198">
        <f>$E55*餐厅成本录入!BC55</f>
        <v>0</v>
      </c>
      <c r="BD55" s="198">
        <f>$E55*餐厅成本录入!BD55</f>
        <v>0</v>
      </c>
      <c r="BE55" s="198">
        <f>$E55*餐厅成本录入!BE55</f>
        <v>0</v>
      </c>
      <c r="BF55" s="198">
        <f>$E55*餐厅成本录入!BF55</f>
        <v>0</v>
      </c>
      <c r="BG55" s="198">
        <f>$E55*餐厅成本录入!BG55</f>
        <v>0</v>
      </c>
      <c r="BH55" s="198">
        <f>$E55*餐厅成本录入!BH55</f>
        <v>0</v>
      </c>
      <c r="BI55" s="198">
        <f>$E55*餐厅成本录入!BI55</f>
        <v>0</v>
      </c>
      <c r="BJ55" s="198">
        <f>$E55*餐厅成本录入!BJ55</f>
        <v>0</v>
      </c>
      <c r="BK55" s="198">
        <f>$E55*餐厅成本录入!BK55</f>
        <v>0</v>
      </c>
      <c r="BL55" s="198">
        <f>$E55*餐厅成本录入!BL55</f>
        <v>0</v>
      </c>
      <c r="BM55" s="198">
        <f>$E55*餐厅成本录入!BM55</f>
        <v>0</v>
      </c>
      <c r="BN55" s="198">
        <f>$E55*餐厅成本录入!BN55</f>
        <v>0</v>
      </c>
      <c r="BO55" s="198">
        <f>$E55*餐厅成本录入!BO55</f>
        <v>0</v>
      </c>
      <c r="BP55" s="198">
        <f>$E55*餐厅成本录入!BP55</f>
        <v>0</v>
      </c>
      <c r="BQ55" s="198">
        <f>$E55*餐厅成本录入!BQ55</f>
        <v>0</v>
      </c>
      <c r="BR55" s="198">
        <f>$E55*餐厅成本录入!BR55</f>
        <v>0</v>
      </c>
      <c r="BS55" s="198">
        <f>$E55*餐厅成本录入!BS55</f>
        <v>0</v>
      </c>
      <c r="BT55" s="198">
        <f>$E55*餐厅成本录入!BT55</f>
        <v>0</v>
      </c>
      <c r="BU55" s="198">
        <f>$E55*餐厅成本录入!BU55</f>
        <v>0</v>
      </c>
      <c r="BV55" s="198">
        <f>$E55*餐厅成本录入!BV55</f>
        <v>0</v>
      </c>
      <c r="BW55" s="198">
        <f>$E55*餐厅成本录入!BW55</f>
        <v>0</v>
      </c>
    </row>
    <row r="56" s="178" customFormat="1" customHeight="1" spans="1:75">
      <c r="A56" s="161">
        <v>72</v>
      </c>
      <c r="B56" s="21">
        <f>餐厅成本录入!B56</f>
        <v>0</v>
      </c>
      <c r="C56" s="21">
        <f>餐厅成本录入!C56</f>
        <v>0</v>
      </c>
      <c r="D56" s="21">
        <f>餐厅成本录入!D56</f>
        <v>0</v>
      </c>
      <c r="E56" s="21">
        <f>餐厅成本录入!E56</f>
        <v>0</v>
      </c>
      <c r="F56" s="21">
        <f>餐厅成本录入!F56</f>
        <v>0</v>
      </c>
      <c r="G56" s="21">
        <f>餐厅成本录入!G56</f>
        <v>0</v>
      </c>
      <c r="H56" s="21">
        <f>餐厅成本录入!H56</f>
        <v>0</v>
      </c>
      <c r="I56" s="21">
        <f>餐厅成本录入!I56</f>
        <v>0</v>
      </c>
      <c r="J56" s="21">
        <f>餐厅成本录入!J56</f>
        <v>0</v>
      </c>
      <c r="K56" s="21">
        <f>餐厅成本录入!K56</f>
        <v>0</v>
      </c>
      <c r="L56" s="21">
        <f>餐厅成本录入!L56</f>
        <v>0</v>
      </c>
      <c r="M56" s="21">
        <f>餐厅成本录入!M56</f>
        <v>0</v>
      </c>
      <c r="N56" s="198">
        <f>$E56*餐厅成本录入!N56</f>
        <v>0</v>
      </c>
      <c r="O56" s="198">
        <f>$E56*餐厅成本录入!O56</f>
        <v>0</v>
      </c>
      <c r="P56" s="198">
        <f>$E56*餐厅成本录入!P56</f>
        <v>0</v>
      </c>
      <c r="Q56" s="198">
        <f>$E56*餐厅成本录入!Q56</f>
        <v>0</v>
      </c>
      <c r="R56" s="198">
        <f>$E56*餐厅成本录入!R56</f>
        <v>0</v>
      </c>
      <c r="S56" s="198">
        <f>$E56*餐厅成本录入!S56</f>
        <v>0</v>
      </c>
      <c r="T56" s="198">
        <f>$E56*餐厅成本录入!T56</f>
        <v>0</v>
      </c>
      <c r="U56" s="198">
        <f>$E56*餐厅成本录入!U56</f>
        <v>0</v>
      </c>
      <c r="V56" s="198">
        <f>$E56*餐厅成本录入!V56</f>
        <v>0</v>
      </c>
      <c r="W56" s="198">
        <f>$E56*餐厅成本录入!W56</f>
        <v>0</v>
      </c>
      <c r="X56" s="198">
        <f>$E56*餐厅成本录入!X56</f>
        <v>0</v>
      </c>
      <c r="Y56" s="198">
        <f>$E56*餐厅成本录入!Y56</f>
        <v>0</v>
      </c>
      <c r="Z56" s="198">
        <f>$E56*餐厅成本录入!Z56</f>
        <v>0</v>
      </c>
      <c r="AA56" s="198">
        <f>$E56*餐厅成本录入!AA56</f>
        <v>0</v>
      </c>
      <c r="AB56" s="198">
        <f>$E56*餐厅成本录入!AB56</f>
        <v>0</v>
      </c>
      <c r="AC56" s="198">
        <f>$E56*餐厅成本录入!AC56</f>
        <v>0</v>
      </c>
      <c r="AD56" s="198">
        <f>$E56*餐厅成本录入!AD56</f>
        <v>0</v>
      </c>
      <c r="AE56" s="198">
        <f>$E56*餐厅成本录入!AE56</f>
        <v>0</v>
      </c>
      <c r="AF56" s="198">
        <f>$E56*餐厅成本录入!AF56</f>
        <v>0</v>
      </c>
      <c r="AG56" s="198">
        <f>$E56*餐厅成本录入!AG56</f>
        <v>0</v>
      </c>
      <c r="AH56" s="198">
        <f>$E56*餐厅成本录入!AH56</f>
        <v>0</v>
      </c>
      <c r="AI56" s="198">
        <f>$E56*餐厅成本录入!AI56</f>
        <v>0</v>
      </c>
      <c r="AJ56" s="198">
        <f>$E56*餐厅成本录入!AJ56</f>
        <v>0</v>
      </c>
      <c r="AK56" s="198">
        <f>$E56*餐厅成本录入!AK56</f>
        <v>0</v>
      </c>
      <c r="AL56" s="198">
        <f>$E56*餐厅成本录入!AL56</f>
        <v>0</v>
      </c>
      <c r="AM56" s="198">
        <f>$E56*餐厅成本录入!AM56</f>
        <v>0</v>
      </c>
      <c r="AN56" s="198">
        <f>$E56*餐厅成本录入!AN56</f>
        <v>0</v>
      </c>
      <c r="AO56" s="198">
        <f>$E56*餐厅成本录入!AO56</f>
        <v>0</v>
      </c>
      <c r="AP56" s="198">
        <f>$E56*餐厅成本录入!AP56</f>
        <v>0</v>
      </c>
      <c r="AQ56" s="198">
        <f>$E56*餐厅成本录入!AQ56</f>
        <v>0</v>
      </c>
      <c r="AR56" s="198">
        <f>$E56*餐厅成本录入!AR56</f>
        <v>0</v>
      </c>
      <c r="AS56" s="198">
        <f>$E56*餐厅成本录入!AS56</f>
        <v>0</v>
      </c>
      <c r="AT56" s="198">
        <f>$E56*餐厅成本录入!AT56</f>
        <v>0</v>
      </c>
      <c r="AU56" s="198">
        <f>$E56*餐厅成本录入!AU56</f>
        <v>0</v>
      </c>
      <c r="AV56" s="198">
        <f>$E56*餐厅成本录入!AV56</f>
        <v>0</v>
      </c>
      <c r="AW56" s="198">
        <f>$E56*餐厅成本录入!AW56</f>
        <v>0</v>
      </c>
      <c r="AX56" s="198">
        <f>$E56*餐厅成本录入!AX56</f>
        <v>0</v>
      </c>
      <c r="AY56" s="198">
        <f>$E56*餐厅成本录入!AY56</f>
        <v>0</v>
      </c>
      <c r="AZ56" s="198">
        <f>$E56*餐厅成本录入!AZ56</f>
        <v>0</v>
      </c>
      <c r="BA56" s="198">
        <f>$E56*餐厅成本录入!BA56</f>
        <v>0</v>
      </c>
      <c r="BB56" s="198">
        <f>$E56*餐厅成本录入!BB56</f>
        <v>0</v>
      </c>
      <c r="BC56" s="198">
        <f>$E56*餐厅成本录入!BC56</f>
        <v>0</v>
      </c>
      <c r="BD56" s="198">
        <f>$E56*餐厅成本录入!BD56</f>
        <v>0</v>
      </c>
      <c r="BE56" s="198">
        <f>$E56*餐厅成本录入!BE56</f>
        <v>0</v>
      </c>
      <c r="BF56" s="198">
        <f>$E56*餐厅成本录入!BF56</f>
        <v>0</v>
      </c>
      <c r="BG56" s="198">
        <f>$E56*餐厅成本录入!BG56</f>
        <v>0</v>
      </c>
      <c r="BH56" s="198">
        <f>$E56*餐厅成本录入!BH56</f>
        <v>0</v>
      </c>
      <c r="BI56" s="198">
        <f>$E56*餐厅成本录入!BI56</f>
        <v>0</v>
      </c>
      <c r="BJ56" s="198">
        <f>$E56*餐厅成本录入!BJ56</f>
        <v>0</v>
      </c>
      <c r="BK56" s="198">
        <f>$E56*餐厅成本录入!BK56</f>
        <v>0</v>
      </c>
      <c r="BL56" s="198">
        <f>$E56*餐厅成本录入!BL56</f>
        <v>0</v>
      </c>
      <c r="BM56" s="198">
        <f>$E56*餐厅成本录入!BM56</f>
        <v>0</v>
      </c>
      <c r="BN56" s="198">
        <f>$E56*餐厅成本录入!BN56</f>
        <v>0</v>
      </c>
      <c r="BO56" s="198">
        <f>$E56*餐厅成本录入!BO56</f>
        <v>0</v>
      </c>
      <c r="BP56" s="198">
        <f>$E56*餐厅成本录入!BP56</f>
        <v>0</v>
      </c>
      <c r="BQ56" s="198">
        <f>$E56*餐厅成本录入!BQ56</f>
        <v>0</v>
      </c>
      <c r="BR56" s="198">
        <f>$E56*餐厅成本录入!BR56</f>
        <v>0</v>
      </c>
      <c r="BS56" s="198">
        <f>$E56*餐厅成本录入!BS56</f>
        <v>0</v>
      </c>
      <c r="BT56" s="198">
        <f>$E56*餐厅成本录入!BT56</f>
        <v>0</v>
      </c>
      <c r="BU56" s="198">
        <f>$E56*餐厅成本录入!BU56</f>
        <v>0</v>
      </c>
      <c r="BV56" s="198">
        <f>$E56*餐厅成本录入!BV56</f>
        <v>0</v>
      </c>
      <c r="BW56" s="198">
        <f>$E56*餐厅成本录入!BW56</f>
        <v>0</v>
      </c>
    </row>
    <row r="57" s="178" customFormat="1" customHeight="1" spans="1:75">
      <c r="A57" s="161">
        <v>73</v>
      </c>
      <c r="B57" s="21">
        <f>餐厅成本录入!B57</f>
        <v>0</v>
      </c>
      <c r="C57" s="21">
        <f>餐厅成本录入!C57</f>
        <v>0</v>
      </c>
      <c r="D57" s="21">
        <f>餐厅成本录入!D57</f>
        <v>0</v>
      </c>
      <c r="E57" s="21">
        <f>餐厅成本录入!E57</f>
        <v>0</v>
      </c>
      <c r="F57" s="21">
        <f>餐厅成本录入!F57</f>
        <v>0</v>
      </c>
      <c r="G57" s="21">
        <f>餐厅成本录入!G57</f>
        <v>0</v>
      </c>
      <c r="H57" s="21">
        <f>餐厅成本录入!H57</f>
        <v>0</v>
      </c>
      <c r="I57" s="21">
        <f>餐厅成本录入!I57</f>
        <v>0</v>
      </c>
      <c r="J57" s="21">
        <f>餐厅成本录入!J57</f>
        <v>0</v>
      </c>
      <c r="K57" s="21">
        <f>餐厅成本录入!K57</f>
        <v>0</v>
      </c>
      <c r="L57" s="21">
        <f>餐厅成本录入!L57</f>
        <v>0</v>
      </c>
      <c r="M57" s="21">
        <f>餐厅成本录入!M57</f>
        <v>0</v>
      </c>
      <c r="N57" s="198">
        <f>$E57*餐厅成本录入!N57</f>
        <v>0</v>
      </c>
      <c r="O57" s="198">
        <f>$E57*餐厅成本录入!O57</f>
        <v>0</v>
      </c>
      <c r="P57" s="198">
        <f>$E57*餐厅成本录入!P57</f>
        <v>0</v>
      </c>
      <c r="Q57" s="198">
        <f>$E57*餐厅成本录入!Q57</f>
        <v>0</v>
      </c>
      <c r="R57" s="198">
        <f>$E57*餐厅成本录入!R57</f>
        <v>0</v>
      </c>
      <c r="S57" s="198">
        <f>$E57*餐厅成本录入!S57</f>
        <v>0</v>
      </c>
      <c r="T57" s="198">
        <f>$E57*餐厅成本录入!T57</f>
        <v>0</v>
      </c>
      <c r="U57" s="198">
        <f>$E57*餐厅成本录入!U57</f>
        <v>0</v>
      </c>
      <c r="V57" s="198">
        <f>$E57*餐厅成本录入!V57</f>
        <v>0</v>
      </c>
      <c r="W57" s="198">
        <f>$E57*餐厅成本录入!W57</f>
        <v>0</v>
      </c>
      <c r="X57" s="198">
        <f>$E57*餐厅成本录入!X57</f>
        <v>0</v>
      </c>
      <c r="Y57" s="198">
        <f>$E57*餐厅成本录入!Y57</f>
        <v>0</v>
      </c>
      <c r="Z57" s="198">
        <f>$E57*餐厅成本录入!Z57</f>
        <v>0</v>
      </c>
      <c r="AA57" s="198">
        <f>$E57*餐厅成本录入!AA57</f>
        <v>0</v>
      </c>
      <c r="AB57" s="198">
        <f>$E57*餐厅成本录入!AB57</f>
        <v>0</v>
      </c>
      <c r="AC57" s="198">
        <f>$E57*餐厅成本录入!AC57</f>
        <v>0</v>
      </c>
      <c r="AD57" s="198">
        <f>$E57*餐厅成本录入!AD57</f>
        <v>0</v>
      </c>
      <c r="AE57" s="198">
        <f>$E57*餐厅成本录入!AE57</f>
        <v>0</v>
      </c>
      <c r="AF57" s="198">
        <f>$E57*餐厅成本录入!AF57</f>
        <v>0</v>
      </c>
      <c r="AG57" s="198">
        <f>$E57*餐厅成本录入!AG57</f>
        <v>0</v>
      </c>
      <c r="AH57" s="198">
        <f>$E57*餐厅成本录入!AH57</f>
        <v>0</v>
      </c>
      <c r="AI57" s="198">
        <f>$E57*餐厅成本录入!AI57</f>
        <v>0</v>
      </c>
      <c r="AJ57" s="198">
        <f>$E57*餐厅成本录入!AJ57</f>
        <v>0</v>
      </c>
      <c r="AK57" s="198">
        <f>$E57*餐厅成本录入!AK57</f>
        <v>0</v>
      </c>
      <c r="AL57" s="198">
        <f>$E57*餐厅成本录入!AL57</f>
        <v>0</v>
      </c>
      <c r="AM57" s="198">
        <f>$E57*餐厅成本录入!AM57</f>
        <v>0</v>
      </c>
      <c r="AN57" s="198">
        <f>$E57*餐厅成本录入!AN57</f>
        <v>0</v>
      </c>
      <c r="AO57" s="198">
        <f>$E57*餐厅成本录入!AO57</f>
        <v>0</v>
      </c>
      <c r="AP57" s="198">
        <f>$E57*餐厅成本录入!AP57</f>
        <v>0</v>
      </c>
      <c r="AQ57" s="198">
        <f>$E57*餐厅成本录入!AQ57</f>
        <v>0</v>
      </c>
      <c r="AR57" s="198">
        <f>$E57*餐厅成本录入!AR57</f>
        <v>0</v>
      </c>
      <c r="AS57" s="198">
        <f>$E57*餐厅成本录入!AS57</f>
        <v>0</v>
      </c>
      <c r="AT57" s="198">
        <f>$E57*餐厅成本录入!AT57</f>
        <v>0</v>
      </c>
      <c r="AU57" s="198">
        <f>$E57*餐厅成本录入!AU57</f>
        <v>0</v>
      </c>
      <c r="AV57" s="198">
        <f>$E57*餐厅成本录入!AV57</f>
        <v>0</v>
      </c>
      <c r="AW57" s="198">
        <f>$E57*餐厅成本录入!AW57</f>
        <v>0</v>
      </c>
      <c r="AX57" s="198">
        <f>$E57*餐厅成本录入!AX57</f>
        <v>0</v>
      </c>
      <c r="AY57" s="198">
        <f>$E57*餐厅成本录入!AY57</f>
        <v>0</v>
      </c>
      <c r="AZ57" s="198">
        <f>$E57*餐厅成本录入!AZ57</f>
        <v>0</v>
      </c>
      <c r="BA57" s="198">
        <f>$E57*餐厅成本录入!BA57</f>
        <v>0</v>
      </c>
      <c r="BB57" s="198">
        <f>$E57*餐厅成本录入!BB57</f>
        <v>0</v>
      </c>
      <c r="BC57" s="198">
        <f>$E57*餐厅成本录入!BC57</f>
        <v>0</v>
      </c>
      <c r="BD57" s="198">
        <f>$E57*餐厅成本录入!BD57</f>
        <v>0</v>
      </c>
      <c r="BE57" s="198">
        <f>$E57*餐厅成本录入!BE57</f>
        <v>0</v>
      </c>
      <c r="BF57" s="198">
        <f>$E57*餐厅成本录入!BF57</f>
        <v>0</v>
      </c>
      <c r="BG57" s="198">
        <f>$E57*餐厅成本录入!BG57</f>
        <v>0</v>
      </c>
      <c r="BH57" s="198">
        <f>$E57*餐厅成本录入!BH57</f>
        <v>0</v>
      </c>
      <c r="BI57" s="198">
        <f>$E57*餐厅成本录入!BI57</f>
        <v>0</v>
      </c>
      <c r="BJ57" s="198">
        <f>$E57*餐厅成本录入!BJ57</f>
        <v>0</v>
      </c>
      <c r="BK57" s="198">
        <f>$E57*餐厅成本录入!BK57</f>
        <v>0</v>
      </c>
      <c r="BL57" s="198">
        <f>$E57*餐厅成本录入!BL57</f>
        <v>0</v>
      </c>
      <c r="BM57" s="198">
        <f>$E57*餐厅成本录入!BM57</f>
        <v>0</v>
      </c>
      <c r="BN57" s="198">
        <f>$E57*餐厅成本录入!BN57</f>
        <v>0</v>
      </c>
      <c r="BO57" s="198">
        <f>$E57*餐厅成本录入!BO57</f>
        <v>0</v>
      </c>
      <c r="BP57" s="198">
        <f>$E57*餐厅成本录入!BP57</f>
        <v>0</v>
      </c>
      <c r="BQ57" s="198">
        <f>$E57*餐厅成本录入!BQ57</f>
        <v>0</v>
      </c>
      <c r="BR57" s="198">
        <f>$E57*餐厅成本录入!BR57</f>
        <v>0</v>
      </c>
      <c r="BS57" s="198">
        <f>$E57*餐厅成本录入!BS57</f>
        <v>0</v>
      </c>
      <c r="BT57" s="198">
        <f>$E57*餐厅成本录入!BT57</f>
        <v>0</v>
      </c>
      <c r="BU57" s="198">
        <f>$E57*餐厅成本录入!BU57</f>
        <v>0</v>
      </c>
      <c r="BV57" s="198">
        <f>$E57*餐厅成本录入!BV57</f>
        <v>0</v>
      </c>
      <c r="BW57" s="198">
        <f>$E57*餐厅成本录入!BW57</f>
        <v>0</v>
      </c>
    </row>
    <row r="58" s="178" customFormat="1" customHeight="1" spans="1:75">
      <c r="A58" s="161">
        <v>74</v>
      </c>
      <c r="B58" s="21">
        <f>餐厅成本录入!B58</f>
        <v>0</v>
      </c>
      <c r="C58" s="21">
        <f>餐厅成本录入!C58</f>
        <v>0</v>
      </c>
      <c r="D58" s="21">
        <f>餐厅成本录入!D58</f>
        <v>0</v>
      </c>
      <c r="E58" s="21">
        <f>餐厅成本录入!E58</f>
        <v>0</v>
      </c>
      <c r="F58" s="21">
        <f>餐厅成本录入!F58</f>
        <v>0</v>
      </c>
      <c r="G58" s="21">
        <f>餐厅成本录入!G58</f>
        <v>0</v>
      </c>
      <c r="H58" s="21">
        <f>餐厅成本录入!H58</f>
        <v>0</v>
      </c>
      <c r="I58" s="21">
        <f>餐厅成本录入!I58</f>
        <v>0</v>
      </c>
      <c r="J58" s="21">
        <f>餐厅成本录入!J58</f>
        <v>0</v>
      </c>
      <c r="K58" s="21">
        <f>餐厅成本录入!K58</f>
        <v>0</v>
      </c>
      <c r="L58" s="21">
        <f>餐厅成本录入!L58</f>
        <v>0</v>
      </c>
      <c r="M58" s="21">
        <f>餐厅成本录入!M58</f>
        <v>0</v>
      </c>
      <c r="N58" s="198">
        <f>$E58*餐厅成本录入!N58</f>
        <v>0</v>
      </c>
      <c r="O58" s="198">
        <f>$E58*餐厅成本录入!O58</f>
        <v>0</v>
      </c>
      <c r="P58" s="198">
        <f>$E58*餐厅成本录入!P58</f>
        <v>0</v>
      </c>
      <c r="Q58" s="198">
        <f>$E58*餐厅成本录入!Q58</f>
        <v>0</v>
      </c>
      <c r="R58" s="198">
        <f>$E58*餐厅成本录入!R58</f>
        <v>0</v>
      </c>
      <c r="S58" s="198">
        <f>$E58*餐厅成本录入!S58</f>
        <v>0</v>
      </c>
      <c r="T58" s="198">
        <f>$E58*餐厅成本录入!T58</f>
        <v>0</v>
      </c>
      <c r="U58" s="198">
        <f>$E58*餐厅成本录入!U58</f>
        <v>0</v>
      </c>
      <c r="V58" s="198">
        <f>$E58*餐厅成本录入!V58</f>
        <v>0</v>
      </c>
      <c r="W58" s="198">
        <f>$E58*餐厅成本录入!W58</f>
        <v>0</v>
      </c>
      <c r="X58" s="198">
        <f>$E58*餐厅成本录入!X58</f>
        <v>0</v>
      </c>
      <c r="Y58" s="198">
        <f>$E58*餐厅成本录入!Y58</f>
        <v>0</v>
      </c>
      <c r="Z58" s="198">
        <f>$E58*餐厅成本录入!Z58</f>
        <v>0</v>
      </c>
      <c r="AA58" s="198">
        <f>$E58*餐厅成本录入!AA58</f>
        <v>0</v>
      </c>
      <c r="AB58" s="198">
        <f>$E58*餐厅成本录入!AB58</f>
        <v>0</v>
      </c>
      <c r="AC58" s="198">
        <f>$E58*餐厅成本录入!AC58</f>
        <v>0</v>
      </c>
      <c r="AD58" s="198">
        <f>$E58*餐厅成本录入!AD58</f>
        <v>0</v>
      </c>
      <c r="AE58" s="198">
        <f>$E58*餐厅成本录入!AE58</f>
        <v>0</v>
      </c>
      <c r="AF58" s="198">
        <f>$E58*餐厅成本录入!AF58</f>
        <v>0</v>
      </c>
      <c r="AG58" s="198">
        <f>$E58*餐厅成本录入!AG58</f>
        <v>0</v>
      </c>
      <c r="AH58" s="198">
        <f>$E58*餐厅成本录入!AH58</f>
        <v>0</v>
      </c>
      <c r="AI58" s="198">
        <f>$E58*餐厅成本录入!AI58</f>
        <v>0</v>
      </c>
      <c r="AJ58" s="198">
        <f>$E58*餐厅成本录入!AJ58</f>
        <v>0</v>
      </c>
      <c r="AK58" s="198">
        <f>$E58*餐厅成本录入!AK58</f>
        <v>0</v>
      </c>
      <c r="AL58" s="198">
        <f>$E58*餐厅成本录入!AL58</f>
        <v>0</v>
      </c>
      <c r="AM58" s="198">
        <f>$E58*餐厅成本录入!AM58</f>
        <v>0</v>
      </c>
      <c r="AN58" s="198">
        <f>$E58*餐厅成本录入!AN58</f>
        <v>0</v>
      </c>
      <c r="AO58" s="198">
        <f>$E58*餐厅成本录入!AO58</f>
        <v>0</v>
      </c>
      <c r="AP58" s="198">
        <f>$E58*餐厅成本录入!AP58</f>
        <v>0</v>
      </c>
      <c r="AQ58" s="198">
        <f>$E58*餐厅成本录入!AQ58</f>
        <v>0</v>
      </c>
      <c r="AR58" s="198">
        <f>$E58*餐厅成本录入!AR58</f>
        <v>0</v>
      </c>
      <c r="AS58" s="198">
        <f>$E58*餐厅成本录入!AS58</f>
        <v>0</v>
      </c>
      <c r="AT58" s="198">
        <f>$E58*餐厅成本录入!AT58</f>
        <v>0</v>
      </c>
      <c r="AU58" s="198">
        <f>$E58*餐厅成本录入!AU58</f>
        <v>0</v>
      </c>
      <c r="AV58" s="198">
        <f>$E58*餐厅成本录入!AV58</f>
        <v>0</v>
      </c>
      <c r="AW58" s="198">
        <f>$E58*餐厅成本录入!AW58</f>
        <v>0</v>
      </c>
      <c r="AX58" s="198">
        <f>$E58*餐厅成本录入!AX58</f>
        <v>0</v>
      </c>
      <c r="AY58" s="198">
        <f>$E58*餐厅成本录入!AY58</f>
        <v>0</v>
      </c>
      <c r="AZ58" s="198">
        <f>$E58*餐厅成本录入!AZ58</f>
        <v>0</v>
      </c>
      <c r="BA58" s="198">
        <f>$E58*餐厅成本录入!BA58</f>
        <v>0</v>
      </c>
      <c r="BB58" s="198">
        <f>$E58*餐厅成本录入!BB58</f>
        <v>0</v>
      </c>
      <c r="BC58" s="198">
        <f>$E58*餐厅成本录入!BC58</f>
        <v>0</v>
      </c>
      <c r="BD58" s="198">
        <f>$E58*餐厅成本录入!BD58</f>
        <v>0</v>
      </c>
      <c r="BE58" s="198">
        <f>$E58*餐厅成本录入!BE58</f>
        <v>0</v>
      </c>
      <c r="BF58" s="198">
        <f>$E58*餐厅成本录入!BF58</f>
        <v>0</v>
      </c>
      <c r="BG58" s="198">
        <f>$E58*餐厅成本录入!BG58</f>
        <v>0</v>
      </c>
      <c r="BH58" s="198">
        <f>$E58*餐厅成本录入!BH58</f>
        <v>0</v>
      </c>
      <c r="BI58" s="198">
        <f>$E58*餐厅成本录入!BI58</f>
        <v>0</v>
      </c>
      <c r="BJ58" s="198">
        <f>$E58*餐厅成本录入!BJ58</f>
        <v>0</v>
      </c>
      <c r="BK58" s="198">
        <f>$E58*餐厅成本录入!BK58</f>
        <v>0</v>
      </c>
      <c r="BL58" s="198">
        <f>$E58*餐厅成本录入!BL58</f>
        <v>0</v>
      </c>
      <c r="BM58" s="198">
        <f>$E58*餐厅成本录入!BM58</f>
        <v>0</v>
      </c>
      <c r="BN58" s="198">
        <f>$E58*餐厅成本录入!BN58</f>
        <v>0</v>
      </c>
      <c r="BO58" s="198">
        <f>$E58*餐厅成本录入!BO58</f>
        <v>0</v>
      </c>
      <c r="BP58" s="198">
        <f>$E58*餐厅成本录入!BP58</f>
        <v>0</v>
      </c>
      <c r="BQ58" s="198">
        <f>$E58*餐厅成本录入!BQ58</f>
        <v>0</v>
      </c>
      <c r="BR58" s="198">
        <f>$E58*餐厅成本录入!BR58</f>
        <v>0</v>
      </c>
      <c r="BS58" s="198">
        <f>$E58*餐厅成本录入!BS58</f>
        <v>0</v>
      </c>
      <c r="BT58" s="198">
        <f>$E58*餐厅成本录入!BT58</f>
        <v>0</v>
      </c>
      <c r="BU58" s="198">
        <f>$E58*餐厅成本录入!BU58</f>
        <v>0</v>
      </c>
      <c r="BV58" s="198">
        <f>$E58*餐厅成本录入!BV58</f>
        <v>0</v>
      </c>
      <c r="BW58" s="198">
        <f>$E58*餐厅成本录入!BW58</f>
        <v>0</v>
      </c>
    </row>
    <row r="59" s="178" customFormat="1" customHeight="1" spans="1:75">
      <c r="A59" s="161">
        <v>75</v>
      </c>
      <c r="B59" s="21">
        <f>餐厅成本录入!B59</f>
        <v>0</v>
      </c>
      <c r="C59" s="21">
        <f>餐厅成本录入!C59</f>
        <v>0</v>
      </c>
      <c r="D59" s="21">
        <f>餐厅成本录入!D59</f>
        <v>0</v>
      </c>
      <c r="E59" s="21">
        <f>餐厅成本录入!E59</f>
        <v>0</v>
      </c>
      <c r="F59" s="21">
        <f>餐厅成本录入!F59</f>
        <v>0</v>
      </c>
      <c r="G59" s="21">
        <f>餐厅成本录入!G59</f>
        <v>0</v>
      </c>
      <c r="H59" s="21">
        <f>餐厅成本录入!H59</f>
        <v>0</v>
      </c>
      <c r="I59" s="21">
        <f>餐厅成本录入!I59</f>
        <v>0</v>
      </c>
      <c r="J59" s="21">
        <f>餐厅成本录入!J59</f>
        <v>0</v>
      </c>
      <c r="K59" s="21">
        <f>餐厅成本录入!K59</f>
        <v>0</v>
      </c>
      <c r="L59" s="21">
        <f>餐厅成本录入!L59</f>
        <v>0</v>
      </c>
      <c r="M59" s="21">
        <f>餐厅成本录入!M59</f>
        <v>0</v>
      </c>
      <c r="N59" s="198">
        <f>$E59*餐厅成本录入!N59</f>
        <v>0</v>
      </c>
      <c r="O59" s="198">
        <f>$E59*餐厅成本录入!O59</f>
        <v>0</v>
      </c>
      <c r="P59" s="198">
        <f>$E59*餐厅成本录入!P59</f>
        <v>0</v>
      </c>
      <c r="Q59" s="198">
        <f>$E59*餐厅成本录入!Q59</f>
        <v>0</v>
      </c>
      <c r="R59" s="198">
        <f>$E59*餐厅成本录入!R59</f>
        <v>0</v>
      </c>
      <c r="S59" s="198">
        <f>$E59*餐厅成本录入!S59</f>
        <v>0</v>
      </c>
      <c r="T59" s="198">
        <f>$E59*餐厅成本录入!T59</f>
        <v>0</v>
      </c>
      <c r="U59" s="198">
        <f>$E59*餐厅成本录入!U59</f>
        <v>0</v>
      </c>
      <c r="V59" s="198">
        <f>$E59*餐厅成本录入!V59</f>
        <v>0</v>
      </c>
      <c r="W59" s="198">
        <f>$E59*餐厅成本录入!W59</f>
        <v>0</v>
      </c>
      <c r="X59" s="198">
        <f>$E59*餐厅成本录入!X59</f>
        <v>0</v>
      </c>
      <c r="Y59" s="198">
        <f>$E59*餐厅成本录入!Y59</f>
        <v>0</v>
      </c>
      <c r="Z59" s="198">
        <f>$E59*餐厅成本录入!Z59</f>
        <v>0</v>
      </c>
      <c r="AA59" s="198">
        <f>$E59*餐厅成本录入!AA59</f>
        <v>0</v>
      </c>
      <c r="AB59" s="198">
        <f>$E59*餐厅成本录入!AB59</f>
        <v>0</v>
      </c>
      <c r="AC59" s="198">
        <f>$E59*餐厅成本录入!AC59</f>
        <v>0</v>
      </c>
      <c r="AD59" s="198">
        <f>$E59*餐厅成本录入!AD59</f>
        <v>0</v>
      </c>
      <c r="AE59" s="198">
        <f>$E59*餐厅成本录入!AE59</f>
        <v>0</v>
      </c>
      <c r="AF59" s="198">
        <f>$E59*餐厅成本录入!AF59</f>
        <v>0</v>
      </c>
      <c r="AG59" s="198">
        <f>$E59*餐厅成本录入!AG59</f>
        <v>0</v>
      </c>
      <c r="AH59" s="198">
        <f>$E59*餐厅成本录入!AH59</f>
        <v>0</v>
      </c>
      <c r="AI59" s="198">
        <f>$E59*餐厅成本录入!AI59</f>
        <v>0</v>
      </c>
      <c r="AJ59" s="198">
        <f>$E59*餐厅成本录入!AJ59</f>
        <v>0</v>
      </c>
      <c r="AK59" s="198">
        <f>$E59*餐厅成本录入!AK59</f>
        <v>0</v>
      </c>
      <c r="AL59" s="198">
        <f>$E59*餐厅成本录入!AL59</f>
        <v>0</v>
      </c>
      <c r="AM59" s="198">
        <f>$E59*餐厅成本录入!AM59</f>
        <v>0</v>
      </c>
      <c r="AN59" s="198">
        <f>$E59*餐厅成本录入!AN59</f>
        <v>0</v>
      </c>
      <c r="AO59" s="198">
        <f>$E59*餐厅成本录入!AO59</f>
        <v>0</v>
      </c>
      <c r="AP59" s="198">
        <f>$E59*餐厅成本录入!AP59</f>
        <v>0</v>
      </c>
      <c r="AQ59" s="198">
        <f>$E59*餐厅成本录入!AQ59</f>
        <v>0</v>
      </c>
      <c r="AR59" s="198">
        <f>$E59*餐厅成本录入!AR59</f>
        <v>0</v>
      </c>
      <c r="AS59" s="198">
        <f>$E59*餐厅成本录入!AS59</f>
        <v>0</v>
      </c>
      <c r="AT59" s="198">
        <f>$E59*餐厅成本录入!AT59</f>
        <v>0</v>
      </c>
      <c r="AU59" s="198">
        <f>$E59*餐厅成本录入!AU59</f>
        <v>0</v>
      </c>
      <c r="AV59" s="198">
        <f>$E59*餐厅成本录入!AV59</f>
        <v>0</v>
      </c>
      <c r="AW59" s="198">
        <f>$E59*餐厅成本录入!AW59</f>
        <v>0</v>
      </c>
      <c r="AX59" s="198">
        <f>$E59*餐厅成本录入!AX59</f>
        <v>0</v>
      </c>
      <c r="AY59" s="198">
        <f>$E59*餐厅成本录入!AY59</f>
        <v>0</v>
      </c>
      <c r="AZ59" s="198">
        <f>$E59*餐厅成本录入!AZ59</f>
        <v>0</v>
      </c>
      <c r="BA59" s="198">
        <f>$E59*餐厅成本录入!BA59</f>
        <v>0</v>
      </c>
      <c r="BB59" s="198">
        <f>$E59*餐厅成本录入!BB59</f>
        <v>0</v>
      </c>
      <c r="BC59" s="198">
        <f>$E59*餐厅成本录入!BC59</f>
        <v>0</v>
      </c>
      <c r="BD59" s="198">
        <f>$E59*餐厅成本录入!BD59</f>
        <v>0</v>
      </c>
      <c r="BE59" s="198">
        <f>$E59*餐厅成本录入!BE59</f>
        <v>0</v>
      </c>
      <c r="BF59" s="198">
        <f>$E59*餐厅成本录入!BF59</f>
        <v>0</v>
      </c>
      <c r="BG59" s="198">
        <f>$E59*餐厅成本录入!BG59</f>
        <v>0</v>
      </c>
      <c r="BH59" s="198">
        <f>$E59*餐厅成本录入!BH59</f>
        <v>0</v>
      </c>
      <c r="BI59" s="198">
        <f>$E59*餐厅成本录入!BI59</f>
        <v>0</v>
      </c>
      <c r="BJ59" s="198">
        <f>$E59*餐厅成本录入!BJ59</f>
        <v>0</v>
      </c>
      <c r="BK59" s="198">
        <f>$E59*餐厅成本录入!BK59</f>
        <v>0</v>
      </c>
      <c r="BL59" s="198">
        <f>$E59*餐厅成本录入!BL59</f>
        <v>0</v>
      </c>
      <c r="BM59" s="198">
        <f>$E59*餐厅成本录入!BM59</f>
        <v>0</v>
      </c>
      <c r="BN59" s="198">
        <f>$E59*餐厅成本录入!BN59</f>
        <v>0</v>
      </c>
      <c r="BO59" s="198">
        <f>$E59*餐厅成本录入!BO59</f>
        <v>0</v>
      </c>
      <c r="BP59" s="198">
        <f>$E59*餐厅成本录入!BP59</f>
        <v>0</v>
      </c>
      <c r="BQ59" s="198">
        <f>$E59*餐厅成本录入!BQ59</f>
        <v>0</v>
      </c>
      <c r="BR59" s="198">
        <f>$E59*餐厅成本录入!BR59</f>
        <v>0</v>
      </c>
      <c r="BS59" s="198">
        <f>$E59*餐厅成本录入!BS59</f>
        <v>0</v>
      </c>
      <c r="BT59" s="198">
        <f>$E59*餐厅成本录入!BT59</f>
        <v>0</v>
      </c>
      <c r="BU59" s="198">
        <f>$E59*餐厅成本录入!BU59</f>
        <v>0</v>
      </c>
      <c r="BV59" s="198">
        <f>$E59*餐厅成本录入!BV59</f>
        <v>0</v>
      </c>
      <c r="BW59" s="198">
        <f>$E59*餐厅成本录入!BW59</f>
        <v>0</v>
      </c>
    </row>
    <row r="60" s="178" customFormat="1" customHeight="1" spans="1:75">
      <c r="A60" s="161">
        <v>76</v>
      </c>
      <c r="B60" s="21">
        <f>餐厅成本录入!B60</f>
        <v>0</v>
      </c>
      <c r="C60" s="21">
        <f>餐厅成本录入!C60</f>
        <v>0</v>
      </c>
      <c r="D60" s="21">
        <f>餐厅成本录入!D60</f>
        <v>0</v>
      </c>
      <c r="E60" s="21">
        <f>餐厅成本录入!E60</f>
        <v>0</v>
      </c>
      <c r="F60" s="21">
        <f>餐厅成本录入!F60</f>
        <v>0</v>
      </c>
      <c r="G60" s="21">
        <f>餐厅成本录入!G60</f>
        <v>0</v>
      </c>
      <c r="H60" s="21">
        <f>餐厅成本录入!H60</f>
        <v>0</v>
      </c>
      <c r="I60" s="21">
        <f>餐厅成本录入!I60</f>
        <v>0</v>
      </c>
      <c r="J60" s="21">
        <f>餐厅成本录入!J60</f>
        <v>0</v>
      </c>
      <c r="K60" s="21">
        <f>餐厅成本录入!K60</f>
        <v>0</v>
      </c>
      <c r="L60" s="21">
        <f>餐厅成本录入!L60</f>
        <v>0</v>
      </c>
      <c r="M60" s="21">
        <f>餐厅成本录入!M60</f>
        <v>0</v>
      </c>
      <c r="N60" s="198">
        <f>$E60*餐厅成本录入!N60</f>
        <v>0</v>
      </c>
      <c r="O60" s="198">
        <f>$E60*餐厅成本录入!O60</f>
        <v>0</v>
      </c>
      <c r="P60" s="198">
        <f>$E60*餐厅成本录入!P60</f>
        <v>0</v>
      </c>
      <c r="Q60" s="198">
        <f>$E60*餐厅成本录入!Q60</f>
        <v>0</v>
      </c>
      <c r="R60" s="198">
        <f>$E60*餐厅成本录入!R60</f>
        <v>0</v>
      </c>
      <c r="S60" s="198">
        <f>$E60*餐厅成本录入!S60</f>
        <v>0</v>
      </c>
      <c r="T60" s="198">
        <f>$E60*餐厅成本录入!T60</f>
        <v>0</v>
      </c>
      <c r="U60" s="198">
        <f>$E60*餐厅成本录入!U60</f>
        <v>0</v>
      </c>
      <c r="V60" s="198">
        <f>$E60*餐厅成本录入!V60</f>
        <v>0</v>
      </c>
      <c r="W60" s="198">
        <f>$E60*餐厅成本录入!W60</f>
        <v>0</v>
      </c>
      <c r="X60" s="198">
        <f>$E60*餐厅成本录入!X60</f>
        <v>0</v>
      </c>
      <c r="Y60" s="198">
        <f>$E60*餐厅成本录入!Y60</f>
        <v>0</v>
      </c>
      <c r="Z60" s="198">
        <f>$E60*餐厅成本录入!Z60</f>
        <v>0</v>
      </c>
      <c r="AA60" s="198">
        <f>$E60*餐厅成本录入!AA60</f>
        <v>0</v>
      </c>
      <c r="AB60" s="198">
        <f>$E60*餐厅成本录入!AB60</f>
        <v>0</v>
      </c>
      <c r="AC60" s="198">
        <f>$E60*餐厅成本录入!AC60</f>
        <v>0</v>
      </c>
      <c r="AD60" s="198">
        <f>$E60*餐厅成本录入!AD60</f>
        <v>0</v>
      </c>
      <c r="AE60" s="198">
        <f>$E60*餐厅成本录入!AE60</f>
        <v>0</v>
      </c>
      <c r="AF60" s="198">
        <f>$E60*餐厅成本录入!AF60</f>
        <v>0</v>
      </c>
      <c r="AG60" s="198">
        <f>$E60*餐厅成本录入!AG60</f>
        <v>0</v>
      </c>
      <c r="AH60" s="198">
        <f>$E60*餐厅成本录入!AH60</f>
        <v>0</v>
      </c>
      <c r="AI60" s="198">
        <f>$E60*餐厅成本录入!AI60</f>
        <v>0</v>
      </c>
      <c r="AJ60" s="198">
        <f>$E60*餐厅成本录入!AJ60</f>
        <v>0</v>
      </c>
      <c r="AK60" s="198">
        <f>$E60*餐厅成本录入!AK60</f>
        <v>0</v>
      </c>
      <c r="AL60" s="198">
        <f>$E60*餐厅成本录入!AL60</f>
        <v>0</v>
      </c>
      <c r="AM60" s="198">
        <f>$E60*餐厅成本录入!AM60</f>
        <v>0</v>
      </c>
      <c r="AN60" s="198">
        <f>$E60*餐厅成本录入!AN60</f>
        <v>0</v>
      </c>
      <c r="AO60" s="198">
        <f>$E60*餐厅成本录入!AO60</f>
        <v>0</v>
      </c>
      <c r="AP60" s="198">
        <f>$E60*餐厅成本录入!AP60</f>
        <v>0</v>
      </c>
      <c r="AQ60" s="198">
        <f>$E60*餐厅成本录入!AQ60</f>
        <v>0</v>
      </c>
      <c r="AR60" s="198">
        <f>$E60*餐厅成本录入!AR60</f>
        <v>0</v>
      </c>
      <c r="AS60" s="198">
        <f>$E60*餐厅成本录入!AS60</f>
        <v>0</v>
      </c>
      <c r="AT60" s="198">
        <f>$E60*餐厅成本录入!AT60</f>
        <v>0</v>
      </c>
      <c r="AU60" s="198">
        <f>$E60*餐厅成本录入!AU60</f>
        <v>0</v>
      </c>
      <c r="AV60" s="198">
        <f>$E60*餐厅成本录入!AV60</f>
        <v>0</v>
      </c>
      <c r="AW60" s="198">
        <f>$E60*餐厅成本录入!AW60</f>
        <v>0</v>
      </c>
      <c r="AX60" s="198">
        <f>$E60*餐厅成本录入!AX60</f>
        <v>0</v>
      </c>
      <c r="AY60" s="198">
        <f>$E60*餐厅成本录入!AY60</f>
        <v>0</v>
      </c>
      <c r="AZ60" s="198">
        <f>$E60*餐厅成本录入!AZ60</f>
        <v>0</v>
      </c>
      <c r="BA60" s="198">
        <f>$E60*餐厅成本录入!BA60</f>
        <v>0</v>
      </c>
      <c r="BB60" s="198">
        <f>$E60*餐厅成本录入!BB60</f>
        <v>0</v>
      </c>
      <c r="BC60" s="198">
        <f>$E60*餐厅成本录入!BC60</f>
        <v>0</v>
      </c>
      <c r="BD60" s="198">
        <f>$E60*餐厅成本录入!BD60</f>
        <v>0</v>
      </c>
      <c r="BE60" s="198">
        <f>$E60*餐厅成本录入!BE60</f>
        <v>0</v>
      </c>
      <c r="BF60" s="198">
        <f>$E60*餐厅成本录入!BF60</f>
        <v>0</v>
      </c>
      <c r="BG60" s="198">
        <f>$E60*餐厅成本录入!BG60</f>
        <v>0</v>
      </c>
      <c r="BH60" s="198">
        <f>$E60*餐厅成本录入!BH60</f>
        <v>0</v>
      </c>
      <c r="BI60" s="198">
        <f>$E60*餐厅成本录入!BI60</f>
        <v>0</v>
      </c>
      <c r="BJ60" s="198">
        <f>$E60*餐厅成本录入!BJ60</f>
        <v>0</v>
      </c>
      <c r="BK60" s="198">
        <f>$E60*餐厅成本录入!BK60</f>
        <v>0</v>
      </c>
      <c r="BL60" s="198">
        <f>$E60*餐厅成本录入!BL60</f>
        <v>0</v>
      </c>
      <c r="BM60" s="198">
        <f>$E60*餐厅成本录入!BM60</f>
        <v>0</v>
      </c>
      <c r="BN60" s="198">
        <f>$E60*餐厅成本录入!BN60</f>
        <v>0</v>
      </c>
      <c r="BO60" s="198">
        <f>$E60*餐厅成本录入!BO60</f>
        <v>0</v>
      </c>
      <c r="BP60" s="198">
        <f>$E60*餐厅成本录入!BP60</f>
        <v>0</v>
      </c>
      <c r="BQ60" s="198">
        <f>$E60*餐厅成本录入!BQ60</f>
        <v>0</v>
      </c>
      <c r="BR60" s="198">
        <f>$E60*餐厅成本录入!BR60</f>
        <v>0</v>
      </c>
      <c r="BS60" s="198">
        <f>$E60*餐厅成本录入!BS60</f>
        <v>0</v>
      </c>
      <c r="BT60" s="198">
        <f>$E60*餐厅成本录入!BT60</f>
        <v>0</v>
      </c>
      <c r="BU60" s="198">
        <f>$E60*餐厅成本录入!BU60</f>
        <v>0</v>
      </c>
      <c r="BV60" s="198">
        <f>$E60*餐厅成本录入!BV60</f>
        <v>0</v>
      </c>
      <c r="BW60" s="198">
        <f>$E60*餐厅成本录入!BW60</f>
        <v>0</v>
      </c>
    </row>
    <row r="61" s="178" customFormat="1" customHeight="1" spans="1:75">
      <c r="A61" s="161">
        <v>78</v>
      </c>
      <c r="B61" s="21">
        <f>餐厅成本录入!B61</f>
        <v>0</v>
      </c>
      <c r="C61" s="21">
        <f>餐厅成本录入!C61</f>
        <v>0</v>
      </c>
      <c r="D61" s="21">
        <f>餐厅成本录入!D61</f>
        <v>0</v>
      </c>
      <c r="E61" s="21">
        <f>餐厅成本录入!E61</f>
        <v>0</v>
      </c>
      <c r="F61" s="21">
        <f>餐厅成本录入!F61</f>
        <v>0</v>
      </c>
      <c r="G61" s="21">
        <f>餐厅成本录入!G61</f>
        <v>0</v>
      </c>
      <c r="H61" s="21">
        <f>餐厅成本录入!H61</f>
        <v>0</v>
      </c>
      <c r="I61" s="21">
        <f>餐厅成本录入!I61</f>
        <v>0</v>
      </c>
      <c r="J61" s="21">
        <f>餐厅成本录入!J61</f>
        <v>0</v>
      </c>
      <c r="K61" s="21">
        <f>餐厅成本录入!K61</f>
        <v>0</v>
      </c>
      <c r="L61" s="21">
        <f>餐厅成本录入!L61</f>
        <v>0</v>
      </c>
      <c r="M61" s="21">
        <f>餐厅成本录入!M61</f>
        <v>0</v>
      </c>
      <c r="N61" s="198">
        <f>$E61*餐厅成本录入!N61</f>
        <v>0</v>
      </c>
      <c r="O61" s="198">
        <f>$E61*餐厅成本录入!O61</f>
        <v>0</v>
      </c>
      <c r="P61" s="198">
        <f>$E61*餐厅成本录入!P61</f>
        <v>0</v>
      </c>
      <c r="Q61" s="198">
        <f>$E61*餐厅成本录入!Q61</f>
        <v>0</v>
      </c>
      <c r="R61" s="198">
        <f>$E61*餐厅成本录入!R61</f>
        <v>0</v>
      </c>
      <c r="S61" s="198">
        <f>$E61*餐厅成本录入!S61</f>
        <v>0</v>
      </c>
      <c r="T61" s="198">
        <f>$E61*餐厅成本录入!T61</f>
        <v>0</v>
      </c>
      <c r="U61" s="198">
        <f>$E61*餐厅成本录入!U61</f>
        <v>0</v>
      </c>
      <c r="V61" s="198">
        <f>$E61*餐厅成本录入!V61</f>
        <v>0</v>
      </c>
      <c r="W61" s="198">
        <f>$E61*餐厅成本录入!W61</f>
        <v>0</v>
      </c>
      <c r="X61" s="198">
        <f>$E61*餐厅成本录入!X61</f>
        <v>0</v>
      </c>
      <c r="Y61" s="198">
        <f>$E61*餐厅成本录入!Y61</f>
        <v>0</v>
      </c>
      <c r="Z61" s="198">
        <f>$E61*餐厅成本录入!Z61</f>
        <v>0</v>
      </c>
      <c r="AA61" s="198">
        <f>$E61*餐厅成本录入!AA61</f>
        <v>0</v>
      </c>
      <c r="AB61" s="198">
        <f>$E61*餐厅成本录入!AB61</f>
        <v>0</v>
      </c>
      <c r="AC61" s="198">
        <f>$E61*餐厅成本录入!AC61</f>
        <v>0</v>
      </c>
      <c r="AD61" s="198">
        <f>$E61*餐厅成本录入!AD61</f>
        <v>0</v>
      </c>
      <c r="AE61" s="198">
        <f>$E61*餐厅成本录入!AE61</f>
        <v>0</v>
      </c>
      <c r="AF61" s="198">
        <f>$E61*餐厅成本录入!AF61</f>
        <v>0</v>
      </c>
      <c r="AG61" s="198">
        <f>$E61*餐厅成本录入!AG61</f>
        <v>0</v>
      </c>
      <c r="AH61" s="198">
        <f>$E61*餐厅成本录入!AH61</f>
        <v>0</v>
      </c>
      <c r="AI61" s="198">
        <f>$E61*餐厅成本录入!AI61</f>
        <v>0</v>
      </c>
      <c r="AJ61" s="198">
        <f>$E61*餐厅成本录入!AJ61</f>
        <v>0</v>
      </c>
      <c r="AK61" s="198">
        <f>$E61*餐厅成本录入!AK61</f>
        <v>0</v>
      </c>
      <c r="AL61" s="198">
        <f>$E61*餐厅成本录入!AL61</f>
        <v>0</v>
      </c>
      <c r="AM61" s="198">
        <f>$E61*餐厅成本录入!AM61</f>
        <v>0</v>
      </c>
      <c r="AN61" s="198">
        <f>$E61*餐厅成本录入!AN61</f>
        <v>0</v>
      </c>
      <c r="AO61" s="198">
        <f>$E61*餐厅成本录入!AO61</f>
        <v>0</v>
      </c>
      <c r="AP61" s="198">
        <f>$E61*餐厅成本录入!AP61</f>
        <v>0</v>
      </c>
      <c r="AQ61" s="198">
        <f>$E61*餐厅成本录入!AQ61</f>
        <v>0</v>
      </c>
      <c r="AR61" s="198">
        <f>$E61*餐厅成本录入!AR61</f>
        <v>0</v>
      </c>
      <c r="AS61" s="198">
        <f>$E61*餐厅成本录入!AS61</f>
        <v>0</v>
      </c>
      <c r="AT61" s="198">
        <f>$E61*餐厅成本录入!AT61</f>
        <v>0</v>
      </c>
      <c r="AU61" s="198">
        <f>$E61*餐厅成本录入!AU61</f>
        <v>0</v>
      </c>
      <c r="AV61" s="198">
        <f>$E61*餐厅成本录入!AV61</f>
        <v>0</v>
      </c>
      <c r="AW61" s="198">
        <f>$E61*餐厅成本录入!AW61</f>
        <v>0</v>
      </c>
      <c r="AX61" s="198">
        <f>$E61*餐厅成本录入!AX61</f>
        <v>0</v>
      </c>
      <c r="AY61" s="198">
        <f>$E61*餐厅成本录入!AY61</f>
        <v>0</v>
      </c>
      <c r="AZ61" s="198">
        <f>$E61*餐厅成本录入!AZ61</f>
        <v>0</v>
      </c>
      <c r="BA61" s="198">
        <f>$E61*餐厅成本录入!BA61</f>
        <v>0</v>
      </c>
      <c r="BB61" s="198">
        <f>$E61*餐厅成本录入!BB61</f>
        <v>0</v>
      </c>
      <c r="BC61" s="198">
        <f>$E61*餐厅成本录入!BC61</f>
        <v>0</v>
      </c>
      <c r="BD61" s="198">
        <f>$E61*餐厅成本录入!BD61</f>
        <v>0</v>
      </c>
      <c r="BE61" s="198">
        <f>$E61*餐厅成本录入!BE61</f>
        <v>0</v>
      </c>
      <c r="BF61" s="198">
        <f>$E61*餐厅成本录入!BF61</f>
        <v>0</v>
      </c>
      <c r="BG61" s="198">
        <f>$E61*餐厅成本录入!BG61</f>
        <v>0</v>
      </c>
      <c r="BH61" s="198">
        <f>$E61*餐厅成本录入!BH61</f>
        <v>0</v>
      </c>
      <c r="BI61" s="198">
        <f>$E61*餐厅成本录入!BI61</f>
        <v>0</v>
      </c>
      <c r="BJ61" s="198">
        <f>$E61*餐厅成本录入!BJ61</f>
        <v>0</v>
      </c>
      <c r="BK61" s="198">
        <f>$E61*餐厅成本录入!BK61</f>
        <v>0</v>
      </c>
      <c r="BL61" s="198">
        <f>$E61*餐厅成本录入!BL61</f>
        <v>0</v>
      </c>
      <c r="BM61" s="198">
        <f>$E61*餐厅成本录入!BM61</f>
        <v>0</v>
      </c>
      <c r="BN61" s="198">
        <f>$E61*餐厅成本录入!BN61</f>
        <v>0</v>
      </c>
      <c r="BO61" s="198">
        <f>$E61*餐厅成本录入!BO61</f>
        <v>0</v>
      </c>
      <c r="BP61" s="198">
        <f>$E61*餐厅成本录入!BP61</f>
        <v>0</v>
      </c>
      <c r="BQ61" s="198">
        <f>$E61*餐厅成本录入!BQ61</f>
        <v>0</v>
      </c>
      <c r="BR61" s="198">
        <f>$E61*餐厅成本录入!BR61</f>
        <v>0</v>
      </c>
      <c r="BS61" s="198">
        <f>$E61*餐厅成本录入!BS61</f>
        <v>0</v>
      </c>
      <c r="BT61" s="198">
        <f>$E61*餐厅成本录入!BT61</f>
        <v>0</v>
      </c>
      <c r="BU61" s="198">
        <f>$E61*餐厅成本录入!BU61</f>
        <v>0</v>
      </c>
      <c r="BV61" s="198">
        <f>$E61*餐厅成本录入!BV61</f>
        <v>0</v>
      </c>
      <c r="BW61" s="198">
        <f>$E61*餐厅成本录入!BW61</f>
        <v>0</v>
      </c>
    </row>
    <row r="62" s="178" customFormat="1" customHeight="1" spans="1:75">
      <c r="A62" s="161">
        <v>79</v>
      </c>
      <c r="B62" s="21">
        <f>餐厅成本录入!B62</f>
        <v>0</v>
      </c>
      <c r="C62" s="21">
        <f>餐厅成本录入!C62</f>
        <v>0</v>
      </c>
      <c r="D62" s="21">
        <f>餐厅成本录入!D62</f>
        <v>0</v>
      </c>
      <c r="E62" s="21">
        <f>餐厅成本录入!E62</f>
        <v>0</v>
      </c>
      <c r="F62" s="21">
        <f>餐厅成本录入!F62</f>
        <v>0</v>
      </c>
      <c r="G62" s="21">
        <f>餐厅成本录入!G62</f>
        <v>0</v>
      </c>
      <c r="H62" s="21">
        <f>餐厅成本录入!H62</f>
        <v>0</v>
      </c>
      <c r="I62" s="21">
        <f>餐厅成本录入!I62</f>
        <v>0</v>
      </c>
      <c r="J62" s="21">
        <f>餐厅成本录入!J62</f>
        <v>0</v>
      </c>
      <c r="K62" s="21">
        <f>餐厅成本录入!K62</f>
        <v>0</v>
      </c>
      <c r="L62" s="21">
        <f>餐厅成本录入!L62</f>
        <v>0</v>
      </c>
      <c r="M62" s="21">
        <f>餐厅成本录入!M62</f>
        <v>0</v>
      </c>
      <c r="N62" s="198">
        <f>$E62*餐厅成本录入!N62</f>
        <v>0</v>
      </c>
      <c r="O62" s="198">
        <f>$E62*餐厅成本录入!O62</f>
        <v>0</v>
      </c>
      <c r="P62" s="198">
        <f>$E62*餐厅成本录入!P62</f>
        <v>0</v>
      </c>
      <c r="Q62" s="198">
        <f>$E62*餐厅成本录入!Q62</f>
        <v>0</v>
      </c>
      <c r="R62" s="198">
        <f>$E62*餐厅成本录入!R62</f>
        <v>0</v>
      </c>
      <c r="S62" s="198">
        <f>$E62*餐厅成本录入!S62</f>
        <v>0</v>
      </c>
      <c r="T62" s="198">
        <f>$E62*餐厅成本录入!T62</f>
        <v>0</v>
      </c>
      <c r="U62" s="198">
        <f>$E62*餐厅成本录入!U62</f>
        <v>0</v>
      </c>
      <c r="V62" s="198">
        <f>$E62*餐厅成本录入!V62</f>
        <v>0</v>
      </c>
      <c r="W62" s="198">
        <f>$E62*餐厅成本录入!W62</f>
        <v>0</v>
      </c>
      <c r="X62" s="198">
        <f>$E62*餐厅成本录入!X62</f>
        <v>0</v>
      </c>
      <c r="Y62" s="198">
        <f>$E62*餐厅成本录入!Y62</f>
        <v>0</v>
      </c>
      <c r="Z62" s="198">
        <f>$E62*餐厅成本录入!Z62</f>
        <v>0</v>
      </c>
      <c r="AA62" s="198">
        <f>$E62*餐厅成本录入!AA62</f>
        <v>0</v>
      </c>
      <c r="AB62" s="198">
        <f>$E62*餐厅成本录入!AB62</f>
        <v>0</v>
      </c>
      <c r="AC62" s="198">
        <f>$E62*餐厅成本录入!AC62</f>
        <v>0</v>
      </c>
      <c r="AD62" s="198">
        <f>$E62*餐厅成本录入!AD62</f>
        <v>0</v>
      </c>
      <c r="AE62" s="198">
        <f>$E62*餐厅成本录入!AE62</f>
        <v>0</v>
      </c>
      <c r="AF62" s="198">
        <f>$E62*餐厅成本录入!AF62</f>
        <v>0</v>
      </c>
      <c r="AG62" s="198">
        <f>$E62*餐厅成本录入!AG62</f>
        <v>0</v>
      </c>
      <c r="AH62" s="198">
        <f>$E62*餐厅成本录入!AH62</f>
        <v>0</v>
      </c>
      <c r="AI62" s="198">
        <f>$E62*餐厅成本录入!AI62</f>
        <v>0</v>
      </c>
      <c r="AJ62" s="198">
        <f>$E62*餐厅成本录入!AJ62</f>
        <v>0</v>
      </c>
      <c r="AK62" s="198">
        <f>$E62*餐厅成本录入!AK62</f>
        <v>0</v>
      </c>
      <c r="AL62" s="198">
        <f>$E62*餐厅成本录入!AL62</f>
        <v>0</v>
      </c>
      <c r="AM62" s="198">
        <f>$E62*餐厅成本录入!AM62</f>
        <v>0</v>
      </c>
      <c r="AN62" s="198">
        <f>$E62*餐厅成本录入!AN62</f>
        <v>0</v>
      </c>
      <c r="AO62" s="198">
        <f>$E62*餐厅成本录入!AO62</f>
        <v>0</v>
      </c>
      <c r="AP62" s="198">
        <f>$E62*餐厅成本录入!AP62</f>
        <v>0</v>
      </c>
      <c r="AQ62" s="198">
        <f>$E62*餐厅成本录入!AQ62</f>
        <v>0</v>
      </c>
      <c r="AR62" s="198">
        <f>$E62*餐厅成本录入!AR62</f>
        <v>0</v>
      </c>
      <c r="AS62" s="198">
        <f>$E62*餐厅成本录入!AS62</f>
        <v>0</v>
      </c>
      <c r="AT62" s="198">
        <f>$E62*餐厅成本录入!AT62</f>
        <v>0</v>
      </c>
      <c r="AU62" s="198">
        <f>$E62*餐厅成本录入!AU62</f>
        <v>0</v>
      </c>
      <c r="AV62" s="198">
        <f>$E62*餐厅成本录入!AV62</f>
        <v>0</v>
      </c>
      <c r="AW62" s="198">
        <f>$E62*餐厅成本录入!AW62</f>
        <v>0</v>
      </c>
      <c r="AX62" s="198">
        <f>$E62*餐厅成本录入!AX62</f>
        <v>0</v>
      </c>
      <c r="AY62" s="198">
        <f>$E62*餐厅成本录入!AY62</f>
        <v>0</v>
      </c>
      <c r="AZ62" s="198">
        <f>$E62*餐厅成本录入!AZ62</f>
        <v>0</v>
      </c>
      <c r="BA62" s="198">
        <f>$E62*餐厅成本录入!BA62</f>
        <v>0</v>
      </c>
      <c r="BB62" s="198">
        <f>$E62*餐厅成本录入!BB62</f>
        <v>0</v>
      </c>
      <c r="BC62" s="198">
        <f>$E62*餐厅成本录入!BC62</f>
        <v>0</v>
      </c>
      <c r="BD62" s="198">
        <f>$E62*餐厅成本录入!BD62</f>
        <v>0</v>
      </c>
      <c r="BE62" s="198">
        <f>$E62*餐厅成本录入!BE62</f>
        <v>0</v>
      </c>
      <c r="BF62" s="198">
        <f>$E62*餐厅成本录入!BF62</f>
        <v>0</v>
      </c>
      <c r="BG62" s="198">
        <f>$E62*餐厅成本录入!BG62</f>
        <v>0</v>
      </c>
      <c r="BH62" s="198">
        <f>$E62*餐厅成本录入!BH62</f>
        <v>0</v>
      </c>
      <c r="BI62" s="198">
        <f>$E62*餐厅成本录入!BI62</f>
        <v>0</v>
      </c>
      <c r="BJ62" s="198">
        <f>$E62*餐厅成本录入!BJ62</f>
        <v>0</v>
      </c>
      <c r="BK62" s="198">
        <f>$E62*餐厅成本录入!BK62</f>
        <v>0</v>
      </c>
      <c r="BL62" s="198">
        <f>$E62*餐厅成本录入!BL62</f>
        <v>0</v>
      </c>
      <c r="BM62" s="198">
        <f>$E62*餐厅成本录入!BM62</f>
        <v>0</v>
      </c>
      <c r="BN62" s="198">
        <f>$E62*餐厅成本录入!BN62</f>
        <v>0</v>
      </c>
      <c r="BO62" s="198">
        <f>$E62*餐厅成本录入!BO62</f>
        <v>0</v>
      </c>
      <c r="BP62" s="198">
        <f>$E62*餐厅成本录入!BP62</f>
        <v>0</v>
      </c>
      <c r="BQ62" s="198">
        <f>$E62*餐厅成本录入!BQ62</f>
        <v>0</v>
      </c>
      <c r="BR62" s="198">
        <f>$E62*餐厅成本录入!BR62</f>
        <v>0</v>
      </c>
      <c r="BS62" s="198">
        <f>$E62*餐厅成本录入!BS62</f>
        <v>0</v>
      </c>
      <c r="BT62" s="198">
        <f>$E62*餐厅成本录入!BT62</f>
        <v>0</v>
      </c>
      <c r="BU62" s="198">
        <f>$E62*餐厅成本录入!BU62</f>
        <v>0</v>
      </c>
      <c r="BV62" s="198">
        <f>$E62*餐厅成本录入!BV62</f>
        <v>0</v>
      </c>
      <c r="BW62" s="198">
        <f>$E62*餐厅成本录入!BW62</f>
        <v>0</v>
      </c>
    </row>
    <row r="63" s="178" customFormat="1" customHeight="1" spans="1:75">
      <c r="A63" s="161">
        <v>80</v>
      </c>
      <c r="B63" s="21">
        <f>餐厅成本录入!B63</f>
        <v>0</v>
      </c>
      <c r="C63" s="21">
        <f>餐厅成本录入!C63</f>
        <v>0</v>
      </c>
      <c r="D63" s="21">
        <f>餐厅成本录入!D63</f>
        <v>0</v>
      </c>
      <c r="E63" s="21">
        <f>餐厅成本录入!E63</f>
        <v>0</v>
      </c>
      <c r="F63" s="21">
        <f>餐厅成本录入!F63</f>
        <v>0</v>
      </c>
      <c r="G63" s="21">
        <f>餐厅成本录入!G63</f>
        <v>0</v>
      </c>
      <c r="H63" s="21">
        <f>餐厅成本录入!H63</f>
        <v>0</v>
      </c>
      <c r="I63" s="21">
        <f>餐厅成本录入!I63</f>
        <v>0</v>
      </c>
      <c r="J63" s="21">
        <f>餐厅成本录入!J63</f>
        <v>0</v>
      </c>
      <c r="K63" s="21">
        <f>餐厅成本录入!K63</f>
        <v>0</v>
      </c>
      <c r="L63" s="21">
        <f>餐厅成本录入!L63</f>
        <v>0</v>
      </c>
      <c r="M63" s="21">
        <f>餐厅成本录入!M63</f>
        <v>0</v>
      </c>
      <c r="N63" s="198">
        <f>$E63*餐厅成本录入!N63</f>
        <v>0</v>
      </c>
      <c r="O63" s="198">
        <f>$E63*餐厅成本录入!O63</f>
        <v>0</v>
      </c>
      <c r="P63" s="198">
        <f>$E63*餐厅成本录入!P63</f>
        <v>0</v>
      </c>
      <c r="Q63" s="198">
        <f>$E63*餐厅成本录入!Q63</f>
        <v>0</v>
      </c>
      <c r="R63" s="198">
        <f>$E63*餐厅成本录入!R63</f>
        <v>0</v>
      </c>
      <c r="S63" s="198">
        <f>$E63*餐厅成本录入!S63</f>
        <v>0</v>
      </c>
      <c r="T63" s="198">
        <f>$E63*餐厅成本录入!T63</f>
        <v>0</v>
      </c>
      <c r="U63" s="198">
        <f>$E63*餐厅成本录入!U63</f>
        <v>0</v>
      </c>
      <c r="V63" s="198">
        <f>$E63*餐厅成本录入!V63</f>
        <v>0</v>
      </c>
      <c r="W63" s="198">
        <f>$E63*餐厅成本录入!W63</f>
        <v>0</v>
      </c>
      <c r="X63" s="198">
        <f>$E63*餐厅成本录入!X63</f>
        <v>0</v>
      </c>
      <c r="Y63" s="198">
        <f>$E63*餐厅成本录入!Y63</f>
        <v>0</v>
      </c>
      <c r="Z63" s="198">
        <f>$E63*餐厅成本录入!Z63</f>
        <v>0</v>
      </c>
      <c r="AA63" s="198">
        <f>$E63*餐厅成本录入!AA63</f>
        <v>0</v>
      </c>
      <c r="AB63" s="198">
        <f>$E63*餐厅成本录入!AB63</f>
        <v>0</v>
      </c>
      <c r="AC63" s="198">
        <f>$E63*餐厅成本录入!AC63</f>
        <v>0</v>
      </c>
      <c r="AD63" s="198">
        <f>$E63*餐厅成本录入!AD63</f>
        <v>0</v>
      </c>
      <c r="AE63" s="198">
        <f>$E63*餐厅成本录入!AE63</f>
        <v>0</v>
      </c>
      <c r="AF63" s="198">
        <f>$E63*餐厅成本录入!AF63</f>
        <v>0</v>
      </c>
      <c r="AG63" s="198">
        <f>$E63*餐厅成本录入!AG63</f>
        <v>0</v>
      </c>
      <c r="AH63" s="198">
        <f>$E63*餐厅成本录入!AH63</f>
        <v>0</v>
      </c>
      <c r="AI63" s="198">
        <f>$E63*餐厅成本录入!AI63</f>
        <v>0</v>
      </c>
      <c r="AJ63" s="198">
        <f>$E63*餐厅成本录入!AJ63</f>
        <v>0</v>
      </c>
      <c r="AK63" s="198">
        <f>$E63*餐厅成本录入!AK63</f>
        <v>0</v>
      </c>
      <c r="AL63" s="198">
        <f>$E63*餐厅成本录入!AL63</f>
        <v>0</v>
      </c>
      <c r="AM63" s="198">
        <f>$E63*餐厅成本录入!AM63</f>
        <v>0</v>
      </c>
      <c r="AN63" s="198">
        <f>$E63*餐厅成本录入!AN63</f>
        <v>0</v>
      </c>
      <c r="AO63" s="198">
        <f>$E63*餐厅成本录入!AO63</f>
        <v>0</v>
      </c>
      <c r="AP63" s="198">
        <f>$E63*餐厅成本录入!AP63</f>
        <v>0</v>
      </c>
      <c r="AQ63" s="198">
        <f>$E63*餐厅成本录入!AQ63</f>
        <v>0</v>
      </c>
      <c r="AR63" s="198">
        <f>$E63*餐厅成本录入!AR63</f>
        <v>0</v>
      </c>
      <c r="AS63" s="198">
        <f>$E63*餐厅成本录入!AS63</f>
        <v>0</v>
      </c>
      <c r="AT63" s="198">
        <f>$E63*餐厅成本录入!AT63</f>
        <v>0</v>
      </c>
      <c r="AU63" s="198">
        <f>$E63*餐厅成本录入!AU63</f>
        <v>0</v>
      </c>
      <c r="AV63" s="198">
        <f>$E63*餐厅成本录入!AV63</f>
        <v>0</v>
      </c>
      <c r="AW63" s="198">
        <f>$E63*餐厅成本录入!AW63</f>
        <v>0</v>
      </c>
      <c r="AX63" s="198">
        <f>$E63*餐厅成本录入!AX63</f>
        <v>0</v>
      </c>
      <c r="AY63" s="198">
        <f>$E63*餐厅成本录入!AY63</f>
        <v>0</v>
      </c>
      <c r="AZ63" s="198">
        <f>$E63*餐厅成本录入!AZ63</f>
        <v>0</v>
      </c>
      <c r="BA63" s="198">
        <f>$E63*餐厅成本录入!BA63</f>
        <v>0</v>
      </c>
      <c r="BB63" s="198">
        <f>$E63*餐厅成本录入!BB63</f>
        <v>0</v>
      </c>
      <c r="BC63" s="198">
        <f>$E63*餐厅成本录入!BC63</f>
        <v>0</v>
      </c>
      <c r="BD63" s="198">
        <f>$E63*餐厅成本录入!BD63</f>
        <v>0</v>
      </c>
      <c r="BE63" s="198">
        <f>$E63*餐厅成本录入!BE63</f>
        <v>0</v>
      </c>
      <c r="BF63" s="198">
        <f>$E63*餐厅成本录入!BF63</f>
        <v>0</v>
      </c>
      <c r="BG63" s="198">
        <f>$E63*餐厅成本录入!BG63</f>
        <v>0</v>
      </c>
      <c r="BH63" s="198">
        <f>$E63*餐厅成本录入!BH63</f>
        <v>0</v>
      </c>
      <c r="BI63" s="198">
        <f>$E63*餐厅成本录入!BI63</f>
        <v>0</v>
      </c>
      <c r="BJ63" s="198">
        <f>$E63*餐厅成本录入!BJ63</f>
        <v>0</v>
      </c>
      <c r="BK63" s="198">
        <f>$E63*餐厅成本录入!BK63</f>
        <v>0</v>
      </c>
      <c r="BL63" s="198">
        <f>$E63*餐厅成本录入!BL63</f>
        <v>0</v>
      </c>
      <c r="BM63" s="198">
        <f>$E63*餐厅成本录入!BM63</f>
        <v>0</v>
      </c>
      <c r="BN63" s="198">
        <f>$E63*餐厅成本录入!BN63</f>
        <v>0</v>
      </c>
      <c r="BO63" s="198">
        <f>$E63*餐厅成本录入!BO63</f>
        <v>0</v>
      </c>
      <c r="BP63" s="198">
        <f>$E63*餐厅成本录入!BP63</f>
        <v>0</v>
      </c>
      <c r="BQ63" s="198">
        <f>$E63*餐厅成本录入!BQ63</f>
        <v>0</v>
      </c>
      <c r="BR63" s="198">
        <f>$E63*餐厅成本录入!BR63</f>
        <v>0</v>
      </c>
      <c r="BS63" s="198">
        <f>$E63*餐厅成本录入!BS63</f>
        <v>0</v>
      </c>
      <c r="BT63" s="198">
        <f>$E63*餐厅成本录入!BT63</f>
        <v>0</v>
      </c>
      <c r="BU63" s="198">
        <f>$E63*餐厅成本录入!BU63</f>
        <v>0</v>
      </c>
      <c r="BV63" s="198">
        <f>$E63*餐厅成本录入!BV63</f>
        <v>0</v>
      </c>
      <c r="BW63" s="198">
        <f>$E63*餐厅成本录入!BW63</f>
        <v>0</v>
      </c>
    </row>
    <row r="64" s="178" customFormat="1" customHeight="1" spans="1:75">
      <c r="A64" s="161">
        <v>82</v>
      </c>
      <c r="B64" s="21">
        <f>餐厅成本录入!B64</f>
        <v>0</v>
      </c>
      <c r="C64" s="21">
        <f>餐厅成本录入!C64</f>
        <v>0</v>
      </c>
      <c r="D64" s="21">
        <f>餐厅成本录入!D64</f>
        <v>0</v>
      </c>
      <c r="E64" s="21">
        <f>餐厅成本录入!E64</f>
        <v>0</v>
      </c>
      <c r="F64" s="21">
        <f>餐厅成本录入!F64</f>
        <v>0</v>
      </c>
      <c r="G64" s="21">
        <f>餐厅成本录入!G64</f>
        <v>0</v>
      </c>
      <c r="H64" s="21">
        <f>餐厅成本录入!H64</f>
        <v>0</v>
      </c>
      <c r="I64" s="21">
        <f>餐厅成本录入!I64</f>
        <v>0</v>
      </c>
      <c r="J64" s="21">
        <f>餐厅成本录入!J64</f>
        <v>0</v>
      </c>
      <c r="K64" s="21">
        <f>餐厅成本录入!K64</f>
        <v>0</v>
      </c>
      <c r="L64" s="21">
        <f>餐厅成本录入!L64</f>
        <v>0</v>
      </c>
      <c r="M64" s="21">
        <f>餐厅成本录入!M64</f>
        <v>0</v>
      </c>
      <c r="N64" s="198">
        <f>$E64*餐厅成本录入!N64</f>
        <v>0</v>
      </c>
      <c r="O64" s="198">
        <f>$E64*餐厅成本录入!O64</f>
        <v>0</v>
      </c>
      <c r="P64" s="198">
        <f>$E64*餐厅成本录入!P64</f>
        <v>0</v>
      </c>
      <c r="Q64" s="198">
        <f>$E64*餐厅成本录入!Q64</f>
        <v>0</v>
      </c>
      <c r="R64" s="198">
        <f>$E64*餐厅成本录入!R64</f>
        <v>0</v>
      </c>
      <c r="S64" s="198">
        <f>$E64*餐厅成本录入!S64</f>
        <v>0</v>
      </c>
      <c r="T64" s="198">
        <f>$E64*餐厅成本录入!T64</f>
        <v>0</v>
      </c>
      <c r="U64" s="198">
        <f>$E64*餐厅成本录入!U64</f>
        <v>0</v>
      </c>
      <c r="V64" s="198">
        <f>$E64*餐厅成本录入!V64</f>
        <v>0</v>
      </c>
      <c r="W64" s="198">
        <f>$E64*餐厅成本录入!W64</f>
        <v>0</v>
      </c>
      <c r="X64" s="198">
        <f>$E64*餐厅成本录入!X64</f>
        <v>0</v>
      </c>
      <c r="Y64" s="198">
        <f>$E64*餐厅成本录入!Y64</f>
        <v>0</v>
      </c>
      <c r="Z64" s="198">
        <f>$E64*餐厅成本录入!Z64</f>
        <v>0</v>
      </c>
      <c r="AA64" s="198">
        <f>$E64*餐厅成本录入!AA64</f>
        <v>0</v>
      </c>
      <c r="AB64" s="198">
        <f>$E64*餐厅成本录入!AB64</f>
        <v>0</v>
      </c>
      <c r="AC64" s="198">
        <f>$E64*餐厅成本录入!AC64</f>
        <v>0</v>
      </c>
      <c r="AD64" s="198">
        <f>$E64*餐厅成本录入!AD64</f>
        <v>0</v>
      </c>
      <c r="AE64" s="198">
        <f>$E64*餐厅成本录入!AE64</f>
        <v>0</v>
      </c>
      <c r="AF64" s="198">
        <f>$E64*餐厅成本录入!AF64</f>
        <v>0</v>
      </c>
      <c r="AG64" s="198">
        <f>$E64*餐厅成本录入!AG64</f>
        <v>0</v>
      </c>
      <c r="AH64" s="198">
        <f>$E64*餐厅成本录入!AH64</f>
        <v>0</v>
      </c>
      <c r="AI64" s="198">
        <f>$E64*餐厅成本录入!AI64</f>
        <v>0</v>
      </c>
      <c r="AJ64" s="198">
        <f>$E64*餐厅成本录入!AJ64</f>
        <v>0</v>
      </c>
      <c r="AK64" s="198">
        <f>$E64*餐厅成本录入!AK64</f>
        <v>0</v>
      </c>
      <c r="AL64" s="198">
        <f>$E64*餐厅成本录入!AL64</f>
        <v>0</v>
      </c>
      <c r="AM64" s="198">
        <f>$E64*餐厅成本录入!AM64</f>
        <v>0</v>
      </c>
      <c r="AN64" s="198">
        <f>$E64*餐厅成本录入!AN64</f>
        <v>0</v>
      </c>
      <c r="AO64" s="198">
        <f>$E64*餐厅成本录入!AO64</f>
        <v>0</v>
      </c>
      <c r="AP64" s="198">
        <f>$E64*餐厅成本录入!AP64</f>
        <v>0</v>
      </c>
      <c r="AQ64" s="198">
        <f>$E64*餐厅成本录入!AQ64</f>
        <v>0</v>
      </c>
      <c r="AR64" s="198">
        <f>$E64*餐厅成本录入!AR64</f>
        <v>0</v>
      </c>
      <c r="AS64" s="198">
        <f>$E64*餐厅成本录入!AS64</f>
        <v>0</v>
      </c>
      <c r="AT64" s="198">
        <f>$E64*餐厅成本录入!AT64</f>
        <v>0</v>
      </c>
      <c r="AU64" s="198">
        <f>$E64*餐厅成本录入!AU64</f>
        <v>0</v>
      </c>
      <c r="AV64" s="198">
        <f>$E64*餐厅成本录入!AV64</f>
        <v>0</v>
      </c>
      <c r="AW64" s="198">
        <f>$E64*餐厅成本录入!AW64</f>
        <v>0</v>
      </c>
      <c r="AX64" s="198">
        <f>$E64*餐厅成本录入!AX64</f>
        <v>0</v>
      </c>
      <c r="AY64" s="198">
        <f>$E64*餐厅成本录入!AY64</f>
        <v>0</v>
      </c>
      <c r="AZ64" s="198">
        <f>$E64*餐厅成本录入!AZ64</f>
        <v>0</v>
      </c>
      <c r="BA64" s="198">
        <f>$E64*餐厅成本录入!BA64</f>
        <v>0</v>
      </c>
      <c r="BB64" s="198">
        <f>$E64*餐厅成本录入!BB64</f>
        <v>0</v>
      </c>
      <c r="BC64" s="198">
        <f>$E64*餐厅成本录入!BC64</f>
        <v>0</v>
      </c>
      <c r="BD64" s="198">
        <f>$E64*餐厅成本录入!BD64</f>
        <v>0</v>
      </c>
      <c r="BE64" s="198">
        <f>$E64*餐厅成本录入!BE64</f>
        <v>0</v>
      </c>
      <c r="BF64" s="198">
        <f>$E64*餐厅成本录入!BF64</f>
        <v>0</v>
      </c>
      <c r="BG64" s="198">
        <f>$E64*餐厅成本录入!BG64</f>
        <v>0</v>
      </c>
      <c r="BH64" s="198">
        <f>$E64*餐厅成本录入!BH64</f>
        <v>0</v>
      </c>
      <c r="BI64" s="198">
        <f>$E64*餐厅成本录入!BI64</f>
        <v>0</v>
      </c>
      <c r="BJ64" s="198">
        <f>$E64*餐厅成本录入!BJ64</f>
        <v>0</v>
      </c>
      <c r="BK64" s="198">
        <f>$E64*餐厅成本录入!BK64</f>
        <v>0</v>
      </c>
      <c r="BL64" s="198">
        <f>$E64*餐厅成本录入!BL64</f>
        <v>0</v>
      </c>
      <c r="BM64" s="198">
        <f>$E64*餐厅成本录入!BM64</f>
        <v>0</v>
      </c>
      <c r="BN64" s="198">
        <f>$E64*餐厅成本录入!BN64</f>
        <v>0</v>
      </c>
      <c r="BO64" s="198">
        <f>$E64*餐厅成本录入!BO64</f>
        <v>0</v>
      </c>
      <c r="BP64" s="198">
        <f>$E64*餐厅成本录入!BP64</f>
        <v>0</v>
      </c>
      <c r="BQ64" s="198">
        <f>$E64*餐厅成本录入!BQ64</f>
        <v>0</v>
      </c>
      <c r="BR64" s="198">
        <f>$E64*餐厅成本录入!BR64</f>
        <v>0</v>
      </c>
      <c r="BS64" s="198">
        <f>$E64*餐厅成本录入!BS64</f>
        <v>0</v>
      </c>
      <c r="BT64" s="198">
        <f>$E64*餐厅成本录入!BT64</f>
        <v>0</v>
      </c>
      <c r="BU64" s="198">
        <f>$E64*餐厅成本录入!BU64</f>
        <v>0</v>
      </c>
      <c r="BV64" s="198">
        <f>$E64*餐厅成本录入!BV64</f>
        <v>0</v>
      </c>
      <c r="BW64" s="198">
        <f>$E64*餐厅成本录入!BW64</f>
        <v>0</v>
      </c>
    </row>
    <row r="65" s="178" customFormat="1" customHeight="1" spans="1:75">
      <c r="A65" s="161">
        <v>84</v>
      </c>
      <c r="B65" s="21" t="str">
        <f>餐厅成本录入!B65</f>
        <v>60玉米段</v>
      </c>
      <c r="C65" s="21">
        <f>餐厅成本录入!C65</f>
        <v>0</v>
      </c>
      <c r="D65" s="21" t="str">
        <f>餐厅成本录入!D65</f>
        <v>件</v>
      </c>
      <c r="E65" s="21">
        <f>餐厅成本录入!E65</f>
        <v>60</v>
      </c>
      <c r="F65" s="21">
        <f>餐厅成本录入!F65</f>
        <v>0</v>
      </c>
      <c r="G65" s="21">
        <f>餐厅成本录入!G65</f>
        <v>0</v>
      </c>
      <c r="H65" s="21">
        <f>餐厅成本录入!H65</f>
        <v>8</v>
      </c>
      <c r="I65" s="21">
        <f>餐厅成本录入!I65</f>
        <v>480</v>
      </c>
      <c r="J65" s="21">
        <f>餐厅成本录入!J65</f>
        <v>8</v>
      </c>
      <c r="K65" s="21">
        <f>餐厅成本录入!K65</f>
        <v>480</v>
      </c>
      <c r="L65" s="21">
        <f>餐厅成本录入!L65</f>
        <v>0</v>
      </c>
      <c r="M65" s="21">
        <f>餐厅成本录入!M65</f>
        <v>0</v>
      </c>
      <c r="N65" s="198">
        <f>$E65*餐厅成本录入!N65</f>
        <v>60</v>
      </c>
      <c r="O65" s="198">
        <f>$E65*餐厅成本录入!O65</f>
        <v>60</v>
      </c>
      <c r="P65" s="198">
        <f>$E65*餐厅成本录入!P65</f>
        <v>0</v>
      </c>
      <c r="Q65" s="198">
        <f>$E65*餐厅成本录入!Q65</f>
        <v>0</v>
      </c>
      <c r="R65" s="198">
        <f>$E65*餐厅成本录入!R65</f>
        <v>0</v>
      </c>
      <c r="S65" s="198">
        <f>$E65*餐厅成本录入!S65</f>
        <v>0</v>
      </c>
      <c r="T65" s="198">
        <f>$E65*餐厅成本录入!T65</f>
        <v>0</v>
      </c>
      <c r="U65" s="198">
        <f>$E65*餐厅成本录入!U65</f>
        <v>0</v>
      </c>
      <c r="V65" s="198">
        <f>$E65*餐厅成本录入!V65</f>
        <v>60</v>
      </c>
      <c r="W65" s="198">
        <f>$E65*餐厅成本录入!W65</f>
        <v>60</v>
      </c>
      <c r="X65" s="198">
        <f>$E65*餐厅成本录入!X65</f>
        <v>0</v>
      </c>
      <c r="Y65" s="198">
        <f>$E65*餐厅成本录入!Y65</f>
        <v>0</v>
      </c>
      <c r="Z65" s="198">
        <f>$E65*餐厅成本录入!Z65</f>
        <v>0</v>
      </c>
      <c r="AA65" s="198">
        <f>$E65*餐厅成本录入!AA65</f>
        <v>0</v>
      </c>
      <c r="AB65" s="198">
        <f>$E65*餐厅成本录入!AB65</f>
        <v>0</v>
      </c>
      <c r="AC65" s="198">
        <f>$E65*餐厅成本录入!AC65</f>
        <v>0</v>
      </c>
      <c r="AD65" s="198">
        <f>$E65*餐厅成本录入!AD65</f>
        <v>0</v>
      </c>
      <c r="AE65" s="198">
        <f>$E65*餐厅成本录入!AE65</f>
        <v>0</v>
      </c>
      <c r="AF65" s="198">
        <f>$E65*餐厅成本录入!AF65</f>
        <v>60</v>
      </c>
      <c r="AG65" s="198">
        <f>$E65*餐厅成本录入!AG65</f>
        <v>60</v>
      </c>
      <c r="AH65" s="198">
        <f>$E65*餐厅成本录入!AH65</f>
        <v>0</v>
      </c>
      <c r="AI65" s="198">
        <f>$E65*餐厅成本录入!AI65</f>
        <v>0</v>
      </c>
      <c r="AJ65" s="198">
        <f>$E65*餐厅成本录入!AJ65</f>
        <v>0</v>
      </c>
      <c r="AK65" s="198">
        <f>$E65*餐厅成本录入!AK65</f>
        <v>0</v>
      </c>
      <c r="AL65" s="198">
        <f>$E65*餐厅成本录入!AL65</f>
        <v>60</v>
      </c>
      <c r="AM65" s="198">
        <f>$E65*餐厅成本录入!AM65</f>
        <v>60</v>
      </c>
      <c r="AN65" s="198">
        <f>$E65*餐厅成本录入!AN65</f>
        <v>0</v>
      </c>
      <c r="AO65" s="198">
        <f>$E65*餐厅成本录入!AO65</f>
        <v>0</v>
      </c>
      <c r="AP65" s="198">
        <f>$E65*餐厅成本录入!AP65</f>
        <v>60</v>
      </c>
      <c r="AQ65" s="198">
        <f>$E65*餐厅成本录入!AQ65</f>
        <v>60</v>
      </c>
      <c r="AR65" s="198">
        <f>$E65*餐厅成本录入!AR65</f>
        <v>0</v>
      </c>
      <c r="AS65" s="198">
        <f>$E65*餐厅成本录入!AS65</f>
        <v>0</v>
      </c>
      <c r="AT65" s="198">
        <f>$E65*餐厅成本录入!AT65</f>
        <v>60</v>
      </c>
      <c r="AU65" s="198">
        <f>$E65*餐厅成本录入!AU65</f>
        <v>60</v>
      </c>
      <c r="AV65" s="198">
        <f>$E65*餐厅成本录入!AV65</f>
        <v>0</v>
      </c>
      <c r="AW65" s="198">
        <f>$E65*餐厅成本录入!AW65</f>
        <v>0</v>
      </c>
      <c r="AX65" s="198">
        <f>$E65*餐厅成本录入!AX65</f>
        <v>0</v>
      </c>
      <c r="AY65" s="198">
        <f>$E65*餐厅成本录入!AY65</f>
        <v>0</v>
      </c>
      <c r="AZ65" s="198">
        <f>$E65*餐厅成本录入!AZ65</f>
        <v>0</v>
      </c>
      <c r="BA65" s="198">
        <f>$E65*餐厅成本录入!BA65</f>
        <v>0</v>
      </c>
      <c r="BB65" s="198">
        <f>$E65*餐厅成本录入!BB65</f>
        <v>0</v>
      </c>
      <c r="BC65" s="198">
        <f>$E65*餐厅成本录入!BC65</f>
        <v>0</v>
      </c>
      <c r="BD65" s="198">
        <f>$E65*餐厅成本录入!BD65</f>
        <v>0</v>
      </c>
      <c r="BE65" s="198">
        <f>$E65*餐厅成本录入!BE65</f>
        <v>0</v>
      </c>
      <c r="BF65" s="198">
        <f>$E65*餐厅成本录入!BF65</f>
        <v>60</v>
      </c>
      <c r="BG65" s="198">
        <f>$E65*餐厅成本录入!BG65</f>
        <v>60</v>
      </c>
      <c r="BH65" s="198">
        <f>$E65*餐厅成本录入!BH65</f>
        <v>0</v>
      </c>
      <c r="BI65" s="198">
        <f>$E65*餐厅成本录入!BI65</f>
        <v>0</v>
      </c>
      <c r="BJ65" s="198">
        <f>$E65*餐厅成本录入!BJ65</f>
        <v>0</v>
      </c>
      <c r="BK65" s="198">
        <f>$E65*餐厅成本录入!BK65</f>
        <v>0</v>
      </c>
      <c r="BL65" s="198">
        <f>$E65*餐厅成本录入!BL65</f>
        <v>60</v>
      </c>
      <c r="BM65" s="198">
        <f>$E65*餐厅成本录入!BM65</f>
        <v>60</v>
      </c>
      <c r="BN65" s="198">
        <f>$E65*餐厅成本录入!BN65</f>
        <v>0</v>
      </c>
      <c r="BO65" s="198">
        <f>$E65*餐厅成本录入!BO65</f>
        <v>0</v>
      </c>
      <c r="BP65" s="198">
        <f>$E65*餐厅成本录入!BP65</f>
        <v>0</v>
      </c>
      <c r="BQ65" s="198">
        <f>$E65*餐厅成本录入!BQ65</f>
        <v>0</v>
      </c>
      <c r="BR65" s="198">
        <f>$E65*餐厅成本录入!BR65</f>
        <v>0</v>
      </c>
      <c r="BS65" s="198">
        <f>$E65*餐厅成本录入!BS65</f>
        <v>0</v>
      </c>
      <c r="BT65" s="198">
        <f>$E65*餐厅成本录入!BT65</f>
        <v>0</v>
      </c>
      <c r="BU65" s="198">
        <f>$E65*餐厅成本录入!BU65</f>
        <v>0</v>
      </c>
      <c r="BV65" s="198">
        <f>$E65*餐厅成本录入!BV65</f>
        <v>0</v>
      </c>
      <c r="BW65" s="198">
        <f>$E65*餐厅成本录入!BW65</f>
        <v>0</v>
      </c>
    </row>
    <row r="66" s="178" customFormat="1" customHeight="1" spans="1:75">
      <c r="A66" s="161">
        <v>85</v>
      </c>
      <c r="B66" s="21" t="str">
        <f>餐厅成本录入!B66</f>
        <v>排骨段</v>
      </c>
      <c r="C66" s="21">
        <f>餐厅成本录入!C66</f>
        <v>0</v>
      </c>
      <c r="D66" s="21" t="str">
        <f>餐厅成本录入!D66</f>
        <v>件</v>
      </c>
      <c r="E66" s="21">
        <f>餐厅成本录入!E66</f>
        <v>260</v>
      </c>
      <c r="F66" s="21">
        <f>餐厅成本录入!F66</f>
        <v>0</v>
      </c>
      <c r="G66" s="21">
        <f>餐厅成本录入!G66</f>
        <v>0</v>
      </c>
      <c r="H66" s="21">
        <f>餐厅成本录入!H66</f>
        <v>3</v>
      </c>
      <c r="I66" s="21">
        <f>餐厅成本录入!I66</f>
        <v>780</v>
      </c>
      <c r="J66" s="21">
        <f>餐厅成本录入!J66</f>
        <v>3</v>
      </c>
      <c r="K66" s="21">
        <f>餐厅成本录入!K66</f>
        <v>780</v>
      </c>
      <c r="L66" s="21">
        <f>餐厅成本录入!L66</f>
        <v>0</v>
      </c>
      <c r="M66" s="21">
        <f>餐厅成本录入!M66</f>
        <v>0</v>
      </c>
      <c r="N66" s="198">
        <f>$E66*餐厅成本录入!N66</f>
        <v>0</v>
      </c>
      <c r="O66" s="198">
        <f>$E66*餐厅成本录入!O66</f>
        <v>0</v>
      </c>
      <c r="P66" s="198">
        <f>$E66*餐厅成本录入!P66</f>
        <v>0</v>
      </c>
      <c r="Q66" s="198">
        <f>$E66*餐厅成本录入!Q66</f>
        <v>0</v>
      </c>
      <c r="R66" s="198">
        <f>$E66*餐厅成本录入!R66</f>
        <v>260</v>
      </c>
      <c r="S66" s="198">
        <f>$E66*餐厅成本录入!S66</f>
        <v>260</v>
      </c>
      <c r="T66" s="198">
        <f>$E66*餐厅成本录入!T66</f>
        <v>0</v>
      </c>
      <c r="U66" s="198">
        <f>$E66*餐厅成本录入!U66</f>
        <v>0</v>
      </c>
      <c r="V66" s="198">
        <f>$E66*餐厅成本录入!V66</f>
        <v>0</v>
      </c>
      <c r="W66" s="198">
        <f>$E66*餐厅成本录入!W66</f>
        <v>0</v>
      </c>
      <c r="X66" s="198">
        <f>$E66*餐厅成本录入!X66</f>
        <v>0</v>
      </c>
      <c r="Y66" s="198">
        <f>$E66*餐厅成本录入!Y66</f>
        <v>0</v>
      </c>
      <c r="Z66" s="198">
        <f>$E66*餐厅成本录入!Z66</f>
        <v>0</v>
      </c>
      <c r="AA66" s="198">
        <f>$E66*餐厅成本录入!AA66</f>
        <v>0</v>
      </c>
      <c r="AB66" s="198">
        <f>$E66*餐厅成本录入!AB66</f>
        <v>0</v>
      </c>
      <c r="AC66" s="198">
        <f>$E66*餐厅成本录入!AC66</f>
        <v>0</v>
      </c>
      <c r="AD66" s="198">
        <f>$E66*餐厅成本录入!AD66</f>
        <v>0</v>
      </c>
      <c r="AE66" s="198">
        <f>$E66*餐厅成本录入!AE66</f>
        <v>0</v>
      </c>
      <c r="AF66" s="198">
        <f>$E66*餐厅成本录入!AF66</f>
        <v>260</v>
      </c>
      <c r="AG66" s="198">
        <f>$E66*餐厅成本录入!AG66</f>
        <v>260</v>
      </c>
      <c r="AH66" s="198">
        <f>$E66*餐厅成本录入!AH66</f>
        <v>0</v>
      </c>
      <c r="AI66" s="198">
        <f>$E66*餐厅成本录入!AI66</f>
        <v>0</v>
      </c>
      <c r="AJ66" s="198">
        <f>$E66*餐厅成本录入!AJ66</f>
        <v>0</v>
      </c>
      <c r="AK66" s="198">
        <f>$E66*餐厅成本录入!AK66</f>
        <v>0</v>
      </c>
      <c r="AL66" s="198">
        <f>$E66*餐厅成本录入!AL66</f>
        <v>0</v>
      </c>
      <c r="AM66" s="198">
        <f>$E66*餐厅成本录入!AM66</f>
        <v>0</v>
      </c>
      <c r="AN66" s="198">
        <f>$E66*餐厅成本录入!AN66</f>
        <v>0</v>
      </c>
      <c r="AO66" s="198">
        <f>$E66*餐厅成本录入!AO66</f>
        <v>0</v>
      </c>
      <c r="AP66" s="198">
        <f>$E66*餐厅成本录入!AP66</f>
        <v>260</v>
      </c>
      <c r="AQ66" s="198">
        <f>$E66*餐厅成本录入!AQ66</f>
        <v>260</v>
      </c>
      <c r="AR66" s="198">
        <f>$E66*餐厅成本录入!AR66</f>
        <v>0</v>
      </c>
      <c r="AS66" s="198">
        <f>$E66*餐厅成本录入!AS66</f>
        <v>0</v>
      </c>
      <c r="AT66" s="198">
        <f>$E66*餐厅成本录入!AT66</f>
        <v>0</v>
      </c>
      <c r="AU66" s="198">
        <f>$E66*餐厅成本录入!AU66</f>
        <v>0</v>
      </c>
      <c r="AV66" s="198">
        <f>$E66*餐厅成本录入!AV66</f>
        <v>0</v>
      </c>
      <c r="AW66" s="198">
        <f>$E66*餐厅成本录入!AW66</f>
        <v>0</v>
      </c>
      <c r="AX66" s="198">
        <f>$E66*餐厅成本录入!AX66</f>
        <v>0</v>
      </c>
      <c r="AY66" s="198">
        <f>$E66*餐厅成本录入!AY66</f>
        <v>0</v>
      </c>
      <c r="AZ66" s="198">
        <f>$E66*餐厅成本录入!AZ66</f>
        <v>0</v>
      </c>
      <c r="BA66" s="198">
        <f>$E66*餐厅成本录入!BA66</f>
        <v>0</v>
      </c>
      <c r="BB66" s="198">
        <f>$E66*餐厅成本录入!BB66</f>
        <v>0</v>
      </c>
      <c r="BC66" s="198">
        <f>$E66*餐厅成本录入!BC66</f>
        <v>0</v>
      </c>
      <c r="BD66" s="198">
        <f>$E66*餐厅成本录入!BD66</f>
        <v>0</v>
      </c>
      <c r="BE66" s="198">
        <f>$E66*餐厅成本录入!BE66</f>
        <v>0</v>
      </c>
      <c r="BF66" s="198">
        <f>$E66*餐厅成本录入!BF66</f>
        <v>0</v>
      </c>
      <c r="BG66" s="198">
        <f>$E66*餐厅成本录入!BG66</f>
        <v>0</v>
      </c>
      <c r="BH66" s="198">
        <f>$E66*餐厅成本录入!BH66</f>
        <v>0</v>
      </c>
      <c r="BI66" s="198">
        <f>$E66*餐厅成本录入!BI66</f>
        <v>0</v>
      </c>
      <c r="BJ66" s="198">
        <f>$E66*餐厅成本录入!BJ66</f>
        <v>0</v>
      </c>
      <c r="BK66" s="198">
        <f>$E66*餐厅成本录入!BK66</f>
        <v>0</v>
      </c>
      <c r="BL66" s="198">
        <f>$E66*餐厅成本录入!BL66</f>
        <v>0</v>
      </c>
      <c r="BM66" s="198">
        <f>$E66*餐厅成本录入!BM66</f>
        <v>0</v>
      </c>
      <c r="BN66" s="198">
        <f>$E66*餐厅成本录入!BN66</f>
        <v>0</v>
      </c>
      <c r="BO66" s="198">
        <f>$E66*餐厅成本录入!BO66</f>
        <v>0</v>
      </c>
      <c r="BP66" s="198">
        <f>$E66*餐厅成本录入!BP66</f>
        <v>0</v>
      </c>
      <c r="BQ66" s="198">
        <f>$E66*餐厅成本录入!BQ66</f>
        <v>0</v>
      </c>
      <c r="BR66" s="198">
        <f>$E66*餐厅成本录入!BR66</f>
        <v>0</v>
      </c>
      <c r="BS66" s="198">
        <f>$E66*餐厅成本录入!BS66</f>
        <v>0</v>
      </c>
      <c r="BT66" s="198">
        <f>$E66*餐厅成本录入!BT66</f>
        <v>0</v>
      </c>
      <c r="BU66" s="198">
        <f>$E66*餐厅成本录入!BU66</f>
        <v>0</v>
      </c>
      <c r="BV66" s="198">
        <f>$E66*餐厅成本录入!BV66</f>
        <v>0</v>
      </c>
      <c r="BW66" s="198">
        <f>$E66*餐厅成本录入!BW66</f>
        <v>0</v>
      </c>
    </row>
    <row r="67" s="178" customFormat="1" customHeight="1" spans="1:75">
      <c r="A67" s="161">
        <v>88</v>
      </c>
      <c r="B67" s="21" t="str">
        <f>餐厅成本录入!B67</f>
        <v>牛肉丸</v>
      </c>
      <c r="C67" s="21">
        <f>餐厅成本录入!C67</f>
        <v>0</v>
      </c>
      <c r="D67" s="21" t="str">
        <f>餐厅成本录入!D67</f>
        <v>包</v>
      </c>
      <c r="E67" s="21">
        <f>餐厅成本录入!E67</f>
        <v>25</v>
      </c>
      <c r="F67" s="21">
        <f>餐厅成本录入!F67</f>
        <v>0</v>
      </c>
      <c r="G67" s="21">
        <f>餐厅成本录入!G67</f>
        <v>0</v>
      </c>
      <c r="H67" s="21">
        <f>餐厅成本录入!H67</f>
        <v>1</v>
      </c>
      <c r="I67" s="21">
        <f>餐厅成本录入!I67</f>
        <v>25</v>
      </c>
      <c r="J67" s="21">
        <f>餐厅成本录入!J67</f>
        <v>1</v>
      </c>
      <c r="K67" s="21">
        <f>餐厅成本录入!K67</f>
        <v>25</v>
      </c>
      <c r="L67" s="21">
        <f>餐厅成本录入!L67</f>
        <v>0</v>
      </c>
      <c r="M67" s="21">
        <f>餐厅成本录入!M67</f>
        <v>0</v>
      </c>
      <c r="N67" s="198">
        <f>$E67*餐厅成本录入!N67</f>
        <v>0</v>
      </c>
      <c r="O67" s="198">
        <f>$E67*餐厅成本录入!O67</f>
        <v>0</v>
      </c>
      <c r="P67" s="198">
        <f>$E67*餐厅成本录入!P67</f>
        <v>0</v>
      </c>
      <c r="Q67" s="198">
        <f>$E67*餐厅成本录入!Q67</f>
        <v>0</v>
      </c>
      <c r="R67" s="198">
        <f>$E67*餐厅成本录入!R67</f>
        <v>0</v>
      </c>
      <c r="S67" s="198">
        <f>$E67*餐厅成本录入!S67</f>
        <v>0</v>
      </c>
      <c r="T67" s="198">
        <f>$E67*餐厅成本录入!T67</f>
        <v>0</v>
      </c>
      <c r="U67" s="198">
        <f>$E67*餐厅成本录入!U67</f>
        <v>0</v>
      </c>
      <c r="V67" s="198">
        <f>$E67*餐厅成本录入!V67</f>
        <v>0</v>
      </c>
      <c r="W67" s="198">
        <f>$E67*餐厅成本录入!W67</f>
        <v>0</v>
      </c>
      <c r="X67" s="198">
        <f>$E67*餐厅成本录入!X67</f>
        <v>0</v>
      </c>
      <c r="Y67" s="198">
        <f>$E67*餐厅成本录入!Y67</f>
        <v>0</v>
      </c>
      <c r="Z67" s="198">
        <f>$E67*餐厅成本录入!Z67</f>
        <v>0</v>
      </c>
      <c r="AA67" s="198">
        <f>$E67*餐厅成本录入!AA67</f>
        <v>0</v>
      </c>
      <c r="AB67" s="198">
        <f>$E67*餐厅成本录入!AB67</f>
        <v>0</v>
      </c>
      <c r="AC67" s="198">
        <f>$E67*餐厅成本录入!AC67</f>
        <v>0</v>
      </c>
      <c r="AD67" s="198">
        <f>$E67*餐厅成本录入!AD67</f>
        <v>0</v>
      </c>
      <c r="AE67" s="198">
        <f>$E67*餐厅成本录入!AE67</f>
        <v>0</v>
      </c>
      <c r="AF67" s="198">
        <f>$E67*餐厅成本录入!AF67</f>
        <v>25</v>
      </c>
      <c r="AG67" s="198">
        <f>$E67*餐厅成本录入!AG67</f>
        <v>25</v>
      </c>
      <c r="AH67" s="198">
        <f>$E67*餐厅成本录入!AH67</f>
        <v>0</v>
      </c>
      <c r="AI67" s="198">
        <f>$E67*餐厅成本录入!AI67</f>
        <v>0</v>
      </c>
      <c r="AJ67" s="198">
        <f>$E67*餐厅成本录入!AJ67</f>
        <v>0</v>
      </c>
      <c r="AK67" s="198">
        <f>$E67*餐厅成本录入!AK67</f>
        <v>0</v>
      </c>
      <c r="AL67" s="198">
        <f>$E67*餐厅成本录入!AL67</f>
        <v>0</v>
      </c>
      <c r="AM67" s="198">
        <f>$E67*餐厅成本录入!AM67</f>
        <v>0</v>
      </c>
      <c r="AN67" s="198">
        <f>$E67*餐厅成本录入!AN67</f>
        <v>0</v>
      </c>
      <c r="AO67" s="198">
        <f>$E67*餐厅成本录入!AO67</f>
        <v>0</v>
      </c>
      <c r="AP67" s="198">
        <f>$E67*餐厅成本录入!AP67</f>
        <v>0</v>
      </c>
      <c r="AQ67" s="198">
        <f>$E67*餐厅成本录入!AQ67</f>
        <v>0</v>
      </c>
      <c r="AR67" s="198">
        <f>$E67*餐厅成本录入!AR67</f>
        <v>0</v>
      </c>
      <c r="AS67" s="198">
        <f>$E67*餐厅成本录入!AS67</f>
        <v>0</v>
      </c>
      <c r="AT67" s="198">
        <f>$E67*餐厅成本录入!AT67</f>
        <v>0</v>
      </c>
      <c r="AU67" s="198">
        <f>$E67*餐厅成本录入!AU67</f>
        <v>0</v>
      </c>
      <c r="AV67" s="198">
        <f>$E67*餐厅成本录入!AV67</f>
        <v>0</v>
      </c>
      <c r="AW67" s="198">
        <f>$E67*餐厅成本录入!AW67</f>
        <v>0</v>
      </c>
      <c r="AX67" s="198">
        <f>$E67*餐厅成本录入!AX67</f>
        <v>0</v>
      </c>
      <c r="AY67" s="198">
        <f>$E67*餐厅成本录入!AY67</f>
        <v>0</v>
      </c>
      <c r="AZ67" s="198">
        <f>$E67*餐厅成本录入!AZ67</f>
        <v>0</v>
      </c>
      <c r="BA67" s="198">
        <f>$E67*餐厅成本录入!BA67</f>
        <v>0</v>
      </c>
      <c r="BB67" s="198">
        <f>$E67*餐厅成本录入!BB67</f>
        <v>0</v>
      </c>
      <c r="BC67" s="198">
        <f>$E67*餐厅成本录入!BC67</f>
        <v>0</v>
      </c>
      <c r="BD67" s="198">
        <f>$E67*餐厅成本录入!BD67</f>
        <v>0</v>
      </c>
      <c r="BE67" s="198">
        <f>$E67*餐厅成本录入!BE67</f>
        <v>0</v>
      </c>
      <c r="BF67" s="198">
        <f>$E67*餐厅成本录入!BF67</f>
        <v>0</v>
      </c>
      <c r="BG67" s="198">
        <f>$E67*餐厅成本录入!BG67</f>
        <v>0</v>
      </c>
      <c r="BH67" s="198">
        <f>$E67*餐厅成本录入!BH67</f>
        <v>0</v>
      </c>
      <c r="BI67" s="198">
        <f>$E67*餐厅成本录入!BI67</f>
        <v>0</v>
      </c>
      <c r="BJ67" s="198">
        <f>$E67*餐厅成本录入!BJ67</f>
        <v>0</v>
      </c>
      <c r="BK67" s="198">
        <f>$E67*餐厅成本录入!BK67</f>
        <v>0</v>
      </c>
      <c r="BL67" s="198">
        <f>$E67*餐厅成本录入!BL67</f>
        <v>0</v>
      </c>
      <c r="BM67" s="198">
        <f>$E67*餐厅成本录入!BM67</f>
        <v>0</v>
      </c>
      <c r="BN67" s="198">
        <f>$E67*餐厅成本录入!BN67</f>
        <v>0</v>
      </c>
      <c r="BO67" s="198">
        <f>$E67*餐厅成本录入!BO67</f>
        <v>0</v>
      </c>
      <c r="BP67" s="198">
        <f>$E67*餐厅成本录入!BP67</f>
        <v>0</v>
      </c>
      <c r="BQ67" s="198">
        <f>$E67*餐厅成本录入!BQ67</f>
        <v>0</v>
      </c>
      <c r="BR67" s="198">
        <f>$E67*餐厅成本录入!BR67</f>
        <v>0</v>
      </c>
      <c r="BS67" s="198">
        <f>$E67*餐厅成本录入!BS67</f>
        <v>0</v>
      </c>
      <c r="BT67" s="198">
        <f>$E67*餐厅成本录入!BT67</f>
        <v>0</v>
      </c>
      <c r="BU67" s="198">
        <f>$E67*餐厅成本录入!BU67</f>
        <v>0</v>
      </c>
      <c r="BV67" s="198">
        <f>$E67*餐厅成本录入!BV67</f>
        <v>0</v>
      </c>
      <c r="BW67" s="198">
        <f>$E67*餐厅成本录入!BW67</f>
        <v>0</v>
      </c>
    </row>
    <row r="68" s="178" customFormat="1" customHeight="1" spans="1:75">
      <c r="A68" s="161">
        <v>93</v>
      </c>
      <c r="B68" s="21" t="str">
        <f>餐厅成本录入!B68</f>
        <v>小五郎</v>
      </c>
      <c r="C68" s="21">
        <f>餐厅成本录入!C68</f>
        <v>0</v>
      </c>
      <c r="D68" s="21" t="str">
        <f>餐厅成本录入!D68</f>
        <v>包</v>
      </c>
      <c r="E68" s="21">
        <f>餐厅成本录入!E68</f>
        <v>17.6</v>
      </c>
      <c r="F68" s="21">
        <f>餐厅成本录入!F68</f>
        <v>0</v>
      </c>
      <c r="G68" s="21">
        <f>餐厅成本录入!G68</f>
        <v>0</v>
      </c>
      <c r="H68" s="21">
        <f>餐厅成本录入!H68</f>
        <v>1</v>
      </c>
      <c r="I68" s="21">
        <f>餐厅成本录入!I68</f>
        <v>17.6</v>
      </c>
      <c r="J68" s="21">
        <f>餐厅成本录入!J68</f>
        <v>1</v>
      </c>
      <c r="K68" s="21">
        <f>餐厅成本录入!K68</f>
        <v>17.6</v>
      </c>
      <c r="L68" s="21">
        <f>餐厅成本录入!L68</f>
        <v>0</v>
      </c>
      <c r="M68" s="21">
        <f>餐厅成本录入!M68</f>
        <v>0</v>
      </c>
      <c r="N68" s="198">
        <f>$E68*餐厅成本录入!N68</f>
        <v>0</v>
      </c>
      <c r="O68" s="198">
        <f>$E68*餐厅成本录入!O68</f>
        <v>0</v>
      </c>
      <c r="P68" s="198">
        <f>$E68*餐厅成本录入!P68</f>
        <v>0</v>
      </c>
      <c r="Q68" s="198">
        <f>$E68*餐厅成本录入!Q68</f>
        <v>0</v>
      </c>
      <c r="R68" s="198">
        <f>$E68*餐厅成本录入!R68</f>
        <v>0</v>
      </c>
      <c r="S68" s="198">
        <f>$E68*餐厅成本录入!S68</f>
        <v>0</v>
      </c>
      <c r="T68" s="198">
        <f>$E68*餐厅成本录入!T68</f>
        <v>0</v>
      </c>
      <c r="U68" s="198">
        <f>$E68*餐厅成本录入!U68</f>
        <v>0</v>
      </c>
      <c r="V68" s="198">
        <f>$E68*餐厅成本录入!V68</f>
        <v>0</v>
      </c>
      <c r="W68" s="198">
        <f>$E68*餐厅成本录入!W68</f>
        <v>0</v>
      </c>
      <c r="X68" s="198">
        <f>$E68*餐厅成本录入!X68</f>
        <v>0</v>
      </c>
      <c r="Y68" s="198">
        <f>$E68*餐厅成本录入!Y68</f>
        <v>0</v>
      </c>
      <c r="Z68" s="198">
        <f>$E68*餐厅成本录入!Z68</f>
        <v>0</v>
      </c>
      <c r="AA68" s="198">
        <f>$E68*餐厅成本录入!AA68</f>
        <v>0</v>
      </c>
      <c r="AB68" s="198">
        <f>$E68*餐厅成本录入!AB68</f>
        <v>0</v>
      </c>
      <c r="AC68" s="198">
        <f>$E68*餐厅成本录入!AC68</f>
        <v>0</v>
      </c>
      <c r="AD68" s="198">
        <f>$E68*餐厅成本录入!AD68</f>
        <v>0</v>
      </c>
      <c r="AE68" s="198">
        <f>$E68*餐厅成本录入!AE68</f>
        <v>0</v>
      </c>
      <c r="AF68" s="198">
        <f>$E68*餐厅成本录入!AF68</f>
        <v>17.6</v>
      </c>
      <c r="AG68" s="198">
        <f>$E68*餐厅成本录入!AG68</f>
        <v>17.6</v>
      </c>
      <c r="AH68" s="198">
        <f>$E68*餐厅成本录入!AH68</f>
        <v>0</v>
      </c>
      <c r="AI68" s="198">
        <f>$E68*餐厅成本录入!AI68</f>
        <v>0</v>
      </c>
      <c r="AJ68" s="198">
        <f>$E68*餐厅成本录入!AJ68</f>
        <v>0</v>
      </c>
      <c r="AK68" s="198">
        <f>$E68*餐厅成本录入!AK68</f>
        <v>0</v>
      </c>
      <c r="AL68" s="198">
        <f>$E68*餐厅成本录入!AL68</f>
        <v>0</v>
      </c>
      <c r="AM68" s="198">
        <f>$E68*餐厅成本录入!AM68</f>
        <v>0</v>
      </c>
      <c r="AN68" s="198">
        <f>$E68*餐厅成本录入!AN68</f>
        <v>0</v>
      </c>
      <c r="AO68" s="198">
        <f>$E68*餐厅成本录入!AO68</f>
        <v>0</v>
      </c>
      <c r="AP68" s="198">
        <f>$E68*餐厅成本录入!AP68</f>
        <v>0</v>
      </c>
      <c r="AQ68" s="198">
        <f>$E68*餐厅成本录入!AQ68</f>
        <v>0</v>
      </c>
      <c r="AR68" s="198">
        <f>$E68*餐厅成本录入!AR68</f>
        <v>0</v>
      </c>
      <c r="AS68" s="198">
        <f>$E68*餐厅成本录入!AS68</f>
        <v>0</v>
      </c>
      <c r="AT68" s="198">
        <f>$E68*餐厅成本录入!AT68</f>
        <v>0</v>
      </c>
      <c r="AU68" s="198">
        <f>$E68*餐厅成本录入!AU68</f>
        <v>0</v>
      </c>
      <c r="AV68" s="198">
        <f>$E68*餐厅成本录入!AV68</f>
        <v>0</v>
      </c>
      <c r="AW68" s="198">
        <f>$E68*餐厅成本录入!AW68</f>
        <v>0</v>
      </c>
      <c r="AX68" s="198">
        <f>$E68*餐厅成本录入!AX68</f>
        <v>0</v>
      </c>
      <c r="AY68" s="198">
        <f>$E68*餐厅成本录入!AY68</f>
        <v>0</v>
      </c>
      <c r="AZ68" s="198">
        <f>$E68*餐厅成本录入!AZ68</f>
        <v>0</v>
      </c>
      <c r="BA68" s="198">
        <f>$E68*餐厅成本录入!BA68</f>
        <v>0</v>
      </c>
      <c r="BB68" s="198">
        <f>$E68*餐厅成本录入!BB68</f>
        <v>0</v>
      </c>
      <c r="BC68" s="198">
        <f>$E68*餐厅成本录入!BC68</f>
        <v>0</v>
      </c>
      <c r="BD68" s="198">
        <f>$E68*餐厅成本录入!BD68</f>
        <v>0</v>
      </c>
      <c r="BE68" s="198">
        <f>$E68*餐厅成本录入!BE68</f>
        <v>0</v>
      </c>
      <c r="BF68" s="198">
        <f>$E68*餐厅成本录入!BF68</f>
        <v>0</v>
      </c>
      <c r="BG68" s="198">
        <f>$E68*餐厅成本录入!BG68</f>
        <v>0</v>
      </c>
      <c r="BH68" s="198">
        <f>$E68*餐厅成本录入!BH68</f>
        <v>0</v>
      </c>
      <c r="BI68" s="198">
        <f>$E68*餐厅成本录入!BI68</f>
        <v>0</v>
      </c>
      <c r="BJ68" s="198">
        <f>$E68*餐厅成本录入!BJ68</f>
        <v>0</v>
      </c>
      <c r="BK68" s="198">
        <f>$E68*餐厅成本录入!BK68</f>
        <v>0</v>
      </c>
      <c r="BL68" s="198">
        <f>$E68*餐厅成本录入!BL68</f>
        <v>0</v>
      </c>
      <c r="BM68" s="198">
        <f>$E68*餐厅成本录入!BM68</f>
        <v>0</v>
      </c>
      <c r="BN68" s="198">
        <f>$E68*餐厅成本录入!BN68</f>
        <v>0</v>
      </c>
      <c r="BO68" s="198">
        <f>$E68*餐厅成本录入!BO68</f>
        <v>0</v>
      </c>
      <c r="BP68" s="198">
        <f>$E68*餐厅成本录入!BP68</f>
        <v>0</v>
      </c>
      <c r="BQ68" s="198">
        <f>$E68*餐厅成本录入!BQ68</f>
        <v>0</v>
      </c>
      <c r="BR68" s="198">
        <f>$E68*餐厅成本录入!BR68</f>
        <v>0</v>
      </c>
      <c r="BS68" s="198">
        <f>$E68*餐厅成本录入!BS68</f>
        <v>0</v>
      </c>
      <c r="BT68" s="198">
        <f>$E68*餐厅成本录入!BT68</f>
        <v>0</v>
      </c>
      <c r="BU68" s="198">
        <f>$E68*餐厅成本录入!BU68</f>
        <v>0</v>
      </c>
      <c r="BV68" s="198">
        <f>$E68*餐厅成本录入!BV68</f>
        <v>0</v>
      </c>
      <c r="BW68" s="198">
        <f>$E68*餐厅成本录入!BW68</f>
        <v>0</v>
      </c>
    </row>
    <row r="69" s="178" customFormat="1" customHeight="1" spans="1:75">
      <c r="A69" s="161">
        <v>95</v>
      </c>
      <c r="B69" s="21" t="str">
        <f>餐厅成本录入!B69</f>
        <v>白腰花肠</v>
      </c>
      <c r="C69" s="21">
        <f>餐厅成本录入!C69</f>
        <v>0</v>
      </c>
      <c r="D69" s="21" t="str">
        <f>餐厅成本录入!D69</f>
        <v>包</v>
      </c>
      <c r="E69" s="21">
        <f>餐厅成本录入!E69</f>
        <v>21</v>
      </c>
      <c r="F69" s="21">
        <f>餐厅成本录入!F69</f>
        <v>0</v>
      </c>
      <c r="G69" s="21">
        <f>餐厅成本录入!G69</f>
        <v>0</v>
      </c>
      <c r="H69" s="21">
        <f>餐厅成本录入!H69</f>
        <v>1</v>
      </c>
      <c r="I69" s="21">
        <f>餐厅成本录入!I69</f>
        <v>21</v>
      </c>
      <c r="J69" s="21">
        <f>餐厅成本录入!J69</f>
        <v>1</v>
      </c>
      <c r="K69" s="21">
        <f>餐厅成本录入!K69</f>
        <v>21</v>
      </c>
      <c r="L69" s="21">
        <f>餐厅成本录入!L69</f>
        <v>0</v>
      </c>
      <c r="M69" s="21">
        <f>餐厅成本录入!M69</f>
        <v>0</v>
      </c>
      <c r="N69" s="198">
        <f>$E69*餐厅成本录入!N69</f>
        <v>0</v>
      </c>
      <c r="O69" s="198">
        <f>$E69*餐厅成本录入!O69</f>
        <v>0</v>
      </c>
      <c r="P69" s="198">
        <f>$E69*餐厅成本录入!P69</f>
        <v>0</v>
      </c>
      <c r="Q69" s="198">
        <f>$E69*餐厅成本录入!Q69</f>
        <v>0</v>
      </c>
      <c r="R69" s="198">
        <f>$E69*餐厅成本录入!R69</f>
        <v>0</v>
      </c>
      <c r="S69" s="198">
        <f>$E69*餐厅成本录入!S69</f>
        <v>0</v>
      </c>
      <c r="T69" s="198">
        <f>$E69*餐厅成本录入!T69</f>
        <v>0</v>
      </c>
      <c r="U69" s="198">
        <f>$E69*餐厅成本录入!U69</f>
        <v>0</v>
      </c>
      <c r="V69" s="198">
        <f>$E69*餐厅成本录入!V69</f>
        <v>0</v>
      </c>
      <c r="W69" s="198">
        <f>$E69*餐厅成本录入!W69</f>
        <v>0</v>
      </c>
      <c r="X69" s="198">
        <f>$E69*餐厅成本录入!X69</f>
        <v>0</v>
      </c>
      <c r="Y69" s="198">
        <f>$E69*餐厅成本录入!Y69</f>
        <v>0</v>
      </c>
      <c r="Z69" s="198">
        <f>$E69*餐厅成本录入!Z69</f>
        <v>0</v>
      </c>
      <c r="AA69" s="198">
        <f>$E69*餐厅成本录入!AA69</f>
        <v>0</v>
      </c>
      <c r="AB69" s="198">
        <f>$E69*餐厅成本录入!AB69</f>
        <v>0</v>
      </c>
      <c r="AC69" s="198">
        <f>$E69*餐厅成本录入!AC69</f>
        <v>0</v>
      </c>
      <c r="AD69" s="198">
        <f>$E69*餐厅成本录入!AD69</f>
        <v>0</v>
      </c>
      <c r="AE69" s="198">
        <f>$E69*餐厅成本录入!AE69</f>
        <v>0</v>
      </c>
      <c r="AF69" s="198">
        <f>$E69*餐厅成本录入!AF69</f>
        <v>21</v>
      </c>
      <c r="AG69" s="198">
        <f>$E69*餐厅成本录入!AG69</f>
        <v>21</v>
      </c>
      <c r="AH69" s="198">
        <f>$E69*餐厅成本录入!AH69</f>
        <v>0</v>
      </c>
      <c r="AI69" s="198">
        <f>$E69*餐厅成本录入!AI69</f>
        <v>0</v>
      </c>
      <c r="AJ69" s="198">
        <f>$E69*餐厅成本录入!AJ69</f>
        <v>0</v>
      </c>
      <c r="AK69" s="198">
        <f>$E69*餐厅成本录入!AK69</f>
        <v>0</v>
      </c>
      <c r="AL69" s="198">
        <f>$E69*餐厅成本录入!AL69</f>
        <v>0</v>
      </c>
      <c r="AM69" s="198">
        <f>$E69*餐厅成本录入!AM69</f>
        <v>0</v>
      </c>
      <c r="AN69" s="198">
        <f>$E69*餐厅成本录入!AN69</f>
        <v>0</v>
      </c>
      <c r="AO69" s="198">
        <f>$E69*餐厅成本录入!AO69</f>
        <v>0</v>
      </c>
      <c r="AP69" s="198">
        <f>$E69*餐厅成本录入!AP69</f>
        <v>0</v>
      </c>
      <c r="AQ69" s="198">
        <f>$E69*餐厅成本录入!AQ69</f>
        <v>0</v>
      </c>
      <c r="AR69" s="198">
        <f>$E69*餐厅成本录入!AR69</f>
        <v>0</v>
      </c>
      <c r="AS69" s="198">
        <f>$E69*餐厅成本录入!AS69</f>
        <v>0</v>
      </c>
      <c r="AT69" s="198">
        <f>$E69*餐厅成本录入!AT69</f>
        <v>0</v>
      </c>
      <c r="AU69" s="198">
        <f>$E69*餐厅成本录入!AU69</f>
        <v>0</v>
      </c>
      <c r="AV69" s="198">
        <f>$E69*餐厅成本录入!AV69</f>
        <v>0</v>
      </c>
      <c r="AW69" s="198">
        <f>$E69*餐厅成本录入!AW69</f>
        <v>0</v>
      </c>
      <c r="AX69" s="198">
        <f>$E69*餐厅成本录入!AX69</f>
        <v>0</v>
      </c>
      <c r="AY69" s="198">
        <f>$E69*餐厅成本录入!AY69</f>
        <v>0</v>
      </c>
      <c r="AZ69" s="198">
        <f>$E69*餐厅成本录入!AZ69</f>
        <v>0</v>
      </c>
      <c r="BA69" s="198">
        <f>$E69*餐厅成本录入!BA69</f>
        <v>0</v>
      </c>
      <c r="BB69" s="198">
        <f>$E69*餐厅成本录入!BB69</f>
        <v>0</v>
      </c>
      <c r="BC69" s="198">
        <f>$E69*餐厅成本录入!BC69</f>
        <v>0</v>
      </c>
      <c r="BD69" s="198">
        <f>$E69*餐厅成本录入!BD69</f>
        <v>0</v>
      </c>
      <c r="BE69" s="198">
        <f>$E69*餐厅成本录入!BE69</f>
        <v>0</v>
      </c>
      <c r="BF69" s="198">
        <f>$E69*餐厅成本录入!BF69</f>
        <v>0</v>
      </c>
      <c r="BG69" s="198">
        <f>$E69*餐厅成本录入!BG69</f>
        <v>0</v>
      </c>
      <c r="BH69" s="198">
        <f>$E69*餐厅成本录入!BH69</f>
        <v>0</v>
      </c>
      <c r="BI69" s="198">
        <f>$E69*餐厅成本录入!BI69</f>
        <v>0</v>
      </c>
      <c r="BJ69" s="198">
        <f>$E69*餐厅成本录入!BJ69</f>
        <v>0</v>
      </c>
      <c r="BK69" s="198">
        <f>$E69*餐厅成本录入!BK69</f>
        <v>0</v>
      </c>
      <c r="BL69" s="198">
        <f>$E69*餐厅成本录入!BL69</f>
        <v>0</v>
      </c>
      <c r="BM69" s="198">
        <f>$E69*餐厅成本录入!BM69</f>
        <v>0</v>
      </c>
      <c r="BN69" s="198">
        <f>$E69*餐厅成本录入!BN69</f>
        <v>0</v>
      </c>
      <c r="BO69" s="198">
        <f>$E69*餐厅成本录入!BO69</f>
        <v>0</v>
      </c>
      <c r="BP69" s="198">
        <f>$E69*餐厅成本录入!BP69</f>
        <v>0</v>
      </c>
      <c r="BQ69" s="198">
        <f>$E69*餐厅成本录入!BQ69</f>
        <v>0</v>
      </c>
      <c r="BR69" s="198">
        <f>$E69*餐厅成本录入!BR69</f>
        <v>0</v>
      </c>
      <c r="BS69" s="198">
        <f>$E69*餐厅成本录入!BS69</f>
        <v>0</v>
      </c>
      <c r="BT69" s="198">
        <f>$E69*餐厅成本录入!BT69</f>
        <v>0</v>
      </c>
      <c r="BU69" s="198">
        <f>$E69*餐厅成本录入!BU69</f>
        <v>0</v>
      </c>
      <c r="BV69" s="198">
        <f>$E69*餐厅成本录入!BV69</f>
        <v>0</v>
      </c>
      <c r="BW69" s="198">
        <f>$E69*餐厅成本录入!BW69</f>
        <v>0</v>
      </c>
    </row>
    <row r="70" s="178" customFormat="1" customHeight="1" spans="1:75">
      <c r="A70" s="161">
        <v>96</v>
      </c>
      <c r="B70" s="21" t="str">
        <f>餐厅成本录入!B70</f>
        <v>龙虾排</v>
      </c>
      <c r="C70" s="21">
        <f>餐厅成本录入!C70</f>
        <v>0</v>
      </c>
      <c r="D70" s="21" t="str">
        <f>餐厅成本录入!D70</f>
        <v>包</v>
      </c>
      <c r="E70" s="21">
        <f>餐厅成本录入!E70</f>
        <v>35</v>
      </c>
      <c r="F70" s="21">
        <f>餐厅成本录入!F70</f>
        <v>0</v>
      </c>
      <c r="G70" s="21">
        <f>餐厅成本录入!G70</f>
        <v>0</v>
      </c>
      <c r="H70" s="21">
        <f>餐厅成本录入!H70</f>
        <v>1</v>
      </c>
      <c r="I70" s="21">
        <f>餐厅成本录入!I70</f>
        <v>35</v>
      </c>
      <c r="J70" s="21">
        <f>餐厅成本录入!J70</f>
        <v>1</v>
      </c>
      <c r="K70" s="21">
        <f>餐厅成本录入!K70</f>
        <v>35</v>
      </c>
      <c r="L70" s="21">
        <f>餐厅成本录入!L70</f>
        <v>0</v>
      </c>
      <c r="M70" s="21">
        <f>餐厅成本录入!M70</f>
        <v>0</v>
      </c>
      <c r="N70" s="198">
        <f>$E70*餐厅成本录入!N70</f>
        <v>0</v>
      </c>
      <c r="O70" s="198">
        <f>$E70*餐厅成本录入!O70</f>
        <v>0</v>
      </c>
      <c r="P70" s="198">
        <f>$E70*餐厅成本录入!P70</f>
        <v>0</v>
      </c>
      <c r="Q70" s="198">
        <f>$E70*餐厅成本录入!Q70</f>
        <v>0</v>
      </c>
      <c r="R70" s="198">
        <f>$E70*餐厅成本录入!R70</f>
        <v>0</v>
      </c>
      <c r="S70" s="198">
        <f>$E70*餐厅成本录入!S70</f>
        <v>0</v>
      </c>
      <c r="T70" s="198">
        <f>$E70*餐厅成本录入!T70</f>
        <v>0</v>
      </c>
      <c r="U70" s="198">
        <f>$E70*餐厅成本录入!U70</f>
        <v>0</v>
      </c>
      <c r="V70" s="198">
        <f>$E70*餐厅成本录入!V70</f>
        <v>0</v>
      </c>
      <c r="W70" s="198">
        <f>$E70*餐厅成本录入!W70</f>
        <v>0</v>
      </c>
      <c r="X70" s="198">
        <f>$E70*餐厅成本录入!X70</f>
        <v>0</v>
      </c>
      <c r="Y70" s="198">
        <f>$E70*餐厅成本录入!Y70</f>
        <v>0</v>
      </c>
      <c r="Z70" s="198">
        <f>$E70*餐厅成本录入!Z70</f>
        <v>0</v>
      </c>
      <c r="AA70" s="198">
        <f>$E70*餐厅成本录入!AA70</f>
        <v>0</v>
      </c>
      <c r="AB70" s="198">
        <f>$E70*餐厅成本录入!AB70</f>
        <v>0</v>
      </c>
      <c r="AC70" s="198">
        <f>$E70*餐厅成本录入!AC70</f>
        <v>0</v>
      </c>
      <c r="AD70" s="198">
        <f>$E70*餐厅成本录入!AD70</f>
        <v>0</v>
      </c>
      <c r="AE70" s="198">
        <f>$E70*餐厅成本录入!AE70</f>
        <v>0</v>
      </c>
      <c r="AF70" s="198">
        <f>$E70*餐厅成本录入!AF70</f>
        <v>35</v>
      </c>
      <c r="AG70" s="198">
        <f>$E70*餐厅成本录入!AG70</f>
        <v>35</v>
      </c>
      <c r="AH70" s="198">
        <f>$E70*餐厅成本录入!AH70</f>
        <v>0</v>
      </c>
      <c r="AI70" s="198">
        <f>$E70*餐厅成本录入!AI70</f>
        <v>0</v>
      </c>
      <c r="AJ70" s="198">
        <f>$E70*餐厅成本录入!AJ70</f>
        <v>0</v>
      </c>
      <c r="AK70" s="198">
        <f>$E70*餐厅成本录入!AK70</f>
        <v>0</v>
      </c>
      <c r="AL70" s="198">
        <f>$E70*餐厅成本录入!AL70</f>
        <v>0</v>
      </c>
      <c r="AM70" s="198">
        <f>$E70*餐厅成本录入!AM70</f>
        <v>0</v>
      </c>
      <c r="AN70" s="198">
        <f>$E70*餐厅成本录入!AN70</f>
        <v>0</v>
      </c>
      <c r="AO70" s="198">
        <f>$E70*餐厅成本录入!AO70</f>
        <v>0</v>
      </c>
      <c r="AP70" s="198">
        <f>$E70*餐厅成本录入!AP70</f>
        <v>0</v>
      </c>
      <c r="AQ70" s="198">
        <f>$E70*餐厅成本录入!AQ70</f>
        <v>0</v>
      </c>
      <c r="AR70" s="198">
        <f>$E70*餐厅成本录入!AR70</f>
        <v>0</v>
      </c>
      <c r="AS70" s="198">
        <f>$E70*餐厅成本录入!AS70</f>
        <v>0</v>
      </c>
      <c r="AT70" s="198">
        <f>$E70*餐厅成本录入!AT70</f>
        <v>0</v>
      </c>
      <c r="AU70" s="198">
        <f>$E70*餐厅成本录入!AU70</f>
        <v>0</v>
      </c>
      <c r="AV70" s="198">
        <f>$E70*餐厅成本录入!AV70</f>
        <v>0</v>
      </c>
      <c r="AW70" s="198">
        <f>$E70*餐厅成本录入!AW70</f>
        <v>0</v>
      </c>
      <c r="AX70" s="198">
        <f>$E70*餐厅成本录入!AX70</f>
        <v>0</v>
      </c>
      <c r="AY70" s="198">
        <f>$E70*餐厅成本录入!AY70</f>
        <v>0</v>
      </c>
      <c r="AZ70" s="198">
        <f>$E70*餐厅成本录入!AZ70</f>
        <v>0</v>
      </c>
      <c r="BA70" s="198">
        <f>$E70*餐厅成本录入!BA70</f>
        <v>0</v>
      </c>
      <c r="BB70" s="198">
        <f>$E70*餐厅成本录入!BB70</f>
        <v>0</v>
      </c>
      <c r="BC70" s="198">
        <f>$E70*餐厅成本录入!BC70</f>
        <v>0</v>
      </c>
      <c r="BD70" s="198">
        <f>$E70*餐厅成本录入!BD70</f>
        <v>0</v>
      </c>
      <c r="BE70" s="198">
        <f>$E70*餐厅成本录入!BE70</f>
        <v>0</v>
      </c>
      <c r="BF70" s="198">
        <f>$E70*餐厅成本录入!BF70</f>
        <v>0</v>
      </c>
      <c r="BG70" s="198">
        <f>$E70*餐厅成本录入!BG70</f>
        <v>0</v>
      </c>
      <c r="BH70" s="198">
        <f>$E70*餐厅成本录入!BH70</f>
        <v>0</v>
      </c>
      <c r="BI70" s="198">
        <f>$E70*餐厅成本录入!BI70</f>
        <v>0</v>
      </c>
      <c r="BJ70" s="198">
        <f>$E70*餐厅成本录入!BJ70</f>
        <v>0</v>
      </c>
      <c r="BK70" s="198">
        <f>$E70*餐厅成本录入!BK70</f>
        <v>0</v>
      </c>
      <c r="BL70" s="198">
        <f>$E70*餐厅成本录入!BL70</f>
        <v>0</v>
      </c>
      <c r="BM70" s="198">
        <f>$E70*餐厅成本录入!BM70</f>
        <v>0</v>
      </c>
      <c r="BN70" s="198">
        <f>$E70*餐厅成本录入!BN70</f>
        <v>0</v>
      </c>
      <c r="BO70" s="198">
        <f>$E70*餐厅成本录入!BO70</f>
        <v>0</v>
      </c>
      <c r="BP70" s="198">
        <f>$E70*餐厅成本录入!BP70</f>
        <v>0</v>
      </c>
      <c r="BQ70" s="198">
        <f>$E70*餐厅成本录入!BQ70</f>
        <v>0</v>
      </c>
      <c r="BR70" s="198">
        <f>$E70*餐厅成本录入!BR70</f>
        <v>0</v>
      </c>
      <c r="BS70" s="198">
        <f>$E70*餐厅成本录入!BS70</f>
        <v>0</v>
      </c>
      <c r="BT70" s="198">
        <f>$E70*餐厅成本录入!BT70</f>
        <v>0</v>
      </c>
      <c r="BU70" s="198">
        <f>$E70*餐厅成本录入!BU70</f>
        <v>0</v>
      </c>
      <c r="BV70" s="198">
        <f>$E70*餐厅成本录入!BV70</f>
        <v>0</v>
      </c>
      <c r="BW70" s="198">
        <f>$E70*餐厅成本录入!BW70</f>
        <v>0</v>
      </c>
    </row>
    <row r="71" s="178" customFormat="1" customHeight="1" spans="1:75">
      <c r="A71" s="161">
        <v>98</v>
      </c>
      <c r="B71" s="21" t="str">
        <f>餐厅成本录入!B71</f>
        <v>鱼豆腐</v>
      </c>
      <c r="C71" s="21">
        <f>餐厅成本录入!C71</f>
        <v>0</v>
      </c>
      <c r="D71" s="21" t="str">
        <f>餐厅成本录入!D71</f>
        <v>包</v>
      </c>
      <c r="E71" s="21">
        <f>餐厅成本录入!E71</f>
        <v>25</v>
      </c>
      <c r="F71" s="21">
        <f>餐厅成本录入!F71</f>
        <v>0</v>
      </c>
      <c r="G71" s="21">
        <f>餐厅成本录入!G71</f>
        <v>0</v>
      </c>
      <c r="H71" s="21">
        <f>餐厅成本录入!H71</f>
        <v>1</v>
      </c>
      <c r="I71" s="21">
        <f>餐厅成本录入!I71</f>
        <v>25</v>
      </c>
      <c r="J71" s="21">
        <f>餐厅成本录入!J71</f>
        <v>1</v>
      </c>
      <c r="K71" s="21">
        <f>餐厅成本录入!K71</f>
        <v>25</v>
      </c>
      <c r="L71" s="21">
        <f>餐厅成本录入!L71</f>
        <v>0</v>
      </c>
      <c r="M71" s="21">
        <f>餐厅成本录入!M71</f>
        <v>0</v>
      </c>
      <c r="N71" s="198">
        <f>$E71*餐厅成本录入!N71</f>
        <v>0</v>
      </c>
      <c r="O71" s="198">
        <f>$E71*餐厅成本录入!O71</f>
        <v>0</v>
      </c>
      <c r="P71" s="198">
        <f>$E71*餐厅成本录入!P71</f>
        <v>0</v>
      </c>
      <c r="Q71" s="198">
        <f>$E71*餐厅成本录入!Q71</f>
        <v>0</v>
      </c>
      <c r="R71" s="198">
        <f>$E71*餐厅成本录入!R71</f>
        <v>0</v>
      </c>
      <c r="S71" s="198">
        <f>$E71*餐厅成本录入!S71</f>
        <v>0</v>
      </c>
      <c r="T71" s="198">
        <f>$E71*餐厅成本录入!T71</f>
        <v>0</v>
      </c>
      <c r="U71" s="198">
        <f>$E71*餐厅成本录入!U71</f>
        <v>0</v>
      </c>
      <c r="V71" s="198">
        <f>$E71*餐厅成本录入!V71</f>
        <v>0</v>
      </c>
      <c r="W71" s="198">
        <f>$E71*餐厅成本录入!W71</f>
        <v>0</v>
      </c>
      <c r="X71" s="198">
        <f>$E71*餐厅成本录入!X71</f>
        <v>0</v>
      </c>
      <c r="Y71" s="198">
        <f>$E71*餐厅成本录入!Y71</f>
        <v>0</v>
      </c>
      <c r="Z71" s="198">
        <f>$E71*餐厅成本录入!Z71</f>
        <v>0</v>
      </c>
      <c r="AA71" s="198">
        <f>$E71*餐厅成本录入!AA71</f>
        <v>0</v>
      </c>
      <c r="AB71" s="198">
        <f>$E71*餐厅成本录入!AB71</f>
        <v>0</v>
      </c>
      <c r="AC71" s="198">
        <f>$E71*餐厅成本录入!AC71</f>
        <v>0</v>
      </c>
      <c r="AD71" s="198">
        <f>$E71*餐厅成本录入!AD71</f>
        <v>0</v>
      </c>
      <c r="AE71" s="198">
        <f>$E71*餐厅成本录入!AE71</f>
        <v>0</v>
      </c>
      <c r="AF71" s="198">
        <f>$E71*餐厅成本录入!AF71</f>
        <v>25</v>
      </c>
      <c r="AG71" s="198">
        <f>$E71*餐厅成本录入!AG71</f>
        <v>25</v>
      </c>
      <c r="AH71" s="198">
        <f>$E71*餐厅成本录入!AH71</f>
        <v>0</v>
      </c>
      <c r="AI71" s="198">
        <f>$E71*餐厅成本录入!AI71</f>
        <v>0</v>
      </c>
      <c r="AJ71" s="198">
        <f>$E71*餐厅成本录入!AJ71</f>
        <v>0</v>
      </c>
      <c r="AK71" s="198">
        <f>$E71*餐厅成本录入!AK71</f>
        <v>0</v>
      </c>
      <c r="AL71" s="198">
        <f>$E71*餐厅成本录入!AL71</f>
        <v>0</v>
      </c>
      <c r="AM71" s="198">
        <f>$E71*餐厅成本录入!AM71</f>
        <v>0</v>
      </c>
      <c r="AN71" s="198">
        <f>$E71*餐厅成本录入!AN71</f>
        <v>0</v>
      </c>
      <c r="AO71" s="198">
        <f>$E71*餐厅成本录入!AO71</f>
        <v>0</v>
      </c>
      <c r="AP71" s="198">
        <f>$E71*餐厅成本录入!AP71</f>
        <v>0</v>
      </c>
      <c r="AQ71" s="198">
        <f>$E71*餐厅成本录入!AQ71</f>
        <v>0</v>
      </c>
      <c r="AR71" s="198">
        <f>$E71*餐厅成本录入!AR71</f>
        <v>0</v>
      </c>
      <c r="AS71" s="198">
        <f>$E71*餐厅成本录入!AS71</f>
        <v>0</v>
      </c>
      <c r="AT71" s="198">
        <f>$E71*餐厅成本录入!AT71</f>
        <v>0</v>
      </c>
      <c r="AU71" s="198">
        <f>$E71*餐厅成本录入!AU71</f>
        <v>0</v>
      </c>
      <c r="AV71" s="198">
        <f>$E71*餐厅成本录入!AV71</f>
        <v>0</v>
      </c>
      <c r="AW71" s="198">
        <f>$E71*餐厅成本录入!AW71</f>
        <v>0</v>
      </c>
      <c r="AX71" s="198">
        <f>$E71*餐厅成本录入!AX71</f>
        <v>0</v>
      </c>
      <c r="AY71" s="198">
        <f>$E71*餐厅成本录入!AY71</f>
        <v>0</v>
      </c>
      <c r="AZ71" s="198">
        <f>$E71*餐厅成本录入!AZ71</f>
        <v>0</v>
      </c>
      <c r="BA71" s="198">
        <f>$E71*餐厅成本录入!BA71</f>
        <v>0</v>
      </c>
      <c r="BB71" s="198">
        <f>$E71*餐厅成本录入!BB71</f>
        <v>0</v>
      </c>
      <c r="BC71" s="198">
        <f>$E71*餐厅成本录入!BC71</f>
        <v>0</v>
      </c>
      <c r="BD71" s="198">
        <f>$E71*餐厅成本录入!BD71</f>
        <v>0</v>
      </c>
      <c r="BE71" s="198">
        <f>$E71*餐厅成本录入!BE71</f>
        <v>0</v>
      </c>
      <c r="BF71" s="198">
        <f>$E71*餐厅成本录入!BF71</f>
        <v>0</v>
      </c>
      <c r="BG71" s="198">
        <f>$E71*餐厅成本录入!BG71</f>
        <v>0</v>
      </c>
      <c r="BH71" s="198">
        <f>$E71*餐厅成本录入!BH71</f>
        <v>0</v>
      </c>
      <c r="BI71" s="198">
        <f>$E71*餐厅成本录入!BI71</f>
        <v>0</v>
      </c>
      <c r="BJ71" s="198">
        <f>$E71*餐厅成本录入!BJ71</f>
        <v>0</v>
      </c>
      <c r="BK71" s="198">
        <f>$E71*餐厅成本录入!BK71</f>
        <v>0</v>
      </c>
      <c r="BL71" s="198">
        <f>$E71*餐厅成本录入!BL71</f>
        <v>0</v>
      </c>
      <c r="BM71" s="198">
        <f>$E71*餐厅成本录入!BM71</f>
        <v>0</v>
      </c>
      <c r="BN71" s="198">
        <f>$E71*餐厅成本录入!BN71</f>
        <v>0</v>
      </c>
      <c r="BO71" s="198">
        <f>$E71*餐厅成本录入!BO71</f>
        <v>0</v>
      </c>
      <c r="BP71" s="198">
        <f>$E71*餐厅成本录入!BP71</f>
        <v>0</v>
      </c>
      <c r="BQ71" s="198">
        <f>$E71*餐厅成本录入!BQ71</f>
        <v>0</v>
      </c>
      <c r="BR71" s="198">
        <f>$E71*餐厅成本录入!BR71</f>
        <v>0</v>
      </c>
      <c r="BS71" s="198">
        <f>$E71*餐厅成本录入!BS71</f>
        <v>0</v>
      </c>
      <c r="BT71" s="198">
        <f>$E71*餐厅成本录入!BT71</f>
        <v>0</v>
      </c>
      <c r="BU71" s="198">
        <f>$E71*餐厅成本录入!BU71</f>
        <v>0</v>
      </c>
      <c r="BV71" s="198">
        <f>$E71*餐厅成本录入!BV71</f>
        <v>0</v>
      </c>
      <c r="BW71" s="198">
        <f>$E71*餐厅成本录入!BW71</f>
        <v>0</v>
      </c>
    </row>
    <row r="72" s="178" customFormat="1" customHeight="1" spans="1:75">
      <c r="A72" s="161">
        <v>99</v>
      </c>
      <c r="B72" s="21" t="str">
        <f>餐厅成本录入!B72</f>
        <v>黄焖鸡块</v>
      </c>
      <c r="C72" s="21">
        <f>餐厅成本录入!C72</f>
        <v>0</v>
      </c>
      <c r="D72" s="21" t="str">
        <f>餐厅成本录入!D72</f>
        <v>件</v>
      </c>
      <c r="E72" s="21">
        <f>餐厅成本录入!E72</f>
        <v>110</v>
      </c>
      <c r="F72" s="21">
        <f>餐厅成本录入!F72</f>
        <v>0</v>
      </c>
      <c r="G72" s="21">
        <f>餐厅成本录入!G72</f>
        <v>0</v>
      </c>
      <c r="H72" s="21">
        <f>餐厅成本录入!H72</f>
        <v>3</v>
      </c>
      <c r="I72" s="21">
        <f>餐厅成本录入!I72</f>
        <v>330</v>
      </c>
      <c r="J72" s="21">
        <f>餐厅成本录入!J72</f>
        <v>3</v>
      </c>
      <c r="K72" s="21">
        <f>餐厅成本录入!K72</f>
        <v>330</v>
      </c>
      <c r="L72" s="21">
        <f>餐厅成本录入!L72</f>
        <v>0</v>
      </c>
      <c r="M72" s="21">
        <f>餐厅成本录入!M72</f>
        <v>0</v>
      </c>
      <c r="N72" s="198">
        <f>$E72*餐厅成本录入!N72</f>
        <v>0</v>
      </c>
      <c r="O72" s="198">
        <f>$E72*餐厅成本录入!O72</f>
        <v>0</v>
      </c>
      <c r="P72" s="198">
        <f>$E72*餐厅成本录入!P72</f>
        <v>0</v>
      </c>
      <c r="Q72" s="198">
        <f>$E72*餐厅成本录入!Q72</f>
        <v>0</v>
      </c>
      <c r="R72" s="198">
        <f>$E72*餐厅成本录入!R72</f>
        <v>110</v>
      </c>
      <c r="S72" s="198">
        <f>$E72*餐厅成本录入!S72</f>
        <v>110</v>
      </c>
      <c r="T72" s="198">
        <f>$E72*餐厅成本录入!T72</f>
        <v>0</v>
      </c>
      <c r="U72" s="198">
        <f>$E72*餐厅成本录入!U72</f>
        <v>0</v>
      </c>
      <c r="V72" s="198">
        <f>$E72*餐厅成本录入!V72</f>
        <v>0</v>
      </c>
      <c r="W72" s="198">
        <f>$E72*餐厅成本录入!W72</f>
        <v>0</v>
      </c>
      <c r="X72" s="198">
        <f>$E72*餐厅成本录入!X72</f>
        <v>0</v>
      </c>
      <c r="Y72" s="198">
        <f>$E72*餐厅成本录入!Y72</f>
        <v>0</v>
      </c>
      <c r="Z72" s="198">
        <f>$E72*餐厅成本录入!Z72</f>
        <v>0</v>
      </c>
      <c r="AA72" s="198">
        <f>$E72*餐厅成本录入!AA72</f>
        <v>0</v>
      </c>
      <c r="AB72" s="198">
        <f>$E72*餐厅成本录入!AB72</f>
        <v>0</v>
      </c>
      <c r="AC72" s="198">
        <f>$E72*餐厅成本录入!AC72</f>
        <v>0</v>
      </c>
      <c r="AD72" s="198">
        <f>$E72*餐厅成本录入!AD72</f>
        <v>0</v>
      </c>
      <c r="AE72" s="198">
        <f>$E72*餐厅成本录入!AE72</f>
        <v>0</v>
      </c>
      <c r="AF72" s="198">
        <f>$E72*餐厅成本录入!AF72</f>
        <v>110</v>
      </c>
      <c r="AG72" s="198">
        <f>$E72*餐厅成本录入!AG72</f>
        <v>110</v>
      </c>
      <c r="AH72" s="198">
        <f>$E72*餐厅成本录入!AH72</f>
        <v>0</v>
      </c>
      <c r="AI72" s="198">
        <f>$E72*餐厅成本录入!AI72</f>
        <v>0</v>
      </c>
      <c r="AJ72" s="198">
        <f>$E72*餐厅成本录入!AJ72</f>
        <v>0</v>
      </c>
      <c r="AK72" s="198">
        <f>$E72*餐厅成本录入!AK72</f>
        <v>0</v>
      </c>
      <c r="AL72" s="198">
        <f>$E72*餐厅成本录入!AL72</f>
        <v>0</v>
      </c>
      <c r="AM72" s="198">
        <f>$E72*餐厅成本录入!AM72</f>
        <v>0</v>
      </c>
      <c r="AN72" s="198">
        <f>$E72*餐厅成本录入!AN72</f>
        <v>0</v>
      </c>
      <c r="AO72" s="198">
        <f>$E72*餐厅成本录入!AO72</f>
        <v>0</v>
      </c>
      <c r="AP72" s="198">
        <f>$E72*餐厅成本录入!AP72</f>
        <v>0</v>
      </c>
      <c r="AQ72" s="198">
        <f>$E72*餐厅成本录入!AQ72</f>
        <v>0</v>
      </c>
      <c r="AR72" s="198">
        <f>$E72*餐厅成本录入!AR72</f>
        <v>0</v>
      </c>
      <c r="AS72" s="198">
        <f>$E72*餐厅成本录入!AS72</f>
        <v>0</v>
      </c>
      <c r="AT72" s="198">
        <f>$E72*餐厅成本录入!AT72</f>
        <v>0</v>
      </c>
      <c r="AU72" s="198">
        <f>$E72*餐厅成本录入!AU72</f>
        <v>0</v>
      </c>
      <c r="AV72" s="198">
        <f>$E72*餐厅成本录入!AV72</f>
        <v>0</v>
      </c>
      <c r="AW72" s="198">
        <f>$E72*餐厅成本录入!AW72</f>
        <v>0</v>
      </c>
      <c r="AX72" s="198">
        <f>$E72*餐厅成本录入!AX72</f>
        <v>0</v>
      </c>
      <c r="AY72" s="198">
        <f>$E72*餐厅成本录入!AY72</f>
        <v>0</v>
      </c>
      <c r="AZ72" s="198">
        <f>$E72*餐厅成本录入!AZ72</f>
        <v>0</v>
      </c>
      <c r="BA72" s="198">
        <f>$E72*餐厅成本录入!BA72</f>
        <v>0</v>
      </c>
      <c r="BB72" s="198">
        <f>$E72*餐厅成本录入!BB72</f>
        <v>0</v>
      </c>
      <c r="BC72" s="198">
        <f>$E72*餐厅成本录入!BC72</f>
        <v>0</v>
      </c>
      <c r="BD72" s="198">
        <f>$E72*餐厅成本录入!BD72</f>
        <v>0</v>
      </c>
      <c r="BE72" s="198">
        <f>$E72*餐厅成本录入!BE72</f>
        <v>0</v>
      </c>
      <c r="BF72" s="198">
        <f>$E72*餐厅成本录入!BF72</f>
        <v>110</v>
      </c>
      <c r="BG72" s="198">
        <f>$E72*餐厅成本录入!BG72</f>
        <v>110</v>
      </c>
      <c r="BH72" s="198">
        <f>$E72*餐厅成本录入!BH72</f>
        <v>0</v>
      </c>
      <c r="BI72" s="198">
        <f>$E72*餐厅成本录入!BI72</f>
        <v>0</v>
      </c>
      <c r="BJ72" s="198">
        <f>$E72*餐厅成本录入!BJ72</f>
        <v>0</v>
      </c>
      <c r="BK72" s="198">
        <f>$E72*餐厅成本录入!BK72</f>
        <v>0</v>
      </c>
      <c r="BL72" s="198">
        <f>$E72*餐厅成本录入!BL72</f>
        <v>0</v>
      </c>
      <c r="BM72" s="198">
        <f>$E72*餐厅成本录入!BM72</f>
        <v>0</v>
      </c>
      <c r="BN72" s="198">
        <f>$E72*餐厅成本录入!BN72</f>
        <v>0</v>
      </c>
      <c r="BO72" s="198">
        <f>$E72*餐厅成本录入!BO72</f>
        <v>0</v>
      </c>
      <c r="BP72" s="198">
        <f>$E72*餐厅成本录入!BP72</f>
        <v>0</v>
      </c>
      <c r="BQ72" s="198">
        <f>$E72*餐厅成本录入!BQ72</f>
        <v>0</v>
      </c>
      <c r="BR72" s="198">
        <f>$E72*餐厅成本录入!BR72</f>
        <v>0</v>
      </c>
      <c r="BS72" s="198">
        <f>$E72*餐厅成本录入!BS72</f>
        <v>0</v>
      </c>
      <c r="BT72" s="198">
        <f>$E72*餐厅成本录入!BT72</f>
        <v>0</v>
      </c>
      <c r="BU72" s="198">
        <f>$E72*餐厅成本录入!BU72</f>
        <v>0</v>
      </c>
      <c r="BV72" s="198">
        <f>$E72*餐厅成本录入!BV72</f>
        <v>0</v>
      </c>
      <c r="BW72" s="198">
        <f>$E72*餐厅成本录入!BW72</f>
        <v>0</v>
      </c>
    </row>
    <row r="73" s="178" customFormat="1" customHeight="1" spans="1:75">
      <c r="A73" s="161">
        <v>101</v>
      </c>
      <c r="B73" s="21" t="str">
        <f>餐厅成本录入!B73</f>
        <v>小酥肉</v>
      </c>
      <c r="C73" s="21">
        <f>餐厅成本录入!C73</f>
        <v>0</v>
      </c>
      <c r="D73" s="21">
        <f>餐厅成本录入!D73</f>
        <v>0</v>
      </c>
      <c r="E73" s="21">
        <f>餐厅成本录入!E73</f>
        <v>117</v>
      </c>
      <c r="F73" s="21">
        <f>餐厅成本录入!F73</f>
        <v>0</v>
      </c>
      <c r="G73" s="21">
        <f>餐厅成本录入!G73</f>
        <v>0</v>
      </c>
      <c r="H73" s="21">
        <f>餐厅成本录入!H73</f>
        <v>1</v>
      </c>
      <c r="I73" s="21">
        <f>餐厅成本录入!I73</f>
        <v>117</v>
      </c>
      <c r="J73" s="21">
        <f>餐厅成本录入!J73</f>
        <v>1</v>
      </c>
      <c r="K73" s="21">
        <f>餐厅成本录入!K73</f>
        <v>117</v>
      </c>
      <c r="L73" s="21">
        <f>餐厅成本录入!L73</f>
        <v>0</v>
      </c>
      <c r="M73" s="21">
        <f>餐厅成本录入!M73</f>
        <v>0</v>
      </c>
      <c r="N73" s="198">
        <f>$E73*餐厅成本录入!N73</f>
        <v>0</v>
      </c>
      <c r="O73" s="198">
        <f>$E73*餐厅成本录入!O73</f>
        <v>0</v>
      </c>
      <c r="P73" s="198">
        <f>$E73*餐厅成本录入!P73</f>
        <v>0</v>
      </c>
      <c r="Q73" s="198">
        <f>$E73*餐厅成本录入!Q73</f>
        <v>0</v>
      </c>
      <c r="R73" s="198">
        <f>$E73*餐厅成本录入!R73</f>
        <v>0</v>
      </c>
      <c r="S73" s="198">
        <f>$E73*餐厅成本录入!S73</f>
        <v>0</v>
      </c>
      <c r="T73" s="198">
        <f>$E73*餐厅成本录入!T73</f>
        <v>0</v>
      </c>
      <c r="U73" s="198">
        <f>$E73*餐厅成本录入!U73</f>
        <v>0</v>
      </c>
      <c r="V73" s="198">
        <f>$E73*餐厅成本录入!V73</f>
        <v>0</v>
      </c>
      <c r="W73" s="198">
        <f>$E73*餐厅成本录入!W73</f>
        <v>0</v>
      </c>
      <c r="X73" s="198">
        <f>$E73*餐厅成本录入!X73</f>
        <v>0</v>
      </c>
      <c r="Y73" s="198">
        <f>$E73*餐厅成本录入!Y73</f>
        <v>0</v>
      </c>
      <c r="Z73" s="198">
        <f>$E73*餐厅成本录入!Z73</f>
        <v>0</v>
      </c>
      <c r="AA73" s="198">
        <f>$E73*餐厅成本录入!AA73</f>
        <v>0</v>
      </c>
      <c r="AB73" s="198">
        <f>$E73*餐厅成本录入!AB73</f>
        <v>0</v>
      </c>
      <c r="AC73" s="198">
        <f>$E73*餐厅成本录入!AC73</f>
        <v>0</v>
      </c>
      <c r="AD73" s="198">
        <f>$E73*餐厅成本录入!AD73</f>
        <v>0</v>
      </c>
      <c r="AE73" s="198">
        <f>$E73*餐厅成本录入!AE73</f>
        <v>0</v>
      </c>
      <c r="AF73" s="198">
        <f>$E73*餐厅成本录入!AF73</f>
        <v>0</v>
      </c>
      <c r="AG73" s="198">
        <f>$E73*餐厅成本录入!AG73</f>
        <v>0</v>
      </c>
      <c r="AH73" s="198">
        <f>$E73*餐厅成本录入!AH73</f>
        <v>0</v>
      </c>
      <c r="AI73" s="198">
        <f>$E73*餐厅成本录入!AI73</f>
        <v>0</v>
      </c>
      <c r="AJ73" s="198">
        <f>$E73*餐厅成本录入!AJ73</f>
        <v>0</v>
      </c>
      <c r="AK73" s="198">
        <f>$E73*餐厅成本录入!AK73</f>
        <v>0</v>
      </c>
      <c r="AL73" s="198">
        <f>$E73*餐厅成本录入!AL73</f>
        <v>0</v>
      </c>
      <c r="AM73" s="198">
        <f>$E73*餐厅成本录入!AM73</f>
        <v>0</v>
      </c>
      <c r="AN73" s="198">
        <f>$E73*餐厅成本录入!AN73</f>
        <v>0</v>
      </c>
      <c r="AO73" s="198">
        <f>$E73*餐厅成本录入!AO73</f>
        <v>0</v>
      </c>
      <c r="AP73" s="198">
        <f>$E73*餐厅成本录入!AP73</f>
        <v>117</v>
      </c>
      <c r="AQ73" s="198">
        <f>$E73*餐厅成本录入!AQ73</f>
        <v>117</v>
      </c>
      <c r="AR73" s="198">
        <f>$E73*餐厅成本录入!AR73</f>
        <v>0</v>
      </c>
      <c r="AS73" s="198">
        <f>$E73*餐厅成本录入!AS73</f>
        <v>0</v>
      </c>
      <c r="AT73" s="198">
        <f>$E73*餐厅成本录入!AT73</f>
        <v>0</v>
      </c>
      <c r="AU73" s="198">
        <f>$E73*餐厅成本录入!AU73</f>
        <v>0</v>
      </c>
      <c r="AV73" s="198">
        <f>$E73*餐厅成本录入!AV73</f>
        <v>0</v>
      </c>
      <c r="AW73" s="198">
        <f>$E73*餐厅成本录入!AW73</f>
        <v>0</v>
      </c>
      <c r="AX73" s="198">
        <f>$E73*餐厅成本录入!AX73</f>
        <v>0</v>
      </c>
      <c r="AY73" s="198">
        <f>$E73*餐厅成本录入!AY73</f>
        <v>0</v>
      </c>
      <c r="AZ73" s="198">
        <f>$E73*餐厅成本录入!AZ73</f>
        <v>0</v>
      </c>
      <c r="BA73" s="198">
        <f>$E73*餐厅成本录入!BA73</f>
        <v>0</v>
      </c>
      <c r="BB73" s="198">
        <f>$E73*餐厅成本录入!BB73</f>
        <v>0</v>
      </c>
      <c r="BC73" s="198">
        <f>$E73*餐厅成本录入!BC73</f>
        <v>0</v>
      </c>
      <c r="BD73" s="198">
        <f>$E73*餐厅成本录入!BD73</f>
        <v>0</v>
      </c>
      <c r="BE73" s="198">
        <f>$E73*餐厅成本录入!BE73</f>
        <v>0</v>
      </c>
      <c r="BF73" s="198">
        <f>$E73*餐厅成本录入!BF73</f>
        <v>0</v>
      </c>
      <c r="BG73" s="198">
        <f>$E73*餐厅成本录入!BG73</f>
        <v>0</v>
      </c>
      <c r="BH73" s="198">
        <f>$E73*餐厅成本录入!BH73</f>
        <v>0</v>
      </c>
      <c r="BI73" s="198">
        <f>$E73*餐厅成本录入!BI73</f>
        <v>0</v>
      </c>
      <c r="BJ73" s="198">
        <f>$E73*餐厅成本录入!BJ73</f>
        <v>0</v>
      </c>
      <c r="BK73" s="198">
        <f>$E73*餐厅成本录入!BK73</f>
        <v>0</v>
      </c>
      <c r="BL73" s="198">
        <f>$E73*餐厅成本录入!BL73</f>
        <v>0</v>
      </c>
      <c r="BM73" s="198">
        <f>$E73*餐厅成本录入!BM73</f>
        <v>0</v>
      </c>
      <c r="BN73" s="198">
        <f>$E73*餐厅成本录入!BN73</f>
        <v>0</v>
      </c>
      <c r="BO73" s="198">
        <f>$E73*餐厅成本录入!BO73</f>
        <v>0</v>
      </c>
      <c r="BP73" s="198">
        <f>$E73*餐厅成本录入!BP73</f>
        <v>0</v>
      </c>
      <c r="BQ73" s="198">
        <f>$E73*餐厅成本录入!BQ73</f>
        <v>0</v>
      </c>
      <c r="BR73" s="198">
        <f>$E73*餐厅成本录入!BR73</f>
        <v>0</v>
      </c>
      <c r="BS73" s="198">
        <f>$E73*餐厅成本录入!BS73</f>
        <v>0</v>
      </c>
      <c r="BT73" s="198">
        <f>$E73*餐厅成本录入!BT73</f>
        <v>0</v>
      </c>
      <c r="BU73" s="198">
        <f>$E73*餐厅成本录入!BU73</f>
        <v>0</v>
      </c>
      <c r="BV73" s="198">
        <f>$E73*餐厅成本录入!BV73</f>
        <v>0</v>
      </c>
      <c r="BW73" s="198">
        <f>$E73*餐厅成本录入!BW73</f>
        <v>0</v>
      </c>
    </row>
    <row r="74" s="178" customFormat="1" customHeight="1" spans="1:75">
      <c r="A74" s="161">
        <v>102</v>
      </c>
      <c r="B74" s="21" t="str">
        <f>餐厅成本录入!B74</f>
        <v>盐酥鸡</v>
      </c>
      <c r="C74" s="21">
        <f>餐厅成本录入!C74</f>
        <v>0</v>
      </c>
      <c r="D74" s="21">
        <f>餐厅成本录入!D74</f>
        <v>0</v>
      </c>
      <c r="E74" s="21">
        <f>餐厅成本录入!E74</f>
        <v>140</v>
      </c>
      <c r="F74" s="21">
        <f>餐厅成本录入!F74</f>
        <v>0</v>
      </c>
      <c r="G74" s="21">
        <f>餐厅成本录入!G74</f>
        <v>0</v>
      </c>
      <c r="H74" s="21">
        <f>餐厅成本录入!H74</f>
        <v>2</v>
      </c>
      <c r="I74" s="21">
        <f>餐厅成本录入!I74</f>
        <v>280</v>
      </c>
      <c r="J74" s="21">
        <f>餐厅成本录入!J74</f>
        <v>2</v>
      </c>
      <c r="K74" s="21">
        <f>餐厅成本录入!K74</f>
        <v>280</v>
      </c>
      <c r="L74" s="21">
        <f>餐厅成本录入!L74</f>
        <v>0</v>
      </c>
      <c r="M74" s="21">
        <f>餐厅成本录入!M74</f>
        <v>0</v>
      </c>
      <c r="N74" s="198">
        <f>$E74*餐厅成本录入!N74</f>
        <v>0</v>
      </c>
      <c r="O74" s="198">
        <f>$E74*餐厅成本录入!O74</f>
        <v>0</v>
      </c>
      <c r="P74" s="198">
        <f>$E74*餐厅成本录入!P74</f>
        <v>0</v>
      </c>
      <c r="Q74" s="198">
        <f>$E74*餐厅成本录入!Q74</f>
        <v>0</v>
      </c>
      <c r="R74" s="198">
        <f>$E74*餐厅成本录入!R74</f>
        <v>0</v>
      </c>
      <c r="S74" s="198">
        <f>$E74*餐厅成本录入!S74</f>
        <v>0</v>
      </c>
      <c r="T74" s="198">
        <f>$E74*餐厅成本录入!T74</f>
        <v>0</v>
      </c>
      <c r="U74" s="198">
        <f>$E74*餐厅成本录入!U74</f>
        <v>0</v>
      </c>
      <c r="V74" s="198">
        <f>$E74*餐厅成本录入!V74</f>
        <v>140</v>
      </c>
      <c r="W74" s="198">
        <f>$E74*餐厅成本录入!W74</f>
        <v>140</v>
      </c>
      <c r="X74" s="198">
        <f>$E74*餐厅成本录入!X74</f>
        <v>0</v>
      </c>
      <c r="Y74" s="198">
        <f>$E74*餐厅成本录入!Y74</f>
        <v>0</v>
      </c>
      <c r="Z74" s="198">
        <f>$E74*餐厅成本录入!Z74</f>
        <v>0</v>
      </c>
      <c r="AA74" s="198">
        <f>$E74*餐厅成本录入!AA74</f>
        <v>0</v>
      </c>
      <c r="AB74" s="198">
        <f>$E74*餐厅成本录入!AB74</f>
        <v>0</v>
      </c>
      <c r="AC74" s="198">
        <f>$E74*餐厅成本录入!AC74</f>
        <v>0</v>
      </c>
      <c r="AD74" s="198">
        <f>$E74*餐厅成本录入!AD74</f>
        <v>0</v>
      </c>
      <c r="AE74" s="198">
        <f>$E74*餐厅成本录入!AE74</f>
        <v>0</v>
      </c>
      <c r="AF74" s="198">
        <f>$E74*餐厅成本录入!AF74</f>
        <v>0</v>
      </c>
      <c r="AG74" s="198">
        <f>$E74*餐厅成本录入!AG74</f>
        <v>0</v>
      </c>
      <c r="AH74" s="198">
        <f>$E74*餐厅成本录入!AH74</f>
        <v>0</v>
      </c>
      <c r="AI74" s="198">
        <f>$E74*餐厅成本录入!AI74</f>
        <v>0</v>
      </c>
      <c r="AJ74" s="198">
        <f>$E74*餐厅成本录入!AJ74</f>
        <v>0</v>
      </c>
      <c r="AK74" s="198">
        <f>$E74*餐厅成本录入!AK74</f>
        <v>0</v>
      </c>
      <c r="AL74" s="198">
        <f>$E74*餐厅成本录入!AL74</f>
        <v>0</v>
      </c>
      <c r="AM74" s="198">
        <f>$E74*餐厅成本录入!AM74</f>
        <v>0</v>
      </c>
      <c r="AN74" s="198">
        <f>$E74*餐厅成本录入!AN74</f>
        <v>0</v>
      </c>
      <c r="AO74" s="198">
        <f>$E74*餐厅成本录入!AO74</f>
        <v>0</v>
      </c>
      <c r="AP74" s="198">
        <f>$E74*餐厅成本录入!AP74</f>
        <v>140</v>
      </c>
      <c r="AQ74" s="198">
        <f>$E74*餐厅成本录入!AQ74</f>
        <v>140</v>
      </c>
      <c r="AR74" s="198">
        <f>$E74*餐厅成本录入!AR74</f>
        <v>0</v>
      </c>
      <c r="AS74" s="198">
        <f>$E74*餐厅成本录入!AS74</f>
        <v>0</v>
      </c>
      <c r="AT74" s="198">
        <f>$E74*餐厅成本录入!AT74</f>
        <v>0</v>
      </c>
      <c r="AU74" s="198">
        <f>$E74*餐厅成本录入!AU74</f>
        <v>0</v>
      </c>
      <c r="AV74" s="198">
        <f>$E74*餐厅成本录入!AV74</f>
        <v>0</v>
      </c>
      <c r="AW74" s="198">
        <f>$E74*餐厅成本录入!AW74</f>
        <v>0</v>
      </c>
      <c r="AX74" s="198">
        <f>$E74*餐厅成本录入!AX74</f>
        <v>0</v>
      </c>
      <c r="AY74" s="198">
        <f>$E74*餐厅成本录入!AY74</f>
        <v>0</v>
      </c>
      <c r="AZ74" s="198">
        <f>$E74*餐厅成本录入!AZ74</f>
        <v>0</v>
      </c>
      <c r="BA74" s="198">
        <f>$E74*餐厅成本录入!BA74</f>
        <v>0</v>
      </c>
      <c r="BB74" s="198">
        <f>$E74*餐厅成本录入!BB74</f>
        <v>0</v>
      </c>
      <c r="BC74" s="198">
        <f>$E74*餐厅成本录入!BC74</f>
        <v>0</v>
      </c>
      <c r="BD74" s="198">
        <f>$E74*餐厅成本录入!BD74</f>
        <v>0</v>
      </c>
      <c r="BE74" s="198">
        <f>$E74*餐厅成本录入!BE74</f>
        <v>0</v>
      </c>
      <c r="BF74" s="198">
        <f>$E74*餐厅成本录入!BF74</f>
        <v>0</v>
      </c>
      <c r="BG74" s="198">
        <f>$E74*餐厅成本录入!BG74</f>
        <v>0</v>
      </c>
      <c r="BH74" s="198">
        <f>$E74*餐厅成本录入!BH74</f>
        <v>0</v>
      </c>
      <c r="BI74" s="198">
        <f>$E74*餐厅成本录入!BI74</f>
        <v>0</v>
      </c>
      <c r="BJ74" s="198">
        <f>$E74*餐厅成本录入!BJ74</f>
        <v>0</v>
      </c>
      <c r="BK74" s="198">
        <f>$E74*餐厅成本录入!BK74</f>
        <v>0</v>
      </c>
      <c r="BL74" s="198">
        <f>$E74*餐厅成本录入!BL74</f>
        <v>0</v>
      </c>
      <c r="BM74" s="198">
        <f>$E74*餐厅成本录入!BM74</f>
        <v>0</v>
      </c>
      <c r="BN74" s="198">
        <f>$E74*餐厅成本录入!BN74</f>
        <v>0</v>
      </c>
      <c r="BO74" s="198">
        <f>$E74*餐厅成本录入!BO74</f>
        <v>0</v>
      </c>
      <c r="BP74" s="198">
        <f>$E74*餐厅成本录入!BP74</f>
        <v>0</v>
      </c>
      <c r="BQ74" s="198">
        <f>$E74*餐厅成本录入!BQ74</f>
        <v>0</v>
      </c>
      <c r="BR74" s="198">
        <f>$E74*餐厅成本录入!BR74</f>
        <v>0</v>
      </c>
      <c r="BS74" s="198">
        <f>$E74*餐厅成本录入!BS74</f>
        <v>0</v>
      </c>
      <c r="BT74" s="198">
        <f>$E74*餐厅成本录入!BT74</f>
        <v>0</v>
      </c>
      <c r="BU74" s="198">
        <f>$E74*餐厅成本录入!BU74</f>
        <v>0</v>
      </c>
      <c r="BV74" s="198">
        <f>$E74*餐厅成本录入!BV74</f>
        <v>0</v>
      </c>
      <c r="BW74" s="198">
        <f>$E74*餐厅成本录入!BW74</f>
        <v>0</v>
      </c>
    </row>
    <row r="75" s="178" customFormat="1" customHeight="1" spans="1:75">
      <c r="A75" s="161">
        <v>105</v>
      </c>
      <c r="B75" s="21" t="str">
        <f>餐厅成本录入!B75</f>
        <v>亲亲肠</v>
      </c>
      <c r="C75" s="21">
        <f>餐厅成本录入!C75</f>
        <v>0</v>
      </c>
      <c r="D75" s="21">
        <f>餐厅成本录入!D75</f>
        <v>0</v>
      </c>
      <c r="E75" s="21">
        <f>餐厅成本录入!E75</f>
        <v>115</v>
      </c>
      <c r="F75" s="21">
        <f>餐厅成本录入!F75</f>
        <v>0</v>
      </c>
      <c r="G75" s="21">
        <f>餐厅成本录入!G75</f>
        <v>0</v>
      </c>
      <c r="H75" s="21">
        <f>餐厅成本录入!H75</f>
        <v>4</v>
      </c>
      <c r="I75" s="21">
        <f>餐厅成本录入!I75</f>
        <v>460</v>
      </c>
      <c r="J75" s="21">
        <f>餐厅成本录入!J75</f>
        <v>4</v>
      </c>
      <c r="K75" s="21">
        <f>餐厅成本录入!K75</f>
        <v>460</v>
      </c>
      <c r="L75" s="21">
        <f>餐厅成本录入!L75</f>
        <v>0</v>
      </c>
      <c r="M75" s="21">
        <f>餐厅成本录入!M75</f>
        <v>0</v>
      </c>
      <c r="N75" s="198">
        <f>$E75*餐厅成本录入!N75</f>
        <v>0</v>
      </c>
      <c r="O75" s="198">
        <f>$E75*餐厅成本录入!O75</f>
        <v>0</v>
      </c>
      <c r="P75" s="198">
        <f>$E75*餐厅成本录入!P75</f>
        <v>0</v>
      </c>
      <c r="Q75" s="198">
        <f>$E75*餐厅成本录入!Q75</f>
        <v>0</v>
      </c>
      <c r="R75" s="198">
        <f>$E75*餐厅成本录入!R75</f>
        <v>115</v>
      </c>
      <c r="S75" s="198">
        <f>$E75*餐厅成本录入!S75</f>
        <v>115</v>
      </c>
      <c r="T75" s="198">
        <f>$E75*餐厅成本录入!T75</f>
        <v>0</v>
      </c>
      <c r="U75" s="198">
        <f>$E75*餐厅成本录入!U75</f>
        <v>0</v>
      </c>
      <c r="V75" s="198">
        <f>$E75*餐厅成本录入!V75</f>
        <v>0</v>
      </c>
      <c r="W75" s="198">
        <f>$E75*餐厅成本录入!W75</f>
        <v>0</v>
      </c>
      <c r="X75" s="198">
        <f>$E75*餐厅成本录入!X75</f>
        <v>0</v>
      </c>
      <c r="Y75" s="198">
        <f>$E75*餐厅成本录入!Y75</f>
        <v>0</v>
      </c>
      <c r="Z75" s="198">
        <f>$E75*餐厅成本录入!Z75</f>
        <v>0</v>
      </c>
      <c r="AA75" s="198">
        <f>$E75*餐厅成本录入!AA75</f>
        <v>0</v>
      </c>
      <c r="AB75" s="198">
        <f>$E75*餐厅成本录入!AB75</f>
        <v>0</v>
      </c>
      <c r="AC75" s="198">
        <f>$E75*餐厅成本录入!AC75</f>
        <v>0</v>
      </c>
      <c r="AD75" s="198">
        <f>$E75*餐厅成本录入!AD75</f>
        <v>0</v>
      </c>
      <c r="AE75" s="198">
        <f>$E75*餐厅成本录入!AE75</f>
        <v>0</v>
      </c>
      <c r="AF75" s="198">
        <f>$E75*餐厅成本录入!AF75</f>
        <v>0</v>
      </c>
      <c r="AG75" s="198">
        <f>$E75*餐厅成本录入!AG75</f>
        <v>0</v>
      </c>
      <c r="AH75" s="198">
        <f>$E75*餐厅成本录入!AH75</f>
        <v>0</v>
      </c>
      <c r="AI75" s="198">
        <f>$E75*餐厅成本录入!AI75</f>
        <v>0</v>
      </c>
      <c r="AJ75" s="198">
        <f>$E75*餐厅成本录入!AJ75</f>
        <v>0</v>
      </c>
      <c r="AK75" s="198">
        <f>$E75*餐厅成本录入!AK75</f>
        <v>0</v>
      </c>
      <c r="AL75" s="198">
        <f>$E75*餐厅成本录入!AL75</f>
        <v>0</v>
      </c>
      <c r="AM75" s="198">
        <f>$E75*餐厅成本录入!AM75</f>
        <v>0</v>
      </c>
      <c r="AN75" s="198">
        <f>$E75*餐厅成本录入!AN75</f>
        <v>0</v>
      </c>
      <c r="AO75" s="198">
        <f>$E75*餐厅成本录入!AO75</f>
        <v>0</v>
      </c>
      <c r="AP75" s="198">
        <f>$E75*餐厅成本录入!AP75</f>
        <v>115</v>
      </c>
      <c r="AQ75" s="198">
        <f>$E75*餐厅成本录入!AQ75</f>
        <v>115</v>
      </c>
      <c r="AR75" s="198">
        <f>$E75*餐厅成本录入!AR75</f>
        <v>0</v>
      </c>
      <c r="AS75" s="198">
        <f>$E75*餐厅成本录入!AS75</f>
        <v>0</v>
      </c>
      <c r="AT75" s="198">
        <f>$E75*餐厅成本录入!AT75</f>
        <v>0</v>
      </c>
      <c r="AU75" s="198">
        <f>$E75*餐厅成本录入!AU75</f>
        <v>0</v>
      </c>
      <c r="AV75" s="198">
        <f>$E75*餐厅成本录入!AV75</f>
        <v>0</v>
      </c>
      <c r="AW75" s="198">
        <f>$E75*餐厅成本录入!AW75</f>
        <v>0</v>
      </c>
      <c r="AX75" s="198">
        <f>$E75*餐厅成本录入!AX75</f>
        <v>0</v>
      </c>
      <c r="AY75" s="198">
        <f>$E75*餐厅成本录入!AY75</f>
        <v>0</v>
      </c>
      <c r="AZ75" s="198">
        <f>$E75*餐厅成本录入!AZ75</f>
        <v>0</v>
      </c>
      <c r="BA75" s="198">
        <f>$E75*餐厅成本录入!BA75</f>
        <v>0</v>
      </c>
      <c r="BB75" s="198">
        <f>$E75*餐厅成本录入!BB75</f>
        <v>115</v>
      </c>
      <c r="BC75" s="198">
        <f>$E75*餐厅成本录入!BC75</f>
        <v>115</v>
      </c>
      <c r="BD75" s="198">
        <f>$E75*餐厅成本录入!BD75</f>
        <v>0</v>
      </c>
      <c r="BE75" s="198">
        <f>$E75*餐厅成本录入!BE75</f>
        <v>0</v>
      </c>
      <c r="BF75" s="198">
        <f>$E75*餐厅成本录入!BF75</f>
        <v>115</v>
      </c>
      <c r="BG75" s="198">
        <f>$E75*餐厅成本录入!BG75</f>
        <v>115</v>
      </c>
      <c r="BH75" s="198">
        <f>$E75*餐厅成本录入!BH75</f>
        <v>0</v>
      </c>
      <c r="BI75" s="198">
        <f>$E75*餐厅成本录入!BI75</f>
        <v>0</v>
      </c>
      <c r="BJ75" s="198">
        <f>$E75*餐厅成本录入!BJ75</f>
        <v>0</v>
      </c>
      <c r="BK75" s="198">
        <f>$E75*餐厅成本录入!BK75</f>
        <v>0</v>
      </c>
      <c r="BL75" s="198">
        <f>$E75*餐厅成本录入!BL75</f>
        <v>0</v>
      </c>
      <c r="BM75" s="198">
        <f>$E75*餐厅成本录入!BM75</f>
        <v>0</v>
      </c>
      <c r="BN75" s="198">
        <f>$E75*餐厅成本录入!BN75</f>
        <v>0</v>
      </c>
      <c r="BO75" s="198">
        <f>$E75*餐厅成本录入!BO75</f>
        <v>0</v>
      </c>
      <c r="BP75" s="198">
        <f>$E75*餐厅成本录入!BP75</f>
        <v>0</v>
      </c>
      <c r="BQ75" s="198">
        <f>$E75*餐厅成本录入!BQ75</f>
        <v>0</v>
      </c>
      <c r="BR75" s="198">
        <f>$E75*餐厅成本录入!BR75</f>
        <v>0</v>
      </c>
      <c r="BS75" s="198">
        <f>$E75*餐厅成本录入!BS75</f>
        <v>0</v>
      </c>
      <c r="BT75" s="198">
        <f>$E75*餐厅成本录入!BT75</f>
        <v>0</v>
      </c>
      <c r="BU75" s="198">
        <f>$E75*餐厅成本录入!BU75</f>
        <v>0</v>
      </c>
      <c r="BV75" s="198">
        <f>$E75*餐厅成本录入!BV75</f>
        <v>0</v>
      </c>
      <c r="BW75" s="198">
        <f>$E75*餐厅成本录入!BW75</f>
        <v>0</v>
      </c>
    </row>
    <row r="76" s="178" customFormat="1" customHeight="1" spans="1:75">
      <c r="A76" s="161">
        <v>106</v>
      </c>
      <c r="B76" s="21" t="str">
        <f>餐厅成本录入!B76</f>
        <v>豆沙包</v>
      </c>
      <c r="C76" s="21">
        <f>餐厅成本录入!C76</f>
        <v>0</v>
      </c>
      <c r="D76" s="21">
        <f>餐厅成本录入!D76</f>
        <v>0</v>
      </c>
      <c r="E76" s="21">
        <f>餐厅成本录入!E76</f>
        <v>75</v>
      </c>
      <c r="F76" s="21">
        <f>餐厅成本录入!F76</f>
        <v>0</v>
      </c>
      <c r="G76" s="21">
        <f>餐厅成本录入!G76</f>
        <v>0</v>
      </c>
      <c r="H76" s="21">
        <f>餐厅成本录入!H76</f>
        <v>1</v>
      </c>
      <c r="I76" s="21">
        <f>餐厅成本录入!I76</f>
        <v>75</v>
      </c>
      <c r="J76" s="21">
        <f>餐厅成本录入!J76</f>
        <v>1</v>
      </c>
      <c r="K76" s="21">
        <f>餐厅成本录入!K76</f>
        <v>75</v>
      </c>
      <c r="L76" s="21">
        <f>餐厅成本录入!L76</f>
        <v>0</v>
      </c>
      <c r="M76" s="21">
        <f>餐厅成本录入!M76</f>
        <v>0</v>
      </c>
      <c r="N76" s="198">
        <f>$E76*餐厅成本录入!N76</f>
        <v>0</v>
      </c>
      <c r="O76" s="198">
        <f>$E76*餐厅成本录入!O76</f>
        <v>0</v>
      </c>
      <c r="P76" s="198">
        <f>$E76*餐厅成本录入!P76</f>
        <v>0</v>
      </c>
      <c r="Q76" s="198">
        <f>$E76*餐厅成本录入!Q76</f>
        <v>0</v>
      </c>
      <c r="R76" s="198">
        <f>$E76*餐厅成本录入!R76</f>
        <v>0</v>
      </c>
      <c r="S76" s="198">
        <f>$E76*餐厅成本录入!S76</f>
        <v>0</v>
      </c>
      <c r="T76" s="198">
        <f>$E76*餐厅成本录入!T76</f>
        <v>0</v>
      </c>
      <c r="U76" s="198">
        <f>$E76*餐厅成本录入!U76</f>
        <v>0</v>
      </c>
      <c r="V76" s="198">
        <f>$E76*餐厅成本录入!V76</f>
        <v>0</v>
      </c>
      <c r="W76" s="198">
        <f>$E76*餐厅成本录入!W76</f>
        <v>0</v>
      </c>
      <c r="X76" s="198">
        <f>$E76*餐厅成本录入!X76</f>
        <v>0</v>
      </c>
      <c r="Y76" s="198">
        <f>$E76*餐厅成本录入!Y76</f>
        <v>0</v>
      </c>
      <c r="Z76" s="198">
        <f>$E76*餐厅成本录入!Z76</f>
        <v>0</v>
      </c>
      <c r="AA76" s="198">
        <f>$E76*餐厅成本录入!AA76</f>
        <v>0</v>
      </c>
      <c r="AB76" s="198">
        <f>$E76*餐厅成本录入!AB76</f>
        <v>0</v>
      </c>
      <c r="AC76" s="198">
        <f>$E76*餐厅成本录入!AC76</f>
        <v>0</v>
      </c>
      <c r="AD76" s="198">
        <f>$E76*餐厅成本录入!AD76</f>
        <v>0</v>
      </c>
      <c r="AE76" s="198">
        <f>$E76*餐厅成本录入!AE76</f>
        <v>0</v>
      </c>
      <c r="AF76" s="198">
        <f>$E76*餐厅成本录入!AF76</f>
        <v>0</v>
      </c>
      <c r="AG76" s="198">
        <f>$E76*餐厅成本录入!AG76</f>
        <v>0</v>
      </c>
      <c r="AH76" s="198">
        <f>$E76*餐厅成本录入!AH76</f>
        <v>0</v>
      </c>
      <c r="AI76" s="198">
        <f>$E76*餐厅成本录入!AI76</f>
        <v>0</v>
      </c>
      <c r="AJ76" s="198">
        <f>$E76*餐厅成本录入!AJ76</f>
        <v>0</v>
      </c>
      <c r="AK76" s="198">
        <f>$E76*餐厅成本录入!AK76</f>
        <v>0</v>
      </c>
      <c r="AL76" s="198">
        <f>$E76*餐厅成本录入!AL76</f>
        <v>0</v>
      </c>
      <c r="AM76" s="198">
        <f>$E76*餐厅成本录入!AM76</f>
        <v>0</v>
      </c>
      <c r="AN76" s="198">
        <f>$E76*餐厅成本录入!AN76</f>
        <v>0</v>
      </c>
      <c r="AO76" s="198">
        <f>$E76*餐厅成本录入!AO76</f>
        <v>0</v>
      </c>
      <c r="AP76" s="198">
        <f>$E76*餐厅成本录入!AP76</f>
        <v>75</v>
      </c>
      <c r="AQ76" s="198">
        <f>$E76*餐厅成本录入!AQ76</f>
        <v>75</v>
      </c>
      <c r="AR76" s="198">
        <f>$E76*餐厅成本录入!AR76</f>
        <v>0</v>
      </c>
      <c r="AS76" s="198">
        <f>$E76*餐厅成本录入!AS76</f>
        <v>0</v>
      </c>
      <c r="AT76" s="198">
        <f>$E76*餐厅成本录入!AT76</f>
        <v>0</v>
      </c>
      <c r="AU76" s="198">
        <f>$E76*餐厅成本录入!AU76</f>
        <v>0</v>
      </c>
      <c r="AV76" s="198">
        <f>$E76*餐厅成本录入!AV76</f>
        <v>0</v>
      </c>
      <c r="AW76" s="198">
        <f>$E76*餐厅成本录入!AW76</f>
        <v>0</v>
      </c>
      <c r="AX76" s="198">
        <f>$E76*餐厅成本录入!AX76</f>
        <v>0</v>
      </c>
      <c r="AY76" s="198">
        <f>$E76*餐厅成本录入!AY76</f>
        <v>0</v>
      </c>
      <c r="AZ76" s="198">
        <f>$E76*餐厅成本录入!AZ76</f>
        <v>0</v>
      </c>
      <c r="BA76" s="198">
        <f>$E76*餐厅成本录入!BA76</f>
        <v>0</v>
      </c>
      <c r="BB76" s="198">
        <f>$E76*餐厅成本录入!BB76</f>
        <v>0</v>
      </c>
      <c r="BC76" s="198">
        <f>$E76*餐厅成本录入!BC76</f>
        <v>0</v>
      </c>
      <c r="BD76" s="198">
        <f>$E76*餐厅成本录入!BD76</f>
        <v>0</v>
      </c>
      <c r="BE76" s="198">
        <f>$E76*餐厅成本录入!BE76</f>
        <v>0</v>
      </c>
      <c r="BF76" s="198">
        <f>$E76*餐厅成本录入!BF76</f>
        <v>0</v>
      </c>
      <c r="BG76" s="198">
        <f>$E76*餐厅成本录入!BG76</f>
        <v>0</v>
      </c>
      <c r="BH76" s="198">
        <f>$E76*餐厅成本录入!BH76</f>
        <v>0</v>
      </c>
      <c r="BI76" s="198">
        <f>$E76*餐厅成本录入!BI76</f>
        <v>0</v>
      </c>
      <c r="BJ76" s="198">
        <f>$E76*餐厅成本录入!BJ76</f>
        <v>0</v>
      </c>
      <c r="BK76" s="198">
        <f>$E76*餐厅成本录入!BK76</f>
        <v>0</v>
      </c>
      <c r="BL76" s="198">
        <f>$E76*餐厅成本录入!BL76</f>
        <v>0</v>
      </c>
      <c r="BM76" s="198">
        <f>$E76*餐厅成本录入!BM76</f>
        <v>0</v>
      </c>
      <c r="BN76" s="198">
        <f>$E76*餐厅成本录入!BN76</f>
        <v>0</v>
      </c>
      <c r="BO76" s="198">
        <f>$E76*餐厅成本录入!BO76</f>
        <v>0</v>
      </c>
      <c r="BP76" s="198">
        <f>$E76*餐厅成本录入!BP76</f>
        <v>0</v>
      </c>
      <c r="BQ76" s="198">
        <f>$E76*餐厅成本录入!BQ76</f>
        <v>0</v>
      </c>
      <c r="BR76" s="198">
        <f>$E76*餐厅成本录入!BR76</f>
        <v>0</v>
      </c>
      <c r="BS76" s="198">
        <f>$E76*餐厅成本录入!BS76</f>
        <v>0</v>
      </c>
      <c r="BT76" s="198">
        <f>$E76*餐厅成本录入!BT76</f>
        <v>0</v>
      </c>
      <c r="BU76" s="198">
        <f>$E76*餐厅成本录入!BU76</f>
        <v>0</v>
      </c>
      <c r="BV76" s="198">
        <f>$E76*餐厅成本录入!BV76</f>
        <v>0</v>
      </c>
      <c r="BW76" s="198">
        <f>$E76*餐厅成本录入!BW76</f>
        <v>0</v>
      </c>
    </row>
    <row r="77" s="178" customFormat="1" customHeight="1" spans="1:75">
      <c r="A77" s="161">
        <v>107</v>
      </c>
      <c r="B77" s="21" t="str">
        <f>餐厅成本录入!B77</f>
        <v>小笼包</v>
      </c>
      <c r="C77" s="21">
        <f>餐厅成本录入!C77</f>
        <v>0</v>
      </c>
      <c r="D77" s="21">
        <f>餐厅成本录入!D77</f>
        <v>0</v>
      </c>
      <c r="E77" s="21">
        <f>餐厅成本录入!E77</f>
        <v>98</v>
      </c>
      <c r="F77" s="21">
        <f>餐厅成本录入!F77</f>
        <v>0</v>
      </c>
      <c r="G77" s="21">
        <f>餐厅成本录入!G77</f>
        <v>0</v>
      </c>
      <c r="H77" s="21">
        <f>餐厅成本录入!H77</f>
        <v>4</v>
      </c>
      <c r="I77" s="21">
        <f>餐厅成本录入!I77</f>
        <v>392</v>
      </c>
      <c r="J77" s="21">
        <f>餐厅成本录入!J77</f>
        <v>4</v>
      </c>
      <c r="K77" s="21">
        <f>餐厅成本录入!K77</f>
        <v>392</v>
      </c>
      <c r="L77" s="21">
        <f>餐厅成本录入!L77</f>
        <v>0</v>
      </c>
      <c r="M77" s="21">
        <f>餐厅成本录入!M77</f>
        <v>0</v>
      </c>
      <c r="N77" s="198">
        <f>$E77*餐厅成本录入!N77</f>
        <v>0</v>
      </c>
      <c r="O77" s="198">
        <f>$E77*餐厅成本录入!O77</f>
        <v>0</v>
      </c>
      <c r="P77" s="198">
        <f>$E77*餐厅成本录入!P77</f>
        <v>0</v>
      </c>
      <c r="Q77" s="198">
        <f>$E77*餐厅成本录入!Q77</f>
        <v>0</v>
      </c>
      <c r="R77" s="198">
        <f>$E77*餐厅成本录入!R77</f>
        <v>98</v>
      </c>
      <c r="S77" s="198">
        <f>$E77*餐厅成本录入!S77</f>
        <v>98</v>
      </c>
      <c r="T77" s="198">
        <f>$E77*餐厅成本录入!T77</f>
        <v>0</v>
      </c>
      <c r="U77" s="198">
        <f>$E77*餐厅成本录入!U77</f>
        <v>0</v>
      </c>
      <c r="V77" s="198">
        <f>$E77*餐厅成本录入!V77</f>
        <v>0</v>
      </c>
      <c r="W77" s="198">
        <f>$E77*餐厅成本录入!W77</f>
        <v>0</v>
      </c>
      <c r="X77" s="198">
        <f>$E77*餐厅成本录入!X77</f>
        <v>0</v>
      </c>
      <c r="Y77" s="198">
        <f>$E77*餐厅成本录入!Y77</f>
        <v>0</v>
      </c>
      <c r="Z77" s="198">
        <f>$E77*餐厅成本录入!Z77</f>
        <v>0</v>
      </c>
      <c r="AA77" s="198">
        <f>$E77*餐厅成本录入!AA77</f>
        <v>0</v>
      </c>
      <c r="AB77" s="198">
        <f>$E77*餐厅成本录入!AB77</f>
        <v>0</v>
      </c>
      <c r="AC77" s="198">
        <f>$E77*餐厅成本录入!AC77</f>
        <v>0</v>
      </c>
      <c r="AD77" s="198">
        <f>$E77*餐厅成本录入!AD77</f>
        <v>0</v>
      </c>
      <c r="AE77" s="198">
        <f>$E77*餐厅成本录入!AE77</f>
        <v>0</v>
      </c>
      <c r="AF77" s="198">
        <f>$E77*餐厅成本录入!AF77</f>
        <v>0</v>
      </c>
      <c r="AG77" s="198">
        <f>$E77*餐厅成本录入!AG77</f>
        <v>0</v>
      </c>
      <c r="AH77" s="198">
        <f>$E77*餐厅成本录入!AH77</f>
        <v>0</v>
      </c>
      <c r="AI77" s="198">
        <f>$E77*餐厅成本录入!AI77</f>
        <v>0</v>
      </c>
      <c r="AJ77" s="198">
        <f>$E77*餐厅成本录入!AJ77</f>
        <v>0</v>
      </c>
      <c r="AK77" s="198">
        <f>$E77*餐厅成本录入!AK77</f>
        <v>0</v>
      </c>
      <c r="AL77" s="198">
        <f>$E77*餐厅成本录入!AL77</f>
        <v>0</v>
      </c>
      <c r="AM77" s="198">
        <f>$E77*餐厅成本录入!AM77</f>
        <v>0</v>
      </c>
      <c r="AN77" s="198">
        <f>$E77*餐厅成本录入!AN77</f>
        <v>0</v>
      </c>
      <c r="AO77" s="198">
        <f>$E77*餐厅成本录入!AO77</f>
        <v>0</v>
      </c>
      <c r="AP77" s="198">
        <f>$E77*餐厅成本录入!AP77</f>
        <v>98</v>
      </c>
      <c r="AQ77" s="198">
        <f>$E77*餐厅成本录入!AQ77</f>
        <v>98</v>
      </c>
      <c r="AR77" s="198">
        <f>$E77*餐厅成本录入!AR77</f>
        <v>0</v>
      </c>
      <c r="AS77" s="198">
        <f>$E77*餐厅成本录入!AS77</f>
        <v>0</v>
      </c>
      <c r="AT77" s="198">
        <f>$E77*餐厅成本录入!AT77</f>
        <v>0</v>
      </c>
      <c r="AU77" s="198">
        <f>$E77*餐厅成本录入!AU77</f>
        <v>0</v>
      </c>
      <c r="AV77" s="198">
        <f>$E77*餐厅成本录入!AV77</f>
        <v>0</v>
      </c>
      <c r="AW77" s="198">
        <f>$E77*餐厅成本录入!AW77</f>
        <v>0</v>
      </c>
      <c r="AX77" s="198">
        <f>$E77*餐厅成本录入!AX77</f>
        <v>0</v>
      </c>
      <c r="AY77" s="198">
        <f>$E77*餐厅成本录入!AY77</f>
        <v>0</v>
      </c>
      <c r="AZ77" s="198">
        <f>$E77*餐厅成本录入!AZ77</f>
        <v>0</v>
      </c>
      <c r="BA77" s="198">
        <f>$E77*餐厅成本录入!BA77</f>
        <v>0</v>
      </c>
      <c r="BB77" s="198">
        <f>$E77*餐厅成本录入!BB77</f>
        <v>0</v>
      </c>
      <c r="BC77" s="198">
        <f>$E77*餐厅成本录入!BC77</f>
        <v>0</v>
      </c>
      <c r="BD77" s="198">
        <f>$E77*餐厅成本录入!BD77</f>
        <v>0</v>
      </c>
      <c r="BE77" s="198">
        <f>$E77*餐厅成本录入!BE77</f>
        <v>0</v>
      </c>
      <c r="BF77" s="198">
        <f>$E77*餐厅成本录入!BF77</f>
        <v>0</v>
      </c>
      <c r="BG77" s="198">
        <f>$E77*餐厅成本录入!BG77</f>
        <v>0</v>
      </c>
      <c r="BH77" s="198">
        <f>$E77*餐厅成本录入!BH77</f>
        <v>0</v>
      </c>
      <c r="BI77" s="198">
        <f>$E77*餐厅成本录入!BI77</f>
        <v>0</v>
      </c>
      <c r="BJ77" s="198">
        <f>$E77*餐厅成本录入!BJ77</f>
        <v>0</v>
      </c>
      <c r="BK77" s="198">
        <f>$E77*餐厅成本录入!BK77</f>
        <v>0</v>
      </c>
      <c r="BL77" s="198">
        <f>$E77*餐厅成本录入!BL77</f>
        <v>98</v>
      </c>
      <c r="BM77" s="198">
        <f>$E77*餐厅成本录入!BM77</f>
        <v>98</v>
      </c>
      <c r="BN77" s="198">
        <f>$E77*餐厅成本录入!BN77</f>
        <v>0</v>
      </c>
      <c r="BO77" s="198">
        <f>$E77*餐厅成本录入!BO77</f>
        <v>0</v>
      </c>
      <c r="BP77" s="198">
        <f>$E77*餐厅成本录入!BP77</f>
        <v>98</v>
      </c>
      <c r="BQ77" s="198">
        <f>$E77*餐厅成本录入!BQ77</f>
        <v>98</v>
      </c>
      <c r="BR77" s="198">
        <f>$E77*餐厅成本录入!BR77</f>
        <v>0</v>
      </c>
      <c r="BS77" s="198">
        <f>$E77*餐厅成本录入!BS77</f>
        <v>0</v>
      </c>
      <c r="BT77" s="198">
        <f>$E77*餐厅成本录入!BT77</f>
        <v>0</v>
      </c>
      <c r="BU77" s="198">
        <f>$E77*餐厅成本录入!BU77</f>
        <v>0</v>
      </c>
      <c r="BV77" s="198">
        <f>$E77*餐厅成本录入!BV77</f>
        <v>0</v>
      </c>
      <c r="BW77" s="198">
        <f>$E77*餐厅成本录入!BW77</f>
        <v>0</v>
      </c>
    </row>
    <row r="78" s="178" customFormat="1" customHeight="1" spans="1:75">
      <c r="A78" s="161">
        <v>108</v>
      </c>
      <c r="B78" s="21" t="str">
        <f>餐厅成本录入!B78</f>
        <v>油条</v>
      </c>
      <c r="C78" s="21">
        <f>餐厅成本录入!C78</f>
        <v>0</v>
      </c>
      <c r="D78" s="21">
        <f>餐厅成本录入!D78</f>
        <v>0</v>
      </c>
      <c r="E78" s="21">
        <f>餐厅成本录入!E78</f>
        <v>80</v>
      </c>
      <c r="F78" s="21">
        <f>餐厅成本录入!F78</f>
        <v>0</v>
      </c>
      <c r="G78" s="21">
        <f>餐厅成本录入!G78</f>
        <v>0</v>
      </c>
      <c r="H78" s="21">
        <f>餐厅成本录入!H78</f>
        <v>5</v>
      </c>
      <c r="I78" s="21">
        <f>餐厅成本录入!I78</f>
        <v>400</v>
      </c>
      <c r="J78" s="21">
        <f>餐厅成本录入!J78</f>
        <v>5</v>
      </c>
      <c r="K78" s="21">
        <f>餐厅成本录入!K78</f>
        <v>400</v>
      </c>
      <c r="L78" s="21">
        <f>餐厅成本录入!L78</f>
        <v>0</v>
      </c>
      <c r="M78" s="21">
        <f>餐厅成本录入!M78</f>
        <v>0</v>
      </c>
      <c r="N78" s="198">
        <f>$E78*餐厅成本录入!N78</f>
        <v>0</v>
      </c>
      <c r="O78" s="198">
        <f>$E78*餐厅成本录入!O78</f>
        <v>0</v>
      </c>
      <c r="P78" s="198">
        <f>$E78*餐厅成本录入!P78</f>
        <v>0</v>
      </c>
      <c r="Q78" s="198">
        <f>$E78*餐厅成本录入!Q78</f>
        <v>0</v>
      </c>
      <c r="R78" s="198">
        <f>$E78*餐厅成本录入!R78</f>
        <v>80</v>
      </c>
      <c r="S78" s="198">
        <f>$E78*餐厅成本录入!S78</f>
        <v>80</v>
      </c>
      <c r="T78" s="198">
        <f>$E78*餐厅成本录入!T78</f>
        <v>0</v>
      </c>
      <c r="U78" s="198">
        <f>$E78*餐厅成本录入!U78</f>
        <v>0</v>
      </c>
      <c r="V78" s="198">
        <f>$E78*餐厅成本录入!V78</f>
        <v>80</v>
      </c>
      <c r="W78" s="198">
        <f>$E78*餐厅成本录入!W78</f>
        <v>80</v>
      </c>
      <c r="X78" s="198">
        <f>$E78*餐厅成本录入!X78</f>
        <v>0</v>
      </c>
      <c r="Y78" s="198">
        <f>$E78*餐厅成本录入!Y78</f>
        <v>0</v>
      </c>
      <c r="Z78" s="198">
        <f>$E78*餐厅成本录入!Z78</f>
        <v>0</v>
      </c>
      <c r="AA78" s="198">
        <f>$E78*餐厅成本录入!AA78</f>
        <v>0</v>
      </c>
      <c r="AB78" s="198">
        <f>$E78*餐厅成本录入!AB78</f>
        <v>0</v>
      </c>
      <c r="AC78" s="198">
        <f>$E78*餐厅成本录入!AC78</f>
        <v>0</v>
      </c>
      <c r="AD78" s="198">
        <f>$E78*餐厅成本录入!AD78</f>
        <v>0</v>
      </c>
      <c r="AE78" s="198">
        <f>$E78*餐厅成本录入!AE78</f>
        <v>0</v>
      </c>
      <c r="AF78" s="198">
        <f>$E78*餐厅成本录入!AF78</f>
        <v>0</v>
      </c>
      <c r="AG78" s="198">
        <f>$E78*餐厅成本录入!AG78</f>
        <v>0</v>
      </c>
      <c r="AH78" s="198">
        <f>$E78*餐厅成本录入!AH78</f>
        <v>0</v>
      </c>
      <c r="AI78" s="198">
        <f>$E78*餐厅成本录入!AI78</f>
        <v>0</v>
      </c>
      <c r="AJ78" s="198">
        <f>$E78*餐厅成本录入!AJ78</f>
        <v>0</v>
      </c>
      <c r="AK78" s="198">
        <f>$E78*餐厅成本录入!AK78</f>
        <v>0</v>
      </c>
      <c r="AL78" s="198">
        <f>$E78*餐厅成本录入!AL78</f>
        <v>0</v>
      </c>
      <c r="AM78" s="198">
        <f>$E78*餐厅成本录入!AM78</f>
        <v>0</v>
      </c>
      <c r="AN78" s="198">
        <f>$E78*餐厅成本录入!AN78</f>
        <v>0</v>
      </c>
      <c r="AO78" s="198">
        <f>$E78*餐厅成本录入!AO78</f>
        <v>0</v>
      </c>
      <c r="AP78" s="198">
        <f>$E78*餐厅成本录入!AP78</f>
        <v>80</v>
      </c>
      <c r="AQ78" s="198">
        <f>$E78*餐厅成本录入!AQ78</f>
        <v>80</v>
      </c>
      <c r="AR78" s="198">
        <f>$E78*餐厅成本录入!AR78</f>
        <v>0</v>
      </c>
      <c r="AS78" s="198">
        <f>$E78*餐厅成本录入!AS78</f>
        <v>0</v>
      </c>
      <c r="AT78" s="198">
        <f>$E78*餐厅成本录入!AT78</f>
        <v>80</v>
      </c>
      <c r="AU78" s="198">
        <f>$E78*餐厅成本录入!AU78</f>
        <v>80</v>
      </c>
      <c r="AV78" s="198">
        <f>$E78*餐厅成本录入!AV78</f>
        <v>0</v>
      </c>
      <c r="AW78" s="198">
        <f>$E78*餐厅成本录入!AW78</f>
        <v>0</v>
      </c>
      <c r="AX78" s="198">
        <f>$E78*餐厅成本录入!AX78</f>
        <v>0</v>
      </c>
      <c r="AY78" s="198">
        <f>$E78*餐厅成本录入!AY78</f>
        <v>0</v>
      </c>
      <c r="AZ78" s="198">
        <f>$E78*餐厅成本录入!AZ78</f>
        <v>0</v>
      </c>
      <c r="BA78" s="198">
        <f>$E78*餐厅成本录入!BA78</f>
        <v>0</v>
      </c>
      <c r="BB78" s="198">
        <f>$E78*餐厅成本录入!BB78</f>
        <v>0</v>
      </c>
      <c r="BC78" s="198">
        <f>$E78*餐厅成本录入!BC78</f>
        <v>0</v>
      </c>
      <c r="BD78" s="198">
        <f>$E78*餐厅成本录入!BD78</f>
        <v>0</v>
      </c>
      <c r="BE78" s="198">
        <f>$E78*餐厅成本录入!BE78</f>
        <v>0</v>
      </c>
      <c r="BF78" s="198">
        <f>$E78*餐厅成本录入!BF78</f>
        <v>0</v>
      </c>
      <c r="BG78" s="198">
        <f>$E78*餐厅成本录入!BG78</f>
        <v>0</v>
      </c>
      <c r="BH78" s="198">
        <f>$E78*餐厅成本录入!BH78</f>
        <v>0</v>
      </c>
      <c r="BI78" s="198">
        <f>$E78*餐厅成本录入!BI78</f>
        <v>0</v>
      </c>
      <c r="BJ78" s="198">
        <f>$E78*餐厅成本录入!BJ78</f>
        <v>0</v>
      </c>
      <c r="BK78" s="198">
        <f>$E78*餐厅成本录入!BK78</f>
        <v>0</v>
      </c>
      <c r="BL78" s="198">
        <f>$E78*餐厅成本录入!BL78</f>
        <v>80</v>
      </c>
      <c r="BM78" s="198">
        <f>$E78*餐厅成本录入!BM78</f>
        <v>80</v>
      </c>
      <c r="BN78" s="198">
        <f>$E78*餐厅成本录入!BN78</f>
        <v>0</v>
      </c>
      <c r="BO78" s="198">
        <f>$E78*餐厅成本录入!BO78</f>
        <v>0</v>
      </c>
      <c r="BP78" s="198">
        <f>$E78*餐厅成本录入!BP78</f>
        <v>0</v>
      </c>
      <c r="BQ78" s="198">
        <f>$E78*餐厅成本录入!BQ78</f>
        <v>0</v>
      </c>
      <c r="BR78" s="198">
        <f>$E78*餐厅成本录入!BR78</f>
        <v>0</v>
      </c>
      <c r="BS78" s="198">
        <f>$E78*餐厅成本录入!BS78</f>
        <v>0</v>
      </c>
      <c r="BT78" s="198">
        <f>$E78*餐厅成本录入!BT78</f>
        <v>0</v>
      </c>
      <c r="BU78" s="198">
        <f>$E78*餐厅成本录入!BU78</f>
        <v>0</v>
      </c>
      <c r="BV78" s="198">
        <f>$E78*餐厅成本录入!BV78</f>
        <v>0</v>
      </c>
      <c r="BW78" s="198">
        <f>$E78*餐厅成本录入!BW78</f>
        <v>0</v>
      </c>
    </row>
    <row r="79" s="178" customFormat="1" customHeight="1" spans="1:75">
      <c r="A79" s="161">
        <v>110</v>
      </c>
      <c r="B79" s="21" t="str">
        <f>餐厅成本录入!B79</f>
        <v>地瓜丸</v>
      </c>
      <c r="C79" s="21">
        <f>餐厅成本录入!C79</f>
        <v>0</v>
      </c>
      <c r="D79" s="21">
        <f>餐厅成本录入!D79</f>
        <v>0</v>
      </c>
      <c r="E79" s="21">
        <f>餐厅成本录入!E79</f>
        <v>48</v>
      </c>
      <c r="F79" s="21">
        <f>餐厅成本录入!F79</f>
        <v>0</v>
      </c>
      <c r="G79" s="21">
        <f>餐厅成本录入!G79</f>
        <v>0</v>
      </c>
      <c r="H79" s="21">
        <f>餐厅成本录入!H79</f>
        <v>4</v>
      </c>
      <c r="I79" s="21">
        <f>餐厅成本录入!I79</f>
        <v>192</v>
      </c>
      <c r="J79" s="21">
        <f>餐厅成本录入!J79</f>
        <v>4</v>
      </c>
      <c r="K79" s="21">
        <f>餐厅成本录入!K79</f>
        <v>192</v>
      </c>
      <c r="L79" s="21">
        <f>餐厅成本录入!L79</f>
        <v>0</v>
      </c>
      <c r="M79" s="21">
        <f>餐厅成本录入!M79</f>
        <v>0</v>
      </c>
      <c r="N79" s="198">
        <f>$E79*餐厅成本录入!N79</f>
        <v>48</v>
      </c>
      <c r="O79" s="198">
        <f>$E79*餐厅成本录入!O79</f>
        <v>48</v>
      </c>
      <c r="P79" s="198">
        <f>$E79*餐厅成本录入!P79</f>
        <v>0</v>
      </c>
      <c r="Q79" s="198">
        <f>$E79*餐厅成本录入!Q79</f>
        <v>0</v>
      </c>
      <c r="R79" s="198">
        <f>$E79*餐厅成本录入!R79</f>
        <v>0</v>
      </c>
      <c r="S79" s="198">
        <f>$E79*餐厅成本录入!S79</f>
        <v>0</v>
      </c>
      <c r="T79" s="198">
        <f>$E79*餐厅成本录入!T79</f>
        <v>0</v>
      </c>
      <c r="U79" s="198">
        <f>$E79*餐厅成本录入!U79</f>
        <v>0</v>
      </c>
      <c r="V79" s="198">
        <f>$E79*餐厅成本录入!V79</f>
        <v>0</v>
      </c>
      <c r="W79" s="198">
        <f>$E79*餐厅成本录入!W79</f>
        <v>0</v>
      </c>
      <c r="X79" s="198">
        <f>$E79*餐厅成本录入!X79</f>
        <v>0</v>
      </c>
      <c r="Y79" s="198">
        <f>$E79*餐厅成本录入!Y79</f>
        <v>0</v>
      </c>
      <c r="Z79" s="198">
        <f>$E79*餐厅成本录入!Z79</f>
        <v>0</v>
      </c>
      <c r="AA79" s="198">
        <f>$E79*餐厅成本录入!AA79</f>
        <v>0</v>
      </c>
      <c r="AB79" s="198">
        <f>$E79*餐厅成本录入!AB79</f>
        <v>0</v>
      </c>
      <c r="AC79" s="198">
        <f>$E79*餐厅成本录入!AC79</f>
        <v>0</v>
      </c>
      <c r="AD79" s="198">
        <f>$E79*餐厅成本录入!AD79</f>
        <v>0</v>
      </c>
      <c r="AE79" s="198">
        <f>$E79*餐厅成本录入!AE79</f>
        <v>0</v>
      </c>
      <c r="AF79" s="198">
        <f>$E79*餐厅成本录入!AF79</f>
        <v>0</v>
      </c>
      <c r="AG79" s="198">
        <f>$E79*餐厅成本录入!AG79</f>
        <v>0</v>
      </c>
      <c r="AH79" s="198">
        <f>$E79*餐厅成本录入!AH79</f>
        <v>0</v>
      </c>
      <c r="AI79" s="198">
        <f>$E79*餐厅成本录入!AI79</f>
        <v>0</v>
      </c>
      <c r="AJ79" s="198">
        <f>$E79*餐厅成本录入!AJ79</f>
        <v>0</v>
      </c>
      <c r="AK79" s="198">
        <f>$E79*餐厅成本录入!AK79</f>
        <v>0</v>
      </c>
      <c r="AL79" s="198">
        <f>$E79*餐厅成本录入!AL79</f>
        <v>0</v>
      </c>
      <c r="AM79" s="198">
        <f>$E79*餐厅成本录入!AM79</f>
        <v>0</v>
      </c>
      <c r="AN79" s="198">
        <f>$E79*餐厅成本录入!AN79</f>
        <v>0</v>
      </c>
      <c r="AO79" s="198">
        <f>$E79*餐厅成本录入!AO79</f>
        <v>0</v>
      </c>
      <c r="AP79" s="198">
        <f>$E79*餐厅成本录入!AP79</f>
        <v>48</v>
      </c>
      <c r="AQ79" s="198">
        <f>$E79*餐厅成本录入!AQ79</f>
        <v>48</v>
      </c>
      <c r="AR79" s="198">
        <f>$E79*餐厅成本录入!AR79</f>
        <v>0</v>
      </c>
      <c r="AS79" s="198">
        <f>$E79*餐厅成本录入!AS79</f>
        <v>0</v>
      </c>
      <c r="AT79" s="198">
        <f>$E79*餐厅成本录入!AT79</f>
        <v>0</v>
      </c>
      <c r="AU79" s="198">
        <f>$E79*餐厅成本录入!AU79</f>
        <v>0</v>
      </c>
      <c r="AV79" s="198">
        <f>$E79*餐厅成本录入!AV79</f>
        <v>0</v>
      </c>
      <c r="AW79" s="198">
        <f>$E79*餐厅成本录入!AW79</f>
        <v>0</v>
      </c>
      <c r="AX79" s="198">
        <f>$E79*餐厅成本录入!AX79</f>
        <v>0</v>
      </c>
      <c r="AY79" s="198">
        <f>$E79*餐厅成本录入!AY79</f>
        <v>0</v>
      </c>
      <c r="AZ79" s="198">
        <f>$E79*餐厅成本录入!AZ79</f>
        <v>0</v>
      </c>
      <c r="BA79" s="198">
        <f>$E79*餐厅成本录入!BA79</f>
        <v>0</v>
      </c>
      <c r="BB79" s="198">
        <f>$E79*餐厅成本录入!BB79</f>
        <v>48</v>
      </c>
      <c r="BC79" s="198">
        <f>$E79*餐厅成本录入!BC79</f>
        <v>48</v>
      </c>
      <c r="BD79" s="198">
        <f>$E79*餐厅成本录入!BD79</f>
        <v>0</v>
      </c>
      <c r="BE79" s="198">
        <f>$E79*餐厅成本录入!BE79</f>
        <v>0</v>
      </c>
      <c r="BF79" s="198">
        <f>$E79*餐厅成本录入!BF79</f>
        <v>0</v>
      </c>
      <c r="BG79" s="198">
        <f>$E79*餐厅成本录入!BG79</f>
        <v>0</v>
      </c>
      <c r="BH79" s="198">
        <f>$E79*餐厅成本录入!BH79</f>
        <v>0</v>
      </c>
      <c r="BI79" s="198">
        <f>$E79*餐厅成本录入!BI79</f>
        <v>0</v>
      </c>
      <c r="BJ79" s="198">
        <f>$E79*餐厅成本录入!BJ79</f>
        <v>0</v>
      </c>
      <c r="BK79" s="198">
        <f>$E79*餐厅成本录入!BK79</f>
        <v>0</v>
      </c>
      <c r="BL79" s="198">
        <f>$E79*餐厅成本录入!BL79</f>
        <v>48</v>
      </c>
      <c r="BM79" s="198">
        <f>$E79*餐厅成本录入!BM79</f>
        <v>48</v>
      </c>
      <c r="BN79" s="198">
        <f>$E79*餐厅成本录入!BN79</f>
        <v>0</v>
      </c>
      <c r="BO79" s="198">
        <f>$E79*餐厅成本录入!BO79</f>
        <v>0</v>
      </c>
      <c r="BP79" s="198">
        <f>$E79*餐厅成本录入!BP79</f>
        <v>0</v>
      </c>
      <c r="BQ79" s="198">
        <f>$E79*餐厅成本录入!BQ79</f>
        <v>0</v>
      </c>
      <c r="BR79" s="198">
        <f>$E79*餐厅成本录入!BR79</f>
        <v>0</v>
      </c>
      <c r="BS79" s="198">
        <f>$E79*餐厅成本录入!BS79</f>
        <v>0</v>
      </c>
      <c r="BT79" s="198">
        <f>$E79*餐厅成本录入!BT79</f>
        <v>0</v>
      </c>
      <c r="BU79" s="198">
        <f>$E79*餐厅成本录入!BU79</f>
        <v>0</v>
      </c>
      <c r="BV79" s="198">
        <f>$E79*餐厅成本录入!BV79</f>
        <v>0</v>
      </c>
      <c r="BW79" s="198">
        <f>$E79*餐厅成本录入!BW79</f>
        <v>0</v>
      </c>
    </row>
    <row r="80" s="178" customFormat="1" customHeight="1" spans="1:75">
      <c r="A80" s="161">
        <v>111</v>
      </c>
      <c r="B80" s="21" t="str">
        <f>餐厅成本录入!B80</f>
        <v>花卷</v>
      </c>
      <c r="C80" s="21">
        <f>餐厅成本录入!C80</f>
        <v>0</v>
      </c>
      <c r="D80" s="21">
        <f>餐厅成本录入!D80</f>
        <v>0</v>
      </c>
      <c r="E80" s="21">
        <f>餐厅成本录入!E80</f>
        <v>75</v>
      </c>
      <c r="F80" s="21">
        <f>餐厅成本录入!F80</f>
        <v>0</v>
      </c>
      <c r="G80" s="21">
        <f>餐厅成本录入!G80</f>
        <v>0</v>
      </c>
      <c r="H80" s="21">
        <f>餐厅成本录入!H80</f>
        <v>4</v>
      </c>
      <c r="I80" s="21">
        <f>餐厅成本录入!I80</f>
        <v>300</v>
      </c>
      <c r="J80" s="21">
        <f>餐厅成本录入!J80</f>
        <v>4</v>
      </c>
      <c r="K80" s="21">
        <f>餐厅成本录入!K80</f>
        <v>300</v>
      </c>
      <c r="L80" s="21">
        <f>餐厅成本录入!L80</f>
        <v>0</v>
      </c>
      <c r="M80" s="21">
        <f>餐厅成本录入!M80</f>
        <v>0</v>
      </c>
      <c r="N80" s="198">
        <f>$E80*餐厅成本录入!N80</f>
        <v>0</v>
      </c>
      <c r="O80" s="198">
        <f>$E80*餐厅成本录入!O80</f>
        <v>0</v>
      </c>
      <c r="P80" s="198">
        <f>$E80*餐厅成本录入!P80</f>
        <v>0</v>
      </c>
      <c r="Q80" s="198">
        <f>$E80*餐厅成本录入!Q80</f>
        <v>0</v>
      </c>
      <c r="R80" s="198">
        <f>$E80*餐厅成本录入!R80</f>
        <v>0</v>
      </c>
      <c r="S80" s="198">
        <f>$E80*餐厅成本录入!S80</f>
        <v>0</v>
      </c>
      <c r="T80" s="198">
        <f>$E80*餐厅成本录入!T80</f>
        <v>0</v>
      </c>
      <c r="U80" s="198">
        <f>$E80*餐厅成本录入!U80</f>
        <v>0</v>
      </c>
      <c r="V80" s="198">
        <f>$E80*餐厅成本录入!V80</f>
        <v>75</v>
      </c>
      <c r="W80" s="198">
        <f>$E80*餐厅成本录入!W80</f>
        <v>75</v>
      </c>
      <c r="X80" s="198">
        <f>$E80*餐厅成本录入!X80</f>
        <v>0</v>
      </c>
      <c r="Y80" s="198">
        <f>$E80*餐厅成本录入!Y80</f>
        <v>0</v>
      </c>
      <c r="Z80" s="198">
        <f>$E80*餐厅成本录入!Z80</f>
        <v>0</v>
      </c>
      <c r="AA80" s="198">
        <f>$E80*餐厅成本录入!AA80</f>
        <v>0</v>
      </c>
      <c r="AB80" s="198">
        <f>$E80*餐厅成本录入!AB80</f>
        <v>0</v>
      </c>
      <c r="AC80" s="198">
        <f>$E80*餐厅成本录入!AC80</f>
        <v>0</v>
      </c>
      <c r="AD80" s="198">
        <f>$E80*餐厅成本录入!AD80</f>
        <v>0</v>
      </c>
      <c r="AE80" s="198">
        <f>$E80*餐厅成本录入!AE80</f>
        <v>0</v>
      </c>
      <c r="AF80" s="198">
        <f>$E80*餐厅成本录入!AF80</f>
        <v>0</v>
      </c>
      <c r="AG80" s="198">
        <f>$E80*餐厅成本录入!AG80</f>
        <v>0</v>
      </c>
      <c r="AH80" s="198">
        <f>$E80*餐厅成本录入!AH80</f>
        <v>0</v>
      </c>
      <c r="AI80" s="198">
        <f>$E80*餐厅成本录入!AI80</f>
        <v>0</v>
      </c>
      <c r="AJ80" s="198">
        <f>$E80*餐厅成本录入!AJ80</f>
        <v>0</v>
      </c>
      <c r="AK80" s="198">
        <f>$E80*餐厅成本录入!AK80</f>
        <v>0</v>
      </c>
      <c r="AL80" s="198">
        <f>$E80*餐厅成本录入!AL80</f>
        <v>0</v>
      </c>
      <c r="AM80" s="198">
        <f>$E80*餐厅成本录入!AM80</f>
        <v>0</v>
      </c>
      <c r="AN80" s="198">
        <f>$E80*餐厅成本录入!AN80</f>
        <v>0</v>
      </c>
      <c r="AO80" s="198">
        <f>$E80*餐厅成本录入!AO80</f>
        <v>0</v>
      </c>
      <c r="AP80" s="198">
        <f>$E80*餐厅成本录入!AP80</f>
        <v>75</v>
      </c>
      <c r="AQ80" s="198">
        <f>$E80*餐厅成本录入!AQ80</f>
        <v>75</v>
      </c>
      <c r="AR80" s="198">
        <f>$E80*餐厅成本录入!AR80</f>
        <v>0</v>
      </c>
      <c r="AS80" s="198">
        <f>$E80*餐厅成本录入!AS80</f>
        <v>0</v>
      </c>
      <c r="AT80" s="198">
        <f>$E80*餐厅成本录入!AT80</f>
        <v>0</v>
      </c>
      <c r="AU80" s="198">
        <f>$E80*餐厅成本录入!AU80</f>
        <v>0</v>
      </c>
      <c r="AV80" s="198">
        <f>$E80*餐厅成本录入!AV80</f>
        <v>0</v>
      </c>
      <c r="AW80" s="198">
        <f>$E80*餐厅成本录入!AW80</f>
        <v>0</v>
      </c>
      <c r="AX80" s="198">
        <f>$E80*餐厅成本录入!AX80</f>
        <v>0</v>
      </c>
      <c r="AY80" s="198">
        <f>$E80*餐厅成本录入!AY80</f>
        <v>0</v>
      </c>
      <c r="AZ80" s="198">
        <f>$E80*餐厅成本录入!AZ80</f>
        <v>0</v>
      </c>
      <c r="BA80" s="198">
        <f>$E80*餐厅成本录入!BA80</f>
        <v>0</v>
      </c>
      <c r="BB80" s="198">
        <f>$E80*餐厅成本录入!BB80</f>
        <v>0</v>
      </c>
      <c r="BC80" s="198">
        <f>$E80*餐厅成本录入!BC80</f>
        <v>0</v>
      </c>
      <c r="BD80" s="198">
        <f>$E80*餐厅成本录入!BD80</f>
        <v>0</v>
      </c>
      <c r="BE80" s="198">
        <f>$E80*餐厅成本录入!BE80</f>
        <v>0</v>
      </c>
      <c r="BF80" s="198">
        <f>$E80*餐厅成本录入!BF80</f>
        <v>0</v>
      </c>
      <c r="BG80" s="198">
        <f>$E80*餐厅成本录入!BG80</f>
        <v>0</v>
      </c>
      <c r="BH80" s="198">
        <f>$E80*餐厅成本录入!BH80</f>
        <v>0</v>
      </c>
      <c r="BI80" s="198">
        <f>$E80*餐厅成本录入!BI80</f>
        <v>0</v>
      </c>
      <c r="BJ80" s="198">
        <f>$E80*餐厅成本录入!BJ80</f>
        <v>0</v>
      </c>
      <c r="BK80" s="198">
        <f>$E80*餐厅成本录入!BK80</f>
        <v>0</v>
      </c>
      <c r="BL80" s="198">
        <f>$E80*餐厅成本录入!BL80</f>
        <v>0</v>
      </c>
      <c r="BM80" s="198">
        <f>$E80*餐厅成本录入!BM80</f>
        <v>0</v>
      </c>
      <c r="BN80" s="198">
        <f>$E80*餐厅成本录入!BN80</f>
        <v>0</v>
      </c>
      <c r="BO80" s="198">
        <f>$E80*餐厅成本录入!BO80</f>
        <v>0</v>
      </c>
      <c r="BP80" s="198">
        <f>$E80*餐厅成本录入!BP80</f>
        <v>75</v>
      </c>
      <c r="BQ80" s="198">
        <f>$E80*餐厅成本录入!BQ80</f>
        <v>75</v>
      </c>
      <c r="BR80" s="198">
        <f>$E80*餐厅成本录入!BR80</f>
        <v>0</v>
      </c>
      <c r="BS80" s="198">
        <f>$E80*餐厅成本录入!BS80</f>
        <v>0</v>
      </c>
      <c r="BT80" s="198">
        <f>$E80*餐厅成本录入!BT80</f>
        <v>75</v>
      </c>
      <c r="BU80" s="198">
        <f>$E80*餐厅成本录入!BU80</f>
        <v>75</v>
      </c>
      <c r="BV80" s="198">
        <f>$E80*餐厅成本录入!BV80</f>
        <v>0</v>
      </c>
      <c r="BW80" s="198">
        <f>$E80*餐厅成本录入!BW80</f>
        <v>0</v>
      </c>
    </row>
    <row r="81" s="178" customFormat="1" customHeight="1" spans="1:75">
      <c r="A81" s="161">
        <v>112</v>
      </c>
      <c r="B81" s="21" t="str">
        <f>餐厅成本录入!B81</f>
        <v>小馄饨</v>
      </c>
      <c r="C81" s="21">
        <f>餐厅成本录入!C81</f>
        <v>0</v>
      </c>
      <c r="D81" s="21">
        <f>餐厅成本录入!D81</f>
        <v>0</v>
      </c>
      <c r="E81" s="21">
        <f>餐厅成本录入!E81</f>
        <v>116</v>
      </c>
      <c r="F81" s="21">
        <f>餐厅成本录入!F81</f>
        <v>0</v>
      </c>
      <c r="G81" s="21">
        <f>餐厅成本录入!G81</f>
        <v>0</v>
      </c>
      <c r="H81" s="21">
        <f>餐厅成本录入!H81</f>
        <v>7</v>
      </c>
      <c r="I81" s="21">
        <f>餐厅成本录入!I81</f>
        <v>812</v>
      </c>
      <c r="J81" s="21">
        <f>餐厅成本录入!J81</f>
        <v>7</v>
      </c>
      <c r="K81" s="21">
        <f>餐厅成本录入!K81</f>
        <v>812</v>
      </c>
      <c r="L81" s="21">
        <f>餐厅成本录入!L81</f>
        <v>0</v>
      </c>
      <c r="M81" s="21">
        <f>餐厅成本录入!M81</f>
        <v>0</v>
      </c>
      <c r="N81" s="198">
        <f>$E81*餐厅成本录入!N81</f>
        <v>0</v>
      </c>
      <c r="O81" s="198">
        <f>$E81*餐厅成本录入!O81</f>
        <v>0</v>
      </c>
      <c r="P81" s="198">
        <f>$E81*餐厅成本录入!P81</f>
        <v>0</v>
      </c>
      <c r="Q81" s="198">
        <f>$E81*餐厅成本录入!Q81</f>
        <v>0</v>
      </c>
      <c r="R81" s="198">
        <f>$E81*餐厅成本录入!R81</f>
        <v>116</v>
      </c>
      <c r="S81" s="198">
        <f>$E81*餐厅成本录入!S81</f>
        <v>116</v>
      </c>
      <c r="T81" s="198">
        <f>$E81*餐厅成本录入!T81</f>
        <v>0</v>
      </c>
      <c r="U81" s="198">
        <f>$E81*餐厅成本录入!U81</f>
        <v>0</v>
      </c>
      <c r="V81" s="198">
        <f>$E81*餐厅成本录入!V81</f>
        <v>0</v>
      </c>
      <c r="W81" s="198">
        <f>$E81*餐厅成本录入!W81</f>
        <v>0</v>
      </c>
      <c r="X81" s="198">
        <f>$E81*餐厅成本录入!X81</f>
        <v>116</v>
      </c>
      <c r="Y81" s="198">
        <f>$E81*餐厅成本录入!Y81</f>
        <v>116</v>
      </c>
      <c r="Z81" s="198">
        <f>$E81*餐厅成本录入!Z81</f>
        <v>0</v>
      </c>
      <c r="AA81" s="198">
        <f>$E81*餐厅成本录入!AA81</f>
        <v>0</v>
      </c>
      <c r="AB81" s="198">
        <f>$E81*餐厅成本录入!AB81</f>
        <v>0</v>
      </c>
      <c r="AC81" s="198">
        <f>$E81*餐厅成本录入!AC81</f>
        <v>0</v>
      </c>
      <c r="AD81" s="198">
        <f>$E81*餐厅成本录入!AD81</f>
        <v>0</v>
      </c>
      <c r="AE81" s="198">
        <f>$E81*餐厅成本录入!AE81</f>
        <v>0</v>
      </c>
      <c r="AF81" s="198">
        <f>$E81*餐厅成本录入!AF81</f>
        <v>0</v>
      </c>
      <c r="AG81" s="198">
        <f>$E81*餐厅成本录入!AG81</f>
        <v>0</v>
      </c>
      <c r="AH81" s="198">
        <f>$E81*餐厅成本录入!AH81</f>
        <v>0</v>
      </c>
      <c r="AI81" s="198">
        <f>$E81*餐厅成本录入!AI81</f>
        <v>0</v>
      </c>
      <c r="AJ81" s="198">
        <f>$E81*餐厅成本录入!AJ81</f>
        <v>0</v>
      </c>
      <c r="AK81" s="198">
        <f>$E81*餐厅成本录入!AK81</f>
        <v>0</v>
      </c>
      <c r="AL81" s="198">
        <f>$E81*餐厅成本录入!AL81</f>
        <v>116</v>
      </c>
      <c r="AM81" s="198">
        <f>$E81*餐厅成本录入!AM81</f>
        <v>116</v>
      </c>
      <c r="AN81" s="198">
        <f>$E81*餐厅成本录入!AN81</f>
        <v>0</v>
      </c>
      <c r="AO81" s="198">
        <f>$E81*餐厅成本录入!AO81</f>
        <v>0</v>
      </c>
      <c r="AP81" s="198">
        <f>$E81*餐厅成本录入!AP81</f>
        <v>0</v>
      </c>
      <c r="AQ81" s="198">
        <f>$E81*餐厅成本录入!AQ81</f>
        <v>0</v>
      </c>
      <c r="AR81" s="198">
        <f>$E81*餐厅成本录入!AR81</f>
        <v>0</v>
      </c>
      <c r="AS81" s="198">
        <f>$E81*餐厅成本录入!AS81</f>
        <v>0</v>
      </c>
      <c r="AT81" s="198">
        <f>$E81*餐厅成本录入!AT81</f>
        <v>116</v>
      </c>
      <c r="AU81" s="198">
        <f>$E81*餐厅成本录入!AU81</f>
        <v>116</v>
      </c>
      <c r="AV81" s="198">
        <f>$E81*餐厅成本录入!AV81</f>
        <v>0</v>
      </c>
      <c r="AW81" s="198">
        <f>$E81*餐厅成本录入!AW81</f>
        <v>0</v>
      </c>
      <c r="AX81" s="198">
        <f>$E81*餐厅成本录入!AX81</f>
        <v>0</v>
      </c>
      <c r="AY81" s="198">
        <f>$E81*餐厅成本录入!AY81</f>
        <v>0</v>
      </c>
      <c r="AZ81" s="198">
        <f>$E81*餐厅成本录入!AZ81</f>
        <v>0</v>
      </c>
      <c r="BA81" s="198">
        <f>$E81*餐厅成本录入!BA81</f>
        <v>0</v>
      </c>
      <c r="BB81" s="198">
        <f>$E81*餐厅成本录入!BB81</f>
        <v>0</v>
      </c>
      <c r="BC81" s="198">
        <f>$E81*餐厅成本录入!BC81</f>
        <v>0</v>
      </c>
      <c r="BD81" s="198">
        <f>$E81*餐厅成本录入!BD81</f>
        <v>0</v>
      </c>
      <c r="BE81" s="198">
        <f>$E81*餐厅成本录入!BE81</f>
        <v>0</v>
      </c>
      <c r="BF81" s="198">
        <f>$E81*餐厅成本录入!BF81</f>
        <v>0</v>
      </c>
      <c r="BG81" s="198">
        <f>$E81*餐厅成本录入!BG81</f>
        <v>0</v>
      </c>
      <c r="BH81" s="198">
        <f>$E81*餐厅成本录入!BH81</f>
        <v>0</v>
      </c>
      <c r="BI81" s="198">
        <f>$E81*餐厅成本录入!BI81</f>
        <v>0</v>
      </c>
      <c r="BJ81" s="198">
        <f>$E81*餐厅成本录入!BJ81</f>
        <v>0</v>
      </c>
      <c r="BK81" s="198">
        <f>$E81*餐厅成本录入!BK81</f>
        <v>0</v>
      </c>
      <c r="BL81" s="198">
        <f>$E81*餐厅成本录入!BL81</f>
        <v>116</v>
      </c>
      <c r="BM81" s="198">
        <f>$E81*餐厅成本录入!BM81</f>
        <v>116</v>
      </c>
      <c r="BN81" s="198">
        <f>$E81*餐厅成本录入!BN81</f>
        <v>0</v>
      </c>
      <c r="BO81" s="198">
        <f>$E81*餐厅成本录入!BO81</f>
        <v>0</v>
      </c>
      <c r="BP81" s="198">
        <f>$E81*餐厅成本录入!BP81</f>
        <v>116</v>
      </c>
      <c r="BQ81" s="198">
        <f>$E81*餐厅成本录入!BQ81</f>
        <v>116</v>
      </c>
      <c r="BR81" s="198">
        <f>$E81*餐厅成本录入!BR81</f>
        <v>0</v>
      </c>
      <c r="BS81" s="198">
        <f>$E81*餐厅成本录入!BS81</f>
        <v>0</v>
      </c>
      <c r="BT81" s="198">
        <f>$E81*餐厅成本录入!BT81</f>
        <v>116</v>
      </c>
      <c r="BU81" s="198">
        <f>$E81*餐厅成本录入!BU81</f>
        <v>116</v>
      </c>
      <c r="BV81" s="198">
        <f>$E81*餐厅成本录入!BV81</f>
        <v>0</v>
      </c>
      <c r="BW81" s="198">
        <f>$E81*餐厅成本录入!BW81</f>
        <v>0</v>
      </c>
    </row>
    <row r="82" s="178" customFormat="1" customHeight="1" spans="1:75">
      <c r="A82" s="161">
        <v>113</v>
      </c>
      <c r="B82" s="21" t="str">
        <f>餐厅成本录入!B82</f>
        <v>炸带鱼</v>
      </c>
      <c r="C82" s="21">
        <f>餐厅成本录入!C82</f>
        <v>0</v>
      </c>
      <c r="D82" s="21">
        <f>餐厅成本录入!D82</f>
        <v>0</v>
      </c>
      <c r="E82" s="21">
        <f>餐厅成本录入!E82</f>
        <v>160</v>
      </c>
      <c r="F82" s="21">
        <f>餐厅成本录入!F82</f>
        <v>0</v>
      </c>
      <c r="G82" s="21">
        <f>餐厅成本录入!G82</f>
        <v>0</v>
      </c>
      <c r="H82" s="21">
        <f>餐厅成本录入!H82</f>
        <v>3</v>
      </c>
      <c r="I82" s="21">
        <f>餐厅成本录入!I82</f>
        <v>480</v>
      </c>
      <c r="J82" s="21">
        <f>餐厅成本录入!J82</f>
        <v>3</v>
      </c>
      <c r="K82" s="21">
        <f>餐厅成本录入!K82</f>
        <v>480</v>
      </c>
      <c r="L82" s="21">
        <f>餐厅成本录入!L82</f>
        <v>0</v>
      </c>
      <c r="M82" s="21">
        <f>餐厅成本录入!M82</f>
        <v>0</v>
      </c>
      <c r="N82" s="198">
        <f>$E82*餐厅成本录入!N82</f>
        <v>0</v>
      </c>
      <c r="O82" s="198">
        <f>$E82*餐厅成本录入!O82</f>
        <v>0</v>
      </c>
      <c r="P82" s="198">
        <f>$E82*餐厅成本录入!P82</f>
        <v>0</v>
      </c>
      <c r="Q82" s="198">
        <f>$E82*餐厅成本录入!Q82</f>
        <v>0</v>
      </c>
      <c r="R82" s="198">
        <f>$E82*餐厅成本录入!R82</f>
        <v>160</v>
      </c>
      <c r="S82" s="198">
        <f>$E82*餐厅成本录入!S82</f>
        <v>160</v>
      </c>
      <c r="T82" s="198">
        <f>$E82*餐厅成本录入!T82</f>
        <v>0</v>
      </c>
      <c r="U82" s="198">
        <f>$E82*餐厅成本录入!U82</f>
        <v>0</v>
      </c>
      <c r="V82" s="198">
        <f>$E82*餐厅成本录入!V82</f>
        <v>0</v>
      </c>
      <c r="W82" s="198">
        <f>$E82*餐厅成本录入!W82</f>
        <v>0</v>
      </c>
      <c r="X82" s="198">
        <f>$E82*餐厅成本录入!X82</f>
        <v>0</v>
      </c>
      <c r="Y82" s="198">
        <f>$E82*餐厅成本录入!Y82</f>
        <v>0</v>
      </c>
      <c r="Z82" s="198">
        <f>$E82*餐厅成本录入!Z82</f>
        <v>0</v>
      </c>
      <c r="AA82" s="198">
        <f>$E82*餐厅成本录入!AA82</f>
        <v>0</v>
      </c>
      <c r="AB82" s="198">
        <f>$E82*餐厅成本录入!AB82</f>
        <v>0</v>
      </c>
      <c r="AC82" s="198">
        <f>$E82*餐厅成本录入!AC82</f>
        <v>0</v>
      </c>
      <c r="AD82" s="198">
        <f>$E82*餐厅成本录入!AD82</f>
        <v>0</v>
      </c>
      <c r="AE82" s="198">
        <f>$E82*餐厅成本录入!AE82</f>
        <v>0</v>
      </c>
      <c r="AF82" s="198">
        <f>$E82*餐厅成本录入!AF82</f>
        <v>0</v>
      </c>
      <c r="AG82" s="198">
        <f>$E82*餐厅成本录入!AG82</f>
        <v>0</v>
      </c>
      <c r="AH82" s="198">
        <f>$E82*餐厅成本录入!AH82</f>
        <v>0</v>
      </c>
      <c r="AI82" s="198">
        <f>$E82*餐厅成本录入!AI82</f>
        <v>0</v>
      </c>
      <c r="AJ82" s="198">
        <f>$E82*餐厅成本录入!AJ82</f>
        <v>0</v>
      </c>
      <c r="AK82" s="198">
        <f>$E82*餐厅成本录入!AK82</f>
        <v>0</v>
      </c>
      <c r="AL82" s="198">
        <f>$E82*餐厅成本录入!AL82</f>
        <v>0</v>
      </c>
      <c r="AM82" s="198">
        <f>$E82*餐厅成本录入!AM82</f>
        <v>0</v>
      </c>
      <c r="AN82" s="198">
        <f>$E82*餐厅成本录入!AN82</f>
        <v>0</v>
      </c>
      <c r="AO82" s="198">
        <f>$E82*餐厅成本录入!AO82</f>
        <v>0</v>
      </c>
      <c r="AP82" s="198">
        <f>$E82*餐厅成本录入!AP82</f>
        <v>0</v>
      </c>
      <c r="AQ82" s="198">
        <f>$E82*餐厅成本录入!AQ82</f>
        <v>0</v>
      </c>
      <c r="AR82" s="198">
        <f>$E82*餐厅成本录入!AR82</f>
        <v>0</v>
      </c>
      <c r="AS82" s="198">
        <f>$E82*餐厅成本录入!AS82</f>
        <v>0</v>
      </c>
      <c r="AT82" s="198">
        <f>$E82*餐厅成本录入!AT82</f>
        <v>0</v>
      </c>
      <c r="AU82" s="198">
        <f>$E82*餐厅成本录入!AU82</f>
        <v>0</v>
      </c>
      <c r="AV82" s="198">
        <f>$E82*餐厅成本录入!AV82</f>
        <v>0</v>
      </c>
      <c r="AW82" s="198">
        <f>$E82*餐厅成本录入!AW82</f>
        <v>0</v>
      </c>
      <c r="AX82" s="198">
        <f>$E82*餐厅成本录入!AX82</f>
        <v>0</v>
      </c>
      <c r="AY82" s="198">
        <f>$E82*餐厅成本录入!AY82</f>
        <v>0</v>
      </c>
      <c r="AZ82" s="198">
        <f>$E82*餐厅成本录入!AZ82</f>
        <v>0</v>
      </c>
      <c r="BA82" s="198">
        <f>$E82*餐厅成本录入!BA82</f>
        <v>0</v>
      </c>
      <c r="BB82" s="198">
        <f>$E82*餐厅成本录入!BB82</f>
        <v>0</v>
      </c>
      <c r="BC82" s="198">
        <f>$E82*餐厅成本录入!BC82</f>
        <v>0</v>
      </c>
      <c r="BD82" s="198">
        <f>$E82*餐厅成本录入!BD82</f>
        <v>0</v>
      </c>
      <c r="BE82" s="198">
        <f>$E82*餐厅成本录入!BE82</f>
        <v>0</v>
      </c>
      <c r="BF82" s="198">
        <f>$E82*餐厅成本录入!BF82</f>
        <v>160</v>
      </c>
      <c r="BG82" s="198">
        <f>$E82*餐厅成本录入!BG82</f>
        <v>160</v>
      </c>
      <c r="BH82" s="198">
        <f>$E82*餐厅成本录入!BH82</f>
        <v>0</v>
      </c>
      <c r="BI82" s="198">
        <f>$E82*餐厅成本录入!BI82</f>
        <v>0</v>
      </c>
      <c r="BJ82" s="198">
        <f>$E82*餐厅成本录入!BJ82</f>
        <v>0</v>
      </c>
      <c r="BK82" s="198">
        <f>$E82*餐厅成本录入!BK82</f>
        <v>0</v>
      </c>
      <c r="BL82" s="198">
        <f>$E82*餐厅成本录入!BL82</f>
        <v>0</v>
      </c>
      <c r="BM82" s="198">
        <f>$E82*餐厅成本录入!BM82</f>
        <v>0</v>
      </c>
      <c r="BN82" s="198">
        <f>$E82*餐厅成本录入!BN82</f>
        <v>0</v>
      </c>
      <c r="BO82" s="198">
        <f>$E82*餐厅成本录入!BO82</f>
        <v>0</v>
      </c>
      <c r="BP82" s="198">
        <f>$E82*餐厅成本录入!BP82</f>
        <v>0</v>
      </c>
      <c r="BQ82" s="198">
        <f>$E82*餐厅成本录入!BQ82</f>
        <v>0</v>
      </c>
      <c r="BR82" s="198">
        <f>$E82*餐厅成本录入!BR82</f>
        <v>0</v>
      </c>
      <c r="BS82" s="198">
        <f>$E82*餐厅成本录入!BS82</f>
        <v>0</v>
      </c>
      <c r="BT82" s="198">
        <f>$E82*餐厅成本录入!BT82</f>
        <v>160</v>
      </c>
      <c r="BU82" s="198">
        <f>$E82*餐厅成本录入!BU82</f>
        <v>160</v>
      </c>
      <c r="BV82" s="198">
        <f>$E82*餐厅成本录入!BV82</f>
        <v>0</v>
      </c>
      <c r="BW82" s="198">
        <f>$E82*餐厅成本录入!BW82</f>
        <v>0</v>
      </c>
    </row>
    <row r="83" s="178" customFormat="1" customHeight="1" spans="1:75">
      <c r="A83" s="161">
        <v>114</v>
      </c>
      <c r="B83" s="21" t="str">
        <f>餐厅成本录入!B83</f>
        <v>扣肉</v>
      </c>
      <c r="C83" s="21">
        <f>餐厅成本录入!C83</f>
        <v>0</v>
      </c>
      <c r="D83" s="21">
        <f>餐厅成本录入!D83</f>
        <v>0</v>
      </c>
      <c r="E83" s="21">
        <f>餐厅成本录入!E83</f>
        <v>190</v>
      </c>
      <c r="F83" s="21">
        <f>餐厅成本录入!F83</f>
        <v>0</v>
      </c>
      <c r="G83" s="21">
        <f>餐厅成本录入!G83</f>
        <v>0</v>
      </c>
      <c r="H83" s="21">
        <f>餐厅成本录入!H83</f>
        <v>1</v>
      </c>
      <c r="I83" s="21">
        <f>餐厅成本录入!I83</f>
        <v>190</v>
      </c>
      <c r="J83" s="21">
        <f>餐厅成本录入!J83</f>
        <v>1</v>
      </c>
      <c r="K83" s="21">
        <f>餐厅成本录入!K83</f>
        <v>190</v>
      </c>
      <c r="L83" s="21">
        <f>餐厅成本录入!L83</f>
        <v>0</v>
      </c>
      <c r="M83" s="21">
        <f>餐厅成本录入!M83</f>
        <v>0</v>
      </c>
      <c r="N83" s="198">
        <f>$E83*餐厅成本录入!N83</f>
        <v>0</v>
      </c>
      <c r="O83" s="198">
        <f>$E83*餐厅成本录入!O83</f>
        <v>0</v>
      </c>
      <c r="P83" s="198">
        <f>$E83*餐厅成本录入!P83</f>
        <v>0</v>
      </c>
      <c r="Q83" s="198">
        <f>$E83*餐厅成本录入!Q83</f>
        <v>0</v>
      </c>
      <c r="R83" s="198">
        <f>$E83*餐厅成本录入!R83</f>
        <v>0</v>
      </c>
      <c r="S83" s="198">
        <f>$E83*餐厅成本录入!S83</f>
        <v>0</v>
      </c>
      <c r="T83" s="198">
        <f>$E83*餐厅成本录入!T83</f>
        <v>0</v>
      </c>
      <c r="U83" s="198">
        <f>$E83*餐厅成本录入!U83</f>
        <v>0</v>
      </c>
      <c r="V83" s="198">
        <f>$E83*餐厅成本录入!V83</f>
        <v>0</v>
      </c>
      <c r="W83" s="198">
        <f>$E83*餐厅成本录入!W83</f>
        <v>0</v>
      </c>
      <c r="X83" s="198">
        <f>$E83*餐厅成本录入!X83</f>
        <v>0</v>
      </c>
      <c r="Y83" s="198">
        <f>$E83*餐厅成本录入!Y83</f>
        <v>0</v>
      </c>
      <c r="Z83" s="198">
        <f>$E83*餐厅成本录入!Z83</f>
        <v>0</v>
      </c>
      <c r="AA83" s="198">
        <f>$E83*餐厅成本录入!AA83</f>
        <v>0</v>
      </c>
      <c r="AB83" s="198">
        <f>$E83*餐厅成本录入!AB83</f>
        <v>0</v>
      </c>
      <c r="AC83" s="198">
        <f>$E83*餐厅成本录入!AC83</f>
        <v>0</v>
      </c>
      <c r="AD83" s="198">
        <f>$E83*餐厅成本录入!AD83</f>
        <v>0</v>
      </c>
      <c r="AE83" s="198">
        <f>$E83*餐厅成本录入!AE83</f>
        <v>0</v>
      </c>
      <c r="AF83" s="198">
        <f>$E83*餐厅成本录入!AF83</f>
        <v>0</v>
      </c>
      <c r="AG83" s="198">
        <f>$E83*餐厅成本录入!AG83</f>
        <v>0</v>
      </c>
      <c r="AH83" s="198">
        <f>$E83*餐厅成本录入!AH83</f>
        <v>0</v>
      </c>
      <c r="AI83" s="198">
        <f>$E83*餐厅成本录入!AI83</f>
        <v>0</v>
      </c>
      <c r="AJ83" s="198">
        <f>$E83*餐厅成本录入!AJ83</f>
        <v>0</v>
      </c>
      <c r="AK83" s="198">
        <f>$E83*餐厅成本录入!AK83</f>
        <v>0</v>
      </c>
      <c r="AL83" s="198">
        <f>$E83*餐厅成本录入!AL83</f>
        <v>0</v>
      </c>
      <c r="AM83" s="198">
        <f>$E83*餐厅成本录入!AM83</f>
        <v>0</v>
      </c>
      <c r="AN83" s="198">
        <f>$E83*餐厅成本录入!AN83</f>
        <v>0</v>
      </c>
      <c r="AO83" s="198">
        <f>$E83*餐厅成本录入!AO83</f>
        <v>0</v>
      </c>
      <c r="AP83" s="198">
        <f>$E83*餐厅成本录入!AP83</f>
        <v>0</v>
      </c>
      <c r="AQ83" s="198">
        <f>$E83*餐厅成本录入!AQ83</f>
        <v>0</v>
      </c>
      <c r="AR83" s="198">
        <f>$E83*餐厅成本录入!AR83</f>
        <v>0</v>
      </c>
      <c r="AS83" s="198">
        <f>$E83*餐厅成本录入!AS83</f>
        <v>0</v>
      </c>
      <c r="AT83" s="198">
        <f>$E83*餐厅成本录入!AT83</f>
        <v>0</v>
      </c>
      <c r="AU83" s="198">
        <f>$E83*餐厅成本录入!AU83</f>
        <v>0</v>
      </c>
      <c r="AV83" s="198">
        <f>$E83*餐厅成本录入!AV83</f>
        <v>0</v>
      </c>
      <c r="AW83" s="198">
        <f>$E83*餐厅成本录入!AW83</f>
        <v>0</v>
      </c>
      <c r="AX83" s="198">
        <f>$E83*餐厅成本录入!AX83</f>
        <v>0</v>
      </c>
      <c r="AY83" s="198">
        <f>$E83*餐厅成本录入!AY83</f>
        <v>0</v>
      </c>
      <c r="AZ83" s="198">
        <f>$E83*餐厅成本录入!AZ83</f>
        <v>0</v>
      </c>
      <c r="BA83" s="198">
        <f>$E83*餐厅成本录入!BA83</f>
        <v>0</v>
      </c>
      <c r="BB83" s="198">
        <f>$E83*餐厅成本录入!BB83</f>
        <v>0</v>
      </c>
      <c r="BC83" s="198">
        <f>$E83*餐厅成本录入!BC83</f>
        <v>0</v>
      </c>
      <c r="BD83" s="198">
        <f>$E83*餐厅成本录入!BD83</f>
        <v>0</v>
      </c>
      <c r="BE83" s="198">
        <f>$E83*餐厅成本录入!BE83</f>
        <v>0</v>
      </c>
      <c r="BF83" s="198">
        <f>$E83*餐厅成本录入!BF83</f>
        <v>0</v>
      </c>
      <c r="BG83" s="198">
        <f>$E83*餐厅成本录入!BG83</f>
        <v>0</v>
      </c>
      <c r="BH83" s="198">
        <f>$E83*餐厅成本录入!BH83</f>
        <v>0</v>
      </c>
      <c r="BI83" s="198">
        <f>$E83*餐厅成本录入!BI83</f>
        <v>0</v>
      </c>
      <c r="BJ83" s="198">
        <f>$E83*餐厅成本录入!BJ83</f>
        <v>0</v>
      </c>
      <c r="BK83" s="198">
        <f>$E83*餐厅成本录入!BK83</f>
        <v>0</v>
      </c>
      <c r="BL83" s="198">
        <f>$E83*餐厅成本录入!BL83</f>
        <v>0</v>
      </c>
      <c r="BM83" s="198">
        <f>$E83*餐厅成本录入!BM83</f>
        <v>0</v>
      </c>
      <c r="BN83" s="198">
        <f>$E83*餐厅成本录入!BN83</f>
        <v>0</v>
      </c>
      <c r="BO83" s="198">
        <f>$E83*餐厅成本录入!BO83</f>
        <v>0</v>
      </c>
      <c r="BP83" s="198">
        <f>$E83*餐厅成本录入!BP83</f>
        <v>0</v>
      </c>
      <c r="BQ83" s="198">
        <f>$E83*餐厅成本录入!BQ83</f>
        <v>0</v>
      </c>
      <c r="BR83" s="198">
        <f>$E83*餐厅成本录入!BR83</f>
        <v>0</v>
      </c>
      <c r="BS83" s="198">
        <f>$E83*餐厅成本录入!BS83</f>
        <v>0</v>
      </c>
      <c r="BT83" s="198">
        <f>$E83*餐厅成本录入!BT83</f>
        <v>190</v>
      </c>
      <c r="BU83" s="198">
        <f>$E83*餐厅成本录入!BU83</f>
        <v>190</v>
      </c>
      <c r="BV83" s="198">
        <f>$E83*餐厅成本录入!BV83</f>
        <v>0</v>
      </c>
      <c r="BW83" s="198">
        <f>$E83*餐厅成本录入!BW83</f>
        <v>0</v>
      </c>
    </row>
    <row r="84" s="178" customFormat="1" customHeight="1" spans="1:75">
      <c r="A84" s="161">
        <v>115</v>
      </c>
      <c r="B84" s="21" t="str">
        <f>餐厅成本录入!B84</f>
        <v>慕斯蛋糕</v>
      </c>
      <c r="C84" s="21">
        <f>餐厅成本录入!C84</f>
        <v>0</v>
      </c>
      <c r="D84" s="21">
        <f>餐厅成本录入!D84</f>
        <v>0</v>
      </c>
      <c r="E84" s="21">
        <f>餐厅成本录入!E84</f>
        <v>120</v>
      </c>
      <c r="F84" s="21">
        <f>餐厅成本录入!F84</f>
        <v>0</v>
      </c>
      <c r="G84" s="21">
        <f>餐厅成本录入!G84</f>
        <v>0</v>
      </c>
      <c r="H84" s="21">
        <f>餐厅成本录入!H84</f>
        <v>3</v>
      </c>
      <c r="I84" s="21">
        <f>餐厅成本录入!I84</f>
        <v>360</v>
      </c>
      <c r="J84" s="21">
        <f>餐厅成本录入!J84</f>
        <v>3</v>
      </c>
      <c r="K84" s="21">
        <f>餐厅成本录入!K84</f>
        <v>360</v>
      </c>
      <c r="L84" s="21">
        <f>餐厅成本录入!L84</f>
        <v>0</v>
      </c>
      <c r="M84" s="21">
        <f>餐厅成本录入!M84</f>
        <v>0</v>
      </c>
      <c r="N84" s="198">
        <f>$E84*餐厅成本录入!N84</f>
        <v>0</v>
      </c>
      <c r="O84" s="198">
        <f>$E84*餐厅成本录入!O84</f>
        <v>0</v>
      </c>
      <c r="P84" s="198">
        <f>$E84*餐厅成本录入!P84</f>
        <v>0</v>
      </c>
      <c r="Q84" s="198">
        <f>$E84*餐厅成本录入!Q84</f>
        <v>0</v>
      </c>
      <c r="R84" s="198">
        <f>$E84*餐厅成本录入!R84</f>
        <v>120</v>
      </c>
      <c r="S84" s="198">
        <f>$E84*餐厅成本录入!S84</f>
        <v>120</v>
      </c>
      <c r="T84" s="198">
        <f>$E84*餐厅成本录入!T84</f>
        <v>0</v>
      </c>
      <c r="U84" s="198">
        <f>$E84*餐厅成本录入!U84</f>
        <v>0</v>
      </c>
      <c r="V84" s="198">
        <f>$E84*餐厅成本录入!V84</f>
        <v>0</v>
      </c>
      <c r="W84" s="198">
        <f>$E84*餐厅成本录入!W84</f>
        <v>0</v>
      </c>
      <c r="X84" s="198">
        <f>$E84*餐厅成本录入!X84</f>
        <v>0</v>
      </c>
      <c r="Y84" s="198">
        <f>$E84*餐厅成本录入!Y84</f>
        <v>0</v>
      </c>
      <c r="Z84" s="198">
        <f>$E84*餐厅成本录入!Z84</f>
        <v>0</v>
      </c>
      <c r="AA84" s="198">
        <f>$E84*餐厅成本录入!AA84</f>
        <v>0</v>
      </c>
      <c r="AB84" s="198">
        <f>$E84*餐厅成本录入!AB84</f>
        <v>0</v>
      </c>
      <c r="AC84" s="198">
        <f>$E84*餐厅成本录入!AC84</f>
        <v>0</v>
      </c>
      <c r="AD84" s="198">
        <f>$E84*餐厅成本录入!AD84</f>
        <v>0</v>
      </c>
      <c r="AE84" s="198">
        <f>$E84*餐厅成本录入!AE84</f>
        <v>0</v>
      </c>
      <c r="AF84" s="198">
        <f>$E84*餐厅成本录入!AF84</f>
        <v>0</v>
      </c>
      <c r="AG84" s="198">
        <f>$E84*餐厅成本录入!AG84</f>
        <v>0</v>
      </c>
      <c r="AH84" s="198">
        <f>$E84*餐厅成本录入!AH84</f>
        <v>0</v>
      </c>
      <c r="AI84" s="198">
        <f>$E84*餐厅成本录入!AI84</f>
        <v>0</v>
      </c>
      <c r="AJ84" s="198">
        <f>$E84*餐厅成本录入!AJ84</f>
        <v>0</v>
      </c>
      <c r="AK84" s="198">
        <f>$E84*餐厅成本录入!AK84</f>
        <v>0</v>
      </c>
      <c r="AL84" s="198">
        <f>$E84*餐厅成本录入!AL84</f>
        <v>0</v>
      </c>
      <c r="AM84" s="198">
        <f>$E84*餐厅成本录入!AM84</f>
        <v>0</v>
      </c>
      <c r="AN84" s="198">
        <f>$E84*餐厅成本录入!AN84</f>
        <v>0</v>
      </c>
      <c r="AO84" s="198">
        <f>$E84*餐厅成本录入!AO84</f>
        <v>0</v>
      </c>
      <c r="AP84" s="198">
        <f>$E84*餐厅成本录入!AP84</f>
        <v>0</v>
      </c>
      <c r="AQ84" s="198">
        <f>$E84*餐厅成本录入!AQ84</f>
        <v>0</v>
      </c>
      <c r="AR84" s="198">
        <f>$E84*餐厅成本录入!AR84</f>
        <v>0</v>
      </c>
      <c r="AS84" s="198">
        <f>$E84*餐厅成本录入!AS84</f>
        <v>0</v>
      </c>
      <c r="AT84" s="198">
        <f>$E84*餐厅成本录入!AT84</f>
        <v>0</v>
      </c>
      <c r="AU84" s="198">
        <f>$E84*餐厅成本录入!AU84</f>
        <v>0</v>
      </c>
      <c r="AV84" s="198">
        <f>$E84*餐厅成本录入!AV84</f>
        <v>0</v>
      </c>
      <c r="AW84" s="198">
        <f>$E84*餐厅成本录入!AW84</f>
        <v>0</v>
      </c>
      <c r="AX84" s="198">
        <f>$E84*餐厅成本录入!AX84</f>
        <v>0</v>
      </c>
      <c r="AY84" s="198">
        <f>$E84*餐厅成本录入!AY84</f>
        <v>0</v>
      </c>
      <c r="AZ84" s="198">
        <f>$E84*餐厅成本录入!AZ84</f>
        <v>0</v>
      </c>
      <c r="BA84" s="198">
        <f>$E84*餐厅成本录入!BA84</f>
        <v>0</v>
      </c>
      <c r="BB84" s="198">
        <f>$E84*餐厅成本录入!BB84</f>
        <v>120</v>
      </c>
      <c r="BC84" s="198">
        <f>$E84*餐厅成本录入!BC84</f>
        <v>120</v>
      </c>
      <c r="BD84" s="198">
        <f>$E84*餐厅成本录入!BD84</f>
        <v>0</v>
      </c>
      <c r="BE84" s="198">
        <f>$E84*餐厅成本录入!BE84</f>
        <v>0</v>
      </c>
      <c r="BF84" s="198">
        <f>$E84*餐厅成本录入!BF84</f>
        <v>0</v>
      </c>
      <c r="BG84" s="198">
        <f>$E84*餐厅成本录入!BG84</f>
        <v>0</v>
      </c>
      <c r="BH84" s="198">
        <f>$E84*餐厅成本录入!BH84</f>
        <v>0</v>
      </c>
      <c r="BI84" s="198">
        <f>$E84*餐厅成本录入!BI84</f>
        <v>0</v>
      </c>
      <c r="BJ84" s="198">
        <f>$E84*餐厅成本录入!BJ84</f>
        <v>0</v>
      </c>
      <c r="BK84" s="198">
        <f>$E84*餐厅成本录入!BK84</f>
        <v>0</v>
      </c>
      <c r="BL84" s="198">
        <f>$E84*餐厅成本录入!BL84</f>
        <v>120</v>
      </c>
      <c r="BM84" s="198">
        <f>$E84*餐厅成本录入!BM84</f>
        <v>120</v>
      </c>
      <c r="BN84" s="198">
        <f>$E84*餐厅成本录入!BN84</f>
        <v>0</v>
      </c>
      <c r="BO84" s="198">
        <f>$E84*餐厅成本录入!BO84</f>
        <v>0</v>
      </c>
      <c r="BP84" s="198">
        <f>$E84*餐厅成本录入!BP84</f>
        <v>0</v>
      </c>
      <c r="BQ84" s="198">
        <f>$E84*餐厅成本录入!BQ84</f>
        <v>0</v>
      </c>
      <c r="BR84" s="198">
        <f>$E84*餐厅成本录入!BR84</f>
        <v>0</v>
      </c>
      <c r="BS84" s="198">
        <f>$E84*餐厅成本录入!BS84</f>
        <v>0</v>
      </c>
      <c r="BT84" s="198">
        <f>$E84*餐厅成本录入!BT84</f>
        <v>0</v>
      </c>
      <c r="BU84" s="198">
        <f>$E84*餐厅成本录入!BU84</f>
        <v>0</v>
      </c>
      <c r="BV84" s="198">
        <f>$E84*餐厅成本录入!BV84</f>
        <v>0</v>
      </c>
      <c r="BW84" s="198">
        <f>$E84*餐厅成本录入!BW84</f>
        <v>0</v>
      </c>
    </row>
    <row r="85" s="178" customFormat="1" customHeight="1" spans="1:75">
      <c r="A85" s="161">
        <v>116</v>
      </c>
      <c r="B85" s="21" t="str">
        <f>餐厅成本录入!B85</f>
        <v>瑞士卷</v>
      </c>
      <c r="C85" s="21">
        <f>餐厅成本录入!C85</f>
        <v>0</v>
      </c>
      <c r="D85" s="21">
        <f>餐厅成本录入!D85</f>
        <v>0</v>
      </c>
      <c r="E85" s="21">
        <f>餐厅成本录入!E85</f>
        <v>145</v>
      </c>
      <c r="F85" s="21">
        <f>餐厅成本录入!F85</f>
        <v>0</v>
      </c>
      <c r="G85" s="21">
        <f>餐厅成本录入!G85</f>
        <v>0</v>
      </c>
      <c r="H85" s="21">
        <f>餐厅成本录入!H85</f>
        <v>2</v>
      </c>
      <c r="I85" s="21">
        <f>餐厅成本录入!I85</f>
        <v>290</v>
      </c>
      <c r="J85" s="21">
        <f>餐厅成本录入!J85</f>
        <v>2</v>
      </c>
      <c r="K85" s="21">
        <f>餐厅成本录入!K85</f>
        <v>290</v>
      </c>
      <c r="L85" s="21">
        <f>餐厅成本录入!L85</f>
        <v>0</v>
      </c>
      <c r="M85" s="21">
        <f>餐厅成本录入!M85</f>
        <v>0</v>
      </c>
      <c r="N85" s="198">
        <f>$E85*餐厅成本录入!N85</f>
        <v>0</v>
      </c>
      <c r="O85" s="198">
        <f>$E85*餐厅成本录入!O85</f>
        <v>0</v>
      </c>
      <c r="P85" s="198">
        <f>$E85*餐厅成本录入!P85</f>
        <v>0</v>
      </c>
      <c r="Q85" s="198">
        <f>$E85*餐厅成本录入!Q85</f>
        <v>0</v>
      </c>
      <c r="R85" s="198">
        <f>$E85*餐厅成本录入!R85</f>
        <v>145</v>
      </c>
      <c r="S85" s="198">
        <f>$E85*餐厅成本录入!S85</f>
        <v>145</v>
      </c>
      <c r="T85" s="198">
        <f>$E85*餐厅成本录入!T85</f>
        <v>0</v>
      </c>
      <c r="U85" s="198">
        <f>$E85*餐厅成本录入!U85</f>
        <v>0</v>
      </c>
      <c r="V85" s="198">
        <f>$E85*餐厅成本录入!V85</f>
        <v>0</v>
      </c>
      <c r="W85" s="198">
        <f>$E85*餐厅成本录入!W85</f>
        <v>0</v>
      </c>
      <c r="X85" s="198">
        <f>$E85*餐厅成本录入!X85</f>
        <v>0</v>
      </c>
      <c r="Y85" s="198">
        <f>$E85*餐厅成本录入!Y85</f>
        <v>0</v>
      </c>
      <c r="Z85" s="198">
        <f>$E85*餐厅成本录入!Z85</f>
        <v>0</v>
      </c>
      <c r="AA85" s="198">
        <f>$E85*餐厅成本录入!AA85</f>
        <v>0</v>
      </c>
      <c r="AB85" s="198">
        <f>$E85*餐厅成本录入!AB85</f>
        <v>0</v>
      </c>
      <c r="AC85" s="198">
        <f>$E85*餐厅成本录入!AC85</f>
        <v>0</v>
      </c>
      <c r="AD85" s="198">
        <f>$E85*餐厅成本录入!AD85</f>
        <v>0</v>
      </c>
      <c r="AE85" s="198">
        <f>$E85*餐厅成本录入!AE85</f>
        <v>0</v>
      </c>
      <c r="AF85" s="198">
        <f>$E85*餐厅成本录入!AF85</f>
        <v>0</v>
      </c>
      <c r="AG85" s="198">
        <f>$E85*餐厅成本录入!AG85</f>
        <v>0</v>
      </c>
      <c r="AH85" s="198">
        <f>$E85*餐厅成本录入!AH85</f>
        <v>0</v>
      </c>
      <c r="AI85" s="198">
        <f>$E85*餐厅成本录入!AI85</f>
        <v>0</v>
      </c>
      <c r="AJ85" s="198">
        <f>$E85*餐厅成本录入!AJ85</f>
        <v>0</v>
      </c>
      <c r="AK85" s="198">
        <f>$E85*餐厅成本录入!AK85</f>
        <v>0</v>
      </c>
      <c r="AL85" s="198">
        <f>$E85*餐厅成本录入!AL85</f>
        <v>0</v>
      </c>
      <c r="AM85" s="198">
        <f>$E85*餐厅成本录入!AM85</f>
        <v>0</v>
      </c>
      <c r="AN85" s="198">
        <f>$E85*餐厅成本录入!AN85</f>
        <v>0</v>
      </c>
      <c r="AO85" s="198">
        <f>$E85*餐厅成本录入!AO85</f>
        <v>0</v>
      </c>
      <c r="AP85" s="198">
        <f>$E85*餐厅成本录入!AP85</f>
        <v>0</v>
      </c>
      <c r="AQ85" s="198">
        <f>$E85*餐厅成本录入!AQ85</f>
        <v>0</v>
      </c>
      <c r="AR85" s="198">
        <f>$E85*餐厅成本录入!AR85</f>
        <v>0</v>
      </c>
      <c r="AS85" s="198">
        <f>$E85*餐厅成本录入!AS85</f>
        <v>0</v>
      </c>
      <c r="AT85" s="198">
        <f>$E85*餐厅成本录入!AT85</f>
        <v>0</v>
      </c>
      <c r="AU85" s="198">
        <f>$E85*餐厅成本录入!AU85</f>
        <v>0</v>
      </c>
      <c r="AV85" s="198">
        <f>$E85*餐厅成本录入!AV85</f>
        <v>0</v>
      </c>
      <c r="AW85" s="198">
        <f>$E85*餐厅成本录入!AW85</f>
        <v>0</v>
      </c>
      <c r="AX85" s="198">
        <f>$E85*餐厅成本录入!AX85</f>
        <v>0</v>
      </c>
      <c r="AY85" s="198">
        <f>$E85*餐厅成本录入!AY85</f>
        <v>0</v>
      </c>
      <c r="AZ85" s="198">
        <f>$E85*餐厅成本录入!AZ85</f>
        <v>0</v>
      </c>
      <c r="BA85" s="198">
        <f>$E85*餐厅成本录入!BA85</f>
        <v>0</v>
      </c>
      <c r="BB85" s="198">
        <f>$E85*餐厅成本录入!BB85</f>
        <v>145</v>
      </c>
      <c r="BC85" s="198">
        <f>$E85*餐厅成本录入!BC85</f>
        <v>145</v>
      </c>
      <c r="BD85" s="198">
        <f>$E85*餐厅成本录入!BD85</f>
        <v>0</v>
      </c>
      <c r="BE85" s="198">
        <f>$E85*餐厅成本录入!BE85</f>
        <v>0</v>
      </c>
      <c r="BF85" s="198">
        <f>$E85*餐厅成本录入!BF85</f>
        <v>0</v>
      </c>
      <c r="BG85" s="198">
        <f>$E85*餐厅成本录入!BG85</f>
        <v>0</v>
      </c>
      <c r="BH85" s="198">
        <f>$E85*餐厅成本录入!BH85</f>
        <v>0</v>
      </c>
      <c r="BI85" s="198">
        <f>$E85*餐厅成本录入!BI85</f>
        <v>0</v>
      </c>
      <c r="BJ85" s="198">
        <f>$E85*餐厅成本录入!BJ85</f>
        <v>0</v>
      </c>
      <c r="BK85" s="198">
        <f>$E85*餐厅成本录入!BK85</f>
        <v>0</v>
      </c>
      <c r="BL85" s="198">
        <f>$E85*餐厅成本录入!BL85</f>
        <v>0</v>
      </c>
      <c r="BM85" s="198">
        <f>$E85*餐厅成本录入!BM85</f>
        <v>0</v>
      </c>
      <c r="BN85" s="198">
        <f>$E85*餐厅成本录入!BN85</f>
        <v>0</v>
      </c>
      <c r="BO85" s="198">
        <f>$E85*餐厅成本录入!BO85</f>
        <v>0</v>
      </c>
      <c r="BP85" s="198">
        <f>$E85*餐厅成本录入!BP85</f>
        <v>0</v>
      </c>
      <c r="BQ85" s="198">
        <f>$E85*餐厅成本录入!BQ85</f>
        <v>0</v>
      </c>
      <c r="BR85" s="198">
        <f>$E85*餐厅成本录入!BR85</f>
        <v>0</v>
      </c>
      <c r="BS85" s="198">
        <f>$E85*餐厅成本录入!BS85</f>
        <v>0</v>
      </c>
      <c r="BT85" s="198">
        <f>$E85*餐厅成本录入!BT85</f>
        <v>0</v>
      </c>
      <c r="BU85" s="198">
        <f>$E85*餐厅成本录入!BU85</f>
        <v>0</v>
      </c>
      <c r="BV85" s="198">
        <f>$E85*餐厅成本录入!BV85</f>
        <v>0</v>
      </c>
      <c r="BW85" s="198">
        <f>$E85*餐厅成本录入!BW85</f>
        <v>0</v>
      </c>
    </row>
    <row r="86" s="178" customFormat="1" customHeight="1" spans="1:75">
      <c r="A86" s="161">
        <v>117</v>
      </c>
      <c r="B86" s="21" t="str">
        <f>餐厅成本录入!B86</f>
        <v>蒙古肉</v>
      </c>
      <c r="C86" s="21">
        <f>餐厅成本录入!C86</f>
        <v>0</v>
      </c>
      <c r="D86" s="21">
        <f>餐厅成本录入!D86</f>
        <v>0</v>
      </c>
      <c r="E86" s="21">
        <f>餐厅成本录入!E86</f>
        <v>150</v>
      </c>
      <c r="F86" s="21">
        <f>餐厅成本录入!F86</f>
        <v>0</v>
      </c>
      <c r="G86" s="21">
        <f>餐厅成本录入!G86</f>
        <v>0</v>
      </c>
      <c r="H86" s="21">
        <f>餐厅成本录入!H86</f>
        <v>3</v>
      </c>
      <c r="I86" s="21">
        <f>餐厅成本录入!I86</f>
        <v>450</v>
      </c>
      <c r="J86" s="21">
        <f>餐厅成本录入!J86</f>
        <v>3</v>
      </c>
      <c r="K86" s="21">
        <f>餐厅成本录入!K86</f>
        <v>450</v>
      </c>
      <c r="L86" s="21">
        <f>餐厅成本录入!L86</f>
        <v>0</v>
      </c>
      <c r="M86" s="21">
        <f>餐厅成本录入!M86</f>
        <v>0</v>
      </c>
      <c r="N86" s="198">
        <f>$E86*餐厅成本录入!N86</f>
        <v>0</v>
      </c>
      <c r="O86" s="198">
        <f>$E86*餐厅成本录入!O86</f>
        <v>0</v>
      </c>
      <c r="P86" s="198">
        <f>$E86*餐厅成本录入!P86</f>
        <v>0</v>
      </c>
      <c r="Q86" s="198">
        <f>$E86*餐厅成本录入!Q86</f>
        <v>0</v>
      </c>
      <c r="R86" s="198">
        <f>$E86*餐厅成本录入!R86</f>
        <v>150</v>
      </c>
      <c r="S86" s="198">
        <f>$E86*餐厅成本录入!S86</f>
        <v>150</v>
      </c>
      <c r="T86" s="198">
        <f>$E86*餐厅成本录入!T86</f>
        <v>0</v>
      </c>
      <c r="U86" s="198">
        <f>$E86*餐厅成本录入!U86</f>
        <v>0</v>
      </c>
      <c r="V86" s="198">
        <f>$E86*餐厅成本录入!V86</f>
        <v>0</v>
      </c>
      <c r="W86" s="198">
        <f>$E86*餐厅成本录入!W86</f>
        <v>0</v>
      </c>
      <c r="X86" s="198">
        <f>$E86*餐厅成本录入!X86</f>
        <v>0</v>
      </c>
      <c r="Y86" s="198">
        <f>$E86*餐厅成本录入!Y86</f>
        <v>0</v>
      </c>
      <c r="Z86" s="198">
        <f>$E86*餐厅成本录入!Z86</f>
        <v>0</v>
      </c>
      <c r="AA86" s="198">
        <f>$E86*餐厅成本录入!AA86</f>
        <v>0</v>
      </c>
      <c r="AB86" s="198">
        <f>$E86*餐厅成本录入!AB86</f>
        <v>0</v>
      </c>
      <c r="AC86" s="198">
        <f>$E86*餐厅成本录入!AC86</f>
        <v>0</v>
      </c>
      <c r="AD86" s="198">
        <f>$E86*餐厅成本录入!AD86</f>
        <v>0</v>
      </c>
      <c r="AE86" s="198">
        <f>$E86*餐厅成本录入!AE86</f>
        <v>0</v>
      </c>
      <c r="AF86" s="198">
        <f>$E86*餐厅成本录入!AF86</f>
        <v>0</v>
      </c>
      <c r="AG86" s="198">
        <f>$E86*餐厅成本录入!AG86</f>
        <v>0</v>
      </c>
      <c r="AH86" s="198">
        <f>$E86*餐厅成本录入!AH86</f>
        <v>0</v>
      </c>
      <c r="AI86" s="198">
        <f>$E86*餐厅成本录入!AI86</f>
        <v>0</v>
      </c>
      <c r="AJ86" s="198">
        <f>$E86*餐厅成本录入!AJ86</f>
        <v>0</v>
      </c>
      <c r="AK86" s="198">
        <f>$E86*餐厅成本录入!AK86</f>
        <v>0</v>
      </c>
      <c r="AL86" s="198">
        <f>$E86*餐厅成本录入!AL86</f>
        <v>0</v>
      </c>
      <c r="AM86" s="198">
        <f>$E86*餐厅成本录入!AM86</f>
        <v>0</v>
      </c>
      <c r="AN86" s="198">
        <f>$E86*餐厅成本录入!AN86</f>
        <v>0</v>
      </c>
      <c r="AO86" s="198">
        <f>$E86*餐厅成本录入!AO86</f>
        <v>0</v>
      </c>
      <c r="AP86" s="198">
        <f>$E86*餐厅成本录入!AP86</f>
        <v>0</v>
      </c>
      <c r="AQ86" s="198">
        <f>$E86*餐厅成本录入!AQ86</f>
        <v>0</v>
      </c>
      <c r="AR86" s="198">
        <f>$E86*餐厅成本录入!AR86</f>
        <v>0</v>
      </c>
      <c r="AS86" s="198">
        <f>$E86*餐厅成本录入!AS86</f>
        <v>0</v>
      </c>
      <c r="AT86" s="198">
        <f>$E86*餐厅成本录入!AT86</f>
        <v>0</v>
      </c>
      <c r="AU86" s="198">
        <f>$E86*餐厅成本录入!AU86</f>
        <v>0</v>
      </c>
      <c r="AV86" s="198">
        <f>$E86*餐厅成本录入!AV86</f>
        <v>0</v>
      </c>
      <c r="AW86" s="198">
        <f>$E86*餐厅成本录入!AW86</f>
        <v>0</v>
      </c>
      <c r="AX86" s="198">
        <f>$E86*餐厅成本录入!AX86</f>
        <v>0</v>
      </c>
      <c r="AY86" s="198">
        <f>$E86*餐厅成本录入!AY86</f>
        <v>0</v>
      </c>
      <c r="AZ86" s="198">
        <f>$E86*餐厅成本录入!AZ86</f>
        <v>0</v>
      </c>
      <c r="BA86" s="198">
        <f>$E86*餐厅成本录入!BA86</f>
        <v>0</v>
      </c>
      <c r="BB86" s="198">
        <f>$E86*餐厅成本录入!BB86</f>
        <v>0</v>
      </c>
      <c r="BC86" s="198">
        <f>$E86*餐厅成本录入!BC86</f>
        <v>0</v>
      </c>
      <c r="BD86" s="198">
        <f>$E86*餐厅成本录入!BD86</f>
        <v>0</v>
      </c>
      <c r="BE86" s="198">
        <f>$E86*餐厅成本录入!BE86</f>
        <v>0</v>
      </c>
      <c r="BF86" s="198">
        <f>$E86*餐厅成本录入!BF86</f>
        <v>0</v>
      </c>
      <c r="BG86" s="198">
        <f>$E86*餐厅成本录入!BG86</f>
        <v>0</v>
      </c>
      <c r="BH86" s="198">
        <f>$E86*餐厅成本录入!BH86</f>
        <v>150</v>
      </c>
      <c r="BI86" s="198">
        <f>$E86*餐厅成本录入!BI86</f>
        <v>150</v>
      </c>
      <c r="BJ86" s="198">
        <f>$E86*餐厅成本录入!BJ86</f>
        <v>0</v>
      </c>
      <c r="BK86" s="198">
        <f>$E86*餐厅成本录入!BK86</f>
        <v>0</v>
      </c>
      <c r="BL86" s="198">
        <f>$E86*餐厅成本录入!BL86</f>
        <v>0</v>
      </c>
      <c r="BM86" s="198">
        <f>$E86*餐厅成本录入!BM86</f>
        <v>0</v>
      </c>
      <c r="BN86" s="198">
        <f>$E86*餐厅成本录入!BN86</f>
        <v>0</v>
      </c>
      <c r="BO86" s="198">
        <f>$E86*餐厅成本录入!BO86</f>
        <v>0</v>
      </c>
      <c r="BP86" s="198">
        <f>$E86*餐厅成本录入!BP86</f>
        <v>0</v>
      </c>
      <c r="BQ86" s="198">
        <f>$E86*餐厅成本录入!BQ86</f>
        <v>0</v>
      </c>
      <c r="BR86" s="198">
        <f>$E86*餐厅成本录入!BR86</f>
        <v>0</v>
      </c>
      <c r="BS86" s="198">
        <f>$E86*餐厅成本录入!BS86</f>
        <v>0</v>
      </c>
      <c r="BT86" s="198">
        <f>$E86*餐厅成本录入!BT86</f>
        <v>150</v>
      </c>
      <c r="BU86" s="198">
        <f>$E86*餐厅成本录入!BU86</f>
        <v>150</v>
      </c>
      <c r="BV86" s="198">
        <f>$E86*餐厅成本录入!BV86</f>
        <v>0</v>
      </c>
      <c r="BW86" s="198">
        <f>$E86*餐厅成本录入!BW86</f>
        <v>0</v>
      </c>
    </row>
    <row r="87" s="178" customFormat="1" customHeight="1" spans="1:75">
      <c r="A87" s="161">
        <v>118</v>
      </c>
      <c r="B87" s="21" t="str">
        <f>餐厅成本录入!B87</f>
        <v>粽子</v>
      </c>
      <c r="C87" s="21">
        <f>餐厅成本录入!C87</f>
        <v>0</v>
      </c>
      <c r="D87" s="21">
        <f>餐厅成本录入!D87</f>
        <v>0</v>
      </c>
      <c r="E87" s="21">
        <f>餐厅成本录入!E87</f>
        <v>90</v>
      </c>
      <c r="F87" s="21">
        <f>餐厅成本录入!F87</f>
        <v>0</v>
      </c>
      <c r="G87" s="21">
        <f>餐厅成本录入!G87</f>
        <v>0</v>
      </c>
      <c r="H87" s="21">
        <f>餐厅成本录入!H87</f>
        <v>6</v>
      </c>
      <c r="I87" s="21">
        <f>餐厅成本录入!I87</f>
        <v>540</v>
      </c>
      <c r="J87" s="21">
        <f>餐厅成本录入!J87</f>
        <v>6</v>
      </c>
      <c r="K87" s="21">
        <f>餐厅成本录入!K87</f>
        <v>540</v>
      </c>
      <c r="L87" s="21">
        <f>餐厅成本录入!L87</f>
        <v>0</v>
      </c>
      <c r="M87" s="21">
        <f>餐厅成本录入!M87</f>
        <v>0</v>
      </c>
      <c r="N87" s="198">
        <f>$E87*餐厅成本录入!N87</f>
        <v>0</v>
      </c>
      <c r="O87" s="198">
        <f>$E87*餐厅成本录入!O87</f>
        <v>0</v>
      </c>
      <c r="P87" s="198">
        <f>$E87*餐厅成本录入!P87</f>
        <v>0</v>
      </c>
      <c r="Q87" s="198">
        <f>$E87*餐厅成本录入!Q87</f>
        <v>0</v>
      </c>
      <c r="R87" s="198">
        <f>$E87*餐厅成本录入!R87</f>
        <v>0</v>
      </c>
      <c r="S87" s="198">
        <f>$E87*餐厅成本录入!S87</f>
        <v>0</v>
      </c>
      <c r="T87" s="198">
        <f>$E87*餐厅成本录入!T87</f>
        <v>0</v>
      </c>
      <c r="U87" s="198">
        <f>$E87*餐厅成本录入!U87</f>
        <v>0</v>
      </c>
      <c r="V87" s="198">
        <f>$E87*餐厅成本录入!V87</f>
        <v>90</v>
      </c>
      <c r="W87" s="198">
        <f>$E87*餐厅成本录入!W87</f>
        <v>90</v>
      </c>
      <c r="X87" s="198">
        <f>$E87*餐厅成本录入!X87</f>
        <v>0</v>
      </c>
      <c r="Y87" s="198">
        <f>$E87*餐厅成本录入!Y87</f>
        <v>0</v>
      </c>
      <c r="Z87" s="198">
        <f>$E87*餐厅成本录入!Z87</f>
        <v>0</v>
      </c>
      <c r="AA87" s="198">
        <f>$E87*餐厅成本录入!AA87</f>
        <v>0</v>
      </c>
      <c r="AB87" s="198">
        <f>$E87*餐厅成本录入!AB87</f>
        <v>0</v>
      </c>
      <c r="AC87" s="198">
        <f>$E87*餐厅成本录入!AC87</f>
        <v>0</v>
      </c>
      <c r="AD87" s="198">
        <f>$E87*餐厅成本录入!AD87</f>
        <v>0</v>
      </c>
      <c r="AE87" s="198">
        <f>$E87*餐厅成本录入!AE87</f>
        <v>0</v>
      </c>
      <c r="AF87" s="198">
        <f>$E87*餐厅成本录入!AF87</f>
        <v>0</v>
      </c>
      <c r="AG87" s="198">
        <f>$E87*餐厅成本录入!AG87</f>
        <v>0</v>
      </c>
      <c r="AH87" s="198">
        <f>$E87*餐厅成本录入!AH87</f>
        <v>0</v>
      </c>
      <c r="AI87" s="198">
        <f>$E87*餐厅成本录入!AI87</f>
        <v>0</v>
      </c>
      <c r="AJ87" s="198">
        <f>$E87*餐厅成本录入!AJ87</f>
        <v>0</v>
      </c>
      <c r="AK87" s="198">
        <f>$E87*餐厅成本录入!AK87</f>
        <v>0</v>
      </c>
      <c r="AL87" s="198">
        <f>$E87*餐厅成本录入!AL87</f>
        <v>90</v>
      </c>
      <c r="AM87" s="198">
        <f>$E87*餐厅成本录入!AM87</f>
        <v>90</v>
      </c>
      <c r="AN87" s="198">
        <f>$E87*餐厅成本录入!AN87</f>
        <v>0</v>
      </c>
      <c r="AO87" s="198">
        <f>$E87*餐厅成本录入!AO87</f>
        <v>0</v>
      </c>
      <c r="AP87" s="198">
        <f>$E87*餐厅成本录入!AP87</f>
        <v>0</v>
      </c>
      <c r="AQ87" s="198">
        <f>$E87*餐厅成本录入!AQ87</f>
        <v>0</v>
      </c>
      <c r="AR87" s="198">
        <f>$E87*餐厅成本录入!AR87</f>
        <v>0</v>
      </c>
      <c r="AS87" s="198">
        <f>$E87*餐厅成本录入!AS87</f>
        <v>0</v>
      </c>
      <c r="AT87" s="198">
        <f>$E87*餐厅成本录入!AT87</f>
        <v>90</v>
      </c>
      <c r="AU87" s="198">
        <f>$E87*餐厅成本录入!AU87</f>
        <v>90</v>
      </c>
      <c r="AV87" s="198">
        <f>$E87*餐厅成本录入!AV87</f>
        <v>0</v>
      </c>
      <c r="AW87" s="198">
        <f>$E87*餐厅成本录入!AW87</f>
        <v>0</v>
      </c>
      <c r="AX87" s="198">
        <f>$E87*餐厅成本录入!AX87</f>
        <v>0</v>
      </c>
      <c r="AY87" s="198">
        <f>$E87*餐厅成本录入!AY87</f>
        <v>0</v>
      </c>
      <c r="AZ87" s="198">
        <f>$E87*餐厅成本录入!AZ87</f>
        <v>0</v>
      </c>
      <c r="BA87" s="198">
        <f>$E87*餐厅成本录入!BA87</f>
        <v>0</v>
      </c>
      <c r="BB87" s="198">
        <f>$E87*餐厅成本录入!BB87</f>
        <v>0</v>
      </c>
      <c r="BC87" s="198">
        <f>$E87*餐厅成本录入!BC87</f>
        <v>0</v>
      </c>
      <c r="BD87" s="198">
        <f>$E87*餐厅成本录入!BD87</f>
        <v>0</v>
      </c>
      <c r="BE87" s="198">
        <f>$E87*餐厅成本录入!BE87</f>
        <v>0</v>
      </c>
      <c r="BF87" s="198">
        <f>$E87*餐厅成本录入!BF87</f>
        <v>0</v>
      </c>
      <c r="BG87" s="198">
        <f>$E87*餐厅成本录入!BG87</f>
        <v>0</v>
      </c>
      <c r="BH87" s="198">
        <f>$E87*餐厅成本录入!BH87</f>
        <v>90</v>
      </c>
      <c r="BI87" s="198">
        <f>$E87*餐厅成本录入!BI87</f>
        <v>90</v>
      </c>
      <c r="BJ87" s="198">
        <f>$E87*餐厅成本录入!BJ87</f>
        <v>0</v>
      </c>
      <c r="BK87" s="198">
        <f>$E87*餐厅成本录入!BK87</f>
        <v>0</v>
      </c>
      <c r="BL87" s="198">
        <f>$E87*餐厅成本录入!BL87</f>
        <v>90</v>
      </c>
      <c r="BM87" s="198">
        <f>$E87*餐厅成本录入!BM87</f>
        <v>90</v>
      </c>
      <c r="BN87" s="198">
        <f>$E87*餐厅成本录入!BN87</f>
        <v>0</v>
      </c>
      <c r="BO87" s="198">
        <f>$E87*餐厅成本录入!BO87</f>
        <v>0</v>
      </c>
      <c r="BP87" s="198">
        <f>$E87*餐厅成本录入!BP87</f>
        <v>0</v>
      </c>
      <c r="BQ87" s="198">
        <f>$E87*餐厅成本录入!BQ87</f>
        <v>0</v>
      </c>
      <c r="BR87" s="198">
        <f>$E87*餐厅成本录入!BR87</f>
        <v>0</v>
      </c>
      <c r="BS87" s="198">
        <f>$E87*餐厅成本录入!BS87</f>
        <v>0</v>
      </c>
      <c r="BT87" s="198">
        <f>$E87*餐厅成本录入!BT87</f>
        <v>90</v>
      </c>
      <c r="BU87" s="198">
        <f>$E87*餐厅成本录入!BU87</f>
        <v>90</v>
      </c>
      <c r="BV87" s="198">
        <f>$E87*餐厅成本录入!BV87</f>
        <v>0</v>
      </c>
      <c r="BW87" s="198">
        <f>$E87*餐厅成本录入!BW87</f>
        <v>0</v>
      </c>
    </row>
    <row r="88" s="178" customFormat="1" customHeight="1" spans="1:75">
      <c r="A88" s="161">
        <v>119</v>
      </c>
      <c r="B88" s="21" t="str">
        <f>餐厅成本录入!B88</f>
        <v>芝麻球</v>
      </c>
      <c r="C88" s="21">
        <f>餐厅成本录入!C88</f>
        <v>0</v>
      </c>
      <c r="D88" s="21">
        <f>餐厅成本录入!D88</f>
        <v>0</v>
      </c>
      <c r="E88" s="21">
        <f>餐厅成本录入!E88</f>
        <v>55</v>
      </c>
      <c r="F88" s="21">
        <f>餐厅成本录入!F88</f>
        <v>0</v>
      </c>
      <c r="G88" s="21">
        <f>餐厅成本录入!G88</f>
        <v>0</v>
      </c>
      <c r="H88" s="21">
        <f>餐厅成本录入!H88</f>
        <v>3</v>
      </c>
      <c r="I88" s="21">
        <f>餐厅成本录入!I88</f>
        <v>165</v>
      </c>
      <c r="J88" s="21">
        <f>餐厅成本录入!J88</f>
        <v>3</v>
      </c>
      <c r="K88" s="21">
        <f>餐厅成本录入!K88</f>
        <v>165</v>
      </c>
      <c r="L88" s="21">
        <f>餐厅成本录入!L88</f>
        <v>0</v>
      </c>
      <c r="M88" s="21">
        <f>餐厅成本录入!M88</f>
        <v>0</v>
      </c>
      <c r="N88" s="198">
        <f>$E88*餐厅成本录入!N88</f>
        <v>0</v>
      </c>
      <c r="O88" s="198">
        <f>$E88*餐厅成本录入!O88</f>
        <v>0</v>
      </c>
      <c r="P88" s="198">
        <f>$E88*餐厅成本录入!P88</f>
        <v>0</v>
      </c>
      <c r="Q88" s="198">
        <f>$E88*餐厅成本录入!Q88</f>
        <v>0</v>
      </c>
      <c r="R88" s="198">
        <f>$E88*餐厅成本录入!R88</f>
        <v>0</v>
      </c>
      <c r="S88" s="198">
        <f>$E88*餐厅成本录入!S88</f>
        <v>0</v>
      </c>
      <c r="T88" s="198">
        <f>$E88*餐厅成本录入!T88</f>
        <v>0</v>
      </c>
      <c r="U88" s="198">
        <f>$E88*餐厅成本录入!U88</f>
        <v>0</v>
      </c>
      <c r="V88" s="198">
        <f>$E88*餐厅成本录入!V88</f>
        <v>55</v>
      </c>
      <c r="W88" s="198">
        <f>$E88*餐厅成本录入!W88</f>
        <v>55</v>
      </c>
      <c r="X88" s="198">
        <f>$E88*餐厅成本录入!X88</f>
        <v>0</v>
      </c>
      <c r="Y88" s="198">
        <f>$E88*餐厅成本录入!Y88</f>
        <v>0</v>
      </c>
      <c r="Z88" s="198">
        <f>$E88*餐厅成本录入!Z88</f>
        <v>0</v>
      </c>
      <c r="AA88" s="198">
        <f>$E88*餐厅成本录入!AA88</f>
        <v>0</v>
      </c>
      <c r="AB88" s="198">
        <f>$E88*餐厅成本录入!AB88</f>
        <v>0</v>
      </c>
      <c r="AC88" s="198">
        <f>$E88*餐厅成本录入!AC88</f>
        <v>0</v>
      </c>
      <c r="AD88" s="198">
        <f>$E88*餐厅成本录入!AD88</f>
        <v>0</v>
      </c>
      <c r="AE88" s="198">
        <f>$E88*餐厅成本录入!AE88</f>
        <v>0</v>
      </c>
      <c r="AF88" s="198">
        <f>$E88*餐厅成本录入!AF88</f>
        <v>0</v>
      </c>
      <c r="AG88" s="198">
        <f>$E88*餐厅成本录入!AG88</f>
        <v>0</v>
      </c>
      <c r="AH88" s="198">
        <f>$E88*餐厅成本录入!AH88</f>
        <v>0</v>
      </c>
      <c r="AI88" s="198">
        <f>$E88*餐厅成本录入!AI88</f>
        <v>0</v>
      </c>
      <c r="AJ88" s="198">
        <f>$E88*餐厅成本录入!AJ88</f>
        <v>0</v>
      </c>
      <c r="AK88" s="198">
        <f>$E88*餐厅成本录入!AK88</f>
        <v>0</v>
      </c>
      <c r="AL88" s="198">
        <f>$E88*餐厅成本录入!AL88</f>
        <v>0</v>
      </c>
      <c r="AM88" s="198">
        <f>$E88*餐厅成本录入!AM88</f>
        <v>0</v>
      </c>
      <c r="AN88" s="198">
        <f>$E88*餐厅成本录入!AN88</f>
        <v>0</v>
      </c>
      <c r="AO88" s="198">
        <f>$E88*餐厅成本录入!AO88</f>
        <v>0</v>
      </c>
      <c r="AP88" s="198">
        <f>$E88*餐厅成本录入!AP88</f>
        <v>0</v>
      </c>
      <c r="AQ88" s="198">
        <f>$E88*餐厅成本录入!AQ88</f>
        <v>0</v>
      </c>
      <c r="AR88" s="198">
        <f>$E88*餐厅成本录入!AR88</f>
        <v>0</v>
      </c>
      <c r="AS88" s="198">
        <f>$E88*餐厅成本录入!AS88</f>
        <v>0</v>
      </c>
      <c r="AT88" s="198">
        <f>$E88*餐厅成本录入!AT88</f>
        <v>55</v>
      </c>
      <c r="AU88" s="198">
        <f>$E88*餐厅成本录入!AU88</f>
        <v>55</v>
      </c>
      <c r="AV88" s="198">
        <f>$E88*餐厅成本录入!AV88</f>
        <v>0</v>
      </c>
      <c r="AW88" s="198">
        <f>$E88*餐厅成本录入!AW88</f>
        <v>0</v>
      </c>
      <c r="AX88" s="198">
        <f>$E88*餐厅成本录入!AX88</f>
        <v>0</v>
      </c>
      <c r="AY88" s="198">
        <f>$E88*餐厅成本录入!AY88</f>
        <v>0</v>
      </c>
      <c r="AZ88" s="198">
        <f>$E88*餐厅成本录入!AZ88</f>
        <v>0</v>
      </c>
      <c r="BA88" s="198">
        <f>$E88*餐厅成本录入!BA88</f>
        <v>0</v>
      </c>
      <c r="BB88" s="198">
        <f>$E88*餐厅成本录入!BB88</f>
        <v>0</v>
      </c>
      <c r="BC88" s="198">
        <f>$E88*餐厅成本录入!BC88</f>
        <v>0</v>
      </c>
      <c r="BD88" s="198">
        <f>$E88*餐厅成本录入!BD88</f>
        <v>0</v>
      </c>
      <c r="BE88" s="198">
        <f>$E88*餐厅成本录入!BE88</f>
        <v>0</v>
      </c>
      <c r="BF88" s="198">
        <f>$E88*餐厅成本录入!BF88</f>
        <v>0</v>
      </c>
      <c r="BG88" s="198">
        <f>$E88*餐厅成本录入!BG88</f>
        <v>0</v>
      </c>
      <c r="BH88" s="198">
        <f>$E88*餐厅成本录入!BH88</f>
        <v>0</v>
      </c>
      <c r="BI88" s="198">
        <f>$E88*餐厅成本录入!BI88</f>
        <v>0</v>
      </c>
      <c r="BJ88" s="198">
        <f>$E88*餐厅成本录入!BJ88</f>
        <v>0</v>
      </c>
      <c r="BK88" s="198">
        <f>$E88*餐厅成本录入!BK88</f>
        <v>0</v>
      </c>
      <c r="BL88" s="198">
        <f>$E88*餐厅成本录入!BL88</f>
        <v>55</v>
      </c>
      <c r="BM88" s="198">
        <f>$E88*餐厅成本录入!BM88</f>
        <v>55</v>
      </c>
      <c r="BN88" s="198">
        <f>$E88*餐厅成本录入!BN88</f>
        <v>0</v>
      </c>
      <c r="BO88" s="198">
        <f>$E88*餐厅成本录入!BO88</f>
        <v>0</v>
      </c>
      <c r="BP88" s="198">
        <f>$E88*餐厅成本录入!BP88</f>
        <v>0</v>
      </c>
      <c r="BQ88" s="198">
        <f>$E88*餐厅成本录入!BQ88</f>
        <v>0</v>
      </c>
      <c r="BR88" s="198">
        <f>$E88*餐厅成本录入!BR88</f>
        <v>0</v>
      </c>
      <c r="BS88" s="198">
        <f>$E88*餐厅成本录入!BS88</f>
        <v>0</v>
      </c>
      <c r="BT88" s="198">
        <f>$E88*餐厅成本录入!BT88</f>
        <v>0</v>
      </c>
      <c r="BU88" s="198">
        <f>$E88*餐厅成本录入!BU88</f>
        <v>0</v>
      </c>
      <c r="BV88" s="198">
        <f>$E88*餐厅成本录入!BV88</f>
        <v>0</v>
      </c>
      <c r="BW88" s="198">
        <f>$E88*餐厅成本录入!BW88</f>
        <v>0</v>
      </c>
    </row>
    <row r="89" s="178" customFormat="1" customHeight="1" spans="1:75">
      <c r="A89" s="161">
        <v>120</v>
      </c>
      <c r="B89" s="21" t="str">
        <f>餐厅成本录入!B89</f>
        <v>蛋挞</v>
      </c>
      <c r="C89" s="21">
        <f>餐厅成本录入!C89</f>
        <v>0</v>
      </c>
      <c r="D89" s="21">
        <f>餐厅成本录入!D89</f>
        <v>0</v>
      </c>
      <c r="E89" s="21">
        <f>餐厅成本录入!E89</f>
        <v>96</v>
      </c>
      <c r="F89" s="21">
        <f>餐厅成本录入!F89</f>
        <v>0</v>
      </c>
      <c r="G89" s="21">
        <f>餐厅成本录入!G89</f>
        <v>0</v>
      </c>
      <c r="H89" s="21">
        <f>餐厅成本录入!H89</f>
        <v>2</v>
      </c>
      <c r="I89" s="21">
        <f>餐厅成本录入!I89</f>
        <v>192</v>
      </c>
      <c r="J89" s="21">
        <f>餐厅成本录入!J89</f>
        <v>2</v>
      </c>
      <c r="K89" s="21">
        <f>餐厅成本录入!K89</f>
        <v>192</v>
      </c>
      <c r="L89" s="21">
        <f>餐厅成本录入!L89</f>
        <v>0</v>
      </c>
      <c r="M89" s="21">
        <f>餐厅成本录入!M89</f>
        <v>0</v>
      </c>
      <c r="N89" s="198">
        <f>$E89*餐厅成本录入!N89</f>
        <v>96</v>
      </c>
      <c r="O89" s="198">
        <f>$E89*餐厅成本录入!O89</f>
        <v>96</v>
      </c>
      <c r="P89" s="198">
        <f>$E89*餐厅成本录入!P89</f>
        <v>0</v>
      </c>
      <c r="Q89" s="198">
        <f>$E89*餐厅成本录入!Q89</f>
        <v>0</v>
      </c>
      <c r="R89" s="198">
        <f>$E89*餐厅成本录入!R89</f>
        <v>0</v>
      </c>
      <c r="S89" s="198">
        <f>$E89*餐厅成本录入!S89</f>
        <v>0</v>
      </c>
      <c r="T89" s="198">
        <f>$E89*餐厅成本录入!T89</f>
        <v>0</v>
      </c>
      <c r="U89" s="198">
        <f>$E89*餐厅成本录入!U89</f>
        <v>0</v>
      </c>
      <c r="V89" s="198">
        <f>$E89*餐厅成本录入!V89</f>
        <v>96</v>
      </c>
      <c r="W89" s="198">
        <f>$E89*餐厅成本录入!W89</f>
        <v>96</v>
      </c>
      <c r="X89" s="198">
        <f>$E89*餐厅成本录入!X89</f>
        <v>0</v>
      </c>
      <c r="Y89" s="198">
        <f>$E89*餐厅成本录入!Y89</f>
        <v>0</v>
      </c>
      <c r="Z89" s="198">
        <f>$E89*餐厅成本录入!Z89</f>
        <v>0</v>
      </c>
      <c r="AA89" s="198">
        <f>$E89*餐厅成本录入!AA89</f>
        <v>0</v>
      </c>
      <c r="AB89" s="198">
        <f>$E89*餐厅成本录入!AB89</f>
        <v>0</v>
      </c>
      <c r="AC89" s="198">
        <f>$E89*餐厅成本录入!AC89</f>
        <v>0</v>
      </c>
      <c r="AD89" s="198">
        <f>$E89*餐厅成本录入!AD89</f>
        <v>0</v>
      </c>
      <c r="AE89" s="198">
        <f>$E89*餐厅成本录入!AE89</f>
        <v>0</v>
      </c>
      <c r="AF89" s="198">
        <f>$E89*餐厅成本录入!AF89</f>
        <v>0</v>
      </c>
      <c r="AG89" s="198">
        <f>$E89*餐厅成本录入!AG89</f>
        <v>0</v>
      </c>
      <c r="AH89" s="198">
        <f>$E89*餐厅成本录入!AH89</f>
        <v>0</v>
      </c>
      <c r="AI89" s="198">
        <f>$E89*餐厅成本录入!AI89</f>
        <v>0</v>
      </c>
      <c r="AJ89" s="198">
        <f>$E89*餐厅成本录入!AJ89</f>
        <v>0</v>
      </c>
      <c r="AK89" s="198">
        <f>$E89*餐厅成本录入!AK89</f>
        <v>0</v>
      </c>
      <c r="AL89" s="198">
        <f>$E89*餐厅成本录入!AL89</f>
        <v>0</v>
      </c>
      <c r="AM89" s="198">
        <f>$E89*餐厅成本录入!AM89</f>
        <v>0</v>
      </c>
      <c r="AN89" s="198">
        <f>$E89*餐厅成本录入!AN89</f>
        <v>0</v>
      </c>
      <c r="AO89" s="198">
        <f>$E89*餐厅成本录入!AO89</f>
        <v>0</v>
      </c>
      <c r="AP89" s="198">
        <f>$E89*餐厅成本录入!AP89</f>
        <v>0</v>
      </c>
      <c r="AQ89" s="198">
        <f>$E89*餐厅成本录入!AQ89</f>
        <v>0</v>
      </c>
      <c r="AR89" s="198">
        <f>$E89*餐厅成本录入!AR89</f>
        <v>0</v>
      </c>
      <c r="AS89" s="198">
        <f>$E89*餐厅成本录入!AS89</f>
        <v>0</v>
      </c>
      <c r="AT89" s="198">
        <f>$E89*餐厅成本录入!AT89</f>
        <v>0</v>
      </c>
      <c r="AU89" s="198">
        <f>$E89*餐厅成本录入!AU89</f>
        <v>0</v>
      </c>
      <c r="AV89" s="198">
        <f>$E89*餐厅成本录入!AV89</f>
        <v>0</v>
      </c>
      <c r="AW89" s="198">
        <f>$E89*餐厅成本录入!AW89</f>
        <v>0</v>
      </c>
      <c r="AX89" s="198">
        <f>$E89*餐厅成本录入!AX89</f>
        <v>0</v>
      </c>
      <c r="AY89" s="198">
        <f>$E89*餐厅成本录入!AY89</f>
        <v>0</v>
      </c>
      <c r="AZ89" s="198">
        <f>$E89*餐厅成本录入!AZ89</f>
        <v>0</v>
      </c>
      <c r="BA89" s="198">
        <f>$E89*餐厅成本录入!BA89</f>
        <v>0</v>
      </c>
      <c r="BB89" s="198">
        <f>$E89*餐厅成本录入!BB89</f>
        <v>0</v>
      </c>
      <c r="BC89" s="198">
        <f>$E89*餐厅成本录入!BC89</f>
        <v>0</v>
      </c>
      <c r="BD89" s="198">
        <f>$E89*餐厅成本录入!BD89</f>
        <v>0</v>
      </c>
      <c r="BE89" s="198">
        <f>$E89*餐厅成本录入!BE89</f>
        <v>0</v>
      </c>
      <c r="BF89" s="198">
        <f>$E89*餐厅成本录入!BF89</f>
        <v>0</v>
      </c>
      <c r="BG89" s="198">
        <f>$E89*餐厅成本录入!BG89</f>
        <v>0</v>
      </c>
      <c r="BH89" s="198">
        <f>$E89*餐厅成本录入!BH89</f>
        <v>0</v>
      </c>
      <c r="BI89" s="198">
        <f>$E89*餐厅成本录入!BI89</f>
        <v>0</v>
      </c>
      <c r="BJ89" s="198">
        <f>$E89*餐厅成本录入!BJ89</f>
        <v>0</v>
      </c>
      <c r="BK89" s="198">
        <f>$E89*餐厅成本录入!BK89</f>
        <v>0</v>
      </c>
      <c r="BL89" s="198">
        <f>$E89*餐厅成本录入!BL89</f>
        <v>0</v>
      </c>
      <c r="BM89" s="198">
        <f>$E89*餐厅成本录入!BM89</f>
        <v>0</v>
      </c>
      <c r="BN89" s="198">
        <f>$E89*餐厅成本录入!BN89</f>
        <v>0</v>
      </c>
      <c r="BO89" s="198">
        <f>$E89*餐厅成本录入!BO89</f>
        <v>0</v>
      </c>
      <c r="BP89" s="198">
        <f>$E89*餐厅成本录入!BP89</f>
        <v>0</v>
      </c>
      <c r="BQ89" s="198">
        <f>$E89*餐厅成本录入!BQ89</f>
        <v>0</v>
      </c>
      <c r="BR89" s="198">
        <f>$E89*餐厅成本录入!BR89</f>
        <v>0</v>
      </c>
      <c r="BS89" s="198">
        <f>$E89*餐厅成本录入!BS89</f>
        <v>0</v>
      </c>
      <c r="BT89" s="198">
        <f>$E89*餐厅成本录入!BT89</f>
        <v>0</v>
      </c>
      <c r="BU89" s="198">
        <f>$E89*餐厅成本录入!BU89</f>
        <v>0</v>
      </c>
      <c r="BV89" s="198">
        <f>$E89*餐厅成本录入!BV89</f>
        <v>0</v>
      </c>
      <c r="BW89" s="198">
        <f>$E89*餐厅成本录入!BW89</f>
        <v>0</v>
      </c>
    </row>
    <row r="90" s="178" customFormat="1" customHeight="1" spans="1:75">
      <c r="A90" s="161">
        <v>121</v>
      </c>
      <c r="B90" s="21" t="str">
        <f>餐厅成本录入!B90</f>
        <v>蒸花生</v>
      </c>
      <c r="C90" s="21">
        <f>餐厅成本录入!C90</f>
        <v>0</v>
      </c>
      <c r="D90" s="21">
        <f>餐厅成本录入!D90</f>
        <v>0</v>
      </c>
      <c r="E90" s="21">
        <f>餐厅成本录入!E90</f>
        <v>80</v>
      </c>
      <c r="F90" s="21">
        <f>餐厅成本录入!F90</f>
        <v>0</v>
      </c>
      <c r="G90" s="21">
        <f>餐厅成本录入!G90</f>
        <v>0</v>
      </c>
      <c r="H90" s="21">
        <f>餐厅成本录入!H90</f>
        <v>1</v>
      </c>
      <c r="I90" s="21">
        <f>餐厅成本录入!I90</f>
        <v>80</v>
      </c>
      <c r="J90" s="21">
        <f>餐厅成本录入!J90</f>
        <v>1</v>
      </c>
      <c r="K90" s="21">
        <f>餐厅成本录入!K90</f>
        <v>80</v>
      </c>
      <c r="L90" s="21">
        <f>餐厅成本录入!L90</f>
        <v>0</v>
      </c>
      <c r="M90" s="21">
        <f>餐厅成本录入!M90</f>
        <v>0</v>
      </c>
      <c r="N90" s="198">
        <f>$E90*餐厅成本录入!N90</f>
        <v>0</v>
      </c>
      <c r="O90" s="198">
        <f>$E90*餐厅成本录入!O90</f>
        <v>0</v>
      </c>
      <c r="P90" s="198">
        <f>$E90*餐厅成本录入!P90</f>
        <v>0</v>
      </c>
      <c r="Q90" s="198">
        <f>$E90*餐厅成本录入!Q90</f>
        <v>0</v>
      </c>
      <c r="R90" s="198">
        <f>$E90*餐厅成本录入!R90</f>
        <v>0</v>
      </c>
      <c r="S90" s="198">
        <f>$E90*餐厅成本录入!S90</f>
        <v>0</v>
      </c>
      <c r="T90" s="198">
        <f>$E90*餐厅成本录入!T90</f>
        <v>0</v>
      </c>
      <c r="U90" s="198">
        <f>$E90*餐厅成本录入!U90</f>
        <v>0</v>
      </c>
      <c r="V90" s="198">
        <f>$E90*餐厅成本录入!V90</f>
        <v>80</v>
      </c>
      <c r="W90" s="198">
        <f>$E90*餐厅成本录入!W90</f>
        <v>80</v>
      </c>
      <c r="X90" s="198">
        <f>$E90*餐厅成本录入!X90</f>
        <v>0</v>
      </c>
      <c r="Y90" s="198">
        <f>$E90*餐厅成本录入!Y90</f>
        <v>0</v>
      </c>
      <c r="Z90" s="198">
        <f>$E90*餐厅成本录入!Z90</f>
        <v>0</v>
      </c>
      <c r="AA90" s="198">
        <f>$E90*餐厅成本录入!AA90</f>
        <v>0</v>
      </c>
      <c r="AB90" s="198">
        <f>$E90*餐厅成本录入!AB90</f>
        <v>0</v>
      </c>
      <c r="AC90" s="198">
        <f>$E90*餐厅成本录入!AC90</f>
        <v>0</v>
      </c>
      <c r="AD90" s="198">
        <f>$E90*餐厅成本录入!AD90</f>
        <v>0</v>
      </c>
      <c r="AE90" s="198">
        <f>$E90*餐厅成本录入!AE90</f>
        <v>0</v>
      </c>
      <c r="AF90" s="198">
        <f>$E90*餐厅成本录入!AF90</f>
        <v>0</v>
      </c>
      <c r="AG90" s="198">
        <f>$E90*餐厅成本录入!AG90</f>
        <v>0</v>
      </c>
      <c r="AH90" s="198">
        <f>$E90*餐厅成本录入!AH90</f>
        <v>0</v>
      </c>
      <c r="AI90" s="198">
        <f>$E90*餐厅成本录入!AI90</f>
        <v>0</v>
      </c>
      <c r="AJ90" s="198">
        <f>$E90*餐厅成本录入!AJ90</f>
        <v>0</v>
      </c>
      <c r="AK90" s="198">
        <f>$E90*餐厅成本录入!AK90</f>
        <v>0</v>
      </c>
      <c r="AL90" s="198">
        <f>$E90*餐厅成本录入!AL90</f>
        <v>0</v>
      </c>
      <c r="AM90" s="198">
        <f>$E90*餐厅成本录入!AM90</f>
        <v>0</v>
      </c>
      <c r="AN90" s="198">
        <f>$E90*餐厅成本录入!AN90</f>
        <v>0</v>
      </c>
      <c r="AO90" s="198">
        <f>$E90*餐厅成本录入!AO90</f>
        <v>0</v>
      </c>
      <c r="AP90" s="198">
        <f>$E90*餐厅成本录入!AP90</f>
        <v>0</v>
      </c>
      <c r="AQ90" s="198">
        <f>$E90*餐厅成本录入!AQ90</f>
        <v>0</v>
      </c>
      <c r="AR90" s="198">
        <f>$E90*餐厅成本录入!AR90</f>
        <v>0</v>
      </c>
      <c r="AS90" s="198">
        <f>$E90*餐厅成本录入!AS90</f>
        <v>0</v>
      </c>
      <c r="AT90" s="198">
        <f>$E90*餐厅成本录入!AT90</f>
        <v>0</v>
      </c>
      <c r="AU90" s="198">
        <f>$E90*餐厅成本录入!AU90</f>
        <v>0</v>
      </c>
      <c r="AV90" s="198">
        <f>$E90*餐厅成本录入!AV90</f>
        <v>0</v>
      </c>
      <c r="AW90" s="198">
        <f>$E90*餐厅成本录入!AW90</f>
        <v>0</v>
      </c>
      <c r="AX90" s="198">
        <f>$E90*餐厅成本录入!AX90</f>
        <v>0</v>
      </c>
      <c r="AY90" s="198">
        <f>$E90*餐厅成本录入!AY90</f>
        <v>0</v>
      </c>
      <c r="AZ90" s="198">
        <f>$E90*餐厅成本录入!AZ90</f>
        <v>0</v>
      </c>
      <c r="BA90" s="198">
        <f>$E90*餐厅成本录入!BA90</f>
        <v>0</v>
      </c>
      <c r="BB90" s="198">
        <f>$E90*餐厅成本录入!BB90</f>
        <v>0</v>
      </c>
      <c r="BC90" s="198">
        <f>$E90*餐厅成本录入!BC90</f>
        <v>0</v>
      </c>
      <c r="BD90" s="198">
        <f>$E90*餐厅成本录入!BD90</f>
        <v>0</v>
      </c>
      <c r="BE90" s="198">
        <f>$E90*餐厅成本录入!BE90</f>
        <v>0</v>
      </c>
      <c r="BF90" s="198">
        <f>$E90*餐厅成本录入!BF90</f>
        <v>0</v>
      </c>
      <c r="BG90" s="198">
        <f>$E90*餐厅成本录入!BG90</f>
        <v>0</v>
      </c>
      <c r="BH90" s="198">
        <f>$E90*餐厅成本录入!BH90</f>
        <v>0</v>
      </c>
      <c r="BI90" s="198">
        <f>$E90*餐厅成本录入!BI90</f>
        <v>0</v>
      </c>
      <c r="BJ90" s="198">
        <f>$E90*餐厅成本录入!BJ90</f>
        <v>0</v>
      </c>
      <c r="BK90" s="198">
        <f>$E90*餐厅成本录入!BK90</f>
        <v>0</v>
      </c>
      <c r="BL90" s="198">
        <f>$E90*餐厅成本录入!BL90</f>
        <v>0</v>
      </c>
      <c r="BM90" s="198">
        <f>$E90*餐厅成本录入!BM90</f>
        <v>0</v>
      </c>
      <c r="BN90" s="198">
        <f>$E90*餐厅成本录入!BN90</f>
        <v>0</v>
      </c>
      <c r="BO90" s="198">
        <f>$E90*餐厅成本录入!BO90</f>
        <v>0</v>
      </c>
      <c r="BP90" s="198">
        <f>$E90*餐厅成本录入!BP90</f>
        <v>0</v>
      </c>
      <c r="BQ90" s="198">
        <f>$E90*餐厅成本录入!BQ90</f>
        <v>0</v>
      </c>
      <c r="BR90" s="198">
        <f>$E90*餐厅成本录入!BR90</f>
        <v>0</v>
      </c>
      <c r="BS90" s="198">
        <f>$E90*餐厅成本录入!BS90</f>
        <v>0</v>
      </c>
      <c r="BT90" s="198">
        <f>$E90*餐厅成本录入!BT90</f>
        <v>0</v>
      </c>
      <c r="BU90" s="198">
        <f>$E90*餐厅成本录入!BU90</f>
        <v>0</v>
      </c>
      <c r="BV90" s="198">
        <f>$E90*餐厅成本录入!BV90</f>
        <v>0</v>
      </c>
      <c r="BW90" s="198">
        <f>$E90*餐厅成本录入!BW90</f>
        <v>0</v>
      </c>
    </row>
    <row r="91" s="178" customFormat="1" customHeight="1" spans="1:75">
      <c r="A91" s="161">
        <v>122</v>
      </c>
      <c r="B91" s="21" t="str">
        <f>餐厅成本录入!B91</f>
        <v>虾仁</v>
      </c>
      <c r="C91" s="21">
        <f>餐厅成本录入!C91</f>
        <v>0</v>
      </c>
      <c r="D91" s="21">
        <f>餐厅成本录入!D91</f>
        <v>0</v>
      </c>
      <c r="E91" s="21">
        <f>餐厅成本录入!E91</f>
        <v>370</v>
      </c>
      <c r="F91" s="21">
        <f>餐厅成本录入!F91</f>
        <v>0</v>
      </c>
      <c r="G91" s="21">
        <f>餐厅成本录入!G91</f>
        <v>0</v>
      </c>
      <c r="H91" s="21">
        <f>餐厅成本录入!H91</f>
        <v>1</v>
      </c>
      <c r="I91" s="21">
        <f>餐厅成本录入!I91</f>
        <v>370</v>
      </c>
      <c r="J91" s="21">
        <f>餐厅成本录入!J91</f>
        <v>1</v>
      </c>
      <c r="K91" s="21">
        <f>餐厅成本录入!K91</f>
        <v>370</v>
      </c>
      <c r="L91" s="21">
        <f>餐厅成本录入!L91</f>
        <v>0</v>
      </c>
      <c r="M91" s="21">
        <f>餐厅成本录入!M91</f>
        <v>0</v>
      </c>
      <c r="N91" s="198">
        <f>$E91*餐厅成本录入!N91</f>
        <v>370</v>
      </c>
      <c r="O91" s="198">
        <f>$E91*餐厅成本录入!O91</f>
        <v>370</v>
      </c>
      <c r="P91" s="198">
        <f>$E91*餐厅成本录入!P91</f>
        <v>0</v>
      </c>
      <c r="Q91" s="198">
        <f>$E91*餐厅成本录入!Q91</f>
        <v>0</v>
      </c>
      <c r="R91" s="198">
        <f>$E91*餐厅成本录入!R91</f>
        <v>0</v>
      </c>
      <c r="S91" s="198">
        <f>$E91*餐厅成本录入!S91</f>
        <v>0</v>
      </c>
      <c r="T91" s="198">
        <f>$E91*餐厅成本录入!T91</f>
        <v>0</v>
      </c>
      <c r="U91" s="198">
        <f>$E91*餐厅成本录入!U91</f>
        <v>0</v>
      </c>
      <c r="V91" s="198">
        <f>$E91*餐厅成本录入!V91</f>
        <v>0</v>
      </c>
      <c r="W91" s="198">
        <f>$E91*餐厅成本录入!W91</f>
        <v>0</v>
      </c>
      <c r="X91" s="198">
        <f>$E91*餐厅成本录入!X91</f>
        <v>0</v>
      </c>
      <c r="Y91" s="198">
        <f>$E91*餐厅成本录入!Y91</f>
        <v>0</v>
      </c>
      <c r="Z91" s="198">
        <f>$E91*餐厅成本录入!Z91</f>
        <v>0</v>
      </c>
      <c r="AA91" s="198">
        <f>$E91*餐厅成本录入!AA91</f>
        <v>0</v>
      </c>
      <c r="AB91" s="198">
        <f>$E91*餐厅成本录入!AB91</f>
        <v>0</v>
      </c>
      <c r="AC91" s="198">
        <f>$E91*餐厅成本录入!AC91</f>
        <v>0</v>
      </c>
      <c r="AD91" s="198">
        <f>$E91*餐厅成本录入!AD91</f>
        <v>0</v>
      </c>
      <c r="AE91" s="198">
        <f>$E91*餐厅成本录入!AE91</f>
        <v>0</v>
      </c>
      <c r="AF91" s="198">
        <f>$E91*餐厅成本录入!AF91</f>
        <v>0</v>
      </c>
      <c r="AG91" s="198">
        <f>$E91*餐厅成本录入!AG91</f>
        <v>0</v>
      </c>
      <c r="AH91" s="198">
        <f>$E91*餐厅成本录入!AH91</f>
        <v>0</v>
      </c>
      <c r="AI91" s="198">
        <f>$E91*餐厅成本录入!AI91</f>
        <v>0</v>
      </c>
      <c r="AJ91" s="198">
        <f>$E91*餐厅成本录入!AJ91</f>
        <v>0</v>
      </c>
      <c r="AK91" s="198">
        <f>$E91*餐厅成本录入!AK91</f>
        <v>0</v>
      </c>
      <c r="AL91" s="198">
        <f>$E91*餐厅成本录入!AL91</f>
        <v>0</v>
      </c>
      <c r="AM91" s="198">
        <f>$E91*餐厅成本录入!AM91</f>
        <v>0</v>
      </c>
      <c r="AN91" s="198">
        <f>$E91*餐厅成本录入!AN91</f>
        <v>0</v>
      </c>
      <c r="AO91" s="198">
        <f>$E91*餐厅成本录入!AO91</f>
        <v>0</v>
      </c>
      <c r="AP91" s="198">
        <f>$E91*餐厅成本录入!AP91</f>
        <v>0</v>
      </c>
      <c r="AQ91" s="198">
        <f>$E91*餐厅成本录入!AQ91</f>
        <v>0</v>
      </c>
      <c r="AR91" s="198">
        <f>$E91*餐厅成本录入!AR91</f>
        <v>0</v>
      </c>
      <c r="AS91" s="198">
        <f>$E91*餐厅成本录入!AS91</f>
        <v>0</v>
      </c>
      <c r="AT91" s="198">
        <f>$E91*餐厅成本录入!AT91</f>
        <v>0</v>
      </c>
      <c r="AU91" s="198">
        <f>$E91*餐厅成本录入!AU91</f>
        <v>0</v>
      </c>
      <c r="AV91" s="198">
        <f>$E91*餐厅成本录入!AV91</f>
        <v>0</v>
      </c>
      <c r="AW91" s="198">
        <f>$E91*餐厅成本录入!AW91</f>
        <v>0</v>
      </c>
      <c r="AX91" s="198">
        <f>$E91*餐厅成本录入!AX91</f>
        <v>0</v>
      </c>
      <c r="AY91" s="198">
        <f>$E91*餐厅成本录入!AY91</f>
        <v>0</v>
      </c>
      <c r="AZ91" s="198">
        <f>$E91*餐厅成本录入!AZ91</f>
        <v>0</v>
      </c>
      <c r="BA91" s="198">
        <f>$E91*餐厅成本录入!BA91</f>
        <v>0</v>
      </c>
      <c r="BB91" s="198">
        <f>$E91*餐厅成本录入!BB91</f>
        <v>0</v>
      </c>
      <c r="BC91" s="198">
        <f>$E91*餐厅成本录入!BC91</f>
        <v>0</v>
      </c>
      <c r="BD91" s="198">
        <f>$E91*餐厅成本录入!BD91</f>
        <v>0</v>
      </c>
      <c r="BE91" s="198">
        <f>$E91*餐厅成本录入!BE91</f>
        <v>0</v>
      </c>
      <c r="BF91" s="198">
        <f>$E91*餐厅成本录入!BF91</f>
        <v>0</v>
      </c>
      <c r="BG91" s="198">
        <f>$E91*餐厅成本录入!BG91</f>
        <v>0</v>
      </c>
      <c r="BH91" s="198">
        <f>$E91*餐厅成本录入!BH91</f>
        <v>0</v>
      </c>
      <c r="BI91" s="198">
        <f>$E91*餐厅成本录入!BI91</f>
        <v>0</v>
      </c>
      <c r="BJ91" s="198">
        <f>$E91*餐厅成本录入!BJ91</f>
        <v>0</v>
      </c>
      <c r="BK91" s="198">
        <f>$E91*餐厅成本录入!BK91</f>
        <v>0</v>
      </c>
      <c r="BL91" s="198">
        <f>$E91*餐厅成本录入!BL91</f>
        <v>0</v>
      </c>
      <c r="BM91" s="198">
        <f>$E91*餐厅成本录入!BM91</f>
        <v>0</v>
      </c>
      <c r="BN91" s="198">
        <f>$E91*餐厅成本录入!BN91</f>
        <v>0</v>
      </c>
      <c r="BO91" s="198">
        <f>$E91*餐厅成本录入!BO91</f>
        <v>0</v>
      </c>
      <c r="BP91" s="198">
        <f>$E91*餐厅成本录入!BP91</f>
        <v>0</v>
      </c>
      <c r="BQ91" s="198">
        <f>$E91*餐厅成本录入!BQ91</f>
        <v>0</v>
      </c>
      <c r="BR91" s="198">
        <f>$E91*餐厅成本录入!BR91</f>
        <v>0</v>
      </c>
      <c r="BS91" s="198">
        <f>$E91*餐厅成本录入!BS91</f>
        <v>0</v>
      </c>
      <c r="BT91" s="198">
        <f>$E91*餐厅成本录入!BT91</f>
        <v>0</v>
      </c>
      <c r="BU91" s="198">
        <f>$E91*餐厅成本录入!BU91</f>
        <v>0</v>
      </c>
      <c r="BV91" s="198">
        <f>$E91*餐厅成本录入!BV91</f>
        <v>0</v>
      </c>
      <c r="BW91" s="198">
        <f>$E91*餐厅成本录入!BW91</f>
        <v>0</v>
      </c>
    </row>
    <row r="92" s="178" customFormat="1" customHeight="1" spans="1:75">
      <c r="A92" s="161">
        <v>123</v>
      </c>
      <c r="B92" s="21" t="str">
        <f>餐厅成本录入!B92</f>
        <v>带皮五花肉</v>
      </c>
      <c r="C92" s="21">
        <f>餐厅成本录入!C92</f>
        <v>0</v>
      </c>
      <c r="D92" s="21">
        <f>餐厅成本录入!D92</f>
        <v>0</v>
      </c>
      <c r="E92" s="21">
        <f>餐厅成本录入!E92</f>
        <v>260</v>
      </c>
      <c r="F92" s="21">
        <f>餐厅成本录入!F92</f>
        <v>0</v>
      </c>
      <c r="G92" s="21">
        <f>餐厅成本录入!G92</f>
        <v>0</v>
      </c>
      <c r="H92" s="21">
        <f>餐厅成本录入!H92</f>
        <v>2</v>
      </c>
      <c r="I92" s="21">
        <f>餐厅成本录入!I92</f>
        <v>520</v>
      </c>
      <c r="J92" s="21">
        <f>餐厅成本录入!J92</f>
        <v>2</v>
      </c>
      <c r="K92" s="21">
        <f>餐厅成本录入!K92</f>
        <v>520</v>
      </c>
      <c r="L92" s="21">
        <f>餐厅成本录入!L92</f>
        <v>0</v>
      </c>
      <c r="M92" s="21">
        <f>餐厅成本录入!M92</f>
        <v>0</v>
      </c>
      <c r="N92" s="198">
        <f>$E92*餐厅成本录入!N92</f>
        <v>0</v>
      </c>
      <c r="O92" s="198">
        <f>$E92*餐厅成本录入!O92</f>
        <v>0</v>
      </c>
      <c r="P92" s="198">
        <f>$E92*餐厅成本录入!P92</f>
        <v>0</v>
      </c>
      <c r="Q92" s="198">
        <f>$E92*餐厅成本录入!Q92</f>
        <v>0</v>
      </c>
      <c r="R92" s="198">
        <f>$E92*餐厅成本录入!R92</f>
        <v>0</v>
      </c>
      <c r="S92" s="198">
        <f>$E92*餐厅成本录入!S92</f>
        <v>0</v>
      </c>
      <c r="T92" s="198">
        <f>$E92*餐厅成本录入!T92</f>
        <v>0</v>
      </c>
      <c r="U92" s="198">
        <f>$E92*餐厅成本录入!U92</f>
        <v>0</v>
      </c>
      <c r="V92" s="198">
        <f>$E92*餐厅成本录入!V92</f>
        <v>0</v>
      </c>
      <c r="W92" s="198">
        <f>$E92*餐厅成本录入!W92</f>
        <v>0</v>
      </c>
      <c r="X92" s="198">
        <f>$E92*餐厅成本录入!X92</f>
        <v>0</v>
      </c>
      <c r="Y92" s="198">
        <f>$E92*餐厅成本录入!Y92</f>
        <v>0</v>
      </c>
      <c r="Z92" s="198">
        <f>$E92*餐厅成本录入!Z92</f>
        <v>0</v>
      </c>
      <c r="AA92" s="198">
        <f>$E92*餐厅成本录入!AA92</f>
        <v>0</v>
      </c>
      <c r="AB92" s="198">
        <f>$E92*餐厅成本录入!AB92</f>
        <v>0</v>
      </c>
      <c r="AC92" s="198">
        <f>$E92*餐厅成本录入!AC92</f>
        <v>0</v>
      </c>
      <c r="AD92" s="198">
        <f>$E92*餐厅成本录入!AD92</f>
        <v>0</v>
      </c>
      <c r="AE92" s="198">
        <f>$E92*餐厅成本录入!AE92</f>
        <v>0</v>
      </c>
      <c r="AF92" s="198">
        <f>$E92*餐厅成本录入!AF92</f>
        <v>0</v>
      </c>
      <c r="AG92" s="198">
        <f>$E92*餐厅成本录入!AG92</f>
        <v>0</v>
      </c>
      <c r="AH92" s="198">
        <f>$E92*餐厅成本录入!AH92</f>
        <v>0</v>
      </c>
      <c r="AI92" s="198">
        <f>$E92*餐厅成本录入!AI92</f>
        <v>0</v>
      </c>
      <c r="AJ92" s="198">
        <f>$E92*餐厅成本录入!AJ92</f>
        <v>0</v>
      </c>
      <c r="AK92" s="198">
        <f>$E92*餐厅成本录入!AK92</f>
        <v>0</v>
      </c>
      <c r="AL92" s="198">
        <f>$E92*餐厅成本录入!AL92</f>
        <v>260</v>
      </c>
      <c r="AM92" s="198">
        <f>$E92*餐厅成本录入!AM92</f>
        <v>260</v>
      </c>
      <c r="AN92" s="198">
        <f>$E92*餐厅成本录入!AN92</f>
        <v>0</v>
      </c>
      <c r="AO92" s="198">
        <f>$E92*餐厅成本录入!AO92</f>
        <v>0</v>
      </c>
      <c r="AP92" s="198">
        <f>$E92*餐厅成本录入!AP92</f>
        <v>0</v>
      </c>
      <c r="AQ92" s="198">
        <f>$E92*餐厅成本录入!AQ92</f>
        <v>0</v>
      </c>
      <c r="AR92" s="198">
        <f>$E92*餐厅成本录入!AR92</f>
        <v>0</v>
      </c>
      <c r="AS92" s="198">
        <f>$E92*餐厅成本录入!AS92</f>
        <v>0</v>
      </c>
      <c r="AT92" s="198">
        <f>$E92*餐厅成本录入!AT92</f>
        <v>0</v>
      </c>
      <c r="AU92" s="198">
        <f>$E92*餐厅成本录入!AU92</f>
        <v>0</v>
      </c>
      <c r="AV92" s="198">
        <f>$E92*餐厅成本录入!AV92</f>
        <v>0</v>
      </c>
      <c r="AW92" s="198">
        <f>$E92*餐厅成本录入!AW92</f>
        <v>0</v>
      </c>
      <c r="AX92" s="198">
        <f>$E92*餐厅成本录入!AX92</f>
        <v>0</v>
      </c>
      <c r="AY92" s="198">
        <f>$E92*餐厅成本录入!AY92</f>
        <v>0</v>
      </c>
      <c r="AZ92" s="198">
        <f>$E92*餐厅成本录入!AZ92</f>
        <v>0</v>
      </c>
      <c r="BA92" s="198">
        <f>$E92*餐厅成本录入!BA92</f>
        <v>0</v>
      </c>
      <c r="BB92" s="198">
        <f>$E92*餐厅成本录入!BB92</f>
        <v>0</v>
      </c>
      <c r="BC92" s="198">
        <f>$E92*餐厅成本录入!BC92</f>
        <v>0</v>
      </c>
      <c r="BD92" s="198">
        <f>$E92*餐厅成本录入!BD92</f>
        <v>0</v>
      </c>
      <c r="BE92" s="198">
        <f>$E92*餐厅成本录入!BE92</f>
        <v>0</v>
      </c>
      <c r="BF92" s="198">
        <f>$E92*餐厅成本录入!BF92</f>
        <v>0</v>
      </c>
      <c r="BG92" s="198">
        <f>$E92*餐厅成本录入!BG92</f>
        <v>0</v>
      </c>
      <c r="BH92" s="198">
        <f>$E92*餐厅成本录入!BH92</f>
        <v>0</v>
      </c>
      <c r="BI92" s="198">
        <f>$E92*餐厅成本录入!BI92</f>
        <v>0</v>
      </c>
      <c r="BJ92" s="198">
        <f>$E92*餐厅成本录入!BJ92</f>
        <v>0</v>
      </c>
      <c r="BK92" s="198">
        <f>$E92*餐厅成本录入!BK92</f>
        <v>0</v>
      </c>
      <c r="BL92" s="198">
        <f>$E92*餐厅成本录入!BL92</f>
        <v>260</v>
      </c>
      <c r="BM92" s="198">
        <f>$E92*餐厅成本录入!BM92</f>
        <v>260</v>
      </c>
      <c r="BN92" s="198">
        <f>$E92*餐厅成本录入!BN92</f>
        <v>0</v>
      </c>
      <c r="BO92" s="198">
        <f>$E92*餐厅成本录入!BO92</f>
        <v>0</v>
      </c>
      <c r="BP92" s="198">
        <f>$E92*餐厅成本录入!BP92</f>
        <v>0</v>
      </c>
      <c r="BQ92" s="198">
        <f>$E92*餐厅成本录入!BQ92</f>
        <v>0</v>
      </c>
      <c r="BR92" s="198">
        <f>$E92*餐厅成本录入!BR92</f>
        <v>0</v>
      </c>
      <c r="BS92" s="198">
        <f>$E92*餐厅成本录入!BS92</f>
        <v>0</v>
      </c>
      <c r="BT92" s="198">
        <f>$E92*餐厅成本录入!BT92</f>
        <v>0</v>
      </c>
      <c r="BU92" s="198">
        <f>$E92*餐厅成本录入!BU92</f>
        <v>0</v>
      </c>
      <c r="BV92" s="198">
        <f>$E92*餐厅成本录入!BV92</f>
        <v>0</v>
      </c>
      <c r="BW92" s="198">
        <f>$E92*餐厅成本录入!BW92</f>
        <v>0</v>
      </c>
    </row>
    <row r="93" s="178" customFormat="1" customHeight="1" spans="1:75">
      <c r="A93" s="161">
        <v>124</v>
      </c>
      <c r="B93" s="21" t="str">
        <f>餐厅成本录入!B93</f>
        <v>翅根</v>
      </c>
      <c r="C93" s="21">
        <f>餐厅成本录入!C93</f>
        <v>0</v>
      </c>
      <c r="D93" s="21">
        <f>餐厅成本录入!D93</f>
        <v>0</v>
      </c>
      <c r="E93" s="21">
        <f>餐厅成本录入!E93</f>
        <v>104</v>
      </c>
      <c r="F93" s="21">
        <f>餐厅成本录入!F93</f>
        <v>0</v>
      </c>
      <c r="G93" s="21">
        <f>餐厅成本录入!G93</f>
        <v>0</v>
      </c>
      <c r="H93" s="21">
        <f>餐厅成本录入!H93</f>
        <v>2</v>
      </c>
      <c r="I93" s="21">
        <f>餐厅成本录入!I93</f>
        <v>208</v>
      </c>
      <c r="J93" s="21">
        <f>餐厅成本录入!J93</f>
        <v>2</v>
      </c>
      <c r="K93" s="21">
        <f>餐厅成本录入!K93</f>
        <v>208</v>
      </c>
      <c r="L93" s="21">
        <f>餐厅成本录入!L93</f>
        <v>0</v>
      </c>
      <c r="M93" s="21">
        <f>餐厅成本录入!M93</f>
        <v>0</v>
      </c>
      <c r="N93" s="198">
        <f>$E93*餐厅成本录入!N93</f>
        <v>0</v>
      </c>
      <c r="O93" s="198">
        <f>$E93*餐厅成本录入!O93</f>
        <v>0</v>
      </c>
      <c r="P93" s="198">
        <f>$E93*餐厅成本录入!P93</f>
        <v>0</v>
      </c>
      <c r="Q93" s="198">
        <f>$E93*餐厅成本录入!Q93</f>
        <v>0</v>
      </c>
      <c r="R93" s="198">
        <f>$E93*餐厅成本录入!R93</f>
        <v>104</v>
      </c>
      <c r="S93" s="198">
        <f>$E93*餐厅成本录入!S93</f>
        <v>104</v>
      </c>
      <c r="T93" s="198">
        <f>$E93*餐厅成本录入!T93</f>
        <v>0</v>
      </c>
      <c r="U93" s="198">
        <f>$E93*餐厅成本录入!U93</f>
        <v>0</v>
      </c>
      <c r="V93" s="198">
        <f>$E93*餐厅成本录入!V93</f>
        <v>0</v>
      </c>
      <c r="W93" s="198">
        <f>$E93*餐厅成本录入!W93</f>
        <v>0</v>
      </c>
      <c r="X93" s="198">
        <f>$E93*餐厅成本录入!X93</f>
        <v>0</v>
      </c>
      <c r="Y93" s="198">
        <f>$E93*餐厅成本录入!Y93</f>
        <v>0</v>
      </c>
      <c r="Z93" s="198">
        <f>$E93*餐厅成本录入!Z93</f>
        <v>0</v>
      </c>
      <c r="AA93" s="198">
        <f>$E93*餐厅成本录入!AA93</f>
        <v>0</v>
      </c>
      <c r="AB93" s="198">
        <f>$E93*餐厅成本录入!AB93</f>
        <v>0</v>
      </c>
      <c r="AC93" s="198">
        <f>$E93*餐厅成本录入!AC93</f>
        <v>0</v>
      </c>
      <c r="AD93" s="198">
        <f>$E93*餐厅成本录入!AD93</f>
        <v>0</v>
      </c>
      <c r="AE93" s="198">
        <f>$E93*餐厅成本录入!AE93</f>
        <v>0</v>
      </c>
      <c r="AF93" s="198">
        <f>$E93*餐厅成本录入!AF93</f>
        <v>0</v>
      </c>
      <c r="AG93" s="198">
        <f>$E93*餐厅成本录入!AG93</f>
        <v>0</v>
      </c>
      <c r="AH93" s="198">
        <f>$E93*餐厅成本录入!AH93</f>
        <v>0</v>
      </c>
      <c r="AI93" s="198">
        <f>$E93*餐厅成本录入!AI93</f>
        <v>0</v>
      </c>
      <c r="AJ93" s="198">
        <f>$E93*餐厅成本录入!AJ93</f>
        <v>0</v>
      </c>
      <c r="AK93" s="198">
        <f>$E93*餐厅成本录入!AK93</f>
        <v>0</v>
      </c>
      <c r="AL93" s="198">
        <f>$E93*餐厅成本录入!AL93</f>
        <v>0</v>
      </c>
      <c r="AM93" s="198">
        <f>$E93*餐厅成本录入!AM93</f>
        <v>0</v>
      </c>
      <c r="AN93" s="198">
        <f>$E93*餐厅成本录入!AN93</f>
        <v>0</v>
      </c>
      <c r="AO93" s="198">
        <f>$E93*餐厅成本录入!AO93</f>
        <v>0</v>
      </c>
      <c r="AP93" s="198">
        <f>$E93*餐厅成本录入!AP93</f>
        <v>0</v>
      </c>
      <c r="AQ93" s="198">
        <f>$E93*餐厅成本录入!AQ93</f>
        <v>0</v>
      </c>
      <c r="AR93" s="198">
        <f>$E93*餐厅成本录入!AR93</f>
        <v>0</v>
      </c>
      <c r="AS93" s="198">
        <f>$E93*餐厅成本录入!AS93</f>
        <v>0</v>
      </c>
      <c r="AT93" s="198">
        <f>$E93*餐厅成本录入!AT93</f>
        <v>0</v>
      </c>
      <c r="AU93" s="198">
        <f>$E93*餐厅成本录入!AU93</f>
        <v>0</v>
      </c>
      <c r="AV93" s="198">
        <f>$E93*餐厅成本录入!AV93</f>
        <v>0</v>
      </c>
      <c r="AW93" s="198">
        <f>$E93*餐厅成本录入!AW93</f>
        <v>0</v>
      </c>
      <c r="AX93" s="198">
        <f>$E93*餐厅成本录入!AX93</f>
        <v>0</v>
      </c>
      <c r="AY93" s="198">
        <f>$E93*餐厅成本录入!AY93</f>
        <v>0</v>
      </c>
      <c r="AZ93" s="198">
        <f>$E93*餐厅成本录入!AZ93</f>
        <v>0</v>
      </c>
      <c r="BA93" s="198">
        <f>$E93*餐厅成本录入!BA93</f>
        <v>0</v>
      </c>
      <c r="BB93" s="198">
        <f>$E93*餐厅成本录入!BB93</f>
        <v>0</v>
      </c>
      <c r="BC93" s="198">
        <f>$E93*餐厅成本录入!BC93</f>
        <v>0</v>
      </c>
      <c r="BD93" s="198">
        <f>$E93*餐厅成本录入!BD93</f>
        <v>0</v>
      </c>
      <c r="BE93" s="198">
        <f>$E93*餐厅成本录入!BE93</f>
        <v>0</v>
      </c>
      <c r="BF93" s="198">
        <f>$E93*餐厅成本录入!BF93</f>
        <v>0</v>
      </c>
      <c r="BG93" s="198">
        <f>$E93*餐厅成本录入!BG93</f>
        <v>0</v>
      </c>
      <c r="BH93" s="198">
        <f>$E93*餐厅成本录入!BH93</f>
        <v>0</v>
      </c>
      <c r="BI93" s="198">
        <f>$E93*餐厅成本录入!BI93</f>
        <v>0</v>
      </c>
      <c r="BJ93" s="198">
        <f>$E93*餐厅成本录入!BJ93</f>
        <v>0</v>
      </c>
      <c r="BK93" s="198">
        <f>$E93*餐厅成本录入!BK93</f>
        <v>0</v>
      </c>
      <c r="BL93" s="198">
        <f>$E93*餐厅成本录入!BL93</f>
        <v>104</v>
      </c>
      <c r="BM93" s="198">
        <f>$E93*餐厅成本录入!BM93</f>
        <v>104</v>
      </c>
      <c r="BN93" s="198">
        <f>$E93*餐厅成本录入!BN93</f>
        <v>0</v>
      </c>
      <c r="BO93" s="198">
        <f>$E93*餐厅成本录入!BO93</f>
        <v>0</v>
      </c>
      <c r="BP93" s="198">
        <f>$E93*餐厅成本录入!BP93</f>
        <v>0</v>
      </c>
      <c r="BQ93" s="198">
        <f>$E93*餐厅成本录入!BQ93</f>
        <v>0</v>
      </c>
      <c r="BR93" s="198">
        <f>$E93*餐厅成本录入!BR93</f>
        <v>0</v>
      </c>
      <c r="BS93" s="198">
        <f>$E93*餐厅成本录入!BS93</f>
        <v>0</v>
      </c>
      <c r="BT93" s="198">
        <f>$E93*餐厅成本录入!BT93</f>
        <v>0</v>
      </c>
      <c r="BU93" s="198">
        <f>$E93*餐厅成本录入!BU93</f>
        <v>0</v>
      </c>
      <c r="BV93" s="198">
        <f>$E93*餐厅成本录入!BV93</f>
        <v>0</v>
      </c>
      <c r="BW93" s="198">
        <f>$E93*餐厅成本录入!BW93</f>
        <v>0</v>
      </c>
    </row>
    <row r="94" s="178" customFormat="1" customHeight="1" spans="1:75">
      <c r="A94" s="161">
        <v>125</v>
      </c>
      <c r="B94" s="21" t="str">
        <f>餐厅成本录入!B94</f>
        <v>鸡脖子</v>
      </c>
      <c r="C94" s="21">
        <f>餐厅成本录入!C94</f>
        <v>0</v>
      </c>
      <c r="D94" s="21">
        <f>餐厅成本录入!D94</f>
        <v>0</v>
      </c>
      <c r="E94" s="21">
        <f>餐厅成本录入!E94</f>
        <v>45</v>
      </c>
      <c r="F94" s="21">
        <f>餐厅成本录入!F94</f>
        <v>0</v>
      </c>
      <c r="G94" s="21">
        <f>餐厅成本录入!G94</f>
        <v>0</v>
      </c>
      <c r="H94" s="21">
        <f>餐厅成本录入!H94</f>
        <v>2</v>
      </c>
      <c r="I94" s="21">
        <f>餐厅成本录入!I94</f>
        <v>90</v>
      </c>
      <c r="J94" s="21">
        <f>餐厅成本录入!J94</f>
        <v>2</v>
      </c>
      <c r="K94" s="21">
        <f>餐厅成本录入!K94</f>
        <v>90</v>
      </c>
      <c r="L94" s="21">
        <f>餐厅成本录入!L94</f>
        <v>0</v>
      </c>
      <c r="M94" s="21">
        <f>餐厅成本录入!M94</f>
        <v>0</v>
      </c>
      <c r="N94" s="198">
        <f>$E94*餐厅成本录入!N94</f>
        <v>0</v>
      </c>
      <c r="O94" s="198">
        <f>$E94*餐厅成本录入!O94</f>
        <v>0</v>
      </c>
      <c r="P94" s="198">
        <f>$E94*餐厅成本录入!P94</f>
        <v>0</v>
      </c>
      <c r="Q94" s="198">
        <f>$E94*餐厅成本录入!Q94</f>
        <v>0</v>
      </c>
      <c r="R94" s="198">
        <f>$E94*餐厅成本录入!R94</f>
        <v>0</v>
      </c>
      <c r="S94" s="198">
        <f>$E94*餐厅成本录入!S94</f>
        <v>0</v>
      </c>
      <c r="T94" s="198">
        <f>$E94*餐厅成本录入!T94</f>
        <v>0</v>
      </c>
      <c r="U94" s="198">
        <f>$E94*餐厅成本录入!U94</f>
        <v>0</v>
      </c>
      <c r="V94" s="198">
        <f>$E94*餐厅成本录入!V94</f>
        <v>45</v>
      </c>
      <c r="W94" s="198">
        <f>$E94*餐厅成本录入!W94</f>
        <v>45</v>
      </c>
      <c r="X94" s="198">
        <f>$E94*餐厅成本录入!X94</f>
        <v>0</v>
      </c>
      <c r="Y94" s="198">
        <f>$E94*餐厅成本录入!Y94</f>
        <v>0</v>
      </c>
      <c r="Z94" s="198">
        <f>$E94*餐厅成本录入!Z94</f>
        <v>0</v>
      </c>
      <c r="AA94" s="198">
        <f>$E94*餐厅成本录入!AA94</f>
        <v>0</v>
      </c>
      <c r="AB94" s="198">
        <f>$E94*餐厅成本录入!AB94</f>
        <v>0</v>
      </c>
      <c r="AC94" s="198">
        <f>$E94*餐厅成本录入!AC94</f>
        <v>0</v>
      </c>
      <c r="AD94" s="198">
        <f>$E94*餐厅成本录入!AD94</f>
        <v>0</v>
      </c>
      <c r="AE94" s="198">
        <f>$E94*餐厅成本录入!AE94</f>
        <v>0</v>
      </c>
      <c r="AF94" s="198">
        <f>$E94*餐厅成本录入!AF94</f>
        <v>0</v>
      </c>
      <c r="AG94" s="198">
        <f>$E94*餐厅成本录入!AG94</f>
        <v>0</v>
      </c>
      <c r="AH94" s="198">
        <f>$E94*餐厅成本录入!AH94</f>
        <v>0</v>
      </c>
      <c r="AI94" s="198">
        <f>$E94*餐厅成本录入!AI94</f>
        <v>0</v>
      </c>
      <c r="AJ94" s="198">
        <f>$E94*餐厅成本录入!AJ94</f>
        <v>0</v>
      </c>
      <c r="AK94" s="198">
        <f>$E94*餐厅成本录入!AK94</f>
        <v>0</v>
      </c>
      <c r="AL94" s="198">
        <f>$E94*餐厅成本录入!AL94</f>
        <v>0</v>
      </c>
      <c r="AM94" s="198">
        <f>$E94*餐厅成本录入!AM94</f>
        <v>0</v>
      </c>
      <c r="AN94" s="198">
        <f>$E94*餐厅成本录入!AN94</f>
        <v>0</v>
      </c>
      <c r="AO94" s="198">
        <f>$E94*餐厅成本录入!AO94</f>
        <v>0</v>
      </c>
      <c r="AP94" s="198">
        <f>$E94*餐厅成本录入!AP94</f>
        <v>0</v>
      </c>
      <c r="AQ94" s="198">
        <f>$E94*餐厅成本录入!AQ94</f>
        <v>0</v>
      </c>
      <c r="AR94" s="198">
        <f>$E94*餐厅成本录入!AR94</f>
        <v>0</v>
      </c>
      <c r="AS94" s="198">
        <f>$E94*餐厅成本录入!AS94</f>
        <v>0</v>
      </c>
      <c r="AT94" s="198">
        <f>$E94*餐厅成本录入!AT94</f>
        <v>0</v>
      </c>
      <c r="AU94" s="198">
        <f>$E94*餐厅成本录入!AU94</f>
        <v>0</v>
      </c>
      <c r="AV94" s="198">
        <f>$E94*餐厅成本录入!AV94</f>
        <v>0</v>
      </c>
      <c r="AW94" s="198">
        <f>$E94*餐厅成本录入!AW94</f>
        <v>0</v>
      </c>
      <c r="AX94" s="198">
        <f>$E94*餐厅成本录入!AX94</f>
        <v>0</v>
      </c>
      <c r="AY94" s="198">
        <f>$E94*餐厅成本录入!AY94</f>
        <v>0</v>
      </c>
      <c r="AZ94" s="198">
        <f>$E94*餐厅成本录入!AZ94</f>
        <v>0</v>
      </c>
      <c r="BA94" s="198">
        <f>$E94*餐厅成本录入!BA94</f>
        <v>0</v>
      </c>
      <c r="BB94" s="198">
        <f>$E94*餐厅成本录入!BB94</f>
        <v>0</v>
      </c>
      <c r="BC94" s="198">
        <f>$E94*餐厅成本录入!BC94</f>
        <v>0</v>
      </c>
      <c r="BD94" s="198">
        <f>$E94*餐厅成本录入!BD94</f>
        <v>0</v>
      </c>
      <c r="BE94" s="198">
        <f>$E94*餐厅成本录入!BE94</f>
        <v>0</v>
      </c>
      <c r="BF94" s="198">
        <f>$E94*餐厅成本录入!BF94</f>
        <v>0</v>
      </c>
      <c r="BG94" s="198">
        <f>$E94*餐厅成本录入!BG94</f>
        <v>0</v>
      </c>
      <c r="BH94" s="198">
        <f>$E94*餐厅成本录入!BH94</f>
        <v>0</v>
      </c>
      <c r="BI94" s="198">
        <f>$E94*餐厅成本录入!BI94</f>
        <v>0</v>
      </c>
      <c r="BJ94" s="198">
        <f>$E94*餐厅成本录入!BJ94</f>
        <v>0</v>
      </c>
      <c r="BK94" s="198">
        <f>$E94*餐厅成本录入!BK94</f>
        <v>0</v>
      </c>
      <c r="BL94" s="198">
        <f>$E94*餐厅成本录入!BL94</f>
        <v>0</v>
      </c>
      <c r="BM94" s="198">
        <f>$E94*餐厅成本录入!BM94</f>
        <v>0</v>
      </c>
      <c r="BN94" s="198">
        <f>$E94*餐厅成本录入!BN94</f>
        <v>0</v>
      </c>
      <c r="BO94" s="198">
        <f>$E94*餐厅成本录入!BO94</f>
        <v>0</v>
      </c>
      <c r="BP94" s="198">
        <f>$E94*餐厅成本录入!BP94</f>
        <v>0</v>
      </c>
      <c r="BQ94" s="198">
        <f>$E94*餐厅成本录入!BQ94</f>
        <v>0</v>
      </c>
      <c r="BR94" s="198">
        <f>$E94*餐厅成本录入!BR94</f>
        <v>45</v>
      </c>
      <c r="BS94" s="198">
        <f>$E94*餐厅成本录入!BS94</f>
        <v>45</v>
      </c>
      <c r="BT94" s="198">
        <f>$E94*餐厅成本录入!BT94</f>
        <v>0</v>
      </c>
      <c r="BU94" s="198">
        <f>$E94*餐厅成本录入!BU94</f>
        <v>0</v>
      </c>
      <c r="BV94" s="198">
        <f>$E94*餐厅成本录入!BV94</f>
        <v>0</v>
      </c>
      <c r="BW94" s="198">
        <f>$E94*餐厅成本录入!BW94</f>
        <v>0</v>
      </c>
    </row>
    <row r="95" s="178" customFormat="1" customHeight="1" spans="1:75">
      <c r="A95" s="161">
        <v>127</v>
      </c>
      <c r="B95" s="21" t="str">
        <f>餐厅成本录入!B95</f>
        <v>黑椒鸡块</v>
      </c>
      <c r="C95" s="21">
        <f>餐厅成本录入!C95</f>
        <v>0</v>
      </c>
      <c r="D95" s="21">
        <f>餐厅成本录入!D95</f>
        <v>0</v>
      </c>
      <c r="E95" s="21">
        <f>餐厅成本录入!E95</f>
        <v>112</v>
      </c>
      <c r="F95" s="21">
        <f>餐厅成本录入!F95</f>
        <v>0</v>
      </c>
      <c r="G95" s="21">
        <f>餐厅成本录入!G95</f>
        <v>0</v>
      </c>
      <c r="H95" s="21">
        <f>餐厅成本录入!H95</f>
        <v>2</v>
      </c>
      <c r="I95" s="21">
        <f>餐厅成本录入!I95</f>
        <v>224</v>
      </c>
      <c r="J95" s="21">
        <f>餐厅成本录入!J95</f>
        <v>2</v>
      </c>
      <c r="K95" s="21">
        <f>餐厅成本录入!K95</f>
        <v>224</v>
      </c>
      <c r="L95" s="21">
        <f>餐厅成本录入!L95</f>
        <v>0</v>
      </c>
      <c r="M95" s="21">
        <f>餐厅成本录入!M95</f>
        <v>0</v>
      </c>
      <c r="N95" s="198">
        <f>$E95*餐厅成本录入!N95</f>
        <v>0</v>
      </c>
      <c r="O95" s="198">
        <f>$E95*餐厅成本录入!O95</f>
        <v>0</v>
      </c>
      <c r="P95" s="198">
        <f>$E95*餐厅成本录入!P95</f>
        <v>0</v>
      </c>
      <c r="Q95" s="198">
        <f>$E95*餐厅成本录入!Q95</f>
        <v>0</v>
      </c>
      <c r="R95" s="198">
        <f>$E95*餐厅成本录入!R95</f>
        <v>0</v>
      </c>
      <c r="S95" s="198">
        <f>$E95*餐厅成本录入!S95</f>
        <v>0</v>
      </c>
      <c r="T95" s="198">
        <f>$E95*餐厅成本录入!T95</f>
        <v>0</v>
      </c>
      <c r="U95" s="198">
        <f>$E95*餐厅成本录入!U95</f>
        <v>0</v>
      </c>
      <c r="V95" s="198">
        <f>$E95*餐厅成本录入!V95</f>
        <v>112</v>
      </c>
      <c r="W95" s="198">
        <f>$E95*餐厅成本录入!W95</f>
        <v>112</v>
      </c>
      <c r="X95" s="198">
        <f>$E95*餐厅成本录入!X95</f>
        <v>0</v>
      </c>
      <c r="Y95" s="198">
        <f>$E95*餐厅成本录入!Y95</f>
        <v>0</v>
      </c>
      <c r="Z95" s="198">
        <f>$E95*餐厅成本录入!Z95</f>
        <v>0</v>
      </c>
      <c r="AA95" s="198">
        <f>$E95*餐厅成本录入!AA95</f>
        <v>0</v>
      </c>
      <c r="AB95" s="198">
        <f>$E95*餐厅成本录入!AB95</f>
        <v>0</v>
      </c>
      <c r="AC95" s="198">
        <f>$E95*餐厅成本录入!AC95</f>
        <v>0</v>
      </c>
      <c r="AD95" s="198">
        <f>$E95*餐厅成本录入!AD95</f>
        <v>0</v>
      </c>
      <c r="AE95" s="198">
        <f>$E95*餐厅成本录入!AE95</f>
        <v>0</v>
      </c>
      <c r="AF95" s="198">
        <f>$E95*餐厅成本录入!AF95</f>
        <v>0</v>
      </c>
      <c r="AG95" s="198">
        <f>$E95*餐厅成本录入!AG95</f>
        <v>0</v>
      </c>
      <c r="AH95" s="198">
        <f>$E95*餐厅成本录入!AH95</f>
        <v>0</v>
      </c>
      <c r="AI95" s="198">
        <f>$E95*餐厅成本录入!AI95</f>
        <v>0</v>
      </c>
      <c r="AJ95" s="198">
        <f>$E95*餐厅成本录入!AJ95</f>
        <v>0</v>
      </c>
      <c r="AK95" s="198">
        <f>$E95*餐厅成本录入!AK95</f>
        <v>0</v>
      </c>
      <c r="AL95" s="198">
        <f>$E95*餐厅成本录入!AL95</f>
        <v>0</v>
      </c>
      <c r="AM95" s="198">
        <f>$E95*餐厅成本录入!AM95</f>
        <v>0</v>
      </c>
      <c r="AN95" s="198">
        <f>$E95*餐厅成本录入!AN95</f>
        <v>0</v>
      </c>
      <c r="AO95" s="198">
        <f>$E95*餐厅成本录入!AO95</f>
        <v>0</v>
      </c>
      <c r="AP95" s="198">
        <f>$E95*餐厅成本录入!AP95</f>
        <v>0</v>
      </c>
      <c r="AQ95" s="198">
        <f>$E95*餐厅成本录入!AQ95</f>
        <v>0</v>
      </c>
      <c r="AR95" s="198">
        <f>$E95*餐厅成本录入!AR95</f>
        <v>0</v>
      </c>
      <c r="AS95" s="198">
        <f>$E95*餐厅成本录入!AS95</f>
        <v>0</v>
      </c>
      <c r="AT95" s="198">
        <f>$E95*餐厅成本录入!AT95</f>
        <v>0</v>
      </c>
      <c r="AU95" s="198">
        <f>$E95*餐厅成本录入!AU95</f>
        <v>0</v>
      </c>
      <c r="AV95" s="198">
        <f>$E95*餐厅成本录入!AV95</f>
        <v>0</v>
      </c>
      <c r="AW95" s="198">
        <f>$E95*餐厅成本录入!AW95</f>
        <v>0</v>
      </c>
      <c r="AX95" s="198">
        <f>$E95*餐厅成本录入!AX95</f>
        <v>0</v>
      </c>
      <c r="AY95" s="198">
        <f>$E95*餐厅成本录入!AY95</f>
        <v>0</v>
      </c>
      <c r="AZ95" s="198">
        <f>$E95*餐厅成本录入!AZ95</f>
        <v>0</v>
      </c>
      <c r="BA95" s="198">
        <f>$E95*餐厅成本录入!BA95</f>
        <v>0</v>
      </c>
      <c r="BB95" s="198">
        <f>$E95*餐厅成本录入!BB95</f>
        <v>0</v>
      </c>
      <c r="BC95" s="198">
        <f>$E95*餐厅成本录入!BC95</f>
        <v>0</v>
      </c>
      <c r="BD95" s="198">
        <f>$E95*餐厅成本录入!BD95</f>
        <v>0</v>
      </c>
      <c r="BE95" s="198">
        <f>$E95*餐厅成本录入!BE95</f>
        <v>0</v>
      </c>
      <c r="BF95" s="198">
        <f>$E95*餐厅成本录入!BF95</f>
        <v>0</v>
      </c>
      <c r="BG95" s="198">
        <f>$E95*餐厅成本录入!BG95</f>
        <v>0</v>
      </c>
      <c r="BH95" s="198">
        <f>$E95*餐厅成本录入!BH95</f>
        <v>0</v>
      </c>
      <c r="BI95" s="198">
        <f>$E95*餐厅成本录入!BI95</f>
        <v>0</v>
      </c>
      <c r="BJ95" s="198">
        <f>$E95*餐厅成本录入!BJ95</f>
        <v>0</v>
      </c>
      <c r="BK95" s="198">
        <f>$E95*餐厅成本录入!BK95</f>
        <v>0</v>
      </c>
      <c r="BL95" s="198">
        <f>$E95*餐厅成本录入!BL95</f>
        <v>0</v>
      </c>
      <c r="BM95" s="198">
        <f>$E95*餐厅成本录入!BM95</f>
        <v>0</v>
      </c>
      <c r="BN95" s="198">
        <f>$E95*餐厅成本录入!BN95</f>
        <v>0</v>
      </c>
      <c r="BO95" s="198">
        <f>$E95*餐厅成本录入!BO95</f>
        <v>0</v>
      </c>
      <c r="BP95" s="198">
        <f>$E95*餐厅成本录入!BP95</f>
        <v>0</v>
      </c>
      <c r="BQ95" s="198">
        <f>$E95*餐厅成本录入!BQ95</f>
        <v>0</v>
      </c>
      <c r="BR95" s="198">
        <f>$E95*餐厅成本录入!BR95</f>
        <v>112</v>
      </c>
      <c r="BS95" s="198">
        <f>$E95*餐厅成本录入!BS95</f>
        <v>112</v>
      </c>
      <c r="BT95" s="198">
        <f>$E95*餐厅成本录入!BT95</f>
        <v>0</v>
      </c>
      <c r="BU95" s="198">
        <f>$E95*餐厅成本录入!BU95</f>
        <v>0</v>
      </c>
      <c r="BV95" s="198">
        <f>$E95*餐厅成本录入!BV95</f>
        <v>0</v>
      </c>
      <c r="BW95" s="198">
        <f>$E95*餐厅成本录入!BW95</f>
        <v>0</v>
      </c>
    </row>
    <row r="96" s="178" customFormat="1" customHeight="1" spans="1:75">
      <c r="A96" s="161">
        <v>128</v>
      </c>
      <c r="B96" s="21" t="str">
        <f>餐厅成本录入!B96</f>
        <v>卡通包</v>
      </c>
      <c r="C96" s="21">
        <f>餐厅成本录入!C96</f>
        <v>0</v>
      </c>
      <c r="D96" s="21">
        <f>餐厅成本录入!D96</f>
        <v>0</v>
      </c>
      <c r="E96" s="21">
        <f>餐厅成本录入!E96</f>
        <v>75</v>
      </c>
      <c r="F96" s="21">
        <f>餐厅成本录入!F96</f>
        <v>0</v>
      </c>
      <c r="G96" s="21">
        <f>餐厅成本录入!G96</f>
        <v>0</v>
      </c>
      <c r="H96" s="21">
        <f>餐厅成本录入!H96</f>
        <v>2</v>
      </c>
      <c r="I96" s="21">
        <f>餐厅成本录入!I96</f>
        <v>150</v>
      </c>
      <c r="J96" s="21">
        <f>餐厅成本录入!J96</f>
        <v>2</v>
      </c>
      <c r="K96" s="21">
        <f>餐厅成本录入!K96</f>
        <v>150</v>
      </c>
      <c r="L96" s="21">
        <f>餐厅成本录入!L96</f>
        <v>0</v>
      </c>
      <c r="M96" s="21">
        <f>餐厅成本录入!M96</f>
        <v>0</v>
      </c>
      <c r="N96" s="198">
        <f>$E96*餐厅成本录入!N96</f>
        <v>0</v>
      </c>
      <c r="O96" s="198">
        <f>$E96*餐厅成本录入!O96</f>
        <v>0</v>
      </c>
      <c r="P96" s="198">
        <f>$E96*餐厅成本录入!P96</f>
        <v>0</v>
      </c>
      <c r="Q96" s="198">
        <f>$E96*餐厅成本录入!Q96</f>
        <v>0</v>
      </c>
      <c r="R96" s="198">
        <f>$E96*餐厅成本录入!R96</f>
        <v>0</v>
      </c>
      <c r="S96" s="198">
        <f>$E96*餐厅成本录入!S96</f>
        <v>0</v>
      </c>
      <c r="T96" s="198">
        <f>$E96*餐厅成本录入!T96</f>
        <v>0</v>
      </c>
      <c r="U96" s="198">
        <f>$E96*餐厅成本录入!U96</f>
        <v>0</v>
      </c>
      <c r="V96" s="198">
        <f>$E96*餐厅成本录入!V96</f>
        <v>0</v>
      </c>
      <c r="W96" s="198">
        <f>$E96*餐厅成本录入!W96</f>
        <v>0</v>
      </c>
      <c r="X96" s="198">
        <f>$E96*餐厅成本录入!X96</f>
        <v>0</v>
      </c>
      <c r="Y96" s="198">
        <f>$E96*餐厅成本录入!Y96</f>
        <v>0</v>
      </c>
      <c r="Z96" s="198">
        <f>$E96*餐厅成本录入!Z96</f>
        <v>0</v>
      </c>
      <c r="AA96" s="198">
        <f>$E96*餐厅成本录入!AA96</f>
        <v>0</v>
      </c>
      <c r="AB96" s="198">
        <f>$E96*餐厅成本录入!AB96</f>
        <v>0</v>
      </c>
      <c r="AC96" s="198">
        <f>$E96*餐厅成本录入!AC96</f>
        <v>0</v>
      </c>
      <c r="AD96" s="198">
        <f>$E96*餐厅成本录入!AD96</f>
        <v>0</v>
      </c>
      <c r="AE96" s="198">
        <f>$E96*餐厅成本录入!AE96</f>
        <v>0</v>
      </c>
      <c r="AF96" s="198">
        <f>$E96*餐厅成本录入!AF96</f>
        <v>0</v>
      </c>
      <c r="AG96" s="198">
        <f>$E96*餐厅成本录入!AG96</f>
        <v>0</v>
      </c>
      <c r="AH96" s="198">
        <f>$E96*餐厅成本录入!AH96</f>
        <v>0</v>
      </c>
      <c r="AI96" s="198">
        <f>$E96*餐厅成本录入!AI96</f>
        <v>0</v>
      </c>
      <c r="AJ96" s="198">
        <f>$E96*餐厅成本录入!AJ96</f>
        <v>0</v>
      </c>
      <c r="AK96" s="198">
        <f>$E96*餐厅成本录入!AK96</f>
        <v>0</v>
      </c>
      <c r="AL96" s="198">
        <f>$E96*餐厅成本录入!AL96</f>
        <v>75</v>
      </c>
      <c r="AM96" s="198">
        <f>$E96*餐厅成本录入!AM96</f>
        <v>75</v>
      </c>
      <c r="AN96" s="198">
        <f>$E96*餐厅成本录入!AN96</f>
        <v>0</v>
      </c>
      <c r="AO96" s="198">
        <f>$E96*餐厅成本录入!AO96</f>
        <v>0</v>
      </c>
      <c r="AP96" s="198">
        <f>$E96*餐厅成本录入!AP96</f>
        <v>0</v>
      </c>
      <c r="AQ96" s="198">
        <f>$E96*餐厅成本录入!AQ96</f>
        <v>0</v>
      </c>
      <c r="AR96" s="198">
        <f>$E96*餐厅成本录入!AR96</f>
        <v>0</v>
      </c>
      <c r="AS96" s="198">
        <f>$E96*餐厅成本录入!AS96</f>
        <v>0</v>
      </c>
      <c r="AT96" s="198">
        <f>$E96*餐厅成本录入!AT96</f>
        <v>0</v>
      </c>
      <c r="AU96" s="198">
        <f>$E96*餐厅成本录入!AU96</f>
        <v>0</v>
      </c>
      <c r="AV96" s="198">
        <f>$E96*餐厅成本录入!AV96</f>
        <v>0</v>
      </c>
      <c r="AW96" s="198">
        <f>$E96*餐厅成本录入!AW96</f>
        <v>0</v>
      </c>
      <c r="AX96" s="198">
        <f>$E96*餐厅成本录入!AX96</f>
        <v>0</v>
      </c>
      <c r="AY96" s="198">
        <f>$E96*餐厅成本录入!AY96</f>
        <v>0</v>
      </c>
      <c r="AZ96" s="198">
        <f>$E96*餐厅成本录入!AZ96</f>
        <v>0</v>
      </c>
      <c r="BA96" s="198">
        <f>$E96*餐厅成本录入!BA96</f>
        <v>0</v>
      </c>
      <c r="BB96" s="198">
        <f>$E96*餐厅成本录入!BB96</f>
        <v>0</v>
      </c>
      <c r="BC96" s="198">
        <f>$E96*餐厅成本录入!BC96</f>
        <v>0</v>
      </c>
      <c r="BD96" s="198">
        <f>$E96*餐厅成本录入!BD96</f>
        <v>0</v>
      </c>
      <c r="BE96" s="198">
        <f>$E96*餐厅成本录入!BE96</f>
        <v>0</v>
      </c>
      <c r="BF96" s="198">
        <f>$E96*餐厅成本录入!BF96</f>
        <v>0</v>
      </c>
      <c r="BG96" s="198">
        <f>$E96*餐厅成本录入!BG96</f>
        <v>0</v>
      </c>
      <c r="BH96" s="198">
        <f>$E96*餐厅成本录入!BH96</f>
        <v>0</v>
      </c>
      <c r="BI96" s="198">
        <f>$E96*餐厅成本录入!BI96</f>
        <v>0</v>
      </c>
      <c r="BJ96" s="198">
        <f>$E96*餐厅成本录入!BJ96</f>
        <v>0</v>
      </c>
      <c r="BK96" s="198">
        <f>$E96*餐厅成本录入!BK96</f>
        <v>0</v>
      </c>
      <c r="BL96" s="198">
        <f>$E96*餐厅成本录入!BL96</f>
        <v>0</v>
      </c>
      <c r="BM96" s="198">
        <f>$E96*餐厅成本录入!BM96</f>
        <v>0</v>
      </c>
      <c r="BN96" s="198">
        <f>$E96*餐厅成本录入!BN96</f>
        <v>0</v>
      </c>
      <c r="BO96" s="198">
        <f>$E96*餐厅成本录入!BO96</f>
        <v>0</v>
      </c>
      <c r="BP96" s="198">
        <f>$E96*餐厅成本录入!BP96</f>
        <v>0</v>
      </c>
      <c r="BQ96" s="198">
        <f>$E96*餐厅成本录入!BQ96</f>
        <v>0</v>
      </c>
      <c r="BR96" s="198">
        <f>$E96*餐厅成本录入!BR96</f>
        <v>75</v>
      </c>
      <c r="BS96" s="198">
        <f>$E96*餐厅成本录入!BS96</f>
        <v>75</v>
      </c>
      <c r="BT96" s="198">
        <f>$E96*餐厅成本录入!BT96</f>
        <v>0</v>
      </c>
      <c r="BU96" s="198">
        <f>$E96*餐厅成本录入!BU96</f>
        <v>0</v>
      </c>
      <c r="BV96" s="198">
        <f>$E96*餐厅成本录入!BV96</f>
        <v>0</v>
      </c>
      <c r="BW96" s="198">
        <f>$E96*餐厅成本录入!BW96</f>
        <v>0</v>
      </c>
    </row>
    <row r="97" s="178" customFormat="1" customHeight="1" spans="1:75">
      <c r="A97" s="161">
        <v>129</v>
      </c>
      <c r="B97" s="21" t="str">
        <f>餐厅成本录入!B97</f>
        <v>薯条</v>
      </c>
      <c r="C97" s="21">
        <f>餐厅成本录入!C97</f>
        <v>0</v>
      </c>
      <c r="D97" s="21">
        <f>餐厅成本录入!D97</f>
        <v>0</v>
      </c>
      <c r="E97" s="21">
        <f>餐厅成本录入!E97</f>
        <v>105</v>
      </c>
      <c r="F97" s="21">
        <f>餐厅成本录入!F97</f>
        <v>0</v>
      </c>
      <c r="G97" s="21">
        <f>餐厅成本录入!G97</f>
        <v>0</v>
      </c>
      <c r="H97" s="21">
        <f>餐厅成本录入!H97</f>
        <v>1</v>
      </c>
      <c r="I97" s="21">
        <f>餐厅成本录入!I97</f>
        <v>105</v>
      </c>
      <c r="J97" s="21">
        <f>餐厅成本录入!J97</f>
        <v>1</v>
      </c>
      <c r="K97" s="21">
        <f>餐厅成本录入!K97</f>
        <v>105</v>
      </c>
      <c r="L97" s="21">
        <f>餐厅成本录入!L97</f>
        <v>0</v>
      </c>
      <c r="M97" s="21">
        <f>餐厅成本录入!M97</f>
        <v>0</v>
      </c>
      <c r="N97" s="198">
        <f>$E97*餐厅成本录入!N97</f>
        <v>0</v>
      </c>
      <c r="O97" s="198">
        <f>$E97*餐厅成本录入!O97</f>
        <v>0</v>
      </c>
      <c r="P97" s="198">
        <f>$E97*餐厅成本录入!P97</f>
        <v>0</v>
      </c>
      <c r="Q97" s="198">
        <f>$E97*餐厅成本录入!Q97</f>
        <v>0</v>
      </c>
      <c r="R97" s="198">
        <f>$E97*餐厅成本录入!R97</f>
        <v>0</v>
      </c>
      <c r="S97" s="198">
        <f>$E97*餐厅成本录入!S97</f>
        <v>0</v>
      </c>
      <c r="T97" s="198">
        <f>$E97*餐厅成本录入!T97</f>
        <v>0</v>
      </c>
      <c r="U97" s="198">
        <f>$E97*餐厅成本录入!U97</f>
        <v>0</v>
      </c>
      <c r="V97" s="198">
        <f>$E97*餐厅成本录入!V97</f>
        <v>0</v>
      </c>
      <c r="W97" s="198">
        <f>$E97*餐厅成本录入!W97</f>
        <v>0</v>
      </c>
      <c r="X97" s="198">
        <f>$E97*餐厅成本录入!X97</f>
        <v>0</v>
      </c>
      <c r="Y97" s="198">
        <f>$E97*餐厅成本录入!Y97</f>
        <v>0</v>
      </c>
      <c r="Z97" s="198">
        <f>$E97*餐厅成本录入!Z97</f>
        <v>0</v>
      </c>
      <c r="AA97" s="198">
        <f>$E97*餐厅成本录入!AA97</f>
        <v>0</v>
      </c>
      <c r="AB97" s="198">
        <f>$E97*餐厅成本录入!AB97</f>
        <v>0</v>
      </c>
      <c r="AC97" s="198">
        <f>$E97*餐厅成本录入!AC97</f>
        <v>0</v>
      </c>
      <c r="AD97" s="198">
        <f>$E97*餐厅成本录入!AD97</f>
        <v>0</v>
      </c>
      <c r="AE97" s="198">
        <f>$E97*餐厅成本录入!AE97</f>
        <v>0</v>
      </c>
      <c r="AF97" s="198">
        <f>$E97*餐厅成本录入!AF97</f>
        <v>0</v>
      </c>
      <c r="AG97" s="198">
        <f>$E97*餐厅成本录入!AG97</f>
        <v>0</v>
      </c>
      <c r="AH97" s="198">
        <f>$E97*餐厅成本录入!AH97</f>
        <v>0</v>
      </c>
      <c r="AI97" s="198">
        <f>$E97*餐厅成本录入!AI97</f>
        <v>0</v>
      </c>
      <c r="AJ97" s="198">
        <f>$E97*餐厅成本录入!AJ97</f>
        <v>0</v>
      </c>
      <c r="AK97" s="198">
        <f>$E97*餐厅成本录入!AK97</f>
        <v>0</v>
      </c>
      <c r="AL97" s="198">
        <f>$E97*餐厅成本录入!AL97</f>
        <v>0</v>
      </c>
      <c r="AM97" s="198">
        <f>$E97*餐厅成本录入!AM97</f>
        <v>0</v>
      </c>
      <c r="AN97" s="198">
        <f>$E97*餐厅成本录入!AN97</f>
        <v>0</v>
      </c>
      <c r="AO97" s="198">
        <f>$E97*餐厅成本录入!AO97</f>
        <v>0</v>
      </c>
      <c r="AP97" s="198">
        <f>$E97*餐厅成本录入!AP97</f>
        <v>0</v>
      </c>
      <c r="AQ97" s="198">
        <f>$E97*餐厅成本录入!AQ97</f>
        <v>0</v>
      </c>
      <c r="AR97" s="198">
        <f>$E97*餐厅成本录入!AR97</f>
        <v>0</v>
      </c>
      <c r="AS97" s="198">
        <f>$E97*餐厅成本录入!AS97</f>
        <v>0</v>
      </c>
      <c r="AT97" s="198">
        <f>$E97*餐厅成本录入!AT97</f>
        <v>0</v>
      </c>
      <c r="AU97" s="198">
        <f>$E97*餐厅成本录入!AU97</f>
        <v>0</v>
      </c>
      <c r="AV97" s="198">
        <f>$E97*餐厅成本录入!AV97</f>
        <v>0</v>
      </c>
      <c r="AW97" s="198">
        <f>$E97*餐厅成本录入!AW97</f>
        <v>0</v>
      </c>
      <c r="AX97" s="198">
        <f>$E97*餐厅成本录入!AX97</f>
        <v>0</v>
      </c>
      <c r="AY97" s="198">
        <f>$E97*餐厅成本录入!AY97</f>
        <v>0</v>
      </c>
      <c r="AZ97" s="198">
        <f>$E97*餐厅成本录入!AZ97</f>
        <v>0</v>
      </c>
      <c r="BA97" s="198">
        <f>$E97*餐厅成本录入!BA97</f>
        <v>0</v>
      </c>
      <c r="BB97" s="198">
        <f>$E97*餐厅成本录入!BB97</f>
        <v>0</v>
      </c>
      <c r="BC97" s="198">
        <f>$E97*餐厅成本录入!BC97</f>
        <v>0</v>
      </c>
      <c r="BD97" s="198">
        <f>$E97*餐厅成本录入!BD97</f>
        <v>0</v>
      </c>
      <c r="BE97" s="198">
        <f>$E97*餐厅成本录入!BE97</f>
        <v>0</v>
      </c>
      <c r="BF97" s="198">
        <f>$E97*餐厅成本录入!BF97</f>
        <v>0</v>
      </c>
      <c r="BG97" s="198">
        <f>$E97*餐厅成本录入!BG97</f>
        <v>0</v>
      </c>
      <c r="BH97" s="198">
        <f>$E97*餐厅成本录入!BH97</f>
        <v>0</v>
      </c>
      <c r="BI97" s="198">
        <f>$E97*餐厅成本录入!BI97</f>
        <v>0</v>
      </c>
      <c r="BJ97" s="198">
        <f>$E97*餐厅成本录入!BJ97</f>
        <v>0</v>
      </c>
      <c r="BK97" s="198">
        <f>$E97*餐厅成本录入!BK97</f>
        <v>0</v>
      </c>
      <c r="BL97" s="198">
        <f>$E97*餐厅成本录入!BL97</f>
        <v>0</v>
      </c>
      <c r="BM97" s="198">
        <f>$E97*餐厅成本录入!BM97</f>
        <v>0</v>
      </c>
      <c r="BN97" s="198">
        <f>$E97*餐厅成本录入!BN97</f>
        <v>0</v>
      </c>
      <c r="BO97" s="198">
        <f>$E97*餐厅成本录入!BO97</f>
        <v>0</v>
      </c>
      <c r="BP97" s="198">
        <f>$E97*餐厅成本录入!BP97</f>
        <v>0</v>
      </c>
      <c r="BQ97" s="198">
        <f>$E97*餐厅成本录入!BQ97</f>
        <v>0</v>
      </c>
      <c r="BR97" s="198">
        <f>$E97*餐厅成本录入!BR97</f>
        <v>105</v>
      </c>
      <c r="BS97" s="198">
        <f>$E97*餐厅成本录入!BS97</f>
        <v>105</v>
      </c>
      <c r="BT97" s="198">
        <f>$E97*餐厅成本录入!BT97</f>
        <v>0</v>
      </c>
      <c r="BU97" s="198">
        <f>$E97*餐厅成本录入!BU97</f>
        <v>0</v>
      </c>
      <c r="BV97" s="198">
        <f>$E97*餐厅成本录入!BV97</f>
        <v>0</v>
      </c>
      <c r="BW97" s="198">
        <f>$E97*餐厅成本录入!BW97</f>
        <v>0</v>
      </c>
    </row>
    <row r="98" s="178" customFormat="1" customHeight="1" spans="1:75">
      <c r="A98" s="161">
        <v>130</v>
      </c>
      <c r="B98" s="21" t="str">
        <f>餐厅成本录入!B98</f>
        <v>花生</v>
      </c>
      <c r="C98" s="21">
        <f>餐厅成本录入!C98</f>
        <v>0</v>
      </c>
      <c r="D98" s="21">
        <f>餐厅成本录入!D98</f>
        <v>0</v>
      </c>
      <c r="E98" s="21">
        <f>餐厅成本录入!E98</f>
        <v>86</v>
      </c>
      <c r="F98" s="21">
        <f>餐厅成本录入!F98</f>
        <v>0</v>
      </c>
      <c r="G98" s="21">
        <f>餐厅成本录入!G98</f>
        <v>0</v>
      </c>
      <c r="H98" s="21">
        <f>餐厅成本录入!H98</f>
        <v>1</v>
      </c>
      <c r="I98" s="21">
        <f>餐厅成本录入!I98</f>
        <v>86</v>
      </c>
      <c r="J98" s="21">
        <f>餐厅成本录入!J98</f>
        <v>1</v>
      </c>
      <c r="K98" s="21">
        <f>餐厅成本录入!K98</f>
        <v>86</v>
      </c>
      <c r="L98" s="21">
        <f>餐厅成本录入!L98</f>
        <v>0</v>
      </c>
      <c r="M98" s="21">
        <f>餐厅成本录入!M98</f>
        <v>0</v>
      </c>
      <c r="N98" s="198">
        <f>$E98*餐厅成本录入!N98</f>
        <v>0</v>
      </c>
      <c r="O98" s="198">
        <f>$E98*餐厅成本录入!O98</f>
        <v>0</v>
      </c>
      <c r="P98" s="198">
        <f>$E98*餐厅成本录入!P98</f>
        <v>0</v>
      </c>
      <c r="Q98" s="198">
        <f>$E98*餐厅成本录入!Q98</f>
        <v>0</v>
      </c>
      <c r="R98" s="198">
        <f>$E98*餐厅成本录入!R98</f>
        <v>0</v>
      </c>
      <c r="S98" s="198">
        <f>$E98*餐厅成本录入!S98</f>
        <v>0</v>
      </c>
      <c r="T98" s="198">
        <f>$E98*餐厅成本录入!T98</f>
        <v>0</v>
      </c>
      <c r="U98" s="198">
        <f>$E98*餐厅成本录入!U98</f>
        <v>0</v>
      </c>
      <c r="V98" s="198">
        <f>$E98*餐厅成本录入!V98</f>
        <v>0</v>
      </c>
      <c r="W98" s="198">
        <f>$E98*餐厅成本录入!W98</f>
        <v>0</v>
      </c>
      <c r="X98" s="198">
        <f>$E98*餐厅成本录入!X98</f>
        <v>0</v>
      </c>
      <c r="Y98" s="198">
        <f>$E98*餐厅成本录入!Y98</f>
        <v>0</v>
      </c>
      <c r="Z98" s="198">
        <f>$E98*餐厅成本录入!Z98</f>
        <v>0</v>
      </c>
      <c r="AA98" s="198">
        <f>$E98*餐厅成本录入!AA98</f>
        <v>0</v>
      </c>
      <c r="AB98" s="198">
        <f>$E98*餐厅成本录入!AB98</f>
        <v>0</v>
      </c>
      <c r="AC98" s="198">
        <f>$E98*餐厅成本录入!AC98</f>
        <v>0</v>
      </c>
      <c r="AD98" s="198">
        <f>$E98*餐厅成本录入!AD98</f>
        <v>0</v>
      </c>
      <c r="AE98" s="198">
        <f>$E98*餐厅成本录入!AE98</f>
        <v>0</v>
      </c>
      <c r="AF98" s="198">
        <f>$E98*餐厅成本录入!AF98</f>
        <v>0</v>
      </c>
      <c r="AG98" s="198">
        <f>$E98*餐厅成本录入!AG98</f>
        <v>0</v>
      </c>
      <c r="AH98" s="198">
        <f>$E98*餐厅成本录入!AH98</f>
        <v>0</v>
      </c>
      <c r="AI98" s="198">
        <f>$E98*餐厅成本录入!AI98</f>
        <v>0</v>
      </c>
      <c r="AJ98" s="198">
        <f>$E98*餐厅成本录入!AJ98</f>
        <v>0</v>
      </c>
      <c r="AK98" s="198">
        <f>$E98*餐厅成本录入!AK98</f>
        <v>0</v>
      </c>
      <c r="AL98" s="198">
        <f>$E98*餐厅成本录入!AL98</f>
        <v>0</v>
      </c>
      <c r="AM98" s="198">
        <f>$E98*餐厅成本录入!AM98</f>
        <v>0</v>
      </c>
      <c r="AN98" s="198">
        <f>$E98*餐厅成本录入!AN98</f>
        <v>0</v>
      </c>
      <c r="AO98" s="198">
        <f>$E98*餐厅成本录入!AO98</f>
        <v>0</v>
      </c>
      <c r="AP98" s="198">
        <f>$E98*餐厅成本录入!AP98</f>
        <v>0</v>
      </c>
      <c r="AQ98" s="198">
        <f>$E98*餐厅成本录入!AQ98</f>
        <v>0</v>
      </c>
      <c r="AR98" s="198">
        <f>$E98*餐厅成本录入!AR98</f>
        <v>0</v>
      </c>
      <c r="AS98" s="198">
        <f>$E98*餐厅成本录入!AS98</f>
        <v>0</v>
      </c>
      <c r="AT98" s="198">
        <f>$E98*餐厅成本录入!AT98</f>
        <v>0</v>
      </c>
      <c r="AU98" s="198">
        <f>$E98*餐厅成本录入!AU98</f>
        <v>0</v>
      </c>
      <c r="AV98" s="198">
        <f>$E98*餐厅成本录入!AV98</f>
        <v>0</v>
      </c>
      <c r="AW98" s="198">
        <f>$E98*餐厅成本录入!AW98</f>
        <v>0</v>
      </c>
      <c r="AX98" s="198">
        <f>$E98*餐厅成本录入!AX98</f>
        <v>0</v>
      </c>
      <c r="AY98" s="198">
        <f>$E98*餐厅成本录入!AY98</f>
        <v>0</v>
      </c>
      <c r="AZ98" s="198">
        <f>$E98*餐厅成本录入!AZ98</f>
        <v>0</v>
      </c>
      <c r="BA98" s="198">
        <f>$E98*餐厅成本录入!BA98</f>
        <v>0</v>
      </c>
      <c r="BB98" s="198">
        <f>$E98*餐厅成本录入!BB98</f>
        <v>0</v>
      </c>
      <c r="BC98" s="198">
        <f>$E98*餐厅成本录入!BC98</f>
        <v>0</v>
      </c>
      <c r="BD98" s="198">
        <f>$E98*餐厅成本录入!BD98</f>
        <v>0</v>
      </c>
      <c r="BE98" s="198">
        <f>$E98*餐厅成本录入!BE98</f>
        <v>0</v>
      </c>
      <c r="BF98" s="198">
        <f>$E98*餐厅成本录入!BF98</f>
        <v>0</v>
      </c>
      <c r="BG98" s="198">
        <f>$E98*餐厅成本录入!BG98</f>
        <v>0</v>
      </c>
      <c r="BH98" s="198">
        <f>$E98*餐厅成本录入!BH98</f>
        <v>0</v>
      </c>
      <c r="BI98" s="198">
        <f>$E98*餐厅成本录入!BI98</f>
        <v>0</v>
      </c>
      <c r="BJ98" s="198">
        <f>$E98*餐厅成本录入!BJ98</f>
        <v>0</v>
      </c>
      <c r="BK98" s="198">
        <f>$E98*餐厅成本录入!BK98</f>
        <v>0</v>
      </c>
      <c r="BL98" s="198">
        <f>$E98*餐厅成本录入!BL98</f>
        <v>0</v>
      </c>
      <c r="BM98" s="198">
        <f>$E98*餐厅成本录入!BM98</f>
        <v>0</v>
      </c>
      <c r="BN98" s="198">
        <f>$E98*餐厅成本录入!BN98</f>
        <v>0</v>
      </c>
      <c r="BO98" s="198">
        <f>$E98*餐厅成本录入!BO98</f>
        <v>0</v>
      </c>
      <c r="BP98" s="198">
        <f>$E98*餐厅成本录入!BP98</f>
        <v>0</v>
      </c>
      <c r="BQ98" s="198">
        <f>$E98*餐厅成本录入!BQ98</f>
        <v>0</v>
      </c>
      <c r="BR98" s="198">
        <f>$E98*餐厅成本录入!BR98</f>
        <v>86</v>
      </c>
      <c r="BS98" s="198">
        <f>$E98*餐厅成本录入!BS98</f>
        <v>86</v>
      </c>
      <c r="BT98" s="198">
        <f>$E98*餐厅成本录入!BT98</f>
        <v>0</v>
      </c>
      <c r="BU98" s="198">
        <f>$E98*餐厅成本录入!BU98</f>
        <v>0</v>
      </c>
      <c r="BV98" s="198">
        <f>$E98*餐厅成本录入!BV98</f>
        <v>0</v>
      </c>
      <c r="BW98" s="198">
        <f>$E98*餐厅成本录入!BW98</f>
        <v>0</v>
      </c>
    </row>
    <row r="99" s="178" customFormat="1" customHeight="1" spans="1:75">
      <c r="A99" s="161">
        <v>131</v>
      </c>
      <c r="B99" s="21" t="str">
        <f>餐厅成本录入!B99</f>
        <v>洋葱圈</v>
      </c>
      <c r="C99" s="21">
        <f>餐厅成本录入!C99</f>
        <v>0</v>
      </c>
      <c r="D99" s="21">
        <f>餐厅成本录入!D99</f>
        <v>0</v>
      </c>
      <c r="E99" s="21">
        <f>餐厅成本录入!E99</f>
        <v>105</v>
      </c>
      <c r="F99" s="21">
        <f>餐厅成本录入!F99</f>
        <v>0</v>
      </c>
      <c r="G99" s="21">
        <f>餐厅成本录入!G99</f>
        <v>0</v>
      </c>
      <c r="H99" s="21">
        <f>餐厅成本录入!H99</f>
        <v>1</v>
      </c>
      <c r="I99" s="21">
        <f>餐厅成本录入!I99</f>
        <v>105</v>
      </c>
      <c r="J99" s="21">
        <f>餐厅成本录入!J99</f>
        <v>1</v>
      </c>
      <c r="K99" s="21">
        <f>餐厅成本录入!K99</f>
        <v>105</v>
      </c>
      <c r="L99" s="21">
        <f>餐厅成本录入!L99</f>
        <v>0</v>
      </c>
      <c r="M99" s="21">
        <f>餐厅成本录入!M99</f>
        <v>0</v>
      </c>
      <c r="N99" s="198">
        <f>$E99*餐厅成本录入!N99</f>
        <v>0</v>
      </c>
      <c r="O99" s="198">
        <f>$E99*餐厅成本录入!O99</f>
        <v>0</v>
      </c>
      <c r="P99" s="198">
        <f>$E99*餐厅成本录入!P99</f>
        <v>0</v>
      </c>
      <c r="Q99" s="198">
        <f>$E99*餐厅成本录入!Q99</f>
        <v>0</v>
      </c>
      <c r="R99" s="198">
        <f>$E99*餐厅成本录入!R99</f>
        <v>0</v>
      </c>
      <c r="S99" s="198">
        <f>$E99*餐厅成本录入!S99</f>
        <v>0</v>
      </c>
      <c r="T99" s="198">
        <f>$E99*餐厅成本录入!T99</f>
        <v>0</v>
      </c>
      <c r="U99" s="198">
        <f>$E99*餐厅成本录入!U99</f>
        <v>0</v>
      </c>
      <c r="V99" s="198">
        <f>$E99*餐厅成本录入!V99</f>
        <v>0</v>
      </c>
      <c r="W99" s="198">
        <f>$E99*餐厅成本录入!W99</f>
        <v>0</v>
      </c>
      <c r="X99" s="198">
        <f>$E99*餐厅成本录入!X99</f>
        <v>0</v>
      </c>
      <c r="Y99" s="198">
        <f>$E99*餐厅成本录入!Y99</f>
        <v>0</v>
      </c>
      <c r="Z99" s="198">
        <f>$E99*餐厅成本录入!Z99</f>
        <v>0</v>
      </c>
      <c r="AA99" s="198">
        <f>$E99*餐厅成本录入!AA99</f>
        <v>0</v>
      </c>
      <c r="AB99" s="198">
        <f>$E99*餐厅成本录入!AB99</f>
        <v>0</v>
      </c>
      <c r="AC99" s="198">
        <f>$E99*餐厅成本录入!AC99</f>
        <v>0</v>
      </c>
      <c r="AD99" s="198">
        <f>$E99*餐厅成本录入!AD99</f>
        <v>0</v>
      </c>
      <c r="AE99" s="198">
        <f>$E99*餐厅成本录入!AE99</f>
        <v>0</v>
      </c>
      <c r="AF99" s="198">
        <f>$E99*餐厅成本录入!AF99</f>
        <v>0</v>
      </c>
      <c r="AG99" s="198">
        <f>$E99*餐厅成本录入!AG99</f>
        <v>0</v>
      </c>
      <c r="AH99" s="198">
        <f>$E99*餐厅成本录入!AH99</f>
        <v>0</v>
      </c>
      <c r="AI99" s="198">
        <f>$E99*餐厅成本录入!AI99</f>
        <v>0</v>
      </c>
      <c r="AJ99" s="198">
        <f>$E99*餐厅成本录入!AJ99</f>
        <v>0</v>
      </c>
      <c r="AK99" s="198">
        <f>$E99*餐厅成本录入!AK99</f>
        <v>0</v>
      </c>
      <c r="AL99" s="198">
        <f>$E99*餐厅成本录入!AL99</f>
        <v>0</v>
      </c>
      <c r="AM99" s="198">
        <f>$E99*餐厅成本录入!AM99</f>
        <v>0</v>
      </c>
      <c r="AN99" s="198">
        <f>$E99*餐厅成本录入!AN99</f>
        <v>0</v>
      </c>
      <c r="AO99" s="198">
        <f>$E99*餐厅成本录入!AO99</f>
        <v>0</v>
      </c>
      <c r="AP99" s="198">
        <f>$E99*餐厅成本录入!AP99</f>
        <v>0</v>
      </c>
      <c r="AQ99" s="198">
        <f>$E99*餐厅成本录入!AQ99</f>
        <v>0</v>
      </c>
      <c r="AR99" s="198">
        <f>$E99*餐厅成本录入!AR99</f>
        <v>0</v>
      </c>
      <c r="AS99" s="198">
        <f>$E99*餐厅成本录入!AS99</f>
        <v>0</v>
      </c>
      <c r="AT99" s="198">
        <f>$E99*餐厅成本录入!AT99</f>
        <v>0</v>
      </c>
      <c r="AU99" s="198">
        <f>$E99*餐厅成本录入!AU99</f>
        <v>0</v>
      </c>
      <c r="AV99" s="198">
        <f>$E99*餐厅成本录入!AV99</f>
        <v>0</v>
      </c>
      <c r="AW99" s="198">
        <f>$E99*餐厅成本录入!AW99</f>
        <v>0</v>
      </c>
      <c r="AX99" s="198">
        <f>$E99*餐厅成本录入!AX99</f>
        <v>0</v>
      </c>
      <c r="AY99" s="198">
        <f>$E99*餐厅成本录入!AY99</f>
        <v>0</v>
      </c>
      <c r="AZ99" s="198">
        <f>$E99*餐厅成本录入!AZ99</f>
        <v>0</v>
      </c>
      <c r="BA99" s="198">
        <f>$E99*餐厅成本录入!BA99</f>
        <v>0</v>
      </c>
      <c r="BB99" s="198">
        <f>$E99*餐厅成本录入!BB99</f>
        <v>0</v>
      </c>
      <c r="BC99" s="198">
        <f>$E99*餐厅成本录入!BC99</f>
        <v>0</v>
      </c>
      <c r="BD99" s="198">
        <f>$E99*餐厅成本录入!BD99</f>
        <v>0</v>
      </c>
      <c r="BE99" s="198">
        <f>$E99*餐厅成本录入!BE99</f>
        <v>0</v>
      </c>
      <c r="BF99" s="198">
        <f>$E99*餐厅成本录入!BF99</f>
        <v>0</v>
      </c>
      <c r="BG99" s="198">
        <f>$E99*餐厅成本录入!BG99</f>
        <v>0</v>
      </c>
      <c r="BH99" s="198">
        <f>$E99*餐厅成本录入!BH99</f>
        <v>0</v>
      </c>
      <c r="BI99" s="198">
        <f>$E99*餐厅成本录入!BI99</f>
        <v>0</v>
      </c>
      <c r="BJ99" s="198">
        <f>$E99*餐厅成本录入!BJ99</f>
        <v>0</v>
      </c>
      <c r="BK99" s="198">
        <f>$E99*餐厅成本录入!BK99</f>
        <v>0</v>
      </c>
      <c r="BL99" s="198">
        <f>$E99*餐厅成本录入!BL99</f>
        <v>0</v>
      </c>
      <c r="BM99" s="198">
        <f>$E99*餐厅成本录入!BM99</f>
        <v>0</v>
      </c>
      <c r="BN99" s="198">
        <f>$E99*餐厅成本录入!BN99</f>
        <v>0</v>
      </c>
      <c r="BO99" s="198">
        <f>$E99*餐厅成本录入!BO99</f>
        <v>0</v>
      </c>
      <c r="BP99" s="198">
        <f>$E99*餐厅成本录入!BP99</f>
        <v>0</v>
      </c>
      <c r="BQ99" s="198">
        <f>$E99*餐厅成本录入!BQ99</f>
        <v>0</v>
      </c>
      <c r="BR99" s="198">
        <f>$E99*餐厅成本录入!BR99</f>
        <v>105</v>
      </c>
      <c r="BS99" s="198">
        <f>$E99*餐厅成本录入!BS99</f>
        <v>105</v>
      </c>
      <c r="BT99" s="198">
        <f>$E99*餐厅成本录入!BT99</f>
        <v>0</v>
      </c>
      <c r="BU99" s="198">
        <f>$E99*餐厅成本录入!BU99</f>
        <v>0</v>
      </c>
      <c r="BV99" s="198">
        <f>$E99*餐厅成本录入!BV99</f>
        <v>0</v>
      </c>
      <c r="BW99" s="198">
        <f>$E99*餐厅成本录入!BW99</f>
        <v>0</v>
      </c>
    </row>
    <row r="100" s="178" customFormat="1" customHeight="1" spans="1:75">
      <c r="A100" s="161">
        <v>132</v>
      </c>
      <c r="B100" s="21">
        <f>餐厅成本录入!B100</f>
        <v>0</v>
      </c>
      <c r="C100" s="21">
        <f>餐厅成本录入!C100</f>
        <v>0</v>
      </c>
      <c r="D100" s="21">
        <f>餐厅成本录入!D100</f>
        <v>0</v>
      </c>
      <c r="E100" s="21">
        <f>餐厅成本录入!E100</f>
        <v>0</v>
      </c>
      <c r="F100" s="21">
        <f>餐厅成本录入!F100</f>
        <v>0</v>
      </c>
      <c r="G100" s="21">
        <f>餐厅成本录入!G100</f>
        <v>0</v>
      </c>
      <c r="H100" s="21">
        <f>餐厅成本录入!H100</f>
        <v>0</v>
      </c>
      <c r="I100" s="21">
        <f>餐厅成本录入!I100</f>
        <v>0</v>
      </c>
      <c r="J100" s="21">
        <f>餐厅成本录入!J100</f>
        <v>0</v>
      </c>
      <c r="K100" s="21">
        <f>餐厅成本录入!K100</f>
        <v>0</v>
      </c>
      <c r="L100" s="21">
        <f>餐厅成本录入!L100</f>
        <v>0</v>
      </c>
      <c r="M100" s="21">
        <f>餐厅成本录入!M100</f>
        <v>0</v>
      </c>
      <c r="N100" s="198">
        <f>$E100*餐厅成本录入!N100</f>
        <v>0</v>
      </c>
      <c r="O100" s="198">
        <f>$E100*餐厅成本录入!O100</f>
        <v>0</v>
      </c>
      <c r="P100" s="198">
        <f>$E100*餐厅成本录入!P100</f>
        <v>0</v>
      </c>
      <c r="Q100" s="198">
        <f>$E100*餐厅成本录入!Q100</f>
        <v>0</v>
      </c>
      <c r="R100" s="198">
        <f>$E100*餐厅成本录入!R100</f>
        <v>0</v>
      </c>
      <c r="S100" s="198">
        <f>$E100*餐厅成本录入!S100</f>
        <v>0</v>
      </c>
      <c r="T100" s="198">
        <f>$E100*餐厅成本录入!T100</f>
        <v>0</v>
      </c>
      <c r="U100" s="198">
        <f>$E100*餐厅成本录入!U100</f>
        <v>0</v>
      </c>
      <c r="V100" s="198">
        <f>$E100*餐厅成本录入!V100</f>
        <v>0</v>
      </c>
      <c r="W100" s="198">
        <f>$E100*餐厅成本录入!W100</f>
        <v>0</v>
      </c>
      <c r="X100" s="198">
        <f>$E100*餐厅成本录入!X100</f>
        <v>0</v>
      </c>
      <c r="Y100" s="198">
        <f>$E100*餐厅成本录入!Y100</f>
        <v>0</v>
      </c>
      <c r="Z100" s="198">
        <f>$E100*餐厅成本录入!Z100</f>
        <v>0</v>
      </c>
      <c r="AA100" s="198">
        <f>$E100*餐厅成本录入!AA100</f>
        <v>0</v>
      </c>
      <c r="AB100" s="198">
        <f>$E100*餐厅成本录入!AB100</f>
        <v>0</v>
      </c>
      <c r="AC100" s="198">
        <f>$E100*餐厅成本录入!AC100</f>
        <v>0</v>
      </c>
      <c r="AD100" s="198">
        <f>$E100*餐厅成本录入!AD100</f>
        <v>0</v>
      </c>
      <c r="AE100" s="198">
        <f>$E100*餐厅成本录入!AE100</f>
        <v>0</v>
      </c>
      <c r="AF100" s="198">
        <f>$E100*餐厅成本录入!AF100</f>
        <v>0</v>
      </c>
      <c r="AG100" s="198">
        <f>$E100*餐厅成本录入!AG100</f>
        <v>0</v>
      </c>
      <c r="AH100" s="198">
        <f>$E100*餐厅成本录入!AH100</f>
        <v>0</v>
      </c>
      <c r="AI100" s="198">
        <f>$E100*餐厅成本录入!AI100</f>
        <v>0</v>
      </c>
      <c r="AJ100" s="198">
        <f>$E100*餐厅成本录入!AJ100</f>
        <v>0</v>
      </c>
      <c r="AK100" s="198">
        <f>$E100*餐厅成本录入!AK100</f>
        <v>0</v>
      </c>
      <c r="AL100" s="198">
        <f>$E100*餐厅成本录入!AL100</f>
        <v>0</v>
      </c>
      <c r="AM100" s="198">
        <f>$E100*餐厅成本录入!AM100</f>
        <v>0</v>
      </c>
      <c r="AN100" s="198">
        <f>$E100*餐厅成本录入!AN100</f>
        <v>0</v>
      </c>
      <c r="AO100" s="198">
        <f>$E100*餐厅成本录入!AO100</f>
        <v>0</v>
      </c>
      <c r="AP100" s="198">
        <f>$E100*餐厅成本录入!AP100</f>
        <v>0</v>
      </c>
      <c r="AQ100" s="198">
        <f>$E100*餐厅成本录入!AQ100</f>
        <v>0</v>
      </c>
      <c r="AR100" s="198">
        <f>$E100*餐厅成本录入!AR100</f>
        <v>0</v>
      </c>
      <c r="AS100" s="198">
        <f>$E100*餐厅成本录入!AS100</f>
        <v>0</v>
      </c>
      <c r="AT100" s="198">
        <f>$E100*餐厅成本录入!AT100</f>
        <v>0</v>
      </c>
      <c r="AU100" s="198">
        <f>$E100*餐厅成本录入!AU100</f>
        <v>0</v>
      </c>
      <c r="AV100" s="198">
        <f>$E100*餐厅成本录入!AV100</f>
        <v>0</v>
      </c>
      <c r="AW100" s="198">
        <f>$E100*餐厅成本录入!AW100</f>
        <v>0</v>
      </c>
      <c r="AX100" s="198">
        <f>$E100*餐厅成本录入!AX100</f>
        <v>0</v>
      </c>
      <c r="AY100" s="198">
        <f>$E100*餐厅成本录入!AY100</f>
        <v>0</v>
      </c>
      <c r="AZ100" s="198">
        <f>$E100*餐厅成本录入!AZ100</f>
        <v>0</v>
      </c>
      <c r="BA100" s="198">
        <f>$E100*餐厅成本录入!BA100</f>
        <v>0</v>
      </c>
      <c r="BB100" s="198">
        <f>$E100*餐厅成本录入!BB100</f>
        <v>0</v>
      </c>
      <c r="BC100" s="198">
        <f>$E100*餐厅成本录入!BC100</f>
        <v>0</v>
      </c>
      <c r="BD100" s="198">
        <f>$E100*餐厅成本录入!BD100</f>
        <v>0</v>
      </c>
      <c r="BE100" s="198">
        <f>$E100*餐厅成本录入!BE100</f>
        <v>0</v>
      </c>
      <c r="BF100" s="198">
        <f>$E100*餐厅成本录入!BF100</f>
        <v>0</v>
      </c>
      <c r="BG100" s="198">
        <f>$E100*餐厅成本录入!BG100</f>
        <v>0</v>
      </c>
      <c r="BH100" s="198">
        <f>$E100*餐厅成本录入!BH100</f>
        <v>0</v>
      </c>
      <c r="BI100" s="198">
        <f>$E100*餐厅成本录入!BI100</f>
        <v>0</v>
      </c>
      <c r="BJ100" s="198">
        <f>$E100*餐厅成本录入!BJ100</f>
        <v>0</v>
      </c>
      <c r="BK100" s="198">
        <f>$E100*餐厅成本录入!BK100</f>
        <v>0</v>
      </c>
      <c r="BL100" s="198">
        <f>$E100*餐厅成本录入!BL100</f>
        <v>0</v>
      </c>
      <c r="BM100" s="198">
        <f>$E100*餐厅成本录入!BM100</f>
        <v>0</v>
      </c>
      <c r="BN100" s="198">
        <f>$E100*餐厅成本录入!BN100</f>
        <v>0</v>
      </c>
      <c r="BO100" s="198">
        <f>$E100*餐厅成本录入!BO100</f>
        <v>0</v>
      </c>
      <c r="BP100" s="198">
        <f>$E100*餐厅成本录入!BP100</f>
        <v>0</v>
      </c>
      <c r="BQ100" s="198">
        <f>$E100*餐厅成本录入!BQ100</f>
        <v>0</v>
      </c>
      <c r="BR100" s="198">
        <f>$E100*餐厅成本录入!BR100</f>
        <v>0</v>
      </c>
      <c r="BS100" s="198">
        <f>$E100*餐厅成本录入!BS100</f>
        <v>0</v>
      </c>
      <c r="BT100" s="198">
        <f>$E100*餐厅成本录入!BT100</f>
        <v>0</v>
      </c>
      <c r="BU100" s="198">
        <f>$E100*餐厅成本录入!BU100</f>
        <v>0</v>
      </c>
      <c r="BV100" s="198">
        <f>$E100*餐厅成本录入!BV100</f>
        <v>0</v>
      </c>
      <c r="BW100" s="198">
        <f>$E100*餐厅成本录入!BW100</f>
        <v>0</v>
      </c>
    </row>
    <row r="101" s="178" customFormat="1" customHeight="1" spans="1:75">
      <c r="A101" s="161">
        <v>133</v>
      </c>
      <c r="B101" s="21">
        <f>餐厅成本录入!B101</f>
        <v>0</v>
      </c>
      <c r="C101" s="21">
        <f>餐厅成本录入!C101</f>
        <v>0</v>
      </c>
      <c r="D101" s="21">
        <f>餐厅成本录入!D101</f>
        <v>0</v>
      </c>
      <c r="E101" s="21">
        <f>餐厅成本录入!E101</f>
        <v>0</v>
      </c>
      <c r="F101" s="21">
        <f>餐厅成本录入!F101</f>
        <v>0</v>
      </c>
      <c r="G101" s="21">
        <f>餐厅成本录入!G101</f>
        <v>0</v>
      </c>
      <c r="H101" s="21">
        <f>餐厅成本录入!H101</f>
        <v>0</v>
      </c>
      <c r="I101" s="21">
        <f>餐厅成本录入!I101</f>
        <v>0</v>
      </c>
      <c r="J101" s="21">
        <f>餐厅成本录入!J101</f>
        <v>0</v>
      </c>
      <c r="K101" s="21">
        <f>餐厅成本录入!K101</f>
        <v>0</v>
      </c>
      <c r="L101" s="21">
        <f>餐厅成本录入!L101</f>
        <v>0</v>
      </c>
      <c r="M101" s="21">
        <f>餐厅成本录入!M101</f>
        <v>0</v>
      </c>
      <c r="N101" s="198">
        <f>$E101*餐厅成本录入!N101</f>
        <v>0</v>
      </c>
      <c r="O101" s="198">
        <f>$E101*餐厅成本录入!O101</f>
        <v>0</v>
      </c>
      <c r="P101" s="198">
        <f>$E101*餐厅成本录入!P101</f>
        <v>0</v>
      </c>
      <c r="Q101" s="198">
        <f>$E101*餐厅成本录入!Q101</f>
        <v>0</v>
      </c>
      <c r="R101" s="198">
        <f>$E101*餐厅成本录入!R101</f>
        <v>0</v>
      </c>
      <c r="S101" s="198">
        <f>$E101*餐厅成本录入!S101</f>
        <v>0</v>
      </c>
      <c r="T101" s="198">
        <f>$E101*餐厅成本录入!T101</f>
        <v>0</v>
      </c>
      <c r="U101" s="198">
        <f>$E101*餐厅成本录入!U101</f>
        <v>0</v>
      </c>
      <c r="V101" s="198">
        <f>$E101*餐厅成本录入!V101</f>
        <v>0</v>
      </c>
      <c r="W101" s="198">
        <f>$E101*餐厅成本录入!W101</f>
        <v>0</v>
      </c>
      <c r="X101" s="198">
        <f>$E101*餐厅成本录入!X101</f>
        <v>0</v>
      </c>
      <c r="Y101" s="198">
        <f>$E101*餐厅成本录入!Y101</f>
        <v>0</v>
      </c>
      <c r="Z101" s="198">
        <f>$E101*餐厅成本录入!Z101</f>
        <v>0</v>
      </c>
      <c r="AA101" s="198">
        <f>$E101*餐厅成本录入!AA101</f>
        <v>0</v>
      </c>
      <c r="AB101" s="198">
        <f>$E101*餐厅成本录入!AB101</f>
        <v>0</v>
      </c>
      <c r="AC101" s="198">
        <f>$E101*餐厅成本录入!AC101</f>
        <v>0</v>
      </c>
      <c r="AD101" s="198">
        <f>$E101*餐厅成本录入!AD101</f>
        <v>0</v>
      </c>
      <c r="AE101" s="198">
        <f>$E101*餐厅成本录入!AE101</f>
        <v>0</v>
      </c>
      <c r="AF101" s="198">
        <f>$E101*餐厅成本录入!AF101</f>
        <v>0</v>
      </c>
      <c r="AG101" s="198">
        <f>$E101*餐厅成本录入!AG101</f>
        <v>0</v>
      </c>
      <c r="AH101" s="198">
        <f>$E101*餐厅成本录入!AH101</f>
        <v>0</v>
      </c>
      <c r="AI101" s="198">
        <f>$E101*餐厅成本录入!AI101</f>
        <v>0</v>
      </c>
      <c r="AJ101" s="198">
        <f>$E101*餐厅成本录入!AJ101</f>
        <v>0</v>
      </c>
      <c r="AK101" s="198">
        <f>$E101*餐厅成本录入!AK101</f>
        <v>0</v>
      </c>
      <c r="AL101" s="198">
        <f>$E101*餐厅成本录入!AL101</f>
        <v>0</v>
      </c>
      <c r="AM101" s="198">
        <f>$E101*餐厅成本录入!AM101</f>
        <v>0</v>
      </c>
      <c r="AN101" s="198">
        <f>$E101*餐厅成本录入!AN101</f>
        <v>0</v>
      </c>
      <c r="AO101" s="198">
        <f>$E101*餐厅成本录入!AO101</f>
        <v>0</v>
      </c>
      <c r="AP101" s="198">
        <f>$E101*餐厅成本录入!AP101</f>
        <v>0</v>
      </c>
      <c r="AQ101" s="198">
        <f>$E101*餐厅成本录入!AQ101</f>
        <v>0</v>
      </c>
      <c r="AR101" s="198">
        <f>$E101*餐厅成本录入!AR101</f>
        <v>0</v>
      </c>
      <c r="AS101" s="198">
        <f>$E101*餐厅成本录入!AS101</f>
        <v>0</v>
      </c>
      <c r="AT101" s="198">
        <f>$E101*餐厅成本录入!AT101</f>
        <v>0</v>
      </c>
      <c r="AU101" s="198">
        <f>$E101*餐厅成本录入!AU101</f>
        <v>0</v>
      </c>
      <c r="AV101" s="198">
        <f>$E101*餐厅成本录入!AV101</f>
        <v>0</v>
      </c>
      <c r="AW101" s="198">
        <f>$E101*餐厅成本录入!AW101</f>
        <v>0</v>
      </c>
      <c r="AX101" s="198">
        <f>$E101*餐厅成本录入!AX101</f>
        <v>0</v>
      </c>
      <c r="AY101" s="198">
        <f>$E101*餐厅成本录入!AY101</f>
        <v>0</v>
      </c>
      <c r="AZ101" s="198">
        <f>$E101*餐厅成本录入!AZ101</f>
        <v>0</v>
      </c>
      <c r="BA101" s="198">
        <f>$E101*餐厅成本录入!BA101</f>
        <v>0</v>
      </c>
      <c r="BB101" s="198">
        <f>$E101*餐厅成本录入!BB101</f>
        <v>0</v>
      </c>
      <c r="BC101" s="198">
        <f>$E101*餐厅成本录入!BC101</f>
        <v>0</v>
      </c>
      <c r="BD101" s="198">
        <f>$E101*餐厅成本录入!BD101</f>
        <v>0</v>
      </c>
      <c r="BE101" s="198">
        <f>$E101*餐厅成本录入!BE101</f>
        <v>0</v>
      </c>
      <c r="BF101" s="198">
        <f>$E101*餐厅成本录入!BF101</f>
        <v>0</v>
      </c>
      <c r="BG101" s="198">
        <f>$E101*餐厅成本录入!BG101</f>
        <v>0</v>
      </c>
      <c r="BH101" s="198">
        <f>$E101*餐厅成本录入!BH101</f>
        <v>0</v>
      </c>
      <c r="BI101" s="198">
        <f>$E101*餐厅成本录入!BI101</f>
        <v>0</v>
      </c>
      <c r="BJ101" s="198">
        <f>$E101*餐厅成本录入!BJ101</f>
        <v>0</v>
      </c>
      <c r="BK101" s="198">
        <f>$E101*餐厅成本录入!BK101</f>
        <v>0</v>
      </c>
      <c r="BL101" s="198">
        <f>$E101*餐厅成本录入!BL101</f>
        <v>0</v>
      </c>
      <c r="BM101" s="198">
        <f>$E101*餐厅成本录入!BM101</f>
        <v>0</v>
      </c>
      <c r="BN101" s="198">
        <f>$E101*餐厅成本录入!BN101</f>
        <v>0</v>
      </c>
      <c r="BO101" s="198">
        <f>$E101*餐厅成本录入!BO101</f>
        <v>0</v>
      </c>
      <c r="BP101" s="198">
        <f>$E101*餐厅成本录入!BP101</f>
        <v>0</v>
      </c>
      <c r="BQ101" s="198">
        <f>$E101*餐厅成本录入!BQ101</f>
        <v>0</v>
      </c>
      <c r="BR101" s="198">
        <f>$E101*餐厅成本录入!BR101</f>
        <v>0</v>
      </c>
      <c r="BS101" s="198">
        <f>$E101*餐厅成本录入!BS101</f>
        <v>0</v>
      </c>
      <c r="BT101" s="198">
        <f>$E101*餐厅成本录入!BT101</f>
        <v>0</v>
      </c>
      <c r="BU101" s="198">
        <f>$E101*餐厅成本录入!BU101</f>
        <v>0</v>
      </c>
      <c r="BV101" s="198">
        <f>$E101*餐厅成本录入!BV101</f>
        <v>0</v>
      </c>
      <c r="BW101" s="198">
        <f>$E101*餐厅成本录入!BW101</f>
        <v>0</v>
      </c>
    </row>
    <row r="102" s="178" customFormat="1" customHeight="1" spans="1:75">
      <c r="A102" s="161">
        <v>134</v>
      </c>
      <c r="B102" s="21">
        <f>餐厅成本录入!B102</f>
        <v>0</v>
      </c>
      <c r="C102" s="21">
        <f>餐厅成本录入!C102</f>
        <v>0</v>
      </c>
      <c r="D102" s="21">
        <f>餐厅成本录入!D102</f>
        <v>0</v>
      </c>
      <c r="E102" s="21">
        <f>餐厅成本录入!E102</f>
        <v>0</v>
      </c>
      <c r="F102" s="21">
        <f>餐厅成本录入!F102</f>
        <v>0</v>
      </c>
      <c r="G102" s="21">
        <f>餐厅成本录入!G102</f>
        <v>0</v>
      </c>
      <c r="H102" s="21">
        <f>餐厅成本录入!H102</f>
        <v>0</v>
      </c>
      <c r="I102" s="21">
        <f>餐厅成本录入!I102</f>
        <v>0</v>
      </c>
      <c r="J102" s="21">
        <f>餐厅成本录入!J102</f>
        <v>0</v>
      </c>
      <c r="K102" s="21">
        <f>餐厅成本录入!K102</f>
        <v>0</v>
      </c>
      <c r="L102" s="21">
        <f>餐厅成本录入!L102</f>
        <v>0</v>
      </c>
      <c r="M102" s="21">
        <f>餐厅成本录入!M102</f>
        <v>0</v>
      </c>
      <c r="N102" s="198">
        <f>$E102*餐厅成本录入!N102</f>
        <v>0</v>
      </c>
      <c r="O102" s="198">
        <f>$E102*餐厅成本录入!O102</f>
        <v>0</v>
      </c>
      <c r="P102" s="198">
        <f>$E102*餐厅成本录入!P102</f>
        <v>0</v>
      </c>
      <c r="Q102" s="198">
        <f>$E102*餐厅成本录入!Q102</f>
        <v>0</v>
      </c>
      <c r="R102" s="198">
        <f>$E102*餐厅成本录入!R102</f>
        <v>0</v>
      </c>
      <c r="S102" s="198">
        <f>$E102*餐厅成本录入!S102</f>
        <v>0</v>
      </c>
      <c r="T102" s="198">
        <f>$E102*餐厅成本录入!T102</f>
        <v>0</v>
      </c>
      <c r="U102" s="198">
        <f>$E102*餐厅成本录入!U102</f>
        <v>0</v>
      </c>
      <c r="V102" s="198">
        <f>$E102*餐厅成本录入!V102</f>
        <v>0</v>
      </c>
      <c r="W102" s="198">
        <f>$E102*餐厅成本录入!W102</f>
        <v>0</v>
      </c>
      <c r="X102" s="198">
        <f>$E102*餐厅成本录入!X102</f>
        <v>0</v>
      </c>
      <c r="Y102" s="198">
        <f>$E102*餐厅成本录入!Y102</f>
        <v>0</v>
      </c>
      <c r="Z102" s="198">
        <f>$E102*餐厅成本录入!Z102</f>
        <v>0</v>
      </c>
      <c r="AA102" s="198">
        <f>$E102*餐厅成本录入!AA102</f>
        <v>0</v>
      </c>
      <c r="AB102" s="198">
        <f>$E102*餐厅成本录入!AB102</f>
        <v>0</v>
      </c>
      <c r="AC102" s="198">
        <f>$E102*餐厅成本录入!AC102</f>
        <v>0</v>
      </c>
      <c r="AD102" s="198">
        <f>$E102*餐厅成本录入!AD102</f>
        <v>0</v>
      </c>
      <c r="AE102" s="198">
        <f>$E102*餐厅成本录入!AE102</f>
        <v>0</v>
      </c>
      <c r="AF102" s="198">
        <f>$E102*餐厅成本录入!AF102</f>
        <v>0</v>
      </c>
      <c r="AG102" s="198">
        <f>$E102*餐厅成本录入!AG102</f>
        <v>0</v>
      </c>
      <c r="AH102" s="198">
        <f>$E102*餐厅成本录入!AH102</f>
        <v>0</v>
      </c>
      <c r="AI102" s="198">
        <f>$E102*餐厅成本录入!AI102</f>
        <v>0</v>
      </c>
      <c r="AJ102" s="198">
        <f>$E102*餐厅成本录入!AJ102</f>
        <v>0</v>
      </c>
      <c r="AK102" s="198">
        <f>$E102*餐厅成本录入!AK102</f>
        <v>0</v>
      </c>
      <c r="AL102" s="198">
        <f>$E102*餐厅成本录入!AL102</f>
        <v>0</v>
      </c>
      <c r="AM102" s="198">
        <f>$E102*餐厅成本录入!AM102</f>
        <v>0</v>
      </c>
      <c r="AN102" s="198">
        <f>$E102*餐厅成本录入!AN102</f>
        <v>0</v>
      </c>
      <c r="AO102" s="198">
        <f>$E102*餐厅成本录入!AO102</f>
        <v>0</v>
      </c>
      <c r="AP102" s="198">
        <f>$E102*餐厅成本录入!AP102</f>
        <v>0</v>
      </c>
      <c r="AQ102" s="198">
        <f>$E102*餐厅成本录入!AQ102</f>
        <v>0</v>
      </c>
      <c r="AR102" s="198">
        <f>$E102*餐厅成本录入!AR102</f>
        <v>0</v>
      </c>
      <c r="AS102" s="198">
        <f>$E102*餐厅成本录入!AS102</f>
        <v>0</v>
      </c>
      <c r="AT102" s="198">
        <f>$E102*餐厅成本录入!AT102</f>
        <v>0</v>
      </c>
      <c r="AU102" s="198">
        <f>$E102*餐厅成本录入!AU102</f>
        <v>0</v>
      </c>
      <c r="AV102" s="198">
        <f>$E102*餐厅成本录入!AV102</f>
        <v>0</v>
      </c>
      <c r="AW102" s="198">
        <f>$E102*餐厅成本录入!AW102</f>
        <v>0</v>
      </c>
      <c r="AX102" s="198">
        <f>$E102*餐厅成本录入!AX102</f>
        <v>0</v>
      </c>
      <c r="AY102" s="198">
        <f>$E102*餐厅成本录入!AY102</f>
        <v>0</v>
      </c>
      <c r="AZ102" s="198">
        <f>$E102*餐厅成本录入!AZ102</f>
        <v>0</v>
      </c>
      <c r="BA102" s="198">
        <f>$E102*餐厅成本录入!BA102</f>
        <v>0</v>
      </c>
      <c r="BB102" s="198">
        <f>$E102*餐厅成本录入!BB102</f>
        <v>0</v>
      </c>
      <c r="BC102" s="198">
        <f>$E102*餐厅成本录入!BC102</f>
        <v>0</v>
      </c>
      <c r="BD102" s="198">
        <f>$E102*餐厅成本录入!BD102</f>
        <v>0</v>
      </c>
      <c r="BE102" s="198">
        <f>$E102*餐厅成本录入!BE102</f>
        <v>0</v>
      </c>
      <c r="BF102" s="198">
        <f>$E102*餐厅成本录入!BF102</f>
        <v>0</v>
      </c>
      <c r="BG102" s="198">
        <f>$E102*餐厅成本录入!BG102</f>
        <v>0</v>
      </c>
      <c r="BH102" s="198">
        <f>$E102*餐厅成本录入!BH102</f>
        <v>0</v>
      </c>
      <c r="BI102" s="198">
        <f>$E102*餐厅成本录入!BI102</f>
        <v>0</v>
      </c>
      <c r="BJ102" s="198">
        <f>$E102*餐厅成本录入!BJ102</f>
        <v>0</v>
      </c>
      <c r="BK102" s="198">
        <f>$E102*餐厅成本录入!BK102</f>
        <v>0</v>
      </c>
      <c r="BL102" s="198">
        <f>$E102*餐厅成本录入!BL102</f>
        <v>0</v>
      </c>
      <c r="BM102" s="198">
        <f>$E102*餐厅成本录入!BM102</f>
        <v>0</v>
      </c>
      <c r="BN102" s="198">
        <f>$E102*餐厅成本录入!BN102</f>
        <v>0</v>
      </c>
      <c r="BO102" s="198">
        <f>$E102*餐厅成本录入!BO102</f>
        <v>0</v>
      </c>
      <c r="BP102" s="198">
        <f>$E102*餐厅成本录入!BP102</f>
        <v>0</v>
      </c>
      <c r="BQ102" s="198">
        <f>$E102*餐厅成本录入!BQ102</f>
        <v>0</v>
      </c>
      <c r="BR102" s="198">
        <f>$E102*餐厅成本录入!BR102</f>
        <v>0</v>
      </c>
      <c r="BS102" s="198">
        <f>$E102*餐厅成本录入!BS102</f>
        <v>0</v>
      </c>
      <c r="BT102" s="198">
        <f>$E102*餐厅成本录入!BT102</f>
        <v>0</v>
      </c>
      <c r="BU102" s="198">
        <f>$E102*餐厅成本录入!BU102</f>
        <v>0</v>
      </c>
      <c r="BV102" s="198">
        <f>$E102*餐厅成本录入!BV102</f>
        <v>0</v>
      </c>
      <c r="BW102" s="198">
        <f>$E102*餐厅成本录入!BW102</f>
        <v>0</v>
      </c>
    </row>
    <row r="103" s="178" customFormat="1" customHeight="1" spans="1:75">
      <c r="A103" s="161">
        <v>135</v>
      </c>
      <c r="B103" s="21">
        <f>餐厅成本录入!B103</f>
        <v>0</v>
      </c>
      <c r="C103" s="21">
        <f>餐厅成本录入!C103</f>
        <v>0</v>
      </c>
      <c r="D103" s="21">
        <f>餐厅成本录入!D103</f>
        <v>0</v>
      </c>
      <c r="E103" s="21">
        <f>餐厅成本录入!E103</f>
        <v>0</v>
      </c>
      <c r="F103" s="21">
        <f>餐厅成本录入!F103</f>
        <v>0</v>
      </c>
      <c r="G103" s="21">
        <f>餐厅成本录入!G103</f>
        <v>0</v>
      </c>
      <c r="H103" s="21">
        <f>餐厅成本录入!H103</f>
        <v>0</v>
      </c>
      <c r="I103" s="21">
        <f>餐厅成本录入!I103</f>
        <v>0</v>
      </c>
      <c r="J103" s="21">
        <f>餐厅成本录入!J103</f>
        <v>0</v>
      </c>
      <c r="K103" s="21">
        <f>餐厅成本录入!K103</f>
        <v>0</v>
      </c>
      <c r="L103" s="21">
        <f>餐厅成本录入!L103</f>
        <v>0</v>
      </c>
      <c r="M103" s="21">
        <f>餐厅成本录入!M103</f>
        <v>0</v>
      </c>
      <c r="N103" s="198">
        <f>$E103*餐厅成本录入!N103</f>
        <v>0</v>
      </c>
      <c r="O103" s="198">
        <f>$E103*餐厅成本录入!O103</f>
        <v>0</v>
      </c>
      <c r="P103" s="198">
        <f>$E103*餐厅成本录入!P103</f>
        <v>0</v>
      </c>
      <c r="Q103" s="198">
        <f>$E103*餐厅成本录入!Q103</f>
        <v>0</v>
      </c>
      <c r="R103" s="198">
        <f>$E103*餐厅成本录入!R103</f>
        <v>0</v>
      </c>
      <c r="S103" s="198">
        <f>$E103*餐厅成本录入!S103</f>
        <v>0</v>
      </c>
      <c r="T103" s="198">
        <f>$E103*餐厅成本录入!T103</f>
        <v>0</v>
      </c>
      <c r="U103" s="198">
        <f>$E103*餐厅成本录入!U103</f>
        <v>0</v>
      </c>
      <c r="V103" s="198">
        <f>$E103*餐厅成本录入!V103</f>
        <v>0</v>
      </c>
      <c r="W103" s="198">
        <f>$E103*餐厅成本录入!W103</f>
        <v>0</v>
      </c>
      <c r="X103" s="198">
        <f>$E103*餐厅成本录入!X103</f>
        <v>0</v>
      </c>
      <c r="Y103" s="198">
        <f>$E103*餐厅成本录入!Y103</f>
        <v>0</v>
      </c>
      <c r="Z103" s="198">
        <f>$E103*餐厅成本录入!Z103</f>
        <v>0</v>
      </c>
      <c r="AA103" s="198">
        <f>$E103*餐厅成本录入!AA103</f>
        <v>0</v>
      </c>
      <c r="AB103" s="198">
        <f>$E103*餐厅成本录入!AB103</f>
        <v>0</v>
      </c>
      <c r="AC103" s="198">
        <f>$E103*餐厅成本录入!AC103</f>
        <v>0</v>
      </c>
      <c r="AD103" s="198">
        <f>$E103*餐厅成本录入!AD103</f>
        <v>0</v>
      </c>
      <c r="AE103" s="198">
        <f>$E103*餐厅成本录入!AE103</f>
        <v>0</v>
      </c>
      <c r="AF103" s="198">
        <f>$E103*餐厅成本录入!AF103</f>
        <v>0</v>
      </c>
      <c r="AG103" s="198">
        <f>$E103*餐厅成本录入!AG103</f>
        <v>0</v>
      </c>
      <c r="AH103" s="198">
        <f>$E103*餐厅成本录入!AH103</f>
        <v>0</v>
      </c>
      <c r="AI103" s="198">
        <f>$E103*餐厅成本录入!AI103</f>
        <v>0</v>
      </c>
      <c r="AJ103" s="198">
        <f>$E103*餐厅成本录入!AJ103</f>
        <v>0</v>
      </c>
      <c r="AK103" s="198">
        <f>$E103*餐厅成本录入!AK103</f>
        <v>0</v>
      </c>
      <c r="AL103" s="198">
        <f>$E103*餐厅成本录入!AL103</f>
        <v>0</v>
      </c>
      <c r="AM103" s="198">
        <f>$E103*餐厅成本录入!AM103</f>
        <v>0</v>
      </c>
      <c r="AN103" s="198">
        <f>$E103*餐厅成本录入!AN103</f>
        <v>0</v>
      </c>
      <c r="AO103" s="198">
        <f>$E103*餐厅成本录入!AO103</f>
        <v>0</v>
      </c>
      <c r="AP103" s="198">
        <f>$E103*餐厅成本录入!AP103</f>
        <v>0</v>
      </c>
      <c r="AQ103" s="198">
        <f>$E103*餐厅成本录入!AQ103</f>
        <v>0</v>
      </c>
      <c r="AR103" s="198">
        <f>$E103*餐厅成本录入!AR103</f>
        <v>0</v>
      </c>
      <c r="AS103" s="198">
        <f>$E103*餐厅成本录入!AS103</f>
        <v>0</v>
      </c>
      <c r="AT103" s="198">
        <f>$E103*餐厅成本录入!AT103</f>
        <v>0</v>
      </c>
      <c r="AU103" s="198">
        <f>$E103*餐厅成本录入!AU103</f>
        <v>0</v>
      </c>
      <c r="AV103" s="198">
        <f>$E103*餐厅成本录入!AV103</f>
        <v>0</v>
      </c>
      <c r="AW103" s="198">
        <f>$E103*餐厅成本录入!AW103</f>
        <v>0</v>
      </c>
      <c r="AX103" s="198">
        <f>$E103*餐厅成本录入!AX103</f>
        <v>0</v>
      </c>
      <c r="AY103" s="198">
        <f>$E103*餐厅成本录入!AY103</f>
        <v>0</v>
      </c>
      <c r="AZ103" s="198">
        <f>$E103*餐厅成本录入!AZ103</f>
        <v>0</v>
      </c>
      <c r="BA103" s="198">
        <f>$E103*餐厅成本录入!BA103</f>
        <v>0</v>
      </c>
      <c r="BB103" s="198">
        <f>$E103*餐厅成本录入!BB103</f>
        <v>0</v>
      </c>
      <c r="BC103" s="198">
        <f>$E103*餐厅成本录入!BC103</f>
        <v>0</v>
      </c>
      <c r="BD103" s="198">
        <f>$E103*餐厅成本录入!BD103</f>
        <v>0</v>
      </c>
      <c r="BE103" s="198">
        <f>$E103*餐厅成本录入!BE103</f>
        <v>0</v>
      </c>
      <c r="BF103" s="198">
        <f>$E103*餐厅成本录入!BF103</f>
        <v>0</v>
      </c>
      <c r="BG103" s="198">
        <f>$E103*餐厅成本录入!BG103</f>
        <v>0</v>
      </c>
      <c r="BH103" s="198">
        <f>$E103*餐厅成本录入!BH103</f>
        <v>0</v>
      </c>
      <c r="BI103" s="198">
        <f>$E103*餐厅成本录入!BI103</f>
        <v>0</v>
      </c>
      <c r="BJ103" s="198">
        <f>$E103*餐厅成本录入!BJ103</f>
        <v>0</v>
      </c>
      <c r="BK103" s="198">
        <f>$E103*餐厅成本录入!BK103</f>
        <v>0</v>
      </c>
      <c r="BL103" s="198">
        <f>$E103*餐厅成本录入!BL103</f>
        <v>0</v>
      </c>
      <c r="BM103" s="198">
        <f>$E103*餐厅成本录入!BM103</f>
        <v>0</v>
      </c>
      <c r="BN103" s="198">
        <f>$E103*餐厅成本录入!BN103</f>
        <v>0</v>
      </c>
      <c r="BO103" s="198">
        <f>$E103*餐厅成本录入!BO103</f>
        <v>0</v>
      </c>
      <c r="BP103" s="198">
        <f>$E103*餐厅成本录入!BP103</f>
        <v>0</v>
      </c>
      <c r="BQ103" s="198">
        <f>$E103*餐厅成本录入!BQ103</f>
        <v>0</v>
      </c>
      <c r="BR103" s="198">
        <f>$E103*餐厅成本录入!BR103</f>
        <v>0</v>
      </c>
      <c r="BS103" s="198">
        <f>$E103*餐厅成本录入!BS103</f>
        <v>0</v>
      </c>
      <c r="BT103" s="198">
        <f>$E103*餐厅成本录入!BT103</f>
        <v>0</v>
      </c>
      <c r="BU103" s="198">
        <f>$E103*餐厅成本录入!BU103</f>
        <v>0</v>
      </c>
      <c r="BV103" s="198">
        <f>$E103*餐厅成本录入!BV103</f>
        <v>0</v>
      </c>
      <c r="BW103" s="198">
        <f>$E103*餐厅成本录入!BW103</f>
        <v>0</v>
      </c>
    </row>
    <row r="104" s="178" customFormat="1" customHeight="1" spans="1:75">
      <c r="A104" s="161">
        <v>136</v>
      </c>
      <c r="B104" s="21" t="str">
        <f>餐厅成本录入!B104</f>
        <v>鲜牛奶</v>
      </c>
      <c r="C104" s="21">
        <f>餐厅成本录入!C104</f>
        <v>0</v>
      </c>
      <c r="D104" s="21" t="str">
        <f>餐厅成本录入!D104</f>
        <v>件</v>
      </c>
      <c r="E104" s="21">
        <f>餐厅成本录入!E104</f>
        <v>78</v>
      </c>
      <c r="F104" s="21">
        <f>餐厅成本录入!F104</f>
        <v>0</v>
      </c>
      <c r="G104" s="21">
        <f>餐厅成本录入!G104</f>
        <v>0</v>
      </c>
      <c r="H104" s="21">
        <f>餐厅成本录入!H104</f>
        <v>22</v>
      </c>
      <c r="I104" s="21">
        <f>餐厅成本录入!I104</f>
        <v>1716</v>
      </c>
      <c r="J104" s="21">
        <f>餐厅成本录入!J104</f>
        <v>22</v>
      </c>
      <c r="K104" s="21">
        <f>餐厅成本录入!K104</f>
        <v>1716</v>
      </c>
      <c r="L104" s="21">
        <f>餐厅成本录入!L104</f>
        <v>0</v>
      </c>
      <c r="M104" s="21">
        <f>餐厅成本录入!M104</f>
        <v>0</v>
      </c>
      <c r="N104" s="198">
        <f>$E104*餐厅成本录入!N104</f>
        <v>156</v>
      </c>
      <c r="O104" s="198">
        <f>$E104*餐厅成本录入!O104</f>
        <v>156</v>
      </c>
      <c r="P104" s="198">
        <f>$E104*餐厅成本录入!P104</f>
        <v>0</v>
      </c>
      <c r="Q104" s="198">
        <f>$E104*餐厅成本录入!Q104</f>
        <v>0</v>
      </c>
      <c r="R104" s="198">
        <f>$E104*餐厅成本录入!R104</f>
        <v>156</v>
      </c>
      <c r="S104" s="198">
        <f>$E104*餐厅成本录入!S104</f>
        <v>156</v>
      </c>
      <c r="T104" s="198">
        <f>$E104*餐厅成本录入!T104</f>
        <v>0</v>
      </c>
      <c r="U104" s="198">
        <f>$E104*餐厅成本录入!U104</f>
        <v>0</v>
      </c>
      <c r="V104" s="198">
        <f>$E104*餐厅成本录入!V104</f>
        <v>156</v>
      </c>
      <c r="W104" s="198">
        <f>$E104*餐厅成本录入!W104</f>
        <v>156</v>
      </c>
      <c r="X104" s="198">
        <f>$E104*餐厅成本录入!X104</f>
        <v>0</v>
      </c>
      <c r="Y104" s="198">
        <f>$E104*餐厅成本录入!Y104</f>
        <v>0</v>
      </c>
      <c r="Z104" s="198">
        <f>$E104*餐厅成本录入!Z104</f>
        <v>0</v>
      </c>
      <c r="AA104" s="198">
        <f>$E104*餐厅成本录入!AA104</f>
        <v>0</v>
      </c>
      <c r="AB104" s="198">
        <f>$E104*餐厅成本录入!AB104</f>
        <v>0</v>
      </c>
      <c r="AC104" s="198">
        <f>$E104*餐厅成本录入!AC104</f>
        <v>0</v>
      </c>
      <c r="AD104" s="198">
        <f>$E104*餐厅成本录入!AD104</f>
        <v>0</v>
      </c>
      <c r="AE104" s="198">
        <f>$E104*餐厅成本录入!AE104</f>
        <v>0</v>
      </c>
      <c r="AF104" s="198">
        <f>$E104*餐厅成本录入!AF104</f>
        <v>156</v>
      </c>
      <c r="AG104" s="198">
        <f>$E104*餐厅成本录入!AG104</f>
        <v>156</v>
      </c>
      <c r="AH104" s="198">
        <f>$E104*餐厅成本录入!AH104</f>
        <v>0</v>
      </c>
      <c r="AI104" s="198">
        <f>$E104*餐厅成本录入!AI104</f>
        <v>0</v>
      </c>
      <c r="AJ104" s="198">
        <f>$E104*餐厅成本录入!AJ104</f>
        <v>156</v>
      </c>
      <c r="AK104" s="198">
        <f>$E104*餐厅成本录入!AK104</f>
        <v>156</v>
      </c>
      <c r="AL104" s="198">
        <f>$E104*餐厅成本录入!AL104</f>
        <v>0</v>
      </c>
      <c r="AM104" s="198">
        <f>$E104*餐厅成本录入!AM104</f>
        <v>0</v>
      </c>
      <c r="AN104" s="198">
        <f>$E104*餐厅成本录入!AN104</f>
        <v>0</v>
      </c>
      <c r="AO104" s="198">
        <f>$E104*餐厅成本录入!AO104</f>
        <v>0</v>
      </c>
      <c r="AP104" s="198">
        <f>$E104*餐厅成本录入!AP104</f>
        <v>156</v>
      </c>
      <c r="AQ104" s="198">
        <f>$E104*餐厅成本录入!AQ104</f>
        <v>156</v>
      </c>
      <c r="AR104" s="198">
        <f>$E104*餐厅成本录入!AR104</f>
        <v>0</v>
      </c>
      <c r="AS104" s="198">
        <f>$E104*餐厅成本录入!AS104</f>
        <v>0</v>
      </c>
      <c r="AT104" s="198">
        <f>$E104*餐厅成本录入!AT104</f>
        <v>0</v>
      </c>
      <c r="AU104" s="198">
        <f>$E104*餐厅成本录入!AU104</f>
        <v>0</v>
      </c>
      <c r="AV104" s="198">
        <f>$E104*餐厅成本录入!AV104</f>
        <v>0</v>
      </c>
      <c r="AW104" s="198">
        <f>$E104*餐厅成本录入!AW104</f>
        <v>0</v>
      </c>
      <c r="AX104" s="198">
        <f>$E104*餐厅成本录入!AX104</f>
        <v>0</v>
      </c>
      <c r="AY104" s="198">
        <f>$E104*餐厅成本录入!AY104</f>
        <v>0</v>
      </c>
      <c r="AZ104" s="198">
        <f>$E104*餐厅成本录入!AZ104</f>
        <v>156</v>
      </c>
      <c r="BA104" s="198">
        <f>$E104*餐厅成本录入!BA104</f>
        <v>156</v>
      </c>
      <c r="BB104" s="198">
        <f>$E104*餐厅成本录入!BB104</f>
        <v>0</v>
      </c>
      <c r="BC104" s="198">
        <f>$E104*餐厅成本录入!BC104</f>
        <v>0</v>
      </c>
      <c r="BD104" s="198">
        <f>$E104*餐厅成本录入!BD104</f>
        <v>0</v>
      </c>
      <c r="BE104" s="198">
        <f>$E104*餐厅成本录入!BE104</f>
        <v>0</v>
      </c>
      <c r="BF104" s="198">
        <f>$E104*餐厅成本录入!BF104</f>
        <v>0</v>
      </c>
      <c r="BG104" s="198">
        <f>$E104*餐厅成本录入!BG104</f>
        <v>0</v>
      </c>
      <c r="BH104" s="198">
        <f>$E104*餐厅成本录入!BH104</f>
        <v>156</v>
      </c>
      <c r="BI104" s="198">
        <f>$E104*餐厅成本录入!BI104</f>
        <v>156</v>
      </c>
      <c r="BJ104" s="198">
        <f>$E104*餐厅成本录入!BJ104</f>
        <v>0</v>
      </c>
      <c r="BK104" s="198">
        <f>$E104*餐厅成本录入!BK104</f>
        <v>0</v>
      </c>
      <c r="BL104" s="198">
        <f>$E104*餐厅成本录入!BL104</f>
        <v>0</v>
      </c>
      <c r="BM104" s="198">
        <f>$E104*餐厅成本录入!BM104</f>
        <v>0</v>
      </c>
      <c r="BN104" s="198">
        <f>$E104*餐厅成本录入!BN104</f>
        <v>156</v>
      </c>
      <c r="BO104" s="198">
        <f>$E104*餐厅成本录入!BO104</f>
        <v>156</v>
      </c>
      <c r="BP104" s="198">
        <f>$E104*餐厅成本录入!BP104</f>
        <v>156</v>
      </c>
      <c r="BQ104" s="198">
        <f>$E104*餐厅成本录入!BQ104</f>
        <v>156</v>
      </c>
      <c r="BR104" s="198">
        <f>$E104*餐厅成本录入!BR104</f>
        <v>0</v>
      </c>
      <c r="BS104" s="198">
        <f>$E104*餐厅成本录入!BS104</f>
        <v>0</v>
      </c>
      <c r="BT104" s="198">
        <f>$E104*餐厅成本录入!BT104</f>
        <v>156</v>
      </c>
      <c r="BU104" s="198">
        <f>$E104*餐厅成本录入!BU104</f>
        <v>156</v>
      </c>
      <c r="BV104" s="198">
        <f>$E104*餐厅成本录入!BV104</f>
        <v>0</v>
      </c>
      <c r="BW104" s="198">
        <f>$E104*餐厅成本录入!BW104</f>
        <v>0</v>
      </c>
    </row>
    <row r="105" s="178" customFormat="1" customHeight="1" spans="1:75">
      <c r="A105" s="161">
        <v>137</v>
      </c>
      <c r="B105" s="21" t="str">
        <f>餐厅成本录入!B105</f>
        <v>酸奶</v>
      </c>
      <c r="C105" s="21">
        <f>餐厅成本录入!C105</f>
        <v>0</v>
      </c>
      <c r="D105" s="21">
        <f>餐厅成本录入!D105</f>
        <v>0</v>
      </c>
      <c r="E105" s="21">
        <f>餐厅成本录入!E105</f>
        <v>102</v>
      </c>
      <c r="F105" s="21">
        <f>餐厅成本录入!F105</f>
        <v>0</v>
      </c>
      <c r="G105" s="21">
        <f>餐厅成本录入!G105</f>
        <v>0</v>
      </c>
      <c r="H105" s="21">
        <f>餐厅成本录入!H105</f>
        <v>17</v>
      </c>
      <c r="I105" s="21">
        <f>餐厅成本录入!I105</f>
        <v>1734</v>
      </c>
      <c r="J105" s="21">
        <f>餐厅成本录入!J105</f>
        <v>17</v>
      </c>
      <c r="K105" s="21">
        <f>餐厅成本录入!K105</f>
        <v>1734</v>
      </c>
      <c r="L105" s="21">
        <f>餐厅成本录入!L105</f>
        <v>0</v>
      </c>
      <c r="M105" s="21">
        <f>餐厅成本录入!M105</f>
        <v>0</v>
      </c>
      <c r="N105" s="198">
        <f>$E105*餐厅成本录入!N105</f>
        <v>204</v>
      </c>
      <c r="O105" s="198">
        <f>$E105*餐厅成本录入!O105</f>
        <v>204</v>
      </c>
      <c r="P105" s="198">
        <f>$E105*餐厅成本录入!P105</f>
        <v>0</v>
      </c>
      <c r="Q105" s="198">
        <f>$E105*餐厅成本录入!Q105</f>
        <v>0</v>
      </c>
      <c r="R105" s="198">
        <f>$E105*餐厅成本录入!R105</f>
        <v>204</v>
      </c>
      <c r="S105" s="198">
        <f>$E105*餐厅成本录入!S105</f>
        <v>204</v>
      </c>
      <c r="T105" s="198">
        <f>$E105*餐厅成本录入!T105</f>
        <v>0</v>
      </c>
      <c r="U105" s="198">
        <f>$E105*餐厅成本录入!U105</f>
        <v>0</v>
      </c>
      <c r="V105" s="198">
        <f>$E105*餐厅成本录入!V105</f>
        <v>204</v>
      </c>
      <c r="W105" s="198">
        <f>$E105*餐厅成本录入!W105</f>
        <v>204</v>
      </c>
      <c r="X105" s="198">
        <f>$E105*餐厅成本录入!X105</f>
        <v>0</v>
      </c>
      <c r="Y105" s="198">
        <f>$E105*餐厅成本录入!Y105</f>
        <v>0</v>
      </c>
      <c r="Z105" s="198">
        <f>$E105*餐厅成本录入!Z105</f>
        <v>0</v>
      </c>
      <c r="AA105" s="198">
        <f>$E105*餐厅成本录入!AA105</f>
        <v>0</v>
      </c>
      <c r="AB105" s="198">
        <f>$E105*餐厅成本录入!AB105</f>
        <v>0</v>
      </c>
      <c r="AC105" s="198">
        <f>$E105*餐厅成本录入!AC105</f>
        <v>0</v>
      </c>
      <c r="AD105" s="198">
        <f>$E105*餐厅成本录入!AD105</f>
        <v>0</v>
      </c>
      <c r="AE105" s="198">
        <f>$E105*餐厅成本录入!AE105</f>
        <v>0</v>
      </c>
      <c r="AF105" s="198">
        <f>$E105*餐厅成本录入!AF105</f>
        <v>0</v>
      </c>
      <c r="AG105" s="198">
        <f>$E105*餐厅成本录入!AG105</f>
        <v>0</v>
      </c>
      <c r="AH105" s="198">
        <f>$E105*餐厅成本录入!AH105</f>
        <v>0</v>
      </c>
      <c r="AI105" s="198">
        <f>$E105*餐厅成本录入!AI105</f>
        <v>0</v>
      </c>
      <c r="AJ105" s="198">
        <f>$E105*餐厅成本录入!AJ105</f>
        <v>204</v>
      </c>
      <c r="AK105" s="198">
        <f>$E105*餐厅成本录入!AK105</f>
        <v>204</v>
      </c>
      <c r="AL105" s="198">
        <f>$E105*餐厅成本录入!AL105</f>
        <v>0</v>
      </c>
      <c r="AM105" s="198">
        <f>$E105*餐厅成本录入!AM105</f>
        <v>0</v>
      </c>
      <c r="AN105" s="198">
        <f>$E105*餐厅成本录入!AN105</f>
        <v>0</v>
      </c>
      <c r="AO105" s="198">
        <f>$E105*餐厅成本录入!AO105</f>
        <v>0</v>
      </c>
      <c r="AP105" s="198">
        <f>$E105*餐厅成本录入!AP105</f>
        <v>102</v>
      </c>
      <c r="AQ105" s="198">
        <f>$E105*餐厅成本录入!AQ105</f>
        <v>102</v>
      </c>
      <c r="AR105" s="198">
        <f>$E105*餐厅成本录入!AR105</f>
        <v>0</v>
      </c>
      <c r="AS105" s="198">
        <f>$E105*餐厅成本录入!AS105</f>
        <v>0</v>
      </c>
      <c r="AT105" s="198">
        <f>$E105*餐厅成本录入!AT105</f>
        <v>0</v>
      </c>
      <c r="AU105" s="198">
        <f>$E105*餐厅成本录入!AU105</f>
        <v>0</v>
      </c>
      <c r="AV105" s="198">
        <f>$E105*餐厅成本录入!AV105</f>
        <v>0</v>
      </c>
      <c r="AW105" s="198">
        <f>$E105*餐厅成本录入!AW105</f>
        <v>0</v>
      </c>
      <c r="AX105" s="198">
        <f>$E105*餐厅成本录入!AX105</f>
        <v>0</v>
      </c>
      <c r="AY105" s="198">
        <f>$E105*餐厅成本录入!AY105</f>
        <v>0</v>
      </c>
      <c r="AZ105" s="198">
        <f>$E105*餐厅成本录入!AZ105</f>
        <v>102</v>
      </c>
      <c r="BA105" s="198">
        <f>$E105*餐厅成本录入!BA105</f>
        <v>102</v>
      </c>
      <c r="BB105" s="198">
        <f>$E105*餐厅成本录入!BB105</f>
        <v>102</v>
      </c>
      <c r="BC105" s="198">
        <f>$E105*餐厅成本录入!BC105</f>
        <v>102</v>
      </c>
      <c r="BD105" s="198">
        <f>$E105*餐厅成本录入!BD105</f>
        <v>0</v>
      </c>
      <c r="BE105" s="198">
        <f>$E105*餐厅成本录入!BE105</f>
        <v>0</v>
      </c>
      <c r="BF105" s="198">
        <f>$E105*餐厅成本录入!BF105</f>
        <v>0</v>
      </c>
      <c r="BG105" s="198">
        <f>$E105*餐厅成本录入!BG105</f>
        <v>0</v>
      </c>
      <c r="BH105" s="198">
        <f>$E105*餐厅成本录入!BH105</f>
        <v>204</v>
      </c>
      <c r="BI105" s="198">
        <f>$E105*餐厅成本录入!BI105</f>
        <v>204</v>
      </c>
      <c r="BJ105" s="198">
        <f>$E105*餐厅成本录入!BJ105</f>
        <v>0</v>
      </c>
      <c r="BK105" s="198">
        <f>$E105*餐厅成本录入!BK105</f>
        <v>0</v>
      </c>
      <c r="BL105" s="198">
        <f>$E105*餐厅成本录入!BL105</f>
        <v>0</v>
      </c>
      <c r="BM105" s="198">
        <f>$E105*餐厅成本录入!BM105</f>
        <v>0</v>
      </c>
      <c r="BN105" s="198">
        <f>$E105*餐厅成本录入!BN105</f>
        <v>102</v>
      </c>
      <c r="BO105" s="198">
        <f>$E105*餐厅成本录入!BO105</f>
        <v>102</v>
      </c>
      <c r="BP105" s="198">
        <f>$E105*餐厅成本录入!BP105</f>
        <v>102</v>
      </c>
      <c r="BQ105" s="198">
        <f>$E105*餐厅成本录入!BQ105</f>
        <v>102</v>
      </c>
      <c r="BR105" s="198">
        <f>$E105*餐厅成本录入!BR105</f>
        <v>0</v>
      </c>
      <c r="BS105" s="198">
        <f>$E105*餐厅成本录入!BS105</f>
        <v>0</v>
      </c>
      <c r="BT105" s="198">
        <f>$E105*餐厅成本录入!BT105</f>
        <v>204</v>
      </c>
      <c r="BU105" s="198">
        <f>$E105*餐厅成本录入!BU105</f>
        <v>204</v>
      </c>
      <c r="BV105" s="198">
        <f>$E105*餐厅成本录入!BV105</f>
        <v>0</v>
      </c>
      <c r="BW105" s="198">
        <f>$E105*餐厅成本录入!BW105</f>
        <v>0</v>
      </c>
    </row>
    <row r="106" s="178" customFormat="1" customHeight="1" spans="1:75">
      <c r="A106" s="161">
        <v>138</v>
      </c>
      <c r="B106" s="21" t="str">
        <f>餐厅成本录入!B106</f>
        <v>果味酸奶</v>
      </c>
      <c r="C106" s="21">
        <f>餐厅成本录入!C106</f>
        <v>0</v>
      </c>
      <c r="D106" s="21">
        <f>餐厅成本录入!D106</f>
        <v>0</v>
      </c>
      <c r="E106" s="21">
        <f>餐厅成本录入!E106</f>
        <v>114</v>
      </c>
      <c r="F106" s="21">
        <f>餐厅成本录入!F106</f>
        <v>0</v>
      </c>
      <c r="G106" s="21">
        <f>餐厅成本录入!G106</f>
        <v>0</v>
      </c>
      <c r="H106" s="21">
        <f>餐厅成本录入!H106</f>
        <v>5</v>
      </c>
      <c r="I106" s="21">
        <f>餐厅成本录入!I106</f>
        <v>570</v>
      </c>
      <c r="J106" s="21">
        <f>餐厅成本录入!J106</f>
        <v>5</v>
      </c>
      <c r="K106" s="21">
        <f>餐厅成本录入!K106</f>
        <v>570</v>
      </c>
      <c r="L106" s="21">
        <f>餐厅成本录入!L106</f>
        <v>0</v>
      </c>
      <c r="M106" s="21">
        <f>餐厅成本录入!M106</f>
        <v>0</v>
      </c>
      <c r="N106" s="198">
        <f>$E106*餐厅成本录入!N106</f>
        <v>0</v>
      </c>
      <c r="O106" s="198">
        <f>$E106*餐厅成本录入!O106</f>
        <v>0</v>
      </c>
      <c r="P106" s="198">
        <f>$E106*餐厅成本录入!P106</f>
        <v>0</v>
      </c>
      <c r="Q106" s="198">
        <f>$E106*餐厅成本录入!Q106</f>
        <v>0</v>
      </c>
      <c r="R106" s="198">
        <f>$E106*餐厅成本录入!R106</f>
        <v>0</v>
      </c>
      <c r="S106" s="198">
        <f>$E106*餐厅成本录入!S106</f>
        <v>0</v>
      </c>
      <c r="T106" s="198">
        <f>$E106*餐厅成本录入!T106</f>
        <v>0</v>
      </c>
      <c r="U106" s="198">
        <f>$E106*餐厅成本录入!U106</f>
        <v>0</v>
      </c>
      <c r="V106" s="198">
        <f>$E106*餐厅成本录入!V106</f>
        <v>0</v>
      </c>
      <c r="W106" s="198">
        <f>$E106*餐厅成本录入!W106</f>
        <v>0</v>
      </c>
      <c r="X106" s="198">
        <f>$E106*餐厅成本录入!X106</f>
        <v>0</v>
      </c>
      <c r="Y106" s="198">
        <f>$E106*餐厅成本录入!Y106</f>
        <v>0</v>
      </c>
      <c r="Z106" s="198">
        <f>$E106*餐厅成本录入!Z106</f>
        <v>0</v>
      </c>
      <c r="AA106" s="198">
        <f>$E106*餐厅成本录入!AA106</f>
        <v>0</v>
      </c>
      <c r="AB106" s="198">
        <f>$E106*餐厅成本录入!AB106</f>
        <v>0</v>
      </c>
      <c r="AC106" s="198">
        <f>$E106*餐厅成本录入!AC106</f>
        <v>0</v>
      </c>
      <c r="AD106" s="198">
        <f>$E106*餐厅成本录入!AD106</f>
        <v>0</v>
      </c>
      <c r="AE106" s="198">
        <f>$E106*餐厅成本录入!AE106</f>
        <v>0</v>
      </c>
      <c r="AF106" s="198">
        <f>$E106*餐厅成本录入!AF106</f>
        <v>0</v>
      </c>
      <c r="AG106" s="198">
        <f>$E106*餐厅成本录入!AG106</f>
        <v>0</v>
      </c>
      <c r="AH106" s="198">
        <f>$E106*餐厅成本录入!AH106</f>
        <v>0</v>
      </c>
      <c r="AI106" s="198">
        <f>$E106*餐厅成本录入!AI106</f>
        <v>0</v>
      </c>
      <c r="AJ106" s="198">
        <f>$E106*餐厅成本录入!AJ106</f>
        <v>114</v>
      </c>
      <c r="AK106" s="198">
        <f>$E106*餐厅成本录入!AK106</f>
        <v>114</v>
      </c>
      <c r="AL106" s="198">
        <f>$E106*餐厅成本录入!AL106</f>
        <v>0</v>
      </c>
      <c r="AM106" s="198">
        <f>$E106*餐厅成本录入!AM106</f>
        <v>0</v>
      </c>
      <c r="AN106" s="198">
        <f>$E106*餐厅成本录入!AN106</f>
        <v>0</v>
      </c>
      <c r="AO106" s="198">
        <f>$E106*餐厅成本录入!AO106</f>
        <v>0</v>
      </c>
      <c r="AP106" s="198">
        <f>$E106*餐厅成本录入!AP106</f>
        <v>114</v>
      </c>
      <c r="AQ106" s="198">
        <f>$E106*餐厅成本录入!AQ106</f>
        <v>114</v>
      </c>
      <c r="AR106" s="198">
        <f>$E106*餐厅成本录入!AR106</f>
        <v>0</v>
      </c>
      <c r="AS106" s="198">
        <f>$E106*餐厅成本录入!AS106</f>
        <v>0</v>
      </c>
      <c r="AT106" s="198">
        <f>$E106*餐厅成本录入!AT106</f>
        <v>0</v>
      </c>
      <c r="AU106" s="198">
        <f>$E106*餐厅成本录入!AU106</f>
        <v>0</v>
      </c>
      <c r="AV106" s="198">
        <f>$E106*餐厅成本录入!AV106</f>
        <v>0</v>
      </c>
      <c r="AW106" s="198">
        <f>$E106*餐厅成本录入!AW106</f>
        <v>0</v>
      </c>
      <c r="AX106" s="198">
        <f>$E106*餐厅成本录入!AX106</f>
        <v>0</v>
      </c>
      <c r="AY106" s="198">
        <f>$E106*餐厅成本录入!AY106</f>
        <v>0</v>
      </c>
      <c r="AZ106" s="198">
        <f>$E106*餐厅成本录入!AZ106</f>
        <v>0</v>
      </c>
      <c r="BA106" s="198">
        <f>$E106*餐厅成本录入!BA106</f>
        <v>0</v>
      </c>
      <c r="BB106" s="198">
        <f>$E106*餐厅成本录入!BB106</f>
        <v>114</v>
      </c>
      <c r="BC106" s="198">
        <f>$E106*餐厅成本录入!BC106</f>
        <v>114</v>
      </c>
      <c r="BD106" s="198">
        <f>$E106*餐厅成本录入!BD106</f>
        <v>0</v>
      </c>
      <c r="BE106" s="198">
        <f>$E106*餐厅成本录入!BE106</f>
        <v>0</v>
      </c>
      <c r="BF106" s="198">
        <f>$E106*餐厅成本录入!BF106</f>
        <v>0</v>
      </c>
      <c r="BG106" s="198">
        <f>$E106*餐厅成本录入!BG106</f>
        <v>0</v>
      </c>
      <c r="BH106" s="198">
        <f>$E106*餐厅成本录入!BH106</f>
        <v>0</v>
      </c>
      <c r="BI106" s="198">
        <f>$E106*餐厅成本录入!BI106</f>
        <v>0</v>
      </c>
      <c r="BJ106" s="198">
        <f>$E106*餐厅成本录入!BJ106</f>
        <v>0</v>
      </c>
      <c r="BK106" s="198">
        <f>$E106*餐厅成本录入!BK106</f>
        <v>0</v>
      </c>
      <c r="BL106" s="198">
        <f>$E106*餐厅成本录入!BL106</f>
        <v>0</v>
      </c>
      <c r="BM106" s="198">
        <f>$E106*餐厅成本录入!BM106</f>
        <v>0</v>
      </c>
      <c r="BN106" s="198">
        <f>$E106*餐厅成本录入!BN106</f>
        <v>0</v>
      </c>
      <c r="BO106" s="198">
        <f>$E106*餐厅成本录入!BO106</f>
        <v>0</v>
      </c>
      <c r="BP106" s="198">
        <f>$E106*餐厅成本录入!BP106</f>
        <v>0</v>
      </c>
      <c r="BQ106" s="198">
        <f>$E106*餐厅成本录入!BQ106</f>
        <v>0</v>
      </c>
      <c r="BR106" s="198">
        <f>$E106*餐厅成本录入!BR106</f>
        <v>0</v>
      </c>
      <c r="BS106" s="198">
        <f>$E106*餐厅成本录入!BS106</f>
        <v>0</v>
      </c>
      <c r="BT106" s="198">
        <f>$E106*餐厅成本录入!BT106</f>
        <v>228</v>
      </c>
      <c r="BU106" s="198">
        <f>$E106*餐厅成本录入!BU106</f>
        <v>228</v>
      </c>
      <c r="BV106" s="198">
        <f>$E106*餐厅成本录入!BV106</f>
        <v>0</v>
      </c>
      <c r="BW106" s="198">
        <f>$E106*餐厅成本录入!BW106</f>
        <v>0</v>
      </c>
    </row>
    <row r="107" s="178" customFormat="1" customHeight="1" spans="1:75">
      <c r="A107" s="161">
        <v>139</v>
      </c>
      <c r="B107" s="21">
        <f>餐厅成本录入!B107</f>
        <v>0</v>
      </c>
      <c r="C107" s="21">
        <f>餐厅成本录入!C107</f>
        <v>0</v>
      </c>
      <c r="D107" s="21">
        <f>餐厅成本录入!D107</f>
        <v>0</v>
      </c>
      <c r="E107" s="21">
        <f>餐厅成本录入!E107</f>
        <v>0</v>
      </c>
      <c r="F107" s="21">
        <f>餐厅成本录入!F107</f>
        <v>0</v>
      </c>
      <c r="G107" s="21">
        <f>餐厅成本录入!G107</f>
        <v>0</v>
      </c>
      <c r="H107" s="21">
        <f>餐厅成本录入!H107</f>
        <v>0</v>
      </c>
      <c r="I107" s="21">
        <f>餐厅成本录入!I107</f>
        <v>0</v>
      </c>
      <c r="J107" s="21">
        <f>餐厅成本录入!J107</f>
        <v>0</v>
      </c>
      <c r="K107" s="21">
        <f>餐厅成本录入!K107</f>
        <v>0</v>
      </c>
      <c r="L107" s="21">
        <f>餐厅成本录入!L107</f>
        <v>0</v>
      </c>
      <c r="M107" s="21">
        <f>餐厅成本录入!M107</f>
        <v>0</v>
      </c>
      <c r="N107" s="198">
        <f>$E107*餐厅成本录入!N107</f>
        <v>0</v>
      </c>
      <c r="O107" s="198">
        <f>$E107*餐厅成本录入!O107</f>
        <v>0</v>
      </c>
      <c r="P107" s="198">
        <f>$E107*餐厅成本录入!P107</f>
        <v>0</v>
      </c>
      <c r="Q107" s="198">
        <f>$E107*餐厅成本录入!Q107</f>
        <v>0</v>
      </c>
      <c r="R107" s="198">
        <f>$E107*餐厅成本录入!R107</f>
        <v>0</v>
      </c>
      <c r="S107" s="198">
        <f>$E107*餐厅成本录入!S107</f>
        <v>0</v>
      </c>
      <c r="T107" s="198">
        <f>$E107*餐厅成本录入!T107</f>
        <v>0</v>
      </c>
      <c r="U107" s="198">
        <f>$E107*餐厅成本录入!U107</f>
        <v>0</v>
      </c>
      <c r="V107" s="198">
        <f>$E107*餐厅成本录入!V107</f>
        <v>0</v>
      </c>
      <c r="W107" s="198">
        <f>$E107*餐厅成本录入!W107</f>
        <v>0</v>
      </c>
      <c r="X107" s="198">
        <f>$E107*餐厅成本录入!X107</f>
        <v>0</v>
      </c>
      <c r="Y107" s="198">
        <f>$E107*餐厅成本录入!Y107</f>
        <v>0</v>
      </c>
      <c r="Z107" s="198">
        <f>$E107*餐厅成本录入!Z107</f>
        <v>0</v>
      </c>
      <c r="AA107" s="198">
        <f>$E107*餐厅成本录入!AA107</f>
        <v>0</v>
      </c>
      <c r="AB107" s="198">
        <f>$E107*餐厅成本录入!AB107</f>
        <v>0</v>
      </c>
      <c r="AC107" s="198">
        <f>$E107*餐厅成本录入!AC107</f>
        <v>0</v>
      </c>
      <c r="AD107" s="198">
        <f>$E107*餐厅成本录入!AD107</f>
        <v>0</v>
      </c>
      <c r="AE107" s="198">
        <f>$E107*餐厅成本录入!AE107</f>
        <v>0</v>
      </c>
      <c r="AF107" s="198">
        <f>$E107*餐厅成本录入!AF107</f>
        <v>0</v>
      </c>
      <c r="AG107" s="198">
        <f>$E107*餐厅成本录入!AG107</f>
        <v>0</v>
      </c>
      <c r="AH107" s="198">
        <f>$E107*餐厅成本录入!AH107</f>
        <v>0</v>
      </c>
      <c r="AI107" s="198">
        <f>$E107*餐厅成本录入!AI107</f>
        <v>0</v>
      </c>
      <c r="AJ107" s="198">
        <f>$E107*餐厅成本录入!AJ107</f>
        <v>0</v>
      </c>
      <c r="AK107" s="198">
        <f>$E107*餐厅成本录入!AK107</f>
        <v>0</v>
      </c>
      <c r="AL107" s="198">
        <f>$E107*餐厅成本录入!AL107</f>
        <v>0</v>
      </c>
      <c r="AM107" s="198">
        <f>$E107*餐厅成本录入!AM107</f>
        <v>0</v>
      </c>
      <c r="AN107" s="198">
        <f>$E107*餐厅成本录入!AN107</f>
        <v>0</v>
      </c>
      <c r="AO107" s="198">
        <f>$E107*餐厅成本录入!AO107</f>
        <v>0</v>
      </c>
      <c r="AP107" s="198">
        <f>$E107*餐厅成本录入!AP107</f>
        <v>0</v>
      </c>
      <c r="AQ107" s="198">
        <f>$E107*餐厅成本录入!AQ107</f>
        <v>0</v>
      </c>
      <c r="AR107" s="198">
        <f>$E107*餐厅成本录入!AR107</f>
        <v>0</v>
      </c>
      <c r="AS107" s="198">
        <f>$E107*餐厅成本录入!AS107</f>
        <v>0</v>
      </c>
      <c r="AT107" s="198">
        <f>$E107*餐厅成本录入!AT107</f>
        <v>0</v>
      </c>
      <c r="AU107" s="198">
        <f>$E107*餐厅成本录入!AU107</f>
        <v>0</v>
      </c>
      <c r="AV107" s="198">
        <f>$E107*餐厅成本录入!AV107</f>
        <v>0</v>
      </c>
      <c r="AW107" s="198">
        <f>$E107*餐厅成本录入!AW107</f>
        <v>0</v>
      </c>
      <c r="AX107" s="198">
        <f>$E107*餐厅成本录入!AX107</f>
        <v>0</v>
      </c>
      <c r="AY107" s="198">
        <f>$E107*餐厅成本录入!AY107</f>
        <v>0</v>
      </c>
      <c r="AZ107" s="198">
        <f>$E107*餐厅成本录入!AZ107</f>
        <v>0</v>
      </c>
      <c r="BA107" s="198">
        <f>$E107*餐厅成本录入!BA107</f>
        <v>0</v>
      </c>
      <c r="BB107" s="198">
        <f>$E107*餐厅成本录入!BB107</f>
        <v>0</v>
      </c>
      <c r="BC107" s="198">
        <f>$E107*餐厅成本录入!BC107</f>
        <v>0</v>
      </c>
      <c r="BD107" s="198">
        <f>$E107*餐厅成本录入!BD107</f>
        <v>0</v>
      </c>
      <c r="BE107" s="198">
        <f>$E107*餐厅成本录入!BE107</f>
        <v>0</v>
      </c>
      <c r="BF107" s="198">
        <f>$E107*餐厅成本录入!BF107</f>
        <v>0</v>
      </c>
      <c r="BG107" s="198">
        <f>$E107*餐厅成本录入!BG107</f>
        <v>0</v>
      </c>
      <c r="BH107" s="198">
        <f>$E107*餐厅成本录入!BH107</f>
        <v>0</v>
      </c>
      <c r="BI107" s="198">
        <f>$E107*餐厅成本录入!BI107</f>
        <v>0</v>
      </c>
      <c r="BJ107" s="198">
        <f>$E107*餐厅成本录入!BJ107</f>
        <v>0</v>
      </c>
      <c r="BK107" s="198">
        <f>$E107*餐厅成本录入!BK107</f>
        <v>0</v>
      </c>
      <c r="BL107" s="198">
        <f>$E107*餐厅成本录入!BL107</f>
        <v>0</v>
      </c>
      <c r="BM107" s="198">
        <f>$E107*餐厅成本录入!BM107</f>
        <v>0</v>
      </c>
      <c r="BN107" s="198">
        <f>$E107*餐厅成本录入!BN107</f>
        <v>0</v>
      </c>
      <c r="BO107" s="198">
        <f>$E107*餐厅成本录入!BO107</f>
        <v>0</v>
      </c>
      <c r="BP107" s="198">
        <f>$E107*餐厅成本录入!BP107</f>
        <v>0</v>
      </c>
      <c r="BQ107" s="198">
        <f>$E107*餐厅成本录入!BQ107</f>
        <v>0</v>
      </c>
      <c r="BR107" s="198">
        <f>$E107*餐厅成本录入!BR107</f>
        <v>0</v>
      </c>
      <c r="BS107" s="198">
        <f>$E107*餐厅成本录入!BS107</f>
        <v>0</v>
      </c>
      <c r="BT107" s="198">
        <f>$E107*餐厅成本录入!BT107</f>
        <v>0</v>
      </c>
      <c r="BU107" s="198">
        <f>$E107*餐厅成本录入!BU107</f>
        <v>0</v>
      </c>
      <c r="BV107" s="198">
        <f>$E107*餐厅成本录入!BV107</f>
        <v>0</v>
      </c>
      <c r="BW107" s="198">
        <f>$E107*餐厅成本录入!BW107</f>
        <v>0</v>
      </c>
    </row>
    <row r="108" s="178" customFormat="1" customHeight="1" spans="1:75">
      <c r="A108" s="161">
        <v>140</v>
      </c>
      <c r="B108" s="21" t="str">
        <f>餐厅成本录入!B108</f>
        <v>汇源果汁100%</v>
      </c>
      <c r="C108" s="21">
        <f>餐厅成本录入!C108</f>
        <v>0</v>
      </c>
      <c r="D108" s="21" t="str">
        <f>餐厅成本录入!D108</f>
        <v>件</v>
      </c>
      <c r="E108" s="21">
        <f>餐厅成本录入!E108</f>
        <v>160</v>
      </c>
      <c r="F108" s="21">
        <f>餐厅成本录入!F108</f>
        <v>0</v>
      </c>
      <c r="G108" s="21">
        <f>餐厅成本录入!G108</f>
        <v>0</v>
      </c>
      <c r="H108" s="21">
        <f>餐厅成本录入!H108</f>
        <v>13</v>
      </c>
      <c r="I108" s="21">
        <f>餐厅成本录入!I108</f>
        <v>2080</v>
      </c>
      <c r="J108" s="21">
        <f>餐厅成本录入!J108</f>
        <v>13</v>
      </c>
      <c r="K108" s="21">
        <f>餐厅成本录入!K108</f>
        <v>2080</v>
      </c>
      <c r="L108" s="21">
        <f>餐厅成本录入!L108</f>
        <v>0</v>
      </c>
      <c r="M108" s="21">
        <f>餐厅成本录入!M108</f>
        <v>0</v>
      </c>
      <c r="N108" s="198">
        <f>$E108*餐厅成本录入!N108</f>
        <v>480</v>
      </c>
      <c r="O108" s="198">
        <f>$E108*餐厅成本录入!O108</f>
        <v>480</v>
      </c>
      <c r="P108" s="198">
        <f>$E108*餐厅成本录入!P108</f>
        <v>0</v>
      </c>
      <c r="Q108" s="198">
        <f>$E108*餐厅成本录入!Q108</f>
        <v>0</v>
      </c>
      <c r="R108" s="198">
        <f>$E108*餐厅成本录入!R108</f>
        <v>0</v>
      </c>
      <c r="S108" s="198">
        <f>$E108*餐厅成本录入!S108</f>
        <v>0</v>
      </c>
      <c r="T108" s="198">
        <f>$E108*餐厅成本录入!T108</f>
        <v>0</v>
      </c>
      <c r="U108" s="198">
        <f>$E108*餐厅成本录入!U108</f>
        <v>0</v>
      </c>
      <c r="V108" s="198">
        <f>$E108*餐厅成本录入!V108</f>
        <v>160</v>
      </c>
      <c r="W108" s="198">
        <f>$E108*餐厅成本录入!W108</f>
        <v>160</v>
      </c>
      <c r="X108" s="198">
        <f>$E108*餐厅成本录入!X108</f>
        <v>0</v>
      </c>
      <c r="Y108" s="198">
        <f>$E108*餐厅成本录入!Y108</f>
        <v>0</v>
      </c>
      <c r="Z108" s="198">
        <f>$E108*餐厅成本录入!Z108</f>
        <v>0</v>
      </c>
      <c r="AA108" s="198">
        <f>$E108*餐厅成本录入!AA108</f>
        <v>0</v>
      </c>
      <c r="AB108" s="198">
        <f>$E108*餐厅成本录入!AB108</f>
        <v>0</v>
      </c>
      <c r="AC108" s="198">
        <f>$E108*餐厅成本录入!AC108</f>
        <v>0</v>
      </c>
      <c r="AD108" s="198">
        <f>$E108*餐厅成本录入!AD108</f>
        <v>0</v>
      </c>
      <c r="AE108" s="198">
        <f>$E108*餐厅成本录入!AE108</f>
        <v>0</v>
      </c>
      <c r="AF108" s="198">
        <f>$E108*餐厅成本录入!AF108</f>
        <v>160</v>
      </c>
      <c r="AG108" s="198">
        <f>$E108*餐厅成本录入!AG108</f>
        <v>160</v>
      </c>
      <c r="AH108" s="198">
        <f>$E108*餐厅成本录入!AH108</f>
        <v>0</v>
      </c>
      <c r="AI108" s="198">
        <f>$E108*餐厅成本录入!AI108</f>
        <v>0</v>
      </c>
      <c r="AJ108" s="198">
        <f>$E108*餐厅成本录入!AJ108</f>
        <v>0</v>
      </c>
      <c r="AK108" s="198">
        <f>$E108*餐厅成本录入!AK108</f>
        <v>0</v>
      </c>
      <c r="AL108" s="198">
        <f>$E108*餐厅成本录入!AL108</f>
        <v>320</v>
      </c>
      <c r="AM108" s="198">
        <f>$E108*餐厅成本录入!AM108</f>
        <v>320</v>
      </c>
      <c r="AN108" s="198">
        <f>$E108*餐厅成本录入!AN108</f>
        <v>0</v>
      </c>
      <c r="AO108" s="198">
        <f>$E108*餐厅成本录入!AO108</f>
        <v>0</v>
      </c>
      <c r="AP108" s="198">
        <f>$E108*餐厅成本录入!AP108</f>
        <v>0</v>
      </c>
      <c r="AQ108" s="198">
        <f>$E108*餐厅成本录入!AQ108</f>
        <v>0</v>
      </c>
      <c r="AR108" s="198">
        <f>$E108*餐厅成本录入!AR108</f>
        <v>0</v>
      </c>
      <c r="AS108" s="198">
        <f>$E108*餐厅成本录入!AS108</f>
        <v>0</v>
      </c>
      <c r="AT108" s="198">
        <f>$E108*餐厅成本录入!AT108</f>
        <v>0</v>
      </c>
      <c r="AU108" s="198">
        <f>$E108*餐厅成本录入!AU108</f>
        <v>0</v>
      </c>
      <c r="AV108" s="198">
        <f>$E108*餐厅成本录入!AV108</f>
        <v>0</v>
      </c>
      <c r="AW108" s="198">
        <f>$E108*餐厅成本录入!AW108</f>
        <v>0</v>
      </c>
      <c r="AX108" s="198">
        <f>$E108*餐厅成本录入!AX108</f>
        <v>0</v>
      </c>
      <c r="AY108" s="198">
        <f>$E108*餐厅成本录入!AY108</f>
        <v>0</v>
      </c>
      <c r="AZ108" s="198">
        <f>$E108*餐厅成本录入!AZ108</f>
        <v>0</v>
      </c>
      <c r="BA108" s="198">
        <f>$E108*餐厅成本录入!BA108</f>
        <v>0</v>
      </c>
      <c r="BB108" s="198">
        <f>$E108*餐厅成本录入!BB108</f>
        <v>160</v>
      </c>
      <c r="BC108" s="198">
        <f>$E108*餐厅成本录入!BC108</f>
        <v>160</v>
      </c>
      <c r="BD108" s="198">
        <f>$E108*餐厅成本录入!BD108</f>
        <v>0</v>
      </c>
      <c r="BE108" s="198">
        <f>$E108*餐厅成本录入!BE108</f>
        <v>0</v>
      </c>
      <c r="BF108" s="198">
        <f>$E108*餐厅成本录入!BF108</f>
        <v>0</v>
      </c>
      <c r="BG108" s="198">
        <f>$E108*餐厅成本录入!BG108</f>
        <v>0</v>
      </c>
      <c r="BH108" s="198">
        <f>$E108*餐厅成本录入!BH108</f>
        <v>160</v>
      </c>
      <c r="BI108" s="198">
        <f>$E108*餐厅成本录入!BI108</f>
        <v>160</v>
      </c>
      <c r="BJ108" s="198">
        <f>$E108*餐厅成本录入!BJ108</f>
        <v>0</v>
      </c>
      <c r="BK108" s="198">
        <f>$E108*餐厅成本录入!BK108</f>
        <v>0</v>
      </c>
      <c r="BL108" s="198">
        <f>$E108*餐厅成本录入!BL108</f>
        <v>0</v>
      </c>
      <c r="BM108" s="198">
        <f>$E108*餐厅成本录入!BM108</f>
        <v>0</v>
      </c>
      <c r="BN108" s="198">
        <f>$E108*餐厅成本录入!BN108</f>
        <v>320</v>
      </c>
      <c r="BO108" s="198">
        <f>$E108*餐厅成本录入!BO108</f>
        <v>320</v>
      </c>
      <c r="BP108" s="198">
        <f>$E108*餐厅成本录入!BP108</f>
        <v>0</v>
      </c>
      <c r="BQ108" s="198">
        <f>$E108*餐厅成本录入!BQ108</f>
        <v>0</v>
      </c>
      <c r="BR108" s="198">
        <f>$E108*餐厅成本录入!BR108</f>
        <v>0</v>
      </c>
      <c r="BS108" s="198">
        <f>$E108*餐厅成本录入!BS108</f>
        <v>0</v>
      </c>
      <c r="BT108" s="198">
        <f>$E108*餐厅成本录入!BT108</f>
        <v>320</v>
      </c>
      <c r="BU108" s="198">
        <f>$E108*餐厅成本录入!BU108</f>
        <v>320</v>
      </c>
      <c r="BV108" s="198">
        <f>$E108*餐厅成本录入!BV108</f>
        <v>0</v>
      </c>
      <c r="BW108" s="198">
        <f>$E108*餐厅成本录入!BW108</f>
        <v>0</v>
      </c>
    </row>
    <row r="109" s="178" customFormat="1" customHeight="1" spans="1:75">
      <c r="A109" s="161">
        <v>141</v>
      </c>
      <c r="B109" s="21" t="str">
        <f>餐厅成本录入!B109</f>
        <v>汇源2.5</v>
      </c>
      <c r="C109" s="21">
        <f>餐厅成本录入!C109</f>
        <v>0</v>
      </c>
      <c r="D109" s="21">
        <f>餐厅成本录入!D109</f>
        <v>0</v>
      </c>
      <c r="E109" s="21">
        <f>餐厅成本录入!E109</f>
        <v>78</v>
      </c>
      <c r="F109" s="21">
        <f>餐厅成本录入!F109</f>
        <v>0</v>
      </c>
      <c r="G109" s="21">
        <f>餐厅成本录入!G109</f>
        <v>0</v>
      </c>
      <c r="H109" s="21">
        <f>餐厅成本录入!H109</f>
        <v>11</v>
      </c>
      <c r="I109" s="21">
        <f>餐厅成本录入!I109</f>
        <v>858</v>
      </c>
      <c r="J109" s="21">
        <f>餐厅成本录入!J109</f>
        <v>11</v>
      </c>
      <c r="K109" s="21">
        <f>餐厅成本录入!K109</f>
        <v>858</v>
      </c>
      <c r="L109" s="21">
        <f>餐厅成本录入!L109</f>
        <v>0</v>
      </c>
      <c r="M109" s="21">
        <f>餐厅成本录入!M109</f>
        <v>0</v>
      </c>
      <c r="N109" s="198">
        <f>$E109*餐厅成本录入!N109</f>
        <v>78</v>
      </c>
      <c r="O109" s="198">
        <f>$E109*餐厅成本录入!O109</f>
        <v>78</v>
      </c>
      <c r="P109" s="198">
        <f>$E109*餐厅成本录入!P109</f>
        <v>0</v>
      </c>
      <c r="Q109" s="198">
        <f>$E109*餐厅成本录入!Q109</f>
        <v>0</v>
      </c>
      <c r="R109" s="198">
        <f>$E109*餐厅成本录入!R109</f>
        <v>0</v>
      </c>
      <c r="S109" s="198">
        <f>$E109*餐厅成本录入!S109</f>
        <v>0</v>
      </c>
      <c r="T109" s="198">
        <f>$E109*餐厅成本录入!T109</f>
        <v>0</v>
      </c>
      <c r="U109" s="198">
        <f>$E109*餐厅成本录入!U109</f>
        <v>0</v>
      </c>
      <c r="V109" s="198">
        <f>$E109*餐厅成本录入!V109</f>
        <v>156</v>
      </c>
      <c r="W109" s="198">
        <f>$E109*餐厅成本录入!W109</f>
        <v>156</v>
      </c>
      <c r="X109" s="198">
        <f>$E109*餐厅成本录入!X109</f>
        <v>0</v>
      </c>
      <c r="Y109" s="198">
        <f>$E109*餐厅成本录入!Y109</f>
        <v>0</v>
      </c>
      <c r="Z109" s="198">
        <f>$E109*餐厅成本录入!Z109</f>
        <v>0</v>
      </c>
      <c r="AA109" s="198">
        <f>$E109*餐厅成本录入!AA109</f>
        <v>0</v>
      </c>
      <c r="AB109" s="198">
        <f>$E109*餐厅成本录入!AB109</f>
        <v>0</v>
      </c>
      <c r="AC109" s="198">
        <f>$E109*餐厅成本录入!AC109</f>
        <v>0</v>
      </c>
      <c r="AD109" s="198">
        <f>$E109*餐厅成本录入!AD109</f>
        <v>0</v>
      </c>
      <c r="AE109" s="198">
        <f>$E109*餐厅成本录入!AE109</f>
        <v>0</v>
      </c>
      <c r="AF109" s="198">
        <f>$E109*餐厅成本录入!AF109</f>
        <v>156</v>
      </c>
      <c r="AG109" s="198">
        <f>$E109*餐厅成本录入!AG109</f>
        <v>156</v>
      </c>
      <c r="AH109" s="198">
        <f>$E109*餐厅成本录入!AH109</f>
        <v>0</v>
      </c>
      <c r="AI109" s="198">
        <f>$E109*餐厅成本录入!AI109</f>
        <v>0</v>
      </c>
      <c r="AJ109" s="198">
        <f>$E109*餐厅成本录入!AJ109</f>
        <v>0</v>
      </c>
      <c r="AK109" s="198">
        <f>$E109*餐厅成本录入!AK109</f>
        <v>0</v>
      </c>
      <c r="AL109" s="198">
        <f>$E109*餐厅成本录入!AL109</f>
        <v>78</v>
      </c>
      <c r="AM109" s="198">
        <f>$E109*餐厅成本录入!AM109</f>
        <v>78</v>
      </c>
      <c r="AN109" s="198">
        <f>$E109*餐厅成本录入!AN109</f>
        <v>0</v>
      </c>
      <c r="AO109" s="198">
        <f>$E109*餐厅成本录入!AO109</f>
        <v>0</v>
      </c>
      <c r="AP109" s="198">
        <f>$E109*餐厅成本录入!AP109</f>
        <v>0</v>
      </c>
      <c r="AQ109" s="198">
        <f>$E109*餐厅成本录入!AQ109</f>
        <v>0</v>
      </c>
      <c r="AR109" s="198">
        <f>$E109*餐厅成本录入!AR109</f>
        <v>0</v>
      </c>
      <c r="AS109" s="198">
        <f>$E109*餐厅成本录入!AS109</f>
        <v>0</v>
      </c>
      <c r="AT109" s="198">
        <f>$E109*餐厅成本录入!AT109</f>
        <v>0</v>
      </c>
      <c r="AU109" s="198">
        <f>$E109*餐厅成本录入!AU109</f>
        <v>0</v>
      </c>
      <c r="AV109" s="198">
        <f>$E109*餐厅成本录入!AV109</f>
        <v>0</v>
      </c>
      <c r="AW109" s="198">
        <f>$E109*餐厅成本录入!AW109</f>
        <v>0</v>
      </c>
      <c r="AX109" s="198">
        <f>$E109*餐厅成本录入!AX109</f>
        <v>0</v>
      </c>
      <c r="AY109" s="198">
        <f>$E109*餐厅成本录入!AY109</f>
        <v>0</v>
      </c>
      <c r="AZ109" s="198">
        <f>$E109*餐厅成本录入!AZ109</f>
        <v>0</v>
      </c>
      <c r="BA109" s="198">
        <f>$E109*餐厅成本录入!BA109</f>
        <v>0</v>
      </c>
      <c r="BB109" s="198">
        <f>$E109*餐厅成本录入!BB109</f>
        <v>156</v>
      </c>
      <c r="BC109" s="198">
        <f>$E109*餐厅成本录入!BC109</f>
        <v>156</v>
      </c>
      <c r="BD109" s="198">
        <f>$E109*餐厅成本录入!BD109</f>
        <v>0</v>
      </c>
      <c r="BE109" s="198">
        <f>$E109*餐厅成本录入!BE109</f>
        <v>0</v>
      </c>
      <c r="BF109" s="198">
        <f>$E109*餐厅成本录入!BF109</f>
        <v>0</v>
      </c>
      <c r="BG109" s="198">
        <f>$E109*餐厅成本录入!BG109</f>
        <v>0</v>
      </c>
      <c r="BH109" s="198">
        <f>$E109*餐厅成本录入!BH109</f>
        <v>78</v>
      </c>
      <c r="BI109" s="198">
        <f>$E109*餐厅成本录入!BI109</f>
        <v>78</v>
      </c>
      <c r="BJ109" s="198">
        <f>$E109*餐厅成本录入!BJ109</f>
        <v>0</v>
      </c>
      <c r="BK109" s="198">
        <f>$E109*餐厅成本录入!BK109</f>
        <v>0</v>
      </c>
      <c r="BL109" s="198">
        <f>$E109*餐厅成本录入!BL109</f>
        <v>0</v>
      </c>
      <c r="BM109" s="198">
        <f>$E109*餐厅成本录入!BM109</f>
        <v>0</v>
      </c>
      <c r="BN109" s="198">
        <f>$E109*餐厅成本录入!BN109</f>
        <v>78</v>
      </c>
      <c r="BO109" s="198">
        <f>$E109*餐厅成本录入!BO109</f>
        <v>78</v>
      </c>
      <c r="BP109" s="198">
        <f>$E109*餐厅成本录入!BP109</f>
        <v>0</v>
      </c>
      <c r="BQ109" s="198">
        <f>$E109*餐厅成本录入!BQ109</f>
        <v>0</v>
      </c>
      <c r="BR109" s="198">
        <f>$E109*餐厅成本录入!BR109</f>
        <v>0</v>
      </c>
      <c r="BS109" s="198">
        <f>$E109*餐厅成本录入!BS109</f>
        <v>0</v>
      </c>
      <c r="BT109" s="198">
        <f>$E109*餐厅成本录入!BT109</f>
        <v>78</v>
      </c>
      <c r="BU109" s="198">
        <f>$E109*餐厅成本录入!BU109</f>
        <v>78</v>
      </c>
      <c r="BV109" s="198">
        <f>$E109*餐厅成本录入!BV109</f>
        <v>0</v>
      </c>
      <c r="BW109" s="198">
        <f>$E109*餐厅成本录入!BW109</f>
        <v>0</v>
      </c>
    </row>
    <row r="110" s="178" customFormat="1" customHeight="1" spans="1:75">
      <c r="A110" s="161">
        <v>142</v>
      </c>
      <c r="B110" s="21">
        <f>餐厅成本录入!B110</f>
        <v>0</v>
      </c>
      <c r="C110" s="21">
        <f>餐厅成本录入!C110</f>
        <v>0</v>
      </c>
      <c r="D110" s="21">
        <f>餐厅成本录入!D110</f>
        <v>0</v>
      </c>
      <c r="E110" s="21">
        <f>餐厅成本录入!E110</f>
        <v>0</v>
      </c>
      <c r="F110" s="21">
        <f>餐厅成本录入!F110</f>
        <v>0</v>
      </c>
      <c r="G110" s="21">
        <f>餐厅成本录入!G110</f>
        <v>0</v>
      </c>
      <c r="H110" s="21">
        <f>餐厅成本录入!H110</f>
        <v>0</v>
      </c>
      <c r="I110" s="21">
        <f>餐厅成本录入!I110</f>
        <v>0</v>
      </c>
      <c r="J110" s="21">
        <f>餐厅成本录入!J110</f>
        <v>0</v>
      </c>
      <c r="K110" s="21">
        <f>餐厅成本录入!K110</f>
        <v>0</v>
      </c>
      <c r="L110" s="21">
        <f>餐厅成本录入!L110</f>
        <v>0</v>
      </c>
      <c r="M110" s="21">
        <f>餐厅成本录入!M110</f>
        <v>0</v>
      </c>
      <c r="N110" s="198">
        <f>$E110*餐厅成本录入!N110</f>
        <v>0</v>
      </c>
      <c r="O110" s="198">
        <f>$E110*餐厅成本录入!O110</f>
        <v>0</v>
      </c>
      <c r="P110" s="198">
        <f>$E110*餐厅成本录入!P110</f>
        <v>0</v>
      </c>
      <c r="Q110" s="198">
        <f>$E110*餐厅成本录入!Q110</f>
        <v>0</v>
      </c>
      <c r="R110" s="198">
        <f>$E110*餐厅成本录入!R110</f>
        <v>0</v>
      </c>
      <c r="S110" s="198">
        <f>$E110*餐厅成本录入!S110</f>
        <v>0</v>
      </c>
      <c r="T110" s="198">
        <f>$E110*餐厅成本录入!T110</f>
        <v>0</v>
      </c>
      <c r="U110" s="198">
        <f>$E110*餐厅成本录入!U110</f>
        <v>0</v>
      </c>
      <c r="V110" s="198">
        <f>$E110*餐厅成本录入!V110</f>
        <v>0</v>
      </c>
      <c r="W110" s="198">
        <f>$E110*餐厅成本录入!W110</f>
        <v>0</v>
      </c>
      <c r="X110" s="198">
        <f>$E110*餐厅成本录入!X110</f>
        <v>0</v>
      </c>
      <c r="Y110" s="198">
        <f>$E110*餐厅成本录入!Y110</f>
        <v>0</v>
      </c>
      <c r="Z110" s="198">
        <f>$E110*餐厅成本录入!Z110</f>
        <v>0</v>
      </c>
      <c r="AA110" s="198">
        <f>$E110*餐厅成本录入!AA110</f>
        <v>0</v>
      </c>
      <c r="AB110" s="198">
        <f>$E110*餐厅成本录入!AB110</f>
        <v>0</v>
      </c>
      <c r="AC110" s="198">
        <f>$E110*餐厅成本录入!AC110</f>
        <v>0</v>
      </c>
      <c r="AD110" s="198">
        <f>$E110*餐厅成本录入!AD110</f>
        <v>0</v>
      </c>
      <c r="AE110" s="198">
        <f>$E110*餐厅成本录入!AE110</f>
        <v>0</v>
      </c>
      <c r="AF110" s="198">
        <f>$E110*餐厅成本录入!AF110</f>
        <v>0</v>
      </c>
      <c r="AG110" s="198">
        <f>$E110*餐厅成本录入!AG110</f>
        <v>0</v>
      </c>
      <c r="AH110" s="198">
        <f>$E110*餐厅成本录入!AH110</f>
        <v>0</v>
      </c>
      <c r="AI110" s="198">
        <f>$E110*餐厅成本录入!AI110</f>
        <v>0</v>
      </c>
      <c r="AJ110" s="198">
        <f>$E110*餐厅成本录入!AJ110</f>
        <v>0</v>
      </c>
      <c r="AK110" s="198">
        <f>$E110*餐厅成本录入!AK110</f>
        <v>0</v>
      </c>
      <c r="AL110" s="198">
        <f>$E110*餐厅成本录入!AL110</f>
        <v>0</v>
      </c>
      <c r="AM110" s="198">
        <f>$E110*餐厅成本录入!AM110</f>
        <v>0</v>
      </c>
      <c r="AN110" s="198">
        <f>$E110*餐厅成本录入!AN110</f>
        <v>0</v>
      </c>
      <c r="AO110" s="198">
        <f>$E110*餐厅成本录入!AO110</f>
        <v>0</v>
      </c>
      <c r="AP110" s="198">
        <f>$E110*餐厅成本录入!AP110</f>
        <v>0</v>
      </c>
      <c r="AQ110" s="198">
        <f>$E110*餐厅成本录入!AQ110</f>
        <v>0</v>
      </c>
      <c r="AR110" s="198">
        <f>$E110*餐厅成本录入!AR110</f>
        <v>0</v>
      </c>
      <c r="AS110" s="198">
        <f>$E110*餐厅成本录入!AS110</f>
        <v>0</v>
      </c>
      <c r="AT110" s="198">
        <f>$E110*餐厅成本录入!AT110</f>
        <v>0</v>
      </c>
      <c r="AU110" s="198">
        <f>$E110*餐厅成本录入!AU110</f>
        <v>0</v>
      </c>
      <c r="AV110" s="198">
        <f>$E110*餐厅成本录入!AV110</f>
        <v>0</v>
      </c>
      <c r="AW110" s="198">
        <f>$E110*餐厅成本录入!AW110</f>
        <v>0</v>
      </c>
      <c r="AX110" s="198">
        <f>$E110*餐厅成本录入!AX110</f>
        <v>0</v>
      </c>
      <c r="AY110" s="198">
        <f>$E110*餐厅成本录入!AY110</f>
        <v>0</v>
      </c>
      <c r="AZ110" s="198">
        <f>$E110*餐厅成本录入!AZ110</f>
        <v>0</v>
      </c>
      <c r="BA110" s="198">
        <f>$E110*餐厅成本录入!BA110</f>
        <v>0</v>
      </c>
      <c r="BB110" s="198">
        <f>$E110*餐厅成本录入!BB110</f>
        <v>0</v>
      </c>
      <c r="BC110" s="198">
        <f>$E110*餐厅成本录入!BC110</f>
        <v>0</v>
      </c>
      <c r="BD110" s="198">
        <f>$E110*餐厅成本录入!BD110</f>
        <v>0</v>
      </c>
      <c r="BE110" s="198">
        <f>$E110*餐厅成本录入!BE110</f>
        <v>0</v>
      </c>
      <c r="BF110" s="198">
        <f>$E110*餐厅成本录入!BF110</f>
        <v>0</v>
      </c>
      <c r="BG110" s="198">
        <f>$E110*餐厅成本录入!BG110</f>
        <v>0</v>
      </c>
      <c r="BH110" s="198">
        <f>$E110*餐厅成本录入!BH110</f>
        <v>0</v>
      </c>
      <c r="BI110" s="198">
        <f>$E110*餐厅成本录入!BI110</f>
        <v>0</v>
      </c>
      <c r="BJ110" s="198">
        <f>$E110*餐厅成本录入!BJ110</f>
        <v>0</v>
      </c>
      <c r="BK110" s="198">
        <f>$E110*餐厅成本录入!BK110</f>
        <v>0</v>
      </c>
      <c r="BL110" s="198">
        <f>$E110*餐厅成本录入!BL110</f>
        <v>0</v>
      </c>
      <c r="BM110" s="198">
        <f>$E110*餐厅成本录入!BM110</f>
        <v>0</v>
      </c>
      <c r="BN110" s="198">
        <f>$E110*餐厅成本录入!BN110</f>
        <v>0</v>
      </c>
      <c r="BO110" s="198">
        <f>$E110*餐厅成本录入!BO110</f>
        <v>0</v>
      </c>
      <c r="BP110" s="198">
        <f>$E110*餐厅成本录入!BP110</f>
        <v>0</v>
      </c>
      <c r="BQ110" s="198">
        <f>$E110*餐厅成本录入!BQ110</f>
        <v>0</v>
      </c>
      <c r="BR110" s="198">
        <f>$E110*餐厅成本录入!BR110</f>
        <v>0</v>
      </c>
      <c r="BS110" s="198">
        <f>$E110*餐厅成本录入!BS110</f>
        <v>0</v>
      </c>
      <c r="BT110" s="198">
        <f>$E110*餐厅成本录入!BT110</f>
        <v>0</v>
      </c>
      <c r="BU110" s="198">
        <f>$E110*餐厅成本录入!BU110</f>
        <v>0</v>
      </c>
      <c r="BV110" s="198">
        <f>$E110*餐厅成本录入!BV110</f>
        <v>0</v>
      </c>
      <c r="BW110" s="198">
        <f>$E110*餐厅成本录入!BW110</f>
        <v>0</v>
      </c>
    </row>
    <row r="111" s="178" customFormat="1" customHeight="1" spans="1:75">
      <c r="A111" s="161">
        <v>143</v>
      </c>
      <c r="B111" s="21" t="str">
        <f>餐厅成本录入!B111</f>
        <v>吐司面包</v>
      </c>
      <c r="C111" s="21">
        <f>餐厅成本录入!C111</f>
        <v>0</v>
      </c>
      <c r="D111" s="21" t="str">
        <f>餐厅成本录入!D111</f>
        <v>包</v>
      </c>
      <c r="E111" s="21">
        <f>餐厅成本录入!E111</f>
        <v>10</v>
      </c>
      <c r="F111" s="21">
        <f>餐厅成本录入!F111</f>
        <v>0</v>
      </c>
      <c r="G111" s="21">
        <f>餐厅成本录入!G111</f>
        <v>0</v>
      </c>
      <c r="H111" s="21">
        <f>餐厅成本录入!H111</f>
        <v>30</v>
      </c>
      <c r="I111" s="21">
        <f>餐厅成本录入!I111</f>
        <v>300</v>
      </c>
      <c r="J111" s="21">
        <f>餐厅成本录入!J111</f>
        <v>30</v>
      </c>
      <c r="K111" s="21">
        <f>餐厅成本录入!K111</f>
        <v>300</v>
      </c>
      <c r="L111" s="21">
        <f>餐厅成本录入!L111</f>
        <v>0</v>
      </c>
      <c r="M111" s="21">
        <f>餐厅成本录入!M111</f>
        <v>0</v>
      </c>
      <c r="N111" s="198">
        <f>$E111*餐厅成本录入!N111</f>
        <v>0</v>
      </c>
      <c r="O111" s="198">
        <f>$E111*餐厅成本录入!O111</f>
        <v>0</v>
      </c>
      <c r="P111" s="198">
        <f>$E111*餐厅成本录入!P111</f>
        <v>0</v>
      </c>
      <c r="Q111" s="198">
        <f>$E111*餐厅成本录入!Q111</f>
        <v>0</v>
      </c>
      <c r="R111" s="198">
        <f>$E111*餐厅成本录入!R111</f>
        <v>0</v>
      </c>
      <c r="S111" s="198">
        <f>$E111*餐厅成本录入!S111</f>
        <v>0</v>
      </c>
      <c r="T111" s="198">
        <f>$E111*餐厅成本录入!T111</f>
        <v>100</v>
      </c>
      <c r="U111" s="198">
        <f>$E111*餐厅成本录入!U111</f>
        <v>100</v>
      </c>
      <c r="V111" s="198">
        <f>$E111*餐厅成本录入!V111</f>
        <v>40</v>
      </c>
      <c r="W111" s="198">
        <f>$E111*餐厅成本录入!W111</f>
        <v>40</v>
      </c>
      <c r="X111" s="198">
        <f>$E111*餐厅成本录入!X111</f>
        <v>0</v>
      </c>
      <c r="Y111" s="198">
        <f>$E111*餐厅成本录入!Y111</f>
        <v>0</v>
      </c>
      <c r="Z111" s="198">
        <f>$E111*餐厅成本录入!Z111</f>
        <v>0</v>
      </c>
      <c r="AA111" s="198">
        <f>$E111*餐厅成本录入!AA111</f>
        <v>0</v>
      </c>
      <c r="AB111" s="198">
        <f>$E111*餐厅成本录入!AB111</f>
        <v>0</v>
      </c>
      <c r="AC111" s="198">
        <f>$E111*餐厅成本录入!AC111</f>
        <v>0</v>
      </c>
      <c r="AD111" s="198">
        <f>$E111*餐厅成本录入!AD111</f>
        <v>0</v>
      </c>
      <c r="AE111" s="198">
        <f>$E111*餐厅成本录入!AE111</f>
        <v>0</v>
      </c>
      <c r="AF111" s="198">
        <f>$E111*餐厅成本录入!AF111</f>
        <v>0</v>
      </c>
      <c r="AG111" s="198">
        <f>$E111*餐厅成本录入!AG111</f>
        <v>0</v>
      </c>
      <c r="AH111" s="198">
        <f>$E111*餐厅成本录入!AH111</f>
        <v>0</v>
      </c>
      <c r="AI111" s="198">
        <f>$E111*餐厅成本录入!AI111</f>
        <v>0</v>
      </c>
      <c r="AJ111" s="198">
        <f>$E111*餐厅成本录入!AJ111</f>
        <v>0</v>
      </c>
      <c r="AK111" s="198">
        <f>$E111*餐厅成本录入!AK111</f>
        <v>0</v>
      </c>
      <c r="AL111" s="198">
        <f>$E111*餐厅成本录入!AL111</f>
        <v>0</v>
      </c>
      <c r="AM111" s="198">
        <f>$E111*餐厅成本录入!AM111</f>
        <v>0</v>
      </c>
      <c r="AN111" s="198">
        <f>$E111*餐厅成本录入!AN111</f>
        <v>0</v>
      </c>
      <c r="AO111" s="198">
        <f>$E111*餐厅成本录入!AO111</f>
        <v>0</v>
      </c>
      <c r="AP111" s="198">
        <f>$E111*餐厅成本录入!AP111</f>
        <v>0</v>
      </c>
      <c r="AQ111" s="198">
        <f>$E111*餐厅成本录入!AQ111</f>
        <v>0</v>
      </c>
      <c r="AR111" s="198">
        <f>$E111*餐厅成本录入!AR111</f>
        <v>0</v>
      </c>
      <c r="AS111" s="198">
        <f>$E111*餐厅成本录入!AS111</f>
        <v>0</v>
      </c>
      <c r="AT111" s="198">
        <f>$E111*餐厅成本录入!AT111</f>
        <v>40</v>
      </c>
      <c r="AU111" s="198">
        <f>$E111*餐厅成本录入!AU111</f>
        <v>40</v>
      </c>
      <c r="AV111" s="198">
        <f>$E111*餐厅成本录入!AV111</f>
        <v>0</v>
      </c>
      <c r="AW111" s="198">
        <f>$E111*餐厅成本录入!AW111</f>
        <v>0</v>
      </c>
      <c r="AX111" s="198">
        <f>$E111*餐厅成本录入!AX111</f>
        <v>0</v>
      </c>
      <c r="AY111" s="198">
        <f>$E111*餐厅成本录入!AY111</f>
        <v>0</v>
      </c>
      <c r="AZ111" s="198">
        <f>$E111*餐厅成本录入!AZ111</f>
        <v>0</v>
      </c>
      <c r="BA111" s="198">
        <f>$E111*餐厅成本录入!BA111</f>
        <v>0</v>
      </c>
      <c r="BB111" s="198">
        <f>$E111*餐厅成本录入!BB111</f>
        <v>0</v>
      </c>
      <c r="BC111" s="198">
        <f>$E111*餐厅成本录入!BC111</f>
        <v>0</v>
      </c>
      <c r="BD111" s="198">
        <f>$E111*餐厅成本录入!BD111</f>
        <v>0</v>
      </c>
      <c r="BE111" s="198">
        <f>$E111*餐厅成本录入!BE111</f>
        <v>0</v>
      </c>
      <c r="BF111" s="198">
        <f>$E111*餐厅成本录入!BF111</f>
        <v>0</v>
      </c>
      <c r="BG111" s="198">
        <f>$E111*餐厅成本录入!BG111</f>
        <v>0</v>
      </c>
      <c r="BH111" s="198">
        <f>$E111*餐厅成本录入!BH111</f>
        <v>40</v>
      </c>
      <c r="BI111" s="198">
        <f>$E111*餐厅成本录入!BI111</f>
        <v>40</v>
      </c>
      <c r="BJ111" s="198">
        <f>$E111*餐厅成本录入!BJ111</f>
        <v>0</v>
      </c>
      <c r="BK111" s="198">
        <f>$E111*餐厅成本录入!BK111</f>
        <v>0</v>
      </c>
      <c r="BL111" s="198">
        <f>$E111*餐厅成本录入!BL111</f>
        <v>0</v>
      </c>
      <c r="BM111" s="198">
        <f>$E111*餐厅成本录入!BM111</f>
        <v>0</v>
      </c>
      <c r="BN111" s="198">
        <f>$E111*餐厅成本录入!BN111</f>
        <v>0</v>
      </c>
      <c r="BO111" s="198">
        <f>$E111*餐厅成本录入!BO111</f>
        <v>0</v>
      </c>
      <c r="BP111" s="198">
        <f>$E111*餐厅成本录入!BP111</f>
        <v>40</v>
      </c>
      <c r="BQ111" s="198">
        <f>$E111*餐厅成本录入!BQ111</f>
        <v>40</v>
      </c>
      <c r="BR111" s="198">
        <f>$E111*餐厅成本录入!BR111</f>
        <v>0</v>
      </c>
      <c r="BS111" s="198">
        <f>$E111*餐厅成本录入!BS111</f>
        <v>0</v>
      </c>
      <c r="BT111" s="198">
        <f>$E111*餐厅成本录入!BT111</f>
        <v>40</v>
      </c>
      <c r="BU111" s="198">
        <f>$E111*餐厅成本录入!BU111</f>
        <v>40</v>
      </c>
      <c r="BV111" s="198">
        <f>$E111*餐厅成本录入!BV111</f>
        <v>0</v>
      </c>
      <c r="BW111" s="198">
        <f>$E111*餐厅成本录入!BW111</f>
        <v>0</v>
      </c>
    </row>
    <row r="112" s="178" customFormat="1" customHeight="1" spans="1:75">
      <c r="A112" s="161">
        <v>144</v>
      </c>
      <c r="B112" s="21" t="str">
        <f>餐厅成本录入!B112</f>
        <v>餐包</v>
      </c>
      <c r="C112" s="21">
        <f>餐厅成本录入!C112</f>
        <v>0</v>
      </c>
      <c r="D112" s="21">
        <f>餐厅成本录入!D112</f>
        <v>0</v>
      </c>
      <c r="E112" s="21">
        <f>餐厅成本录入!E112</f>
        <v>13</v>
      </c>
      <c r="F112" s="21">
        <f>餐厅成本录入!F112</f>
        <v>0</v>
      </c>
      <c r="G112" s="21">
        <f>餐厅成本录入!G112</f>
        <v>0</v>
      </c>
      <c r="H112" s="21">
        <f>餐厅成本录入!H112</f>
        <v>108</v>
      </c>
      <c r="I112" s="21">
        <f>餐厅成本录入!I112</f>
        <v>1404</v>
      </c>
      <c r="J112" s="21">
        <f>餐厅成本录入!J112</f>
        <v>108</v>
      </c>
      <c r="K112" s="21">
        <f>餐厅成本录入!K112</f>
        <v>1404</v>
      </c>
      <c r="L112" s="21">
        <f>餐厅成本录入!L112</f>
        <v>0</v>
      </c>
      <c r="M112" s="21">
        <f>餐厅成本录入!M112</f>
        <v>0</v>
      </c>
      <c r="N112" s="198">
        <f>$E112*餐厅成本录入!N112</f>
        <v>0</v>
      </c>
      <c r="O112" s="198">
        <f>$E112*餐厅成本录入!O112</f>
        <v>0</v>
      </c>
      <c r="P112" s="198">
        <f>$E112*餐厅成本录入!P112</f>
        <v>78</v>
      </c>
      <c r="Q112" s="198">
        <f>$E112*餐厅成本录入!Q112</f>
        <v>78</v>
      </c>
      <c r="R112" s="198">
        <f>$E112*餐厅成本录入!R112</f>
        <v>0</v>
      </c>
      <c r="S112" s="198">
        <f>$E112*餐厅成本录入!S112</f>
        <v>0</v>
      </c>
      <c r="T112" s="198">
        <f>$E112*餐厅成本录入!T112</f>
        <v>0</v>
      </c>
      <c r="U112" s="198">
        <f>$E112*餐厅成本录入!U112</f>
        <v>0</v>
      </c>
      <c r="V112" s="198">
        <f>$E112*餐厅成本录入!V112</f>
        <v>0</v>
      </c>
      <c r="W112" s="198">
        <f>$E112*餐厅成本录入!W112</f>
        <v>0</v>
      </c>
      <c r="X112" s="198">
        <f>$E112*餐厅成本录入!X112</f>
        <v>0</v>
      </c>
      <c r="Y112" s="198">
        <f>$E112*餐厅成本录入!Y112</f>
        <v>0</v>
      </c>
      <c r="Z112" s="198">
        <f>$E112*餐厅成本录入!Z112</f>
        <v>0</v>
      </c>
      <c r="AA112" s="198">
        <f>$E112*餐厅成本录入!AA112</f>
        <v>0</v>
      </c>
      <c r="AB112" s="198">
        <f>$E112*餐厅成本录入!AB112</f>
        <v>0</v>
      </c>
      <c r="AC112" s="198">
        <f>$E112*餐厅成本录入!AC112</f>
        <v>0</v>
      </c>
      <c r="AD112" s="198">
        <f>$E112*餐厅成本录入!AD112</f>
        <v>0</v>
      </c>
      <c r="AE112" s="198">
        <f>$E112*餐厅成本录入!AE112</f>
        <v>0</v>
      </c>
      <c r="AF112" s="198">
        <f>$E112*餐厅成本录入!AF112</f>
        <v>0</v>
      </c>
      <c r="AG112" s="198">
        <f>$E112*餐厅成本录入!AG112</f>
        <v>0</v>
      </c>
      <c r="AH112" s="198">
        <f>$E112*餐厅成本录入!AH112</f>
        <v>78</v>
      </c>
      <c r="AI112" s="198">
        <f>$E112*餐厅成本录入!AI112</f>
        <v>78</v>
      </c>
      <c r="AJ112" s="198">
        <f>$E112*餐厅成本录入!AJ112</f>
        <v>0</v>
      </c>
      <c r="AK112" s="198">
        <f>$E112*餐厅成本录入!AK112</f>
        <v>0</v>
      </c>
      <c r="AL112" s="198">
        <f>$E112*餐厅成本录入!AL112</f>
        <v>156</v>
      </c>
      <c r="AM112" s="198">
        <f>$E112*餐厅成本录入!AM112</f>
        <v>156</v>
      </c>
      <c r="AN112" s="198">
        <f>$E112*餐厅成本录入!AN112</f>
        <v>0</v>
      </c>
      <c r="AO112" s="198">
        <f>$E112*餐厅成本录入!AO112</f>
        <v>0</v>
      </c>
      <c r="AP112" s="198">
        <f>$E112*餐厅成本录入!AP112</f>
        <v>0</v>
      </c>
      <c r="AQ112" s="198">
        <f>$E112*餐厅成本录入!AQ112</f>
        <v>0</v>
      </c>
      <c r="AR112" s="198">
        <f>$E112*餐厅成本录入!AR112</f>
        <v>0</v>
      </c>
      <c r="AS112" s="198">
        <f>$E112*餐厅成本录入!AS112</f>
        <v>0</v>
      </c>
      <c r="AT112" s="198">
        <f>$E112*餐厅成本录入!AT112</f>
        <v>156</v>
      </c>
      <c r="AU112" s="198">
        <f>$E112*餐厅成本录入!AU112</f>
        <v>156</v>
      </c>
      <c r="AV112" s="198">
        <f>$E112*餐厅成本录入!AV112</f>
        <v>0</v>
      </c>
      <c r="AW112" s="198">
        <f>$E112*餐厅成本录入!AW112</f>
        <v>0</v>
      </c>
      <c r="AX112" s="198">
        <f>$E112*餐厅成本录入!AX112</f>
        <v>0</v>
      </c>
      <c r="AY112" s="198">
        <f>$E112*餐厅成本录入!AY112</f>
        <v>0</v>
      </c>
      <c r="AZ112" s="198">
        <f>$E112*餐厅成本录入!AZ112</f>
        <v>0</v>
      </c>
      <c r="BA112" s="198">
        <f>$E112*餐厅成本录入!BA112</f>
        <v>0</v>
      </c>
      <c r="BB112" s="198">
        <f>$E112*餐厅成本录入!BB112</f>
        <v>0</v>
      </c>
      <c r="BC112" s="198">
        <f>$E112*餐厅成本录入!BC112</f>
        <v>0</v>
      </c>
      <c r="BD112" s="198">
        <f>$E112*餐厅成本录入!BD112</f>
        <v>520</v>
      </c>
      <c r="BE112" s="198">
        <f>$E112*餐厅成本录入!BE112</f>
        <v>520</v>
      </c>
      <c r="BF112" s="198">
        <f>$E112*餐厅成本录入!BF112</f>
        <v>0</v>
      </c>
      <c r="BG112" s="198">
        <f>$E112*餐厅成本录入!BG112</f>
        <v>0</v>
      </c>
      <c r="BH112" s="198">
        <f>$E112*餐厅成本录入!BH112</f>
        <v>26</v>
      </c>
      <c r="BI112" s="198">
        <f>$E112*餐厅成本录入!BI112</f>
        <v>26</v>
      </c>
      <c r="BJ112" s="198">
        <f>$E112*餐厅成本录入!BJ112</f>
        <v>0</v>
      </c>
      <c r="BK112" s="198">
        <f>$E112*餐厅成本录入!BK112</f>
        <v>0</v>
      </c>
      <c r="BL112" s="198">
        <f>$E112*餐厅成本录入!BL112</f>
        <v>0</v>
      </c>
      <c r="BM112" s="198">
        <f>$E112*餐厅成本录入!BM112</f>
        <v>0</v>
      </c>
      <c r="BN112" s="198">
        <f>$E112*餐厅成本录入!BN112</f>
        <v>0</v>
      </c>
      <c r="BO112" s="198">
        <f>$E112*餐厅成本录入!BO112</f>
        <v>0</v>
      </c>
      <c r="BP112" s="198">
        <f>$E112*餐厅成本录入!BP112</f>
        <v>260</v>
      </c>
      <c r="BQ112" s="198">
        <f>$E112*餐厅成本录入!BQ112</f>
        <v>260</v>
      </c>
      <c r="BR112" s="198">
        <f>$E112*餐厅成本录入!BR112</f>
        <v>0</v>
      </c>
      <c r="BS112" s="198">
        <f>$E112*餐厅成本录入!BS112</f>
        <v>0</v>
      </c>
      <c r="BT112" s="198">
        <f>$E112*餐厅成本录入!BT112</f>
        <v>130</v>
      </c>
      <c r="BU112" s="198">
        <f>$E112*餐厅成本录入!BU112</f>
        <v>130</v>
      </c>
      <c r="BV112" s="198">
        <f>$E112*餐厅成本录入!BV112</f>
        <v>0</v>
      </c>
      <c r="BW112" s="198">
        <f>$E112*餐厅成本录入!BW112</f>
        <v>0</v>
      </c>
    </row>
    <row r="113" s="178" customFormat="1" customHeight="1" spans="1:75">
      <c r="A113" s="161">
        <v>145</v>
      </c>
      <c r="B113" s="21" t="str">
        <f>餐厅成本录入!B113</f>
        <v>蔓越莓饼干</v>
      </c>
      <c r="C113" s="21">
        <f>餐厅成本录入!C113</f>
        <v>0</v>
      </c>
      <c r="D113" s="21">
        <f>餐厅成本录入!D113</f>
        <v>0</v>
      </c>
      <c r="E113" s="21">
        <f>餐厅成本录入!E113</f>
        <v>8</v>
      </c>
      <c r="F113" s="21">
        <f>餐厅成本录入!F113</f>
        <v>0</v>
      </c>
      <c r="G113" s="21">
        <f>餐厅成本录入!G113</f>
        <v>0</v>
      </c>
      <c r="H113" s="21">
        <f>餐厅成本录入!H113</f>
        <v>151</v>
      </c>
      <c r="I113" s="21">
        <f>餐厅成本录入!I113</f>
        <v>1208</v>
      </c>
      <c r="J113" s="21">
        <f>餐厅成本录入!J113</f>
        <v>151</v>
      </c>
      <c r="K113" s="21">
        <f>餐厅成本录入!K113</f>
        <v>1208</v>
      </c>
      <c r="L113" s="21">
        <f>餐厅成本录入!L113</f>
        <v>0</v>
      </c>
      <c r="M113" s="21">
        <f>餐厅成本录入!M113</f>
        <v>0</v>
      </c>
      <c r="N113" s="198">
        <f>$E113*餐厅成本录入!N113</f>
        <v>40</v>
      </c>
      <c r="O113" s="198">
        <f>$E113*餐厅成本录入!O113</f>
        <v>40</v>
      </c>
      <c r="P113" s="198">
        <f>$E113*餐厅成本录入!P113</f>
        <v>0</v>
      </c>
      <c r="Q113" s="198">
        <f>$E113*餐厅成本录入!Q113</f>
        <v>0</v>
      </c>
      <c r="R113" s="198">
        <f>$E113*餐厅成本录入!R113</f>
        <v>0</v>
      </c>
      <c r="S113" s="198">
        <f>$E113*餐厅成本录入!S113</f>
        <v>0</v>
      </c>
      <c r="T113" s="198">
        <f>$E113*餐厅成本录入!T113</f>
        <v>160</v>
      </c>
      <c r="U113" s="198">
        <f>$E113*餐厅成本录入!U113</f>
        <v>160</v>
      </c>
      <c r="V113" s="198">
        <f>$E113*餐厅成本录入!V113</f>
        <v>0</v>
      </c>
      <c r="W113" s="198">
        <f>$E113*餐厅成本录入!W113</f>
        <v>0</v>
      </c>
      <c r="X113" s="198">
        <f>$E113*餐厅成本录入!X113</f>
        <v>0</v>
      </c>
      <c r="Y113" s="198">
        <f>$E113*餐厅成本录入!Y113</f>
        <v>0</v>
      </c>
      <c r="Z113" s="198">
        <f>$E113*餐厅成本录入!Z113</f>
        <v>40</v>
      </c>
      <c r="AA113" s="198">
        <f>$E113*餐厅成本录入!AA113</f>
        <v>40</v>
      </c>
      <c r="AB113" s="198">
        <f>$E113*餐厅成本录入!AB113</f>
        <v>0</v>
      </c>
      <c r="AC113" s="198">
        <f>$E113*餐厅成本录入!AC113</f>
        <v>0</v>
      </c>
      <c r="AD113" s="198">
        <f>$E113*餐厅成本录入!AD113</f>
        <v>0</v>
      </c>
      <c r="AE113" s="198">
        <f>$E113*餐厅成本录入!AE113</f>
        <v>0</v>
      </c>
      <c r="AF113" s="198">
        <f>$E113*餐厅成本录入!AF113</f>
        <v>0</v>
      </c>
      <c r="AG113" s="198">
        <f>$E113*餐厅成本录入!AG113</f>
        <v>0</v>
      </c>
      <c r="AH113" s="198">
        <f>$E113*餐厅成本录入!AH113</f>
        <v>80</v>
      </c>
      <c r="AI113" s="198">
        <f>$E113*餐厅成本录入!AI113</f>
        <v>80</v>
      </c>
      <c r="AJ113" s="198">
        <f>$E113*餐厅成本录入!AJ113</f>
        <v>0</v>
      </c>
      <c r="AK113" s="198">
        <f>$E113*餐厅成本录入!AK113</f>
        <v>0</v>
      </c>
      <c r="AL113" s="198">
        <f>$E113*餐厅成本录入!AL113</f>
        <v>88</v>
      </c>
      <c r="AM113" s="198">
        <f>$E113*餐厅成本录入!AM113</f>
        <v>88</v>
      </c>
      <c r="AN113" s="198">
        <f>$E113*餐厅成本录入!AN113</f>
        <v>0</v>
      </c>
      <c r="AO113" s="198">
        <f>$E113*餐厅成本录入!AO113</f>
        <v>0</v>
      </c>
      <c r="AP113" s="198">
        <f>$E113*餐厅成本录入!AP113</f>
        <v>0</v>
      </c>
      <c r="AQ113" s="198">
        <f>$E113*餐厅成本录入!AQ113</f>
        <v>0</v>
      </c>
      <c r="AR113" s="198">
        <f>$E113*餐厅成本录入!AR113</f>
        <v>0</v>
      </c>
      <c r="AS113" s="198">
        <f>$E113*餐厅成本录入!AS113</f>
        <v>0</v>
      </c>
      <c r="AT113" s="198">
        <f>$E113*餐厅成本录入!AT113</f>
        <v>0</v>
      </c>
      <c r="AU113" s="198">
        <f>$E113*餐厅成本录入!AU113</f>
        <v>0</v>
      </c>
      <c r="AV113" s="198">
        <f>$E113*餐厅成本录入!AV113</f>
        <v>0</v>
      </c>
      <c r="AW113" s="198">
        <f>$E113*餐厅成本录入!AW113</f>
        <v>0</v>
      </c>
      <c r="AX113" s="198">
        <f>$E113*餐厅成本录入!AX113</f>
        <v>0</v>
      </c>
      <c r="AY113" s="198">
        <f>$E113*餐厅成本录入!AY113</f>
        <v>0</v>
      </c>
      <c r="AZ113" s="198">
        <f>$E113*餐厅成本录入!AZ113</f>
        <v>0</v>
      </c>
      <c r="BA113" s="198">
        <f>$E113*餐厅成本录入!BA113</f>
        <v>0</v>
      </c>
      <c r="BB113" s="198">
        <f>$E113*餐厅成本录入!BB113</f>
        <v>0</v>
      </c>
      <c r="BC113" s="198">
        <f>$E113*餐厅成本录入!BC113</f>
        <v>0</v>
      </c>
      <c r="BD113" s="198">
        <f>$E113*餐厅成本录入!BD113</f>
        <v>0</v>
      </c>
      <c r="BE113" s="198">
        <f>$E113*餐厅成本录入!BE113</f>
        <v>0</v>
      </c>
      <c r="BF113" s="198">
        <f>$E113*餐厅成本录入!BF113</f>
        <v>0</v>
      </c>
      <c r="BG113" s="198">
        <f>$E113*餐厅成本录入!BG113</f>
        <v>0</v>
      </c>
      <c r="BH113" s="198">
        <f>$E113*餐厅成本录入!BH113</f>
        <v>400</v>
      </c>
      <c r="BI113" s="198">
        <f>$E113*餐厅成本录入!BI113</f>
        <v>400</v>
      </c>
      <c r="BJ113" s="198">
        <f>$E113*餐厅成本录入!BJ113</f>
        <v>0</v>
      </c>
      <c r="BK113" s="198">
        <f>$E113*餐厅成本录入!BK113</f>
        <v>0</v>
      </c>
      <c r="BL113" s="198">
        <f>$E113*餐厅成本录入!BL113</f>
        <v>400</v>
      </c>
      <c r="BM113" s="198">
        <f>$E113*餐厅成本录入!BM113</f>
        <v>400</v>
      </c>
      <c r="BN113" s="198">
        <f>$E113*餐厅成本录入!BN113</f>
        <v>0</v>
      </c>
      <c r="BO113" s="198">
        <f>$E113*餐厅成本录入!BO113</f>
        <v>0</v>
      </c>
      <c r="BP113" s="198">
        <f>$E113*餐厅成本录入!BP113</f>
        <v>0</v>
      </c>
      <c r="BQ113" s="198">
        <f>$E113*餐厅成本录入!BQ113</f>
        <v>0</v>
      </c>
      <c r="BR113" s="198">
        <f>$E113*餐厅成本录入!BR113</f>
        <v>0</v>
      </c>
      <c r="BS113" s="198">
        <f>$E113*餐厅成本录入!BS113</f>
        <v>0</v>
      </c>
      <c r="BT113" s="198">
        <f>$E113*餐厅成本录入!BT113</f>
        <v>0</v>
      </c>
      <c r="BU113" s="198">
        <f>$E113*餐厅成本录入!BU113</f>
        <v>0</v>
      </c>
      <c r="BV113" s="198">
        <f>$E113*餐厅成本录入!BV113</f>
        <v>0</v>
      </c>
      <c r="BW113" s="198">
        <f>$E113*餐厅成本录入!BW113</f>
        <v>0</v>
      </c>
    </row>
    <row r="114" s="178" customFormat="1" customHeight="1" spans="1:75">
      <c r="A114" s="161">
        <v>146</v>
      </c>
      <c r="B114" s="21" t="str">
        <f>餐厅成本录入!B114</f>
        <v>巧克力饼干</v>
      </c>
      <c r="C114" s="21">
        <f>餐厅成本录入!C114</f>
        <v>0</v>
      </c>
      <c r="D114" s="21" t="str">
        <f>餐厅成本录入!D114</f>
        <v>包</v>
      </c>
      <c r="E114" s="21">
        <f>餐厅成本录入!E114</f>
        <v>18</v>
      </c>
      <c r="F114" s="21">
        <f>餐厅成本录入!F114</f>
        <v>0</v>
      </c>
      <c r="G114" s="21">
        <f>餐厅成本录入!G114</f>
        <v>0</v>
      </c>
      <c r="H114" s="21">
        <f>餐厅成本录入!H114</f>
        <v>68.5</v>
      </c>
      <c r="I114" s="21">
        <f>餐厅成本录入!I114</f>
        <v>1233</v>
      </c>
      <c r="J114" s="21">
        <f>餐厅成本录入!J114</f>
        <v>68.5</v>
      </c>
      <c r="K114" s="21">
        <f>餐厅成本录入!K114</f>
        <v>1233</v>
      </c>
      <c r="L114" s="21">
        <f>餐厅成本录入!L114</f>
        <v>0</v>
      </c>
      <c r="M114" s="21">
        <f>餐厅成本录入!M114</f>
        <v>0</v>
      </c>
      <c r="N114" s="198">
        <f>$E114*餐厅成本录入!N114</f>
        <v>90</v>
      </c>
      <c r="O114" s="198">
        <f>$E114*餐厅成本录入!O114</f>
        <v>90</v>
      </c>
      <c r="P114" s="198">
        <f>$E114*餐厅成本录入!P114</f>
        <v>0</v>
      </c>
      <c r="Q114" s="198">
        <f>$E114*餐厅成本录入!Q114</f>
        <v>0</v>
      </c>
      <c r="R114" s="198">
        <f>$E114*餐厅成本录入!R114</f>
        <v>0</v>
      </c>
      <c r="S114" s="198">
        <f>$E114*餐厅成本录入!S114</f>
        <v>0</v>
      </c>
      <c r="T114" s="198">
        <f>$E114*餐厅成本录入!T114</f>
        <v>0</v>
      </c>
      <c r="U114" s="198">
        <f>$E114*餐厅成本录入!U114</f>
        <v>0</v>
      </c>
      <c r="V114" s="198">
        <f>$E114*餐厅成本录入!V114</f>
        <v>0</v>
      </c>
      <c r="W114" s="198">
        <f>$E114*餐厅成本录入!W114</f>
        <v>0</v>
      </c>
      <c r="X114" s="198">
        <f>$E114*餐厅成本录入!X114</f>
        <v>0</v>
      </c>
      <c r="Y114" s="198">
        <f>$E114*餐厅成本录入!Y114</f>
        <v>0</v>
      </c>
      <c r="Z114" s="198">
        <f>$E114*餐厅成本录入!Z114</f>
        <v>90</v>
      </c>
      <c r="AA114" s="198">
        <f>$E114*餐厅成本录入!AA114</f>
        <v>90</v>
      </c>
      <c r="AB114" s="198">
        <f>$E114*餐厅成本录入!AB114</f>
        <v>0</v>
      </c>
      <c r="AC114" s="198">
        <f>$E114*餐厅成本录入!AC114</f>
        <v>0</v>
      </c>
      <c r="AD114" s="198">
        <f>$E114*餐厅成本录入!AD114</f>
        <v>0</v>
      </c>
      <c r="AE114" s="198">
        <f>$E114*餐厅成本录入!AE114</f>
        <v>0</v>
      </c>
      <c r="AF114" s="198">
        <f>$E114*餐厅成本录入!AF114</f>
        <v>0</v>
      </c>
      <c r="AG114" s="198">
        <f>$E114*餐厅成本录入!AG114</f>
        <v>0</v>
      </c>
      <c r="AH114" s="198">
        <f>$E114*餐厅成本录入!AH114</f>
        <v>0</v>
      </c>
      <c r="AI114" s="198">
        <f>$E114*餐厅成本录入!AI114</f>
        <v>0</v>
      </c>
      <c r="AJ114" s="198">
        <f>$E114*餐厅成本录入!AJ114</f>
        <v>0</v>
      </c>
      <c r="AK114" s="198">
        <f>$E114*餐厅成本录入!AK114</f>
        <v>0</v>
      </c>
      <c r="AL114" s="198">
        <f>$E114*餐厅成本录入!AL114</f>
        <v>153</v>
      </c>
      <c r="AM114" s="198">
        <f>$E114*餐厅成本录入!AM114</f>
        <v>153</v>
      </c>
      <c r="AN114" s="198">
        <f>$E114*餐厅成本录入!AN114</f>
        <v>0</v>
      </c>
      <c r="AO114" s="198">
        <f>$E114*餐厅成本录入!AO114</f>
        <v>0</v>
      </c>
      <c r="AP114" s="198">
        <f>$E114*餐厅成本录入!AP114</f>
        <v>0</v>
      </c>
      <c r="AQ114" s="198">
        <f>$E114*餐厅成本录入!AQ114</f>
        <v>0</v>
      </c>
      <c r="AR114" s="198">
        <f>$E114*餐厅成本录入!AR114</f>
        <v>0</v>
      </c>
      <c r="AS114" s="198">
        <f>$E114*餐厅成本录入!AS114</f>
        <v>0</v>
      </c>
      <c r="AT114" s="198">
        <f>$E114*餐厅成本录入!AT114</f>
        <v>0</v>
      </c>
      <c r="AU114" s="198">
        <f>$E114*餐厅成本录入!AU114</f>
        <v>0</v>
      </c>
      <c r="AV114" s="198">
        <f>$E114*餐厅成本录入!AV114</f>
        <v>0</v>
      </c>
      <c r="AW114" s="198">
        <f>$E114*餐厅成本录入!AW114</f>
        <v>0</v>
      </c>
      <c r="AX114" s="198">
        <f>$E114*餐厅成本录入!AX114</f>
        <v>0</v>
      </c>
      <c r="AY114" s="198">
        <f>$E114*餐厅成本录入!AY114</f>
        <v>0</v>
      </c>
      <c r="AZ114" s="198">
        <f>$E114*餐厅成本录入!AZ114</f>
        <v>0</v>
      </c>
      <c r="BA114" s="198">
        <f>$E114*餐厅成本录入!BA114</f>
        <v>0</v>
      </c>
      <c r="BB114" s="198">
        <f>$E114*餐厅成本录入!BB114</f>
        <v>0</v>
      </c>
      <c r="BC114" s="198">
        <f>$E114*餐厅成本录入!BC114</f>
        <v>0</v>
      </c>
      <c r="BD114" s="198">
        <f>$E114*餐厅成本录入!BD114</f>
        <v>0</v>
      </c>
      <c r="BE114" s="198">
        <f>$E114*餐厅成本录入!BE114</f>
        <v>0</v>
      </c>
      <c r="BF114" s="198">
        <f>$E114*餐厅成本录入!BF114</f>
        <v>0</v>
      </c>
      <c r="BG114" s="198">
        <f>$E114*餐厅成本录入!BG114</f>
        <v>0</v>
      </c>
      <c r="BH114" s="198">
        <f>$E114*餐厅成本录入!BH114</f>
        <v>900</v>
      </c>
      <c r="BI114" s="198">
        <f>$E114*餐厅成本录入!BI114</f>
        <v>900</v>
      </c>
      <c r="BJ114" s="198">
        <f>$E114*餐厅成本录入!BJ114</f>
        <v>0</v>
      </c>
      <c r="BK114" s="198">
        <f>$E114*餐厅成本录入!BK114</f>
        <v>0</v>
      </c>
      <c r="BL114" s="198">
        <f>$E114*餐厅成本录入!BL114</f>
        <v>0</v>
      </c>
      <c r="BM114" s="198">
        <f>$E114*餐厅成本录入!BM114</f>
        <v>0</v>
      </c>
      <c r="BN114" s="198">
        <f>$E114*餐厅成本录入!BN114</f>
        <v>0</v>
      </c>
      <c r="BO114" s="198">
        <f>$E114*餐厅成本录入!BO114</f>
        <v>0</v>
      </c>
      <c r="BP114" s="198">
        <f>$E114*餐厅成本录入!BP114</f>
        <v>0</v>
      </c>
      <c r="BQ114" s="198">
        <f>$E114*餐厅成本录入!BQ114</f>
        <v>0</v>
      </c>
      <c r="BR114" s="198">
        <f>$E114*餐厅成本录入!BR114</f>
        <v>0</v>
      </c>
      <c r="BS114" s="198">
        <f>$E114*餐厅成本录入!BS114</f>
        <v>0</v>
      </c>
      <c r="BT114" s="198">
        <f>$E114*餐厅成本录入!BT114</f>
        <v>0</v>
      </c>
      <c r="BU114" s="198">
        <f>$E114*餐厅成本录入!BU114</f>
        <v>0</v>
      </c>
      <c r="BV114" s="198">
        <f>$E114*餐厅成本录入!BV114</f>
        <v>0</v>
      </c>
      <c r="BW114" s="198">
        <f>$E114*餐厅成本录入!BW114</f>
        <v>0</v>
      </c>
    </row>
    <row r="115" s="178" customFormat="1" customHeight="1" spans="1:75">
      <c r="A115" s="161">
        <v>147</v>
      </c>
      <c r="B115" s="21" t="str">
        <f>餐厅成本录入!B115</f>
        <v>夹心饼干</v>
      </c>
      <c r="C115" s="21">
        <f>餐厅成本录入!C115</f>
        <v>0</v>
      </c>
      <c r="D115" s="21">
        <f>餐厅成本录入!D115</f>
        <v>0</v>
      </c>
      <c r="E115" s="21">
        <f>餐厅成本录入!E115</f>
        <v>15</v>
      </c>
      <c r="F115" s="21">
        <f>餐厅成本录入!F115</f>
        <v>0</v>
      </c>
      <c r="G115" s="21">
        <f>餐厅成本录入!G115</f>
        <v>0</v>
      </c>
      <c r="H115" s="21">
        <f>餐厅成本录入!H115</f>
        <v>79.6</v>
      </c>
      <c r="I115" s="21">
        <f>餐厅成本录入!I115</f>
        <v>1194</v>
      </c>
      <c r="J115" s="21">
        <f>餐厅成本录入!J115</f>
        <v>79.6</v>
      </c>
      <c r="K115" s="21">
        <f>餐厅成本录入!K115</f>
        <v>1194</v>
      </c>
      <c r="L115" s="21">
        <f>餐厅成本录入!L115</f>
        <v>0</v>
      </c>
      <c r="M115" s="21">
        <f>餐厅成本录入!M115</f>
        <v>0</v>
      </c>
      <c r="N115" s="198">
        <f>$E115*餐厅成本录入!N115</f>
        <v>75</v>
      </c>
      <c r="O115" s="198">
        <f>$E115*餐厅成本录入!O115</f>
        <v>75</v>
      </c>
      <c r="P115" s="198">
        <f>$E115*餐厅成本录入!P115</f>
        <v>0</v>
      </c>
      <c r="Q115" s="198">
        <f>$E115*餐厅成本录入!Q115</f>
        <v>0</v>
      </c>
      <c r="R115" s="198">
        <f>$E115*餐厅成本录入!R115</f>
        <v>0</v>
      </c>
      <c r="S115" s="198">
        <f>$E115*餐厅成本录入!S115</f>
        <v>0</v>
      </c>
      <c r="T115" s="198">
        <f>$E115*餐厅成本录入!T115</f>
        <v>150</v>
      </c>
      <c r="U115" s="198">
        <f>$E115*餐厅成本录入!U115</f>
        <v>150</v>
      </c>
      <c r="V115" s="198">
        <f>$E115*餐厅成本录入!V115</f>
        <v>0</v>
      </c>
      <c r="W115" s="198">
        <f>$E115*餐厅成本录入!W115</f>
        <v>0</v>
      </c>
      <c r="X115" s="198">
        <f>$E115*餐厅成本录入!X115</f>
        <v>0</v>
      </c>
      <c r="Y115" s="198">
        <f>$E115*餐厅成本录入!Y115</f>
        <v>0</v>
      </c>
      <c r="Z115" s="198">
        <f>$E115*餐厅成本录入!Z115</f>
        <v>75</v>
      </c>
      <c r="AA115" s="198">
        <f>$E115*餐厅成本录入!AA115</f>
        <v>75</v>
      </c>
      <c r="AB115" s="198">
        <f>$E115*餐厅成本录入!AB115</f>
        <v>0</v>
      </c>
      <c r="AC115" s="198">
        <f>$E115*餐厅成本录入!AC115</f>
        <v>0</v>
      </c>
      <c r="AD115" s="198">
        <f>$E115*餐厅成本录入!AD115</f>
        <v>0</v>
      </c>
      <c r="AE115" s="198">
        <f>$E115*餐厅成本录入!AE115</f>
        <v>0</v>
      </c>
      <c r="AF115" s="198">
        <f>$E115*餐厅成本录入!AF115</f>
        <v>0</v>
      </c>
      <c r="AG115" s="198">
        <f>$E115*餐厅成本录入!AG115</f>
        <v>0</v>
      </c>
      <c r="AH115" s="198">
        <f>$E115*餐厅成本录入!AH115</f>
        <v>75</v>
      </c>
      <c r="AI115" s="198">
        <f>$E115*餐厅成本录入!AI115</f>
        <v>75</v>
      </c>
      <c r="AJ115" s="198">
        <f>$E115*餐厅成本录入!AJ115</f>
        <v>0</v>
      </c>
      <c r="AK115" s="198">
        <f>$E115*餐厅成本录入!AK115</f>
        <v>0</v>
      </c>
      <c r="AL115" s="198">
        <f>$E115*餐厅成本录入!AL115</f>
        <v>69</v>
      </c>
      <c r="AM115" s="198">
        <f>$E115*餐厅成本录入!AM115</f>
        <v>69</v>
      </c>
      <c r="AN115" s="198">
        <f>$E115*餐厅成本录入!AN115</f>
        <v>0</v>
      </c>
      <c r="AO115" s="198">
        <f>$E115*餐厅成本录入!AO115</f>
        <v>0</v>
      </c>
      <c r="AP115" s="198">
        <f>$E115*餐厅成本录入!AP115</f>
        <v>0</v>
      </c>
      <c r="AQ115" s="198">
        <f>$E115*餐厅成本录入!AQ115</f>
        <v>0</v>
      </c>
      <c r="AR115" s="198">
        <f>$E115*餐厅成本录入!AR115</f>
        <v>0</v>
      </c>
      <c r="AS115" s="198">
        <f>$E115*餐厅成本录入!AS115</f>
        <v>0</v>
      </c>
      <c r="AT115" s="198">
        <f>$E115*餐厅成本录入!AT115</f>
        <v>0</v>
      </c>
      <c r="AU115" s="198">
        <f>$E115*餐厅成本录入!AU115</f>
        <v>0</v>
      </c>
      <c r="AV115" s="198">
        <f>$E115*餐厅成本录入!AV115</f>
        <v>0</v>
      </c>
      <c r="AW115" s="198">
        <f>$E115*餐厅成本录入!AW115</f>
        <v>0</v>
      </c>
      <c r="AX115" s="198">
        <f>$E115*餐厅成本录入!AX115</f>
        <v>0</v>
      </c>
      <c r="AY115" s="198">
        <f>$E115*餐厅成本录入!AY115</f>
        <v>0</v>
      </c>
      <c r="AZ115" s="198">
        <f>$E115*餐厅成本录入!AZ115</f>
        <v>0</v>
      </c>
      <c r="BA115" s="198">
        <f>$E115*餐厅成本录入!BA115</f>
        <v>0</v>
      </c>
      <c r="BB115" s="198">
        <f>$E115*餐厅成本录入!BB115</f>
        <v>0</v>
      </c>
      <c r="BC115" s="198">
        <f>$E115*餐厅成本录入!BC115</f>
        <v>0</v>
      </c>
      <c r="BD115" s="198">
        <f>$E115*餐厅成本录入!BD115</f>
        <v>0</v>
      </c>
      <c r="BE115" s="198">
        <f>$E115*餐厅成本录入!BE115</f>
        <v>0</v>
      </c>
      <c r="BF115" s="198">
        <f>$E115*餐厅成本录入!BF115</f>
        <v>0</v>
      </c>
      <c r="BG115" s="198">
        <f>$E115*餐厅成本录入!BG115</f>
        <v>0</v>
      </c>
      <c r="BH115" s="198">
        <f>$E115*餐厅成本录入!BH115</f>
        <v>0</v>
      </c>
      <c r="BI115" s="198">
        <f>$E115*餐厅成本录入!BI115</f>
        <v>0</v>
      </c>
      <c r="BJ115" s="198">
        <f>$E115*餐厅成本录入!BJ115</f>
        <v>0</v>
      </c>
      <c r="BK115" s="198">
        <f>$E115*餐厅成本录入!BK115</f>
        <v>0</v>
      </c>
      <c r="BL115" s="198">
        <f>$E115*餐厅成本录入!BL115</f>
        <v>750</v>
      </c>
      <c r="BM115" s="198">
        <f>$E115*餐厅成本录入!BM115</f>
        <v>750</v>
      </c>
      <c r="BN115" s="198">
        <f>$E115*餐厅成本录入!BN115</f>
        <v>0</v>
      </c>
      <c r="BO115" s="198">
        <f>$E115*餐厅成本录入!BO115</f>
        <v>0</v>
      </c>
      <c r="BP115" s="198">
        <f>$E115*餐厅成本录入!BP115</f>
        <v>0</v>
      </c>
      <c r="BQ115" s="198">
        <f>$E115*餐厅成本录入!BQ115</f>
        <v>0</v>
      </c>
      <c r="BR115" s="198">
        <f>$E115*餐厅成本录入!BR115</f>
        <v>0</v>
      </c>
      <c r="BS115" s="198">
        <f>$E115*餐厅成本录入!BS115</f>
        <v>0</v>
      </c>
      <c r="BT115" s="198">
        <f>$E115*餐厅成本录入!BT115</f>
        <v>0</v>
      </c>
      <c r="BU115" s="198">
        <f>$E115*餐厅成本录入!BU115</f>
        <v>0</v>
      </c>
      <c r="BV115" s="198">
        <f>$E115*餐厅成本录入!BV115</f>
        <v>0</v>
      </c>
      <c r="BW115" s="198">
        <f>$E115*餐厅成本录入!BW115</f>
        <v>0</v>
      </c>
    </row>
    <row r="116" s="178" customFormat="1" customHeight="1" spans="1:75">
      <c r="A116" s="161">
        <v>148</v>
      </c>
      <c r="B116" s="21" t="str">
        <f>餐厅成本录入!B116</f>
        <v>曲奇</v>
      </c>
      <c r="C116" s="21">
        <f>餐厅成本录入!C116</f>
        <v>0</v>
      </c>
      <c r="D116" s="21">
        <f>餐厅成本录入!D116</f>
        <v>0</v>
      </c>
      <c r="E116" s="21">
        <f>餐厅成本录入!E116</f>
        <v>10</v>
      </c>
      <c r="F116" s="21">
        <f>餐厅成本录入!F116</f>
        <v>0</v>
      </c>
      <c r="G116" s="21">
        <f>餐厅成本录入!G116</f>
        <v>0</v>
      </c>
      <c r="H116" s="21">
        <f>餐厅成本录入!H116</f>
        <v>187</v>
      </c>
      <c r="I116" s="21">
        <f>餐厅成本录入!I116</f>
        <v>1870</v>
      </c>
      <c r="J116" s="21">
        <f>餐厅成本录入!J116</f>
        <v>187</v>
      </c>
      <c r="K116" s="21">
        <f>餐厅成本录入!K116</f>
        <v>1870</v>
      </c>
      <c r="L116" s="21">
        <f>餐厅成本录入!L116</f>
        <v>0</v>
      </c>
      <c r="M116" s="21">
        <f>餐厅成本录入!M116</f>
        <v>0</v>
      </c>
      <c r="N116" s="198">
        <f>$E116*餐厅成本录入!N116</f>
        <v>50</v>
      </c>
      <c r="O116" s="198">
        <f>$E116*餐厅成本录入!O116</f>
        <v>50</v>
      </c>
      <c r="P116" s="198">
        <f>$E116*餐厅成本录入!P116</f>
        <v>50</v>
      </c>
      <c r="Q116" s="198">
        <f>$E116*餐厅成本录入!Q116</f>
        <v>50</v>
      </c>
      <c r="R116" s="198">
        <f>$E116*餐厅成本录入!R116</f>
        <v>0</v>
      </c>
      <c r="S116" s="198">
        <f>$E116*餐厅成本录入!S116</f>
        <v>0</v>
      </c>
      <c r="T116" s="198">
        <f>$E116*餐厅成本录入!T116</f>
        <v>0</v>
      </c>
      <c r="U116" s="198">
        <f>$E116*餐厅成本录入!U116</f>
        <v>0</v>
      </c>
      <c r="V116" s="198">
        <f>$E116*餐厅成本录入!V116</f>
        <v>0</v>
      </c>
      <c r="W116" s="198">
        <f>$E116*餐厅成本录入!W116</f>
        <v>0</v>
      </c>
      <c r="X116" s="198">
        <f>$E116*餐厅成本录入!X116</f>
        <v>0</v>
      </c>
      <c r="Y116" s="198">
        <f>$E116*餐厅成本录入!Y116</f>
        <v>0</v>
      </c>
      <c r="Z116" s="198">
        <f>$E116*餐厅成本录入!Z116</f>
        <v>100</v>
      </c>
      <c r="AA116" s="198">
        <f>$E116*餐厅成本录入!AA116</f>
        <v>100</v>
      </c>
      <c r="AB116" s="198">
        <f>$E116*餐厅成本录入!AB116</f>
        <v>0</v>
      </c>
      <c r="AC116" s="198">
        <f>$E116*餐厅成本录入!AC116</f>
        <v>0</v>
      </c>
      <c r="AD116" s="198">
        <f>$E116*餐厅成本录入!AD116</f>
        <v>0</v>
      </c>
      <c r="AE116" s="198">
        <f>$E116*餐厅成本录入!AE116</f>
        <v>0</v>
      </c>
      <c r="AF116" s="198">
        <f>$E116*餐厅成本录入!AF116</f>
        <v>0</v>
      </c>
      <c r="AG116" s="198">
        <f>$E116*餐厅成本录入!AG116</f>
        <v>0</v>
      </c>
      <c r="AH116" s="198">
        <f>$E116*餐厅成本录入!AH116</f>
        <v>100</v>
      </c>
      <c r="AI116" s="198">
        <f>$E116*餐厅成本录入!AI116</f>
        <v>100</v>
      </c>
      <c r="AJ116" s="198">
        <f>$E116*餐厅成本录入!AJ116</f>
        <v>0</v>
      </c>
      <c r="AK116" s="198">
        <f>$E116*餐厅成本录入!AK116</f>
        <v>0</v>
      </c>
      <c r="AL116" s="198">
        <f>$E116*餐厅成本录入!AL116</f>
        <v>190</v>
      </c>
      <c r="AM116" s="198">
        <f>$E116*餐厅成本录入!AM116</f>
        <v>190</v>
      </c>
      <c r="AN116" s="198">
        <f>$E116*餐厅成本录入!AN116</f>
        <v>0</v>
      </c>
      <c r="AO116" s="198">
        <f>$E116*餐厅成本录入!AO116</f>
        <v>0</v>
      </c>
      <c r="AP116" s="198">
        <f>$E116*餐厅成本录入!AP116</f>
        <v>0</v>
      </c>
      <c r="AQ116" s="198">
        <f>$E116*餐厅成本录入!AQ116</f>
        <v>0</v>
      </c>
      <c r="AR116" s="198">
        <f>$E116*餐厅成本录入!AR116</f>
        <v>0</v>
      </c>
      <c r="AS116" s="198">
        <f>$E116*餐厅成本录入!AS116</f>
        <v>0</v>
      </c>
      <c r="AT116" s="198">
        <f>$E116*餐厅成本录入!AT116</f>
        <v>380</v>
      </c>
      <c r="AU116" s="198">
        <f>$E116*餐厅成本录入!AU116</f>
        <v>380</v>
      </c>
      <c r="AV116" s="198">
        <f>$E116*餐厅成本录入!AV116</f>
        <v>0</v>
      </c>
      <c r="AW116" s="198">
        <f>$E116*餐厅成本录入!AW116</f>
        <v>0</v>
      </c>
      <c r="AX116" s="198">
        <f>$E116*餐厅成本录入!AX116</f>
        <v>0</v>
      </c>
      <c r="AY116" s="198">
        <f>$E116*餐厅成本录入!AY116</f>
        <v>0</v>
      </c>
      <c r="AZ116" s="198">
        <f>$E116*餐厅成本录入!AZ116</f>
        <v>0</v>
      </c>
      <c r="BA116" s="198">
        <f>$E116*餐厅成本录入!BA116</f>
        <v>0</v>
      </c>
      <c r="BB116" s="198">
        <f>$E116*餐厅成本录入!BB116</f>
        <v>0</v>
      </c>
      <c r="BC116" s="198">
        <f>$E116*餐厅成本录入!BC116</f>
        <v>0</v>
      </c>
      <c r="BD116" s="198">
        <f>$E116*餐厅成本录入!BD116</f>
        <v>0</v>
      </c>
      <c r="BE116" s="198">
        <f>$E116*餐厅成本录入!BE116</f>
        <v>0</v>
      </c>
      <c r="BF116" s="198">
        <f>$E116*餐厅成本录入!BF116</f>
        <v>0</v>
      </c>
      <c r="BG116" s="198">
        <f>$E116*餐厅成本录入!BG116</f>
        <v>0</v>
      </c>
      <c r="BH116" s="198">
        <f>$E116*餐厅成本录入!BH116</f>
        <v>500</v>
      </c>
      <c r="BI116" s="198">
        <f>$E116*餐厅成本录入!BI116</f>
        <v>500</v>
      </c>
      <c r="BJ116" s="198">
        <f>$E116*餐厅成本录入!BJ116</f>
        <v>0</v>
      </c>
      <c r="BK116" s="198">
        <f>$E116*餐厅成本录入!BK116</f>
        <v>0</v>
      </c>
      <c r="BL116" s="198">
        <f>$E116*餐厅成本录入!BL116</f>
        <v>500</v>
      </c>
      <c r="BM116" s="198">
        <f>$E116*餐厅成本录入!BM116</f>
        <v>500</v>
      </c>
      <c r="BN116" s="198">
        <f>$E116*餐厅成本录入!BN116</f>
        <v>0</v>
      </c>
      <c r="BO116" s="198">
        <f>$E116*餐厅成本录入!BO116</f>
        <v>0</v>
      </c>
      <c r="BP116" s="198">
        <f>$E116*餐厅成本录入!BP116</f>
        <v>0</v>
      </c>
      <c r="BQ116" s="198">
        <f>$E116*餐厅成本录入!BQ116</f>
        <v>0</v>
      </c>
      <c r="BR116" s="198">
        <f>$E116*餐厅成本录入!BR116</f>
        <v>0</v>
      </c>
      <c r="BS116" s="198">
        <f>$E116*餐厅成本录入!BS116</f>
        <v>0</v>
      </c>
      <c r="BT116" s="198">
        <f>$E116*餐厅成本录入!BT116</f>
        <v>0</v>
      </c>
      <c r="BU116" s="198">
        <f>$E116*餐厅成本录入!BU116</f>
        <v>0</v>
      </c>
      <c r="BV116" s="198">
        <f>$E116*餐厅成本录入!BV116</f>
        <v>0</v>
      </c>
      <c r="BW116" s="198">
        <f>$E116*餐厅成本录入!BW116</f>
        <v>0</v>
      </c>
    </row>
    <row r="117" s="178" customFormat="1" customHeight="1" spans="1:75">
      <c r="A117" s="161">
        <v>149</v>
      </c>
      <c r="B117" s="21" t="str">
        <f>餐厅成本录入!B117</f>
        <v>甜品纸杯</v>
      </c>
      <c r="C117" s="21">
        <f>餐厅成本录入!C117</f>
        <v>0</v>
      </c>
      <c r="D117" s="21">
        <f>餐厅成本录入!D117</f>
        <v>0</v>
      </c>
      <c r="E117" s="21">
        <f>餐厅成本录入!E117</f>
        <v>4.5</v>
      </c>
      <c r="F117" s="21">
        <f>餐厅成本录入!F117</f>
        <v>0</v>
      </c>
      <c r="G117" s="21">
        <f>餐厅成本录入!G117</f>
        <v>0</v>
      </c>
      <c r="H117" s="21">
        <f>餐厅成本录入!H117</f>
        <v>0</v>
      </c>
      <c r="I117" s="21">
        <f>餐厅成本录入!I117</f>
        <v>0</v>
      </c>
      <c r="J117" s="21">
        <f>餐厅成本录入!J117</f>
        <v>0</v>
      </c>
      <c r="K117" s="21">
        <f>餐厅成本录入!K117</f>
        <v>0</v>
      </c>
      <c r="L117" s="21">
        <f>餐厅成本录入!L117</f>
        <v>0</v>
      </c>
      <c r="M117" s="21">
        <f>餐厅成本录入!M117</f>
        <v>0</v>
      </c>
      <c r="N117" s="198">
        <f>$E117*餐厅成本录入!N117</f>
        <v>0</v>
      </c>
      <c r="O117" s="198">
        <f>$E117*餐厅成本录入!O117</f>
        <v>0</v>
      </c>
      <c r="P117" s="198">
        <f>$E117*餐厅成本录入!P117</f>
        <v>0</v>
      </c>
      <c r="Q117" s="198">
        <f>$E117*餐厅成本录入!Q117</f>
        <v>0</v>
      </c>
      <c r="R117" s="198">
        <f>$E117*餐厅成本录入!R117</f>
        <v>0</v>
      </c>
      <c r="S117" s="198">
        <f>$E117*餐厅成本录入!S117</f>
        <v>0</v>
      </c>
      <c r="T117" s="198">
        <f>$E117*餐厅成本录入!T117</f>
        <v>0</v>
      </c>
      <c r="U117" s="198">
        <f>$E117*餐厅成本录入!U117</f>
        <v>0</v>
      </c>
      <c r="V117" s="198">
        <f>$E117*餐厅成本录入!V117</f>
        <v>0</v>
      </c>
      <c r="W117" s="198">
        <f>$E117*餐厅成本录入!W117</f>
        <v>0</v>
      </c>
      <c r="X117" s="198">
        <f>$E117*餐厅成本录入!X117</f>
        <v>0</v>
      </c>
      <c r="Y117" s="198">
        <f>$E117*餐厅成本录入!Y117</f>
        <v>0</v>
      </c>
      <c r="Z117" s="198">
        <f>$E117*餐厅成本录入!Z117</f>
        <v>0</v>
      </c>
      <c r="AA117" s="198">
        <f>$E117*餐厅成本录入!AA117</f>
        <v>0</v>
      </c>
      <c r="AB117" s="198">
        <f>$E117*餐厅成本录入!AB117</f>
        <v>0</v>
      </c>
      <c r="AC117" s="198">
        <f>$E117*餐厅成本录入!AC117</f>
        <v>0</v>
      </c>
      <c r="AD117" s="198">
        <f>$E117*餐厅成本录入!AD117</f>
        <v>0</v>
      </c>
      <c r="AE117" s="198">
        <f>$E117*餐厅成本录入!AE117</f>
        <v>0</v>
      </c>
      <c r="AF117" s="198">
        <f>$E117*餐厅成本录入!AF117</f>
        <v>0</v>
      </c>
      <c r="AG117" s="198">
        <f>$E117*餐厅成本录入!AG117</f>
        <v>0</v>
      </c>
      <c r="AH117" s="198">
        <f>$E117*餐厅成本录入!AH117</f>
        <v>0</v>
      </c>
      <c r="AI117" s="198">
        <f>$E117*餐厅成本录入!AI117</f>
        <v>0</v>
      </c>
      <c r="AJ117" s="198">
        <f>$E117*餐厅成本录入!AJ117</f>
        <v>0</v>
      </c>
      <c r="AK117" s="198">
        <f>$E117*餐厅成本录入!AK117</f>
        <v>0</v>
      </c>
      <c r="AL117" s="198">
        <f>$E117*餐厅成本录入!AL117</f>
        <v>0</v>
      </c>
      <c r="AM117" s="198">
        <f>$E117*餐厅成本录入!AM117</f>
        <v>0</v>
      </c>
      <c r="AN117" s="198">
        <f>$E117*餐厅成本录入!AN117</f>
        <v>0</v>
      </c>
      <c r="AO117" s="198">
        <f>$E117*餐厅成本录入!AO117</f>
        <v>0</v>
      </c>
      <c r="AP117" s="198">
        <f>$E117*餐厅成本录入!AP117</f>
        <v>0</v>
      </c>
      <c r="AQ117" s="198">
        <f>$E117*餐厅成本录入!AQ117</f>
        <v>0</v>
      </c>
      <c r="AR117" s="198">
        <f>$E117*餐厅成本录入!AR117</f>
        <v>0</v>
      </c>
      <c r="AS117" s="198">
        <f>$E117*餐厅成本录入!AS117</f>
        <v>0</v>
      </c>
      <c r="AT117" s="198">
        <f>$E117*餐厅成本录入!AT117</f>
        <v>0</v>
      </c>
      <c r="AU117" s="198">
        <f>$E117*餐厅成本录入!AU117</f>
        <v>0</v>
      </c>
      <c r="AV117" s="198">
        <f>$E117*餐厅成本录入!AV117</f>
        <v>0</v>
      </c>
      <c r="AW117" s="198">
        <f>$E117*餐厅成本录入!AW117</f>
        <v>0</v>
      </c>
      <c r="AX117" s="198">
        <f>$E117*餐厅成本录入!AX117</f>
        <v>0</v>
      </c>
      <c r="AY117" s="198">
        <f>$E117*餐厅成本录入!AY117</f>
        <v>0</v>
      </c>
      <c r="AZ117" s="198">
        <f>$E117*餐厅成本录入!AZ117</f>
        <v>0</v>
      </c>
      <c r="BA117" s="198">
        <f>$E117*餐厅成本录入!BA117</f>
        <v>0</v>
      </c>
      <c r="BB117" s="198">
        <f>$E117*餐厅成本录入!BB117</f>
        <v>0</v>
      </c>
      <c r="BC117" s="198">
        <f>$E117*餐厅成本录入!BC117</f>
        <v>0</v>
      </c>
      <c r="BD117" s="198">
        <f>$E117*餐厅成本录入!BD117</f>
        <v>0</v>
      </c>
      <c r="BE117" s="198">
        <f>$E117*餐厅成本录入!BE117</f>
        <v>0</v>
      </c>
      <c r="BF117" s="198">
        <f>$E117*餐厅成本录入!BF117</f>
        <v>0</v>
      </c>
      <c r="BG117" s="198">
        <f>$E117*餐厅成本录入!BG117</f>
        <v>0</v>
      </c>
      <c r="BH117" s="198">
        <f>$E117*餐厅成本录入!BH117</f>
        <v>0</v>
      </c>
      <c r="BI117" s="198">
        <f>$E117*餐厅成本录入!BI117</f>
        <v>0</v>
      </c>
      <c r="BJ117" s="198">
        <f>$E117*餐厅成本录入!BJ117</f>
        <v>0</v>
      </c>
      <c r="BK117" s="198">
        <f>$E117*餐厅成本录入!BK117</f>
        <v>0</v>
      </c>
      <c r="BL117" s="198">
        <f>$E117*餐厅成本录入!BL117</f>
        <v>0</v>
      </c>
      <c r="BM117" s="198">
        <f>$E117*餐厅成本录入!BM117</f>
        <v>0</v>
      </c>
      <c r="BN117" s="198">
        <f>$E117*餐厅成本录入!BN117</f>
        <v>0</v>
      </c>
      <c r="BO117" s="198">
        <f>$E117*餐厅成本录入!BO117</f>
        <v>0</v>
      </c>
      <c r="BP117" s="198">
        <f>$E117*餐厅成本录入!BP117</f>
        <v>0</v>
      </c>
      <c r="BQ117" s="198">
        <f>$E117*餐厅成本录入!BQ117</f>
        <v>0</v>
      </c>
      <c r="BR117" s="198">
        <f>$E117*餐厅成本录入!BR117</f>
        <v>0</v>
      </c>
      <c r="BS117" s="198">
        <f>$E117*餐厅成本录入!BS117</f>
        <v>0</v>
      </c>
      <c r="BT117" s="198">
        <f>$E117*餐厅成本录入!BT117</f>
        <v>0</v>
      </c>
      <c r="BU117" s="198">
        <f>$E117*餐厅成本录入!BU117</f>
        <v>0</v>
      </c>
      <c r="BV117" s="198">
        <f>$E117*餐厅成本录入!BV117</f>
        <v>0</v>
      </c>
      <c r="BW117" s="198">
        <f>$E117*餐厅成本录入!BW117</f>
        <v>0</v>
      </c>
    </row>
    <row r="118" s="178" customFormat="1" customHeight="1" spans="1:75">
      <c r="A118" s="161">
        <v>150</v>
      </c>
      <c r="B118" s="21">
        <f>餐厅成本录入!B118</f>
        <v>0</v>
      </c>
      <c r="C118" s="21">
        <f>餐厅成本录入!C118</f>
        <v>0</v>
      </c>
      <c r="D118" s="21">
        <f>餐厅成本录入!D118</f>
        <v>0</v>
      </c>
      <c r="E118" s="21">
        <f>餐厅成本录入!E118</f>
        <v>0</v>
      </c>
      <c r="F118" s="21">
        <f>餐厅成本录入!F118</f>
        <v>0</v>
      </c>
      <c r="G118" s="21">
        <f>餐厅成本录入!G118</f>
        <v>0</v>
      </c>
      <c r="H118" s="21">
        <f>餐厅成本录入!H118</f>
        <v>0</v>
      </c>
      <c r="I118" s="21">
        <f>餐厅成本录入!I118</f>
        <v>0</v>
      </c>
      <c r="J118" s="21">
        <f>餐厅成本录入!J118</f>
        <v>0</v>
      </c>
      <c r="K118" s="21">
        <f>餐厅成本录入!K118</f>
        <v>0</v>
      </c>
      <c r="L118" s="21">
        <f>餐厅成本录入!L118</f>
        <v>0</v>
      </c>
      <c r="M118" s="21">
        <f>餐厅成本录入!M118</f>
        <v>0</v>
      </c>
      <c r="N118" s="198">
        <f>$E118*餐厅成本录入!N118</f>
        <v>0</v>
      </c>
      <c r="O118" s="198">
        <f>$E118*餐厅成本录入!O118</f>
        <v>0</v>
      </c>
      <c r="P118" s="198">
        <f>$E118*餐厅成本录入!P118</f>
        <v>0</v>
      </c>
      <c r="Q118" s="198">
        <f>$E118*餐厅成本录入!Q118</f>
        <v>0</v>
      </c>
      <c r="R118" s="198">
        <f>$E118*餐厅成本录入!R118</f>
        <v>0</v>
      </c>
      <c r="S118" s="198">
        <f>$E118*餐厅成本录入!S118</f>
        <v>0</v>
      </c>
      <c r="T118" s="198">
        <f>$E118*餐厅成本录入!T118</f>
        <v>0</v>
      </c>
      <c r="U118" s="198">
        <f>$E118*餐厅成本录入!U118</f>
        <v>0</v>
      </c>
      <c r="V118" s="198">
        <f>$E118*餐厅成本录入!V118</f>
        <v>0</v>
      </c>
      <c r="W118" s="198">
        <f>$E118*餐厅成本录入!W118</f>
        <v>0</v>
      </c>
      <c r="X118" s="198">
        <f>$E118*餐厅成本录入!X118</f>
        <v>0</v>
      </c>
      <c r="Y118" s="198">
        <f>$E118*餐厅成本录入!Y118</f>
        <v>0</v>
      </c>
      <c r="Z118" s="198">
        <f>$E118*餐厅成本录入!Z118</f>
        <v>0</v>
      </c>
      <c r="AA118" s="198">
        <f>$E118*餐厅成本录入!AA118</f>
        <v>0</v>
      </c>
      <c r="AB118" s="198">
        <f>$E118*餐厅成本录入!AB118</f>
        <v>0</v>
      </c>
      <c r="AC118" s="198">
        <f>$E118*餐厅成本录入!AC118</f>
        <v>0</v>
      </c>
      <c r="AD118" s="198">
        <f>$E118*餐厅成本录入!AD118</f>
        <v>0</v>
      </c>
      <c r="AE118" s="198">
        <f>$E118*餐厅成本录入!AE118</f>
        <v>0</v>
      </c>
      <c r="AF118" s="198">
        <f>$E118*餐厅成本录入!AF118</f>
        <v>0</v>
      </c>
      <c r="AG118" s="198">
        <f>$E118*餐厅成本录入!AG118</f>
        <v>0</v>
      </c>
      <c r="AH118" s="198">
        <f>$E118*餐厅成本录入!AH118</f>
        <v>0</v>
      </c>
      <c r="AI118" s="198">
        <f>$E118*餐厅成本录入!AI118</f>
        <v>0</v>
      </c>
      <c r="AJ118" s="198">
        <f>$E118*餐厅成本录入!AJ118</f>
        <v>0</v>
      </c>
      <c r="AK118" s="198">
        <f>$E118*餐厅成本录入!AK118</f>
        <v>0</v>
      </c>
      <c r="AL118" s="198">
        <f>$E118*餐厅成本录入!AL118</f>
        <v>0</v>
      </c>
      <c r="AM118" s="198">
        <f>$E118*餐厅成本录入!AM118</f>
        <v>0</v>
      </c>
      <c r="AN118" s="198">
        <f>$E118*餐厅成本录入!AN118</f>
        <v>0</v>
      </c>
      <c r="AO118" s="198">
        <f>$E118*餐厅成本录入!AO118</f>
        <v>0</v>
      </c>
      <c r="AP118" s="198">
        <f>$E118*餐厅成本录入!AP118</f>
        <v>0</v>
      </c>
      <c r="AQ118" s="198">
        <f>$E118*餐厅成本录入!AQ118</f>
        <v>0</v>
      </c>
      <c r="AR118" s="198">
        <f>$E118*餐厅成本录入!AR118</f>
        <v>0</v>
      </c>
      <c r="AS118" s="198">
        <f>$E118*餐厅成本录入!AS118</f>
        <v>0</v>
      </c>
      <c r="AT118" s="198">
        <f>$E118*餐厅成本录入!AT118</f>
        <v>0</v>
      </c>
      <c r="AU118" s="198">
        <f>$E118*餐厅成本录入!AU118</f>
        <v>0</v>
      </c>
      <c r="AV118" s="198">
        <f>$E118*餐厅成本录入!AV118</f>
        <v>0</v>
      </c>
      <c r="AW118" s="198">
        <f>$E118*餐厅成本录入!AW118</f>
        <v>0</v>
      </c>
      <c r="AX118" s="198">
        <f>$E118*餐厅成本录入!AX118</f>
        <v>0</v>
      </c>
      <c r="AY118" s="198">
        <f>$E118*餐厅成本录入!AY118</f>
        <v>0</v>
      </c>
      <c r="AZ118" s="198">
        <f>$E118*餐厅成本录入!AZ118</f>
        <v>0</v>
      </c>
      <c r="BA118" s="198">
        <f>$E118*餐厅成本录入!BA118</f>
        <v>0</v>
      </c>
      <c r="BB118" s="198">
        <f>$E118*餐厅成本录入!BB118</f>
        <v>0</v>
      </c>
      <c r="BC118" s="198">
        <f>$E118*餐厅成本录入!BC118</f>
        <v>0</v>
      </c>
      <c r="BD118" s="198">
        <f>$E118*餐厅成本录入!BD118</f>
        <v>0</v>
      </c>
      <c r="BE118" s="198">
        <f>$E118*餐厅成本录入!BE118</f>
        <v>0</v>
      </c>
      <c r="BF118" s="198">
        <f>$E118*餐厅成本录入!BF118</f>
        <v>0</v>
      </c>
      <c r="BG118" s="198">
        <f>$E118*餐厅成本录入!BG118</f>
        <v>0</v>
      </c>
      <c r="BH118" s="198">
        <f>$E118*餐厅成本录入!BH118</f>
        <v>0</v>
      </c>
      <c r="BI118" s="198">
        <f>$E118*餐厅成本录入!BI118</f>
        <v>0</v>
      </c>
      <c r="BJ118" s="198">
        <f>$E118*餐厅成本录入!BJ118</f>
        <v>0</v>
      </c>
      <c r="BK118" s="198">
        <f>$E118*餐厅成本录入!BK118</f>
        <v>0</v>
      </c>
      <c r="BL118" s="198">
        <f>$E118*餐厅成本录入!BL118</f>
        <v>0</v>
      </c>
      <c r="BM118" s="198">
        <f>$E118*餐厅成本录入!BM118</f>
        <v>0</v>
      </c>
      <c r="BN118" s="198">
        <f>$E118*餐厅成本录入!BN118</f>
        <v>0</v>
      </c>
      <c r="BO118" s="198">
        <f>$E118*餐厅成本录入!BO118</f>
        <v>0</v>
      </c>
      <c r="BP118" s="198">
        <f>$E118*餐厅成本录入!BP118</f>
        <v>0</v>
      </c>
      <c r="BQ118" s="198">
        <f>$E118*餐厅成本录入!BQ118</f>
        <v>0</v>
      </c>
      <c r="BR118" s="198">
        <f>$E118*餐厅成本录入!BR118</f>
        <v>0</v>
      </c>
      <c r="BS118" s="198">
        <f>$E118*餐厅成本录入!BS118</f>
        <v>0</v>
      </c>
      <c r="BT118" s="198">
        <f>$E118*餐厅成本录入!BT118</f>
        <v>0</v>
      </c>
      <c r="BU118" s="198">
        <f>$E118*餐厅成本录入!BU118</f>
        <v>0</v>
      </c>
      <c r="BV118" s="198">
        <f>$E118*餐厅成本录入!BV118</f>
        <v>0</v>
      </c>
      <c r="BW118" s="198">
        <f>$E118*餐厅成本录入!BW118</f>
        <v>0</v>
      </c>
    </row>
    <row r="119" s="178" customFormat="1" customHeight="1" spans="1:75">
      <c r="A119" s="161">
        <v>151</v>
      </c>
      <c r="B119" s="21">
        <f>餐厅成本录入!B119</f>
        <v>0</v>
      </c>
      <c r="C119" s="21">
        <f>餐厅成本录入!C119</f>
        <v>0</v>
      </c>
      <c r="D119" s="21">
        <f>餐厅成本录入!D119</f>
        <v>0</v>
      </c>
      <c r="E119" s="21">
        <f>餐厅成本录入!E119</f>
        <v>0</v>
      </c>
      <c r="F119" s="21">
        <f>餐厅成本录入!F119</f>
        <v>0</v>
      </c>
      <c r="G119" s="21">
        <f>餐厅成本录入!G119</f>
        <v>0</v>
      </c>
      <c r="H119" s="21">
        <f>餐厅成本录入!H119</f>
        <v>0</v>
      </c>
      <c r="I119" s="21">
        <f>餐厅成本录入!I119</f>
        <v>0</v>
      </c>
      <c r="J119" s="21">
        <f>餐厅成本录入!J119</f>
        <v>0</v>
      </c>
      <c r="K119" s="21">
        <f>餐厅成本录入!K119</f>
        <v>0</v>
      </c>
      <c r="L119" s="21">
        <f>餐厅成本录入!L119</f>
        <v>0</v>
      </c>
      <c r="M119" s="21">
        <f>餐厅成本录入!M119</f>
        <v>0</v>
      </c>
      <c r="N119" s="198">
        <f>$E119*餐厅成本录入!N119</f>
        <v>0</v>
      </c>
      <c r="O119" s="198">
        <f>$E119*餐厅成本录入!O119</f>
        <v>0</v>
      </c>
      <c r="P119" s="198">
        <f>$E119*餐厅成本录入!P119</f>
        <v>0</v>
      </c>
      <c r="Q119" s="198">
        <f>$E119*餐厅成本录入!Q119</f>
        <v>0</v>
      </c>
      <c r="R119" s="198">
        <f>$E119*餐厅成本录入!R119</f>
        <v>0</v>
      </c>
      <c r="S119" s="198">
        <f>$E119*餐厅成本录入!S119</f>
        <v>0</v>
      </c>
      <c r="T119" s="198">
        <f>$E119*餐厅成本录入!T119</f>
        <v>0</v>
      </c>
      <c r="U119" s="198">
        <f>$E119*餐厅成本录入!U119</f>
        <v>0</v>
      </c>
      <c r="V119" s="198">
        <f>$E119*餐厅成本录入!V119</f>
        <v>0</v>
      </c>
      <c r="W119" s="198">
        <f>$E119*餐厅成本录入!W119</f>
        <v>0</v>
      </c>
      <c r="X119" s="198">
        <f>$E119*餐厅成本录入!X119</f>
        <v>0</v>
      </c>
      <c r="Y119" s="198">
        <f>$E119*餐厅成本录入!Y119</f>
        <v>0</v>
      </c>
      <c r="Z119" s="198">
        <f>$E119*餐厅成本录入!Z119</f>
        <v>0</v>
      </c>
      <c r="AA119" s="198">
        <f>$E119*餐厅成本录入!AA119</f>
        <v>0</v>
      </c>
      <c r="AB119" s="198">
        <f>$E119*餐厅成本录入!AB119</f>
        <v>0</v>
      </c>
      <c r="AC119" s="198">
        <f>$E119*餐厅成本录入!AC119</f>
        <v>0</v>
      </c>
      <c r="AD119" s="198">
        <f>$E119*餐厅成本录入!AD119</f>
        <v>0</v>
      </c>
      <c r="AE119" s="198">
        <f>$E119*餐厅成本录入!AE119</f>
        <v>0</v>
      </c>
      <c r="AF119" s="198">
        <f>$E119*餐厅成本录入!AF119</f>
        <v>0</v>
      </c>
      <c r="AG119" s="198">
        <f>$E119*餐厅成本录入!AG119</f>
        <v>0</v>
      </c>
      <c r="AH119" s="198">
        <f>$E119*餐厅成本录入!AH119</f>
        <v>0</v>
      </c>
      <c r="AI119" s="198">
        <f>$E119*餐厅成本录入!AI119</f>
        <v>0</v>
      </c>
      <c r="AJ119" s="198">
        <f>$E119*餐厅成本录入!AJ119</f>
        <v>0</v>
      </c>
      <c r="AK119" s="198">
        <f>$E119*餐厅成本录入!AK119</f>
        <v>0</v>
      </c>
      <c r="AL119" s="198">
        <f>$E119*餐厅成本录入!AL119</f>
        <v>0</v>
      </c>
      <c r="AM119" s="198">
        <f>$E119*餐厅成本录入!AM119</f>
        <v>0</v>
      </c>
      <c r="AN119" s="198">
        <f>$E119*餐厅成本录入!AN119</f>
        <v>0</v>
      </c>
      <c r="AO119" s="198">
        <f>$E119*餐厅成本录入!AO119</f>
        <v>0</v>
      </c>
      <c r="AP119" s="198">
        <f>$E119*餐厅成本录入!AP119</f>
        <v>0</v>
      </c>
      <c r="AQ119" s="198">
        <f>$E119*餐厅成本录入!AQ119</f>
        <v>0</v>
      </c>
      <c r="AR119" s="198">
        <f>$E119*餐厅成本录入!AR119</f>
        <v>0</v>
      </c>
      <c r="AS119" s="198">
        <f>$E119*餐厅成本录入!AS119</f>
        <v>0</v>
      </c>
      <c r="AT119" s="198">
        <f>$E119*餐厅成本录入!AT119</f>
        <v>0</v>
      </c>
      <c r="AU119" s="198">
        <f>$E119*餐厅成本录入!AU119</f>
        <v>0</v>
      </c>
      <c r="AV119" s="198">
        <f>$E119*餐厅成本录入!AV119</f>
        <v>0</v>
      </c>
      <c r="AW119" s="198">
        <f>$E119*餐厅成本录入!AW119</f>
        <v>0</v>
      </c>
      <c r="AX119" s="198">
        <f>$E119*餐厅成本录入!AX119</f>
        <v>0</v>
      </c>
      <c r="AY119" s="198">
        <f>$E119*餐厅成本录入!AY119</f>
        <v>0</v>
      </c>
      <c r="AZ119" s="198">
        <f>$E119*餐厅成本录入!AZ119</f>
        <v>0</v>
      </c>
      <c r="BA119" s="198">
        <f>$E119*餐厅成本录入!BA119</f>
        <v>0</v>
      </c>
      <c r="BB119" s="198">
        <f>$E119*餐厅成本录入!BB119</f>
        <v>0</v>
      </c>
      <c r="BC119" s="198">
        <f>$E119*餐厅成本录入!BC119</f>
        <v>0</v>
      </c>
      <c r="BD119" s="198">
        <f>$E119*餐厅成本录入!BD119</f>
        <v>0</v>
      </c>
      <c r="BE119" s="198">
        <f>$E119*餐厅成本录入!BE119</f>
        <v>0</v>
      </c>
      <c r="BF119" s="198">
        <f>$E119*餐厅成本录入!BF119</f>
        <v>0</v>
      </c>
      <c r="BG119" s="198">
        <f>$E119*餐厅成本录入!BG119</f>
        <v>0</v>
      </c>
      <c r="BH119" s="198">
        <f>$E119*餐厅成本录入!BH119</f>
        <v>0</v>
      </c>
      <c r="BI119" s="198">
        <f>$E119*餐厅成本录入!BI119</f>
        <v>0</v>
      </c>
      <c r="BJ119" s="198">
        <f>$E119*餐厅成本录入!BJ119</f>
        <v>0</v>
      </c>
      <c r="BK119" s="198">
        <f>$E119*餐厅成本录入!BK119</f>
        <v>0</v>
      </c>
      <c r="BL119" s="198">
        <f>$E119*餐厅成本录入!BL119</f>
        <v>0</v>
      </c>
      <c r="BM119" s="198">
        <f>$E119*餐厅成本录入!BM119</f>
        <v>0</v>
      </c>
      <c r="BN119" s="198">
        <f>$E119*餐厅成本录入!BN119</f>
        <v>0</v>
      </c>
      <c r="BO119" s="198">
        <f>$E119*餐厅成本录入!BO119</f>
        <v>0</v>
      </c>
      <c r="BP119" s="198">
        <f>$E119*餐厅成本录入!BP119</f>
        <v>0</v>
      </c>
      <c r="BQ119" s="198">
        <f>$E119*餐厅成本录入!BQ119</f>
        <v>0</v>
      </c>
      <c r="BR119" s="198">
        <f>$E119*餐厅成本录入!BR119</f>
        <v>0</v>
      </c>
      <c r="BS119" s="198">
        <f>$E119*餐厅成本录入!BS119</f>
        <v>0</v>
      </c>
      <c r="BT119" s="198">
        <f>$E119*餐厅成本录入!BT119</f>
        <v>0</v>
      </c>
      <c r="BU119" s="198">
        <f>$E119*餐厅成本录入!BU119</f>
        <v>0</v>
      </c>
      <c r="BV119" s="198">
        <f>$E119*餐厅成本录入!BV119</f>
        <v>0</v>
      </c>
      <c r="BW119" s="198">
        <f>$E119*餐厅成本录入!BW119</f>
        <v>0</v>
      </c>
    </row>
    <row r="120" s="178" customFormat="1" customHeight="1" spans="1:75">
      <c r="A120" s="161">
        <v>152</v>
      </c>
      <c r="B120" s="21">
        <f>餐厅成本录入!B120</f>
        <v>0</v>
      </c>
      <c r="C120" s="21">
        <f>餐厅成本录入!C120</f>
        <v>0</v>
      </c>
      <c r="D120" s="21">
        <f>餐厅成本录入!D120</f>
        <v>0</v>
      </c>
      <c r="E120" s="21">
        <f>餐厅成本录入!E120</f>
        <v>0</v>
      </c>
      <c r="F120" s="21">
        <f>餐厅成本录入!F120</f>
        <v>0</v>
      </c>
      <c r="G120" s="21">
        <f>餐厅成本录入!G120</f>
        <v>0</v>
      </c>
      <c r="H120" s="21">
        <f>餐厅成本录入!H120</f>
        <v>0</v>
      </c>
      <c r="I120" s="21">
        <f>餐厅成本录入!I120</f>
        <v>0</v>
      </c>
      <c r="J120" s="21">
        <f>餐厅成本录入!J120</f>
        <v>0</v>
      </c>
      <c r="K120" s="21">
        <f>餐厅成本录入!K120</f>
        <v>0</v>
      </c>
      <c r="L120" s="21">
        <f>餐厅成本录入!L120</f>
        <v>0</v>
      </c>
      <c r="M120" s="21">
        <f>餐厅成本录入!M120</f>
        <v>0</v>
      </c>
      <c r="N120" s="198">
        <f>$E120*餐厅成本录入!N120</f>
        <v>0</v>
      </c>
      <c r="O120" s="198">
        <f>$E120*餐厅成本录入!O120</f>
        <v>0</v>
      </c>
      <c r="P120" s="198">
        <f>$E120*餐厅成本录入!P120</f>
        <v>0</v>
      </c>
      <c r="Q120" s="198">
        <f>$E120*餐厅成本录入!Q120</f>
        <v>0</v>
      </c>
      <c r="R120" s="198">
        <f>$E120*餐厅成本录入!R120</f>
        <v>0</v>
      </c>
      <c r="S120" s="198">
        <f>$E120*餐厅成本录入!S120</f>
        <v>0</v>
      </c>
      <c r="T120" s="198">
        <f>$E120*餐厅成本录入!T120</f>
        <v>0</v>
      </c>
      <c r="U120" s="198">
        <f>$E120*餐厅成本录入!U120</f>
        <v>0</v>
      </c>
      <c r="V120" s="198">
        <f>$E120*餐厅成本录入!V120</f>
        <v>0</v>
      </c>
      <c r="W120" s="198">
        <f>$E120*餐厅成本录入!W120</f>
        <v>0</v>
      </c>
      <c r="X120" s="198">
        <f>$E120*餐厅成本录入!X120</f>
        <v>0</v>
      </c>
      <c r="Y120" s="198">
        <f>$E120*餐厅成本录入!Y120</f>
        <v>0</v>
      </c>
      <c r="Z120" s="198">
        <f>$E120*餐厅成本录入!Z120</f>
        <v>0</v>
      </c>
      <c r="AA120" s="198">
        <f>$E120*餐厅成本录入!AA120</f>
        <v>0</v>
      </c>
      <c r="AB120" s="198">
        <f>$E120*餐厅成本录入!AB120</f>
        <v>0</v>
      </c>
      <c r="AC120" s="198">
        <f>$E120*餐厅成本录入!AC120</f>
        <v>0</v>
      </c>
      <c r="AD120" s="198">
        <f>$E120*餐厅成本录入!AD120</f>
        <v>0</v>
      </c>
      <c r="AE120" s="198">
        <f>$E120*餐厅成本录入!AE120</f>
        <v>0</v>
      </c>
      <c r="AF120" s="198">
        <f>$E120*餐厅成本录入!AF120</f>
        <v>0</v>
      </c>
      <c r="AG120" s="198">
        <f>$E120*餐厅成本录入!AG120</f>
        <v>0</v>
      </c>
      <c r="AH120" s="198">
        <f>$E120*餐厅成本录入!AH120</f>
        <v>0</v>
      </c>
      <c r="AI120" s="198">
        <f>$E120*餐厅成本录入!AI120</f>
        <v>0</v>
      </c>
      <c r="AJ120" s="198">
        <f>$E120*餐厅成本录入!AJ120</f>
        <v>0</v>
      </c>
      <c r="AK120" s="198">
        <f>$E120*餐厅成本录入!AK120</f>
        <v>0</v>
      </c>
      <c r="AL120" s="198">
        <f>$E120*餐厅成本录入!AL120</f>
        <v>0</v>
      </c>
      <c r="AM120" s="198">
        <f>$E120*餐厅成本录入!AM120</f>
        <v>0</v>
      </c>
      <c r="AN120" s="198">
        <f>$E120*餐厅成本录入!AN120</f>
        <v>0</v>
      </c>
      <c r="AO120" s="198">
        <f>$E120*餐厅成本录入!AO120</f>
        <v>0</v>
      </c>
      <c r="AP120" s="198">
        <f>$E120*餐厅成本录入!AP120</f>
        <v>0</v>
      </c>
      <c r="AQ120" s="198">
        <f>$E120*餐厅成本录入!AQ120</f>
        <v>0</v>
      </c>
      <c r="AR120" s="198">
        <f>$E120*餐厅成本录入!AR120</f>
        <v>0</v>
      </c>
      <c r="AS120" s="198">
        <f>$E120*餐厅成本录入!AS120</f>
        <v>0</v>
      </c>
      <c r="AT120" s="198">
        <f>$E120*餐厅成本录入!AT120</f>
        <v>0</v>
      </c>
      <c r="AU120" s="198">
        <f>$E120*餐厅成本录入!AU120</f>
        <v>0</v>
      </c>
      <c r="AV120" s="198">
        <f>$E120*餐厅成本录入!AV120</f>
        <v>0</v>
      </c>
      <c r="AW120" s="198">
        <f>$E120*餐厅成本录入!AW120</f>
        <v>0</v>
      </c>
      <c r="AX120" s="198">
        <f>$E120*餐厅成本录入!AX120</f>
        <v>0</v>
      </c>
      <c r="AY120" s="198">
        <f>$E120*餐厅成本录入!AY120</f>
        <v>0</v>
      </c>
      <c r="AZ120" s="198">
        <f>$E120*餐厅成本录入!AZ120</f>
        <v>0</v>
      </c>
      <c r="BA120" s="198">
        <f>$E120*餐厅成本录入!BA120</f>
        <v>0</v>
      </c>
      <c r="BB120" s="198">
        <f>$E120*餐厅成本录入!BB120</f>
        <v>0</v>
      </c>
      <c r="BC120" s="198">
        <f>$E120*餐厅成本录入!BC120</f>
        <v>0</v>
      </c>
      <c r="BD120" s="198">
        <f>$E120*餐厅成本录入!BD120</f>
        <v>0</v>
      </c>
      <c r="BE120" s="198">
        <f>$E120*餐厅成本录入!BE120</f>
        <v>0</v>
      </c>
      <c r="BF120" s="198">
        <f>$E120*餐厅成本录入!BF120</f>
        <v>0</v>
      </c>
      <c r="BG120" s="198">
        <f>$E120*餐厅成本录入!BG120</f>
        <v>0</v>
      </c>
      <c r="BH120" s="198">
        <f>$E120*餐厅成本录入!BH120</f>
        <v>0</v>
      </c>
      <c r="BI120" s="198">
        <f>$E120*餐厅成本录入!BI120</f>
        <v>0</v>
      </c>
      <c r="BJ120" s="198">
        <f>$E120*餐厅成本录入!BJ120</f>
        <v>0</v>
      </c>
      <c r="BK120" s="198">
        <f>$E120*餐厅成本录入!BK120</f>
        <v>0</v>
      </c>
      <c r="BL120" s="198">
        <f>$E120*餐厅成本录入!BL120</f>
        <v>0</v>
      </c>
      <c r="BM120" s="198">
        <f>$E120*餐厅成本录入!BM120</f>
        <v>0</v>
      </c>
      <c r="BN120" s="198">
        <f>$E120*餐厅成本录入!BN120</f>
        <v>0</v>
      </c>
      <c r="BO120" s="198">
        <f>$E120*餐厅成本录入!BO120</f>
        <v>0</v>
      </c>
      <c r="BP120" s="198">
        <f>$E120*餐厅成本录入!BP120</f>
        <v>0</v>
      </c>
      <c r="BQ120" s="198">
        <f>$E120*餐厅成本录入!BQ120</f>
        <v>0</v>
      </c>
      <c r="BR120" s="198">
        <f>$E120*餐厅成本录入!BR120</f>
        <v>0</v>
      </c>
      <c r="BS120" s="198">
        <f>$E120*餐厅成本录入!BS120</f>
        <v>0</v>
      </c>
      <c r="BT120" s="198">
        <f>$E120*餐厅成本录入!BT120</f>
        <v>0</v>
      </c>
      <c r="BU120" s="198">
        <f>$E120*餐厅成本录入!BU120</f>
        <v>0</v>
      </c>
      <c r="BV120" s="198">
        <f>$E120*餐厅成本录入!BV120</f>
        <v>0</v>
      </c>
      <c r="BW120" s="198">
        <f>$E120*餐厅成本录入!BW120</f>
        <v>0</v>
      </c>
    </row>
    <row r="121" s="178" customFormat="1" customHeight="1" spans="1:75">
      <c r="A121" s="161">
        <v>153</v>
      </c>
      <c r="B121" s="21" t="str">
        <f>餐厅成本录入!B121</f>
        <v>西瓜</v>
      </c>
      <c r="C121" s="21">
        <f>餐厅成本录入!C121</f>
        <v>0</v>
      </c>
      <c r="D121" s="21" t="str">
        <f>餐厅成本录入!D121</f>
        <v>斤</v>
      </c>
      <c r="E121" s="21">
        <f>餐厅成本录入!E121</f>
        <v>1.9</v>
      </c>
      <c r="F121" s="21">
        <f>餐厅成本录入!F121</f>
        <v>0</v>
      </c>
      <c r="G121" s="21">
        <f>餐厅成本录入!G121</f>
        <v>0</v>
      </c>
      <c r="H121" s="21">
        <f>餐厅成本录入!H121</f>
        <v>313.2</v>
      </c>
      <c r="I121" s="21">
        <f>餐厅成本录入!I121</f>
        <v>595.08</v>
      </c>
      <c r="J121" s="21">
        <f>餐厅成本录入!J121</f>
        <v>313.2</v>
      </c>
      <c r="K121" s="21">
        <f>餐厅成本录入!K121</f>
        <v>595.08</v>
      </c>
      <c r="L121" s="21">
        <f>餐厅成本录入!L121</f>
        <v>0</v>
      </c>
      <c r="M121" s="21">
        <f>餐厅成本录入!M121</f>
        <v>0</v>
      </c>
      <c r="N121" s="198">
        <f>$E121*餐厅成本录入!N121</f>
        <v>0</v>
      </c>
      <c r="O121" s="198">
        <f>$E121*餐厅成本录入!O121</f>
        <v>0</v>
      </c>
      <c r="P121" s="198">
        <f>$E121*餐厅成本录入!P121</f>
        <v>45.98</v>
      </c>
      <c r="Q121" s="198">
        <f>$E121*餐厅成本录入!Q121</f>
        <v>45.98</v>
      </c>
      <c r="R121" s="198">
        <f>$E121*餐厅成本录入!R121</f>
        <v>0</v>
      </c>
      <c r="S121" s="198">
        <f>$E121*餐厅成本录入!S121</f>
        <v>0</v>
      </c>
      <c r="T121" s="198">
        <f>$E121*餐厅成本录入!T121</f>
        <v>0</v>
      </c>
      <c r="U121" s="198">
        <f>$E121*餐厅成本录入!U121</f>
        <v>0</v>
      </c>
      <c r="V121" s="198">
        <f>$E121*餐厅成本录入!V121</f>
        <v>0</v>
      </c>
      <c r="W121" s="198">
        <f>$E121*餐厅成本录入!W121</f>
        <v>0</v>
      </c>
      <c r="X121" s="198">
        <f>$E121*餐厅成本录入!X121</f>
        <v>0</v>
      </c>
      <c r="Y121" s="198">
        <f>$E121*餐厅成本录入!Y121</f>
        <v>0</v>
      </c>
      <c r="Z121" s="198">
        <f>$E121*餐厅成本录入!Z121</f>
        <v>0</v>
      </c>
      <c r="AA121" s="198">
        <f>$E121*餐厅成本录入!AA121</f>
        <v>0</v>
      </c>
      <c r="AB121" s="198">
        <f>$E121*餐厅成本录入!AB121</f>
        <v>0</v>
      </c>
      <c r="AC121" s="198">
        <f>$E121*餐厅成本录入!AC121</f>
        <v>0</v>
      </c>
      <c r="AD121" s="198">
        <f>$E121*餐厅成本录入!AD121</f>
        <v>56.43</v>
      </c>
      <c r="AE121" s="198">
        <f>$E121*餐厅成本录入!AE121</f>
        <v>56.43</v>
      </c>
      <c r="AF121" s="198">
        <f>$E121*餐厅成本录入!AF121</f>
        <v>0</v>
      </c>
      <c r="AG121" s="198">
        <f>$E121*餐厅成本录入!AG121</f>
        <v>0</v>
      </c>
      <c r="AH121" s="198">
        <f>$E121*餐厅成本录入!AH121</f>
        <v>43.7</v>
      </c>
      <c r="AI121" s="198">
        <f>$E121*餐厅成本录入!AI121</f>
        <v>43.7</v>
      </c>
      <c r="AJ121" s="198">
        <f>$E121*餐厅成本录入!AJ121</f>
        <v>0</v>
      </c>
      <c r="AK121" s="198">
        <f>$E121*餐厅成本录入!AK121</f>
        <v>0</v>
      </c>
      <c r="AL121" s="198">
        <f>$E121*餐厅成本录入!AL121</f>
        <v>43.13</v>
      </c>
      <c r="AM121" s="198">
        <f>$E121*餐厅成本录入!AM121</f>
        <v>43.13</v>
      </c>
      <c r="AN121" s="198">
        <f>$E121*餐厅成本录入!AN121</f>
        <v>0</v>
      </c>
      <c r="AO121" s="198">
        <f>$E121*餐厅成本录入!AO121</f>
        <v>0</v>
      </c>
      <c r="AP121" s="198">
        <f>$E121*餐厅成本录入!AP121</f>
        <v>0</v>
      </c>
      <c r="AQ121" s="198">
        <f>$E121*餐厅成本录入!AQ121</f>
        <v>0</v>
      </c>
      <c r="AR121" s="198">
        <f>$E121*餐厅成本录入!AR121</f>
        <v>0</v>
      </c>
      <c r="AS121" s="198">
        <f>$E121*餐厅成本录入!AS121</f>
        <v>0</v>
      </c>
      <c r="AT121" s="198">
        <f>$E121*餐厅成本录入!AT121</f>
        <v>0</v>
      </c>
      <c r="AU121" s="198">
        <f>$E121*餐厅成本录入!AU121</f>
        <v>0</v>
      </c>
      <c r="AV121" s="198">
        <f>$E121*餐厅成本录入!AV121</f>
        <v>79.04</v>
      </c>
      <c r="AW121" s="198">
        <f>$E121*餐厅成本录入!AW121</f>
        <v>79.04</v>
      </c>
      <c r="AX121" s="198">
        <f>$E121*餐厅成本录入!AX121</f>
        <v>0</v>
      </c>
      <c r="AY121" s="198">
        <f>$E121*餐厅成本录入!AY121</f>
        <v>0</v>
      </c>
      <c r="AZ121" s="198">
        <f>$E121*餐厅成本录入!AZ121</f>
        <v>0</v>
      </c>
      <c r="BA121" s="198">
        <f>$E121*餐厅成本录入!BA121</f>
        <v>0</v>
      </c>
      <c r="BB121" s="198">
        <f>$E121*餐厅成本录入!BB121</f>
        <v>0</v>
      </c>
      <c r="BC121" s="198">
        <f>$E121*餐厅成本录入!BC121</f>
        <v>0</v>
      </c>
      <c r="BD121" s="198">
        <f>$E121*餐厅成本录入!BD121</f>
        <v>0</v>
      </c>
      <c r="BE121" s="198">
        <f>$E121*餐厅成本录入!BE121</f>
        <v>0</v>
      </c>
      <c r="BF121" s="198">
        <f>$E121*餐厅成本录入!BF121</f>
        <v>79.8</v>
      </c>
      <c r="BG121" s="198">
        <f>$E121*餐厅成本录入!BG121</f>
        <v>79.8</v>
      </c>
      <c r="BH121" s="198">
        <f>$E121*餐厅成本录入!BH121</f>
        <v>0</v>
      </c>
      <c r="BI121" s="198">
        <f>$E121*餐厅成本录入!BI121</f>
        <v>0</v>
      </c>
      <c r="BJ121" s="198">
        <f>$E121*餐厅成本录入!BJ121</f>
        <v>68.4</v>
      </c>
      <c r="BK121" s="198">
        <f>$E121*餐厅成本录入!BK121</f>
        <v>68.4</v>
      </c>
      <c r="BL121" s="198">
        <f>$E121*餐厅成本录入!BL121</f>
        <v>0</v>
      </c>
      <c r="BM121" s="198">
        <f>$E121*餐厅成本录入!BM121</f>
        <v>0</v>
      </c>
      <c r="BN121" s="198">
        <f>$E121*餐厅成本录入!BN121</f>
        <v>91.2</v>
      </c>
      <c r="BO121" s="198">
        <f>$E121*餐厅成本录入!BO121</f>
        <v>91.2</v>
      </c>
      <c r="BP121" s="198">
        <f>$E121*餐厅成本录入!BP121</f>
        <v>0</v>
      </c>
      <c r="BQ121" s="198">
        <f>$E121*餐厅成本录入!BQ121</f>
        <v>0</v>
      </c>
      <c r="BR121" s="198">
        <f>$E121*餐厅成本录入!BR121</f>
        <v>87.4</v>
      </c>
      <c r="BS121" s="198">
        <f>$E121*餐厅成本录入!BS121</f>
        <v>87.4</v>
      </c>
      <c r="BT121" s="198">
        <f>$E121*餐厅成本录入!BT121</f>
        <v>0</v>
      </c>
      <c r="BU121" s="198">
        <f>$E121*餐厅成本录入!BU121</f>
        <v>0</v>
      </c>
      <c r="BV121" s="198">
        <f>$E121*餐厅成本录入!BV121</f>
        <v>0</v>
      </c>
      <c r="BW121" s="198">
        <f>$E121*餐厅成本录入!BW121</f>
        <v>0</v>
      </c>
    </row>
    <row r="122" s="178" customFormat="1" customHeight="1" spans="1:75">
      <c r="A122" s="161">
        <v>154</v>
      </c>
      <c r="B122" s="21" t="str">
        <f>餐厅成本录入!B122</f>
        <v>香蕉</v>
      </c>
      <c r="C122" s="21">
        <f>餐厅成本录入!C122</f>
        <v>0</v>
      </c>
      <c r="D122" s="21" t="str">
        <f>餐厅成本录入!D122</f>
        <v>件</v>
      </c>
      <c r="E122" s="21">
        <f>餐厅成本录入!E122</f>
        <v>45</v>
      </c>
      <c r="F122" s="21">
        <f>餐厅成本录入!F122</f>
        <v>0</v>
      </c>
      <c r="G122" s="21">
        <f>餐厅成本录入!G122</f>
        <v>0</v>
      </c>
      <c r="H122" s="21">
        <f>餐厅成本录入!H122</f>
        <v>12</v>
      </c>
      <c r="I122" s="21">
        <f>餐厅成本录入!I122</f>
        <v>540</v>
      </c>
      <c r="J122" s="21">
        <f>餐厅成本录入!J122</f>
        <v>12</v>
      </c>
      <c r="K122" s="21">
        <f>餐厅成本录入!K122</f>
        <v>540</v>
      </c>
      <c r="L122" s="21">
        <f>餐厅成本录入!L122</f>
        <v>0</v>
      </c>
      <c r="M122" s="21">
        <f>餐厅成本录入!M122</f>
        <v>0</v>
      </c>
      <c r="N122" s="198">
        <f>$E122*餐厅成本录入!N122</f>
        <v>45</v>
      </c>
      <c r="O122" s="198">
        <f>$E122*餐厅成本录入!O122</f>
        <v>45</v>
      </c>
      <c r="P122" s="198">
        <f>$E122*餐厅成本录入!P122</f>
        <v>0</v>
      </c>
      <c r="Q122" s="198">
        <f>$E122*餐厅成本录入!Q122</f>
        <v>0</v>
      </c>
      <c r="R122" s="198">
        <f>$E122*餐厅成本录入!R122</f>
        <v>0</v>
      </c>
      <c r="S122" s="198">
        <f>$E122*餐厅成本录入!S122</f>
        <v>0</v>
      </c>
      <c r="T122" s="198">
        <f>$E122*餐厅成本录入!T122</f>
        <v>0</v>
      </c>
      <c r="U122" s="198">
        <f>$E122*餐厅成本录入!U122</f>
        <v>0</v>
      </c>
      <c r="V122" s="198">
        <f>$E122*餐厅成本录入!V122</f>
        <v>45</v>
      </c>
      <c r="W122" s="198">
        <f>$E122*餐厅成本录入!W122</f>
        <v>45</v>
      </c>
      <c r="X122" s="198">
        <f>$E122*餐厅成本录入!X122</f>
        <v>0</v>
      </c>
      <c r="Y122" s="198">
        <f>$E122*餐厅成本录入!Y122</f>
        <v>0</v>
      </c>
      <c r="Z122" s="198">
        <f>$E122*餐厅成本录入!Z122</f>
        <v>0</v>
      </c>
      <c r="AA122" s="198">
        <f>$E122*餐厅成本录入!AA122</f>
        <v>0</v>
      </c>
      <c r="AB122" s="198">
        <f>$E122*餐厅成本录入!AB122</f>
        <v>0</v>
      </c>
      <c r="AC122" s="198">
        <f>$E122*餐厅成本录入!AC122</f>
        <v>0</v>
      </c>
      <c r="AD122" s="198">
        <f>$E122*餐厅成本录入!AD122</f>
        <v>45</v>
      </c>
      <c r="AE122" s="198">
        <f>$E122*餐厅成本录入!AE122</f>
        <v>45</v>
      </c>
      <c r="AF122" s="198">
        <f>$E122*餐厅成本录入!AF122</f>
        <v>0</v>
      </c>
      <c r="AG122" s="198">
        <f>$E122*餐厅成本录入!AG122</f>
        <v>0</v>
      </c>
      <c r="AH122" s="198">
        <f>$E122*餐厅成本录入!AH122</f>
        <v>45</v>
      </c>
      <c r="AI122" s="198">
        <f>$E122*餐厅成本录入!AI122</f>
        <v>45</v>
      </c>
      <c r="AJ122" s="198">
        <f>$E122*餐厅成本录入!AJ122</f>
        <v>0</v>
      </c>
      <c r="AK122" s="198">
        <f>$E122*餐厅成本录入!AK122</f>
        <v>0</v>
      </c>
      <c r="AL122" s="198">
        <f>$E122*餐厅成本录入!AL122</f>
        <v>45</v>
      </c>
      <c r="AM122" s="198">
        <f>$E122*餐厅成本录入!AM122</f>
        <v>45</v>
      </c>
      <c r="AN122" s="198">
        <f>$E122*餐厅成本录入!AN122</f>
        <v>0</v>
      </c>
      <c r="AO122" s="198">
        <f>$E122*餐厅成本录入!AO122</f>
        <v>0</v>
      </c>
      <c r="AP122" s="198">
        <f>$E122*餐厅成本录入!AP122</f>
        <v>0</v>
      </c>
      <c r="AQ122" s="198">
        <f>$E122*餐厅成本录入!AQ122</f>
        <v>0</v>
      </c>
      <c r="AR122" s="198">
        <f>$E122*餐厅成本录入!AR122</f>
        <v>0</v>
      </c>
      <c r="AS122" s="198">
        <f>$E122*餐厅成本录入!AS122</f>
        <v>0</v>
      </c>
      <c r="AT122" s="198">
        <f>$E122*餐厅成本录入!AT122</f>
        <v>0</v>
      </c>
      <c r="AU122" s="198">
        <f>$E122*餐厅成本录入!AU122</f>
        <v>0</v>
      </c>
      <c r="AV122" s="198">
        <f>$E122*餐厅成本录入!AV122</f>
        <v>45</v>
      </c>
      <c r="AW122" s="198">
        <f>$E122*餐厅成本录入!AW122</f>
        <v>45</v>
      </c>
      <c r="AX122" s="198">
        <f>$E122*餐厅成本录入!AX122</f>
        <v>0</v>
      </c>
      <c r="AY122" s="198">
        <f>$E122*餐厅成本录入!AY122</f>
        <v>0</v>
      </c>
      <c r="AZ122" s="198">
        <f>$E122*餐厅成本录入!AZ122</f>
        <v>45</v>
      </c>
      <c r="BA122" s="198">
        <f>$E122*餐厅成本录入!BA122</f>
        <v>45</v>
      </c>
      <c r="BB122" s="198">
        <f>$E122*餐厅成本录入!BB122</f>
        <v>45</v>
      </c>
      <c r="BC122" s="198">
        <f>$E122*餐厅成本录入!BC122</f>
        <v>45</v>
      </c>
      <c r="BD122" s="198">
        <f>$E122*餐厅成本录入!BD122</f>
        <v>0</v>
      </c>
      <c r="BE122" s="198">
        <f>$E122*餐厅成本录入!BE122</f>
        <v>0</v>
      </c>
      <c r="BF122" s="198">
        <f>$E122*餐厅成本录入!BF122</f>
        <v>45</v>
      </c>
      <c r="BG122" s="198">
        <f>$E122*餐厅成本录入!BG122</f>
        <v>45</v>
      </c>
      <c r="BH122" s="198">
        <f>$E122*餐厅成本录入!BH122</f>
        <v>0</v>
      </c>
      <c r="BI122" s="198">
        <f>$E122*餐厅成本录入!BI122</f>
        <v>0</v>
      </c>
      <c r="BJ122" s="198">
        <f>$E122*餐厅成本录入!BJ122</f>
        <v>45</v>
      </c>
      <c r="BK122" s="198">
        <f>$E122*餐厅成本录入!BK122</f>
        <v>45</v>
      </c>
      <c r="BL122" s="198">
        <f>$E122*餐厅成本录入!BL122</f>
        <v>0</v>
      </c>
      <c r="BM122" s="198">
        <f>$E122*餐厅成本录入!BM122</f>
        <v>0</v>
      </c>
      <c r="BN122" s="198">
        <f>$E122*餐厅成本录入!BN122</f>
        <v>45</v>
      </c>
      <c r="BO122" s="198">
        <f>$E122*餐厅成本录入!BO122</f>
        <v>45</v>
      </c>
      <c r="BP122" s="198">
        <f>$E122*餐厅成本录入!BP122</f>
        <v>0</v>
      </c>
      <c r="BQ122" s="198">
        <f>$E122*餐厅成本录入!BQ122</f>
        <v>0</v>
      </c>
      <c r="BR122" s="198">
        <f>$E122*餐厅成本录入!BR122</f>
        <v>45</v>
      </c>
      <c r="BS122" s="198">
        <f>$E122*餐厅成本录入!BS122</f>
        <v>45</v>
      </c>
      <c r="BT122" s="198">
        <f>$E122*餐厅成本录入!BT122</f>
        <v>0</v>
      </c>
      <c r="BU122" s="198">
        <f>$E122*餐厅成本录入!BU122</f>
        <v>0</v>
      </c>
      <c r="BV122" s="198">
        <f>$E122*餐厅成本录入!BV122</f>
        <v>0</v>
      </c>
      <c r="BW122" s="198">
        <f>$E122*餐厅成本录入!BW122</f>
        <v>0</v>
      </c>
    </row>
    <row r="123" s="178" customFormat="1" customHeight="1" spans="1:75">
      <c r="A123" s="161">
        <v>155</v>
      </c>
      <c r="B123" s="21" t="str">
        <f>餐厅成本录入!B123</f>
        <v>哈密瓜</v>
      </c>
      <c r="C123" s="21">
        <f>餐厅成本录入!C123</f>
        <v>0</v>
      </c>
      <c r="D123" s="21">
        <f>餐厅成本录入!D123</f>
        <v>0</v>
      </c>
      <c r="E123" s="21">
        <f>餐厅成本录入!E123</f>
        <v>2.8</v>
      </c>
      <c r="F123" s="21">
        <f>餐厅成本录入!F123</f>
        <v>0</v>
      </c>
      <c r="G123" s="21">
        <f>餐厅成本录入!G123</f>
        <v>0</v>
      </c>
      <c r="H123" s="21">
        <f>餐厅成本录入!H123</f>
        <v>317.3</v>
      </c>
      <c r="I123" s="21">
        <f>餐厅成本录入!I123</f>
        <v>888.44</v>
      </c>
      <c r="J123" s="21">
        <f>餐厅成本录入!J123</f>
        <v>317.3</v>
      </c>
      <c r="K123" s="21">
        <f>餐厅成本录入!K123</f>
        <v>888.44</v>
      </c>
      <c r="L123" s="21">
        <f>餐厅成本录入!L123</f>
        <v>0</v>
      </c>
      <c r="M123" s="21">
        <f>餐厅成本录入!M123</f>
        <v>0</v>
      </c>
      <c r="N123" s="198">
        <f>$E123*餐厅成本录入!N123</f>
        <v>0</v>
      </c>
      <c r="O123" s="198">
        <f>$E123*餐厅成本录入!O123</f>
        <v>0</v>
      </c>
      <c r="P123" s="198">
        <f>$E123*餐厅成本录入!P123</f>
        <v>137.2</v>
      </c>
      <c r="Q123" s="198">
        <f>$E123*餐厅成本录入!Q123</f>
        <v>137.2</v>
      </c>
      <c r="R123" s="198">
        <f>$E123*餐厅成本录入!R123</f>
        <v>0</v>
      </c>
      <c r="S123" s="198">
        <f>$E123*餐厅成本录入!S123</f>
        <v>0</v>
      </c>
      <c r="T123" s="198">
        <f>$E123*餐厅成本录入!T123</f>
        <v>0</v>
      </c>
      <c r="U123" s="198">
        <f>$E123*餐厅成本录入!U123</f>
        <v>0</v>
      </c>
      <c r="V123" s="198">
        <f>$E123*餐厅成本录入!V123</f>
        <v>127.4</v>
      </c>
      <c r="W123" s="198">
        <f>$E123*餐厅成本录入!W123</f>
        <v>127.4</v>
      </c>
      <c r="X123" s="198">
        <f>$E123*餐厅成本录入!X123</f>
        <v>0</v>
      </c>
      <c r="Y123" s="198">
        <f>$E123*餐厅成本录入!Y123</f>
        <v>0</v>
      </c>
      <c r="Z123" s="198">
        <f>$E123*餐厅成本录入!Z123</f>
        <v>0</v>
      </c>
      <c r="AA123" s="198">
        <f>$E123*餐厅成本录入!AA123</f>
        <v>0</v>
      </c>
      <c r="AB123" s="198">
        <f>$E123*餐厅成本录入!AB123</f>
        <v>0</v>
      </c>
      <c r="AC123" s="198">
        <f>$E123*餐厅成本录入!AC123</f>
        <v>0</v>
      </c>
      <c r="AD123" s="198">
        <f>$E123*餐厅成本录入!AD123</f>
        <v>131.6</v>
      </c>
      <c r="AE123" s="198">
        <f>$E123*餐厅成本录入!AE123</f>
        <v>131.6</v>
      </c>
      <c r="AF123" s="198">
        <f>$E123*餐厅成本录入!AF123</f>
        <v>0</v>
      </c>
      <c r="AG123" s="198">
        <f>$E123*餐厅成本录入!AG123</f>
        <v>0</v>
      </c>
      <c r="AH123" s="198">
        <f>$E123*餐厅成本录入!AH123</f>
        <v>0</v>
      </c>
      <c r="AI123" s="198">
        <f>$E123*餐厅成本录入!AI123</f>
        <v>0</v>
      </c>
      <c r="AJ123" s="198">
        <f>$E123*餐厅成本录入!AJ123</f>
        <v>0</v>
      </c>
      <c r="AK123" s="198">
        <f>$E123*餐厅成本录入!AK123</f>
        <v>0</v>
      </c>
      <c r="AL123" s="198">
        <f>$E123*餐厅成本录入!AL123</f>
        <v>133.84</v>
      </c>
      <c r="AM123" s="198">
        <f>$E123*餐厅成本录入!AM123</f>
        <v>133.84</v>
      </c>
      <c r="AN123" s="198">
        <f>$E123*餐厅成本录入!AN123</f>
        <v>0</v>
      </c>
      <c r="AO123" s="198">
        <f>$E123*餐厅成本录入!AO123</f>
        <v>0</v>
      </c>
      <c r="AP123" s="198">
        <f>$E123*餐厅成本录入!AP123</f>
        <v>0</v>
      </c>
      <c r="AQ123" s="198">
        <f>$E123*餐厅成本录入!AQ123</f>
        <v>0</v>
      </c>
      <c r="AR123" s="198">
        <f>$E123*餐厅成本录入!AR123</f>
        <v>0</v>
      </c>
      <c r="AS123" s="198">
        <f>$E123*餐厅成本录入!AS123</f>
        <v>0</v>
      </c>
      <c r="AT123" s="198">
        <f>$E123*餐厅成本录入!AT123</f>
        <v>0</v>
      </c>
      <c r="AU123" s="198">
        <f>$E123*餐厅成本录入!AU123</f>
        <v>0</v>
      </c>
      <c r="AV123" s="198">
        <f>$E123*餐厅成本录入!AV123</f>
        <v>0</v>
      </c>
      <c r="AW123" s="198">
        <f>$E123*餐厅成本录入!AW123</f>
        <v>0</v>
      </c>
      <c r="AX123" s="198">
        <f>$E123*餐厅成本录入!AX123</f>
        <v>0</v>
      </c>
      <c r="AY123" s="198">
        <f>$E123*餐厅成本录入!AY123</f>
        <v>0</v>
      </c>
      <c r="AZ123" s="198">
        <f>$E123*餐厅成本录入!AZ123</f>
        <v>0</v>
      </c>
      <c r="BA123" s="198">
        <f>$E123*餐厅成本录入!BA123</f>
        <v>0</v>
      </c>
      <c r="BB123" s="198">
        <f>$E123*餐厅成本录入!BB123</f>
        <v>112</v>
      </c>
      <c r="BC123" s="198">
        <f>$E123*餐厅成本录入!BC123</f>
        <v>112</v>
      </c>
      <c r="BD123" s="198">
        <f>$E123*餐厅成本录入!BD123</f>
        <v>0</v>
      </c>
      <c r="BE123" s="198">
        <f>$E123*餐厅成本录入!BE123</f>
        <v>0</v>
      </c>
      <c r="BF123" s="198">
        <f>$E123*餐厅成本录入!BF123</f>
        <v>106.4</v>
      </c>
      <c r="BG123" s="198">
        <f>$E123*餐厅成本录入!BG123</f>
        <v>106.4</v>
      </c>
      <c r="BH123" s="198">
        <f>$E123*餐厅成本录入!BH123</f>
        <v>0</v>
      </c>
      <c r="BI123" s="198">
        <f>$E123*餐厅成本录入!BI123</f>
        <v>0</v>
      </c>
      <c r="BJ123" s="198">
        <f>$E123*餐厅成本录入!BJ123</f>
        <v>0</v>
      </c>
      <c r="BK123" s="198">
        <f>$E123*餐厅成本录入!BK123</f>
        <v>0</v>
      </c>
      <c r="BL123" s="198">
        <f>$E123*餐厅成本录入!BL123</f>
        <v>0</v>
      </c>
      <c r="BM123" s="198">
        <f>$E123*餐厅成本录入!BM123</f>
        <v>0</v>
      </c>
      <c r="BN123" s="198">
        <f>$E123*餐厅成本录入!BN123</f>
        <v>140</v>
      </c>
      <c r="BO123" s="198">
        <f>$E123*餐厅成本录入!BO123</f>
        <v>140</v>
      </c>
      <c r="BP123" s="198">
        <f>$E123*餐厅成本录入!BP123</f>
        <v>0</v>
      </c>
      <c r="BQ123" s="198">
        <f>$E123*餐厅成本录入!BQ123</f>
        <v>0</v>
      </c>
      <c r="BR123" s="198">
        <f>$E123*餐厅成本录入!BR123</f>
        <v>0</v>
      </c>
      <c r="BS123" s="198">
        <f>$E123*餐厅成本录入!BS123</f>
        <v>0</v>
      </c>
      <c r="BT123" s="198">
        <f>$E123*餐厅成本录入!BT123</f>
        <v>0</v>
      </c>
      <c r="BU123" s="198">
        <f>$E123*餐厅成本录入!BU123</f>
        <v>0</v>
      </c>
      <c r="BV123" s="198">
        <f>$E123*餐厅成本录入!BV123</f>
        <v>0</v>
      </c>
      <c r="BW123" s="198">
        <f>$E123*餐厅成本录入!BW123</f>
        <v>0</v>
      </c>
    </row>
    <row r="124" s="178" customFormat="1" customHeight="1" spans="1:75">
      <c r="A124" s="161">
        <v>156</v>
      </c>
      <c r="B124" s="21" t="str">
        <f>餐厅成本录入!B124</f>
        <v>苹果</v>
      </c>
      <c r="C124" s="21">
        <f>餐厅成本录入!C124</f>
        <v>0</v>
      </c>
      <c r="D124" s="21">
        <f>餐厅成本录入!D124</f>
        <v>0</v>
      </c>
      <c r="E124" s="21">
        <f>餐厅成本录入!E124</f>
        <v>4</v>
      </c>
      <c r="F124" s="21">
        <f>餐厅成本录入!F124</f>
        <v>0</v>
      </c>
      <c r="G124" s="21">
        <f>餐厅成本录入!G124</f>
        <v>0</v>
      </c>
      <c r="H124" s="21">
        <f>餐厅成本录入!H124</f>
        <v>95.2</v>
      </c>
      <c r="I124" s="21">
        <f>餐厅成本录入!I124</f>
        <v>380.8</v>
      </c>
      <c r="J124" s="21">
        <f>餐厅成本录入!J124</f>
        <v>95.2</v>
      </c>
      <c r="K124" s="21">
        <f>餐厅成本录入!K124</f>
        <v>380.8</v>
      </c>
      <c r="L124" s="21">
        <f>餐厅成本录入!L124</f>
        <v>0</v>
      </c>
      <c r="M124" s="21">
        <f>餐厅成本录入!M124</f>
        <v>0</v>
      </c>
      <c r="N124" s="198">
        <f>$E124*餐厅成本录入!N124</f>
        <v>92</v>
      </c>
      <c r="O124" s="198">
        <f>$E124*餐厅成本录入!O124</f>
        <v>92</v>
      </c>
      <c r="P124" s="198">
        <f>$E124*餐厅成本录入!P124</f>
        <v>0</v>
      </c>
      <c r="Q124" s="198">
        <f>$E124*餐厅成本录入!Q124</f>
        <v>0</v>
      </c>
      <c r="R124" s="198">
        <f>$E124*餐厅成本录入!R124</f>
        <v>96</v>
      </c>
      <c r="S124" s="198">
        <f>$E124*餐厅成本录入!S124</f>
        <v>96</v>
      </c>
      <c r="T124" s="198">
        <f>$E124*餐厅成本录入!T124</f>
        <v>0</v>
      </c>
      <c r="U124" s="198">
        <f>$E124*餐厅成本录入!U124</f>
        <v>0</v>
      </c>
      <c r="V124" s="198">
        <f>$E124*餐厅成本录入!V124</f>
        <v>0</v>
      </c>
      <c r="W124" s="198">
        <f>$E124*餐厅成本录入!W124</f>
        <v>0</v>
      </c>
      <c r="X124" s="198">
        <f>$E124*餐厅成本录入!X124</f>
        <v>0</v>
      </c>
      <c r="Y124" s="198">
        <f>$E124*餐厅成本录入!Y124</f>
        <v>0</v>
      </c>
      <c r="Z124" s="198">
        <f>$E124*餐厅成本录入!Z124</f>
        <v>0</v>
      </c>
      <c r="AA124" s="198">
        <f>$E124*餐厅成本录入!AA124</f>
        <v>0</v>
      </c>
      <c r="AB124" s="198">
        <f>$E124*餐厅成本录入!AB124</f>
        <v>0</v>
      </c>
      <c r="AC124" s="198">
        <f>$E124*餐厅成本录入!AC124</f>
        <v>0</v>
      </c>
      <c r="AD124" s="198">
        <f>$E124*餐厅成本录入!AD124</f>
        <v>100</v>
      </c>
      <c r="AE124" s="198">
        <f>$E124*餐厅成本录入!AE124</f>
        <v>100</v>
      </c>
      <c r="AF124" s="198">
        <f>$E124*餐厅成本录入!AF124</f>
        <v>0</v>
      </c>
      <c r="AG124" s="198">
        <f>$E124*餐厅成本录入!AG124</f>
        <v>0</v>
      </c>
      <c r="AH124" s="198">
        <f>$E124*餐厅成本录入!AH124</f>
        <v>0</v>
      </c>
      <c r="AI124" s="198">
        <f>$E124*餐厅成本录入!AI124</f>
        <v>0</v>
      </c>
      <c r="AJ124" s="198">
        <f>$E124*餐厅成本录入!AJ124</f>
        <v>0</v>
      </c>
      <c r="AK124" s="198">
        <f>$E124*餐厅成本录入!AK124</f>
        <v>0</v>
      </c>
      <c r="AL124" s="198">
        <f>$E124*餐厅成本录入!AL124</f>
        <v>0</v>
      </c>
      <c r="AM124" s="198">
        <f>$E124*餐厅成本录入!AM124</f>
        <v>0</v>
      </c>
      <c r="AN124" s="198">
        <f>$E124*餐厅成本录入!AN124</f>
        <v>0</v>
      </c>
      <c r="AO124" s="198">
        <f>$E124*餐厅成本录入!AO124</f>
        <v>0</v>
      </c>
      <c r="AP124" s="198">
        <f>$E124*餐厅成本录入!AP124</f>
        <v>0</v>
      </c>
      <c r="AQ124" s="198">
        <f>$E124*餐厅成本录入!AQ124</f>
        <v>0</v>
      </c>
      <c r="AR124" s="198">
        <f>$E124*餐厅成本录入!AR124</f>
        <v>0</v>
      </c>
      <c r="AS124" s="198">
        <f>$E124*餐厅成本录入!AS124</f>
        <v>0</v>
      </c>
      <c r="AT124" s="198">
        <f>$E124*餐厅成本录入!AT124</f>
        <v>0</v>
      </c>
      <c r="AU124" s="198">
        <f>$E124*餐厅成本录入!AU124</f>
        <v>0</v>
      </c>
      <c r="AV124" s="198">
        <f>$E124*餐厅成本录入!AV124</f>
        <v>92.8</v>
      </c>
      <c r="AW124" s="198">
        <f>$E124*餐厅成本录入!AW124</f>
        <v>92.8</v>
      </c>
      <c r="AX124" s="198">
        <f>$E124*餐厅成本录入!AX124</f>
        <v>0</v>
      </c>
      <c r="AY124" s="198">
        <f>$E124*餐厅成本录入!AY124</f>
        <v>0</v>
      </c>
      <c r="AZ124" s="198">
        <f>$E124*餐厅成本录入!AZ124</f>
        <v>0</v>
      </c>
      <c r="BA124" s="198">
        <f>$E124*餐厅成本录入!BA124</f>
        <v>0</v>
      </c>
      <c r="BB124" s="198">
        <f>$E124*餐厅成本录入!BB124</f>
        <v>0</v>
      </c>
      <c r="BC124" s="198">
        <f>$E124*餐厅成本录入!BC124</f>
        <v>0</v>
      </c>
      <c r="BD124" s="198">
        <f>$E124*餐厅成本录入!BD124</f>
        <v>0</v>
      </c>
      <c r="BE124" s="198">
        <f>$E124*餐厅成本录入!BE124</f>
        <v>0</v>
      </c>
      <c r="BF124" s="198">
        <f>$E124*餐厅成本录入!BF124</f>
        <v>0</v>
      </c>
      <c r="BG124" s="198">
        <f>$E124*餐厅成本录入!BG124</f>
        <v>0</v>
      </c>
      <c r="BH124" s="198">
        <f>$E124*餐厅成本录入!BH124</f>
        <v>0</v>
      </c>
      <c r="BI124" s="198">
        <f>$E124*餐厅成本录入!BI124</f>
        <v>0</v>
      </c>
      <c r="BJ124" s="198">
        <f>$E124*餐厅成本录入!BJ124</f>
        <v>0</v>
      </c>
      <c r="BK124" s="198">
        <f>$E124*餐厅成本录入!BK124</f>
        <v>0</v>
      </c>
      <c r="BL124" s="198">
        <f>$E124*餐厅成本录入!BL124</f>
        <v>0</v>
      </c>
      <c r="BM124" s="198">
        <f>$E124*餐厅成本录入!BM124</f>
        <v>0</v>
      </c>
      <c r="BN124" s="198">
        <f>$E124*餐厅成本录入!BN124</f>
        <v>0</v>
      </c>
      <c r="BO124" s="198">
        <f>$E124*餐厅成本录入!BO124</f>
        <v>0</v>
      </c>
      <c r="BP124" s="198">
        <f>$E124*餐厅成本录入!BP124</f>
        <v>0</v>
      </c>
      <c r="BQ124" s="198">
        <f>$E124*餐厅成本录入!BQ124</f>
        <v>0</v>
      </c>
      <c r="BR124" s="198">
        <f>$E124*餐厅成本录入!BR124</f>
        <v>0</v>
      </c>
      <c r="BS124" s="198">
        <f>$E124*餐厅成本录入!BS124</f>
        <v>0</v>
      </c>
      <c r="BT124" s="198">
        <f>$E124*餐厅成本录入!BT124</f>
        <v>0</v>
      </c>
      <c r="BU124" s="198">
        <f>$E124*餐厅成本录入!BU124</f>
        <v>0</v>
      </c>
      <c r="BV124" s="198">
        <f>$E124*餐厅成本录入!BV124</f>
        <v>0</v>
      </c>
      <c r="BW124" s="198">
        <f>$E124*餐厅成本录入!BW124</f>
        <v>0</v>
      </c>
    </row>
    <row r="125" s="178" customFormat="1" customHeight="1" spans="1:75">
      <c r="A125" s="161">
        <v>157</v>
      </c>
      <c r="B125" s="21" t="str">
        <f>餐厅成本录入!B125</f>
        <v>黄圣女果</v>
      </c>
      <c r="C125" s="21">
        <f>餐厅成本录入!C125</f>
        <v>0</v>
      </c>
      <c r="D125" s="21">
        <f>餐厅成本录入!D125</f>
        <v>0</v>
      </c>
      <c r="E125" s="21">
        <f>餐厅成本录入!E125</f>
        <v>4.5</v>
      </c>
      <c r="F125" s="21">
        <f>餐厅成本录入!F125</f>
        <v>0</v>
      </c>
      <c r="G125" s="21">
        <f>餐厅成本录入!G125</f>
        <v>0</v>
      </c>
      <c r="H125" s="21">
        <f>餐厅成本录入!H125</f>
        <v>40</v>
      </c>
      <c r="I125" s="21">
        <f>餐厅成本录入!I125</f>
        <v>180</v>
      </c>
      <c r="J125" s="21">
        <f>餐厅成本录入!J125</f>
        <v>40</v>
      </c>
      <c r="K125" s="21">
        <f>餐厅成本录入!K125</f>
        <v>180</v>
      </c>
      <c r="L125" s="21">
        <f>餐厅成本录入!L125</f>
        <v>0</v>
      </c>
      <c r="M125" s="21">
        <f>餐厅成本录入!M125</f>
        <v>0</v>
      </c>
      <c r="N125" s="198">
        <f>$E125*餐厅成本录入!N125</f>
        <v>22.5</v>
      </c>
      <c r="O125" s="198">
        <f>$E125*餐厅成本录入!O125</f>
        <v>22.5</v>
      </c>
      <c r="P125" s="198">
        <f>$E125*餐厅成本录入!P125</f>
        <v>0</v>
      </c>
      <c r="Q125" s="198">
        <f>$E125*餐厅成本录入!Q125</f>
        <v>0</v>
      </c>
      <c r="R125" s="198">
        <f>$E125*餐厅成本录入!R125</f>
        <v>0</v>
      </c>
      <c r="S125" s="198">
        <f>$E125*餐厅成本录入!S125</f>
        <v>0</v>
      </c>
      <c r="T125" s="198">
        <f>$E125*餐厅成本录入!T125</f>
        <v>0</v>
      </c>
      <c r="U125" s="198">
        <f>$E125*餐厅成本录入!U125</f>
        <v>0</v>
      </c>
      <c r="V125" s="198">
        <f>$E125*餐厅成本录入!V125</f>
        <v>0</v>
      </c>
      <c r="W125" s="198">
        <f>$E125*餐厅成本录入!W125</f>
        <v>0</v>
      </c>
      <c r="X125" s="198">
        <f>$E125*餐厅成本录入!X125</f>
        <v>0</v>
      </c>
      <c r="Y125" s="198">
        <f>$E125*餐厅成本录入!Y125</f>
        <v>0</v>
      </c>
      <c r="Z125" s="198">
        <f>$E125*餐厅成本录入!Z125</f>
        <v>0</v>
      </c>
      <c r="AA125" s="198">
        <f>$E125*餐厅成本录入!AA125</f>
        <v>0</v>
      </c>
      <c r="AB125" s="198">
        <f>$E125*餐厅成本录入!AB125</f>
        <v>0</v>
      </c>
      <c r="AC125" s="198">
        <f>$E125*餐厅成本录入!AC125</f>
        <v>0</v>
      </c>
      <c r="AD125" s="198">
        <f>$E125*餐厅成本录入!AD125</f>
        <v>0</v>
      </c>
      <c r="AE125" s="198">
        <f>$E125*餐厅成本录入!AE125</f>
        <v>0</v>
      </c>
      <c r="AF125" s="198">
        <f>$E125*餐厅成本录入!AF125</f>
        <v>0</v>
      </c>
      <c r="AG125" s="198">
        <f>$E125*餐厅成本录入!AG125</f>
        <v>0</v>
      </c>
      <c r="AH125" s="198">
        <f>$E125*餐厅成本录入!AH125</f>
        <v>0</v>
      </c>
      <c r="AI125" s="198">
        <f>$E125*餐厅成本录入!AI125</f>
        <v>0</v>
      </c>
      <c r="AJ125" s="198">
        <f>$E125*餐厅成本录入!AJ125</f>
        <v>0</v>
      </c>
      <c r="AK125" s="198">
        <f>$E125*餐厅成本录入!AK125</f>
        <v>0</v>
      </c>
      <c r="AL125" s="198">
        <f>$E125*餐厅成本录入!AL125</f>
        <v>0</v>
      </c>
      <c r="AM125" s="198">
        <f>$E125*餐厅成本录入!AM125</f>
        <v>0</v>
      </c>
      <c r="AN125" s="198">
        <f>$E125*餐厅成本录入!AN125</f>
        <v>0</v>
      </c>
      <c r="AO125" s="198">
        <f>$E125*餐厅成本录入!AO125</f>
        <v>0</v>
      </c>
      <c r="AP125" s="198">
        <f>$E125*餐厅成本录入!AP125</f>
        <v>0</v>
      </c>
      <c r="AQ125" s="198">
        <f>$E125*餐厅成本录入!AQ125</f>
        <v>0</v>
      </c>
      <c r="AR125" s="198">
        <f>$E125*餐厅成本录入!AR125</f>
        <v>0</v>
      </c>
      <c r="AS125" s="198">
        <f>$E125*餐厅成本录入!AS125</f>
        <v>0</v>
      </c>
      <c r="AT125" s="198">
        <f>$E125*餐厅成本录入!AT125</f>
        <v>0</v>
      </c>
      <c r="AU125" s="198">
        <f>$E125*餐厅成本录入!AU125</f>
        <v>0</v>
      </c>
      <c r="AV125" s="198">
        <f>$E125*餐厅成本录入!AV125</f>
        <v>0</v>
      </c>
      <c r="AW125" s="198">
        <f>$E125*餐厅成本录入!AW125</f>
        <v>0</v>
      </c>
      <c r="AX125" s="198">
        <f>$E125*餐厅成本录入!AX125</f>
        <v>0</v>
      </c>
      <c r="AY125" s="198">
        <f>$E125*餐厅成本录入!AY125</f>
        <v>0</v>
      </c>
      <c r="AZ125" s="198">
        <f>$E125*餐厅成本录入!AZ125</f>
        <v>0</v>
      </c>
      <c r="BA125" s="198">
        <f>$E125*餐厅成本录入!BA125</f>
        <v>0</v>
      </c>
      <c r="BB125" s="198">
        <f>$E125*餐厅成本录入!BB125</f>
        <v>0</v>
      </c>
      <c r="BC125" s="198">
        <f>$E125*餐厅成本录入!BC125</f>
        <v>0</v>
      </c>
      <c r="BD125" s="198">
        <f>$E125*餐厅成本录入!BD125</f>
        <v>0</v>
      </c>
      <c r="BE125" s="198">
        <f>$E125*餐厅成本录入!BE125</f>
        <v>0</v>
      </c>
      <c r="BF125" s="198">
        <f>$E125*餐厅成本录入!BF125</f>
        <v>0</v>
      </c>
      <c r="BG125" s="198">
        <f>$E125*餐厅成本录入!BG125</f>
        <v>0</v>
      </c>
      <c r="BH125" s="198">
        <f>$E125*餐厅成本录入!BH125</f>
        <v>0</v>
      </c>
      <c r="BI125" s="198">
        <f>$E125*餐厅成本录入!BI125</f>
        <v>0</v>
      </c>
      <c r="BJ125" s="198">
        <f>$E125*餐厅成本录入!BJ125</f>
        <v>45</v>
      </c>
      <c r="BK125" s="198">
        <f>$E125*餐厅成本录入!BK125</f>
        <v>45</v>
      </c>
      <c r="BL125" s="198">
        <f>$E125*餐厅成本录入!BL125</f>
        <v>0</v>
      </c>
      <c r="BM125" s="198">
        <f>$E125*餐厅成本录入!BM125</f>
        <v>0</v>
      </c>
      <c r="BN125" s="198">
        <f>$E125*餐厅成本录入!BN125</f>
        <v>67.5</v>
      </c>
      <c r="BO125" s="198">
        <f>$E125*餐厅成本录入!BO125</f>
        <v>67.5</v>
      </c>
      <c r="BP125" s="198">
        <f>$E125*餐厅成本录入!BP125</f>
        <v>0</v>
      </c>
      <c r="BQ125" s="198">
        <f>$E125*餐厅成本录入!BQ125</f>
        <v>0</v>
      </c>
      <c r="BR125" s="198">
        <f>$E125*餐厅成本录入!BR125</f>
        <v>45</v>
      </c>
      <c r="BS125" s="198">
        <f>$E125*餐厅成本录入!BS125</f>
        <v>45</v>
      </c>
      <c r="BT125" s="198">
        <f>$E125*餐厅成本录入!BT125</f>
        <v>0</v>
      </c>
      <c r="BU125" s="198">
        <f>$E125*餐厅成本录入!BU125</f>
        <v>0</v>
      </c>
      <c r="BV125" s="198">
        <f>$E125*餐厅成本录入!BV125</f>
        <v>0</v>
      </c>
      <c r="BW125" s="198">
        <f>$E125*餐厅成本录入!BW125</f>
        <v>0</v>
      </c>
    </row>
    <row r="126" s="178" customFormat="1" customHeight="1" spans="1:75">
      <c r="A126" s="161">
        <v>158</v>
      </c>
      <c r="B126" s="21" t="str">
        <f>餐厅成本录入!B126</f>
        <v>柠檬</v>
      </c>
      <c r="C126" s="21">
        <f>餐厅成本录入!C126</f>
        <v>0</v>
      </c>
      <c r="D126" s="21" t="str">
        <f>餐厅成本录入!D126</f>
        <v>斤</v>
      </c>
      <c r="E126" s="21">
        <f>餐厅成本录入!E126</f>
        <v>9</v>
      </c>
      <c r="F126" s="21">
        <f>餐厅成本录入!F126</f>
        <v>0</v>
      </c>
      <c r="G126" s="21">
        <f>餐厅成本录入!G126</f>
        <v>0</v>
      </c>
      <c r="H126" s="21">
        <f>餐厅成本录入!H126</f>
        <v>23.9</v>
      </c>
      <c r="I126" s="21">
        <f>餐厅成本录入!I126</f>
        <v>215.1</v>
      </c>
      <c r="J126" s="21">
        <f>餐厅成本录入!J126</f>
        <v>23.9</v>
      </c>
      <c r="K126" s="21">
        <f>餐厅成本录入!K126</f>
        <v>215.1</v>
      </c>
      <c r="L126" s="21">
        <f>餐厅成本录入!L126</f>
        <v>0</v>
      </c>
      <c r="M126" s="21">
        <f>餐厅成本录入!M126</f>
        <v>0</v>
      </c>
      <c r="N126" s="198">
        <f>$E126*餐厅成本录入!N126</f>
        <v>34.2</v>
      </c>
      <c r="O126" s="198">
        <f>$E126*餐厅成本录入!O126</f>
        <v>34.2</v>
      </c>
      <c r="P126" s="198">
        <f>$E126*餐厅成本录入!P126</f>
        <v>0</v>
      </c>
      <c r="Q126" s="198">
        <f>$E126*餐厅成本录入!Q126</f>
        <v>0</v>
      </c>
      <c r="R126" s="198">
        <f>$E126*餐厅成本录入!R126</f>
        <v>0</v>
      </c>
      <c r="S126" s="198">
        <f>$E126*餐厅成本录入!S126</f>
        <v>0</v>
      </c>
      <c r="T126" s="198">
        <f>$E126*餐厅成本录入!T126</f>
        <v>0</v>
      </c>
      <c r="U126" s="198">
        <f>$E126*餐厅成本录入!U126</f>
        <v>0</v>
      </c>
      <c r="V126" s="198">
        <f>$E126*餐厅成本录入!V126</f>
        <v>0</v>
      </c>
      <c r="W126" s="198">
        <f>$E126*餐厅成本录入!W126</f>
        <v>0</v>
      </c>
      <c r="X126" s="198">
        <f>$E126*餐厅成本录入!X126</f>
        <v>0</v>
      </c>
      <c r="Y126" s="198">
        <f>$E126*餐厅成本录入!Y126</f>
        <v>0</v>
      </c>
      <c r="Z126" s="198">
        <f>$E126*餐厅成本录入!Z126</f>
        <v>0</v>
      </c>
      <c r="AA126" s="198">
        <f>$E126*餐厅成本录入!AA126</f>
        <v>0</v>
      </c>
      <c r="AB126" s="198">
        <f>$E126*餐厅成本录入!AB126</f>
        <v>0</v>
      </c>
      <c r="AC126" s="198">
        <f>$E126*餐厅成本录入!AC126</f>
        <v>0</v>
      </c>
      <c r="AD126" s="198">
        <f>$E126*餐厅成本录入!AD126</f>
        <v>0</v>
      </c>
      <c r="AE126" s="198">
        <f>$E126*餐厅成本录入!AE126</f>
        <v>0</v>
      </c>
      <c r="AF126" s="198">
        <f>$E126*餐厅成本录入!AF126</f>
        <v>0</v>
      </c>
      <c r="AG126" s="198">
        <f>$E126*餐厅成本录入!AG126</f>
        <v>0</v>
      </c>
      <c r="AH126" s="198">
        <f>$E126*餐厅成本录入!AH126</f>
        <v>29.7</v>
      </c>
      <c r="AI126" s="198">
        <f>$E126*餐厅成本录入!AI126</f>
        <v>29.7</v>
      </c>
      <c r="AJ126" s="198">
        <f>$E126*餐厅成本录入!AJ126</f>
        <v>0</v>
      </c>
      <c r="AK126" s="198">
        <f>$E126*餐厅成本录入!AK126</f>
        <v>0</v>
      </c>
      <c r="AL126" s="198">
        <f>$E126*餐厅成本录入!AL126</f>
        <v>0</v>
      </c>
      <c r="AM126" s="198">
        <f>$E126*餐厅成本录入!AM126</f>
        <v>0</v>
      </c>
      <c r="AN126" s="198">
        <f>$E126*餐厅成本录入!AN126</f>
        <v>30.6</v>
      </c>
      <c r="AO126" s="198">
        <f>$E126*餐厅成本录入!AO126</f>
        <v>30.6</v>
      </c>
      <c r="AP126" s="198">
        <f>$E126*餐厅成本录入!AP126</f>
        <v>0</v>
      </c>
      <c r="AQ126" s="198">
        <f>$E126*餐厅成本录入!AQ126</f>
        <v>0</v>
      </c>
      <c r="AR126" s="198">
        <f>$E126*餐厅成本录入!AR126</f>
        <v>0</v>
      </c>
      <c r="AS126" s="198">
        <f>$E126*餐厅成本录入!AS126</f>
        <v>0</v>
      </c>
      <c r="AT126" s="198">
        <f>$E126*餐厅成本录入!AT126</f>
        <v>30.6</v>
      </c>
      <c r="AU126" s="198">
        <f>$E126*餐厅成本录入!AU126</f>
        <v>30.6</v>
      </c>
      <c r="AV126" s="198">
        <f>$E126*餐厅成本录入!AV126</f>
        <v>0</v>
      </c>
      <c r="AW126" s="198">
        <f>$E126*餐厅成本录入!AW126</f>
        <v>0</v>
      </c>
      <c r="AX126" s="198">
        <f>$E126*餐厅成本录入!AX126</f>
        <v>0</v>
      </c>
      <c r="AY126" s="198">
        <f>$E126*餐厅成本录入!AY126</f>
        <v>0</v>
      </c>
      <c r="AZ126" s="198">
        <f>$E126*餐厅成本录入!AZ126</f>
        <v>0</v>
      </c>
      <c r="BA126" s="198">
        <f>$E126*餐厅成本录入!BA126</f>
        <v>0</v>
      </c>
      <c r="BB126" s="198">
        <f>$E126*餐厅成本录入!BB126</f>
        <v>0</v>
      </c>
      <c r="BC126" s="198">
        <f>$E126*餐厅成本录入!BC126</f>
        <v>0</v>
      </c>
      <c r="BD126" s="198">
        <f>$E126*餐厅成本录入!BD126</f>
        <v>0</v>
      </c>
      <c r="BE126" s="198">
        <f>$E126*餐厅成本录入!BE126</f>
        <v>0</v>
      </c>
      <c r="BF126" s="198">
        <f>$E126*餐厅成本录入!BF126</f>
        <v>90</v>
      </c>
      <c r="BG126" s="198">
        <f>$E126*餐厅成本录入!BG126</f>
        <v>90</v>
      </c>
      <c r="BH126" s="198">
        <f>$E126*餐厅成本录入!BH126</f>
        <v>0</v>
      </c>
      <c r="BI126" s="198">
        <f>$E126*餐厅成本录入!BI126</f>
        <v>0</v>
      </c>
      <c r="BJ126" s="198">
        <f>$E126*餐厅成本录入!BJ126</f>
        <v>0</v>
      </c>
      <c r="BK126" s="198">
        <f>$E126*餐厅成本录入!BK126</f>
        <v>0</v>
      </c>
      <c r="BL126" s="198">
        <f>$E126*餐厅成本录入!BL126</f>
        <v>0</v>
      </c>
      <c r="BM126" s="198">
        <f>$E126*餐厅成本录入!BM126</f>
        <v>0</v>
      </c>
      <c r="BN126" s="198">
        <f>$E126*餐厅成本录入!BN126</f>
        <v>0</v>
      </c>
      <c r="BO126" s="198">
        <f>$E126*餐厅成本录入!BO126</f>
        <v>0</v>
      </c>
      <c r="BP126" s="198">
        <f>$E126*餐厅成本录入!BP126</f>
        <v>0</v>
      </c>
      <c r="BQ126" s="198">
        <f>$E126*餐厅成本录入!BQ126</f>
        <v>0</v>
      </c>
      <c r="BR126" s="198">
        <f>$E126*餐厅成本录入!BR126</f>
        <v>0</v>
      </c>
      <c r="BS126" s="198">
        <f>$E126*餐厅成本录入!BS126</f>
        <v>0</v>
      </c>
      <c r="BT126" s="198">
        <f>$E126*餐厅成本录入!BT126</f>
        <v>0</v>
      </c>
      <c r="BU126" s="198">
        <f>$E126*餐厅成本录入!BU126</f>
        <v>0</v>
      </c>
      <c r="BV126" s="198">
        <f>$E126*餐厅成本录入!BV126</f>
        <v>0</v>
      </c>
      <c r="BW126" s="198">
        <f>$E126*餐厅成本录入!BW126</f>
        <v>0</v>
      </c>
    </row>
    <row r="127" s="178" customFormat="1" customHeight="1" spans="1:75">
      <c r="A127" s="161">
        <v>159</v>
      </c>
      <c r="B127" s="21" t="str">
        <f>餐厅成本录入!B127</f>
        <v>蓝莓</v>
      </c>
      <c r="C127" s="21">
        <f>餐厅成本录入!C127</f>
        <v>0</v>
      </c>
      <c r="D127" s="21" t="str">
        <f>餐厅成本录入!D127</f>
        <v>桶</v>
      </c>
      <c r="E127" s="21">
        <f>餐厅成本录入!E127</f>
        <v>35</v>
      </c>
      <c r="F127" s="21">
        <f>餐厅成本录入!F127</f>
        <v>0</v>
      </c>
      <c r="G127" s="21">
        <f>餐厅成本录入!G127</f>
        <v>0</v>
      </c>
      <c r="H127" s="21">
        <f>餐厅成本录入!H127</f>
        <v>0</v>
      </c>
      <c r="I127" s="21">
        <f>餐厅成本录入!I127</f>
        <v>0</v>
      </c>
      <c r="J127" s="21">
        <f>餐厅成本录入!J127</f>
        <v>0</v>
      </c>
      <c r="K127" s="21">
        <f>餐厅成本录入!K127</f>
        <v>0</v>
      </c>
      <c r="L127" s="21">
        <f>餐厅成本录入!L127</f>
        <v>0</v>
      </c>
      <c r="M127" s="21">
        <f>餐厅成本录入!M127</f>
        <v>0</v>
      </c>
      <c r="N127" s="198">
        <f>$E127*餐厅成本录入!N127</f>
        <v>0</v>
      </c>
      <c r="O127" s="198">
        <f>$E127*餐厅成本录入!O127</f>
        <v>0</v>
      </c>
      <c r="P127" s="198">
        <f>$E127*餐厅成本录入!P127</f>
        <v>0</v>
      </c>
      <c r="Q127" s="198">
        <f>$E127*餐厅成本录入!Q127</f>
        <v>0</v>
      </c>
      <c r="R127" s="198">
        <f>$E127*餐厅成本录入!R127</f>
        <v>0</v>
      </c>
      <c r="S127" s="198">
        <f>$E127*餐厅成本录入!S127</f>
        <v>0</v>
      </c>
      <c r="T127" s="198">
        <f>$E127*餐厅成本录入!T127</f>
        <v>0</v>
      </c>
      <c r="U127" s="198">
        <f>$E127*餐厅成本录入!U127</f>
        <v>0</v>
      </c>
      <c r="V127" s="198">
        <f>$E127*餐厅成本录入!V127</f>
        <v>0</v>
      </c>
      <c r="W127" s="198">
        <f>$E127*餐厅成本录入!W127</f>
        <v>0</v>
      </c>
      <c r="X127" s="198">
        <f>$E127*餐厅成本录入!X127</f>
        <v>0</v>
      </c>
      <c r="Y127" s="198">
        <f>$E127*餐厅成本录入!Y127</f>
        <v>0</v>
      </c>
      <c r="Z127" s="198">
        <f>$E127*餐厅成本录入!Z127</f>
        <v>0</v>
      </c>
      <c r="AA127" s="198">
        <f>$E127*餐厅成本录入!AA127</f>
        <v>0</v>
      </c>
      <c r="AB127" s="198">
        <f>$E127*餐厅成本录入!AB127</f>
        <v>0</v>
      </c>
      <c r="AC127" s="198">
        <f>$E127*餐厅成本录入!AC127</f>
        <v>0</v>
      </c>
      <c r="AD127" s="198">
        <f>$E127*餐厅成本录入!AD127</f>
        <v>0</v>
      </c>
      <c r="AE127" s="198">
        <f>$E127*餐厅成本录入!AE127</f>
        <v>0</v>
      </c>
      <c r="AF127" s="198">
        <f>$E127*餐厅成本录入!AF127</f>
        <v>0</v>
      </c>
      <c r="AG127" s="198">
        <f>$E127*餐厅成本录入!AG127</f>
        <v>0</v>
      </c>
      <c r="AH127" s="198">
        <f>$E127*餐厅成本录入!AH127</f>
        <v>0</v>
      </c>
      <c r="AI127" s="198">
        <f>$E127*餐厅成本录入!AI127</f>
        <v>0</v>
      </c>
      <c r="AJ127" s="198">
        <f>$E127*餐厅成本录入!AJ127</f>
        <v>0</v>
      </c>
      <c r="AK127" s="198">
        <f>$E127*餐厅成本录入!AK127</f>
        <v>0</v>
      </c>
      <c r="AL127" s="198">
        <f>$E127*餐厅成本录入!AL127</f>
        <v>0</v>
      </c>
      <c r="AM127" s="198">
        <f>$E127*餐厅成本录入!AM127</f>
        <v>0</v>
      </c>
      <c r="AN127" s="198">
        <f>$E127*餐厅成本录入!AN127</f>
        <v>0</v>
      </c>
      <c r="AO127" s="198">
        <f>$E127*餐厅成本录入!AO127</f>
        <v>0</v>
      </c>
      <c r="AP127" s="198">
        <f>$E127*餐厅成本录入!AP127</f>
        <v>0</v>
      </c>
      <c r="AQ127" s="198">
        <f>$E127*餐厅成本录入!AQ127</f>
        <v>0</v>
      </c>
      <c r="AR127" s="198">
        <f>$E127*餐厅成本录入!AR127</f>
        <v>0</v>
      </c>
      <c r="AS127" s="198">
        <f>$E127*餐厅成本录入!AS127</f>
        <v>0</v>
      </c>
      <c r="AT127" s="198">
        <f>$E127*餐厅成本录入!AT127</f>
        <v>0</v>
      </c>
      <c r="AU127" s="198">
        <f>$E127*餐厅成本录入!AU127</f>
        <v>0</v>
      </c>
      <c r="AV127" s="198">
        <f>$E127*餐厅成本录入!AV127</f>
        <v>0</v>
      </c>
      <c r="AW127" s="198">
        <f>$E127*餐厅成本录入!AW127</f>
        <v>0</v>
      </c>
      <c r="AX127" s="198">
        <f>$E127*餐厅成本录入!AX127</f>
        <v>0</v>
      </c>
      <c r="AY127" s="198">
        <f>$E127*餐厅成本录入!AY127</f>
        <v>0</v>
      </c>
      <c r="AZ127" s="198">
        <f>$E127*餐厅成本录入!AZ127</f>
        <v>0</v>
      </c>
      <c r="BA127" s="198">
        <f>$E127*餐厅成本录入!BA127</f>
        <v>0</v>
      </c>
      <c r="BB127" s="198">
        <f>$E127*餐厅成本录入!BB127</f>
        <v>0</v>
      </c>
      <c r="BC127" s="198">
        <f>$E127*餐厅成本录入!BC127</f>
        <v>0</v>
      </c>
      <c r="BD127" s="198">
        <f>$E127*餐厅成本录入!BD127</f>
        <v>0</v>
      </c>
      <c r="BE127" s="198">
        <f>$E127*餐厅成本录入!BE127</f>
        <v>0</v>
      </c>
      <c r="BF127" s="198">
        <f>$E127*餐厅成本录入!BF127</f>
        <v>0</v>
      </c>
      <c r="BG127" s="198">
        <f>$E127*餐厅成本录入!BG127</f>
        <v>0</v>
      </c>
      <c r="BH127" s="198">
        <f>$E127*餐厅成本录入!BH127</f>
        <v>0</v>
      </c>
      <c r="BI127" s="198">
        <f>$E127*餐厅成本录入!BI127</f>
        <v>0</v>
      </c>
      <c r="BJ127" s="198">
        <f>$E127*餐厅成本录入!BJ127</f>
        <v>0</v>
      </c>
      <c r="BK127" s="198">
        <f>$E127*餐厅成本录入!BK127</f>
        <v>0</v>
      </c>
      <c r="BL127" s="198">
        <f>$E127*餐厅成本录入!BL127</f>
        <v>0</v>
      </c>
      <c r="BM127" s="198">
        <f>$E127*餐厅成本录入!BM127</f>
        <v>0</v>
      </c>
      <c r="BN127" s="198">
        <f>$E127*餐厅成本录入!BN127</f>
        <v>0</v>
      </c>
      <c r="BO127" s="198">
        <f>$E127*餐厅成本录入!BO127</f>
        <v>0</v>
      </c>
      <c r="BP127" s="198">
        <f>$E127*餐厅成本录入!BP127</f>
        <v>0</v>
      </c>
      <c r="BQ127" s="198">
        <f>$E127*餐厅成本录入!BQ127</f>
        <v>0</v>
      </c>
      <c r="BR127" s="198">
        <f>$E127*餐厅成本录入!BR127</f>
        <v>0</v>
      </c>
      <c r="BS127" s="198">
        <f>$E127*餐厅成本录入!BS127</f>
        <v>0</v>
      </c>
      <c r="BT127" s="198">
        <f>$E127*餐厅成本录入!BT127</f>
        <v>0</v>
      </c>
      <c r="BU127" s="198">
        <f>$E127*餐厅成本录入!BU127</f>
        <v>0</v>
      </c>
      <c r="BV127" s="198">
        <f>$E127*餐厅成本录入!BV127</f>
        <v>0</v>
      </c>
      <c r="BW127" s="198">
        <f>$E127*餐厅成本录入!BW127</f>
        <v>0</v>
      </c>
    </row>
    <row r="128" s="178" customFormat="1" customHeight="1" spans="1:75">
      <c r="A128" s="161">
        <v>160</v>
      </c>
      <c r="B128" s="21" t="str">
        <f>餐厅成本录入!B128</f>
        <v>人参果</v>
      </c>
      <c r="C128" s="21">
        <f>餐厅成本录入!C128</f>
        <v>0</v>
      </c>
      <c r="D128" s="21" t="str">
        <f>餐厅成本录入!D128</f>
        <v>件</v>
      </c>
      <c r="E128" s="21">
        <f>餐厅成本录入!E128</f>
        <v>130</v>
      </c>
      <c r="F128" s="21">
        <f>餐厅成本录入!F128</f>
        <v>0</v>
      </c>
      <c r="G128" s="21">
        <f>餐厅成本录入!G128</f>
        <v>0</v>
      </c>
      <c r="H128" s="21">
        <f>餐厅成本录入!H128</f>
        <v>0</v>
      </c>
      <c r="I128" s="21">
        <f>餐厅成本录入!I128</f>
        <v>0</v>
      </c>
      <c r="J128" s="21">
        <f>餐厅成本录入!J128</f>
        <v>0</v>
      </c>
      <c r="K128" s="21">
        <f>餐厅成本录入!K128</f>
        <v>0</v>
      </c>
      <c r="L128" s="21">
        <f>餐厅成本录入!L128</f>
        <v>0</v>
      </c>
      <c r="M128" s="21">
        <f>餐厅成本录入!M128</f>
        <v>0</v>
      </c>
      <c r="N128" s="198">
        <f>$E128*餐厅成本录入!N128</f>
        <v>0</v>
      </c>
      <c r="O128" s="198">
        <f>$E128*餐厅成本录入!O128</f>
        <v>0</v>
      </c>
      <c r="P128" s="198">
        <f>$E128*餐厅成本录入!P128</f>
        <v>0</v>
      </c>
      <c r="Q128" s="198">
        <f>$E128*餐厅成本录入!Q128</f>
        <v>0</v>
      </c>
      <c r="R128" s="198">
        <f>$E128*餐厅成本录入!R128</f>
        <v>0</v>
      </c>
      <c r="S128" s="198">
        <f>$E128*餐厅成本录入!S128</f>
        <v>0</v>
      </c>
      <c r="T128" s="198">
        <f>$E128*餐厅成本录入!T128</f>
        <v>0</v>
      </c>
      <c r="U128" s="198">
        <f>$E128*餐厅成本录入!U128</f>
        <v>0</v>
      </c>
      <c r="V128" s="198">
        <f>$E128*餐厅成本录入!V128</f>
        <v>0</v>
      </c>
      <c r="W128" s="198">
        <f>$E128*餐厅成本录入!W128</f>
        <v>0</v>
      </c>
      <c r="X128" s="198">
        <f>$E128*餐厅成本录入!X128</f>
        <v>0</v>
      </c>
      <c r="Y128" s="198">
        <f>$E128*餐厅成本录入!Y128</f>
        <v>0</v>
      </c>
      <c r="Z128" s="198">
        <f>$E128*餐厅成本录入!Z128</f>
        <v>0</v>
      </c>
      <c r="AA128" s="198">
        <f>$E128*餐厅成本录入!AA128</f>
        <v>0</v>
      </c>
      <c r="AB128" s="198">
        <f>$E128*餐厅成本录入!AB128</f>
        <v>0</v>
      </c>
      <c r="AC128" s="198">
        <f>$E128*餐厅成本录入!AC128</f>
        <v>0</v>
      </c>
      <c r="AD128" s="198">
        <f>$E128*餐厅成本录入!AD128</f>
        <v>0</v>
      </c>
      <c r="AE128" s="198">
        <f>$E128*餐厅成本录入!AE128</f>
        <v>0</v>
      </c>
      <c r="AF128" s="198">
        <f>$E128*餐厅成本录入!AF128</f>
        <v>0</v>
      </c>
      <c r="AG128" s="198">
        <f>$E128*餐厅成本录入!AG128</f>
        <v>0</v>
      </c>
      <c r="AH128" s="198">
        <f>$E128*餐厅成本录入!AH128</f>
        <v>0</v>
      </c>
      <c r="AI128" s="198">
        <f>$E128*餐厅成本录入!AI128</f>
        <v>0</v>
      </c>
      <c r="AJ128" s="198">
        <f>$E128*餐厅成本录入!AJ128</f>
        <v>0</v>
      </c>
      <c r="AK128" s="198">
        <f>$E128*餐厅成本录入!AK128</f>
        <v>0</v>
      </c>
      <c r="AL128" s="198">
        <f>$E128*餐厅成本录入!AL128</f>
        <v>0</v>
      </c>
      <c r="AM128" s="198">
        <f>$E128*餐厅成本录入!AM128</f>
        <v>0</v>
      </c>
      <c r="AN128" s="198">
        <f>$E128*餐厅成本录入!AN128</f>
        <v>0</v>
      </c>
      <c r="AO128" s="198">
        <f>$E128*餐厅成本录入!AO128</f>
        <v>0</v>
      </c>
      <c r="AP128" s="198">
        <f>$E128*餐厅成本录入!AP128</f>
        <v>0</v>
      </c>
      <c r="AQ128" s="198">
        <f>$E128*餐厅成本录入!AQ128</f>
        <v>0</v>
      </c>
      <c r="AR128" s="198">
        <f>$E128*餐厅成本录入!AR128</f>
        <v>0</v>
      </c>
      <c r="AS128" s="198">
        <f>$E128*餐厅成本录入!AS128</f>
        <v>0</v>
      </c>
      <c r="AT128" s="198">
        <f>$E128*餐厅成本录入!AT128</f>
        <v>0</v>
      </c>
      <c r="AU128" s="198">
        <f>$E128*餐厅成本录入!AU128</f>
        <v>0</v>
      </c>
      <c r="AV128" s="198">
        <f>$E128*餐厅成本录入!AV128</f>
        <v>0</v>
      </c>
      <c r="AW128" s="198">
        <f>$E128*餐厅成本录入!AW128</f>
        <v>0</v>
      </c>
      <c r="AX128" s="198">
        <f>$E128*餐厅成本录入!AX128</f>
        <v>0</v>
      </c>
      <c r="AY128" s="198">
        <f>$E128*餐厅成本录入!AY128</f>
        <v>0</v>
      </c>
      <c r="AZ128" s="198">
        <f>$E128*餐厅成本录入!AZ128</f>
        <v>0</v>
      </c>
      <c r="BA128" s="198">
        <f>$E128*餐厅成本录入!BA128</f>
        <v>0</v>
      </c>
      <c r="BB128" s="198">
        <f>$E128*餐厅成本录入!BB128</f>
        <v>0</v>
      </c>
      <c r="BC128" s="198">
        <f>$E128*餐厅成本录入!BC128</f>
        <v>0</v>
      </c>
      <c r="BD128" s="198">
        <f>$E128*餐厅成本录入!BD128</f>
        <v>0</v>
      </c>
      <c r="BE128" s="198">
        <f>$E128*餐厅成本录入!BE128</f>
        <v>0</v>
      </c>
      <c r="BF128" s="198">
        <f>$E128*餐厅成本录入!BF128</f>
        <v>0</v>
      </c>
      <c r="BG128" s="198">
        <f>$E128*餐厅成本录入!BG128</f>
        <v>0</v>
      </c>
      <c r="BH128" s="198">
        <f>$E128*餐厅成本录入!BH128</f>
        <v>0</v>
      </c>
      <c r="BI128" s="198">
        <f>$E128*餐厅成本录入!BI128</f>
        <v>0</v>
      </c>
      <c r="BJ128" s="198">
        <f>$E128*餐厅成本录入!BJ128</f>
        <v>0</v>
      </c>
      <c r="BK128" s="198">
        <f>$E128*餐厅成本录入!BK128</f>
        <v>0</v>
      </c>
      <c r="BL128" s="198">
        <f>$E128*餐厅成本录入!BL128</f>
        <v>0</v>
      </c>
      <c r="BM128" s="198">
        <f>$E128*餐厅成本录入!BM128</f>
        <v>0</v>
      </c>
      <c r="BN128" s="198">
        <f>$E128*餐厅成本录入!BN128</f>
        <v>0</v>
      </c>
      <c r="BO128" s="198">
        <f>$E128*餐厅成本录入!BO128</f>
        <v>0</v>
      </c>
      <c r="BP128" s="198">
        <f>$E128*餐厅成本录入!BP128</f>
        <v>0</v>
      </c>
      <c r="BQ128" s="198">
        <f>$E128*餐厅成本录入!BQ128</f>
        <v>0</v>
      </c>
      <c r="BR128" s="198">
        <f>$E128*餐厅成本录入!BR128</f>
        <v>0</v>
      </c>
      <c r="BS128" s="198">
        <f>$E128*餐厅成本录入!BS128</f>
        <v>0</v>
      </c>
      <c r="BT128" s="198">
        <f>$E128*餐厅成本录入!BT128</f>
        <v>0</v>
      </c>
      <c r="BU128" s="198">
        <f>$E128*餐厅成本录入!BU128</f>
        <v>0</v>
      </c>
      <c r="BV128" s="198">
        <f>$E128*餐厅成本录入!BV128</f>
        <v>0</v>
      </c>
      <c r="BW128" s="198">
        <f>$E128*餐厅成本录入!BW128</f>
        <v>0</v>
      </c>
    </row>
    <row r="129" s="178" customFormat="1" customHeight="1" spans="1:75">
      <c r="A129" s="161">
        <v>161</v>
      </c>
      <c r="B129" s="21" t="str">
        <f>餐厅成本录入!B129</f>
        <v>沃柑</v>
      </c>
      <c r="C129" s="21">
        <f>餐厅成本录入!C129</f>
        <v>0</v>
      </c>
      <c r="D129" s="21" t="str">
        <f>餐厅成本录入!D129</f>
        <v>斤</v>
      </c>
      <c r="E129" s="21">
        <f>餐厅成本录入!E129</f>
        <v>2.8</v>
      </c>
      <c r="F129" s="21">
        <f>餐厅成本录入!F129</f>
        <v>0</v>
      </c>
      <c r="G129" s="21">
        <f>餐厅成本录入!G129</f>
        <v>0</v>
      </c>
      <c r="H129" s="21">
        <f>餐厅成本录入!H129</f>
        <v>115.6</v>
      </c>
      <c r="I129" s="21">
        <f>餐厅成本录入!I129</f>
        <v>323.68</v>
      </c>
      <c r="J129" s="21">
        <f>餐厅成本录入!J129</f>
        <v>115.6</v>
      </c>
      <c r="K129" s="21">
        <f>餐厅成本录入!K129</f>
        <v>323.68</v>
      </c>
      <c r="L129" s="21">
        <f>餐厅成本录入!L129</f>
        <v>0</v>
      </c>
      <c r="M129" s="21">
        <f>餐厅成本录入!M129</f>
        <v>0</v>
      </c>
      <c r="N129" s="198">
        <f>$E129*餐厅成本录入!N129</f>
        <v>0</v>
      </c>
      <c r="O129" s="198">
        <f>$E129*餐厅成本录入!O129</f>
        <v>0</v>
      </c>
      <c r="P129" s="198">
        <f>$E129*餐厅成本录入!P129</f>
        <v>0</v>
      </c>
      <c r="Q129" s="198">
        <f>$E129*餐厅成本录入!Q129</f>
        <v>0</v>
      </c>
      <c r="R129" s="198">
        <f>$E129*餐厅成本录入!R129</f>
        <v>0</v>
      </c>
      <c r="S129" s="198">
        <f>$E129*餐厅成本录入!S129</f>
        <v>0</v>
      </c>
      <c r="T129" s="198">
        <f>$E129*餐厅成本录入!T129</f>
        <v>0</v>
      </c>
      <c r="U129" s="198">
        <f>$E129*餐厅成本录入!U129</f>
        <v>0</v>
      </c>
      <c r="V129" s="198">
        <f>$E129*餐厅成本录入!V129</f>
        <v>0</v>
      </c>
      <c r="W129" s="198">
        <f>$E129*餐厅成本录入!W129</f>
        <v>0</v>
      </c>
      <c r="X129" s="198">
        <f>$E129*餐厅成本录入!X129</f>
        <v>0</v>
      </c>
      <c r="Y129" s="198">
        <f>$E129*餐厅成本录入!Y129</f>
        <v>0</v>
      </c>
      <c r="Z129" s="198">
        <f>$E129*餐厅成本录入!Z129</f>
        <v>0</v>
      </c>
      <c r="AA129" s="198">
        <f>$E129*餐厅成本录入!AA129</f>
        <v>0</v>
      </c>
      <c r="AB129" s="198">
        <f>$E129*餐厅成本录入!AB129</f>
        <v>0</v>
      </c>
      <c r="AC129" s="198">
        <f>$E129*餐厅成本录入!AC129</f>
        <v>0</v>
      </c>
      <c r="AD129" s="198">
        <f>$E129*餐厅成本录入!AD129</f>
        <v>0</v>
      </c>
      <c r="AE129" s="198">
        <f>$E129*餐厅成本录入!AE129</f>
        <v>0</v>
      </c>
      <c r="AF129" s="198">
        <f>$E129*餐厅成本录入!AF129</f>
        <v>0</v>
      </c>
      <c r="AG129" s="198">
        <f>$E129*餐厅成本录入!AG129</f>
        <v>0</v>
      </c>
      <c r="AH129" s="198">
        <f>$E129*餐厅成本录入!AH129</f>
        <v>114.8</v>
      </c>
      <c r="AI129" s="198">
        <f>$E129*餐厅成本录入!AI129</f>
        <v>114.8</v>
      </c>
      <c r="AJ129" s="198">
        <f>$E129*餐厅成本录入!AJ129</f>
        <v>0</v>
      </c>
      <c r="AK129" s="198">
        <f>$E129*餐厅成本录入!AK129</f>
        <v>0</v>
      </c>
      <c r="AL129" s="198">
        <f>$E129*餐厅成本录入!AL129</f>
        <v>0</v>
      </c>
      <c r="AM129" s="198">
        <f>$E129*餐厅成本录入!AM129</f>
        <v>0</v>
      </c>
      <c r="AN129" s="198">
        <f>$E129*餐厅成本录入!AN129</f>
        <v>103.6</v>
      </c>
      <c r="AO129" s="198">
        <f>$E129*餐厅成本录入!AO129</f>
        <v>103.6</v>
      </c>
      <c r="AP129" s="198">
        <f>$E129*餐厅成本录入!AP129</f>
        <v>0</v>
      </c>
      <c r="AQ129" s="198">
        <f>$E129*餐厅成本录入!AQ129</f>
        <v>0</v>
      </c>
      <c r="AR129" s="198">
        <f>$E129*餐厅成本录入!AR129</f>
        <v>0</v>
      </c>
      <c r="AS129" s="198">
        <f>$E129*餐厅成本录入!AS129</f>
        <v>0</v>
      </c>
      <c r="AT129" s="198">
        <f>$E129*餐厅成本录入!AT129</f>
        <v>105.28</v>
      </c>
      <c r="AU129" s="198">
        <f>$E129*餐厅成本录入!AU129</f>
        <v>105.28</v>
      </c>
      <c r="AV129" s="198">
        <f>$E129*餐厅成本录入!AV129</f>
        <v>0</v>
      </c>
      <c r="AW129" s="198">
        <f>$E129*餐厅成本录入!AW129</f>
        <v>0</v>
      </c>
      <c r="AX129" s="198">
        <f>$E129*餐厅成本录入!AX129</f>
        <v>0</v>
      </c>
      <c r="AY129" s="198">
        <f>$E129*餐厅成本录入!AY129</f>
        <v>0</v>
      </c>
      <c r="AZ129" s="198">
        <f>$E129*餐厅成本录入!AZ129</f>
        <v>0</v>
      </c>
      <c r="BA129" s="198">
        <f>$E129*餐厅成本录入!BA129</f>
        <v>0</v>
      </c>
      <c r="BB129" s="198">
        <f>$E129*餐厅成本录入!BB129</f>
        <v>0</v>
      </c>
      <c r="BC129" s="198">
        <f>$E129*餐厅成本录入!BC129</f>
        <v>0</v>
      </c>
      <c r="BD129" s="198">
        <f>$E129*餐厅成本录入!BD129</f>
        <v>0</v>
      </c>
      <c r="BE129" s="198">
        <f>$E129*餐厅成本录入!BE129</f>
        <v>0</v>
      </c>
      <c r="BF129" s="198">
        <f>$E129*餐厅成本录入!BF129</f>
        <v>0</v>
      </c>
      <c r="BG129" s="198">
        <f>$E129*餐厅成本录入!BG129</f>
        <v>0</v>
      </c>
      <c r="BH129" s="198">
        <f>$E129*餐厅成本录入!BH129</f>
        <v>0</v>
      </c>
      <c r="BI129" s="198">
        <f>$E129*餐厅成本录入!BI129</f>
        <v>0</v>
      </c>
      <c r="BJ129" s="198">
        <f>$E129*餐厅成本录入!BJ129</f>
        <v>0</v>
      </c>
      <c r="BK129" s="198">
        <f>$E129*餐厅成本录入!BK129</f>
        <v>0</v>
      </c>
      <c r="BL129" s="198">
        <f>$E129*餐厅成本录入!BL129</f>
        <v>0</v>
      </c>
      <c r="BM129" s="198">
        <f>$E129*餐厅成本录入!BM129</f>
        <v>0</v>
      </c>
      <c r="BN129" s="198">
        <f>$E129*餐厅成本录入!BN129</f>
        <v>0</v>
      </c>
      <c r="BO129" s="198">
        <f>$E129*餐厅成本录入!BO129</f>
        <v>0</v>
      </c>
      <c r="BP129" s="198">
        <f>$E129*餐厅成本录入!BP129</f>
        <v>0</v>
      </c>
      <c r="BQ129" s="198">
        <f>$E129*餐厅成本录入!BQ129</f>
        <v>0</v>
      </c>
      <c r="BR129" s="198">
        <f>$E129*餐厅成本录入!BR129</f>
        <v>0</v>
      </c>
      <c r="BS129" s="198">
        <f>$E129*餐厅成本录入!BS129</f>
        <v>0</v>
      </c>
      <c r="BT129" s="198">
        <f>$E129*餐厅成本录入!BT129</f>
        <v>0</v>
      </c>
      <c r="BU129" s="198">
        <f>$E129*餐厅成本录入!BU129</f>
        <v>0</v>
      </c>
      <c r="BV129" s="198">
        <f>$E129*餐厅成本录入!BV129</f>
        <v>0</v>
      </c>
      <c r="BW129" s="198">
        <f>$E129*餐厅成本录入!BW129</f>
        <v>0</v>
      </c>
    </row>
    <row r="130" s="178" customFormat="1" customHeight="1" spans="1:75">
      <c r="A130" s="161">
        <v>162</v>
      </c>
      <c r="B130" s="21" t="str">
        <f>餐厅成本录入!B130</f>
        <v>油桃</v>
      </c>
      <c r="C130" s="21">
        <f>餐厅成本录入!C130</f>
        <v>0</v>
      </c>
      <c r="D130" s="21" t="str">
        <f>餐厅成本录入!D130</f>
        <v>斤</v>
      </c>
      <c r="E130" s="21">
        <f>餐厅成本录入!E130</f>
        <v>5</v>
      </c>
      <c r="F130" s="21">
        <f>餐厅成本录入!F130</f>
        <v>0</v>
      </c>
      <c r="G130" s="21">
        <f>餐厅成本录入!G130</f>
        <v>0</v>
      </c>
      <c r="H130" s="21">
        <f>餐厅成本录入!H130</f>
        <v>25.3</v>
      </c>
      <c r="I130" s="21">
        <f>餐厅成本录入!I130</f>
        <v>126.5</v>
      </c>
      <c r="J130" s="21">
        <f>餐厅成本录入!J130</f>
        <v>25.3</v>
      </c>
      <c r="K130" s="21">
        <f>餐厅成本录入!K130</f>
        <v>126.5</v>
      </c>
      <c r="L130" s="21">
        <f>餐厅成本录入!L130</f>
        <v>0</v>
      </c>
      <c r="M130" s="21">
        <f>餐厅成本录入!M130</f>
        <v>0</v>
      </c>
      <c r="N130" s="198">
        <f>$E130*餐厅成本录入!N130</f>
        <v>0</v>
      </c>
      <c r="O130" s="198">
        <f>$E130*餐厅成本录入!O130</f>
        <v>0</v>
      </c>
      <c r="P130" s="198">
        <f>$E130*餐厅成本录入!P130</f>
        <v>51.5</v>
      </c>
      <c r="Q130" s="198">
        <f>$E130*餐厅成本录入!Q130</f>
        <v>51.5</v>
      </c>
      <c r="R130" s="198">
        <f>$E130*餐厅成本录入!R130</f>
        <v>0</v>
      </c>
      <c r="S130" s="198">
        <f>$E130*餐厅成本录入!S130</f>
        <v>0</v>
      </c>
      <c r="T130" s="198">
        <f>$E130*餐厅成本录入!T130</f>
        <v>0</v>
      </c>
      <c r="U130" s="198">
        <f>$E130*餐厅成本录入!U130</f>
        <v>0</v>
      </c>
      <c r="V130" s="198">
        <f>$E130*餐厅成本录入!V130</f>
        <v>0</v>
      </c>
      <c r="W130" s="198">
        <f>$E130*餐厅成本录入!W130</f>
        <v>0</v>
      </c>
      <c r="X130" s="198">
        <f>$E130*餐厅成本录入!X130</f>
        <v>0</v>
      </c>
      <c r="Y130" s="198">
        <f>$E130*餐厅成本录入!Y130</f>
        <v>0</v>
      </c>
      <c r="Z130" s="198">
        <f>$E130*餐厅成本录入!Z130</f>
        <v>0</v>
      </c>
      <c r="AA130" s="198">
        <f>$E130*餐厅成本录入!AA130</f>
        <v>0</v>
      </c>
      <c r="AB130" s="198">
        <f>$E130*餐厅成本录入!AB130</f>
        <v>0</v>
      </c>
      <c r="AC130" s="198">
        <f>$E130*餐厅成本录入!AC130</f>
        <v>0</v>
      </c>
      <c r="AD130" s="198">
        <f>$E130*餐厅成本录入!AD130</f>
        <v>25</v>
      </c>
      <c r="AE130" s="198">
        <f>$E130*餐厅成本录入!AE130</f>
        <v>25</v>
      </c>
      <c r="AF130" s="198">
        <f>$E130*餐厅成本录入!AF130</f>
        <v>0</v>
      </c>
      <c r="AG130" s="198">
        <f>$E130*餐厅成本录入!AG130</f>
        <v>0</v>
      </c>
      <c r="AH130" s="198">
        <f>$E130*餐厅成本录入!AH130</f>
        <v>0</v>
      </c>
      <c r="AI130" s="198">
        <f>$E130*餐厅成本录入!AI130</f>
        <v>0</v>
      </c>
      <c r="AJ130" s="198">
        <f>$E130*餐厅成本录入!AJ130</f>
        <v>0</v>
      </c>
      <c r="AK130" s="198">
        <f>$E130*餐厅成本录入!AK130</f>
        <v>0</v>
      </c>
      <c r="AL130" s="198">
        <f>$E130*餐厅成本录入!AL130</f>
        <v>0</v>
      </c>
      <c r="AM130" s="198">
        <f>$E130*餐厅成本录入!AM130</f>
        <v>0</v>
      </c>
      <c r="AN130" s="198">
        <f>$E130*餐厅成本录入!AN130</f>
        <v>0</v>
      </c>
      <c r="AO130" s="198">
        <f>$E130*餐厅成本录入!AO130</f>
        <v>0</v>
      </c>
      <c r="AP130" s="198">
        <f>$E130*餐厅成本录入!AP130</f>
        <v>0</v>
      </c>
      <c r="AQ130" s="198">
        <f>$E130*餐厅成本录入!AQ130</f>
        <v>0</v>
      </c>
      <c r="AR130" s="198">
        <f>$E130*餐厅成本录入!AR130</f>
        <v>0</v>
      </c>
      <c r="AS130" s="198">
        <f>$E130*餐厅成本录入!AS130</f>
        <v>0</v>
      </c>
      <c r="AT130" s="198">
        <f>$E130*餐厅成本录入!AT130</f>
        <v>0</v>
      </c>
      <c r="AU130" s="198">
        <f>$E130*餐厅成本录入!AU130</f>
        <v>0</v>
      </c>
      <c r="AV130" s="198">
        <f>$E130*餐厅成本录入!AV130</f>
        <v>0</v>
      </c>
      <c r="AW130" s="198">
        <f>$E130*餐厅成本录入!AW130</f>
        <v>0</v>
      </c>
      <c r="AX130" s="198">
        <f>$E130*餐厅成本录入!AX130</f>
        <v>0</v>
      </c>
      <c r="AY130" s="198">
        <f>$E130*餐厅成本录入!AY130</f>
        <v>0</v>
      </c>
      <c r="AZ130" s="198">
        <f>$E130*餐厅成本录入!AZ130</f>
        <v>0</v>
      </c>
      <c r="BA130" s="198">
        <f>$E130*餐厅成本录入!BA130</f>
        <v>0</v>
      </c>
      <c r="BB130" s="198">
        <f>$E130*餐厅成本录入!BB130</f>
        <v>0</v>
      </c>
      <c r="BC130" s="198">
        <f>$E130*餐厅成本录入!BC130</f>
        <v>0</v>
      </c>
      <c r="BD130" s="198">
        <f>$E130*餐厅成本录入!BD130</f>
        <v>0</v>
      </c>
      <c r="BE130" s="198">
        <f>$E130*餐厅成本录入!BE130</f>
        <v>0</v>
      </c>
      <c r="BF130" s="198">
        <f>$E130*餐厅成本录入!BF130</f>
        <v>0</v>
      </c>
      <c r="BG130" s="198">
        <f>$E130*餐厅成本录入!BG130</f>
        <v>0</v>
      </c>
      <c r="BH130" s="198">
        <f>$E130*餐厅成本录入!BH130</f>
        <v>0</v>
      </c>
      <c r="BI130" s="198">
        <f>$E130*餐厅成本录入!BI130</f>
        <v>0</v>
      </c>
      <c r="BJ130" s="198">
        <f>$E130*餐厅成本录入!BJ130</f>
        <v>50</v>
      </c>
      <c r="BK130" s="198">
        <f>$E130*餐厅成本录入!BK130</f>
        <v>50</v>
      </c>
      <c r="BL130" s="198">
        <f>$E130*餐厅成本录入!BL130</f>
        <v>0</v>
      </c>
      <c r="BM130" s="198">
        <f>$E130*餐厅成本录入!BM130</f>
        <v>0</v>
      </c>
      <c r="BN130" s="198">
        <f>$E130*餐厅成本录入!BN130</f>
        <v>0</v>
      </c>
      <c r="BO130" s="198">
        <f>$E130*餐厅成本录入!BO130</f>
        <v>0</v>
      </c>
      <c r="BP130" s="198">
        <f>$E130*餐厅成本录入!BP130</f>
        <v>0</v>
      </c>
      <c r="BQ130" s="198">
        <f>$E130*餐厅成本录入!BQ130</f>
        <v>0</v>
      </c>
      <c r="BR130" s="198">
        <f>$E130*餐厅成本录入!BR130</f>
        <v>0</v>
      </c>
      <c r="BS130" s="198">
        <f>$E130*餐厅成本录入!BS130</f>
        <v>0</v>
      </c>
      <c r="BT130" s="198">
        <f>$E130*餐厅成本录入!BT130</f>
        <v>0</v>
      </c>
      <c r="BU130" s="198">
        <f>$E130*餐厅成本录入!BU130</f>
        <v>0</v>
      </c>
      <c r="BV130" s="198">
        <f>$E130*餐厅成本录入!BV130</f>
        <v>0</v>
      </c>
      <c r="BW130" s="198">
        <f>$E130*餐厅成本录入!BW130</f>
        <v>0</v>
      </c>
    </row>
    <row r="131" s="178" customFormat="1" customHeight="1" spans="1:75">
      <c r="A131" s="161">
        <v>163</v>
      </c>
      <c r="B131" s="21" t="str">
        <f>餐厅成本录入!B131</f>
        <v>火龙果</v>
      </c>
      <c r="C131" s="21">
        <f>餐厅成本录入!C131</f>
        <v>0</v>
      </c>
      <c r="D131" s="21" t="str">
        <f>餐厅成本录入!D131</f>
        <v>件</v>
      </c>
      <c r="E131" s="21">
        <f>餐厅成本录入!E131</f>
        <v>155</v>
      </c>
      <c r="F131" s="21">
        <f>餐厅成本录入!F131</f>
        <v>0</v>
      </c>
      <c r="G131" s="21">
        <f>餐厅成本录入!G131</f>
        <v>0</v>
      </c>
      <c r="H131" s="21">
        <f>餐厅成本录入!H131</f>
        <v>6</v>
      </c>
      <c r="I131" s="21">
        <f>餐厅成本录入!I131</f>
        <v>930</v>
      </c>
      <c r="J131" s="21">
        <f>餐厅成本录入!J131</f>
        <v>6</v>
      </c>
      <c r="K131" s="21">
        <f>餐厅成本录入!K131</f>
        <v>930</v>
      </c>
      <c r="L131" s="21">
        <f>餐厅成本录入!L131</f>
        <v>0</v>
      </c>
      <c r="M131" s="21">
        <f>餐厅成本录入!M131</f>
        <v>0</v>
      </c>
      <c r="N131" s="198">
        <f>$E131*餐厅成本录入!N131</f>
        <v>0</v>
      </c>
      <c r="O131" s="198">
        <f>$E131*餐厅成本录入!O131</f>
        <v>0</v>
      </c>
      <c r="P131" s="198">
        <f>$E131*餐厅成本录入!P131</f>
        <v>155</v>
      </c>
      <c r="Q131" s="198">
        <f>$E131*餐厅成本录入!Q131</f>
        <v>155</v>
      </c>
      <c r="R131" s="198">
        <f>$E131*餐厅成本录入!R131</f>
        <v>0</v>
      </c>
      <c r="S131" s="198">
        <f>$E131*餐厅成本录入!S131</f>
        <v>0</v>
      </c>
      <c r="T131" s="198">
        <f>$E131*餐厅成本录入!T131</f>
        <v>0</v>
      </c>
      <c r="U131" s="198">
        <f>$E131*餐厅成本录入!U131</f>
        <v>0</v>
      </c>
      <c r="V131" s="198">
        <f>$E131*餐厅成本录入!V131</f>
        <v>0</v>
      </c>
      <c r="W131" s="198">
        <f>$E131*餐厅成本录入!W131</f>
        <v>0</v>
      </c>
      <c r="X131" s="198">
        <f>$E131*餐厅成本录入!X131</f>
        <v>0</v>
      </c>
      <c r="Y131" s="198">
        <f>$E131*餐厅成本录入!Y131</f>
        <v>0</v>
      </c>
      <c r="Z131" s="198">
        <f>$E131*餐厅成本录入!Z131</f>
        <v>0</v>
      </c>
      <c r="AA131" s="198">
        <f>$E131*餐厅成本录入!AA131</f>
        <v>0</v>
      </c>
      <c r="AB131" s="198">
        <f>$E131*餐厅成本录入!AB131</f>
        <v>0</v>
      </c>
      <c r="AC131" s="198">
        <f>$E131*餐厅成本录入!AC131</f>
        <v>0</v>
      </c>
      <c r="AD131" s="198">
        <f>$E131*餐厅成本录入!AD131</f>
        <v>0</v>
      </c>
      <c r="AE131" s="198">
        <f>$E131*餐厅成本录入!AE131</f>
        <v>0</v>
      </c>
      <c r="AF131" s="198">
        <f>$E131*餐厅成本录入!AF131</f>
        <v>0</v>
      </c>
      <c r="AG131" s="198">
        <f>$E131*餐厅成本录入!AG131</f>
        <v>0</v>
      </c>
      <c r="AH131" s="198">
        <f>$E131*餐厅成本录入!AH131</f>
        <v>0</v>
      </c>
      <c r="AI131" s="198">
        <f>$E131*餐厅成本录入!AI131</f>
        <v>0</v>
      </c>
      <c r="AJ131" s="198">
        <f>$E131*餐厅成本录入!AJ131</f>
        <v>155</v>
      </c>
      <c r="AK131" s="198">
        <f>$E131*餐厅成本录入!AK131</f>
        <v>155</v>
      </c>
      <c r="AL131" s="198">
        <f>$E131*餐厅成本录入!AL131</f>
        <v>0</v>
      </c>
      <c r="AM131" s="198">
        <f>$E131*餐厅成本录入!AM131</f>
        <v>0</v>
      </c>
      <c r="AN131" s="198">
        <f>$E131*餐厅成本录入!AN131</f>
        <v>0</v>
      </c>
      <c r="AO131" s="198">
        <f>$E131*餐厅成本录入!AO131</f>
        <v>0</v>
      </c>
      <c r="AP131" s="198">
        <f>$E131*餐厅成本录入!AP131</f>
        <v>0</v>
      </c>
      <c r="AQ131" s="198">
        <f>$E131*餐厅成本录入!AQ131</f>
        <v>0</v>
      </c>
      <c r="AR131" s="198">
        <f>$E131*餐厅成本录入!AR131</f>
        <v>0</v>
      </c>
      <c r="AS131" s="198">
        <f>$E131*餐厅成本录入!AS131</f>
        <v>0</v>
      </c>
      <c r="AT131" s="198">
        <f>$E131*餐厅成本录入!AT131</f>
        <v>0</v>
      </c>
      <c r="AU131" s="198">
        <f>$E131*餐厅成本录入!AU131</f>
        <v>0</v>
      </c>
      <c r="AV131" s="198">
        <f>$E131*餐厅成本录入!AV131</f>
        <v>0</v>
      </c>
      <c r="AW131" s="198">
        <f>$E131*餐厅成本录入!AW131</f>
        <v>0</v>
      </c>
      <c r="AX131" s="198">
        <f>$E131*餐厅成本录入!AX131</f>
        <v>0</v>
      </c>
      <c r="AY131" s="198">
        <f>$E131*餐厅成本录入!AY131</f>
        <v>0</v>
      </c>
      <c r="AZ131" s="198">
        <f>$E131*餐厅成本录入!AZ131</f>
        <v>155</v>
      </c>
      <c r="BA131" s="198">
        <f>$E131*餐厅成本录入!BA131</f>
        <v>155</v>
      </c>
      <c r="BB131" s="198">
        <f>$E131*餐厅成本录入!BB131</f>
        <v>0</v>
      </c>
      <c r="BC131" s="198">
        <f>$E131*餐厅成本录入!BC131</f>
        <v>0</v>
      </c>
      <c r="BD131" s="198">
        <f>$E131*餐厅成本录入!BD131</f>
        <v>155</v>
      </c>
      <c r="BE131" s="198">
        <f>$E131*餐厅成本录入!BE131</f>
        <v>155</v>
      </c>
      <c r="BF131" s="198">
        <f>$E131*餐厅成本录入!BF131</f>
        <v>0</v>
      </c>
      <c r="BG131" s="198">
        <f>$E131*餐厅成本录入!BG131</f>
        <v>0</v>
      </c>
      <c r="BH131" s="198">
        <f>$E131*餐厅成本录入!BH131</f>
        <v>0</v>
      </c>
      <c r="BI131" s="198">
        <f>$E131*餐厅成本录入!BI131</f>
        <v>0</v>
      </c>
      <c r="BJ131" s="198">
        <f>$E131*餐厅成本录入!BJ131</f>
        <v>155</v>
      </c>
      <c r="BK131" s="198">
        <f>$E131*餐厅成本录入!BK131</f>
        <v>155</v>
      </c>
      <c r="BL131" s="198">
        <f>$E131*餐厅成本录入!BL131</f>
        <v>0</v>
      </c>
      <c r="BM131" s="198">
        <f>$E131*餐厅成本录入!BM131</f>
        <v>0</v>
      </c>
      <c r="BN131" s="198">
        <f>$E131*餐厅成本录入!BN131</f>
        <v>155</v>
      </c>
      <c r="BO131" s="198">
        <f>$E131*餐厅成本录入!BO131</f>
        <v>155</v>
      </c>
      <c r="BP131" s="198">
        <f>$E131*餐厅成本录入!BP131</f>
        <v>0</v>
      </c>
      <c r="BQ131" s="198">
        <f>$E131*餐厅成本录入!BQ131</f>
        <v>0</v>
      </c>
      <c r="BR131" s="198">
        <f>$E131*餐厅成本录入!BR131</f>
        <v>0</v>
      </c>
      <c r="BS131" s="198">
        <f>$E131*餐厅成本录入!BS131</f>
        <v>0</v>
      </c>
      <c r="BT131" s="198">
        <f>$E131*餐厅成本录入!BT131</f>
        <v>0</v>
      </c>
      <c r="BU131" s="198">
        <f>$E131*餐厅成本录入!BU131</f>
        <v>0</v>
      </c>
      <c r="BV131" s="198">
        <f>$E131*餐厅成本录入!BV131</f>
        <v>0</v>
      </c>
      <c r="BW131" s="198">
        <f>$E131*餐厅成本录入!BW131</f>
        <v>0</v>
      </c>
    </row>
    <row r="132" s="178" customFormat="1" customHeight="1" spans="1:75">
      <c r="A132" s="161">
        <v>164</v>
      </c>
      <c r="B132" s="21" t="str">
        <f>餐厅成本录入!B132</f>
        <v>绿圣女果</v>
      </c>
      <c r="C132" s="21">
        <f>餐厅成本录入!C132</f>
        <v>0</v>
      </c>
      <c r="D132" s="21" t="str">
        <f>餐厅成本录入!D132</f>
        <v>斤</v>
      </c>
      <c r="E132" s="21">
        <f>餐厅成本录入!E132</f>
        <v>7.5</v>
      </c>
      <c r="F132" s="21">
        <f>餐厅成本录入!F132</f>
        <v>0</v>
      </c>
      <c r="G132" s="21">
        <f>餐厅成本录入!G132</f>
        <v>0</v>
      </c>
      <c r="H132" s="21">
        <f>餐厅成本录入!H132</f>
        <v>0</v>
      </c>
      <c r="I132" s="21">
        <f>餐厅成本录入!I132</f>
        <v>0</v>
      </c>
      <c r="J132" s="21">
        <f>餐厅成本录入!J132</f>
        <v>0</v>
      </c>
      <c r="K132" s="21">
        <f>餐厅成本录入!K132</f>
        <v>0</v>
      </c>
      <c r="L132" s="21">
        <f>餐厅成本录入!L132</f>
        <v>0</v>
      </c>
      <c r="M132" s="21">
        <f>餐厅成本录入!M132</f>
        <v>0</v>
      </c>
      <c r="N132" s="198">
        <f>$E132*餐厅成本录入!N132</f>
        <v>0</v>
      </c>
      <c r="O132" s="198">
        <f>$E132*餐厅成本录入!O132</f>
        <v>0</v>
      </c>
      <c r="P132" s="198">
        <f>$E132*餐厅成本录入!P132</f>
        <v>0</v>
      </c>
      <c r="Q132" s="198">
        <f>$E132*餐厅成本录入!Q132</f>
        <v>0</v>
      </c>
      <c r="R132" s="198">
        <f>$E132*餐厅成本录入!R132</f>
        <v>0</v>
      </c>
      <c r="S132" s="198">
        <f>$E132*餐厅成本录入!S132</f>
        <v>0</v>
      </c>
      <c r="T132" s="198">
        <f>$E132*餐厅成本录入!T132</f>
        <v>0</v>
      </c>
      <c r="U132" s="198">
        <f>$E132*餐厅成本录入!U132</f>
        <v>0</v>
      </c>
      <c r="V132" s="198">
        <f>$E132*餐厅成本录入!V132</f>
        <v>0</v>
      </c>
      <c r="W132" s="198">
        <f>$E132*餐厅成本录入!W132</f>
        <v>0</v>
      </c>
      <c r="X132" s="198">
        <f>$E132*餐厅成本录入!X132</f>
        <v>0</v>
      </c>
      <c r="Y132" s="198">
        <f>$E132*餐厅成本录入!Y132</f>
        <v>0</v>
      </c>
      <c r="Z132" s="198">
        <f>$E132*餐厅成本录入!Z132</f>
        <v>0</v>
      </c>
      <c r="AA132" s="198">
        <f>$E132*餐厅成本录入!AA132</f>
        <v>0</v>
      </c>
      <c r="AB132" s="198">
        <f>$E132*餐厅成本录入!AB132</f>
        <v>0</v>
      </c>
      <c r="AC132" s="198">
        <f>$E132*餐厅成本录入!AC132</f>
        <v>0</v>
      </c>
      <c r="AD132" s="198">
        <f>$E132*餐厅成本录入!AD132</f>
        <v>0</v>
      </c>
      <c r="AE132" s="198">
        <f>$E132*餐厅成本录入!AE132</f>
        <v>0</v>
      </c>
      <c r="AF132" s="198">
        <f>$E132*餐厅成本录入!AF132</f>
        <v>0</v>
      </c>
      <c r="AG132" s="198">
        <f>$E132*餐厅成本录入!AG132</f>
        <v>0</v>
      </c>
      <c r="AH132" s="198">
        <f>$E132*餐厅成本录入!AH132</f>
        <v>0</v>
      </c>
      <c r="AI132" s="198">
        <f>$E132*餐厅成本录入!AI132</f>
        <v>0</v>
      </c>
      <c r="AJ132" s="198">
        <f>$E132*餐厅成本录入!AJ132</f>
        <v>0</v>
      </c>
      <c r="AK132" s="198">
        <f>$E132*餐厅成本录入!AK132</f>
        <v>0</v>
      </c>
      <c r="AL132" s="198">
        <f>$E132*餐厅成本录入!AL132</f>
        <v>0</v>
      </c>
      <c r="AM132" s="198">
        <f>$E132*餐厅成本录入!AM132</f>
        <v>0</v>
      </c>
      <c r="AN132" s="198">
        <f>$E132*餐厅成本录入!AN132</f>
        <v>0</v>
      </c>
      <c r="AO132" s="198">
        <f>$E132*餐厅成本录入!AO132</f>
        <v>0</v>
      </c>
      <c r="AP132" s="198">
        <f>$E132*餐厅成本录入!AP132</f>
        <v>0</v>
      </c>
      <c r="AQ132" s="198">
        <f>$E132*餐厅成本录入!AQ132</f>
        <v>0</v>
      </c>
      <c r="AR132" s="198">
        <f>$E132*餐厅成本录入!AR132</f>
        <v>0</v>
      </c>
      <c r="AS132" s="198">
        <f>$E132*餐厅成本录入!AS132</f>
        <v>0</v>
      </c>
      <c r="AT132" s="198">
        <f>$E132*餐厅成本录入!AT132</f>
        <v>0</v>
      </c>
      <c r="AU132" s="198">
        <f>$E132*餐厅成本录入!AU132</f>
        <v>0</v>
      </c>
      <c r="AV132" s="198">
        <f>$E132*餐厅成本录入!AV132</f>
        <v>0</v>
      </c>
      <c r="AW132" s="198">
        <f>$E132*餐厅成本录入!AW132</f>
        <v>0</v>
      </c>
      <c r="AX132" s="198">
        <f>$E132*餐厅成本录入!AX132</f>
        <v>0</v>
      </c>
      <c r="AY132" s="198">
        <f>$E132*餐厅成本录入!AY132</f>
        <v>0</v>
      </c>
      <c r="AZ132" s="198">
        <f>$E132*餐厅成本录入!AZ132</f>
        <v>0</v>
      </c>
      <c r="BA132" s="198">
        <f>$E132*餐厅成本录入!BA132</f>
        <v>0</v>
      </c>
      <c r="BB132" s="198">
        <f>$E132*餐厅成本录入!BB132</f>
        <v>0</v>
      </c>
      <c r="BC132" s="198">
        <f>$E132*餐厅成本录入!BC132</f>
        <v>0</v>
      </c>
      <c r="BD132" s="198">
        <f>$E132*餐厅成本录入!BD132</f>
        <v>0</v>
      </c>
      <c r="BE132" s="198">
        <f>$E132*餐厅成本录入!BE132</f>
        <v>0</v>
      </c>
      <c r="BF132" s="198">
        <f>$E132*餐厅成本录入!BF132</f>
        <v>0</v>
      </c>
      <c r="BG132" s="198">
        <f>$E132*餐厅成本录入!BG132</f>
        <v>0</v>
      </c>
      <c r="BH132" s="198">
        <f>$E132*餐厅成本录入!BH132</f>
        <v>0</v>
      </c>
      <c r="BI132" s="198">
        <f>$E132*餐厅成本录入!BI132</f>
        <v>0</v>
      </c>
      <c r="BJ132" s="198">
        <f>$E132*餐厅成本录入!BJ132</f>
        <v>0</v>
      </c>
      <c r="BK132" s="198">
        <f>$E132*餐厅成本录入!BK132</f>
        <v>0</v>
      </c>
      <c r="BL132" s="198">
        <f>$E132*餐厅成本录入!BL132</f>
        <v>0</v>
      </c>
      <c r="BM132" s="198">
        <f>$E132*餐厅成本录入!BM132</f>
        <v>0</v>
      </c>
      <c r="BN132" s="198">
        <f>$E132*餐厅成本录入!BN132</f>
        <v>0</v>
      </c>
      <c r="BO132" s="198">
        <f>$E132*餐厅成本录入!BO132</f>
        <v>0</v>
      </c>
      <c r="BP132" s="198">
        <f>$E132*餐厅成本录入!BP132</f>
        <v>0</v>
      </c>
      <c r="BQ132" s="198">
        <f>$E132*餐厅成本录入!BQ132</f>
        <v>0</v>
      </c>
      <c r="BR132" s="198">
        <f>$E132*餐厅成本录入!BR132</f>
        <v>0</v>
      </c>
      <c r="BS132" s="198">
        <f>$E132*餐厅成本录入!BS132</f>
        <v>0</v>
      </c>
      <c r="BT132" s="198">
        <f>$E132*餐厅成本录入!BT132</f>
        <v>0</v>
      </c>
      <c r="BU132" s="198">
        <f>$E132*餐厅成本录入!BU132</f>
        <v>0</v>
      </c>
      <c r="BV132" s="198">
        <f>$E132*餐厅成本录入!BV132</f>
        <v>0</v>
      </c>
      <c r="BW132" s="198">
        <f>$E132*餐厅成本录入!BW132</f>
        <v>0</v>
      </c>
    </row>
    <row r="133" s="178" customFormat="1" customHeight="1" spans="1:75">
      <c r="A133" s="161">
        <v>165</v>
      </c>
      <c r="B133" s="21" t="str">
        <f>餐厅成本录入!B133</f>
        <v>红圣女果</v>
      </c>
      <c r="C133" s="21">
        <f>餐厅成本录入!C133</f>
        <v>0</v>
      </c>
      <c r="D133" s="21" t="str">
        <f>餐厅成本录入!D133</f>
        <v>斤</v>
      </c>
      <c r="E133" s="21">
        <f>餐厅成本录入!E133</f>
        <v>3.8</v>
      </c>
      <c r="F133" s="21">
        <f>餐厅成本录入!F133</f>
        <v>0</v>
      </c>
      <c r="G133" s="21">
        <f>餐厅成本录入!G133</f>
        <v>0</v>
      </c>
      <c r="H133" s="21">
        <f>餐厅成本录入!H133</f>
        <v>25</v>
      </c>
      <c r="I133" s="21">
        <f>餐厅成本录入!I133</f>
        <v>95</v>
      </c>
      <c r="J133" s="21">
        <f>餐厅成本录入!J133</f>
        <v>25</v>
      </c>
      <c r="K133" s="21">
        <f>餐厅成本录入!K133</f>
        <v>95</v>
      </c>
      <c r="L133" s="21">
        <f>餐厅成本录入!L133</f>
        <v>0</v>
      </c>
      <c r="M133" s="21">
        <f>餐厅成本录入!M133</f>
        <v>0</v>
      </c>
      <c r="N133" s="198">
        <f>$E133*餐厅成本录入!N133</f>
        <v>0</v>
      </c>
      <c r="O133" s="198">
        <f>$E133*餐厅成本录入!O133</f>
        <v>0</v>
      </c>
      <c r="P133" s="198">
        <f>$E133*餐厅成本录入!P133</f>
        <v>0</v>
      </c>
      <c r="Q133" s="198">
        <f>$E133*餐厅成本录入!Q133</f>
        <v>0</v>
      </c>
      <c r="R133" s="198">
        <f>$E133*餐厅成本录入!R133</f>
        <v>0</v>
      </c>
      <c r="S133" s="198">
        <f>$E133*餐厅成本录入!S133</f>
        <v>0</v>
      </c>
      <c r="T133" s="198">
        <f>$E133*餐厅成本录入!T133</f>
        <v>0</v>
      </c>
      <c r="U133" s="198">
        <f>$E133*餐厅成本录入!U133</f>
        <v>0</v>
      </c>
      <c r="V133" s="198">
        <f>$E133*餐厅成本录入!V133</f>
        <v>0</v>
      </c>
      <c r="W133" s="198">
        <f>$E133*餐厅成本录入!W133</f>
        <v>0</v>
      </c>
      <c r="X133" s="198">
        <f>$E133*餐厅成本录入!X133</f>
        <v>0</v>
      </c>
      <c r="Y133" s="198">
        <f>$E133*餐厅成本录入!Y133</f>
        <v>0</v>
      </c>
      <c r="Z133" s="198">
        <f>$E133*餐厅成本录入!Z133</f>
        <v>0</v>
      </c>
      <c r="AA133" s="198">
        <f>$E133*餐厅成本录入!AA133</f>
        <v>0</v>
      </c>
      <c r="AB133" s="198">
        <f>$E133*餐厅成本录入!AB133</f>
        <v>0</v>
      </c>
      <c r="AC133" s="198">
        <f>$E133*餐厅成本录入!AC133</f>
        <v>0</v>
      </c>
      <c r="AD133" s="198">
        <f>$E133*餐厅成本录入!AD133</f>
        <v>19</v>
      </c>
      <c r="AE133" s="198">
        <f>$E133*餐厅成本录入!AE133</f>
        <v>19</v>
      </c>
      <c r="AF133" s="198">
        <f>$E133*餐厅成本录入!AF133</f>
        <v>0</v>
      </c>
      <c r="AG133" s="198">
        <f>$E133*餐厅成本录入!AG133</f>
        <v>0</v>
      </c>
      <c r="AH133" s="198">
        <f>$E133*餐厅成本录入!AH133</f>
        <v>0</v>
      </c>
      <c r="AI133" s="198">
        <f>$E133*餐厅成本录入!AI133</f>
        <v>0</v>
      </c>
      <c r="AJ133" s="198">
        <f>$E133*餐厅成本录入!AJ133</f>
        <v>38</v>
      </c>
      <c r="AK133" s="198">
        <f>$E133*餐厅成本录入!AK133</f>
        <v>38</v>
      </c>
      <c r="AL133" s="198">
        <f>$E133*餐厅成本录入!AL133</f>
        <v>0</v>
      </c>
      <c r="AM133" s="198">
        <f>$E133*餐厅成本录入!AM133</f>
        <v>0</v>
      </c>
      <c r="AN133" s="198">
        <f>$E133*餐厅成本录入!AN133</f>
        <v>0</v>
      </c>
      <c r="AO133" s="198">
        <f>$E133*餐厅成本录入!AO133</f>
        <v>0</v>
      </c>
      <c r="AP133" s="198">
        <f>$E133*餐厅成本录入!AP133</f>
        <v>0</v>
      </c>
      <c r="AQ133" s="198">
        <f>$E133*餐厅成本录入!AQ133</f>
        <v>0</v>
      </c>
      <c r="AR133" s="198">
        <f>$E133*餐厅成本录入!AR133</f>
        <v>0</v>
      </c>
      <c r="AS133" s="198">
        <f>$E133*餐厅成本录入!AS133</f>
        <v>0</v>
      </c>
      <c r="AT133" s="198">
        <f>$E133*餐厅成本录入!AT133</f>
        <v>0</v>
      </c>
      <c r="AU133" s="198">
        <f>$E133*餐厅成本录入!AU133</f>
        <v>0</v>
      </c>
      <c r="AV133" s="198">
        <f>$E133*餐厅成本录入!AV133</f>
        <v>0</v>
      </c>
      <c r="AW133" s="198">
        <f>$E133*餐厅成本录入!AW133</f>
        <v>0</v>
      </c>
      <c r="AX133" s="198">
        <f>$E133*餐厅成本录入!AX133</f>
        <v>0</v>
      </c>
      <c r="AY133" s="198">
        <f>$E133*餐厅成本录入!AY133</f>
        <v>0</v>
      </c>
      <c r="AZ133" s="198">
        <f>$E133*餐厅成本录入!AZ133</f>
        <v>0</v>
      </c>
      <c r="BA133" s="198">
        <f>$E133*餐厅成本录入!BA133</f>
        <v>0</v>
      </c>
      <c r="BB133" s="198">
        <f>$E133*餐厅成本录入!BB133</f>
        <v>0</v>
      </c>
      <c r="BC133" s="198">
        <f>$E133*餐厅成本录入!BC133</f>
        <v>0</v>
      </c>
      <c r="BD133" s="198">
        <f>$E133*餐厅成本录入!BD133</f>
        <v>0</v>
      </c>
      <c r="BE133" s="198">
        <f>$E133*餐厅成本录入!BE133</f>
        <v>0</v>
      </c>
      <c r="BF133" s="198">
        <f>$E133*餐厅成本录入!BF133</f>
        <v>38</v>
      </c>
      <c r="BG133" s="198">
        <f>$E133*餐厅成本录入!BG133</f>
        <v>38</v>
      </c>
      <c r="BH133" s="198">
        <f>$E133*餐厅成本录入!BH133</f>
        <v>0</v>
      </c>
      <c r="BI133" s="198">
        <f>$E133*餐厅成本录入!BI133</f>
        <v>0</v>
      </c>
      <c r="BJ133" s="198">
        <f>$E133*餐厅成本录入!BJ133</f>
        <v>0</v>
      </c>
      <c r="BK133" s="198">
        <f>$E133*餐厅成本录入!BK133</f>
        <v>0</v>
      </c>
      <c r="BL133" s="198">
        <f>$E133*餐厅成本录入!BL133</f>
        <v>0</v>
      </c>
      <c r="BM133" s="198">
        <f>$E133*餐厅成本录入!BM133</f>
        <v>0</v>
      </c>
      <c r="BN133" s="198">
        <f>$E133*餐厅成本录入!BN133</f>
        <v>0</v>
      </c>
      <c r="BO133" s="198">
        <f>$E133*餐厅成本录入!BO133</f>
        <v>0</v>
      </c>
      <c r="BP133" s="198">
        <f>$E133*餐厅成本录入!BP133</f>
        <v>0</v>
      </c>
      <c r="BQ133" s="198">
        <f>$E133*餐厅成本录入!BQ133</f>
        <v>0</v>
      </c>
      <c r="BR133" s="198">
        <f>$E133*餐厅成本录入!BR133</f>
        <v>0</v>
      </c>
      <c r="BS133" s="198">
        <f>$E133*餐厅成本录入!BS133</f>
        <v>0</v>
      </c>
      <c r="BT133" s="198">
        <f>$E133*餐厅成本录入!BT133</f>
        <v>0</v>
      </c>
      <c r="BU133" s="198">
        <f>$E133*餐厅成本录入!BU133</f>
        <v>0</v>
      </c>
      <c r="BV133" s="198">
        <f>$E133*餐厅成本录入!BV133</f>
        <v>0</v>
      </c>
      <c r="BW133" s="198">
        <f>$E133*餐厅成本录入!BW133</f>
        <v>0</v>
      </c>
    </row>
    <row r="134" s="178" customFormat="1" customHeight="1" spans="1:75">
      <c r="A134" s="161">
        <v>166</v>
      </c>
      <c r="B134" s="21" t="str">
        <f>餐厅成本录入!B134</f>
        <v>凤梨</v>
      </c>
      <c r="C134" s="21">
        <f>餐厅成本录入!C134</f>
        <v>0</v>
      </c>
      <c r="D134" s="21" t="str">
        <f>餐厅成本录入!D134</f>
        <v>件</v>
      </c>
      <c r="E134" s="21">
        <f>餐厅成本录入!E134</f>
        <v>135</v>
      </c>
      <c r="F134" s="21">
        <f>餐厅成本录入!F134</f>
        <v>0</v>
      </c>
      <c r="G134" s="21">
        <f>餐厅成本录入!G134</f>
        <v>0</v>
      </c>
      <c r="H134" s="21">
        <f>餐厅成本录入!H134</f>
        <v>0</v>
      </c>
      <c r="I134" s="21">
        <f>餐厅成本录入!I134</f>
        <v>0</v>
      </c>
      <c r="J134" s="21">
        <f>餐厅成本录入!J134</f>
        <v>0</v>
      </c>
      <c r="K134" s="21">
        <f>餐厅成本录入!K134</f>
        <v>0</v>
      </c>
      <c r="L134" s="21">
        <f>餐厅成本录入!L134</f>
        <v>0</v>
      </c>
      <c r="M134" s="21">
        <f>餐厅成本录入!M134</f>
        <v>0</v>
      </c>
      <c r="N134" s="198">
        <f>$E134*餐厅成本录入!N134</f>
        <v>0</v>
      </c>
      <c r="O134" s="198">
        <f>$E134*餐厅成本录入!O134</f>
        <v>0</v>
      </c>
      <c r="P134" s="198">
        <f>$E134*餐厅成本录入!P134</f>
        <v>0</v>
      </c>
      <c r="Q134" s="198">
        <f>$E134*餐厅成本录入!Q134</f>
        <v>0</v>
      </c>
      <c r="R134" s="198">
        <f>$E134*餐厅成本录入!R134</f>
        <v>0</v>
      </c>
      <c r="S134" s="198">
        <f>$E134*餐厅成本录入!S134</f>
        <v>0</v>
      </c>
      <c r="T134" s="198">
        <f>$E134*餐厅成本录入!T134</f>
        <v>0</v>
      </c>
      <c r="U134" s="198">
        <f>$E134*餐厅成本录入!U134</f>
        <v>0</v>
      </c>
      <c r="V134" s="198">
        <f>$E134*餐厅成本录入!V134</f>
        <v>0</v>
      </c>
      <c r="W134" s="198">
        <f>$E134*餐厅成本录入!W134</f>
        <v>0</v>
      </c>
      <c r="X134" s="198">
        <f>$E134*餐厅成本录入!X134</f>
        <v>0</v>
      </c>
      <c r="Y134" s="198">
        <f>$E134*餐厅成本录入!Y134</f>
        <v>0</v>
      </c>
      <c r="Z134" s="198">
        <f>$E134*餐厅成本录入!Z134</f>
        <v>0</v>
      </c>
      <c r="AA134" s="198">
        <f>$E134*餐厅成本录入!AA134</f>
        <v>0</v>
      </c>
      <c r="AB134" s="198">
        <f>$E134*餐厅成本录入!AB134</f>
        <v>0</v>
      </c>
      <c r="AC134" s="198">
        <f>$E134*餐厅成本录入!AC134</f>
        <v>0</v>
      </c>
      <c r="AD134" s="198">
        <f>$E134*餐厅成本录入!AD134</f>
        <v>0</v>
      </c>
      <c r="AE134" s="198">
        <f>$E134*餐厅成本录入!AE134</f>
        <v>0</v>
      </c>
      <c r="AF134" s="198">
        <f>$E134*餐厅成本录入!AF134</f>
        <v>0</v>
      </c>
      <c r="AG134" s="198">
        <f>$E134*餐厅成本录入!AG134</f>
        <v>0</v>
      </c>
      <c r="AH134" s="198">
        <f>$E134*餐厅成本录入!AH134</f>
        <v>0</v>
      </c>
      <c r="AI134" s="198">
        <f>$E134*餐厅成本录入!AI134</f>
        <v>0</v>
      </c>
      <c r="AJ134" s="198">
        <f>$E134*餐厅成本录入!AJ134</f>
        <v>0</v>
      </c>
      <c r="AK134" s="198">
        <f>$E134*餐厅成本录入!AK134</f>
        <v>0</v>
      </c>
      <c r="AL134" s="198">
        <f>$E134*餐厅成本录入!AL134</f>
        <v>0</v>
      </c>
      <c r="AM134" s="198">
        <f>$E134*餐厅成本录入!AM134</f>
        <v>0</v>
      </c>
      <c r="AN134" s="198">
        <f>$E134*餐厅成本录入!AN134</f>
        <v>0</v>
      </c>
      <c r="AO134" s="198">
        <f>$E134*餐厅成本录入!AO134</f>
        <v>0</v>
      </c>
      <c r="AP134" s="198">
        <f>$E134*餐厅成本录入!AP134</f>
        <v>0</v>
      </c>
      <c r="AQ134" s="198">
        <f>$E134*餐厅成本录入!AQ134</f>
        <v>0</v>
      </c>
      <c r="AR134" s="198">
        <f>$E134*餐厅成本录入!AR134</f>
        <v>0</v>
      </c>
      <c r="AS134" s="198">
        <f>$E134*餐厅成本录入!AS134</f>
        <v>0</v>
      </c>
      <c r="AT134" s="198">
        <f>$E134*餐厅成本录入!AT134</f>
        <v>0</v>
      </c>
      <c r="AU134" s="198">
        <f>$E134*餐厅成本录入!AU134</f>
        <v>0</v>
      </c>
      <c r="AV134" s="198">
        <f>$E134*餐厅成本录入!AV134</f>
        <v>0</v>
      </c>
      <c r="AW134" s="198">
        <f>$E134*餐厅成本录入!AW134</f>
        <v>0</v>
      </c>
      <c r="AX134" s="198">
        <f>$E134*餐厅成本录入!AX134</f>
        <v>0</v>
      </c>
      <c r="AY134" s="198">
        <f>$E134*餐厅成本录入!AY134</f>
        <v>0</v>
      </c>
      <c r="AZ134" s="198">
        <f>$E134*餐厅成本录入!AZ134</f>
        <v>0</v>
      </c>
      <c r="BA134" s="198">
        <f>$E134*餐厅成本录入!BA134</f>
        <v>0</v>
      </c>
      <c r="BB134" s="198">
        <f>$E134*餐厅成本录入!BB134</f>
        <v>0</v>
      </c>
      <c r="BC134" s="198">
        <f>$E134*餐厅成本录入!BC134</f>
        <v>0</v>
      </c>
      <c r="BD134" s="198">
        <f>$E134*餐厅成本录入!BD134</f>
        <v>0</v>
      </c>
      <c r="BE134" s="198">
        <f>$E134*餐厅成本录入!BE134</f>
        <v>0</v>
      </c>
      <c r="BF134" s="198">
        <f>$E134*餐厅成本录入!BF134</f>
        <v>0</v>
      </c>
      <c r="BG134" s="198">
        <f>$E134*餐厅成本录入!BG134</f>
        <v>0</v>
      </c>
      <c r="BH134" s="198">
        <f>$E134*餐厅成本录入!BH134</f>
        <v>0</v>
      </c>
      <c r="BI134" s="198">
        <f>$E134*餐厅成本录入!BI134</f>
        <v>0</v>
      </c>
      <c r="BJ134" s="198">
        <f>$E134*餐厅成本录入!BJ134</f>
        <v>0</v>
      </c>
      <c r="BK134" s="198">
        <f>$E134*餐厅成本录入!BK134</f>
        <v>0</v>
      </c>
      <c r="BL134" s="198">
        <f>$E134*餐厅成本录入!BL134</f>
        <v>0</v>
      </c>
      <c r="BM134" s="198">
        <f>$E134*餐厅成本录入!BM134</f>
        <v>0</v>
      </c>
      <c r="BN134" s="198">
        <f>$E134*餐厅成本录入!BN134</f>
        <v>0</v>
      </c>
      <c r="BO134" s="198">
        <f>$E134*餐厅成本录入!BO134</f>
        <v>0</v>
      </c>
      <c r="BP134" s="198">
        <f>$E134*餐厅成本录入!BP134</f>
        <v>0</v>
      </c>
      <c r="BQ134" s="198">
        <f>$E134*餐厅成本录入!BQ134</f>
        <v>0</v>
      </c>
      <c r="BR134" s="198">
        <f>$E134*餐厅成本录入!BR134</f>
        <v>0</v>
      </c>
      <c r="BS134" s="198">
        <f>$E134*餐厅成本录入!BS134</f>
        <v>0</v>
      </c>
      <c r="BT134" s="198">
        <f>$E134*餐厅成本录入!BT134</f>
        <v>0</v>
      </c>
      <c r="BU134" s="198">
        <f>$E134*餐厅成本录入!BU134</f>
        <v>0</v>
      </c>
      <c r="BV134" s="198">
        <f>$E134*餐厅成本录入!BV134</f>
        <v>0</v>
      </c>
      <c r="BW134" s="198">
        <f>$E134*餐厅成本录入!BW134</f>
        <v>0</v>
      </c>
    </row>
    <row r="135" s="178" customFormat="1" customHeight="1" spans="1:75">
      <c r="A135" s="161">
        <v>167</v>
      </c>
      <c r="B135" s="21" t="str">
        <f>餐厅成本录入!B135</f>
        <v>荔枝</v>
      </c>
      <c r="C135" s="21">
        <f>餐厅成本录入!C135</f>
        <v>0</v>
      </c>
      <c r="D135" s="21" t="str">
        <f>餐厅成本录入!D135</f>
        <v>件</v>
      </c>
      <c r="E135" s="21">
        <f>餐厅成本录入!E135</f>
        <v>145</v>
      </c>
      <c r="F135" s="21">
        <f>餐厅成本录入!F135</f>
        <v>0</v>
      </c>
      <c r="G135" s="21">
        <f>餐厅成本录入!G135</f>
        <v>0</v>
      </c>
      <c r="H135" s="21">
        <f>餐厅成本录入!H135</f>
        <v>0</v>
      </c>
      <c r="I135" s="21">
        <f>餐厅成本录入!I135</f>
        <v>0</v>
      </c>
      <c r="J135" s="21">
        <f>餐厅成本录入!J135</f>
        <v>0</v>
      </c>
      <c r="K135" s="21">
        <f>餐厅成本录入!K135</f>
        <v>0</v>
      </c>
      <c r="L135" s="21">
        <f>餐厅成本录入!L135</f>
        <v>0</v>
      </c>
      <c r="M135" s="21">
        <f>餐厅成本录入!M135</f>
        <v>0</v>
      </c>
      <c r="N135" s="198">
        <f>$E135*餐厅成本录入!N135</f>
        <v>0</v>
      </c>
      <c r="O135" s="198">
        <f>$E135*餐厅成本录入!O135</f>
        <v>0</v>
      </c>
      <c r="P135" s="198">
        <f>$E135*餐厅成本录入!P135</f>
        <v>0</v>
      </c>
      <c r="Q135" s="198">
        <f>$E135*餐厅成本录入!Q135</f>
        <v>0</v>
      </c>
      <c r="R135" s="198">
        <f>$E135*餐厅成本录入!R135</f>
        <v>0</v>
      </c>
      <c r="S135" s="198">
        <f>$E135*餐厅成本录入!S135</f>
        <v>0</v>
      </c>
      <c r="T135" s="198">
        <f>$E135*餐厅成本录入!T135</f>
        <v>0</v>
      </c>
      <c r="U135" s="198">
        <f>$E135*餐厅成本录入!U135</f>
        <v>0</v>
      </c>
      <c r="V135" s="198">
        <f>$E135*餐厅成本录入!V135</f>
        <v>0</v>
      </c>
      <c r="W135" s="198">
        <f>$E135*餐厅成本录入!W135</f>
        <v>0</v>
      </c>
      <c r="X135" s="198">
        <f>$E135*餐厅成本录入!X135</f>
        <v>0</v>
      </c>
      <c r="Y135" s="198">
        <f>$E135*餐厅成本录入!Y135</f>
        <v>0</v>
      </c>
      <c r="Z135" s="198">
        <f>$E135*餐厅成本录入!Z135</f>
        <v>0</v>
      </c>
      <c r="AA135" s="198">
        <f>$E135*餐厅成本录入!AA135</f>
        <v>0</v>
      </c>
      <c r="AB135" s="198">
        <f>$E135*餐厅成本录入!AB135</f>
        <v>0</v>
      </c>
      <c r="AC135" s="198">
        <f>$E135*餐厅成本录入!AC135</f>
        <v>0</v>
      </c>
      <c r="AD135" s="198">
        <f>$E135*餐厅成本录入!AD135</f>
        <v>0</v>
      </c>
      <c r="AE135" s="198">
        <f>$E135*餐厅成本录入!AE135</f>
        <v>0</v>
      </c>
      <c r="AF135" s="198">
        <f>$E135*餐厅成本录入!AF135</f>
        <v>0</v>
      </c>
      <c r="AG135" s="198">
        <f>$E135*餐厅成本录入!AG135</f>
        <v>0</v>
      </c>
      <c r="AH135" s="198">
        <f>$E135*餐厅成本录入!AH135</f>
        <v>0</v>
      </c>
      <c r="AI135" s="198">
        <f>$E135*餐厅成本录入!AI135</f>
        <v>0</v>
      </c>
      <c r="AJ135" s="198">
        <f>$E135*餐厅成本录入!AJ135</f>
        <v>0</v>
      </c>
      <c r="AK135" s="198">
        <f>$E135*餐厅成本录入!AK135</f>
        <v>0</v>
      </c>
      <c r="AL135" s="198">
        <f>$E135*餐厅成本录入!AL135</f>
        <v>0</v>
      </c>
      <c r="AM135" s="198">
        <f>$E135*餐厅成本录入!AM135</f>
        <v>0</v>
      </c>
      <c r="AN135" s="198">
        <f>$E135*餐厅成本录入!AN135</f>
        <v>0</v>
      </c>
      <c r="AO135" s="198">
        <f>$E135*餐厅成本录入!AO135</f>
        <v>0</v>
      </c>
      <c r="AP135" s="198">
        <f>$E135*餐厅成本录入!AP135</f>
        <v>0</v>
      </c>
      <c r="AQ135" s="198">
        <f>$E135*餐厅成本录入!AQ135</f>
        <v>0</v>
      </c>
      <c r="AR135" s="198">
        <f>$E135*餐厅成本录入!AR135</f>
        <v>0</v>
      </c>
      <c r="AS135" s="198">
        <f>$E135*餐厅成本录入!AS135</f>
        <v>0</v>
      </c>
      <c r="AT135" s="198">
        <f>$E135*餐厅成本录入!AT135</f>
        <v>0</v>
      </c>
      <c r="AU135" s="198">
        <f>$E135*餐厅成本录入!AU135</f>
        <v>0</v>
      </c>
      <c r="AV135" s="198">
        <f>$E135*餐厅成本录入!AV135</f>
        <v>0</v>
      </c>
      <c r="AW135" s="198">
        <f>$E135*餐厅成本录入!AW135</f>
        <v>0</v>
      </c>
      <c r="AX135" s="198">
        <f>$E135*餐厅成本录入!AX135</f>
        <v>0</v>
      </c>
      <c r="AY135" s="198">
        <f>$E135*餐厅成本录入!AY135</f>
        <v>0</v>
      </c>
      <c r="AZ135" s="198">
        <f>$E135*餐厅成本录入!AZ135</f>
        <v>0</v>
      </c>
      <c r="BA135" s="198">
        <f>$E135*餐厅成本录入!BA135</f>
        <v>0</v>
      </c>
      <c r="BB135" s="198">
        <f>$E135*餐厅成本录入!BB135</f>
        <v>0</v>
      </c>
      <c r="BC135" s="198">
        <f>$E135*餐厅成本录入!BC135</f>
        <v>0</v>
      </c>
      <c r="BD135" s="198">
        <f>$E135*餐厅成本录入!BD135</f>
        <v>0</v>
      </c>
      <c r="BE135" s="198">
        <f>$E135*餐厅成本录入!BE135</f>
        <v>0</v>
      </c>
      <c r="BF135" s="198">
        <f>$E135*餐厅成本录入!BF135</f>
        <v>0</v>
      </c>
      <c r="BG135" s="198">
        <f>$E135*餐厅成本录入!BG135</f>
        <v>0</v>
      </c>
      <c r="BH135" s="198">
        <f>$E135*餐厅成本录入!BH135</f>
        <v>0</v>
      </c>
      <c r="BI135" s="198">
        <f>$E135*餐厅成本录入!BI135</f>
        <v>0</v>
      </c>
      <c r="BJ135" s="198">
        <f>$E135*餐厅成本录入!BJ135</f>
        <v>0</v>
      </c>
      <c r="BK135" s="198">
        <f>$E135*餐厅成本录入!BK135</f>
        <v>0</v>
      </c>
      <c r="BL135" s="198">
        <f>$E135*餐厅成本录入!BL135</f>
        <v>0</v>
      </c>
      <c r="BM135" s="198">
        <f>$E135*餐厅成本录入!BM135</f>
        <v>0</v>
      </c>
      <c r="BN135" s="198">
        <f>$E135*餐厅成本录入!BN135</f>
        <v>0</v>
      </c>
      <c r="BO135" s="198">
        <f>$E135*餐厅成本录入!BO135</f>
        <v>0</v>
      </c>
      <c r="BP135" s="198">
        <f>$E135*餐厅成本录入!BP135</f>
        <v>0</v>
      </c>
      <c r="BQ135" s="198">
        <f>$E135*餐厅成本录入!BQ135</f>
        <v>0</v>
      </c>
      <c r="BR135" s="198">
        <f>$E135*餐厅成本录入!BR135</f>
        <v>0</v>
      </c>
      <c r="BS135" s="198">
        <f>$E135*餐厅成本录入!BS135</f>
        <v>0</v>
      </c>
      <c r="BT135" s="198">
        <f>$E135*餐厅成本录入!BT135</f>
        <v>0</v>
      </c>
      <c r="BU135" s="198">
        <f>$E135*餐厅成本录入!BU135</f>
        <v>0</v>
      </c>
      <c r="BV135" s="198">
        <f>$E135*餐厅成本录入!BV135</f>
        <v>0</v>
      </c>
      <c r="BW135" s="198">
        <f>$E135*餐厅成本录入!BW135</f>
        <v>0</v>
      </c>
    </row>
    <row r="136" s="178" customFormat="1" customHeight="1" spans="1:75">
      <c r="A136" s="161">
        <v>168</v>
      </c>
      <c r="B136" s="21">
        <f>餐厅成本录入!B136</f>
        <v>0</v>
      </c>
      <c r="C136" s="21">
        <f>餐厅成本录入!C136</f>
        <v>0</v>
      </c>
      <c r="D136" s="21">
        <f>餐厅成本录入!D136</f>
        <v>0</v>
      </c>
      <c r="E136" s="21">
        <f>餐厅成本录入!E136</f>
        <v>0</v>
      </c>
      <c r="F136" s="21">
        <f>餐厅成本录入!F136</f>
        <v>0</v>
      </c>
      <c r="G136" s="21">
        <f>餐厅成本录入!G136</f>
        <v>0</v>
      </c>
      <c r="H136" s="21">
        <f>餐厅成本录入!H136</f>
        <v>0</v>
      </c>
      <c r="I136" s="21">
        <f>餐厅成本录入!I136</f>
        <v>0</v>
      </c>
      <c r="J136" s="21">
        <f>餐厅成本录入!J136</f>
        <v>0</v>
      </c>
      <c r="K136" s="21">
        <f>餐厅成本录入!K136</f>
        <v>0</v>
      </c>
      <c r="L136" s="21">
        <f>餐厅成本录入!L136</f>
        <v>0</v>
      </c>
      <c r="M136" s="21">
        <f>餐厅成本录入!M136</f>
        <v>0</v>
      </c>
      <c r="N136" s="198">
        <f>$E136*餐厅成本录入!N136</f>
        <v>0</v>
      </c>
      <c r="O136" s="198">
        <f>$E136*餐厅成本录入!O136</f>
        <v>0</v>
      </c>
      <c r="P136" s="198">
        <f>$E136*餐厅成本录入!P136</f>
        <v>0</v>
      </c>
      <c r="Q136" s="198">
        <f>$E136*餐厅成本录入!Q136</f>
        <v>0</v>
      </c>
      <c r="R136" s="198">
        <f>$E136*餐厅成本录入!R136</f>
        <v>0</v>
      </c>
      <c r="S136" s="198">
        <f>$E136*餐厅成本录入!S136</f>
        <v>0</v>
      </c>
      <c r="T136" s="198">
        <f>$E136*餐厅成本录入!T136</f>
        <v>0</v>
      </c>
      <c r="U136" s="198">
        <f>$E136*餐厅成本录入!U136</f>
        <v>0</v>
      </c>
      <c r="V136" s="198">
        <f>$E136*餐厅成本录入!V136</f>
        <v>0</v>
      </c>
      <c r="W136" s="198">
        <f>$E136*餐厅成本录入!W136</f>
        <v>0</v>
      </c>
      <c r="X136" s="198">
        <f>$E136*餐厅成本录入!X136</f>
        <v>0</v>
      </c>
      <c r="Y136" s="198">
        <f>$E136*餐厅成本录入!Y136</f>
        <v>0</v>
      </c>
      <c r="Z136" s="198">
        <f>$E136*餐厅成本录入!Z136</f>
        <v>0</v>
      </c>
      <c r="AA136" s="198">
        <f>$E136*餐厅成本录入!AA136</f>
        <v>0</v>
      </c>
      <c r="AB136" s="198">
        <f>$E136*餐厅成本录入!AB136</f>
        <v>0</v>
      </c>
      <c r="AC136" s="198">
        <f>$E136*餐厅成本录入!AC136</f>
        <v>0</v>
      </c>
      <c r="AD136" s="198">
        <f>$E136*餐厅成本录入!AD136</f>
        <v>0</v>
      </c>
      <c r="AE136" s="198">
        <f>$E136*餐厅成本录入!AE136</f>
        <v>0</v>
      </c>
      <c r="AF136" s="198">
        <f>$E136*餐厅成本录入!AF136</f>
        <v>0</v>
      </c>
      <c r="AG136" s="198">
        <f>$E136*餐厅成本录入!AG136</f>
        <v>0</v>
      </c>
      <c r="AH136" s="198">
        <f>$E136*餐厅成本录入!AH136</f>
        <v>0</v>
      </c>
      <c r="AI136" s="198">
        <f>$E136*餐厅成本录入!AI136</f>
        <v>0</v>
      </c>
      <c r="AJ136" s="198">
        <f>$E136*餐厅成本录入!AJ136</f>
        <v>0</v>
      </c>
      <c r="AK136" s="198">
        <f>$E136*餐厅成本录入!AK136</f>
        <v>0</v>
      </c>
      <c r="AL136" s="198">
        <f>$E136*餐厅成本录入!AL136</f>
        <v>0</v>
      </c>
      <c r="AM136" s="198">
        <f>$E136*餐厅成本录入!AM136</f>
        <v>0</v>
      </c>
      <c r="AN136" s="198">
        <f>$E136*餐厅成本录入!AN136</f>
        <v>0</v>
      </c>
      <c r="AO136" s="198">
        <f>$E136*餐厅成本录入!AO136</f>
        <v>0</v>
      </c>
      <c r="AP136" s="198">
        <f>$E136*餐厅成本录入!AP136</f>
        <v>0</v>
      </c>
      <c r="AQ136" s="198">
        <f>$E136*餐厅成本录入!AQ136</f>
        <v>0</v>
      </c>
      <c r="AR136" s="198">
        <f>$E136*餐厅成本录入!AR136</f>
        <v>0</v>
      </c>
      <c r="AS136" s="198">
        <f>$E136*餐厅成本录入!AS136</f>
        <v>0</v>
      </c>
      <c r="AT136" s="198">
        <f>$E136*餐厅成本录入!AT136</f>
        <v>0</v>
      </c>
      <c r="AU136" s="198">
        <f>$E136*餐厅成本录入!AU136</f>
        <v>0</v>
      </c>
      <c r="AV136" s="198">
        <f>$E136*餐厅成本录入!AV136</f>
        <v>0</v>
      </c>
      <c r="AW136" s="198">
        <f>$E136*餐厅成本录入!AW136</f>
        <v>0</v>
      </c>
      <c r="AX136" s="198">
        <f>$E136*餐厅成本录入!AX136</f>
        <v>0</v>
      </c>
      <c r="AY136" s="198">
        <f>$E136*餐厅成本录入!AY136</f>
        <v>0</v>
      </c>
      <c r="AZ136" s="198">
        <f>$E136*餐厅成本录入!AZ136</f>
        <v>0</v>
      </c>
      <c r="BA136" s="198">
        <f>$E136*餐厅成本录入!BA136</f>
        <v>0</v>
      </c>
      <c r="BB136" s="198">
        <f>$E136*餐厅成本录入!BB136</f>
        <v>0</v>
      </c>
      <c r="BC136" s="198">
        <f>$E136*餐厅成本录入!BC136</f>
        <v>0</v>
      </c>
      <c r="BD136" s="198">
        <f>$E136*餐厅成本录入!BD136</f>
        <v>0</v>
      </c>
      <c r="BE136" s="198">
        <f>$E136*餐厅成本录入!BE136</f>
        <v>0</v>
      </c>
      <c r="BF136" s="198">
        <f>$E136*餐厅成本录入!BF136</f>
        <v>0</v>
      </c>
      <c r="BG136" s="198">
        <f>$E136*餐厅成本录入!BG136</f>
        <v>0</v>
      </c>
      <c r="BH136" s="198">
        <f>$E136*餐厅成本录入!BH136</f>
        <v>0</v>
      </c>
      <c r="BI136" s="198">
        <f>$E136*餐厅成本录入!BI136</f>
        <v>0</v>
      </c>
      <c r="BJ136" s="198">
        <f>$E136*餐厅成本录入!BJ136</f>
        <v>0</v>
      </c>
      <c r="BK136" s="198">
        <f>$E136*餐厅成本录入!BK136</f>
        <v>0</v>
      </c>
      <c r="BL136" s="198">
        <f>$E136*餐厅成本录入!BL136</f>
        <v>0</v>
      </c>
      <c r="BM136" s="198">
        <f>$E136*餐厅成本录入!BM136</f>
        <v>0</v>
      </c>
      <c r="BN136" s="198">
        <f>$E136*餐厅成本录入!BN136</f>
        <v>0</v>
      </c>
      <c r="BO136" s="198">
        <f>$E136*餐厅成本录入!BO136</f>
        <v>0</v>
      </c>
      <c r="BP136" s="198">
        <f>$E136*餐厅成本录入!BP136</f>
        <v>0</v>
      </c>
      <c r="BQ136" s="198">
        <f>$E136*餐厅成本录入!BQ136</f>
        <v>0</v>
      </c>
      <c r="BR136" s="198">
        <f>$E136*餐厅成本录入!BR136</f>
        <v>0</v>
      </c>
      <c r="BS136" s="198">
        <f>$E136*餐厅成本录入!BS136</f>
        <v>0</v>
      </c>
      <c r="BT136" s="198">
        <f>$E136*餐厅成本录入!BT136</f>
        <v>0</v>
      </c>
      <c r="BU136" s="198">
        <f>$E136*餐厅成本录入!BU136</f>
        <v>0</v>
      </c>
      <c r="BV136" s="198">
        <f>$E136*餐厅成本录入!BV136</f>
        <v>0</v>
      </c>
      <c r="BW136" s="198">
        <f>$E136*餐厅成本录入!BW136</f>
        <v>0</v>
      </c>
    </row>
    <row r="137" s="178" customFormat="1" customHeight="1" spans="1:75">
      <c r="A137" s="161">
        <v>169</v>
      </c>
      <c r="B137" s="21">
        <f>餐厅成本录入!B137</f>
        <v>0</v>
      </c>
      <c r="C137" s="21">
        <f>餐厅成本录入!C137</f>
        <v>0</v>
      </c>
      <c r="D137" s="21">
        <f>餐厅成本录入!D137</f>
        <v>0</v>
      </c>
      <c r="E137" s="21">
        <f>餐厅成本录入!E137</f>
        <v>0</v>
      </c>
      <c r="F137" s="21">
        <f>餐厅成本录入!F137</f>
        <v>0</v>
      </c>
      <c r="G137" s="21">
        <f>餐厅成本录入!G137</f>
        <v>0</v>
      </c>
      <c r="H137" s="21">
        <f>餐厅成本录入!H137</f>
        <v>0</v>
      </c>
      <c r="I137" s="21">
        <f>餐厅成本录入!I137</f>
        <v>0</v>
      </c>
      <c r="J137" s="21">
        <f>餐厅成本录入!J137</f>
        <v>0</v>
      </c>
      <c r="K137" s="21">
        <f>餐厅成本录入!K137</f>
        <v>0</v>
      </c>
      <c r="L137" s="21">
        <f>餐厅成本录入!L137</f>
        <v>0</v>
      </c>
      <c r="M137" s="21">
        <f>餐厅成本录入!M137</f>
        <v>0</v>
      </c>
      <c r="N137" s="198">
        <f>$E137*餐厅成本录入!N137</f>
        <v>0</v>
      </c>
      <c r="O137" s="198">
        <f>$E137*餐厅成本录入!O137</f>
        <v>0</v>
      </c>
      <c r="P137" s="198">
        <f>$E137*餐厅成本录入!P137</f>
        <v>0</v>
      </c>
      <c r="Q137" s="198">
        <f>$E137*餐厅成本录入!Q137</f>
        <v>0</v>
      </c>
      <c r="R137" s="198">
        <f>$E137*餐厅成本录入!R137</f>
        <v>0</v>
      </c>
      <c r="S137" s="198">
        <f>$E137*餐厅成本录入!S137</f>
        <v>0</v>
      </c>
      <c r="T137" s="198">
        <f>$E137*餐厅成本录入!T137</f>
        <v>0</v>
      </c>
      <c r="U137" s="198">
        <f>$E137*餐厅成本录入!U137</f>
        <v>0</v>
      </c>
      <c r="V137" s="198">
        <f>$E137*餐厅成本录入!V137</f>
        <v>0</v>
      </c>
      <c r="W137" s="198">
        <f>$E137*餐厅成本录入!W137</f>
        <v>0</v>
      </c>
      <c r="X137" s="198">
        <f>$E137*餐厅成本录入!X137</f>
        <v>0</v>
      </c>
      <c r="Y137" s="198">
        <f>$E137*餐厅成本录入!Y137</f>
        <v>0</v>
      </c>
      <c r="Z137" s="198">
        <f>$E137*餐厅成本录入!Z137</f>
        <v>0</v>
      </c>
      <c r="AA137" s="198">
        <f>$E137*餐厅成本录入!AA137</f>
        <v>0</v>
      </c>
      <c r="AB137" s="198">
        <f>$E137*餐厅成本录入!AB137</f>
        <v>0</v>
      </c>
      <c r="AC137" s="198">
        <f>$E137*餐厅成本录入!AC137</f>
        <v>0</v>
      </c>
      <c r="AD137" s="198">
        <f>$E137*餐厅成本录入!AD137</f>
        <v>0</v>
      </c>
      <c r="AE137" s="198">
        <f>$E137*餐厅成本录入!AE137</f>
        <v>0</v>
      </c>
      <c r="AF137" s="198">
        <f>$E137*餐厅成本录入!AF137</f>
        <v>0</v>
      </c>
      <c r="AG137" s="198">
        <f>$E137*餐厅成本录入!AG137</f>
        <v>0</v>
      </c>
      <c r="AH137" s="198">
        <f>$E137*餐厅成本录入!AH137</f>
        <v>0</v>
      </c>
      <c r="AI137" s="198">
        <f>$E137*餐厅成本录入!AI137</f>
        <v>0</v>
      </c>
      <c r="AJ137" s="198">
        <f>$E137*餐厅成本录入!AJ137</f>
        <v>0</v>
      </c>
      <c r="AK137" s="198">
        <f>$E137*餐厅成本录入!AK137</f>
        <v>0</v>
      </c>
      <c r="AL137" s="198">
        <f>$E137*餐厅成本录入!AL137</f>
        <v>0</v>
      </c>
      <c r="AM137" s="198">
        <f>$E137*餐厅成本录入!AM137</f>
        <v>0</v>
      </c>
      <c r="AN137" s="198">
        <f>$E137*餐厅成本录入!AN137</f>
        <v>0</v>
      </c>
      <c r="AO137" s="198">
        <f>$E137*餐厅成本录入!AO137</f>
        <v>0</v>
      </c>
      <c r="AP137" s="198">
        <f>$E137*餐厅成本录入!AP137</f>
        <v>0</v>
      </c>
      <c r="AQ137" s="198">
        <f>$E137*餐厅成本录入!AQ137</f>
        <v>0</v>
      </c>
      <c r="AR137" s="198">
        <f>$E137*餐厅成本录入!AR137</f>
        <v>0</v>
      </c>
      <c r="AS137" s="198">
        <f>$E137*餐厅成本录入!AS137</f>
        <v>0</v>
      </c>
      <c r="AT137" s="198">
        <f>$E137*餐厅成本录入!AT137</f>
        <v>0</v>
      </c>
      <c r="AU137" s="198">
        <f>$E137*餐厅成本录入!AU137</f>
        <v>0</v>
      </c>
      <c r="AV137" s="198">
        <f>$E137*餐厅成本录入!AV137</f>
        <v>0</v>
      </c>
      <c r="AW137" s="198">
        <f>$E137*餐厅成本录入!AW137</f>
        <v>0</v>
      </c>
      <c r="AX137" s="198">
        <f>$E137*餐厅成本录入!AX137</f>
        <v>0</v>
      </c>
      <c r="AY137" s="198">
        <f>$E137*餐厅成本录入!AY137</f>
        <v>0</v>
      </c>
      <c r="AZ137" s="198">
        <f>$E137*餐厅成本录入!AZ137</f>
        <v>0</v>
      </c>
      <c r="BA137" s="198">
        <f>$E137*餐厅成本录入!BA137</f>
        <v>0</v>
      </c>
      <c r="BB137" s="198">
        <f>$E137*餐厅成本录入!BB137</f>
        <v>0</v>
      </c>
      <c r="BC137" s="198">
        <f>$E137*餐厅成本录入!BC137</f>
        <v>0</v>
      </c>
      <c r="BD137" s="198">
        <f>$E137*餐厅成本录入!BD137</f>
        <v>0</v>
      </c>
      <c r="BE137" s="198">
        <f>$E137*餐厅成本录入!BE137</f>
        <v>0</v>
      </c>
      <c r="BF137" s="198">
        <f>$E137*餐厅成本录入!BF137</f>
        <v>0</v>
      </c>
      <c r="BG137" s="198">
        <f>$E137*餐厅成本录入!BG137</f>
        <v>0</v>
      </c>
      <c r="BH137" s="198">
        <f>$E137*餐厅成本录入!BH137</f>
        <v>0</v>
      </c>
      <c r="BI137" s="198">
        <f>$E137*餐厅成本录入!BI137</f>
        <v>0</v>
      </c>
      <c r="BJ137" s="198">
        <f>$E137*餐厅成本录入!BJ137</f>
        <v>0</v>
      </c>
      <c r="BK137" s="198">
        <f>$E137*餐厅成本录入!BK137</f>
        <v>0</v>
      </c>
      <c r="BL137" s="198">
        <f>$E137*餐厅成本录入!BL137</f>
        <v>0</v>
      </c>
      <c r="BM137" s="198">
        <f>$E137*餐厅成本录入!BM137</f>
        <v>0</v>
      </c>
      <c r="BN137" s="198">
        <f>$E137*餐厅成本录入!BN137</f>
        <v>0</v>
      </c>
      <c r="BO137" s="198">
        <f>$E137*餐厅成本录入!BO137</f>
        <v>0</v>
      </c>
      <c r="BP137" s="198">
        <f>$E137*餐厅成本录入!BP137</f>
        <v>0</v>
      </c>
      <c r="BQ137" s="198">
        <f>$E137*餐厅成本录入!BQ137</f>
        <v>0</v>
      </c>
      <c r="BR137" s="198">
        <f>$E137*餐厅成本录入!BR137</f>
        <v>0</v>
      </c>
      <c r="BS137" s="198">
        <f>$E137*餐厅成本录入!BS137</f>
        <v>0</v>
      </c>
      <c r="BT137" s="198">
        <f>$E137*餐厅成本录入!BT137</f>
        <v>0</v>
      </c>
      <c r="BU137" s="198">
        <f>$E137*餐厅成本录入!BU137</f>
        <v>0</v>
      </c>
      <c r="BV137" s="198">
        <f>$E137*餐厅成本录入!BV137</f>
        <v>0</v>
      </c>
      <c r="BW137" s="198">
        <f>$E137*餐厅成本录入!BW137</f>
        <v>0</v>
      </c>
    </row>
    <row r="138" s="178" customFormat="1" customHeight="1" spans="1:75">
      <c r="A138" s="161">
        <v>170</v>
      </c>
      <c r="B138" s="21">
        <f>餐厅成本录入!B138</f>
        <v>0</v>
      </c>
      <c r="C138" s="21">
        <f>餐厅成本录入!C138</f>
        <v>0</v>
      </c>
      <c r="D138" s="21">
        <f>餐厅成本录入!D138</f>
        <v>0</v>
      </c>
      <c r="E138" s="21">
        <f>餐厅成本录入!E138</f>
        <v>0</v>
      </c>
      <c r="F138" s="21">
        <f>餐厅成本录入!F138</f>
        <v>0</v>
      </c>
      <c r="G138" s="21">
        <f>餐厅成本录入!G138</f>
        <v>0</v>
      </c>
      <c r="H138" s="21">
        <f>餐厅成本录入!H138</f>
        <v>0</v>
      </c>
      <c r="I138" s="21">
        <f>餐厅成本录入!I138</f>
        <v>0</v>
      </c>
      <c r="J138" s="21">
        <f>餐厅成本录入!J138</f>
        <v>0</v>
      </c>
      <c r="K138" s="21">
        <f>餐厅成本录入!K138</f>
        <v>0</v>
      </c>
      <c r="L138" s="21">
        <f>餐厅成本录入!L138</f>
        <v>0</v>
      </c>
      <c r="M138" s="21">
        <f>餐厅成本录入!M138</f>
        <v>0</v>
      </c>
      <c r="N138" s="198">
        <f>$E138*餐厅成本录入!N138</f>
        <v>0</v>
      </c>
      <c r="O138" s="198">
        <f>$E138*餐厅成本录入!O138</f>
        <v>0</v>
      </c>
      <c r="P138" s="198">
        <f>$E138*餐厅成本录入!P138</f>
        <v>0</v>
      </c>
      <c r="Q138" s="198">
        <f>$E138*餐厅成本录入!Q138</f>
        <v>0</v>
      </c>
      <c r="R138" s="198">
        <f>$E138*餐厅成本录入!R138</f>
        <v>0</v>
      </c>
      <c r="S138" s="198">
        <f>$E138*餐厅成本录入!S138</f>
        <v>0</v>
      </c>
      <c r="T138" s="198">
        <f>$E138*餐厅成本录入!T138</f>
        <v>0</v>
      </c>
      <c r="U138" s="198">
        <f>$E138*餐厅成本录入!U138</f>
        <v>0</v>
      </c>
      <c r="V138" s="198">
        <f>$E138*餐厅成本录入!V138</f>
        <v>0</v>
      </c>
      <c r="W138" s="198">
        <f>$E138*餐厅成本录入!W138</f>
        <v>0</v>
      </c>
      <c r="X138" s="198">
        <f>$E138*餐厅成本录入!X138</f>
        <v>0</v>
      </c>
      <c r="Y138" s="198">
        <f>$E138*餐厅成本录入!Y138</f>
        <v>0</v>
      </c>
      <c r="Z138" s="198">
        <f>$E138*餐厅成本录入!Z138</f>
        <v>0</v>
      </c>
      <c r="AA138" s="198">
        <f>$E138*餐厅成本录入!AA138</f>
        <v>0</v>
      </c>
      <c r="AB138" s="198">
        <f>$E138*餐厅成本录入!AB138</f>
        <v>0</v>
      </c>
      <c r="AC138" s="198">
        <f>$E138*餐厅成本录入!AC138</f>
        <v>0</v>
      </c>
      <c r="AD138" s="198">
        <f>$E138*餐厅成本录入!AD138</f>
        <v>0</v>
      </c>
      <c r="AE138" s="198">
        <f>$E138*餐厅成本录入!AE138</f>
        <v>0</v>
      </c>
      <c r="AF138" s="198">
        <f>$E138*餐厅成本录入!AF138</f>
        <v>0</v>
      </c>
      <c r="AG138" s="198">
        <f>$E138*餐厅成本录入!AG138</f>
        <v>0</v>
      </c>
      <c r="AH138" s="198">
        <f>$E138*餐厅成本录入!AH138</f>
        <v>0</v>
      </c>
      <c r="AI138" s="198">
        <f>$E138*餐厅成本录入!AI138</f>
        <v>0</v>
      </c>
      <c r="AJ138" s="198">
        <f>$E138*餐厅成本录入!AJ138</f>
        <v>0</v>
      </c>
      <c r="AK138" s="198">
        <f>$E138*餐厅成本录入!AK138</f>
        <v>0</v>
      </c>
      <c r="AL138" s="198">
        <f>$E138*餐厅成本录入!AL138</f>
        <v>0</v>
      </c>
      <c r="AM138" s="198">
        <f>$E138*餐厅成本录入!AM138</f>
        <v>0</v>
      </c>
      <c r="AN138" s="198">
        <f>$E138*餐厅成本录入!AN138</f>
        <v>0</v>
      </c>
      <c r="AO138" s="198">
        <f>$E138*餐厅成本录入!AO138</f>
        <v>0</v>
      </c>
      <c r="AP138" s="198">
        <f>$E138*餐厅成本录入!AP138</f>
        <v>0</v>
      </c>
      <c r="AQ138" s="198">
        <f>$E138*餐厅成本录入!AQ138</f>
        <v>0</v>
      </c>
      <c r="AR138" s="198">
        <f>$E138*餐厅成本录入!AR138</f>
        <v>0</v>
      </c>
      <c r="AS138" s="198">
        <f>$E138*餐厅成本录入!AS138</f>
        <v>0</v>
      </c>
      <c r="AT138" s="198">
        <f>$E138*餐厅成本录入!AT138</f>
        <v>0</v>
      </c>
      <c r="AU138" s="198">
        <f>$E138*餐厅成本录入!AU138</f>
        <v>0</v>
      </c>
      <c r="AV138" s="198">
        <f>$E138*餐厅成本录入!AV138</f>
        <v>0</v>
      </c>
      <c r="AW138" s="198">
        <f>$E138*餐厅成本录入!AW138</f>
        <v>0</v>
      </c>
      <c r="AX138" s="198">
        <f>$E138*餐厅成本录入!AX138</f>
        <v>0</v>
      </c>
      <c r="AY138" s="198">
        <f>$E138*餐厅成本录入!AY138</f>
        <v>0</v>
      </c>
      <c r="AZ138" s="198">
        <f>$E138*餐厅成本录入!AZ138</f>
        <v>0</v>
      </c>
      <c r="BA138" s="198">
        <f>$E138*餐厅成本录入!BA138</f>
        <v>0</v>
      </c>
      <c r="BB138" s="198">
        <f>$E138*餐厅成本录入!BB138</f>
        <v>0</v>
      </c>
      <c r="BC138" s="198">
        <f>$E138*餐厅成本录入!BC138</f>
        <v>0</v>
      </c>
      <c r="BD138" s="198">
        <f>$E138*餐厅成本录入!BD138</f>
        <v>0</v>
      </c>
      <c r="BE138" s="198">
        <f>$E138*餐厅成本录入!BE138</f>
        <v>0</v>
      </c>
      <c r="BF138" s="198">
        <f>$E138*餐厅成本录入!BF138</f>
        <v>0</v>
      </c>
      <c r="BG138" s="198">
        <f>$E138*餐厅成本录入!BG138</f>
        <v>0</v>
      </c>
      <c r="BH138" s="198">
        <f>$E138*餐厅成本录入!BH138</f>
        <v>0</v>
      </c>
      <c r="BI138" s="198">
        <f>$E138*餐厅成本录入!BI138</f>
        <v>0</v>
      </c>
      <c r="BJ138" s="198">
        <f>$E138*餐厅成本录入!BJ138</f>
        <v>0</v>
      </c>
      <c r="BK138" s="198">
        <f>$E138*餐厅成本录入!BK138</f>
        <v>0</v>
      </c>
      <c r="BL138" s="198">
        <f>$E138*餐厅成本录入!BL138</f>
        <v>0</v>
      </c>
      <c r="BM138" s="198">
        <f>$E138*餐厅成本录入!BM138</f>
        <v>0</v>
      </c>
      <c r="BN138" s="198">
        <f>$E138*餐厅成本录入!BN138</f>
        <v>0</v>
      </c>
      <c r="BO138" s="198">
        <f>$E138*餐厅成本录入!BO138</f>
        <v>0</v>
      </c>
      <c r="BP138" s="198">
        <f>$E138*餐厅成本录入!BP138</f>
        <v>0</v>
      </c>
      <c r="BQ138" s="198">
        <f>$E138*餐厅成本录入!BQ138</f>
        <v>0</v>
      </c>
      <c r="BR138" s="198">
        <f>$E138*餐厅成本录入!BR138</f>
        <v>0</v>
      </c>
      <c r="BS138" s="198">
        <f>$E138*餐厅成本录入!BS138</f>
        <v>0</v>
      </c>
      <c r="BT138" s="198">
        <f>$E138*餐厅成本录入!BT138</f>
        <v>0</v>
      </c>
      <c r="BU138" s="198">
        <f>$E138*餐厅成本录入!BU138</f>
        <v>0</v>
      </c>
      <c r="BV138" s="198">
        <f>$E138*餐厅成本录入!BV138</f>
        <v>0</v>
      </c>
      <c r="BW138" s="198">
        <f>$E138*餐厅成本录入!BW138</f>
        <v>0</v>
      </c>
    </row>
    <row r="139" s="178" customFormat="1" customHeight="1" spans="1:75">
      <c r="A139" s="161">
        <v>171</v>
      </c>
      <c r="B139" s="21" t="str">
        <f>餐厅成本录入!B139</f>
        <v>盐</v>
      </c>
      <c r="C139" s="21">
        <f>餐厅成本录入!C139</f>
        <v>0</v>
      </c>
      <c r="D139" s="21" t="str">
        <f>餐厅成本录入!D139</f>
        <v>件</v>
      </c>
      <c r="E139" s="21">
        <f>餐厅成本录入!E139</f>
        <v>0</v>
      </c>
      <c r="F139" s="21">
        <f>餐厅成本录入!F139</f>
        <v>0</v>
      </c>
      <c r="G139" s="21">
        <f>餐厅成本录入!G139</f>
        <v>0</v>
      </c>
      <c r="H139" s="21">
        <f>餐厅成本录入!H139</f>
        <v>0</v>
      </c>
      <c r="I139" s="21">
        <f>餐厅成本录入!I139</f>
        <v>0</v>
      </c>
      <c r="J139" s="21">
        <f>餐厅成本录入!J139</f>
        <v>0</v>
      </c>
      <c r="K139" s="21">
        <f>餐厅成本录入!K139</f>
        <v>0</v>
      </c>
      <c r="L139" s="21">
        <f>餐厅成本录入!L139</f>
        <v>0</v>
      </c>
      <c r="M139" s="21">
        <f>餐厅成本录入!M139</f>
        <v>0</v>
      </c>
      <c r="N139" s="198">
        <f>$E139*餐厅成本录入!N139</f>
        <v>0</v>
      </c>
      <c r="O139" s="198">
        <f>$E139*餐厅成本录入!O139</f>
        <v>0</v>
      </c>
      <c r="P139" s="198">
        <f>$E139*餐厅成本录入!P139</f>
        <v>0</v>
      </c>
      <c r="Q139" s="198">
        <f>$E139*餐厅成本录入!Q139</f>
        <v>0</v>
      </c>
      <c r="R139" s="198">
        <f>$E139*餐厅成本录入!R139</f>
        <v>0</v>
      </c>
      <c r="S139" s="198">
        <f>$E139*餐厅成本录入!S139</f>
        <v>0</v>
      </c>
      <c r="T139" s="198">
        <f>$E139*餐厅成本录入!T139</f>
        <v>0</v>
      </c>
      <c r="U139" s="198">
        <f>$E139*餐厅成本录入!U139</f>
        <v>0</v>
      </c>
      <c r="V139" s="198">
        <f>$E139*餐厅成本录入!V139</f>
        <v>0</v>
      </c>
      <c r="W139" s="198">
        <f>$E139*餐厅成本录入!W139</f>
        <v>0</v>
      </c>
      <c r="X139" s="198">
        <f>$E139*餐厅成本录入!X139</f>
        <v>0</v>
      </c>
      <c r="Y139" s="198">
        <f>$E139*餐厅成本录入!Y139</f>
        <v>0</v>
      </c>
      <c r="Z139" s="198">
        <f>$E139*餐厅成本录入!Z139</f>
        <v>0</v>
      </c>
      <c r="AA139" s="198">
        <f>$E139*餐厅成本录入!AA139</f>
        <v>0</v>
      </c>
      <c r="AB139" s="198">
        <f>$E139*餐厅成本录入!AB139</f>
        <v>0</v>
      </c>
      <c r="AC139" s="198">
        <f>$E139*餐厅成本录入!AC139</f>
        <v>0</v>
      </c>
      <c r="AD139" s="198">
        <f>$E139*餐厅成本录入!AD139</f>
        <v>0</v>
      </c>
      <c r="AE139" s="198">
        <f>$E139*餐厅成本录入!AE139</f>
        <v>0</v>
      </c>
      <c r="AF139" s="198">
        <f>$E139*餐厅成本录入!AF139</f>
        <v>0</v>
      </c>
      <c r="AG139" s="198">
        <f>$E139*餐厅成本录入!AG139</f>
        <v>0</v>
      </c>
      <c r="AH139" s="198">
        <f>$E139*餐厅成本录入!AH139</f>
        <v>0</v>
      </c>
      <c r="AI139" s="198">
        <f>$E139*餐厅成本录入!AI139</f>
        <v>0</v>
      </c>
      <c r="AJ139" s="198">
        <f>$E139*餐厅成本录入!AJ139</f>
        <v>0</v>
      </c>
      <c r="AK139" s="198">
        <f>$E139*餐厅成本录入!AK139</f>
        <v>0</v>
      </c>
      <c r="AL139" s="198">
        <f>$E139*餐厅成本录入!AL139</f>
        <v>0</v>
      </c>
      <c r="AM139" s="198">
        <f>$E139*餐厅成本录入!AM139</f>
        <v>0</v>
      </c>
      <c r="AN139" s="198">
        <f>$E139*餐厅成本录入!AN139</f>
        <v>0</v>
      </c>
      <c r="AO139" s="198">
        <f>$E139*餐厅成本录入!AO139</f>
        <v>0</v>
      </c>
      <c r="AP139" s="198">
        <f>$E139*餐厅成本录入!AP139</f>
        <v>0</v>
      </c>
      <c r="AQ139" s="198">
        <f>$E139*餐厅成本录入!AQ139</f>
        <v>0</v>
      </c>
      <c r="AR139" s="198">
        <f>$E139*餐厅成本录入!AR139</f>
        <v>0</v>
      </c>
      <c r="AS139" s="198">
        <f>$E139*餐厅成本录入!AS139</f>
        <v>0</v>
      </c>
      <c r="AT139" s="198">
        <f>$E139*餐厅成本录入!AT139</f>
        <v>0</v>
      </c>
      <c r="AU139" s="198">
        <f>$E139*餐厅成本录入!AU139</f>
        <v>0</v>
      </c>
      <c r="AV139" s="198">
        <f>$E139*餐厅成本录入!AV139</f>
        <v>0</v>
      </c>
      <c r="AW139" s="198">
        <f>$E139*餐厅成本录入!AW139</f>
        <v>0</v>
      </c>
      <c r="AX139" s="198">
        <f>$E139*餐厅成本录入!AX139</f>
        <v>0</v>
      </c>
      <c r="AY139" s="198">
        <f>$E139*餐厅成本录入!AY139</f>
        <v>0</v>
      </c>
      <c r="AZ139" s="198">
        <f>$E139*餐厅成本录入!AZ139</f>
        <v>0</v>
      </c>
      <c r="BA139" s="198">
        <f>$E139*餐厅成本录入!BA139</f>
        <v>0</v>
      </c>
      <c r="BB139" s="198">
        <f>$E139*餐厅成本录入!BB139</f>
        <v>0</v>
      </c>
      <c r="BC139" s="198">
        <f>$E139*餐厅成本录入!BC139</f>
        <v>0</v>
      </c>
      <c r="BD139" s="198">
        <f>$E139*餐厅成本录入!BD139</f>
        <v>0</v>
      </c>
      <c r="BE139" s="198">
        <f>$E139*餐厅成本录入!BE139</f>
        <v>0</v>
      </c>
      <c r="BF139" s="198">
        <f>$E139*餐厅成本录入!BF139</f>
        <v>0</v>
      </c>
      <c r="BG139" s="198">
        <f>$E139*餐厅成本录入!BG139</f>
        <v>0</v>
      </c>
      <c r="BH139" s="198">
        <f>$E139*餐厅成本录入!BH139</f>
        <v>0</v>
      </c>
      <c r="BI139" s="198">
        <f>$E139*餐厅成本录入!BI139</f>
        <v>0</v>
      </c>
      <c r="BJ139" s="198">
        <f>$E139*餐厅成本录入!BJ139</f>
        <v>0</v>
      </c>
      <c r="BK139" s="198">
        <f>$E139*餐厅成本录入!BK139</f>
        <v>0</v>
      </c>
      <c r="BL139" s="198">
        <f>$E139*餐厅成本录入!BL139</f>
        <v>0</v>
      </c>
      <c r="BM139" s="198">
        <f>$E139*餐厅成本录入!BM139</f>
        <v>0</v>
      </c>
      <c r="BN139" s="198">
        <f>$E139*餐厅成本录入!BN139</f>
        <v>0</v>
      </c>
      <c r="BO139" s="198">
        <f>$E139*餐厅成本录入!BO139</f>
        <v>0</v>
      </c>
      <c r="BP139" s="198">
        <f>$E139*餐厅成本录入!BP139</f>
        <v>0</v>
      </c>
      <c r="BQ139" s="198">
        <f>$E139*餐厅成本录入!BQ139</f>
        <v>0</v>
      </c>
      <c r="BR139" s="198">
        <f>$E139*餐厅成本录入!BR139</f>
        <v>0</v>
      </c>
      <c r="BS139" s="198">
        <f>$E139*餐厅成本录入!BS139</f>
        <v>0</v>
      </c>
      <c r="BT139" s="198">
        <f>$E139*餐厅成本录入!BT139</f>
        <v>0</v>
      </c>
      <c r="BU139" s="198">
        <f>$E139*餐厅成本录入!BU139</f>
        <v>0</v>
      </c>
      <c r="BV139" s="198">
        <f>$E139*餐厅成本录入!BV139</f>
        <v>0</v>
      </c>
      <c r="BW139" s="198">
        <f>$E139*餐厅成本录入!BW139</f>
        <v>0</v>
      </c>
    </row>
    <row r="140" s="178" customFormat="1" customHeight="1" spans="1:75">
      <c r="A140" s="161">
        <v>172</v>
      </c>
      <c r="B140" s="21" t="str">
        <f>餐厅成本录入!B140</f>
        <v>料酒</v>
      </c>
      <c r="C140" s="21">
        <f>餐厅成本录入!C140</f>
        <v>0</v>
      </c>
      <c r="D140" s="21" t="str">
        <f>餐厅成本录入!D140</f>
        <v>件</v>
      </c>
      <c r="E140" s="21">
        <f>餐厅成本录入!E140</f>
        <v>50</v>
      </c>
      <c r="F140" s="21">
        <f>餐厅成本录入!F140</f>
        <v>0</v>
      </c>
      <c r="G140" s="21">
        <f>餐厅成本录入!G140</f>
        <v>0</v>
      </c>
      <c r="H140" s="21">
        <f>餐厅成本录入!H140</f>
        <v>1</v>
      </c>
      <c r="I140" s="21">
        <f>餐厅成本录入!I140</f>
        <v>50</v>
      </c>
      <c r="J140" s="21">
        <f>餐厅成本录入!J140</f>
        <v>1</v>
      </c>
      <c r="K140" s="21">
        <f>餐厅成本录入!K140</f>
        <v>50</v>
      </c>
      <c r="L140" s="21">
        <f>餐厅成本录入!L140</f>
        <v>0</v>
      </c>
      <c r="M140" s="21">
        <f>餐厅成本录入!M140</f>
        <v>0</v>
      </c>
      <c r="N140" s="198">
        <f>$E140*餐厅成本录入!N140</f>
        <v>0</v>
      </c>
      <c r="O140" s="198">
        <f>$E140*餐厅成本录入!O140</f>
        <v>0</v>
      </c>
      <c r="P140" s="198">
        <f>$E140*餐厅成本录入!P140</f>
        <v>0</v>
      </c>
      <c r="Q140" s="198">
        <f>$E140*餐厅成本录入!Q140</f>
        <v>0</v>
      </c>
      <c r="R140" s="198">
        <f>$E140*餐厅成本录入!R140</f>
        <v>0</v>
      </c>
      <c r="S140" s="198">
        <f>$E140*餐厅成本录入!S140</f>
        <v>0</v>
      </c>
      <c r="T140" s="198">
        <f>$E140*餐厅成本录入!T140</f>
        <v>0</v>
      </c>
      <c r="U140" s="198">
        <f>$E140*餐厅成本录入!U140</f>
        <v>0</v>
      </c>
      <c r="V140" s="198">
        <f>$E140*餐厅成本录入!V140</f>
        <v>0</v>
      </c>
      <c r="W140" s="198">
        <f>$E140*餐厅成本录入!W140</f>
        <v>0</v>
      </c>
      <c r="X140" s="198">
        <f>$E140*餐厅成本录入!X140</f>
        <v>0</v>
      </c>
      <c r="Y140" s="198">
        <f>$E140*餐厅成本录入!Y140</f>
        <v>0</v>
      </c>
      <c r="Z140" s="198">
        <f>$E140*餐厅成本录入!Z140</f>
        <v>0</v>
      </c>
      <c r="AA140" s="198">
        <f>$E140*餐厅成本录入!AA140</f>
        <v>0</v>
      </c>
      <c r="AB140" s="198">
        <f>$E140*餐厅成本录入!AB140</f>
        <v>0</v>
      </c>
      <c r="AC140" s="198">
        <f>$E140*餐厅成本录入!AC140</f>
        <v>0</v>
      </c>
      <c r="AD140" s="198">
        <f>$E140*餐厅成本录入!AD140</f>
        <v>0</v>
      </c>
      <c r="AE140" s="198">
        <f>$E140*餐厅成本录入!AE140</f>
        <v>0</v>
      </c>
      <c r="AF140" s="198">
        <f>$E140*餐厅成本录入!AF140</f>
        <v>0</v>
      </c>
      <c r="AG140" s="198">
        <f>$E140*餐厅成本录入!AG140</f>
        <v>0</v>
      </c>
      <c r="AH140" s="198">
        <f>$E140*餐厅成本录入!AH140</f>
        <v>0</v>
      </c>
      <c r="AI140" s="198">
        <f>$E140*餐厅成本录入!AI140</f>
        <v>0</v>
      </c>
      <c r="AJ140" s="198">
        <f>$E140*餐厅成本录入!AJ140</f>
        <v>0</v>
      </c>
      <c r="AK140" s="198">
        <f>$E140*餐厅成本录入!AK140</f>
        <v>0</v>
      </c>
      <c r="AL140" s="198">
        <f>$E140*餐厅成本录入!AL140</f>
        <v>0</v>
      </c>
      <c r="AM140" s="198">
        <f>$E140*餐厅成本录入!AM140</f>
        <v>0</v>
      </c>
      <c r="AN140" s="198">
        <f>$E140*餐厅成本录入!AN140</f>
        <v>0</v>
      </c>
      <c r="AO140" s="198">
        <f>$E140*餐厅成本录入!AO140</f>
        <v>0</v>
      </c>
      <c r="AP140" s="198">
        <f>$E140*餐厅成本录入!AP140</f>
        <v>0</v>
      </c>
      <c r="AQ140" s="198">
        <f>$E140*餐厅成本录入!AQ140</f>
        <v>0</v>
      </c>
      <c r="AR140" s="198">
        <f>$E140*餐厅成本录入!AR140</f>
        <v>0</v>
      </c>
      <c r="AS140" s="198">
        <f>$E140*餐厅成本录入!AS140</f>
        <v>0</v>
      </c>
      <c r="AT140" s="198">
        <f>$E140*餐厅成本录入!AT140</f>
        <v>0</v>
      </c>
      <c r="AU140" s="198">
        <f>$E140*餐厅成本录入!AU140</f>
        <v>0</v>
      </c>
      <c r="AV140" s="198">
        <f>$E140*餐厅成本录入!AV140</f>
        <v>0</v>
      </c>
      <c r="AW140" s="198">
        <f>$E140*餐厅成本录入!AW140</f>
        <v>0</v>
      </c>
      <c r="AX140" s="198">
        <f>$E140*餐厅成本录入!AX140</f>
        <v>50</v>
      </c>
      <c r="AY140" s="198">
        <f>$E140*餐厅成本录入!AY140</f>
        <v>50</v>
      </c>
      <c r="AZ140" s="198">
        <f>$E140*餐厅成本录入!AZ140</f>
        <v>0</v>
      </c>
      <c r="BA140" s="198">
        <f>$E140*餐厅成本录入!BA140</f>
        <v>0</v>
      </c>
      <c r="BB140" s="198">
        <f>$E140*餐厅成本录入!BB140</f>
        <v>0</v>
      </c>
      <c r="BC140" s="198">
        <f>$E140*餐厅成本录入!BC140</f>
        <v>0</v>
      </c>
      <c r="BD140" s="198">
        <f>$E140*餐厅成本录入!BD140</f>
        <v>0</v>
      </c>
      <c r="BE140" s="198">
        <f>$E140*餐厅成本录入!BE140</f>
        <v>0</v>
      </c>
      <c r="BF140" s="198">
        <f>$E140*餐厅成本录入!BF140</f>
        <v>0</v>
      </c>
      <c r="BG140" s="198">
        <f>$E140*餐厅成本录入!BG140</f>
        <v>0</v>
      </c>
      <c r="BH140" s="198">
        <f>$E140*餐厅成本录入!BH140</f>
        <v>0</v>
      </c>
      <c r="BI140" s="198">
        <f>$E140*餐厅成本录入!BI140</f>
        <v>0</v>
      </c>
      <c r="BJ140" s="198">
        <f>$E140*餐厅成本录入!BJ140</f>
        <v>0</v>
      </c>
      <c r="BK140" s="198">
        <f>$E140*餐厅成本录入!BK140</f>
        <v>0</v>
      </c>
      <c r="BL140" s="198">
        <f>$E140*餐厅成本录入!BL140</f>
        <v>0</v>
      </c>
      <c r="BM140" s="198">
        <f>$E140*餐厅成本录入!BM140</f>
        <v>0</v>
      </c>
      <c r="BN140" s="198">
        <f>$E140*餐厅成本录入!BN140</f>
        <v>0</v>
      </c>
      <c r="BO140" s="198">
        <f>$E140*餐厅成本录入!BO140</f>
        <v>0</v>
      </c>
      <c r="BP140" s="198">
        <f>$E140*餐厅成本录入!BP140</f>
        <v>0</v>
      </c>
      <c r="BQ140" s="198">
        <f>$E140*餐厅成本录入!BQ140</f>
        <v>0</v>
      </c>
      <c r="BR140" s="198">
        <f>$E140*餐厅成本录入!BR140</f>
        <v>0</v>
      </c>
      <c r="BS140" s="198">
        <f>$E140*餐厅成本录入!BS140</f>
        <v>0</v>
      </c>
      <c r="BT140" s="198">
        <f>$E140*餐厅成本录入!BT140</f>
        <v>0</v>
      </c>
      <c r="BU140" s="198">
        <f>$E140*餐厅成本录入!BU140</f>
        <v>0</v>
      </c>
      <c r="BV140" s="198">
        <f>$E140*餐厅成本录入!BV140</f>
        <v>0</v>
      </c>
      <c r="BW140" s="198">
        <f>$E140*餐厅成本录入!BW140</f>
        <v>0</v>
      </c>
    </row>
    <row r="141" s="178" customFormat="1" customHeight="1" spans="1:75">
      <c r="A141" s="161">
        <v>173</v>
      </c>
      <c r="B141" s="21" t="str">
        <f>餐厅成本录入!B141</f>
        <v>鸡蛋</v>
      </c>
      <c r="C141" s="21" t="str">
        <f>餐厅成本录入!C141</f>
        <v>30斤</v>
      </c>
      <c r="D141" s="21" t="str">
        <f>餐厅成本录入!D141</f>
        <v>筐</v>
      </c>
      <c r="E141" s="21">
        <f>餐厅成本录入!E141</f>
        <v>135</v>
      </c>
      <c r="F141" s="21">
        <f>餐厅成本录入!F141</f>
        <v>0</v>
      </c>
      <c r="G141" s="21">
        <f>餐厅成本录入!G141</f>
        <v>0</v>
      </c>
      <c r="H141" s="21">
        <f>餐厅成本录入!H141</f>
        <v>29</v>
      </c>
      <c r="I141" s="21">
        <f>餐厅成本录入!I141</f>
        <v>3915</v>
      </c>
      <c r="J141" s="21">
        <f>餐厅成本录入!J141</f>
        <v>29</v>
      </c>
      <c r="K141" s="21">
        <f>餐厅成本录入!K141</f>
        <v>3915</v>
      </c>
      <c r="L141" s="21">
        <f>餐厅成本录入!L141</f>
        <v>0</v>
      </c>
      <c r="M141" s="21">
        <f>餐厅成本录入!M141</f>
        <v>0</v>
      </c>
      <c r="N141" s="198">
        <f>$E141*餐厅成本录入!N141</f>
        <v>270</v>
      </c>
      <c r="O141" s="198">
        <f>$E141*餐厅成本录入!O141</f>
        <v>270</v>
      </c>
      <c r="P141" s="198">
        <f>$E141*餐厅成本录入!P141</f>
        <v>0</v>
      </c>
      <c r="Q141" s="198">
        <f>$E141*餐厅成本录入!Q141</f>
        <v>0</v>
      </c>
      <c r="R141" s="198">
        <f>$E141*餐厅成本录入!R141</f>
        <v>270</v>
      </c>
      <c r="S141" s="198">
        <f>$E141*餐厅成本录入!S141</f>
        <v>270</v>
      </c>
      <c r="T141" s="198">
        <f>$E141*餐厅成本录入!T141</f>
        <v>0</v>
      </c>
      <c r="U141" s="198">
        <f>$E141*餐厅成本录入!U141</f>
        <v>0</v>
      </c>
      <c r="V141" s="198">
        <f>$E141*餐厅成本录入!V141</f>
        <v>270</v>
      </c>
      <c r="W141" s="198">
        <f>$E141*餐厅成本录入!W141</f>
        <v>270</v>
      </c>
      <c r="X141" s="198">
        <f>$E141*餐厅成本录入!X141</f>
        <v>0</v>
      </c>
      <c r="Y141" s="198">
        <f>$E141*餐厅成本录入!Y141</f>
        <v>0</v>
      </c>
      <c r="Z141" s="198">
        <f>$E141*餐厅成本录入!Z141</f>
        <v>0</v>
      </c>
      <c r="AA141" s="198">
        <f>$E141*餐厅成本录入!AA141</f>
        <v>0</v>
      </c>
      <c r="AB141" s="198">
        <f>$E141*餐厅成本录入!AB141</f>
        <v>270</v>
      </c>
      <c r="AC141" s="198">
        <f>$E141*餐厅成本录入!AC141</f>
        <v>270</v>
      </c>
      <c r="AD141" s="198">
        <f>$E141*餐厅成本录入!AD141</f>
        <v>0</v>
      </c>
      <c r="AE141" s="198">
        <f>$E141*餐厅成本录入!AE141</f>
        <v>0</v>
      </c>
      <c r="AF141" s="198">
        <f>$E141*餐厅成本录入!AF141</f>
        <v>0</v>
      </c>
      <c r="AG141" s="198">
        <f>$E141*餐厅成本录入!AG141</f>
        <v>0</v>
      </c>
      <c r="AH141" s="198">
        <f>$E141*餐厅成本录入!AH141</f>
        <v>0</v>
      </c>
      <c r="AI141" s="198">
        <f>$E141*餐厅成本录入!AI141</f>
        <v>0</v>
      </c>
      <c r="AJ141" s="198">
        <f>$E141*餐厅成本录入!AJ141</f>
        <v>270</v>
      </c>
      <c r="AK141" s="198">
        <f>$E141*餐厅成本录入!AK141</f>
        <v>270</v>
      </c>
      <c r="AL141" s="198">
        <f>$E141*餐厅成本录入!AL141</f>
        <v>0</v>
      </c>
      <c r="AM141" s="198">
        <f>$E141*餐厅成本录入!AM141</f>
        <v>0</v>
      </c>
      <c r="AN141" s="198">
        <f>$E141*餐厅成本录入!AN141</f>
        <v>405</v>
      </c>
      <c r="AO141" s="198">
        <f>$E141*餐厅成本录入!AO141</f>
        <v>405</v>
      </c>
      <c r="AP141" s="198">
        <f>$E141*餐厅成本录入!AP141</f>
        <v>0</v>
      </c>
      <c r="AQ141" s="198">
        <f>$E141*餐厅成本录入!AQ141</f>
        <v>0</v>
      </c>
      <c r="AR141" s="198">
        <f>$E141*餐厅成本录入!AR141</f>
        <v>270</v>
      </c>
      <c r="AS141" s="198">
        <f>$E141*餐厅成本录入!AS141</f>
        <v>270</v>
      </c>
      <c r="AT141" s="198">
        <f>$E141*餐厅成本录入!AT141</f>
        <v>0</v>
      </c>
      <c r="AU141" s="198">
        <f>$E141*餐厅成本录入!AU141</f>
        <v>0</v>
      </c>
      <c r="AV141" s="198">
        <f>$E141*餐厅成本录入!AV141</f>
        <v>0</v>
      </c>
      <c r="AW141" s="198">
        <f>$E141*餐厅成本录入!AW141</f>
        <v>0</v>
      </c>
      <c r="AX141" s="198">
        <f>$E141*餐厅成本录入!AX141</f>
        <v>270</v>
      </c>
      <c r="AY141" s="198">
        <f>$E141*餐厅成本录入!AY141</f>
        <v>270</v>
      </c>
      <c r="AZ141" s="198">
        <f>$E141*餐厅成本录入!AZ141</f>
        <v>0</v>
      </c>
      <c r="BA141" s="198">
        <f>$E141*餐厅成本录入!BA141</f>
        <v>0</v>
      </c>
      <c r="BB141" s="198">
        <f>$E141*餐厅成本录入!BB141</f>
        <v>0</v>
      </c>
      <c r="BC141" s="198">
        <f>$E141*餐厅成本录入!BC141</f>
        <v>0</v>
      </c>
      <c r="BD141" s="198">
        <f>$E141*餐厅成本录入!BD141</f>
        <v>270</v>
      </c>
      <c r="BE141" s="198">
        <f>$E141*餐厅成本录入!BE141</f>
        <v>270</v>
      </c>
      <c r="BF141" s="198">
        <f>$E141*餐厅成本录入!BF141</f>
        <v>0</v>
      </c>
      <c r="BG141" s="198">
        <f>$E141*餐厅成本录入!BG141</f>
        <v>0</v>
      </c>
      <c r="BH141" s="198">
        <f>$E141*餐厅成本录入!BH141</f>
        <v>405</v>
      </c>
      <c r="BI141" s="198">
        <f>$E141*餐厅成本录入!BI141</f>
        <v>405</v>
      </c>
      <c r="BJ141" s="198">
        <f>$E141*餐厅成本录入!BJ141</f>
        <v>0</v>
      </c>
      <c r="BK141" s="198">
        <f>$E141*餐厅成本录入!BK141</f>
        <v>0</v>
      </c>
      <c r="BL141" s="198">
        <f>$E141*餐厅成本录入!BL141</f>
        <v>0</v>
      </c>
      <c r="BM141" s="198">
        <f>$E141*餐厅成本录入!BM141</f>
        <v>0</v>
      </c>
      <c r="BN141" s="198">
        <f>$E141*餐厅成本录入!BN141</f>
        <v>270</v>
      </c>
      <c r="BO141" s="198">
        <f>$E141*餐厅成本录入!BO141</f>
        <v>270</v>
      </c>
      <c r="BP141" s="198">
        <f>$E141*餐厅成本录入!BP141</f>
        <v>0</v>
      </c>
      <c r="BQ141" s="198">
        <f>$E141*餐厅成本录入!BQ141</f>
        <v>0</v>
      </c>
      <c r="BR141" s="198">
        <f>$E141*餐厅成本录入!BR141</f>
        <v>270</v>
      </c>
      <c r="BS141" s="198">
        <f>$E141*餐厅成本录入!BS141</f>
        <v>270</v>
      </c>
      <c r="BT141" s="198">
        <f>$E141*餐厅成本录入!BT141</f>
        <v>0</v>
      </c>
      <c r="BU141" s="198">
        <f>$E141*餐厅成本录入!BU141</f>
        <v>0</v>
      </c>
      <c r="BV141" s="198">
        <f>$E141*餐厅成本录入!BV141</f>
        <v>405</v>
      </c>
      <c r="BW141" s="198">
        <f>$E141*餐厅成本录入!BW141</f>
        <v>405</v>
      </c>
    </row>
    <row r="142" s="178" customFormat="1" customHeight="1" spans="1:75">
      <c r="A142" s="161">
        <v>174</v>
      </c>
      <c r="B142" s="21" t="str">
        <f>餐厅成本录入!B142</f>
        <v>咸鸭蛋</v>
      </c>
      <c r="C142" s="21">
        <f>餐厅成本录入!C142</f>
        <v>0</v>
      </c>
      <c r="D142" s="21" t="str">
        <f>餐厅成本录入!D142</f>
        <v>个</v>
      </c>
      <c r="E142" s="21">
        <f>餐厅成本录入!E142</f>
        <v>1</v>
      </c>
      <c r="F142" s="21">
        <f>餐厅成本录入!F142</f>
        <v>0</v>
      </c>
      <c r="G142" s="21">
        <f>餐厅成本录入!G142</f>
        <v>0</v>
      </c>
      <c r="H142" s="21">
        <f>餐厅成本录入!H142</f>
        <v>250</v>
      </c>
      <c r="I142" s="21">
        <f>餐厅成本录入!I142</f>
        <v>250</v>
      </c>
      <c r="J142" s="21">
        <f>餐厅成本录入!J142</f>
        <v>250</v>
      </c>
      <c r="K142" s="21">
        <f>餐厅成本录入!K142</f>
        <v>250</v>
      </c>
      <c r="L142" s="21">
        <f>餐厅成本录入!L142</f>
        <v>0</v>
      </c>
      <c r="M142" s="21">
        <f>餐厅成本录入!M142</f>
        <v>0</v>
      </c>
      <c r="N142" s="198">
        <f>$E142*餐厅成本录入!N142</f>
        <v>50</v>
      </c>
      <c r="O142" s="198">
        <f>$E142*餐厅成本录入!O142</f>
        <v>50</v>
      </c>
      <c r="P142" s="198">
        <f>$E142*餐厅成本录入!P142</f>
        <v>0</v>
      </c>
      <c r="Q142" s="198">
        <f>$E142*餐厅成本录入!Q142</f>
        <v>0</v>
      </c>
      <c r="R142" s="198">
        <f>$E142*餐厅成本录入!R142</f>
        <v>50</v>
      </c>
      <c r="S142" s="198">
        <f>$E142*餐厅成本录入!S142</f>
        <v>50</v>
      </c>
      <c r="T142" s="198">
        <f>$E142*餐厅成本录入!T142</f>
        <v>0</v>
      </c>
      <c r="U142" s="198">
        <f>$E142*餐厅成本录入!U142</f>
        <v>0</v>
      </c>
      <c r="V142" s="198">
        <f>$E142*餐厅成本录入!V142</f>
        <v>0</v>
      </c>
      <c r="W142" s="198">
        <f>$E142*餐厅成本录入!W142</f>
        <v>0</v>
      </c>
      <c r="X142" s="198">
        <f>$E142*餐厅成本录入!X142</f>
        <v>0</v>
      </c>
      <c r="Y142" s="198">
        <f>$E142*餐厅成本录入!Y142</f>
        <v>0</v>
      </c>
      <c r="Z142" s="198">
        <f>$E142*餐厅成本录入!Z142</f>
        <v>0</v>
      </c>
      <c r="AA142" s="198">
        <f>$E142*餐厅成本录入!AA142</f>
        <v>0</v>
      </c>
      <c r="AB142" s="198">
        <f>$E142*餐厅成本录入!AB142</f>
        <v>50</v>
      </c>
      <c r="AC142" s="198">
        <f>$E142*餐厅成本录入!AC142</f>
        <v>50</v>
      </c>
      <c r="AD142" s="198">
        <f>$E142*餐厅成本录入!AD142</f>
        <v>0</v>
      </c>
      <c r="AE142" s="198">
        <f>$E142*餐厅成本录入!AE142</f>
        <v>0</v>
      </c>
      <c r="AF142" s="198">
        <f>$E142*餐厅成本录入!AF142</f>
        <v>0</v>
      </c>
      <c r="AG142" s="198">
        <f>$E142*餐厅成本录入!AG142</f>
        <v>0</v>
      </c>
      <c r="AH142" s="198">
        <f>$E142*餐厅成本录入!AH142</f>
        <v>0</v>
      </c>
      <c r="AI142" s="198">
        <f>$E142*餐厅成本录入!AI142</f>
        <v>0</v>
      </c>
      <c r="AJ142" s="198">
        <f>$E142*餐厅成本录入!AJ142</f>
        <v>50</v>
      </c>
      <c r="AK142" s="198">
        <f>$E142*餐厅成本录入!AK142</f>
        <v>50</v>
      </c>
      <c r="AL142" s="198">
        <f>$E142*餐厅成本录入!AL142</f>
        <v>0</v>
      </c>
      <c r="AM142" s="198">
        <f>$E142*餐厅成本录入!AM142</f>
        <v>0</v>
      </c>
      <c r="AN142" s="198">
        <f>$E142*餐厅成本录入!AN142</f>
        <v>0</v>
      </c>
      <c r="AO142" s="198">
        <f>$E142*餐厅成本录入!AO142</f>
        <v>0</v>
      </c>
      <c r="AP142" s="198">
        <f>$E142*餐厅成本录入!AP142</f>
        <v>0</v>
      </c>
      <c r="AQ142" s="198">
        <f>$E142*餐厅成本录入!AQ142</f>
        <v>0</v>
      </c>
      <c r="AR142" s="198">
        <f>$E142*餐厅成本录入!AR142</f>
        <v>0</v>
      </c>
      <c r="AS142" s="198">
        <f>$E142*餐厅成本录入!AS142</f>
        <v>0</v>
      </c>
      <c r="AT142" s="198">
        <f>$E142*餐厅成本录入!AT142</f>
        <v>0</v>
      </c>
      <c r="AU142" s="198">
        <f>$E142*餐厅成本录入!AU142</f>
        <v>0</v>
      </c>
      <c r="AV142" s="198">
        <f>$E142*餐厅成本录入!AV142</f>
        <v>0</v>
      </c>
      <c r="AW142" s="198">
        <f>$E142*餐厅成本录入!AW142</f>
        <v>0</v>
      </c>
      <c r="AX142" s="198">
        <f>$E142*餐厅成本录入!AX142</f>
        <v>0</v>
      </c>
      <c r="AY142" s="198">
        <f>$E142*餐厅成本录入!AY142</f>
        <v>0</v>
      </c>
      <c r="AZ142" s="198">
        <f>$E142*餐厅成本录入!AZ142</f>
        <v>0</v>
      </c>
      <c r="BA142" s="198">
        <f>$E142*餐厅成本录入!BA142</f>
        <v>0</v>
      </c>
      <c r="BB142" s="198">
        <f>$E142*餐厅成本录入!BB142</f>
        <v>0</v>
      </c>
      <c r="BC142" s="198">
        <f>$E142*餐厅成本录入!BC142</f>
        <v>0</v>
      </c>
      <c r="BD142" s="198">
        <f>$E142*餐厅成本录入!BD142</f>
        <v>0</v>
      </c>
      <c r="BE142" s="198">
        <f>$E142*餐厅成本录入!BE142</f>
        <v>0</v>
      </c>
      <c r="BF142" s="198">
        <f>$E142*餐厅成本录入!BF142</f>
        <v>0</v>
      </c>
      <c r="BG142" s="198">
        <f>$E142*餐厅成本录入!BG142</f>
        <v>0</v>
      </c>
      <c r="BH142" s="198">
        <f>$E142*餐厅成本录入!BH142</f>
        <v>0</v>
      </c>
      <c r="BI142" s="198">
        <f>$E142*餐厅成本录入!BI142</f>
        <v>0</v>
      </c>
      <c r="BJ142" s="198">
        <f>$E142*餐厅成本录入!BJ142</f>
        <v>0</v>
      </c>
      <c r="BK142" s="198">
        <f>$E142*餐厅成本录入!BK142</f>
        <v>0</v>
      </c>
      <c r="BL142" s="198">
        <f>$E142*餐厅成本录入!BL142</f>
        <v>0</v>
      </c>
      <c r="BM142" s="198">
        <f>$E142*餐厅成本录入!BM142</f>
        <v>0</v>
      </c>
      <c r="BN142" s="198">
        <f>$E142*餐厅成本录入!BN142</f>
        <v>0</v>
      </c>
      <c r="BO142" s="198">
        <f>$E142*餐厅成本录入!BO142</f>
        <v>0</v>
      </c>
      <c r="BP142" s="198">
        <f>$E142*餐厅成本录入!BP142</f>
        <v>0</v>
      </c>
      <c r="BQ142" s="198">
        <f>$E142*餐厅成本录入!BQ142</f>
        <v>0</v>
      </c>
      <c r="BR142" s="198">
        <f>$E142*餐厅成本录入!BR142</f>
        <v>50</v>
      </c>
      <c r="BS142" s="198">
        <f>$E142*餐厅成本录入!BS142</f>
        <v>50</v>
      </c>
      <c r="BT142" s="198">
        <f>$E142*餐厅成本录入!BT142</f>
        <v>0</v>
      </c>
      <c r="BU142" s="198">
        <f>$E142*餐厅成本录入!BU142</f>
        <v>0</v>
      </c>
      <c r="BV142" s="198">
        <f>$E142*餐厅成本录入!BV142</f>
        <v>0</v>
      </c>
      <c r="BW142" s="198">
        <f>$E142*餐厅成本录入!BW142</f>
        <v>0</v>
      </c>
    </row>
    <row r="143" s="178" customFormat="1" customHeight="1" spans="1:75">
      <c r="A143" s="161">
        <v>175</v>
      </c>
      <c r="B143" s="21" t="str">
        <f>餐厅成本录入!B143</f>
        <v>鹌鹑蛋</v>
      </c>
      <c r="C143" s="21">
        <f>餐厅成本录入!C143</f>
        <v>0</v>
      </c>
      <c r="D143" s="21" t="str">
        <f>餐厅成本录入!D143</f>
        <v>件</v>
      </c>
      <c r="E143" s="21">
        <f>餐厅成本录入!E143</f>
        <v>0</v>
      </c>
      <c r="F143" s="21">
        <f>餐厅成本录入!F143</f>
        <v>0</v>
      </c>
      <c r="G143" s="21">
        <f>餐厅成本录入!G143</f>
        <v>0</v>
      </c>
      <c r="H143" s="21">
        <f>餐厅成本录入!H143</f>
        <v>0</v>
      </c>
      <c r="I143" s="21">
        <f>餐厅成本录入!I143</f>
        <v>0</v>
      </c>
      <c r="J143" s="21">
        <f>餐厅成本录入!J143</f>
        <v>0</v>
      </c>
      <c r="K143" s="21">
        <f>餐厅成本录入!K143</f>
        <v>0</v>
      </c>
      <c r="L143" s="21">
        <f>餐厅成本录入!L143</f>
        <v>0</v>
      </c>
      <c r="M143" s="21">
        <f>餐厅成本录入!M143</f>
        <v>0</v>
      </c>
      <c r="N143" s="198">
        <f>$E143*餐厅成本录入!N143</f>
        <v>0</v>
      </c>
      <c r="O143" s="198">
        <f>$E143*餐厅成本录入!O143</f>
        <v>0</v>
      </c>
      <c r="P143" s="198">
        <f>$E143*餐厅成本录入!P143</f>
        <v>0</v>
      </c>
      <c r="Q143" s="198">
        <f>$E143*餐厅成本录入!Q143</f>
        <v>0</v>
      </c>
      <c r="R143" s="198">
        <f>$E143*餐厅成本录入!R143</f>
        <v>0</v>
      </c>
      <c r="S143" s="198">
        <f>$E143*餐厅成本录入!S143</f>
        <v>0</v>
      </c>
      <c r="T143" s="198">
        <f>$E143*餐厅成本录入!T143</f>
        <v>0</v>
      </c>
      <c r="U143" s="198">
        <f>$E143*餐厅成本录入!U143</f>
        <v>0</v>
      </c>
      <c r="V143" s="198">
        <f>$E143*餐厅成本录入!V143</f>
        <v>0</v>
      </c>
      <c r="W143" s="198">
        <f>$E143*餐厅成本录入!W143</f>
        <v>0</v>
      </c>
      <c r="X143" s="198">
        <f>$E143*餐厅成本录入!X143</f>
        <v>0</v>
      </c>
      <c r="Y143" s="198">
        <f>$E143*餐厅成本录入!Y143</f>
        <v>0</v>
      </c>
      <c r="Z143" s="198">
        <f>$E143*餐厅成本录入!Z143</f>
        <v>0</v>
      </c>
      <c r="AA143" s="198">
        <f>$E143*餐厅成本录入!AA143</f>
        <v>0</v>
      </c>
      <c r="AB143" s="198">
        <f>$E143*餐厅成本录入!AB143</f>
        <v>0</v>
      </c>
      <c r="AC143" s="198">
        <f>$E143*餐厅成本录入!AC143</f>
        <v>0</v>
      </c>
      <c r="AD143" s="198">
        <f>$E143*餐厅成本录入!AD143</f>
        <v>0</v>
      </c>
      <c r="AE143" s="198">
        <f>$E143*餐厅成本录入!AE143</f>
        <v>0</v>
      </c>
      <c r="AF143" s="198">
        <f>$E143*餐厅成本录入!AF143</f>
        <v>0</v>
      </c>
      <c r="AG143" s="198">
        <f>$E143*餐厅成本录入!AG143</f>
        <v>0</v>
      </c>
      <c r="AH143" s="198">
        <f>$E143*餐厅成本录入!AH143</f>
        <v>0</v>
      </c>
      <c r="AI143" s="198">
        <f>$E143*餐厅成本录入!AI143</f>
        <v>0</v>
      </c>
      <c r="AJ143" s="198">
        <f>$E143*餐厅成本录入!AJ143</f>
        <v>0</v>
      </c>
      <c r="AK143" s="198">
        <f>$E143*餐厅成本录入!AK143</f>
        <v>0</v>
      </c>
      <c r="AL143" s="198">
        <f>$E143*餐厅成本录入!AL143</f>
        <v>0</v>
      </c>
      <c r="AM143" s="198">
        <f>$E143*餐厅成本录入!AM143</f>
        <v>0</v>
      </c>
      <c r="AN143" s="198">
        <f>$E143*餐厅成本录入!AN143</f>
        <v>0</v>
      </c>
      <c r="AO143" s="198">
        <f>$E143*餐厅成本录入!AO143</f>
        <v>0</v>
      </c>
      <c r="AP143" s="198">
        <f>$E143*餐厅成本录入!AP143</f>
        <v>0</v>
      </c>
      <c r="AQ143" s="198">
        <f>$E143*餐厅成本录入!AQ143</f>
        <v>0</v>
      </c>
      <c r="AR143" s="198">
        <f>$E143*餐厅成本录入!AR143</f>
        <v>0</v>
      </c>
      <c r="AS143" s="198">
        <f>$E143*餐厅成本录入!AS143</f>
        <v>0</v>
      </c>
      <c r="AT143" s="198">
        <f>$E143*餐厅成本录入!AT143</f>
        <v>0</v>
      </c>
      <c r="AU143" s="198">
        <f>$E143*餐厅成本录入!AU143</f>
        <v>0</v>
      </c>
      <c r="AV143" s="198">
        <f>$E143*餐厅成本录入!AV143</f>
        <v>0</v>
      </c>
      <c r="AW143" s="198">
        <f>$E143*餐厅成本录入!AW143</f>
        <v>0</v>
      </c>
      <c r="AX143" s="198">
        <f>$E143*餐厅成本录入!AX143</f>
        <v>0</v>
      </c>
      <c r="AY143" s="198">
        <f>$E143*餐厅成本录入!AY143</f>
        <v>0</v>
      </c>
      <c r="AZ143" s="198">
        <f>$E143*餐厅成本录入!AZ143</f>
        <v>0</v>
      </c>
      <c r="BA143" s="198">
        <f>$E143*餐厅成本录入!BA143</f>
        <v>0</v>
      </c>
      <c r="BB143" s="198">
        <f>$E143*餐厅成本录入!BB143</f>
        <v>0</v>
      </c>
      <c r="BC143" s="198">
        <f>$E143*餐厅成本录入!BC143</f>
        <v>0</v>
      </c>
      <c r="BD143" s="198">
        <f>$E143*餐厅成本录入!BD143</f>
        <v>0</v>
      </c>
      <c r="BE143" s="198">
        <f>$E143*餐厅成本录入!BE143</f>
        <v>0</v>
      </c>
      <c r="BF143" s="198">
        <f>$E143*餐厅成本录入!BF143</f>
        <v>0</v>
      </c>
      <c r="BG143" s="198">
        <f>$E143*餐厅成本录入!BG143</f>
        <v>0</v>
      </c>
      <c r="BH143" s="198">
        <f>$E143*餐厅成本录入!BH143</f>
        <v>0</v>
      </c>
      <c r="BI143" s="198">
        <f>$E143*餐厅成本录入!BI143</f>
        <v>0</v>
      </c>
      <c r="BJ143" s="198">
        <f>$E143*餐厅成本录入!BJ143</f>
        <v>0</v>
      </c>
      <c r="BK143" s="198">
        <f>$E143*餐厅成本录入!BK143</f>
        <v>0</v>
      </c>
      <c r="BL143" s="198">
        <f>$E143*餐厅成本录入!BL143</f>
        <v>0</v>
      </c>
      <c r="BM143" s="198">
        <f>$E143*餐厅成本录入!BM143</f>
        <v>0</v>
      </c>
      <c r="BN143" s="198">
        <f>$E143*餐厅成本录入!BN143</f>
        <v>0</v>
      </c>
      <c r="BO143" s="198">
        <f>$E143*餐厅成本录入!BO143</f>
        <v>0</v>
      </c>
      <c r="BP143" s="198">
        <f>$E143*餐厅成本录入!BP143</f>
        <v>0</v>
      </c>
      <c r="BQ143" s="198">
        <f>$E143*餐厅成本录入!BQ143</f>
        <v>0</v>
      </c>
      <c r="BR143" s="198">
        <f>$E143*餐厅成本录入!BR143</f>
        <v>0</v>
      </c>
      <c r="BS143" s="198">
        <f>$E143*餐厅成本录入!BS143</f>
        <v>0</v>
      </c>
      <c r="BT143" s="198">
        <f>$E143*餐厅成本录入!BT143</f>
        <v>0</v>
      </c>
      <c r="BU143" s="198">
        <f>$E143*餐厅成本录入!BU143</f>
        <v>0</v>
      </c>
      <c r="BV143" s="198">
        <f>$E143*餐厅成本录入!BV143</f>
        <v>0</v>
      </c>
      <c r="BW143" s="198">
        <f>$E143*餐厅成本录入!BW143</f>
        <v>0</v>
      </c>
    </row>
    <row r="144" s="178" customFormat="1" customHeight="1" spans="1:75">
      <c r="A144" s="161">
        <v>176</v>
      </c>
      <c r="B144" s="21" t="str">
        <f>餐厅成本录入!B144</f>
        <v>皮蛋肠</v>
      </c>
      <c r="C144" s="21">
        <f>餐厅成本录入!C144</f>
        <v>0</v>
      </c>
      <c r="D144" s="21" t="str">
        <f>餐厅成本录入!D144</f>
        <v>个</v>
      </c>
      <c r="E144" s="21">
        <f>餐厅成本录入!E144</f>
        <v>3</v>
      </c>
      <c r="F144" s="21">
        <f>餐厅成本录入!F144</f>
        <v>0</v>
      </c>
      <c r="G144" s="21">
        <f>餐厅成本录入!G144</f>
        <v>0</v>
      </c>
      <c r="H144" s="21">
        <f>餐厅成本录入!H144</f>
        <v>90</v>
      </c>
      <c r="I144" s="21">
        <f>餐厅成本录入!I144</f>
        <v>270</v>
      </c>
      <c r="J144" s="21">
        <f>餐厅成本录入!J144</f>
        <v>90</v>
      </c>
      <c r="K144" s="21">
        <f>餐厅成本录入!K144</f>
        <v>270</v>
      </c>
      <c r="L144" s="21">
        <f>餐厅成本录入!L144</f>
        <v>0</v>
      </c>
      <c r="M144" s="21">
        <f>餐厅成本录入!M144</f>
        <v>0</v>
      </c>
      <c r="N144" s="198">
        <f>$E144*餐厅成本录入!N144</f>
        <v>30</v>
      </c>
      <c r="O144" s="198">
        <f>$E144*餐厅成本录入!O144</f>
        <v>30</v>
      </c>
      <c r="P144" s="198">
        <f>$E144*餐厅成本录入!P144</f>
        <v>0</v>
      </c>
      <c r="Q144" s="198">
        <f>$E144*餐厅成本录入!Q144</f>
        <v>0</v>
      </c>
      <c r="R144" s="198">
        <f>$E144*餐厅成本录入!R144</f>
        <v>30</v>
      </c>
      <c r="S144" s="198">
        <f>$E144*餐厅成本录入!S144</f>
        <v>30</v>
      </c>
      <c r="T144" s="198">
        <f>$E144*餐厅成本录入!T144</f>
        <v>0</v>
      </c>
      <c r="U144" s="198">
        <f>$E144*餐厅成本录入!U144</f>
        <v>0</v>
      </c>
      <c r="V144" s="198">
        <f>$E144*餐厅成本录入!V144</f>
        <v>0</v>
      </c>
      <c r="W144" s="198">
        <f>$E144*餐厅成本录入!W144</f>
        <v>0</v>
      </c>
      <c r="X144" s="198">
        <f>$E144*餐厅成本录入!X144</f>
        <v>0</v>
      </c>
      <c r="Y144" s="198">
        <f>$E144*餐厅成本录入!Y144</f>
        <v>0</v>
      </c>
      <c r="Z144" s="198">
        <f>$E144*餐厅成本录入!Z144</f>
        <v>0</v>
      </c>
      <c r="AA144" s="198">
        <f>$E144*餐厅成本录入!AA144</f>
        <v>0</v>
      </c>
      <c r="AB144" s="198">
        <f>$E144*餐厅成本录入!AB144</f>
        <v>30</v>
      </c>
      <c r="AC144" s="198">
        <f>$E144*餐厅成本录入!AC144</f>
        <v>30</v>
      </c>
      <c r="AD144" s="198">
        <f>$E144*餐厅成本录入!AD144</f>
        <v>0</v>
      </c>
      <c r="AE144" s="198">
        <f>$E144*餐厅成本录入!AE144</f>
        <v>0</v>
      </c>
      <c r="AF144" s="198">
        <f>$E144*餐厅成本录入!AF144</f>
        <v>0</v>
      </c>
      <c r="AG144" s="198">
        <f>$E144*餐厅成本录入!AG144</f>
        <v>0</v>
      </c>
      <c r="AH144" s="198">
        <f>$E144*餐厅成本录入!AH144</f>
        <v>0</v>
      </c>
      <c r="AI144" s="198">
        <f>$E144*餐厅成本录入!AI144</f>
        <v>0</v>
      </c>
      <c r="AJ144" s="198">
        <f>$E144*餐厅成本录入!AJ144</f>
        <v>30</v>
      </c>
      <c r="AK144" s="198">
        <f>$E144*餐厅成本录入!AK144</f>
        <v>30</v>
      </c>
      <c r="AL144" s="198">
        <f>$E144*餐厅成本录入!AL144</f>
        <v>0</v>
      </c>
      <c r="AM144" s="198">
        <f>$E144*餐厅成本录入!AM144</f>
        <v>0</v>
      </c>
      <c r="AN144" s="198">
        <f>$E144*餐厅成本录入!AN144</f>
        <v>0</v>
      </c>
      <c r="AO144" s="198">
        <f>$E144*餐厅成本录入!AO144</f>
        <v>0</v>
      </c>
      <c r="AP144" s="198">
        <f>$E144*餐厅成本录入!AP144</f>
        <v>30</v>
      </c>
      <c r="AQ144" s="198">
        <f>$E144*餐厅成本录入!AQ144</f>
        <v>30</v>
      </c>
      <c r="AR144" s="198">
        <f>$E144*餐厅成本录入!AR144</f>
        <v>0</v>
      </c>
      <c r="AS144" s="198">
        <f>$E144*餐厅成本录入!AS144</f>
        <v>0</v>
      </c>
      <c r="AT144" s="198">
        <f>$E144*餐厅成本录入!AT144</f>
        <v>30</v>
      </c>
      <c r="AU144" s="198">
        <f>$E144*餐厅成本录入!AU144</f>
        <v>30</v>
      </c>
      <c r="AV144" s="198">
        <f>$E144*餐厅成本录入!AV144</f>
        <v>0</v>
      </c>
      <c r="AW144" s="198">
        <f>$E144*餐厅成本录入!AW144</f>
        <v>0</v>
      </c>
      <c r="AX144" s="198">
        <f>$E144*餐厅成本录入!AX144</f>
        <v>0</v>
      </c>
      <c r="AY144" s="198">
        <f>$E144*餐厅成本录入!AY144</f>
        <v>0</v>
      </c>
      <c r="AZ144" s="198">
        <f>$E144*餐厅成本录入!AZ144</f>
        <v>0</v>
      </c>
      <c r="BA144" s="198">
        <f>$E144*餐厅成本录入!BA144</f>
        <v>0</v>
      </c>
      <c r="BB144" s="198">
        <f>$E144*餐厅成本录入!BB144</f>
        <v>0</v>
      </c>
      <c r="BC144" s="198">
        <f>$E144*餐厅成本录入!BC144</f>
        <v>0</v>
      </c>
      <c r="BD144" s="198">
        <f>$E144*餐厅成本录入!BD144</f>
        <v>0</v>
      </c>
      <c r="BE144" s="198">
        <f>$E144*餐厅成本录入!BE144</f>
        <v>0</v>
      </c>
      <c r="BF144" s="198">
        <f>$E144*餐厅成本录入!BF144</f>
        <v>0</v>
      </c>
      <c r="BG144" s="198">
        <f>$E144*餐厅成本录入!BG144</f>
        <v>0</v>
      </c>
      <c r="BH144" s="198">
        <f>$E144*餐厅成本录入!BH144</f>
        <v>30</v>
      </c>
      <c r="BI144" s="198">
        <f>$E144*餐厅成本录入!BI144</f>
        <v>30</v>
      </c>
      <c r="BJ144" s="198">
        <f>$E144*餐厅成本录入!BJ144</f>
        <v>0</v>
      </c>
      <c r="BK144" s="198">
        <f>$E144*餐厅成本录入!BK144</f>
        <v>0</v>
      </c>
      <c r="BL144" s="198">
        <f>$E144*餐厅成本录入!BL144</f>
        <v>0</v>
      </c>
      <c r="BM144" s="198">
        <f>$E144*餐厅成本录入!BM144</f>
        <v>0</v>
      </c>
      <c r="BN144" s="198">
        <f>$E144*餐厅成本录入!BN144</f>
        <v>0</v>
      </c>
      <c r="BO144" s="198">
        <f>$E144*餐厅成本录入!BO144</f>
        <v>0</v>
      </c>
      <c r="BP144" s="198">
        <f>$E144*餐厅成本录入!BP144</f>
        <v>0</v>
      </c>
      <c r="BQ144" s="198">
        <f>$E144*餐厅成本录入!BQ144</f>
        <v>0</v>
      </c>
      <c r="BR144" s="198">
        <f>$E144*餐厅成本录入!BR144</f>
        <v>30</v>
      </c>
      <c r="BS144" s="198">
        <f>$E144*餐厅成本录入!BS144</f>
        <v>30</v>
      </c>
      <c r="BT144" s="198">
        <f>$E144*餐厅成本录入!BT144</f>
        <v>0</v>
      </c>
      <c r="BU144" s="198">
        <f>$E144*餐厅成本录入!BU144</f>
        <v>0</v>
      </c>
      <c r="BV144" s="198">
        <f>$E144*餐厅成本录入!BV144</f>
        <v>30</v>
      </c>
      <c r="BW144" s="198">
        <f>$E144*餐厅成本录入!BW144</f>
        <v>30</v>
      </c>
    </row>
    <row r="145" s="178" customFormat="1" customHeight="1" spans="1:75">
      <c r="A145" s="161">
        <v>177</v>
      </c>
      <c r="B145" s="21" t="str">
        <f>餐厅成本录入!B145</f>
        <v>蒜肠</v>
      </c>
      <c r="C145" s="21">
        <f>餐厅成本录入!C145</f>
        <v>0</v>
      </c>
      <c r="D145" s="21" t="str">
        <f>餐厅成本录入!D145</f>
        <v>个</v>
      </c>
      <c r="E145" s="21">
        <f>餐厅成本录入!E145</f>
        <v>4</v>
      </c>
      <c r="F145" s="21">
        <f>餐厅成本录入!F145</f>
        <v>0</v>
      </c>
      <c r="G145" s="21">
        <f>餐厅成本录入!G145</f>
        <v>0</v>
      </c>
      <c r="H145" s="21">
        <f>餐厅成本录入!H145</f>
        <v>60</v>
      </c>
      <c r="I145" s="21">
        <f>餐厅成本录入!I145</f>
        <v>240</v>
      </c>
      <c r="J145" s="21">
        <f>餐厅成本录入!J145</f>
        <v>60</v>
      </c>
      <c r="K145" s="21">
        <f>餐厅成本录入!K145</f>
        <v>240</v>
      </c>
      <c r="L145" s="21">
        <f>餐厅成本录入!L145</f>
        <v>0</v>
      </c>
      <c r="M145" s="21">
        <f>餐厅成本录入!M145</f>
        <v>0</v>
      </c>
      <c r="N145" s="198">
        <f>$E145*餐厅成本录入!N145</f>
        <v>40</v>
      </c>
      <c r="O145" s="198">
        <f>$E145*餐厅成本录入!O145</f>
        <v>40</v>
      </c>
      <c r="P145" s="198">
        <f>$E145*餐厅成本录入!P145</f>
        <v>0</v>
      </c>
      <c r="Q145" s="198">
        <f>$E145*餐厅成本录入!Q145</f>
        <v>0</v>
      </c>
      <c r="R145" s="198">
        <f>$E145*餐厅成本录入!R145</f>
        <v>0</v>
      </c>
      <c r="S145" s="198">
        <f>$E145*餐厅成本录入!S145</f>
        <v>0</v>
      </c>
      <c r="T145" s="198">
        <f>$E145*餐厅成本录入!T145</f>
        <v>0</v>
      </c>
      <c r="U145" s="198">
        <f>$E145*餐厅成本录入!U145</f>
        <v>0</v>
      </c>
      <c r="V145" s="198">
        <f>$E145*餐厅成本录入!V145</f>
        <v>0</v>
      </c>
      <c r="W145" s="198">
        <f>$E145*餐厅成本录入!W145</f>
        <v>0</v>
      </c>
      <c r="X145" s="198">
        <f>$E145*餐厅成本录入!X145</f>
        <v>0</v>
      </c>
      <c r="Y145" s="198">
        <f>$E145*餐厅成本录入!Y145</f>
        <v>0</v>
      </c>
      <c r="Z145" s="198">
        <f>$E145*餐厅成本录入!Z145</f>
        <v>0</v>
      </c>
      <c r="AA145" s="198">
        <f>$E145*餐厅成本录入!AA145</f>
        <v>0</v>
      </c>
      <c r="AB145" s="198">
        <f>$E145*餐厅成本录入!AB145</f>
        <v>40</v>
      </c>
      <c r="AC145" s="198">
        <f>$E145*餐厅成本录入!AC145</f>
        <v>40</v>
      </c>
      <c r="AD145" s="198">
        <f>$E145*餐厅成本录入!AD145</f>
        <v>0</v>
      </c>
      <c r="AE145" s="198">
        <f>$E145*餐厅成本录入!AE145</f>
        <v>0</v>
      </c>
      <c r="AF145" s="198">
        <f>$E145*餐厅成本录入!AF145</f>
        <v>0</v>
      </c>
      <c r="AG145" s="198">
        <f>$E145*餐厅成本录入!AG145</f>
        <v>0</v>
      </c>
      <c r="AH145" s="198">
        <f>$E145*餐厅成本录入!AH145</f>
        <v>0</v>
      </c>
      <c r="AI145" s="198">
        <f>$E145*餐厅成本录入!AI145</f>
        <v>0</v>
      </c>
      <c r="AJ145" s="198">
        <f>$E145*餐厅成本录入!AJ145</f>
        <v>40</v>
      </c>
      <c r="AK145" s="198">
        <f>$E145*餐厅成本录入!AK145</f>
        <v>40</v>
      </c>
      <c r="AL145" s="198">
        <f>$E145*餐厅成本录入!AL145</f>
        <v>0</v>
      </c>
      <c r="AM145" s="198">
        <f>$E145*餐厅成本录入!AM145</f>
        <v>0</v>
      </c>
      <c r="AN145" s="198">
        <f>$E145*餐厅成本录入!AN145</f>
        <v>0</v>
      </c>
      <c r="AO145" s="198">
        <f>$E145*餐厅成本录入!AO145</f>
        <v>0</v>
      </c>
      <c r="AP145" s="198">
        <f>$E145*餐厅成本录入!AP145</f>
        <v>40</v>
      </c>
      <c r="AQ145" s="198">
        <f>$E145*餐厅成本录入!AQ145</f>
        <v>40</v>
      </c>
      <c r="AR145" s="198">
        <f>$E145*餐厅成本录入!AR145</f>
        <v>0</v>
      </c>
      <c r="AS145" s="198">
        <f>$E145*餐厅成本录入!AS145</f>
        <v>0</v>
      </c>
      <c r="AT145" s="198">
        <f>$E145*餐厅成本录入!AT145</f>
        <v>0</v>
      </c>
      <c r="AU145" s="198">
        <f>$E145*餐厅成本录入!AU145</f>
        <v>0</v>
      </c>
      <c r="AV145" s="198">
        <f>$E145*餐厅成本录入!AV145</f>
        <v>0</v>
      </c>
      <c r="AW145" s="198">
        <f>$E145*餐厅成本录入!AW145</f>
        <v>0</v>
      </c>
      <c r="AX145" s="198">
        <f>$E145*餐厅成本录入!AX145</f>
        <v>0</v>
      </c>
      <c r="AY145" s="198">
        <f>$E145*餐厅成本录入!AY145</f>
        <v>0</v>
      </c>
      <c r="AZ145" s="198">
        <f>$E145*餐厅成本录入!AZ145</f>
        <v>0</v>
      </c>
      <c r="BA145" s="198">
        <f>$E145*餐厅成本录入!BA145</f>
        <v>0</v>
      </c>
      <c r="BB145" s="198">
        <f>$E145*餐厅成本录入!BB145</f>
        <v>0</v>
      </c>
      <c r="BC145" s="198">
        <f>$E145*餐厅成本录入!BC145</f>
        <v>0</v>
      </c>
      <c r="BD145" s="198">
        <f>$E145*餐厅成本录入!BD145</f>
        <v>0</v>
      </c>
      <c r="BE145" s="198">
        <f>$E145*餐厅成本录入!BE145</f>
        <v>0</v>
      </c>
      <c r="BF145" s="198">
        <f>$E145*餐厅成本录入!BF145</f>
        <v>0</v>
      </c>
      <c r="BG145" s="198">
        <f>$E145*餐厅成本录入!BG145</f>
        <v>0</v>
      </c>
      <c r="BH145" s="198">
        <f>$E145*餐厅成本录入!BH145</f>
        <v>0</v>
      </c>
      <c r="BI145" s="198">
        <f>$E145*餐厅成本录入!BI145</f>
        <v>0</v>
      </c>
      <c r="BJ145" s="198">
        <f>$E145*餐厅成本录入!BJ145</f>
        <v>0</v>
      </c>
      <c r="BK145" s="198">
        <f>$E145*餐厅成本录入!BK145</f>
        <v>0</v>
      </c>
      <c r="BL145" s="198">
        <f>$E145*餐厅成本录入!BL145</f>
        <v>0</v>
      </c>
      <c r="BM145" s="198">
        <f>$E145*餐厅成本录入!BM145</f>
        <v>0</v>
      </c>
      <c r="BN145" s="198">
        <f>$E145*餐厅成本录入!BN145</f>
        <v>0</v>
      </c>
      <c r="BO145" s="198">
        <f>$E145*餐厅成本录入!BO145</f>
        <v>0</v>
      </c>
      <c r="BP145" s="198">
        <f>$E145*餐厅成本录入!BP145</f>
        <v>0</v>
      </c>
      <c r="BQ145" s="198">
        <f>$E145*餐厅成本录入!BQ145</f>
        <v>0</v>
      </c>
      <c r="BR145" s="198">
        <f>$E145*餐厅成本录入!BR145</f>
        <v>40</v>
      </c>
      <c r="BS145" s="198">
        <f>$E145*餐厅成本录入!BS145</f>
        <v>40</v>
      </c>
      <c r="BT145" s="198">
        <f>$E145*餐厅成本录入!BT145</f>
        <v>0</v>
      </c>
      <c r="BU145" s="198">
        <f>$E145*餐厅成本录入!BU145</f>
        <v>0</v>
      </c>
      <c r="BV145" s="198">
        <f>$E145*餐厅成本录入!BV145</f>
        <v>40</v>
      </c>
      <c r="BW145" s="198">
        <f>$E145*餐厅成本录入!BW145</f>
        <v>40</v>
      </c>
    </row>
    <row r="146" s="178" customFormat="1" customHeight="1" spans="1:75">
      <c r="A146" s="161">
        <v>178</v>
      </c>
      <c r="B146" s="21" t="str">
        <f>餐厅成本录入!B146</f>
        <v>色拉油</v>
      </c>
      <c r="C146" s="21" t="str">
        <f>餐厅成本录入!C146</f>
        <v>40斤</v>
      </c>
      <c r="D146" s="21" t="str">
        <f>餐厅成本录入!D146</f>
        <v>桶</v>
      </c>
      <c r="E146" s="21">
        <f>餐厅成本录入!E146</f>
        <v>165</v>
      </c>
      <c r="F146" s="21">
        <f>餐厅成本录入!F146</f>
        <v>0</v>
      </c>
      <c r="G146" s="21">
        <f>餐厅成本录入!G146</f>
        <v>0</v>
      </c>
      <c r="H146" s="21">
        <f>餐厅成本录入!H146</f>
        <v>8</v>
      </c>
      <c r="I146" s="21">
        <f>餐厅成本录入!I146</f>
        <v>1320</v>
      </c>
      <c r="J146" s="21">
        <f>餐厅成本录入!J146</f>
        <v>8</v>
      </c>
      <c r="K146" s="21">
        <f>餐厅成本录入!K146</f>
        <v>1320</v>
      </c>
      <c r="L146" s="21">
        <f>餐厅成本录入!L146</f>
        <v>0</v>
      </c>
      <c r="M146" s="21">
        <f>餐厅成本录入!M146</f>
        <v>0</v>
      </c>
      <c r="N146" s="198">
        <f>$E146*餐厅成本录入!N146</f>
        <v>0</v>
      </c>
      <c r="O146" s="198">
        <f>$E146*餐厅成本录入!O146</f>
        <v>0</v>
      </c>
      <c r="P146" s="198">
        <f>$E146*餐厅成本录入!P146</f>
        <v>0</v>
      </c>
      <c r="Q146" s="198">
        <f>$E146*餐厅成本录入!Q146</f>
        <v>0</v>
      </c>
      <c r="R146" s="198">
        <f>$E146*餐厅成本录入!R146</f>
        <v>0</v>
      </c>
      <c r="S146" s="198">
        <f>$E146*餐厅成本录入!S146</f>
        <v>0</v>
      </c>
      <c r="T146" s="198">
        <f>$E146*餐厅成本录入!T146</f>
        <v>0</v>
      </c>
      <c r="U146" s="198">
        <f>$E146*餐厅成本录入!U146</f>
        <v>0</v>
      </c>
      <c r="V146" s="198">
        <f>$E146*餐厅成本录入!V146</f>
        <v>0</v>
      </c>
      <c r="W146" s="198">
        <f>$E146*餐厅成本录入!W146</f>
        <v>0</v>
      </c>
      <c r="X146" s="198">
        <f>$E146*餐厅成本录入!X146</f>
        <v>0</v>
      </c>
      <c r="Y146" s="198">
        <f>$E146*餐厅成本录入!Y146</f>
        <v>0</v>
      </c>
      <c r="Z146" s="198">
        <f>$E146*餐厅成本录入!Z146</f>
        <v>0</v>
      </c>
      <c r="AA146" s="198">
        <f>$E146*餐厅成本录入!AA146</f>
        <v>0</v>
      </c>
      <c r="AB146" s="198">
        <f>$E146*餐厅成本录入!AB146</f>
        <v>330</v>
      </c>
      <c r="AC146" s="198">
        <f>$E146*餐厅成本录入!AC146</f>
        <v>330</v>
      </c>
      <c r="AD146" s="198">
        <f>$E146*餐厅成本录入!AD146</f>
        <v>0</v>
      </c>
      <c r="AE146" s="198">
        <f>$E146*餐厅成本录入!AE146</f>
        <v>0</v>
      </c>
      <c r="AF146" s="198">
        <f>$E146*餐厅成本录入!AF146</f>
        <v>0</v>
      </c>
      <c r="AG146" s="198">
        <f>$E146*餐厅成本录入!AG146</f>
        <v>0</v>
      </c>
      <c r="AH146" s="198">
        <f>$E146*餐厅成本录入!AH146</f>
        <v>0</v>
      </c>
      <c r="AI146" s="198">
        <f>$E146*餐厅成本录入!AI146</f>
        <v>0</v>
      </c>
      <c r="AJ146" s="198">
        <f>$E146*餐厅成本录入!AJ146</f>
        <v>0</v>
      </c>
      <c r="AK146" s="198">
        <f>$E146*餐厅成本录入!AK146</f>
        <v>0</v>
      </c>
      <c r="AL146" s="198">
        <f>$E146*餐厅成本录入!AL146</f>
        <v>0</v>
      </c>
      <c r="AM146" s="198">
        <f>$E146*餐厅成本录入!AM146</f>
        <v>0</v>
      </c>
      <c r="AN146" s="198">
        <f>$E146*餐厅成本录入!AN146</f>
        <v>0</v>
      </c>
      <c r="AO146" s="198">
        <f>$E146*餐厅成本录入!AO146</f>
        <v>0</v>
      </c>
      <c r="AP146" s="198">
        <f>$E146*餐厅成本录入!AP146</f>
        <v>330</v>
      </c>
      <c r="AQ146" s="198">
        <f>$E146*餐厅成本录入!AQ146</f>
        <v>330</v>
      </c>
      <c r="AR146" s="198">
        <f>$E146*餐厅成本录入!AR146</f>
        <v>0</v>
      </c>
      <c r="AS146" s="198">
        <f>$E146*餐厅成本录入!AS146</f>
        <v>0</v>
      </c>
      <c r="AT146" s="198">
        <f>$E146*餐厅成本录入!AT146</f>
        <v>0</v>
      </c>
      <c r="AU146" s="198">
        <f>$E146*餐厅成本录入!AU146</f>
        <v>0</v>
      </c>
      <c r="AV146" s="198">
        <f>$E146*餐厅成本录入!AV146</f>
        <v>0</v>
      </c>
      <c r="AW146" s="198">
        <f>$E146*餐厅成本录入!AW146</f>
        <v>0</v>
      </c>
      <c r="AX146" s="198">
        <f>$E146*餐厅成本录入!AX146</f>
        <v>0</v>
      </c>
      <c r="AY146" s="198">
        <f>$E146*餐厅成本录入!AY146</f>
        <v>0</v>
      </c>
      <c r="AZ146" s="198">
        <f>$E146*餐厅成本录入!AZ146</f>
        <v>0</v>
      </c>
      <c r="BA146" s="198">
        <f>$E146*餐厅成本录入!BA146</f>
        <v>0</v>
      </c>
      <c r="BB146" s="198">
        <f>$E146*餐厅成本录入!BB146</f>
        <v>330</v>
      </c>
      <c r="BC146" s="198">
        <f>$E146*餐厅成本录入!BC146</f>
        <v>330</v>
      </c>
      <c r="BD146" s="198">
        <f>$E146*餐厅成本录入!BD146</f>
        <v>0</v>
      </c>
      <c r="BE146" s="198">
        <f>$E146*餐厅成本录入!BE146</f>
        <v>0</v>
      </c>
      <c r="BF146" s="198">
        <f>$E146*餐厅成本录入!BF146</f>
        <v>0</v>
      </c>
      <c r="BG146" s="198">
        <f>$E146*餐厅成本录入!BG146</f>
        <v>0</v>
      </c>
      <c r="BH146" s="198">
        <f>$E146*餐厅成本录入!BH146</f>
        <v>330</v>
      </c>
      <c r="BI146" s="198">
        <f>$E146*餐厅成本录入!BI146</f>
        <v>330</v>
      </c>
      <c r="BJ146" s="198">
        <f>$E146*餐厅成本录入!BJ146</f>
        <v>0</v>
      </c>
      <c r="BK146" s="198">
        <f>$E146*餐厅成本录入!BK146</f>
        <v>0</v>
      </c>
      <c r="BL146" s="198">
        <f>$E146*餐厅成本录入!BL146</f>
        <v>0</v>
      </c>
      <c r="BM146" s="198">
        <f>$E146*餐厅成本录入!BM146</f>
        <v>0</v>
      </c>
      <c r="BN146" s="198">
        <f>$E146*餐厅成本录入!BN146</f>
        <v>0</v>
      </c>
      <c r="BO146" s="198">
        <f>$E146*餐厅成本录入!BO146</f>
        <v>0</v>
      </c>
      <c r="BP146" s="198">
        <f>$E146*餐厅成本录入!BP146</f>
        <v>0</v>
      </c>
      <c r="BQ146" s="198">
        <f>$E146*餐厅成本录入!BQ146</f>
        <v>0</v>
      </c>
      <c r="BR146" s="198">
        <f>$E146*餐厅成本录入!BR146</f>
        <v>0</v>
      </c>
      <c r="BS146" s="198">
        <f>$E146*餐厅成本录入!BS146</f>
        <v>0</v>
      </c>
      <c r="BT146" s="198">
        <f>$E146*餐厅成本录入!BT146</f>
        <v>0</v>
      </c>
      <c r="BU146" s="198">
        <f>$E146*餐厅成本录入!BU146</f>
        <v>0</v>
      </c>
      <c r="BV146" s="198">
        <f>$E146*餐厅成本录入!BV146</f>
        <v>0</v>
      </c>
      <c r="BW146" s="198">
        <f>$E146*餐厅成本录入!BW146</f>
        <v>0</v>
      </c>
    </row>
    <row r="147" s="178" customFormat="1" customHeight="1" spans="1:75">
      <c r="A147" s="161">
        <v>179</v>
      </c>
      <c r="B147" s="21" t="str">
        <f>餐厅成本录入!B147</f>
        <v>蛤</v>
      </c>
      <c r="C147" s="21">
        <f>餐厅成本录入!C147</f>
        <v>0</v>
      </c>
      <c r="D147" s="21" t="str">
        <f>餐厅成本录入!D147</f>
        <v>斤</v>
      </c>
      <c r="E147" s="21">
        <f>餐厅成本录入!E147</f>
        <v>8</v>
      </c>
      <c r="F147" s="21">
        <f>餐厅成本录入!F147</f>
        <v>0</v>
      </c>
      <c r="G147" s="21">
        <f>餐厅成本录入!G147</f>
        <v>0</v>
      </c>
      <c r="H147" s="21">
        <f>餐厅成本录入!H147</f>
        <v>77</v>
      </c>
      <c r="I147" s="21">
        <f>餐厅成本录入!I147</f>
        <v>616</v>
      </c>
      <c r="J147" s="21">
        <f>餐厅成本录入!J147</f>
        <v>77</v>
      </c>
      <c r="K147" s="21">
        <f>餐厅成本录入!K147</f>
        <v>616</v>
      </c>
      <c r="L147" s="21">
        <f>餐厅成本录入!L147</f>
        <v>0</v>
      </c>
      <c r="M147" s="21">
        <f>餐厅成本录入!M147</f>
        <v>0</v>
      </c>
      <c r="N147" s="198">
        <f>$E147*餐厅成本录入!N147</f>
        <v>120</v>
      </c>
      <c r="O147" s="198">
        <f>$E147*餐厅成本录入!O147</f>
        <v>120</v>
      </c>
      <c r="P147" s="198">
        <f>$E147*餐厅成本录入!P147</f>
        <v>0</v>
      </c>
      <c r="Q147" s="198">
        <f>$E147*餐厅成本录入!Q147</f>
        <v>0</v>
      </c>
      <c r="R147" s="198">
        <f>$E147*餐厅成本录入!R147</f>
        <v>120</v>
      </c>
      <c r="S147" s="198">
        <f>$E147*餐厅成本录入!S147</f>
        <v>120</v>
      </c>
      <c r="T147" s="198">
        <f>$E147*餐厅成本录入!T147</f>
        <v>0</v>
      </c>
      <c r="U147" s="198">
        <f>$E147*餐厅成本录入!U147</f>
        <v>0</v>
      </c>
      <c r="V147" s="198">
        <f>$E147*餐厅成本录入!V147</f>
        <v>0</v>
      </c>
      <c r="W147" s="198">
        <f>$E147*餐厅成本录入!W147</f>
        <v>0</v>
      </c>
      <c r="X147" s="198">
        <f>$E147*餐厅成本录入!X147</f>
        <v>0</v>
      </c>
      <c r="Y147" s="198">
        <f>$E147*餐厅成本录入!Y147</f>
        <v>0</v>
      </c>
      <c r="Z147" s="198">
        <f>$E147*餐厅成本录入!Z147</f>
        <v>0</v>
      </c>
      <c r="AA147" s="198">
        <f>$E147*餐厅成本录入!AA147</f>
        <v>0</v>
      </c>
      <c r="AB147" s="198">
        <f>$E147*餐厅成本录入!AB147</f>
        <v>80</v>
      </c>
      <c r="AC147" s="198">
        <f>$E147*餐厅成本录入!AC147</f>
        <v>80</v>
      </c>
      <c r="AD147" s="198">
        <f>$E147*餐厅成本录入!AD147</f>
        <v>0</v>
      </c>
      <c r="AE147" s="198">
        <f>$E147*餐厅成本录入!AE147</f>
        <v>0</v>
      </c>
      <c r="AF147" s="198">
        <f>$E147*餐厅成本录入!AF147</f>
        <v>0</v>
      </c>
      <c r="AG147" s="198">
        <f>$E147*餐厅成本录入!AG147</f>
        <v>0</v>
      </c>
      <c r="AH147" s="198">
        <f>$E147*餐厅成本录入!AH147</f>
        <v>80</v>
      </c>
      <c r="AI147" s="198">
        <f>$E147*餐厅成本录入!AI147</f>
        <v>80</v>
      </c>
      <c r="AJ147" s="198">
        <f>$E147*餐厅成本录入!AJ147</f>
        <v>0</v>
      </c>
      <c r="AK147" s="198">
        <f>$E147*餐厅成本录入!AK147</f>
        <v>0</v>
      </c>
      <c r="AL147" s="198">
        <f>$E147*餐厅成本录入!AL147</f>
        <v>0</v>
      </c>
      <c r="AM147" s="198">
        <f>$E147*餐厅成本录入!AM147</f>
        <v>0</v>
      </c>
      <c r="AN147" s="198">
        <f>$E147*餐厅成本录入!AN147</f>
        <v>0</v>
      </c>
      <c r="AO147" s="198">
        <f>$E147*餐厅成本录入!AO147</f>
        <v>0</v>
      </c>
      <c r="AP147" s="198">
        <f>$E147*餐厅成本录入!AP147</f>
        <v>120</v>
      </c>
      <c r="AQ147" s="198">
        <f>$E147*餐厅成本录入!AQ147</f>
        <v>120</v>
      </c>
      <c r="AR147" s="198">
        <f>$E147*餐厅成本录入!AR147</f>
        <v>0</v>
      </c>
      <c r="AS147" s="198">
        <f>$E147*餐厅成本录入!AS147</f>
        <v>0</v>
      </c>
      <c r="AT147" s="198">
        <f>$E147*餐厅成本录入!AT147</f>
        <v>0</v>
      </c>
      <c r="AU147" s="198">
        <f>$E147*餐厅成本录入!AU147</f>
        <v>0</v>
      </c>
      <c r="AV147" s="198">
        <f>$E147*餐厅成本录入!AV147</f>
        <v>0</v>
      </c>
      <c r="AW147" s="198">
        <f>$E147*餐厅成本录入!AW147</f>
        <v>0</v>
      </c>
      <c r="AX147" s="198">
        <f>$E147*餐厅成本录入!AX147</f>
        <v>0</v>
      </c>
      <c r="AY147" s="198">
        <f>$E147*餐厅成本录入!AY147</f>
        <v>0</v>
      </c>
      <c r="AZ147" s="198">
        <f>$E147*餐厅成本录入!AZ147</f>
        <v>0</v>
      </c>
      <c r="BA147" s="198">
        <f>$E147*餐厅成本录入!BA147</f>
        <v>0</v>
      </c>
      <c r="BB147" s="198">
        <f>$E147*餐厅成本录入!BB147</f>
        <v>0</v>
      </c>
      <c r="BC147" s="198">
        <f>$E147*餐厅成本录入!BC147</f>
        <v>0</v>
      </c>
      <c r="BD147" s="198">
        <f>$E147*餐厅成本录入!BD147</f>
        <v>0</v>
      </c>
      <c r="BE147" s="198">
        <f>$E147*餐厅成本录入!BE147</f>
        <v>0</v>
      </c>
      <c r="BF147" s="198">
        <f>$E147*餐厅成本录入!BF147</f>
        <v>0</v>
      </c>
      <c r="BG147" s="198">
        <f>$E147*餐厅成本录入!BG147</f>
        <v>0</v>
      </c>
      <c r="BH147" s="198">
        <f>$E147*餐厅成本录入!BH147</f>
        <v>80</v>
      </c>
      <c r="BI147" s="198">
        <f>$E147*餐厅成本录入!BI147</f>
        <v>80</v>
      </c>
      <c r="BJ147" s="198">
        <f>$E147*餐厅成本录入!BJ147</f>
        <v>0</v>
      </c>
      <c r="BK147" s="198">
        <f>$E147*餐厅成本录入!BK147</f>
        <v>0</v>
      </c>
      <c r="BL147" s="198">
        <f>$E147*餐厅成本录入!BL147</f>
        <v>0</v>
      </c>
      <c r="BM147" s="198">
        <f>$E147*餐厅成本录入!BM147</f>
        <v>0</v>
      </c>
      <c r="BN147" s="198">
        <f>$E147*餐厅成本录入!BN147</f>
        <v>16</v>
      </c>
      <c r="BO147" s="198">
        <f>$E147*餐厅成本录入!BO147</f>
        <v>16</v>
      </c>
      <c r="BP147" s="198">
        <f>$E147*餐厅成本录入!BP147</f>
        <v>0</v>
      </c>
      <c r="BQ147" s="198">
        <f>$E147*餐厅成本录入!BQ147</f>
        <v>0</v>
      </c>
      <c r="BR147" s="198">
        <f>$E147*餐厅成本录入!BR147</f>
        <v>0</v>
      </c>
      <c r="BS147" s="198">
        <f>$E147*餐厅成本录入!BS147</f>
        <v>0</v>
      </c>
      <c r="BT147" s="198">
        <f>$E147*餐厅成本录入!BT147</f>
        <v>0</v>
      </c>
      <c r="BU147" s="198">
        <f>$E147*餐厅成本录入!BU147</f>
        <v>0</v>
      </c>
      <c r="BV147" s="198">
        <f>$E147*餐厅成本录入!BV147</f>
        <v>0</v>
      </c>
      <c r="BW147" s="198">
        <f>$E147*餐厅成本录入!BW147</f>
        <v>0</v>
      </c>
    </row>
    <row r="148" s="178" customFormat="1" customHeight="1" spans="1:75">
      <c r="A148" s="161">
        <v>180</v>
      </c>
      <c r="B148" s="21" t="str">
        <f>餐厅成本录入!B148</f>
        <v>猪肝</v>
      </c>
      <c r="C148" s="21">
        <f>餐厅成本录入!C148</f>
        <v>0</v>
      </c>
      <c r="D148" s="21" t="str">
        <f>餐厅成本录入!D148</f>
        <v>斤</v>
      </c>
      <c r="E148" s="21">
        <f>餐厅成本录入!E148</f>
        <v>5</v>
      </c>
      <c r="F148" s="21">
        <f>餐厅成本录入!F148</f>
        <v>0</v>
      </c>
      <c r="G148" s="21">
        <f>餐厅成本录入!G148</f>
        <v>0</v>
      </c>
      <c r="H148" s="21">
        <f>餐厅成本录入!H148</f>
        <v>20</v>
      </c>
      <c r="I148" s="21">
        <f>餐厅成本录入!I148</f>
        <v>100</v>
      </c>
      <c r="J148" s="21">
        <f>餐厅成本录入!J148</f>
        <v>20</v>
      </c>
      <c r="K148" s="21">
        <f>餐厅成本录入!K148</f>
        <v>100</v>
      </c>
      <c r="L148" s="21">
        <f>餐厅成本录入!L148</f>
        <v>0</v>
      </c>
      <c r="M148" s="21">
        <f>餐厅成本录入!M148</f>
        <v>0</v>
      </c>
      <c r="N148" s="198">
        <f>$E148*餐厅成本录入!N148</f>
        <v>0</v>
      </c>
      <c r="O148" s="198">
        <f>$E148*餐厅成本录入!O148</f>
        <v>0</v>
      </c>
      <c r="P148" s="198">
        <f>$E148*餐厅成本录入!P148</f>
        <v>0</v>
      </c>
      <c r="Q148" s="198">
        <f>$E148*餐厅成本录入!Q148</f>
        <v>0</v>
      </c>
      <c r="R148" s="198">
        <f>$E148*餐厅成本录入!R148</f>
        <v>0</v>
      </c>
      <c r="S148" s="198">
        <f>$E148*餐厅成本录入!S148</f>
        <v>0</v>
      </c>
      <c r="T148" s="198">
        <f>$E148*餐厅成本录入!T148</f>
        <v>0</v>
      </c>
      <c r="U148" s="198">
        <f>$E148*餐厅成本录入!U148</f>
        <v>0</v>
      </c>
      <c r="V148" s="198">
        <f>$E148*餐厅成本录入!V148</f>
        <v>0</v>
      </c>
      <c r="W148" s="198">
        <f>$E148*餐厅成本录入!W148</f>
        <v>0</v>
      </c>
      <c r="X148" s="198">
        <f>$E148*餐厅成本录入!X148</f>
        <v>0</v>
      </c>
      <c r="Y148" s="198">
        <f>$E148*餐厅成本录入!Y148</f>
        <v>0</v>
      </c>
      <c r="Z148" s="198">
        <f>$E148*餐厅成本录入!Z148</f>
        <v>0</v>
      </c>
      <c r="AA148" s="198">
        <f>$E148*餐厅成本录入!AA148</f>
        <v>0</v>
      </c>
      <c r="AB148" s="198">
        <f>$E148*餐厅成本录入!AB148</f>
        <v>0</v>
      </c>
      <c r="AC148" s="198">
        <f>$E148*餐厅成本录入!AC148</f>
        <v>0</v>
      </c>
      <c r="AD148" s="198">
        <f>$E148*餐厅成本录入!AD148</f>
        <v>0</v>
      </c>
      <c r="AE148" s="198">
        <f>$E148*餐厅成本录入!AE148</f>
        <v>0</v>
      </c>
      <c r="AF148" s="198">
        <f>$E148*餐厅成本录入!AF148</f>
        <v>0</v>
      </c>
      <c r="AG148" s="198">
        <f>$E148*餐厅成本录入!AG148</f>
        <v>0</v>
      </c>
      <c r="AH148" s="198">
        <f>$E148*餐厅成本录入!AH148</f>
        <v>0</v>
      </c>
      <c r="AI148" s="198">
        <f>$E148*餐厅成本录入!AI148</f>
        <v>0</v>
      </c>
      <c r="AJ148" s="198">
        <f>$E148*餐厅成本录入!AJ148</f>
        <v>0</v>
      </c>
      <c r="AK148" s="198">
        <f>$E148*餐厅成本录入!AK148</f>
        <v>0</v>
      </c>
      <c r="AL148" s="198">
        <f>$E148*餐厅成本录入!AL148</f>
        <v>0</v>
      </c>
      <c r="AM148" s="198">
        <f>$E148*餐厅成本录入!AM148</f>
        <v>0</v>
      </c>
      <c r="AN148" s="198">
        <f>$E148*餐厅成本录入!AN148</f>
        <v>0</v>
      </c>
      <c r="AO148" s="198">
        <f>$E148*餐厅成本录入!AO148</f>
        <v>0</v>
      </c>
      <c r="AP148" s="198">
        <f>$E148*餐厅成本录入!AP148</f>
        <v>0</v>
      </c>
      <c r="AQ148" s="198">
        <f>$E148*餐厅成本录入!AQ148</f>
        <v>0</v>
      </c>
      <c r="AR148" s="198">
        <f>$E148*餐厅成本录入!AR148</f>
        <v>0</v>
      </c>
      <c r="AS148" s="198">
        <f>$E148*餐厅成本录入!AS148</f>
        <v>0</v>
      </c>
      <c r="AT148" s="198">
        <f>$E148*餐厅成本录入!AT148</f>
        <v>0</v>
      </c>
      <c r="AU148" s="198">
        <f>$E148*餐厅成本录入!AU148</f>
        <v>0</v>
      </c>
      <c r="AV148" s="198">
        <f>$E148*餐厅成本录入!AV148</f>
        <v>0</v>
      </c>
      <c r="AW148" s="198">
        <f>$E148*餐厅成本录入!AW148</f>
        <v>0</v>
      </c>
      <c r="AX148" s="198">
        <f>$E148*餐厅成本录入!AX148</f>
        <v>0</v>
      </c>
      <c r="AY148" s="198">
        <f>$E148*餐厅成本录入!AY148</f>
        <v>0</v>
      </c>
      <c r="AZ148" s="198">
        <f>$E148*餐厅成本录入!AZ148</f>
        <v>0</v>
      </c>
      <c r="BA148" s="198">
        <f>$E148*餐厅成本录入!BA148</f>
        <v>0</v>
      </c>
      <c r="BB148" s="198">
        <f>$E148*餐厅成本录入!BB148</f>
        <v>0</v>
      </c>
      <c r="BC148" s="198">
        <f>$E148*餐厅成本录入!BC148</f>
        <v>0</v>
      </c>
      <c r="BD148" s="198">
        <f>$E148*餐厅成本录入!BD148</f>
        <v>0</v>
      </c>
      <c r="BE148" s="198">
        <f>$E148*餐厅成本录入!BE148</f>
        <v>0</v>
      </c>
      <c r="BF148" s="198">
        <f>$E148*餐厅成本录入!BF148</f>
        <v>0</v>
      </c>
      <c r="BG148" s="198">
        <f>$E148*餐厅成本录入!BG148</f>
        <v>0</v>
      </c>
      <c r="BH148" s="198">
        <f>$E148*餐厅成本录入!BH148</f>
        <v>0</v>
      </c>
      <c r="BI148" s="198">
        <f>$E148*餐厅成本录入!BI148</f>
        <v>0</v>
      </c>
      <c r="BJ148" s="198">
        <f>$E148*餐厅成本录入!BJ148</f>
        <v>0</v>
      </c>
      <c r="BK148" s="198">
        <f>$E148*餐厅成本录入!BK148</f>
        <v>0</v>
      </c>
      <c r="BL148" s="198">
        <f>$E148*餐厅成本录入!BL148</f>
        <v>0</v>
      </c>
      <c r="BM148" s="198">
        <f>$E148*餐厅成本录入!BM148</f>
        <v>0</v>
      </c>
      <c r="BN148" s="198">
        <f>$E148*餐厅成本录入!BN148</f>
        <v>50</v>
      </c>
      <c r="BO148" s="198">
        <f>$E148*餐厅成本录入!BO148</f>
        <v>50</v>
      </c>
      <c r="BP148" s="198">
        <f>$E148*餐厅成本录入!BP148</f>
        <v>0</v>
      </c>
      <c r="BQ148" s="198">
        <f>$E148*餐厅成本录入!BQ148</f>
        <v>0</v>
      </c>
      <c r="BR148" s="198">
        <f>$E148*餐厅成本录入!BR148</f>
        <v>0</v>
      </c>
      <c r="BS148" s="198">
        <f>$E148*餐厅成本录入!BS148</f>
        <v>0</v>
      </c>
      <c r="BT148" s="198">
        <f>$E148*餐厅成本录入!BT148</f>
        <v>0</v>
      </c>
      <c r="BU148" s="198">
        <f>$E148*餐厅成本录入!BU148</f>
        <v>0</v>
      </c>
      <c r="BV148" s="198">
        <f>$E148*餐厅成本录入!BV148</f>
        <v>50</v>
      </c>
      <c r="BW148" s="198">
        <f>$E148*餐厅成本录入!BW148</f>
        <v>50</v>
      </c>
    </row>
    <row r="149" s="178" customFormat="1" customHeight="1" spans="1:75">
      <c r="A149" s="161">
        <v>181</v>
      </c>
      <c r="B149" s="21" t="str">
        <f>餐厅成本录入!B149</f>
        <v>扇贝</v>
      </c>
      <c r="C149" s="21">
        <f>餐厅成本录入!C149</f>
        <v>0</v>
      </c>
      <c r="D149" s="21">
        <f>餐厅成本录入!D149</f>
        <v>0</v>
      </c>
      <c r="E149" s="21">
        <f>餐厅成本录入!E149</f>
        <v>7.5</v>
      </c>
      <c r="F149" s="21">
        <f>餐厅成本录入!F149</f>
        <v>0</v>
      </c>
      <c r="G149" s="21">
        <f>餐厅成本录入!G149</f>
        <v>0</v>
      </c>
      <c r="H149" s="21">
        <f>餐厅成本录入!H149</f>
        <v>0</v>
      </c>
      <c r="I149" s="21">
        <f>餐厅成本录入!I149</f>
        <v>0</v>
      </c>
      <c r="J149" s="21">
        <f>餐厅成本录入!J149</f>
        <v>0</v>
      </c>
      <c r="K149" s="21">
        <f>餐厅成本录入!K149</f>
        <v>0</v>
      </c>
      <c r="L149" s="21">
        <f>餐厅成本录入!L149</f>
        <v>0</v>
      </c>
      <c r="M149" s="21">
        <f>餐厅成本录入!M149</f>
        <v>0</v>
      </c>
      <c r="N149" s="198">
        <f>$E149*餐厅成本录入!N149</f>
        <v>0</v>
      </c>
      <c r="O149" s="198">
        <f>$E149*餐厅成本录入!O149</f>
        <v>0</v>
      </c>
      <c r="P149" s="198">
        <f>$E149*餐厅成本录入!P149</f>
        <v>0</v>
      </c>
      <c r="Q149" s="198">
        <f>$E149*餐厅成本录入!Q149</f>
        <v>0</v>
      </c>
      <c r="R149" s="198">
        <f>$E149*餐厅成本录入!R149</f>
        <v>0</v>
      </c>
      <c r="S149" s="198">
        <f>$E149*餐厅成本录入!S149</f>
        <v>0</v>
      </c>
      <c r="T149" s="198">
        <f>$E149*餐厅成本录入!T149</f>
        <v>0</v>
      </c>
      <c r="U149" s="198">
        <f>$E149*餐厅成本录入!U149</f>
        <v>0</v>
      </c>
      <c r="V149" s="198">
        <f>$E149*餐厅成本录入!V149</f>
        <v>0</v>
      </c>
      <c r="W149" s="198">
        <f>$E149*餐厅成本录入!W149</f>
        <v>0</v>
      </c>
      <c r="X149" s="198">
        <f>$E149*餐厅成本录入!X149</f>
        <v>0</v>
      </c>
      <c r="Y149" s="198">
        <f>$E149*餐厅成本录入!Y149</f>
        <v>0</v>
      </c>
      <c r="Z149" s="198">
        <f>$E149*餐厅成本录入!Z149</f>
        <v>0</v>
      </c>
      <c r="AA149" s="198">
        <f>$E149*餐厅成本录入!AA149</f>
        <v>0</v>
      </c>
      <c r="AB149" s="198">
        <f>$E149*餐厅成本录入!AB149</f>
        <v>0</v>
      </c>
      <c r="AC149" s="198">
        <f>$E149*餐厅成本录入!AC149</f>
        <v>0</v>
      </c>
      <c r="AD149" s="198">
        <f>$E149*餐厅成本录入!AD149</f>
        <v>0</v>
      </c>
      <c r="AE149" s="198">
        <f>$E149*餐厅成本录入!AE149</f>
        <v>0</v>
      </c>
      <c r="AF149" s="198">
        <f>$E149*餐厅成本录入!AF149</f>
        <v>0</v>
      </c>
      <c r="AG149" s="198">
        <f>$E149*餐厅成本录入!AG149</f>
        <v>0</v>
      </c>
      <c r="AH149" s="198">
        <f>$E149*餐厅成本录入!AH149</f>
        <v>0</v>
      </c>
      <c r="AI149" s="198">
        <f>$E149*餐厅成本录入!AI149</f>
        <v>0</v>
      </c>
      <c r="AJ149" s="198">
        <f>$E149*餐厅成本录入!AJ149</f>
        <v>0</v>
      </c>
      <c r="AK149" s="198">
        <f>$E149*餐厅成本录入!AK149</f>
        <v>0</v>
      </c>
      <c r="AL149" s="198">
        <f>$E149*餐厅成本录入!AL149</f>
        <v>0</v>
      </c>
      <c r="AM149" s="198">
        <f>$E149*餐厅成本录入!AM149</f>
        <v>0</v>
      </c>
      <c r="AN149" s="198">
        <f>$E149*餐厅成本录入!AN149</f>
        <v>0</v>
      </c>
      <c r="AO149" s="198">
        <f>$E149*餐厅成本录入!AO149</f>
        <v>0</v>
      </c>
      <c r="AP149" s="198">
        <f>$E149*餐厅成本录入!AP149</f>
        <v>0</v>
      </c>
      <c r="AQ149" s="198">
        <f>$E149*餐厅成本录入!AQ149</f>
        <v>0</v>
      </c>
      <c r="AR149" s="198">
        <f>$E149*餐厅成本录入!AR149</f>
        <v>0</v>
      </c>
      <c r="AS149" s="198">
        <f>$E149*餐厅成本录入!AS149</f>
        <v>0</v>
      </c>
      <c r="AT149" s="198">
        <f>$E149*餐厅成本录入!AT149</f>
        <v>0</v>
      </c>
      <c r="AU149" s="198">
        <f>$E149*餐厅成本录入!AU149</f>
        <v>0</v>
      </c>
      <c r="AV149" s="198">
        <f>$E149*餐厅成本录入!AV149</f>
        <v>0</v>
      </c>
      <c r="AW149" s="198">
        <f>$E149*餐厅成本录入!AW149</f>
        <v>0</v>
      </c>
      <c r="AX149" s="198">
        <f>$E149*餐厅成本录入!AX149</f>
        <v>0</v>
      </c>
      <c r="AY149" s="198">
        <f>$E149*餐厅成本录入!AY149</f>
        <v>0</v>
      </c>
      <c r="AZ149" s="198">
        <f>$E149*餐厅成本录入!AZ149</f>
        <v>0</v>
      </c>
      <c r="BA149" s="198">
        <f>$E149*餐厅成本录入!BA149</f>
        <v>0</v>
      </c>
      <c r="BB149" s="198">
        <f>$E149*餐厅成本录入!BB149</f>
        <v>0</v>
      </c>
      <c r="BC149" s="198">
        <f>$E149*餐厅成本录入!BC149</f>
        <v>0</v>
      </c>
      <c r="BD149" s="198">
        <f>$E149*餐厅成本录入!BD149</f>
        <v>0</v>
      </c>
      <c r="BE149" s="198">
        <f>$E149*餐厅成本录入!BE149</f>
        <v>0</v>
      </c>
      <c r="BF149" s="198">
        <f>$E149*餐厅成本录入!BF149</f>
        <v>0</v>
      </c>
      <c r="BG149" s="198">
        <f>$E149*餐厅成本录入!BG149</f>
        <v>0</v>
      </c>
      <c r="BH149" s="198">
        <f>$E149*餐厅成本录入!BH149</f>
        <v>0</v>
      </c>
      <c r="BI149" s="198">
        <f>$E149*餐厅成本录入!BI149</f>
        <v>0</v>
      </c>
      <c r="BJ149" s="198">
        <f>$E149*餐厅成本录入!BJ149</f>
        <v>0</v>
      </c>
      <c r="BK149" s="198">
        <f>$E149*餐厅成本录入!BK149</f>
        <v>0</v>
      </c>
      <c r="BL149" s="198">
        <f>$E149*餐厅成本录入!BL149</f>
        <v>0</v>
      </c>
      <c r="BM149" s="198">
        <f>$E149*餐厅成本录入!BM149</f>
        <v>0</v>
      </c>
      <c r="BN149" s="198">
        <f>$E149*餐厅成本录入!BN149</f>
        <v>0</v>
      </c>
      <c r="BO149" s="198">
        <f>$E149*餐厅成本录入!BO149</f>
        <v>0</v>
      </c>
      <c r="BP149" s="198">
        <f>$E149*餐厅成本录入!BP149</f>
        <v>0</v>
      </c>
      <c r="BQ149" s="198">
        <f>$E149*餐厅成本录入!BQ149</f>
        <v>0</v>
      </c>
      <c r="BR149" s="198">
        <f>$E149*餐厅成本录入!BR149</f>
        <v>0</v>
      </c>
      <c r="BS149" s="198">
        <f>$E149*餐厅成本录入!BS149</f>
        <v>0</v>
      </c>
      <c r="BT149" s="198">
        <f>$E149*餐厅成本录入!BT149</f>
        <v>0</v>
      </c>
      <c r="BU149" s="198">
        <f>$E149*餐厅成本录入!BU149</f>
        <v>0</v>
      </c>
      <c r="BV149" s="198">
        <f>$E149*餐厅成本录入!BV149</f>
        <v>0</v>
      </c>
      <c r="BW149" s="198">
        <f>$E149*餐厅成本录入!BW149</f>
        <v>0</v>
      </c>
    </row>
    <row r="150" s="178" customFormat="1" customHeight="1" spans="1:75">
      <c r="A150" s="161">
        <v>182</v>
      </c>
      <c r="B150" s="21" t="str">
        <f>餐厅成本录入!B150</f>
        <v>山楂罐头</v>
      </c>
      <c r="C150" s="21">
        <f>餐厅成本录入!C150</f>
        <v>0</v>
      </c>
      <c r="D150" s="21" t="str">
        <f>餐厅成本录入!D150</f>
        <v>个</v>
      </c>
      <c r="E150" s="21">
        <f>餐厅成本录入!E150</f>
        <v>6</v>
      </c>
      <c r="F150" s="21">
        <f>餐厅成本录入!F150</f>
        <v>0</v>
      </c>
      <c r="G150" s="21">
        <f>餐厅成本录入!G150</f>
        <v>0</v>
      </c>
      <c r="H150" s="21">
        <f>餐厅成本录入!H150</f>
        <v>24</v>
      </c>
      <c r="I150" s="21">
        <f>餐厅成本录入!I150</f>
        <v>144</v>
      </c>
      <c r="J150" s="21">
        <f>餐厅成本录入!J150</f>
        <v>24</v>
      </c>
      <c r="K150" s="21">
        <f>餐厅成本录入!K150</f>
        <v>144</v>
      </c>
      <c r="L150" s="21">
        <f>餐厅成本录入!L150</f>
        <v>0</v>
      </c>
      <c r="M150" s="21">
        <f>餐厅成本录入!M150</f>
        <v>0</v>
      </c>
      <c r="N150" s="198">
        <f>$E150*餐厅成本录入!N150</f>
        <v>36</v>
      </c>
      <c r="O150" s="198">
        <f>$E150*餐厅成本录入!O150</f>
        <v>36</v>
      </c>
      <c r="P150" s="198">
        <f>$E150*餐厅成本录入!P150</f>
        <v>0</v>
      </c>
      <c r="Q150" s="198">
        <f>$E150*餐厅成本录入!Q150</f>
        <v>0</v>
      </c>
      <c r="R150" s="198">
        <f>$E150*餐厅成本录入!R150</f>
        <v>0</v>
      </c>
      <c r="S150" s="198">
        <f>$E150*餐厅成本录入!S150</f>
        <v>0</v>
      </c>
      <c r="T150" s="198">
        <f>$E150*餐厅成本录入!T150</f>
        <v>0</v>
      </c>
      <c r="U150" s="198">
        <f>$E150*餐厅成本录入!U150</f>
        <v>0</v>
      </c>
      <c r="V150" s="198">
        <f>$E150*餐厅成本录入!V150</f>
        <v>0</v>
      </c>
      <c r="W150" s="198">
        <f>$E150*餐厅成本录入!W150</f>
        <v>0</v>
      </c>
      <c r="X150" s="198">
        <f>$E150*餐厅成本录入!X150</f>
        <v>0</v>
      </c>
      <c r="Y150" s="198">
        <f>$E150*餐厅成本录入!Y150</f>
        <v>0</v>
      </c>
      <c r="Z150" s="198">
        <f>$E150*餐厅成本录入!Z150</f>
        <v>0</v>
      </c>
      <c r="AA150" s="198">
        <f>$E150*餐厅成本录入!AA150</f>
        <v>0</v>
      </c>
      <c r="AB150" s="198">
        <f>$E150*餐厅成本录入!AB150</f>
        <v>0</v>
      </c>
      <c r="AC150" s="198">
        <f>$E150*餐厅成本录入!AC150</f>
        <v>0</v>
      </c>
      <c r="AD150" s="198">
        <f>$E150*餐厅成本录入!AD150</f>
        <v>0</v>
      </c>
      <c r="AE150" s="198">
        <f>$E150*餐厅成本录入!AE150</f>
        <v>0</v>
      </c>
      <c r="AF150" s="198">
        <f>$E150*餐厅成本录入!AF150</f>
        <v>0</v>
      </c>
      <c r="AG150" s="198">
        <f>$E150*餐厅成本录入!AG150</f>
        <v>0</v>
      </c>
      <c r="AH150" s="198">
        <f>$E150*餐厅成本录入!AH150</f>
        <v>36</v>
      </c>
      <c r="AI150" s="198">
        <f>$E150*餐厅成本录入!AI150</f>
        <v>36</v>
      </c>
      <c r="AJ150" s="198">
        <f>$E150*餐厅成本录入!AJ150</f>
        <v>0</v>
      </c>
      <c r="AK150" s="198">
        <f>$E150*餐厅成本录入!AK150</f>
        <v>0</v>
      </c>
      <c r="AL150" s="198">
        <f>$E150*餐厅成本录入!AL150</f>
        <v>0</v>
      </c>
      <c r="AM150" s="198">
        <f>$E150*餐厅成本录入!AM150</f>
        <v>0</v>
      </c>
      <c r="AN150" s="198">
        <f>$E150*餐厅成本录入!AN150</f>
        <v>0</v>
      </c>
      <c r="AO150" s="198">
        <f>$E150*餐厅成本录入!AO150</f>
        <v>0</v>
      </c>
      <c r="AP150" s="198">
        <f>$E150*餐厅成本录入!AP150</f>
        <v>36</v>
      </c>
      <c r="AQ150" s="198">
        <f>$E150*餐厅成本录入!AQ150</f>
        <v>36</v>
      </c>
      <c r="AR150" s="198">
        <f>$E150*餐厅成本录入!AR150</f>
        <v>0</v>
      </c>
      <c r="AS150" s="198">
        <f>$E150*餐厅成本录入!AS150</f>
        <v>0</v>
      </c>
      <c r="AT150" s="198">
        <f>$E150*餐厅成本录入!AT150</f>
        <v>36</v>
      </c>
      <c r="AU150" s="198">
        <f>$E150*餐厅成本录入!AU150</f>
        <v>36</v>
      </c>
      <c r="AV150" s="198">
        <f>$E150*餐厅成本录入!AV150</f>
        <v>0</v>
      </c>
      <c r="AW150" s="198">
        <f>$E150*餐厅成本录入!AW150</f>
        <v>0</v>
      </c>
      <c r="AX150" s="198">
        <f>$E150*餐厅成本录入!AX150</f>
        <v>0</v>
      </c>
      <c r="AY150" s="198">
        <f>$E150*餐厅成本录入!AY150</f>
        <v>0</v>
      </c>
      <c r="AZ150" s="198">
        <f>$E150*餐厅成本录入!AZ150</f>
        <v>0</v>
      </c>
      <c r="BA150" s="198">
        <f>$E150*餐厅成本录入!BA150</f>
        <v>0</v>
      </c>
      <c r="BB150" s="198">
        <f>$E150*餐厅成本录入!BB150</f>
        <v>0</v>
      </c>
      <c r="BC150" s="198">
        <f>$E150*餐厅成本录入!BC150</f>
        <v>0</v>
      </c>
      <c r="BD150" s="198">
        <f>$E150*餐厅成本录入!BD150</f>
        <v>0</v>
      </c>
      <c r="BE150" s="198">
        <f>$E150*餐厅成本录入!BE150</f>
        <v>0</v>
      </c>
      <c r="BF150" s="198">
        <f>$E150*餐厅成本录入!BF150</f>
        <v>0</v>
      </c>
      <c r="BG150" s="198">
        <f>$E150*餐厅成本录入!BG150</f>
        <v>0</v>
      </c>
      <c r="BH150" s="198">
        <f>$E150*餐厅成本录入!BH150</f>
        <v>0</v>
      </c>
      <c r="BI150" s="198">
        <f>$E150*餐厅成本录入!BI150</f>
        <v>0</v>
      </c>
      <c r="BJ150" s="198">
        <f>$E150*餐厅成本录入!BJ150</f>
        <v>0</v>
      </c>
      <c r="BK150" s="198">
        <f>$E150*餐厅成本录入!BK150</f>
        <v>0</v>
      </c>
      <c r="BL150" s="198">
        <f>$E150*餐厅成本录入!BL150</f>
        <v>0</v>
      </c>
      <c r="BM150" s="198">
        <f>$E150*餐厅成本录入!BM150</f>
        <v>0</v>
      </c>
      <c r="BN150" s="198">
        <f>$E150*餐厅成本录入!BN150</f>
        <v>0</v>
      </c>
      <c r="BO150" s="198">
        <f>$E150*餐厅成本录入!BO150</f>
        <v>0</v>
      </c>
      <c r="BP150" s="198">
        <f>$E150*餐厅成本录入!BP150</f>
        <v>0</v>
      </c>
      <c r="BQ150" s="198">
        <f>$E150*餐厅成本录入!BQ150</f>
        <v>0</v>
      </c>
      <c r="BR150" s="198">
        <f>$E150*餐厅成本录入!BR150</f>
        <v>0</v>
      </c>
      <c r="BS150" s="198">
        <f>$E150*餐厅成本录入!BS150</f>
        <v>0</v>
      </c>
      <c r="BT150" s="198">
        <f>$E150*餐厅成本录入!BT150</f>
        <v>0</v>
      </c>
      <c r="BU150" s="198">
        <f>$E150*餐厅成本录入!BU150</f>
        <v>0</v>
      </c>
      <c r="BV150" s="198">
        <f>$E150*餐厅成本录入!BV150</f>
        <v>0</v>
      </c>
      <c r="BW150" s="198">
        <f>$E150*餐厅成本录入!BW150</f>
        <v>0</v>
      </c>
    </row>
    <row r="151" s="178" customFormat="1" customHeight="1" spans="1:75">
      <c r="A151" s="161">
        <v>183</v>
      </c>
      <c r="B151" s="21" t="str">
        <f>餐厅成本录入!B151</f>
        <v>广式腊肠</v>
      </c>
      <c r="C151" s="21">
        <f>餐厅成本录入!C151</f>
        <v>0</v>
      </c>
      <c r="D151" s="21" t="str">
        <f>餐厅成本录入!D151</f>
        <v>件</v>
      </c>
      <c r="E151" s="21">
        <f>餐厅成本录入!E151</f>
        <v>120</v>
      </c>
      <c r="F151" s="21">
        <f>餐厅成本录入!F151</f>
        <v>0</v>
      </c>
      <c r="G151" s="21">
        <f>餐厅成本录入!G151</f>
        <v>0</v>
      </c>
      <c r="H151" s="21">
        <f>餐厅成本录入!H151</f>
        <v>3</v>
      </c>
      <c r="I151" s="21">
        <f>餐厅成本录入!I151</f>
        <v>360</v>
      </c>
      <c r="J151" s="21">
        <f>餐厅成本录入!J151</f>
        <v>3</v>
      </c>
      <c r="K151" s="21">
        <f>餐厅成本录入!K151</f>
        <v>360</v>
      </c>
      <c r="L151" s="21">
        <f>餐厅成本录入!L151</f>
        <v>0</v>
      </c>
      <c r="M151" s="21">
        <f>餐厅成本录入!M151</f>
        <v>0</v>
      </c>
      <c r="N151" s="198">
        <f>$E151*餐厅成本录入!N151</f>
        <v>0</v>
      </c>
      <c r="O151" s="198">
        <f>$E151*餐厅成本录入!O151</f>
        <v>0</v>
      </c>
      <c r="P151" s="198">
        <f>$E151*餐厅成本录入!P151</f>
        <v>0</v>
      </c>
      <c r="Q151" s="198">
        <f>$E151*餐厅成本录入!Q151</f>
        <v>0</v>
      </c>
      <c r="R151" s="198">
        <f>$E151*餐厅成本录入!R151</f>
        <v>0</v>
      </c>
      <c r="S151" s="198">
        <f>$E151*餐厅成本录入!S151</f>
        <v>0</v>
      </c>
      <c r="T151" s="198">
        <f>$E151*餐厅成本录入!T151</f>
        <v>0</v>
      </c>
      <c r="U151" s="198">
        <f>$E151*餐厅成本录入!U151</f>
        <v>0</v>
      </c>
      <c r="V151" s="198">
        <f>$E151*餐厅成本录入!V151</f>
        <v>0</v>
      </c>
      <c r="W151" s="198">
        <f>$E151*餐厅成本录入!W151</f>
        <v>0</v>
      </c>
      <c r="X151" s="198">
        <f>$E151*餐厅成本录入!X151</f>
        <v>0</v>
      </c>
      <c r="Y151" s="198">
        <f>$E151*餐厅成本录入!Y151</f>
        <v>0</v>
      </c>
      <c r="Z151" s="198">
        <f>$E151*餐厅成本录入!Z151</f>
        <v>0</v>
      </c>
      <c r="AA151" s="198">
        <f>$E151*餐厅成本录入!AA151</f>
        <v>0</v>
      </c>
      <c r="AB151" s="198">
        <f>$E151*餐厅成本录入!AB151</f>
        <v>0</v>
      </c>
      <c r="AC151" s="198">
        <f>$E151*餐厅成本录入!AC151</f>
        <v>0</v>
      </c>
      <c r="AD151" s="198">
        <f>$E151*餐厅成本录入!AD151</f>
        <v>0</v>
      </c>
      <c r="AE151" s="198">
        <f>$E151*餐厅成本录入!AE151</f>
        <v>0</v>
      </c>
      <c r="AF151" s="198">
        <f>$E151*餐厅成本录入!AF151</f>
        <v>0</v>
      </c>
      <c r="AG151" s="198">
        <f>$E151*餐厅成本录入!AG151</f>
        <v>0</v>
      </c>
      <c r="AH151" s="198">
        <f>$E151*餐厅成本录入!AH151</f>
        <v>0</v>
      </c>
      <c r="AI151" s="198">
        <f>$E151*餐厅成本录入!AI151</f>
        <v>0</v>
      </c>
      <c r="AJ151" s="198">
        <f>$E151*餐厅成本录入!AJ151</f>
        <v>0</v>
      </c>
      <c r="AK151" s="198">
        <f>$E151*餐厅成本录入!AK151</f>
        <v>0</v>
      </c>
      <c r="AL151" s="198">
        <f>$E151*餐厅成本录入!AL151</f>
        <v>0</v>
      </c>
      <c r="AM151" s="198">
        <f>$E151*餐厅成本录入!AM151</f>
        <v>0</v>
      </c>
      <c r="AN151" s="198">
        <f>$E151*餐厅成本录入!AN151</f>
        <v>0</v>
      </c>
      <c r="AO151" s="198">
        <f>$E151*餐厅成本录入!AO151</f>
        <v>0</v>
      </c>
      <c r="AP151" s="198">
        <f>$E151*餐厅成本录入!AP151</f>
        <v>0</v>
      </c>
      <c r="AQ151" s="198">
        <f>$E151*餐厅成本录入!AQ151</f>
        <v>0</v>
      </c>
      <c r="AR151" s="198">
        <f>$E151*餐厅成本录入!AR151</f>
        <v>120</v>
      </c>
      <c r="AS151" s="198">
        <f>$E151*餐厅成本录入!AS151</f>
        <v>120</v>
      </c>
      <c r="AT151" s="198">
        <f>$E151*餐厅成本录入!AT151</f>
        <v>0</v>
      </c>
      <c r="AU151" s="198">
        <f>$E151*餐厅成本录入!AU151</f>
        <v>0</v>
      </c>
      <c r="AV151" s="198">
        <f>$E151*餐厅成本录入!AV151</f>
        <v>0</v>
      </c>
      <c r="AW151" s="198">
        <f>$E151*餐厅成本录入!AW151</f>
        <v>0</v>
      </c>
      <c r="AX151" s="198">
        <f>$E151*餐厅成本录入!AX151</f>
        <v>0</v>
      </c>
      <c r="AY151" s="198">
        <f>$E151*餐厅成本录入!AY151</f>
        <v>0</v>
      </c>
      <c r="AZ151" s="198">
        <f>$E151*餐厅成本录入!AZ151</f>
        <v>0</v>
      </c>
      <c r="BA151" s="198">
        <f>$E151*餐厅成本录入!BA151</f>
        <v>0</v>
      </c>
      <c r="BB151" s="198">
        <f>$E151*餐厅成本录入!BB151</f>
        <v>0</v>
      </c>
      <c r="BC151" s="198">
        <f>$E151*餐厅成本录入!BC151</f>
        <v>0</v>
      </c>
      <c r="BD151" s="198">
        <f>$E151*餐厅成本录入!BD151</f>
        <v>120</v>
      </c>
      <c r="BE151" s="198">
        <f>$E151*餐厅成本录入!BE151</f>
        <v>120</v>
      </c>
      <c r="BF151" s="198">
        <f>$E151*餐厅成本录入!BF151</f>
        <v>0</v>
      </c>
      <c r="BG151" s="198">
        <f>$E151*餐厅成本录入!BG151</f>
        <v>0</v>
      </c>
      <c r="BH151" s="198">
        <f>$E151*餐厅成本录入!BH151</f>
        <v>120</v>
      </c>
      <c r="BI151" s="198">
        <f>$E151*餐厅成本录入!BI151</f>
        <v>120</v>
      </c>
      <c r="BJ151" s="198">
        <f>$E151*餐厅成本录入!BJ151</f>
        <v>0</v>
      </c>
      <c r="BK151" s="198">
        <f>$E151*餐厅成本录入!BK151</f>
        <v>0</v>
      </c>
      <c r="BL151" s="198">
        <f>$E151*餐厅成本录入!BL151</f>
        <v>0</v>
      </c>
      <c r="BM151" s="198">
        <f>$E151*餐厅成本录入!BM151</f>
        <v>0</v>
      </c>
      <c r="BN151" s="198">
        <f>$E151*餐厅成本录入!BN151</f>
        <v>0</v>
      </c>
      <c r="BO151" s="198">
        <f>$E151*餐厅成本录入!BO151</f>
        <v>0</v>
      </c>
      <c r="BP151" s="198">
        <f>$E151*餐厅成本录入!BP151</f>
        <v>0</v>
      </c>
      <c r="BQ151" s="198">
        <f>$E151*餐厅成本录入!BQ151</f>
        <v>0</v>
      </c>
      <c r="BR151" s="198">
        <f>$E151*餐厅成本录入!BR151</f>
        <v>0</v>
      </c>
      <c r="BS151" s="198">
        <f>$E151*餐厅成本录入!BS151</f>
        <v>0</v>
      </c>
      <c r="BT151" s="198">
        <f>$E151*餐厅成本录入!BT151</f>
        <v>0</v>
      </c>
      <c r="BU151" s="198">
        <f>$E151*餐厅成本录入!BU151</f>
        <v>0</v>
      </c>
      <c r="BV151" s="198">
        <f>$E151*餐厅成本录入!BV151</f>
        <v>0</v>
      </c>
      <c r="BW151" s="198">
        <f>$E151*餐厅成本录入!BW151</f>
        <v>0</v>
      </c>
    </row>
    <row r="152" s="178" customFormat="1" customHeight="1" spans="1:75">
      <c r="A152" s="161">
        <v>184</v>
      </c>
      <c r="B152" s="21" t="str">
        <f>餐厅成本录入!B152</f>
        <v>四川腊肉</v>
      </c>
      <c r="C152" s="21">
        <f>餐厅成本录入!C152</f>
        <v>0</v>
      </c>
      <c r="D152" s="21" t="str">
        <f>餐厅成本录入!D152</f>
        <v>斤</v>
      </c>
      <c r="E152" s="21">
        <f>餐厅成本录入!E152</f>
        <v>23</v>
      </c>
      <c r="F152" s="21">
        <f>餐厅成本录入!F152</f>
        <v>0</v>
      </c>
      <c r="G152" s="21">
        <f>餐厅成本录入!G152</f>
        <v>0</v>
      </c>
      <c r="H152" s="21">
        <f>餐厅成本录入!H152</f>
        <v>3.24</v>
      </c>
      <c r="I152" s="21">
        <f>餐厅成本录入!I152</f>
        <v>74.52</v>
      </c>
      <c r="J152" s="21">
        <f>餐厅成本录入!J152</f>
        <v>3.24</v>
      </c>
      <c r="K152" s="21">
        <f>餐厅成本录入!K152</f>
        <v>74.52</v>
      </c>
      <c r="L152" s="21">
        <f>餐厅成本录入!L152</f>
        <v>0</v>
      </c>
      <c r="M152" s="21">
        <f>餐厅成本录入!M152</f>
        <v>0</v>
      </c>
      <c r="N152" s="198">
        <f>$E152*餐厅成本录入!N152</f>
        <v>0</v>
      </c>
      <c r="O152" s="198">
        <f>$E152*餐厅成本录入!O152</f>
        <v>0</v>
      </c>
      <c r="P152" s="198">
        <f>$E152*餐厅成本录入!P152</f>
        <v>0</v>
      </c>
      <c r="Q152" s="198">
        <f>$E152*餐厅成本录入!Q152</f>
        <v>0</v>
      </c>
      <c r="R152" s="198">
        <f>$E152*餐厅成本录入!R152</f>
        <v>0</v>
      </c>
      <c r="S152" s="198">
        <f>$E152*餐厅成本录入!S152</f>
        <v>0</v>
      </c>
      <c r="T152" s="198">
        <f>$E152*餐厅成本录入!T152</f>
        <v>0</v>
      </c>
      <c r="U152" s="198">
        <f>$E152*餐厅成本录入!U152</f>
        <v>0</v>
      </c>
      <c r="V152" s="198">
        <f>$E152*餐厅成本录入!V152</f>
        <v>0</v>
      </c>
      <c r="W152" s="198">
        <f>$E152*餐厅成本录入!W152</f>
        <v>0</v>
      </c>
      <c r="X152" s="198">
        <f>$E152*餐厅成本录入!X152</f>
        <v>0</v>
      </c>
      <c r="Y152" s="198">
        <f>$E152*餐厅成本录入!Y152</f>
        <v>0</v>
      </c>
      <c r="Z152" s="198">
        <f>$E152*餐厅成本录入!Z152</f>
        <v>0</v>
      </c>
      <c r="AA152" s="198">
        <f>$E152*餐厅成本录入!AA152</f>
        <v>0</v>
      </c>
      <c r="AB152" s="198">
        <f>$E152*餐厅成本录入!AB152</f>
        <v>0</v>
      </c>
      <c r="AC152" s="198">
        <f>$E152*餐厅成本录入!AC152</f>
        <v>0</v>
      </c>
      <c r="AD152" s="198">
        <f>$E152*餐厅成本录入!AD152</f>
        <v>0</v>
      </c>
      <c r="AE152" s="198">
        <f>$E152*餐厅成本录入!AE152</f>
        <v>0</v>
      </c>
      <c r="AF152" s="198">
        <f>$E152*餐厅成本录入!AF152</f>
        <v>0</v>
      </c>
      <c r="AG152" s="198">
        <f>$E152*餐厅成本录入!AG152</f>
        <v>0</v>
      </c>
      <c r="AH152" s="198">
        <f>$E152*餐厅成本录入!AH152</f>
        <v>0</v>
      </c>
      <c r="AI152" s="198">
        <f>$E152*餐厅成本录入!AI152</f>
        <v>0</v>
      </c>
      <c r="AJ152" s="198">
        <f>$E152*餐厅成本录入!AJ152</f>
        <v>0</v>
      </c>
      <c r="AK152" s="198">
        <f>$E152*餐厅成本录入!AK152</f>
        <v>0</v>
      </c>
      <c r="AL152" s="198">
        <f>$E152*餐厅成本录入!AL152</f>
        <v>0</v>
      </c>
      <c r="AM152" s="198">
        <f>$E152*餐厅成本录入!AM152</f>
        <v>0</v>
      </c>
      <c r="AN152" s="198">
        <f>$E152*餐厅成本录入!AN152</f>
        <v>0</v>
      </c>
      <c r="AO152" s="198">
        <f>$E152*餐厅成本录入!AO152</f>
        <v>0</v>
      </c>
      <c r="AP152" s="198">
        <f>$E152*餐厅成本录入!AP152</f>
        <v>0</v>
      </c>
      <c r="AQ152" s="198">
        <f>$E152*餐厅成本录入!AQ152</f>
        <v>0</v>
      </c>
      <c r="AR152" s="198">
        <f>$E152*餐厅成本录入!AR152</f>
        <v>51.52</v>
      </c>
      <c r="AS152" s="198">
        <f>$E152*餐厅成本录入!AS152</f>
        <v>51.52</v>
      </c>
      <c r="AT152" s="198">
        <f>$E152*餐厅成本录入!AT152</f>
        <v>0</v>
      </c>
      <c r="AU152" s="198">
        <f>$E152*餐厅成本录入!AU152</f>
        <v>0</v>
      </c>
      <c r="AV152" s="198">
        <f>$E152*餐厅成本录入!AV152</f>
        <v>0</v>
      </c>
      <c r="AW152" s="198">
        <f>$E152*餐厅成本录入!AW152</f>
        <v>0</v>
      </c>
      <c r="AX152" s="198">
        <f>$E152*餐厅成本录入!AX152</f>
        <v>0</v>
      </c>
      <c r="AY152" s="198">
        <f>$E152*餐厅成本录入!AY152</f>
        <v>0</v>
      </c>
      <c r="AZ152" s="198">
        <f>$E152*餐厅成本录入!AZ152</f>
        <v>0</v>
      </c>
      <c r="BA152" s="198">
        <f>$E152*餐厅成本录入!BA152</f>
        <v>0</v>
      </c>
      <c r="BB152" s="198">
        <f>$E152*餐厅成本录入!BB152</f>
        <v>0</v>
      </c>
      <c r="BC152" s="198">
        <f>$E152*餐厅成本录入!BC152</f>
        <v>0</v>
      </c>
      <c r="BD152" s="198">
        <f>$E152*餐厅成本录入!BD152</f>
        <v>23</v>
      </c>
      <c r="BE152" s="198">
        <f>$E152*餐厅成本录入!BE152</f>
        <v>23</v>
      </c>
      <c r="BF152" s="198">
        <f>$E152*餐厅成本录入!BF152</f>
        <v>0</v>
      </c>
      <c r="BG152" s="198">
        <f>$E152*餐厅成本录入!BG152</f>
        <v>0</v>
      </c>
      <c r="BH152" s="198">
        <f>$E152*餐厅成本录入!BH152</f>
        <v>0</v>
      </c>
      <c r="BI152" s="198">
        <f>$E152*餐厅成本录入!BI152</f>
        <v>0</v>
      </c>
      <c r="BJ152" s="198">
        <f>$E152*餐厅成本录入!BJ152</f>
        <v>0</v>
      </c>
      <c r="BK152" s="198">
        <f>$E152*餐厅成本录入!BK152</f>
        <v>0</v>
      </c>
      <c r="BL152" s="198">
        <f>$E152*餐厅成本录入!BL152</f>
        <v>0</v>
      </c>
      <c r="BM152" s="198">
        <f>$E152*餐厅成本录入!BM152</f>
        <v>0</v>
      </c>
      <c r="BN152" s="198">
        <f>$E152*餐厅成本录入!BN152</f>
        <v>0</v>
      </c>
      <c r="BO152" s="198">
        <f>$E152*餐厅成本录入!BO152</f>
        <v>0</v>
      </c>
      <c r="BP152" s="198">
        <f>$E152*餐厅成本录入!BP152</f>
        <v>0</v>
      </c>
      <c r="BQ152" s="198">
        <f>$E152*餐厅成本录入!BQ152</f>
        <v>0</v>
      </c>
      <c r="BR152" s="198">
        <f>$E152*餐厅成本录入!BR152</f>
        <v>0</v>
      </c>
      <c r="BS152" s="198">
        <f>$E152*餐厅成本录入!BS152</f>
        <v>0</v>
      </c>
      <c r="BT152" s="198">
        <f>$E152*餐厅成本录入!BT152</f>
        <v>0</v>
      </c>
      <c r="BU152" s="198">
        <f>$E152*餐厅成本录入!BU152</f>
        <v>0</v>
      </c>
      <c r="BV152" s="198">
        <f>$E152*餐厅成本录入!BV152</f>
        <v>0</v>
      </c>
      <c r="BW152" s="198">
        <f>$E152*餐厅成本录入!BW152</f>
        <v>0</v>
      </c>
    </row>
    <row r="153" s="178" customFormat="1" customHeight="1" spans="1:75">
      <c r="A153" s="161">
        <v>185</v>
      </c>
      <c r="B153" s="21" t="str">
        <f>餐厅成本录入!B153</f>
        <v>熟猪耳</v>
      </c>
      <c r="C153" s="21">
        <f>餐厅成本录入!C153</f>
        <v>0</v>
      </c>
      <c r="D153" s="21" t="str">
        <f>餐厅成本录入!D153</f>
        <v>个</v>
      </c>
      <c r="E153" s="21">
        <f>餐厅成本录入!E153</f>
        <v>17.5</v>
      </c>
      <c r="F153" s="21">
        <f>餐厅成本录入!F153</f>
        <v>0</v>
      </c>
      <c r="G153" s="21">
        <f>餐厅成本录入!G153</f>
        <v>0</v>
      </c>
      <c r="H153" s="21">
        <f>餐厅成本录入!H153</f>
        <v>1</v>
      </c>
      <c r="I153" s="21">
        <f>餐厅成本录入!I153</f>
        <v>17.5</v>
      </c>
      <c r="J153" s="21">
        <f>餐厅成本录入!J153</f>
        <v>1</v>
      </c>
      <c r="K153" s="21">
        <f>餐厅成本录入!K153</f>
        <v>17.5</v>
      </c>
      <c r="L153" s="21">
        <f>餐厅成本录入!L153</f>
        <v>0</v>
      </c>
      <c r="M153" s="21">
        <f>餐厅成本录入!M153</f>
        <v>0</v>
      </c>
      <c r="N153" s="198">
        <f>$E153*餐厅成本录入!N153</f>
        <v>0</v>
      </c>
      <c r="O153" s="198">
        <f>$E153*餐厅成本录入!O153</f>
        <v>0</v>
      </c>
      <c r="P153" s="198">
        <f>$E153*餐厅成本录入!P153</f>
        <v>0</v>
      </c>
      <c r="Q153" s="198">
        <f>$E153*餐厅成本录入!Q153</f>
        <v>0</v>
      </c>
      <c r="R153" s="198">
        <f>$E153*餐厅成本录入!R153</f>
        <v>0</v>
      </c>
      <c r="S153" s="198">
        <f>$E153*餐厅成本录入!S153</f>
        <v>0</v>
      </c>
      <c r="T153" s="198">
        <f>$E153*餐厅成本录入!T153</f>
        <v>0</v>
      </c>
      <c r="U153" s="198">
        <f>$E153*餐厅成本录入!U153</f>
        <v>0</v>
      </c>
      <c r="V153" s="198">
        <f>$E153*餐厅成本录入!V153</f>
        <v>0</v>
      </c>
      <c r="W153" s="198">
        <f>$E153*餐厅成本录入!W153</f>
        <v>0</v>
      </c>
      <c r="X153" s="198">
        <f>$E153*餐厅成本录入!X153</f>
        <v>0</v>
      </c>
      <c r="Y153" s="198">
        <f>$E153*餐厅成本录入!Y153</f>
        <v>0</v>
      </c>
      <c r="Z153" s="198">
        <f>$E153*餐厅成本录入!Z153</f>
        <v>0</v>
      </c>
      <c r="AA153" s="198">
        <f>$E153*餐厅成本录入!AA153</f>
        <v>0</v>
      </c>
      <c r="AB153" s="198">
        <f>$E153*餐厅成本录入!AB153</f>
        <v>0</v>
      </c>
      <c r="AC153" s="198">
        <f>$E153*餐厅成本录入!AC153</f>
        <v>0</v>
      </c>
      <c r="AD153" s="198">
        <f>$E153*餐厅成本录入!AD153</f>
        <v>0</v>
      </c>
      <c r="AE153" s="198">
        <f>$E153*餐厅成本录入!AE153</f>
        <v>0</v>
      </c>
      <c r="AF153" s="198">
        <f>$E153*餐厅成本录入!AF153</f>
        <v>0</v>
      </c>
      <c r="AG153" s="198">
        <f>$E153*餐厅成本录入!AG153</f>
        <v>0</v>
      </c>
      <c r="AH153" s="198">
        <f>$E153*餐厅成本录入!AH153</f>
        <v>0</v>
      </c>
      <c r="AI153" s="198">
        <f>$E153*餐厅成本录入!AI153</f>
        <v>0</v>
      </c>
      <c r="AJ153" s="198">
        <f>$E153*餐厅成本录入!AJ153</f>
        <v>0</v>
      </c>
      <c r="AK153" s="198">
        <f>$E153*餐厅成本录入!AK153</f>
        <v>0</v>
      </c>
      <c r="AL153" s="198">
        <f>$E153*餐厅成本录入!AL153</f>
        <v>0</v>
      </c>
      <c r="AM153" s="198">
        <f>$E153*餐厅成本录入!AM153</f>
        <v>0</v>
      </c>
      <c r="AN153" s="198">
        <f>$E153*餐厅成本录入!AN153</f>
        <v>0</v>
      </c>
      <c r="AO153" s="198">
        <f>$E153*餐厅成本录入!AO153</f>
        <v>0</v>
      </c>
      <c r="AP153" s="198">
        <f>$E153*餐厅成本录入!AP153</f>
        <v>0</v>
      </c>
      <c r="AQ153" s="198">
        <f>$E153*餐厅成本录入!AQ153</f>
        <v>0</v>
      </c>
      <c r="AR153" s="198">
        <f>$E153*餐厅成本录入!AR153</f>
        <v>0</v>
      </c>
      <c r="AS153" s="198">
        <f>$E153*餐厅成本录入!AS153</f>
        <v>0</v>
      </c>
      <c r="AT153" s="198">
        <f>$E153*餐厅成本录入!AT153</f>
        <v>0</v>
      </c>
      <c r="AU153" s="198">
        <f>$E153*餐厅成本录入!AU153</f>
        <v>0</v>
      </c>
      <c r="AV153" s="198">
        <f>$E153*餐厅成本录入!AV153</f>
        <v>0</v>
      </c>
      <c r="AW153" s="198">
        <f>$E153*餐厅成本录入!AW153</f>
        <v>0</v>
      </c>
      <c r="AX153" s="198">
        <f>$E153*餐厅成本录入!AX153</f>
        <v>17.5</v>
      </c>
      <c r="AY153" s="198">
        <f>$E153*餐厅成本录入!AY153</f>
        <v>17.5</v>
      </c>
      <c r="AZ153" s="198">
        <f>$E153*餐厅成本录入!AZ153</f>
        <v>0</v>
      </c>
      <c r="BA153" s="198">
        <f>$E153*餐厅成本录入!BA153</f>
        <v>0</v>
      </c>
      <c r="BB153" s="198">
        <f>$E153*餐厅成本录入!BB153</f>
        <v>0</v>
      </c>
      <c r="BC153" s="198">
        <f>$E153*餐厅成本录入!BC153</f>
        <v>0</v>
      </c>
      <c r="BD153" s="198">
        <f>$E153*餐厅成本录入!BD153</f>
        <v>0</v>
      </c>
      <c r="BE153" s="198">
        <f>$E153*餐厅成本录入!BE153</f>
        <v>0</v>
      </c>
      <c r="BF153" s="198">
        <f>$E153*餐厅成本录入!BF153</f>
        <v>0</v>
      </c>
      <c r="BG153" s="198">
        <f>$E153*餐厅成本录入!BG153</f>
        <v>0</v>
      </c>
      <c r="BH153" s="198">
        <f>$E153*餐厅成本录入!BH153</f>
        <v>0</v>
      </c>
      <c r="BI153" s="198">
        <f>$E153*餐厅成本录入!BI153</f>
        <v>0</v>
      </c>
      <c r="BJ153" s="198">
        <f>$E153*餐厅成本录入!BJ153</f>
        <v>0</v>
      </c>
      <c r="BK153" s="198">
        <f>$E153*餐厅成本录入!BK153</f>
        <v>0</v>
      </c>
      <c r="BL153" s="198">
        <f>$E153*餐厅成本录入!BL153</f>
        <v>0</v>
      </c>
      <c r="BM153" s="198">
        <f>$E153*餐厅成本录入!BM153</f>
        <v>0</v>
      </c>
      <c r="BN153" s="198">
        <f>$E153*餐厅成本录入!BN153</f>
        <v>0</v>
      </c>
      <c r="BO153" s="198">
        <f>$E153*餐厅成本录入!BO153</f>
        <v>0</v>
      </c>
      <c r="BP153" s="198">
        <f>$E153*餐厅成本录入!BP153</f>
        <v>0</v>
      </c>
      <c r="BQ153" s="198">
        <f>$E153*餐厅成本录入!BQ153</f>
        <v>0</v>
      </c>
      <c r="BR153" s="198">
        <f>$E153*餐厅成本录入!BR153</f>
        <v>0</v>
      </c>
      <c r="BS153" s="198">
        <f>$E153*餐厅成本录入!BS153</f>
        <v>0</v>
      </c>
      <c r="BT153" s="198">
        <f>$E153*餐厅成本录入!BT153</f>
        <v>0</v>
      </c>
      <c r="BU153" s="198">
        <f>$E153*餐厅成本录入!BU153</f>
        <v>0</v>
      </c>
      <c r="BV153" s="198">
        <f>$E153*餐厅成本录入!BV153</f>
        <v>0</v>
      </c>
      <c r="BW153" s="198">
        <f>$E153*餐厅成本录入!BW153</f>
        <v>0</v>
      </c>
    </row>
    <row r="154" s="178" customFormat="1" customHeight="1" spans="1:75">
      <c r="A154" s="161">
        <v>186</v>
      </c>
      <c r="B154" s="21" t="str">
        <f>餐厅成本录入!B154</f>
        <v>猪头肉</v>
      </c>
      <c r="C154" s="21">
        <f>餐厅成本录入!C154</f>
        <v>0</v>
      </c>
      <c r="D154" s="21" t="str">
        <f>餐厅成本录入!D154</f>
        <v>个</v>
      </c>
      <c r="E154" s="21">
        <f>餐厅成本录入!E154</f>
        <v>80</v>
      </c>
      <c r="F154" s="21">
        <f>餐厅成本录入!F154</f>
        <v>0</v>
      </c>
      <c r="G154" s="21">
        <f>餐厅成本录入!G154</f>
        <v>0</v>
      </c>
      <c r="H154" s="21">
        <f>餐厅成本录入!H154</f>
        <v>0</v>
      </c>
      <c r="I154" s="21">
        <f>餐厅成本录入!I154</f>
        <v>0</v>
      </c>
      <c r="J154" s="21">
        <f>餐厅成本录入!J154</f>
        <v>0</v>
      </c>
      <c r="K154" s="21">
        <f>餐厅成本录入!K154</f>
        <v>0</v>
      </c>
      <c r="L154" s="21">
        <f>餐厅成本录入!L154</f>
        <v>0</v>
      </c>
      <c r="M154" s="21">
        <f>餐厅成本录入!M154</f>
        <v>0</v>
      </c>
      <c r="N154" s="198">
        <f>$E154*餐厅成本录入!N154</f>
        <v>0</v>
      </c>
      <c r="O154" s="198">
        <f>$E154*餐厅成本录入!O154</f>
        <v>0</v>
      </c>
      <c r="P154" s="198">
        <f>$E154*餐厅成本录入!P154</f>
        <v>0</v>
      </c>
      <c r="Q154" s="198">
        <f>$E154*餐厅成本录入!Q154</f>
        <v>0</v>
      </c>
      <c r="R154" s="198">
        <f>$E154*餐厅成本录入!R154</f>
        <v>0</v>
      </c>
      <c r="S154" s="198">
        <f>$E154*餐厅成本录入!S154</f>
        <v>0</v>
      </c>
      <c r="T154" s="198">
        <f>$E154*餐厅成本录入!T154</f>
        <v>0</v>
      </c>
      <c r="U154" s="198">
        <f>$E154*餐厅成本录入!U154</f>
        <v>0</v>
      </c>
      <c r="V154" s="198">
        <f>$E154*餐厅成本录入!V154</f>
        <v>0</v>
      </c>
      <c r="W154" s="198">
        <f>$E154*餐厅成本录入!W154</f>
        <v>0</v>
      </c>
      <c r="X154" s="198">
        <f>$E154*餐厅成本录入!X154</f>
        <v>0</v>
      </c>
      <c r="Y154" s="198">
        <f>$E154*餐厅成本录入!Y154</f>
        <v>0</v>
      </c>
      <c r="Z154" s="198">
        <f>$E154*餐厅成本录入!Z154</f>
        <v>0</v>
      </c>
      <c r="AA154" s="198">
        <f>$E154*餐厅成本录入!AA154</f>
        <v>0</v>
      </c>
      <c r="AB154" s="198">
        <f>$E154*餐厅成本录入!AB154</f>
        <v>0</v>
      </c>
      <c r="AC154" s="198">
        <f>$E154*餐厅成本录入!AC154</f>
        <v>0</v>
      </c>
      <c r="AD154" s="198">
        <f>$E154*餐厅成本录入!AD154</f>
        <v>0</v>
      </c>
      <c r="AE154" s="198">
        <f>$E154*餐厅成本录入!AE154</f>
        <v>0</v>
      </c>
      <c r="AF154" s="198">
        <f>$E154*餐厅成本录入!AF154</f>
        <v>0</v>
      </c>
      <c r="AG154" s="198">
        <f>$E154*餐厅成本录入!AG154</f>
        <v>0</v>
      </c>
      <c r="AH154" s="198">
        <f>$E154*餐厅成本录入!AH154</f>
        <v>0</v>
      </c>
      <c r="AI154" s="198">
        <f>$E154*餐厅成本录入!AI154</f>
        <v>0</v>
      </c>
      <c r="AJ154" s="198">
        <f>$E154*餐厅成本录入!AJ154</f>
        <v>0</v>
      </c>
      <c r="AK154" s="198">
        <f>$E154*餐厅成本录入!AK154</f>
        <v>0</v>
      </c>
      <c r="AL154" s="198">
        <f>$E154*餐厅成本录入!AL154</f>
        <v>0</v>
      </c>
      <c r="AM154" s="198">
        <f>$E154*餐厅成本录入!AM154</f>
        <v>0</v>
      </c>
      <c r="AN154" s="198">
        <f>$E154*餐厅成本录入!AN154</f>
        <v>0</v>
      </c>
      <c r="AO154" s="198">
        <f>$E154*餐厅成本录入!AO154</f>
        <v>0</v>
      </c>
      <c r="AP154" s="198">
        <f>$E154*餐厅成本录入!AP154</f>
        <v>0</v>
      </c>
      <c r="AQ154" s="198">
        <f>$E154*餐厅成本录入!AQ154</f>
        <v>0</v>
      </c>
      <c r="AR154" s="198">
        <f>$E154*餐厅成本录入!AR154</f>
        <v>0</v>
      </c>
      <c r="AS154" s="198">
        <f>$E154*餐厅成本录入!AS154</f>
        <v>0</v>
      </c>
      <c r="AT154" s="198">
        <f>$E154*餐厅成本录入!AT154</f>
        <v>0</v>
      </c>
      <c r="AU154" s="198">
        <f>$E154*餐厅成本录入!AU154</f>
        <v>0</v>
      </c>
      <c r="AV154" s="198">
        <f>$E154*餐厅成本录入!AV154</f>
        <v>0</v>
      </c>
      <c r="AW154" s="198">
        <f>$E154*餐厅成本录入!AW154</f>
        <v>0</v>
      </c>
      <c r="AX154" s="198">
        <f>$E154*餐厅成本录入!AX154</f>
        <v>0</v>
      </c>
      <c r="AY154" s="198">
        <f>$E154*餐厅成本录入!AY154</f>
        <v>0</v>
      </c>
      <c r="AZ154" s="198">
        <f>$E154*餐厅成本录入!AZ154</f>
        <v>0</v>
      </c>
      <c r="BA154" s="198">
        <f>$E154*餐厅成本录入!BA154</f>
        <v>0</v>
      </c>
      <c r="BB154" s="198">
        <f>$E154*餐厅成本录入!BB154</f>
        <v>0</v>
      </c>
      <c r="BC154" s="198">
        <f>$E154*餐厅成本录入!BC154</f>
        <v>0</v>
      </c>
      <c r="BD154" s="198">
        <f>$E154*餐厅成本录入!BD154</f>
        <v>0</v>
      </c>
      <c r="BE154" s="198">
        <f>$E154*餐厅成本录入!BE154</f>
        <v>0</v>
      </c>
      <c r="BF154" s="198">
        <f>$E154*餐厅成本录入!BF154</f>
        <v>0</v>
      </c>
      <c r="BG154" s="198">
        <f>$E154*餐厅成本录入!BG154</f>
        <v>0</v>
      </c>
      <c r="BH154" s="198">
        <f>$E154*餐厅成本录入!BH154</f>
        <v>0</v>
      </c>
      <c r="BI154" s="198">
        <f>$E154*餐厅成本录入!BI154</f>
        <v>0</v>
      </c>
      <c r="BJ154" s="198">
        <f>$E154*餐厅成本录入!BJ154</f>
        <v>0</v>
      </c>
      <c r="BK154" s="198">
        <f>$E154*餐厅成本录入!BK154</f>
        <v>0</v>
      </c>
      <c r="BL154" s="198">
        <f>$E154*餐厅成本录入!BL154</f>
        <v>0</v>
      </c>
      <c r="BM154" s="198">
        <f>$E154*餐厅成本录入!BM154</f>
        <v>0</v>
      </c>
      <c r="BN154" s="198">
        <f>$E154*餐厅成本录入!BN154</f>
        <v>0</v>
      </c>
      <c r="BO154" s="198">
        <f>$E154*餐厅成本录入!BO154</f>
        <v>0</v>
      </c>
      <c r="BP154" s="198">
        <f>$E154*餐厅成本录入!BP154</f>
        <v>0</v>
      </c>
      <c r="BQ154" s="198">
        <f>$E154*餐厅成本录入!BQ154</f>
        <v>0</v>
      </c>
      <c r="BR154" s="198">
        <f>$E154*餐厅成本录入!BR154</f>
        <v>0</v>
      </c>
      <c r="BS154" s="198">
        <f>$E154*餐厅成本录入!BS154</f>
        <v>0</v>
      </c>
      <c r="BT154" s="198">
        <f>$E154*餐厅成本录入!BT154</f>
        <v>0</v>
      </c>
      <c r="BU154" s="198">
        <f>$E154*餐厅成本录入!BU154</f>
        <v>0</v>
      </c>
      <c r="BV154" s="198">
        <f>$E154*餐厅成本录入!BV154</f>
        <v>0</v>
      </c>
      <c r="BW154" s="198">
        <f>$E154*餐厅成本录入!BW154</f>
        <v>0</v>
      </c>
    </row>
    <row r="155" s="178" customFormat="1" customHeight="1" spans="1:75">
      <c r="A155" s="161">
        <v>187</v>
      </c>
      <c r="B155" s="21" t="str">
        <f>餐厅成本录入!B155</f>
        <v>豆腐乳</v>
      </c>
      <c r="C155" s="21">
        <f>餐厅成本录入!C155</f>
        <v>0</v>
      </c>
      <c r="D155" s="21">
        <f>餐厅成本录入!D155</f>
        <v>0</v>
      </c>
      <c r="E155" s="21">
        <f>餐厅成本录入!E155</f>
        <v>6</v>
      </c>
      <c r="F155" s="21">
        <f>餐厅成本录入!F155</f>
        <v>0</v>
      </c>
      <c r="G155" s="21">
        <f>餐厅成本录入!G155</f>
        <v>0</v>
      </c>
      <c r="H155" s="21">
        <f>餐厅成本录入!H155</f>
        <v>12</v>
      </c>
      <c r="I155" s="21">
        <f>餐厅成本录入!I155</f>
        <v>72</v>
      </c>
      <c r="J155" s="21">
        <f>餐厅成本录入!J155</f>
        <v>12</v>
      </c>
      <c r="K155" s="21">
        <f>餐厅成本录入!K155</f>
        <v>72</v>
      </c>
      <c r="L155" s="21">
        <f>餐厅成本录入!L155</f>
        <v>0</v>
      </c>
      <c r="M155" s="21">
        <f>餐厅成本录入!M155</f>
        <v>0</v>
      </c>
      <c r="N155" s="198">
        <f>$E155*餐厅成本录入!N155</f>
        <v>0</v>
      </c>
      <c r="O155" s="198">
        <f>$E155*餐厅成本录入!O155</f>
        <v>0</v>
      </c>
      <c r="P155" s="198">
        <f>$E155*餐厅成本录入!P155</f>
        <v>0</v>
      </c>
      <c r="Q155" s="198">
        <f>$E155*餐厅成本录入!Q155</f>
        <v>0</v>
      </c>
      <c r="R155" s="198">
        <f>$E155*餐厅成本录入!R155</f>
        <v>0</v>
      </c>
      <c r="S155" s="198">
        <f>$E155*餐厅成本录入!S155</f>
        <v>0</v>
      </c>
      <c r="T155" s="198">
        <f>$E155*餐厅成本录入!T155</f>
        <v>0</v>
      </c>
      <c r="U155" s="198">
        <f>$E155*餐厅成本录入!U155</f>
        <v>0</v>
      </c>
      <c r="V155" s="198">
        <f>$E155*餐厅成本录入!V155</f>
        <v>0</v>
      </c>
      <c r="W155" s="198">
        <f>$E155*餐厅成本录入!W155</f>
        <v>0</v>
      </c>
      <c r="X155" s="198">
        <f>$E155*餐厅成本录入!X155</f>
        <v>0</v>
      </c>
      <c r="Y155" s="198">
        <f>$E155*餐厅成本录入!Y155</f>
        <v>0</v>
      </c>
      <c r="Z155" s="198">
        <f>$E155*餐厅成本录入!Z155</f>
        <v>0</v>
      </c>
      <c r="AA155" s="198">
        <f>$E155*餐厅成本录入!AA155</f>
        <v>0</v>
      </c>
      <c r="AB155" s="198">
        <f>$E155*餐厅成本录入!AB155</f>
        <v>0</v>
      </c>
      <c r="AC155" s="198">
        <f>$E155*餐厅成本录入!AC155</f>
        <v>0</v>
      </c>
      <c r="AD155" s="198">
        <f>$E155*餐厅成本录入!AD155</f>
        <v>0</v>
      </c>
      <c r="AE155" s="198">
        <f>$E155*餐厅成本录入!AE155</f>
        <v>0</v>
      </c>
      <c r="AF155" s="198">
        <f>$E155*餐厅成本录入!AF155</f>
        <v>0</v>
      </c>
      <c r="AG155" s="198">
        <f>$E155*餐厅成本录入!AG155</f>
        <v>0</v>
      </c>
      <c r="AH155" s="198">
        <f>$E155*餐厅成本录入!AH155</f>
        <v>0</v>
      </c>
      <c r="AI155" s="198">
        <f>$E155*餐厅成本录入!AI155</f>
        <v>0</v>
      </c>
      <c r="AJ155" s="198">
        <f>$E155*餐厅成本录入!AJ155</f>
        <v>0</v>
      </c>
      <c r="AK155" s="198">
        <f>$E155*餐厅成本录入!AK155</f>
        <v>0</v>
      </c>
      <c r="AL155" s="198">
        <f>$E155*餐厅成本录入!AL155</f>
        <v>0</v>
      </c>
      <c r="AM155" s="198">
        <f>$E155*餐厅成本录入!AM155</f>
        <v>0</v>
      </c>
      <c r="AN155" s="198">
        <f>$E155*餐厅成本录入!AN155</f>
        <v>0</v>
      </c>
      <c r="AO155" s="198">
        <f>$E155*餐厅成本录入!AO155</f>
        <v>0</v>
      </c>
      <c r="AP155" s="198">
        <f>$E155*餐厅成本录入!AP155</f>
        <v>36</v>
      </c>
      <c r="AQ155" s="198">
        <f>$E155*餐厅成本录入!AQ155</f>
        <v>36</v>
      </c>
      <c r="AR155" s="198">
        <f>$E155*餐厅成本录入!AR155</f>
        <v>0</v>
      </c>
      <c r="AS155" s="198">
        <f>$E155*餐厅成本录入!AS155</f>
        <v>0</v>
      </c>
      <c r="AT155" s="198">
        <f>$E155*餐厅成本录入!AT155</f>
        <v>0</v>
      </c>
      <c r="AU155" s="198">
        <f>$E155*餐厅成本录入!AU155</f>
        <v>0</v>
      </c>
      <c r="AV155" s="198">
        <f>$E155*餐厅成本录入!AV155</f>
        <v>0</v>
      </c>
      <c r="AW155" s="198">
        <f>$E155*餐厅成本录入!AW155</f>
        <v>0</v>
      </c>
      <c r="AX155" s="198">
        <f>$E155*餐厅成本录入!AX155</f>
        <v>0</v>
      </c>
      <c r="AY155" s="198">
        <f>$E155*餐厅成本录入!AY155</f>
        <v>0</v>
      </c>
      <c r="AZ155" s="198">
        <f>$E155*餐厅成本录入!AZ155</f>
        <v>0</v>
      </c>
      <c r="BA155" s="198">
        <f>$E155*餐厅成本录入!BA155</f>
        <v>0</v>
      </c>
      <c r="BB155" s="198">
        <f>$E155*餐厅成本录入!BB155</f>
        <v>0</v>
      </c>
      <c r="BC155" s="198">
        <f>$E155*餐厅成本录入!BC155</f>
        <v>0</v>
      </c>
      <c r="BD155" s="198">
        <f>$E155*餐厅成本录入!BD155</f>
        <v>0</v>
      </c>
      <c r="BE155" s="198">
        <f>$E155*餐厅成本录入!BE155</f>
        <v>0</v>
      </c>
      <c r="BF155" s="198">
        <f>$E155*餐厅成本录入!BF155</f>
        <v>0</v>
      </c>
      <c r="BG155" s="198">
        <f>$E155*餐厅成本录入!BG155</f>
        <v>0</v>
      </c>
      <c r="BH155" s="198">
        <f>$E155*餐厅成本录入!BH155</f>
        <v>36</v>
      </c>
      <c r="BI155" s="198">
        <f>$E155*餐厅成本录入!BI155</f>
        <v>36</v>
      </c>
      <c r="BJ155" s="198">
        <f>$E155*餐厅成本录入!BJ155</f>
        <v>0</v>
      </c>
      <c r="BK155" s="198">
        <f>$E155*餐厅成本录入!BK155</f>
        <v>0</v>
      </c>
      <c r="BL155" s="198">
        <f>$E155*餐厅成本录入!BL155</f>
        <v>0</v>
      </c>
      <c r="BM155" s="198">
        <f>$E155*餐厅成本录入!BM155</f>
        <v>0</v>
      </c>
      <c r="BN155" s="198">
        <f>$E155*餐厅成本录入!BN155</f>
        <v>0</v>
      </c>
      <c r="BO155" s="198">
        <f>$E155*餐厅成本录入!BO155</f>
        <v>0</v>
      </c>
      <c r="BP155" s="198">
        <f>$E155*餐厅成本录入!BP155</f>
        <v>0</v>
      </c>
      <c r="BQ155" s="198">
        <f>$E155*餐厅成本录入!BQ155</f>
        <v>0</v>
      </c>
      <c r="BR155" s="198">
        <f>$E155*餐厅成本录入!BR155</f>
        <v>0</v>
      </c>
      <c r="BS155" s="198">
        <f>$E155*餐厅成本录入!BS155</f>
        <v>0</v>
      </c>
      <c r="BT155" s="198">
        <f>$E155*餐厅成本录入!BT155</f>
        <v>0</v>
      </c>
      <c r="BU155" s="198">
        <f>$E155*餐厅成本录入!BU155</f>
        <v>0</v>
      </c>
      <c r="BV155" s="198">
        <f>$E155*餐厅成本录入!BV155</f>
        <v>0</v>
      </c>
      <c r="BW155" s="198">
        <f>$E155*餐厅成本录入!BW155</f>
        <v>0</v>
      </c>
    </row>
    <row r="156" s="178" customFormat="1" customHeight="1" spans="1:75">
      <c r="A156" s="161">
        <v>188</v>
      </c>
      <c r="B156" s="21" t="str">
        <f>餐厅成本录入!B156</f>
        <v>甜鸡酱</v>
      </c>
      <c r="C156" s="21">
        <f>餐厅成本录入!C156</f>
        <v>0</v>
      </c>
      <c r="D156" s="21">
        <f>餐厅成本录入!D156</f>
        <v>0</v>
      </c>
      <c r="E156" s="21">
        <f>餐厅成本录入!E156</f>
        <v>10</v>
      </c>
      <c r="F156" s="21">
        <f>餐厅成本录入!F156</f>
        <v>0</v>
      </c>
      <c r="G156" s="21">
        <f>餐厅成本录入!G156</f>
        <v>0</v>
      </c>
      <c r="H156" s="21">
        <f>餐厅成本录入!H156</f>
        <v>6</v>
      </c>
      <c r="I156" s="21">
        <f>餐厅成本录入!I156</f>
        <v>60</v>
      </c>
      <c r="J156" s="21">
        <f>餐厅成本录入!J156</f>
        <v>6</v>
      </c>
      <c r="K156" s="21">
        <f>餐厅成本录入!K156</f>
        <v>60</v>
      </c>
      <c r="L156" s="21">
        <f>餐厅成本录入!L156</f>
        <v>0</v>
      </c>
      <c r="M156" s="21">
        <f>餐厅成本录入!M156</f>
        <v>0</v>
      </c>
      <c r="N156" s="198">
        <f>$E156*餐厅成本录入!N156</f>
        <v>0</v>
      </c>
      <c r="O156" s="198">
        <f>$E156*餐厅成本录入!O156</f>
        <v>0</v>
      </c>
      <c r="P156" s="198">
        <f>$E156*餐厅成本录入!P156</f>
        <v>0</v>
      </c>
      <c r="Q156" s="198">
        <f>$E156*餐厅成本录入!Q156</f>
        <v>0</v>
      </c>
      <c r="R156" s="198">
        <f>$E156*餐厅成本录入!R156</f>
        <v>0</v>
      </c>
      <c r="S156" s="198">
        <f>$E156*餐厅成本录入!S156</f>
        <v>0</v>
      </c>
      <c r="T156" s="198">
        <f>$E156*餐厅成本录入!T156</f>
        <v>0</v>
      </c>
      <c r="U156" s="198">
        <f>$E156*餐厅成本录入!U156</f>
        <v>0</v>
      </c>
      <c r="V156" s="198">
        <f>$E156*餐厅成本录入!V156</f>
        <v>0</v>
      </c>
      <c r="W156" s="198">
        <f>$E156*餐厅成本录入!W156</f>
        <v>0</v>
      </c>
      <c r="X156" s="198">
        <f>$E156*餐厅成本录入!X156</f>
        <v>0</v>
      </c>
      <c r="Y156" s="198">
        <f>$E156*餐厅成本录入!Y156</f>
        <v>0</v>
      </c>
      <c r="Z156" s="198">
        <f>$E156*餐厅成本录入!Z156</f>
        <v>0</v>
      </c>
      <c r="AA156" s="198">
        <f>$E156*餐厅成本录入!AA156</f>
        <v>0</v>
      </c>
      <c r="AB156" s="198">
        <f>$E156*餐厅成本录入!AB156</f>
        <v>0</v>
      </c>
      <c r="AC156" s="198">
        <f>$E156*餐厅成本录入!AC156</f>
        <v>0</v>
      </c>
      <c r="AD156" s="198">
        <f>$E156*餐厅成本录入!AD156</f>
        <v>0</v>
      </c>
      <c r="AE156" s="198">
        <f>$E156*餐厅成本录入!AE156</f>
        <v>0</v>
      </c>
      <c r="AF156" s="198">
        <f>$E156*餐厅成本录入!AF156</f>
        <v>0</v>
      </c>
      <c r="AG156" s="198">
        <f>$E156*餐厅成本录入!AG156</f>
        <v>0</v>
      </c>
      <c r="AH156" s="198">
        <f>$E156*餐厅成本录入!AH156</f>
        <v>0</v>
      </c>
      <c r="AI156" s="198">
        <f>$E156*餐厅成本录入!AI156</f>
        <v>0</v>
      </c>
      <c r="AJ156" s="198">
        <f>$E156*餐厅成本录入!AJ156</f>
        <v>0</v>
      </c>
      <c r="AK156" s="198">
        <f>$E156*餐厅成本录入!AK156</f>
        <v>0</v>
      </c>
      <c r="AL156" s="198">
        <f>$E156*餐厅成本录入!AL156</f>
        <v>0</v>
      </c>
      <c r="AM156" s="198">
        <f>$E156*餐厅成本录入!AM156</f>
        <v>0</v>
      </c>
      <c r="AN156" s="198">
        <f>$E156*餐厅成本录入!AN156</f>
        <v>0</v>
      </c>
      <c r="AO156" s="198">
        <f>$E156*餐厅成本录入!AO156</f>
        <v>0</v>
      </c>
      <c r="AP156" s="198">
        <f>$E156*餐厅成本录入!AP156</f>
        <v>0</v>
      </c>
      <c r="AQ156" s="198">
        <f>$E156*餐厅成本录入!AQ156</f>
        <v>0</v>
      </c>
      <c r="AR156" s="198">
        <f>$E156*餐厅成本录入!AR156</f>
        <v>0</v>
      </c>
      <c r="AS156" s="198">
        <f>$E156*餐厅成本录入!AS156</f>
        <v>0</v>
      </c>
      <c r="AT156" s="198">
        <f>$E156*餐厅成本录入!AT156</f>
        <v>0</v>
      </c>
      <c r="AU156" s="198">
        <f>$E156*餐厅成本录入!AU156</f>
        <v>0</v>
      </c>
      <c r="AV156" s="198">
        <f>$E156*餐厅成本录入!AV156</f>
        <v>0</v>
      </c>
      <c r="AW156" s="198">
        <f>$E156*餐厅成本录入!AW156</f>
        <v>0</v>
      </c>
      <c r="AX156" s="198">
        <f>$E156*餐厅成本录入!AX156</f>
        <v>0</v>
      </c>
      <c r="AY156" s="198">
        <f>$E156*餐厅成本录入!AY156</f>
        <v>0</v>
      </c>
      <c r="AZ156" s="198">
        <f>$E156*餐厅成本录入!AZ156</f>
        <v>0</v>
      </c>
      <c r="BA156" s="198">
        <f>$E156*餐厅成本录入!BA156</f>
        <v>0</v>
      </c>
      <c r="BB156" s="198">
        <f>$E156*餐厅成本录入!BB156</f>
        <v>0</v>
      </c>
      <c r="BC156" s="198">
        <f>$E156*餐厅成本录入!BC156</f>
        <v>0</v>
      </c>
      <c r="BD156" s="198">
        <f>$E156*餐厅成本录入!BD156</f>
        <v>0</v>
      </c>
      <c r="BE156" s="198">
        <f>$E156*餐厅成本录入!BE156</f>
        <v>0</v>
      </c>
      <c r="BF156" s="198">
        <f>$E156*餐厅成本录入!BF156</f>
        <v>0</v>
      </c>
      <c r="BG156" s="198">
        <f>$E156*餐厅成本录入!BG156</f>
        <v>0</v>
      </c>
      <c r="BH156" s="198">
        <f>$E156*餐厅成本录入!BH156</f>
        <v>0</v>
      </c>
      <c r="BI156" s="198">
        <f>$E156*餐厅成本录入!BI156</f>
        <v>0</v>
      </c>
      <c r="BJ156" s="198">
        <f>$E156*餐厅成本录入!BJ156</f>
        <v>0</v>
      </c>
      <c r="BK156" s="198">
        <f>$E156*餐厅成本录入!BK156</f>
        <v>0</v>
      </c>
      <c r="BL156" s="198">
        <f>$E156*餐厅成本录入!BL156</f>
        <v>0</v>
      </c>
      <c r="BM156" s="198">
        <f>$E156*餐厅成本录入!BM156</f>
        <v>0</v>
      </c>
      <c r="BN156" s="198">
        <f>$E156*餐厅成本录入!BN156</f>
        <v>0</v>
      </c>
      <c r="BO156" s="198">
        <f>$E156*餐厅成本录入!BO156</f>
        <v>0</v>
      </c>
      <c r="BP156" s="198">
        <f>$E156*餐厅成本录入!BP156</f>
        <v>0</v>
      </c>
      <c r="BQ156" s="198">
        <f>$E156*餐厅成本录入!BQ156</f>
        <v>0</v>
      </c>
      <c r="BR156" s="198">
        <f>$E156*餐厅成本录入!BR156</f>
        <v>0</v>
      </c>
      <c r="BS156" s="198">
        <f>$E156*餐厅成本录入!BS156</f>
        <v>0</v>
      </c>
      <c r="BT156" s="198">
        <f>$E156*餐厅成本录入!BT156</f>
        <v>0</v>
      </c>
      <c r="BU156" s="198">
        <f>$E156*餐厅成本录入!BU156</f>
        <v>0</v>
      </c>
      <c r="BV156" s="198">
        <f>$E156*餐厅成本录入!BV156</f>
        <v>60</v>
      </c>
      <c r="BW156" s="198">
        <f>$E156*餐厅成本录入!BW156</f>
        <v>60</v>
      </c>
    </row>
    <row r="157" s="178" customFormat="1" customHeight="1" spans="1:75">
      <c r="A157" s="161">
        <v>189</v>
      </c>
      <c r="B157" s="21" t="str">
        <f>餐厅成本录入!B157</f>
        <v>肉沫</v>
      </c>
      <c r="C157" s="21">
        <f>餐厅成本录入!C157</f>
        <v>0</v>
      </c>
      <c r="D157" s="21">
        <f>餐厅成本录入!D157</f>
        <v>0</v>
      </c>
      <c r="E157" s="21">
        <f>餐厅成本录入!E157</f>
        <v>8.5</v>
      </c>
      <c r="F157" s="21">
        <f>餐厅成本录入!F157</f>
        <v>0</v>
      </c>
      <c r="G157" s="21">
        <f>餐厅成本录入!G157</f>
        <v>0</v>
      </c>
      <c r="H157" s="21">
        <f>餐厅成本录入!H157</f>
        <v>50</v>
      </c>
      <c r="I157" s="21">
        <f>餐厅成本录入!I157</f>
        <v>425</v>
      </c>
      <c r="J157" s="21">
        <f>餐厅成本录入!J157</f>
        <v>50</v>
      </c>
      <c r="K157" s="21">
        <f>餐厅成本录入!K157</f>
        <v>425</v>
      </c>
      <c r="L157" s="21">
        <f>餐厅成本录入!L157</f>
        <v>0</v>
      </c>
      <c r="M157" s="21">
        <f>餐厅成本录入!M157</f>
        <v>0</v>
      </c>
      <c r="N157" s="198">
        <f>$E157*餐厅成本录入!N157</f>
        <v>0</v>
      </c>
      <c r="O157" s="198">
        <f>$E157*餐厅成本录入!O157</f>
        <v>0</v>
      </c>
      <c r="P157" s="198">
        <f>$E157*餐厅成本录入!P157</f>
        <v>0</v>
      </c>
      <c r="Q157" s="198">
        <f>$E157*餐厅成本录入!Q157</f>
        <v>0</v>
      </c>
      <c r="R157" s="198">
        <f>$E157*餐厅成本录入!R157</f>
        <v>0</v>
      </c>
      <c r="S157" s="198">
        <f>$E157*餐厅成本录入!S157</f>
        <v>0</v>
      </c>
      <c r="T157" s="198">
        <f>$E157*餐厅成本录入!T157</f>
        <v>0</v>
      </c>
      <c r="U157" s="198">
        <f>$E157*餐厅成本录入!U157</f>
        <v>0</v>
      </c>
      <c r="V157" s="198">
        <f>$E157*餐厅成本录入!V157</f>
        <v>0</v>
      </c>
      <c r="W157" s="198">
        <f>$E157*餐厅成本录入!W157</f>
        <v>0</v>
      </c>
      <c r="X157" s="198">
        <f>$E157*餐厅成本录入!X157</f>
        <v>0</v>
      </c>
      <c r="Y157" s="198">
        <f>$E157*餐厅成本录入!Y157</f>
        <v>0</v>
      </c>
      <c r="Z157" s="198">
        <f>$E157*餐厅成本录入!Z157</f>
        <v>0</v>
      </c>
      <c r="AA157" s="198">
        <f>$E157*餐厅成本录入!AA157</f>
        <v>0</v>
      </c>
      <c r="AB157" s="198">
        <f>$E157*餐厅成本录入!AB157</f>
        <v>85</v>
      </c>
      <c r="AC157" s="198">
        <f>$E157*餐厅成本录入!AC157</f>
        <v>85</v>
      </c>
      <c r="AD157" s="198">
        <f>$E157*餐厅成本录入!AD157</f>
        <v>0</v>
      </c>
      <c r="AE157" s="198">
        <f>$E157*餐厅成本录入!AE157</f>
        <v>0</v>
      </c>
      <c r="AF157" s="198">
        <f>$E157*餐厅成本录入!AF157</f>
        <v>0</v>
      </c>
      <c r="AG157" s="198">
        <f>$E157*餐厅成本录入!AG157</f>
        <v>0</v>
      </c>
      <c r="AH157" s="198">
        <f>$E157*餐厅成本录入!AH157</f>
        <v>0</v>
      </c>
      <c r="AI157" s="198">
        <f>$E157*餐厅成本录入!AI157</f>
        <v>0</v>
      </c>
      <c r="AJ157" s="198">
        <f>$E157*餐厅成本录入!AJ157</f>
        <v>0</v>
      </c>
      <c r="AK157" s="198">
        <f>$E157*餐厅成本录入!AK157</f>
        <v>0</v>
      </c>
      <c r="AL157" s="198">
        <f>$E157*餐厅成本录入!AL157</f>
        <v>0</v>
      </c>
      <c r="AM157" s="198">
        <f>$E157*餐厅成本录入!AM157</f>
        <v>0</v>
      </c>
      <c r="AN157" s="198">
        <f>$E157*餐厅成本录入!AN157</f>
        <v>0</v>
      </c>
      <c r="AO157" s="198">
        <f>$E157*餐厅成本录入!AO157</f>
        <v>0</v>
      </c>
      <c r="AP157" s="198">
        <f>$E157*餐厅成本录入!AP157</f>
        <v>85</v>
      </c>
      <c r="AQ157" s="198">
        <f>$E157*餐厅成本录入!AQ157</f>
        <v>85</v>
      </c>
      <c r="AR157" s="198">
        <f>$E157*餐厅成本录入!AR157</f>
        <v>0</v>
      </c>
      <c r="AS157" s="198">
        <f>$E157*餐厅成本录入!AS157</f>
        <v>0</v>
      </c>
      <c r="AT157" s="198">
        <f>$E157*餐厅成本录入!AT157</f>
        <v>85</v>
      </c>
      <c r="AU157" s="198">
        <f>$E157*餐厅成本录入!AU157</f>
        <v>85</v>
      </c>
      <c r="AV157" s="198">
        <f>$E157*餐厅成本录入!AV157</f>
        <v>0</v>
      </c>
      <c r="AW157" s="198">
        <f>$E157*餐厅成本录入!AW157</f>
        <v>0</v>
      </c>
      <c r="AX157" s="198">
        <f>$E157*餐厅成本录入!AX157</f>
        <v>0</v>
      </c>
      <c r="AY157" s="198">
        <f>$E157*餐厅成本录入!AY157</f>
        <v>0</v>
      </c>
      <c r="AZ157" s="198">
        <f>$E157*餐厅成本录入!AZ157</f>
        <v>0</v>
      </c>
      <c r="BA157" s="198">
        <f>$E157*餐厅成本录入!BA157</f>
        <v>0</v>
      </c>
      <c r="BB157" s="198">
        <f>$E157*餐厅成本录入!BB157</f>
        <v>0</v>
      </c>
      <c r="BC157" s="198">
        <f>$E157*餐厅成本录入!BC157</f>
        <v>0</v>
      </c>
      <c r="BD157" s="198">
        <f>$E157*餐厅成本录入!BD157</f>
        <v>85</v>
      </c>
      <c r="BE157" s="198">
        <f>$E157*餐厅成本录入!BE157</f>
        <v>85</v>
      </c>
      <c r="BF157" s="198">
        <f>$E157*餐厅成本录入!BF157</f>
        <v>0</v>
      </c>
      <c r="BG157" s="198">
        <f>$E157*餐厅成本录入!BG157</f>
        <v>0</v>
      </c>
      <c r="BH157" s="198">
        <f>$E157*餐厅成本录入!BH157</f>
        <v>0</v>
      </c>
      <c r="BI157" s="198">
        <f>$E157*餐厅成本录入!BI157</f>
        <v>0</v>
      </c>
      <c r="BJ157" s="198">
        <f>$E157*餐厅成本录入!BJ157</f>
        <v>0</v>
      </c>
      <c r="BK157" s="198">
        <f>$E157*餐厅成本录入!BK157</f>
        <v>0</v>
      </c>
      <c r="BL157" s="198">
        <f>$E157*餐厅成本录入!BL157</f>
        <v>0</v>
      </c>
      <c r="BM157" s="198">
        <f>$E157*餐厅成本录入!BM157</f>
        <v>0</v>
      </c>
      <c r="BN157" s="198">
        <f>$E157*餐厅成本录入!BN157</f>
        <v>0</v>
      </c>
      <c r="BO157" s="198">
        <f>$E157*餐厅成本录入!BO157</f>
        <v>0</v>
      </c>
      <c r="BP157" s="198">
        <f>$E157*餐厅成本录入!BP157</f>
        <v>85</v>
      </c>
      <c r="BQ157" s="198">
        <f>$E157*餐厅成本录入!BQ157</f>
        <v>85</v>
      </c>
      <c r="BR157" s="198">
        <f>$E157*餐厅成本录入!BR157</f>
        <v>0</v>
      </c>
      <c r="BS157" s="198">
        <f>$E157*餐厅成本录入!BS157</f>
        <v>0</v>
      </c>
      <c r="BT157" s="198">
        <f>$E157*餐厅成本录入!BT157</f>
        <v>0</v>
      </c>
      <c r="BU157" s="198">
        <f>$E157*餐厅成本录入!BU157</f>
        <v>0</v>
      </c>
      <c r="BV157" s="198">
        <f>$E157*餐厅成本录入!BV157</f>
        <v>0</v>
      </c>
      <c r="BW157" s="198">
        <f>$E157*餐厅成本录入!BW157</f>
        <v>0</v>
      </c>
    </row>
    <row r="158" s="178" customFormat="1" customHeight="1" spans="1:75">
      <c r="A158" s="161">
        <v>190</v>
      </c>
      <c r="B158" s="21" t="str">
        <f>餐厅成本录入!B158</f>
        <v>香油</v>
      </c>
      <c r="C158" s="21">
        <f>餐厅成本录入!C158</f>
        <v>0</v>
      </c>
      <c r="D158" s="21">
        <f>餐厅成本录入!D158</f>
        <v>0</v>
      </c>
      <c r="E158" s="21">
        <f>餐厅成本录入!E158</f>
        <v>85</v>
      </c>
      <c r="F158" s="21">
        <f>餐厅成本录入!F158</f>
        <v>0</v>
      </c>
      <c r="G158" s="21">
        <f>餐厅成本录入!G158</f>
        <v>0</v>
      </c>
      <c r="H158" s="21">
        <f>餐厅成本录入!H158</f>
        <v>4</v>
      </c>
      <c r="I158" s="21">
        <f>餐厅成本录入!I158</f>
        <v>340</v>
      </c>
      <c r="J158" s="21">
        <f>餐厅成本录入!J158</f>
        <v>4</v>
      </c>
      <c r="K158" s="21">
        <f>餐厅成本录入!K158</f>
        <v>340</v>
      </c>
      <c r="L158" s="21">
        <f>餐厅成本录入!L158</f>
        <v>0</v>
      </c>
      <c r="M158" s="21">
        <f>餐厅成本录入!M158</f>
        <v>0</v>
      </c>
      <c r="N158" s="198">
        <f>$E158*餐厅成本录入!N158</f>
        <v>0</v>
      </c>
      <c r="O158" s="198">
        <f>$E158*餐厅成本录入!O158</f>
        <v>0</v>
      </c>
      <c r="P158" s="198">
        <f>$E158*餐厅成本录入!P158</f>
        <v>0</v>
      </c>
      <c r="Q158" s="198">
        <f>$E158*餐厅成本录入!Q158</f>
        <v>0</v>
      </c>
      <c r="R158" s="198">
        <f>$E158*餐厅成本录入!R158</f>
        <v>0</v>
      </c>
      <c r="S158" s="198">
        <f>$E158*餐厅成本录入!S158</f>
        <v>0</v>
      </c>
      <c r="T158" s="198">
        <f>$E158*餐厅成本录入!T158</f>
        <v>0</v>
      </c>
      <c r="U158" s="198">
        <f>$E158*餐厅成本录入!U158</f>
        <v>0</v>
      </c>
      <c r="V158" s="198">
        <f>$E158*餐厅成本录入!V158</f>
        <v>0</v>
      </c>
      <c r="W158" s="198">
        <f>$E158*餐厅成本录入!W158</f>
        <v>0</v>
      </c>
      <c r="X158" s="198">
        <f>$E158*餐厅成本录入!X158</f>
        <v>0</v>
      </c>
      <c r="Y158" s="198">
        <f>$E158*餐厅成本录入!Y158</f>
        <v>0</v>
      </c>
      <c r="Z158" s="198">
        <f>$E158*餐厅成本录入!Z158</f>
        <v>0</v>
      </c>
      <c r="AA158" s="198">
        <f>$E158*餐厅成本录入!AA158</f>
        <v>0</v>
      </c>
      <c r="AB158" s="198">
        <f>$E158*餐厅成本录入!AB158</f>
        <v>0</v>
      </c>
      <c r="AC158" s="198">
        <f>$E158*餐厅成本录入!AC158</f>
        <v>0</v>
      </c>
      <c r="AD158" s="198">
        <f>$E158*餐厅成本录入!AD158</f>
        <v>0</v>
      </c>
      <c r="AE158" s="198">
        <f>$E158*餐厅成本录入!AE158</f>
        <v>0</v>
      </c>
      <c r="AF158" s="198">
        <f>$E158*餐厅成本录入!AF158</f>
        <v>0</v>
      </c>
      <c r="AG158" s="198">
        <f>$E158*餐厅成本录入!AG158</f>
        <v>0</v>
      </c>
      <c r="AH158" s="198">
        <f>$E158*餐厅成本录入!AH158</f>
        <v>0</v>
      </c>
      <c r="AI158" s="198">
        <f>$E158*餐厅成本录入!AI158</f>
        <v>0</v>
      </c>
      <c r="AJ158" s="198">
        <f>$E158*餐厅成本录入!AJ158</f>
        <v>0</v>
      </c>
      <c r="AK158" s="198">
        <f>$E158*餐厅成本录入!AK158</f>
        <v>0</v>
      </c>
      <c r="AL158" s="198">
        <f>$E158*餐厅成本录入!AL158</f>
        <v>0</v>
      </c>
      <c r="AM158" s="198">
        <f>$E158*餐厅成本录入!AM158</f>
        <v>0</v>
      </c>
      <c r="AN158" s="198">
        <f>$E158*餐厅成本录入!AN158</f>
        <v>0</v>
      </c>
      <c r="AO158" s="198">
        <f>$E158*餐厅成本录入!AO158</f>
        <v>0</v>
      </c>
      <c r="AP158" s="198">
        <f>$E158*餐厅成本录入!AP158</f>
        <v>0</v>
      </c>
      <c r="AQ158" s="198">
        <f>$E158*餐厅成本录入!AQ158</f>
        <v>0</v>
      </c>
      <c r="AR158" s="198">
        <f>$E158*餐厅成本录入!AR158</f>
        <v>170</v>
      </c>
      <c r="AS158" s="198">
        <f>$E158*餐厅成本录入!AS158</f>
        <v>170</v>
      </c>
      <c r="AT158" s="198">
        <f>$E158*餐厅成本录入!AT158</f>
        <v>0</v>
      </c>
      <c r="AU158" s="198">
        <f>$E158*餐厅成本录入!AU158</f>
        <v>0</v>
      </c>
      <c r="AV158" s="198">
        <f>$E158*餐厅成本录入!AV158</f>
        <v>0</v>
      </c>
      <c r="AW158" s="198">
        <f>$E158*餐厅成本录入!AW158</f>
        <v>0</v>
      </c>
      <c r="AX158" s="198">
        <f>$E158*餐厅成本录入!AX158</f>
        <v>0</v>
      </c>
      <c r="AY158" s="198">
        <f>$E158*餐厅成本录入!AY158</f>
        <v>0</v>
      </c>
      <c r="AZ158" s="198">
        <f>$E158*餐厅成本录入!AZ158</f>
        <v>0</v>
      </c>
      <c r="BA158" s="198">
        <f>$E158*餐厅成本录入!BA158</f>
        <v>0</v>
      </c>
      <c r="BB158" s="198">
        <f>$E158*餐厅成本录入!BB158</f>
        <v>0</v>
      </c>
      <c r="BC158" s="198">
        <f>$E158*餐厅成本录入!BC158</f>
        <v>0</v>
      </c>
      <c r="BD158" s="198">
        <f>$E158*餐厅成本录入!BD158</f>
        <v>0</v>
      </c>
      <c r="BE158" s="198">
        <f>$E158*餐厅成本录入!BE158</f>
        <v>0</v>
      </c>
      <c r="BF158" s="198">
        <f>$E158*餐厅成本录入!BF158</f>
        <v>0</v>
      </c>
      <c r="BG158" s="198">
        <f>$E158*餐厅成本录入!BG158</f>
        <v>0</v>
      </c>
      <c r="BH158" s="198">
        <f>$E158*餐厅成本录入!BH158</f>
        <v>85</v>
      </c>
      <c r="BI158" s="198">
        <f>$E158*餐厅成本录入!BI158</f>
        <v>85</v>
      </c>
      <c r="BJ158" s="198">
        <f>$E158*餐厅成本录入!BJ158</f>
        <v>0</v>
      </c>
      <c r="BK158" s="198">
        <f>$E158*餐厅成本录入!BK158</f>
        <v>0</v>
      </c>
      <c r="BL158" s="198">
        <f>$E158*餐厅成本录入!BL158</f>
        <v>0</v>
      </c>
      <c r="BM158" s="198">
        <f>$E158*餐厅成本录入!BM158</f>
        <v>0</v>
      </c>
      <c r="BN158" s="198">
        <f>$E158*餐厅成本录入!BN158</f>
        <v>0</v>
      </c>
      <c r="BO158" s="198">
        <f>$E158*餐厅成本录入!BO158</f>
        <v>0</v>
      </c>
      <c r="BP158" s="198">
        <f>$E158*餐厅成本录入!BP158</f>
        <v>85</v>
      </c>
      <c r="BQ158" s="198">
        <f>$E158*餐厅成本录入!BQ158</f>
        <v>85</v>
      </c>
      <c r="BR158" s="198">
        <f>$E158*餐厅成本录入!BR158</f>
        <v>0</v>
      </c>
      <c r="BS158" s="198">
        <f>$E158*餐厅成本录入!BS158</f>
        <v>0</v>
      </c>
      <c r="BT158" s="198">
        <f>$E158*餐厅成本录入!BT158</f>
        <v>0</v>
      </c>
      <c r="BU158" s="198">
        <f>$E158*餐厅成本录入!BU158</f>
        <v>0</v>
      </c>
      <c r="BV158" s="198">
        <f>$E158*餐厅成本录入!BV158</f>
        <v>0</v>
      </c>
      <c r="BW158" s="198">
        <f>$E158*餐厅成本录入!BW158</f>
        <v>0</v>
      </c>
    </row>
    <row r="159" s="178" customFormat="1" customHeight="1" spans="1:75">
      <c r="A159" s="161">
        <v>191</v>
      </c>
      <c r="B159" s="21" t="str">
        <f>餐厅成本录入!B159</f>
        <v>胡椒粉</v>
      </c>
      <c r="C159" s="21">
        <f>餐厅成本录入!C159</f>
        <v>0</v>
      </c>
      <c r="D159" s="21">
        <f>餐厅成本录入!D159</f>
        <v>0</v>
      </c>
      <c r="E159" s="21">
        <f>餐厅成本录入!E159</f>
        <v>15</v>
      </c>
      <c r="F159" s="21">
        <f>餐厅成本录入!F159</f>
        <v>0</v>
      </c>
      <c r="G159" s="21">
        <f>餐厅成本录入!G159</f>
        <v>0</v>
      </c>
      <c r="H159" s="21">
        <f>餐厅成本录入!H159</f>
        <v>4</v>
      </c>
      <c r="I159" s="21">
        <f>餐厅成本录入!I159</f>
        <v>60</v>
      </c>
      <c r="J159" s="21">
        <f>餐厅成本录入!J159</f>
        <v>4</v>
      </c>
      <c r="K159" s="21">
        <f>餐厅成本录入!K159</f>
        <v>60</v>
      </c>
      <c r="L159" s="21">
        <f>餐厅成本录入!L159</f>
        <v>0</v>
      </c>
      <c r="M159" s="21">
        <f>餐厅成本录入!M159</f>
        <v>0</v>
      </c>
      <c r="N159" s="198">
        <f>$E159*餐厅成本录入!N159</f>
        <v>0</v>
      </c>
      <c r="O159" s="198">
        <f>$E159*餐厅成本录入!O159</f>
        <v>0</v>
      </c>
      <c r="P159" s="198">
        <f>$E159*餐厅成本录入!P159</f>
        <v>0</v>
      </c>
      <c r="Q159" s="198">
        <f>$E159*餐厅成本录入!Q159</f>
        <v>0</v>
      </c>
      <c r="R159" s="198">
        <f>$E159*餐厅成本录入!R159</f>
        <v>0</v>
      </c>
      <c r="S159" s="198">
        <f>$E159*餐厅成本录入!S159</f>
        <v>0</v>
      </c>
      <c r="T159" s="198">
        <f>$E159*餐厅成本录入!T159</f>
        <v>0</v>
      </c>
      <c r="U159" s="198">
        <f>$E159*餐厅成本录入!U159</f>
        <v>0</v>
      </c>
      <c r="V159" s="198">
        <f>$E159*餐厅成本录入!V159</f>
        <v>0</v>
      </c>
      <c r="W159" s="198">
        <f>$E159*餐厅成本录入!W159</f>
        <v>0</v>
      </c>
      <c r="X159" s="198">
        <f>$E159*餐厅成本录入!X159</f>
        <v>0</v>
      </c>
      <c r="Y159" s="198">
        <f>$E159*餐厅成本录入!Y159</f>
        <v>0</v>
      </c>
      <c r="Z159" s="198">
        <f>$E159*餐厅成本录入!Z159</f>
        <v>0</v>
      </c>
      <c r="AA159" s="198">
        <f>$E159*餐厅成本录入!AA159</f>
        <v>0</v>
      </c>
      <c r="AB159" s="198">
        <f>$E159*餐厅成本录入!AB159</f>
        <v>0</v>
      </c>
      <c r="AC159" s="198">
        <f>$E159*餐厅成本录入!AC159</f>
        <v>0</v>
      </c>
      <c r="AD159" s="198">
        <f>$E159*餐厅成本录入!AD159</f>
        <v>0</v>
      </c>
      <c r="AE159" s="198">
        <f>$E159*餐厅成本录入!AE159</f>
        <v>0</v>
      </c>
      <c r="AF159" s="198">
        <f>$E159*餐厅成本录入!AF159</f>
        <v>0</v>
      </c>
      <c r="AG159" s="198">
        <f>$E159*餐厅成本录入!AG159</f>
        <v>0</v>
      </c>
      <c r="AH159" s="198">
        <f>$E159*餐厅成本录入!AH159</f>
        <v>30</v>
      </c>
      <c r="AI159" s="198">
        <f>$E159*餐厅成本录入!AI159</f>
        <v>30</v>
      </c>
      <c r="AJ159" s="198">
        <f>$E159*餐厅成本录入!AJ159</f>
        <v>0</v>
      </c>
      <c r="AK159" s="198">
        <f>$E159*餐厅成本录入!AK159</f>
        <v>0</v>
      </c>
      <c r="AL159" s="198">
        <f>$E159*餐厅成本录入!AL159</f>
        <v>0</v>
      </c>
      <c r="AM159" s="198">
        <f>$E159*餐厅成本录入!AM159</f>
        <v>0</v>
      </c>
      <c r="AN159" s="198">
        <f>$E159*餐厅成本录入!AN159</f>
        <v>0</v>
      </c>
      <c r="AO159" s="198">
        <f>$E159*餐厅成本录入!AO159</f>
        <v>0</v>
      </c>
      <c r="AP159" s="198">
        <f>$E159*餐厅成本录入!AP159</f>
        <v>30</v>
      </c>
      <c r="AQ159" s="198">
        <f>$E159*餐厅成本录入!AQ159</f>
        <v>30</v>
      </c>
      <c r="AR159" s="198">
        <f>$E159*餐厅成本录入!AR159</f>
        <v>0</v>
      </c>
      <c r="AS159" s="198">
        <f>$E159*餐厅成本录入!AS159</f>
        <v>0</v>
      </c>
      <c r="AT159" s="198">
        <f>$E159*餐厅成本录入!AT159</f>
        <v>0</v>
      </c>
      <c r="AU159" s="198">
        <f>$E159*餐厅成本录入!AU159</f>
        <v>0</v>
      </c>
      <c r="AV159" s="198">
        <f>$E159*餐厅成本录入!AV159</f>
        <v>0</v>
      </c>
      <c r="AW159" s="198">
        <f>$E159*餐厅成本录入!AW159</f>
        <v>0</v>
      </c>
      <c r="AX159" s="198">
        <f>$E159*餐厅成本录入!AX159</f>
        <v>0</v>
      </c>
      <c r="AY159" s="198">
        <f>$E159*餐厅成本录入!AY159</f>
        <v>0</v>
      </c>
      <c r="AZ159" s="198">
        <f>$E159*餐厅成本录入!AZ159</f>
        <v>0</v>
      </c>
      <c r="BA159" s="198">
        <f>$E159*餐厅成本录入!BA159</f>
        <v>0</v>
      </c>
      <c r="BB159" s="198">
        <f>$E159*餐厅成本录入!BB159</f>
        <v>0</v>
      </c>
      <c r="BC159" s="198">
        <f>$E159*餐厅成本录入!BC159</f>
        <v>0</v>
      </c>
      <c r="BD159" s="198">
        <f>$E159*餐厅成本录入!BD159</f>
        <v>0</v>
      </c>
      <c r="BE159" s="198">
        <f>$E159*餐厅成本录入!BE159</f>
        <v>0</v>
      </c>
      <c r="BF159" s="198">
        <f>$E159*餐厅成本录入!BF159</f>
        <v>0</v>
      </c>
      <c r="BG159" s="198">
        <f>$E159*餐厅成本录入!BG159</f>
        <v>0</v>
      </c>
      <c r="BH159" s="198">
        <f>$E159*餐厅成本录入!BH159</f>
        <v>0</v>
      </c>
      <c r="BI159" s="198">
        <f>$E159*餐厅成本录入!BI159</f>
        <v>0</v>
      </c>
      <c r="BJ159" s="198">
        <f>$E159*餐厅成本录入!BJ159</f>
        <v>0</v>
      </c>
      <c r="BK159" s="198">
        <f>$E159*餐厅成本录入!BK159</f>
        <v>0</v>
      </c>
      <c r="BL159" s="198">
        <f>$E159*餐厅成本录入!BL159</f>
        <v>0</v>
      </c>
      <c r="BM159" s="198">
        <f>$E159*餐厅成本录入!BM159</f>
        <v>0</v>
      </c>
      <c r="BN159" s="198">
        <f>$E159*餐厅成本录入!BN159</f>
        <v>0</v>
      </c>
      <c r="BO159" s="198">
        <f>$E159*餐厅成本录入!BO159</f>
        <v>0</v>
      </c>
      <c r="BP159" s="198">
        <f>$E159*餐厅成本录入!BP159</f>
        <v>0</v>
      </c>
      <c r="BQ159" s="198">
        <f>$E159*餐厅成本录入!BQ159</f>
        <v>0</v>
      </c>
      <c r="BR159" s="198">
        <f>$E159*餐厅成本录入!BR159</f>
        <v>0</v>
      </c>
      <c r="BS159" s="198">
        <f>$E159*餐厅成本录入!BS159</f>
        <v>0</v>
      </c>
      <c r="BT159" s="198">
        <f>$E159*餐厅成本录入!BT159</f>
        <v>0</v>
      </c>
      <c r="BU159" s="198">
        <f>$E159*餐厅成本录入!BU159</f>
        <v>0</v>
      </c>
      <c r="BV159" s="198">
        <f>$E159*餐厅成本录入!BV159</f>
        <v>0</v>
      </c>
      <c r="BW159" s="198">
        <f>$E159*餐厅成本录入!BW159</f>
        <v>0</v>
      </c>
    </row>
    <row r="160" s="178" customFormat="1" customHeight="1" spans="1:75">
      <c r="A160" s="161">
        <v>192</v>
      </c>
      <c r="B160" s="21" t="str">
        <f>餐厅成本录入!B160</f>
        <v>沙拉汁</v>
      </c>
      <c r="C160" s="21">
        <f>餐厅成本录入!C160</f>
        <v>0</v>
      </c>
      <c r="D160" s="21" t="str">
        <f>餐厅成本录入!D160</f>
        <v>瓶</v>
      </c>
      <c r="E160" s="21">
        <f>餐厅成本录入!E160</f>
        <v>10</v>
      </c>
      <c r="F160" s="21">
        <f>餐厅成本录入!F160</f>
        <v>0</v>
      </c>
      <c r="G160" s="21">
        <f>餐厅成本录入!G160</f>
        <v>0</v>
      </c>
      <c r="H160" s="21">
        <f>餐厅成本录入!H160</f>
        <v>6</v>
      </c>
      <c r="I160" s="21">
        <f>餐厅成本录入!I160</f>
        <v>60</v>
      </c>
      <c r="J160" s="21">
        <f>餐厅成本录入!J160</f>
        <v>6</v>
      </c>
      <c r="K160" s="21">
        <f>餐厅成本录入!K160</f>
        <v>60</v>
      </c>
      <c r="L160" s="21">
        <f>餐厅成本录入!L160</f>
        <v>0</v>
      </c>
      <c r="M160" s="21">
        <f>餐厅成本录入!M160</f>
        <v>0</v>
      </c>
      <c r="N160" s="198">
        <f>$E160*餐厅成本录入!N160</f>
        <v>0</v>
      </c>
      <c r="O160" s="198">
        <f>$E160*餐厅成本录入!O160</f>
        <v>0</v>
      </c>
      <c r="P160" s="198">
        <f>$E160*餐厅成本录入!P160</f>
        <v>0</v>
      </c>
      <c r="Q160" s="198">
        <f>$E160*餐厅成本录入!Q160</f>
        <v>0</v>
      </c>
      <c r="R160" s="198">
        <f>$E160*餐厅成本录入!R160</f>
        <v>0</v>
      </c>
      <c r="S160" s="198">
        <f>$E160*餐厅成本录入!S160</f>
        <v>0</v>
      </c>
      <c r="T160" s="198">
        <f>$E160*餐厅成本录入!T160</f>
        <v>0</v>
      </c>
      <c r="U160" s="198">
        <f>$E160*餐厅成本录入!U160</f>
        <v>0</v>
      </c>
      <c r="V160" s="198">
        <f>$E160*餐厅成本录入!V160</f>
        <v>0</v>
      </c>
      <c r="W160" s="198">
        <f>$E160*餐厅成本录入!W160</f>
        <v>0</v>
      </c>
      <c r="X160" s="198">
        <f>$E160*餐厅成本录入!X160</f>
        <v>0</v>
      </c>
      <c r="Y160" s="198">
        <f>$E160*餐厅成本录入!Y160</f>
        <v>0</v>
      </c>
      <c r="Z160" s="198">
        <f>$E160*餐厅成本录入!Z160</f>
        <v>0</v>
      </c>
      <c r="AA160" s="198">
        <f>$E160*餐厅成本录入!AA160</f>
        <v>0</v>
      </c>
      <c r="AB160" s="198">
        <f>$E160*餐厅成本录入!AB160</f>
        <v>0</v>
      </c>
      <c r="AC160" s="198">
        <f>$E160*餐厅成本录入!AC160</f>
        <v>0</v>
      </c>
      <c r="AD160" s="198">
        <f>$E160*餐厅成本录入!AD160</f>
        <v>0</v>
      </c>
      <c r="AE160" s="198">
        <f>$E160*餐厅成本录入!AE160</f>
        <v>0</v>
      </c>
      <c r="AF160" s="198">
        <f>$E160*餐厅成本录入!AF160</f>
        <v>0</v>
      </c>
      <c r="AG160" s="198">
        <f>$E160*餐厅成本录入!AG160</f>
        <v>0</v>
      </c>
      <c r="AH160" s="198">
        <f>$E160*餐厅成本录入!AH160</f>
        <v>0</v>
      </c>
      <c r="AI160" s="198">
        <f>$E160*餐厅成本录入!AI160</f>
        <v>0</v>
      </c>
      <c r="AJ160" s="198">
        <f>$E160*餐厅成本录入!AJ160</f>
        <v>0</v>
      </c>
      <c r="AK160" s="198">
        <f>$E160*餐厅成本录入!AK160</f>
        <v>0</v>
      </c>
      <c r="AL160" s="198">
        <f>$E160*餐厅成本录入!AL160</f>
        <v>0</v>
      </c>
      <c r="AM160" s="198">
        <f>$E160*餐厅成本录入!AM160</f>
        <v>0</v>
      </c>
      <c r="AN160" s="198">
        <f>$E160*餐厅成本录入!AN160</f>
        <v>0</v>
      </c>
      <c r="AO160" s="198">
        <f>$E160*餐厅成本录入!AO160</f>
        <v>0</v>
      </c>
      <c r="AP160" s="198">
        <f>$E160*餐厅成本录入!AP160</f>
        <v>0</v>
      </c>
      <c r="AQ160" s="198">
        <f>$E160*餐厅成本录入!AQ160</f>
        <v>0</v>
      </c>
      <c r="AR160" s="198">
        <f>$E160*餐厅成本录入!AR160</f>
        <v>0</v>
      </c>
      <c r="AS160" s="198">
        <f>$E160*餐厅成本录入!AS160</f>
        <v>0</v>
      </c>
      <c r="AT160" s="198">
        <f>$E160*餐厅成本录入!AT160</f>
        <v>0</v>
      </c>
      <c r="AU160" s="198">
        <f>$E160*餐厅成本录入!AU160</f>
        <v>0</v>
      </c>
      <c r="AV160" s="198">
        <f>$E160*餐厅成本录入!AV160</f>
        <v>0</v>
      </c>
      <c r="AW160" s="198">
        <f>$E160*餐厅成本录入!AW160</f>
        <v>0</v>
      </c>
      <c r="AX160" s="198">
        <f>$E160*餐厅成本录入!AX160</f>
        <v>0</v>
      </c>
      <c r="AY160" s="198">
        <f>$E160*餐厅成本录入!AY160</f>
        <v>0</v>
      </c>
      <c r="AZ160" s="198">
        <f>$E160*餐厅成本录入!AZ160</f>
        <v>0</v>
      </c>
      <c r="BA160" s="198">
        <f>$E160*餐厅成本录入!BA160</f>
        <v>0</v>
      </c>
      <c r="BB160" s="198">
        <f>$E160*餐厅成本录入!BB160</f>
        <v>0</v>
      </c>
      <c r="BC160" s="198">
        <f>$E160*餐厅成本录入!BC160</f>
        <v>0</v>
      </c>
      <c r="BD160" s="198">
        <f>$E160*餐厅成本录入!BD160</f>
        <v>0</v>
      </c>
      <c r="BE160" s="198">
        <f>$E160*餐厅成本录入!BE160</f>
        <v>0</v>
      </c>
      <c r="BF160" s="198">
        <f>$E160*餐厅成本录入!BF160</f>
        <v>0</v>
      </c>
      <c r="BG160" s="198">
        <f>$E160*餐厅成本录入!BG160</f>
        <v>0</v>
      </c>
      <c r="BH160" s="198">
        <f>$E160*餐厅成本录入!BH160</f>
        <v>60</v>
      </c>
      <c r="BI160" s="198">
        <f>$E160*餐厅成本录入!BI160</f>
        <v>60</v>
      </c>
      <c r="BJ160" s="198">
        <f>$E160*餐厅成本录入!BJ160</f>
        <v>0</v>
      </c>
      <c r="BK160" s="198">
        <f>$E160*餐厅成本录入!BK160</f>
        <v>0</v>
      </c>
      <c r="BL160" s="198">
        <f>$E160*餐厅成本录入!BL160</f>
        <v>0</v>
      </c>
      <c r="BM160" s="198">
        <f>$E160*餐厅成本录入!BM160</f>
        <v>0</v>
      </c>
      <c r="BN160" s="198">
        <f>$E160*餐厅成本录入!BN160</f>
        <v>0</v>
      </c>
      <c r="BO160" s="198">
        <f>$E160*餐厅成本录入!BO160</f>
        <v>0</v>
      </c>
      <c r="BP160" s="198">
        <f>$E160*餐厅成本录入!BP160</f>
        <v>0</v>
      </c>
      <c r="BQ160" s="198">
        <f>$E160*餐厅成本录入!BQ160</f>
        <v>0</v>
      </c>
      <c r="BR160" s="198">
        <f>$E160*餐厅成本录入!BR160</f>
        <v>0</v>
      </c>
      <c r="BS160" s="198">
        <f>$E160*餐厅成本录入!BS160</f>
        <v>0</v>
      </c>
      <c r="BT160" s="198">
        <f>$E160*餐厅成本录入!BT160</f>
        <v>0</v>
      </c>
      <c r="BU160" s="198">
        <f>$E160*餐厅成本录入!BU160</f>
        <v>0</v>
      </c>
      <c r="BV160" s="198">
        <f>$E160*餐厅成本录入!BV160</f>
        <v>0</v>
      </c>
      <c r="BW160" s="198">
        <f>$E160*餐厅成本录入!BW160</f>
        <v>0</v>
      </c>
    </row>
    <row r="161" s="178" customFormat="1" customHeight="1" spans="1:75">
      <c r="A161" s="161">
        <v>193</v>
      </c>
      <c r="B161" s="21" t="str">
        <f>餐厅成本录入!B161</f>
        <v>木耳</v>
      </c>
      <c r="C161" s="21">
        <f>餐厅成本录入!C161</f>
        <v>0</v>
      </c>
      <c r="D161" s="21" t="str">
        <f>餐厅成本录入!D161</f>
        <v>斤</v>
      </c>
      <c r="E161" s="21">
        <f>餐厅成本录入!E161</f>
        <v>40</v>
      </c>
      <c r="F161" s="21">
        <f>餐厅成本录入!F161</f>
        <v>0</v>
      </c>
      <c r="G161" s="21">
        <f>餐厅成本录入!G161</f>
        <v>0</v>
      </c>
      <c r="H161" s="21">
        <f>餐厅成本录入!H161</f>
        <v>4</v>
      </c>
      <c r="I161" s="21">
        <f>餐厅成本录入!I161</f>
        <v>160</v>
      </c>
      <c r="J161" s="21">
        <f>餐厅成本录入!J161</f>
        <v>4</v>
      </c>
      <c r="K161" s="21">
        <f>餐厅成本录入!K161</f>
        <v>160</v>
      </c>
      <c r="L161" s="21">
        <f>餐厅成本录入!L161</f>
        <v>0</v>
      </c>
      <c r="M161" s="21">
        <f>餐厅成本录入!M161</f>
        <v>0</v>
      </c>
      <c r="N161" s="198">
        <f>$E161*餐厅成本录入!N161</f>
        <v>0</v>
      </c>
      <c r="O161" s="198">
        <f>$E161*餐厅成本录入!O161</f>
        <v>0</v>
      </c>
      <c r="P161" s="198">
        <f>$E161*餐厅成本录入!P161</f>
        <v>0</v>
      </c>
      <c r="Q161" s="198">
        <f>$E161*餐厅成本录入!Q161</f>
        <v>0</v>
      </c>
      <c r="R161" s="198">
        <f>$E161*餐厅成本录入!R161</f>
        <v>0</v>
      </c>
      <c r="S161" s="198">
        <f>$E161*餐厅成本录入!S161</f>
        <v>0</v>
      </c>
      <c r="T161" s="198">
        <f>$E161*餐厅成本录入!T161</f>
        <v>0</v>
      </c>
      <c r="U161" s="198">
        <f>$E161*餐厅成本录入!U161</f>
        <v>0</v>
      </c>
      <c r="V161" s="198">
        <f>$E161*餐厅成本录入!V161</f>
        <v>0</v>
      </c>
      <c r="W161" s="198">
        <f>$E161*餐厅成本录入!W161</f>
        <v>0</v>
      </c>
      <c r="X161" s="198">
        <f>$E161*餐厅成本录入!X161</f>
        <v>0</v>
      </c>
      <c r="Y161" s="198">
        <f>$E161*餐厅成本录入!Y161</f>
        <v>0</v>
      </c>
      <c r="Z161" s="198">
        <f>$E161*餐厅成本录入!Z161</f>
        <v>0</v>
      </c>
      <c r="AA161" s="198">
        <f>$E161*餐厅成本录入!AA161</f>
        <v>0</v>
      </c>
      <c r="AB161" s="198">
        <f>$E161*餐厅成本录入!AB161</f>
        <v>0</v>
      </c>
      <c r="AC161" s="198">
        <f>$E161*餐厅成本录入!AC161</f>
        <v>0</v>
      </c>
      <c r="AD161" s="198">
        <f>$E161*餐厅成本录入!AD161</f>
        <v>0</v>
      </c>
      <c r="AE161" s="198">
        <f>$E161*餐厅成本录入!AE161</f>
        <v>0</v>
      </c>
      <c r="AF161" s="198">
        <f>$E161*餐厅成本录入!AF161</f>
        <v>0</v>
      </c>
      <c r="AG161" s="198">
        <f>$E161*餐厅成本录入!AG161</f>
        <v>0</v>
      </c>
      <c r="AH161" s="198">
        <f>$E161*餐厅成本录入!AH161</f>
        <v>0</v>
      </c>
      <c r="AI161" s="198">
        <f>$E161*餐厅成本录入!AI161</f>
        <v>0</v>
      </c>
      <c r="AJ161" s="198">
        <f>$E161*餐厅成本录入!AJ161</f>
        <v>0</v>
      </c>
      <c r="AK161" s="198">
        <f>$E161*餐厅成本录入!AK161</f>
        <v>0</v>
      </c>
      <c r="AL161" s="198">
        <f>$E161*餐厅成本录入!AL161</f>
        <v>0</v>
      </c>
      <c r="AM161" s="198">
        <f>$E161*餐厅成本录入!AM161</f>
        <v>0</v>
      </c>
      <c r="AN161" s="198">
        <f>$E161*餐厅成本录入!AN161</f>
        <v>0</v>
      </c>
      <c r="AO161" s="198">
        <f>$E161*餐厅成本录入!AO161</f>
        <v>0</v>
      </c>
      <c r="AP161" s="198">
        <f>$E161*餐厅成本录入!AP161</f>
        <v>0</v>
      </c>
      <c r="AQ161" s="198">
        <f>$E161*餐厅成本录入!AQ161</f>
        <v>0</v>
      </c>
      <c r="AR161" s="198">
        <f>$E161*餐厅成本录入!AR161</f>
        <v>80</v>
      </c>
      <c r="AS161" s="198">
        <f>$E161*餐厅成本录入!AS161</f>
        <v>80</v>
      </c>
      <c r="AT161" s="198">
        <f>$E161*餐厅成本录入!AT161</f>
        <v>0</v>
      </c>
      <c r="AU161" s="198">
        <f>$E161*餐厅成本录入!AU161</f>
        <v>0</v>
      </c>
      <c r="AV161" s="198">
        <f>$E161*餐厅成本录入!AV161</f>
        <v>0</v>
      </c>
      <c r="AW161" s="198">
        <f>$E161*餐厅成本录入!AW161</f>
        <v>0</v>
      </c>
      <c r="AX161" s="198">
        <f>$E161*餐厅成本录入!AX161</f>
        <v>0</v>
      </c>
      <c r="AY161" s="198">
        <f>$E161*餐厅成本录入!AY161</f>
        <v>0</v>
      </c>
      <c r="AZ161" s="198">
        <f>$E161*餐厅成本录入!AZ161</f>
        <v>0</v>
      </c>
      <c r="BA161" s="198">
        <f>$E161*餐厅成本录入!BA161</f>
        <v>0</v>
      </c>
      <c r="BB161" s="198">
        <f>$E161*餐厅成本录入!BB161</f>
        <v>0</v>
      </c>
      <c r="BC161" s="198">
        <f>$E161*餐厅成本录入!BC161</f>
        <v>0</v>
      </c>
      <c r="BD161" s="198">
        <f>$E161*餐厅成本录入!BD161</f>
        <v>0</v>
      </c>
      <c r="BE161" s="198">
        <f>$E161*餐厅成本录入!BE161</f>
        <v>0</v>
      </c>
      <c r="BF161" s="198">
        <f>$E161*餐厅成本录入!BF161</f>
        <v>0</v>
      </c>
      <c r="BG161" s="198">
        <f>$E161*餐厅成本录入!BG161</f>
        <v>0</v>
      </c>
      <c r="BH161" s="198">
        <f>$E161*餐厅成本录入!BH161</f>
        <v>80</v>
      </c>
      <c r="BI161" s="198">
        <f>$E161*餐厅成本录入!BI161</f>
        <v>80</v>
      </c>
      <c r="BJ161" s="198">
        <f>$E161*餐厅成本录入!BJ161</f>
        <v>0</v>
      </c>
      <c r="BK161" s="198">
        <f>$E161*餐厅成本录入!BK161</f>
        <v>0</v>
      </c>
      <c r="BL161" s="198">
        <f>$E161*餐厅成本录入!BL161</f>
        <v>0</v>
      </c>
      <c r="BM161" s="198">
        <f>$E161*餐厅成本录入!BM161</f>
        <v>0</v>
      </c>
      <c r="BN161" s="198">
        <f>$E161*餐厅成本录入!BN161</f>
        <v>0</v>
      </c>
      <c r="BO161" s="198">
        <f>$E161*餐厅成本录入!BO161</f>
        <v>0</v>
      </c>
      <c r="BP161" s="198">
        <f>$E161*餐厅成本录入!BP161</f>
        <v>0</v>
      </c>
      <c r="BQ161" s="198">
        <f>$E161*餐厅成本录入!BQ161</f>
        <v>0</v>
      </c>
      <c r="BR161" s="198">
        <f>$E161*餐厅成本录入!BR161</f>
        <v>0</v>
      </c>
      <c r="BS161" s="198">
        <f>$E161*餐厅成本录入!BS161</f>
        <v>0</v>
      </c>
      <c r="BT161" s="198">
        <f>$E161*餐厅成本录入!BT161</f>
        <v>0</v>
      </c>
      <c r="BU161" s="198">
        <f>$E161*餐厅成本录入!BU161</f>
        <v>0</v>
      </c>
      <c r="BV161" s="198">
        <f>$E161*餐厅成本录入!BV161</f>
        <v>0</v>
      </c>
      <c r="BW161" s="198">
        <f>$E161*餐厅成本录入!BW161</f>
        <v>0</v>
      </c>
    </row>
    <row r="162" s="178" customFormat="1" customHeight="1" spans="1:75">
      <c r="A162" s="161">
        <v>194</v>
      </c>
      <c r="B162" s="21" t="str">
        <f>餐厅成本录入!B162</f>
        <v>芽菜</v>
      </c>
      <c r="C162" s="21">
        <f>餐厅成本录入!C162</f>
        <v>0</v>
      </c>
      <c r="D162" s="21" t="str">
        <f>餐厅成本录入!D162</f>
        <v>包</v>
      </c>
      <c r="E162" s="21">
        <f>餐厅成本录入!E162</f>
        <v>8</v>
      </c>
      <c r="F162" s="21">
        <f>餐厅成本录入!F162</f>
        <v>0</v>
      </c>
      <c r="G162" s="21">
        <f>餐厅成本录入!G162</f>
        <v>0</v>
      </c>
      <c r="H162" s="21">
        <f>餐厅成本录入!H162</f>
        <v>2</v>
      </c>
      <c r="I162" s="21">
        <f>餐厅成本录入!I162</f>
        <v>16</v>
      </c>
      <c r="J162" s="21">
        <f>餐厅成本录入!J162</f>
        <v>2</v>
      </c>
      <c r="K162" s="21">
        <f>餐厅成本录入!K162</f>
        <v>16</v>
      </c>
      <c r="L162" s="21">
        <f>餐厅成本录入!L162</f>
        <v>0</v>
      </c>
      <c r="M162" s="21">
        <f>餐厅成本录入!M162</f>
        <v>0</v>
      </c>
      <c r="N162" s="198">
        <f>$E162*餐厅成本录入!N165</f>
        <v>0</v>
      </c>
      <c r="O162" s="198">
        <f>$E162*餐厅成本录入!O165</f>
        <v>0</v>
      </c>
      <c r="P162" s="198">
        <f>$E162*餐厅成本录入!P165</f>
        <v>0</v>
      </c>
      <c r="Q162" s="198">
        <f>$E162*餐厅成本录入!Q165</f>
        <v>0</v>
      </c>
      <c r="R162" s="198">
        <f>$E162*餐厅成本录入!R165</f>
        <v>0</v>
      </c>
      <c r="S162" s="198">
        <f>$E162*餐厅成本录入!S165</f>
        <v>0</v>
      </c>
      <c r="T162" s="198">
        <f>$E162*餐厅成本录入!T165</f>
        <v>0</v>
      </c>
      <c r="U162" s="198">
        <f>$E162*餐厅成本录入!U165</f>
        <v>0</v>
      </c>
      <c r="V162" s="198">
        <f>$E162*餐厅成本录入!V165</f>
        <v>8</v>
      </c>
      <c r="W162" s="198">
        <f>$E162*餐厅成本录入!W165</f>
        <v>8</v>
      </c>
      <c r="X162" s="198">
        <f>$E162*餐厅成本录入!X165</f>
        <v>0</v>
      </c>
      <c r="Y162" s="198">
        <f>$E162*餐厅成本录入!Y165</f>
        <v>0</v>
      </c>
      <c r="Z162" s="198">
        <f>$E162*餐厅成本录入!Z165</f>
        <v>0</v>
      </c>
      <c r="AA162" s="198">
        <f>$E162*餐厅成本录入!AA165</f>
        <v>0</v>
      </c>
      <c r="AB162" s="198">
        <f>$E162*餐厅成本录入!AB165</f>
        <v>0</v>
      </c>
      <c r="AC162" s="198">
        <f>$E162*餐厅成本录入!AC165</f>
        <v>0</v>
      </c>
      <c r="AD162" s="198">
        <f>$E162*餐厅成本录入!AD165</f>
        <v>0</v>
      </c>
      <c r="AE162" s="198">
        <f>$E162*餐厅成本录入!AE165</f>
        <v>0</v>
      </c>
      <c r="AF162" s="198">
        <f>$E162*餐厅成本录入!AF165</f>
        <v>0</v>
      </c>
      <c r="AG162" s="198">
        <f>$E162*餐厅成本录入!AG165</f>
        <v>0</v>
      </c>
      <c r="AH162" s="198">
        <f>$E162*餐厅成本录入!AH165</f>
        <v>0</v>
      </c>
      <c r="AI162" s="198">
        <f>$E162*餐厅成本录入!AI165</f>
        <v>0</v>
      </c>
      <c r="AJ162" s="198">
        <f>$E162*餐厅成本录入!AJ165</f>
        <v>0</v>
      </c>
      <c r="AK162" s="198">
        <f>$E162*餐厅成本录入!AK165</f>
        <v>0</v>
      </c>
      <c r="AL162" s="198">
        <f>$E162*餐厅成本录入!AL165</f>
        <v>0</v>
      </c>
      <c r="AM162" s="198">
        <f>$E162*餐厅成本录入!AM165</f>
        <v>0</v>
      </c>
      <c r="AN162" s="198">
        <f>$E162*餐厅成本录入!AN165</f>
        <v>0</v>
      </c>
      <c r="AO162" s="198">
        <f>$E162*餐厅成本录入!AO165</f>
        <v>0</v>
      </c>
      <c r="AP162" s="198">
        <f>$E162*餐厅成本录入!AP165</f>
        <v>0</v>
      </c>
      <c r="AQ162" s="198">
        <f>$E162*餐厅成本录入!AQ165</f>
        <v>0</v>
      </c>
      <c r="AR162" s="198">
        <f>$E162*餐厅成本录入!AR165</f>
        <v>8</v>
      </c>
      <c r="AS162" s="198">
        <f>$E162*餐厅成本录入!AS165</f>
        <v>8</v>
      </c>
      <c r="AT162" s="198">
        <f>$E162*餐厅成本录入!AT165</f>
        <v>8</v>
      </c>
      <c r="AU162" s="198">
        <f>$E162*餐厅成本录入!AU165</f>
        <v>8</v>
      </c>
      <c r="AV162" s="198">
        <f>$E162*餐厅成本录入!AV165</f>
        <v>0</v>
      </c>
      <c r="AW162" s="198">
        <f>$E162*餐厅成本录入!AW165</f>
        <v>0</v>
      </c>
      <c r="AX162" s="198">
        <f>$E162*餐厅成本录入!AX165</f>
        <v>0</v>
      </c>
      <c r="AY162" s="198">
        <f>$E162*餐厅成本录入!AY165</f>
        <v>0</v>
      </c>
      <c r="AZ162" s="198">
        <f>$E162*餐厅成本录入!AZ165</f>
        <v>0</v>
      </c>
      <c r="BA162" s="198">
        <f>$E162*餐厅成本录入!BA165</f>
        <v>0</v>
      </c>
      <c r="BB162" s="198">
        <f>$E162*餐厅成本录入!BB165</f>
        <v>0</v>
      </c>
      <c r="BC162" s="198">
        <f>$E162*餐厅成本录入!BC165</f>
        <v>0</v>
      </c>
      <c r="BD162" s="198">
        <f>$E162*餐厅成本录入!BD165</f>
        <v>8</v>
      </c>
      <c r="BE162" s="198">
        <f>$E162*餐厅成本录入!BE165</f>
        <v>8</v>
      </c>
      <c r="BF162" s="198">
        <f>$E162*餐厅成本录入!BF165</f>
        <v>0</v>
      </c>
      <c r="BG162" s="198">
        <f>$E162*餐厅成本录入!BG165</f>
        <v>0</v>
      </c>
      <c r="BH162" s="198">
        <f>$E162*餐厅成本录入!BH165</f>
        <v>0</v>
      </c>
      <c r="BI162" s="198">
        <f>$E162*餐厅成本录入!BI165</f>
        <v>0</v>
      </c>
      <c r="BJ162" s="198">
        <f>$E162*餐厅成本录入!BJ165</f>
        <v>0</v>
      </c>
      <c r="BK162" s="198">
        <f>$E162*餐厅成本录入!BK165</f>
        <v>0</v>
      </c>
      <c r="BL162" s="198">
        <f>$E162*餐厅成本录入!BL165</f>
        <v>0</v>
      </c>
      <c r="BM162" s="198">
        <f>$E162*餐厅成本录入!BM165</f>
        <v>0</v>
      </c>
      <c r="BN162" s="198">
        <f>$E162*餐厅成本录入!BN165</f>
        <v>8</v>
      </c>
      <c r="BO162" s="198">
        <f>$E162*餐厅成本录入!BO165</f>
        <v>8</v>
      </c>
      <c r="BP162" s="198">
        <f>$E162*餐厅成本录入!BP165</f>
        <v>0</v>
      </c>
      <c r="BQ162" s="198">
        <f>$E162*餐厅成本录入!BQ165</f>
        <v>0</v>
      </c>
      <c r="BR162" s="198">
        <f>$E162*餐厅成本录入!BR165</f>
        <v>0</v>
      </c>
      <c r="BS162" s="198">
        <f>$E162*餐厅成本录入!BS165</f>
        <v>0</v>
      </c>
      <c r="BT162" s="198">
        <f>$E162*餐厅成本录入!BT165</f>
        <v>0</v>
      </c>
      <c r="BU162" s="198">
        <f>$E162*餐厅成本录入!BU165</f>
        <v>0</v>
      </c>
      <c r="BV162" s="198">
        <f>$E162*餐厅成本录入!BV165</f>
        <v>0</v>
      </c>
      <c r="BW162" s="198">
        <f>$E162*餐厅成本录入!BW165</f>
        <v>0</v>
      </c>
    </row>
    <row r="163" s="178" customFormat="1" customHeight="1" spans="1:75">
      <c r="A163" s="161">
        <v>195</v>
      </c>
      <c r="B163" s="21" t="str">
        <f>餐厅成本录入!B163</f>
        <v>方便面</v>
      </c>
      <c r="C163" s="21">
        <f>餐厅成本录入!C163</f>
        <v>0</v>
      </c>
      <c r="D163" s="21" t="str">
        <f>餐厅成本录入!D163</f>
        <v>件</v>
      </c>
      <c r="E163" s="21">
        <f>餐厅成本录入!E163</f>
        <v>45</v>
      </c>
      <c r="F163" s="21">
        <f>餐厅成本录入!F163</f>
        <v>0</v>
      </c>
      <c r="G163" s="21">
        <f>餐厅成本录入!G163</f>
        <v>0</v>
      </c>
      <c r="H163" s="21">
        <f>餐厅成本录入!H163</f>
        <v>5</v>
      </c>
      <c r="I163" s="21">
        <f>餐厅成本录入!I163</f>
        <v>225</v>
      </c>
      <c r="J163" s="21">
        <f>餐厅成本录入!J163</f>
        <v>5</v>
      </c>
      <c r="K163" s="21">
        <f>餐厅成本录入!K163</f>
        <v>225</v>
      </c>
      <c r="L163" s="21">
        <f>餐厅成本录入!L163</f>
        <v>0</v>
      </c>
      <c r="M163" s="21">
        <f>餐厅成本录入!M163</f>
        <v>0</v>
      </c>
      <c r="N163" s="198">
        <f>$E163*餐厅成本录入!N166</f>
        <v>0</v>
      </c>
      <c r="O163" s="198">
        <f>$E163*餐厅成本录入!O166</f>
        <v>0</v>
      </c>
      <c r="P163" s="198">
        <f>$E163*餐厅成本录入!P166</f>
        <v>0</v>
      </c>
      <c r="Q163" s="198">
        <f>$E163*餐厅成本录入!Q166</f>
        <v>0</v>
      </c>
      <c r="R163" s="198">
        <f>$E163*餐厅成本录入!R166</f>
        <v>0</v>
      </c>
      <c r="S163" s="198">
        <f>$E163*餐厅成本录入!S166</f>
        <v>0</v>
      </c>
      <c r="T163" s="198">
        <f>$E163*餐厅成本录入!T166</f>
        <v>0</v>
      </c>
      <c r="U163" s="198">
        <f>$E163*餐厅成本录入!U166</f>
        <v>0</v>
      </c>
      <c r="V163" s="198">
        <f>$E163*餐厅成本录入!V166</f>
        <v>45</v>
      </c>
      <c r="W163" s="198">
        <f>$E163*餐厅成本录入!W166</f>
        <v>45</v>
      </c>
      <c r="X163" s="198">
        <f>$E163*餐厅成本录入!X166</f>
        <v>0</v>
      </c>
      <c r="Y163" s="198">
        <f>$E163*餐厅成本录入!Y166</f>
        <v>0</v>
      </c>
      <c r="Z163" s="198">
        <f>$E163*餐厅成本录入!Z166</f>
        <v>0</v>
      </c>
      <c r="AA163" s="198">
        <f>$E163*餐厅成本录入!AA166</f>
        <v>0</v>
      </c>
      <c r="AB163" s="198">
        <f>$E163*餐厅成本录入!AB166</f>
        <v>0</v>
      </c>
      <c r="AC163" s="198">
        <f>$E163*餐厅成本录入!AC166</f>
        <v>0</v>
      </c>
      <c r="AD163" s="198">
        <f>$E163*餐厅成本录入!AD166</f>
        <v>0</v>
      </c>
      <c r="AE163" s="198">
        <f>$E163*餐厅成本录入!AE166</f>
        <v>0</v>
      </c>
      <c r="AF163" s="198">
        <f>$E163*餐厅成本录入!AF166</f>
        <v>0</v>
      </c>
      <c r="AG163" s="198">
        <f>$E163*餐厅成本录入!AG166</f>
        <v>0</v>
      </c>
      <c r="AH163" s="198">
        <f>$E163*餐厅成本录入!AH166</f>
        <v>0</v>
      </c>
      <c r="AI163" s="198">
        <f>$E163*餐厅成本录入!AI166</f>
        <v>0</v>
      </c>
      <c r="AJ163" s="198">
        <f>$E163*餐厅成本录入!AJ166</f>
        <v>45</v>
      </c>
      <c r="AK163" s="198">
        <f>$E163*餐厅成本录入!AK166</f>
        <v>45</v>
      </c>
      <c r="AL163" s="198">
        <f>$E163*餐厅成本录入!AL166</f>
        <v>0</v>
      </c>
      <c r="AM163" s="198">
        <f>$E163*餐厅成本录入!AM166</f>
        <v>0</v>
      </c>
      <c r="AN163" s="198">
        <f>$E163*餐厅成本录入!AN166</f>
        <v>0</v>
      </c>
      <c r="AO163" s="198">
        <f>$E163*餐厅成本录入!AO166</f>
        <v>0</v>
      </c>
      <c r="AP163" s="198">
        <f>$E163*餐厅成本录入!AP166</f>
        <v>0</v>
      </c>
      <c r="AQ163" s="198">
        <f>$E163*餐厅成本录入!AQ166</f>
        <v>0</v>
      </c>
      <c r="AR163" s="198">
        <f>$E163*餐厅成本录入!AR166</f>
        <v>0</v>
      </c>
      <c r="AS163" s="198">
        <f>$E163*餐厅成本录入!AS166</f>
        <v>0</v>
      </c>
      <c r="AT163" s="198">
        <f>$E163*餐厅成本录入!AT166</f>
        <v>0</v>
      </c>
      <c r="AU163" s="198">
        <f>$E163*餐厅成本录入!AU166</f>
        <v>0</v>
      </c>
      <c r="AV163" s="198">
        <f>$E163*餐厅成本录入!AV166</f>
        <v>0</v>
      </c>
      <c r="AW163" s="198">
        <f>$E163*餐厅成本录入!AW166</f>
        <v>0</v>
      </c>
      <c r="AX163" s="198">
        <f>$E163*餐厅成本录入!AX166</f>
        <v>45</v>
      </c>
      <c r="AY163" s="198">
        <f>$E163*餐厅成本录入!AY166</f>
        <v>45</v>
      </c>
      <c r="AZ163" s="198">
        <f>$E163*餐厅成本录入!AZ166</f>
        <v>0</v>
      </c>
      <c r="BA163" s="198">
        <f>$E163*餐厅成本录入!BA166</f>
        <v>0</v>
      </c>
      <c r="BB163" s="198">
        <f>$E163*餐厅成本录入!BB166</f>
        <v>0</v>
      </c>
      <c r="BC163" s="198">
        <f>$E163*餐厅成本录入!BC166</f>
        <v>0</v>
      </c>
      <c r="BD163" s="198">
        <f>$E163*餐厅成本录入!BD166</f>
        <v>45</v>
      </c>
      <c r="BE163" s="198">
        <f>$E163*餐厅成本录入!BE166</f>
        <v>45</v>
      </c>
      <c r="BF163" s="198">
        <f>$E163*餐厅成本录入!BF166</f>
        <v>0</v>
      </c>
      <c r="BG163" s="198">
        <f>$E163*餐厅成本录入!BG166</f>
        <v>0</v>
      </c>
      <c r="BH163" s="198">
        <f>$E163*餐厅成本录入!BH166</f>
        <v>0</v>
      </c>
      <c r="BI163" s="198">
        <f>$E163*餐厅成本录入!BI166</f>
        <v>0</v>
      </c>
      <c r="BJ163" s="198">
        <f>$E163*餐厅成本录入!BJ166</f>
        <v>0</v>
      </c>
      <c r="BK163" s="198">
        <f>$E163*餐厅成本录入!BK166</f>
        <v>0</v>
      </c>
      <c r="BL163" s="198">
        <f>$E163*餐厅成本录入!BL166</f>
        <v>0</v>
      </c>
      <c r="BM163" s="198">
        <f>$E163*餐厅成本录入!BM166</f>
        <v>0</v>
      </c>
      <c r="BN163" s="198">
        <f>$E163*餐厅成本录入!BN166</f>
        <v>45</v>
      </c>
      <c r="BO163" s="198">
        <f>$E163*餐厅成本录入!BO166</f>
        <v>45</v>
      </c>
      <c r="BP163" s="198">
        <f>$E163*餐厅成本录入!BP166</f>
        <v>0</v>
      </c>
      <c r="BQ163" s="198">
        <f>$E163*餐厅成本录入!BQ166</f>
        <v>0</v>
      </c>
      <c r="BR163" s="198">
        <f>$E163*餐厅成本录入!BR166</f>
        <v>0</v>
      </c>
      <c r="BS163" s="198">
        <f>$E163*餐厅成本录入!BS166</f>
        <v>0</v>
      </c>
      <c r="BT163" s="198">
        <f>$E163*餐厅成本录入!BT166</f>
        <v>0</v>
      </c>
      <c r="BU163" s="198">
        <f>$E163*餐厅成本录入!BU166</f>
        <v>0</v>
      </c>
      <c r="BV163" s="198">
        <f>$E163*餐厅成本录入!BV166</f>
        <v>0</v>
      </c>
      <c r="BW163" s="198">
        <f>$E163*餐厅成本录入!BW166</f>
        <v>0</v>
      </c>
    </row>
    <row r="164" s="178" customFormat="1" customHeight="1" spans="1:75">
      <c r="A164" s="161">
        <v>196</v>
      </c>
      <c r="B164" s="21" t="str">
        <f>餐厅成本录入!B164</f>
        <v>酱八宝</v>
      </c>
      <c r="C164" s="21">
        <f>餐厅成本录入!C164</f>
        <v>0</v>
      </c>
      <c r="D164" s="21">
        <f>餐厅成本录入!D164</f>
        <v>0</v>
      </c>
      <c r="E164" s="21">
        <f>餐厅成本录入!E164</f>
        <v>35</v>
      </c>
      <c r="F164" s="21">
        <f>餐厅成本录入!F164</f>
        <v>0</v>
      </c>
      <c r="G164" s="21">
        <f>餐厅成本录入!G164</f>
        <v>0</v>
      </c>
      <c r="H164" s="21">
        <f>餐厅成本录入!H164</f>
        <v>5</v>
      </c>
      <c r="I164" s="21">
        <f>餐厅成本录入!I164</f>
        <v>175</v>
      </c>
      <c r="J164" s="21">
        <f>餐厅成本录入!J164</f>
        <v>5</v>
      </c>
      <c r="K164" s="21">
        <f>餐厅成本录入!K164</f>
        <v>175</v>
      </c>
      <c r="L164" s="21">
        <f>餐厅成本录入!L164</f>
        <v>0</v>
      </c>
      <c r="M164" s="21">
        <f>餐厅成本录入!M164</f>
        <v>0</v>
      </c>
      <c r="N164" s="198">
        <f>$E164*餐厅成本录入!N167</f>
        <v>0</v>
      </c>
      <c r="O164" s="198">
        <f>$E164*餐厅成本录入!O167</f>
        <v>0</v>
      </c>
      <c r="P164" s="198">
        <f>$E164*餐厅成本录入!P167</f>
        <v>0</v>
      </c>
      <c r="Q164" s="198">
        <f>$E164*餐厅成本录入!Q167</f>
        <v>0</v>
      </c>
      <c r="R164" s="198">
        <f>$E164*餐厅成本录入!R167</f>
        <v>0</v>
      </c>
      <c r="S164" s="198">
        <f>$E164*餐厅成本录入!S167</f>
        <v>0</v>
      </c>
      <c r="T164" s="198">
        <f>$E164*餐厅成本录入!T167</f>
        <v>0</v>
      </c>
      <c r="U164" s="198">
        <f>$E164*餐厅成本录入!U167</f>
        <v>0</v>
      </c>
      <c r="V164" s="198">
        <f>$E164*餐厅成本录入!V167</f>
        <v>35</v>
      </c>
      <c r="W164" s="198">
        <f>$E164*餐厅成本录入!W167</f>
        <v>35</v>
      </c>
      <c r="X164" s="198">
        <f>$E164*餐厅成本录入!X167</f>
        <v>0</v>
      </c>
      <c r="Y164" s="198">
        <f>$E164*餐厅成本录入!Y167</f>
        <v>0</v>
      </c>
      <c r="Z164" s="198">
        <f>$E164*餐厅成本录入!Z167</f>
        <v>0</v>
      </c>
      <c r="AA164" s="198">
        <f>$E164*餐厅成本录入!AA167</f>
        <v>0</v>
      </c>
      <c r="AB164" s="198">
        <f>$E164*餐厅成本录入!AB167</f>
        <v>0</v>
      </c>
      <c r="AC164" s="198">
        <f>$E164*餐厅成本录入!AC167</f>
        <v>0</v>
      </c>
      <c r="AD164" s="198">
        <f>$E164*餐厅成本录入!AD167</f>
        <v>0</v>
      </c>
      <c r="AE164" s="198">
        <f>$E164*餐厅成本录入!AE167</f>
        <v>0</v>
      </c>
      <c r="AF164" s="198">
        <f>$E164*餐厅成本录入!AF167</f>
        <v>0</v>
      </c>
      <c r="AG164" s="198">
        <f>$E164*餐厅成本录入!AG167</f>
        <v>0</v>
      </c>
      <c r="AH164" s="198">
        <f>$E164*餐厅成本录入!AH167</f>
        <v>0</v>
      </c>
      <c r="AI164" s="198">
        <f>$E164*餐厅成本录入!AI167</f>
        <v>0</v>
      </c>
      <c r="AJ164" s="198">
        <f>$E164*餐厅成本录入!AJ167</f>
        <v>0</v>
      </c>
      <c r="AK164" s="198">
        <f>$E164*餐厅成本录入!AK167</f>
        <v>0</v>
      </c>
      <c r="AL164" s="198">
        <f>$E164*餐厅成本录入!AL167</f>
        <v>0</v>
      </c>
      <c r="AM164" s="198">
        <f>$E164*餐厅成本录入!AM167</f>
        <v>0</v>
      </c>
      <c r="AN164" s="198">
        <f>$E164*餐厅成本录入!AN167</f>
        <v>0</v>
      </c>
      <c r="AO164" s="198">
        <f>$E164*餐厅成本录入!AO167</f>
        <v>0</v>
      </c>
      <c r="AP164" s="198">
        <f>$E164*餐厅成本录入!AP167</f>
        <v>0</v>
      </c>
      <c r="AQ164" s="198">
        <f>$E164*餐厅成本录入!AQ167</f>
        <v>0</v>
      </c>
      <c r="AR164" s="198">
        <f>$E164*餐厅成本录入!AR167</f>
        <v>0</v>
      </c>
      <c r="AS164" s="198">
        <f>$E164*餐厅成本录入!AS167</f>
        <v>0</v>
      </c>
      <c r="AT164" s="198">
        <f>$E164*餐厅成本录入!AT167</f>
        <v>0</v>
      </c>
      <c r="AU164" s="198">
        <f>$E164*餐厅成本录入!AU167</f>
        <v>0</v>
      </c>
      <c r="AV164" s="198">
        <f>$E164*餐厅成本录入!AV167</f>
        <v>0</v>
      </c>
      <c r="AW164" s="198">
        <f>$E164*餐厅成本录入!AW167</f>
        <v>0</v>
      </c>
      <c r="AX164" s="198">
        <f>$E164*餐厅成本录入!AX167</f>
        <v>0</v>
      </c>
      <c r="AY164" s="198">
        <f>$E164*餐厅成本录入!AY167</f>
        <v>0</v>
      </c>
      <c r="AZ164" s="198">
        <f>$E164*餐厅成本录入!AZ167</f>
        <v>0</v>
      </c>
      <c r="BA164" s="198">
        <f>$E164*餐厅成本录入!BA167</f>
        <v>0</v>
      </c>
      <c r="BB164" s="198">
        <f>$E164*餐厅成本录入!BB167</f>
        <v>0</v>
      </c>
      <c r="BC164" s="198">
        <f>$E164*餐厅成本录入!BC167</f>
        <v>0</v>
      </c>
      <c r="BD164" s="198">
        <f>$E164*餐厅成本录入!BD167</f>
        <v>0</v>
      </c>
      <c r="BE164" s="198">
        <f>$E164*餐厅成本录入!BE167</f>
        <v>0</v>
      </c>
      <c r="BF164" s="198">
        <f>$E164*餐厅成本录入!BF167</f>
        <v>0</v>
      </c>
      <c r="BG164" s="198">
        <f>$E164*餐厅成本录入!BG167</f>
        <v>0</v>
      </c>
      <c r="BH164" s="198">
        <f>$E164*餐厅成本录入!BH167</f>
        <v>0</v>
      </c>
      <c r="BI164" s="198">
        <f>$E164*餐厅成本录入!BI167</f>
        <v>0</v>
      </c>
      <c r="BJ164" s="198">
        <f>$E164*餐厅成本录入!BJ167</f>
        <v>0</v>
      </c>
      <c r="BK164" s="198">
        <f>$E164*餐厅成本录入!BK167</f>
        <v>0</v>
      </c>
      <c r="BL164" s="198">
        <f>$E164*餐厅成本录入!BL167</f>
        <v>0</v>
      </c>
      <c r="BM164" s="198">
        <f>$E164*餐厅成本录入!BM167</f>
        <v>0</v>
      </c>
      <c r="BN164" s="198">
        <f>$E164*餐厅成本录入!BN167</f>
        <v>210</v>
      </c>
      <c r="BO164" s="198">
        <f>$E164*餐厅成本录入!BO167</f>
        <v>210</v>
      </c>
      <c r="BP164" s="198">
        <f>$E164*餐厅成本录入!BP167</f>
        <v>0</v>
      </c>
      <c r="BQ164" s="198">
        <f>$E164*餐厅成本录入!BQ167</f>
        <v>0</v>
      </c>
      <c r="BR164" s="198">
        <f>$E164*餐厅成本录入!BR167</f>
        <v>0</v>
      </c>
      <c r="BS164" s="198">
        <f>$E164*餐厅成本录入!BS167</f>
        <v>0</v>
      </c>
      <c r="BT164" s="198">
        <f>$E164*餐厅成本录入!BT167</f>
        <v>0</v>
      </c>
      <c r="BU164" s="198">
        <f>$E164*餐厅成本录入!BU167</f>
        <v>0</v>
      </c>
      <c r="BV164" s="198">
        <f>$E164*餐厅成本录入!BV167</f>
        <v>0</v>
      </c>
      <c r="BW164" s="198">
        <f>$E164*餐厅成本录入!BW167</f>
        <v>0</v>
      </c>
    </row>
    <row r="165" s="178" customFormat="1" customHeight="1" spans="1:75">
      <c r="A165" s="161">
        <v>197</v>
      </c>
      <c r="B165" s="21" t="str">
        <f>餐厅成本录入!B165</f>
        <v>榨菜丝</v>
      </c>
      <c r="C165" s="21">
        <f>餐厅成本录入!C165</f>
        <v>0</v>
      </c>
      <c r="D165" s="21">
        <f>餐厅成本录入!D165</f>
        <v>0</v>
      </c>
      <c r="E165" s="21">
        <f>餐厅成本录入!E165</f>
        <v>30</v>
      </c>
      <c r="F165" s="21">
        <f>餐厅成本录入!F165</f>
        <v>0</v>
      </c>
      <c r="G165" s="21">
        <f>餐厅成本录入!G165</f>
        <v>0</v>
      </c>
      <c r="H165" s="21">
        <f>餐厅成本录入!H165</f>
        <v>5</v>
      </c>
      <c r="I165" s="21">
        <f>餐厅成本录入!I165</f>
        <v>150</v>
      </c>
      <c r="J165" s="21">
        <f>餐厅成本录入!J165</f>
        <v>5</v>
      </c>
      <c r="K165" s="21">
        <f>餐厅成本录入!K165</f>
        <v>150</v>
      </c>
      <c r="L165" s="21">
        <f>餐厅成本录入!L165</f>
        <v>0</v>
      </c>
      <c r="M165" s="21">
        <f>餐厅成本录入!M165</f>
        <v>0</v>
      </c>
      <c r="N165" s="198">
        <f>$E165*餐厅成本录入!N168</f>
        <v>0</v>
      </c>
      <c r="O165" s="198">
        <f>$E165*餐厅成本录入!O168</f>
        <v>0</v>
      </c>
      <c r="P165" s="198">
        <f>$E165*餐厅成本录入!P168</f>
        <v>0</v>
      </c>
      <c r="Q165" s="198">
        <f>$E165*餐厅成本录入!Q168</f>
        <v>0</v>
      </c>
      <c r="R165" s="198">
        <f>$E165*餐厅成本录入!R168</f>
        <v>0</v>
      </c>
      <c r="S165" s="198">
        <f>$E165*餐厅成本录入!S168</f>
        <v>0</v>
      </c>
      <c r="T165" s="198">
        <f>$E165*餐厅成本录入!T168</f>
        <v>0</v>
      </c>
      <c r="U165" s="198">
        <f>$E165*餐厅成本录入!U168</f>
        <v>0</v>
      </c>
      <c r="V165" s="198">
        <f>$E165*餐厅成本录入!V168</f>
        <v>0</v>
      </c>
      <c r="W165" s="198">
        <f>$E165*餐厅成本录入!W168</f>
        <v>0</v>
      </c>
      <c r="X165" s="198">
        <f>$E165*餐厅成本录入!X168</f>
        <v>0</v>
      </c>
      <c r="Y165" s="198">
        <f>$E165*餐厅成本录入!Y168</f>
        <v>0</v>
      </c>
      <c r="Z165" s="198">
        <f>$E165*餐厅成本录入!Z168</f>
        <v>0</v>
      </c>
      <c r="AA165" s="198">
        <f>$E165*餐厅成本录入!AA168</f>
        <v>0</v>
      </c>
      <c r="AB165" s="198">
        <f>$E165*餐厅成本录入!AB168</f>
        <v>0</v>
      </c>
      <c r="AC165" s="198">
        <f>$E165*餐厅成本录入!AC168</f>
        <v>0</v>
      </c>
      <c r="AD165" s="198">
        <f>$E165*餐厅成本录入!AD168</f>
        <v>0</v>
      </c>
      <c r="AE165" s="198">
        <f>$E165*餐厅成本录入!AE168</f>
        <v>0</v>
      </c>
      <c r="AF165" s="198">
        <f>$E165*餐厅成本录入!AF168</f>
        <v>0</v>
      </c>
      <c r="AG165" s="198">
        <f>$E165*餐厅成本录入!AG168</f>
        <v>0</v>
      </c>
      <c r="AH165" s="198">
        <f>$E165*餐厅成本录入!AH168</f>
        <v>0</v>
      </c>
      <c r="AI165" s="198">
        <f>$E165*餐厅成本录入!AI168</f>
        <v>0</v>
      </c>
      <c r="AJ165" s="198">
        <f>$E165*餐厅成本录入!AJ168</f>
        <v>0</v>
      </c>
      <c r="AK165" s="198">
        <f>$E165*餐厅成本录入!AK168</f>
        <v>0</v>
      </c>
      <c r="AL165" s="198">
        <f>$E165*餐厅成本录入!AL168</f>
        <v>0</v>
      </c>
      <c r="AM165" s="198">
        <f>$E165*餐厅成本录入!AM168</f>
        <v>0</v>
      </c>
      <c r="AN165" s="198">
        <f>$E165*餐厅成本录入!AN168</f>
        <v>0</v>
      </c>
      <c r="AO165" s="198">
        <f>$E165*餐厅成本录入!AO168</f>
        <v>0</v>
      </c>
      <c r="AP165" s="198">
        <f>$E165*餐厅成本录入!AP168</f>
        <v>0</v>
      </c>
      <c r="AQ165" s="198">
        <f>$E165*餐厅成本录入!AQ168</f>
        <v>0</v>
      </c>
      <c r="AR165" s="198">
        <f>$E165*餐厅成本录入!AR168</f>
        <v>0</v>
      </c>
      <c r="AS165" s="198">
        <f>$E165*餐厅成本录入!AS168</f>
        <v>0</v>
      </c>
      <c r="AT165" s="198">
        <f>$E165*餐厅成本录入!AT168</f>
        <v>0</v>
      </c>
      <c r="AU165" s="198">
        <f>$E165*餐厅成本录入!AU168</f>
        <v>0</v>
      </c>
      <c r="AV165" s="198">
        <f>$E165*餐厅成本录入!AV168</f>
        <v>0</v>
      </c>
      <c r="AW165" s="198">
        <f>$E165*餐厅成本录入!AW168</f>
        <v>0</v>
      </c>
      <c r="AX165" s="198">
        <f>$E165*餐厅成本录入!AX168</f>
        <v>0</v>
      </c>
      <c r="AY165" s="198">
        <f>$E165*餐厅成本录入!AY168</f>
        <v>0</v>
      </c>
      <c r="AZ165" s="198">
        <f>$E165*餐厅成本录入!AZ168</f>
        <v>0</v>
      </c>
      <c r="BA165" s="198">
        <f>$E165*餐厅成本录入!BA168</f>
        <v>0</v>
      </c>
      <c r="BB165" s="198">
        <f>$E165*餐厅成本录入!BB168</f>
        <v>0</v>
      </c>
      <c r="BC165" s="198">
        <f>$E165*餐厅成本录入!BC168</f>
        <v>0</v>
      </c>
      <c r="BD165" s="198">
        <f>$E165*餐厅成本录入!BD168</f>
        <v>0</v>
      </c>
      <c r="BE165" s="198">
        <f>$E165*餐厅成本录入!BE168</f>
        <v>0</v>
      </c>
      <c r="BF165" s="198">
        <f>$E165*餐厅成本录入!BF168</f>
        <v>0</v>
      </c>
      <c r="BG165" s="198">
        <f>$E165*餐厅成本录入!BG168</f>
        <v>0</v>
      </c>
      <c r="BH165" s="198">
        <f>$E165*餐厅成本录入!BH168</f>
        <v>0</v>
      </c>
      <c r="BI165" s="198">
        <f>$E165*餐厅成本录入!BI168</f>
        <v>0</v>
      </c>
      <c r="BJ165" s="198">
        <f>$E165*餐厅成本录入!BJ168</f>
        <v>0</v>
      </c>
      <c r="BK165" s="198">
        <f>$E165*餐厅成本录入!BK168</f>
        <v>0</v>
      </c>
      <c r="BL165" s="198">
        <f>$E165*餐厅成本录入!BL168</f>
        <v>0</v>
      </c>
      <c r="BM165" s="198">
        <f>$E165*餐厅成本录入!BM168</f>
        <v>0</v>
      </c>
      <c r="BN165" s="198">
        <f>$E165*餐厅成本录入!BN168</f>
        <v>60</v>
      </c>
      <c r="BO165" s="198">
        <f>$E165*餐厅成本录入!BO168</f>
        <v>60</v>
      </c>
      <c r="BP165" s="198">
        <f>$E165*餐厅成本录入!BP168</f>
        <v>0</v>
      </c>
      <c r="BQ165" s="198">
        <f>$E165*餐厅成本录入!BQ168</f>
        <v>0</v>
      </c>
      <c r="BR165" s="198">
        <f>$E165*餐厅成本录入!BR168</f>
        <v>0</v>
      </c>
      <c r="BS165" s="198">
        <f>$E165*餐厅成本录入!BS168</f>
        <v>0</v>
      </c>
      <c r="BT165" s="198">
        <f>$E165*餐厅成本录入!BT168</f>
        <v>0</v>
      </c>
      <c r="BU165" s="198">
        <f>$E165*餐厅成本录入!BU168</f>
        <v>0</v>
      </c>
      <c r="BV165" s="198">
        <f>$E165*餐厅成本录入!BV168</f>
        <v>0</v>
      </c>
      <c r="BW165" s="198">
        <f>$E165*餐厅成本录入!BW168</f>
        <v>0</v>
      </c>
    </row>
    <row r="166" s="178" customFormat="1" customHeight="1" spans="1:75">
      <c r="A166" s="161">
        <v>198</v>
      </c>
      <c r="B166" s="21" t="str">
        <f>餐厅成本录入!B166</f>
        <v>玉米粒</v>
      </c>
      <c r="C166" s="21">
        <f>餐厅成本录入!C166</f>
        <v>0</v>
      </c>
      <c r="D166" s="21" t="str">
        <f>餐厅成本录入!D166</f>
        <v>件</v>
      </c>
      <c r="E166" s="21">
        <f>餐厅成本录入!E166</f>
        <v>45</v>
      </c>
      <c r="F166" s="21">
        <f>餐厅成本录入!F166</f>
        <v>0</v>
      </c>
      <c r="G166" s="21">
        <f>餐厅成本录入!G166</f>
        <v>0</v>
      </c>
      <c r="H166" s="21">
        <f>餐厅成本录入!H166</f>
        <v>5</v>
      </c>
      <c r="I166" s="21">
        <f>餐厅成本录入!I166</f>
        <v>225</v>
      </c>
      <c r="J166" s="21">
        <f>餐厅成本录入!J166</f>
        <v>5</v>
      </c>
      <c r="K166" s="21">
        <f>餐厅成本录入!K166</f>
        <v>225</v>
      </c>
      <c r="L166" s="21">
        <f>餐厅成本录入!L166</f>
        <v>0</v>
      </c>
      <c r="M166" s="21">
        <f>餐厅成本录入!M166</f>
        <v>0</v>
      </c>
      <c r="N166" s="198">
        <f>$E166*餐厅成本录入!N169</f>
        <v>0</v>
      </c>
      <c r="O166" s="198">
        <f>$E166*餐厅成本录入!O169</f>
        <v>0</v>
      </c>
      <c r="P166" s="198">
        <f>$E166*餐厅成本录入!P169</f>
        <v>0</v>
      </c>
      <c r="Q166" s="198">
        <f>$E166*餐厅成本录入!Q169</f>
        <v>0</v>
      </c>
      <c r="R166" s="198">
        <f>$E166*餐厅成本录入!R169</f>
        <v>0</v>
      </c>
      <c r="S166" s="198">
        <f>$E166*餐厅成本录入!S169</f>
        <v>0</v>
      </c>
      <c r="T166" s="198">
        <f>$E166*餐厅成本录入!T169</f>
        <v>0</v>
      </c>
      <c r="U166" s="198">
        <f>$E166*餐厅成本录入!U169</f>
        <v>0</v>
      </c>
      <c r="V166" s="198">
        <f>$E166*餐厅成本录入!V169</f>
        <v>0</v>
      </c>
      <c r="W166" s="198">
        <f>$E166*餐厅成本录入!W169</f>
        <v>0</v>
      </c>
      <c r="X166" s="198">
        <f>$E166*餐厅成本录入!X169</f>
        <v>0</v>
      </c>
      <c r="Y166" s="198">
        <f>$E166*餐厅成本录入!Y169</f>
        <v>0</v>
      </c>
      <c r="Z166" s="198">
        <f>$E166*餐厅成本录入!Z169</f>
        <v>0</v>
      </c>
      <c r="AA166" s="198">
        <f>$E166*餐厅成本录入!AA169</f>
        <v>0</v>
      </c>
      <c r="AB166" s="198">
        <f>$E166*餐厅成本录入!AB169</f>
        <v>0</v>
      </c>
      <c r="AC166" s="198">
        <f>$E166*餐厅成本录入!AC169</f>
        <v>0</v>
      </c>
      <c r="AD166" s="198">
        <f>$E166*餐厅成本录入!AD169</f>
        <v>0</v>
      </c>
      <c r="AE166" s="198">
        <f>$E166*餐厅成本录入!AE169</f>
        <v>0</v>
      </c>
      <c r="AF166" s="198">
        <f>$E166*餐厅成本录入!AF169</f>
        <v>0</v>
      </c>
      <c r="AG166" s="198">
        <f>$E166*餐厅成本录入!AG169</f>
        <v>0</v>
      </c>
      <c r="AH166" s="198">
        <f>$E166*餐厅成本录入!AH169</f>
        <v>0</v>
      </c>
      <c r="AI166" s="198">
        <f>$E166*餐厅成本录入!AI169</f>
        <v>0</v>
      </c>
      <c r="AJ166" s="198">
        <f>$E166*餐厅成本录入!AJ169</f>
        <v>0</v>
      </c>
      <c r="AK166" s="198">
        <f>$E166*餐厅成本录入!AK169</f>
        <v>0</v>
      </c>
      <c r="AL166" s="198">
        <f>$E166*餐厅成本录入!AL169</f>
        <v>0</v>
      </c>
      <c r="AM166" s="198">
        <f>$E166*餐厅成本录入!AM169</f>
        <v>0</v>
      </c>
      <c r="AN166" s="198">
        <f>$E166*餐厅成本录入!AN169</f>
        <v>0</v>
      </c>
      <c r="AO166" s="198">
        <f>$E166*餐厅成本录入!AO169</f>
        <v>0</v>
      </c>
      <c r="AP166" s="198">
        <f>$E166*餐厅成本录入!AP169</f>
        <v>180</v>
      </c>
      <c r="AQ166" s="198">
        <f>$E166*餐厅成本录入!AQ169</f>
        <v>180</v>
      </c>
      <c r="AR166" s="198">
        <f>$E166*餐厅成本录入!AR169</f>
        <v>0</v>
      </c>
      <c r="AS166" s="198">
        <f>$E166*餐厅成本录入!AS169</f>
        <v>0</v>
      </c>
      <c r="AT166" s="198">
        <f>$E166*餐厅成本录入!AT169</f>
        <v>0</v>
      </c>
      <c r="AU166" s="198">
        <f>$E166*餐厅成本录入!AU169</f>
        <v>0</v>
      </c>
      <c r="AV166" s="198">
        <f>$E166*餐厅成本录入!AV169</f>
        <v>0</v>
      </c>
      <c r="AW166" s="198">
        <f>$E166*餐厅成本录入!AW169</f>
        <v>0</v>
      </c>
      <c r="AX166" s="198">
        <f>$E166*餐厅成本录入!AX169</f>
        <v>0</v>
      </c>
      <c r="AY166" s="198">
        <f>$E166*餐厅成本录入!AY169</f>
        <v>0</v>
      </c>
      <c r="AZ166" s="198">
        <f>$E166*餐厅成本录入!AZ169</f>
        <v>0</v>
      </c>
      <c r="BA166" s="198">
        <f>$E166*餐厅成本录入!BA169</f>
        <v>0</v>
      </c>
      <c r="BB166" s="198">
        <f>$E166*餐厅成本录入!BB169</f>
        <v>0</v>
      </c>
      <c r="BC166" s="198">
        <f>$E166*餐厅成本录入!BC169</f>
        <v>0</v>
      </c>
      <c r="BD166" s="198">
        <f>$E166*餐厅成本录入!BD169</f>
        <v>0</v>
      </c>
      <c r="BE166" s="198">
        <f>$E166*餐厅成本录入!BE169</f>
        <v>0</v>
      </c>
      <c r="BF166" s="198">
        <f>$E166*餐厅成本录入!BF169</f>
        <v>0</v>
      </c>
      <c r="BG166" s="198">
        <f>$E166*餐厅成本录入!BG169</f>
        <v>0</v>
      </c>
      <c r="BH166" s="198">
        <f>$E166*餐厅成本录入!BH169</f>
        <v>0</v>
      </c>
      <c r="BI166" s="198">
        <f>$E166*餐厅成本录入!BI169</f>
        <v>0</v>
      </c>
      <c r="BJ166" s="198">
        <f>$E166*餐厅成本录入!BJ169</f>
        <v>0</v>
      </c>
      <c r="BK166" s="198">
        <f>$E166*餐厅成本录入!BK169</f>
        <v>0</v>
      </c>
      <c r="BL166" s="198">
        <f>$E166*餐厅成本录入!BL169</f>
        <v>0</v>
      </c>
      <c r="BM166" s="198">
        <f>$E166*餐厅成本录入!BM169</f>
        <v>0</v>
      </c>
      <c r="BN166" s="198">
        <f>$E166*餐厅成本录入!BN169</f>
        <v>0</v>
      </c>
      <c r="BO166" s="198">
        <f>$E166*餐厅成本录入!BO169</f>
        <v>0</v>
      </c>
      <c r="BP166" s="198">
        <f>$E166*餐厅成本录入!BP169</f>
        <v>0</v>
      </c>
      <c r="BQ166" s="198">
        <f>$E166*餐厅成本录入!BQ169</f>
        <v>0</v>
      </c>
      <c r="BR166" s="198">
        <f>$E166*餐厅成本录入!BR169</f>
        <v>0</v>
      </c>
      <c r="BS166" s="198">
        <f>$E166*餐厅成本录入!BS169</f>
        <v>0</v>
      </c>
      <c r="BT166" s="198">
        <f>$E166*餐厅成本录入!BT169</f>
        <v>0</v>
      </c>
      <c r="BU166" s="198">
        <f>$E166*餐厅成本录入!BU169</f>
        <v>0</v>
      </c>
      <c r="BV166" s="198">
        <f>$E166*餐厅成本录入!BV169</f>
        <v>0</v>
      </c>
      <c r="BW166" s="198">
        <f>$E166*餐厅成本录入!BW169</f>
        <v>0</v>
      </c>
    </row>
    <row r="167" s="178" customFormat="1" customHeight="1" spans="1:75">
      <c r="A167" s="161">
        <v>199</v>
      </c>
      <c r="B167" s="21" t="str">
        <f>餐厅成本录入!B167</f>
        <v>白醋</v>
      </c>
      <c r="C167" s="21">
        <f>餐厅成本录入!C167</f>
        <v>0</v>
      </c>
      <c r="D167" s="21" t="str">
        <f>餐厅成本录入!D167</f>
        <v>件</v>
      </c>
      <c r="E167" s="21">
        <f>餐厅成本录入!E167</f>
        <v>55</v>
      </c>
      <c r="F167" s="21">
        <f>餐厅成本录入!F167</f>
        <v>0</v>
      </c>
      <c r="G167" s="21">
        <f>餐厅成本录入!G167</f>
        <v>0</v>
      </c>
      <c r="H167" s="21">
        <f>餐厅成本录入!H167</f>
        <v>7</v>
      </c>
      <c r="I167" s="21">
        <f>餐厅成本录入!I167</f>
        <v>385</v>
      </c>
      <c r="J167" s="21">
        <f>餐厅成本录入!J167</f>
        <v>7</v>
      </c>
      <c r="K167" s="21">
        <f>餐厅成本录入!K167</f>
        <v>385</v>
      </c>
      <c r="L167" s="21">
        <f>餐厅成本录入!L167</f>
        <v>0</v>
      </c>
      <c r="M167" s="21">
        <f>餐厅成本录入!M167</f>
        <v>0</v>
      </c>
      <c r="N167" s="198">
        <f>$E167*餐厅成本录入!N170</f>
        <v>0</v>
      </c>
      <c r="O167" s="198">
        <f>$E167*餐厅成本录入!O170</f>
        <v>0</v>
      </c>
      <c r="P167" s="198">
        <f>$E167*餐厅成本录入!P170</f>
        <v>0</v>
      </c>
      <c r="Q167" s="198">
        <f>$E167*餐厅成本录入!Q170</f>
        <v>0</v>
      </c>
      <c r="R167" s="198">
        <f>$E167*餐厅成本录入!R170</f>
        <v>0</v>
      </c>
      <c r="S167" s="198">
        <f>$E167*餐厅成本录入!S170</f>
        <v>0</v>
      </c>
      <c r="T167" s="198">
        <f>$E167*餐厅成本录入!T170</f>
        <v>0</v>
      </c>
      <c r="U167" s="198">
        <f>$E167*餐厅成本录入!U170</f>
        <v>0</v>
      </c>
      <c r="V167" s="198">
        <f>$E167*餐厅成本录入!V170</f>
        <v>1100</v>
      </c>
      <c r="W167" s="198">
        <f>$E167*餐厅成本录入!W170</f>
        <v>1100</v>
      </c>
      <c r="X167" s="198">
        <f>$E167*餐厅成本录入!X170</f>
        <v>0</v>
      </c>
      <c r="Y167" s="198">
        <f>$E167*餐厅成本录入!Y170</f>
        <v>0</v>
      </c>
      <c r="Z167" s="198">
        <f>$E167*餐厅成本录入!Z170</f>
        <v>0</v>
      </c>
      <c r="AA167" s="198">
        <f>$E167*餐厅成本录入!AA170</f>
        <v>0</v>
      </c>
      <c r="AB167" s="198">
        <f>$E167*餐厅成本录入!AB170</f>
        <v>0</v>
      </c>
      <c r="AC167" s="198">
        <f>$E167*餐厅成本录入!AC170</f>
        <v>0</v>
      </c>
      <c r="AD167" s="198">
        <f>$E167*餐厅成本录入!AD170</f>
        <v>0</v>
      </c>
      <c r="AE167" s="198">
        <f>$E167*餐厅成本录入!AE170</f>
        <v>0</v>
      </c>
      <c r="AF167" s="198">
        <f>$E167*餐厅成本录入!AF170</f>
        <v>0</v>
      </c>
      <c r="AG167" s="198">
        <f>$E167*餐厅成本录入!AG170</f>
        <v>0</v>
      </c>
      <c r="AH167" s="198">
        <f>$E167*餐厅成本录入!AH170</f>
        <v>0</v>
      </c>
      <c r="AI167" s="198">
        <f>$E167*餐厅成本录入!AI170</f>
        <v>0</v>
      </c>
      <c r="AJ167" s="198">
        <f>$E167*餐厅成本录入!AJ170</f>
        <v>0</v>
      </c>
      <c r="AK167" s="198">
        <f>$E167*餐厅成本录入!AK170</f>
        <v>0</v>
      </c>
      <c r="AL167" s="198">
        <f>$E167*餐厅成本录入!AL170</f>
        <v>0</v>
      </c>
      <c r="AM167" s="198">
        <f>$E167*餐厅成本录入!AM170</f>
        <v>0</v>
      </c>
      <c r="AN167" s="198">
        <f>$E167*餐厅成本录入!AN170</f>
        <v>1100</v>
      </c>
      <c r="AO167" s="198">
        <f>$E167*餐厅成本录入!AO170</f>
        <v>1100</v>
      </c>
      <c r="AP167" s="198">
        <f>$E167*餐厅成本录入!AP170</f>
        <v>0</v>
      </c>
      <c r="AQ167" s="198">
        <f>$E167*餐厅成本录入!AQ170</f>
        <v>0</v>
      </c>
      <c r="AR167" s="198">
        <f>$E167*餐厅成本录入!AR170</f>
        <v>0</v>
      </c>
      <c r="AS167" s="198">
        <f>$E167*餐厅成本录入!AS170</f>
        <v>0</v>
      </c>
      <c r="AT167" s="198">
        <f>$E167*餐厅成本录入!AT170</f>
        <v>1100</v>
      </c>
      <c r="AU167" s="198">
        <f>$E167*餐厅成本录入!AU170</f>
        <v>1100</v>
      </c>
      <c r="AV167" s="198">
        <f>$E167*餐厅成本录入!AV170</f>
        <v>0</v>
      </c>
      <c r="AW167" s="198">
        <f>$E167*餐厅成本录入!AW170</f>
        <v>0</v>
      </c>
      <c r="AX167" s="198">
        <f>$E167*餐厅成本录入!AX170</f>
        <v>0</v>
      </c>
      <c r="AY167" s="198">
        <f>$E167*餐厅成本录入!AY170</f>
        <v>0</v>
      </c>
      <c r="AZ167" s="198">
        <f>$E167*餐厅成本录入!AZ170</f>
        <v>0</v>
      </c>
      <c r="BA167" s="198">
        <f>$E167*餐厅成本录入!BA170</f>
        <v>0</v>
      </c>
      <c r="BB167" s="198">
        <f>$E167*餐厅成本录入!BB170</f>
        <v>0</v>
      </c>
      <c r="BC167" s="198">
        <f>$E167*餐厅成本录入!BC170</f>
        <v>0</v>
      </c>
      <c r="BD167" s="198">
        <f>$E167*餐厅成本录入!BD170</f>
        <v>1100</v>
      </c>
      <c r="BE167" s="198">
        <f>$E167*餐厅成本录入!BE170</f>
        <v>1100</v>
      </c>
      <c r="BF167" s="198">
        <f>$E167*餐厅成本录入!BF170</f>
        <v>0</v>
      </c>
      <c r="BG167" s="198">
        <f>$E167*餐厅成本录入!BG170</f>
        <v>0</v>
      </c>
      <c r="BH167" s="198">
        <f>$E167*餐厅成本录入!BH170</f>
        <v>0</v>
      </c>
      <c r="BI167" s="198">
        <f>$E167*餐厅成本录入!BI170</f>
        <v>0</v>
      </c>
      <c r="BJ167" s="198">
        <f>$E167*餐厅成本录入!BJ170</f>
        <v>0</v>
      </c>
      <c r="BK167" s="198">
        <f>$E167*餐厅成本录入!BK170</f>
        <v>0</v>
      </c>
      <c r="BL167" s="198">
        <f>$E167*餐厅成本录入!BL170</f>
        <v>0</v>
      </c>
      <c r="BM167" s="198">
        <f>$E167*餐厅成本录入!BM170</f>
        <v>0</v>
      </c>
      <c r="BN167" s="198">
        <f>$E167*餐厅成本录入!BN170</f>
        <v>1100</v>
      </c>
      <c r="BO167" s="198">
        <f>$E167*餐厅成本录入!BO170</f>
        <v>1100</v>
      </c>
      <c r="BP167" s="198">
        <f>$E167*餐厅成本录入!BP170</f>
        <v>0</v>
      </c>
      <c r="BQ167" s="198">
        <f>$E167*餐厅成本录入!BQ170</f>
        <v>0</v>
      </c>
      <c r="BR167" s="198">
        <f>$E167*餐厅成本录入!BR170</f>
        <v>0</v>
      </c>
      <c r="BS167" s="198">
        <f>$E167*餐厅成本录入!BS170</f>
        <v>0</v>
      </c>
      <c r="BT167" s="198">
        <f>$E167*餐厅成本录入!BT170</f>
        <v>0</v>
      </c>
      <c r="BU167" s="198">
        <f>$E167*餐厅成本录入!BU170</f>
        <v>0</v>
      </c>
      <c r="BV167" s="198">
        <f>$E167*餐厅成本录入!BV170</f>
        <v>1100</v>
      </c>
      <c r="BW167" s="198">
        <f>$E167*餐厅成本录入!BW170</f>
        <v>1100</v>
      </c>
    </row>
    <row r="168" s="178" customFormat="1" customHeight="1" spans="1:75">
      <c r="A168" s="161">
        <v>200</v>
      </c>
      <c r="B168" s="21" t="str">
        <f>餐厅成本录入!B168</f>
        <v>核桃仁</v>
      </c>
      <c r="C168" s="21">
        <f>餐厅成本录入!C168</f>
        <v>0</v>
      </c>
      <c r="D168" s="21">
        <f>餐厅成本录入!D168</f>
        <v>0</v>
      </c>
      <c r="E168" s="21">
        <f>餐厅成本录入!E168</f>
        <v>25</v>
      </c>
      <c r="F168" s="21">
        <f>餐厅成本录入!F168</f>
        <v>0</v>
      </c>
      <c r="G168" s="21">
        <f>餐厅成本录入!G168</f>
        <v>0</v>
      </c>
      <c r="H168" s="21">
        <f>餐厅成本录入!H168</f>
        <v>2</v>
      </c>
      <c r="I168" s="21">
        <f>餐厅成本录入!I168</f>
        <v>50</v>
      </c>
      <c r="J168" s="21">
        <f>餐厅成本录入!J168</f>
        <v>2</v>
      </c>
      <c r="K168" s="21">
        <f>餐厅成本录入!K168</f>
        <v>50</v>
      </c>
      <c r="L168" s="21">
        <f>餐厅成本录入!L168</f>
        <v>0</v>
      </c>
      <c r="M168" s="21">
        <f>餐厅成本录入!M168</f>
        <v>0</v>
      </c>
      <c r="N168" s="198">
        <f>$E168*餐厅成本录入!N171</f>
        <v>0</v>
      </c>
      <c r="O168" s="198">
        <f>$E168*餐厅成本录入!O171</f>
        <v>0</v>
      </c>
      <c r="P168" s="198">
        <f>$E168*餐厅成本录入!P171</f>
        <v>0</v>
      </c>
      <c r="Q168" s="198">
        <f>$E168*餐厅成本录入!Q171</f>
        <v>0</v>
      </c>
      <c r="R168" s="198">
        <f>$E168*餐厅成本录入!R171</f>
        <v>25</v>
      </c>
      <c r="S168" s="198">
        <f>$E168*餐厅成本录入!S171</f>
        <v>25</v>
      </c>
      <c r="T168" s="198">
        <f>$E168*餐厅成本录入!T171</f>
        <v>0</v>
      </c>
      <c r="U168" s="198">
        <f>$E168*餐厅成本录入!U171</f>
        <v>0</v>
      </c>
      <c r="V168" s="198">
        <f>$E168*餐厅成本录入!V171</f>
        <v>0</v>
      </c>
      <c r="W168" s="198">
        <f>$E168*餐厅成本录入!W171</f>
        <v>0</v>
      </c>
      <c r="X168" s="198">
        <f>$E168*餐厅成本录入!X171</f>
        <v>0</v>
      </c>
      <c r="Y168" s="198">
        <f>$E168*餐厅成本录入!Y171</f>
        <v>0</v>
      </c>
      <c r="Z168" s="198">
        <f>$E168*餐厅成本录入!Z171</f>
        <v>0</v>
      </c>
      <c r="AA168" s="198">
        <f>$E168*餐厅成本录入!AA171</f>
        <v>0</v>
      </c>
      <c r="AB168" s="198">
        <f>$E168*餐厅成本录入!AB171</f>
        <v>0</v>
      </c>
      <c r="AC168" s="198">
        <f>$E168*餐厅成本录入!AC171</f>
        <v>0</v>
      </c>
      <c r="AD168" s="198">
        <f>$E168*餐厅成本录入!AD171</f>
        <v>0</v>
      </c>
      <c r="AE168" s="198">
        <f>$E168*餐厅成本录入!AE171</f>
        <v>0</v>
      </c>
      <c r="AF168" s="198">
        <f>$E168*餐厅成本录入!AF171</f>
        <v>0</v>
      </c>
      <c r="AG168" s="198">
        <f>$E168*餐厅成本录入!AG171</f>
        <v>0</v>
      </c>
      <c r="AH168" s="198">
        <f>$E168*餐厅成本录入!AH171</f>
        <v>0</v>
      </c>
      <c r="AI168" s="198">
        <f>$E168*餐厅成本录入!AI171</f>
        <v>0</v>
      </c>
      <c r="AJ168" s="198">
        <f>$E168*餐厅成本录入!AJ171</f>
        <v>0</v>
      </c>
      <c r="AK168" s="198">
        <f>$E168*餐厅成本录入!AK171</f>
        <v>0</v>
      </c>
      <c r="AL168" s="198">
        <f>$E168*餐厅成本录入!AL171</f>
        <v>0</v>
      </c>
      <c r="AM168" s="198">
        <f>$E168*餐厅成本录入!AM171</f>
        <v>0</v>
      </c>
      <c r="AN168" s="198">
        <f>$E168*餐厅成本录入!AN171</f>
        <v>0</v>
      </c>
      <c r="AO168" s="198">
        <f>$E168*餐厅成本录入!AO171</f>
        <v>0</v>
      </c>
      <c r="AP168" s="198">
        <f>$E168*餐厅成本录入!AP171</f>
        <v>0</v>
      </c>
      <c r="AQ168" s="198">
        <f>$E168*餐厅成本录入!AQ171</f>
        <v>0</v>
      </c>
      <c r="AR168" s="198">
        <f>$E168*餐厅成本录入!AR171</f>
        <v>0</v>
      </c>
      <c r="AS168" s="198">
        <f>$E168*餐厅成本录入!AS171</f>
        <v>0</v>
      </c>
      <c r="AT168" s="198">
        <f>$E168*餐厅成本录入!AT171</f>
        <v>0</v>
      </c>
      <c r="AU168" s="198">
        <f>$E168*餐厅成本录入!AU171</f>
        <v>0</v>
      </c>
      <c r="AV168" s="198">
        <f>$E168*餐厅成本录入!AV171</f>
        <v>0</v>
      </c>
      <c r="AW168" s="198">
        <f>$E168*餐厅成本录入!AW171</f>
        <v>0</v>
      </c>
      <c r="AX168" s="198">
        <f>$E168*餐厅成本录入!AX171</f>
        <v>0</v>
      </c>
      <c r="AY168" s="198">
        <f>$E168*餐厅成本录入!AY171</f>
        <v>0</v>
      </c>
      <c r="AZ168" s="198">
        <f>$E168*餐厅成本录入!AZ171</f>
        <v>0</v>
      </c>
      <c r="BA168" s="198">
        <f>$E168*餐厅成本录入!BA171</f>
        <v>0</v>
      </c>
      <c r="BB168" s="198">
        <f>$E168*餐厅成本录入!BB171</f>
        <v>0</v>
      </c>
      <c r="BC168" s="198">
        <f>$E168*餐厅成本录入!BC171</f>
        <v>0</v>
      </c>
      <c r="BD168" s="198">
        <f>$E168*餐厅成本录入!BD171</f>
        <v>0</v>
      </c>
      <c r="BE168" s="198">
        <f>$E168*餐厅成本录入!BE171</f>
        <v>0</v>
      </c>
      <c r="BF168" s="198">
        <f>$E168*餐厅成本录入!BF171</f>
        <v>0</v>
      </c>
      <c r="BG168" s="198">
        <f>$E168*餐厅成本录入!BG171</f>
        <v>0</v>
      </c>
      <c r="BH168" s="198">
        <f>$E168*餐厅成本录入!BH171</f>
        <v>0</v>
      </c>
      <c r="BI168" s="198">
        <f>$E168*餐厅成本录入!BI171</f>
        <v>0</v>
      </c>
      <c r="BJ168" s="198">
        <f>$E168*餐厅成本录入!BJ171</f>
        <v>0</v>
      </c>
      <c r="BK168" s="198">
        <f>$E168*餐厅成本录入!BK171</f>
        <v>0</v>
      </c>
      <c r="BL168" s="198">
        <f>$E168*餐厅成本录入!BL171</f>
        <v>0</v>
      </c>
      <c r="BM168" s="198">
        <f>$E168*餐厅成本录入!BM171</f>
        <v>0</v>
      </c>
      <c r="BN168" s="198">
        <f>$E168*餐厅成本录入!BN171</f>
        <v>0</v>
      </c>
      <c r="BO168" s="198">
        <f>$E168*餐厅成本录入!BO171</f>
        <v>0</v>
      </c>
      <c r="BP168" s="198">
        <f>$E168*餐厅成本录入!BP171</f>
        <v>0</v>
      </c>
      <c r="BQ168" s="198">
        <f>$E168*餐厅成本录入!BQ171</f>
        <v>0</v>
      </c>
      <c r="BR168" s="198">
        <f>$E168*餐厅成本录入!BR171</f>
        <v>0</v>
      </c>
      <c r="BS168" s="198">
        <f>$E168*餐厅成本录入!BS171</f>
        <v>0</v>
      </c>
      <c r="BT168" s="198">
        <f>$E168*餐厅成本录入!BT171</f>
        <v>0</v>
      </c>
      <c r="BU168" s="198">
        <f>$E168*餐厅成本录入!BU171</f>
        <v>0</v>
      </c>
      <c r="BV168" s="198">
        <f>$E168*餐厅成本录入!BV171</f>
        <v>0</v>
      </c>
      <c r="BW168" s="198">
        <f>$E168*餐厅成本录入!BW171</f>
        <v>0</v>
      </c>
    </row>
    <row r="169" s="178" customFormat="1" customHeight="1" spans="1:75">
      <c r="A169" s="161">
        <v>201</v>
      </c>
      <c r="B169" s="21" t="str">
        <f>餐厅成本录入!B169</f>
        <v>葡萄干</v>
      </c>
      <c r="C169" s="21">
        <f>餐厅成本录入!C169</f>
        <v>0</v>
      </c>
      <c r="D169" s="21">
        <f>餐厅成本录入!D169</f>
        <v>0</v>
      </c>
      <c r="E169" s="21">
        <f>餐厅成本录入!E169</f>
        <v>10</v>
      </c>
      <c r="F169" s="21">
        <f>餐厅成本录入!F169</f>
        <v>0</v>
      </c>
      <c r="G169" s="21">
        <f>餐厅成本录入!G169</f>
        <v>0</v>
      </c>
      <c r="H169" s="21">
        <f>餐厅成本录入!H169</f>
        <v>4</v>
      </c>
      <c r="I169" s="21">
        <f>餐厅成本录入!I169</f>
        <v>40</v>
      </c>
      <c r="J169" s="21">
        <f>餐厅成本录入!J169</f>
        <v>4</v>
      </c>
      <c r="K169" s="21">
        <f>餐厅成本录入!K169</f>
        <v>40</v>
      </c>
      <c r="L169" s="21">
        <f>餐厅成本录入!L169</f>
        <v>0</v>
      </c>
      <c r="M169" s="21">
        <f>餐厅成本录入!M169</f>
        <v>0</v>
      </c>
      <c r="N169" s="198">
        <f>$E169*餐厅成本录入!N172</f>
        <v>0</v>
      </c>
      <c r="O169" s="198">
        <f>$E169*餐厅成本录入!O172</f>
        <v>0</v>
      </c>
      <c r="P169" s="198">
        <f>$E169*餐厅成本录入!P172</f>
        <v>0</v>
      </c>
      <c r="Q169" s="198">
        <f>$E169*餐厅成本录入!Q172</f>
        <v>0</v>
      </c>
      <c r="R169" s="198">
        <f>$E169*餐厅成本录入!R172</f>
        <v>20</v>
      </c>
      <c r="S169" s="198">
        <f>$E169*餐厅成本录入!S172</f>
        <v>20</v>
      </c>
      <c r="T169" s="198">
        <f>$E169*餐厅成本录入!T172</f>
        <v>0</v>
      </c>
      <c r="U169" s="198">
        <f>$E169*餐厅成本录入!U172</f>
        <v>0</v>
      </c>
      <c r="V169" s="198">
        <f>$E169*餐厅成本录入!V172</f>
        <v>0</v>
      </c>
      <c r="W169" s="198">
        <f>$E169*餐厅成本录入!W172</f>
        <v>0</v>
      </c>
      <c r="X169" s="198">
        <f>$E169*餐厅成本录入!X172</f>
        <v>0</v>
      </c>
      <c r="Y169" s="198">
        <f>$E169*餐厅成本录入!Y172</f>
        <v>0</v>
      </c>
      <c r="Z169" s="198">
        <f>$E169*餐厅成本录入!Z172</f>
        <v>0</v>
      </c>
      <c r="AA169" s="198">
        <f>$E169*餐厅成本录入!AA172</f>
        <v>0</v>
      </c>
      <c r="AB169" s="198">
        <f>$E169*餐厅成本录入!AB172</f>
        <v>0</v>
      </c>
      <c r="AC169" s="198">
        <f>$E169*餐厅成本录入!AC172</f>
        <v>0</v>
      </c>
      <c r="AD169" s="198">
        <f>$E169*餐厅成本录入!AD172</f>
        <v>0</v>
      </c>
      <c r="AE169" s="198">
        <f>$E169*餐厅成本录入!AE172</f>
        <v>0</v>
      </c>
      <c r="AF169" s="198">
        <f>$E169*餐厅成本录入!AF172</f>
        <v>0</v>
      </c>
      <c r="AG169" s="198">
        <f>$E169*餐厅成本录入!AG172</f>
        <v>0</v>
      </c>
      <c r="AH169" s="198">
        <f>$E169*餐厅成本录入!AH172</f>
        <v>0</v>
      </c>
      <c r="AI169" s="198">
        <f>$E169*餐厅成本录入!AI172</f>
        <v>0</v>
      </c>
      <c r="AJ169" s="198">
        <f>$E169*餐厅成本录入!AJ172</f>
        <v>0</v>
      </c>
      <c r="AK169" s="198">
        <f>$E169*餐厅成本录入!AK172</f>
        <v>0</v>
      </c>
      <c r="AL169" s="198">
        <f>$E169*餐厅成本录入!AL172</f>
        <v>0</v>
      </c>
      <c r="AM169" s="198">
        <f>$E169*餐厅成本录入!AM172</f>
        <v>0</v>
      </c>
      <c r="AN169" s="198">
        <f>$E169*餐厅成本录入!AN172</f>
        <v>0</v>
      </c>
      <c r="AO169" s="198">
        <f>$E169*餐厅成本录入!AO172</f>
        <v>0</v>
      </c>
      <c r="AP169" s="198">
        <f>$E169*餐厅成本录入!AP172</f>
        <v>0</v>
      </c>
      <c r="AQ169" s="198">
        <f>$E169*餐厅成本录入!AQ172</f>
        <v>0</v>
      </c>
      <c r="AR169" s="198">
        <f>$E169*餐厅成本录入!AR172</f>
        <v>0</v>
      </c>
      <c r="AS169" s="198">
        <f>$E169*餐厅成本录入!AS172</f>
        <v>0</v>
      </c>
      <c r="AT169" s="198">
        <f>$E169*餐厅成本录入!AT172</f>
        <v>0</v>
      </c>
      <c r="AU169" s="198">
        <f>$E169*餐厅成本录入!AU172</f>
        <v>0</v>
      </c>
      <c r="AV169" s="198">
        <f>$E169*餐厅成本录入!AV172</f>
        <v>0</v>
      </c>
      <c r="AW169" s="198">
        <f>$E169*餐厅成本录入!AW172</f>
        <v>0</v>
      </c>
      <c r="AX169" s="198">
        <f>$E169*餐厅成本录入!AX172</f>
        <v>0</v>
      </c>
      <c r="AY169" s="198">
        <f>$E169*餐厅成本录入!AY172</f>
        <v>0</v>
      </c>
      <c r="AZ169" s="198">
        <f>$E169*餐厅成本录入!AZ172</f>
        <v>0</v>
      </c>
      <c r="BA169" s="198">
        <f>$E169*餐厅成本录入!BA172</f>
        <v>0</v>
      </c>
      <c r="BB169" s="198">
        <f>$E169*餐厅成本录入!BB172</f>
        <v>0</v>
      </c>
      <c r="BC169" s="198">
        <f>$E169*餐厅成本录入!BC172</f>
        <v>0</v>
      </c>
      <c r="BD169" s="198">
        <f>$E169*餐厅成本录入!BD172</f>
        <v>0</v>
      </c>
      <c r="BE169" s="198">
        <f>$E169*餐厅成本录入!BE172</f>
        <v>0</v>
      </c>
      <c r="BF169" s="198">
        <f>$E169*餐厅成本录入!BF172</f>
        <v>0</v>
      </c>
      <c r="BG169" s="198">
        <f>$E169*餐厅成本录入!BG172</f>
        <v>0</v>
      </c>
      <c r="BH169" s="198">
        <f>$E169*餐厅成本录入!BH172</f>
        <v>0</v>
      </c>
      <c r="BI169" s="198">
        <f>$E169*餐厅成本录入!BI172</f>
        <v>0</v>
      </c>
      <c r="BJ169" s="198">
        <f>$E169*餐厅成本录入!BJ172</f>
        <v>0</v>
      </c>
      <c r="BK169" s="198">
        <f>$E169*餐厅成本录入!BK172</f>
        <v>0</v>
      </c>
      <c r="BL169" s="198">
        <f>$E169*餐厅成本录入!BL172</f>
        <v>0</v>
      </c>
      <c r="BM169" s="198">
        <f>$E169*餐厅成本录入!BM172</f>
        <v>0</v>
      </c>
      <c r="BN169" s="198">
        <f>$E169*餐厅成本录入!BN172</f>
        <v>0</v>
      </c>
      <c r="BO169" s="198">
        <f>$E169*餐厅成本录入!BO172</f>
        <v>0</v>
      </c>
      <c r="BP169" s="198">
        <f>$E169*餐厅成本录入!BP172</f>
        <v>0</v>
      </c>
      <c r="BQ169" s="198">
        <f>$E169*餐厅成本录入!BQ172</f>
        <v>0</v>
      </c>
      <c r="BR169" s="198">
        <f>$E169*餐厅成本录入!BR172</f>
        <v>0</v>
      </c>
      <c r="BS169" s="198">
        <f>$E169*餐厅成本录入!BS172</f>
        <v>0</v>
      </c>
      <c r="BT169" s="198">
        <f>$E169*餐厅成本录入!BT172</f>
        <v>0</v>
      </c>
      <c r="BU169" s="198">
        <f>$E169*餐厅成本录入!BU172</f>
        <v>0</v>
      </c>
      <c r="BV169" s="198">
        <f>$E169*餐厅成本录入!BV172</f>
        <v>0</v>
      </c>
      <c r="BW169" s="198">
        <f>$E169*餐厅成本录入!BW172</f>
        <v>0</v>
      </c>
    </row>
    <row r="170" s="178" customFormat="1" customHeight="1" spans="1:75">
      <c r="A170" s="161">
        <v>202</v>
      </c>
      <c r="B170" s="21" t="str">
        <f>餐厅成本录入!B170</f>
        <v>小米</v>
      </c>
      <c r="C170" s="21">
        <f>餐厅成本录入!C170</f>
        <v>0</v>
      </c>
      <c r="D170" s="21">
        <f>餐厅成本录入!D170</f>
        <v>0</v>
      </c>
      <c r="E170" s="21">
        <f>餐厅成本录入!E170</f>
        <v>4</v>
      </c>
      <c r="F170" s="21">
        <f>餐厅成本录入!F170</f>
        <v>0</v>
      </c>
      <c r="G170" s="21">
        <f>餐厅成本录入!G170</f>
        <v>0</v>
      </c>
      <c r="H170" s="21">
        <f>餐厅成本录入!H170</f>
        <v>120</v>
      </c>
      <c r="I170" s="21">
        <f>餐厅成本录入!I170</f>
        <v>480</v>
      </c>
      <c r="J170" s="21">
        <f>餐厅成本录入!J170</f>
        <v>120</v>
      </c>
      <c r="K170" s="21">
        <f>餐厅成本录入!K170</f>
        <v>480</v>
      </c>
      <c r="L170" s="21">
        <f>餐厅成本录入!L170</f>
        <v>0</v>
      </c>
      <c r="M170" s="21">
        <f>餐厅成本录入!M170</f>
        <v>0</v>
      </c>
      <c r="N170" s="198">
        <f>$E170*餐厅成本录入!N173</f>
        <v>0</v>
      </c>
      <c r="O170" s="198">
        <f>$E170*餐厅成本录入!O173</f>
        <v>0</v>
      </c>
      <c r="P170" s="198">
        <f>$E170*餐厅成本录入!P173</f>
        <v>0</v>
      </c>
      <c r="Q170" s="198">
        <f>$E170*餐厅成本录入!Q173</f>
        <v>0</v>
      </c>
      <c r="R170" s="198">
        <f>$E170*餐厅成本录入!R173</f>
        <v>8</v>
      </c>
      <c r="S170" s="198">
        <f>$E170*餐厅成本录入!S173</f>
        <v>8</v>
      </c>
      <c r="T170" s="198">
        <f>$E170*餐厅成本录入!T173</f>
        <v>0</v>
      </c>
      <c r="U170" s="198">
        <f>$E170*餐厅成本录入!U173</f>
        <v>0</v>
      </c>
      <c r="V170" s="198">
        <f>$E170*餐厅成本录入!V173</f>
        <v>0</v>
      </c>
      <c r="W170" s="198">
        <f>$E170*餐厅成本录入!W173</f>
        <v>0</v>
      </c>
      <c r="X170" s="198">
        <f>$E170*餐厅成本录入!X173</f>
        <v>0</v>
      </c>
      <c r="Y170" s="198">
        <f>$E170*餐厅成本录入!Y173</f>
        <v>0</v>
      </c>
      <c r="Z170" s="198">
        <f>$E170*餐厅成本录入!Z173</f>
        <v>0</v>
      </c>
      <c r="AA170" s="198">
        <f>$E170*餐厅成本录入!AA173</f>
        <v>0</v>
      </c>
      <c r="AB170" s="198">
        <f>$E170*餐厅成本录入!AB173</f>
        <v>0</v>
      </c>
      <c r="AC170" s="198">
        <f>$E170*餐厅成本录入!AC173</f>
        <v>0</v>
      </c>
      <c r="AD170" s="198">
        <f>$E170*餐厅成本录入!AD173</f>
        <v>0</v>
      </c>
      <c r="AE170" s="198">
        <f>$E170*餐厅成本录入!AE173</f>
        <v>0</v>
      </c>
      <c r="AF170" s="198">
        <f>$E170*餐厅成本录入!AF173</f>
        <v>0</v>
      </c>
      <c r="AG170" s="198">
        <f>$E170*餐厅成本录入!AG173</f>
        <v>0</v>
      </c>
      <c r="AH170" s="198">
        <f>$E170*餐厅成本录入!AH173</f>
        <v>0</v>
      </c>
      <c r="AI170" s="198">
        <f>$E170*餐厅成本录入!AI173</f>
        <v>0</v>
      </c>
      <c r="AJ170" s="198">
        <f>$E170*餐厅成本录入!AJ173</f>
        <v>0</v>
      </c>
      <c r="AK170" s="198">
        <f>$E170*餐厅成本录入!AK173</f>
        <v>0</v>
      </c>
      <c r="AL170" s="198">
        <f>$E170*餐厅成本录入!AL173</f>
        <v>0</v>
      </c>
      <c r="AM170" s="198">
        <f>$E170*餐厅成本录入!AM173</f>
        <v>0</v>
      </c>
      <c r="AN170" s="198">
        <f>$E170*餐厅成本录入!AN173</f>
        <v>0</v>
      </c>
      <c r="AO170" s="198">
        <f>$E170*餐厅成本录入!AO173</f>
        <v>0</v>
      </c>
      <c r="AP170" s="198">
        <f>$E170*餐厅成本录入!AP173</f>
        <v>0</v>
      </c>
      <c r="AQ170" s="198">
        <f>$E170*餐厅成本录入!AQ173</f>
        <v>0</v>
      </c>
      <c r="AR170" s="198">
        <f>$E170*餐厅成本录入!AR173</f>
        <v>0</v>
      </c>
      <c r="AS170" s="198">
        <f>$E170*餐厅成本录入!AS173</f>
        <v>0</v>
      </c>
      <c r="AT170" s="198">
        <f>$E170*餐厅成本录入!AT173</f>
        <v>0</v>
      </c>
      <c r="AU170" s="198">
        <f>$E170*餐厅成本录入!AU173</f>
        <v>0</v>
      </c>
      <c r="AV170" s="198">
        <f>$E170*餐厅成本录入!AV173</f>
        <v>0</v>
      </c>
      <c r="AW170" s="198">
        <f>$E170*餐厅成本录入!AW173</f>
        <v>0</v>
      </c>
      <c r="AX170" s="198">
        <f>$E170*餐厅成本录入!AX173</f>
        <v>0</v>
      </c>
      <c r="AY170" s="198">
        <f>$E170*餐厅成本录入!AY173</f>
        <v>0</v>
      </c>
      <c r="AZ170" s="198">
        <f>$E170*餐厅成本录入!AZ173</f>
        <v>0</v>
      </c>
      <c r="BA170" s="198">
        <f>$E170*餐厅成本录入!BA173</f>
        <v>0</v>
      </c>
      <c r="BB170" s="198">
        <f>$E170*餐厅成本录入!BB173</f>
        <v>0</v>
      </c>
      <c r="BC170" s="198">
        <f>$E170*餐厅成本录入!BC173</f>
        <v>0</v>
      </c>
      <c r="BD170" s="198">
        <f>$E170*餐厅成本录入!BD173</f>
        <v>8</v>
      </c>
      <c r="BE170" s="198">
        <f>$E170*餐厅成本录入!BE173</f>
        <v>8</v>
      </c>
      <c r="BF170" s="198">
        <f>$E170*餐厅成本录入!BF173</f>
        <v>0</v>
      </c>
      <c r="BG170" s="198">
        <f>$E170*餐厅成本录入!BG173</f>
        <v>0</v>
      </c>
      <c r="BH170" s="198">
        <f>$E170*餐厅成本录入!BH173</f>
        <v>0</v>
      </c>
      <c r="BI170" s="198">
        <f>$E170*餐厅成本录入!BI173</f>
        <v>0</v>
      </c>
      <c r="BJ170" s="198">
        <f>$E170*餐厅成本录入!BJ173</f>
        <v>0</v>
      </c>
      <c r="BK170" s="198">
        <f>$E170*餐厅成本录入!BK173</f>
        <v>0</v>
      </c>
      <c r="BL170" s="198">
        <f>$E170*餐厅成本录入!BL173</f>
        <v>0</v>
      </c>
      <c r="BM170" s="198">
        <f>$E170*餐厅成本录入!BM173</f>
        <v>0</v>
      </c>
      <c r="BN170" s="198">
        <f>$E170*餐厅成本录入!BN173</f>
        <v>0</v>
      </c>
      <c r="BO170" s="198">
        <f>$E170*餐厅成本录入!BO173</f>
        <v>0</v>
      </c>
      <c r="BP170" s="198">
        <f>$E170*餐厅成本录入!BP173</f>
        <v>0</v>
      </c>
      <c r="BQ170" s="198">
        <f>$E170*餐厅成本录入!BQ173</f>
        <v>0</v>
      </c>
      <c r="BR170" s="198">
        <f>$E170*餐厅成本录入!BR173</f>
        <v>0</v>
      </c>
      <c r="BS170" s="198">
        <f>$E170*餐厅成本录入!BS173</f>
        <v>0</v>
      </c>
      <c r="BT170" s="198">
        <f>$E170*餐厅成本录入!BT173</f>
        <v>0</v>
      </c>
      <c r="BU170" s="198">
        <f>$E170*餐厅成本录入!BU173</f>
        <v>0</v>
      </c>
      <c r="BV170" s="198">
        <f>$E170*餐厅成本录入!BV173</f>
        <v>0</v>
      </c>
      <c r="BW170" s="198">
        <f>$E170*餐厅成本录入!BW173</f>
        <v>0</v>
      </c>
    </row>
    <row r="171" s="178" customFormat="1" customHeight="1" spans="1:75">
      <c r="A171" s="161">
        <v>203</v>
      </c>
      <c r="B171" s="21" t="str">
        <f>餐厅成本录入!B171</f>
        <v>大保鲜膜</v>
      </c>
      <c r="C171" s="21">
        <f>餐厅成本录入!C171</f>
        <v>0</v>
      </c>
      <c r="D171" s="21" t="str">
        <f>餐厅成本录入!D171</f>
        <v>件</v>
      </c>
      <c r="E171" s="21">
        <f>餐厅成本录入!E171</f>
        <v>150</v>
      </c>
      <c r="F171" s="21">
        <f>餐厅成本录入!F171</f>
        <v>0</v>
      </c>
      <c r="G171" s="21">
        <f>餐厅成本录入!G171</f>
        <v>0</v>
      </c>
      <c r="H171" s="21">
        <f>餐厅成本录入!H171</f>
        <v>1</v>
      </c>
      <c r="I171" s="21">
        <f>餐厅成本录入!I171</f>
        <v>150</v>
      </c>
      <c r="J171" s="21">
        <f>餐厅成本录入!J171</f>
        <v>1</v>
      </c>
      <c r="K171" s="21">
        <f>餐厅成本录入!K171</f>
        <v>150</v>
      </c>
      <c r="L171" s="21">
        <f>餐厅成本录入!L171</f>
        <v>0</v>
      </c>
      <c r="M171" s="21">
        <f>餐厅成本录入!M171</f>
        <v>0</v>
      </c>
      <c r="N171" s="198">
        <f>$E171*餐厅成本录入!N174</f>
        <v>0</v>
      </c>
      <c r="O171" s="198">
        <f>$E171*餐厅成本录入!O174</f>
        <v>0</v>
      </c>
      <c r="P171" s="198">
        <f>$E171*餐厅成本录入!P174</f>
        <v>0</v>
      </c>
      <c r="Q171" s="198">
        <f>$E171*餐厅成本录入!Q174</f>
        <v>0</v>
      </c>
      <c r="R171" s="198">
        <f>$E171*餐厅成本录入!R174</f>
        <v>0</v>
      </c>
      <c r="S171" s="198">
        <f>$E171*餐厅成本录入!S174</f>
        <v>0</v>
      </c>
      <c r="T171" s="198">
        <f>$E171*餐厅成本录入!T174</f>
        <v>0</v>
      </c>
      <c r="U171" s="198">
        <f>$E171*餐厅成本录入!U174</f>
        <v>0</v>
      </c>
      <c r="V171" s="198">
        <f>$E171*餐厅成本录入!V174</f>
        <v>900</v>
      </c>
      <c r="W171" s="198">
        <f>$E171*餐厅成本录入!W174</f>
        <v>900</v>
      </c>
      <c r="X171" s="198">
        <f>$E171*餐厅成本录入!X174</f>
        <v>0</v>
      </c>
      <c r="Y171" s="198">
        <f>$E171*餐厅成本录入!Y174</f>
        <v>0</v>
      </c>
      <c r="Z171" s="198">
        <f>$E171*餐厅成本录入!Z174</f>
        <v>0</v>
      </c>
      <c r="AA171" s="198">
        <f>$E171*餐厅成本录入!AA174</f>
        <v>0</v>
      </c>
      <c r="AB171" s="198">
        <f>$E171*餐厅成本录入!AB174</f>
        <v>0</v>
      </c>
      <c r="AC171" s="198">
        <f>$E171*餐厅成本录入!AC174</f>
        <v>0</v>
      </c>
      <c r="AD171" s="198">
        <f>$E171*餐厅成本录入!AD174</f>
        <v>0</v>
      </c>
      <c r="AE171" s="198">
        <f>$E171*餐厅成本录入!AE174</f>
        <v>0</v>
      </c>
      <c r="AF171" s="198">
        <f>$E171*餐厅成本录入!AF174</f>
        <v>0</v>
      </c>
      <c r="AG171" s="198">
        <f>$E171*餐厅成本录入!AG174</f>
        <v>0</v>
      </c>
      <c r="AH171" s="198">
        <f>$E171*餐厅成本录入!AH174</f>
        <v>0</v>
      </c>
      <c r="AI171" s="198">
        <f>$E171*餐厅成本录入!AI174</f>
        <v>0</v>
      </c>
      <c r="AJ171" s="198">
        <f>$E171*餐厅成本录入!AJ174</f>
        <v>0</v>
      </c>
      <c r="AK171" s="198">
        <f>$E171*餐厅成本录入!AK174</f>
        <v>0</v>
      </c>
      <c r="AL171" s="198">
        <f>$E171*餐厅成本录入!AL174</f>
        <v>0</v>
      </c>
      <c r="AM171" s="198">
        <f>$E171*餐厅成本录入!AM174</f>
        <v>0</v>
      </c>
      <c r="AN171" s="198">
        <f>$E171*餐厅成本录入!AN174</f>
        <v>0</v>
      </c>
      <c r="AO171" s="198">
        <f>$E171*餐厅成本录入!AO174</f>
        <v>0</v>
      </c>
      <c r="AP171" s="198">
        <f>$E171*餐厅成本录入!AP174</f>
        <v>0</v>
      </c>
      <c r="AQ171" s="198">
        <f>$E171*餐厅成本录入!AQ174</f>
        <v>0</v>
      </c>
      <c r="AR171" s="198">
        <f>$E171*餐厅成本录入!AR174</f>
        <v>0</v>
      </c>
      <c r="AS171" s="198">
        <f>$E171*餐厅成本录入!AS174</f>
        <v>0</v>
      </c>
      <c r="AT171" s="198">
        <f>$E171*餐厅成本录入!AT174</f>
        <v>0</v>
      </c>
      <c r="AU171" s="198">
        <f>$E171*餐厅成本录入!AU174</f>
        <v>0</v>
      </c>
      <c r="AV171" s="198">
        <f>$E171*餐厅成本录入!AV174</f>
        <v>0</v>
      </c>
      <c r="AW171" s="198">
        <f>$E171*餐厅成本录入!AW174</f>
        <v>0</v>
      </c>
      <c r="AX171" s="198">
        <f>$E171*餐厅成本录入!AX174</f>
        <v>0</v>
      </c>
      <c r="AY171" s="198">
        <f>$E171*餐厅成本录入!AY174</f>
        <v>0</v>
      </c>
      <c r="AZ171" s="198">
        <f>$E171*餐厅成本录入!AZ174</f>
        <v>0</v>
      </c>
      <c r="BA171" s="198">
        <f>$E171*餐厅成本录入!BA174</f>
        <v>0</v>
      </c>
      <c r="BB171" s="198">
        <f>$E171*餐厅成本录入!BB174</f>
        <v>0</v>
      </c>
      <c r="BC171" s="198">
        <f>$E171*餐厅成本录入!BC174</f>
        <v>0</v>
      </c>
      <c r="BD171" s="198">
        <f>$E171*餐厅成本录入!BD174</f>
        <v>0</v>
      </c>
      <c r="BE171" s="198">
        <f>$E171*餐厅成本录入!BE174</f>
        <v>0</v>
      </c>
      <c r="BF171" s="198">
        <f>$E171*餐厅成本录入!BF174</f>
        <v>0</v>
      </c>
      <c r="BG171" s="198">
        <f>$E171*餐厅成本录入!BG174</f>
        <v>0</v>
      </c>
      <c r="BH171" s="198">
        <f>$E171*餐厅成本录入!BH174</f>
        <v>0</v>
      </c>
      <c r="BI171" s="198">
        <f>$E171*餐厅成本录入!BI174</f>
        <v>0</v>
      </c>
      <c r="BJ171" s="198">
        <f>$E171*餐厅成本录入!BJ174</f>
        <v>0</v>
      </c>
      <c r="BK171" s="198">
        <f>$E171*餐厅成本录入!BK174</f>
        <v>0</v>
      </c>
      <c r="BL171" s="198">
        <f>$E171*餐厅成本录入!BL174</f>
        <v>0</v>
      </c>
      <c r="BM171" s="198">
        <f>$E171*餐厅成本录入!BM174</f>
        <v>0</v>
      </c>
      <c r="BN171" s="198">
        <f>$E171*餐厅成本录入!BN174</f>
        <v>0</v>
      </c>
      <c r="BO171" s="198">
        <f>$E171*餐厅成本录入!BO174</f>
        <v>0</v>
      </c>
      <c r="BP171" s="198">
        <f>$E171*餐厅成本录入!BP174</f>
        <v>0</v>
      </c>
      <c r="BQ171" s="198">
        <f>$E171*餐厅成本录入!BQ174</f>
        <v>0</v>
      </c>
      <c r="BR171" s="198">
        <f>$E171*餐厅成本录入!BR174</f>
        <v>0</v>
      </c>
      <c r="BS171" s="198">
        <f>$E171*餐厅成本录入!BS174</f>
        <v>0</v>
      </c>
      <c r="BT171" s="198">
        <f>$E171*餐厅成本录入!BT174</f>
        <v>0</v>
      </c>
      <c r="BU171" s="198">
        <f>$E171*餐厅成本录入!BU174</f>
        <v>0</v>
      </c>
      <c r="BV171" s="198">
        <f>$E171*餐厅成本录入!BV174</f>
        <v>0</v>
      </c>
      <c r="BW171" s="198">
        <f>$E171*餐厅成本录入!BW174</f>
        <v>0</v>
      </c>
    </row>
    <row r="172" s="178" customFormat="1" customHeight="1" spans="1:75">
      <c r="A172" s="161">
        <v>204</v>
      </c>
      <c r="B172" s="21" t="str">
        <f>餐厅成本录入!B172</f>
        <v>小保鲜膜</v>
      </c>
      <c r="C172" s="21">
        <f>餐厅成本录入!C172</f>
        <v>0</v>
      </c>
      <c r="D172" s="21" t="str">
        <f>餐厅成本录入!D172</f>
        <v>个</v>
      </c>
      <c r="E172" s="21">
        <f>餐厅成本录入!E172</f>
        <v>20</v>
      </c>
      <c r="F172" s="21">
        <f>餐厅成本录入!F172</f>
        <v>0</v>
      </c>
      <c r="G172" s="21">
        <f>餐厅成本录入!G172</f>
        <v>0</v>
      </c>
      <c r="H172" s="21">
        <f>餐厅成本录入!H172</f>
        <v>2</v>
      </c>
      <c r="I172" s="21">
        <f>餐厅成本录入!I172</f>
        <v>40</v>
      </c>
      <c r="J172" s="21">
        <f>餐厅成本录入!J172</f>
        <v>2</v>
      </c>
      <c r="K172" s="21">
        <f>餐厅成本录入!K172</f>
        <v>40</v>
      </c>
      <c r="L172" s="21">
        <f>餐厅成本录入!L172</f>
        <v>0</v>
      </c>
      <c r="M172" s="21">
        <f>餐厅成本录入!M172</f>
        <v>0</v>
      </c>
      <c r="N172" s="198">
        <f>$E172*餐厅成本录入!N175</f>
        <v>0</v>
      </c>
      <c r="O172" s="198">
        <f>$E172*餐厅成本录入!O175</f>
        <v>0</v>
      </c>
      <c r="P172" s="198">
        <f>$E172*餐厅成本录入!P175</f>
        <v>0</v>
      </c>
      <c r="Q172" s="198">
        <f>$E172*餐厅成本录入!Q175</f>
        <v>0</v>
      </c>
      <c r="R172" s="198">
        <f>$E172*餐厅成本录入!R175</f>
        <v>0</v>
      </c>
      <c r="S172" s="198">
        <f>$E172*餐厅成本录入!S175</f>
        <v>0</v>
      </c>
      <c r="T172" s="198">
        <f>$E172*餐厅成本录入!T175</f>
        <v>0</v>
      </c>
      <c r="U172" s="198">
        <f>$E172*餐厅成本录入!U175</f>
        <v>0</v>
      </c>
      <c r="V172" s="198">
        <f>$E172*餐厅成本录入!V175</f>
        <v>40</v>
      </c>
      <c r="W172" s="198">
        <f>$E172*餐厅成本录入!W175</f>
        <v>40</v>
      </c>
      <c r="X172" s="198">
        <f>$E172*餐厅成本录入!X175</f>
        <v>0</v>
      </c>
      <c r="Y172" s="198">
        <f>$E172*餐厅成本录入!Y175</f>
        <v>0</v>
      </c>
      <c r="Z172" s="198">
        <f>$E172*餐厅成本录入!Z175</f>
        <v>0</v>
      </c>
      <c r="AA172" s="198">
        <f>$E172*餐厅成本录入!AA175</f>
        <v>0</v>
      </c>
      <c r="AB172" s="198">
        <f>$E172*餐厅成本录入!AB175</f>
        <v>0</v>
      </c>
      <c r="AC172" s="198">
        <f>$E172*餐厅成本录入!AC175</f>
        <v>0</v>
      </c>
      <c r="AD172" s="198">
        <f>$E172*餐厅成本录入!AD175</f>
        <v>0</v>
      </c>
      <c r="AE172" s="198">
        <f>$E172*餐厅成本录入!AE175</f>
        <v>0</v>
      </c>
      <c r="AF172" s="198">
        <f>$E172*餐厅成本录入!AF175</f>
        <v>0</v>
      </c>
      <c r="AG172" s="198">
        <f>$E172*餐厅成本录入!AG175</f>
        <v>0</v>
      </c>
      <c r="AH172" s="198">
        <f>$E172*餐厅成本录入!AH175</f>
        <v>0</v>
      </c>
      <c r="AI172" s="198">
        <f>$E172*餐厅成本录入!AI175</f>
        <v>0</v>
      </c>
      <c r="AJ172" s="198">
        <f>$E172*餐厅成本录入!AJ175</f>
        <v>0</v>
      </c>
      <c r="AK172" s="198">
        <f>$E172*餐厅成本录入!AK175</f>
        <v>0</v>
      </c>
      <c r="AL172" s="198">
        <f>$E172*餐厅成本录入!AL175</f>
        <v>0</v>
      </c>
      <c r="AM172" s="198">
        <f>$E172*餐厅成本录入!AM175</f>
        <v>0</v>
      </c>
      <c r="AN172" s="198">
        <f>$E172*餐厅成本录入!AN175</f>
        <v>0</v>
      </c>
      <c r="AO172" s="198">
        <f>$E172*餐厅成本录入!AO175</f>
        <v>0</v>
      </c>
      <c r="AP172" s="198">
        <f>$E172*餐厅成本录入!AP175</f>
        <v>0</v>
      </c>
      <c r="AQ172" s="198">
        <f>$E172*餐厅成本录入!AQ175</f>
        <v>0</v>
      </c>
      <c r="AR172" s="198">
        <f>$E172*餐厅成本录入!AR175</f>
        <v>0</v>
      </c>
      <c r="AS172" s="198">
        <f>$E172*餐厅成本录入!AS175</f>
        <v>0</v>
      </c>
      <c r="AT172" s="198">
        <f>$E172*餐厅成本录入!AT175</f>
        <v>0</v>
      </c>
      <c r="AU172" s="198">
        <f>$E172*餐厅成本录入!AU175</f>
        <v>0</v>
      </c>
      <c r="AV172" s="198">
        <f>$E172*餐厅成本录入!AV175</f>
        <v>0</v>
      </c>
      <c r="AW172" s="198">
        <f>$E172*餐厅成本录入!AW175</f>
        <v>0</v>
      </c>
      <c r="AX172" s="198">
        <f>$E172*餐厅成本录入!AX175</f>
        <v>0</v>
      </c>
      <c r="AY172" s="198">
        <f>$E172*餐厅成本录入!AY175</f>
        <v>0</v>
      </c>
      <c r="AZ172" s="198">
        <f>$E172*餐厅成本录入!AZ175</f>
        <v>0</v>
      </c>
      <c r="BA172" s="198">
        <f>$E172*餐厅成本录入!BA175</f>
        <v>0</v>
      </c>
      <c r="BB172" s="198">
        <f>$E172*餐厅成本录入!BB175</f>
        <v>0</v>
      </c>
      <c r="BC172" s="198">
        <f>$E172*餐厅成本录入!BC175</f>
        <v>0</v>
      </c>
      <c r="BD172" s="198">
        <f>$E172*餐厅成本录入!BD175</f>
        <v>0</v>
      </c>
      <c r="BE172" s="198">
        <f>$E172*餐厅成本录入!BE175</f>
        <v>0</v>
      </c>
      <c r="BF172" s="198">
        <f>$E172*餐厅成本录入!BF175</f>
        <v>0</v>
      </c>
      <c r="BG172" s="198">
        <f>$E172*餐厅成本录入!BG175</f>
        <v>0</v>
      </c>
      <c r="BH172" s="198">
        <f>$E172*餐厅成本录入!BH175</f>
        <v>0</v>
      </c>
      <c r="BI172" s="198">
        <f>$E172*餐厅成本录入!BI175</f>
        <v>0</v>
      </c>
      <c r="BJ172" s="198">
        <f>$E172*餐厅成本录入!BJ175</f>
        <v>0</v>
      </c>
      <c r="BK172" s="198">
        <f>$E172*餐厅成本录入!BK175</f>
        <v>0</v>
      </c>
      <c r="BL172" s="198">
        <f>$E172*餐厅成本录入!BL175</f>
        <v>0</v>
      </c>
      <c r="BM172" s="198">
        <f>$E172*餐厅成本录入!BM175</f>
        <v>0</v>
      </c>
      <c r="BN172" s="198">
        <f>$E172*餐厅成本录入!BN175</f>
        <v>0</v>
      </c>
      <c r="BO172" s="198">
        <f>$E172*餐厅成本录入!BO175</f>
        <v>0</v>
      </c>
      <c r="BP172" s="198">
        <f>$E172*餐厅成本录入!BP175</f>
        <v>0</v>
      </c>
      <c r="BQ172" s="198">
        <f>$E172*餐厅成本录入!BQ175</f>
        <v>0</v>
      </c>
      <c r="BR172" s="198">
        <f>$E172*餐厅成本录入!BR175</f>
        <v>0</v>
      </c>
      <c r="BS172" s="198">
        <f>$E172*餐厅成本录入!BS175</f>
        <v>0</v>
      </c>
      <c r="BT172" s="198">
        <f>$E172*餐厅成本录入!BT175</f>
        <v>0</v>
      </c>
      <c r="BU172" s="198">
        <f>$E172*餐厅成本录入!BU175</f>
        <v>0</v>
      </c>
      <c r="BV172" s="198">
        <f>$E172*餐厅成本录入!BV175</f>
        <v>0</v>
      </c>
      <c r="BW172" s="198">
        <f>$E172*餐厅成本录入!BW175</f>
        <v>0</v>
      </c>
    </row>
    <row r="173" s="178" customFormat="1" customHeight="1" spans="1:75">
      <c r="A173" s="161">
        <v>205</v>
      </c>
      <c r="B173" s="21" t="str">
        <f>餐厅成本录入!B173</f>
        <v>洗洁精</v>
      </c>
      <c r="C173" s="21">
        <f>餐厅成本录入!C173</f>
        <v>0</v>
      </c>
      <c r="D173" s="21" t="str">
        <f>餐厅成本录入!D173</f>
        <v>桶</v>
      </c>
      <c r="E173" s="21">
        <f>餐厅成本录入!E173</f>
        <v>50</v>
      </c>
      <c r="F173" s="21">
        <f>餐厅成本录入!F173</f>
        <v>0</v>
      </c>
      <c r="G173" s="21">
        <f>餐厅成本录入!G173</f>
        <v>0</v>
      </c>
      <c r="H173" s="21">
        <f>餐厅成本录入!H173</f>
        <v>4</v>
      </c>
      <c r="I173" s="21">
        <f>餐厅成本录入!I173</f>
        <v>200</v>
      </c>
      <c r="J173" s="21">
        <f>餐厅成本录入!J173</f>
        <v>4</v>
      </c>
      <c r="K173" s="21">
        <f>餐厅成本录入!K173</f>
        <v>200</v>
      </c>
      <c r="L173" s="21">
        <f>餐厅成本录入!L173</f>
        <v>0</v>
      </c>
      <c r="M173" s="21">
        <f>餐厅成本录入!M173</f>
        <v>0</v>
      </c>
      <c r="N173" s="198">
        <f>$E173*餐厅成本录入!N176</f>
        <v>0</v>
      </c>
      <c r="O173" s="198">
        <f>$E173*餐厅成本录入!O176</f>
        <v>0</v>
      </c>
      <c r="P173" s="198">
        <f>$E173*餐厅成本录入!P176</f>
        <v>0</v>
      </c>
      <c r="Q173" s="198">
        <f>$E173*餐厅成本录入!Q176</f>
        <v>0</v>
      </c>
      <c r="R173" s="198">
        <f>$E173*餐厅成本录入!R176</f>
        <v>0</v>
      </c>
      <c r="S173" s="198">
        <f>$E173*餐厅成本录入!S176</f>
        <v>0</v>
      </c>
      <c r="T173" s="198">
        <f>$E173*餐厅成本录入!T176</f>
        <v>0</v>
      </c>
      <c r="U173" s="198">
        <f>$E173*餐厅成本录入!U176</f>
        <v>0</v>
      </c>
      <c r="V173" s="198">
        <f>$E173*餐厅成本录入!V176</f>
        <v>0</v>
      </c>
      <c r="W173" s="198">
        <f>$E173*餐厅成本录入!W176</f>
        <v>0</v>
      </c>
      <c r="X173" s="198">
        <f>$E173*餐厅成本录入!X176</f>
        <v>0</v>
      </c>
      <c r="Y173" s="198">
        <f>$E173*餐厅成本录入!Y176</f>
        <v>0</v>
      </c>
      <c r="Z173" s="198">
        <f>$E173*餐厅成本录入!Z176</f>
        <v>0</v>
      </c>
      <c r="AA173" s="198">
        <f>$E173*餐厅成本录入!AA176</f>
        <v>0</v>
      </c>
      <c r="AB173" s="198">
        <f>$E173*餐厅成本录入!AB176</f>
        <v>0</v>
      </c>
      <c r="AC173" s="198">
        <f>$E173*餐厅成本录入!AC176</f>
        <v>0</v>
      </c>
      <c r="AD173" s="198">
        <f>$E173*餐厅成本录入!AD176</f>
        <v>0</v>
      </c>
      <c r="AE173" s="198">
        <f>$E173*餐厅成本录入!AE176</f>
        <v>0</v>
      </c>
      <c r="AF173" s="198">
        <f>$E173*餐厅成本录入!AF176</f>
        <v>0</v>
      </c>
      <c r="AG173" s="198">
        <f>$E173*餐厅成本录入!AG176</f>
        <v>0</v>
      </c>
      <c r="AH173" s="198">
        <f>$E173*餐厅成本录入!AH176</f>
        <v>0</v>
      </c>
      <c r="AI173" s="198">
        <f>$E173*餐厅成本录入!AI176</f>
        <v>0</v>
      </c>
      <c r="AJ173" s="198">
        <f>$E173*餐厅成本录入!AJ176</f>
        <v>0</v>
      </c>
      <c r="AK173" s="198">
        <f>$E173*餐厅成本录入!AK176</f>
        <v>0</v>
      </c>
      <c r="AL173" s="198">
        <f>$E173*餐厅成本录入!AL176</f>
        <v>0</v>
      </c>
      <c r="AM173" s="198">
        <f>$E173*餐厅成本录入!AM176</f>
        <v>0</v>
      </c>
      <c r="AN173" s="198">
        <f>$E173*餐厅成本录入!AN176</f>
        <v>0</v>
      </c>
      <c r="AO173" s="198">
        <f>$E173*餐厅成本录入!AO176</f>
        <v>0</v>
      </c>
      <c r="AP173" s="198">
        <f>$E173*餐厅成本录入!AP176</f>
        <v>0</v>
      </c>
      <c r="AQ173" s="198">
        <f>$E173*餐厅成本录入!AQ176</f>
        <v>0</v>
      </c>
      <c r="AR173" s="198">
        <f>$E173*餐厅成本录入!AR176</f>
        <v>0</v>
      </c>
      <c r="AS173" s="198">
        <f>$E173*餐厅成本录入!AS176</f>
        <v>0</v>
      </c>
      <c r="AT173" s="198">
        <f>$E173*餐厅成本录入!AT176</f>
        <v>0</v>
      </c>
      <c r="AU173" s="198">
        <f>$E173*餐厅成本录入!AU176</f>
        <v>0</v>
      </c>
      <c r="AV173" s="198">
        <f>$E173*餐厅成本录入!AV176</f>
        <v>0</v>
      </c>
      <c r="AW173" s="198">
        <f>$E173*餐厅成本录入!AW176</f>
        <v>0</v>
      </c>
      <c r="AX173" s="198">
        <f>$E173*餐厅成本录入!AX176</f>
        <v>0</v>
      </c>
      <c r="AY173" s="198">
        <f>$E173*餐厅成本录入!AY176</f>
        <v>0</v>
      </c>
      <c r="AZ173" s="198">
        <f>$E173*餐厅成本录入!AZ176</f>
        <v>0</v>
      </c>
      <c r="BA173" s="198">
        <f>$E173*餐厅成本录入!BA176</f>
        <v>0</v>
      </c>
      <c r="BB173" s="198">
        <f>$E173*餐厅成本录入!BB176</f>
        <v>0</v>
      </c>
      <c r="BC173" s="198">
        <f>$E173*餐厅成本录入!BC176</f>
        <v>0</v>
      </c>
      <c r="BD173" s="198">
        <f>$E173*餐厅成本录入!BD176</f>
        <v>0</v>
      </c>
      <c r="BE173" s="198">
        <f>$E173*餐厅成本录入!BE176</f>
        <v>0</v>
      </c>
      <c r="BF173" s="198">
        <f>$E173*餐厅成本录入!BF176</f>
        <v>0</v>
      </c>
      <c r="BG173" s="198">
        <f>$E173*餐厅成本录入!BG176</f>
        <v>0</v>
      </c>
      <c r="BH173" s="198">
        <f>$E173*餐厅成本录入!BH176</f>
        <v>0</v>
      </c>
      <c r="BI173" s="198">
        <f>$E173*餐厅成本录入!BI176</f>
        <v>0</v>
      </c>
      <c r="BJ173" s="198">
        <f>$E173*餐厅成本录入!BJ176</f>
        <v>0</v>
      </c>
      <c r="BK173" s="198">
        <f>$E173*餐厅成本录入!BK176</f>
        <v>0</v>
      </c>
      <c r="BL173" s="198">
        <f>$E173*餐厅成本录入!BL176</f>
        <v>0</v>
      </c>
      <c r="BM173" s="198">
        <f>$E173*餐厅成本录入!BM176</f>
        <v>0</v>
      </c>
      <c r="BN173" s="198">
        <f>$E173*餐厅成本录入!BN176</f>
        <v>1000</v>
      </c>
      <c r="BO173" s="198">
        <f>$E173*餐厅成本录入!BO176</f>
        <v>1000</v>
      </c>
      <c r="BP173" s="198">
        <f>$E173*餐厅成本录入!BP176</f>
        <v>0</v>
      </c>
      <c r="BQ173" s="198">
        <f>$E173*餐厅成本录入!BQ176</f>
        <v>0</v>
      </c>
      <c r="BR173" s="198">
        <f>$E173*餐厅成本录入!BR176</f>
        <v>0</v>
      </c>
      <c r="BS173" s="198">
        <f>$E173*餐厅成本录入!BS176</f>
        <v>0</v>
      </c>
      <c r="BT173" s="198">
        <f>$E173*餐厅成本录入!BT176</f>
        <v>0</v>
      </c>
      <c r="BU173" s="198">
        <f>$E173*餐厅成本录入!BU176</f>
        <v>0</v>
      </c>
      <c r="BV173" s="198">
        <f>$E173*餐厅成本录入!BV176</f>
        <v>0</v>
      </c>
      <c r="BW173" s="198">
        <f>$E173*餐厅成本录入!BW176</f>
        <v>0</v>
      </c>
    </row>
    <row r="174" s="178" customFormat="1" customHeight="1" spans="1:75">
      <c r="A174" s="161">
        <v>206</v>
      </c>
      <c r="B174" s="21" t="str">
        <f>餐厅成本录入!B174</f>
        <v>火碱</v>
      </c>
      <c r="C174" s="21">
        <f>餐厅成本录入!C174</f>
        <v>0</v>
      </c>
      <c r="D174" s="21" t="str">
        <f>餐厅成本录入!D174</f>
        <v>包</v>
      </c>
      <c r="E174" s="21">
        <f>餐厅成本录入!E174</f>
        <v>10</v>
      </c>
      <c r="F174" s="21">
        <f>餐厅成本录入!F174</f>
        <v>0</v>
      </c>
      <c r="G174" s="21">
        <f>餐厅成本录入!G174</f>
        <v>0</v>
      </c>
      <c r="H174" s="21">
        <f>餐厅成本录入!H174</f>
        <v>6</v>
      </c>
      <c r="I174" s="21">
        <f>餐厅成本录入!I174</f>
        <v>60</v>
      </c>
      <c r="J174" s="21">
        <f>餐厅成本录入!J174</f>
        <v>6</v>
      </c>
      <c r="K174" s="21">
        <f>餐厅成本录入!K174</f>
        <v>60</v>
      </c>
      <c r="L174" s="21">
        <f>餐厅成本录入!L174</f>
        <v>0</v>
      </c>
      <c r="M174" s="21">
        <f>餐厅成本录入!M174</f>
        <v>0</v>
      </c>
      <c r="N174" s="198">
        <f>$E174*餐厅成本录入!N177</f>
        <v>0</v>
      </c>
      <c r="O174" s="198">
        <f>$E174*餐厅成本录入!O177</f>
        <v>0</v>
      </c>
      <c r="P174" s="198">
        <f>$E174*餐厅成本录入!P177</f>
        <v>0</v>
      </c>
      <c r="Q174" s="198">
        <f>$E174*餐厅成本录入!Q177</f>
        <v>0</v>
      </c>
      <c r="R174" s="198">
        <f>$E174*餐厅成本录入!R177</f>
        <v>0</v>
      </c>
      <c r="S174" s="198">
        <f>$E174*餐厅成本录入!S177</f>
        <v>0</v>
      </c>
      <c r="T174" s="198">
        <f>$E174*餐厅成本录入!T177</f>
        <v>0</v>
      </c>
      <c r="U174" s="198">
        <f>$E174*餐厅成本录入!U177</f>
        <v>0</v>
      </c>
      <c r="V174" s="198">
        <f>$E174*餐厅成本录入!V177</f>
        <v>0</v>
      </c>
      <c r="W174" s="198">
        <f>$E174*餐厅成本录入!W177</f>
        <v>0</v>
      </c>
      <c r="X174" s="198">
        <f>$E174*餐厅成本录入!X177</f>
        <v>60</v>
      </c>
      <c r="Y174" s="198">
        <f>$E174*餐厅成本录入!Y177</f>
        <v>60</v>
      </c>
      <c r="Z174" s="198">
        <f>$E174*餐厅成本录入!Z177</f>
        <v>0</v>
      </c>
      <c r="AA174" s="198">
        <f>$E174*餐厅成本录入!AA177</f>
        <v>0</v>
      </c>
      <c r="AB174" s="198">
        <f>$E174*餐厅成本录入!AB177</f>
        <v>0</v>
      </c>
      <c r="AC174" s="198">
        <f>$E174*餐厅成本录入!AC177</f>
        <v>0</v>
      </c>
      <c r="AD174" s="198">
        <f>$E174*餐厅成本录入!AD177</f>
        <v>0</v>
      </c>
      <c r="AE174" s="198">
        <f>$E174*餐厅成本录入!AE177</f>
        <v>0</v>
      </c>
      <c r="AF174" s="198">
        <f>$E174*餐厅成本录入!AF177</f>
        <v>0</v>
      </c>
      <c r="AG174" s="198">
        <f>$E174*餐厅成本录入!AG177</f>
        <v>0</v>
      </c>
      <c r="AH174" s="198">
        <f>$E174*餐厅成本录入!AH177</f>
        <v>0</v>
      </c>
      <c r="AI174" s="198">
        <f>$E174*餐厅成本录入!AI177</f>
        <v>0</v>
      </c>
      <c r="AJ174" s="198">
        <f>$E174*餐厅成本录入!AJ177</f>
        <v>0</v>
      </c>
      <c r="AK174" s="198">
        <f>$E174*餐厅成本录入!AK177</f>
        <v>0</v>
      </c>
      <c r="AL174" s="198">
        <f>$E174*餐厅成本录入!AL177</f>
        <v>0</v>
      </c>
      <c r="AM174" s="198">
        <f>$E174*餐厅成本录入!AM177</f>
        <v>0</v>
      </c>
      <c r="AN174" s="198">
        <f>$E174*餐厅成本录入!AN177</f>
        <v>0</v>
      </c>
      <c r="AO174" s="198">
        <f>$E174*餐厅成本录入!AO177</f>
        <v>0</v>
      </c>
      <c r="AP174" s="198">
        <f>$E174*餐厅成本录入!AP177</f>
        <v>0</v>
      </c>
      <c r="AQ174" s="198">
        <f>$E174*餐厅成本录入!AQ177</f>
        <v>0</v>
      </c>
      <c r="AR174" s="198">
        <f>$E174*餐厅成本录入!AR177</f>
        <v>0</v>
      </c>
      <c r="AS174" s="198">
        <f>$E174*餐厅成本录入!AS177</f>
        <v>0</v>
      </c>
      <c r="AT174" s="198">
        <f>$E174*餐厅成本录入!AT177</f>
        <v>60</v>
      </c>
      <c r="AU174" s="198">
        <f>$E174*餐厅成本录入!AU177</f>
        <v>60</v>
      </c>
      <c r="AV174" s="198">
        <f>$E174*餐厅成本录入!AV177</f>
        <v>0</v>
      </c>
      <c r="AW174" s="198">
        <f>$E174*餐厅成本录入!AW177</f>
        <v>0</v>
      </c>
      <c r="AX174" s="198">
        <f>$E174*餐厅成本录入!AX177</f>
        <v>0</v>
      </c>
      <c r="AY174" s="198">
        <f>$E174*餐厅成本录入!AY177</f>
        <v>0</v>
      </c>
      <c r="AZ174" s="198">
        <f>$E174*餐厅成本录入!AZ177</f>
        <v>0</v>
      </c>
      <c r="BA174" s="198">
        <f>$E174*餐厅成本录入!BA177</f>
        <v>0</v>
      </c>
      <c r="BB174" s="198">
        <f>$E174*餐厅成本录入!BB177</f>
        <v>0</v>
      </c>
      <c r="BC174" s="198">
        <f>$E174*餐厅成本录入!BC177</f>
        <v>0</v>
      </c>
      <c r="BD174" s="198">
        <f>$E174*餐厅成本录入!BD177</f>
        <v>0</v>
      </c>
      <c r="BE174" s="198">
        <f>$E174*餐厅成本录入!BE177</f>
        <v>0</v>
      </c>
      <c r="BF174" s="198">
        <f>$E174*餐厅成本录入!BF177</f>
        <v>0</v>
      </c>
      <c r="BG174" s="198">
        <f>$E174*餐厅成本录入!BG177</f>
        <v>0</v>
      </c>
      <c r="BH174" s="198">
        <f>$E174*餐厅成本录入!BH177</f>
        <v>0</v>
      </c>
      <c r="BI174" s="198">
        <f>$E174*餐厅成本录入!BI177</f>
        <v>0</v>
      </c>
      <c r="BJ174" s="198">
        <f>$E174*餐厅成本录入!BJ177</f>
        <v>0</v>
      </c>
      <c r="BK174" s="198">
        <f>$E174*餐厅成本录入!BK177</f>
        <v>0</v>
      </c>
      <c r="BL174" s="198">
        <f>$E174*餐厅成本录入!BL177</f>
        <v>0</v>
      </c>
      <c r="BM174" s="198">
        <f>$E174*餐厅成本录入!BM177</f>
        <v>0</v>
      </c>
      <c r="BN174" s="198">
        <f>$E174*餐厅成本录入!BN177</f>
        <v>60</v>
      </c>
      <c r="BO174" s="198">
        <f>$E174*餐厅成本录入!BO177</f>
        <v>60</v>
      </c>
      <c r="BP174" s="198">
        <f>$E174*餐厅成本录入!BP177</f>
        <v>0</v>
      </c>
      <c r="BQ174" s="198">
        <f>$E174*餐厅成本录入!BQ177</f>
        <v>0</v>
      </c>
      <c r="BR174" s="198">
        <f>$E174*餐厅成本录入!BR177</f>
        <v>60</v>
      </c>
      <c r="BS174" s="198">
        <f>$E174*餐厅成本录入!BS177</f>
        <v>60</v>
      </c>
      <c r="BT174" s="198">
        <f>$E174*餐厅成本录入!BT177</f>
        <v>0</v>
      </c>
      <c r="BU174" s="198">
        <f>$E174*餐厅成本录入!BU177</f>
        <v>0</v>
      </c>
      <c r="BV174" s="198">
        <f>$E174*餐厅成本录入!BV177</f>
        <v>0</v>
      </c>
      <c r="BW174" s="198">
        <f>$E174*餐厅成本录入!BW177</f>
        <v>0</v>
      </c>
    </row>
    <row r="175" s="178" customFormat="1" customHeight="1" spans="1:75">
      <c r="A175" s="161">
        <v>207</v>
      </c>
      <c r="B175" s="21" t="str">
        <f>餐厅成本录入!B175</f>
        <v>大枣</v>
      </c>
      <c r="C175" s="21">
        <f>餐厅成本录入!C175</f>
        <v>0</v>
      </c>
      <c r="D175" s="21">
        <f>餐厅成本录入!D175</f>
        <v>0</v>
      </c>
      <c r="E175" s="21">
        <f>餐厅成本录入!E175</f>
        <v>10</v>
      </c>
      <c r="F175" s="21">
        <f>餐厅成本录入!F175</f>
        <v>0</v>
      </c>
      <c r="G175" s="21">
        <f>餐厅成本录入!G175</f>
        <v>0</v>
      </c>
      <c r="H175" s="21">
        <f>餐厅成本录入!H175</f>
        <v>2</v>
      </c>
      <c r="I175" s="21">
        <f>餐厅成本录入!I175</f>
        <v>20</v>
      </c>
      <c r="J175" s="21">
        <f>餐厅成本录入!J175</f>
        <v>2</v>
      </c>
      <c r="K175" s="21">
        <f>餐厅成本录入!K175</f>
        <v>20</v>
      </c>
      <c r="L175" s="21">
        <f>餐厅成本录入!L175</f>
        <v>0</v>
      </c>
      <c r="M175" s="21">
        <f>餐厅成本录入!M175</f>
        <v>0</v>
      </c>
      <c r="N175" s="198">
        <f>$E175*餐厅成本录入!N178</f>
        <v>0</v>
      </c>
      <c r="O175" s="198">
        <f>$E175*餐厅成本录入!O178</f>
        <v>0</v>
      </c>
      <c r="P175" s="198">
        <f>$E175*餐厅成本录入!P178</f>
        <v>0</v>
      </c>
      <c r="Q175" s="198">
        <f>$E175*餐厅成本录入!Q178</f>
        <v>0</v>
      </c>
      <c r="R175" s="198">
        <f>$E175*餐厅成本录入!R178</f>
        <v>0</v>
      </c>
      <c r="S175" s="198">
        <f>$E175*餐厅成本录入!S178</f>
        <v>0</v>
      </c>
      <c r="T175" s="198">
        <f>$E175*餐厅成本录入!T178</f>
        <v>0</v>
      </c>
      <c r="U175" s="198">
        <f>$E175*餐厅成本录入!U178</f>
        <v>0</v>
      </c>
      <c r="V175" s="198">
        <f>$E175*餐厅成本录入!V178</f>
        <v>0</v>
      </c>
      <c r="W175" s="198">
        <f>$E175*餐厅成本录入!W178</f>
        <v>0</v>
      </c>
      <c r="X175" s="198">
        <f>$E175*餐厅成本录入!X178</f>
        <v>60</v>
      </c>
      <c r="Y175" s="198">
        <f>$E175*餐厅成本录入!Y178</f>
        <v>60</v>
      </c>
      <c r="Z175" s="198">
        <f>$E175*餐厅成本录入!Z178</f>
        <v>0</v>
      </c>
      <c r="AA175" s="198">
        <f>$E175*餐厅成本录入!AA178</f>
        <v>0</v>
      </c>
      <c r="AB175" s="198">
        <f>$E175*餐厅成本录入!AB178</f>
        <v>0</v>
      </c>
      <c r="AC175" s="198">
        <f>$E175*餐厅成本录入!AC178</f>
        <v>0</v>
      </c>
      <c r="AD175" s="198">
        <f>$E175*餐厅成本录入!AD178</f>
        <v>0</v>
      </c>
      <c r="AE175" s="198">
        <f>$E175*餐厅成本录入!AE178</f>
        <v>0</v>
      </c>
      <c r="AF175" s="198">
        <f>$E175*餐厅成本录入!AF178</f>
        <v>0</v>
      </c>
      <c r="AG175" s="198">
        <f>$E175*餐厅成本录入!AG178</f>
        <v>0</v>
      </c>
      <c r="AH175" s="198">
        <f>$E175*餐厅成本录入!AH178</f>
        <v>0</v>
      </c>
      <c r="AI175" s="198">
        <f>$E175*餐厅成本录入!AI178</f>
        <v>0</v>
      </c>
      <c r="AJ175" s="198">
        <f>$E175*餐厅成本录入!AJ178</f>
        <v>0</v>
      </c>
      <c r="AK175" s="198">
        <f>$E175*餐厅成本录入!AK178</f>
        <v>0</v>
      </c>
      <c r="AL175" s="198">
        <f>$E175*餐厅成本录入!AL178</f>
        <v>0</v>
      </c>
      <c r="AM175" s="198">
        <f>$E175*餐厅成本录入!AM178</f>
        <v>0</v>
      </c>
      <c r="AN175" s="198">
        <f>$E175*餐厅成本录入!AN178</f>
        <v>0</v>
      </c>
      <c r="AO175" s="198">
        <f>$E175*餐厅成本录入!AO178</f>
        <v>0</v>
      </c>
      <c r="AP175" s="198">
        <f>$E175*餐厅成本录入!AP178</f>
        <v>0</v>
      </c>
      <c r="AQ175" s="198">
        <f>$E175*餐厅成本录入!AQ178</f>
        <v>0</v>
      </c>
      <c r="AR175" s="198">
        <f>$E175*餐厅成本录入!AR178</f>
        <v>0</v>
      </c>
      <c r="AS175" s="198">
        <f>$E175*餐厅成本录入!AS178</f>
        <v>0</v>
      </c>
      <c r="AT175" s="198">
        <f>$E175*餐厅成本录入!AT178</f>
        <v>0</v>
      </c>
      <c r="AU175" s="198">
        <f>$E175*餐厅成本录入!AU178</f>
        <v>0</v>
      </c>
      <c r="AV175" s="198">
        <f>$E175*餐厅成本录入!AV178</f>
        <v>0</v>
      </c>
      <c r="AW175" s="198">
        <f>$E175*餐厅成本录入!AW178</f>
        <v>0</v>
      </c>
      <c r="AX175" s="198">
        <f>$E175*餐厅成本录入!AX178</f>
        <v>0</v>
      </c>
      <c r="AY175" s="198">
        <f>$E175*餐厅成本录入!AY178</f>
        <v>0</v>
      </c>
      <c r="AZ175" s="198">
        <f>$E175*餐厅成本录入!AZ178</f>
        <v>60</v>
      </c>
      <c r="BA175" s="198">
        <f>$E175*餐厅成本录入!BA178</f>
        <v>60</v>
      </c>
      <c r="BB175" s="198">
        <f>$E175*餐厅成本录入!BB178</f>
        <v>0</v>
      </c>
      <c r="BC175" s="198">
        <f>$E175*餐厅成本录入!BC178</f>
        <v>0</v>
      </c>
      <c r="BD175" s="198">
        <f>$E175*餐厅成本录入!BD178</f>
        <v>0</v>
      </c>
      <c r="BE175" s="198">
        <f>$E175*餐厅成本录入!BE178</f>
        <v>0</v>
      </c>
      <c r="BF175" s="198">
        <f>$E175*餐厅成本录入!BF178</f>
        <v>0</v>
      </c>
      <c r="BG175" s="198">
        <f>$E175*餐厅成本录入!BG178</f>
        <v>0</v>
      </c>
      <c r="BH175" s="198">
        <f>$E175*餐厅成本录入!BH178</f>
        <v>0</v>
      </c>
      <c r="BI175" s="198">
        <f>$E175*餐厅成本录入!BI178</f>
        <v>0</v>
      </c>
      <c r="BJ175" s="198">
        <f>$E175*餐厅成本录入!BJ178</f>
        <v>0</v>
      </c>
      <c r="BK175" s="198">
        <f>$E175*餐厅成本录入!BK178</f>
        <v>0</v>
      </c>
      <c r="BL175" s="198">
        <f>$E175*餐厅成本录入!BL178</f>
        <v>0</v>
      </c>
      <c r="BM175" s="198">
        <f>$E175*餐厅成本录入!BM178</f>
        <v>0</v>
      </c>
      <c r="BN175" s="198">
        <f>$E175*餐厅成本录入!BN178</f>
        <v>0</v>
      </c>
      <c r="BO175" s="198">
        <f>$E175*餐厅成本录入!BO178</f>
        <v>0</v>
      </c>
      <c r="BP175" s="198">
        <f>$E175*餐厅成本录入!BP178</f>
        <v>0</v>
      </c>
      <c r="BQ175" s="198">
        <f>$E175*餐厅成本录入!BQ178</f>
        <v>0</v>
      </c>
      <c r="BR175" s="198">
        <f>$E175*餐厅成本录入!BR178</f>
        <v>0</v>
      </c>
      <c r="BS175" s="198">
        <f>$E175*餐厅成本录入!BS178</f>
        <v>0</v>
      </c>
      <c r="BT175" s="198">
        <f>$E175*餐厅成本录入!BT178</f>
        <v>0</v>
      </c>
      <c r="BU175" s="198">
        <f>$E175*餐厅成本录入!BU178</f>
        <v>0</v>
      </c>
      <c r="BV175" s="198">
        <f>$E175*餐厅成本录入!BV178</f>
        <v>0</v>
      </c>
      <c r="BW175" s="198">
        <f>$E175*餐厅成本录入!BW178</f>
        <v>0</v>
      </c>
    </row>
    <row r="176" s="178" customFormat="1" customHeight="1" spans="1:75">
      <c r="A176" s="161">
        <v>208</v>
      </c>
      <c r="B176" s="21" t="str">
        <f>餐厅成本录入!B176</f>
        <v>白砂糖</v>
      </c>
      <c r="C176" s="21">
        <f>餐厅成本录入!C176</f>
        <v>0</v>
      </c>
      <c r="D176" s="21">
        <f>餐厅成本录入!D176</f>
        <v>0</v>
      </c>
      <c r="E176" s="21">
        <f>餐厅成本录入!E176</f>
        <v>4</v>
      </c>
      <c r="F176" s="21">
        <f>餐厅成本录入!F176</f>
        <v>0</v>
      </c>
      <c r="G176" s="21">
        <f>餐厅成本录入!G176</f>
        <v>0</v>
      </c>
      <c r="H176" s="21">
        <f>餐厅成本录入!H176</f>
        <v>20</v>
      </c>
      <c r="I176" s="21">
        <f>餐厅成本录入!I176</f>
        <v>80</v>
      </c>
      <c r="J176" s="21">
        <f>餐厅成本录入!J176</f>
        <v>20</v>
      </c>
      <c r="K176" s="21">
        <f>餐厅成本录入!K176</f>
        <v>80</v>
      </c>
      <c r="L176" s="21">
        <f>餐厅成本录入!L176</f>
        <v>0</v>
      </c>
      <c r="M176" s="21">
        <f>餐厅成本录入!M176</f>
        <v>0</v>
      </c>
      <c r="N176" s="198">
        <f>$E176*餐厅成本录入!N179</f>
        <v>0</v>
      </c>
      <c r="O176" s="198">
        <f>$E176*餐厅成本录入!O179</f>
        <v>0</v>
      </c>
      <c r="P176" s="198">
        <f>$E176*餐厅成本录入!P179</f>
        <v>0</v>
      </c>
      <c r="Q176" s="198">
        <f>$E176*餐厅成本录入!Q179</f>
        <v>0</v>
      </c>
      <c r="R176" s="198">
        <f>$E176*餐厅成本录入!R179</f>
        <v>0</v>
      </c>
      <c r="S176" s="198">
        <f>$E176*餐厅成本录入!S179</f>
        <v>0</v>
      </c>
      <c r="T176" s="198">
        <f>$E176*餐厅成本录入!T179</f>
        <v>0</v>
      </c>
      <c r="U176" s="198">
        <f>$E176*餐厅成本录入!U179</f>
        <v>0</v>
      </c>
      <c r="V176" s="198">
        <f>$E176*餐厅成本录入!V179</f>
        <v>0</v>
      </c>
      <c r="W176" s="198">
        <f>$E176*餐厅成本录入!W179</f>
        <v>0</v>
      </c>
      <c r="X176" s="198">
        <f>$E176*餐厅成本录入!X179</f>
        <v>4</v>
      </c>
      <c r="Y176" s="198">
        <f>$E176*餐厅成本录入!Y179</f>
        <v>4</v>
      </c>
      <c r="Z176" s="198">
        <f>$E176*餐厅成本录入!Z179</f>
        <v>0</v>
      </c>
      <c r="AA176" s="198">
        <f>$E176*餐厅成本录入!AA179</f>
        <v>0</v>
      </c>
      <c r="AB176" s="198">
        <f>$E176*餐厅成本录入!AB179</f>
        <v>0</v>
      </c>
      <c r="AC176" s="198">
        <f>$E176*餐厅成本录入!AC179</f>
        <v>0</v>
      </c>
      <c r="AD176" s="198">
        <f>$E176*餐厅成本录入!AD179</f>
        <v>0</v>
      </c>
      <c r="AE176" s="198">
        <f>$E176*餐厅成本录入!AE179</f>
        <v>0</v>
      </c>
      <c r="AF176" s="198">
        <f>$E176*餐厅成本录入!AF179</f>
        <v>0</v>
      </c>
      <c r="AG176" s="198">
        <f>$E176*餐厅成本录入!AG179</f>
        <v>0</v>
      </c>
      <c r="AH176" s="198">
        <f>$E176*餐厅成本录入!AH179</f>
        <v>0</v>
      </c>
      <c r="AI176" s="198">
        <f>$E176*餐厅成本录入!AI179</f>
        <v>0</v>
      </c>
      <c r="AJ176" s="198">
        <f>$E176*餐厅成本录入!AJ179</f>
        <v>0</v>
      </c>
      <c r="AK176" s="198">
        <f>$E176*餐厅成本录入!AK179</f>
        <v>0</v>
      </c>
      <c r="AL176" s="198">
        <f>$E176*餐厅成本录入!AL179</f>
        <v>0</v>
      </c>
      <c r="AM176" s="198">
        <f>$E176*餐厅成本录入!AM179</f>
        <v>0</v>
      </c>
      <c r="AN176" s="198">
        <f>$E176*餐厅成本录入!AN179</f>
        <v>0</v>
      </c>
      <c r="AO176" s="198">
        <f>$E176*餐厅成本录入!AO179</f>
        <v>0</v>
      </c>
      <c r="AP176" s="198">
        <f>$E176*餐厅成本录入!AP179</f>
        <v>0</v>
      </c>
      <c r="AQ176" s="198">
        <f>$E176*餐厅成本录入!AQ179</f>
        <v>0</v>
      </c>
      <c r="AR176" s="198">
        <f>$E176*餐厅成本录入!AR179</f>
        <v>0</v>
      </c>
      <c r="AS176" s="198">
        <f>$E176*餐厅成本录入!AS179</f>
        <v>0</v>
      </c>
      <c r="AT176" s="198">
        <f>$E176*餐厅成本录入!AT179</f>
        <v>0</v>
      </c>
      <c r="AU176" s="198">
        <f>$E176*餐厅成本录入!AU179</f>
        <v>0</v>
      </c>
      <c r="AV176" s="198">
        <f>$E176*餐厅成本录入!AV179</f>
        <v>0</v>
      </c>
      <c r="AW176" s="198">
        <f>$E176*餐厅成本录入!AW179</f>
        <v>0</v>
      </c>
      <c r="AX176" s="198">
        <f>$E176*餐厅成本录入!AX179</f>
        <v>0</v>
      </c>
      <c r="AY176" s="198">
        <f>$E176*餐厅成本录入!AY179</f>
        <v>0</v>
      </c>
      <c r="AZ176" s="198">
        <f>$E176*餐厅成本录入!AZ179</f>
        <v>0</v>
      </c>
      <c r="BA176" s="198">
        <f>$E176*餐厅成本录入!BA179</f>
        <v>0</v>
      </c>
      <c r="BB176" s="198">
        <f>$E176*餐厅成本录入!BB179</f>
        <v>0</v>
      </c>
      <c r="BC176" s="198">
        <f>$E176*餐厅成本录入!BC179</f>
        <v>0</v>
      </c>
      <c r="BD176" s="198">
        <f>$E176*餐厅成本录入!BD179</f>
        <v>0</v>
      </c>
      <c r="BE176" s="198">
        <f>$E176*餐厅成本录入!BE179</f>
        <v>0</v>
      </c>
      <c r="BF176" s="198">
        <f>$E176*餐厅成本录入!BF179</f>
        <v>0</v>
      </c>
      <c r="BG176" s="198">
        <f>$E176*餐厅成本录入!BG179</f>
        <v>0</v>
      </c>
      <c r="BH176" s="198">
        <f>$E176*餐厅成本录入!BH179</f>
        <v>0</v>
      </c>
      <c r="BI176" s="198">
        <f>$E176*餐厅成本录入!BI179</f>
        <v>0</v>
      </c>
      <c r="BJ176" s="198">
        <f>$E176*餐厅成本录入!BJ179</f>
        <v>0</v>
      </c>
      <c r="BK176" s="198">
        <f>$E176*餐厅成本录入!BK179</f>
        <v>0</v>
      </c>
      <c r="BL176" s="198">
        <f>$E176*餐厅成本录入!BL179</f>
        <v>0</v>
      </c>
      <c r="BM176" s="198">
        <f>$E176*餐厅成本录入!BM179</f>
        <v>0</v>
      </c>
      <c r="BN176" s="198">
        <f>$E176*餐厅成本录入!BN179</f>
        <v>0</v>
      </c>
      <c r="BO176" s="198">
        <f>$E176*餐厅成本录入!BO179</f>
        <v>0</v>
      </c>
      <c r="BP176" s="198">
        <f>$E176*餐厅成本录入!BP179</f>
        <v>0</v>
      </c>
      <c r="BQ176" s="198">
        <f>$E176*餐厅成本录入!BQ179</f>
        <v>0</v>
      </c>
      <c r="BR176" s="198">
        <f>$E176*餐厅成本录入!BR179</f>
        <v>0</v>
      </c>
      <c r="BS176" s="198">
        <f>$E176*餐厅成本录入!BS179</f>
        <v>0</v>
      </c>
      <c r="BT176" s="198">
        <f>$E176*餐厅成本录入!BT179</f>
        <v>0</v>
      </c>
      <c r="BU176" s="198">
        <f>$E176*餐厅成本录入!BU179</f>
        <v>0</v>
      </c>
      <c r="BV176" s="198">
        <f>$E176*餐厅成本录入!BV179</f>
        <v>0</v>
      </c>
      <c r="BW176" s="198">
        <f>$E176*餐厅成本录入!BW179</f>
        <v>0</v>
      </c>
    </row>
    <row r="177" s="178" customFormat="1" customHeight="1" spans="1:75">
      <c r="A177" s="161">
        <v>209</v>
      </c>
      <c r="B177" s="21" t="str">
        <f>餐厅成本录入!B177</f>
        <v>老干妈</v>
      </c>
      <c r="C177" s="21">
        <f>餐厅成本录入!C177</f>
        <v>0</v>
      </c>
      <c r="D177" s="21">
        <f>餐厅成本录入!D177</f>
        <v>0</v>
      </c>
      <c r="E177" s="21">
        <f>餐厅成本录入!E177</f>
        <v>10</v>
      </c>
      <c r="F177" s="21">
        <f>餐厅成本录入!F177</f>
        <v>0</v>
      </c>
      <c r="G177" s="21">
        <f>餐厅成本录入!G177</f>
        <v>0</v>
      </c>
      <c r="H177" s="21">
        <f>餐厅成本录入!H177</f>
        <v>24</v>
      </c>
      <c r="I177" s="21">
        <f>餐厅成本录入!I177</f>
        <v>240</v>
      </c>
      <c r="J177" s="21">
        <f>餐厅成本录入!J177</f>
        <v>24</v>
      </c>
      <c r="K177" s="21">
        <f>餐厅成本录入!K177</f>
        <v>240</v>
      </c>
      <c r="L177" s="21">
        <f>餐厅成本录入!L177</f>
        <v>0</v>
      </c>
      <c r="M177" s="21">
        <f>餐厅成本录入!M177</f>
        <v>0</v>
      </c>
      <c r="N177" s="198">
        <f>$E177*餐厅成本录入!N180</f>
        <v>0</v>
      </c>
      <c r="O177" s="198">
        <f>$E177*餐厅成本录入!O180</f>
        <v>0</v>
      </c>
      <c r="P177" s="198">
        <f>$E177*餐厅成本录入!P180</f>
        <v>0</v>
      </c>
      <c r="Q177" s="198">
        <f>$E177*餐厅成本录入!Q180</f>
        <v>0</v>
      </c>
      <c r="R177" s="198">
        <f>$E177*餐厅成本录入!R180</f>
        <v>0</v>
      </c>
      <c r="S177" s="198">
        <f>$E177*餐厅成本录入!S180</f>
        <v>0</v>
      </c>
      <c r="T177" s="198">
        <f>$E177*餐厅成本录入!T180</f>
        <v>0</v>
      </c>
      <c r="U177" s="198">
        <f>$E177*餐厅成本录入!U180</f>
        <v>0</v>
      </c>
      <c r="V177" s="198">
        <f>$E177*餐厅成本录入!V180</f>
        <v>0</v>
      </c>
      <c r="W177" s="198">
        <f>$E177*餐厅成本录入!W180</f>
        <v>0</v>
      </c>
      <c r="X177" s="198">
        <f>$E177*餐厅成本录入!X180</f>
        <v>100</v>
      </c>
      <c r="Y177" s="198">
        <f>$E177*餐厅成本录入!Y180</f>
        <v>100</v>
      </c>
      <c r="Z177" s="198">
        <f>$E177*餐厅成本录入!Z180</f>
        <v>0</v>
      </c>
      <c r="AA177" s="198">
        <f>$E177*餐厅成本录入!AA180</f>
        <v>0</v>
      </c>
      <c r="AB177" s="198">
        <f>$E177*餐厅成本录入!AB180</f>
        <v>0</v>
      </c>
      <c r="AC177" s="198">
        <f>$E177*餐厅成本录入!AC180</f>
        <v>0</v>
      </c>
      <c r="AD177" s="198">
        <f>$E177*餐厅成本录入!AD180</f>
        <v>0</v>
      </c>
      <c r="AE177" s="198">
        <f>$E177*餐厅成本录入!AE180</f>
        <v>0</v>
      </c>
      <c r="AF177" s="198">
        <f>$E177*餐厅成本录入!AF180</f>
        <v>0</v>
      </c>
      <c r="AG177" s="198">
        <f>$E177*餐厅成本录入!AG180</f>
        <v>0</v>
      </c>
      <c r="AH177" s="198">
        <f>$E177*餐厅成本录入!AH180</f>
        <v>0</v>
      </c>
      <c r="AI177" s="198">
        <f>$E177*餐厅成本录入!AI180</f>
        <v>0</v>
      </c>
      <c r="AJ177" s="198">
        <f>$E177*餐厅成本录入!AJ180</f>
        <v>0</v>
      </c>
      <c r="AK177" s="198">
        <f>$E177*餐厅成本录入!AK180</f>
        <v>0</v>
      </c>
      <c r="AL177" s="198">
        <f>$E177*餐厅成本录入!AL180</f>
        <v>0</v>
      </c>
      <c r="AM177" s="198">
        <f>$E177*餐厅成本录入!AM180</f>
        <v>0</v>
      </c>
      <c r="AN177" s="198">
        <f>$E177*餐厅成本录入!AN180</f>
        <v>0</v>
      </c>
      <c r="AO177" s="198">
        <f>$E177*餐厅成本录入!AO180</f>
        <v>0</v>
      </c>
      <c r="AP177" s="198">
        <f>$E177*餐厅成本录入!AP180</f>
        <v>0</v>
      </c>
      <c r="AQ177" s="198">
        <f>$E177*餐厅成本录入!AQ180</f>
        <v>0</v>
      </c>
      <c r="AR177" s="198">
        <f>$E177*餐厅成本录入!AR180</f>
        <v>0</v>
      </c>
      <c r="AS177" s="198">
        <f>$E177*餐厅成本录入!AS180</f>
        <v>0</v>
      </c>
      <c r="AT177" s="198">
        <f>$E177*餐厅成本录入!AT180</f>
        <v>0</v>
      </c>
      <c r="AU177" s="198">
        <f>$E177*餐厅成本录入!AU180</f>
        <v>0</v>
      </c>
      <c r="AV177" s="198">
        <f>$E177*餐厅成本录入!AV180</f>
        <v>0</v>
      </c>
      <c r="AW177" s="198">
        <f>$E177*餐厅成本录入!AW180</f>
        <v>0</v>
      </c>
      <c r="AX177" s="198">
        <f>$E177*餐厅成本录入!AX180</f>
        <v>0</v>
      </c>
      <c r="AY177" s="198">
        <f>$E177*餐厅成本录入!AY180</f>
        <v>0</v>
      </c>
      <c r="AZ177" s="198">
        <f>$E177*餐厅成本录入!AZ180</f>
        <v>50</v>
      </c>
      <c r="BA177" s="198">
        <f>$E177*餐厅成本录入!BA180</f>
        <v>50</v>
      </c>
      <c r="BB177" s="198">
        <f>$E177*餐厅成本录入!BB180</f>
        <v>0</v>
      </c>
      <c r="BC177" s="198">
        <f>$E177*餐厅成本录入!BC180</f>
        <v>0</v>
      </c>
      <c r="BD177" s="198">
        <f>$E177*餐厅成本录入!BD180</f>
        <v>0</v>
      </c>
      <c r="BE177" s="198">
        <f>$E177*餐厅成本录入!BE180</f>
        <v>0</v>
      </c>
      <c r="BF177" s="198">
        <f>$E177*餐厅成本录入!BF180</f>
        <v>0</v>
      </c>
      <c r="BG177" s="198">
        <f>$E177*餐厅成本录入!BG180</f>
        <v>0</v>
      </c>
      <c r="BH177" s="198">
        <f>$E177*餐厅成本录入!BH180</f>
        <v>0</v>
      </c>
      <c r="BI177" s="198">
        <f>$E177*餐厅成本录入!BI180</f>
        <v>0</v>
      </c>
      <c r="BJ177" s="198">
        <f>$E177*餐厅成本录入!BJ180</f>
        <v>0</v>
      </c>
      <c r="BK177" s="198">
        <f>$E177*餐厅成本录入!BK180</f>
        <v>0</v>
      </c>
      <c r="BL177" s="198">
        <f>$E177*餐厅成本录入!BL180</f>
        <v>0</v>
      </c>
      <c r="BM177" s="198">
        <f>$E177*餐厅成本录入!BM180</f>
        <v>0</v>
      </c>
      <c r="BN177" s="198">
        <f>$E177*餐厅成本录入!BN180</f>
        <v>10</v>
      </c>
      <c r="BO177" s="198">
        <f>$E177*餐厅成本录入!BO180</f>
        <v>10</v>
      </c>
      <c r="BP177" s="198">
        <f>$E177*餐厅成本录入!BP180</f>
        <v>0</v>
      </c>
      <c r="BQ177" s="198">
        <f>$E177*餐厅成本录入!BQ180</f>
        <v>0</v>
      </c>
      <c r="BR177" s="198">
        <f>$E177*餐厅成本录入!BR180</f>
        <v>0</v>
      </c>
      <c r="BS177" s="198">
        <f>$E177*餐厅成本录入!BS180</f>
        <v>0</v>
      </c>
      <c r="BT177" s="198">
        <f>$E177*餐厅成本录入!BT180</f>
        <v>0</v>
      </c>
      <c r="BU177" s="198">
        <f>$E177*餐厅成本录入!BU180</f>
        <v>0</v>
      </c>
      <c r="BV177" s="198">
        <f>$E177*餐厅成本录入!BV180</f>
        <v>0</v>
      </c>
      <c r="BW177" s="198">
        <f>$E177*餐厅成本录入!BW180</f>
        <v>0</v>
      </c>
    </row>
    <row r="178" s="178" customFormat="1" customHeight="1" spans="1:75">
      <c r="A178" s="161">
        <v>210</v>
      </c>
      <c r="B178" s="21" t="str">
        <f>餐厅成本录入!B178</f>
        <v>番茄沙司</v>
      </c>
      <c r="C178" s="21">
        <f>餐厅成本录入!C178</f>
        <v>0</v>
      </c>
      <c r="D178" s="21">
        <f>餐厅成本录入!D178</f>
        <v>0</v>
      </c>
      <c r="E178" s="21">
        <f>餐厅成本录入!E178</f>
        <v>8</v>
      </c>
      <c r="F178" s="21">
        <f>餐厅成本录入!F178</f>
        <v>0</v>
      </c>
      <c r="G178" s="21">
        <f>餐厅成本录入!G178</f>
        <v>0</v>
      </c>
      <c r="H178" s="21">
        <f>餐厅成本录入!H178</f>
        <v>12</v>
      </c>
      <c r="I178" s="21">
        <f>餐厅成本录入!I178</f>
        <v>96</v>
      </c>
      <c r="J178" s="21">
        <f>餐厅成本录入!J178</f>
        <v>12</v>
      </c>
      <c r="K178" s="21">
        <f>餐厅成本录入!K178</f>
        <v>96</v>
      </c>
      <c r="L178" s="21">
        <f>餐厅成本录入!L178</f>
        <v>0</v>
      </c>
      <c r="M178" s="21">
        <f>餐厅成本录入!M178</f>
        <v>0</v>
      </c>
      <c r="N178" s="198">
        <f>$E178*餐厅成本录入!N181</f>
        <v>0</v>
      </c>
      <c r="O178" s="198">
        <f>$E178*餐厅成本录入!O181</f>
        <v>0</v>
      </c>
      <c r="P178" s="198">
        <f>$E178*餐厅成本录入!P181</f>
        <v>0</v>
      </c>
      <c r="Q178" s="198">
        <f>$E178*餐厅成本录入!Q181</f>
        <v>0</v>
      </c>
      <c r="R178" s="198">
        <f>$E178*餐厅成本录入!R181</f>
        <v>0</v>
      </c>
      <c r="S178" s="198">
        <f>$E178*餐厅成本录入!S181</f>
        <v>0</v>
      </c>
      <c r="T178" s="198">
        <f>$E178*餐厅成本录入!T181</f>
        <v>0</v>
      </c>
      <c r="U178" s="198">
        <f>$E178*餐厅成本录入!U181</f>
        <v>0</v>
      </c>
      <c r="V178" s="198">
        <f>$E178*餐厅成本录入!V181</f>
        <v>0</v>
      </c>
      <c r="W178" s="198">
        <f>$E178*餐厅成本录入!W181</f>
        <v>0</v>
      </c>
      <c r="X178" s="198">
        <f>$E178*餐厅成本录入!X181</f>
        <v>8</v>
      </c>
      <c r="Y178" s="198">
        <f>$E178*餐厅成本录入!Y181</f>
        <v>8</v>
      </c>
      <c r="Z178" s="198">
        <f>$E178*餐厅成本录入!Z181</f>
        <v>0</v>
      </c>
      <c r="AA178" s="198">
        <f>$E178*餐厅成本录入!AA181</f>
        <v>0</v>
      </c>
      <c r="AB178" s="198">
        <f>$E178*餐厅成本录入!AB181</f>
        <v>0</v>
      </c>
      <c r="AC178" s="198">
        <f>$E178*餐厅成本录入!AC181</f>
        <v>0</v>
      </c>
      <c r="AD178" s="198">
        <f>$E178*餐厅成本录入!AD181</f>
        <v>0</v>
      </c>
      <c r="AE178" s="198">
        <f>$E178*餐厅成本录入!AE181</f>
        <v>0</v>
      </c>
      <c r="AF178" s="198">
        <f>$E178*餐厅成本录入!AF181</f>
        <v>0</v>
      </c>
      <c r="AG178" s="198">
        <f>$E178*餐厅成本录入!AG181</f>
        <v>0</v>
      </c>
      <c r="AH178" s="198">
        <f>$E178*餐厅成本录入!AH181</f>
        <v>0</v>
      </c>
      <c r="AI178" s="198">
        <f>$E178*餐厅成本录入!AI181</f>
        <v>0</v>
      </c>
      <c r="AJ178" s="198">
        <f>$E178*餐厅成本录入!AJ181</f>
        <v>0</v>
      </c>
      <c r="AK178" s="198">
        <f>$E178*餐厅成本录入!AK181</f>
        <v>0</v>
      </c>
      <c r="AL178" s="198">
        <f>$E178*餐厅成本录入!AL181</f>
        <v>0</v>
      </c>
      <c r="AM178" s="198">
        <f>$E178*餐厅成本录入!AM181</f>
        <v>0</v>
      </c>
      <c r="AN178" s="198">
        <f>$E178*餐厅成本录入!AN181</f>
        <v>0</v>
      </c>
      <c r="AO178" s="198">
        <f>$E178*餐厅成本录入!AO181</f>
        <v>0</v>
      </c>
      <c r="AP178" s="198">
        <f>$E178*餐厅成本录入!AP181</f>
        <v>8</v>
      </c>
      <c r="AQ178" s="198">
        <f>$E178*餐厅成本录入!AQ181</f>
        <v>8</v>
      </c>
      <c r="AR178" s="198">
        <f>$E178*餐厅成本录入!AR181</f>
        <v>0</v>
      </c>
      <c r="AS178" s="198">
        <f>$E178*餐厅成本录入!AS181</f>
        <v>0</v>
      </c>
      <c r="AT178" s="198">
        <f>$E178*餐厅成本录入!AT181</f>
        <v>0</v>
      </c>
      <c r="AU178" s="198">
        <f>$E178*餐厅成本录入!AU181</f>
        <v>0</v>
      </c>
      <c r="AV178" s="198">
        <f>$E178*餐厅成本录入!AV181</f>
        <v>0</v>
      </c>
      <c r="AW178" s="198">
        <f>$E178*餐厅成本录入!AW181</f>
        <v>0</v>
      </c>
      <c r="AX178" s="198">
        <f>$E178*餐厅成本录入!AX181</f>
        <v>0</v>
      </c>
      <c r="AY178" s="198">
        <f>$E178*餐厅成本录入!AY181</f>
        <v>0</v>
      </c>
      <c r="AZ178" s="198">
        <f>$E178*餐厅成本录入!AZ181</f>
        <v>8</v>
      </c>
      <c r="BA178" s="198">
        <f>$E178*餐厅成本录入!BA181</f>
        <v>8</v>
      </c>
      <c r="BB178" s="198">
        <f>$E178*餐厅成本录入!BB181</f>
        <v>0</v>
      </c>
      <c r="BC178" s="198">
        <f>$E178*餐厅成本录入!BC181</f>
        <v>0</v>
      </c>
      <c r="BD178" s="198">
        <f>$E178*餐厅成本录入!BD181</f>
        <v>0</v>
      </c>
      <c r="BE178" s="198">
        <f>$E178*餐厅成本录入!BE181</f>
        <v>0</v>
      </c>
      <c r="BF178" s="198">
        <f>$E178*餐厅成本录入!BF181</f>
        <v>0</v>
      </c>
      <c r="BG178" s="198">
        <f>$E178*餐厅成本录入!BG181</f>
        <v>0</v>
      </c>
      <c r="BH178" s="198">
        <f>$E178*餐厅成本录入!BH181</f>
        <v>8</v>
      </c>
      <c r="BI178" s="198">
        <f>$E178*餐厅成本录入!BI181</f>
        <v>8</v>
      </c>
      <c r="BJ178" s="198">
        <f>$E178*餐厅成本录入!BJ181</f>
        <v>0</v>
      </c>
      <c r="BK178" s="198">
        <f>$E178*餐厅成本录入!BK181</f>
        <v>0</v>
      </c>
      <c r="BL178" s="198">
        <f>$E178*餐厅成本录入!BL181</f>
        <v>0</v>
      </c>
      <c r="BM178" s="198">
        <f>$E178*餐厅成本录入!BM181</f>
        <v>0</v>
      </c>
      <c r="BN178" s="198">
        <f>$E178*餐厅成本录入!BN181</f>
        <v>0</v>
      </c>
      <c r="BO178" s="198">
        <f>$E178*餐厅成本录入!BO181</f>
        <v>0</v>
      </c>
      <c r="BP178" s="198">
        <f>$E178*餐厅成本录入!BP181</f>
        <v>8</v>
      </c>
      <c r="BQ178" s="198">
        <f>$E178*餐厅成本录入!BQ181</f>
        <v>8</v>
      </c>
      <c r="BR178" s="198">
        <f>$E178*餐厅成本录入!BR181</f>
        <v>0</v>
      </c>
      <c r="BS178" s="198">
        <f>$E178*餐厅成本录入!BS181</f>
        <v>0</v>
      </c>
      <c r="BT178" s="198">
        <f>$E178*餐厅成本录入!BT181</f>
        <v>0</v>
      </c>
      <c r="BU178" s="198">
        <f>$E178*餐厅成本录入!BU181</f>
        <v>0</v>
      </c>
      <c r="BV178" s="198">
        <f>$E178*餐厅成本录入!BV181</f>
        <v>0</v>
      </c>
      <c r="BW178" s="198">
        <f>$E178*餐厅成本录入!BW181</f>
        <v>0</v>
      </c>
    </row>
    <row r="179" s="178" customFormat="1" customHeight="1" spans="1:75">
      <c r="A179" s="161">
        <v>211</v>
      </c>
      <c r="B179" s="21" t="str">
        <f>餐厅成本录入!B179</f>
        <v>黄豆酱</v>
      </c>
      <c r="C179" s="21">
        <f>餐厅成本录入!C179</f>
        <v>0</v>
      </c>
      <c r="D179" s="21" t="str">
        <f>餐厅成本录入!D179</f>
        <v>桶</v>
      </c>
      <c r="E179" s="21">
        <f>餐厅成本录入!E179</f>
        <v>60</v>
      </c>
      <c r="F179" s="21">
        <f>餐厅成本录入!F179</f>
        <v>0</v>
      </c>
      <c r="G179" s="21">
        <f>餐厅成本录入!G179</f>
        <v>0</v>
      </c>
      <c r="H179" s="21">
        <f>餐厅成本录入!H179</f>
        <v>1</v>
      </c>
      <c r="I179" s="21">
        <f>餐厅成本录入!I179</f>
        <v>60</v>
      </c>
      <c r="J179" s="21">
        <f>餐厅成本录入!J179</f>
        <v>1</v>
      </c>
      <c r="K179" s="21">
        <f>餐厅成本录入!K179</f>
        <v>60</v>
      </c>
      <c r="L179" s="21">
        <f>餐厅成本录入!L179</f>
        <v>0</v>
      </c>
      <c r="M179" s="21">
        <f>餐厅成本录入!M179</f>
        <v>0</v>
      </c>
      <c r="N179" s="198">
        <f>$E179*餐厅成本录入!N182</f>
        <v>0</v>
      </c>
      <c r="O179" s="198">
        <f>$E179*餐厅成本录入!O182</f>
        <v>0</v>
      </c>
      <c r="P179" s="198">
        <f>$E179*餐厅成本录入!P182</f>
        <v>0</v>
      </c>
      <c r="Q179" s="198">
        <f>$E179*餐厅成本录入!Q182</f>
        <v>0</v>
      </c>
      <c r="R179" s="198">
        <f>$E179*餐厅成本录入!R182</f>
        <v>0</v>
      </c>
      <c r="S179" s="198">
        <f>$E179*餐厅成本录入!S182</f>
        <v>0</v>
      </c>
      <c r="T179" s="198">
        <f>$E179*餐厅成本录入!T182</f>
        <v>0</v>
      </c>
      <c r="U179" s="198">
        <f>$E179*餐厅成本录入!U182</f>
        <v>0</v>
      </c>
      <c r="V179" s="198">
        <f>$E179*餐厅成本录入!V182</f>
        <v>0</v>
      </c>
      <c r="W179" s="198">
        <f>$E179*餐厅成本录入!W182</f>
        <v>0</v>
      </c>
      <c r="X179" s="198">
        <f>$E179*餐厅成本录入!X182</f>
        <v>60</v>
      </c>
      <c r="Y179" s="198">
        <f>$E179*餐厅成本录入!Y182</f>
        <v>60</v>
      </c>
      <c r="Z179" s="198">
        <f>$E179*餐厅成本录入!Z182</f>
        <v>0</v>
      </c>
      <c r="AA179" s="198">
        <f>$E179*餐厅成本录入!AA182</f>
        <v>0</v>
      </c>
      <c r="AB179" s="198">
        <f>$E179*餐厅成本录入!AB182</f>
        <v>0</v>
      </c>
      <c r="AC179" s="198">
        <f>$E179*餐厅成本录入!AC182</f>
        <v>0</v>
      </c>
      <c r="AD179" s="198">
        <f>$E179*餐厅成本录入!AD182</f>
        <v>0</v>
      </c>
      <c r="AE179" s="198">
        <f>$E179*餐厅成本录入!AE182</f>
        <v>0</v>
      </c>
      <c r="AF179" s="198">
        <f>$E179*餐厅成本录入!AF182</f>
        <v>0</v>
      </c>
      <c r="AG179" s="198">
        <f>$E179*餐厅成本录入!AG182</f>
        <v>0</v>
      </c>
      <c r="AH179" s="198">
        <f>$E179*餐厅成本录入!AH182</f>
        <v>0</v>
      </c>
      <c r="AI179" s="198">
        <f>$E179*餐厅成本录入!AI182</f>
        <v>0</v>
      </c>
      <c r="AJ179" s="198">
        <f>$E179*餐厅成本录入!AJ182</f>
        <v>0</v>
      </c>
      <c r="AK179" s="198">
        <f>$E179*餐厅成本录入!AK182</f>
        <v>0</v>
      </c>
      <c r="AL179" s="198">
        <f>$E179*餐厅成本录入!AL182</f>
        <v>0</v>
      </c>
      <c r="AM179" s="198">
        <f>$E179*餐厅成本录入!AM182</f>
        <v>0</v>
      </c>
      <c r="AN179" s="198">
        <f>$E179*餐厅成本录入!AN182</f>
        <v>0</v>
      </c>
      <c r="AO179" s="198">
        <f>$E179*餐厅成本录入!AO182</f>
        <v>0</v>
      </c>
      <c r="AP179" s="198">
        <f>$E179*餐厅成本录入!AP182</f>
        <v>60</v>
      </c>
      <c r="AQ179" s="198">
        <f>$E179*餐厅成本录入!AQ182</f>
        <v>60</v>
      </c>
      <c r="AR179" s="198">
        <f>$E179*餐厅成本录入!AR182</f>
        <v>0</v>
      </c>
      <c r="AS179" s="198">
        <f>$E179*餐厅成本录入!AS182</f>
        <v>0</v>
      </c>
      <c r="AT179" s="198">
        <f>$E179*餐厅成本录入!AT182</f>
        <v>0</v>
      </c>
      <c r="AU179" s="198">
        <f>$E179*餐厅成本录入!AU182</f>
        <v>0</v>
      </c>
      <c r="AV179" s="198">
        <f>$E179*餐厅成本录入!AV182</f>
        <v>0</v>
      </c>
      <c r="AW179" s="198">
        <f>$E179*餐厅成本录入!AW182</f>
        <v>0</v>
      </c>
      <c r="AX179" s="198">
        <f>$E179*餐厅成本录入!AX182</f>
        <v>0</v>
      </c>
      <c r="AY179" s="198">
        <f>$E179*餐厅成本录入!AY182</f>
        <v>0</v>
      </c>
      <c r="AZ179" s="198">
        <f>$E179*餐厅成本录入!AZ182</f>
        <v>0</v>
      </c>
      <c r="BA179" s="198">
        <f>$E179*餐厅成本录入!BA182</f>
        <v>0</v>
      </c>
      <c r="BB179" s="198">
        <f>$E179*餐厅成本录入!BB182</f>
        <v>0</v>
      </c>
      <c r="BC179" s="198">
        <f>$E179*餐厅成本录入!BC182</f>
        <v>0</v>
      </c>
      <c r="BD179" s="198">
        <f>$E179*餐厅成本录入!BD182</f>
        <v>0</v>
      </c>
      <c r="BE179" s="198">
        <f>$E179*餐厅成本录入!BE182</f>
        <v>0</v>
      </c>
      <c r="BF179" s="198">
        <f>$E179*餐厅成本录入!BF182</f>
        <v>0</v>
      </c>
      <c r="BG179" s="198">
        <f>$E179*餐厅成本录入!BG182</f>
        <v>0</v>
      </c>
      <c r="BH179" s="198">
        <f>$E179*餐厅成本录入!BH182</f>
        <v>0</v>
      </c>
      <c r="BI179" s="198">
        <f>$E179*餐厅成本录入!BI182</f>
        <v>0</v>
      </c>
      <c r="BJ179" s="198">
        <f>$E179*餐厅成本录入!BJ182</f>
        <v>0</v>
      </c>
      <c r="BK179" s="198">
        <f>$E179*餐厅成本录入!BK182</f>
        <v>0</v>
      </c>
      <c r="BL179" s="198">
        <f>$E179*餐厅成本录入!BL182</f>
        <v>0</v>
      </c>
      <c r="BM179" s="198">
        <f>$E179*餐厅成本录入!BM182</f>
        <v>0</v>
      </c>
      <c r="BN179" s="198">
        <f>$E179*餐厅成本录入!BN182</f>
        <v>0</v>
      </c>
      <c r="BO179" s="198">
        <f>$E179*餐厅成本录入!BO182</f>
        <v>0</v>
      </c>
      <c r="BP179" s="198">
        <f>$E179*餐厅成本录入!BP182</f>
        <v>0</v>
      </c>
      <c r="BQ179" s="198">
        <f>$E179*餐厅成本录入!BQ182</f>
        <v>0</v>
      </c>
      <c r="BR179" s="198">
        <f>$E179*餐厅成本录入!BR182</f>
        <v>0</v>
      </c>
      <c r="BS179" s="198">
        <f>$E179*餐厅成本录入!BS182</f>
        <v>0</v>
      </c>
      <c r="BT179" s="198">
        <f>$E179*餐厅成本录入!BT182</f>
        <v>0</v>
      </c>
      <c r="BU179" s="198">
        <f>$E179*餐厅成本录入!BU182</f>
        <v>0</v>
      </c>
      <c r="BV179" s="198">
        <f>$E179*餐厅成本录入!BV182</f>
        <v>0</v>
      </c>
      <c r="BW179" s="198">
        <f>$E179*餐厅成本录入!BW182</f>
        <v>0</v>
      </c>
    </row>
    <row r="180" s="178" customFormat="1" customHeight="1" spans="1:75">
      <c r="A180" s="161">
        <v>212</v>
      </c>
      <c r="B180" s="21" t="str">
        <f>餐厅成本录入!B180</f>
        <v>花生米</v>
      </c>
      <c r="C180" s="21">
        <f>餐厅成本录入!C180</f>
        <v>0</v>
      </c>
      <c r="D180" s="21" t="str">
        <f>餐厅成本录入!D180</f>
        <v>斤</v>
      </c>
      <c r="E180" s="21">
        <f>餐厅成本录入!E180</f>
        <v>6</v>
      </c>
      <c r="F180" s="21">
        <f>餐厅成本录入!F180</f>
        <v>0</v>
      </c>
      <c r="G180" s="21">
        <f>餐厅成本录入!G180</f>
        <v>0</v>
      </c>
      <c r="H180" s="21">
        <f>餐厅成本录入!H180</f>
        <v>16</v>
      </c>
      <c r="I180" s="21">
        <f>餐厅成本录入!I180</f>
        <v>96</v>
      </c>
      <c r="J180" s="21">
        <f>餐厅成本录入!J180</f>
        <v>16</v>
      </c>
      <c r="K180" s="21">
        <f>餐厅成本录入!K180</f>
        <v>96</v>
      </c>
      <c r="L180" s="21">
        <f>餐厅成本录入!L180</f>
        <v>0</v>
      </c>
      <c r="M180" s="21">
        <f>餐厅成本录入!M180</f>
        <v>0</v>
      </c>
      <c r="N180" s="198">
        <f>$E180*餐厅成本录入!N183</f>
        <v>0</v>
      </c>
      <c r="O180" s="198">
        <f>$E180*餐厅成本录入!O183</f>
        <v>0</v>
      </c>
      <c r="P180" s="198">
        <f>$E180*餐厅成本录入!P183</f>
        <v>0</v>
      </c>
      <c r="Q180" s="198">
        <f>$E180*餐厅成本录入!Q183</f>
        <v>0</v>
      </c>
      <c r="R180" s="198">
        <f>$E180*餐厅成本录入!R183</f>
        <v>0</v>
      </c>
      <c r="S180" s="198">
        <f>$E180*餐厅成本录入!S183</f>
        <v>0</v>
      </c>
      <c r="T180" s="198">
        <f>$E180*餐厅成本录入!T183</f>
        <v>0</v>
      </c>
      <c r="U180" s="198">
        <f>$E180*餐厅成本录入!U183</f>
        <v>0</v>
      </c>
      <c r="V180" s="198">
        <f>$E180*餐厅成本录入!V183</f>
        <v>0</v>
      </c>
      <c r="W180" s="198">
        <f>$E180*餐厅成本录入!W183</f>
        <v>0</v>
      </c>
      <c r="X180" s="198">
        <f>$E180*餐厅成本录入!X183</f>
        <v>0</v>
      </c>
      <c r="Y180" s="198">
        <f>$E180*餐厅成本录入!Y183</f>
        <v>0</v>
      </c>
      <c r="Z180" s="198">
        <f>$E180*餐厅成本录入!Z183</f>
        <v>0</v>
      </c>
      <c r="AA180" s="198">
        <f>$E180*餐厅成本录入!AA183</f>
        <v>0</v>
      </c>
      <c r="AB180" s="198">
        <f>$E180*餐厅成本录入!AB183</f>
        <v>12</v>
      </c>
      <c r="AC180" s="198">
        <f>$E180*餐厅成本录入!AC183</f>
        <v>12</v>
      </c>
      <c r="AD180" s="198">
        <f>$E180*餐厅成本录入!AD183</f>
        <v>0</v>
      </c>
      <c r="AE180" s="198">
        <f>$E180*餐厅成本录入!AE183</f>
        <v>0</v>
      </c>
      <c r="AF180" s="198">
        <f>$E180*餐厅成本录入!AF183</f>
        <v>0</v>
      </c>
      <c r="AG180" s="198">
        <f>$E180*餐厅成本录入!AG183</f>
        <v>0</v>
      </c>
      <c r="AH180" s="198">
        <f>$E180*餐厅成本录入!AH183</f>
        <v>0</v>
      </c>
      <c r="AI180" s="198">
        <f>$E180*餐厅成本录入!AI183</f>
        <v>0</v>
      </c>
      <c r="AJ180" s="198">
        <f>$E180*餐厅成本录入!AJ183</f>
        <v>0</v>
      </c>
      <c r="AK180" s="198">
        <f>$E180*餐厅成本录入!AK183</f>
        <v>0</v>
      </c>
      <c r="AL180" s="198">
        <f>$E180*餐厅成本录入!AL183</f>
        <v>0</v>
      </c>
      <c r="AM180" s="198">
        <f>$E180*餐厅成本录入!AM183</f>
        <v>0</v>
      </c>
      <c r="AN180" s="198">
        <f>$E180*餐厅成本录入!AN183</f>
        <v>0</v>
      </c>
      <c r="AO180" s="198">
        <f>$E180*餐厅成本录入!AO183</f>
        <v>0</v>
      </c>
      <c r="AP180" s="198">
        <f>$E180*餐厅成本录入!AP183</f>
        <v>0</v>
      </c>
      <c r="AQ180" s="198">
        <f>$E180*餐厅成本录入!AQ183</f>
        <v>0</v>
      </c>
      <c r="AR180" s="198">
        <f>$E180*餐厅成本录入!AR183</f>
        <v>12</v>
      </c>
      <c r="AS180" s="198">
        <f>$E180*餐厅成本录入!AS183</f>
        <v>12</v>
      </c>
      <c r="AT180" s="198">
        <f>$E180*餐厅成本录入!AT183</f>
        <v>12</v>
      </c>
      <c r="AU180" s="198">
        <f>$E180*餐厅成本录入!AU183</f>
        <v>12</v>
      </c>
      <c r="AV180" s="198">
        <f>$E180*餐厅成本录入!AV183</f>
        <v>0</v>
      </c>
      <c r="AW180" s="198">
        <f>$E180*餐厅成本录入!AW183</f>
        <v>0</v>
      </c>
      <c r="AX180" s="198">
        <f>$E180*餐厅成本录入!AX183</f>
        <v>0</v>
      </c>
      <c r="AY180" s="198">
        <f>$E180*餐厅成本录入!AY183</f>
        <v>0</v>
      </c>
      <c r="AZ180" s="198">
        <f>$E180*餐厅成本录入!AZ183</f>
        <v>0</v>
      </c>
      <c r="BA180" s="198">
        <f>$E180*餐厅成本录入!BA183</f>
        <v>0</v>
      </c>
      <c r="BB180" s="198">
        <f>$E180*餐厅成本录入!BB183</f>
        <v>0</v>
      </c>
      <c r="BC180" s="198">
        <f>$E180*餐厅成本录入!BC183</f>
        <v>0</v>
      </c>
      <c r="BD180" s="198">
        <f>$E180*餐厅成本录入!BD183</f>
        <v>0</v>
      </c>
      <c r="BE180" s="198">
        <f>$E180*餐厅成本录入!BE183</f>
        <v>0</v>
      </c>
      <c r="BF180" s="198">
        <f>$E180*餐厅成本录入!BF183</f>
        <v>0</v>
      </c>
      <c r="BG180" s="198">
        <f>$E180*餐厅成本录入!BG183</f>
        <v>0</v>
      </c>
      <c r="BH180" s="198">
        <f>$E180*餐厅成本录入!BH183</f>
        <v>0</v>
      </c>
      <c r="BI180" s="198">
        <f>$E180*餐厅成本录入!BI183</f>
        <v>0</v>
      </c>
      <c r="BJ180" s="198">
        <f>$E180*餐厅成本录入!BJ183</f>
        <v>12</v>
      </c>
      <c r="BK180" s="198">
        <f>$E180*餐厅成本录入!BK183</f>
        <v>12</v>
      </c>
      <c r="BL180" s="198">
        <f>$E180*餐厅成本录入!BL183</f>
        <v>0</v>
      </c>
      <c r="BM180" s="198">
        <f>$E180*餐厅成本录入!BM183</f>
        <v>0</v>
      </c>
      <c r="BN180" s="198">
        <f>$E180*餐厅成本录入!BN183</f>
        <v>0</v>
      </c>
      <c r="BO180" s="198">
        <f>$E180*餐厅成本录入!BO183</f>
        <v>0</v>
      </c>
      <c r="BP180" s="198">
        <f>$E180*餐厅成本录入!BP183</f>
        <v>12</v>
      </c>
      <c r="BQ180" s="198">
        <f>$E180*餐厅成本录入!BQ183</f>
        <v>12</v>
      </c>
      <c r="BR180" s="198">
        <f>$E180*餐厅成本录入!BR183</f>
        <v>0</v>
      </c>
      <c r="BS180" s="198">
        <f>$E180*餐厅成本录入!BS183</f>
        <v>0</v>
      </c>
      <c r="BT180" s="198">
        <f>$E180*餐厅成本录入!BT183</f>
        <v>0</v>
      </c>
      <c r="BU180" s="198">
        <f>$E180*餐厅成本录入!BU183</f>
        <v>0</v>
      </c>
      <c r="BV180" s="198">
        <f>$E180*餐厅成本录入!BV183</f>
        <v>0</v>
      </c>
      <c r="BW180" s="198">
        <f>$E180*餐厅成本录入!BW183</f>
        <v>0</v>
      </c>
    </row>
    <row r="181" s="178" customFormat="1" customHeight="1" spans="1:75">
      <c r="A181" s="161">
        <v>213</v>
      </c>
      <c r="B181" s="21" t="str">
        <f>餐厅成本录入!B181</f>
        <v>小鱼花生</v>
      </c>
      <c r="C181" s="21">
        <f>餐厅成本录入!C181</f>
        <v>0</v>
      </c>
      <c r="D181" s="21" t="str">
        <f>餐厅成本录入!D181</f>
        <v>盒</v>
      </c>
      <c r="E181" s="21">
        <f>餐厅成本录入!E181</f>
        <v>40</v>
      </c>
      <c r="F181" s="21">
        <f>餐厅成本录入!F181</f>
        <v>0</v>
      </c>
      <c r="G181" s="21">
        <f>餐厅成本录入!G181</f>
        <v>0</v>
      </c>
      <c r="H181" s="21">
        <f>餐厅成本录入!H181</f>
        <v>5</v>
      </c>
      <c r="I181" s="21">
        <f>餐厅成本录入!I181</f>
        <v>200</v>
      </c>
      <c r="J181" s="21">
        <f>餐厅成本录入!J181</f>
        <v>5</v>
      </c>
      <c r="K181" s="21">
        <f>餐厅成本录入!K181</f>
        <v>200</v>
      </c>
      <c r="L181" s="21">
        <f>餐厅成本录入!L181</f>
        <v>0</v>
      </c>
      <c r="M181" s="21">
        <f>餐厅成本录入!M181</f>
        <v>0</v>
      </c>
      <c r="N181" s="198">
        <f>$E181*餐厅成本录入!N184</f>
        <v>0</v>
      </c>
      <c r="O181" s="198">
        <f>$E181*餐厅成本录入!O184</f>
        <v>0</v>
      </c>
      <c r="P181" s="198">
        <f>$E181*餐厅成本录入!P184</f>
        <v>0</v>
      </c>
      <c r="Q181" s="198">
        <f>$E181*餐厅成本录入!Q184</f>
        <v>0</v>
      </c>
      <c r="R181" s="198">
        <f>$E181*餐厅成本录入!R184</f>
        <v>0</v>
      </c>
      <c r="S181" s="198">
        <f>$E181*餐厅成本录入!S184</f>
        <v>0</v>
      </c>
      <c r="T181" s="198">
        <f>$E181*餐厅成本录入!T184</f>
        <v>0</v>
      </c>
      <c r="U181" s="198">
        <f>$E181*餐厅成本录入!U184</f>
        <v>0</v>
      </c>
      <c r="V181" s="198">
        <f>$E181*餐厅成本录入!V184</f>
        <v>0</v>
      </c>
      <c r="W181" s="198">
        <f>$E181*餐厅成本录入!W184</f>
        <v>0</v>
      </c>
      <c r="X181" s="198">
        <f>$E181*餐厅成本录入!X184</f>
        <v>0</v>
      </c>
      <c r="Y181" s="198">
        <f>$E181*餐厅成本录入!Y184</f>
        <v>0</v>
      </c>
      <c r="Z181" s="198">
        <f>$E181*餐厅成本录入!Z184</f>
        <v>0</v>
      </c>
      <c r="AA181" s="198">
        <f>$E181*餐厅成本录入!AA184</f>
        <v>0</v>
      </c>
      <c r="AB181" s="198">
        <f>$E181*餐厅成本录入!AB184</f>
        <v>80</v>
      </c>
      <c r="AC181" s="198">
        <f>$E181*餐厅成本录入!AC184</f>
        <v>80</v>
      </c>
      <c r="AD181" s="198">
        <f>$E181*餐厅成本录入!AD184</f>
        <v>0</v>
      </c>
      <c r="AE181" s="198">
        <f>$E181*餐厅成本录入!AE184</f>
        <v>0</v>
      </c>
      <c r="AF181" s="198">
        <f>$E181*餐厅成本录入!AF184</f>
        <v>0</v>
      </c>
      <c r="AG181" s="198">
        <f>$E181*餐厅成本录入!AG184</f>
        <v>0</v>
      </c>
      <c r="AH181" s="198">
        <f>$E181*餐厅成本录入!AH184</f>
        <v>0</v>
      </c>
      <c r="AI181" s="198">
        <f>$E181*餐厅成本录入!AI184</f>
        <v>0</v>
      </c>
      <c r="AJ181" s="198">
        <f>$E181*餐厅成本录入!AJ184</f>
        <v>0</v>
      </c>
      <c r="AK181" s="198">
        <f>$E181*餐厅成本录入!AK184</f>
        <v>0</v>
      </c>
      <c r="AL181" s="198">
        <f>$E181*餐厅成本录入!AL184</f>
        <v>0</v>
      </c>
      <c r="AM181" s="198">
        <f>$E181*餐厅成本录入!AM184</f>
        <v>0</v>
      </c>
      <c r="AN181" s="198">
        <f>$E181*餐厅成本录入!AN184</f>
        <v>0</v>
      </c>
      <c r="AO181" s="198">
        <f>$E181*餐厅成本录入!AO184</f>
        <v>0</v>
      </c>
      <c r="AP181" s="198">
        <f>$E181*餐厅成本录入!AP184</f>
        <v>0</v>
      </c>
      <c r="AQ181" s="198">
        <f>$E181*餐厅成本录入!AQ184</f>
        <v>0</v>
      </c>
      <c r="AR181" s="198">
        <f>$E181*餐厅成本录入!AR184</f>
        <v>0</v>
      </c>
      <c r="AS181" s="198">
        <f>$E181*餐厅成本录入!AS184</f>
        <v>0</v>
      </c>
      <c r="AT181" s="198">
        <f>$E181*餐厅成本录入!AT184</f>
        <v>0</v>
      </c>
      <c r="AU181" s="198">
        <f>$E181*餐厅成本录入!AU184</f>
        <v>0</v>
      </c>
      <c r="AV181" s="198">
        <f>$E181*餐厅成本录入!AV184</f>
        <v>0</v>
      </c>
      <c r="AW181" s="198">
        <f>$E181*餐厅成本录入!AW184</f>
        <v>0</v>
      </c>
      <c r="AX181" s="198">
        <f>$E181*餐厅成本录入!AX184</f>
        <v>0</v>
      </c>
      <c r="AY181" s="198">
        <f>$E181*餐厅成本录入!AY184</f>
        <v>0</v>
      </c>
      <c r="AZ181" s="198">
        <f>$E181*餐厅成本录入!AZ184</f>
        <v>0</v>
      </c>
      <c r="BA181" s="198">
        <f>$E181*餐厅成本录入!BA184</f>
        <v>0</v>
      </c>
      <c r="BB181" s="198">
        <f>$E181*餐厅成本录入!BB184</f>
        <v>0</v>
      </c>
      <c r="BC181" s="198">
        <f>$E181*餐厅成本录入!BC184</f>
        <v>0</v>
      </c>
      <c r="BD181" s="198">
        <f>$E181*餐厅成本录入!BD184</f>
        <v>0</v>
      </c>
      <c r="BE181" s="198">
        <f>$E181*餐厅成本录入!BE184</f>
        <v>0</v>
      </c>
      <c r="BF181" s="198">
        <f>$E181*餐厅成本录入!BF184</f>
        <v>0</v>
      </c>
      <c r="BG181" s="198">
        <f>$E181*餐厅成本录入!BG184</f>
        <v>0</v>
      </c>
      <c r="BH181" s="198">
        <f>$E181*餐厅成本录入!BH184</f>
        <v>0</v>
      </c>
      <c r="BI181" s="198">
        <f>$E181*餐厅成本录入!BI184</f>
        <v>0</v>
      </c>
      <c r="BJ181" s="198">
        <f>$E181*餐厅成本录入!BJ184</f>
        <v>400</v>
      </c>
      <c r="BK181" s="198">
        <f>$E181*餐厅成本录入!BK184</f>
        <v>400</v>
      </c>
      <c r="BL181" s="198">
        <f>$E181*餐厅成本录入!BL184</f>
        <v>0</v>
      </c>
      <c r="BM181" s="198">
        <f>$E181*餐厅成本录入!BM184</f>
        <v>0</v>
      </c>
      <c r="BN181" s="198">
        <f>$E181*餐厅成本录入!BN184</f>
        <v>0</v>
      </c>
      <c r="BO181" s="198">
        <f>$E181*餐厅成本录入!BO184</f>
        <v>0</v>
      </c>
      <c r="BP181" s="198">
        <f>$E181*餐厅成本录入!BP184</f>
        <v>0</v>
      </c>
      <c r="BQ181" s="198">
        <f>$E181*餐厅成本录入!BQ184</f>
        <v>0</v>
      </c>
      <c r="BR181" s="198">
        <f>$E181*餐厅成本录入!BR184</f>
        <v>0</v>
      </c>
      <c r="BS181" s="198">
        <f>$E181*餐厅成本录入!BS184</f>
        <v>0</v>
      </c>
      <c r="BT181" s="198">
        <f>$E181*餐厅成本录入!BT184</f>
        <v>0</v>
      </c>
      <c r="BU181" s="198">
        <f>$E181*餐厅成本录入!BU184</f>
        <v>0</v>
      </c>
      <c r="BV181" s="198">
        <f>$E181*餐厅成本录入!BV184</f>
        <v>0</v>
      </c>
      <c r="BW181" s="198">
        <f>$E181*餐厅成本录入!BW184</f>
        <v>0</v>
      </c>
    </row>
    <row r="182" s="178" customFormat="1" customHeight="1" spans="1:75">
      <c r="A182" s="161">
        <v>214</v>
      </c>
      <c r="B182" s="21" t="str">
        <f>餐厅成本录入!B182</f>
        <v>泡椒海带</v>
      </c>
      <c r="C182" s="21">
        <f>餐厅成本录入!C182</f>
        <v>0</v>
      </c>
      <c r="D182" s="21" t="str">
        <f>餐厅成本录入!D182</f>
        <v>件</v>
      </c>
      <c r="E182" s="21">
        <f>餐厅成本录入!E182</f>
        <v>40</v>
      </c>
      <c r="F182" s="21">
        <f>餐厅成本录入!F182</f>
        <v>0</v>
      </c>
      <c r="G182" s="21">
        <f>餐厅成本录入!G182</f>
        <v>0</v>
      </c>
      <c r="H182" s="21">
        <f>餐厅成本录入!H182</f>
        <v>2</v>
      </c>
      <c r="I182" s="21">
        <f>餐厅成本录入!I182</f>
        <v>80</v>
      </c>
      <c r="J182" s="21">
        <f>餐厅成本录入!J182</f>
        <v>2</v>
      </c>
      <c r="K182" s="21">
        <f>餐厅成本录入!K182</f>
        <v>80</v>
      </c>
      <c r="L182" s="21">
        <f>餐厅成本录入!L182</f>
        <v>0</v>
      </c>
      <c r="M182" s="21">
        <f>餐厅成本录入!M182</f>
        <v>0</v>
      </c>
      <c r="N182" s="198">
        <f>$E182*餐厅成本录入!N185</f>
        <v>0</v>
      </c>
      <c r="O182" s="198">
        <f>$E182*餐厅成本录入!O185</f>
        <v>0</v>
      </c>
      <c r="P182" s="198">
        <f>$E182*餐厅成本录入!P185</f>
        <v>0</v>
      </c>
      <c r="Q182" s="198">
        <f>$E182*餐厅成本录入!Q185</f>
        <v>0</v>
      </c>
      <c r="R182" s="198">
        <f>$E182*餐厅成本录入!R185</f>
        <v>0</v>
      </c>
      <c r="S182" s="198">
        <f>$E182*餐厅成本录入!S185</f>
        <v>0</v>
      </c>
      <c r="T182" s="198">
        <f>$E182*餐厅成本录入!T185</f>
        <v>0</v>
      </c>
      <c r="U182" s="198">
        <f>$E182*餐厅成本录入!U185</f>
        <v>0</v>
      </c>
      <c r="V182" s="198">
        <f>$E182*餐厅成本录入!V185</f>
        <v>0</v>
      </c>
      <c r="W182" s="198">
        <f>$E182*餐厅成本录入!W185</f>
        <v>0</v>
      </c>
      <c r="X182" s="198">
        <f>$E182*餐厅成本录入!X185</f>
        <v>0</v>
      </c>
      <c r="Y182" s="198">
        <f>$E182*餐厅成本录入!Y185</f>
        <v>0</v>
      </c>
      <c r="Z182" s="198">
        <f>$E182*餐厅成本录入!Z185</f>
        <v>0</v>
      </c>
      <c r="AA182" s="198">
        <f>$E182*餐厅成本录入!AA185</f>
        <v>0</v>
      </c>
      <c r="AB182" s="198">
        <f>$E182*餐厅成本录入!AB185</f>
        <v>0</v>
      </c>
      <c r="AC182" s="198">
        <f>$E182*餐厅成本录入!AC185</f>
        <v>0</v>
      </c>
      <c r="AD182" s="198">
        <f>$E182*餐厅成本录入!AD185</f>
        <v>0</v>
      </c>
      <c r="AE182" s="198">
        <f>$E182*餐厅成本录入!AE185</f>
        <v>0</v>
      </c>
      <c r="AF182" s="198">
        <f>$E182*餐厅成本录入!AF185</f>
        <v>0</v>
      </c>
      <c r="AG182" s="198">
        <f>$E182*餐厅成本录入!AG185</f>
        <v>0</v>
      </c>
      <c r="AH182" s="198">
        <f>$E182*餐厅成本录入!AH185</f>
        <v>0</v>
      </c>
      <c r="AI182" s="198">
        <f>$E182*餐厅成本录入!AI185</f>
        <v>0</v>
      </c>
      <c r="AJ182" s="198">
        <f>$E182*餐厅成本录入!AJ185</f>
        <v>0</v>
      </c>
      <c r="AK182" s="198">
        <f>$E182*餐厅成本录入!AK185</f>
        <v>0</v>
      </c>
      <c r="AL182" s="198">
        <f>$E182*餐厅成本录入!AL185</f>
        <v>0</v>
      </c>
      <c r="AM182" s="198">
        <f>$E182*餐厅成本录入!AM185</f>
        <v>0</v>
      </c>
      <c r="AN182" s="198">
        <f>$E182*餐厅成本录入!AN185</f>
        <v>0</v>
      </c>
      <c r="AO182" s="198">
        <f>$E182*餐厅成本录入!AO185</f>
        <v>0</v>
      </c>
      <c r="AP182" s="198">
        <f>$E182*餐厅成本录入!AP185</f>
        <v>0</v>
      </c>
      <c r="AQ182" s="198">
        <f>$E182*餐厅成本录入!AQ185</f>
        <v>0</v>
      </c>
      <c r="AR182" s="198">
        <f>$E182*餐厅成本录入!AR185</f>
        <v>0</v>
      </c>
      <c r="AS182" s="198">
        <f>$E182*餐厅成本录入!AS185</f>
        <v>0</v>
      </c>
      <c r="AT182" s="198">
        <f>$E182*餐厅成本录入!AT185</f>
        <v>0</v>
      </c>
      <c r="AU182" s="198">
        <f>$E182*餐厅成本录入!AU185</f>
        <v>0</v>
      </c>
      <c r="AV182" s="198">
        <f>$E182*餐厅成本录入!AV185</f>
        <v>0</v>
      </c>
      <c r="AW182" s="198">
        <f>$E182*餐厅成本录入!AW185</f>
        <v>0</v>
      </c>
      <c r="AX182" s="198">
        <f>$E182*餐厅成本录入!AX185</f>
        <v>0</v>
      </c>
      <c r="AY182" s="198">
        <f>$E182*餐厅成本录入!AY185</f>
        <v>0</v>
      </c>
      <c r="AZ182" s="198">
        <f>$E182*餐厅成本录入!AZ185</f>
        <v>0</v>
      </c>
      <c r="BA182" s="198">
        <f>$E182*餐厅成本录入!BA185</f>
        <v>0</v>
      </c>
      <c r="BB182" s="198">
        <f>$E182*餐厅成本录入!BB185</f>
        <v>0</v>
      </c>
      <c r="BC182" s="198">
        <f>$E182*餐厅成本录入!BC185</f>
        <v>0</v>
      </c>
      <c r="BD182" s="198">
        <f>$E182*餐厅成本录入!BD185</f>
        <v>0</v>
      </c>
      <c r="BE182" s="198">
        <f>$E182*餐厅成本录入!BE185</f>
        <v>0</v>
      </c>
      <c r="BF182" s="198">
        <f>$E182*餐厅成本录入!BF185</f>
        <v>0</v>
      </c>
      <c r="BG182" s="198">
        <f>$E182*餐厅成本录入!BG185</f>
        <v>0</v>
      </c>
      <c r="BH182" s="198">
        <f>$E182*餐厅成本录入!BH185</f>
        <v>0</v>
      </c>
      <c r="BI182" s="198">
        <f>$E182*餐厅成本录入!BI185</f>
        <v>0</v>
      </c>
      <c r="BJ182" s="198">
        <f>$E182*餐厅成本录入!BJ185</f>
        <v>800</v>
      </c>
      <c r="BK182" s="198">
        <f>$E182*餐厅成本录入!BK185</f>
        <v>800</v>
      </c>
      <c r="BL182" s="198">
        <f>$E182*餐厅成本录入!BL185</f>
        <v>0</v>
      </c>
      <c r="BM182" s="198">
        <f>$E182*餐厅成本录入!BM185</f>
        <v>0</v>
      </c>
      <c r="BN182" s="198">
        <f>$E182*餐厅成本录入!BN185</f>
        <v>0</v>
      </c>
      <c r="BO182" s="198">
        <f>$E182*餐厅成本录入!BO185</f>
        <v>0</v>
      </c>
      <c r="BP182" s="198">
        <f>$E182*餐厅成本录入!BP185</f>
        <v>0</v>
      </c>
      <c r="BQ182" s="198">
        <f>$E182*餐厅成本录入!BQ185</f>
        <v>0</v>
      </c>
      <c r="BR182" s="198">
        <f>$E182*餐厅成本录入!BR185</f>
        <v>0</v>
      </c>
      <c r="BS182" s="198">
        <f>$E182*餐厅成本录入!BS185</f>
        <v>0</v>
      </c>
      <c r="BT182" s="198">
        <f>$E182*餐厅成本录入!BT185</f>
        <v>0</v>
      </c>
      <c r="BU182" s="198">
        <f>$E182*餐厅成本录入!BU185</f>
        <v>0</v>
      </c>
      <c r="BV182" s="198">
        <f>$E182*餐厅成本录入!BV185</f>
        <v>0</v>
      </c>
      <c r="BW182" s="198">
        <f>$E182*餐厅成本录入!BW185</f>
        <v>0</v>
      </c>
    </row>
    <row r="183" s="178" customFormat="1" customHeight="1" spans="1:75">
      <c r="A183" s="161">
        <v>215</v>
      </c>
      <c r="B183" s="21" t="str">
        <f>餐厅成本录入!B183</f>
        <v>虾皮</v>
      </c>
      <c r="C183" s="21">
        <f>餐厅成本录入!C183</f>
        <v>0</v>
      </c>
      <c r="D183" s="21" t="str">
        <f>餐厅成本录入!D183</f>
        <v>斤</v>
      </c>
      <c r="E183" s="21">
        <f>餐厅成本录入!E183</f>
        <v>25</v>
      </c>
      <c r="F183" s="21">
        <f>餐厅成本录入!F183</f>
        <v>0</v>
      </c>
      <c r="G183" s="21">
        <f>餐厅成本录入!G183</f>
        <v>0</v>
      </c>
      <c r="H183" s="21">
        <f>餐厅成本录入!H183</f>
        <v>10</v>
      </c>
      <c r="I183" s="21">
        <f>餐厅成本录入!I183</f>
        <v>250</v>
      </c>
      <c r="J183" s="21">
        <f>餐厅成本录入!J183</f>
        <v>10</v>
      </c>
      <c r="K183" s="21">
        <f>餐厅成本录入!K183</f>
        <v>250</v>
      </c>
      <c r="L183" s="21">
        <f>餐厅成本录入!L183</f>
        <v>0</v>
      </c>
      <c r="M183" s="21">
        <f>餐厅成本录入!M183</f>
        <v>0</v>
      </c>
      <c r="N183" s="198">
        <f>$E183*餐厅成本录入!N186</f>
        <v>0</v>
      </c>
      <c r="O183" s="198">
        <f>$E183*餐厅成本录入!O186</f>
        <v>0</v>
      </c>
      <c r="P183" s="198">
        <f>$E183*餐厅成本录入!P186</f>
        <v>0</v>
      </c>
      <c r="Q183" s="198">
        <f>$E183*餐厅成本录入!Q186</f>
        <v>0</v>
      </c>
      <c r="R183" s="198">
        <f>$E183*餐厅成本录入!R186</f>
        <v>0</v>
      </c>
      <c r="S183" s="198">
        <f>$E183*餐厅成本录入!S186</f>
        <v>0</v>
      </c>
      <c r="T183" s="198">
        <f>$E183*餐厅成本录入!T186</f>
        <v>0</v>
      </c>
      <c r="U183" s="198">
        <f>$E183*餐厅成本录入!U186</f>
        <v>0</v>
      </c>
      <c r="V183" s="198">
        <f>$E183*餐厅成本录入!V186</f>
        <v>0</v>
      </c>
      <c r="W183" s="198">
        <f>$E183*餐厅成本录入!W186</f>
        <v>0</v>
      </c>
      <c r="X183" s="198">
        <f>$E183*餐厅成本录入!X186</f>
        <v>0</v>
      </c>
      <c r="Y183" s="198">
        <f>$E183*餐厅成本录入!Y186</f>
        <v>0</v>
      </c>
      <c r="Z183" s="198">
        <f>$E183*餐厅成本录入!Z186</f>
        <v>0</v>
      </c>
      <c r="AA183" s="198">
        <f>$E183*餐厅成本录入!AA186</f>
        <v>0</v>
      </c>
      <c r="AB183" s="198">
        <f>$E183*餐厅成本录入!AB186</f>
        <v>0</v>
      </c>
      <c r="AC183" s="198">
        <f>$E183*餐厅成本录入!AC186</f>
        <v>0</v>
      </c>
      <c r="AD183" s="198">
        <f>$E183*餐厅成本录入!AD186</f>
        <v>0</v>
      </c>
      <c r="AE183" s="198">
        <f>$E183*餐厅成本录入!AE186</f>
        <v>0</v>
      </c>
      <c r="AF183" s="198">
        <f>$E183*餐厅成本录入!AF186</f>
        <v>0</v>
      </c>
      <c r="AG183" s="198">
        <f>$E183*餐厅成本录入!AG186</f>
        <v>0</v>
      </c>
      <c r="AH183" s="198">
        <f>$E183*餐厅成本录入!AH186</f>
        <v>0</v>
      </c>
      <c r="AI183" s="198">
        <f>$E183*餐厅成本录入!AI186</f>
        <v>0</v>
      </c>
      <c r="AJ183" s="198">
        <f>$E183*餐厅成本录入!AJ186</f>
        <v>0</v>
      </c>
      <c r="AK183" s="198">
        <f>$E183*餐厅成本录入!AK186</f>
        <v>0</v>
      </c>
      <c r="AL183" s="198">
        <f>$E183*餐厅成本录入!AL186</f>
        <v>0</v>
      </c>
      <c r="AM183" s="198">
        <f>$E183*餐厅成本录入!AM186</f>
        <v>0</v>
      </c>
      <c r="AN183" s="198">
        <f>$E183*餐厅成本录入!AN186</f>
        <v>0</v>
      </c>
      <c r="AO183" s="198">
        <f>$E183*餐厅成本录入!AO186</f>
        <v>0</v>
      </c>
      <c r="AP183" s="198">
        <f>$E183*餐厅成本录入!AP186</f>
        <v>0</v>
      </c>
      <c r="AQ183" s="198">
        <f>$E183*餐厅成本录入!AQ186</f>
        <v>0</v>
      </c>
      <c r="AR183" s="198">
        <f>$E183*餐厅成本录入!AR186</f>
        <v>0</v>
      </c>
      <c r="AS183" s="198">
        <f>$E183*餐厅成本录入!AS186</f>
        <v>0</v>
      </c>
      <c r="AT183" s="198">
        <f>$E183*餐厅成本录入!AT186</f>
        <v>0</v>
      </c>
      <c r="AU183" s="198">
        <f>$E183*餐厅成本录入!AU186</f>
        <v>0</v>
      </c>
      <c r="AV183" s="198">
        <f>$E183*餐厅成本录入!AV186</f>
        <v>0</v>
      </c>
      <c r="AW183" s="198">
        <f>$E183*餐厅成本录入!AW186</f>
        <v>0</v>
      </c>
      <c r="AX183" s="198">
        <f>$E183*餐厅成本录入!AX186</f>
        <v>0</v>
      </c>
      <c r="AY183" s="198">
        <f>$E183*餐厅成本录入!AY186</f>
        <v>0</v>
      </c>
      <c r="AZ183" s="198">
        <f>$E183*餐厅成本录入!AZ186</f>
        <v>0</v>
      </c>
      <c r="BA183" s="198">
        <f>$E183*餐厅成本录入!BA186</f>
        <v>0</v>
      </c>
      <c r="BB183" s="198">
        <f>$E183*餐厅成本录入!BB186</f>
        <v>0</v>
      </c>
      <c r="BC183" s="198">
        <f>$E183*餐厅成本录入!BC186</f>
        <v>0</v>
      </c>
      <c r="BD183" s="198">
        <f>$E183*餐厅成本录入!BD186</f>
        <v>0</v>
      </c>
      <c r="BE183" s="198">
        <f>$E183*餐厅成本录入!BE186</f>
        <v>0</v>
      </c>
      <c r="BF183" s="198">
        <f>$E183*餐厅成本录入!BF186</f>
        <v>0</v>
      </c>
      <c r="BG183" s="198">
        <f>$E183*餐厅成本录入!BG186</f>
        <v>0</v>
      </c>
      <c r="BH183" s="198">
        <f>$E183*餐厅成本录入!BH186</f>
        <v>0</v>
      </c>
      <c r="BI183" s="198">
        <f>$E183*餐厅成本录入!BI186</f>
        <v>0</v>
      </c>
      <c r="BJ183" s="198">
        <f>$E183*餐厅成本录入!BJ186</f>
        <v>0</v>
      </c>
      <c r="BK183" s="198">
        <f>$E183*餐厅成本录入!BK186</f>
        <v>0</v>
      </c>
      <c r="BL183" s="198">
        <f>$E183*餐厅成本录入!BL186</f>
        <v>0</v>
      </c>
      <c r="BM183" s="198">
        <f>$E183*餐厅成本录入!BM186</f>
        <v>0</v>
      </c>
      <c r="BN183" s="198">
        <f>$E183*餐厅成本录入!BN186</f>
        <v>0</v>
      </c>
      <c r="BO183" s="198">
        <f>$E183*餐厅成本录入!BO186</f>
        <v>0</v>
      </c>
      <c r="BP183" s="198">
        <f>$E183*餐厅成本录入!BP186</f>
        <v>0</v>
      </c>
      <c r="BQ183" s="198">
        <f>$E183*餐厅成本录入!BQ186</f>
        <v>0</v>
      </c>
      <c r="BR183" s="198">
        <f>$E183*餐厅成本录入!BR186</f>
        <v>0</v>
      </c>
      <c r="BS183" s="198">
        <f>$E183*餐厅成本录入!BS186</f>
        <v>0</v>
      </c>
      <c r="BT183" s="198">
        <f>$E183*餐厅成本录入!BT186</f>
        <v>0</v>
      </c>
      <c r="BU183" s="198">
        <f>$E183*餐厅成本录入!BU186</f>
        <v>0</v>
      </c>
      <c r="BV183" s="198">
        <f>$E183*餐厅成本录入!BV186</f>
        <v>0</v>
      </c>
      <c r="BW183" s="198">
        <f>$E183*餐厅成本录入!BW186</f>
        <v>0</v>
      </c>
    </row>
    <row r="184" s="178" customFormat="1" customHeight="1" spans="1:75">
      <c r="A184" s="161">
        <v>216</v>
      </c>
      <c r="B184" s="21" t="str">
        <f>餐厅成本录入!B184</f>
        <v>酸菜鱼菜</v>
      </c>
      <c r="C184" s="21">
        <f>餐厅成本录入!C184</f>
        <v>0</v>
      </c>
      <c r="D184" s="21" t="str">
        <f>餐厅成本录入!D184</f>
        <v>包</v>
      </c>
      <c r="E184" s="21">
        <f>餐厅成本录入!E184</f>
        <v>10</v>
      </c>
      <c r="F184" s="21">
        <f>餐厅成本录入!F184</f>
        <v>0</v>
      </c>
      <c r="G184" s="21">
        <f>餐厅成本录入!G184</f>
        <v>0</v>
      </c>
      <c r="H184" s="21">
        <f>餐厅成本录入!H184</f>
        <v>12</v>
      </c>
      <c r="I184" s="21">
        <f>餐厅成本录入!I184</f>
        <v>120</v>
      </c>
      <c r="J184" s="21">
        <f>餐厅成本录入!J184</f>
        <v>12</v>
      </c>
      <c r="K184" s="21">
        <f>餐厅成本录入!K184</f>
        <v>120</v>
      </c>
      <c r="L184" s="21">
        <f>餐厅成本录入!L184</f>
        <v>0</v>
      </c>
      <c r="M184" s="21">
        <f>餐厅成本录入!M184</f>
        <v>0</v>
      </c>
      <c r="N184" s="198">
        <f>$E184*餐厅成本录入!N187</f>
        <v>0</v>
      </c>
      <c r="O184" s="198">
        <f>$E184*餐厅成本录入!O187</f>
        <v>0</v>
      </c>
      <c r="P184" s="198">
        <f>$E184*餐厅成本录入!P187</f>
        <v>0</v>
      </c>
      <c r="Q184" s="198">
        <f>$E184*餐厅成本录入!Q187</f>
        <v>0</v>
      </c>
      <c r="R184" s="198">
        <f>$E184*餐厅成本录入!R187</f>
        <v>0</v>
      </c>
      <c r="S184" s="198">
        <f>$E184*餐厅成本录入!S187</f>
        <v>0</v>
      </c>
      <c r="T184" s="198">
        <f>$E184*餐厅成本录入!T187</f>
        <v>0</v>
      </c>
      <c r="U184" s="198">
        <f>$E184*餐厅成本录入!U187</f>
        <v>0</v>
      </c>
      <c r="V184" s="198">
        <f>$E184*餐厅成本录入!V187</f>
        <v>0</v>
      </c>
      <c r="W184" s="198">
        <f>$E184*餐厅成本录入!W187</f>
        <v>0</v>
      </c>
      <c r="X184" s="198">
        <f>$E184*餐厅成本录入!X187</f>
        <v>0</v>
      </c>
      <c r="Y184" s="198">
        <f>$E184*餐厅成本录入!Y187</f>
        <v>0</v>
      </c>
      <c r="Z184" s="198">
        <f>$E184*餐厅成本录入!Z187</f>
        <v>0</v>
      </c>
      <c r="AA184" s="198">
        <f>$E184*餐厅成本录入!AA187</f>
        <v>0</v>
      </c>
      <c r="AB184" s="198">
        <f>$E184*餐厅成本录入!AB187</f>
        <v>10</v>
      </c>
      <c r="AC184" s="198">
        <f>$E184*餐厅成本录入!AC187</f>
        <v>10</v>
      </c>
      <c r="AD184" s="198">
        <f>$E184*餐厅成本录入!AD187</f>
        <v>0</v>
      </c>
      <c r="AE184" s="198">
        <f>$E184*餐厅成本录入!AE187</f>
        <v>0</v>
      </c>
      <c r="AF184" s="198">
        <f>$E184*餐厅成本录入!AF187</f>
        <v>0</v>
      </c>
      <c r="AG184" s="198">
        <f>$E184*餐厅成本录入!AG187</f>
        <v>0</v>
      </c>
      <c r="AH184" s="198">
        <f>$E184*餐厅成本录入!AH187</f>
        <v>0</v>
      </c>
      <c r="AI184" s="198">
        <f>$E184*餐厅成本录入!AI187</f>
        <v>0</v>
      </c>
      <c r="AJ184" s="198">
        <f>$E184*餐厅成本录入!AJ187</f>
        <v>0</v>
      </c>
      <c r="AK184" s="198">
        <f>$E184*餐厅成本录入!AK187</f>
        <v>0</v>
      </c>
      <c r="AL184" s="198">
        <f>$E184*餐厅成本录入!AL187</f>
        <v>0</v>
      </c>
      <c r="AM184" s="198">
        <f>$E184*餐厅成本录入!AM187</f>
        <v>0</v>
      </c>
      <c r="AN184" s="198">
        <f>$E184*餐厅成本录入!AN187</f>
        <v>0</v>
      </c>
      <c r="AO184" s="198">
        <f>$E184*餐厅成本录入!AO187</f>
        <v>0</v>
      </c>
      <c r="AP184" s="198">
        <f>$E184*餐厅成本录入!AP187</f>
        <v>0</v>
      </c>
      <c r="AQ184" s="198">
        <f>$E184*餐厅成本录入!AQ187</f>
        <v>0</v>
      </c>
      <c r="AR184" s="198">
        <f>$E184*餐厅成本录入!AR187</f>
        <v>0</v>
      </c>
      <c r="AS184" s="198">
        <f>$E184*餐厅成本录入!AS187</f>
        <v>0</v>
      </c>
      <c r="AT184" s="198">
        <f>$E184*餐厅成本录入!AT187</f>
        <v>0</v>
      </c>
      <c r="AU184" s="198">
        <f>$E184*餐厅成本录入!AU187</f>
        <v>0</v>
      </c>
      <c r="AV184" s="198">
        <f>$E184*餐厅成本录入!AV187</f>
        <v>10</v>
      </c>
      <c r="AW184" s="198">
        <f>$E184*餐厅成本录入!AW187</f>
        <v>10</v>
      </c>
      <c r="AX184" s="198">
        <f>$E184*餐厅成本录入!AX187</f>
        <v>0</v>
      </c>
      <c r="AY184" s="198">
        <f>$E184*餐厅成本录入!AY187</f>
        <v>0</v>
      </c>
      <c r="AZ184" s="198">
        <f>$E184*餐厅成本录入!AZ187</f>
        <v>0</v>
      </c>
      <c r="BA184" s="198">
        <f>$E184*餐厅成本录入!BA187</f>
        <v>0</v>
      </c>
      <c r="BB184" s="198">
        <f>$E184*餐厅成本录入!BB187</f>
        <v>0</v>
      </c>
      <c r="BC184" s="198">
        <f>$E184*餐厅成本录入!BC187</f>
        <v>0</v>
      </c>
      <c r="BD184" s="198">
        <f>$E184*餐厅成本录入!BD187</f>
        <v>0</v>
      </c>
      <c r="BE184" s="198">
        <f>$E184*餐厅成本录入!BE187</f>
        <v>0</v>
      </c>
      <c r="BF184" s="198">
        <f>$E184*餐厅成本录入!BF187</f>
        <v>0</v>
      </c>
      <c r="BG184" s="198">
        <f>$E184*餐厅成本录入!BG187</f>
        <v>0</v>
      </c>
      <c r="BH184" s="198">
        <f>$E184*餐厅成本录入!BH187</f>
        <v>0</v>
      </c>
      <c r="BI184" s="198">
        <f>$E184*餐厅成本录入!BI187</f>
        <v>0</v>
      </c>
      <c r="BJ184" s="198">
        <f>$E184*餐厅成本录入!BJ187</f>
        <v>0</v>
      </c>
      <c r="BK184" s="198">
        <f>$E184*餐厅成本录入!BK187</f>
        <v>0</v>
      </c>
      <c r="BL184" s="198">
        <f>$E184*餐厅成本录入!BL187</f>
        <v>0</v>
      </c>
      <c r="BM184" s="198">
        <f>$E184*餐厅成本录入!BM187</f>
        <v>0</v>
      </c>
      <c r="BN184" s="198">
        <f>$E184*餐厅成本录入!BN187</f>
        <v>0</v>
      </c>
      <c r="BO184" s="198">
        <f>$E184*餐厅成本录入!BO187</f>
        <v>0</v>
      </c>
      <c r="BP184" s="198">
        <f>$E184*餐厅成本录入!BP187</f>
        <v>0</v>
      </c>
      <c r="BQ184" s="198">
        <f>$E184*餐厅成本录入!BQ187</f>
        <v>0</v>
      </c>
      <c r="BR184" s="198">
        <f>$E184*餐厅成本录入!BR187</f>
        <v>0</v>
      </c>
      <c r="BS184" s="198">
        <f>$E184*餐厅成本录入!BS187</f>
        <v>0</v>
      </c>
      <c r="BT184" s="198">
        <f>$E184*餐厅成本录入!BT187</f>
        <v>0</v>
      </c>
      <c r="BU184" s="198">
        <f>$E184*餐厅成本录入!BU187</f>
        <v>0</v>
      </c>
      <c r="BV184" s="198">
        <f>$E184*餐厅成本录入!BV187</f>
        <v>0</v>
      </c>
      <c r="BW184" s="198">
        <f>$E184*餐厅成本录入!BW187</f>
        <v>0</v>
      </c>
    </row>
    <row r="185" s="178" customFormat="1" customHeight="1" spans="1:75">
      <c r="A185" s="161">
        <v>217</v>
      </c>
      <c r="B185" s="21" t="str">
        <f>餐厅成本录入!B185</f>
        <v>馒头</v>
      </c>
      <c r="C185" s="21">
        <f>餐厅成本录入!C185</f>
        <v>0</v>
      </c>
      <c r="D185" s="21" t="str">
        <f>餐厅成本录入!D185</f>
        <v>个</v>
      </c>
      <c r="E185" s="21">
        <f>餐厅成本录入!E185</f>
        <v>0.5</v>
      </c>
      <c r="F185" s="21">
        <f>餐厅成本录入!F185</f>
        <v>0</v>
      </c>
      <c r="G185" s="21">
        <f>餐厅成本录入!G185</f>
        <v>0</v>
      </c>
      <c r="H185" s="21">
        <f>餐厅成本录入!H185</f>
        <v>20</v>
      </c>
      <c r="I185" s="21">
        <f>餐厅成本录入!I185</f>
        <v>10</v>
      </c>
      <c r="J185" s="21">
        <f>餐厅成本录入!J185</f>
        <v>20</v>
      </c>
      <c r="K185" s="21">
        <f>餐厅成本录入!K185</f>
        <v>10</v>
      </c>
      <c r="L185" s="21">
        <f>餐厅成本录入!L185</f>
        <v>0</v>
      </c>
      <c r="M185" s="21">
        <f>餐厅成本录入!M185</f>
        <v>0</v>
      </c>
      <c r="N185" s="198">
        <f>$E185*餐厅成本录入!N188</f>
        <v>0</v>
      </c>
      <c r="O185" s="198">
        <f>$E185*餐厅成本录入!O188</f>
        <v>0</v>
      </c>
      <c r="P185" s="198">
        <f>$E185*餐厅成本录入!P188</f>
        <v>0</v>
      </c>
      <c r="Q185" s="198">
        <f>$E185*餐厅成本录入!Q188</f>
        <v>0</v>
      </c>
      <c r="R185" s="198">
        <f>$E185*餐厅成本录入!R188</f>
        <v>0</v>
      </c>
      <c r="S185" s="198">
        <f>$E185*餐厅成本录入!S188</f>
        <v>0</v>
      </c>
      <c r="T185" s="198">
        <f>$E185*餐厅成本录入!T188</f>
        <v>0</v>
      </c>
      <c r="U185" s="198">
        <f>$E185*餐厅成本录入!U188</f>
        <v>0</v>
      </c>
      <c r="V185" s="198">
        <f>$E185*餐厅成本录入!V188</f>
        <v>0</v>
      </c>
      <c r="W185" s="198">
        <f>$E185*餐厅成本录入!W188</f>
        <v>0</v>
      </c>
      <c r="X185" s="198">
        <f>$E185*餐厅成本录入!X188</f>
        <v>0</v>
      </c>
      <c r="Y185" s="198">
        <f>$E185*餐厅成本录入!Y188</f>
        <v>0</v>
      </c>
      <c r="Z185" s="198">
        <f>$E185*餐厅成本录入!Z188</f>
        <v>0</v>
      </c>
      <c r="AA185" s="198">
        <f>$E185*餐厅成本录入!AA188</f>
        <v>0</v>
      </c>
      <c r="AB185" s="198">
        <f>$E185*餐厅成本录入!AB188</f>
        <v>6.5</v>
      </c>
      <c r="AC185" s="198">
        <f>$E185*餐厅成本录入!AC188</f>
        <v>6.5</v>
      </c>
      <c r="AD185" s="198">
        <f>$E185*餐厅成本录入!AD188</f>
        <v>0</v>
      </c>
      <c r="AE185" s="198">
        <f>$E185*餐厅成本录入!AE188</f>
        <v>0</v>
      </c>
      <c r="AF185" s="198">
        <f>$E185*餐厅成本录入!AF188</f>
        <v>0</v>
      </c>
      <c r="AG185" s="198">
        <f>$E185*餐厅成本录入!AG188</f>
        <v>0</v>
      </c>
      <c r="AH185" s="198">
        <f>$E185*餐厅成本录入!AH188</f>
        <v>0</v>
      </c>
      <c r="AI185" s="198">
        <f>$E185*餐厅成本录入!AI188</f>
        <v>0</v>
      </c>
      <c r="AJ185" s="198">
        <f>$E185*餐厅成本录入!AJ188</f>
        <v>0</v>
      </c>
      <c r="AK185" s="198">
        <f>$E185*餐厅成本录入!AK188</f>
        <v>0</v>
      </c>
      <c r="AL185" s="198">
        <f>$E185*餐厅成本录入!AL188</f>
        <v>0</v>
      </c>
      <c r="AM185" s="198">
        <f>$E185*餐厅成本录入!AM188</f>
        <v>0</v>
      </c>
      <c r="AN185" s="198">
        <f>$E185*餐厅成本录入!AN188</f>
        <v>0</v>
      </c>
      <c r="AO185" s="198">
        <f>$E185*餐厅成本录入!AO188</f>
        <v>0</v>
      </c>
      <c r="AP185" s="198">
        <f>$E185*餐厅成本录入!AP188</f>
        <v>0</v>
      </c>
      <c r="AQ185" s="198">
        <f>$E185*餐厅成本录入!AQ188</f>
        <v>0</v>
      </c>
      <c r="AR185" s="198">
        <f>$E185*餐厅成本录入!AR188</f>
        <v>0</v>
      </c>
      <c r="AS185" s="198">
        <f>$E185*餐厅成本录入!AS188</f>
        <v>0</v>
      </c>
      <c r="AT185" s="198">
        <f>$E185*餐厅成本录入!AT188</f>
        <v>0</v>
      </c>
      <c r="AU185" s="198">
        <f>$E185*餐厅成本录入!AU188</f>
        <v>0</v>
      </c>
      <c r="AV185" s="198">
        <f>$E185*餐厅成本录入!AV188</f>
        <v>5</v>
      </c>
      <c r="AW185" s="198">
        <f>$E185*餐厅成本录入!AW188</f>
        <v>5</v>
      </c>
      <c r="AX185" s="198">
        <f>$E185*餐厅成本录入!AX188</f>
        <v>0</v>
      </c>
      <c r="AY185" s="198">
        <f>$E185*餐厅成本录入!AY188</f>
        <v>0</v>
      </c>
      <c r="AZ185" s="198">
        <f>$E185*餐厅成本录入!AZ188</f>
        <v>0</v>
      </c>
      <c r="BA185" s="198">
        <f>$E185*餐厅成本录入!BA188</f>
        <v>0</v>
      </c>
      <c r="BB185" s="198">
        <f>$E185*餐厅成本录入!BB188</f>
        <v>0</v>
      </c>
      <c r="BC185" s="198">
        <f>$E185*餐厅成本录入!BC188</f>
        <v>0</v>
      </c>
      <c r="BD185" s="198">
        <f>$E185*餐厅成本录入!BD188</f>
        <v>0</v>
      </c>
      <c r="BE185" s="198">
        <f>$E185*餐厅成本录入!BE188</f>
        <v>0</v>
      </c>
      <c r="BF185" s="198">
        <f>$E185*餐厅成本录入!BF188</f>
        <v>0</v>
      </c>
      <c r="BG185" s="198">
        <f>$E185*餐厅成本录入!BG188</f>
        <v>0</v>
      </c>
      <c r="BH185" s="198">
        <f>$E185*餐厅成本录入!BH188</f>
        <v>0</v>
      </c>
      <c r="BI185" s="198">
        <f>$E185*餐厅成本录入!BI188</f>
        <v>0</v>
      </c>
      <c r="BJ185" s="198">
        <f>$E185*餐厅成本录入!BJ188</f>
        <v>0</v>
      </c>
      <c r="BK185" s="198">
        <f>$E185*餐厅成本录入!BK188</f>
        <v>0</v>
      </c>
      <c r="BL185" s="198">
        <f>$E185*餐厅成本录入!BL188</f>
        <v>0</v>
      </c>
      <c r="BM185" s="198">
        <f>$E185*餐厅成本录入!BM188</f>
        <v>0</v>
      </c>
      <c r="BN185" s="198">
        <f>$E185*餐厅成本录入!BN188</f>
        <v>0</v>
      </c>
      <c r="BO185" s="198">
        <f>$E185*餐厅成本录入!BO188</f>
        <v>0</v>
      </c>
      <c r="BP185" s="198">
        <f>$E185*餐厅成本录入!BP188</f>
        <v>0</v>
      </c>
      <c r="BQ185" s="198">
        <f>$E185*餐厅成本录入!BQ188</f>
        <v>0</v>
      </c>
      <c r="BR185" s="198">
        <f>$E185*餐厅成本录入!BR188</f>
        <v>0</v>
      </c>
      <c r="BS185" s="198">
        <f>$E185*餐厅成本录入!BS188</f>
        <v>0</v>
      </c>
      <c r="BT185" s="198">
        <f>$E185*餐厅成本录入!BT188</f>
        <v>0</v>
      </c>
      <c r="BU185" s="198">
        <f>$E185*餐厅成本录入!BU188</f>
        <v>0</v>
      </c>
      <c r="BV185" s="198">
        <f>$E185*餐厅成本录入!BV188</f>
        <v>0</v>
      </c>
      <c r="BW185" s="198">
        <f>$E185*餐厅成本录入!BW188</f>
        <v>0</v>
      </c>
    </row>
    <row r="186" s="178" customFormat="1" customHeight="1" spans="1:75">
      <c r="A186" s="161">
        <v>218</v>
      </c>
      <c r="B186" s="21" t="str">
        <f>餐厅成本录入!B186</f>
        <v>油火烧</v>
      </c>
      <c r="C186" s="21">
        <f>餐厅成本录入!C186</f>
        <v>0</v>
      </c>
      <c r="D186" s="21" t="str">
        <f>餐厅成本录入!D186</f>
        <v>个</v>
      </c>
      <c r="E186" s="21">
        <f>餐厅成本录入!E186</f>
        <v>1</v>
      </c>
      <c r="F186" s="21">
        <f>餐厅成本录入!F186</f>
        <v>0</v>
      </c>
      <c r="G186" s="21">
        <f>餐厅成本录入!G186</f>
        <v>0</v>
      </c>
      <c r="H186" s="21">
        <f>餐厅成本录入!H186</f>
        <v>0</v>
      </c>
      <c r="I186" s="21">
        <f>餐厅成本录入!I186</f>
        <v>0</v>
      </c>
      <c r="J186" s="21">
        <f>餐厅成本录入!J186</f>
        <v>0</v>
      </c>
      <c r="K186" s="21">
        <f>餐厅成本录入!K186</f>
        <v>0</v>
      </c>
      <c r="L186" s="21">
        <f>餐厅成本录入!L186</f>
        <v>0</v>
      </c>
      <c r="M186" s="21">
        <f>餐厅成本录入!M186</f>
        <v>0</v>
      </c>
      <c r="N186" s="198">
        <f>$E186*餐厅成本录入!N189</f>
        <v>0</v>
      </c>
      <c r="O186" s="198">
        <f>$E186*餐厅成本录入!O189</f>
        <v>0</v>
      </c>
      <c r="P186" s="198">
        <f>$E186*餐厅成本录入!P189</f>
        <v>0</v>
      </c>
      <c r="Q186" s="198">
        <f>$E186*餐厅成本录入!Q189</f>
        <v>0</v>
      </c>
      <c r="R186" s="198">
        <f>$E186*餐厅成本录入!R189</f>
        <v>0</v>
      </c>
      <c r="S186" s="198">
        <f>$E186*餐厅成本录入!S189</f>
        <v>0</v>
      </c>
      <c r="T186" s="198">
        <f>$E186*餐厅成本录入!T189</f>
        <v>0</v>
      </c>
      <c r="U186" s="198">
        <f>$E186*餐厅成本录入!U189</f>
        <v>0</v>
      </c>
      <c r="V186" s="198">
        <f>$E186*餐厅成本录入!V189</f>
        <v>0</v>
      </c>
      <c r="W186" s="198">
        <f>$E186*餐厅成本录入!W189</f>
        <v>0</v>
      </c>
      <c r="X186" s="198">
        <f>$E186*餐厅成本录入!X189</f>
        <v>0</v>
      </c>
      <c r="Y186" s="198">
        <f>$E186*餐厅成本录入!Y189</f>
        <v>0</v>
      </c>
      <c r="Z186" s="198">
        <f>$E186*餐厅成本录入!Z189</f>
        <v>0</v>
      </c>
      <c r="AA186" s="198">
        <f>$E186*餐厅成本录入!AA189</f>
        <v>0</v>
      </c>
      <c r="AB186" s="198">
        <f>$E186*餐厅成本录入!AB189</f>
        <v>6</v>
      </c>
      <c r="AC186" s="198">
        <f>$E186*餐厅成本录入!AC189</f>
        <v>6</v>
      </c>
      <c r="AD186" s="198">
        <f>$E186*餐厅成本录入!AD189</f>
        <v>0</v>
      </c>
      <c r="AE186" s="198">
        <f>$E186*餐厅成本录入!AE189</f>
        <v>0</v>
      </c>
      <c r="AF186" s="198">
        <f>$E186*餐厅成本录入!AF189</f>
        <v>0</v>
      </c>
      <c r="AG186" s="198">
        <f>$E186*餐厅成本录入!AG189</f>
        <v>0</v>
      </c>
      <c r="AH186" s="198">
        <f>$E186*餐厅成本录入!AH189</f>
        <v>0</v>
      </c>
      <c r="AI186" s="198">
        <f>$E186*餐厅成本录入!AI189</f>
        <v>0</v>
      </c>
      <c r="AJ186" s="198">
        <f>$E186*餐厅成本录入!AJ189</f>
        <v>0</v>
      </c>
      <c r="AK186" s="198">
        <f>$E186*餐厅成本录入!AK189</f>
        <v>0</v>
      </c>
      <c r="AL186" s="198">
        <f>$E186*餐厅成本录入!AL189</f>
        <v>0</v>
      </c>
      <c r="AM186" s="198">
        <f>$E186*餐厅成本录入!AM189</f>
        <v>0</v>
      </c>
      <c r="AN186" s="198">
        <f>$E186*餐厅成本录入!AN189</f>
        <v>0</v>
      </c>
      <c r="AO186" s="198">
        <f>$E186*餐厅成本录入!AO189</f>
        <v>0</v>
      </c>
      <c r="AP186" s="198">
        <f>$E186*餐厅成本录入!AP189</f>
        <v>0</v>
      </c>
      <c r="AQ186" s="198">
        <f>$E186*餐厅成本录入!AQ189</f>
        <v>0</v>
      </c>
      <c r="AR186" s="198">
        <f>$E186*餐厅成本录入!AR189</f>
        <v>0</v>
      </c>
      <c r="AS186" s="198">
        <f>$E186*餐厅成本录入!AS189</f>
        <v>0</v>
      </c>
      <c r="AT186" s="198">
        <f>$E186*餐厅成本录入!AT189</f>
        <v>0</v>
      </c>
      <c r="AU186" s="198">
        <f>$E186*餐厅成本录入!AU189</f>
        <v>0</v>
      </c>
      <c r="AV186" s="198">
        <f>$E186*餐厅成本录入!AV189</f>
        <v>0</v>
      </c>
      <c r="AW186" s="198">
        <f>$E186*餐厅成本录入!AW189</f>
        <v>0</v>
      </c>
      <c r="AX186" s="198">
        <f>$E186*餐厅成本录入!AX189</f>
        <v>0</v>
      </c>
      <c r="AY186" s="198">
        <f>$E186*餐厅成本录入!AY189</f>
        <v>0</v>
      </c>
      <c r="AZ186" s="198">
        <f>$E186*餐厅成本录入!AZ189</f>
        <v>0</v>
      </c>
      <c r="BA186" s="198">
        <f>$E186*餐厅成本录入!BA189</f>
        <v>0</v>
      </c>
      <c r="BB186" s="198">
        <f>$E186*餐厅成本录入!BB189</f>
        <v>0</v>
      </c>
      <c r="BC186" s="198">
        <f>$E186*餐厅成本录入!BC189</f>
        <v>0</v>
      </c>
      <c r="BD186" s="198">
        <f>$E186*餐厅成本录入!BD189</f>
        <v>0</v>
      </c>
      <c r="BE186" s="198">
        <f>$E186*餐厅成本录入!BE189</f>
        <v>0</v>
      </c>
      <c r="BF186" s="198">
        <f>$E186*餐厅成本录入!BF189</f>
        <v>6</v>
      </c>
      <c r="BG186" s="198">
        <f>$E186*餐厅成本录入!BG189</f>
        <v>6</v>
      </c>
      <c r="BH186" s="198">
        <f>$E186*餐厅成本录入!BH189</f>
        <v>0</v>
      </c>
      <c r="BI186" s="198">
        <f>$E186*餐厅成本录入!BI189</f>
        <v>0</v>
      </c>
      <c r="BJ186" s="198">
        <f>$E186*餐厅成本录入!BJ189</f>
        <v>0</v>
      </c>
      <c r="BK186" s="198">
        <f>$E186*餐厅成本录入!BK189</f>
        <v>0</v>
      </c>
      <c r="BL186" s="198">
        <f>$E186*餐厅成本录入!BL189</f>
        <v>0</v>
      </c>
      <c r="BM186" s="198">
        <f>$E186*餐厅成本录入!BM189</f>
        <v>0</v>
      </c>
      <c r="BN186" s="198">
        <f>$E186*餐厅成本录入!BN189</f>
        <v>0</v>
      </c>
      <c r="BO186" s="198">
        <f>$E186*餐厅成本录入!BO189</f>
        <v>0</v>
      </c>
      <c r="BP186" s="198">
        <f>$E186*餐厅成本录入!BP189</f>
        <v>0</v>
      </c>
      <c r="BQ186" s="198">
        <f>$E186*餐厅成本录入!BQ189</f>
        <v>0</v>
      </c>
      <c r="BR186" s="198">
        <f>$E186*餐厅成本录入!BR189</f>
        <v>0</v>
      </c>
      <c r="BS186" s="198">
        <f>$E186*餐厅成本录入!BS189</f>
        <v>0</v>
      </c>
      <c r="BT186" s="198">
        <f>$E186*餐厅成本录入!BT189</f>
        <v>0</v>
      </c>
      <c r="BU186" s="198">
        <f>$E186*餐厅成本录入!BU189</f>
        <v>0</v>
      </c>
      <c r="BV186" s="198">
        <f>$E186*餐厅成本录入!BV189</f>
        <v>0</v>
      </c>
      <c r="BW186" s="198">
        <f>$E186*餐厅成本录入!BW189</f>
        <v>0</v>
      </c>
    </row>
    <row r="187" s="178" customFormat="1" customHeight="1" spans="1:75">
      <c r="A187" s="161">
        <v>219</v>
      </c>
      <c r="B187" s="21" t="str">
        <f>餐厅成本录入!B187</f>
        <v>花椒油</v>
      </c>
      <c r="C187" s="21">
        <f>餐厅成本录入!C187</f>
        <v>0</v>
      </c>
      <c r="D187" s="21" t="str">
        <f>餐厅成本录入!D187</f>
        <v>桶</v>
      </c>
      <c r="E187" s="21">
        <f>餐厅成本录入!E187</f>
        <v>60</v>
      </c>
      <c r="F187" s="21">
        <f>餐厅成本录入!F187</f>
        <v>0</v>
      </c>
      <c r="G187" s="21">
        <f>餐厅成本录入!G187</f>
        <v>0</v>
      </c>
      <c r="H187" s="21">
        <f>餐厅成本录入!H187</f>
        <v>2</v>
      </c>
      <c r="I187" s="21">
        <f>餐厅成本录入!I187</f>
        <v>120</v>
      </c>
      <c r="J187" s="21">
        <f>餐厅成本录入!J187</f>
        <v>2</v>
      </c>
      <c r="K187" s="21">
        <f>餐厅成本录入!K187</f>
        <v>120</v>
      </c>
      <c r="L187" s="21">
        <f>餐厅成本录入!L187</f>
        <v>0</v>
      </c>
      <c r="M187" s="21">
        <f>餐厅成本录入!M187</f>
        <v>0</v>
      </c>
      <c r="N187" s="198">
        <f>$E187*餐厅成本录入!N190</f>
        <v>0</v>
      </c>
      <c r="O187" s="198">
        <f>$E187*餐厅成本录入!O190</f>
        <v>0</v>
      </c>
      <c r="P187" s="198">
        <f>$E187*餐厅成本录入!P190</f>
        <v>0</v>
      </c>
      <c r="Q187" s="198">
        <f>$E187*餐厅成本录入!Q190</f>
        <v>0</v>
      </c>
      <c r="R187" s="198">
        <f>$E187*餐厅成本录入!R190</f>
        <v>0</v>
      </c>
      <c r="S187" s="198">
        <f>$E187*餐厅成本录入!S190</f>
        <v>0</v>
      </c>
      <c r="T187" s="198">
        <f>$E187*餐厅成本录入!T190</f>
        <v>0</v>
      </c>
      <c r="U187" s="198">
        <f>$E187*餐厅成本录入!U190</f>
        <v>0</v>
      </c>
      <c r="V187" s="198">
        <f>$E187*餐厅成本录入!V190</f>
        <v>0</v>
      </c>
      <c r="W187" s="198">
        <f>$E187*餐厅成本录入!W190</f>
        <v>0</v>
      </c>
      <c r="X187" s="198">
        <f>$E187*餐厅成本录入!X190</f>
        <v>0</v>
      </c>
      <c r="Y187" s="198">
        <f>$E187*餐厅成本录入!Y190</f>
        <v>0</v>
      </c>
      <c r="Z187" s="198">
        <f>$E187*餐厅成本录入!Z190</f>
        <v>0</v>
      </c>
      <c r="AA187" s="198">
        <f>$E187*餐厅成本录入!AA190</f>
        <v>0</v>
      </c>
      <c r="AB187" s="198">
        <f>$E187*餐厅成本录入!AB190</f>
        <v>0</v>
      </c>
      <c r="AC187" s="198">
        <f>$E187*餐厅成本录入!AC190</f>
        <v>0</v>
      </c>
      <c r="AD187" s="198">
        <f>$E187*餐厅成本录入!AD190</f>
        <v>0</v>
      </c>
      <c r="AE187" s="198">
        <f>$E187*餐厅成本录入!AE190</f>
        <v>0</v>
      </c>
      <c r="AF187" s="198">
        <f>$E187*餐厅成本录入!AF190</f>
        <v>0</v>
      </c>
      <c r="AG187" s="198">
        <f>$E187*餐厅成本录入!AG190</f>
        <v>0</v>
      </c>
      <c r="AH187" s="198">
        <f>$E187*餐厅成本录入!AH190</f>
        <v>60</v>
      </c>
      <c r="AI187" s="198">
        <f>$E187*餐厅成本录入!AI190</f>
        <v>60</v>
      </c>
      <c r="AJ187" s="198">
        <f>$E187*餐厅成本录入!AJ190</f>
        <v>0</v>
      </c>
      <c r="AK187" s="198">
        <f>$E187*餐厅成本录入!AK190</f>
        <v>0</v>
      </c>
      <c r="AL187" s="198">
        <f>$E187*餐厅成本录入!AL190</f>
        <v>0</v>
      </c>
      <c r="AM187" s="198">
        <f>$E187*餐厅成本录入!AM190</f>
        <v>0</v>
      </c>
      <c r="AN187" s="198">
        <f>$E187*餐厅成本录入!AN190</f>
        <v>0</v>
      </c>
      <c r="AO187" s="198">
        <f>$E187*餐厅成本录入!AO190</f>
        <v>0</v>
      </c>
      <c r="AP187" s="198">
        <f>$E187*餐厅成本录入!AP190</f>
        <v>0</v>
      </c>
      <c r="AQ187" s="198">
        <f>$E187*餐厅成本录入!AQ190</f>
        <v>0</v>
      </c>
      <c r="AR187" s="198">
        <f>$E187*餐厅成本录入!AR190</f>
        <v>0</v>
      </c>
      <c r="AS187" s="198">
        <f>$E187*餐厅成本录入!AS190</f>
        <v>0</v>
      </c>
      <c r="AT187" s="198">
        <f>$E187*餐厅成本录入!AT190</f>
        <v>0</v>
      </c>
      <c r="AU187" s="198">
        <f>$E187*餐厅成本录入!AU190</f>
        <v>0</v>
      </c>
      <c r="AV187" s="198">
        <f>$E187*餐厅成本录入!AV190</f>
        <v>0</v>
      </c>
      <c r="AW187" s="198">
        <f>$E187*餐厅成本录入!AW190</f>
        <v>0</v>
      </c>
      <c r="AX187" s="198">
        <f>$E187*餐厅成本录入!AX190</f>
        <v>0</v>
      </c>
      <c r="AY187" s="198">
        <f>$E187*餐厅成本录入!AY190</f>
        <v>0</v>
      </c>
      <c r="AZ187" s="198">
        <f>$E187*餐厅成本录入!AZ190</f>
        <v>60</v>
      </c>
      <c r="BA187" s="198">
        <f>$E187*餐厅成本录入!BA190</f>
        <v>60</v>
      </c>
      <c r="BB187" s="198">
        <f>$E187*餐厅成本录入!BB190</f>
        <v>0</v>
      </c>
      <c r="BC187" s="198">
        <f>$E187*餐厅成本录入!BC190</f>
        <v>0</v>
      </c>
      <c r="BD187" s="198">
        <f>$E187*餐厅成本录入!BD190</f>
        <v>0</v>
      </c>
      <c r="BE187" s="198">
        <f>$E187*餐厅成本录入!BE190</f>
        <v>0</v>
      </c>
      <c r="BF187" s="198">
        <f>$E187*餐厅成本录入!BF190</f>
        <v>60</v>
      </c>
      <c r="BG187" s="198">
        <f>$E187*餐厅成本录入!BG190</f>
        <v>60</v>
      </c>
      <c r="BH187" s="198">
        <f>$E187*餐厅成本录入!BH190</f>
        <v>0</v>
      </c>
      <c r="BI187" s="198">
        <f>$E187*餐厅成本录入!BI190</f>
        <v>0</v>
      </c>
      <c r="BJ187" s="198">
        <f>$E187*餐厅成本录入!BJ190</f>
        <v>0</v>
      </c>
      <c r="BK187" s="198">
        <f>$E187*餐厅成本录入!BK190</f>
        <v>0</v>
      </c>
      <c r="BL187" s="198">
        <f>$E187*餐厅成本录入!BL190</f>
        <v>0</v>
      </c>
      <c r="BM187" s="198">
        <f>$E187*餐厅成本录入!BM190</f>
        <v>0</v>
      </c>
      <c r="BN187" s="198">
        <f>$E187*餐厅成本录入!BN190</f>
        <v>0</v>
      </c>
      <c r="BO187" s="198">
        <f>$E187*餐厅成本录入!BO190</f>
        <v>0</v>
      </c>
      <c r="BP187" s="198">
        <f>$E187*餐厅成本录入!BP190</f>
        <v>60</v>
      </c>
      <c r="BQ187" s="198">
        <f>$E187*餐厅成本录入!BQ190</f>
        <v>60</v>
      </c>
      <c r="BR187" s="198">
        <f>$E187*餐厅成本录入!BR190</f>
        <v>0</v>
      </c>
      <c r="BS187" s="198">
        <f>$E187*餐厅成本录入!BS190</f>
        <v>0</v>
      </c>
      <c r="BT187" s="198">
        <f>$E187*餐厅成本录入!BT190</f>
        <v>0</v>
      </c>
      <c r="BU187" s="198">
        <f>$E187*餐厅成本录入!BU190</f>
        <v>0</v>
      </c>
      <c r="BV187" s="198">
        <f>$E187*餐厅成本录入!BV190</f>
        <v>0</v>
      </c>
      <c r="BW187" s="198">
        <f>$E187*餐厅成本录入!BW190</f>
        <v>0</v>
      </c>
    </row>
    <row r="188" s="178" customFormat="1" customHeight="1" spans="1:75">
      <c r="A188" s="161">
        <v>220</v>
      </c>
      <c r="B188" s="21" t="str">
        <f>餐厅成本录入!B188</f>
        <v>茶叶蛋料包</v>
      </c>
      <c r="C188" s="21">
        <f>餐厅成本录入!C188</f>
        <v>0</v>
      </c>
      <c r="D188" s="21" t="str">
        <f>餐厅成本录入!D188</f>
        <v>个</v>
      </c>
      <c r="E188" s="21">
        <f>餐厅成本录入!E188</f>
        <v>1</v>
      </c>
      <c r="F188" s="21">
        <f>餐厅成本录入!F188</f>
        <v>0</v>
      </c>
      <c r="G188" s="21">
        <f>餐厅成本录入!G188</f>
        <v>0</v>
      </c>
      <c r="H188" s="21">
        <f>餐厅成本录入!H188</f>
        <v>23</v>
      </c>
      <c r="I188" s="21">
        <f>餐厅成本录入!I188</f>
        <v>23</v>
      </c>
      <c r="J188" s="21">
        <f>餐厅成本录入!J188</f>
        <v>23</v>
      </c>
      <c r="K188" s="21">
        <f>餐厅成本录入!K188</f>
        <v>23</v>
      </c>
      <c r="L188" s="21">
        <f>餐厅成本录入!L188</f>
        <v>0</v>
      </c>
      <c r="M188" s="21">
        <f>餐厅成本录入!M188</f>
        <v>0</v>
      </c>
      <c r="N188" s="198">
        <f>$E188*餐厅成本录入!N191</f>
        <v>0</v>
      </c>
      <c r="O188" s="198">
        <f>$E188*餐厅成本录入!O191</f>
        <v>0</v>
      </c>
      <c r="P188" s="198">
        <f>$E188*餐厅成本录入!P191</f>
        <v>0</v>
      </c>
      <c r="Q188" s="198">
        <f>$E188*餐厅成本录入!Q191</f>
        <v>0</v>
      </c>
      <c r="R188" s="198">
        <f>$E188*餐厅成本录入!R191</f>
        <v>0</v>
      </c>
      <c r="S188" s="198">
        <f>$E188*餐厅成本录入!S191</f>
        <v>0</v>
      </c>
      <c r="T188" s="198">
        <f>$E188*餐厅成本录入!T191</f>
        <v>0</v>
      </c>
      <c r="U188" s="198">
        <f>$E188*餐厅成本录入!U191</f>
        <v>0</v>
      </c>
      <c r="V188" s="198">
        <f>$E188*餐厅成本录入!V191</f>
        <v>0</v>
      </c>
      <c r="W188" s="198">
        <f>$E188*餐厅成本录入!W191</f>
        <v>0</v>
      </c>
      <c r="X188" s="198">
        <f>$E188*餐厅成本录入!X191</f>
        <v>0</v>
      </c>
      <c r="Y188" s="198">
        <f>$E188*餐厅成本录入!Y191</f>
        <v>0</v>
      </c>
      <c r="Z188" s="198">
        <f>$E188*餐厅成本录入!Z191</f>
        <v>0</v>
      </c>
      <c r="AA188" s="198">
        <f>$E188*餐厅成本录入!AA191</f>
        <v>0</v>
      </c>
      <c r="AB188" s="198">
        <f>$E188*餐厅成本录入!AB191</f>
        <v>0</v>
      </c>
      <c r="AC188" s="198">
        <f>$E188*餐厅成本录入!AC191</f>
        <v>0</v>
      </c>
      <c r="AD188" s="198">
        <f>$E188*餐厅成本录入!AD191</f>
        <v>0</v>
      </c>
      <c r="AE188" s="198">
        <f>$E188*餐厅成本录入!AE191</f>
        <v>0</v>
      </c>
      <c r="AF188" s="198">
        <f>$E188*餐厅成本录入!AF191</f>
        <v>0</v>
      </c>
      <c r="AG188" s="198">
        <f>$E188*餐厅成本录入!AG191</f>
        <v>0</v>
      </c>
      <c r="AH188" s="198">
        <f>$E188*餐厅成本录入!AH191</f>
        <v>1</v>
      </c>
      <c r="AI188" s="198">
        <f>$E188*餐厅成本录入!AI191</f>
        <v>1</v>
      </c>
      <c r="AJ188" s="198">
        <f>$E188*餐厅成本录入!AJ191</f>
        <v>0</v>
      </c>
      <c r="AK188" s="198">
        <f>$E188*餐厅成本录入!AK191</f>
        <v>0</v>
      </c>
      <c r="AL188" s="198">
        <f>$E188*餐厅成本录入!AL191</f>
        <v>0</v>
      </c>
      <c r="AM188" s="198">
        <f>$E188*餐厅成本录入!AM191</f>
        <v>0</v>
      </c>
      <c r="AN188" s="198">
        <f>$E188*餐厅成本录入!AN191</f>
        <v>0</v>
      </c>
      <c r="AO188" s="198">
        <f>$E188*餐厅成本录入!AO191</f>
        <v>0</v>
      </c>
      <c r="AP188" s="198">
        <f>$E188*餐厅成本录入!AP191</f>
        <v>0</v>
      </c>
      <c r="AQ188" s="198">
        <f>$E188*餐厅成本录入!AQ191</f>
        <v>0</v>
      </c>
      <c r="AR188" s="198">
        <f>$E188*餐厅成本录入!AR191</f>
        <v>0</v>
      </c>
      <c r="AS188" s="198">
        <f>$E188*餐厅成本录入!AS191</f>
        <v>0</v>
      </c>
      <c r="AT188" s="198">
        <f>$E188*餐厅成本录入!AT191</f>
        <v>0</v>
      </c>
      <c r="AU188" s="198">
        <f>$E188*餐厅成本录入!AU191</f>
        <v>0</v>
      </c>
      <c r="AV188" s="198">
        <f>$E188*餐厅成本录入!AV191</f>
        <v>0</v>
      </c>
      <c r="AW188" s="198">
        <f>$E188*餐厅成本录入!AW191</f>
        <v>0</v>
      </c>
      <c r="AX188" s="198">
        <f>$E188*餐厅成本录入!AX191</f>
        <v>0</v>
      </c>
      <c r="AY188" s="198">
        <f>$E188*餐厅成本录入!AY191</f>
        <v>0</v>
      </c>
      <c r="AZ188" s="198">
        <f>$E188*餐厅成本录入!AZ191</f>
        <v>1</v>
      </c>
      <c r="BA188" s="198">
        <f>$E188*餐厅成本录入!BA191</f>
        <v>1</v>
      </c>
      <c r="BB188" s="198">
        <f>$E188*餐厅成本录入!BB191</f>
        <v>0</v>
      </c>
      <c r="BC188" s="198">
        <f>$E188*餐厅成本录入!BC191</f>
        <v>0</v>
      </c>
      <c r="BD188" s="198">
        <f>$E188*餐厅成本录入!BD191</f>
        <v>0</v>
      </c>
      <c r="BE188" s="198">
        <f>$E188*餐厅成本录入!BE191</f>
        <v>0</v>
      </c>
      <c r="BF188" s="198">
        <f>$E188*餐厅成本录入!BF191</f>
        <v>0</v>
      </c>
      <c r="BG188" s="198">
        <f>$E188*餐厅成本录入!BG191</f>
        <v>0</v>
      </c>
      <c r="BH188" s="198">
        <f>$E188*餐厅成本录入!BH191</f>
        <v>0</v>
      </c>
      <c r="BI188" s="198">
        <f>$E188*餐厅成本录入!BI191</f>
        <v>0</v>
      </c>
      <c r="BJ188" s="198">
        <f>$E188*餐厅成本录入!BJ191</f>
        <v>0</v>
      </c>
      <c r="BK188" s="198">
        <f>$E188*餐厅成本录入!BK191</f>
        <v>0</v>
      </c>
      <c r="BL188" s="198">
        <f>$E188*餐厅成本录入!BL191</f>
        <v>0</v>
      </c>
      <c r="BM188" s="198">
        <f>$E188*餐厅成本录入!BM191</f>
        <v>0</v>
      </c>
      <c r="BN188" s="198">
        <f>$E188*餐厅成本录入!BN191</f>
        <v>0</v>
      </c>
      <c r="BO188" s="198">
        <f>$E188*餐厅成本录入!BO191</f>
        <v>0</v>
      </c>
      <c r="BP188" s="198">
        <f>$E188*餐厅成本录入!BP191</f>
        <v>1</v>
      </c>
      <c r="BQ188" s="198">
        <f>$E188*餐厅成本录入!BQ191</f>
        <v>1</v>
      </c>
      <c r="BR188" s="198">
        <f>$E188*餐厅成本录入!BR191</f>
        <v>0</v>
      </c>
      <c r="BS188" s="198">
        <f>$E188*餐厅成本录入!BS191</f>
        <v>0</v>
      </c>
      <c r="BT188" s="198">
        <f>$E188*餐厅成本录入!BT191</f>
        <v>0</v>
      </c>
      <c r="BU188" s="198">
        <f>$E188*餐厅成本录入!BU191</f>
        <v>0</v>
      </c>
      <c r="BV188" s="198">
        <f>$E188*餐厅成本录入!BV191</f>
        <v>0</v>
      </c>
      <c r="BW188" s="198">
        <f>$E188*餐厅成本录入!BW191</f>
        <v>0</v>
      </c>
    </row>
    <row r="189" s="178" customFormat="1" customHeight="1" spans="1:75">
      <c r="A189" s="161">
        <v>221</v>
      </c>
      <c r="B189" s="21" t="str">
        <f>餐厅成本录入!B189</f>
        <v>紫菜</v>
      </c>
      <c r="C189" s="21">
        <f>餐厅成本录入!C189</f>
        <v>0</v>
      </c>
      <c r="D189" s="21" t="str">
        <f>餐厅成本录入!D189</f>
        <v>个</v>
      </c>
      <c r="E189" s="21">
        <f>餐厅成本录入!E189</f>
        <v>10</v>
      </c>
      <c r="F189" s="21">
        <f>餐厅成本录入!F189</f>
        <v>0</v>
      </c>
      <c r="G189" s="21">
        <f>餐厅成本录入!G189</f>
        <v>0</v>
      </c>
      <c r="H189" s="21">
        <f>餐厅成本录入!H189</f>
        <v>12</v>
      </c>
      <c r="I189" s="21">
        <f>餐厅成本录入!I189</f>
        <v>120</v>
      </c>
      <c r="J189" s="21">
        <f>餐厅成本录入!J189</f>
        <v>12</v>
      </c>
      <c r="K189" s="21">
        <f>餐厅成本录入!K189</f>
        <v>120</v>
      </c>
      <c r="L189" s="21">
        <f>餐厅成本录入!L189</f>
        <v>0</v>
      </c>
      <c r="M189" s="21">
        <f>餐厅成本录入!M189</f>
        <v>0</v>
      </c>
      <c r="N189" s="198">
        <f>$E189*餐厅成本录入!N192</f>
        <v>0</v>
      </c>
      <c r="O189" s="198">
        <f>$E189*餐厅成本录入!O192</f>
        <v>0</v>
      </c>
      <c r="P189" s="198">
        <f>$E189*餐厅成本录入!P192</f>
        <v>0</v>
      </c>
      <c r="Q189" s="198">
        <f>$E189*餐厅成本录入!Q192</f>
        <v>0</v>
      </c>
      <c r="R189" s="198">
        <f>$E189*餐厅成本录入!R192</f>
        <v>0</v>
      </c>
      <c r="S189" s="198">
        <f>$E189*餐厅成本录入!S192</f>
        <v>0</v>
      </c>
      <c r="T189" s="198">
        <f>$E189*餐厅成本录入!T192</f>
        <v>0</v>
      </c>
      <c r="U189" s="198">
        <f>$E189*餐厅成本录入!U192</f>
        <v>0</v>
      </c>
      <c r="V189" s="198">
        <f>$E189*餐厅成本录入!V192</f>
        <v>0</v>
      </c>
      <c r="W189" s="198">
        <f>$E189*餐厅成本录入!W192</f>
        <v>0</v>
      </c>
      <c r="X189" s="198">
        <f>$E189*餐厅成本录入!X192</f>
        <v>0</v>
      </c>
      <c r="Y189" s="198">
        <f>$E189*餐厅成本录入!Y192</f>
        <v>0</v>
      </c>
      <c r="Z189" s="198">
        <f>$E189*餐厅成本录入!Z192</f>
        <v>0</v>
      </c>
      <c r="AA189" s="198">
        <f>$E189*餐厅成本录入!AA192</f>
        <v>0</v>
      </c>
      <c r="AB189" s="198">
        <f>$E189*餐厅成本录入!AB192</f>
        <v>0</v>
      </c>
      <c r="AC189" s="198">
        <f>$E189*餐厅成本录入!AC192</f>
        <v>0</v>
      </c>
      <c r="AD189" s="198">
        <f>$E189*餐厅成本录入!AD192</f>
        <v>0</v>
      </c>
      <c r="AE189" s="198">
        <f>$E189*餐厅成本录入!AE192</f>
        <v>0</v>
      </c>
      <c r="AF189" s="198">
        <f>$E189*餐厅成本录入!AF192</f>
        <v>0</v>
      </c>
      <c r="AG189" s="198">
        <f>$E189*餐厅成本录入!AG192</f>
        <v>0</v>
      </c>
      <c r="AH189" s="198">
        <f>$E189*餐厅成本录入!AH192</f>
        <v>100</v>
      </c>
      <c r="AI189" s="198">
        <f>$E189*餐厅成本录入!AI192</f>
        <v>100</v>
      </c>
      <c r="AJ189" s="198">
        <f>$E189*餐厅成本录入!AJ192</f>
        <v>0</v>
      </c>
      <c r="AK189" s="198">
        <f>$E189*餐厅成本录入!AK192</f>
        <v>0</v>
      </c>
      <c r="AL189" s="198">
        <f>$E189*餐厅成本录入!AL192</f>
        <v>0</v>
      </c>
      <c r="AM189" s="198">
        <f>$E189*餐厅成本录入!AM192</f>
        <v>0</v>
      </c>
      <c r="AN189" s="198">
        <f>$E189*餐厅成本录入!AN192</f>
        <v>0</v>
      </c>
      <c r="AO189" s="198">
        <f>$E189*餐厅成本录入!AO192</f>
        <v>0</v>
      </c>
      <c r="AP189" s="198">
        <f>$E189*餐厅成本录入!AP192</f>
        <v>0</v>
      </c>
      <c r="AQ189" s="198">
        <f>$E189*餐厅成本录入!AQ192</f>
        <v>0</v>
      </c>
      <c r="AR189" s="198">
        <f>$E189*餐厅成本录入!AR192</f>
        <v>0</v>
      </c>
      <c r="AS189" s="198">
        <f>$E189*餐厅成本录入!AS192</f>
        <v>0</v>
      </c>
      <c r="AT189" s="198">
        <f>$E189*餐厅成本录入!AT192</f>
        <v>0</v>
      </c>
      <c r="AU189" s="198">
        <f>$E189*餐厅成本录入!AU192</f>
        <v>0</v>
      </c>
      <c r="AV189" s="198">
        <f>$E189*餐厅成本录入!AV192</f>
        <v>0</v>
      </c>
      <c r="AW189" s="198">
        <f>$E189*餐厅成本录入!AW192</f>
        <v>0</v>
      </c>
      <c r="AX189" s="198">
        <f>$E189*餐厅成本录入!AX192</f>
        <v>0</v>
      </c>
      <c r="AY189" s="198">
        <f>$E189*餐厅成本录入!AY192</f>
        <v>0</v>
      </c>
      <c r="AZ189" s="198">
        <f>$E189*餐厅成本录入!AZ192</f>
        <v>0</v>
      </c>
      <c r="BA189" s="198">
        <f>$E189*餐厅成本录入!BA192</f>
        <v>0</v>
      </c>
      <c r="BB189" s="198">
        <f>$E189*餐厅成本录入!BB192</f>
        <v>0</v>
      </c>
      <c r="BC189" s="198">
        <f>$E189*餐厅成本录入!BC192</f>
        <v>0</v>
      </c>
      <c r="BD189" s="198">
        <f>$E189*餐厅成本录入!BD192</f>
        <v>0</v>
      </c>
      <c r="BE189" s="198">
        <f>$E189*餐厅成本录入!BE192</f>
        <v>0</v>
      </c>
      <c r="BF189" s="198">
        <f>$E189*餐厅成本录入!BF192</f>
        <v>0</v>
      </c>
      <c r="BG189" s="198">
        <f>$E189*餐厅成本录入!BG192</f>
        <v>0</v>
      </c>
      <c r="BH189" s="198">
        <f>$E189*餐厅成本录入!BH192</f>
        <v>0</v>
      </c>
      <c r="BI189" s="198">
        <f>$E189*餐厅成本录入!BI192</f>
        <v>0</v>
      </c>
      <c r="BJ189" s="198">
        <f>$E189*餐厅成本录入!BJ192</f>
        <v>0</v>
      </c>
      <c r="BK189" s="198">
        <f>$E189*餐厅成本录入!BK192</f>
        <v>0</v>
      </c>
      <c r="BL189" s="198">
        <f>$E189*餐厅成本录入!BL192</f>
        <v>0</v>
      </c>
      <c r="BM189" s="198">
        <f>$E189*餐厅成本录入!BM192</f>
        <v>0</v>
      </c>
      <c r="BN189" s="198">
        <f>$E189*餐厅成本录入!BN192</f>
        <v>0</v>
      </c>
      <c r="BO189" s="198">
        <f>$E189*餐厅成本录入!BO192</f>
        <v>0</v>
      </c>
      <c r="BP189" s="198">
        <f>$E189*餐厅成本录入!BP192</f>
        <v>0</v>
      </c>
      <c r="BQ189" s="198">
        <f>$E189*餐厅成本录入!BQ192</f>
        <v>0</v>
      </c>
      <c r="BR189" s="198">
        <f>$E189*餐厅成本录入!BR192</f>
        <v>0</v>
      </c>
      <c r="BS189" s="198">
        <f>$E189*餐厅成本录入!BS192</f>
        <v>0</v>
      </c>
      <c r="BT189" s="198">
        <f>$E189*餐厅成本录入!BT192</f>
        <v>0</v>
      </c>
      <c r="BU189" s="198">
        <f>$E189*餐厅成本录入!BU192</f>
        <v>0</v>
      </c>
      <c r="BV189" s="198">
        <f>$E189*餐厅成本录入!BV192</f>
        <v>0</v>
      </c>
      <c r="BW189" s="198">
        <f>$E189*餐厅成本录入!BW192</f>
        <v>0</v>
      </c>
    </row>
    <row r="190" s="178" customFormat="1" customHeight="1" spans="1:75">
      <c r="A190" s="161">
        <v>222</v>
      </c>
      <c r="B190" s="21" t="str">
        <f>餐厅成本录入!B190</f>
        <v>米线</v>
      </c>
      <c r="C190" s="21">
        <f>餐厅成本录入!C190</f>
        <v>0</v>
      </c>
      <c r="D190" s="21" t="str">
        <f>餐厅成本录入!D190</f>
        <v>包</v>
      </c>
      <c r="E190" s="21">
        <f>餐厅成本录入!E190</f>
        <v>55</v>
      </c>
      <c r="F190" s="21">
        <f>餐厅成本录入!F190</f>
        <v>0</v>
      </c>
      <c r="G190" s="21">
        <f>餐厅成本录入!G190</f>
        <v>0</v>
      </c>
      <c r="H190" s="21">
        <f>餐厅成本录入!H190</f>
        <v>4</v>
      </c>
      <c r="I190" s="21">
        <f>餐厅成本录入!I190</f>
        <v>220</v>
      </c>
      <c r="J190" s="21">
        <f>餐厅成本录入!J190</f>
        <v>4</v>
      </c>
      <c r="K190" s="21">
        <f>餐厅成本录入!K190</f>
        <v>220</v>
      </c>
      <c r="L190" s="21">
        <f>餐厅成本录入!L190</f>
        <v>0</v>
      </c>
      <c r="M190" s="21">
        <f>餐厅成本录入!M190</f>
        <v>0</v>
      </c>
      <c r="N190" s="198">
        <f>$E190*餐厅成本录入!N193</f>
        <v>0</v>
      </c>
      <c r="O190" s="198">
        <f>$E190*餐厅成本录入!O193</f>
        <v>0</v>
      </c>
      <c r="P190" s="198">
        <f>$E190*餐厅成本录入!P193</f>
        <v>0</v>
      </c>
      <c r="Q190" s="198">
        <f>$E190*餐厅成本录入!Q193</f>
        <v>0</v>
      </c>
      <c r="R190" s="198">
        <f>$E190*餐厅成本录入!R193</f>
        <v>0</v>
      </c>
      <c r="S190" s="198">
        <f>$E190*餐厅成本录入!S193</f>
        <v>0</v>
      </c>
      <c r="T190" s="198">
        <f>$E190*餐厅成本录入!T193</f>
        <v>0</v>
      </c>
      <c r="U190" s="198">
        <f>$E190*餐厅成本录入!U193</f>
        <v>0</v>
      </c>
      <c r="V190" s="198">
        <f>$E190*餐厅成本录入!V193</f>
        <v>0</v>
      </c>
      <c r="W190" s="198">
        <f>$E190*餐厅成本录入!W193</f>
        <v>0</v>
      </c>
      <c r="X190" s="198">
        <f>$E190*餐厅成本录入!X193</f>
        <v>0</v>
      </c>
      <c r="Y190" s="198">
        <f>$E190*餐厅成本录入!Y193</f>
        <v>0</v>
      </c>
      <c r="Z190" s="198">
        <f>$E190*餐厅成本录入!Z193</f>
        <v>0</v>
      </c>
      <c r="AA190" s="198">
        <f>$E190*餐厅成本录入!AA193</f>
        <v>0</v>
      </c>
      <c r="AB190" s="198">
        <f>$E190*餐厅成本录入!AB193</f>
        <v>0</v>
      </c>
      <c r="AC190" s="198">
        <f>$E190*餐厅成本录入!AC193</f>
        <v>0</v>
      </c>
      <c r="AD190" s="198">
        <f>$E190*餐厅成本录入!AD193</f>
        <v>0</v>
      </c>
      <c r="AE190" s="198">
        <f>$E190*餐厅成本录入!AE193</f>
        <v>0</v>
      </c>
      <c r="AF190" s="198">
        <f>$E190*餐厅成本录入!AF193</f>
        <v>0</v>
      </c>
      <c r="AG190" s="198">
        <f>$E190*餐厅成本录入!AG193</f>
        <v>0</v>
      </c>
      <c r="AH190" s="198">
        <f>$E190*餐厅成本录入!AH193</f>
        <v>0</v>
      </c>
      <c r="AI190" s="198">
        <f>$E190*餐厅成本录入!AI193</f>
        <v>0</v>
      </c>
      <c r="AJ190" s="198">
        <f>$E190*餐厅成本录入!AJ193</f>
        <v>55</v>
      </c>
      <c r="AK190" s="198">
        <f>$E190*餐厅成本录入!AK193</f>
        <v>55</v>
      </c>
      <c r="AL190" s="198">
        <f>$E190*餐厅成本录入!AL193</f>
        <v>0</v>
      </c>
      <c r="AM190" s="198">
        <f>$E190*餐厅成本录入!AM193</f>
        <v>0</v>
      </c>
      <c r="AN190" s="198">
        <f>$E190*餐厅成本录入!AN193</f>
        <v>0</v>
      </c>
      <c r="AO190" s="198">
        <f>$E190*餐厅成本录入!AO193</f>
        <v>0</v>
      </c>
      <c r="AP190" s="198">
        <f>$E190*餐厅成本录入!AP193</f>
        <v>0</v>
      </c>
      <c r="AQ190" s="198">
        <f>$E190*餐厅成本录入!AQ193</f>
        <v>0</v>
      </c>
      <c r="AR190" s="198">
        <f>$E190*餐厅成本录入!AR193</f>
        <v>0</v>
      </c>
      <c r="AS190" s="198">
        <f>$E190*餐厅成本录入!AS193</f>
        <v>0</v>
      </c>
      <c r="AT190" s="198">
        <f>$E190*餐厅成本录入!AT193</f>
        <v>0</v>
      </c>
      <c r="AU190" s="198">
        <f>$E190*餐厅成本录入!AU193</f>
        <v>0</v>
      </c>
      <c r="AV190" s="198">
        <f>$E190*餐厅成本录入!AV193</f>
        <v>0</v>
      </c>
      <c r="AW190" s="198">
        <f>$E190*餐厅成本录入!AW193</f>
        <v>0</v>
      </c>
      <c r="AX190" s="198">
        <f>$E190*餐厅成本录入!AX193</f>
        <v>0</v>
      </c>
      <c r="AY190" s="198">
        <f>$E190*餐厅成本录入!AY193</f>
        <v>0</v>
      </c>
      <c r="AZ190" s="198">
        <f>$E190*餐厅成本录入!AZ193</f>
        <v>0</v>
      </c>
      <c r="BA190" s="198">
        <f>$E190*餐厅成本录入!BA193</f>
        <v>0</v>
      </c>
      <c r="BB190" s="198">
        <f>$E190*餐厅成本录入!BB193</f>
        <v>0</v>
      </c>
      <c r="BC190" s="198">
        <f>$E190*餐厅成本录入!BC193</f>
        <v>0</v>
      </c>
      <c r="BD190" s="198">
        <f>$E190*餐厅成本录入!BD193</f>
        <v>0</v>
      </c>
      <c r="BE190" s="198">
        <f>$E190*餐厅成本录入!BE193</f>
        <v>0</v>
      </c>
      <c r="BF190" s="198">
        <f>$E190*餐厅成本录入!BF193</f>
        <v>0</v>
      </c>
      <c r="BG190" s="198">
        <f>$E190*餐厅成本录入!BG193</f>
        <v>0</v>
      </c>
      <c r="BH190" s="198">
        <f>$E190*餐厅成本录入!BH193</f>
        <v>0</v>
      </c>
      <c r="BI190" s="198">
        <f>$E190*餐厅成本录入!BI193</f>
        <v>0</v>
      </c>
      <c r="BJ190" s="198">
        <f>$E190*餐厅成本录入!BJ193</f>
        <v>0</v>
      </c>
      <c r="BK190" s="198">
        <f>$E190*餐厅成本录入!BK193</f>
        <v>0</v>
      </c>
      <c r="BL190" s="198">
        <f>$E190*餐厅成本录入!BL193</f>
        <v>0</v>
      </c>
      <c r="BM190" s="198">
        <f>$E190*餐厅成本录入!BM193</f>
        <v>0</v>
      </c>
      <c r="BN190" s="198">
        <f>$E190*餐厅成本录入!BN193</f>
        <v>0</v>
      </c>
      <c r="BO190" s="198">
        <f>$E190*餐厅成本录入!BO193</f>
        <v>0</v>
      </c>
      <c r="BP190" s="198">
        <f>$E190*餐厅成本录入!BP193</f>
        <v>0</v>
      </c>
      <c r="BQ190" s="198">
        <f>$E190*餐厅成本录入!BQ193</f>
        <v>0</v>
      </c>
      <c r="BR190" s="198">
        <f>$E190*餐厅成本录入!BR193</f>
        <v>0</v>
      </c>
      <c r="BS190" s="198">
        <f>$E190*餐厅成本录入!BS193</f>
        <v>0</v>
      </c>
      <c r="BT190" s="198">
        <f>$E190*餐厅成本录入!BT193</f>
        <v>0</v>
      </c>
      <c r="BU190" s="198">
        <f>$E190*餐厅成本录入!BU193</f>
        <v>0</v>
      </c>
      <c r="BV190" s="198">
        <f>$E190*餐厅成本录入!BV193</f>
        <v>0</v>
      </c>
      <c r="BW190" s="198">
        <f>$E190*餐厅成本录入!BW193</f>
        <v>0</v>
      </c>
    </row>
    <row r="191" s="178" customFormat="1" customHeight="1" spans="1:75">
      <c r="A191" s="161">
        <v>223</v>
      </c>
      <c r="B191" s="21" t="str">
        <f>餐厅成本录入!B191</f>
        <v>味精</v>
      </c>
      <c r="C191" s="21">
        <f>餐厅成本录入!C191</f>
        <v>0</v>
      </c>
      <c r="D191" s="21" t="str">
        <f>餐厅成本录入!D191</f>
        <v>包</v>
      </c>
      <c r="E191" s="21">
        <f>餐厅成本录入!E191</f>
        <v>85</v>
      </c>
      <c r="F191" s="21">
        <f>餐厅成本录入!F191</f>
        <v>0</v>
      </c>
      <c r="G191" s="21">
        <f>餐厅成本录入!G191</f>
        <v>0</v>
      </c>
      <c r="H191" s="21">
        <f>餐厅成本录入!H191</f>
        <v>3</v>
      </c>
      <c r="I191" s="21">
        <f>餐厅成本录入!I191</f>
        <v>255</v>
      </c>
      <c r="J191" s="21">
        <f>餐厅成本录入!J191</f>
        <v>3</v>
      </c>
      <c r="K191" s="21">
        <f>餐厅成本录入!K191</f>
        <v>255</v>
      </c>
      <c r="L191" s="21">
        <f>餐厅成本录入!L191</f>
        <v>0</v>
      </c>
      <c r="M191" s="21">
        <f>餐厅成本录入!M191</f>
        <v>0</v>
      </c>
      <c r="N191" s="198">
        <f>$E191*餐厅成本录入!N194</f>
        <v>0</v>
      </c>
      <c r="O191" s="198">
        <f>$E191*餐厅成本录入!O194</f>
        <v>0</v>
      </c>
      <c r="P191" s="198">
        <f>$E191*餐厅成本录入!P194</f>
        <v>0</v>
      </c>
      <c r="Q191" s="198">
        <f>$E191*餐厅成本录入!Q194</f>
        <v>0</v>
      </c>
      <c r="R191" s="198">
        <f>$E191*餐厅成本录入!R194</f>
        <v>0</v>
      </c>
      <c r="S191" s="198">
        <f>$E191*餐厅成本录入!S194</f>
        <v>0</v>
      </c>
      <c r="T191" s="198">
        <f>$E191*餐厅成本录入!T194</f>
        <v>0</v>
      </c>
      <c r="U191" s="198">
        <f>$E191*餐厅成本录入!U194</f>
        <v>0</v>
      </c>
      <c r="V191" s="198">
        <f>$E191*餐厅成本录入!V194</f>
        <v>0</v>
      </c>
      <c r="W191" s="198">
        <f>$E191*餐厅成本录入!W194</f>
        <v>0</v>
      </c>
      <c r="X191" s="198">
        <f>$E191*餐厅成本录入!X194</f>
        <v>0</v>
      </c>
      <c r="Y191" s="198">
        <f>$E191*餐厅成本录入!Y194</f>
        <v>0</v>
      </c>
      <c r="Z191" s="198">
        <f>$E191*餐厅成本录入!Z194</f>
        <v>0</v>
      </c>
      <c r="AA191" s="198">
        <f>$E191*餐厅成本录入!AA194</f>
        <v>0</v>
      </c>
      <c r="AB191" s="198">
        <f>$E191*餐厅成本录入!AB194</f>
        <v>0</v>
      </c>
      <c r="AC191" s="198">
        <f>$E191*餐厅成本录入!AC194</f>
        <v>0</v>
      </c>
      <c r="AD191" s="198">
        <f>$E191*餐厅成本录入!AD194</f>
        <v>0</v>
      </c>
      <c r="AE191" s="198">
        <f>$E191*餐厅成本录入!AE194</f>
        <v>0</v>
      </c>
      <c r="AF191" s="198">
        <f>$E191*餐厅成本录入!AF194</f>
        <v>0</v>
      </c>
      <c r="AG191" s="198">
        <f>$E191*餐厅成本录入!AG194</f>
        <v>0</v>
      </c>
      <c r="AH191" s="198">
        <f>$E191*餐厅成本录入!AH194</f>
        <v>0</v>
      </c>
      <c r="AI191" s="198">
        <f>$E191*餐厅成本录入!AI194</f>
        <v>0</v>
      </c>
      <c r="AJ191" s="198">
        <f>$E191*餐厅成本录入!AJ194</f>
        <v>170</v>
      </c>
      <c r="AK191" s="198">
        <f>$E191*餐厅成本录入!AK194</f>
        <v>170</v>
      </c>
      <c r="AL191" s="198">
        <f>$E191*餐厅成本录入!AL194</f>
        <v>0</v>
      </c>
      <c r="AM191" s="198">
        <f>$E191*餐厅成本录入!AM194</f>
        <v>0</v>
      </c>
      <c r="AN191" s="198">
        <f>$E191*餐厅成本录入!AN194</f>
        <v>0</v>
      </c>
      <c r="AO191" s="198">
        <f>$E191*餐厅成本录入!AO194</f>
        <v>0</v>
      </c>
      <c r="AP191" s="198">
        <f>$E191*餐厅成本录入!AP194</f>
        <v>0</v>
      </c>
      <c r="AQ191" s="198">
        <f>$E191*餐厅成本录入!AQ194</f>
        <v>0</v>
      </c>
      <c r="AR191" s="198">
        <f>$E191*餐厅成本录入!AR194</f>
        <v>0</v>
      </c>
      <c r="AS191" s="198">
        <f>$E191*餐厅成本录入!AS194</f>
        <v>0</v>
      </c>
      <c r="AT191" s="198">
        <f>$E191*餐厅成本录入!AT194</f>
        <v>0</v>
      </c>
      <c r="AU191" s="198">
        <f>$E191*餐厅成本录入!AU194</f>
        <v>0</v>
      </c>
      <c r="AV191" s="198">
        <f>$E191*餐厅成本录入!AV194</f>
        <v>0</v>
      </c>
      <c r="AW191" s="198">
        <f>$E191*餐厅成本录入!AW194</f>
        <v>0</v>
      </c>
      <c r="AX191" s="198">
        <f>$E191*餐厅成本录入!AX194</f>
        <v>0</v>
      </c>
      <c r="AY191" s="198">
        <f>$E191*餐厅成本录入!AY194</f>
        <v>0</v>
      </c>
      <c r="AZ191" s="198">
        <f>$E191*餐厅成本录入!AZ194</f>
        <v>0</v>
      </c>
      <c r="BA191" s="198">
        <f>$E191*餐厅成本录入!BA194</f>
        <v>0</v>
      </c>
      <c r="BB191" s="198">
        <f>$E191*餐厅成本录入!BB194</f>
        <v>0</v>
      </c>
      <c r="BC191" s="198">
        <f>$E191*餐厅成本录入!BC194</f>
        <v>0</v>
      </c>
      <c r="BD191" s="198">
        <f>$E191*餐厅成本录入!BD194</f>
        <v>0</v>
      </c>
      <c r="BE191" s="198">
        <f>$E191*餐厅成本录入!BE194</f>
        <v>0</v>
      </c>
      <c r="BF191" s="198">
        <f>$E191*餐厅成本录入!BF194</f>
        <v>170</v>
      </c>
      <c r="BG191" s="198">
        <f>$E191*餐厅成本录入!BG194</f>
        <v>170</v>
      </c>
      <c r="BH191" s="198">
        <f>$E191*餐厅成本录入!BH194</f>
        <v>0</v>
      </c>
      <c r="BI191" s="198">
        <f>$E191*餐厅成本录入!BI194</f>
        <v>0</v>
      </c>
      <c r="BJ191" s="198">
        <f>$E191*餐厅成本录入!BJ194</f>
        <v>0</v>
      </c>
      <c r="BK191" s="198">
        <f>$E191*餐厅成本录入!BK194</f>
        <v>0</v>
      </c>
      <c r="BL191" s="198">
        <f>$E191*餐厅成本录入!BL194</f>
        <v>0</v>
      </c>
      <c r="BM191" s="198">
        <f>$E191*餐厅成本录入!BM194</f>
        <v>0</v>
      </c>
      <c r="BN191" s="198">
        <f>$E191*餐厅成本录入!BN194</f>
        <v>0</v>
      </c>
      <c r="BO191" s="198">
        <f>$E191*餐厅成本录入!BO194</f>
        <v>0</v>
      </c>
      <c r="BP191" s="198">
        <f>$E191*餐厅成本录入!BP194</f>
        <v>0</v>
      </c>
      <c r="BQ191" s="198">
        <f>$E191*餐厅成本录入!BQ194</f>
        <v>0</v>
      </c>
      <c r="BR191" s="198">
        <f>$E191*餐厅成本录入!BR194</f>
        <v>0</v>
      </c>
      <c r="BS191" s="198">
        <f>$E191*餐厅成本录入!BS194</f>
        <v>0</v>
      </c>
      <c r="BT191" s="198">
        <f>$E191*餐厅成本录入!BT194</f>
        <v>0</v>
      </c>
      <c r="BU191" s="198">
        <f>$E191*餐厅成本录入!BU194</f>
        <v>0</v>
      </c>
      <c r="BV191" s="198">
        <f>$E191*餐厅成本录入!BV194</f>
        <v>0</v>
      </c>
      <c r="BW191" s="198">
        <f>$E191*餐厅成本录入!BW194</f>
        <v>0</v>
      </c>
    </row>
    <row r="192" s="178" customFormat="1" customHeight="1" spans="1:75">
      <c r="A192" s="161">
        <v>224</v>
      </c>
      <c r="B192" s="21" t="str">
        <f>餐厅成本录入!B192</f>
        <v>粉蒸粉</v>
      </c>
      <c r="C192" s="21">
        <f>餐厅成本录入!C192</f>
        <v>0</v>
      </c>
      <c r="D192" s="21">
        <f>餐厅成本录入!D192</f>
        <v>0</v>
      </c>
      <c r="E192" s="21">
        <f>餐厅成本录入!E192</f>
        <v>2</v>
      </c>
      <c r="F192" s="21">
        <f>餐厅成本录入!F192</f>
        <v>0</v>
      </c>
      <c r="G192" s="21">
        <f>餐厅成本录入!G192</f>
        <v>0</v>
      </c>
      <c r="H192" s="21">
        <f>餐厅成本录入!H192</f>
        <v>10</v>
      </c>
      <c r="I192" s="21">
        <f>餐厅成本录入!I192</f>
        <v>20</v>
      </c>
      <c r="J192" s="21">
        <f>餐厅成本录入!J192</f>
        <v>10</v>
      </c>
      <c r="K192" s="21">
        <f>餐厅成本录入!K192</f>
        <v>20</v>
      </c>
      <c r="L192" s="21">
        <f>餐厅成本录入!L192</f>
        <v>0</v>
      </c>
      <c r="M192" s="21">
        <f>餐厅成本录入!M192</f>
        <v>0</v>
      </c>
      <c r="N192" s="198">
        <f>$E192*餐厅成本录入!N195</f>
        <v>0</v>
      </c>
      <c r="O192" s="198">
        <f>$E192*餐厅成本录入!O195</f>
        <v>0</v>
      </c>
      <c r="P192" s="198">
        <f>$E192*餐厅成本录入!P195</f>
        <v>0</v>
      </c>
      <c r="Q192" s="198">
        <f>$E192*餐厅成本录入!Q195</f>
        <v>0</v>
      </c>
      <c r="R192" s="198">
        <f>$E192*餐厅成本录入!R195</f>
        <v>0</v>
      </c>
      <c r="S192" s="198">
        <f>$E192*餐厅成本录入!S195</f>
        <v>0</v>
      </c>
      <c r="T192" s="198">
        <f>$E192*餐厅成本录入!T195</f>
        <v>0</v>
      </c>
      <c r="U192" s="198">
        <f>$E192*餐厅成本录入!U195</f>
        <v>0</v>
      </c>
      <c r="V192" s="198">
        <f>$E192*餐厅成本录入!V195</f>
        <v>0</v>
      </c>
      <c r="W192" s="198">
        <f>$E192*餐厅成本录入!W195</f>
        <v>0</v>
      </c>
      <c r="X192" s="198">
        <f>$E192*餐厅成本录入!X195</f>
        <v>0</v>
      </c>
      <c r="Y192" s="198">
        <f>$E192*餐厅成本录入!Y195</f>
        <v>0</v>
      </c>
      <c r="Z192" s="198">
        <f>$E192*餐厅成本录入!Z195</f>
        <v>0</v>
      </c>
      <c r="AA192" s="198">
        <f>$E192*餐厅成本录入!AA195</f>
        <v>0</v>
      </c>
      <c r="AB192" s="198">
        <f>$E192*餐厅成本录入!AB195</f>
        <v>0</v>
      </c>
      <c r="AC192" s="198">
        <f>$E192*餐厅成本录入!AC195</f>
        <v>0</v>
      </c>
      <c r="AD192" s="198">
        <f>$E192*餐厅成本录入!AD195</f>
        <v>0</v>
      </c>
      <c r="AE192" s="198">
        <f>$E192*餐厅成本录入!AE195</f>
        <v>0</v>
      </c>
      <c r="AF192" s="198">
        <f>$E192*餐厅成本录入!AF195</f>
        <v>0</v>
      </c>
      <c r="AG192" s="198">
        <f>$E192*餐厅成本录入!AG195</f>
        <v>0</v>
      </c>
      <c r="AH192" s="198">
        <f>$E192*餐厅成本录入!AH195</f>
        <v>0</v>
      </c>
      <c r="AI192" s="198">
        <f>$E192*餐厅成本录入!AI195</f>
        <v>0</v>
      </c>
      <c r="AJ192" s="198">
        <f>$E192*餐厅成本录入!AJ195</f>
        <v>0</v>
      </c>
      <c r="AK192" s="198">
        <f>$E192*餐厅成本录入!AK195</f>
        <v>0</v>
      </c>
      <c r="AL192" s="198">
        <f>$E192*餐厅成本录入!AL195</f>
        <v>0</v>
      </c>
      <c r="AM192" s="198">
        <f>$E192*餐厅成本录入!AM195</f>
        <v>0</v>
      </c>
      <c r="AN192" s="198">
        <f>$E192*餐厅成本录入!AN195</f>
        <v>0</v>
      </c>
      <c r="AO192" s="198">
        <f>$E192*餐厅成本录入!AO195</f>
        <v>0</v>
      </c>
      <c r="AP192" s="198">
        <f>$E192*餐厅成本录入!AP195</f>
        <v>0</v>
      </c>
      <c r="AQ192" s="198">
        <f>$E192*餐厅成本录入!AQ195</f>
        <v>0</v>
      </c>
      <c r="AR192" s="198">
        <f>$E192*餐厅成本录入!AR195</f>
        <v>0</v>
      </c>
      <c r="AS192" s="198">
        <f>$E192*餐厅成本录入!AS195</f>
        <v>0</v>
      </c>
      <c r="AT192" s="198">
        <f>$E192*餐厅成本录入!AT195</f>
        <v>0</v>
      </c>
      <c r="AU192" s="198">
        <f>$E192*餐厅成本录入!AU195</f>
        <v>0</v>
      </c>
      <c r="AV192" s="198">
        <f>$E192*餐厅成本录入!AV195</f>
        <v>0</v>
      </c>
      <c r="AW192" s="198">
        <f>$E192*餐厅成本录入!AW195</f>
        <v>0</v>
      </c>
      <c r="AX192" s="198">
        <f>$E192*餐厅成本录入!AX195</f>
        <v>0</v>
      </c>
      <c r="AY192" s="198">
        <f>$E192*餐厅成本录入!AY195</f>
        <v>0</v>
      </c>
      <c r="AZ192" s="198">
        <f>$E192*餐厅成本录入!AZ195</f>
        <v>0</v>
      </c>
      <c r="BA192" s="198">
        <f>$E192*餐厅成本录入!BA195</f>
        <v>0</v>
      </c>
      <c r="BB192" s="198">
        <f>$E192*餐厅成本录入!BB195</f>
        <v>0</v>
      </c>
      <c r="BC192" s="198">
        <f>$E192*餐厅成本录入!BC195</f>
        <v>0</v>
      </c>
      <c r="BD192" s="198">
        <f>$E192*餐厅成本录入!BD195</f>
        <v>0</v>
      </c>
      <c r="BE192" s="198">
        <f>$E192*餐厅成本录入!BE195</f>
        <v>0</v>
      </c>
      <c r="BF192" s="198">
        <f>$E192*餐厅成本录入!BF195</f>
        <v>2</v>
      </c>
      <c r="BG192" s="198">
        <f>$E192*餐厅成本录入!BG195</f>
        <v>2</v>
      </c>
      <c r="BH192" s="198">
        <f>$E192*餐厅成本录入!BH195</f>
        <v>0</v>
      </c>
      <c r="BI192" s="198">
        <f>$E192*餐厅成本录入!BI195</f>
        <v>0</v>
      </c>
      <c r="BJ192" s="198">
        <f>$E192*餐厅成本录入!BJ195</f>
        <v>0</v>
      </c>
      <c r="BK192" s="198">
        <f>$E192*餐厅成本录入!BK195</f>
        <v>0</v>
      </c>
      <c r="BL192" s="198">
        <f>$E192*餐厅成本录入!BL195</f>
        <v>0</v>
      </c>
      <c r="BM192" s="198">
        <f>$E192*餐厅成本录入!BM195</f>
        <v>0</v>
      </c>
      <c r="BN192" s="198">
        <f>$E192*餐厅成本录入!BN195</f>
        <v>0</v>
      </c>
      <c r="BO192" s="198">
        <f>$E192*餐厅成本录入!BO195</f>
        <v>0</v>
      </c>
      <c r="BP192" s="198">
        <f>$E192*餐厅成本录入!BP195</f>
        <v>0</v>
      </c>
      <c r="BQ192" s="198">
        <f>$E192*餐厅成本录入!BQ195</f>
        <v>0</v>
      </c>
      <c r="BR192" s="198">
        <f>$E192*餐厅成本录入!BR195</f>
        <v>0</v>
      </c>
      <c r="BS192" s="198">
        <f>$E192*餐厅成本录入!BS195</f>
        <v>0</v>
      </c>
      <c r="BT192" s="198">
        <f>$E192*餐厅成本录入!BT195</f>
        <v>0</v>
      </c>
      <c r="BU192" s="198">
        <f>$E192*餐厅成本录入!BU195</f>
        <v>0</v>
      </c>
      <c r="BV192" s="198">
        <f>$E192*餐厅成本录入!BV195</f>
        <v>0</v>
      </c>
      <c r="BW192" s="198">
        <f>$E192*餐厅成本录入!BW195</f>
        <v>0</v>
      </c>
    </row>
    <row r="193" s="178" customFormat="1" customHeight="1" spans="1:75">
      <c r="A193" s="161">
        <v>225</v>
      </c>
      <c r="B193" s="21" t="str">
        <f>餐厅成本录入!B193</f>
        <v>陈醋</v>
      </c>
      <c r="C193" s="21">
        <f>餐厅成本录入!C193</f>
        <v>0</v>
      </c>
      <c r="D193" s="21">
        <f>餐厅成本录入!D193</f>
        <v>0</v>
      </c>
      <c r="E193" s="21">
        <f>餐厅成本录入!E193</f>
        <v>45</v>
      </c>
      <c r="F193" s="21">
        <f>餐厅成本录入!F193</f>
        <v>0</v>
      </c>
      <c r="G193" s="21">
        <f>餐厅成本录入!G193</f>
        <v>0</v>
      </c>
      <c r="H193" s="21">
        <f>餐厅成本录入!H193</f>
        <v>1</v>
      </c>
      <c r="I193" s="21">
        <f>餐厅成本录入!I193</f>
        <v>45</v>
      </c>
      <c r="J193" s="21">
        <f>餐厅成本录入!J193</f>
        <v>1</v>
      </c>
      <c r="K193" s="21">
        <f>餐厅成本录入!K193</f>
        <v>45</v>
      </c>
      <c r="L193" s="21">
        <f>餐厅成本录入!L193</f>
        <v>0</v>
      </c>
      <c r="M193" s="21">
        <f>餐厅成本录入!M193</f>
        <v>0</v>
      </c>
      <c r="N193" s="198">
        <f>$E193*餐厅成本录入!N196</f>
        <v>0</v>
      </c>
      <c r="O193" s="198">
        <f>$E193*餐厅成本录入!O196</f>
        <v>0</v>
      </c>
      <c r="P193" s="198">
        <f>$E193*餐厅成本录入!P196</f>
        <v>0</v>
      </c>
      <c r="Q193" s="198">
        <f>$E193*餐厅成本录入!Q196</f>
        <v>0</v>
      </c>
      <c r="R193" s="198">
        <f>$E193*餐厅成本录入!R196</f>
        <v>0</v>
      </c>
      <c r="S193" s="198">
        <f>$E193*餐厅成本录入!S196</f>
        <v>0</v>
      </c>
      <c r="T193" s="198">
        <f>$E193*餐厅成本录入!T196</f>
        <v>0</v>
      </c>
      <c r="U193" s="198">
        <f>$E193*餐厅成本录入!U196</f>
        <v>0</v>
      </c>
      <c r="V193" s="198">
        <f>$E193*餐厅成本录入!V196</f>
        <v>0</v>
      </c>
      <c r="W193" s="198">
        <f>$E193*餐厅成本录入!W196</f>
        <v>0</v>
      </c>
      <c r="X193" s="198">
        <f>$E193*餐厅成本录入!X196</f>
        <v>0</v>
      </c>
      <c r="Y193" s="198">
        <f>$E193*餐厅成本录入!Y196</f>
        <v>0</v>
      </c>
      <c r="Z193" s="198">
        <f>$E193*餐厅成本录入!Z196</f>
        <v>0</v>
      </c>
      <c r="AA193" s="198">
        <f>$E193*餐厅成本录入!AA196</f>
        <v>0</v>
      </c>
      <c r="AB193" s="198">
        <f>$E193*餐厅成本录入!AB196</f>
        <v>0</v>
      </c>
      <c r="AC193" s="198">
        <f>$E193*餐厅成本录入!AC196</f>
        <v>0</v>
      </c>
      <c r="AD193" s="198">
        <f>$E193*餐厅成本录入!AD196</f>
        <v>0</v>
      </c>
      <c r="AE193" s="198">
        <f>$E193*餐厅成本录入!AE196</f>
        <v>0</v>
      </c>
      <c r="AF193" s="198">
        <f>$E193*餐厅成本录入!AF196</f>
        <v>0</v>
      </c>
      <c r="AG193" s="198">
        <f>$E193*餐厅成本录入!AG196</f>
        <v>0</v>
      </c>
      <c r="AH193" s="198">
        <f>$E193*餐厅成本录入!AH196</f>
        <v>0</v>
      </c>
      <c r="AI193" s="198">
        <f>$E193*餐厅成本录入!AI196</f>
        <v>0</v>
      </c>
      <c r="AJ193" s="198">
        <f>$E193*餐厅成本录入!AJ196</f>
        <v>0</v>
      </c>
      <c r="AK193" s="198">
        <f>$E193*餐厅成本录入!AK196</f>
        <v>0</v>
      </c>
      <c r="AL193" s="198">
        <f>$E193*餐厅成本录入!AL196</f>
        <v>0</v>
      </c>
      <c r="AM193" s="198">
        <f>$E193*餐厅成本录入!AM196</f>
        <v>0</v>
      </c>
      <c r="AN193" s="198">
        <f>$E193*餐厅成本录入!AN196</f>
        <v>0</v>
      </c>
      <c r="AO193" s="198">
        <f>$E193*餐厅成本录入!AO196</f>
        <v>0</v>
      </c>
      <c r="AP193" s="198">
        <f>$E193*餐厅成本录入!AP196</f>
        <v>0</v>
      </c>
      <c r="AQ193" s="198">
        <f>$E193*餐厅成本录入!AQ196</f>
        <v>0</v>
      </c>
      <c r="AR193" s="198">
        <f>$E193*餐厅成本录入!AR196</f>
        <v>0</v>
      </c>
      <c r="AS193" s="198">
        <f>$E193*餐厅成本录入!AS196</f>
        <v>0</v>
      </c>
      <c r="AT193" s="198">
        <f>$E193*餐厅成本录入!AT196</f>
        <v>0</v>
      </c>
      <c r="AU193" s="198">
        <f>$E193*餐厅成本录入!AU196</f>
        <v>0</v>
      </c>
      <c r="AV193" s="198">
        <f>$E193*餐厅成本录入!AV196</f>
        <v>0</v>
      </c>
      <c r="AW193" s="198">
        <f>$E193*餐厅成本录入!AW196</f>
        <v>0</v>
      </c>
      <c r="AX193" s="198">
        <f>$E193*餐厅成本录入!AX196</f>
        <v>0</v>
      </c>
      <c r="AY193" s="198">
        <f>$E193*餐厅成本录入!AY196</f>
        <v>0</v>
      </c>
      <c r="AZ193" s="198">
        <f>$E193*餐厅成本录入!AZ196</f>
        <v>0</v>
      </c>
      <c r="BA193" s="198">
        <f>$E193*餐厅成本录入!BA196</f>
        <v>0</v>
      </c>
      <c r="BB193" s="198">
        <f>$E193*餐厅成本录入!BB196</f>
        <v>0</v>
      </c>
      <c r="BC193" s="198">
        <f>$E193*餐厅成本录入!BC196</f>
        <v>0</v>
      </c>
      <c r="BD193" s="198">
        <f>$E193*餐厅成本录入!BD196</f>
        <v>0</v>
      </c>
      <c r="BE193" s="198">
        <f>$E193*餐厅成本录入!BE196</f>
        <v>0</v>
      </c>
      <c r="BF193" s="198">
        <f>$E193*餐厅成本录入!BF196</f>
        <v>0</v>
      </c>
      <c r="BG193" s="198">
        <f>$E193*餐厅成本录入!BG196</f>
        <v>0</v>
      </c>
      <c r="BH193" s="198">
        <f>$E193*餐厅成本录入!BH196</f>
        <v>0</v>
      </c>
      <c r="BI193" s="198">
        <f>$E193*餐厅成本录入!BI196</f>
        <v>0</v>
      </c>
      <c r="BJ193" s="198">
        <f>$E193*餐厅成本录入!BJ196</f>
        <v>0</v>
      </c>
      <c r="BK193" s="198">
        <f>$E193*餐厅成本录入!BK196</f>
        <v>0</v>
      </c>
      <c r="BL193" s="198">
        <f>$E193*餐厅成本录入!BL196</f>
        <v>0</v>
      </c>
      <c r="BM193" s="198">
        <f>$E193*餐厅成本录入!BM196</f>
        <v>0</v>
      </c>
      <c r="BN193" s="198">
        <f>$E193*餐厅成本录入!BN196</f>
        <v>0</v>
      </c>
      <c r="BO193" s="198">
        <f>$E193*餐厅成本录入!BO196</f>
        <v>0</v>
      </c>
      <c r="BP193" s="198">
        <f>$E193*餐厅成本录入!BP196</f>
        <v>0</v>
      </c>
      <c r="BQ193" s="198">
        <f>$E193*餐厅成本录入!BQ196</f>
        <v>0</v>
      </c>
      <c r="BR193" s="198">
        <f>$E193*餐厅成本录入!BR196</f>
        <v>0</v>
      </c>
      <c r="BS193" s="198">
        <f>$E193*餐厅成本录入!BS196</f>
        <v>0</v>
      </c>
      <c r="BT193" s="198">
        <f>$E193*餐厅成本录入!BT196</f>
        <v>0</v>
      </c>
      <c r="BU193" s="198">
        <f>$E193*餐厅成本录入!BU196</f>
        <v>0</v>
      </c>
      <c r="BV193" s="198">
        <f>$E193*餐厅成本录入!BV196</f>
        <v>0</v>
      </c>
      <c r="BW193" s="198">
        <f>$E193*餐厅成本录入!BW196</f>
        <v>0</v>
      </c>
    </row>
    <row r="194" s="178" customFormat="1" customHeight="1" spans="1:75">
      <c r="A194" s="161">
        <v>226</v>
      </c>
      <c r="B194" s="21" t="str">
        <f>餐厅成本录入!B194</f>
        <v>干辣椒段</v>
      </c>
      <c r="C194" s="21">
        <f>餐厅成本录入!C194</f>
        <v>0</v>
      </c>
      <c r="D194" s="21">
        <f>餐厅成本录入!D194</f>
        <v>0</v>
      </c>
      <c r="E194" s="21">
        <f>餐厅成本录入!E194</f>
        <v>15</v>
      </c>
      <c r="F194" s="21">
        <f>餐厅成本录入!F194</f>
        <v>0</v>
      </c>
      <c r="G194" s="21">
        <f>餐厅成本录入!G194</f>
        <v>0</v>
      </c>
      <c r="H194" s="21">
        <f>餐厅成本录入!H194</f>
        <v>4</v>
      </c>
      <c r="I194" s="21">
        <f>餐厅成本录入!I194</f>
        <v>60</v>
      </c>
      <c r="J194" s="21">
        <f>餐厅成本录入!J194</f>
        <v>4</v>
      </c>
      <c r="K194" s="21">
        <f>餐厅成本录入!K194</f>
        <v>60</v>
      </c>
      <c r="L194" s="21">
        <f>餐厅成本录入!L194</f>
        <v>0</v>
      </c>
      <c r="M194" s="21">
        <f>餐厅成本录入!M194</f>
        <v>0</v>
      </c>
      <c r="N194" s="198">
        <f>$E194*餐厅成本录入!N197</f>
        <v>0</v>
      </c>
      <c r="O194" s="198">
        <f>$E194*餐厅成本录入!O197</f>
        <v>0</v>
      </c>
      <c r="P194" s="198">
        <f>$E194*餐厅成本录入!P197</f>
        <v>0</v>
      </c>
      <c r="Q194" s="198">
        <f>$E194*餐厅成本录入!Q197</f>
        <v>0</v>
      </c>
      <c r="R194" s="198">
        <f>$E194*餐厅成本录入!R197</f>
        <v>0</v>
      </c>
      <c r="S194" s="198">
        <f>$E194*餐厅成本录入!S197</f>
        <v>0</v>
      </c>
      <c r="T194" s="198">
        <f>$E194*餐厅成本录入!T197</f>
        <v>0</v>
      </c>
      <c r="U194" s="198">
        <f>$E194*餐厅成本录入!U197</f>
        <v>0</v>
      </c>
      <c r="V194" s="198">
        <f>$E194*餐厅成本录入!V197</f>
        <v>0</v>
      </c>
      <c r="W194" s="198">
        <f>$E194*餐厅成本录入!W197</f>
        <v>0</v>
      </c>
      <c r="X194" s="198">
        <f>$E194*餐厅成本录入!X197</f>
        <v>0</v>
      </c>
      <c r="Y194" s="198">
        <f>$E194*餐厅成本录入!Y197</f>
        <v>0</v>
      </c>
      <c r="Z194" s="198">
        <f>$E194*餐厅成本录入!Z197</f>
        <v>0</v>
      </c>
      <c r="AA194" s="198">
        <f>$E194*餐厅成本录入!AA197</f>
        <v>0</v>
      </c>
      <c r="AB194" s="198">
        <f>$E194*餐厅成本录入!AB197</f>
        <v>0</v>
      </c>
      <c r="AC194" s="198">
        <f>$E194*餐厅成本录入!AC197</f>
        <v>0</v>
      </c>
      <c r="AD194" s="198">
        <f>$E194*餐厅成本录入!AD197</f>
        <v>0</v>
      </c>
      <c r="AE194" s="198">
        <f>$E194*餐厅成本录入!AE197</f>
        <v>0</v>
      </c>
      <c r="AF194" s="198">
        <f>$E194*餐厅成本录入!AF197</f>
        <v>0</v>
      </c>
      <c r="AG194" s="198">
        <f>$E194*餐厅成本录入!AG197</f>
        <v>0</v>
      </c>
      <c r="AH194" s="198">
        <f>$E194*餐厅成本录入!AH197</f>
        <v>0</v>
      </c>
      <c r="AI194" s="198">
        <f>$E194*餐厅成本录入!AI197</f>
        <v>0</v>
      </c>
      <c r="AJ194" s="198">
        <f>$E194*餐厅成本录入!AJ197</f>
        <v>0</v>
      </c>
      <c r="AK194" s="198">
        <f>$E194*餐厅成本录入!AK197</f>
        <v>0</v>
      </c>
      <c r="AL194" s="198">
        <f>$E194*餐厅成本录入!AL197</f>
        <v>0</v>
      </c>
      <c r="AM194" s="198">
        <f>$E194*餐厅成本录入!AM197</f>
        <v>0</v>
      </c>
      <c r="AN194" s="198">
        <f>$E194*餐厅成本录入!AN197</f>
        <v>0</v>
      </c>
      <c r="AO194" s="198">
        <f>$E194*餐厅成本录入!AO197</f>
        <v>0</v>
      </c>
      <c r="AP194" s="198">
        <f>$E194*餐厅成本录入!AP197</f>
        <v>0</v>
      </c>
      <c r="AQ194" s="198">
        <f>$E194*餐厅成本录入!AQ197</f>
        <v>0</v>
      </c>
      <c r="AR194" s="198">
        <f>$E194*餐厅成本录入!AR197</f>
        <v>0</v>
      </c>
      <c r="AS194" s="198">
        <f>$E194*餐厅成本录入!AS197</f>
        <v>0</v>
      </c>
      <c r="AT194" s="198">
        <f>$E194*餐厅成本录入!AT197</f>
        <v>0</v>
      </c>
      <c r="AU194" s="198">
        <f>$E194*餐厅成本录入!AU197</f>
        <v>0</v>
      </c>
      <c r="AV194" s="198">
        <f>$E194*餐厅成本录入!AV197</f>
        <v>0</v>
      </c>
      <c r="AW194" s="198">
        <f>$E194*餐厅成本录入!AW197</f>
        <v>0</v>
      </c>
      <c r="AX194" s="198">
        <f>$E194*餐厅成本录入!AX197</f>
        <v>0</v>
      </c>
      <c r="AY194" s="198">
        <f>$E194*餐厅成本录入!AY197</f>
        <v>0</v>
      </c>
      <c r="AZ194" s="198">
        <f>$E194*餐厅成本录入!AZ197</f>
        <v>0</v>
      </c>
      <c r="BA194" s="198">
        <f>$E194*餐厅成本录入!BA197</f>
        <v>0</v>
      </c>
      <c r="BB194" s="198">
        <f>$E194*餐厅成本录入!BB197</f>
        <v>0</v>
      </c>
      <c r="BC194" s="198">
        <f>$E194*餐厅成本录入!BC197</f>
        <v>0</v>
      </c>
      <c r="BD194" s="198">
        <f>$E194*餐厅成本录入!BD197</f>
        <v>0</v>
      </c>
      <c r="BE194" s="198">
        <f>$E194*餐厅成本录入!BE197</f>
        <v>0</v>
      </c>
      <c r="BF194" s="198">
        <f>$E194*餐厅成本录入!BF197</f>
        <v>0</v>
      </c>
      <c r="BG194" s="198">
        <f>$E194*餐厅成本录入!BG197</f>
        <v>0</v>
      </c>
      <c r="BH194" s="198">
        <f>$E194*餐厅成本录入!BH197</f>
        <v>0</v>
      </c>
      <c r="BI194" s="198">
        <f>$E194*餐厅成本录入!BI197</f>
        <v>0</v>
      </c>
      <c r="BJ194" s="198">
        <f>$E194*餐厅成本录入!BJ197</f>
        <v>0</v>
      </c>
      <c r="BK194" s="198">
        <f>$E194*餐厅成本录入!BK197</f>
        <v>0</v>
      </c>
      <c r="BL194" s="198">
        <f>$E194*餐厅成本录入!BL197</f>
        <v>0</v>
      </c>
      <c r="BM194" s="198">
        <f>$E194*餐厅成本录入!BM197</f>
        <v>0</v>
      </c>
      <c r="BN194" s="198">
        <f>$E194*餐厅成本录入!BN197</f>
        <v>0</v>
      </c>
      <c r="BO194" s="198">
        <f>$E194*餐厅成本录入!BO197</f>
        <v>0</v>
      </c>
      <c r="BP194" s="198">
        <f>$E194*餐厅成本录入!BP197</f>
        <v>0</v>
      </c>
      <c r="BQ194" s="198">
        <f>$E194*餐厅成本录入!BQ197</f>
        <v>0</v>
      </c>
      <c r="BR194" s="198">
        <f>$E194*餐厅成本录入!BR197</f>
        <v>0</v>
      </c>
      <c r="BS194" s="198">
        <f>$E194*餐厅成本录入!BS197</f>
        <v>0</v>
      </c>
      <c r="BT194" s="198">
        <f>$E194*餐厅成本录入!BT197</f>
        <v>0</v>
      </c>
      <c r="BU194" s="198">
        <f>$E194*餐厅成本录入!BU197</f>
        <v>0</v>
      </c>
      <c r="BV194" s="198">
        <f>$E194*餐厅成本录入!BV197</f>
        <v>0</v>
      </c>
      <c r="BW194" s="198">
        <f>$E194*餐厅成本录入!BW197</f>
        <v>0</v>
      </c>
    </row>
    <row r="195" s="178" customFormat="1" customHeight="1" spans="1:75">
      <c r="A195" s="161">
        <v>227</v>
      </c>
      <c r="B195" s="21" t="str">
        <f>餐厅成本录入!B195</f>
        <v>玉米面</v>
      </c>
      <c r="C195" s="21">
        <f>餐厅成本录入!C195</f>
        <v>0</v>
      </c>
      <c r="D195" s="21">
        <f>餐厅成本录入!D195</f>
        <v>0</v>
      </c>
      <c r="E195" s="21">
        <f>餐厅成本录入!E195</f>
        <v>2.5</v>
      </c>
      <c r="F195" s="21">
        <f>餐厅成本录入!F195</f>
        <v>0</v>
      </c>
      <c r="G195" s="21">
        <f>餐厅成本录入!G195</f>
        <v>0</v>
      </c>
      <c r="H195" s="21">
        <f>餐厅成本录入!H195</f>
        <v>1</v>
      </c>
      <c r="I195" s="21">
        <f>餐厅成本录入!I195</f>
        <v>2.5</v>
      </c>
      <c r="J195" s="21">
        <f>餐厅成本录入!J195</f>
        <v>1</v>
      </c>
      <c r="K195" s="21">
        <f>餐厅成本录入!K195</f>
        <v>2.5</v>
      </c>
      <c r="L195" s="21">
        <f>餐厅成本录入!L195</f>
        <v>0</v>
      </c>
      <c r="M195" s="21">
        <f>餐厅成本录入!M195</f>
        <v>0</v>
      </c>
      <c r="N195" s="198">
        <f>$E195*餐厅成本录入!N198</f>
        <v>0</v>
      </c>
      <c r="O195" s="198">
        <f>$E195*餐厅成本录入!O198</f>
        <v>0</v>
      </c>
      <c r="P195" s="198">
        <f>$E195*餐厅成本录入!P198</f>
        <v>0</v>
      </c>
      <c r="Q195" s="198">
        <f>$E195*餐厅成本录入!Q198</f>
        <v>0</v>
      </c>
      <c r="R195" s="198">
        <f>$E195*餐厅成本录入!R198</f>
        <v>0</v>
      </c>
      <c r="S195" s="198">
        <f>$E195*餐厅成本录入!S198</f>
        <v>0</v>
      </c>
      <c r="T195" s="198">
        <f>$E195*餐厅成本录入!T198</f>
        <v>0</v>
      </c>
      <c r="U195" s="198">
        <f>$E195*餐厅成本录入!U198</f>
        <v>0</v>
      </c>
      <c r="V195" s="198">
        <f>$E195*餐厅成本录入!V198</f>
        <v>0</v>
      </c>
      <c r="W195" s="198">
        <f>$E195*餐厅成本录入!W198</f>
        <v>0</v>
      </c>
      <c r="X195" s="198">
        <f>$E195*餐厅成本录入!X198</f>
        <v>0</v>
      </c>
      <c r="Y195" s="198">
        <f>$E195*餐厅成本录入!Y198</f>
        <v>0</v>
      </c>
      <c r="Z195" s="198">
        <f>$E195*餐厅成本录入!Z198</f>
        <v>0</v>
      </c>
      <c r="AA195" s="198">
        <f>$E195*餐厅成本录入!AA198</f>
        <v>0</v>
      </c>
      <c r="AB195" s="198">
        <f>$E195*餐厅成本录入!AB198</f>
        <v>0</v>
      </c>
      <c r="AC195" s="198">
        <f>$E195*餐厅成本录入!AC198</f>
        <v>0</v>
      </c>
      <c r="AD195" s="198">
        <f>$E195*餐厅成本录入!AD198</f>
        <v>0</v>
      </c>
      <c r="AE195" s="198">
        <f>$E195*餐厅成本录入!AE198</f>
        <v>0</v>
      </c>
      <c r="AF195" s="198">
        <f>$E195*餐厅成本录入!AF198</f>
        <v>0</v>
      </c>
      <c r="AG195" s="198">
        <f>$E195*餐厅成本录入!AG198</f>
        <v>0</v>
      </c>
      <c r="AH195" s="198">
        <f>$E195*餐厅成本录入!AH198</f>
        <v>0</v>
      </c>
      <c r="AI195" s="198">
        <f>$E195*餐厅成本录入!AI198</f>
        <v>0</v>
      </c>
      <c r="AJ195" s="198">
        <f>$E195*餐厅成本录入!AJ198</f>
        <v>0</v>
      </c>
      <c r="AK195" s="198">
        <f>$E195*餐厅成本录入!AK198</f>
        <v>0</v>
      </c>
      <c r="AL195" s="198">
        <f>$E195*餐厅成本录入!AL198</f>
        <v>0</v>
      </c>
      <c r="AM195" s="198">
        <f>$E195*餐厅成本录入!AM198</f>
        <v>0</v>
      </c>
      <c r="AN195" s="198">
        <f>$E195*餐厅成本录入!AN198</f>
        <v>0</v>
      </c>
      <c r="AO195" s="198">
        <f>$E195*餐厅成本录入!AO198</f>
        <v>0</v>
      </c>
      <c r="AP195" s="198">
        <f>$E195*餐厅成本录入!AP198</f>
        <v>0</v>
      </c>
      <c r="AQ195" s="198">
        <f>$E195*餐厅成本录入!AQ198</f>
        <v>0</v>
      </c>
      <c r="AR195" s="198">
        <f>$E195*餐厅成本录入!AR198</f>
        <v>0</v>
      </c>
      <c r="AS195" s="198">
        <f>$E195*餐厅成本录入!AS198</f>
        <v>0</v>
      </c>
      <c r="AT195" s="198">
        <f>$E195*餐厅成本录入!AT198</f>
        <v>0</v>
      </c>
      <c r="AU195" s="198">
        <f>$E195*餐厅成本录入!AU198</f>
        <v>0</v>
      </c>
      <c r="AV195" s="198">
        <f>$E195*餐厅成本录入!AV198</f>
        <v>0</v>
      </c>
      <c r="AW195" s="198">
        <f>$E195*餐厅成本录入!AW198</f>
        <v>0</v>
      </c>
      <c r="AX195" s="198">
        <f>$E195*餐厅成本录入!AX198</f>
        <v>0</v>
      </c>
      <c r="AY195" s="198">
        <f>$E195*餐厅成本录入!AY198</f>
        <v>0</v>
      </c>
      <c r="AZ195" s="198">
        <f>$E195*餐厅成本录入!AZ198</f>
        <v>0</v>
      </c>
      <c r="BA195" s="198">
        <f>$E195*餐厅成本录入!BA198</f>
        <v>0</v>
      </c>
      <c r="BB195" s="198">
        <f>$E195*餐厅成本录入!BB198</f>
        <v>0</v>
      </c>
      <c r="BC195" s="198">
        <f>$E195*餐厅成本录入!BC198</f>
        <v>0</v>
      </c>
      <c r="BD195" s="198">
        <f>$E195*餐厅成本录入!BD198</f>
        <v>0</v>
      </c>
      <c r="BE195" s="198">
        <f>$E195*餐厅成本录入!BE198</f>
        <v>0</v>
      </c>
      <c r="BF195" s="198">
        <f>$E195*餐厅成本录入!BF198</f>
        <v>0</v>
      </c>
      <c r="BG195" s="198">
        <f>$E195*餐厅成本录入!BG198</f>
        <v>0</v>
      </c>
      <c r="BH195" s="198">
        <f>$E195*餐厅成本录入!BH198</f>
        <v>0</v>
      </c>
      <c r="BI195" s="198">
        <f>$E195*餐厅成本录入!BI198</f>
        <v>0</v>
      </c>
      <c r="BJ195" s="198">
        <f>$E195*餐厅成本录入!BJ198</f>
        <v>0</v>
      </c>
      <c r="BK195" s="198">
        <f>$E195*餐厅成本录入!BK198</f>
        <v>0</v>
      </c>
      <c r="BL195" s="198">
        <f>$E195*餐厅成本录入!BL198</f>
        <v>0</v>
      </c>
      <c r="BM195" s="198">
        <f>$E195*餐厅成本录入!BM198</f>
        <v>0</v>
      </c>
      <c r="BN195" s="198">
        <f>$E195*餐厅成本录入!BN198</f>
        <v>0</v>
      </c>
      <c r="BO195" s="198">
        <f>$E195*餐厅成本录入!BO198</f>
        <v>0</v>
      </c>
      <c r="BP195" s="198">
        <f>$E195*餐厅成本录入!BP198</f>
        <v>0</v>
      </c>
      <c r="BQ195" s="198">
        <f>$E195*餐厅成本录入!BQ198</f>
        <v>0</v>
      </c>
      <c r="BR195" s="198">
        <f>$E195*餐厅成本录入!BR198</f>
        <v>0</v>
      </c>
      <c r="BS195" s="198">
        <f>$E195*餐厅成本录入!BS198</f>
        <v>0</v>
      </c>
      <c r="BT195" s="198">
        <f>$E195*餐厅成本录入!BT198</f>
        <v>0</v>
      </c>
      <c r="BU195" s="198">
        <f>$E195*餐厅成本录入!BU198</f>
        <v>0</v>
      </c>
      <c r="BV195" s="198">
        <f>$E195*餐厅成本录入!BV198</f>
        <v>0</v>
      </c>
      <c r="BW195" s="198">
        <f>$E195*餐厅成本录入!BW198</f>
        <v>0</v>
      </c>
    </row>
    <row r="196" s="178" customFormat="1" customHeight="1" spans="1:75">
      <c r="A196" s="161">
        <v>228</v>
      </c>
      <c r="B196" s="21" t="str">
        <f>餐厅成本录入!B196</f>
        <v>海鲜酱油</v>
      </c>
      <c r="C196" s="21">
        <f>餐厅成本录入!C196</f>
        <v>0</v>
      </c>
      <c r="D196" s="21">
        <f>餐厅成本录入!D196</f>
        <v>0</v>
      </c>
      <c r="E196" s="21">
        <f>餐厅成本录入!E196</f>
        <v>10</v>
      </c>
      <c r="F196" s="21">
        <f>餐厅成本录入!F196</f>
        <v>0</v>
      </c>
      <c r="G196" s="21">
        <f>餐厅成本录入!G196</f>
        <v>0</v>
      </c>
      <c r="H196" s="21">
        <f>餐厅成本录入!H196</f>
        <v>0</v>
      </c>
      <c r="I196" s="21">
        <f>餐厅成本录入!I196</f>
        <v>0</v>
      </c>
      <c r="J196" s="21">
        <f>餐厅成本录入!J196</f>
        <v>0</v>
      </c>
      <c r="K196" s="21">
        <f>餐厅成本录入!K196</f>
        <v>0</v>
      </c>
      <c r="L196" s="21">
        <f>餐厅成本录入!L196</f>
        <v>0</v>
      </c>
      <c r="M196" s="21">
        <f>餐厅成本录入!M196</f>
        <v>0</v>
      </c>
      <c r="N196" s="198">
        <f>$E196*餐厅成本录入!N199</f>
        <v>0</v>
      </c>
      <c r="O196" s="198">
        <f>$E196*餐厅成本录入!O199</f>
        <v>0</v>
      </c>
      <c r="P196" s="198">
        <f>$E196*餐厅成本录入!P199</f>
        <v>0</v>
      </c>
      <c r="Q196" s="198">
        <f>$E196*餐厅成本录入!Q199</f>
        <v>0</v>
      </c>
      <c r="R196" s="198">
        <f>$E196*餐厅成本录入!R199</f>
        <v>0</v>
      </c>
      <c r="S196" s="198">
        <f>$E196*餐厅成本录入!S199</f>
        <v>0</v>
      </c>
      <c r="T196" s="198">
        <f>$E196*餐厅成本录入!T199</f>
        <v>0</v>
      </c>
      <c r="U196" s="198">
        <f>$E196*餐厅成本录入!U199</f>
        <v>0</v>
      </c>
      <c r="V196" s="198">
        <f>$E196*餐厅成本录入!V199</f>
        <v>0</v>
      </c>
      <c r="W196" s="198">
        <f>$E196*餐厅成本录入!W199</f>
        <v>0</v>
      </c>
      <c r="X196" s="198">
        <f>$E196*餐厅成本录入!X199</f>
        <v>0</v>
      </c>
      <c r="Y196" s="198">
        <f>$E196*餐厅成本录入!Y199</f>
        <v>0</v>
      </c>
      <c r="Z196" s="198">
        <f>$E196*餐厅成本录入!Z199</f>
        <v>0</v>
      </c>
      <c r="AA196" s="198">
        <f>$E196*餐厅成本录入!AA199</f>
        <v>0</v>
      </c>
      <c r="AB196" s="198">
        <f>$E196*餐厅成本录入!AB199</f>
        <v>0</v>
      </c>
      <c r="AC196" s="198">
        <f>$E196*餐厅成本录入!AC199</f>
        <v>0</v>
      </c>
      <c r="AD196" s="198">
        <f>$E196*餐厅成本录入!AD199</f>
        <v>0</v>
      </c>
      <c r="AE196" s="198">
        <f>$E196*餐厅成本录入!AE199</f>
        <v>0</v>
      </c>
      <c r="AF196" s="198">
        <f>$E196*餐厅成本录入!AF199</f>
        <v>0</v>
      </c>
      <c r="AG196" s="198">
        <f>$E196*餐厅成本录入!AG199</f>
        <v>0</v>
      </c>
      <c r="AH196" s="198">
        <f>$E196*餐厅成本录入!AH199</f>
        <v>0</v>
      </c>
      <c r="AI196" s="198">
        <f>$E196*餐厅成本录入!AI199</f>
        <v>0</v>
      </c>
      <c r="AJ196" s="198">
        <f>$E196*餐厅成本录入!AJ199</f>
        <v>0</v>
      </c>
      <c r="AK196" s="198">
        <f>$E196*餐厅成本录入!AK199</f>
        <v>0</v>
      </c>
      <c r="AL196" s="198">
        <f>$E196*餐厅成本录入!AL199</f>
        <v>0</v>
      </c>
      <c r="AM196" s="198">
        <f>$E196*餐厅成本录入!AM199</f>
        <v>0</v>
      </c>
      <c r="AN196" s="198">
        <f>$E196*餐厅成本录入!AN199</f>
        <v>10</v>
      </c>
      <c r="AO196" s="198">
        <f>$E196*餐厅成本录入!AO199</f>
        <v>10</v>
      </c>
      <c r="AP196" s="198">
        <f>$E196*餐厅成本录入!AP199</f>
        <v>0</v>
      </c>
      <c r="AQ196" s="198">
        <f>$E196*餐厅成本录入!AQ199</f>
        <v>0</v>
      </c>
      <c r="AR196" s="198">
        <f>$E196*餐厅成本录入!AR199</f>
        <v>0</v>
      </c>
      <c r="AS196" s="198">
        <f>$E196*餐厅成本录入!AS199</f>
        <v>0</v>
      </c>
      <c r="AT196" s="198">
        <f>$E196*餐厅成本录入!AT199</f>
        <v>0</v>
      </c>
      <c r="AU196" s="198">
        <f>$E196*餐厅成本录入!AU199</f>
        <v>0</v>
      </c>
      <c r="AV196" s="198">
        <f>$E196*餐厅成本录入!AV199</f>
        <v>0</v>
      </c>
      <c r="AW196" s="198">
        <f>$E196*餐厅成本录入!AW199</f>
        <v>0</v>
      </c>
      <c r="AX196" s="198">
        <f>$E196*餐厅成本录入!AX199</f>
        <v>0</v>
      </c>
      <c r="AY196" s="198">
        <f>$E196*餐厅成本录入!AY199</f>
        <v>0</v>
      </c>
      <c r="AZ196" s="198">
        <f>$E196*餐厅成本录入!AZ199</f>
        <v>0</v>
      </c>
      <c r="BA196" s="198">
        <f>$E196*餐厅成本录入!BA199</f>
        <v>0</v>
      </c>
      <c r="BB196" s="198">
        <f>$E196*餐厅成本录入!BB199</f>
        <v>0</v>
      </c>
      <c r="BC196" s="198">
        <f>$E196*餐厅成本录入!BC199</f>
        <v>0</v>
      </c>
      <c r="BD196" s="198">
        <f>$E196*餐厅成本录入!BD199</f>
        <v>0</v>
      </c>
      <c r="BE196" s="198">
        <f>$E196*餐厅成本录入!BE199</f>
        <v>0</v>
      </c>
      <c r="BF196" s="198">
        <f>$E196*餐厅成本录入!BF199</f>
        <v>0</v>
      </c>
      <c r="BG196" s="198">
        <f>$E196*餐厅成本录入!BG199</f>
        <v>0</v>
      </c>
      <c r="BH196" s="198">
        <f>$E196*餐厅成本录入!BH199</f>
        <v>0</v>
      </c>
      <c r="BI196" s="198">
        <f>$E196*餐厅成本录入!BI199</f>
        <v>0</v>
      </c>
      <c r="BJ196" s="198">
        <f>$E196*餐厅成本录入!BJ199</f>
        <v>0</v>
      </c>
      <c r="BK196" s="198">
        <f>$E196*餐厅成本录入!BK199</f>
        <v>0</v>
      </c>
      <c r="BL196" s="198">
        <f>$E196*餐厅成本录入!BL199</f>
        <v>0</v>
      </c>
      <c r="BM196" s="198">
        <f>$E196*餐厅成本录入!BM199</f>
        <v>0</v>
      </c>
      <c r="BN196" s="198">
        <f>$E196*餐厅成本录入!BN199</f>
        <v>0</v>
      </c>
      <c r="BO196" s="198">
        <f>$E196*餐厅成本录入!BO199</f>
        <v>0</v>
      </c>
      <c r="BP196" s="198">
        <f>$E196*餐厅成本录入!BP199</f>
        <v>0</v>
      </c>
      <c r="BQ196" s="198">
        <f>$E196*餐厅成本录入!BQ199</f>
        <v>0</v>
      </c>
      <c r="BR196" s="198">
        <f>$E196*餐厅成本录入!BR199</f>
        <v>0</v>
      </c>
      <c r="BS196" s="198">
        <f>$E196*餐厅成本录入!BS199</f>
        <v>0</v>
      </c>
      <c r="BT196" s="198">
        <f>$E196*餐厅成本录入!BT199</f>
        <v>0</v>
      </c>
      <c r="BU196" s="198">
        <f>$E196*餐厅成本录入!BU199</f>
        <v>0</v>
      </c>
      <c r="BV196" s="198">
        <f>$E196*餐厅成本录入!BV199</f>
        <v>0</v>
      </c>
      <c r="BW196" s="198">
        <f>$E196*餐厅成本录入!BW199</f>
        <v>0</v>
      </c>
    </row>
    <row r="197" s="178" customFormat="1" customHeight="1" spans="1:75">
      <c r="A197" s="161">
        <v>229</v>
      </c>
      <c r="B197" s="21" t="str">
        <f>餐厅成本录入!B197</f>
        <v>醋精</v>
      </c>
      <c r="C197" s="21">
        <f>餐厅成本录入!C197</f>
        <v>0</v>
      </c>
      <c r="D197" s="21">
        <f>餐厅成本录入!D197</f>
        <v>0</v>
      </c>
      <c r="E197" s="21">
        <f>餐厅成本录入!E197</f>
        <v>6</v>
      </c>
      <c r="F197" s="21">
        <f>餐厅成本录入!F197</f>
        <v>0</v>
      </c>
      <c r="G197" s="21">
        <f>餐厅成本录入!G197</f>
        <v>0</v>
      </c>
      <c r="H197" s="21">
        <f>餐厅成本录入!H197</f>
        <v>0</v>
      </c>
      <c r="I197" s="21">
        <f>餐厅成本录入!I197</f>
        <v>0</v>
      </c>
      <c r="J197" s="21">
        <f>餐厅成本录入!J197</f>
        <v>0</v>
      </c>
      <c r="K197" s="21">
        <f>餐厅成本录入!K197</f>
        <v>0</v>
      </c>
      <c r="L197" s="21">
        <f>餐厅成本录入!L197</f>
        <v>0</v>
      </c>
      <c r="M197" s="21">
        <f>餐厅成本录入!M197</f>
        <v>0</v>
      </c>
      <c r="N197" s="198">
        <f>$E197*餐厅成本录入!N200</f>
        <v>0</v>
      </c>
      <c r="O197" s="198">
        <f>$E197*餐厅成本录入!O200</f>
        <v>0</v>
      </c>
      <c r="P197" s="198">
        <f>$E197*餐厅成本录入!P200</f>
        <v>0</v>
      </c>
      <c r="Q197" s="198">
        <f>$E197*餐厅成本录入!Q200</f>
        <v>0</v>
      </c>
      <c r="R197" s="198">
        <f>$E197*餐厅成本录入!R200</f>
        <v>0</v>
      </c>
      <c r="S197" s="198">
        <f>$E197*餐厅成本录入!S200</f>
        <v>0</v>
      </c>
      <c r="T197" s="198">
        <f>$E197*餐厅成本录入!T200</f>
        <v>0</v>
      </c>
      <c r="U197" s="198">
        <f>$E197*餐厅成本录入!U200</f>
        <v>0</v>
      </c>
      <c r="V197" s="198">
        <f>$E197*餐厅成本录入!V200</f>
        <v>0</v>
      </c>
      <c r="W197" s="198">
        <f>$E197*餐厅成本录入!W200</f>
        <v>0</v>
      </c>
      <c r="X197" s="198">
        <f>$E197*餐厅成本录入!X200</f>
        <v>0</v>
      </c>
      <c r="Y197" s="198">
        <f>$E197*餐厅成本录入!Y200</f>
        <v>0</v>
      </c>
      <c r="Z197" s="198">
        <f>$E197*餐厅成本录入!Z200</f>
        <v>0</v>
      </c>
      <c r="AA197" s="198">
        <f>$E197*餐厅成本录入!AA200</f>
        <v>0</v>
      </c>
      <c r="AB197" s="198">
        <f>$E197*餐厅成本录入!AB200</f>
        <v>0</v>
      </c>
      <c r="AC197" s="198">
        <f>$E197*餐厅成本录入!AC200</f>
        <v>0</v>
      </c>
      <c r="AD197" s="198">
        <f>$E197*餐厅成本录入!AD200</f>
        <v>0</v>
      </c>
      <c r="AE197" s="198">
        <f>$E197*餐厅成本录入!AE200</f>
        <v>0</v>
      </c>
      <c r="AF197" s="198">
        <f>$E197*餐厅成本录入!AF200</f>
        <v>0</v>
      </c>
      <c r="AG197" s="198">
        <f>$E197*餐厅成本录入!AG200</f>
        <v>0</v>
      </c>
      <c r="AH197" s="198">
        <f>$E197*餐厅成本录入!AH200</f>
        <v>0</v>
      </c>
      <c r="AI197" s="198">
        <f>$E197*餐厅成本录入!AI200</f>
        <v>0</v>
      </c>
      <c r="AJ197" s="198">
        <f>$E197*餐厅成本录入!AJ200</f>
        <v>0</v>
      </c>
      <c r="AK197" s="198">
        <f>$E197*餐厅成本录入!AK200</f>
        <v>0</v>
      </c>
      <c r="AL197" s="198">
        <f>$E197*餐厅成本录入!AL200</f>
        <v>0</v>
      </c>
      <c r="AM197" s="198">
        <f>$E197*餐厅成本录入!AM200</f>
        <v>0</v>
      </c>
      <c r="AN197" s="198">
        <f>$E197*餐厅成本录入!AN200</f>
        <v>0</v>
      </c>
      <c r="AO197" s="198">
        <f>$E197*餐厅成本录入!AO200</f>
        <v>0</v>
      </c>
      <c r="AP197" s="198">
        <f>$E197*餐厅成本录入!AP200</f>
        <v>0</v>
      </c>
      <c r="AQ197" s="198">
        <f>$E197*餐厅成本录入!AQ200</f>
        <v>0</v>
      </c>
      <c r="AR197" s="198">
        <f>$E197*餐厅成本录入!AR200</f>
        <v>0</v>
      </c>
      <c r="AS197" s="198">
        <f>$E197*餐厅成本录入!AS200</f>
        <v>0</v>
      </c>
      <c r="AT197" s="198">
        <f>$E197*餐厅成本录入!AT200</f>
        <v>0</v>
      </c>
      <c r="AU197" s="198">
        <f>$E197*餐厅成本录入!AU200</f>
        <v>0</v>
      </c>
      <c r="AV197" s="198">
        <f>$E197*餐厅成本录入!AV200</f>
        <v>0</v>
      </c>
      <c r="AW197" s="198">
        <f>$E197*餐厅成本录入!AW200</f>
        <v>0</v>
      </c>
      <c r="AX197" s="198">
        <f>$E197*餐厅成本录入!AX200</f>
        <v>0</v>
      </c>
      <c r="AY197" s="198">
        <f>$E197*餐厅成本录入!AY200</f>
        <v>0</v>
      </c>
      <c r="AZ197" s="198">
        <f>$E197*餐厅成本录入!AZ200</f>
        <v>0</v>
      </c>
      <c r="BA197" s="198">
        <f>$E197*餐厅成本录入!BA200</f>
        <v>0</v>
      </c>
      <c r="BB197" s="198">
        <f>$E197*餐厅成本录入!BB200</f>
        <v>0</v>
      </c>
      <c r="BC197" s="198">
        <f>$E197*餐厅成本录入!BC200</f>
        <v>0</v>
      </c>
      <c r="BD197" s="198">
        <f>$E197*餐厅成本录入!BD200</f>
        <v>0</v>
      </c>
      <c r="BE197" s="198">
        <f>$E197*餐厅成本录入!BE200</f>
        <v>0</v>
      </c>
      <c r="BF197" s="198">
        <f>$E197*餐厅成本录入!BF200</f>
        <v>0</v>
      </c>
      <c r="BG197" s="198">
        <f>$E197*餐厅成本录入!BG200</f>
        <v>0</v>
      </c>
      <c r="BH197" s="198">
        <f>$E197*餐厅成本录入!BH200</f>
        <v>0</v>
      </c>
      <c r="BI197" s="198">
        <f>$E197*餐厅成本录入!BI200</f>
        <v>0</v>
      </c>
      <c r="BJ197" s="198">
        <f>$E197*餐厅成本录入!BJ200</f>
        <v>0</v>
      </c>
      <c r="BK197" s="198">
        <f>$E197*餐厅成本录入!BK200</f>
        <v>0</v>
      </c>
      <c r="BL197" s="198">
        <f>$E197*餐厅成本录入!BL200</f>
        <v>0</v>
      </c>
      <c r="BM197" s="198">
        <f>$E197*餐厅成本录入!BM200</f>
        <v>0</v>
      </c>
      <c r="BN197" s="198">
        <f>$E197*餐厅成本录入!BN200</f>
        <v>0</v>
      </c>
      <c r="BO197" s="198">
        <f>$E197*餐厅成本录入!BO200</f>
        <v>0</v>
      </c>
      <c r="BP197" s="198">
        <f>$E197*餐厅成本录入!BP200</f>
        <v>0</v>
      </c>
      <c r="BQ197" s="198">
        <f>$E197*餐厅成本录入!BQ200</f>
        <v>0</v>
      </c>
      <c r="BR197" s="198">
        <f>$E197*餐厅成本录入!BR200</f>
        <v>0</v>
      </c>
      <c r="BS197" s="198">
        <f>$E197*餐厅成本录入!BS200</f>
        <v>0</v>
      </c>
      <c r="BT197" s="198">
        <f>$E197*餐厅成本录入!BT200</f>
        <v>0</v>
      </c>
      <c r="BU197" s="198">
        <f>$E197*餐厅成本录入!BU200</f>
        <v>0</v>
      </c>
      <c r="BV197" s="198">
        <f>$E197*餐厅成本录入!BV200</f>
        <v>0</v>
      </c>
      <c r="BW197" s="198">
        <f>$E197*餐厅成本录入!BW200</f>
        <v>0</v>
      </c>
    </row>
    <row r="198" s="178" customFormat="1" customHeight="1" spans="1:75">
      <c r="A198" s="161">
        <v>230</v>
      </c>
      <c r="B198" s="21" t="str">
        <f>餐厅成本录入!B198</f>
        <v>大喜牛肉粉</v>
      </c>
      <c r="C198" s="21">
        <f>餐厅成本录入!C198</f>
        <v>0</v>
      </c>
      <c r="D198" s="21">
        <f>餐厅成本录入!D198</f>
        <v>0</v>
      </c>
      <c r="E198" s="21">
        <f>餐厅成本录入!E198</f>
        <v>32</v>
      </c>
      <c r="F198" s="21">
        <f>餐厅成本录入!F198</f>
        <v>0</v>
      </c>
      <c r="G198" s="21">
        <f>餐厅成本录入!G198</f>
        <v>0</v>
      </c>
      <c r="H198" s="21">
        <f>餐厅成本录入!H198</f>
        <v>0</v>
      </c>
      <c r="I198" s="21">
        <f>餐厅成本录入!I198</f>
        <v>0</v>
      </c>
      <c r="J198" s="21">
        <f>餐厅成本录入!J198</f>
        <v>0</v>
      </c>
      <c r="K198" s="21">
        <f>餐厅成本录入!K198</f>
        <v>0</v>
      </c>
      <c r="L198" s="21">
        <f>餐厅成本录入!L198</f>
        <v>0</v>
      </c>
      <c r="M198" s="21">
        <f>餐厅成本录入!M198</f>
        <v>0</v>
      </c>
      <c r="N198" s="198">
        <f>$E198*餐厅成本录入!N201</f>
        <v>0</v>
      </c>
      <c r="O198" s="198">
        <f>$E198*餐厅成本录入!O201</f>
        <v>0</v>
      </c>
      <c r="P198" s="198">
        <f>$E198*餐厅成本录入!P201</f>
        <v>0</v>
      </c>
      <c r="Q198" s="198">
        <f>$E198*餐厅成本录入!Q201</f>
        <v>0</v>
      </c>
      <c r="R198" s="198">
        <f>$E198*餐厅成本录入!R201</f>
        <v>0</v>
      </c>
      <c r="S198" s="198">
        <f>$E198*餐厅成本录入!S201</f>
        <v>0</v>
      </c>
      <c r="T198" s="198">
        <f>$E198*餐厅成本录入!T201</f>
        <v>0</v>
      </c>
      <c r="U198" s="198">
        <f>$E198*餐厅成本录入!U201</f>
        <v>0</v>
      </c>
      <c r="V198" s="198">
        <f>$E198*餐厅成本录入!V201</f>
        <v>0</v>
      </c>
      <c r="W198" s="198">
        <f>$E198*餐厅成本录入!W201</f>
        <v>0</v>
      </c>
      <c r="X198" s="198">
        <f>$E198*餐厅成本录入!X201</f>
        <v>0</v>
      </c>
      <c r="Y198" s="198">
        <f>$E198*餐厅成本录入!Y201</f>
        <v>0</v>
      </c>
      <c r="Z198" s="198">
        <f>$E198*餐厅成本录入!Z201</f>
        <v>0</v>
      </c>
      <c r="AA198" s="198">
        <f>$E198*餐厅成本录入!AA201</f>
        <v>0</v>
      </c>
      <c r="AB198" s="198">
        <f>$E198*餐厅成本录入!AB201</f>
        <v>0</v>
      </c>
      <c r="AC198" s="198">
        <f>$E198*餐厅成本录入!AC201</f>
        <v>0</v>
      </c>
      <c r="AD198" s="198">
        <f>$E198*餐厅成本录入!AD201</f>
        <v>0</v>
      </c>
      <c r="AE198" s="198">
        <f>$E198*餐厅成本录入!AE201</f>
        <v>0</v>
      </c>
      <c r="AF198" s="198">
        <f>$E198*餐厅成本录入!AF201</f>
        <v>0</v>
      </c>
      <c r="AG198" s="198">
        <f>$E198*餐厅成本录入!AG201</f>
        <v>0</v>
      </c>
      <c r="AH198" s="198">
        <f>$E198*餐厅成本录入!AH201</f>
        <v>0</v>
      </c>
      <c r="AI198" s="198">
        <f>$E198*餐厅成本录入!AI201</f>
        <v>0</v>
      </c>
      <c r="AJ198" s="198">
        <f>$E198*餐厅成本录入!AJ201</f>
        <v>0</v>
      </c>
      <c r="AK198" s="198">
        <f>$E198*餐厅成本录入!AK201</f>
        <v>0</v>
      </c>
      <c r="AL198" s="198">
        <f>$E198*餐厅成本录入!AL201</f>
        <v>0</v>
      </c>
      <c r="AM198" s="198">
        <f>$E198*餐厅成本录入!AM201</f>
        <v>0</v>
      </c>
      <c r="AN198" s="198">
        <f>$E198*餐厅成本录入!AN201</f>
        <v>0</v>
      </c>
      <c r="AO198" s="198">
        <f>$E198*餐厅成本录入!AO201</f>
        <v>0</v>
      </c>
      <c r="AP198" s="198">
        <f>$E198*餐厅成本录入!AP201</f>
        <v>64</v>
      </c>
      <c r="AQ198" s="198">
        <f>$E198*餐厅成本录入!AQ201</f>
        <v>64</v>
      </c>
      <c r="AR198" s="198">
        <f>$E198*餐厅成本录入!AR201</f>
        <v>0</v>
      </c>
      <c r="AS198" s="198">
        <f>$E198*餐厅成本录入!AS201</f>
        <v>0</v>
      </c>
      <c r="AT198" s="198">
        <f>$E198*餐厅成本录入!AT201</f>
        <v>0</v>
      </c>
      <c r="AU198" s="198">
        <f>$E198*餐厅成本录入!AU201</f>
        <v>0</v>
      </c>
      <c r="AV198" s="198">
        <f>$E198*餐厅成本录入!AV201</f>
        <v>0</v>
      </c>
      <c r="AW198" s="198">
        <f>$E198*餐厅成本录入!AW201</f>
        <v>0</v>
      </c>
      <c r="AX198" s="198">
        <f>$E198*餐厅成本录入!AX201</f>
        <v>0</v>
      </c>
      <c r="AY198" s="198">
        <f>$E198*餐厅成本录入!AY201</f>
        <v>0</v>
      </c>
      <c r="AZ198" s="198">
        <f>$E198*餐厅成本录入!AZ201</f>
        <v>0</v>
      </c>
      <c r="BA198" s="198">
        <f>$E198*餐厅成本录入!BA201</f>
        <v>0</v>
      </c>
      <c r="BB198" s="198">
        <f>$E198*餐厅成本录入!BB201</f>
        <v>0</v>
      </c>
      <c r="BC198" s="198">
        <f>$E198*餐厅成本录入!BC201</f>
        <v>0</v>
      </c>
      <c r="BD198" s="198">
        <f>$E198*餐厅成本录入!BD201</f>
        <v>0</v>
      </c>
      <c r="BE198" s="198">
        <f>$E198*餐厅成本录入!BE201</f>
        <v>0</v>
      </c>
      <c r="BF198" s="198">
        <f>$E198*餐厅成本录入!BF201</f>
        <v>0</v>
      </c>
      <c r="BG198" s="198">
        <f>$E198*餐厅成本录入!BG201</f>
        <v>0</v>
      </c>
      <c r="BH198" s="198">
        <f>$E198*餐厅成本录入!BH201</f>
        <v>0</v>
      </c>
      <c r="BI198" s="198">
        <f>$E198*餐厅成本录入!BI201</f>
        <v>0</v>
      </c>
      <c r="BJ198" s="198">
        <f>$E198*餐厅成本录入!BJ201</f>
        <v>64</v>
      </c>
      <c r="BK198" s="198">
        <f>$E198*餐厅成本录入!BK201</f>
        <v>64</v>
      </c>
      <c r="BL198" s="198">
        <f>$E198*餐厅成本录入!BL201</f>
        <v>0</v>
      </c>
      <c r="BM198" s="198">
        <f>$E198*餐厅成本录入!BM201</f>
        <v>0</v>
      </c>
      <c r="BN198" s="198">
        <f>$E198*餐厅成本录入!BN201</f>
        <v>0</v>
      </c>
      <c r="BO198" s="198">
        <f>$E198*餐厅成本录入!BO201</f>
        <v>0</v>
      </c>
      <c r="BP198" s="198">
        <f>$E198*餐厅成本录入!BP201</f>
        <v>64</v>
      </c>
      <c r="BQ198" s="198">
        <f>$E198*餐厅成本录入!BQ201</f>
        <v>64</v>
      </c>
      <c r="BR198" s="198">
        <f>$E198*餐厅成本录入!BR201</f>
        <v>0</v>
      </c>
      <c r="BS198" s="198">
        <f>$E198*餐厅成本录入!BS201</f>
        <v>0</v>
      </c>
      <c r="BT198" s="198">
        <f>$E198*餐厅成本录入!BT201</f>
        <v>0</v>
      </c>
      <c r="BU198" s="198">
        <f>$E198*餐厅成本录入!BU201</f>
        <v>0</v>
      </c>
      <c r="BV198" s="198">
        <f>$E198*餐厅成本录入!BV201</f>
        <v>64</v>
      </c>
      <c r="BW198" s="198">
        <f>$E198*餐厅成本录入!BW201</f>
        <v>64</v>
      </c>
    </row>
    <row r="199" s="178" customFormat="1" customHeight="1" spans="1:75">
      <c r="A199" s="161">
        <v>231</v>
      </c>
      <c r="B199" s="21" t="str">
        <f>餐厅成本录入!B199</f>
        <v>小苏打</v>
      </c>
      <c r="C199" s="21">
        <f>餐厅成本录入!C199</f>
        <v>0</v>
      </c>
      <c r="D199" s="21">
        <f>餐厅成本录入!D199</f>
        <v>0</v>
      </c>
      <c r="E199" s="21">
        <f>餐厅成本录入!E199</f>
        <v>1</v>
      </c>
      <c r="F199" s="21">
        <f>餐厅成本录入!F199</f>
        <v>0</v>
      </c>
      <c r="G199" s="21">
        <f>餐厅成本录入!G199</f>
        <v>0</v>
      </c>
      <c r="H199" s="21">
        <f>餐厅成本录入!H199</f>
        <v>1</v>
      </c>
      <c r="I199" s="21">
        <f>餐厅成本录入!I199</f>
        <v>1</v>
      </c>
      <c r="J199" s="21">
        <f>餐厅成本录入!J199</f>
        <v>1</v>
      </c>
      <c r="K199" s="21">
        <f>餐厅成本录入!K199</f>
        <v>1</v>
      </c>
      <c r="L199" s="21">
        <f>餐厅成本录入!L199</f>
        <v>0</v>
      </c>
      <c r="M199" s="21">
        <f>餐厅成本录入!M199</f>
        <v>0</v>
      </c>
      <c r="N199" s="198">
        <f>$E199*餐厅成本录入!N202</f>
        <v>0</v>
      </c>
      <c r="O199" s="198">
        <f>$E199*餐厅成本录入!O202</f>
        <v>0</v>
      </c>
      <c r="P199" s="198">
        <f>$E199*餐厅成本录入!P202</f>
        <v>0</v>
      </c>
      <c r="Q199" s="198">
        <f>$E199*餐厅成本录入!Q202</f>
        <v>0</v>
      </c>
      <c r="R199" s="198">
        <f>$E199*餐厅成本录入!R202</f>
        <v>0</v>
      </c>
      <c r="S199" s="198">
        <f>$E199*餐厅成本录入!S202</f>
        <v>0</v>
      </c>
      <c r="T199" s="198">
        <f>$E199*餐厅成本录入!T202</f>
        <v>0</v>
      </c>
      <c r="U199" s="198">
        <f>$E199*餐厅成本录入!U202</f>
        <v>0</v>
      </c>
      <c r="V199" s="198">
        <f>$E199*餐厅成本录入!V202</f>
        <v>0</v>
      </c>
      <c r="W199" s="198">
        <f>$E199*餐厅成本录入!W202</f>
        <v>0</v>
      </c>
      <c r="X199" s="198">
        <f>$E199*餐厅成本录入!X202</f>
        <v>0</v>
      </c>
      <c r="Y199" s="198">
        <f>$E199*餐厅成本录入!Y202</f>
        <v>0</v>
      </c>
      <c r="Z199" s="198">
        <f>$E199*餐厅成本录入!Z202</f>
        <v>0</v>
      </c>
      <c r="AA199" s="198">
        <f>$E199*餐厅成本录入!AA202</f>
        <v>0</v>
      </c>
      <c r="AB199" s="198">
        <f>$E199*餐厅成本录入!AB202</f>
        <v>0</v>
      </c>
      <c r="AC199" s="198">
        <f>$E199*餐厅成本录入!AC202</f>
        <v>0</v>
      </c>
      <c r="AD199" s="198">
        <f>$E199*餐厅成本录入!AD202</f>
        <v>0</v>
      </c>
      <c r="AE199" s="198">
        <f>$E199*餐厅成本录入!AE202</f>
        <v>0</v>
      </c>
      <c r="AF199" s="198">
        <f>$E199*餐厅成本录入!AF202</f>
        <v>0</v>
      </c>
      <c r="AG199" s="198">
        <f>$E199*餐厅成本录入!AG202</f>
        <v>0</v>
      </c>
      <c r="AH199" s="198">
        <f>$E199*餐厅成本录入!AH202</f>
        <v>0</v>
      </c>
      <c r="AI199" s="198">
        <f>$E199*餐厅成本录入!AI202</f>
        <v>0</v>
      </c>
      <c r="AJ199" s="198">
        <f>$E199*餐厅成本录入!AJ202</f>
        <v>0</v>
      </c>
      <c r="AK199" s="198">
        <f>$E199*餐厅成本录入!AK202</f>
        <v>0</v>
      </c>
      <c r="AL199" s="198">
        <f>$E199*餐厅成本录入!AL202</f>
        <v>0</v>
      </c>
      <c r="AM199" s="198">
        <f>$E199*餐厅成本录入!AM202</f>
        <v>0</v>
      </c>
      <c r="AN199" s="198">
        <f>$E199*餐厅成本录入!AN202</f>
        <v>0</v>
      </c>
      <c r="AO199" s="198">
        <f>$E199*餐厅成本录入!AO202</f>
        <v>0</v>
      </c>
      <c r="AP199" s="198">
        <f>$E199*餐厅成本录入!AP202</f>
        <v>2</v>
      </c>
      <c r="AQ199" s="198">
        <f>$E199*餐厅成本录入!AQ202</f>
        <v>2</v>
      </c>
      <c r="AR199" s="198">
        <f>$E199*餐厅成本录入!AR202</f>
        <v>0</v>
      </c>
      <c r="AS199" s="198">
        <f>$E199*餐厅成本录入!AS202</f>
        <v>0</v>
      </c>
      <c r="AT199" s="198">
        <f>$E199*餐厅成本录入!AT202</f>
        <v>0</v>
      </c>
      <c r="AU199" s="198">
        <f>$E199*餐厅成本录入!AU202</f>
        <v>0</v>
      </c>
      <c r="AV199" s="198">
        <f>$E199*餐厅成本录入!AV202</f>
        <v>0</v>
      </c>
      <c r="AW199" s="198">
        <f>$E199*餐厅成本录入!AW202</f>
        <v>0</v>
      </c>
      <c r="AX199" s="198">
        <f>$E199*餐厅成本录入!AX202</f>
        <v>0</v>
      </c>
      <c r="AY199" s="198">
        <f>$E199*餐厅成本录入!AY202</f>
        <v>0</v>
      </c>
      <c r="AZ199" s="198">
        <f>$E199*餐厅成本录入!AZ202</f>
        <v>0</v>
      </c>
      <c r="BA199" s="198">
        <f>$E199*餐厅成本录入!BA202</f>
        <v>0</v>
      </c>
      <c r="BB199" s="198">
        <f>$E199*餐厅成本录入!BB202</f>
        <v>0</v>
      </c>
      <c r="BC199" s="198">
        <f>$E199*餐厅成本录入!BC202</f>
        <v>0</v>
      </c>
      <c r="BD199" s="198">
        <f>$E199*餐厅成本录入!BD202</f>
        <v>0</v>
      </c>
      <c r="BE199" s="198">
        <f>$E199*餐厅成本录入!BE202</f>
        <v>0</v>
      </c>
      <c r="BF199" s="198">
        <f>$E199*餐厅成本录入!BF202</f>
        <v>0</v>
      </c>
      <c r="BG199" s="198">
        <f>$E199*餐厅成本录入!BG202</f>
        <v>0</v>
      </c>
      <c r="BH199" s="198">
        <f>$E199*餐厅成本录入!BH202</f>
        <v>0</v>
      </c>
      <c r="BI199" s="198">
        <f>$E199*餐厅成本录入!BI202</f>
        <v>0</v>
      </c>
      <c r="BJ199" s="198">
        <f>$E199*餐厅成本录入!BJ202</f>
        <v>0</v>
      </c>
      <c r="BK199" s="198">
        <f>$E199*餐厅成本录入!BK202</f>
        <v>0</v>
      </c>
      <c r="BL199" s="198">
        <f>$E199*餐厅成本录入!BL202</f>
        <v>0</v>
      </c>
      <c r="BM199" s="198">
        <f>$E199*餐厅成本录入!BM202</f>
        <v>0</v>
      </c>
      <c r="BN199" s="198">
        <f>$E199*餐厅成本录入!BN202</f>
        <v>0</v>
      </c>
      <c r="BO199" s="198">
        <f>$E199*餐厅成本录入!BO202</f>
        <v>0</v>
      </c>
      <c r="BP199" s="198">
        <f>$E199*餐厅成本录入!BP202</f>
        <v>0</v>
      </c>
      <c r="BQ199" s="198">
        <f>$E199*餐厅成本录入!BQ202</f>
        <v>0</v>
      </c>
      <c r="BR199" s="198">
        <f>$E199*餐厅成本录入!BR202</f>
        <v>0</v>
      </c>
      <c r="BS199" s="198">
        <f>$E199*餐厅成本录入!BS202</f>
        <v>0</v>
      </c>
      <c r="BT199" s="198">
        <f>$E199*餐厅成本录入!BT202</f>
        <v>0</v>
      </c>
      <c r="BU199" s="198">
        <f>$E199*餐厅成本录入!BU202</f>
        <v>0</v>
      </c>
      <c r="BV199" s="198">
        <f>$E199*餐厅成本录入!BV202</f>
        <v>0</v>
      </c>
      <c r="BW199" s="198">
        <f>$E199*餐厅成本录入!BW202</f>
        <v>0</v>
      </c>
    </row>
    <row r="200" s="178" customFormat="1" customHeight="1" spans="1:75">
      <c r="A200" s="161">
        <v>232</v>
      </c>
      <c r="B200" s="21" t="str">
        <f>餐厅成本录入!B200</f>
        <v>冷面</v>
      </c>
      <c r="C200" s="21">
        <f>餐厅成本录入!C200</f>
        <v>0</v>
      </c>
      <c r="D200" s="21">
        <f>餐厅成本录入!D200</f>
        <v>0</v>
      </c>
      <c r="E200" s="21">
        <f>餐厅成本录入!E200</f>
        <v>2.5</v>
      </c>
      <c r="F200" s="21">
        <f>餐厅成本录入!F200</f>
        <v>0</v>
      </c>
      <c r="G200" s="21">
        <f>餐厅成本录入!G200</f>
        <v>0</v>
      </c>
      <c r="H200" s="21">
        <f>餐厅成本录入!H200</f>
        <v>0</v>
      </c>
      <c r="I200" s="21">
        <f>餐厅成本录入!I200</f>
        <v>0</v>
      </c>
      <c r="J200" s="21">
        <f>餐厅成本录入!J200</f>
        <v>0</v>
      </c>
      <c r="K200" s="21">
        <f>餐厅成本录入!K200</f>
        <v>0</v>
      </c>
      <c r="L200" s="21">
        <f>餐厅成本录入!L200</f>
        <v>0</v>
      </c>
      <c r="M200" s="21">
        <f>餐厅成本录入!M200</f>
        <v>0</v>
      </c>
      <c r="N200" s="198">
        <f>$E200*餐厅成本录入!N203</f>
        <v>0</v>
      </c>
      <c r="O200" s="198">
        <f>$E200*餐厅成本录入!O203</f>
        <v>0</v>
      </c>
      <c r="P200" s="198">
        <f>$E200*餐厅成本录入!P203</f>
        <v>0</v>
      </c>
      <c r="Q200" s="198">
        <f>$E200*餐厅成本录入!Q203</f>
        <v>0</v>
      </c>
      <c r="R200" s="198">
        <f>$E200*餐厅成本录入!R203</f>
        <v>0</v>
      </c>
      <c r="S200" s="198">
        <f>$E200*餐厅成本录入!S203</f>
        <v>0</v>
      </c>
      <c r="T200" s="198">
        <f>$E200*餐厅成本录入!T203</f>
        <v>0</v>
      </c>
      <c r="U200" s="198">
        <f>$E200*餐厅成本录入!U203</f>
        <v>0</v>
      </c>
      <c r="V200" s="198">
        <f>$E200*餐厅成本录入!V203</f>
        <v>0</v>
      </c>
      <c r="W200" s="198">
        <f>$E200*餐厅成本录入!W203</f>
        <v>0</v>
      </c>
      <c r="X200" s="198">
        <f>$E200*餐厅成本录入!X203</f>
        <v>0</v>
      </c>
      <c r="Y200" s="198">
        <f>$E200*餐厅成本录入!Y203</f>
        <v>0</v>
      </c>
      <c r="Z200" s="198">
        <f>$E200*餐厅成本录入!Z203</f>
        <v>0</v>
      </c>
      <c r="AA200" s="198">
        <f>$E200*餐厅成本录入!AA203</f>
        <v>0</v>
      </c>
      <c r="AB200" s="198">
        <f>$E200*餐厅成本录入!AB203</f>
        <v>0</v>
      </c>
      <c r="AC200" s="198">
        <f>$E200*餐厅成本录入!AC203</f>
        <v>0</v>
      </c>
      <c r="AD200" s="198">
        <f>$E200*餐厅成本录入!AD203</f>
        <v>0</v>
      </c>
      <c r="AE200" s="198">
        <f>$E200*餐厅成本录入!AE203</f>
        <v>0</v>
      </c>
      <c r="AF200" s="198">
        <f>$E200*餐厅成本录入!AF203</f>
        <v>0</v>
      </c>
      <c r="AG200" s="198">
        <f>$E200*餐厅成本录入!AG203</f>
        <v>0</v>
      </c>
      <c r="AH200" s="198">
        <f>$E200*餐厅成本录入!AH203</f>
        <v>0</v>
      </c>
      <c r="AI200" s="198">
        <f>$E200*餐厅成本录入!AI203</f>
        <v>0</v>
      </c>
      <c r="AJ200" s="198">
        <f>$E200*餐厅成本录入!AJ203</f>
        <v>0</v>
      </c>
      <c r="AK200" s="198">
        <f>$E200*餐厅成本录入!AK203</f>
        <v>0</v>
      </c>
      <c r="AL200" s="198">
        <f>$E200*餐厅成本录入!AL203</f>
        <v>0</v>
      </c>
      <c r="AM200" s="198">
        <f>$E200*餐厅成本录入!AM203</f>
        <v>0</v>
      </c>
      <c r="AN200" s="198">
        <f>$E200*餐厅成本录入!AN203</f>
        <v>0</v>
      </c>
      <c r="AO200" s="198">
        <f>$E200*餐厅成本录入!AO203</f>
        <v>0</v>
      </c>
      <c r="AP200" s="198">
        <f>$E200*餐厅成本录入!AP203</f>
        <v>15</v>
      </c>
      <c r="AQ200" s="198">
        <f>$E200*餐厅成本录入!AQ203</f>
        <v>15</v>
      </c>
      <c r="AR200" s="198">
        <f>$E200*餐厅成本录入!AR203</f>
        <v>0</v>
      </c>
      <c r="AS200" s="198">
        <f>$E200*餐厅成本录入!AS203</f>
        <v>0</v>
      </c>
      <c r="AT200" s="198">
        <f>$E200*餐厅成本录入!AT203</f>
        <v>0</v>
      </c>
      <c r="AU200" s="198">
        <f>$E200*餐厅成本录入!AU203</f>
        <v>0</v>
      </c>
      <c r="AV200" s="198">
        <f>$E200*餐厅成本录入!AV203</f>
        <v>0</v>
      </c>
      <c r="AW200" s="198">
        <f>$E200*餐厅成本录入!AW203</f>
        <v>0</v>
      </c>
      <c r="AX200" s="198">
        <f>$E200*餐厅成本录入!AX203</f>
        <v>0</v>
      </c>
      <c r="AY200" s="198">
        <f>$E200*餐厅成本录入!AY203</f>
        <v>0</v>
      </c>
      <c r="AZ200" s="198">
        <f>$E200*餐厅成本录入!AZ203</f>
        <v>0</v>
      </c>
      <c r="BA200" s="198">
        <f>$E200*餐厅成本录入!BA203</f>
        <v>0</v>
      </c>
      <c r="BB200" s="198">
        <f>$E200*餐厅成本录入!BB203</f>
        <v>0</v>
      </c>
      <c r="BC200" s="198">
        <f>$E200*餐厅成本录入!BC203</f>
        <v>0</v>
      </c>
      <c r="BD200" s="198">
        <f>$E200*餐厅成本录入!BD203</f>
        <v>0</v>
      </c>
      <c r="BE200" s="198">
        <f>$E200*餐厅成本录入!BE203</f>
        <v>0</v>
      </c>
      <c r="BF200" s="198">
        <f>$E200*餐厅成本录入!BF203</f>
        <v>0</v>
      </c>
      <c r="BG200" s="198">
        <f>$E200*餐厅成本录入!BG203</f>
        <v>0</v>
      </c>
      <c r="BH200" s="198">
        <f>$E200*餐厅成本录入!BH203</f>
        <v>0</v>
      </c>
      <c r="BI200" s="198">
        <f>$E200*餐厅成本录入!BI203</f>
        <v>0</v>
      </c>
      <c r="BJ200" s="198">
        <f>$E200*餐厅成本录入!BJ203</f>
        <v>0</v>
      </c>
      <c r="BK200" s="198">
        <f>$E200*餐厅成本录入!BK203</f>
        <v>0</v>
      </c>
      <c r="BL200" s="198">
        <f>$E200*餐厅成本录入!BL203</f>
        <v>0</v>
      </c>
      <c r="BM200" s="198">
        <f>$E200*餐厅成本录入!BM203</f>
        <v>0</v>
      </c>
      <c r="BN200" s="198">
        <f>$E200*餐厅成本录入!BN203</f>
        <v>0</v>
      </c>
      <c r="BO200" s="198">
        <f>$E200*餐厅成本录入!BO203</f>
        <v>0</v>
      </c>
      <c r="BP200" s="198">
        <f>$E200*餐厅成本录入!BP203</f>
        <v>0</v>
      </c>
      <c r="BQ200" s="198">
        <f>$E200*餐厅成本录入!BQ203</f>
        <v>0</v>
      </c>
      <c r="BR200" s="198">
        <f>$E200*餐厅成本录入!BR203</f>
        <v>0</v>
      </c>
      <c r="BS200" s="198">
        <f>$E200*餐厅成本录入!BS203</f>
        <v>0</v>
      </c>
      <c r="BT200" s="198">
        <f>$E200*餐厅成本录入!BT203</f>
        <v>0</v>
      </c>
      <c r="BU200" s="198">
        <f>$E200*餐厅成本录入!BU203</f>
        <v>0</v>
      </c>
      <c r="BV200" s="198">
        <f>$E200*餐厅成本录入!BV203</f>
        <v>0</v>
      </c>
      <c r="BW200" s="198">
        <f>$E200*餐厅成本录入!BW203</f>
        <v>0</v>
      </c>
    </row>
    <row r="201" s="178" customFormat="1" customHeight="1" spans="1:75">
      <c r="A201" s="161">
        <v>233</v>
      </c>
      <c r="B201" s="21" t="str">
        <f>餐厅成本录入!B201</f>
        <v>大米</v>
      </c>
      <c r="C201" s="21">
        <f>餐厅成本录入!C201</f>
        <v>0</v>
      </c>
      <c r="D201" s="21">
        <f>餐厅成本录入!D201</f>
        <v>0</v>
      </c>
      <c r="E201" s="21">
        <f>餐厅成本录入!E201</f>
        <v>140</v>
      </c>
      <c r="F201" s="21">
        <f>餐厅成本录入!F201</f>
        <v>0</v>
      </c>
      <c r="G201" s="21">
        <f>餐厅成本录入!G201</f>
        <v>0</v>
      </c>
      <c r="H201" s="21">
        <f>餐厅成本录入!H201</f>
        <v>8</v>
      </c>
      <c r="I201" s="21">
        <f>餐厅成本录入!I201</f>
        <v>1120</v>
      </c>
      <c r="J201" s="21">
        <f>餐厅成本录入!J201</f>
        <v>8</v>
      </c>
      <c r="K201" s="21">
        <f>餐厅成本录入!K201</f>
        <v>1120</v>
      </c>
      <c r="L201" s="21">
        <f>餐厅成本录入!L201</f>
        <v>0</v>
      </c>
      <c r="M201" s="21">
        <f>餐厅成本录入!M201</f>
        <v>0</v>
      </c>
      <c r="N201" s="198">
        <f>$E201*餐厅成本录入!N204</f>
        <v>0</v>
      </c>
      <c r="O201" s="198">
        <f>$E201*餐厅成本录入!O204</f>
        <v>0</v>
      </c>
      <c r="P201" s="198">
        <f>$E201*餐厅成本录入!P204</f>
        <v>0</v>
      </c>
      <c r="Q201" s="198">
        <f>$E201*餐厅成本录入!Q204</f>
        <v>0</v>
      </c>
      <c r="R201" s="198">
        <f>$E201*餐厅成本录入!R204</f>
        <v>0</v>
      </c>
      <c r="S201" s="198">
        <f>$E201*餐厅成本录入!S204</f>
        <v>0</v>
      </c>
      <c r="T201" s="198">
        <f>$E201*餐厅成本录入!T204</f>
        <v>0</v>
      </c>
      <c r="U201" s="198">
        <f>$E201*餐厅成本录入!U204</f>
        <v>0</v>
      </c>
      <c r="V201" s="198">
        <f>$E201*餐厅成本录入!V204</f>
        <v>0</v>
      </c>
      <c r="W201" s="198">
        <f>$E201*餐厅成本录入!W204</f>
        <v>0</v>
      </c>
      <c r="X201" s="198">
        <f>$E201*餐厅成本录入!X204</f>
        <v>0</v>
      </c>
      <c r="Y201" s="198">
        <f>$E201*餐厅成本录入!Y204</f>
        <v>0</v>
      </c>
      <c r="Z201" s="198">
        <f>$E201*餐厅成本录入!Z204</f>
        <v>0</v>
      </c>
      <c r="AA201" s="198">
        <f>$E201*餐厅成本录入!AA204</f>
        <v>0</v>
      </c>
      <c r="AB201" s="198">
        <f>$E201*餐厅成本录入!AB204</f>
        <v>0</v>
      </c>
      <c r="AC201" s="198">
        <f>$E201*餐厅成本录入!AC204</f>
        <v>0</v>
      </c>
      <c r="AD201" s="198">
        <f>$E201*餐厅成本录入!AD204</f>
        <v>0</v>
      </c>
      <c r="AE201" s="198">
        <f>$E201*餐厅成本录入!AE204</f>
        <v>0</v>
      </c>
      <c r="AF201" s="198">
        <f>$E201*餐厅成本录入!AF204</f>
        <v>0</v>
      </c>
      <c r="AG201" s="198">
        <f>$E201*餐厅成本录入!AG204</f>
        <v>0</v>
      </c>
      <c r="AH201" s="198">
        <f>$E201*餐厅成本录入!AH204</f>
        <v>0</v>
      </c>
      <c r="AI201" s="198">
        <f>$E201*餐厅成本录入!AI204</f>
        <v>0</v>
      </c>
      <c r="AJ201" s="198">
        <f>$E201*餐厅成本录入!AJ204</f>
        <v>0</v>
      </c>
      <c r="AK201" s="198">
        <f>$E201*餐厅成本录入!AK204</f>
        <v>0</v>
      </c>
      <c r="AL201" s="198">
        <f>$E201*餐厅成本录入!AL204</f>
        <v>0</v>
      </c>
      <c r="AM201" s="198">
        <f>$E201*餐厅成本录入!AM204</f>
        <v>0</v>
      </c>
      <c r="AN201" s="198">
        <f>$E201*餐厅成本录入!AN204</f>
        <v>0</v>
      </c>
      <c r="AO201" s="198">
        <f>$E201*餐厅成本录入!AO204</f>
        <v>0</v>
      </c>
      <c r="AP201" s="198">
        <f>$E201*餐厅成本录入!AQ204</f>
        <v>140</v>
      </c>
      <c r="AQ201" s="198">
        <f>$E201*餐厅成本录入!AQ204</f>
        <v>140</v>
      </c>
      <c r="AR201" s="198">
        <f>$E201*餐厅成本录入!AR204</f>
        <v>0</v>
      </c>
      <c r="AS201" s="198">
        <f>$E201*餐厅成本录入!AS204</f>
        <v>0</v>
      </c>
      <c r="AT201" s="198">
        <f>$E201*餐厅成本录入!AT204</f>
        <v>0</v>
      </c>
      <c r="AU201" s="198">
        <f>$E201*餐厅成本录入!AU204</f>
        <v>0</v>
      </c>
      <c r="AV201" s="198">
        <f>$E201*餐厅成本录入!AV204</f>
        <v>0</v>
      </c>
      <c r="AW201" s="198">
        <f>$E201*餐厅成本录入!AW204</f>
        <v>0</v>
      </c>
      <c r="AX201" s="198">
        <f>$E201*餐厅成本录入!AX204</f>
        <v>140</v>
      </c>
      <c r="AY201" s="198">
        <f>$E201*餐厅成本录入!AY204</f>
        <v>140</v>
      </c>
      <c r="AZ201" s="198">
        <f>$E201*餐厅成本录入!AZ204</f>
        <v>0</v>
      </c>
      <c r="BA201" s="198">
        <f>$E201*餐厅成本录入!BA204</f>
        <v>0</v>
      </c>
      <c r="BB201" s="198">
        <f>$E201*餐厅成本录入!BB204</f>
        <v>0</v>
      </c>
      <c r="BC201" s="198">
        <f>$E201*餐厅成本录入!BC204</f>
        <v>0</v>
      </c>
      <c r="BD201" s="198">
        <f>$E201*餐厅成本录入!BD204</f>
        <v>0</v>
      </c>
      <c r="BE201" s="198">
        <f>$E201*餐厅成本录入!BE204</f>
        <v>0</v>
      </c>
      <c r="BF201" s="198">
        <f>$E201*餐厅成本录入!BF204</f>
        <v>0</v>
      </c>
      <c r="BG201" s="198">
        <f>$E201*餐厅成本录入!BG204</f>
        <v>0</v>
      </c>
      <c r="BH201" s="198">
        <f>$E201*餐厅成本录入!BH204</f>
        <v>0</v>
      </c>
      <c r="BI201" s="198">
        <f>$E201*餐厅成本录入!BI204</f>
        <v>0</v>
      </c>
      <c r="BJ201" s="198">
        <f>$E201*餐厅成本录入!BJ204</f>
        <v>0</v>
      </c>
      <c r="BK201" s="198">
        <f>$E201*餐厅成本录入!BK204</f>
        <v>0</v>
      </c>
      <c r="BL201" s="198">
        <f>$E201*餐厅成本录入!BL204</f>
        <v>0</v>
      </c>
      <c r="BM201" s="198">
        <f>$E201*餐厅成本录入!BM204</f>
        <v>0</v>
      </c>
      <c r="BN201" s="198">
        <f>$E201*餐厅成本录入!BN204</f>
        <v>0</v>
      </c>
      <c r="BO201" s="198">
        <f>$E201*餐厅成本录入!BO204</f>
        <v>0</v>
      </c>
      <c r="BP201" s="198">
        <f>$E201*餐厅成本录入!BP204</f>
        <v>0</v>
      </c>
      <c r="BQ201" s="198">
        <f>$E201*餐厅成本录入!BQ204</f>
        <v>0</v>
      </c>
      <c r="BR201" s="198">
        <f>$E201*餐厅成本录入!BR204</f>
        <v>0</v>
      </c>
      <c r="BS201" s="198">
        <f>$E201*餐厅成本录入!BS204</f>
        <v>0</v>
      </c>
      <c r="BT201" s="198">
        <f>$E201*餐厅成本录入!BT204</f>
        <v>0</v>
      </c>
      <c r="BU201" s="198">
        <f>$E201*餐厅成本录入!BU204</f>
        <v>0</v>
      </c>
      <c r="BV201" s="198">
        <f>$E201*餐厅成本录入!BV204</f>
        <v>0</v>
      </c>
      <c r="BW201" s="198">
        <f>$E201*餐厅成本录入!BW204</f>
        <v>0</v>
      </c>
    </row>
    <row r="202" s="178" customFormat="1" customHeight="1" spans="1:75">
      <c r="A202" s="161">
        <v>234</v>
      </c>
      <c r="B202" s="21" t="str">
        <f>餐厅成本录入!B202</f>
        <v>香蕉干</v>
      </c>
      <c r="C202" s="21">
        <f>餐厅成本录入!C202</f>
        <v>0</v>
      </c>
      <c r="D202" s="21">
        <f>餐厅成本录入!D202</f>
        <v>0</v>
      </c>
      <c r="E202" s="21">
        <f>餐厅成本录入!E202</f>
        <v>15</v>
      </c>
      <c r="F202" s="21">
        <f>餐厅成本录入!F202</f>
        <v>0</v>
      </c>
      <c r="G202" s="21">
        <f>餐厅成本录入!G202</f>
        <v>0</v>
      </c>
      <c r="H202" s="21">
        <f>餐厅成本录入!H202</f>
        <v>2</v>
      </c>
      <c r="I202" s="21">
        <f>餐厅成本录入!I202</f>
        <v>30</v>
      </c>
      <c r="J202" s="21">
        <f>餐厅成本录入!J202</f>
        <v>2</v>
      </c>
      <c r="K202" s="21">
        <f>餐厅成本录入!K202</f>
        <v>30</v>
      </c>
      <c r="L202" s="21">
        <f>餐厅成本录入!L202</f>
        <v>0</v>
      </c>
      <c r="M202" s="21">
        <f>餐厅成本录入!M202</f>
        <v>0</v>
      </c>
      <c r="N202" s="198">
        <f>$E202*餐厅成本录入!N205</f>
        <v>0</v>
      </c>
      <c r="O202" s="198">
        <f>$E202*餐厅成本录入!O205</f>
        <v>0</v>
      </c>
      <c r="P202" s="198">
        <f>$E202*餐厅成本录入!P205</f>
        <v>0</v>
      </c>
      <c r="Q202" s="198">
        <f>$E202*餐厅成本录入!Q205</f>
        <v>0</v>
      </c>
      <c r="R202" s="198">
        <f>$E202*餐厅成本录入!R205</f>
        <v>0</v>
      </c>
      <c r="S202" s="198">
        <f>$E202*餐厅成本录入!S205</f>
        <v>0</v>
      </c>
      <c r="T202" s="198">
        <f>$E202*餐厅成本录入!T205</f>
        <v>0</v>
      </c>
      <c r="U202" s="198">
        <f>$E202*餐厅成本录入!U205</f>
        <v>0</v>
      </c>
      <c r="V202" s="198">
        <f>$E202*餐厅成本录入!V205</f>
        <v>0</v>
      </c>
      <c r="W202" s="198">
        <f>$E202*餐厅成本录入!W205</f>
        <v>0</v>
      </c>
      <c r="X202" s="198">
        <f>$E202*餐厅成本录入!X205</f>
        <v>0</v>
      </c>
      <c r="Y202" s="198">
        <f>$E202*餐厅成本录入!Y205</f>
        <v>0</v>
      </c>
      <c r="Z202" s="198">
        <f>$E202*餐厅成本录入!Z205</f>
        <v>0</v>
      </c>
      <c r="AA202" s="198">
        <f>$E202*餐厅成本录入!AA205</f>
        <v>0</v>
      </c>
      <c r="AB202" s="198">
        <f>$E202*餐厅成本录入!AB205</f>
        <v>0</v>
      </c>
      <c r="AC202" s="198">
        <f>$E202*餐厅成本录入!AC205</f>
        <v>0</v>
      </c>
      <c r="AD202" s="198">
        <f>$E202*餐厅成本录入!AD205</f>
        <v>0</v>
      </c>
      <c r="AE202" s="198">
        <f>$E202*餐厅成本录入!AE205</f>
        <v>0</v>
      </c>
      <c r="AF202" s="198">
        <f>$E202*餐厅成本录入!AF205</f>
        <v>0</v>
      </c>
      <c r="AG202" s="198">
        <f>$E202*餐厅成本录入!AG205</f>
        <v>0</v>
      </c>
      <c r="AH202" s="198">
        <f>$E202*餐厅成本录入!AH205</f>
        <v>0</v>
      </c>
      <c r="AI202" s="198">
        <f>$E202*餐厅成本录入!AI205</f>
        <v>0</v>
      </c>
      <c r="AJ202" s="198">
        <f>$E202*餐厅成本录入!AJ205</f>
        <v>0</v>
      </c>
      <c r="AK202" s="198">
        <f>$E202*餐厅成本录入!AK205</f>
        <v>0</v>
      </c>
      <c r="AL202" s="198">
        <f>$E202*餐厅成本录入!AL205</f>
        <v>0</v>
      </c>
      <c r="AM202" s="198">
        <f>$E202*餐厅成本录入!AM205</f>
        <v>0</v>
      </c>
      <c r="AN202" s="198">
        <f>$E202*餐厅成本录入!AN205</f>
        <v>0</v>
      </c>
      <c r="AO202" s="198">
        <f>$E202*餐厅成本录入!AO205</f>
        <v>0</v>
      </c>
      <c r="AP202" s="198">
        <f>$E202*餐厅成本录入!AP205</f>
        <v>30</v>
      </c>
      <c r="AQ202" s="198">
        <f>$E202*餐厅成本录入!AQ205</f>
        <v>30</v>
      </c>
      <c r="AR202" s="198">
        <f>$E202*餐厅成本录入!AR205</f>
        <v>0</v>
      </c>
      <c r="AS202" s="198">
        <f>$E202*餐厅成本录入!AS205</f>
        <v>0</v>
      </c>
      <c r="AT202" s="198">
        <f>$E202*餐厅成本录入!AT205</f>
        <v>0</v>
      </c>
      <c r="AU202" s="198">
        <f>$E202*餐厅成本录入!AU205</f>
        <v>0</v>
      </c>
      <c r="AV202" s="198">
        <f>$E202*餐厅成本录入!AV205</f>
        <v>0</v>
      </c>
      <c r="AW202" s="198">
        <f>$E202*餐厅成本录入!AW205</f>
        <v>0</v>
      </c>
      <c r="AX202" s="198">
        <f>$E202*餐厅成本录入!AX205</f>
        <v>0</v>
      </c>
      <c r="AY202" s="198">
        <f>$E202*餐厅成本录入!AY205</f>
        <v>0</v>
      </c>
      <c r="AZ202" s="198">
        <f>$E202*餐厅成本录入!AZ205</f>
        <v>0</v>
      </c>
      <c r="BA202" s="198">
        <f>$E202*餐厅成本录入!BA205</f>
        <v>0</v>
      </c>
      <c r="BB202" s="198">
        <f>$E202*餐厅成本录入!BB205</f>
        <v>0</v>
      </c>
      <c r="BC202" s="198">
        <f>$E202*餐厅成本录入!BC205</f>
        <v>0</v>
      </c>
      <c r="BD202" s="198">
        <f>$E202*餐厅成本录入!BD205</f>
        <v>0</v>
      </c>
      <c r="BE202" s="198">
        <f>$E202*餐厅成本录入!BE205</f>
        <v>0</v>
      </c>
      <c r="BF202" s="198">
        <f>$E202*餐厅成本录入!BF205</f>
        <v>0</v>
      </c>
      <c r="BG202" s="198">
        <f>$E202*餐厅成本录入!BG205</f>
        <v>0</v>
      </c>
      <c r="BH202" s="198">
        <f>$E202*餐厅成本录入!BH205</f>
        <v>0</v>
      </c>
      <c r="BI202" s="198">
        <f>$E202*餐厅成本录入!BI205</f>
        <v>0</v>
      </c>
      <c r="BJ202" s="198">
        <f>$E202*餐厅成本录入!BJ205</f>
        <v>0</v>
      </c>
      <c r="BK202" s="198">
        <f>$E202*餐厅成本录入!BK205</f>
        <v>0</v>
      </c>
      <c r="BL202" s="198">
        <f>$E202*餐厅成本录入!BL205</f>
        <v>0</v>
      </c>
      <c r="BM202" s="198">
        <f>$E202*餐厅成本录入!BM205</f>
        <v>0</v>
      </c>
      <c r="BN202" s="198">
        <f>$E202*餐厅成本录入!BN205</f>
        <v>0</v>
      </c>
      <c r="BO202" s="198">
        <f>$E202*餐厅成本录入!BO205</f>
        <v>0</v>
      </c>
      <c r="BP202" s="198">
        <f>$E202*餐厅成本录入!BP205</f>
        <v>0</v>
      </c>
      <c r="BQ202" s="198">
        <f>$E202*餐厅成本录入!BQ205</f>
        <v>0</v>
      </c>
      <c r="BR202" s="198">
        <f>$E202*餐厅成本录入!BR205</f>
        <v>0</v>
      </c>
      <c r="BS202" s="198">
        <f>$E202*餐厅成本录入!BS205</f>
        <v>0</v>
      </c>
      <c r="BT202" s="198">
        <f>$E202*餐厅成本录入!BT205</f>
        <v>0</v>
      </c>
      <c r="BU202" s="198">
        <f>$E202*餐厅成本录入!BU205</f>
        <v>0</v>
      </c>
      <c r="BV202" s="198">
        <f>$E202*餐厅成本录入!BV205</f>
        <v>0</v>
      </c>
      <c r="BW202" s="198">
        <f>$E202*餐厅成本录入!BW205</f>
        <v>0</v>
      </c>
    </row>
    <row r="203" s="178" customFormat="1" customHeight="1" spans="1:75">
      <c r="A203" s="161">
        <v>235</v>
      </c>
      <c r="B203" s="21" t="str">
        <f>餐厅成本录入!B203</f>
        <v>火锅底料</v>
      </c>
      <c r="C203" s="21">
        <f>餐厅成本录入!C203</f>
        <v>0</v>
      </c>
      <c r="D203" s="21">
        <f>餐厅成本录入!D203</f>
        <v>0</v>
      </c>
      <c r="E203" s="21">
        <f>餐厅成本录入!E203</f>
        <v>9</v>
      </c>
      <c r="F203" s="21">
        <f>餐厅成本录入!F203</f>
        <v>0</v>
      </c>
      <c r="G203" s="21">
        <f>餐厅成本录入!G203</f>
        <v>0</v>
      </c>
      <c r="H203" s="21">
        <f>餐厅成本录入!H203</f>
        <v>6</v>
      </c>
      <c r="I203" s="21">
        <f>餐厅成本录入!I203</f>
        <v>54</v>
      </c>
      <c r="J203" s="21">
        <f>餐厅成本录入!J203</f>
        <v>6</v>
      </c>
      <c r="K203" s="21">
        <f>餐厅成本录入!K203</f>
        <v>54</v>
      </c>
      <c r="L203" s="21">
        <f>餐厅成本录入!L203</f>
        <v>0</v>
      </c>
      <c r="M203" s="21">
        <f>餐厅成本录入!M203</f>
        <v>0</v>
      </c>
      <c r="N203" s="198">
        <f>$E203*餐厅成本录入!N206</f>
        <v>0</v>
      </c>
      <c r="O203" s="198">
        <f>$E203*餐厅成本录入!O206</f>
        <v>0</v>
      </c>
      <c r="P203" s="198">
        <f>$E203*餐厅成本录入!P206</f>
        <v>0</v>
      </c>
      <c r="Q203" s="198">
        <f>$E203*餐厅成本录入!Q206</f>
        <v>0</v>
      </c>
      <c r="R203" s="198">
        <f>$E203*餐厅成本录入!R206</f>
        <v>0</v>
      </c>
      <c r="S203" s="198">
        <f>$E203*餐厅成本录入!S206</f>
        <v>0</v>
      </c>
      <c r="T203" s="198">
        <f>$E203*餐厅成本录入!T206</f>
        <v>0</v>
      </c>
      <c r="U203" s="198">
        <f>$E203*餐厅成本录入!U206</f>
        <v>0</v>
      </c>
      <c r="V203" s="198">
        <f>$E203*餐厅成本录入!V206</f>
        <v>0</v>
      </c>
      <c r="W203" s="198">
        <f>$E203*餐厅成本录入!W206</f>
        <v>0</v>
      </c>
      <c r="X203" s="198">
        <f>$E203*餐厅成本录入!X206</f>
        <v>0</v>
      </c>
      <c r="Y203" s="198">
        <f>$E203*餐厅成本录入!Y206</f>
        <v>0</v>
      </c>
      <c r="Z203" s="198">
        <f>$E203*餐厅成本录入!Z206</f>
        <v>0</v>
      </c>
      <c r="AA203" s="198">
        <f>$E203*餐厅成本录入!AA206</f>
        <v>0</v>
      </c>
      <c r="AB203" s="198">
        <f>$E203*餐厅成本录入!AB206</f>
        <v>0</v>
      </c>
      <c r="AC203" s="198">
        <f>$E203*餐厅成本录入!AC206</f>
        <v>0</v>
      </c>
      <c r="AD203" s="198">
        <f>$E203*餐厅成本录入!AD206</f>
        <v>0</v>
      </c>
      <c r="AE203" s="198">
        <f>$E203*餐厅成本录入!AE206</f>
        <v>0</v>
      </c>
      <c r="AF203" s="198">
        <f>$E203*餐厅成本录入!AF206</f>
        <v>0</v>
      </c>
      <c r="AG203" s="198">
        <f>$E203*餐厅成本录入!AG206</f>
        <v>0</v>
      </c>
      <c r="AH203" s="198">
        <f>$E203*餐厅成本录入!AH206</f>
        <v>0</v>
      </c>
      <c r="AI203" s="198">
        <f>$E203*餐厅成本录入!AI206</f>
        <v>0</v>
      </c>
      <c r="AJ203" s="198">
        <f>$E203*餐厅成本录入!AJ206</f>
        <v>0</v>
      </c>
      <c r="AK203" s="198">
        <f>$E203*餐厅成本录入!AK206</f>
        <v>0</v>
      </c>
      <c r="AL203" s="198">
        <f>$E203*餐厅成本录入!AL206</f>
        <v>0</v>
      </c>
      <c r="AM203" s="198">
        <f>$E203*餐厅成本录入!AM206</f>
        <v>0</v>
      </c>
      <c r="AN203" s="198">
        <f>$E203*餐厅成本录入!AN206</f>
        <v>0</v>
      </c>
      <c r="AO203" s="198">
        <f>$E203*餐厅成本录入!AO206</f>
        <v>0</v>
      </c>
      <c r="AP203" s="198">
        <f>$E203*餐厅成本录入!AP206</f>
        <v>0</v>
      </c>
      <c r="AQ203" s="198">
        <f>$E203*餐厅成本录入!AQ206</f>
        <v>0</v>
      </c>
      <c r="AR203" s="198">
        <f>$E203*餐厅成本录入!AR206</f>
        <v>9</v>
      </c>
      <c r="AS203" s="198">
        <f>$E203*餐厅成本录入!AS206</f>
        <v>9</v>
      </c>
      <c r="AT203" s="198">
        <f>$E203*餐厅成本录入!AT206</f>
        <v>0</v>
      </c>
      <c r="AU203" s="198">
        <f>$E203*餐厅成本录入!AU206</f>
        <v>0</v>
      </c>
      <c r="AV203" s="198">
        <f>$E203*餐厅成本录入!AV206</f>
        <v>0</v>
      </c>
      <c r="AW203" s="198">
        <f>$E203*餐厅成本录入!AW206</f>
        <v>0</v>
      </c>
      <c r="AX203" s="198">
        <f>$E203*餐厅成本录入!AX206</f>
        <v>0</v>
      </c>
      <c r="AY203" s="198">
        <f>$E203*餐厅成本录入!AY206</f>
        <v>0</v>
      </c>
      <c r="AZ203" s="198">
        <f>$E203*餐厅成本录入!AZ206</f>
        <v>0</v>
      </c>
      <c r="BA203" s="198">
        <f>$E203*餐厅成本录入!BA206</f>
        <v>0</v>
      </c>
      <c r="BB203" s="198">
        <f>$E203*餐厅成本录入!BB206</f>
        <v>0</v>
      </c>
      <c r="BC203" s="198">
        <f>$E203*餐厅成本录入!BC206</f>
        <v>0</v>
      </c>
      <c r="BD203" s="198">
        <f>$E203*餐厅成本录入!BD206</f>
        <v>0</v>
      </c>
      <c r="BE203" s="198">
        <f>$E203*餐厅成本录入!BE206</f>
        <v>0</v>
      </c>
      <c r="BF203" s="198">
        <f>$E203*餐厅成本录入!BF206</f>
        <v>0</v>
      </c>
      <c r="BG203" s="198">
        <f>$E203*餐厅成本录入!BG206</f>
        <v>0</v>
      </c>
      <c r="BH203" s="198">
        <f>$E203*餐厅成本录入!BH206</f>
        <v>0</v>
      </c>
      <c r="BI203" s="198">
        <f>$E203*餐厅成本录入!BI206</f>
        <v>0</v>
      </c>
      <c r="BJ203" s="198">
        <f>$E203*餐厅成本录入!BJ206</f>
        <v>0</v>
      </c>
      <c r="BK203" s="198">
        <f>$E203*餐厅成本录入!BK206</f>
        <v>0</v>
      </c>
      <c r="BL203" s="198">
        <f>$E203*餐厅成本录入!BL206</f>
        <v>0</v>
      </c>
      <c r="BM203" s="198">
        <f>$E203*餐厅成本录入!BM206</f>
        <v>0</v>
      </c>
      <c r="BN203" s="198">
        <f>$E203*餐厅成本录入!BN206</f>
        <v>0</v>
      </c>
      <c r="BO203" s="198">
        <f>$E203*餐厅成本录入!BO206</f>
        <v>0</v>
      </c>
      <c r="BP203" s="198">
        <f>$E203*餐厅成本录入!BP206</f>
        <v>0</v>
      </c>
      <c r="BQ203" s="198">
        <f>$E203*餐厅成本录入!BQ206</f>
        <v>0</v>
      </c>
      <c r="BR203" s="198">
        <f>$E203*餐厅成本录入!BR206</f>
        <v>0</v>
      </c>
      <c r="BS203" s="198">
        <f>$E203*餐厅成本录入!BS206</f>
        <v>0</v>
      </c>
      <c r="BT203" s="198">
        <f>$E203*餐厅成本录入!BT206</f>
        <v>0</v>
      </c>
      <c r="BU203" s="198">
        <f>$E203*餐厅成本录入!BU206</f>
        <v>0</v>
      </c>
      <c r="BV203" s="198">
        <f>$E203*餐厅成本录入!BV206</f>
        <v>0</v>
      </c>
      <c r="BW203" s="198">
        <f>$E203*餐厅成本录入!BW206</f>
        <v>0</v>
      </c>
    </row>
    <row r="204" s="178" customFormat="1" customHeight="1" spans="1:75">
      <c r="A204" s="161">
        <v>236</v>
      </c>
      <c r="B204" s="21" t="str">
        <f>餐厅成本录入!B204</f>
        <v>鲤鱼</v>
      </c>
      <c r="C204" s="21">
        <f>餐厅成本录入!C204</f>
        <v>0</v>
      </c>
      <c r="D204" s="21" t="str">
        <f>餐厅成本录入!D204</f>
        <v>8条</v>
      </c>
      <c r="E204" s="21">
        <f>餐厅成本录入!E204</f>
        <v>136</v>
      </c>
      <c r="F204" s="21">
        <f>餐厅成本录入!F204</f>
        <v>0</v>
      </c>
      <c r="G204" s="21">
        <f>餐厅成本录入!G204</f>
        <v>0</v>
      </c>
      <c r="H204" s="21">
        <f>餐厅成本录入!H204</f>
        <v>2</v>
      </c>
      <c r="I204" s="21">
        <f>餐厅成本录入!I204</f>
        <v>272</v>
      </c>
      <c r="J204" s="21">
        <f>餐厅成本录入!J204</f>
        <v>2</v>
      </c>
      <c r="K204" s="21">
        <f>餐厅成本录入!K204</f>
        <v>272</v>
      </c>
      <c r="L204" s="21">
        <f>餐厅成本录入!L204</f>
        <v>0</v>
      </c>
      <c r="M204" s="21">
        <f>餐厅成本录入!M204</f>
        <v>0</v>
      </c>
      <c r="N204" s="198">
        <f>$E204*餐厅成本录入!N207</f>
        <v>0</v>
      </c>
      <c r="O204" s="198">
        <f>$E204*餐厅成本录入!O207</f>
        <v>0</v>
      </c>
      <c r="P204" s="198">
        <f>$E204*餐厅成本录入!P207</f>
        <v>0</v>
      </c>
      <c r="Q204" s="198">
        <f>$E204*餐厅成本录入!Q207</f>
        <v>0</v>
      </c>
      <c r="R204" s="198">
        <f>$E204*餐厅成本录入!R207</f>
        <v>0</v>
      </c>
      <c r="S204" s="198">
        <f>$E204*餐厅成本录入!S207</f>
        <v>0</v>
      </c>
      <c r="T204" s="198">
        <f>$E204*餐厅成本录入!T207</f>
        <v>0</v>
      </c>
      <c r="U204" s="198">
        <f>$E204*餐厅成本录入!U207</f>
        <v>0</v>
      </c>
      <c r="V204" s="198">
        <f>$E204*餐厅成本录入!V207</f>
        <v>0</v>
      </c>
      <c r="W204" s="198">
        <f>$E204*餐厅成本录入!W207</f>
        <v>0</v>
      </c>
      <c r="X204" s="198">
        <f>$E204*餐厅成本录入!X207</f>
        <v>0</v>
      </c>
      <c r="Y204" s="198">
        <f>$E204*餐厅成本录入!Y207</f>
        <v>0</v>
      </c>
      <c r="Z204" s="198">
        <f>$E204*餐厅成本录入!Z207</f>
        <v>0</v>
      </c>
      <c r="AA204" s="198">
        <f>$E204*餐厅成本录入!AA207</f>
        <v>0</v>
      </c>
      <c r="AB204" s="198">
        <f>$E204*餐厅成本录入!AB207</f>
        <v>0</v>
      </c>
      <c r="AC204" s="198">
        <f>$E204*餐厅成本录入!AC207</f>
        <v>0</v>
      </c>
      <c r="AD204" s="198">
        <f>$E204*餐厅成本录入!AD207</f>
        <v>0</v>
      </c>
      <c r="AE204" s="198">
        <f>$E204*餐厅成本录入!AE207</f>
        <v>0</v>
      </c>
      <c r="AF204" s="198">
        <f>$E204*餐厅成本录入!AF207</f>
        <v>0</v>
      </c>
      <c r="AG204" s="198">
        <f>$E204*餐厅成本录入!AG207</f>
        <v>0</v>
      </c>
      <c r="AH204" s="198">
        <f>$E204*餐厅成本录入!AH207</f>
        <v>0</v>
      </c>
      <c r="AI204" s="198">
        <f>$E204*餐厅成本录入!AI207</f>
        <v>0</v>
      </c>
      <c r="AJ204" s="198">
        <f>$E204*餐厅成本录入!AJ207</f>
        <v>0</v>
      </c>
      <c r="AK204" s="198">
        <f>$E204*餐厅成本录入!AK207</f>
        <v>0</v>
      </c>
      <c r="AL204" s="198">
        <f>$E204*餐厅成本录入!AL207</f>
        <v>0</v>
      </c>
      <c r="AM204" s="198">
        <f>$E204*餐厅成本录入!AM207</f>
        <v>0</v>
      </c>
      <c r="AN204" s="198">
        <f>$E204*餐厅成本录入!AN207</f>
        <v>0</v>
      </c>
      <c r="AO204" s="198">
        <f>$E204*餐厅成本录入!AO207</f>
        <v>0</v>
      </c>
      <c r="AP204" s="198">
        <f>$E204*餐厅成本录入!AP207</f>
        <v>0</v>
      </c>
      <c r="AQ204" s="198">
        <f>$E204*餐厅成本录入!AQ207</f>
        <v>0</v>
      </c>
      <c r="AR204" s="198">
        <f>$E204*餐厅成本录入!AR207</f>
        <v>136</v>
      </c>
      <c r="AS204" s="198">
        <f>$E204*餐厅成本录入!AS207</f>
        <v>136</v>
      </c>
      <c r="AT204" s="198">
        <f>$E204*餐厅成本录入!AT207</f>
        <v>0</v>
      </c>
      <c r="AU204" s="198">
        <f>$E204*餐厅成本录入!AU207</f>
        <v>0</v>
      </c>
      <c r="AV204" s="198">
        <f>$E204*餐厅成本录入!AV207</f>
        <v>0</v>
      </c>
      <c r="AW204" s="198">
        <f>$E204*餐厅成本录入!AW207</f>
        <v>0</v>
      </c>
      <c r="AX204" s="198">
        <f>$E204*餐厅成本录入!AX207</f>
        <v>0</v>
      </c>
      <c r="AY204" s="198">
        <f>$E204*餐厅成本录入!AY207</f>
        <v>0</v>
      </c>
      <c r="AZ204" s="198">
        <f>$E204*餐厅成本录入!AZ207</f>
        <v>0</v>
      </c>
      <c r="BA204" s="198">
        <f>$E204*餐厅成本录入!BA207</f>
        <v>0</v>
      </c>
      <c r="BB204" s="198">
        <f>$E204*餐厅成本录入!BB207</f>
        <v>0</v>
      </c>
      <c r="BC204" s="198">
        <f>$E204*餐厅成本录入!BC207</f>
        <v>0</v>
      </c>
      <c r="BD204" s="198">
        <f>$E204*餐厅成本录入!BD207</f>
        <v>0</v>
      </c>
      <c r="BE204" s="198">
        <f>$E204*餐厅成本录入!BE207</f>
        <v>0</v>
      </c>
      <c r="BF204" s="198">
        <f>$E204*餐厅成本录入!BF207</f>
        <v>0</v>
      </c>
      <c r="BG204" s="198">
        <f>$E204*餐厅成本录入!BG207</f>
        <v>0</v>
      </c>
      <c r="BH204" s="198">
        <f>$E204*餐厅成本录入!BH207</f>
        <v>0</v>
      </c>
      <c r="BI204" s="198">
        <f>$E204*餐厅成本录入!BI207</f>
        <v>0</v>
      </c>
      <c r="BJ204" s="198">
        <f>$E204*餐厅成本录入!BJ207</f>
        <v>0</v>
      </c>
      <c r="BK204" s="198">
        <f>$E204*餐厅成本录入!BK207</f>
        <v>0</v>
      </c>
      <c r="BL204" s="198">
        <f>$E204*餐厅成本录入!BL207</f>
        <v>0</v>
      </c>
      <c r="BM204" s="198">
        <f>$E204*餐厅成本录入!BM207</f>
        <v>0</v>
      </c>
      <c r="BN204" s="198">
        <f>$E204*餐厅成本录入!BN207</f>
        <v>0</v>
      </c>
      <c r="BO204" s="198">
        <f>$E204*餐厅成本录入!BO207</f>
        <v>0</v>
      </c>
      <c r="BP204" s="198">
        <f>$E204*餐厅成本录入!BP207</f>
        <v>0</v>
      </c>
      <c r="BQ204" s="198">
        <f>$E204*餐厅成本录入!BQ207</f>
        <v>0</v>
      </c>
      <c r="BR204" s="198">
        <f>$E204*餐厅成本录入!BR207</f>
        <v>0</v>
      </c>
      <c r="BS204" s="198">
        <f>$E204*餐厅成本录入!BS207</f>
        <v>0</v>
      </c>
      <c r="BT204" s="198">
        <f>$E204*餐厅成本录入!BT207</f>
        <v>0</v>
      </c>
      <c r="BU204" s="198">
        <f>$E204*餐厅成本录入!BU207</f>
        <v>0</v>
      </c>
      <c r="BV204" s="198">
        <f>$E204*餐厅成本录入!BV207</f>
        <v>0</v>
      </c>
      <c r="BW204" s="198">
        <f>$E204*餐厅成本录入!BW207</f>
        <v>0</v>
      </c>
    </row>
    <row r="205" s="178" customFormat="1" customHeight="1" spans="1:75">
      <c r="A205" s="161">
        <v>237</v>
      </c>
      <c r="B205" s="21" t="str">
        <f>餐厅成本录入!B205</f>
        <v>一次性手套</v>
      </c>
      <c r="C205" s="21">
        <f>餐厅成本录入!C205</f>
        <v>0</v>
      </c>
      <c r="D205" s="21">
        <f>餐厅成本录入!D205</f>
        <v>0</v>
      </c>
      <c r="E205" s="21">
        <f>餐厅成本录入!E205</f>
        <v>25</v>
      </c>
      <c r="F205" s="21">
        <f>餐厅成本录入!F205</f>
        <v>0</v>
      </c>
      <c r="G205" s="21">
        <f>餐厅成本录入!G205</f>
        <v>0</v>
      </c>
      <c r="H205" s="21">
        <f>餐厅成本录入!H205</f>
        <v>2</v>
      </c>
      <c r="I205" s="21">
        <f>餐厅成本录入!I205</f>
        <v>50</v>
      </c>
      <c r="J205" s="21">
        <f>餐厅成本录入!J205</f>
        <v>2</v>
      </c>
      <c r="K205" s="21">
        <f>餐厅成本录入!K205</f>
        <v>50</v>
      </c>
      <c r="L205" s="21">
        <f>餐厅成本录入!L205</f>
        <v>0</v>
      </c>
      <c r="M205" s="21">
        <f>餐厅成本录入!M205</f>
        <v>0</v>
      </c>
      <c r="N205" s="198">
        <f>$E205*餐厅成本录入!N208</f>
        <v>0</v>
      </c>
      <c r="O205" s="198">
        <f>$E205*餐厅成本录入!O208</f>
        <v>0</v>
      </c>
      <c r="P205" s="198">
        <f>$E205*餐厅成本录入!P208</f>
        <v>0</v>
      </c>
      <c r="Q205" s="198">
        <f>$E205*餐厅成本录入!Q208</f>
        <v>0</v>
      </c>
      <c r="R205" s="198">
        <f>$E205*餐厅成本录入!R208</f>
        <v>0</v>
      </c>
      <c r="S205" s="198">
        <f>$E205*餐厅成本录入!S208</f>
        <v>0</v>
      </c>
      <c r="T205" s="198">
        <f>$E205*餐厅成本录入!T208</f>
        <v>0</v>
      </c>
      <c r="U205" s="198">
        <f>$E205*餐厅成本录入!U208</f>
        <v>0</v>
      </c>
      <c r="V205" s="198">
        <f>$E205*餐厅成本录入!V208</f>
        <v>0</v>
      </c>
      <c r="W205" s="198">
        <f>$E205*餐厅成本录入!W208</f>
        <v>0</v>
      </c>
      <c r="X205" s="198">
        <f>$E205*餐厅成本录入!X208</f>
        <v>0</v>
      </c>
      <c r="Y205" s="198">
        <f>$E205*餐厅成本录入!Y208</f>
        <v>0</v>
      </c>
      <c r="Z205" s="198">
        <f>$E205*餐厅成本录入!Z208</f>
        <v>0</v>
      </c>
      <c r="AA205" s="198">
        <f>$E205*餐厅成本录入!AA208</f>
        <v>0</v>
      </c>
      <c r="AB205" s="198">
        <f>$E205*餐厅成本录入!AB208</f>
        <v>0</v>
      </c>
      <c r="AC205" s="198">
        <f>$E205*餐厅成本录入!AC208</f>
        <v>0</v>
      </c>
      <c r="AD205" s="198">
        <f>$E205*餐厅成本录入!AD208</f>
        <v>0</v>
      </c>
      <c r="AE205" s="198">
        <f>$E205*餐厅成本录入!AE208</f>
        <v>0</v>
      </c>
      <c r="AF205" s="198">
        <f>$E205*餐厅成本录入!AF208</f>
        <v>0</v>
      </c>
      <c r="AG205" s="198">
        <f>$E205*餐厅成本录入!AG208</f>
        <v>0</v>
      </c>
      <c r="AH205" s="198">
        <f>$E205*餐厅成本录入!AH208</f>
        <v>0</v>
      </c>
      <c r="AI205" s="198">
        <f>$E205*餐厅成本录入!AI208</f>
        <v>0</v>
      </c>
      <c r="AJ205" s="198">
        <f>$E205*餐厅成本录入!AJ208</f>
        <v>0</v>
      </c>
      <c r="AK205" s="198">
        <f>$E205*餐厅成本录入!AK208</f>
        <v>0</v>
      </c>
      <c r="AL205" s="198">
        <f>$E205*餐厅成本录入!AL208</f>
        <v>0</v>
      </c>
      <c r="AM205" s="198">
        <f>$E205*餐厅成本录入!AM208</f>
        <v>0</v>
      </c>
      <c r="AN205" s="198">
        <f>$E205*餐厅成本录入!AN208</f>
        <v>0</v>
      </c>
      <c r="AO205" s="198">
        <f>$E205*餐厅成本录入!AO208</f>
        <v>0</v>
      </c>
      <c r="AP205" s="198">
        <f>$E205*餐厅成本录入!AP208</f>
        <v>0</v>
      </c>
      <c r="AQ205" s="198">
        <f>$E205*餐厅成本录入!AQ208</f>
        <v>0</v>
      </c>
      <c r="AR205" s="198">
        <f>$E205*餐厅成本录入!AR208</f>
        <v>25</v>
      </c>
      <c r="AS205" s="198">
        <f>$E205*餐厅成本录入!AS208</f>
        <v>25</v>
      </c>
      <c r="AT205" s="198">
        <f>$E205*餐厅成本录入!AT208</f>
        <v>0</v>
      </c>
      <c r="AU205" s="198">
        <f>$E205*餐厅成本录入!AU208</f>
        <v>0</v>
      </c>
      <c r="AV205" s="198">
        <f>$E205*餐厅成本录入!AV208</f>
        <v>0</v>
      </c>
      <c r="AW205" s="198">
        <f>$E205*餐厅成本录入!AW208</f>
        <v>0</v>
      </c>
      <c r="AX205" s="198">
        <f>$E205*餐厅成本录入!AX208</f>
        <v>0</v>
      </c>
      <c r="AY205" s="198">
        <f>$E205*餐厅成本录入!AY208</f>
        <v>0</v>
      </c>
      <c r="AZ205" s="198">
        <f>$E205*餐厅成本录入!AZ208</f>
        <v>0</v>
      </c>
      <c r="BA205" s="198">
        <f>$E205*餐厅成本录入!BA208</f>
        <v>0</v>
      </c>
      <c r="BB205" s="198">
        <f>$E205*餐厅成本录入!BB208</f>
        <v>0</v>
      </c>
      <c r="BC205" s="198">
        <f>$E205*餐厅成本录入!BC208</f>
        <v>0</v>
      </c>
      <c r="BD205" s="198">
        <f>$E205*餐厅成本录入!BD208</f>
        <v>0</v>
      </c>
      <c r="BE205" s="198">
        <f>$E205*餐厅成本录入!BE208</f>
        <v>0</v>
      </c>
      <c r="BF205" s="198">
        <f>$E205*餐厅成本录入!BF208</f>
        <v>0</v>
      </c>
      <c r="BG205" s="198">
        <f>$E205*餐厅成本录入!BG208</f>
        <v>0</v>
      </c>
      <c r="BH205" s="198">
        <f>$E205*餐厅成本录入!BH208</f>
        <v>0</v>
      </c>
      <c r="BI205" s="198">
        <f>$E205*餐厅成本录入!BI208</f>
        <v>0</v>
      </c>
      <c r="BJ205" s="198">
        <f>$E205*餐厅成本录入!BJ208</f>
        <v>0</v>
      </c>
      <c r="BK205" s="198">
        <f>$E205*餐厅成本录入!BK208</f>
        <v>0</v>
      </c>
      <c r="BL205" s="198">
        <f>$E205*餐厅成本录入!BL208</f>
        <v>0</v>
      </c>
      <c r="BM205" s="198">
        <f>$E205*餐厅成本录入!BM208</f>
        <v>0</v>
      </c>
      <c r="BN205" s="198">
        <f>$E205*餐厅成本录入!BN208</f>
        <v>0</v>
      </c>
      <c r="BO205" s="198">
        <f>$E205*餐厅成本录入!BO208</f>
        <v>0</v>
      </c>
      <c r="BP205" s="198">
        <f>$E205*餐厅成本录入!BP208</f>
        <v>0</v>
      </c>
      <c r="BQ205" s="198">
        <f>$E205*餐厅成本录入!BQ208</f>
        <v>0</v>
      </c>
      <c r="BR205" s="198">
        <f>$E205*餐厅成本录入!BR208</f>
        <v>0</v>
      </c>
      <c r="BS205" s="198">
        <f>$E205*餐厅成本录入!BS208</f>
        <v>0</v>
      </c>
      <c r="BT205" s="198">
        <f>$E205*餐厅成本录入!BT208</f>
        <v>0</v>
      </c>
      <c r="BU205" s="198">
        <f>$E205*餐厅成本录入!BU208</f>
        <v>0</v>
      </c>
      <c r="BV205" s="198">
        <f>$E205*餐厅成本录入!BV208</f>
        <v>0</v>
      </c>
      <c r="BW205" s="198">
        <f>$E205*餐厅成本录入!BW208</f>
        <v>0</v>
      </c>
    </row>
    <row r="206" s="178" customFormat="1" customHeight="1" spans="1:75">
      <c r="A206" s="161">
        <v>238</v>
      </c>
      <c r="B206" s="21" t="str">
        <f>餐厅成本录入!B206</f>
        <v>郫县豆瓣</v>
      </c>
      <c r="C206" s="21">
        <f>餐厅成本录入!C206</f>
        <v>0</v>
      </c>
      <c r="D206" s="21">
        <f>餐厅成本录入!D206</f>
        <v>0</v>
      </c>
      <c r="E206" s="21">
        <f>餐厅成本录入!E206</f>
        <v>65</v>
      </c>
      <c r="F206" s="21">
        <f>餐厅成本录入!F206</f>
        <v>0</v>
      </c>
      <c r="G206" s="21">
        <f>餐厅成本录入!G206</f>
        <v>0</v>
      </c>
      <c r="H206" s="21">
        <f>餐厅成本录入!H206</f>
        <v>1</v>
      </c>
      <c r="I206" s="21">
        <f>餐厅成本录入!I206</f>
        <v>65</v>
      </c>
      <c r="J206" s="21">
        <f>餐厅成本录入!J206</f>
        <v>1</v>
      </c>
      <c r="K206" s="21">
        <f>餐厅成本录入!K206</f>
        <v>65</v>
      </c>
      <c r="L206" s="21">
        <f>餐厅成本录入!L206</f>
        <v>0</v>
      </c>
      <c r="M206" s="21">
        <f>餐厅成本录入!M206</f>
        <v>0</v>
      </c>
      <c r="N206" s="198">
        <f>$E206*餐厅成本录入!N209</f>
        <v>0</v>
      </c>
      <c r="O206" s="198">
        <f>$E206*餐厅成本录入!O209</f>
        <v>0</v>
      </c>
      <c r="P206" s="198">
        <f>$E206*餐厅成本录入!P209</f>
        <v>0</v>
      </c>
      <c r="Q206" s="198">
        <f>$E206*餐厅成本录入!Q209</f>
        <v>0</v>
      </c>
      <c r="R206" s="198">
        <f>$E206*餐厅成本录入!R209</f>
        <v>0</v>
      </c>
      <c r="S206" s="198">
        <f>$E206*餐厅成本录入!S209</f>
        <v>0</v>
      </c>
      <c r="T206" s="198">
        <f>$E206*餐厅成本录入!T209</f>
        <v>0</v>
      </c>
      <c r="U206" s="198">
        <f>$E206*餐厅成本录入!U209</f>
        <v>0</v>
      </c>
      <c r="V206" s="198">
        <f>$E206*餐厅成本录入!V209</f>
        <v>0</v>
      </c>
      <c r="W206" s="198">
        <f>$E206*餐厅成本录入!W209</f>
        <v>0</v>
      </c>
      <c r="X206" s="198">
        <f>$E206*餐厅成本录入!X209</f>
        <v>0</v>
      </c>
      <c r="Y206" s="198">
        <f>$E206*餐厅成本录入!Y209</f>
        <v>0</v>
      </c>
      <c r="Z206" s="198">
        <f>$E206*餐厅成本录入!Z209</f>
        <v>0</v>
      </c>
      <c r="AA206" s="198">
        <f>$E206*餐厅成本录入!AA209</f>
        <v>0</v>
      </c>
      <c r="AB206" s="198">
        <f>$E206*餐厅成本录入!AB209</f>
        <v>0</v>
      </c>
      <c r="AC206" s="198">
        <f>$E206*餐厅成本录入!AC209</f>
        <v>0</v>
      </c>
      <c r="AD206" s="198">
        <f>$E206*餐厅成本录入!AD209</f>
        <v>0</v>
      </c>
      <c r="AE206" s="198">
        <f>$E206*餐厅成本录入!AE209</f>
        <v>0</v>
      </c>
      <c r="AF206" s="198">
        <f>$E206*餐厅成本录入!AF209</f>
        <v>0</v>
      </c>
      <c r="AG206" s="198">
        <f>$E206*餐厅成本录入!AG209</f>
        <v>0</v>
      </c>
      <c r="AH206" s="198">
        <f>$E206*餐厅成本录入!AH209</f>
        <v>0</v>
      </c>
      <c r="AI206" s="198">
        <f>$E206*餐厅成本录入!AI209</f>
        <v>0</v>
      </c>
      <c r="AJ206" s="198">
        <f>$E206*餐厅成本录入!AJ209</f>
        <v>0</v>
      </c>
      <c r="AK206" s="198">
        <f>$E206*餐厅成本录入!AK209</f>
        <v>0</v>
      </c>
      <c r="AL206" s="198">
        <f>$E206*餐厅成本录入!AL209</f>
        <v>0</v>
      </c>
      <c r="AM206" s="198">
        <f>$E206*餐厅成本录入!AM209</f>
        <v>0</v>
      </c>
      <c r="AN206" s="198">
        <f>$E206*餐厅成本录入!AN209</f>
        <v>0</v>
      </c>
      <c r="AO206" s="198">
        <f>$E206*餐厅成本录入!AO209</f>
        <v>0</v>
      </c>
      <c r="AP206" s="198">
        <f>$E206*餐厅成本录入!AP209</f>
        <v>0</v>
      </c>
      <c r="AQ206" s="198">
        <f>$E206*餐厅成本录入!AQ209</f>
        <v>0</v>
      </c>
      <c r="AR206" s="198">
        <f>$E206*餐厅成本录入!AR209</f>
        <v>0</v>
      </c>
      <c r="AS206" s="198">
        <f>$E206*餐厅成本录入!AS209</f>
        <v>0</v>
      </c>
      <c r="AT206" s="198">
        <f>$E206*餐厅成本录入!AT209</f>
        <v>0</v>
      </c>
      <c r="AU206" s="198">
        <f>$E206*餐厅成本录入!AU209</f>
        <v>0</v>
      </c>
      <c r="AV206" s="198">
        <f>$E206*餐厅成本录入!AV209</f>
        <v>0</v>
      </c>
      <c r="AW206" s="198">
        <f>$E206*餐厅成本录入!AW209</f>
        <v>0</v>
      </c>
      <c r="AX206" s="198">
        <f>$E206*餐厅成本录入!AX209</f>
        <v>0</v>
      </c>
      <c r="AY206" s="198">
        <f>$E206*餐厅成本录入!AY209</f>
        <v>0</v>
      </c>
      <c r="AZ206" s="198">
        <f>$E206*餐厅成本录入!AZ209</f>
        <v>0</v>
      </c>
      <c r="BA206" s="198">
        <f>$E206*餐厅成本录入!BA209</f>
        <v>0</v>
      </c>
      <c r="BB206" s="198">
        <f>$E206*餐厅成本录入!BB209</f>
        <v>0</v>
      </c>
      <c r="BC206" s="198">
        <f>$E206*餐厅成本录入!BC209</f>
        <v>0</v>
      </c>
      <c r="BD206" s="198">
        <f>$E206*餐厅成本录入!BD209</f>
        <v>0</v>
      </c>
      <c r="BE206" s="198">
        <f>$E206*餐厅成本录入!BE209</f>
        <v>0</v>
      </c>
      <c r="BF206" s="198">
        <f>$E206*餐厅成本录入!BF209</f>
        <v>0</v>
      </c>
      <c r="BG206" s="198">
        <f>$E206*餐厅成本录入!BG209</f>
        <v>0</v>
      </c>
      <c r="BH206" s="198">
        <f>$E206*餐厅成本录入!BH209</f>
        <v>0</v>
      </c>
      <c r="BI206" s="198">
        <f>$E206*餐厅成本录入!BI209</f>
        <v>0</v>
      </c>
      <c r="BJ206" s="198">
        <f>$E206*餐厅成本录入!BJ209</f>
        <v>0</v>
      </c>
      <c r="BK206" s="198">
        <f>$E206*餐厅成本录入!BK209</f>
        <v>0</v>
      </c>
      <c r="BL206" s="198">
        <f>$E206*餐厅成本录入!BL209</f>
        <v>0</v>
      </c>
      <c r="BM206" s="198">
        <f>$E206*餐厅成本录入!BM209</f>
        <v>0</v>
      </c>
      <c r="BN206" s="198">
        <f>$E206*餐厅成本录入!BN209</f>
        <v>0</v>
      </c>
      <c r="BO206" s="198">
        <f>$E206*餐厅成本录入!BO209</f>
        <v>0</v>
      </c>
      <c r="BP206" s="198">
        <f>$E206*餐厅成本录入!BP209</f>
        <v>0</v>
      </c>
      <c r="BQ206" s="198">
        <f>$E206*餐厅成本录入!BQ209</f>
        <v>0</v>
      </c>
      <c r="BR206" s="198">
        <f>$E206*餐厅成本录入!BR209</f>
        <v>0</v>
      </c>
      <c r="BS206" s="198">
        <f>$E206*餐厅成本录入!BS209</f>
        <v>0</v>
      </c>
      <c r="BT206" s="198">
        <f>$E206*餐厅成本录入!BT209</f>
        <v>0</v>
      </c>
      <c r="BU206" s="198">
        <f>$E206*餐厅成本录入!BU209</f>
        <v>0</v>
      </c>
      <c r="BV206" s="198">
        <f>$E206*餐厅成本录入!BV209</f>
        <v>0</v>
      </c>
      <c r="BW206" s="198">
        <f>$E206*餐厅成本录入!BW209</f>
        <v>0</v>
      </c>
    </row>
    <row r="207" s="178" customFormat="1" customHeight="1" spans="1:75">
      <c r="A207" s="161">
        <v>239</v>
      </c>
      <c r="B207" s="21" t="str">
        <f>餐厅成本录入!B207</f>
        <v>孜然粒</v>
      </c>
      <c r="C207" s="21">
        <f>餐厅成本录入!C207</f>
        <v>0</v>
      </c>
      <c r="D207" s="21">
        <f>餐厅成本录入!D207</f>
        <v>0</v>
      </c>
      <c r="E207" s="21">
        <f>餐厅成本录入!E207</f>
        <v>20</v>
      </c>
      <c r="F207" s="21">
        <f>餐厅成本录入!F207</f>
        <v>0</v>
      </c>
      <c r="G207" s="21">
        <f>餐厅成本录入!G207</f>
        <v>0</v>
      </c>
      <c r="H207" s="21">
        <f>餐厅成本录入!H207</f>
        <v>1</v>
      </c>
      <c r="I207" s="21">
        <f>餐厅成本录入!I207</f>
        <v>20</v>
      </c>
      <c r="J207" s="21">
        <f>餐厅成本录入!J207</f>
        <v>1</v>
      </c>
      <c r="K207" s="21">
        <f>餐厅成本录入!K207</f>
        <v>20</v>
      </c>
      <c r="L207" s="21">
        <f>餐厅成本录入!L207</f>
        <v>0</v>
      </c>
      <c r="M207" s="21">
        <f>餐厅成本录入!M207</f>
        <v>0</v>
      </c>
      <c r="N207" s="198">
        <f>$E207*餐厅成本录入!N210</f>
        <v>0</v>
      </c>
      <c r="O207" s="198">
        <f>$E207*餐厅成本录入!O210</f>
        <v>0</v>
      </c>
      <c r="P207" s="198">
        <f>$E207*餐厅成本录入!P210</f>
        <v>0</v>
      </c>
      <c r="Q207" s="198">
        <f>$E207*餐厅成本录入!Q210</f>
        <v>0</v>
      </c>
      <c r="R207" s="198">
        <f>$E207*餐厅成本录入!R210</f>
        <v>0</v>
      </c>
      <c r="S207" s="198">
        <f>$E207*餐厅成本录入!S210</f>
        <v>0</v>
      </c>
      <c r="T207" s="198">
        <f>$E207*餐厅成本录入!T210</f>
        <v>0</v>
      </c>
      <c r="U207" s="198">
        <f>$E207*餐厅成本录入!U210</f>
        <v>0</v>
      </c>
      <c r="V207" s="198">
        <f>$E207*餐厅成本录入!V210</f>
        <v>0</v>
      </c>
      <c r="W207" s="198">
        <f>$E207*餐厅成本录入!W210</f>
        <v>0</v>
      </c>
      <c r="X207" s="198">
        <f>$E207*餐厅成本录入!X210</f>
        <v>0</v>
      </c>
      <c r="Y207" s="198">
        <f>$E207*餐厅成本录入!Y210</f>
        <v>0</v>
      </c>
      <c r="Z207" s="198">
        <f>$E207*餐厅成本录入!Z210</f>
        <v>0</v>
      </c>
      <c r="AA207" s="198">
        <f>$E207*餐厅成本录入!AA210</f>
        <v>0</v>
      </c>
      <c r="AB207" s="198">
        <f>$E207*餐厅成本录入!AB210</f>
        <v>0</v>
      </c>
      <c r="AC207" s="198">
        <f>$E207*餐厅成本录入!AC210</f>
        <v>0</v>
      </c>
      <c r="AD207" s="198">
        <f>$E207*餐厅成本录入!AD210</f>
        <v>0</v>
      </c>
      <c r="AE207" s="198">
        <f>$E207*餐厅成本录入!AE210</f>
        <v>0</v>
      </c>
      <c r="AF207" s="198">
        <f>$E207*餐厅成本录入!AF210</f>
        <v>0</v>
      </c>
      <c r="AG207" s="198">
        <f>$E207*餐厅成本录入!AG210</f>
        <v>0</v>
      </c>
      <c r="AH207" s="198">
        <f>$E207*餐厅成本录入!AH210</f>
        <v>0</v>
      </c>
      <c r="AI207" s="198">
        <f>$E207*餐厅成本录入!AI210</f>
        <v>0</v>
      </c>
      <c r="AJ207" s="198">
        <f>$E207*餐厅成本录入!AJ210</f>
        <v>0</v>
      </c>
      <c r="AK207" s="198">
        <f>$E207*餐厅成本录入!AK210</f>
        <v>0</v>
      </c>
      <c r="AL207" s="198">
        <f>$E207*餐厅成本录入!AL210</f>
        <v>0</v>
      </c>
      <c r="AM207" s="198">
        <f>$E207*餐厅成本录入!AM210</f>
        <v>0</v>
      </c>
      <c r="AN207" s="198">
        <f>$E207*餐厅成本录入!AN210</f>
        <v>0</v>
      </c>
      <c r="AO207" s="198">
        <f>$E207*餐厅成本录入!AO210</f>
        <v>0</v>
      </c>
      <c r="AP207" s="198">
        <f>$E207*餐厅成本录入!AP210</f>
        <v>0</v>
      </c>
      <c r="AQ207" s="198">
        <f>$E207*餐厅成本录入!AQ210</f>
        <v>0</v>
      </c>
      <c r="AR207" s="198">
        <f>$E207*餐厅成本录入!AR210</f>
        <v>0</v>
      </c>
      <c r="AS207" s="198">
        <f>$E207*餐厅成本录入!AS210</f>
        <v>0</v>
      </c>
      <c r="AT207" s="198">
        <f>$E207*餐厅成本录入!AT210</f>
        <v>0</v>
      </c>
      <c r="AU207" s="198">
        <f>$E207*餐厅成本录入!AU210</f>
        <v>0</v>
      </c>
      <c r="AV207" s="198">
        <f>$E207*餐厅成本录入!AV210</f>
        <v>0</v>
      </c>
      <c r="AW207" s="198">
        <f>$E207*餐厅成本录入!AW210</f>
        <v>0</v>
      </c>
      <c r="AX207" s="198">
        <f>$E207*餐厅成本录入!AX210</f>
        <v>0</v>
      </c>
      <c r="AY207" s="198">
        <f>$E207*餐厅成本录入!AY210</f>
        <v>0</v>
      </c>
      <c r="AZ207" s="198">
        <f>$E207*餐厅成本录入!AZ210</f>
        <v>0</v>
      </c>
      <c r="BA207" s="198">
        <f>$E207*餐厅成本录入!BA210</f>
        <v>0</v>
      </c>
      <c r="BB207" s="198">
        <f>$E207*餐厅成本录入!BB210</f>
        <v>0</v>
      </c>
      <c r="BC207" s="198">
        <f>$E207*餐厅成本录入!BC210</f>
        <v>0</v>
      </c>
      <c r="BD207" s="198">
        <f>$E207*餐厅成本录入!BD210</f>
        <v>0</v>
      </c>
      <c r="BE207" s="198">
        <f>$E207*餐厅成本录入!BE210</f>
        <v>0</v>
      </c>
      <c r="BF207" s="198">
        <f>$E207*餐厅成本录入!BF210</f>
        <v>0</v>
      </c>
      <c r="BG207" s="198">
        <f>$E207*餐厅成本录入!BG210</f>
        <v>0</v>
      </c>
      <c r="BH207" s="198">
        <f>$E207*餐厅成本录入!BH210</f>
        <v>0</v>
      </c>
      <c r="BI207" s="198">
        <f>$E207*餐厅成本录入!BI210</f>
        <v>0</v>
      </c>
      <c r="BJ207" s="198">
        <f>$E207*餐厅成本录入!BJ210</f>
        <v>20</v>
      </c>
      <c r="BK207" s="198">
        <f>$E207*餐厅成本录入!BK210</f>
        <v>20</v>
      </c>
      <c r="BL207" s="198">
        <f>$E207*餐厅成本录入!BL210</f>
        <v>0</v>
      </c>
      <c r="BM207" s="198">
        <f>$E207*餐厅成本录入!BM210</f>
        <v>0</v>
      </c>
      <c r="BN207" s="198">
        <f>$E207*餐厅成本录入!BN210</f>
        <v>0</v>
      </c>
      <c r="BO207" s="198">
        <f>$E207*餐厅成本录入!BO210</f>
        <v>0</v>
      </c>
      <c r="BP207" s="198">
        <f>$E207*餐厅成本录入!BP210</f>
        <v>0</v>
      </c>
      <c r="BQ207" s="198">
        <f>$E207*餐厅成本录入!BQ210</f>
        <v>0</v>
      </c>
      <c r="BR207" s="198">
        <f>$E207*餐厅成本录入!BR210</f>
        <v>20</v>
      </c>
      <c r="BS207" s="198">
        <f>$E207*餐厅成本录入!BS210</f>
        <v>20</v>
      </c>
      <c r="BT207" s="198">
        <f>$E207*餐厅成本录入!BT210</f>
        <v>0</v>
      </c>
      <c r="BU207" s="198">
        <f>$E207*餐厅成本录入!BU210</f>
        <v>0</v>
      </c>
      <c r="BV207" s="198">
        <f>$E207*餐厅成本录入!BV210</f>
        <v>0</v>
      </c>
      <c r="BW207" s="198">
        <f>$E207*餐厅成本录入!BW210</f>
        <v>0</v>
      </c>
    </row>
    <row r="208" s="178" customFormat="1" customHeight="1" spans="1:75">
      <c r="A208" s="161">
        <v>240</v>
      </c>
      <c r="B208" s="21" t="str">
        <f>餐厅成本录入!B208</f>
        <v>芝麻</v>
      </c>
      <c r="C208" s="21">
        <f>餐厅成本录入!C208</f>
        <v>0</v>
      </c>
      <c r="D208" s="21">
        <f>餐厅成本录入!D208</f>
        <v>0</v>
      </c>
      <c r="E208" s="21">
        <f>餐厅成本录入!E208</f>
        <v>10</v>
      </c>
      <c r="F208" s="21">
        <f>餐厅成本录入!F208</f>
        <v>0</v>
      </c>
      <c r="G208" s="21">
        <f>餐厅成本录入!G208</f>
        <v>0</v>
      </c>
      <c r="H208" s="21">
        <f>餐厅成本录入!H208</f>
        <v>1</v>
      </c>
      <c r="I208" s="21">
        <f>餐厅成本录入!I208</f>
        <v>10</v>
      </c>
      <c r="J208" s="21">
        <f>餐厅成本录入!J208</f>
        <v>1</v>
      </c>
      <c r="K208" s="21">
        <f>餐厅成本录入!K208</f>
        <v>10</v>
      </c>
      <c r="L208" s="21">
        <f>餐厅成本录入!L208</f>
        <v>0</v>
      </c>
      <c r="M208" s="21">
        <f>餐厅成本录入!M208</f>
        <v>0</v>
      </c>
      <c r="N208" s="198">
        <f>$E208*餐厅成本录入!N211</f>
        <v>0</v>
      </c>
      <c r="O208" s="198">
        <f>$E208*餐厅成本录入!O211</f>
        <v>0</v>
      </c>
      <c r="P208" s="198">
        <f>$E208*餐厅成本录入!P211</f>
        <v>0</v>
      </c>
      <c r="Q208" s="198">
        <f>$E208*餐厅成本录入!Q211</f>
        <v>0</v>
      </c>
      <c r="R208" s="198">
        <f>$E208*餐厅成本录入!R211</f>
        <v>0</v>
      </c>
      <c r="S208" s="198">
        <f>$E208*餐厅成本录入!S211</f>
        <v>0</v>
      </c>
      <c r="T208" s="198">
        <f>$E208*餐厅成本录入!T211</f>
        <v>0</v>
      </c>
      <c r="U208" s="198">
        <f>$E208*餐厅成本录入!U211</f>
        <v>0</v>
      </c>
      <c r="V208" s="198">
        <f>$E208*餐厅成本录入!V211</f>
        <v>0</v>
      </c>
      <c r="W208" s="198">
        <f>$E208*餐厅成本录入!W211</f>
        <v>0</v>
      </c>
      <c r="X208" s="198">
        <f>$E208*餐厅成本录入!X211</f>
        <v>0</v>
      </c>
      <c r="Y208" s="198">
        <f>$E208*餐厅成本录入!Y211</f>
        <v>0</v>
      </c>
      <c r="Z208" s="198">
        <f>$E208*餐厅成本录入!Z211</f>
        <v>0</v>
      </c>
      <c r="AA208" s="198">
        <f>$E208*餐厅成本录入!AA211</f>
        <v>0</v>
      </c>
      <c r="AB208" s="198">
        <f>$E208*餐厅成本录入!AB211</f>
        <v>0</v>
      </c>
      <c r="AC208" s="198">
        <f>$E208*餐厅成本录入!AC211</f>
        <v>0</v>
      </c>
      <c r="AD208" s="198">
        <f>$E208*餐厅成本录入!AD211</f>
        <v>0</v>
      </c>
      <c r="AE208" s="198">
        <f>$E208*餐厅成本录入!AE211</f>
        <v>0</v>
      </c>
      <c r="AF208" s="198">
        <f>$E208*餐厅成本录入!AF211</f>
        <v>0</v>
      </c>
      <c r="AG208" s="198">
        <f>$E208*餐厅成本录入!AG211</f>
        <v>0</v>
      </c>
      <c r="AH208" s="198">
        <f>$E208*餐厅成本录入!AH211</f>
        <v>0</v>
      </c>
      <c r="AI208" s="198">
        <f>$E208*餐厅成本录入!AI211</f>
        <v>0</v>
      </c>
      <c r="AJ208" s="198">
        <f>$E208*餐厅成本录入!AJ211</f>
        <v>0</v>
      </c>
      <c r="AK208" s="198">
        <f>$E208*餐厅成本录入!AK211</f>
        <v>0</v>
      </c>
      <c r="AL208" s="198">
        <f>$E208*餐厅成本录入!AL211</f>
        <v>0</v>
      </c>
      <c r="AM208" s="198">
        <f>$E208*餐厅成本录入!AM211</f>
        <v>0</v>
      </c>
      <c r="AN208" s="198">
        <f>$E208*餐厅成本录入!AN211</f>
        <v>0</v>
      </c>
      <c r="AO208" s="198">
        <f>$E208*餐厅成本录入!AO211</f>
        <v>0</v>
      </c>
      <c r="AP208" s="198">
        <f>$E208*餐厅成本录入!AP211</f>
        <v>0</v>
      </c>
      <c r="AQ208" s="198">
        <f>$E208*餐厅成本录入!AQ211</f>
        <v>0</v>
      </c>
      <c r="AR208" s="198">
        <f>$E208*餐厅成本录入!AR211</f>
        <v>0</v>
      </c>
      <c r="AS208" s="198">
        <f>$E208*餐厅成本录入!AS211</f>
        <v>0</v>
      </c>
      <c r="AT208" s="198">
        <f>$E208*餐厅成本录入!AT211</f>
        <v>0</v>
      </c>
      <c r="AU208" s="198">
        <f>$E208*餐厅成本录入!AU211</f>
        <v>0</v>
      </c>
      <c r="AV208" s="198">
        <f>$E208*餐厅成本录入!AV211</f>
        <v>0</v>
      </c>
      <c r="AW208" s="198">
        <f>$E208*餐厅成本录入!AW211</f>
        <v>0</v>
      </c>
      <c r="AX208" s="198">
        <f>$E208*餐厅成本录入!AX211</f>
        <v>0</v>
      </c>
      <c r="AY208" s="198">
        <f>$E208*餐厅成本录入!AY211</f>
        <v>0</v>
      </c>
      <c r="AZ208" s="198">
        <f>$E208*餐厅成本录入!AZ211</f>
        <v>0</v>
      </c>
      <c r="BA208" s="198">
        <f>$E208*餐厅成本录入!BA211</f>
        <v>0</v>
      </c>
      <c r="BB208" s="198">
        <f>$E208*餐厅成本录入!BB211</f>
        <v>0</v>
      </c>
      <c r="BC208" s="198">
        <f>$E208*餐厅成本录入!BC211</f>
        <v>0</v>
      </c>
      <c r="BD208" s="198">
        <f>$E208*餐厅成本录入!BD211</f>
        <v>0</v>
      </c>
      <c r="BE208" s="198">
        <f>$E208*餐厅成本录入!BE211</f>
        <v>0</v>
      </c>
      <c r="BF208" s="198">
        <f>$E208*餐厅成本录入!BF211</f>
        <v>0</v>
      </c>
      <c r="BG208" s="198">
        <f>$E208*餐厅成本录入!BG211</f>
        <v>0</v>
      </c>
      <c r="BH208" s="198">
        <f>$E208*餐厅成本录入!BH211</f>
        <v>0</v>
      </c>
      <c r="BI208" s="198">
        <f>$E208*餐厅成本录入!BI211</f>
        <v>0</v>
      </c>
      <c r="BJ208" s="198">
        <f>$E208*餐厅成本录入!BJ211</f>
        <v>0</v>
      </c>
      <c r="BK208" s="198">
        <f>$E208*餐厅成本录入!BK211</f>
        <v>0</v>
      </c>
      <c r="BL208" s="198">
        <f>$E208*餐厅成本录入!BL211</f>
        <v>0</v>
      </c>
      <c r="BM208" s="198">
        <f>$E208*餐厅成本录入!BM211</f>
        <v>0</v>
      </c>
      <c r="BN208" s="198">
        <f>$E208*餐厅成本录入!BN211</f>
        <v>0</v>
      </c>
      <c r="BO208" s="198">
        <f>$E208*餐厅成本录入!BO211</f>
        <v>0</v>
      </c>
      <c r="BP208" s="198">
        <f>$E208*餐厅成本录入!BP211</f>
        <v>0</v>
      </c>
      <c r="BQ208" s="198">
        <f>$E208*餐厅成本录入!BQ211</f>
        <v>0</v>
      </c>
      <c r="BR208" s="198">
        <f>$E208*餐厅成本录入!BR211</f>
        <v>0</v>
      </c>
      <c r="BS208" s="198">
        <f>$E208*餐厅成本录入!BS211</f>
        <v>0</v>
      </c>
      <c r="BT208" s="198">
        <f>$E208*餐厅成本录入!BT211</f>
        <v>0</v>
      </c>
      <c r="BU208" s="198">
        <f>$E208*餐厅成本录入!BU211</f>
        <v>0</v>
      </c>
      <c r="BV208" s="198">
        <f>$E208*餐厅成本录入!BV211</f>
        <v>0</v>
      </c>
      <c r="BW208" s="198">
        <f>$E208*餐厅成本录入!BW211</f>
        <v>0</v>
      </c>
    </row>
    <row r="209" s="178" customFormat="1" customHeight="1" spans="1:75">
      <c r="A209" s="161">
        <v>241</v>
      </c>
      <c r="B209" s="21" t="str">
        <f>餐厅成本录入!B209</f>
        <v>一品香酱油</v>
      </c>
      <c r="C209" s="21">
        <f>餐厅成本录入!C209</f>
        <v>0</v>
      </c>
      <c r="D209" s="21" t="str">
        <f>餐厅成本录入!D209</f>
        <v>件</v>
      </c>
      <c r="E209" s="21">
        <f>餐厅成本录入!E209</f>
        <v>140</v>
      </c>
      <c r="F209" s="21">
        <f>餐厅成本录入!F209</f>
        <v>0</v>
      </c>
      <c r="G209" s="21">
        <f>餐厅成本录入!G209</f>
        <v>0</v>
      </c>
      <c r="H209" s="21">
        <f>餐厅成本录入!H209</f>
        <v>0</v>
      </c>
      <c r="I209" s="21">
        <f>餐厅成本录入!I209</f>
        <v>0</v>
      </c>
      <c r="J209" s="21">
        <f>餐厅成本录入!J209</f>
        <v>0</v>
      </c>
      <c r="K209" s="21">
        <f>餐厅成本录入!K209</f>
        <v>0</v>
      </c>
      <c r="L209" s="21">
        <f>餐厅成本录入!L209</f>
        <v>0</v>
      </c>
      <c r="M209" s="21">
        <f>餐厅成本录入!M209</f>
        <v>0</v>
      </c>
      <c r="N209" s="198">
        <f>$E209*餐厅成本录入!N212</f>
        <v>0</v>
      </c>
      <c r="O209" s="198">
        <f>$E209*餐厅成本录入!O212</f>
        <v>0</v>
      </c>
      <c r="P209" s="198">
        <f>$E209*餐厅成本录入!P212</f>
        <v>0</v>
      </c>
      <c r="Q209" s="198">
        <f>$E209*餐厅成本录入!Q212</f>
        <v>0</v>
      </c>
      <c r="R209" s="198">
        <f>$E209*餐厅成本录入!R212</f>
        <v>0</v>
      </c>
      <c r="S209" s="198">
        <f>$E209*餐厅成本录入!S212</f>
        <v>0</v>
      </c>
      <c r="T209" s="198">
        <f>$E209*餐厅成本录入!T212</f>
        <v>0</v>
      </c>
      <c r="U209" s="198">
        <f>$E209*餐厅成本录入!U212</f>
        <v>0</v>
      </c>
      <c r="V209" s="198">
        <f>$E209*餐厅成本录入!V212</f>
        <v>0</v>
      </c>
      <c r="W209" s="198">
        <f>$E209*餐厅成本录入!W212</f>
        <v>0</v>
      </c>
      <c r="X209" s="198">
        <f>$E209*餐厅成本录入!X212</f>
        <v>0</v>
      </c>
      <c r="Y209" s="198">
        <f>$E209*餐厅成本录入!Y212</f>
        <v>0</v>
      </c>
      <c r="Z209" s="198">
        <f>$E209*餐厅成本录入!Z212</f>
        <v>0</v>
      </c>
      <c r="AA209" s="198">
        <f>$E209*餐厅成本录入!AA212</f>
        <v>0</v>
      </c>
      <c r="AB209" s="198">
        <f>$E209*餐厅成本录入!AB212</f>
        <v>0</v>
      </c>
      <c r="AC209" s="198">
        <f>$E209*餐厅成本录入!AC212</f>
        <v>0</v>
      </c>
      <c r="AD209" s="198">
        <f>$E209*餐厅成本录入!AD212</f>
        <v>0</v>
      </c>
      <c r="AE209" s="198">
        <f>$E209*餐厅成本录入!AE212</f>
        <v>0</v>
      </c>
      <c r="AF209" s="198">
        <f>$E209*餐厅成本录入!AF212</f>
        <v>0</v>
      </c>
      <c r="AG209" s="198">
        <f>$E209*餐厅成本录入!AG212</f>
        <v>0</v>
      </c>
      <c r="AH209" s="198">
        <f>$E209*餐厅成本录入!AH212</f>
        <v>0</v>
      </c>
      <c r="AI209" s="198">
        <f>$E209*餐厅成本录入!AI212</f>
        <v>0</v>
      </c>
      <c r="AJ209" s="198">
        <f>$E209*餐厅成本录入!AJ212</f>
        <v>0</v>
      </c>
      <c r="AK209" s="198">
        <f>$E209*餐厅成本录入!AK212</f>
        <v>0</v>
      </c>
      <c r="AL209" s="198">
        <f>$E209*餐厅成本录入!AL212</f>
        <v>0</v>
      </c>
      <c r="AM209" s="198">
        <f>$E209*餐厅成本录入!AM212</f>
        <v>0</v>
      </c>
      <c r="AN209" s="198">
        <f>$E209*餐厅成本录入!AN212</f>
        <v>0</v>
      </c>
      <c r="AO209" s="198">
        <f>$E209*餐厅成本录入!AO212</f>
        <v>0</v>
      </c>
      <c r="AP209" s="198">
        <f>$E209*餐厅成本录入!AP212</f>
        <v>0</v>
      </c>
      <c r="AQ209" s="198">
        <f>$E209*餐厅成本录入!AQ212</f>
        <v>0</v>
      </c>
      <c r="AR209" s="198">
        <f>$E209*餐厅成本录入!AR212</f>
        <v>0</v>
      </c>
      <c r="AS209" s="198">
        <f>$E209*餐厅成本录入!AS212</f>
        <v>0</v>
      </c>
      <c r="AT209" s="198">
        <f>$E209*餐厅成本录入!AT212</f>
        <v>0</v>
      </c>
      <c r="AU209" s="198">
        <f>$E209*餐厅成本录入!AU212</f>
        <v>0</v>
      </c>
      <c r="AV209" s="198">
        <f>$E209*餐厅成本录入!AV212</f>
        <v>0</v>
      </c>
      <c r="AW209" s="198">
        <f>$E209*餐厅成本录入!AW212</f>
        <v>0</v>
      </c>
      <c r="AX209" s="198">
        <f>$E209*餐厅成本录入!AX212</f>
        <v>1400</v>
      </c>
      <c r="AY209" s="198">
        <f>$E209*餐厅成本录入!AY212</f>
        <v>1400</v>
      </c>
      <c r="AZ209" s="198">
        <f>$E209*餐厅成本录入!AZ212</f>
        <v>0</v>
      </c>
      <c r="BA209" s="198">
        <f>$E209*餐厅成本录入!BA212</f>
        <v>0</v>
      </c>
      <c r="BB209" s="198">
        <f>$E209*餐厅成本录入!BB212</f>
        <v>0</v>
      </c>
      <c r="BC209" s="198">
        <f>$E209*餐厅成本录入!BC212</f>
        <v>0</v>
      </c>
      <c r="BD209" s="198">
        <f>$E209*餐厅成本录入!BD212</f>
        <v>0</v>
      </c>
      <c r="BE209" s="198">
        <f>$E209*餐厅成本录入!BE212</f>
        <v>0</v>
      </c>
      <c r="BF209" s="198">
        <f>$E209*餐厅成本录入!BF212</f>
        <v>0</v>
      </c>
      <c r="BG209" s="198">
        <f>$E209*餐厅成本录入!BG212</f>
        <v>0</v>
      </c>
      <c r="BH209" s="198">
        <f>$E209*餐厅成本录入!BH212</f>
        <v>0</v>
      </c>
      <c r="BI209" s="198">
        <f>$E209*餐厅成本录入!BI212</f>
        <v>0</v>
      </c>
      <c r="BJ209" s="198">
        <f>$E209*餐厅成本录入!BJ212</f>
        <v>0</v>
      </c>
      <c r="BK209" s="198">
        <f>$E209*餐厅成本录入!BK212</f>
        <v>0</v>
      </c>
      <c r="BL209" s="198">
        <f>$E209*餐厅成本录入!BL212</f>
        <v>0</v>
      </c>
      <c r="BM209" s="198">
        <f>$E209*餐厅成本录入!BM212</f>
        <v>0</v>
      </c>
      <c r="BN209" s="198">
        <f>$E209*餐厅成本录入!BN212</f>
        <v>0</v>
      </c>
      <c r="BO209" s="198">
        <f>$E209*餐厅成本录入!BO212</f>
        <v>0</v>
      </c>
      <c r="BP209" s="198">
        <f>$E209*餐厅成本录入!BP212</f>
        <v>0</v>
      </c>
      <c r="BQ209" s="198">
        <f>$E209*餐厅成本录入!BQ212</f>
        <v>0</v>
      </c>
      <c r="BR209" s="198">
        <f>$E209*餐厅成本录入!BR212</f>
        <v>0</v>
      </c>
      <c r="BS209" s="198">
        <f>$E209*餐厅成本录入!BS212</f>
        <v>0</v>
      </c>
      <c r="BT209" s="198">
        <f>$E209*餐厅成本录入!BT212</f>
        <v>0</v>
      </c>
      <c r="BU209" s="198">
        <f>$E209*餐厅成本录入!BU212</f>
        <v>0</v>
      </c>
      <c r="BV209" s="198">
        <f>$E209*餐厅成本录入!BV212</f>
        <v>0</v>
      </c>
      <c r="BW209" s="198">
        <f>$E209*餐厅成本录入!BW212</f>
        <v>0</v>
      </c>
    </row>
    <row r="210" s="178" customFormat="1" customHeight="1" spans="1:75">
      <c r="A210" s="161">
        <v>242</v>
      </c>
      <c r="B210" s="21" t="str">
        <f>餐厅成本录入!B210</f>
        <v>鸡精</v>
      </c>
      <c r="C210" s="21">
        <f>餐厅成本录入!C210</f>
        <v>0</v>
      </c>
      <c r="D210" s="21" t="str">
        <f>餐厅成本录入!D210</f>
        <v>件</v>
      </c>
      <c r="E210" s="21">
        <f>餐厅成本录入!E210</f>
        <v>230</v>
      </c>
      <c r="F210" s="21">
        <f>餐厅成本录入!F210</f>
        <v>0</v>
      </c>
      <c r="G210" s="21">
        <f>餐厅成本录入!G210</f>
        <v>0</v>
      </c>
      <c r="H210" s="21">
        <f>餐厅成本录入!H210</f>
        <v>2</v>
      </c>
      <c r="I210" s="21">
        <f>餐厅成本录入!I210</f>
        <v>460</v>
      </c>
      <c r="J210" s="21">
        <f>餐厅成本录入!J210</f>
        <v>2</v>
      </c>
      <c r="K210" s="21">
        <f>餐厅成本录入!K210</f>
        <v>460</v>
      </c>
      <c r="L210" s="21">
        <f>餐厅成本录入!L210</f>
        <v>0</v>
      </c>
      <c r="M210" s="21">
        <f>餐厅成本录入!M210</f>
        <v>0</v>
      </c>
      <c r="N210" s="198">
        <f>$E210*餐厅成本录入!N213</f>
        <v>0</v>
      </c>
      <c r="O210" s="198">
        <f>$E210*餐厅成本录入!O213</f>
        <v>0</v>
      </c>
      <c r="P210" s="198">
        <f>$E210*餐厅成本录入!P213</f>
        <v>0</v>
      </c>
      <c r="Q210" s="198">
        <f>$E210*餐厅成本录入!Q213</f>
        <v>0</v>
      </c>
      <c r="R210" s="198">
        <f>$E210*餐厅成本录入!R213</f>
        <v>0</v>
      </c>
      <c r="S210" s="198">
        <f>$E210*餐厅成本录入!S213</f>
        <v>0</v>
      </c>
      <c r="T210" s="198">
        <f>$E210*餐厅成本录入!T213</f>
        <v>0</v>
      </c>
      <c r="U210" s="198">
        <f>$E210*餐厅成本录入!U213</f>
        <v>0</v>
      </c>
      <c r="V210" s="198">
        <f>$E210*餐厅成本录入!V213</f>
        <v>0</v>
      </c>
      <c r="W210" s="198">
        <f>$E210*餐厅成本录入!W213</f>
        <v>0</v>
      </c>
      <c r="X210" s="198">
        <f>$E210*餐厅成本录入!X213</f>
        <v>0</v>
      </c>
      <c r="Y210" s="198">
        <f>$E210*餐厅成本录入!Y213</f>
        <v>0</v>
      </c>
      <c r="Z210" s="198">
        <f>$E210*餐厅成本录入!Z213</f>
        <v>0</v>
      </c>
      <c r="AA210" s="198">
        <f>$E210*餐厅成本录入!AA213</f>
        <v>0</v>
      </c>
      <c r="AB210" s="198">
        <f>$E210*餐厅成本录入!AB213</f>
        <v>0</v>
      </c>
      <c r="AC210" s="198">
        <f>$E210*餐厅成本录入!AC213</f>
        <v>0</v>
      </c>
      <c r="AD210" s="198">
        <f>$E210*餐厅成本录入!AD213</f>
        <v>0</v>
      </c>
      <c r="AE210" s="198">
        <f>$E210*餐厅成本录入!AE213</f>
        <v>0</v>
      </c>
      <c r="AF210" s="198">
        <f>$E210*餐厅成本录入!AF213</f>
        <v>0</v>
      </c>
      <c r="AG210" s="198">
        <f>$E210*餐厅成本录入!AG213</f>
        <v>0</v>
      </c>
      <c r="AH210" s="198">
        <f>$E210*餐厅成本录入!AH213</f>
        <v>0</v>
      </c>
      <c r="AI210" s="198">
        <f>$E210*餐厅成本录入!AI213</f>
        <v>0</v>
      </c>
      <c r="AJ210" s="198">
        <f>$E210*餐厅成本录入!AJ213</f>
        <v>0</v>
      </c>
      <c r="AK210" s="198">
        <f>$E210*餐厅成本录入!AK213</f>
        <v>0</v>
      </c>
      <c r="AL210" s="198">
        <f>$E210*餐厅成本录入!AL213</f>
        <v>0</v>
      </c>
      <c r="AM210" s="198">
        <f>$E210*餐厅成本录入!AM213</f>
        <v>0</v>
      </c>
      <c r="AN210" s="198">
        <f>$E210*餐厅成本录入!AN213</f>
        <v>0</v>
      </c>
      <c r="AO210" s="198">
        <f>$E210*餐厅成本录入!AO213</f>
        <v>0</v>
      </c>
      <c r="AP210" s="198">
        <f>$E210*餐厅成本录入!AP213</f>
        <v>0</v>
      </c>
      <c r="AQ210" s="198">
        <f>$E210*餐厅成本录入!AQ213</f>
        <v>0</v>
      </c>
      <c r="AR210" s="198">
        <f>$E210*餐厅成本录入!AR213</f>
        <v>0</v>
      </c>
      <c r="AS210" s="198">
        <f>$E210*餐厅成本录入!AS213</f>
        <v>0</v>
      </c>
      <c r="AT210" s="198">
        <f>$E210*餐厅成本录入!AT213</f>
        <v>0</v>
      </c>
      <c r="AU210" s="198">
        <f>$E210*餐厅成本录入!AU213</f>
        <v>0</v>
      </c>
      <c r="AV210" s="198">
        <f>$E210*餐厅成本录入!AV213</f>
        <v>0</v>
      </c>
      <c r="AW210" s="198">
        <f>$E210*餐厅成本录入!AW213</f>
        <v>0</v>
      </c>
      <c r="AX210" s="198">
        <f>$E210*餐厅成本录入!AX213</f>
        <v>0</v>
      </c>
      <c r="AY210" s="198">
        <f>$E210*餐厅成本录入!AY213</f>
        <v>0</v>
      </c>
      <c r="AZ210" s="198">
        <f>$E210*餐厅成本录入!AZ213</f>
        <v>0</v>
      </c>
      <c r="BA210" s="198">
        <f>$E210*餐厅成本录入!BA213</f>
        <v>0</v>
      </c>
      <c r="BB210" s="198">
        <f>$E210*餐厅成本录入!BB213</f>
        <v>0</v>
      </c>
      <c r="BC210" s="198">
        <f>$E210*餐厅成本录入!BC213</f>
        <v>0</v>
      </c>
      <c r="BD210" s="198">
        <f>$E210*餐厅成本录入!BD213</f>
        <v>0</v>
      </c>
      <c r="BE210" s="198">
        <f>$E210*餐厅成本录入!BE213</f>
        <v>0</v>
      </c>
      <c r="BF210" s="198">
        <f>$E210*餐厅成本录入!BF213</f>
        <v>0</v>
      </c>
      <c r="BG210" s="198">
        <f>$E210*餐厅成本录入!BG213</f>
        <v>0</v>
      </c>
      <c r="BH210" s="198">
        <f>$E210*餐厅成本录入!BH213</f>
        <v>0</v>
      </c>
      <c r="BI210" s="198">
        <f>$E210*餐厅成本录入!BI213</f>
        <v>0</v>
      </c>
      <c r="BJ210" s="198">
        <f>$E210*餐厅成本录入!BJ213</f>
        <v>0</v>
      </c>
      <c r="BK210" s="198">
        <f>$E210*餐厅成本录入!BK213</f>
        <v>0</v>
      </c>
      <c r="BL210" s="198">
        <f>$E210*餐厅成本录入!BL213</f>
        <v>0</v>
      </c>
      <c r="BM210" s="198">
        <f>$E210*餐厅成本录入!BM213</f>
        <v>0</v>
      </c>
      <c r="BN210" s="198">
        <f>$E210*餐厅成本录入!BN213</f>
        <v>0</v>
      </c>
      <c r="BO210" s="198">
        <f>$E210*餐厅成本录入!BO213</f>
        <v>0</v>
      </c>
      <c r="BP210" s="198">
        <f>$E210*餐厅成本录入!BP213</f>
        <v>0</v>
      </c>
      <c r="BQ210" s="198">
        <f>$E210*餐厅成本录入!BQ213</f>
        <v>0</v>
      </c>
      <c r="BR210" s="198">
        <f>$E210*餐厅成本录入!BR213</f>
        <v>0</v>
      </c>
      <c r="BS210" s="198">
        <f>$E210*餐厅成本录入!BS213</f>
        <v>0</v>
      </c>
      <c r="BT210" s="198">
        <f>$E210*餐厅成本录入!BT213</f>
        <v>0</v>
      </c>
      <c r="BU210" s="198">
        <f>$E210*餐厅成本录入!BU213</f>
        <v>0</v>
      </c>
      <c r="BV210" s="198">
        <f>$E210*餐厅成本录入!BV213</f>
        <v>0</v>
      </c>
      <c r="BW210" s="198">
        <f>$E210*餐厅成本录入!BW213</f>
        <v>0</v>
      </c>
    </row>
    <row r="211" s="178" customFormat="1" customHeight="1" spans="1:75">
      <c r="A211" s="161">
        <v>243</v>
      </c>
      <c r="B211" s="21" t="str">
        <f>餐厅成本录入!B211</f>
        <v>红腰豆</v>
      </c>
      <c r="C211" s="21">
        <f>餐厅成本录入!C211</f>
        <v>0</v>
      </c>
      <c r="D211" s="21" t="str">
        <f>餐厅成本录入!D211</f>
        <v>件</v>
      </c>
      <c r="E211" s="21">
        <f>餐厅成本录入!E211</f>
        <v>60</v>
      </c>
      <c r="F211" s="21">
        <f>餐厅成本录入!F211</f>
        <v>0</v>
      </c>
      <c r="G211" s="21">
        <f>餐厅成本录入!G211</f>
        <v>0</v>
      </c>
      <c r="H211" s="21">
        <f>餐厅成本录入!H211</f>
        <v>0</v>
      </c>
      <c r="I211" s="21">
        <f>餐厅成本录入!I211</f>
        <v>0</v>
      </c>
      <c r="J211" s="21">
        <f>餐厅成本录入!J211</f>
        <v>0</v>
      </c>
      <c r="K211" s="21">
        <f>餐厅成本录入!K211</f>
        <v>0</v>
      </c>
      <c r="L211" s="21">
        <f>餐厅成本录入!L211</f>
        <v>0</v>
      </c>
      <c r="M211" s="21">
        <f>餐厅成本录入!M211</f>
        <v>0</v>
      </c>
      <c r="N211" s="198">
        <f>$E211*餐厅成本录入!N214</f>
        <v>0</v>
      </c>
      <c r="O211" s="198">
        <f>$E211*餐厅成本录入!O214</f>
        <v>0</v>
      </c>
      <c r="P211" s="198">
        <f>$E211*餐厅成本录入!P214</f>
        <v>0</v>
      </c>
      <c r="Q211" s="198">
        <f>$E211*餐厅成本录入!Q214</f>
        <v>0</v>
      </c>
      <c r="R211" s="198">
        <f>$E211*餐厅成本录入!R214</f>
        <v>0</v>
      </c>
      <c r="S211" s="198">
        <f>$E211*餐厅成本录入!S214</f>
        <v>0</v>
      </c>
      <c r="T211" s="198">
        <f>$E211*餐厅成本录入!T214</f>
        <v>0</v>
      </c>
      <c r="U211" s="198">
        <f>$E211*餐厅成本录入!U214</f>
        <v>0</v>
      </c>
      <c r="V211" s="198">
        <f>$E211*餐厅成本录入!V214</f>
        <v>0</v>
      </c>
      <c r="W211" s="198">
        <f>$E211*餐厅成本录入!W214</f>
        <v>0</v>
      </c>
      <c r="X211" s="198">
        <f>$E211*餐厅成本录入!X214</f>
        <v>0</v>
      </c>
      <c r="Y211" s="198">
        <f>$E211*餐厅成本录入!Y214</f>
        <v>0</v>
      </c>
      <c r="Z211" s="198">
        <f>$E211*餐厅成本录入!Z214</f>
        <v>0</v>
      </c>
      <c r="AA211" s="198">
        <f>$E211*餐厅成本录入!AA214</f>
        <v>0</v>
      </c>
      <c r="AB211" s="198">
        <f>$E211*餐厅成本录入!AB214</f>
        <v>0</v>
      </c>
      <c r="AC211" s="198">
        <f>$E211*餐厅成本录入!AC214</f>
        <v>0</v>
      </c>
      <c r="AD211" s="198">
        <f>$E211*餐厅成本录入!AD214</f>
        <v>0</v>
      </c>
      <c r="AE211" s="198">
        <f>$E211*餐厅成本录入!AE214</f>
        <v>0</v>
      </c>
      <c r="AF211" s="198">
        <f>$E211*餐厅成本录入!AF214</f>
        <v>0</v>
      </c>
      <c r="AG211" s="198">
        <f>$E211*餐厅成本录入!AG214</f>
        <v>0</v>
      </c>
      <c r="AH211" s="198">
        <f>$E211*餐厅成本录入!AH214</f>
        <v>0</v>
      </c>
      <c r="AI211" s="198">
        <f>$E211*餐厅成本录入!AI214</f>
        <v>0</v>
      </c>
      <c r="AJ211" s="198">
        <f>$E211*餐厅成本录入!AJ214</f>
        <v>0</v>
      </c>
      <c r="AK211" s="198">
        <f>$E211*餐厅成本录入!AK214</f>
        <v>0</v>
      </c>
      <c r="AL211" s="198">
        <f>$E211*餐厅成本录入!AL214</f>
        <v>0</v>
      </c>
      <c r="AM211" s="198">
        <f>$E211*餐厅成本录入!AM214</f>
        <v>0</v>
      </c>
      <c r="AN211" s="198">
        <f>$E211*餐厅成本录入!AN214</f>
        <v>0</v>
      </c>
      <c r="AO211" s="198">
        <f>$E211*餐厅成本录入!AO214</f>
        <v>0</v>
      </c>
      <c r="AP211" s="198">
        <f>$E211*餐厅成本录入!AP214</f>
        <v>0</v>
      </c>
      <c r="AQ211" s="198">
        <f>$E211*餐厅成本录入!AQ214</f>
        <v>0</v>
      </c>
      <c r="AR211" s="198">
        <f>$E211*餐厅成本录入!AR214</f>
        <v>0</v>
      </c>
      <c r="AS211" s="198">
        <f>$E211*餐厅成本录入!AS214</f>
        <v>0</v>
      </c>
      <c r="AT211" s="198">
        <f>$E211*餐厅成本录入!AT214</f>
        <v>0</v>
      </c>
      <c r="AU211" s="198">
        <f>$E211*餐厅成本录入!AU214</f>
        <v>0</v>
      </c>
      <c r="AV211" s="198">
        <f>$E211*餐厅成本录入!AV214</f>
        <v>0</v>
      </c>
      <c r="AW211" s="198">
        <f>$E211*餐厅成本录入!AW214</f>
        <v>0</v>
      </c>
      <c r="AX211" s="198">
        <f>$E211*餐厅成本录入!AX214</f>
        <v>0</v>
      </c>
      <c r="AY211" s="198">
        <f>$E211*餐厅成本录入!AY214</f>
        <v>0</v>
      </c>
      <c r="AZ211" s="198">
        <f>$E211*餐厅成本录入!AZ214</f>
        <v>0</v>
      </c>
      <c r="BA211" s="198">
        <f>$E211*餐厅成本录入!BA214</f>
        <v>0</v>
      </c>
      <c r="BB211" s="198">
        <f>$E211*餐厅成本录入!BB214</f>
        <v>0</v>
      </c>
      <c r="BC211" s="198">
        <f>$E211*餐厅成本录入!BC214</f>
        <v>0</v>
      </c>
      <c r="BD211" s="198">
        <f>$E211*餐厅成本录入!BD214</f>
        <v>0</v>
      </c>
      <c r="BE211" s="198">
        <f>$E211*餐厅成本录入!BE214</f>
        <v>0</v>
      </c>
      <c r="BF211" s="198">
        <f>$E211*餐厅成本录入!BF214</f>
        <v>0</v>
      </c>
      <c r="BG211" s="198">
        <f>$E211*餐厅成本录入!BG214</f>
        <v>0</v>
      </c>
      <c r="BH211" s="198">
        <f>$E211*餐厅成本录入!BH214</f>
        <v>0</v>
      </c>
      <c r="BI211" s="198">
        <f>$E211*餐厅成本录入!BI214</f>
        <v>0</v>
      </c>
      <c r="BJ211" s="198">
        <f>$E211*餐厅成本录入!BJ214</f>
        <v>0</v>
      </c>
      <c r="BK211" s="198">
        <f>$E211*餐厅成本录入!BK214</f>
        <v>0</v>
      </c>
      <c r="BL211" s="198">
        <f>$E211*餐厅成本录入!BL214</f>
        <v>0</v>
      </c>
      <c r="BM211" s="198">
        <f>$E211*餐厅成本录入!BM214</f>
        <v>0</v>
      </c>
      <c r="BN211" s="198">
        <f>$E211*餐厅成本录入!BN214</f>
        <v>0</v>
      </c>
      <c r="BO211" s="198">
        <f>$E211*餐厅成本录入!BO214</f>
        <v>0</v>
      </c>
      <c r="BP211" s="198">
        <f>$E211*餐厅成本录入!BP214</f>
        <v>0</v>
      </c>
      <c r="BQ211" s="198">
        <f>$E211*餐厅成本录入!BQ214</f>
        <v>0</v>
      </c>
      <c r="BR211" s="198">
        <f>$E211*餐厅成本录入!BR214</f>
        <v>0</v>
      </c>
      <c r="BS211" s="198">
        <f>$E211*餐厅成本录入!BS214</f>
        <v>0</v>
      </c>
      <c r="BT211" s="198">
        <f>$E211*餐厅成本录入!BT214</f>
        <v>0</v>
      </c>
      <c r="BU211" s="198">
        <f>$E211*餐厅成本录入!BU214</f>
        <v>0</v>
      </c>
      <c r="BV211" s="198">
        <f>$E211*餐厅成本录入!BV214</f>
        <v>0</v>
      </c>
      <c r="BW211" s="198">
        <f>$E211*餐厅成本录入!BW214</f>
        <v>0</v>
      </c>
    </row>
    <row r="212" s="178" customFormat="1" customHeight="1" spans="1:75">
      <c r="A212" s="161">
        <v>244</v>
      </c>
      <c r="B212" s="21" t="str">
        <f>餐厅成本录入!B212</f>
        <v>生粉</v>
      </c>
      <c r="C212" s="21">
        <f>餐厅成本录入!C212</f>
        <v>0</v>
      </c>
      <c r="D212" s="21" t="str">
        <f>餐厅成本录入!D212</f>
        <v>包</v>
      </c>
      <c r="E212" s="21">
        <f>餐厅成本录入!E212</f>
        <v>5</v>
      </c>
      <c r="F212" s="21">
        <f>餐厅成本录入!F212</f>
        <v>0</v>
      </c>
      <c r="G212" s="21">
        <f>餐厅成本录入!G212</f>
        <v>0</v>
      </c>
      <c r="H212" s="21">
        <f>餐厅成本录入!H212</f>
        <v>10</v>
      </c>
      <c r="I212" s="21">
        <f>餐厅成本录入!I212</f>
        <v>50</v>
      </c>
      <c r="J212" s="21">
        <f>餐厅成本录入!J212</f>
        <v>10</v>
      </c>
      <c r="K212" s="21">
        <f>餐厅成本录入!K212</f>
        <v>50</v>
      </c>
      <c r="L212" s="21">
        <f>餐厅成本录入!L212</f>
        <v>0</v>
      </c>
      <c r="M212" s="21">
        <f>餐厅成本录入!M212</f>
        <v>0</v>
      </c>
      <c r="N212" s="198">
        <f>$E212*餐厅成本录入!N215</f>
        <v>0</v>
      </c>
      <c r="O212" s="198">
        <f>$E212*餐厅成本录入!O215</f>
        <v>0</v>
      </c>
      <c r="P212" s="198">
        <f>$E212*餐厅成本录入!P215</f>
        <v>0</v>
      </c>
      <c r="Q212" s="198">
        <f>$E212*餐厅成本录入!Q215</f>
        <v>0</v>
      </c>
      <c r="R212" s="198">
        <f>$E212*餐厅成本录入!R215</f>
        <v>0</v>
      </c>
      <c r="S212" s="198">
        <f>$E212*餐厅成本录入!S215</f>
        <v>0</v>
      </c>
      <c r="T212" s="198">
        <f>$E212*餐厅成本录入!T215</f>
        <v>0</v>
      </c>
      <c r="U212" s="198">
        <f>$E212*餐厅成本录入!U215</f>
        <v>0</v>
      </c>
      <c r="V212" s="198">
        <f>$E212*餐厅成本录入!V215</f>
        <v>0</v>
      </c>
      <c r="W212" s="198">
        <f>$E212*餐厅成本录入!W215</f>
        <v>0</v>
      </c>
      <c r="X212" s="198">
        <f>$E212*餐厅成本录入!X215</f>
        <v>0</v>
      </c>
      <c r="Y212" s="198">
        <f>$E212*餐厅成本录入!Y215</f>
        <v>0</v>
      </c>
      <c r="Z212" s="198">
        <f>$E212*餐厅成本录入!Z215</f>
        <v>0</v>
      </c>
      <c r="AA212" s="198">
        <f>$E212*餐厅成本录入!AA215</f>
        <v>0</v>
      </c>
      <c r="AB212" s="198">
        <f>$E212*餐厅成本录入!AB215</f>
        <v>0</v>
      </c>
      <c r="AC212" s="198">
        <f>$E212*餐厅成本录入!AC215</f>
        <v>0</v>
      </c>
      <c r="AD212" s="198">
        <f>$E212*餐厅成本录入!AD215</f>
        <v>0</v>
      </c>
      <c r="AE212" s="198">
        <f>$E212*餐厅成本录入!AE215</f>
        <v>0</v>
      </c>
      <c r="AF212" s="198">
        <f>$E212*餐厅成本录入!AF215</f>
        <v>0</v>
      </c>
      <c r="AG212" s="198">
        <f>$E212*餐厅成本录入!AG215</f>
        <v>0</v>
      </c>
      <c r="AH212" s="198">
        <f>$E212*餐厅成本录入!AH215</f>
        <v>0</v>
      </c>
      <c r="AI212" s="198">
        <f>$E212*餐厅成本录入!AI215</f>
        <v>0</v>
      </c>
      <c r="AJ212" s="198">
        <f>$E212*餐厅成本录入!AJ215</f>
        <v>0</v>
      </c>
      <c r="AK212" s="198">
        <f>$E212*餐厅成本录入!AK215</f>
        <v>0</v>
      </c>
      <c r="AL212" s="198">
        <f>$E212*餐厅成本录入!AL215</f>
        <v>0</v>
      </c>
      <c r="AM212" s="198">
        <f>$E212*餐厅成本录入!AM215</f>
        <v>0</v>
      </c>
      <c r="AN212" s="198">
        <f>$E212*餐厅成本录入!AN215</f>
        <v>0</v>
      </c>
      <c r="AO212" s="198">
        <f>$E212*餐厅成本录入!AO215</f>
        <v>0</v>
      </c>
      <c r="AP212" s="198">
        <f>$E212*餐厅成本录入!AP215</f>
        <v>0</v>
      </c>
      <c r="AQ212" s="198">
        <f>$E212*餐厅成本录入!AQ215</f>
        <v>0</v>
      </c>
      <c r="AR212" s="198">
        <f>$E212*餐厅成本录入!AR215</f>
        <v>0</v>
      </c>
      <c r="AS212" s="198">
        <f>$E212*餐厅成本录入!AS215</f>
        <v>0</v>
      </c>
      <c r="AT212" s="198">
        <f>$E212*餐厅成本录入!AT215</f>
        <v>0</v>
      </c>
      <c r="AU212" s="198">
        <f>$E212*餐厅成本录入!AU215</f>
        <v>0</v>
      </c>
      <c r="AV212" s="198">
        <f>$E212*餐厅成本录入!AV215</f>
        <v>0</v>
      </c>
      <c r="AW212" s="198">
        <f>$E212*餐厅成本录入!AW215</f>
        <v>0</v>
      </c>
      <c r="AX212" s="198">
        <f>$E212*餐厅成本录入!AX215</f>
        <v>0</v>
      </c>
      <c r="AY212" s="198">
        <f>$E212*餐厅成本录入!AY215</f>
        <v>0</v>
      </c>
      <c r="AZ212" s="198">
        <f>$E212*餐厅成本录入!AZ215</f>
        <v>0</v>
      </c>
      <c r="BA212" s="198">
        <f>$E212*餐厅成本录入!BA215</f>
        <v>0</v>
      </c>
      <c r="BB212" s="198">
        <f>$E212*餐厅成本录入!BB215</f>
        <v>0</v>
      </c>
      <c r="BC212" s="198">
        <f>$E212*餐厅成本录入!BC215</f>
        <v>0</v>
      </c>
      <c r="BD212" s="198">
        <f>$E212*餐厅成本录入!BD215</f>
        <v>0</v>
      </c>
      <c r="BE212" s="198">
        <f>$E212*餐厅成本录入!BE215</f>
        <v>0</v>
      </c>
      <c r="BF212" s="198">
        <f>$E212*餐厅成本录入!BF215</f>
        <v>0</v>
      </c>
      <c r="BG212" s="198">
        <f>$E212*餐厅成本录入!BG215</f>
        <v>0</v>
      </c>
      <c r="BH212" s="198">
        <f>$E212*餐厅成本录入!BH215</f>
        <v>0</v>
      </c>
      <c r="BI212" s="198">
        <f>$E212*餐厅成本录入!BI215</f>
        <v>0</v>
      </c>
      <c r="BJ212" s="198">
        <f>$E212*餐厅成本录入!BJ215</f>
        <v>0</v>
      </c>
      <c r="BK212" s="198">
        <f>$E212*餐厅成本录入!BK215</f>
        <v>0</v>
      </c>
      <c r="BL212" s="198">
        <f>$E212*餐厅成本录入!BL215</f>
        <v>0</v>
      </c>
      <c r="BM212" s="198">
        <f>$E212*餐厅成本录入!BM215</f>
        <v>0</v>
      </c>
      <c r="BN212" s="198">
        <f>$E212*餐厅成本录入!BN215</f>
        <v>0</v>
      </c>
      <c r="BO212" s="198">
        <f>$E212*餐厅成本录入!BO215</f>
        <v>0</v>
      </c>
      <c r="BP212" s="198">
        <f>$E212*餐厅成本录入!BP215</f>
        <v>0</v>
      </c>
      <c r="BQ212" s="198">
        <f>$E212*餐厅成本录入!BQ215</f>
        <v>0</v>
      </c>
      <c r="BR212" s="198">
        <f>$E212*餐厅成本录入!BR215</f>
        <v>0</v>
      </c>
      <c r="BS212" s="198">
        <f>$E212*餐厅成本录入!BS215</f>
        <v>0</v>
      </c>
      <c r="BT212" s="198">
        <f>$E212*餐厅成本录入!BT215</f>
        <v>0</v>
      </c>
      <c r="BU212" s="198">
        <f>$E212*餐厅成本录入!BU215</f>
        <v>0</v>
      </c>
      <c r="BV212" s="198">
        <f>$E212*餐厅成本录入!BV215</f>
        <v>0</v>
      </c>
      <c r="BW212" s="198">
        <f>$E212*餐厅成本录入!BW215</f>
        <v>0</v>
      </c>
    </row>
    <row r="213" s="178" customFormat="1" customHeight="1" spans="1:75">
      <c r="A213" s="161">
        <v>245</v>
      </c>
      <c r="B213" s="21" t="str">
        <f>餐厅成本录入!B213</f>
        <v>豌豆粒</v>
      </c>
      <c r="C213" s="21">
        <f>餐厅成本录入!C213</f>
        <v>0</v>
      </c>
      <c r="D213" s="21" t="str">
        <f>餐厅成本录入!D213</f>
        <v>斤</v>
      </c>
      <c r="E213" s="21">
        <f>餐厅成本录入!E213</f>
        <v>5</v>
      </c>
      <c r="F213" s="21">
        <f>餐厅成本录入!F213</f>
        <v>0</v>
      </c>
      <c r="G213" s="21">
        <f>餐厅成本录入!G213</f>
        <v>0</v>
      </c>
      <c r="H213" s="21">
        <f>餐厅成本录入!H213</f>
        <v>0</v>
      </c>
      <c r="I213" s="21">
        <f>餐厅成本录入!I213</f>
        <v>0</v>
      </c>
      <c r="J213" s="21">
        <f>餐厅成本录入!J213</f>
        <v>0</v>
      </c>
      <c r="K213" s="21">
        <f>餐厅成本录入!K213</f>
        <v>0</v>
      </c>
      <c r="L213" s="21">
        <f>餐厅成本录入!L213</f>
        <v>0</v>
      </c>
      <c r="M213" s="21">
        <f>餐厅成本录入!M213</f>
        <v>0</v>
      </c>
      <c r="N213" s="198">
        <f>$E213*餐厅成本录入!N216</f>
        <v>0</v>
      </c>
      <c r="O213" s="198">
        <f>$E213*餐厅成本录入!O216</f>
        <v>0</v>
      </c>
      <c r="P213" s="198">
        <f>$E213*餐厅成本录入!P216</f>
        <v>0</v>
      </c>
      <c r="Q213" s="198">
        <f>$E213*餐厅成本录入!Q216</f>
        <v>0</v>
      </c>
      <c r="R213" s="198">
        <f>$E213*餐厅成本录入!R216</f>
        <v>0</v>
      </c>
      <c r="S213" s="198">
        <f>$E213*餐厅成本录入!S216</f>
        <v>0</v>
      </c>
      <c r="T213" s="198">
        <f>$E213*餐厅成本录入!T216</f>
        <v>0</v>
      </c>
      <c r="U213" s="198">
        <f>$E213*餐厅成本录入!U216</f>
        <v>0</v>
      </c>
      <c r="V213" s="198">
        <f>$E213*餐厅成本录入!V216</f>
        <v>0</v>
      </c>
      <c r="W213" s="198">
        <f>$E213*餐厅成本录入!W216</f>
        <v>0</v>
      </c>
      <c r="X213" s="198">
        <f>$E213*餐厅成本录入!X216</f>
        <v>0</v>
      </c>
      <c r="Y213" s="198">
        <f>$E213*餐厅成本录入!Y216</f>
        <v>0</v>
      </c>
      <c r="Z213" s="198">
        <f>$E213*餐厅成本录入!Z216</f>
        <v>0</v>
      </c>
      <c r="AA213" s="198">
        <f>$E213*餐厅成本录入!AA216</f>
        <v>0</v>
      </c>
      <c r="AB213" s="198">
        <f>$E213*餐厅成本录入!AB216</f>
        <v>0</v>
      </c>
      <c r="AC213" s="198">
        <f>$E213*餐厅成本录入!AC216</f>
        <v>0</v>
      </c>
      <c r="AD213" s="198">
        <f>$E213*餐厅成本录入!AD216</f>
        <v>0</v>
      </c>
      <c r="AE213" s="198">
        <f>$E213*餐厅成本录入!AE216</f>
        <v>0</v>
      </c>
      <c r="AF213" s="198">
        <f>$E213*餐厅成本录入!AF216</f>
        <v>0</v>
      </c>
      <c r="AG213" s="198">
        <f>$E213*餐厅成本录入!AG216</f>
        <v>0</v>
      </c>
      <c r="AH213" s="198">
        <f>$E213*餐厅成本录入!AH216</f>
        <v>0</v>
      </c>
      <c r="AI213" s="198">
        <f>$E213*餐厅成本录入!AI216</f>
        <v>0</v>
      </c>
      <c r="AJ213" s="198">
        <f>$E213*餐厅成本录入!AJ216</f>
        <v>0</v>
      </c>
      <c r="AK213" s="198">
        <f>$E213*餐厅成本录入!AK216</f>
        <v>0</v>
      </c>
      <c r="AL213" s="198">
        <f>$E213*餐厅成本录入!AL216</f>
        <v>0</v>
      </c>
      <c r="AM213" s="198">
        <f>$E213*餐厅成本录入!AM216</f>
        <v>0</v>
      </c>
      <c r="AN213" s="198">
        <f>$E213*餐厅成本录入!AN216</f>
        <v>0</v>
      </c>
      <c r="AO213" s="198">
        <f>$E213*餐厅成本录入!AO216</f>
        <v>0</v>
      </c>
      <c r="AP213" s="198">
        <f>$E213*餐厅成本录入!AP216</f>
        <v>0</v>
      </c>
      <c r="AQ213" s="198">
        <f>$E213*餐厅成本录入!AQ216</f>
        <v>0</v>
      </c>
      <c r="AR213" s="198">
        <f>$E213*餐厅成本录入!AR216</f>
        <v>0</v>
      </c>
      <c r="AS213" s="198">
        <f>$E213*餐厅成本录入!AS216</f>
        <v>0</v>
      </c>
      <c r="AT213" s="198">
        <f>$E213*餐厅成本录入!AT216</f>
        <v>0</v>
      </c>
      <c r="AU213" s="198">
        <f>$E213*餐厅成本录入!AU216</f>
        <v>0</v>
      </c>
      <c r="AV213" s="198">
        <f>$E213*餐厅成本录入!AV216</f>
        <v>0</v>
      </c>
      <c r="AW213" s="198">
        <f>$E213*餐厅成本录入!AW216</f>
        <v>0</v>
      </c>
      <c r="AX213" s="198">
        <f>$E213*餐厅成本录入!AX216</f>
        <v>0</v>
      </c>
      <c r="AY213" s="198">
        <f>$E213*餐厅成本录入!AY216</f>
        <v>0</v>
      </c>
      <c r="AZ213" s="198">
        <f>$E213*餐厅成本录入!AZ216</f>
        <v>0</v>
      </c>
      <c r="BA213" s="198">
        <f>$E213*餐厅成本录入!BA216</f>
        <v>0</v>
      </c>
      <c r="BB213" s="198">
        <f>$E213*餐厅成本录入!BB216</f>
        <v>0</v>
      </c>
      <c r="BC213" s="198">
        <f>$E213*餐厅成本录入!BC216</f>
        <v>0</v>
      </c>
      <c r="BD213" s="198">
        <f>$E213*餐厅成本录入!BD216</f>
        <v>0</v>
      </c>
      <c r="BE213" s="198">
        <f>$E213*餐厅成本录入!BE216</f>
        <v>0</v>
      </c>
      <c r="BF213" s="198">
        <f>$E213*餐厅成本录入!BF216</f>
        <v>0</v>
      </c>
      <c r="BG213" s="198">
        <f>$E213*餐厅成本录入!BG216</f>
        <v>0</v>
      </c>
      <c r="BH213" s="198">
        <f>$E213*餐厅成本录入!BH216</f>
        <v>0</v>
      </c>
      <c r="BI213" s="198">
        <f>$E213*餐厅成本录入!BI216</f>
        <v>0</v>
      </c>
      <c r="BJ213" s="198">
        <f>$E213*餐厅成本录入!BJ216</f>
        <v>0</v>
      </c>
      <c r="BK213" s="198">
        <f>$E213*餐厅成本录入!BK216</f>
        <v>0</v>
      </c>
      <c r="BL213" s="198">
        <f>$E213*餐厅成本录入!BL216</f>
        <v>0</v>
      </c>
      <c r="BM213" s="198">
        <f>$E213*餐厅成本录入!BM216</f>
        <v>0</v>
      </c>
      <c r="BN213" s="198">
        <f>$E213*餐厅成本录入!BN216</f>
        <v>0</v>
      </c>
      <c r="BO213" s="198">
        <f>$E213*餐厅成本录入!BO216</f>
        <v>0</v>
      </c>
      <c r="BP213" s="198">
        <f>$E213*餐厅成本录入!BP216</f>
        <v>0</v>
      </c>
      <c r="BQ213" s="198">
        <f>$E213*餐厅成本录入!BQ216</f>
        <v>0</v>
      </c>
      <c r="BR213" s="198">
        <f>$E213*餐厅成本录入!BR216</f>
        <v>0</v>
      </c>
      <c r="BS213" s="198">
        <f>$E213*餐厅成本录入!BS216</f>
        <v>0</v>
      </c>
      <c r="BT213" s="198">
        <f>$E213*餐厅成本录入!BT216</f>
        <v>0</v>
      </c>
      <c r="BU213" s="198">
        <f>$E213*餐厅成本录入!BU216</f>
        <v>0</v>
      </c>
      <c r="BV213" s="198">
        <f>$E213*餐厅成本录入!BV216</f>
        <v>0</v>
      </c>
      <c r="BW213" s="198">
        <f>$E213*餐厅成本录入!BW216</f>
        <v>0</v>
      </c>
    </row>
    <row r="214" s="178" customFormat="1" customHeight="1" spans="1:75">
      <c r="A214" s="161">
        <v>246</v>
      </c>
      <c r="B214" s="21" t="str">
        <f>餐厅成本录入!B214</f>
        <v>红咸菜</v>
      </c>
      <c r="C214" s="21">
        <f>餐厅成本录入!C214</f>
        <v>0</v>
      </c>
      <c r="D214" s="21" t="str">
        <f>餐厅成本录入!D214</f>
        <v>斤</v>
      </c>
      <c r="E214" s="21">
        <f>餐厅成本录入!E214</f>
        <v>8</v>
      </c>
      <c r="F214" s="21">
        <f>餐厅成本录入!F214</f>
        <v>0</v>
      </c>
      <c r="G214" s="21">
        <f>餐厅成本录入!G214</f>
        <v>0</v>
      </c>
      <c r="H214" s="21">
        <f>餐厅成本录入!H214</f>
        <v>0</v>
      </c>
      <c r="I214" s="21">
        <f>餐厅成本录入!I214</f>
        <v>0</v>
      </c>
      <c r="J214" s="21">
        <f>餐厅成本录入!J214</f>
        <v>0</v>
      </c>
      <c r="K214" s="21">
        <f>餐厅成本录入!K214</f>
        <v>0</v>
      </c>
      <c r="L214" s="21">
        <f>餐厅成本录入!L214</f>
        <v>0</v>
      </c>
      <c r="M214" s="21">
        <f>餐厅成本录入!M214</f>
        <v>0</v>
      </c>
      <c r="N214" s="198">
        <f>$E214*餐厅成本录入!N217</f>
        <v>0</v>
      </c>
      <c r="O214" s="198">
        <f>$E214*餐厅成本录入!O217</f>
        <v>0</v>
      </c>
      <c r="P214" s="198">
        <f>$E214*餐厅成本录入!P217</f>
        <v>0</v>
      </c>
      <c r="Q214" s="198">
        <f>$E214*餐厅成本录入!Q217</f>
        <v>0</v>
      </c>
      <c r="R214" s="198">
        <f>$E214*餐厅成本录入!R217</f>
        <v>0</v>
      </c>
      <c r="S214" s="198">
        <f>$E214*餐厅成本录入!S217</f>
        <v>0</v>
      </c>
      <c r="T214" s="198">
        <f>$E214*餐厅成本录入!T217</f>
        <v>0</v>
      </c>
      <c r="U214" s="198">
        <f>$E214*餐厅成本录入!U217</f>
        <v>0</v>
      </c>
      <c r="V214" s="198">
        <f>$E214*餐厅成本录入!V217</f>
        <v>0</v>
      </c>
      <c r="W214" s="198">
        <f>$E214*餐厅成本录入!W217</f>
        <v>0</v>
      </c>
      <c r="X214" s="198">
        <f>$E214*餐厅成本录入!X217</f>
        <v>0</v>
      </c>
      <c r="Y214" s="198">
        <f>$E214*餐厅成本录入!Y217</f>
        <v>0</v>
      </c>
      <c r="Z214" s="198">
        <f>$E214*餐厅成本录入!Z217</f>
        <v>0</v>
      </c>
      <c r="AA214" s="198">
        <f>$E214*餐厅成本录入!AA217</f>
        <v>0</v>
      </c>
      <c r="AB214" s="198">
        <f>$E214*餐厅成本录入!AB217</f>
        <v>0</v>
      </c>
      <c r="AC214" s="198">
        <f>$E214*餐厅成本录入!AC217</f>
        <v>0</v>
      </c>
      <c r="AD214" s="198">
        <f>$E214*餐厅成本录入!AD217</f>
        <v>0</v>
      </c>
      <c r="AE214" s="198">
        <f>$E214*餐厅成本录入!AE217</f>
        <v>0</v>
      </c>
      <c r="AF214" s="198">
        <f>$E214*餐厅成本录入!AF217</f>
        <v>0</v>
      </c>
      <c r="AG214" s="198">
        <f>$E214*餐厅成本录入!AG217</f>
        <v>0</v>
      </c>
      <c r="AH214" s="198">
        <f>$E214*餐厅成本录入!AH217</f>
        <v>0</v>
      </c>
      <c r="AI214" s="198">
        <f>$E214*餐厅成本录入!AI217</f>
        <v>0</v>
      </c>
      <c r="AJ214" s="198">
        <f>$E214*餐厅成本录入!AJ217</f>
        <v>0</v>
      </c>
      <c r="AK214" s="198">
        <f>$E214*餐厅成本录入!AK217</f>
        <v>0</v>
      </c>
      <c r="AL214" s="198">
        <f>$E214*餐厅成本录入!AL217</f>
        <v>0</v>
      </c>
      <c r="AM214" s="198">
        <f>$E214*餐厅成本录入!AM217</f>
        <v>0</v>
      </c>
      <c r="AN214" s="198">
        <f>$E214*餐厅成本录入!AN217</f>
        <v>0</v>
      </c>
      <c r="AO214" s="198">
        <f>$E214*餐厅成本录入!AO217</f>
        <v>0</v>
      </c>
      <c r="AP214" s="198">
        <f>$E214*餐厅成本录入!AP217</f>
        <v>0</v>
      </c>
      <c r="AQ214" s="198">
        <f>$E214*餐厅成本录入!AQ217</f>
        <v>0</v>
      </c>
      <c r="AR214" s="198">
        <f>$E214*餐厅成本录入!AR217</f>
        <v>0</v>
      </c>
      <c r="AS214" s="198">
        <f>$E214*餐厅成本录入!AS217</f>
        <v>0</v>
      </c>
      <c r="AT214" s="198">
        <f>$E214*餐厅成本录入!AT217</f>
        <v>0</v>
      </c>
      <c r="AU214" s="198">
        <f>$E214*餐厅成本录入!AU217</f>
        <v>0</v>
      </c>
      <c r="AV214" s="198">
        <f>$E214*餐厅成本录入!AV217</f>
        <v>0</v>
      </c>
      <c r="AW214" s="198">
        <f>$E214*餐厅成本录入!AW217</f>
        <v>0</v>
      </c>
      <c r="AX214" s="198">
        <f>$E214*餐厅成本录入!AX217</f>
        <v>0</v>
      </c>
      <c r="AY214" s="198">
        <f>$E214*餐厅成本录入!AY217</f>
        <v>0</v>
      </c>
      <c r="AZ214" s="198">
        <f>$E214*餐厅成本录入!AZ217</f>
        <v>0</v>
      </c>
      <c r="BA214" s="198">
        <f>$E214*餐厅成本录入!BA217</f>
        <v>0</v>
      </c>
      <c r="BB214" s="198">
        <f>$E214*餐厅成本录入!BB217</f>
        <v>0</v>
      </c>
      <c r="BC214" s="198">
        <f>$E214*餐厅成本录入!BC217</f>
        <v>0</v>
      </c>
      <c r="BD214" s="198">
        <f>$E214*餐厅成本录入!BD217</f>
        <v>0</v>
      </c>
      <c r="BE214" s="198">
        <f>$E214*餐厅成本录入!BE217</f>
        <v>0</v>
      </c>
      <c r="BF214" s="198">
        <f>$E214*餐厅成本录入!BF217</f>
        <v>0</v>
      </c>
      <c r="BG214" s="198">
        <f>$E214*餐厅成本录入!BG217</f>
        <v>0</v>
      </c>
      <c r="BH214" s="198">
        <f>$E214*餐厅成本录入!BH217</f>
        <v>0</v>
      </c>
      <c r="BI214" s="198">
        <f>$E214*餐厅成本录入!BI217</f>
        <v>0</v>
      </c>
      <c r="BJ214" s="198">
        <f>$E214*餐厅成本录入!BJ217</f>
        <v>0</v>
      </c>
      <c r="BK214" s="198">
        <f>$E214*餐厅成本录入!BK217</f>
        <v>0</v>
      </c>
      <c r="BL214" s="198">
        <f>$E214*餐厅成本录入!BL217</f>
        <v>0</v>
      </c>
      <c r="BM214" s="198">
        <f>$E214*餐厅成本录入!BM217</f>
        <v>0</v>
      </c>
      <c r="BN214" s="198">
        <f>$E214*餐厅成本录入!BN217</f>
        <v>0</v>
      </c>
      <c r="BO214" s="198">
        <f>$E214*餐厅成本录入!BO217</f>
        <v>0</v>
      </c>
      <c r="BP214" s="198">
        <f>$E214*餐厅成本录入!BP217</f>
        <v>0</v>
      </c>
      <c r="BQ214" s="198">
        <f>$E214*餐厅成本录入!BQ217</f>
        <v>0</v>
      </c>
      <c r="BR214" s="198">
        <f>$E214*餐厅成本录入!BR217</f>
        <v>0</v>
      </c>
      <c r="BS214" s="198">
        <f>$E214*餐厅成本录入!BS217</f>
        <v>0</v>
      </c>
      <c r="BT214" s="198">
        <f>$E214*餐厅成本录入!BT217</f>
        <v>0</v>
      </c>
      <c r="BU214" s="198">
        <f>$E214*餐厅成本录入!BU217</f>
        <v>0</v>
      </c>
      <c r="BV214" s="198">
        <f>$E214*餐厅成本录入!BV217</f>
        <v>0</v>
      </c>
      <c r="BW214" s="198">
        <f>$E214*餐厅成本录入!BW217</f>
        <v>0</v>
      </c>
    </row>
    <row r="215" s="178" customFormat="1" customHeight="1" spans="1:75">
      <c r="A215" s="161">
        <v>247</v>
      </c>
      <c r="B215" s="21" t="str">
        <f>餐厅成本录入!B215</f>
        <v>方火腿</v>
      </c>
      <c r="C215" s="21">
        <f>餐厅成本录入!C215</f>
        <v>0</v>
      </c>
      <c r="D215" s="21" t="str">
        <f>餐厅成本录入!D215</f>
        <v>件</v>
      </c>
      <c r="E215" s="21">
        <f>餐厅成本录入!E215</f>
        <v>90</v>
      </c>
      <c r="F215" s="21">
        <f>餐厅成本录入!F215</f>
        <v>0</v>
      </c>
      <c r="G215" s="21">
        <f>餐厅成本录入!G215</f>
        <v>0</v>
      </c>
      <c r="H215" s="21">
        <f>餐厅成本录入!H215</f>
        <v>0</v>
      </c>
      <c r="I215" s="21">
        <f>餐厅成本录入!I215</f>
        <v>0</v>
      </c>
      <c r="J215" s="21">
        <f>餐厅成本录入!J215</f>
        <v>0</v>
      </c>
      <c r="K215" s="21">
        <f>餐厅成本录入!K215</f>
        <v>0</v>
      </c>
      <c r="L215" s="21">
        <f>餐厅成本录入!L215</f>
        <v>0</v>
      </c>
      <c r="M215" s="21">
        <f>餐厅成本录入!M215</f>
        <v>0</v>
      </c>
      <c r="N215" s="198">
        <f>$E215*餐厅成本录入!N218</f>
        <v>0</v>
      </c>
      <c r="O215" s="198">
        <f>$E215*餐厅成本录入!O218</f>
        <v>0</v>
      </c>
      <c r="P215" s="198">
        <f>$E215*餐厅成本录入!P218</f>
        <v>0</v>
      </c>
      <c r="Q215" s="198">
        <f>$E215*餐厅成本录入!Q218</f>
        <v>0</v>
      </c>
      <c r="R215" s="198">
        <f>$E215*餐厅成本录入!R218</f>
        <v>0</v>
      </c>
      <c r="S215" s="198">
        <f>$E215*餐厅成本录入!S218</f>
        <v>0</v>
      </c>
      <c r="T215" s="198">
        <f>$E215*餐厅成本录入!T218</f>
        <v>0</v>
      </c>
      <c r="U215" s="198">
        <f>$E215*餐厅成本录入!U218</f>
        <v>0</v>
      </c>
      <c r="V215" s="198">
        <f>$E215*餐厅成本录入!V218</f>
        <v>0</v>
      </c>
      <c r="W215" s="198">
        <f>$E215*餐厅成本录入!W218</f>
        <v>0</v>
      </c>
      <c r="X215" s="198">
        <f>$E215*餐厅成本录入!X218</f>
        <v>0</v>
      </c>
      <c r="Y215" s="198">
        <f>$E215*餐厅成本录入!Y218</f>
        <v>0</v>
      </c>
      <c r="Z215" s="198">
        <f>$E215*餐厅成本录入!Z218</f>
        <v>0</v>
      </c>
      <c r="AA215" s="198">
        <f>$E215*餐厅成本录入!AA218</f>
        <v>0</v>
      </c>
      <c r="AB215" s="198">
        <f>$E215*餐厅成本录入!AB218</f>
        <v>0</v>
      </c>
      <c r="AC215" s="198">
        <f>$E215*餐厅成本录入!AC218</f>
        <v>0</v>
      </c>
      <c r="AD215" s="198">
        <f>$E215*餐厅成本录入!AD218</f>
        <v>0</v>
      </c>
      <c r="AE215" s="198">
        <f>$E215*餐厅成本录入!AE218</f>
        <v>0</v>
      </c>
      <c r="AF215" s="198">
        <f>$E215*餐厅成本录入!AF218</f>
        <v>0</v>
      </c>
      <c r="AG215" s="198">
        <f>$E215*餐厅成本录入!AG218</f>
        <v>0</v>
      </c>
      <c r="AH215" s="198">
        <f>$E215*餐厅成本录入!AH218</f>
        <v>0</v>
      </c>
      <c r="AI215" s="198">
        <f>$E215*餐厅成本录入!AI218</f>
        <v>0</v>
      </c>
      <c r="AJ215" s="198">
        <f>$E215*餐厅成本录入!AJ218</f>
        <v>0</v>
      </c>
      <c r="AK215" s="198">
        <f>$E215*餐厅成本录入!AK218</f>
        <v>0</v>
      </c>
      <c r="AL215" s="198">
        <f>$E215*餐厅成本录入!AL218</f>
        <v>0</v>
      </c>
      <c r="AM215" s="198">
        <f>$E215*餐厅成本录入!AM218</f>
        <v>0</v>
      </c>
      <c r="AN215" s="198">
        <f>$E215*餐厅成本录入!AN218</f>
        <v>0</v>
      </c>
      <c r="AO215" s="198">
        <f>$E215*餐厅成本录入!AO218</f>
        <v>0</v>
      </c>
      <c r="AP215" s="198">
        <f>$E215*餐厅成本录入!AP218</f>
        <v>0</v>
      </c>
      <c r="AQ215" s="198">
        <f>$E215*餐厅成本录入!AQ218</f>
        <v>0</v>
      </c>
      <c r="AR215" s="198">
        <f>$E215*餐厅成本录入!AR218</f>
        <v>0</v>
      </c>
      <c r="AS215" s="198">
        <f>$E215*餐厅成本录入!AS218</f>
        <v>0</v>
      </c>
      <c r="AT215" s="198">
        <f>$E215*餐厅成本录入!AT218</f>
        <v>0</v>
      </c>
      <c r="AU215" s="198">
        <f>$E215*餐厅成本录入!AU218</f>
        <v>0</v>
      </c>
      <c r="AV215" s="198">
        <f>$E215*餐厅成本录入!AV218</f>
        <v>0</v>
      </c>
      <c r="AW215" s="198">
        <f>$E215*餐厅成本录入!AW218</f>
        <v>0</v>
      </c>
      <c r="AX215" s="198">
        <f>$E215*餐厅成本录入!AX218</f>
        <v>0</v>
      </c>
      <c r="AY215" s="198">
        <f>$E215*餐厅成本录入!AY218</f>
        <v>0</v>
      </c>
      <c r="AZ215" s="198">
        <f>$E215*餐厅成本录入!AZ218</f>
        <v>0</v>
      </c>
      <c r="BA215" s="198">
        <f>$E215*餐厅成本录入!BA218</f>
        <v>0</v>
      </c>
      <c r="BB215" s="198">
        <f>$E215*餐厅成本录入!BB218</f>
        <v>0</v>
      </c>
      <c r="BC215" s="198">
        <f>$E215*餐厅成本录入!BC218</f>
        <v>0</v>
      </c>
      <c r="BD215" s="198">
        <f>$E215*餐厅成本录入!BD218</f>
        <v>0</v>
      </c>
      <c r="BE215" s="198">
        <f>$E215*餐厅成本录入!BE218</f>
        <v>0</v>
      </c>
      <c r="BF215" s="198">
        <f>$E215*餐厅成本录入!BF218</f>
        <v>0</v>
      </c>
      <c r="BG215" s="198">
        <f>$E215*餐厅成本录入!BG218</f>
        <v>0</v>
      </c>
      <c r="BH215" s="198">
        <f>$E215*餐厅成本录入!BH218</f>
        <v>0</v>
      </c>
      <c r="BI215" s="198">
        <f>$E215*餐厅成本录入!BI218</f>
        <v>0</v>
      </c>
      <c r="BJ215" s="198">
        <f>$E215*餐厅成本录入!BJ218</f>
        <v>0</v>
      </c>
      <c r="BK215" s="198">
        <f>$E215*餐厅成本录入!BK218</f>
        <v>0</v>
      </c>
      <c r="BL215" s="198">
        <f>$E215*餐厅成本录入!BL218</f>
        <v>0</v>
      </c>
      <c r="BM215" s="198">
        <f>$E215*餐厅成本录入!BM218</f>
        <v>0</v>
      </c>
      <c r="BN215" s="198">
        <f>$E215*餐厅成本录入!BN218</f>
        <v>0</v>
      </c>
      <c r="BO215" s="198">
        <f>$E215*餐厅成本录入!BO218</f>
        <v>0</v>
      </c>
      <c r="BP215" s="198">
        <f>$E215*餐厅成本录入!BP218</f>
        <v>0</v>
      </c>
      <c r="BQ215" s="198">
        <f>$E215*餐厅成本录入!BQ218</f>
        <v>0</v>
      </c>
      <c r="BR215" s="198">
        <f>$E215*餐厅成本录入!BR218</f>
        <v>0</v>
      </c>
      <c r="BS215" s="198">
        <f>$E215*餐厅成本录入!BS218</f>
        <v>0</v>
      </c>
      <c r="BT215" s="198">
        <f>$E215*餐厅成本录入!BT218</f>
        <v>0</v>
      </c>
      <c r="BU215" s="198">
        <f>$E215*餐厅成本录入!BU218</f>
        <v>0</v>
      </c>
      <c r="BV215" s="198">
        <f>$E215*餐厅成本录入!BV218</f>
        <v>0</v>
      </c>
      <c r="BW215" s="198">
        <f>$E215*餐厅成本录入!BW218</f>
        <v>0</v>
      </c>
    </row>
    <row r="216" s="178" customFormat="1" customHeight="1" spans="1:75">
      <c r="A216" s="161">
        <v>248</v>
      </c>
      <c r="B216" s="21" t="str">
        <f>餐厅成本录入!B216</f>
        <v>粉丝</v>
      </c>
      <c r="C216" s="21">
        <f>餐厅成本录入!C216</f>
        <v>0</v>
      </c>
      <c r="D216" s="21" t="str">
        <f>餐厅成本录入!D216</f>
        <v>包</v>
      </c>
      <c r="E216" s="21">
        <f>餐厅成本录入!E216</f>
        <v>70</v>
      </c>
      <c r="F216" s="21">
        <f>餐厅成本录入!F216</f>
        <v>0</v>
      </c>
      <c r="G216" s="21">
        <f>餐厅成本录入!G216</f>
        <v>0</v>
      </c>
      <c r="H216" s="21">
        <f>餐厅成本录入!H216</f>
        <v>0</v>
      </c>
      <c r="I216" s="21">
        <f>餐厅成本录入!I216</f>
        <v>0</v>
      </c>
      <c r="J216" s="21">
        <f>餐厅成本录入!J216</f>
        <v>0</v>
      </c>
      <c r="K216" s="21">
        <f>餐厅成本录入!K216</f>
        <v>0</v>
      </c>
      <c r="L216" s="21">
        <f>餐厅成本录入!L216</f>
        <v>0</v>
      </c>
      <c r="M216" s="21">
        <f>餐厅成本录入!M216</f>
        <v>0</v>
      </c>
      <c r="N216" s="198">
        <f>$E216*餐厅成本录入!N219</f>
        <v>0</v>
      </c>
      <c r="O216" s="198">
        <f>$E216*餐厅成本录入!O219</f>
        <v>0</v>
      </c>
      <c r="P216" s="198">
        <f>$E216*餐厅成本录入!P219</f>
        <v>0</v>
      </c>
      <c r="Q216" s="198">
        <f>$E216*餐厅成本录入!Q219</f>
        <v>0</v>
      </c>
      <c r="R216" s="198">
        <f>$E216*餐厅成本录入!R219</f>
        <v>0</v>
      </c>
      <c r="S216" s="198">
        <f>$E216*餐厅成本录入!S219</f>
        <v>0</v>
      </c>
      <c r="T216" s="198">
        <f>$E216*餐厅成本录入!T219</f>
        <v>0</v>
      </c>
      <c r="U216" s="198">
        <f>$E216*餐厅成本录入!U219</f>
        <v>0</v>
      </c>
      <c r="V216" s="198">
        <f>$E216*餐厅成本录入!V219</f>
        <v>0</v>
      </c>
      <c r="W216" s="198">
        <f>$E216*餐厅成本录入!W219</f>
        <v>0</v>
      </c>
      <c r="X216" s="198">
        <f>$E216*餐厅成本录入!X219</f>
        <v>0</v>
      </c>
      <c r="Y216" s="198">
        <f>$E216*餐厅成本录入!Y219</f>
        <v>0</v>
      </c>
      <c r="Z216" s="198">
        <f>$E216*餐厅成本录入!Z219</f>
        <v>0</v>
      </c>
      <c r="AA216" s="198">
        <f>$E216*餐厅成本录入!AA219</f>
        <v>0</v>
      </c>
      <c r="AB216" s="198">
        <f>$E216*餐厅成本录入!AB219</f>
        <v>0</v>
      </c>
      <c r="AC216" s="198">
        <f>$E216*餐厅成本录入!AC219</f>
        <v>0</v>
      </c>
      <c r="AD216" s="198">
        <f>$E216*餐厅成本录入!AD219</f>
        <v>0</v>
      </c>
      <c r="AE216" s="198">
        <f>$E216*餐厅成本录入!AE219</f>
        <v>0</v>
      </c>
      <c r="AF216" s="198">
        <f>$E216*餐厅成本录入!AF219</f>
        <v>0</v>
      </c>
      <c r="AG216" s="198">
        <f>$E216*餐厅成本录入!AG219</f>
        <v>0</v>
      </c>
      <c r="AH216" s="198">
        <f>$E216*餐厅成本录入!AH219</f>
        <v>0</v>
      </c>
      <c r="AI216" s="198">
        <f>$E216*餐厅成本录入!AI219</f>
        <v>0</v>
      </c>
      <c r="AJ216" s="198">
        <f>$E216*餐厅成本录入!AJ219</f>
        <v>0</v>
      </c>
      <c r="AK216" s="198">
        <f>$E216*餐厅成本录入!AK219</f>
        <v>0</v>
      </c>
      <c r="AL216" s="198">
        <f>$E216*餐厅成本录入!AL219</f>
        <v>0</v>
      </c>
      <c r="AM216" s="198">
        <f>$E216*餐厅成本录入!AM219</f>
        <v>0</v>
      </c>
      <c r="AN216" s="198">
        <f>$E216*餐厅成本录入!AN219</f>
        <v>0</v>
      </c>
      <c r="AO216" s="198">
        <f>$E216*餐厅成本录入!AO219</f>
        <v>0</v>
      </c>
      <c r="AP216" s="198">
        <f>$E216*餐厅成本录入!AP219</f>
        <v>0</v>
      </c>
      <c r="AQ216" s="198">
        <f>$E216*餐厅成本录入!AQ219</f>
        <v>0</v>
      </c>
      <c r="AR216" s="198">
        <f>$E216*餐厅成本录入!AR219</f>
        <v>0</v>
      </c>
      <c r="AS216" s="198">
        <f>$E216*餐厅成本录入!AS219</f>
        <v>0</v>
      </c>
      <c r="AT216" s="198">
        <f>$E216*餐厅成本录入!AT219</f>
        <v>0</v>
      </c>
      <c r="AU216" s="198">
        <f>$E216*餐厅成本录入!AU219</f>
        <v>0</v>
      </c>
      <c r="AV216" s="198">
        <f>$E216*餐厅成本录入!AV219</f>
        <v>0</v>
      </c>
      <c r="AW216" s="198">
        <f>$E216*餐厅成本录入!AW219</f>
        <v>0</v>
      </c>
      <c r="AX216" s="198">
        <f>$E216*餐厅成本录入!AX219</f>
        <v>0</v>
      </c>
      <c r="AY216" s="198">
        <f>$E216*餐厅成本录入!AY219</f>
        <v>0</v>
      </c>
      <c r="AZ216" s="198">
        <f>$E216*餐厅成本录入!AZ219</f>
        <v>0</v>
      </c>
      <c r="BA216" s="198">
        <f>$E216*餐厅成本录入!BA219</f>
        <v>0</v>
      </c>
      <c r="BB216" s="198">
        <f>$E216*餐厅成本录入!BB219</f>
        <v>0</v>
      </c>
      <c r="BC216" s="198">
        <f>$E216*餐厅成本录入!BC219</f>
        <v>0</v>
      </c>
      <c r="BD216" s="198">
        <f>$E216*餐厅成本录入!BD219</f>
        <v>0</v>
      </c>
      <c r="BE216" s="198">
        <f>$E216*餐厅成本录入!BE219</f>
        <v>0</v>
      </c>
      <c r="BF216" s="198">
        <f>$E216*餐厅成本录入!BF219</f>
        <v>0</v>
      </c>
      <c r="BG216" s="198">
        <f>$E216*餐厅成本录入!BG219</f>
        <v>0</v>
      </c>
      <c r="BH216" s="198">
        <f>$E216*餐厅成本录入!BH219</f>
        <v>0</v>
      </c>
      <c r="BI216" s="198">
        <f>$E216*餐厅成本录入!BI219</f>
        <v>0</v>
      </c>
      <c r="BJ216" s="198">
        <f>$E216*餐厅成本录入!BJ219</f>
        <v>0</v>
      </c>
      <c r="BK216" s="198">
        <f>$E216*餐厅成本录入!BK219</f>
        <v>0</v>
      </c>
      <c r="BL216" s="198">
        <f>$E216*餐厅成本录入!BL219</f>
        <v>0</v>
      </c>
      <c r="BM216" s="198">
        <f>$E216*餐厅成本录入!BM219</f>
        <v>0</v>
      </c>
      <c r="BN216" s="198">
        <f>$E216*餐厅成本录入!BN219</f>
        <v>0</v>
      </c>
      <c r="BO216" s="198">
        <f>$E216*餐厅成本录入!BO219</f>
        <v>0</v>
      </c>
      <c r="BP216" s="198">
        <f>$E216*餐厅成本录入!BP219</f>
        <v>0</v>
      </c>
      <c r="BQ216" s="198">
        <f>$E216*餐厅成本录入!BQ219</f>
        <v>0</v>
      </c>
      <c r="BR216" s="198">
        <f>$E216*餐厅成本录入!BR219</f>
        <v>0</v>
      </c>
      <c r="BS216" s="198">
        <f>$E216*餐厅成本录入!BS219</f>
        <v>0</v>
      </c>
      <c r="BT216" s="198">
        <f>$E216*餐厅成本录入!BT219</f>
        <v>0</v>
      </c>
      <c r="BU216" s="198">
        <f>$E216*餐厅成本录入!BU219</f>
        <v>0</v>
      </c>
      <c r="BV216" s="198">
        <f>$E216*餐厅成本录入!BV219</f>
        <v>0</v>
      </c>
      <c r="BW216" s="198">
        <f>$E216*餐厅成本录入!BW219</f>
        <v>0</v>
      </c>
    </row>
    <row r="217" s="178" customFormat="1" customHeight="1" spans="1:75">
      <c r="A217" s="161">
        <v>249</v>
      </c>
      <c r="B217" s="21" t="str">
        <f>餐厅成本录入!B217</f>
        <v>桔梗</v>
      </c>
      <c r="C217" s="21">
        <f>餐厅成本录入!C217</f>
        <v>0</v>
      </c>
      <c r="D217" s="21">
        <f>餐厅成本录入!D217</f>
        <v>0</v>
      </c>
      <c r="E217" s="21">
        <f>餐厅成本录入!E217</f>
        <v>80</v>
      </c>
      <c r="F217" s="21">
        <f>餐厅成本录入!F217</f>
        <v>0</v>
      </c>
      <c r="G217" s="21">
        <f>餐厅成本录入!G217</f>
        <v>0</v>
      </c>
      <c r="H217" s="21">
        <f>餐厅成本录入!H217</f>
        <v>0</v>
      </c>
      <c r="I217" s="21">
        <f>餐厅成本录入!I217</f>
        <v>0</v>
      </c>
      <c r="J217" s="21">
        <f>餐厅成本录入!J217</f>
        <v>0</v>
      </c>
      <c r="K217" s="21">
        <f>餐厅成本录入!K217</f>
        <v>0</v>
      </c>
      <c r="L217" s="21">
        <f>餐厅成本录入!L217</f>
        <v>0</v>
      </c>
      <c r="M217" s="21">
        <f>餐厅成本录入!M217</f>
        <v>0</v>
      </c>
      <c r="N217" s="198">
        <f>$E217*餐厅成本录入!N220</f>
        <v>0</v>
      </c>
      <c r="O217" s="198">
        <f>$E217*餐厅成本录入!O220</f>
        <v>0</v>
      </c>
      <c r="P217" s="198">
        <f>$E217*餐厅成本录入!P220</f>
        <v>0</v>
      </c>
      <c r="Q217" s="198">
        <f>$E217*餐厅成本录入!Q220</f>
        <v>0</v>
      </c>
      <c r="R217" s="198">
        <f>$E217*餐厅成本录入!R220</f>
        <v>0</v>
      </c>
      <c r="S217" s="198">
        <f>$E217*餐厅成本录入!S220</f>
        <v>0</v>
      </c>
      <c r="T217" s="198">
        <f>$E217*餐厅成本录入!T220</f>
        <v>0</v>
      </c>
      <c r="U217" s="198">
        <f>$E217*餐厅成本录入!U220</f>
        <v>0</v>
      </c>
      <c r="V217" s="198">
        <f>$E217*餐厅成本录入!V220</f>
        <v>0</v>
      </c>
      <c r="W217" s="198">
        <f>$E217*餐厅成本录入!W220</f>
        <v>0</v>
      </c>
      <c r="X217" s="198">
        <f>$E217*餐厅成本录入!X220</f>
        <v>0</v>
      </c>
      <c r="Y217" s="198">
        <f>$E217*餐厅成本录入!Y220</f>
        <v>0</v>
      </c>
      <c r="Z217" s="198">
        <f>$E217*餐厅成本录入!Z220</f>
        <v>0</v>
      </c>
      <c r="AA217" s="198">
        <f>$E217*餐厅成本录入!AA220</f>
        <v>0</v>
      </c>
      <c r="AB217" s="198">
        <f>$E217*餐厅成本录入!AB220</f>
        <v>0</v>
      </c>
      <c r="AC217" s="198">
        <f>$E217*餐厅成本录入!AC220</f>
        <v>0</v>
      </c>
      <c r="AD217" s="198">
        <f>$E217*餐厅成本录入!AD220</f>
        <v>0</v>
      </c>
      <c r="AE217" s="198">
        <f>$E217*餐厅成本录入!AE220</f>
        <v>0</v>
      </c>
      <c r="AF217" s="198">
        <f>$E217*餐厅成本录入!AF220</f>
        <v>0</v>
      </c>
      <c r="AG217" s="198">
        <f>$E217*餐厅成本录入!AG220</f>
        <v>0</v>
      </c>
      <c r="AH217" s="198">
        <f>$E217*餐厅成本录入!AH220</f>
        <v>0</v>
      </c>
      <c r="AI217" s="198">
        <f>$E217*餐厅成本录入!AI220</f>
        <v>0</v>
      </c>
      <c r="AJ217" s="198">
        <f>$E217*餐厅成本录入!AJ220</f>
        <v>0</v>
      </c>
      <c r="AK217" s="198">
        <f>$E217*餐厅成本录入!AK220</f>
        <v>0</v>
      </c>
      <c r="AL217" s="198">
        <f>$E217*餐厅成本录入!AL220</f>
        <v>0</v>
      </c>
      <c r="AM217" s="198">
        <f>$E217*餐厅成本录入!AM220</f>
        <v>0</v>
      </c>
      <c r="AN217" s="198">
        <f>$E217*餐厅成本录入!AN220</f>
        <v>0</v>
      </c>
      <c r="AO217" s="198">
        <f>$E217*餐厅成本录入!AO220</f>
        <v>0</v>
      </c>
      <c r="AP217" s="198">
        <f>$E217*餐厅成本录入!AP220</f>
        <v>0</v>
      </c>
      <c r="AQ217" s="198">
        <f>$E217*餐厅成本录入!AQ220</f>
        <v>0</v>
      </c>
      <c r="AR217" s="198">
        <f>$E217*餐厅成本录入!AR220</f>
        <v>0</v>
      </c>
      <c r="AS217" s="198">
        <f>$E217*餐厅成本录入!AS220</f>
        <v>0</v>
      </c>
      <c r="AT217" s="198">
        <f>$E217*餐厅成本录入!AT220</f>
        <v>0</v>
      </c>
      <c r="AU217" s="198">
        <f>$E217*餐厅成本录入!AU220</f>
        <v>0</v>
      </c>
      <c r="AV217" s="198">
        <f>$E217*餐厅成本录入!AV220</f>
        <v>0</v>
      </c>
      <c r="AW217" s="198">
        <f>$E217*餐厅成本录入!AW220</f>
        <v>0</v>
      </c>
      <c r="AX217" s="198">
        <f>$E217*餐厅成本录入!AX220</f>
        <v>80</v>
      </c>
      <c r="AY217" s="198">
        <f>$E217*餐厅成本录入!AY220</f>
        <v>80</v>
      </c>
      <c r="AZ217" s="198">
        <f>$E217*餐厅成本录入!AZ220</f>
        <v>0</v>
      </c>
      <c r="BA217" s="198">
        <f>$E217*餐厅成本录入!BA220</f>
        <v>0</v>
      </c>
      <c r="BB217" s="198">
        <f>$E217*餐厅成本录入!BB220</f>
        <v>0</v>
      </c>
      <c r="BC217" s="198">
        <f>$E217*餐厅成本录入!BC220</f>
        <v>0</v>
      </c>
      <c r="BD217" s="198">
        <f>$E217*餐厅成本录入!BD220</f>
        <v>0</v>
      </c>
      <c r="BE217" s="198">
        <f>$E217*餐厅成本录入!BE220</f>
        <v>0</v>
      </c>
      <c r="BF217" s="198">
        <f>$E217*餐厅成本录入!BF220</f>
        <v>0</v>
      </c>
      <c r="BG217" s="198">
        <f>$E217*餐厅成本录入!BG220</f>
        <v>0</v>
      </c>
      <c r="BH217" s="198">
        <f>$E217*餐厅成本录入!BH220</f>
        <v>0</v>
      </c>
      <c r="BI217" s="198">
        <f>$E217*餐厅成本录入!BI220</f>
        <v>0</v>
      </c>
      <c r="BJ217" s="198">
        <f>$E217*餐厅成本录入!BJ220</f>
        <v>0</v>
      </c>
      <c r="BK217" s="198">
        <f>$E217*餐厅成本录入!BK220</f>
        <v>0</v>
      </c>
      <c r="BL217" s="198">
        <f>$E217*餐厅成本录入!BL220</f>
        <v>0</v>
      </c>
      <c r="BM217" s="198">
        <f>$E217*餐厅成本录入!BM220</f>
        <v>0</v>
      </c>
      <c r="BN217" s="198">
        <f>$E217*餐厅成本录入!BN220</f>
        <v>0</v>
      </c>
      <c r="BO217" s="198">
        <f>$E217*餐厅成本录入!BO220</f>
        <v>0</v>
      </c>
      <c r="BP217" s="198">
        <f>$E217*餐厅成本录入!BP220</f>
        <v>0</v>
      </c>
      <c r="BQ217" s="198">
        <f>$E217*餐厅成本录入!BQ220</f>
        <v>0</v>
      </c>
      <c r="BR217" s="198">
        <f>$E217*餐厅成本录入!BR220</f>
        <v>0</v>
      </c>
      <c r="BS217" s="198">
        <f>$E217*餐厅成本录入!BS220</f>
        <v>0</v>
      </c>
      <c r="BT217" s="198">
        <f>$E217*餐厅成本录入!BT220</f>
        <v>0</v>
      </c>
      <c r="BU217" s="198">
        <f>$E217*餐厅成本录入!BU220</f>
        <v>0</v>
      </c>
      <c r="BV217" s="198">
        <f>$E217*餐厅成本录入!BV220</f>
        <v>0</v>
      </c>
      <c r="BW217" s="198">
        <f>$E217*餐厅成本录入!BW220</f>
        <v>0</v>
      </c>
    </row>
    <row r="218" s="178" customFormat="1" customHeight="1" spans="1:75">
      <c r="A218" s="161">
        <v>250</v>
      </c>
      <c r="B218" s="21" t="str">
        <f>餐厅成本录入!B218</f>
        <v>剁椒酱</v>
      </c>
      <c r="C218" s="21">
        <f>餐厅成本录入!C218</f>
        <v>0</v>
      </c>
      <c r="D218" s="21" t="str">
        <f>餐厅成本录入!D218</f>
        <v>瓶</v>
      </c>
      <c r="E218" s="21">
        <f>餐厅成本录入!E218</f>
        <v>10</v>
      </c>
      <c r="F218" s="21">
        <f>餐厅成本录入!F218</f>
        <v>0</v>
      </c>
      <c r="G218" s="21">
        <f>餐厅成本录入!G218</f>
        <v>0</v>
      </c>
      <c r="H218" s="21">
        <f>餐厅成本录入!H218</f>
        <v>0</v>
      </c>
      <c r="I218" s="21">
        <f>餐厅成本录入!I218</f>
        <v>0</v>
      </c>
      <c r="J218" s="21">
        <f>餐厅成本录入!J218</f>
        <v>0</v>
      </c>
      <c r="K218" s="21">
        <f>餐厅成本录入!K218</f>
        <v>0</v>
      </c>
      <c r="L218" s="21">
        <f>餐厅成本录入!L218</f>
        <v>0</v>
      </c>
      <c r="M218" s="21">
        <f>餐厅成本录入!M218</f>
        <v>0</v>
      </c>
      <c r="N218" s="198">
        <f>$E218*餐厅成本录入!N221</f>
        <v>0</v>
      </c>
      <c r="O218" s="198">
        <f>$E218*餐厅成本录入!O221</f>
        <v>0</v>
      </c>
      <c r="P218" s="198">
        <f>$E218*餐厅成本录入!P221</f>
        <v>0</v>
      </c>
      <c r="Q218" s="198">
        <f>$E218*餐厅成本录入!Q221</f>
        <v>0</v>
      </c>
      <c r="R218" s="198">
        <f>$E218*餐厅成本录入!R221</f>
        <v>0</v>
      </c>
      <c r="S218" s="198">
        <f>$E218*餐厅成本录入!S221</f>
        <v>0</v>
      </c>
      <c r="T218" s="198">
        <f>$E218*餐厅成本录入!T221</f>
        <v>0</v>
      </c>
      <c r="U218" s="198">
        <f>$E218*餐厅成本录入!U221</f>
        <v>0</v>
      </c>
      <c r="V218" s="198">
        <f>$E218*餐厅成本录入!V221</f>
        <v>0</v>
      </c>
      <c r="W218" s="198">
        <f>$E218*餐厅成本录入!W221</f>
        <v>0</v>
      </c>
      <c r="X218" s="198">
        <f>$E218*餐厅成本录入!X221</f>
        <v>0</v>
      </c>
      <c r="Y218" s="198">
        <f>$E218*餐厅成本录入!Y221</f>
        <v>0</v>
      </c>
      <c r="Z218" s="198">
        <f>$E218*餐厅成本录入!Z221</f>
        <v>0</v>
      </c>
      <c r="AA218" s="198">
        <f>$E218*餐厅成本录入!AA221</f>
        <v>0</v>
      </c>
      <c r="AB218" s="198">
        <f>$E218*餐厅成本录入!AB221</f>
        <v>0</v>
      </c>
      <c r="AC218" s="198">
        <f>$E218*餐厅成本录入!AC221</f>
        <v>0</v>
      </c>
      <c r="AD218" s="198">
        <f>$E218*餐厅成本录入!AD221</f>
        <v>0</v>
      </c>
      <c r="AE218" s="198">
        <f>$E218*餐厅成本录入!AE221</f>
        <v>0</v>
      </c>
      <c r="AF218" s="198">
        <f>$E218*餐厅成本录入!AF221</f>
        <v>0</v>
      </c>
      <c r="AG218" s="198">
        <f>$E218*餐厅成本录入!AG221</f>
        <v>0</v>
      </c>
      <c r="AH218" s="198">
        <f>$E218*餐厅成本录入!AH221</f>
        <v>0</v>
      </c>
      <c r="AI218" s="198">
        <f>$E218*餐厅成本录入!AI221</f>
        <v>0</v>
      </c>
      <c r="AJ218" s="198">
        <f>$E218*餐厅成本录入!AJ221</f>
        <v>0</v>
      </c>
      <c r="AK218" s="198">
        <f>$E218*餐厅成本录入!AK221</f>
        <v>0</v>
      </c>
      <c r="AL218" s="198">
        <f>$E218*餐厅成本录入!AL221</f>
        <v>0</v>
      </c>
      <c r="AM218" s="198">
        <f>$E218*餐厅成本录入!AM221</f>
        <v>0</v>
      </c>
      <c r="AN218" s="198">
        <f>$E218*餐厅成本录入!AN221</f>
        <v>0</v>
      </c>
      <c r="AO218" s="198">
        <f>$E218*餐厅成本录入!AO221</f>
        <v>0</v>
      </c>
      <c r="AP218" s="198">
        <f>$E218*餐厅成本录入!AP221</f>
        <v>0</v>
      </c>
      <c r="AQ218" s="198">
        <f>$E218*餐厅成本录入!AQ221</f>
        <v>0</v>
      </c>
      <c r="AR218" s="198">
        <f>$E218*餐厅成本录入!AR221</f>
        <v>0</v>
      </c>
      <c r="AS218" s="198">
        <f>$E218*餐厅成本录入!AS221</f>
        <v>0</v>
      </c>
      <c r="AT218" s="198">
        <f>$E218*餐厅成本录入!AT221</f>
        <v>0</v>
      </c>
      <c r="AU218" s="198">
        <f>$E218*餐厅成本录入!AU221</f>
        <v>0</v>
      </c>
      <c r="AV218" s="198">
        <f>$E218*餐厅成本录入!AV221</f>
        <v>0</v>
      </c>
      <c r="AW218" s="198">
        <f>$E218*餐厅成本录入!AW221</f>
        <v>0</v>
      </c>
      <c r="AX218" s="198">
        <f>$E218*餐厅成本录入!AX221</f>
        <v>0</v>
      </c>
      <c r="AY218" s="198">
        <f>$E218*餐厅成本录入!AY221</f>
        <v>0</v>
      </c>
      <c r="AZ218" s="198">
        <f>$E218*餐厅成本录入!AZ221</f>
        <v>0</v>
      </c>
      <c r="BA218" s="198">
        <f>$E218*餐厅成本录入!BA221</f>
        <v>0</v>
      </c>
      <c r="BB218" s="198">
        <f>$E218*餐厅成本录入!BB221</f>
        <v>0</v>
      </c>
      <c r="BC218" s="198">
        <f>$E218*餐厅成本录入!BC221</f>
        <v>0</v>
      </c>
      <c r="BD218" s="198">
        <f>$E218*餐厅成本录入!BD221</f>
        <v>0</v>
      </c>
      <c r="BE218" s="198">
        <f>$E218*餐厅成本录入!BE221</f>
        <v>0</v>
      </c>
      <c r="BF218" s="198">
        <f>$E218*餐厅成本录入!BF221</f>
        <v>0</v>
      </c>
      <c r="BG218" s="198">
        <f>$E218*餐厅成本录入!BG221</f>
        <v>0</v>
      </c>
      <c r="BH218" s="198">
        <f>$E218*餐厅成本录入!BH221</f>
        <v>0</v>
      </c>
      <c r="BI218" s="198">
        <f>$E218*餐厅成本录入!BI221</f>
        <v>0</v>
      </c>
      <c r="BJ218" s="198">
        <f>$E218*餐厅成本录入!BJ221</f>
        <v>0</v>
      </c>
      <c r="BK218" s="198">
        <f>$E218*餐厅成本录入!BK221</f>
        <v>0</v>
      </c>
      <c r="BL218" s="198">
        <f>$E218*餐厅成本录入!BL221</f>
        <v>0</v>
      </c>
      <c r="BM218" s="198">
        <f>$E218*餐厅成本录入!BM221</f>
        <v>0</v>
      </c>
      <c r="BN218" s="198">
        <f>$E218*餐厅成本录入!BN221</f>
        <v>0</v>
      </c>
      <c r="BO218" s="198">
        <f>$E218*餐厅成本录入!BO221</f>
        <v>0</v>
      </c>
      <c r="BP218" s="198">
        <f>$E218*餐厅成本录入!BP221</f>
        <v>0</v>
      </c>
      <c r="BQ218" s="198">
        <f>$E218*餐厅成本录入!BQ221</f>
        <v>0</v>
      </c>
      <c r="BR218" s="198">
        <f>$E218*餐厅成本录入!BR221</f>
        <v>0</v>
      </c>
      <c r="BS218" s="198">
        <f>$E218*餐厅成本录入!BS221</f>
        <v>0</v>
      </c>
      <c r="BT218" s="198">
        <f>$E218*餐厅成本录入!BT221</f>
        <v>0</v>
      </c>
      <c r="BU218" s="198">
        <f>$E218*餐厅成本录入!BU221</f>
        <v>0</v>
      </c>
      <c r="BV218" s="198">
        <f>$E218*餐厅成本录入!BV221</f>
        <v>0</v>
      </c>
      <c r="BW218" s="198">
        <f>$E218*餐厅成本录入!BW221</f>
        <v>0</v>
      </c>
    </row>
    <row r="219" s="178" customFormat="1" customHeight="1" spans="1:75">
      <c r="A219" s="161">
        <v>251</v>
      </c>
      <c r="B219" s="21" t="str">
        <f>餐厅成本录入!B219</f>
        <v>海米</v>
      </c>
      <c r="C219" s="21">
        <f>餐厅成本录入!C219</f>
        <v>0</v>
      </c>
      <c r="D219" s="21" t="str">
        <f>餐厅成本录入!D219</f>
        <v>斤</v>
      </c>
      <c r="E219" s="21">
        <f>餐厅成本录入!E219</f>
        <v>40</v>
      </c>
      <c r="F219" s="21">
        <f>餐厅成本录入!F219</f>
        <v>0</v>
      </c>
      <c r="G219" s="21">
        <f>餐厅成本录入!G219</f>
        <v>0</v>
      </c>
      <c r="H219" s="21">
        <f>餐厅成本录入!H219</f>
        <v>0</v>
      </c>
      <c r="I219" s="21">
        <f>餐厅成本录入!I219</f>
        <v>0</v>
      </c>
      <c r="J219" s="21">
        <f>餐厅成本录入!J219</f>
        <v>0</v>
      </c>
      <c r="K219" s="21">
        <f>餐厅成本录入!K219</f>
        <v>0</v>
      </c>
      <c r="L219" s="21">
        <f>餐厅成本录入!L219</f>
        <v>0</v>
      </c>
      <c r="M219" s="21">
        <f>餐厅成本录入!M219</f>
        <v>0</v>
      </c>
      <c r="N219" s="198">
        <f>$E219*餐厅成本录入!N222</f>
        <v>0</v>
      </c>
      <c r="O219" s="198">
        <f>$E219*餐厅成本录入!O222</f>
        <v>0</v>
      </c>
      <c r="P219" s="198">
        <f>$E219*餐厅成本录入!P222</f>
        <v>0</v>
      </c>
      <c r="Q219" s="198">
        <f>$E219*餐厅成本录入!Q222</f>
        <v>0</v>
      </c>
      <c r="R219" s="198">
        <f>$E219*餐厅成本录入!R222</f>
        <v>0</v>
      </c>
      <c r="S219" s="198">
        <f>$E219*餐厅成本录入!S222</f>
        <v>0</v>
      </c>
      <c r="T219" s="198">
        <f>$E219*餐厅成本录入!T222</f>
        <v>0</v>
      </c>
      <c r="U219" s="198">
        <f>$E219*餐厅成本录入!U222</f>
        <v>0</v>
      </c>
      <c r="V219" s="198">
        <f>$E219*餐厅成本录入!V222</f>
        <v>0</v>
      </c>
      <c r="W219" s="198">
        <f>$E219*餐厅成本录入!W222</f>
        <v>0</v>
      </c>
      <c r="X219" s="198">
        <f>$E219*餐厅成本录入!X222</f>
        <v>0</v>
      </c>
      <c r="Y219" s="198">
        <f>$E219*餐厅成本录入!Y222</f>
        <v>0</v>
      </c>
      <c r="Z219" s="198">
        <f>$E219*餐厅成本录入!Z222</f>
        <v>0</v>
      </c>
      <c r="AA219" s="198">
        <f>$E219*餐厅成本录入!AA222</f>
        <v>0</v>
      </c>
      <c r="AB219" s="198">
        <f>$E219*餐厅成本录入!AB222</f>
        <v>0</v>
      </c>
      <c r="AC219" s="198">
        <f>$E219*餐厅成本录入!AC222</f>
        <v>0</v>
      </c>
      <c r="AD219" s="198">
        <f>$E219*餐厅成本录入!AD222</f>
        <v>0</v>
      </c>
      <c r="AE219" s="198">
        <f>$E219*餐厅成本录入!AE222</f>
        <v>0</v>
      </c>
      <c r="AF219" s="198">
        <f>$E219*餐厅成本录入!AF222</f>
        <v>0</v>
      </c>
      <c r="AG219" s="198">
        <f>$E219*餐厅成本录入!AG222</f>
        <v>0</v>
      </c>
      <c r="AH219" s="198">
        <f>$E219*餐厅成本录入!AH222</f>
        <v>0</v>
      </c>
      <c r="AI219" s="198">
        <f>$E219*餐厅成本录入!AI222</f>
        <v>0</v>
      </c>
      <c r="AJ219" s="198">
        <f>$E219*餐厅成本录入!AJ222</f>
        <v>0</v>
      </c>
      <c r="AK219" s="198">
        <f>$E219*餐厅成本录入!AK222</f>
        <v>0</v>
      </c>
      <c r="AL219" s="198">
        <f>$E219*餐厅成本录入!AL222</f>
        <v>0</v>
      </c>
      <c r="AM219" s="198">
        <f>$E219*餐厅成本录入!AM222</f>
        <v>0</v>
      </c>
      <c r="AN219" s="198">
        <f>$E219*餐厅成本录入!AN222</f>
        <v>0</v>
      </c>
      <c r="AO219" s="198">
        <f>$E219*餐厅成本录入!AO222</f>
        <v>0</v>
      </c>
      <c r="AP219" s="198">
        <f>$E219*餐厅成本录入!AP222</f>
        <v>0</v>
      </c>
      <c r="AQ219" s="198">
        <f>$E219*餐厅成本录入!AQ222</f>
        <v>0</v>
      </c>
      <c r="AR219" s="198">
        <f>$E219*餐厅成本录入!AR222</f>
        <v>0</v>
      </c>
      <c r="AS219" s="198">
        <f>$E219*餐厅成本录入!AS222</f>
        <v>0</v>
      </c>
      <c r="AT219" s="198">
        <f>$E219*餐厅成本录入!AT222</f>
        <v>0</v>
      </c>
      <c r="AU219" s="198">
        <f>$E219*餐厅成本录入!AU222</f>
        <v>0</v>
      </c>
      <c r="AV219" s="198">
        <f>$E219*餐厅成本录入!AV222</f>
        <v>0</v>
      </c>
      <c r="AW219" s="198">
        <f>$E219*餐厅成本录入!AW222</f>
        <v>0</v>
      </c>
      <c r="AX219" s="198">
        <f>$E219*餐厅成本录入!AX222</f>
        <v>1040</v>
      </c>
      <c r="AY219" s="198">
        <f>$E219*餐厅成本录入!AY222</f>
        <v>1040</v>
      </c>
      <c r="AZ219" s="198">
        <f>$E219*餐厅成本录入!AZ222</f>
        <v>0</v>
      </c>
      <c r="BA219" s="198">
        <f>$E219*餐厅成本录入!BA222</f>
        <v>0</v>
      </c>
      <c r="BB219" s="198">
        <f>$E219*餐厅成本录入!BB222</f>
        <v>0</v>
      </c>
      <c r="BC219" s="198">
        <f>$E219*餐厅成本录入!BC222</f>
        <v>0</v>
      </c>
      <c r="BD219" s="198">
        <f>$E219*餐厅成本录入!BD222</f>
        <v>0</v>
      </c>
      <c r="BE219" s="198">
        <f>$E219*餐厅成本录入!BE222</f>
        <v>0</v>
      </c>
      <c r="BF219" s="198">
        <f>$E219*餐厅成本录入!BF222</f>
        <v>0</v>
      </c>
      <c r="BG219" s="198">
        <f>$E219*餐厅成本录入!BG222</f>
        <v>0</v>
      </c>
      <c r="BH219" s="198">
        <f>$E219*餐厅成本录入!BH222</f>
        <v>0</v>
      </c>
      <c r="BI219" s="198">
        <f>$E219*餐厅成本录入!BI222</f>
        <v>0</v>
      </c>
      <c r="BJ219" s="198">
        <f>$E219*餐厅成本录入!BJ222</f>
        <v>1040</v>
      </c>
      <c r="BK219" s="198">
        <f>$E219*餐厅成本录入!BK222</f>
        <v>1040</v>
      </c>
      <c r="BL219" s="198">
        <f>$E219*餐厅成本录入!BL222</f>
        <v>0</v>
      </c>
      <c r="BM219" s="198">
        <f>$E219*餐厅成本录入!BM222</f>
        <v>0</v>
      </c>
      <c r="BN219" s="198">
        <f>$E219*餐厅成本录入!BN222</f>
        <v>0</v>
      </c>
      <c r="BO219" s="198">
        <f>$E219*餐厅成本录入!BO222</f>
        <v>0</v>
      </c>
      <c r="BP219" s="198">
        <f>$E219*餐厅成本录入!BP222</f>
        <v>0</v>
      </c>
      <c r="BQ219" s="198">
        <f>$E219*餐厅成本录入!BQ222</f>
        <v>0</v>
      </c>
      <c r="BR219" s="198">
        <f>$E219*餐厅成本录入!BR222</f>
        <v>0</v>
      </c>
      <c r="BS219" s="198">
        <f>$E219*餐厅成本录入!BS222</f>
        <v>0</v>
      </c>
      <c r="BT219" s="198">
        <f>$E219*餐厅成本录入!BT222</f>
        <v>800</v>
      </c>
      <c r="BU219" s="198">
        <f>$E219*餐厅成本录入!BU222</f>
        <v>800</v>
      </c>
      <c r="BV219" s="198">
        <f>$E219*餐厅成本录入!BV222</f>
        <v>0</v>
      </c>
      <c r="BW219" s="198">
        <f>$E219*餐厅成本录入!BW222</f>
        <v>0</v>
      </c>
    </row>
    <row r="220" s="178" customFormat="1" customHeight="1" spans="1:75">
      <c r="A220" s="161">
        <v>252</v>
      </c>
      <c r="B220" s="21" t="str">
        <f>餐厅成本录入!B220</f>
        <v>米线</v>
      </c>
      <c r="C220" s="21">
        <f>餐厅成本录入!C220</f>
        <v>0</v>
      </c>
      <c r="D220" s="21" t="str">
        <f>餐厅成本录入!D220</f>
        <v>包</v>
      </c>
      <c r="E220" s="21">
        <f>餐厅成本录入!E220</f>
        <v>55</v>
      </c>
      <c r="F220" s="21">
        <f>餐厅成本录入!F220</f>
        <v>0</v>
      </c>
      <c r="G220" s="21">
        <f>餐厅成本录入!G220</f>
        <v>0</v>
      </c>
      <c r="H220" s="21">
        <f>餐厅成本录入!H220</f>
        <v>1</v>
      </c>
      <c r="I220" s="21">
        <f>餐厅成本录入!I220</f>
        <v>55</v>
      </c>
      <c r="J220" s="21">
        <f>餐厅成本录入!J220</f>
        <v>1</v>
      </c>
      <c r="K220" s="21">
        <f>餐厅成本录入!K220</f>
        <v>55</v>
      </c>
      <c r="L220" s="21">
        <f>餐厅成本录入!L220</f>
        <v>0</v>
      </c>
      <c r="M220" s="21">
        <f>餐厅成本录入!M220</f>
        <v>0</v>
      </c>
      <c r="N220" s="198">
        <f>$E220*餐厅成本录入!N223</f>
        <v>0</v>
      </c>
      <c r="O220" s="198">
        <f>$E220*餐厅成本录入!O223</f>
        <v>0</v>
      </c>
      <c r="P220" s="198">
        <f>$E220*餐厅成本录入!P223</f>
        <v>0</v>
      </c>
      <c r="Q220" s="198">
        <f>$E220*餐厅成本录入!Q223</f>
        <v>0</v>
      </c>
      <c r="R220" s="198">
        <f>$E220*餐厅成本录入!R223</f>
        <v>0</v>
      </c>
      <c r="S220" s="198">
        <f>$E220*餐厅成本录入!S223</f>
        <v>0</v>
      </c>
      <c r="T220" s="198">
        <f>$E220*餐厅成本录入!T223</f>
        <v>0</v>
      </c>
      <c r="U220" s="198">
        <f>$E220*餐厅成本录入!U223</f>
        <v>0</v>
      </c>
      <c r="V220" s="198">
        <f>$E220*餐厅成本录入!V223</f>
        <v>0</v>
      </c>
      <c r="W220" s="198">
        <f>$E220*餐厅成本录入!W223</f>
        <v>0</v>
      </c>
      <c r="X220" s="198">
        <f>$E220*餐厅成本录入!X223</f>
        <v>0</v>
      </c>
      <c r="Y220" s="198">
        <f>$E220*餐厅成本录入!Y223</f>
        <v>0</v>
      </c>
      <c r="Z220" s="198">
        <f>$E220*餐厅成本录入!Z223</f>
        <v>0</v>
      </c>
      <c r="AA220" s="198">
        <f>$E220*餐厅成本录入!AA223</f>
        <v>0</v>
      </c>
      <c r="AB220" s="198">
        <f>$E220*餐厅成本录入!AB223</f>
        <v>1155</v>
      </c>
      <c r="AC220" s="198">
        <f>$E220*餐厅成本录入!AC223</f>
        <v>1155</v>
      </c>
      <c r="AD220" s="198">
        <f>$E220*餐厅成本录入!AD223</f>
        <v>0</v>
      </c>
      <c r="AE220" s="198">
        <f>$E220*餐厅成本录入!AE223</f>
        <v>0</v>
      </c>
      <c r="AF220" s="198">
        <f>$E220*餐厅成本录入!AF223</f>
        <v>0</v>
      </c>
      <c r="AG220" s="198">
        <f>$E220*餐厅成本录入!AG223</f>
        <v>0</v>
      </c>
      <c r="AH220" s="198">
        <f>$E220*餐厅成本录入!AH223</f>
        <v>0</v>
      </c>
      <c r="AI220" s="198">
        <f>$E220*餐厅成本录入!AI223</f>
        <v>0</v>
      </c>
      <c r="AJ220" s="198">
        <f>$E220*餐厅成本录入!AJ223</f>
        <v>0</v>
      </c>
      <c r="AK220" s="198">
        <f>$E220*餐厅成本录入!AK223</f>
        <v>0</v>
      </c>
      <c r="AL220" s="198">
        <f>$E220*餐厅成本录入!AL223</f>
        <v>0</v>
      </c>
      <c r="AM220" s="198">
        <f>$E220*餐厅成本录入!AM223</f>
        <v>0</v>
      </c>
      <c r="AN220" s="198">
        <f>$E220*餐厅成本录入!AN223</f>
        <v>0</v>
      </c>
      <c r="AO220" s="198">
        <f>$E220*餐厅成本录入!AO223</f>
        <v>0</v>
      </c>
      <c r="AP220" s="198">
        <f>$E220*餐厅成本录入!AP223</f>
        <v>0</v>
      </c>
      <c r="AQ220" s="198">
        <f>$E220*餐厅成本录入!AQ223</f>
        <v>0</v>
      </c>
      <c r="AR220" s="198">
        <f>$E220*餐厅成本录入!AR223</f>
        <v>0</v>
      </c>
      <c r="AS220" s="198">
        <f>$E220*餐厅成本录入!AS223</f>
        <v>0</v>
      </c>
      <c r="AT220" s="198">
        <f>$E220*餐厅成本录入!AT223</f>
        <v>0</v>
      </c>
      <c r="AU220" s="198">
        <f>$E220*餐厅成本录入!AU223</f>
        <v>0</v>
      </c>
      <c r="AV220" s="198">
        <f>$E220*餐厅成本录入!AV223</f>
        <v>0</v>
      </c>
      <c r="AW220" s="198">
        <f>$E220*餐厅成本录入!AW223</f>
        <v>0</v>
      </c>
      <c r="AX220" s="198">
        <f>$E220*餐厅成本录入!AX223</f>
        <v>0</v>
      </c>
      <c r="AY220" s="198">
        <f>$E220*餐厅成本录入!AY223</f>
        <v>0</v>
      </c>
      <c r="AZ220" s="198">
        <f>$E220*餐厅成本录入!AZ223</f>
        <v>0</v>
      </c>
      <c r="BA220" s="198">
        <f>$E220*餐厅成本录入!BA223</f>
        <v>0</v>
      </c>
      <c r="BB220" s="198">
        <f>$E220*餐厅成本录入!BB223</f>
        <v>0</v>
      </c>
      <c r="BC220" s="198">
        <f>$E220*餐厅成本录入!BC223</f>
        <v>0</v>
      </c>
      <c r="BD220" s="198">
        <f>$E220*餐厅成本录入!BD223</f>
        <v>0</v>
      </c>
      <c r="BE220" s="198">
        <f>$E220*餐厅成本录入!BE223</f>
        <v>0</v>
      </c>
      <c r="BF220" s="198">
        <f>$E220*餐厅成本录入!BF223</f>
        <v>0</v>
      </c>
      <c r="BG220" s="198">
        <f>$E220*餐厅成本录入!BG223</f>
        <v>0</v>
      </c>
      <c r="BH220" s="198">
        <f>$E220*餐厅成本录入!BH223</f>
        <v>0</v>
      </c>
      <c r="BI220" s="198">
        <f>$E220*餐厅成本录入!BI223</f>
        <v>0</v>
      </c>
      <c r="BJ220" s="198">
        <f>$E220*餐厅成本录入!BJ223</f>
        <v>0</v>
      </c>
      <c r="BK220" s="198">
        <f>$E220*餐厅成本录入!BK223</f>
        <v>0</v>
      </c>
      <c r="BL220" s="198">
        <f>$E220*餐厅成本录入!BL223</f>
        <v>0</v>
      </c>
      <c r="BM220" s="198">
        <f>$E220*餐厅成本录入!BM223</f>
        <v>0</v>
      </c>
      <c r="BN220" s="198">
        <f>$E220*餐厅成本录入!BN223</f>
        <v>990</v>
      </c>
      <c r="BO220" s="198">
        <f>$E220*餐厅成本录入!BO223</f>
        <v>990</v>
      </c>
      <c r="BP220" s="198">
        <f>$E220*餐厅成本录入!BP223</f>
        <v>0</v>
      </c>
      <c r="BQ220" s="198">
        <f>$E220*餐厅成本录入!BQ223</f>
        <v>0</v>
      </c>
      <c r="BR220" s="198">
        <f>$E220*餐厅成本录入!BR223</f>
        <v>0</v>
      </c>
      <c r="BS220" s="198">
        <f>$E220*餐厅成本录入!BS223</f>
        <v>0</v>
      </c>
      <c r="BT220" s="198">
        <f>$E220*餐厅成本录入!BT223</f>
        <v>0</v>
      </c>
      <c r="BU220" s="198">
        <f>$E220*餐厅成本录入!BU223</f>
        <v>0</v>
      </c>
      <c r="BV220" s="198">
        <f>$E220*餐厅成本录入!BV223</f>
        <v>0</v>
      </c>
      <c r="BW220" s="198">
        <f>$E220*餐厅成本录入!BW223</f>
        <v>0</v>
      </c>
    </row>
    <row r="221" s="178" customFormat="1" customHeight="1" spans="1:75">
      <c r="A221" s="161">
        <v>253</v>
      </c>
      <c r="B221" s="21">
        <f>餐厅成本录入!B221</f>
        <v>0</v>
      </c>
      <c r="C221" s="21">
        <f>餐厅成本录入!C221</f>
        <v>0</v>
      </c>
      <c r="D221" s="21">
        <f>餐厅成本录入!D221</f>
        <v>0</v>
      </c>
      <c r="E221" s="21">
        <f>餐厅成本录入!E221</f>
        <v>0</v>
      </c>
      <c r="F221" s="21">
        <f>餐厅成本录入!F221</f>
        <v>0</v>
      </c>
      <c r="G221" s="21">
        <f>餐厅成本录入!G221</f>
        <v>0</v>
      </c>
      <c r="H221" s="21">
        <f>餐厅成本录入!H221</f>
        <v>0</v>
      </c>
      <c r="I221" s="21">
        <f>餐厅成本录入!I221</f>
        <v>0</v>
      </c>
      <c r="J221" s="21">
        <f>餐厅成本录入!J221</f>
        <v>0</v>
      </c>
      <c r="K221" s="21">
        <f>餐厅成本录入!K221</f>
        <v>0</v>
      </c>
      <c r="L221" s="21">
        <f>餐厅成本录入!L221</f>
        <v>0</v>
      </c>
      <c r="M221" s="21">
        <f>餐厅成本录入!M221</f>
        <v>0</v>
      </c>
      <c r="N221" s="198">
        <f>$E221*餐厅成本录入!N224</f>
        <v>0</v>
      </c>
      <c r="O221" s="198">
        <f>$E221*餐厅成本录入!O224</f>
        <v>0</v>
      </c>
      <c r="P221" s="198">
        <f>$E221*餐厅成本录入!P224</f>
        <v>0</v>
      </c>
      <c r="Q221" s="198">
        <f>$E221*餐厅成本录入!Q224</f>
        <v>0</v>
      </c>
      <c r="R221" s="198">
        <f>$E221*餐厅成本录入!R224</f>
        <v>0</v>
      </c>
      <c r="S221" s="198">
        <f>$E221*餐厅成本录入!S224</f>
        <v>0</v>
      </c>
      <c r="T221" s="198">
        <f>$E221*餐厅成本录入!T224</f>
        <v>0</v>
      </c>
      <c r="U221" s="198">
        <f>$E221*餐厅成本录入!U224</f>
        <v>0</v>
      </c>
      <c r="V221" s="198">
        <f>$E221*餐厅成本录入!V224</f>
        <v>0</v>
      </c>
      <c r="W221" s="198">
        <f>$E221*餐厅成本录入!W224</f>
        <v>0</v>
      </c>
      <c r="X221" s="198">
        <f>$E221*餐厅成本录入!X224</f>
        <v>0</v>
      </c>
      <c r="Y221" s="198">
        <f>$E221*餐厅成本录入!Y224</f>
        <v>0</v>
      </c>
      <c r="Z221" s="198">
        <f>$E221*餐厅成本录入!Z224</f>
        <v>0</v>
      </c>
      <c r="AA221" s="198">
        <f>$E221*餐厅成本录入!AA224</f>
        <v>0</v>
      </c>
      <c r="AB221" s="198">
        <f>$E221*餐厅成本录入!AB224</f>
        <v>0</v>
      </c>
      <c r="AC221" s="198">
        <f>$E221*餐厅成本录入!AC224</f>
        <v>0</v>
      </c>
      <c r="AD221" s="198">
        <f>$E221*餐厅成本录入!AD224</f>
        <v>0</v>
      </c>
      <c r="AE221" s="198">
        <f>$E221*餐厅成本录入!AE224</f>
        <v>0</v>
      </c>
      <c r="AF221" s="198">
        <f>$E221*餐厅成本录入!AF224</f>
        <v>0</v>
      </c>
      <c r="AG221" s="198">
        <f>$E221*餐厅成本录入!AG224</f>
        <v>0</v>
      </c>
      <c r="AH221" s="198">
        <f>$E221*餐厅成本录入!AH224</f>
        <v>0</v>
      </c>
      <c r="AI221" s="198">
        <f>$E221*餐厅成本录入!AI224</f>
        <v>0</v>
      </c>
      <c r="AJ221" s="198">
        <f>$E221*餐厅成本录入!AJ224</f>
        <v>0</v>
      </c>
      <c r="AK221" s="198">
        <f>$E221*餐厅成本录入!AK224</f>
        <v>0</v>
      </c>
      <c r="AL221" s="198">
        <f>$E221*餐厅成本录入!AL224</f>
        <v>0</v>
      </c>
      <c r="AM221" s="198">
        <f>$E221*餐厅成本录入!AM224</f>
        <v>0</v>
      </c>
      <c r="AN221" s="198">
        <f>$E221*餐厅成本录入!AN224</f>
        <v>0</v>
      </c>
      <c r="AO221" s="198">
        <f>$E221*餐厅成本录入!AO224</f>
        <v>0</v>
      </c>
      <c r="AP221" s="198">
        <f>$E221*餐厅成本录入!AP224</f>
        <v>0</v>
      </c>
      <c r="AQ221" s="198">
        <f>$E221*餐厅成本录入!AQ224</f>
        <v>0</v>
      </c>
      <c r="AR221" s="198">
        <f>$E221*餐厅成本录入!AR224</f>
        <v>0</v>
      </c>
      <c r="AS221" s="198">
        <f>$E221*餐厅成本录入!AS224</f>
        <v>0</v>
      </c>
      <c r="AT221" s="198">
        <f>$E221*餐厅成本录入!AT224</f>
        <v>0</v>
      </c>
      <c r="AU221" s="198">
        <f>$E221*餐厅成本录入!AU224</f>
        <v>0</v>
      </c>
      <c r="AV221" s="198">
        <f>$E221*餐厅成本录入!AV224</f>
        <v>0</v>
      </c>
      <c r="AW221" s="198">
        <f>$E221*餐厅成本录入!AW224</f>
        <v>0</v>
      </c>
      <c r="AX221" s="198">
        <f>$E221*餐厅成本录入!AX224</f>
        <v>0</v>
      </c>
      <c r="AY221" s="198">
        <f>$E221*餐厅成本录入!AY224</f>
        <v>0</v>
      </c>
      <c r="AZ221" s="198">
        <f>$E221*餐厅成本录入!AZ224</f>
        <v>0</v>
      </c>
      <c r="BA221" s="198">
        <f>$E221*餐厅成本录入!BA224</f>
        <v>0</v>
      </c>
      <c r="BB221" s="198">
        <f>$E221*餐厅成本录入!BB224</f>
        <v>0</v>
      </c>
      <c r="BC221" s="198">
        <f>$E221*餐厅成本录入!BC224</f>
        <v>0</v>
      </c>
      <c r="BD221" s="198">
        <f>$E221*餐厅成本录入!BD224</f>
        <v>0</v>
      </c>
      <c r="BE221" s="198">
        <f>$E221*餐厅成本录入!BE224</f>
        <v>0</v>
      </c>
      <c r="BF221" s="198">
        <f>$E221*餐厅成本录入!BF224</f>
        <v>0</v>
      </c>
      <c r="BG221" s="198">
        <f>$E221*餐厅成本录入!BG224</f>
        <v>0</v>
      </c>
      <c r="BH221" s="198">
        <f>$E221*餐厅成本录入!BH224</f>
        <v>0</v>
      </c>
      <c r="BI221" s="198">
        <f>$E221*餐厅成本录入!BI224</f>
        <v>0</v>
      </c>
      <c r="BJ221" s="198">
        <f>$E221*餐厅成本录入!BJ224</f>
        <v>0</v>
      </c>
      <c r="BK221" s="198">
        <f>$E221*餐厅成本录入!BK224</f>
        <v>0</v>
      </c>
      <c r="BL221" s="198">
        <f>$E221*餐厅成本录入!BL224</f>
        <v>0</v>
      </c>
      <c r="BM221" s="198">
        <f>$E221*餐厅成本录入!BM224</f>
        <v>0</v>
      </c>
      <c r="BN221" s="198">
        <f>$E221*餐厅成本录入!BN224</f>
        <v>0</v>
      </c>
      <c r="BO221" s="198">
        <f>$E221*餐厅成本录入!BO224</f>
        <v>0</v>
      </c>
      <c r="BP221" s="198">
        <f>$E221*餐厅成本录入!BP224</f>
        <v>0</v>
      </c>
      <c r="BQ221" s="198">
        <f>$E221*餐厅成本录入!BQ224</f>
        <v>0</v>
      </c>
      <c r="BR221" s="198">
        <f>$E221*餐厅成本录入!BR224</f>
        <v>0</v>
      </c>
      <c r="BS221" s="198">
        <f>$E221*餐厅成本录入!BS224</f>
        <v>0</v>
      </c>
      <c r="BT221" s="198">
        <f>$E221*餐厅成本录入!BT224</f>
        <v>0</v>
      </c>
      <c r="BU221" s="198">
        <f>$E221*餐厅成本录入!BU224</f>
        <v>0</v>
      </c>
      <c r="BV221" s="198">
        <f>$E221*餐厅成本录入!BV224</f>
        <v>0</v>
      </c>
      <c r="BW221" s="198">
        <f>$E221*餐厅成本录入!BW224</f>
        <v>0</v>
      </c>
    </row>
    <row r="222" s="178" customFormat="1" customHeight="1" spans="1:75">
      <c r="A222" s="161">
        <v>254</v>
      </c>
      <c r="B222" s="21" t="str">
        <f>餐厅成本录入!B222</f>
        <v>面条</v>
      </c>
      <c r="C222" s="21">
        <f>餐厅成本录入!C222</f>
        <v>0</v>
      </c>
      <c r="D222" s="21">
        <f>餐厅成本录入!D222</f>
        <v>0</v>
      </c>
      <c r="E222" s="21">
        <f>餐厅成本录入!E222</f>
        <v>2.5</v>
      </c>
      <c r="F222" s="21">
        <f>餐厅成本录入!F222</f>
        <v>0</v>
      </c>
      <c r="G222" s="21">
        <f>餐厅成本录入!G222</f>
        <v>0</v>
      </c>
      <c r="H222" s="21">
        <f>餐厅成本录入!H222</f>
        <v>72</v>
      </c>
      <c r="I222" s="21">
        <f>餐厅成本录入!I222</f>
        <v>180</v>
      </c>
      <c r="J222" s="21">
        <f>餐厅成本录入!J222</f>
        <v>72</v>
      </c>
      <c r="K222" s="21">
        <f>餐厅成本录入!K222</f>
        <v>180</v>
      </c>
      <c r="L222" s="21">
        <f>餐厅成本录入!L222</f>
        <v>0</v>
      </c>
      <c r="M222" s="21">
        <f>餐厅成本录入!M222</f>
        <v>0</v>
      </c>
      <c r="N222" s="198">
        <f>$E222*餐厅成本录入!N225</f>
        <v>0</v>
      </c>
      <c r="O222" s="198">
        <f>$E222*餐厅成本录入!O225</f>
        <v>0</v>
      </c>
      <c r="P222" s="198">
        <f>$E222*餐厅成本录入!P225</f>
        <v>0</v>
      </c>
      <c r="Q222" s="198">
        <f>$E222*餐厅成本录入!Q225</f>
        <v>0</v>
      </c>
      <c r="R222" s="198">
        <f>$E222*餐厅成本录入!R225</f>
        <v>0</v>
      </c>
      <c r="S222" s="198">
        <f>$E222*餐厅成本录入!S225</f>
        <v>0</v>
      </c>
      <c r="T222" s="198">
        <f>$E222*餐厅成本录入!T225</f>
        <v>0</v>
      </c>
      <c r="U222" s="198">
        <f>$E222*餐厅成本录入!U225</f>
        <v>0</v>
      </c>
      <c r="V222" s="198">
        <f>$E222*餐厅成本录入!V225</f>
        <v>0</v>
      </c>
      <c r="W222" s="198">
        <f>$E222*餐厅成本录入!W225</f>
        <v>0</v>
      </c>
      <c r="X222" s="198">
        <f>$E222*餐厅成本录入!X225</f>
        <v>0</v>
      </c>
      <c r="Y222" s="198">
        <f>$E222*餐厅成本录入!Y225</f>
        <v>0</v>
      </c>
      <c r="Z222" s="198">
        <f>$E222*餐厅成本录入!Z225</f>
        <v>0</v>
      </c>
      <c r="AA222" s="198">
        <f>$E222*餐厅成本录入!AA225</f>
        <v>0</v>
      </c>
      <c r="AB222" s="198">
        <f>$E222*餐厅成本录入!AB225</f>
        <v>0</v>
      </c>
      <c r="AC222" s="198">
        <f>$E222*餐厅成本录入!AC225</f>
        <v>0</v>
      </c>
      <c r="AD222" s="198">
        <f>$E222*餐厅成本录入!AD225</f>
        <v>0</v>
      </c>
      <c r="AE222" s="198">
        <f>$E222*餐厅成本录入!AE225</f>
        <v>0</v>
      </c>
      <c r="AF222" s="198">
        <f>$E222*餐厅成本录入!AF225</f>
        <v>0</v>
      </c>
      <c r="AG222" s="198">
        <f>$E222*餐厅成本录入!AG225</f>
        <v>0</v>
      </c>
      <c r="AH222" s="198">
        <f>$E222*餐厅成本录入!AH225</f>
        <v>0</v>
      </c>
      <c r="AI222" s="198">
        <f>$E222*餐厅成本录入!AI225</f>
        <v>0</v>
      </c>
      <c r="AJ222" s="198">
        <f>$E222*餐厅成本录入!AJ225</f>
        <v>0</v>
      </c>
      <c r="AK222" s="198">
        <f>$E222*餐厅成本录入!AK225</f>
        <v>0</v>
      </c>
      <c r="AL222" s="198">
        <f>$E222*餐厅成本录入!AL225</f>
        <v>0</v>
      </c>
      <c r="AM222" s="198">
        <f>$E222*餐厅成本录入!AM225</f>
        <v>0</v>
      </c>
      <c r="AN222" s="198">
        <f>$E222*餐厅成本录入!AN225</f>
        <v>27.5</v>
      </c>
      <c r="AO222" s="198">
        <f>$E222*餐厅成本录入!AO225</f>
        <v>27.5</v>
      </c>
      <c r="AP222" s="198">
        <f>$E222*餐厅成本录入!AP225</f>
        <v>0</v>
      </c>
      <c r="AQ222" s="198">
        <f>$E222*餐厅成本录入!AQ225</f>
        <v>0</v>
      </c>
      <c r="AR222" s="198">
        <f>$E222*餐厅成本录入!AR225</f>
        <v>0</v>
      </c>
      <c r="AS222" s="198">
        <f>$E222*餐厅成本录入!AS225</f>
        <v>0</v>
      </c>
      <c r="AT222" s="198">
        <f>$E222*餐厅成本录入!AT225</f>
        <v>0</v>
      </c>
      <c r="AU222" s="198">
        <f>$E222*餐厅成本录入!AU225</f>
        <v>0</v>
      </c>
      <c r="AV222" s="198">
        <f>$E222*餐厅成本录入!AV225</f>
        <v>0</v>
      </c>
      <c r="AW222" s="198">
        <f>$E222*餐厅成本录入!AW225</f>
        <v>0</v>
      </c>
      <c r="AX222" s="198">
        <f>$E222*餐厅成本录入!AX225</f>
        <v>0</v>
      </c>
      <c r="AY222" s="198">
        <f>$E222*餐厅成本录入!AY225</f>
        <v>0</v>
      </c>
      <c r="AZ222" s="198">
        <f>$E222*餐厅成本录入!AZ225</f>
        <v>0</v>
      </c>
      <c r="BA222" s="198">
        <f>$E222*餐厅成本录入!BA225</f>
        <v>0</v>
      </c>
      <c r="BB222" s="198">
        <f>$E222*餐厅成本录入!BB225</f>
        <v>0</v>
      </c>
      <c r="BC222" s="198">
        <f>$E222*餐厅成本录入!BC225</f>
        <v>0</v>
      </c>
      <c r="BD222" s="198">
        <f>$E222*餐厅成本录入!BD225</f>
        <v>0</v>
      </c>
      <c r="BE222" s="198">
        <f>$E222*餐厅成本录入!BE225</f>
        <v>0</v>
      </c>
      <c r="BF222" s="198">
        <f>$E222*餐厅成本录入!BF225</f>
        <v>0</v>
      </c>
      <c r="BG222" s="198">
        <f>$E222*餐厅成本录入!BG225</f>
        <v>0</v>
      </c>
      <c r="BH222" s="198">
        <f>$E222*餐厅成本录入!BH225</f>
        <v>0</v>
      </c>
      <c r="BI222" s="198">
        <f>$E222*餐厅成本录入!BI225</f>
        <v>0</v>
      </c>
      <c r="BJ222" s="198">
        <f>$E222*餐厅成本录入!BJ225</f>
        <v>0</v>
      </c>
      <c r="BK222" s="198">
        <f>$E222*餐厅成本录入!BK225</f>
        <v>0</v>
      </c>
      <c r="BL222" s="198">
        <f>$E222*餐厅成本录入!BL225</f>
        <v>0</v>
      </c>
      <c r="BM222" s="198">
        <f>$E222*餐厅成本录入!BM225</f>
        <v>0</v>
      </c>
      <c r="BN222" s="198">
        <f>$E222*餐厅成本录入!BN225</f>
        <v>0</v>
      </c>
      <c r="BO222" s="198">
        <f>$E222*餐厅成本录入!BO225</f>
        <v>0</v>
      </c>
      <c r="BP222" s="198">
        <f>$E222*餐厅成本录入!BP225</f>
        <v>0</v>
      </c>
      <c r="BQ222" s="198">
        <f>$E222*餐厅成本录入!BQ225</f>
        <v>0</v>
      </c>
      <c r="BR222" s="198">
        <f>$E222*餐厅成本录入!BR225</f>
        <v>0</v>
      </c>
      <c r="BS222" s="198">
        <f>$E222*餐厅成本录入!BS225</f>
        <v>0</v>
      </c>
      <c r="BT222" s="198">
        <f>$E222*餐厅成本录入!BT225</f>
        <v>0</v>
      </c>
      <c r="BU222" s="198">
        <f>$E222*餐厅成本录入!BU225</f>
        <v>0</v>
      </c>
      <c r="BV222" s="198">
        <f>$E222*餐厅成本录入!BV225</f>
        <v>0</v>
      </c>
      <c r="BW222" s="198">
        <f>$E222*餐厅成本录入!BW225</f>
        <v>0</v>
      </c>
    </row>
    <row r="223" s="178" customFormat="1" customHeight="1" spans="1:75">
      <c r="A223" s="161">
        <v>255</v>
      </c>
      <c r="B223" s="21" t="str">
        <f>餐厅成本录入!B223</f>
        <v>猪棒骨</v>
      </c>
      <c r="C223" s="21">
        <f>餐厅成本录入!C223</f>
        <v>0</v>
      </c>
      <c r="D223" s="21">
        <f>餐厅成本录入!D223</f>
        <v>0</v>
      </c>
      <c r="E223" s="21">
        <f>餐厅成本录入!E223</f>
        <v>8</v>
      </c>
      <c r="F223" s="21">
        <f>餐厅成本录入!F223</f>
        <v>0</v>
      </c>
      <c r="G223" s="21">
        <f>餐厅成本录入!G223</f>
        <v>0</v>
      </c>
      <c r="H223" s="21">
        <f>餐厅成本录入!H223</f>
        <v>39</v>
      </c>
      <c r="I223" s="21">
        <f>餐厅成本录入!I223</f>
        <v>312</v>
      </c>
      <c r="J223" s="21">
        <f>餐厅成本录入!J223</f>
        <v>39</v>
      </c>
      <c r="K223" s="21">
        <f>餐厅成本录入!K223</f>
        <v>312</v>
      </c>
      <c r="L223" s="21">
        <f>餐厅成本录入!L223</f>
        <v>0</v>
      </c>
      <c r="M223" s="21">
        <f>餐厅成本录入!M223</f>
        <v>0</v>
      </c>
      <c r="N223" s="198">
        <f>$E223*餐厅成本录入!N226</f>
        <v>0</v>
      </c>
      <c r="O223" s="198">
        <f>$E223*餐厅成本录入!O226</f>
        <v>0</v>
      </c>
      <c r="P223" s="198">
        <f>$E223*餐厅成本录入!P226</f>
        <v>0</v>
      </c>
      <c r="Q223" s="198">
        <f>$E223*餐厅成本录入!Q226</f>
        <v>0</v>
      </c>
      <c r="R223" s="198">
        <f>$E223*餐厅成本录入!R226</f>
        <v>0</v>
      </c>
      <c r="S223" s="198">
        <f>$E223*餐厅成本录入!S226</f>
        <v>0</v>
      </c>
      <c r="T223" s="198">
        <f>$E223*餐厅成本录入!T226</f>
        <v>0</v>
      </c>
      <c r="U223" s="198">
        <f>$E223*餐厅成本录入!U226</f>
        <v>0</v>
      </c>
      <c r="V223" s="198">
        <f>$E223*餐厅成本录入!V226</f>
        <v>0</v>
      </c>
      <c r="W223" s="198">
        <f>$E223*餐厅成本录入!W226</f>
        <v>0</v>
      </c>
      <c r="X223" s="198">
        <f>$E223*餐厅成本录入!X226</f>
        <v>0</v>
      </c>
      <c r="Y223" s="198">
        <f>$E223*餐厅成本录入!Y226</f>
        <v>0</v>
      </c>
      <c r="Z223" s="198">
        <f>$E223*餐厅成本录入!Z226</f>
        <v>0</v>
      </c>
      <c r="AA223" s="198">
        <f>$E223*餐厅成本录入!AA226</f>
        <v>0</v>
      </c>
      <c r="AB223" s="198">
        <f>$E223*餐厅成本录入!AB226</f>
        <v>0</v>
      </c>
      <c r="AC223" s="198">
        <f>$E223*餐厅成本录入!AC226</f>
        <v>0</v>
      </c>
      <c r="AD223" s="198">
        <f>$E223*餐厅成本录入!AD226</f>
        <v>0</v>
      </c>
      <c r="AE223" s="198">
        <f>$E223*餐厅成本录入!AE226</f>
        <v>0</v>
      </c>
      <c r="AF223" s="198">
        <f>$E223*餐厅成本录入!AF226</f>
        <v>0</v>
      </c>
      <c r="AG223" s="198">
        <f>$E223*餐厅成本录入!AG226</f>
        <v>0</v>
      </c>
      <c r="AH223" s="198">
        <f>$E223*餐厅成本录入!AH226</f>
        <v>0</v>
      </c>
      <c r="AI223" s="198">
        <f>$E223*餐厅成本录入!AI226</f>
        <v>0</v>
      </c>
      <c r="AJ223" s="198">
        <f>$E223*餐厅成本录入!AJ226</f>
        <v>0</v>
      </c>
      <c r="AK223" s="198">
        <f>$E223*餐厅成本录入!AK226</f>
        <v>0</v>
      </c>
      <c r="AL223" s="198">
        <f>$E223*餐厅成本录入!AL226</f>
        <v>0</v>
      </c>
      <c r="AM223" s="198">
        <f>$E223*餐厅成本录入!AM226</f>
        <v>0</v>
      </c>
      <c r="AN223" s="198">
        <f>$E223*餐厅成本录入!AN226</f>
        <v>0</v>
      </c>
      <c r="AO223" s="198">
        <f>$E223*餐厅成本录入!AO226</f>
        <v>0</v>
      </c>
      <c r="AP223" s="198">
        <f>$E223*餐厅成本录入!AP226</f>
        <v>0</v>
      </c>
      <c r="AQ223" s="198">
        <f>$E223*餐厅成本录入!AQ226</f>
        <v>0</v>
      </c>
      <c r="AR223" s="198">
        <f>$E223*餐厅成本录入!AR226</f>
        <v>0</v>
      </c>
      <c r="AS223" s="198">
        <f>$E223*餐厅成本录入!AS226</f>
        <v>0</v>
      </c>
      <c r="AT223" s="198">
        <f>$E223*餐厅成本录入!AT226</f>
        <v>0</v>
      </c>
      <c r="AU223" s="198">
        <f>$E223*餐厅成本录入!AU226</f>
        <v>0</v>
      </c>
      <c r="AV223" s="198">
        <f>$E223*餐厅成本录入!AV226</f>
        <v>0</v>
      </c>
      <c r="AW223" s="198">
        <f>$E223*餐厅成本录入!AW226</f>
        <v>0</v>
      </c>
      <c r="AX223" s="198">
        <f>$E223*餐厅成本录入!AX226</f>
        <v>0</v>
      </c>
      <c r="AY223" s="198">
        <f>$E223*餐厅成本录入!AY226</f>
        <v>0</v>
      </c>
      <c r="AZ223" s="198">
        <f>$E223*餐厅成本录入!AZ226</f>
        <v>0</v>
      </c>
      <c r="BA223" s="198">
        <f>$E223*餐厅成本录入!BA226</f>
        <v>0</v>
      </c>
      <c r="BB223" s="198">
        <f>$E223*餐厅成本录入!BB226</f>
        <v>0</v>
      </c>
      <c r="BC223" s="198">
        <f>$E223*餐厅成本录入!BC226</f>
        <v>0</v>
      </c>
      <c r="BD223" s="198">
        <f>$E223*餐厅成本录入!BD226</f>
        <v>0</v>
      </c>
      <c r="BE223" s="198">
        <f>$E223*餐厅成本录入!BE226</f>
        <v>0</v>
      </c>
      <c r="BF223" s="198">
        <f>$E223*餐厅成本录入!BF226</f>
        <v>0</v>
      </c>
      <c r="BG223" s="198">
        <f>$E223*餐厅成本录入!BG226</f>
        <v>0</v>
      </c>
      <c r="BH223" s="198">
        <f>$E223*餐厅成本录入!BH226</f>
        <v>0</v>
      </c>
      <c r="BI223" s="198">
        <f>$E223*餐厅成本录入!BI226</f>
        <v>0</v>
      </c>
      <c r="BJ223" s="198">
        <f>$E223*餐厅成本录入!BJ226</f>
        <v>0</v>
      </c>
      <c r="BK223" s="198">
        <f>$E223*餐厅成本录入!BK226</f>
        <v>0</v>
      </c>
      <c r="BL223" s="198">
        <f>$E223*餐厅成本录入!BL226</f>
        <v>0</v>
      </c>
      <c r="BM223" s="198">
        <f>$E223*餐厅成本录入!BM226</f>
        <v>0</v>
      </c>
      <c r="BN223" s="198">
        <f>$E223*餐厅成本录入!BN226</f>
        <v>0</v>
      </c>
      <c r="BO223" s="198">
        <f>$E223*餐厅成本录入!BO226</f>
        <v>0</v>
      </c>
      <c r="BP223" s="198">
        <f>$E223*餐厅成本录入!BP226</f>
        <v>0</v>
      </c>
      <c r="BQ223" s="198">
        <f>$E223*餐厅成本录入!BQ226</f>
        <v>0</v>
      </c>
      <c r="BR223" s="198">
        <f>$E223*餐厅成本录入!BR226</f>
        <v>0</v>
      </c>
      <c r="BS223" s="198">
        <f>$E223*餐厅成本录入!BS226</f>
        <v>0</v>
      </c>
      <c r="BT223" s="198">
        <f>$E223*餐厅成本录入!BT226</f>
        <v>0</v>
      </c>
      <c r="BU223" s="198">
        <f>$E223*餐厅成本录入!BU226</f>
        <v>0</v>
      </c>
      <c r="BV223" s="198">
        <f>$E223*餐厅成本录入!BV226</f>
        <v>0</v>
      </c>
      <c r="BW223" s="198">
        <f>$E223*餐厅成本录入!BW226</f>
        <v>0</v>
      </c>
    </row>
    <row r="224" customHeight="1" spans="1:75">
      <c r="A224" s="193"/>
      <c r="B224" s="6" t="s">
        <v>614</v>
      </c>
      <c r="C224" s="193"/>
      <c r="D224" s="193"/>
      <c r="E224" s="193"/>
      <c r="F224" s="193"/>
      <c r="G224" s="199"/>
      <c r="H224" s="194"/>
      <c r="I224" s="199"/>
      <c r="J224" s="194"/>
      <c r="K224" s="199">
        <f>SUM(K5:K223)</f>
        <v>46959.17</v>
      </c>
      <c r="L224" s="194"/>
      <c r="M224" s="199"/>
      <c r="N224" s="198">
        <f t="shared" ref="N224:BW224" si="0">SUM(N5:N223)</f>
        <v>2486.7</v>
      </c>
      <c r="O224" s="198">
        <f t="shared" si="0"/>
        <v>2486.7</v>
      </c>
      <c r="P224" s="198">
        <f t="shared" si="0"/>
        <v>1054.36</v>
      </c>
      <c r="Q224" s="198">
        <f t="shared" si="0"/>
        <v>1054.36</v>
      </c>
      <c r="R224" s="198">
        <f t="shared" si="0"/>
        <v>2437</v>
      </c>
      <c r="S224" s="198">
        <f t="shared" si="0"/>
        <v>2437</v>
      </c>
      <c r="T224" s="198">
        <f t="shared" si="0"/>
        <v>410</v>
      </c>
      <c r="U224" s="198">
        <f t="shared" si="0"/>
        <v>410</v>
      </c>
      <c r="V224" s="198">
        <f t="shared" si="0"/>
        <v>4436.24</v>
      </c>
      <c r="W224" s="198">
        <f t="shared" si="0"/>
        <v>4436.24</v>
      </c>
      <c r="X224" s="198">
        <f t="shared" si="0"/>
        <v>408</v>
      </c>
      <c r="Y224" s="198">
        <f t="shared" si="0"/>
        <v>408</v>
      </c>
      <c r="Z224" s="198">
        <f t="shared" si="0"/>
        <v>305</v>
      </c>
      <c r="AA224" s="198">
        <f t="shared" si="0"/>
        <v>305</v>
      </c>
      <c r="AB224" s="198">
        <f t="shared" si="0"/>
        <v>2596</v>
      </c>
      <c r="AC224" s="198">
        <f t="shared" si="0"/>
        <v>2596</v>
      </c>
      <c r="AD224" s="198">
        <f t="shared" si="0"/>
        <v>377.03</v>
      </c>
      <c r="AE224" s="198">
        <f t="shared" si="0"/>
        <v>377.03</v>
      </c>
      <c r="AF224" s="198">
        <f t="shared" si="0"/>
        <v>1025.6</v>
      </c>
      <c r="AG224" s="198">
        <f t="shared" si="0"/>
        <v>1025.6</v>
      </c>
      <c r="AH224" s="198">
        <f t="shared" si="0"/>
        <v>1234.81</v>
      </c>
      <c r="AI224" s="198">
        <f t="shared" si="0"/>
        <v>1234.81</v>
      </c>
      <c r="AJ224" s="198">
        <f t="shared" si="0"/>
        <v>1327</v>
      </c>
      <c r="AK224" s="198">
        <f t="shared" si="0"/>
        <v>1327</v>
      </c>
      <c r="AL224" s="198">
        <f t="shared" si="0"/>
        <v>2162.66</v>
      </c>
      <c r="AM224" s="198">
        <f t="shared" si="0"/>
        <v>2162.66</v>
      </c>
      <c r="AN224" s="198">
        <f t="shared" si="0"/>
        <v>1676.7</v>
      </c>
      <c r="AO224" s="198">
        <f t="shared" si="0"/>
        <v>1676.7</v>
      </c>
      <c r="AP224" s="198">
        <f t="shared" si="0"/>
        <v>3073.51</v>
      </c>
      <c r="AQ224" s="198">
        <f t="shared" si="0"/>
        <v>3073.51</v>
      </c>
      <c r="AR224" s="198">
        <f t="shared" si="0"/>
        <v>881.52</v>
      </c>
      <c r="AS224" s="198">
        <f t="shared" si="0"/>
        <v>881.52</v>
      </c>
      <c r="AT224" s="198">
        <f t="shared" si="0"/>
        <v>2639.44</v>
      </c>
      <c r="AU224" s="198">
        <f t="shared" si="0"/>
        <v>2639.44</v>
      </c>
      <c r="AV224" s="198">
        <f t="shared" si="0"/>
        <v>231.84</v>
      </c>
      <c r="AW224" s="198">
        <f t="shared" si="0"/>
        <v>231.84</v>
      </c>
      <c r="AX224" s="198">
        <f t="shared" si="0"/>
        <v>3110.14</v>
      </c>
      <c r="AY224" s="198">
        <f t="shared" si="0"/>
        <v>3110.14</v>
      </c>
      <c r="AZ224" s="198">
        <f t="shared" si="0"/>
        <v>637</v>
      </c>
      <c r="BA224" s="198">
        <f t="shared" si="0"/>
        <v>637</v>
      </c>
      <c r="BB224" s="198">
        <f t="shared" si="0"/>
        <v>1778.52</v>
      </c>
      <c r="BC224" s="198">
        <f t="shared" si="0"/>
        <v>1778.52</v>
      </c>
      <c r="BD224" s="198">
        <f t="shared" si="0"/>
        <v>2334</v>
      </c>
      <c r="BE224" s="198">
        <f t="shared" si="0"/>
        <v>2334</v>
      </c>
      <c r="BF224" s="198">
        <f t="shared" si="0"/>
        <v>1264.7</v>
      </c>
      <c r="BG224" s="198">
        <f t="shared" si="0"/>
        <v>1264.7</v>
      </c>
      <c r="BH224" s="198">
        <f t="shared" si="0"/>
        <v>4056.8</v>
      </c>
      <c r="BI224" s="198">
        <f t="shared" si="0"/>
        <v>4056.8</v>
      </c>
      <c r="BJ224" s="198">
        <f t="shared" si="0"/>
        <v>2699.4</v>
      </c>
      <c r="BK224" s="198">
        <f t="shared" si="0"/>
        <v>2699.4</v>
      </c>
      <c r="BL224" s="198">
        <f t="shared" si="0"/>
        <v>2769</v>
      </c>
      <c r="BM224" s="198">
        <f t="shared" si="0"/>
        <v>2769</v>
      </c>
      <c r="BN224" s="198">
        <f t="shared" si="0"/>
        <v>5224.3</v>
      </c>
      <c r="BO224" s="198">
        <f t="shared" si="0"/>
        <v>5224.3</v>
      </c>
      <c r="BP224" s="198">
        <f t="shared" si="0"/>
        <v>1162</v>
      </c>
      <c r="BQ224" s="198">
        <f t="shared" si="0"/>
        <v>1162</v>
      </c>
      <c r="BR224" s="198">
        <f t="shared" si="0"/>
        <v>1175.4</v>
      </c>
      <c r="BS224" s="198">
        <f t="shared" si="0"/>
        <v>1175.4</v>
      </c>
      <c r="BT224" s="198">
        <f t="shared" si="0"/>
        <v>2737</v>
      </c>
      <c r="BU224" s="198">
        <f t="shared" si="0"/>
        <v>2737</v>
      </c>
      <c r="BV224" s="198">
        <f t="shared" si="0"/>
        <v>1749</v>
      </c>
      <c r="BW224" s="198">
        <f t="shared" si="0"/>
        <v>1749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4:BW224" etc:filterBottomFollowUsedRange="0">
    <extLst/>
  </autoFilter>
  <mergeCells count="45">
    <mergeCell ref="B1:D1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K10"/>
  <sheetViews>
    <sheetView showGridLines="0" workbookViewId="0">
      <pane xSplit="6" ySplit="3" topLeftCell="G5" activePane="bottomRight" state="frozen"/>
      <selection/>
      <selection pane="topRight"/>
      <selection pane="bottomLeft"/>
      <selection pane="bottomRight" activeCell="D4" sqref="D4:D5"/>
    </sheetView>
  </sheetViews>
  <sheetFormatPr defaultColWidth="9" defaultRowHeight="25" customHeight="1"/>
  <cols>
    <col min="1" max="1" width="3.875" style="179" customWidth="1"/>
    <col min="2" max="2" width="8.875" style="179" customWidth="1"/>
    <col min="3" max="4" width="3.875" style="179" customWidth="1"/>
    <col min="5" max="5" width="5.875" style="180" customWidth="1"/>
    <col min="6" max="6" width="10.125" style="181" customWidth="1"/>
    <col min="7" max="20" width="5.875" style="179" customWidth="1"/>
    <col min="21" max="21" width="4.875" style="179" customWidth="1"/>
    <col min="22" max="23" width="5.875" style="179" customWidth="1"/>
    <col min="24" max="37" width="4.25" style="179" customWidth="1"/>
  </cols>
  <sheetData>
    <row r="1" s="177" customFormat="1" ht="40" customHeight="1" spans="1:37">
      <c r="A1" s="182"/>
      <c r="B1" s="148" t="s">
        <v>604</v>
      </c>
      <c r="C1" s="148"/>
      <c r="D1" s="148"/>
      <c r="E1" s="183"/>
      <c r="F1" s="184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</row>
    <row r="2" s="177" customFormat="1" ht="30" customHeight="1" spans="1:37">
      <c r="A2" s="182"/>
      <c r="B2" s="185" t="s">
        <v>2</v>
      </c>
      <c r="C2" s="182"/>
      <c r="D2" s="182"/>
      <c r="E2" s="183"/>
      <c r="F2" s="184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  <c r="Z2" s="186"/>
      <c r="AA2" s="187"/>
      <c r="AB2" s="186"/>
      <c r="AC2" s="187"/>
      <c r="AD2" s="186"/>
      <c r="AE2" s="187"/>
      <c r="AF2" s="186"/>
      <c r="AG2" s="187"/>
      <c r="AH2" s="186"/>
      <c r="AI2" s="187"/>
      <c r="AJ2" s="186"/>
      <c r="AK2" s="187"/>
    </row>
    <row r="3" s="18" customFormat="1" customHeight="1" spans="1:37">
      <c r="A3" s="188" t="s">
        <v>3</v>
      </c>
      <c r="B3" s="188" t="s">
        <v>126</v>
      </c>
      <c r="C3" s="188" t="s">
        <v>6</v>
      </c>
      <c r="D3" s="188" t="s">
        <v>64</v>
      </c>
      <c r="E3" s="189" t="s">
        <v>606</v>
      </c>
      <c r="F3" s="189" t="s">
        <v>8</v>
      </c>
      <c r="G3" s="20" t="s">
        <v>9</v>
      </c>
      <c r="H3" s="20" t="s">
        <v>10</v>
      </c>
      <c r="I3" s="20" t="s">
        <v>11</v>
      </c>
      <c r="J3" s="20" t="s">
        <v>12</v>
      </c>
      <c r="K3" s="20" t="s">
        <v>13</v>
      </c>
      <c r="L3" s="20" t="s">
        <v>14</v>
      </c>
      <c r="M3" s="20" t="s">
        <v>15</v>
      </c>
      <c r="N3" s="20" t="s">
        <v>16</v>
      </c>
      <c r="O3" s="20" t="s">
        <v>17</v>
      </c>
      <c r="P3" s="20" t="s">
        <v>18</v>
      </c>
      <c r="Q3" s="20" t="s">
        <v>19</v>
      </c>
      <c r="R3" s="20" t="s">
        <v>20</v>
      </c>
      <c r="S3" s="20" t="s">
        <v>21</v>
      </c>
      <c r="T3" s="20" t="s">
        <v>22</v>
      </c>
      <c r="U3" s="20" t="s">
        <v>23</v>
      </c>
      <c r="V3" s="20" t="s">
        <v>24</v>
      </c>
      <c r="W3" s="20" t="s">
        <v>25</v>
      </c>
      <c r="X3" s="20" t="s">
        <v>26</v>
      </c>
      <c r="Y3" s="20" t="s">
        <v>27</v>
      </c>
      <c r="Z3" s="20" t="s">
        <v>28</v>
      </c>
      <c r="AA3" s="20" t="s">
        <v>29</v>
      </c>
      <c r="AB3" s="20" t="s">
        <v>30</v>
      </c>
      <c r="AC3" s="20" t="s">
        <v>31</v>
      </c>
      <c r="AD3" s="20" t="s">
        <v>32</v>
      </c>
      <c r="AE3" s="20" t="s">
        <v>33</v>
      </c>
      <c r="AF3" s="20" t="s">
        <v>34</v>
      </c>
      <c r="AG3" s="20" t="s">
        <v>35</v>
      </c>
      <c r="AH3" s="20" t="s">
        <v>36</v>
      </c>
      <c r="AI3" s="20" t="s">
        <v>37</v>
      </c>
      <c r="AJ3" s="20" t="s">
        <v>38</v>
      </c>
      <c r="AK3" s="20" t="s">
        <v>39</v>
      </c>
    </row>
    <row r="4" s="178" customFormat="1" customHeight="1" spans="1:37">
      <c r="A4" s="161">
        <v>1</v>
      </c>
      <c r="B4" s="21" t="s">
        <v>607</v>
      </c>
      <c r="C4" s="162" t="s">
        <v>608</v>
      </c>
      <c r="D4" s="162">
        <v>10</v>
      </c>
      <c r="E4" s="190">
        <f>用餐人数录入!E4</f>
        <v>5082</v>
      </c>
      <c r="F4" s="191">
        <f t="shared" ref="F4:F9" si="0">+D4*E4</f>
        <v>50820</v>
      </c>
      <c r="G4" s="192">
        <f>$D$4*用餐人数录入!G4</f>
        <v>1260</v>
      </c>
      <c r="H4" s="192">
        <f>$D$4*用餐人数录入!H4</f>
        <v>1360</v>
      </c>
      <c r="I4" s="192">
        <f>$D$4*用餐人数录入!I4</f>
        <v>1630</v>
      </c>
      <c r="J4" s="192">
        <f>$D$4*用餐人数录入!J4</f>
        <v>1550</v>
      </c>
      <c r="K4" s="192">
        <f>$D$4*用餐人数录入!K4</f>
        <v>1600</v>
      </c>
      <c r="L4" s="192">
        <f>$D$4*用餐人数录入!L4</f>
        <v>1450</v>
      </c>
      <c r="M4" s="192">
        <f>$D$4*用餐人数录入!M4</f>
        <v>1660</v>
      </c>
      <c r="N4" s="192">
        <f>$D$4*用餐人数录入!N4</f>
        <v>1720</v>
      </c>
      <c r="O4" s="192">
        <f>$D$4*用餐人数录入!O4</f>
        <v>1880</v>
      </c>
      <c r="P4" s="192">
        <f>$D$4*用餐人数录入!P4</f>
        <v>2000</v>
      </c>
      <c r="Q4" s="192">
        <f>$D$4*用餐人数录入!Q4</f>
        <v>1800</v>
      </c>
      <c r="R4" s="192">
        <f>$D$4*用餐人数录入!R4</f>
        <v>1780</v>
      </c>
      <c r="S4" s="192">
        <f>$D$4*用餐人数录入!S4</f>
        <v>1260</v>
      </c>
      <c r="T4" s="192">
        <f>$D$4*用餐人数录入!T4</f>
        <v>1750</v>
      </c>
      <c r="U4" s="192">
        <f>$D$4*用餐人数录入!U4</f>
        <v>1700</v>
      </c>
      <c r="V4" s="192">
        <f>$D$4*用餐人数录入!V4</f>
        <v>1800</v>
      </c>
      <c r="W4" s="192">
        <f>$D$4*用餐人数录入!W4</f>
        <v>1580</v>
      </c>
      <c r="X4" s="192">
        <f>$D$4*用餐人数录入!X4</f>
        <v>1860</v>
      </c>
      <c r="Y4" s="192">
        <f>$D$4*用餐人数录入!Y4</f>
        <v>1660</v>
      </c>
      <c r="Z4" s="192">
        <f>$D$4*用餐人数录入!Z4</f>
        <v>1500</v>
      </c>
      <c r="AA4" s="192">
        <f>$D$4*用餐人数录入!AA4</f>
        <v>1600</v>
      </c>
      <c r="AB4" s="192">
        <f>$D$4*用餐人数录入!AB4</f>
        <v>1860</v>
      </c>
      <c r="AC4" s="192">
        <f>$D$4*用餐人数录入!AC4</f>
        <v>1550</v>
      </c>
      <c r="AD4" s="192">
        <f>$D$4*用餐人数录入!AD4</f>
        <v>1500</v>
      </c>
      <c r="AE4" s="192">
        <f>$D$4*用餐人数录入!AE4</f>
        <v>1550</v>
      </c>
      <c r="AF4" s="192">
        <f>$D$4*用餐人数录入!AF4</f>
        <v>1600</v>
      </c>
      <c r="AG4" s="192">
        <f>$D$4*用餐人数录入!AG4</f>
        <v>1300</v>
      </c>
      <c r="AH4" s="192">
        <f>$D$4*用餐人数录入!AH4</f>
        <v>1650</v>
      </c>
      <c r="AI4" s="192">
        <f>$D$4*用餐人数录入!AI4</f>
        <v>1780</v>
      </c>
      <c r="AJ4" s="192">
        <f>$D$4*用餐人数录入!AJ4</f>
        <v>1800</v>
      </c>
      <c r="AK4" s="192">
        <f>$D$4*用餐人数录入!AK4</f>
        <v>1830</v>
      </c>
    </row>
    <row r="5" s="178" customFormat="1" customHeight="1" spans="1:37">
      <c r="A5" s="161">
        <v>2</v>
      </c>
      <c r="B5" s="21" t="s">
        <v>609</v>
      </c>
      <c r="C5" s="162" t="s">
        <v>608</v>
      </c>
      <c r="D5" s="162">
        <v>8</v>
      </c>
      <c r="E5" s="190">
        <f>用餐人数录入!E5</f>
        <v>635</v>
      </c>
      <c r="F5" s="191">
        <f t="shared" si="0"/>
        <v>5080</v>
      </c>
      <c r="G5" s="192">
        <f>$D$5*用餐人数录入!G5</f>
        <v>168</v>
      </c>
      <c r="H5" s="192">
        <f>$D$5*用餐人数录入!H5</f>
        <v>152</v>
      </c>
      <c r="I5" s="192">
        <f>$D$5*用餐人数录入!I5</f>
        <v>176</v>
      </c>
      <c r="J5" s="192">
        <f>$D$5*用餐人数录入!J5</f>
        <v>152</v>
      </c>
      <c r="K5" s="192">
        <f>$D$5*用餐人数录入!K5</f>
        <v>176</v>
      </c>
      <c r="L5" s="192">
        <f>$D$5*用餐人数录入!L5</f>
        <v>168</v>
      </c>
      <c r="M5" s="192">
        <f>$D$5*用餐人数录入!M5</f>
        <v>168</v>
      </c>
      <c r="N5" s="192">
        <f>$D$5*用餐人数录入!N5</f>
        <v>160</v>
      </c>
      <c r="O5" s="192">
        <f>$D$5*用餐人数录入!O5</f>
        <v>192</v>
      </c>
      <c r="P5" s="192">
        <f>$D$5*用餐人数录入!P5</f>
        <v>192</v>
      </c>
      <c r="Q5" s="192">
        <f>$D$5*用餐人数录入!Q5</f>
        <v>184</v>
      </c>
      <c r="R5" s="192">
        <f>$D$5*用餐人数录入!R5</f>
        <v>152</v>
      </c>
      <c r="S5" s="192">
        <f>$D$5*用餐人数录入!S5</f>
        <v>144</v>
      </c>
      <c r="T5" s="192">
        <f>$D$5*用餐人数录入!T5</f>
        <v>184</v>
      </c>
      <c r="U5" s="192">
        <f>$D$5*用餐人数录入!U5</f>
        <v>168</v>
      </c>
      <c r="V5" s="192">
        <f>$D$5*用餐人数录入!V5</f>
        <v>152</v>
      </c>
      <c r="W5" s="192">
        <f>$D$5*用餐人数录入!W5</f>
        <v>144</v>
      </c>
      <c r="X5" s="192">
        <f>$D$5*用餐人数录入!X5</f>
        <v>168</v>
      </c>
      <c r="Y5" s="192">
        <f>$D$5*用餐人数录入!Y5</f>
        <v>152</v>
      </c>
      <c r="Z5" s="192">
        <f>$D$5*用餐人数录入!Z5</f>
        <v>176</v>
      </c>
      <c r="AA5" s="192">
        <f>$D$5*用餐人数录入!AA5</f>
        <v>168</v>
      </c>
      <c r="AB5" s="192">
        <f>$D$5*用餐人数录入!AB5</f>
        <v>152</v>
      </c>
      <c r="AC5" s="192">
        <f>$D$5*用餐人数录入!AC5</f>
        <v>128</v>
      </c>
      <c r="AD5" s="192">
        <f>$D$5*用餐人数录入!AD5</f>
        <v>168</v>
      </c>
      <c r="AE5" s="192">
        <f>$D$5*用餐人数录入!AE5</f>
        <v>184</v>
      </c>
      <c r="AF5" s="192">
        <f>$D$5*用餐人数录入!AF5</f>
        <v>168</v>
      </c>
      <c r="AG5" s="192">
        <f>$D$5*用餐人数录入!AG5</f>
        <v>160</v>
      </c>
      <c r="AH5" s="192">
        <f>$D$5*用餐人数录入!AH5</f>
        <v>152</v>
      </c>
      <c r="AI5" s="192">
        <f>$D$5*用餐人数录入!AI6</f>
        <v>560</v>
      </c>
      <c r="AJ5" s="192">
        <f>$D$5*用餐人数录入!AJ5</f>
        <v>152</v>
      </c>
      <c r="AK5" s="192">
        <f>$D$5*用餐人数录入!AK5</f>
        <v>168</v>
      </c>
    </row>
    <row r="6" s="178" customFormat="1" customHeight="1" spans="1:37">
      <c r="A6" s="161">
        <v>3</v>
      </c>
      <c r="B6" s="21"/>
      <c r="C6" s="162"/>
      <c r="D6" s="162"/>
      <c r="E6" s="190">
        <f>用餐人数录入!E6</f>
        <v>2170</v>
      </c>
      <c r="F6" s="191">
        <f t="shared" si="0"/>
        <v>0</v>
      </c>
      <c r="G6" s="192">
        <f>D6*用餐人数录入!G6</f>
        <v>0</v>
      </c>
      <c r="H6" s="192">
        <f>G6*用餐人数录入!H6</f>
        <v>0</v>
      </c>
      <c r="I6" s="192">
        <f>H6*用餐人数录入!I6</f>
        <v>0</v>
      </c>
      <c r="J6" s="192">
        <f>I6*用餐人数录入!J6</f>
        <v>0</v>
      </c>
      <c r="K6" s="192">
        <f>J6*用餐人数录入!K6</f>
        <v>0</v>
      </c>
      <c r="L6" s="192">
        <f>K6*用餐人数录入!L6</f>
        <v>0</v>
      </c>
      <c r="M6" s="192">
        <f>L6*用餐人数录入!M6</f>
        <v>0</v>
      </c>
      <c r="N6" s="192">
        <f>M6*用餐人数录入!N6</f>
        <v>0</v>
      </c>
      <c r="O6" s="192">
        <f>N6*用餐人数录入!O6</f>
        <v>0</v>
      </c>
      <c r="P6" s="192">
        <f>O6*用餐人数录入!P6</f>
        <v>0</v>
      </c>
      <c r="Q6" s="192">
        <f>P6*用餐人数录入!Q6</f>
        <v>0</v>
      </c>
      <c r="R6" s="192">
        <f>Q6*用餐人数录入!R6</f>
        <v>0</v>
      </c>
      <c r="S6" s="192">
        <f>R6*用餐人数录入!S6</f>
        <v>0</v>
      </c>
      <c r="T6" s="192">
        <f>S6*用餐人数录入!T6</f>
        <v>0</v>
      </c>
      <c r="U6" s="192">
        <f>T6*用餐人数录入!U6</f>
        <v>0</v>
      </c>
      <c r="V6" s="192">
        <f>U6*用餐人数录入!V6</f>
        <v>0</v>
      </c>
      <c r="W6" s="192">
        <f>V6*用餐人数录入!W6</f>
        <v>0</v>
      </c>
      <c r="X6" s="192">
        <f>W6*用餐人数录入!X6</f>
        <v>0</v>
      </c>
      <c r="Y6" s="192">
        <f>X6*用餐人数录入!Y6</f>
        <v>0</v>
      </c>
      <c r="Z6" s="192">
        <f>Y6*用餐人数录入!Z6</f>
        <v>0</v>
      </c>
      <c r="AA6" s="192">
        <f>Z6*用餐人数录入!AA6</f>
        <v>0</v>
      </c>
      <c r="AB6" s="192">
        <f>AA6*用餐人数录入!AB6</f>
        <v>0</v>
      </c>
      <c r="AC6" s="192">
        <f>AB6*用餐人数录入!AC6</f>
        <v>0</v>
      </c>
      <c r="AD6" s="192">
        <f>AC6*用餐人数录入!AD6</f>
        <v>0</v>
      </c>
      <c r="AE6" s="192">
        <f>AD6*用餐人数录入!AE6</f>
        <v>0</v>
      </c>
      <c r="AF6" s="192">
        <f>AE6*用餐人数录入!AF6</f>
        <v>0</v>
      </c>
      <c r="AG6" s="192">
        <f>AF6*用餐人数录入!AG6</f>
        <v>0</v>
      </c>
      <c r="AH6" s="192">
        <f>AG6*用餐人数录入!AH6</f>
        <v>0</v>
      </c>
      <c r="AI6" s="192" t="e">
        <f>AH6*用餐人数录入!#REF!</f>
        <v>#REF!</v>
      </c>
      <c r="AJ6" s="192" t="e">
        <f>AI6*用餐人数录入!AJ6</f>
        <v>#REF!</v>
      </c>
      <c r="AK6" s="192" t="e">
        <f>AJ6*用餐人数录入!AK6</f>
        <v>#REF!</v>
      </c>
    </row>
    <row r="7" s="178" customFormat="1" customHeight="1" spans="1:37">
      <c r="A7" s="161">
        <v>4</v>
      </c>
      <c r="B7" s="21"/>
      <c r="C7" s="162"/>
      <c r="D7" s="162"/>
      <c r="E7" s="190">
        <f>用餐人数录入!E7</f>
        <v>0</v>
      </c>
      <c r="F7" s="191">
        <f t="shared" si="0"/>
        <v>0</v>
      </c>
      <c r="G7" s="192">
        <f>D7*用餐人数录入!G7</f>
        <v>0</v>
      </c>
      <c r="H7" s="192">
        <f>G7*用餐人数录入!H7</f>
        <v>0</v>
      </c>
      <c r="I7" s="192">
        <f>H7*用餐人数录入!I7</f>
        <v>0</v>
      </c>
      <c r="J7" s="192">
        <f>I7*用餐人数录入!J7</f>
        <v>0</v>
      </c>
      <c r="K7" s="192">
        <f>J7*用餐人数录入!K7</f>
        <v>0</v>
      </c>
      <c r="L7" s="192">
        <f>K7*用餐人数录入!L7</f>
        <v>0</v>
      </c>
      <c r="M7" s="192">
        <f>L7*用餐人数录入!M7</f>
        <v>0</v>
      </c>
      <c r="N7" s="192">
        <f>M7*用餐人数录入!N7</f>
        <v>0</v>
      </c>
      <c r="O7" s="192">
        <f>N7*用餐人数录入!O7</f>
        <v>0</v>
      </c>
      <c r="P7" s="192">
        <f>O7*用餐人数录入!P7</f>
        <v>0</v>
      </c>
      <c r="Q7" s="192">
        <f>P7*用餐人数录入!Q7</f>
        <v>0</v>
      </c>
      <c r="R7" s="192">
        <f>Q7*用餐人数录入!R7</f>
        <v>0</v>
      </c>
      <c r="S7" s="192">
        <f>R7*用餐人数录入!S7</f>
        <v>0</v>
      </c>
      <c r="T7" s="192">
        <f>S7*用餐人数录入!T7</f>
        <v>0</v>
      </c>
      <c r="U7" s="192">
        <f>T7*用餐人数录入!U7</f>
        <v>0</v>
      </c>
      <c r="V7" s="192">
        <f>U7*用餐人数录入!V7</f>
        <v>0</v>
      </c>
      <c r="W7" s="192">
        <f>V7*用餐人数录入!W7</f>
        <v>0</v>
      </c>
      <c r="X7" s="192">
        <f>W7*用餐人数录入!X7</f>
        <v>0</v>
      </c>
      <c r="Y7" s="192">
        <f>X7*用餐人数录入!Y7</f>
        <v>0</v>
      </c>
      <c r="Z7" s="192">
        <f>Y7*用餐人数录入!Z7</f>
        <v>0</v>
      </c>
      <c r="AA7" s="192">
        <f>Z7*用餐人数录入!AA7</f>
        <v>0</v>
      </c>
      <c r="AB7" s="192">
        <f>AA7*用餐人数录入!AB7</f>
        <v>0</v>
      </c>
      <c r="AC7" s="192">
        <f>AB7*用餐人数录入!AC7</f>
        <v>0</v>
      </c>
      <c r="AD7" s="192">
        <f>AC7*用餐人数录入!AD7</f>
        <v>0</v>
      </c>
      <c r="AE7" s="192">
        <f>AD7*用餐人数录入!AE7</f>
        <v>0</v>
      </c>
      <c r="AF7" s="192">
        <f>AE7*用餐人数录入!AF7</f>
        <v>0</v>
      </c>
      <c r="AG7" s="192">
        <f>AF7*用餐人数录入!AG7</f>
        <v>0</v>
      </c>
      <c r="AH7" s="192">
        <f>AG7*用餐人数录入!AH7</f>
        <v>0</v>
      </c>
      <c r="AI7" s="192">
        <f>AH7*用餐人数录入!AI7</f>
        <v>0</v>
      </c>
      <c r="AJ7" s="192">
        <f>AI7*用餐人数录入!AJ7</f>
        <v>0</v>
      </c>
      <c r="AK7" s="192">
        <f>AJ7*用餐人数录入!AK7</f>
        <v>0</v>
      </c>
    </row>
    <row r="8" s="178" customFormat="1" customHeight="1" spans="1:37">
      <c r="A8" s="161">
        <v>5</v>
      </c>
      <c r="B8" s="21"/>
      <c r="C8" s="162"/>
      <c r="D8" s="162"/>
      <c r="E8" s="190">
        <f>用餐人数录入!E8</f>
        <v>0</v>
      </c>
      <c r="F8" s="191">
        <f t="shared" si="0"/>
        <v>0</v>
      </c>
      <c r="G8" s="192">
        <f>D8*用餐人数录入!G8</f>
        <v>0</v>
      </c>
      <c r="H8" s="192">
        <f>G8*用餐人数录入!H8</f>
        <v>0</v>
      </c>
      <c r="I8" s="192">
        <f>H8*用餐人数录入!I8</f>
        <v>0</v>
      </c>
      <c r="J8" s="192">
        <f>I8*用餐人数录入!J8</f>
        <v>0</v>
      </c>
      <c r="K8" s="192">
        <f>J8*用餐人数录入!K8</f>
        <v>0</v>
      </c>
      <c r="L8" s="192">
        <f>K8*用餐人数录入!L8</f>
        <v>0</v>
      </c>
      <c r="M8" s="192">
        <f>L8*用餐人数录入!M8</f>
        <v>0</v>
      </c>
      <c r="N8" s="192">
        <f>M8*用餐人数录入!N8</f>
        <v>0</v>
      </c>
      <c r="O8" s="192">
        <f>N8*用餐人数录入!O8</f>
        <v>0</v>
      </c>
      <c r="P8" s="192">
        <f>O8*用餐人数录入!P8</f>
        <v>0</v>
      </c>
      <c r="Q8" s="192">
        <f>P8*用餐人数录入!Q8</f>
        <v>0</v>
      </c>
      <c r="R8" s="192">
        <f>Q8*用餐人数录入!R8</f>
        <v>0</v>
      </c>
      <c r="S8" s="192">
        <f>R8*用餐人数录入!S8</f>
        <v>0</v>
      </c>
      <c r="T8" s="192">
        <f>S8*用餐人数录入!T8</f>
        <v>0</v>
      </c>
      <c r="U8" s="192">
        <f>T8*用餐人数录入!U8</f>
        <v>0</v>
      </c>
      <c r="V8" s="192">
        <f>U8*用餐人数录入!V8</f>
        <v>0</v>
      </c>
      <c r="W8" s="192">
        <f>V8*用餐人数录入!W8</f>
        <v>0</v>
      </c>
      <c r="X8" s="192">
        <f>W8*用餐人数录入!X8</f>
        <v>0</v>
      </c>
      <c r="Y8" s="192">
        <f>X8*用餐人数录入!Y8</f>
        <v>0</v>
      </c>
      <c r="Z8" s="192">
        <f>Y8*用餐人数录入!Z8</f>
        <v>0</v>
      </c>
      <c r="AA8" s="192">
        <f>Z8*用餐人数录入!AA8</f>
        <v>0</v>
      </c>
      <c r="AB8" s="192">
        <f>AA8*用餐人数录入!AB8</f>
        <v>0</v>
      </c>
      <c r="AC8" s="192">
        <f>AB8*用餐人数录入!AC8</f>
        <v>0</v>
      </c>
      <c r="AD8" s="192">
        <f>AC8*用餐人数录入!AD8</f>
        <v>0</v>
      </c>
      <c r="AE8" s="192">
        <f>AD8*用餐人数录入!AE8</f>
        <v>0</v>
      </c>
      <c r="AF8" s="192">
        <f>AE8*用餐人数录入!AF8</f>
        <v>0</v>
      </c>
      <c r="AG8" s="192">
        <f>AF8*用餐人数录入!AG8</f>
        <v>0</v>
      </c>
      <c r="AH8" s="192">
        <f>AG8*用餐人数录入!AH8</f>
        <v>0</v>
      </c>
      <c r="AI8" s="192">
        <f>AH8*用餐人数录入!AI8</f>
        <v>0</v>
      </c>
      <c r="AJ8" s="192">
        <f>AI8*用餐人数录入!AJ8</f>
        <v>0</v>
      </c>
      <c r="AK8" s="192">
        <f>AJ8*用餐人数录入!AK8</f>
        <v>0</v>
      </c>
    </row>
    <row r="9" s="178" customFormat="1" customHeight="1" spans="1:37">
      <c r="A9" s="161">
        <v>6</v>
      </c>
      <c r="B9" s="21"/>
      <c r="C9" s="162"/>
      <c r="D9" s="162"/>
      <c r="E9" s="190">
        <f>用餐人数录入!E9</f>
        <v>0</v>
      </c>
      <c r="F9" s="191">
        <f t="shared" si="0"/>
        <v>0</v>
      </c>
      <c r="G9" s="192">
        <f>D9*用餐人数录入!G9</f>
        <v>0</v>
      </c>
      <c r="H9" s="192">
        <f>G9*用餐人数录入!H9</f>
        <v>0</v>
      </c>
      <c r="I9" s="192">
        <f>H9*用餐人数录入!I9</f>
        <v>0</v>
      </c>
      <c r="J9" s="192">
        <f>I9*用餐人数录入!J9</f>
        <v>0</v>
      </c>
      <c r="K9" s="192">
        <f>J9*用餐人数录入!K9</f>
        <v>0</v>
      </c>
      <c r="L9" s="192">
        <f>K9*用餐人数录入!L9</f>
        <v>0</v>
      </c>
      <c r="M9" s="192">
        <f>L9*用餐人数录入!M9</f>
        <v>0</v>
      </c>
      <c r="N9" s="192">
        <f>M9*用餐人数录入!N9</f>
        <v>0</v>
      </c>
      <c r="O9" s="192">
        <f>N9*用餐人数录入!O9</f>
        <v>0</v>
      </c>
      <c r="P9" s="192">
        <f>O9*用餐人数录入!P9</f>
        <v>0</v>
      </c>
      <c r="Q9" s="192">
        <f>P9*用餐人数录入!Q9</f>
        <v>0</v>
      </c>
      <c r="R9" s="192">
        <f>Q9*用餐人数录入!R9</f>
        <v>0</v>
      </c>
      <c r="S9" s="192">
        <f>R9*用餐人数录入!S9</f>
        <v>0</v>
      </c>
      <c r="T9" s="192">
        <f>S9*用餐人数录入!T9</f>
        <v>0</v>
      </c>
      <c r="U9" s="192">
        <f>T9*用餐人数录入!U9</f>
        <v>0</v>
      </c>
      <c r="V9" s="192">
        <f>U9*用餐人数录入!V9</f>
        <v>0</v>
      </c>
      <c r="W9" s="192">
        <f>V9*用餐人数录入!W9</f>
        <v>0</v>
      </c>
      <c r="X9" s="192">
        <f>W9*用餐人数录入!X9</f>
        <v>0</v>
      </c>
      <c r="Y9" s="192">
        <f>X9*用餐人数录入!Y9</f>
        <v>0</v>
      </c>
      <c r="Z9" s="192">
        <f>Y9*用餐人数录入!Z9</f>
        <v>0</v>
      </c>
      <c r="AA9" s="192">
        <f>Z9*用餐人数录入!AA9</f>
        <v>0</v>
      </c>
      <c r="AB9" s="192">
        <f>AA9*用餐人数录入!AB9</f>
        <v>0</v>
      </c>
      <c r="AC9" s="192">
        <f>AB9*用餐人数录入!AC9</f>
        <v>0</v>
      </c>
      <c r="AD9" s="192">
        <f>AC9*用餐人数录入!AD9</f>
        <v>0</v>
      </c>
      <c r="AE9" s="192">
        <f>AD9*用餐人数录入!AE9</f>
        <v>0</v>
      </c>
      <c r="AF9" s="192">
        <f>AE9*用餐人数录入!AF9</f>
        <v>0</v>
      </c>
      <c r="AG9" s="192">
        <f>AF9*用餐人数录入!AG9</f>
        <v>0</v>
      </c>
      <c r="AH9" s="192">
        <f>AG9*用餐人数录入!AH9</f>
        <v>0</v>
      </c>
      <c r="AI9" s="192">
        <f>AH9*用餐人数录入!AI9</f>
        <v>0</v>
      </c>
      <c r="AJ9" s="192">
        <f>AI9*用餐人数录入!AJ9</f>
        <v>0</v>
      </c>
      <c r="AK9" s="192">
        <f>AJ9*用餐人数录入!AK9</f>
        <v>0</v>
      </c>
    </row>
    <row r="10" customHeight="1" spans="1:37">
      <c r="A10" s="193"/>
      <c r="B10" s="6" t="s">
        <v>612</v>
      </c>
      <c r="C10" s="193"/>
      <c r="D10" s="193"/>
      <c r="E10" s="194">
        <f t="shared" ref="E10:AK10" si="1">SUM(E4:E9)</f>
        <v>7887</v>
      </c>
      <c r="F10" s="194">
        <f t="shared" si="1"/>
        <v>55900</v>
      </c>
      <c r="G10" s="194">
        <f t="shared" si="1"/>
        <v>1428</v>
      </c>
      <c r="H10" s="194">
        <f t="shared" si="1"/>
        <v>1512</v>
      </c>
      <c r="I10" s="194">
        <f t="shared" si="1"/>
        <v>1806</v>
      </c>
      <c r="J10" s="194">
        <f t="shared" si="1"/>
        <v>1702</v>
      </c>
      <c r="K10" s="194">
        <f t="shared" si="1"/>
        <v>1776</v>
      </c>
      <c r="L10" s="194">
        <f t="shared" si="1"/>
        <v>1618</v>
      </c>
      <c r="M10" s="194">
        <f t="shared" si="1"/>
        <v>1828</v>
      </c>
      <c r="N10" s="194">
        <f t="shared" si="1"/>
        <v>1880</v>
      </c>
      <c r="O10" s="194">
        <f t="shared" si="1"/>
        <v>2072</v>
      </c>
      <c r="P10" s="194">
        <f t="shared" si="1"/>
        <v>2192</v>
      </c>
      <c r="Q10" s="194">
        <f t="shared" si="1"/>
        <v>1984</v>
      </c>
      <c r="R10" s="194">
        <f t="shared" si="1"/>
        <v>1932</v>
      </c>
      <c r="S10" s="194">
        <f t="shared" si="1"/>
        <v>1404</v>
      </c>
      <c r="T10" s="194">
        <f t="shared" si="1"/>
        <v>1934</v>
      </c>
      <c r="U10" s="194">
        <f t="shared" si="1"/>
        <v>1868</v>
      </c>
      <c r="V10" s="194">
        <f t="shared" si="1"/>
        <v>1952</v>
      </c>
      <c r="W10" s="194">
        <f t="shared" si="1"/>
        <v>1724</v>
      </c>
      <c r="X10" s="194">
        <f t="shared" si="1"/>
        <v>2028</v>
      </c>
      <c r="Y10" s="194">
        <f t="shared" si="1"/>
        <v>1812</v>
      </c>
      <c r="Z10" s="194">
        <f t="shared" si="1"/>
        <v>1676</v>
      </c>
      <c r="AA10" s="194">
        <f t="shared" si="1"/>
        <v>1768</v>
      </c>
      <c r="AB10" s="194">
        <f t="shared" si="1"/>
        <v>2012</v>
      </c>
      <c r="AC10" s="194">
        <f t="shared" si="1"/>
        <v>1678</v>
      </c>
      <c r="AD10" s="194">
        <f t="shared" si="1"/>
        <v>1668</v>
      </c>
      <c r="AE10" s="194">
        <f t="shared" si="1"/>
        <v>1734</v>
      </c>
      <c r="AF10" s="194">
        <f t="shared" si="1"/>
        <v>1768</v>
      </c>
      <c r="AG10" s="194">
        <f t="shared" si="1"/>
        <v>1460</v>
      </c>
      <c r="AH10" s="194">
        <f t="shared" si="1"/>
        <v>1802</v>
      </c>
      <c r="AI10" s="194" t="e">
        <f t="shared" si="1"/>
        <v>#REF!</v>
      </c>
      <c r="AJ10" s="194" t="e">
        <f t="shared" si="1"/>
        <v>#REF!</v>
      </c>
      <c r="AK10" s="194" t="e">
        <f t="shared" si="1"/>
        <v>#REF!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B1:D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餐厅工资2">
    <tabColor rgb="FFFF0000"/>
  </sheetPr>
  <dimension ref="A1:AP13"/>
  <sheetViews>
    <sheetView workbookViewId="0">
      <selection activeCell="C2" sqref="C2"/>
    </sheetView>
  </sheetViews>
  <sheetFormatPr defaultColWidth="8.725" defaultRowHeight="18" customHeight="1"/>
  <cols>
    <col min="1" max="6" width="8.75" style="130"/>
    <col min="7" max="9" width="9.125" style="130"/>
    <col min="10" max="12" width="10.2583333333333" style="130"/>
    <col min="13" max="14" width="12.875" style="139"/>
    <col min="15" max="15" width="12.875" style="130"/>
    <col min="16" max="16" width="12.875" style="139"/>
    <col min="17" max="17" width="12.875" style="130"/>
    <col min="18" max="18" width="12.875" style="139"/>
    <col min="19" max="19" width="12.875" style="130"/>
    <col min="20" max="20" width="12.875" style="139"/>
    <col min="21" max="21" width="12.875" style="130"/>
    <col min="22" max="22" width="12.875" style="139"/>
    <col min="23" max="23" width="12.875" style="130"/>
    <col min="24" max="24" width="12.875" style="139"/>
    <col min="25" max="25" width="12.875" style="130"/>
    <col min="26" max="26" width="12.875" style="139"/>
    <col min="27" max="27" width="12.875" style="130"/>
    <col min="28" max="28" width="12.875" style="139"/>
    <col min="29" max="29" width="12.875" style="130"/>
    <col min="30" max="30" width="12.875" style="139"/>
    <col min="31" max="31" width="12.875" style="130"/>
    <col min="32" max="32" width="12.875" style="139"/>
    <col min="33" max="33" width="12.875" style="130"/>
    <col min="34" max="34" width="12.875" style="139"/>
    <col min="35" max="35" width="12.875" style="130"/>
    <col min="36" max="36" width="12.875" style="139"/>
    <col min="37" max="37" width="12.875" style="130"/>
    <col min="38" max="38" width="12.875" style="139"/>
    <col min="39" max="39" width="12.875" style="130"/>
    <col min="40" max="40" width="12.875" style="139"/>
    <col min="41" max="41" width="12.875" style="130"/>
    <col min="42" max="42" width="12.875" style="139"/>
  </cols>
  <sheetData>
    <row r="1" s="129" customFormat="1" customHeight="1" spans="1:42">
      <c r="A1" s="134" t="s">
        <v>76</v>
      </c>
      <c r="B1" s="134" t="s">
        <v>77</v>
      </c>
      <c r="C1" s="134" t="s">
        <v>78</v>
      </c>
      <c r="D1" s="134" t="s">
        <v>79</v>
      </c>
      <c r="E1" s="134" t="s">
        <v>80</v>
      </c>
      <c r="F1" s="134" t="s">
        <v>81</v>
      </c>
      <c r="G1" s="134" t="s">
        <v>82</v>
      </c>
      <c r="H1" s="134" t="s">
        <v>83</v>
      </c>
      <c r="I1" s="134" t="s">
        <v>84</v>
      </c>
      <c r="J1" s="134" t="s">
        <v>85</v>
      </c>
      <c r="K1" s="134" t="s">
        <v>86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5" t="s">
        <v>23</v>
      </c>
      <c r="AA1" s="15" t="s">
        <v>24</v>
      </c>
      <c r="AB1" s="15" t="s">
        <v>25</v>
      </c>
      <c r="AC1" s="15" t="s">
        <v>26</v>
      </c>
      <c r="AD1" s="15" t="s">
        <v>27</v>
      </c>
      <c r="AE1" s="15" t="s">
        <v>28</v>
      </c>
      <c r="AF1" s="15" t="s">
        <v>29</v>
      </c>
      <c r="AG1" s="15" t="s">
        <v>30</v>
      </c>
      <c r="AH1" s="15" t="s">
        <v>31</v>
      </c>
      <c r="AI1" s="15" t="s">
        <v>32</v>
      </c>
      <c r="AJ1" s="15" t="s">
        <v>33</v>
      </c>
      <c r="AK1" s="15" t="s">
        <v>34</v>
      </c>
      <c r="AL1" s="15" t="s">
        <v>35</v>
      </c>
      <c r="AM1" s="15" t="s">
        <v>36</v>
      </c>
      <c r="AN1" s="15" t="s">
        <v>37</v>
      </c>
      <c r="AO1" s="15" t="s">
        <v>38</v>
      </c>
      <c r="AP1" s="15" t="s">
        <v>39</v>
      </c>
    </row>
    <row r="2" customHeight="1" spans="1:42">
      <c r="A2" s="174" t="str">
        <f>'餐厅工资录入 '!A2</f>
        <v>孟庆龙</v>
      </c>
      <c r="B2" s="174" t="str">
        <f>'餐厅工资录入 '!B2</f>
        <v>餐厅</v>
      </c>
      <c r="C2" s="174" t="str">
        <f>'餐厅工资录入 '!C2</f>
        <v>厨师</v>
      </c>
      <c r="D2" s="174" t="str">
        <f>'餐厅工资录入 '!D2</f>
        <v>是</v>
      </c>
      <c r="E2" s="174">
        <f>'餐厅工资录入 '!E2</f>
        <v>0</v>
      </c>
      <c r="F2" s="174">
        <f>'餐厅工资录入 '!F2</f>
        <v>0</v>
      </c>
      <c r="G2" s="175">
        <f>'餐厅工资录入 '!G2</f>
        <v>8000</v>
      </c>
      <c r="H2" s="175">
        <f>'餐厅工资录入 '!H2</f>
        <v>2200</v>
      </c>
      <c r="I2" s="175">
        <f>'餐厅工资录入 '!I2</f>
        <v>5800</v>
      </c>
      <c r="J2" s="175">
        <f>'餐厅工资录入 '!J2</f>
        <v>0</v>
      </c>
      <c r="K2" s="175">
        <f>'餐厅工资录入 '!K2</f>
        <v>25</v>
      </c>
      <c r="L2" s="176">
        <f t="shared" ref="L2:AM2" si="0">IFERROR($G2/$K$2,0)</f>
        <v>320</v>
      </c>
      <c r="M2" s="176">
        <f t="shared" si="0"/>
        <v>320</v>
      </c>
      <c r="N2" s="176">
        <f t="shared" si="0"/>
        <v>320</v>
      </c>
      <c r="O2" s="176">
        <f t="shared" si="0"/>
        <v>320</v>
      </c>
      <c r="P2" s="176">
        <f t="shared" si="0"/>
        <v>320</v>
      </c>
      <c r="Q2" s="176">
        <f t="shared" si="0"/>
        <v>320</v>
      </c>
      <c r="R2" s="176">
        <f t="shared" si="0"/>
        <v>320</v>
      </c>
      <c r="S2" s="176">
        <f t="shared" si="0"/>
        <v>320</v>
      </c>
      <c r="T2" s="176">
        <f t="shared" si="0"/>
        <v>320</v>
      </c>
      <c r="U2" s="176">
        <f t="shared" si="0"/>
        <v>320</v>
      </c>
      <c r="V2" s="176">
        <f t="shared" si="0"/>
        <v>320</v>
      </c>
      <c r="W2" s="176">
        <f t="shared" si="0"/>
        <v>320</v>
      </c>
      <c r="X2" s="176">
        <f t="shared" si="0"/>
        <v>320</v>
      </c>
      <c r="Y2" s="176">
        <f t="shared" si="0"/>
        <v>320</v>
      </c>
      <c r="Z2" s="176">
        <f t="shared" si="0"/>
        <v>320</v>
      </c>
      <c r="AA2" s="176">
        <f t="shared" si="0"/>
        <v>320</v>
      </c>
      <c r="AB2" s="176">
        <f t="shared" si="0"/>
        <v>320</v>
      </c>
      <c r="AC2" s="176">
        <f t="shared" si="0"/>
        <v>320</v>
      </c>
      <c r="AD2" s="176">
        <f t="shared" si="0"/>
        <v>320</v>
      </c>
      <c r="AE2" s="176">
        <f t="shared" si="0"/>
        <v>320</v>
      </c>
      <c r="AF2" s="176">
        <f t="shared" si="0"/>
        <v>320</v>
      </c>
      <c r="AG2" s="176">
        <f t="shared" si="0"/>
        <v>320</v>
      </c>
      <c r="AH2" s="176">
        <f t="shared" si="0"/>
        <v>320</v>
      </c>
      <c r="AI2" s="176">
        <f t="shared" si="0"/>
        <v>320</v>
      </c>
      <c r="AJ2" s="176">
        <f t="shared" si="0"/>
        <v>320</v>
      </c>
      <c r="AK2" s="176">
        <f t="shared" si="0"/>
        <v>320</v>
      </c>
      <c r="AL2" s="176">
        <f t="shared" si="0"/>
        <v>320</v>
      </c>
      <c r="AM2" s="176">
        <f t="shared" si="0"/>
        <v>320</v>
      </c>
      <c r="AN2" s="176">
        <f t="shared" ref="AN2:AN12" si="1">IFERROR(IF($K2&gt;=30,$G2/$K$2,0),0)</f>
        <v>0</v>
      </c>
      <c r="AO2" s="176">
        <f t="shared" ref="AO2:AO12" si="2">IFERROR(IF($K2&gt;=30,$G2/$K$2,0),0)</f>
        <v>0</v>
      </c>
      <c r="AP2" s="176">
        <f t="shared" ref="AP2:AP12" si="3">IFERROR(IF($K2&gt;=31,$G2/$K$2,0),0)</f>
        <v>0</v>
      </c>
    </row>
    <row r="3" customHeight="1" spans="1:42">
      <c r="A3" s="174" t="str">
        <f>'餐厅工资录入 '!A3</f>
        <v>梁晨</v>
      </c>
      <c r="B3" s="174" t="str">
        <f>'餐厅工资录入 '!B3</f>
        <v>餐厅</v>
      </c>
      <c r="C3" s="174" t="str">
        <f>'餐厅工资录入 '!C3</f>
        <v>厨师</v>
      </c>
      <c r="D3" s="174" t="str">
        <f>'餐厅工资录入 '!D3</f>
        <v>是</v>
      </c>
      <c r="E3" s="174">
        <f>'餐厅工资录入 '!E3</f>
        <v>0</v>
      </c>
      <c r="F3" s="174">
        <f>'餐厅工资录入 '!F3</f>
        <v>0</v>
      </c>
      <c r="G3" s="175">
        <f>'餐厅工资录入 '!G3</f>
        <v>7000</v>
      </c>
      <c r="H3" s="175">
        <f>'餐厅工资录入 '!H3</f>
        <v>2200</v>
      </c>
      <c r="I3" s="175">
        <f>'餐厅工资录入 '!I3</f>
        <v>4800</v>
      </c>
      <c r="J3" s="175">
        <f>'餐厅工资录入 '!J3</f>
        <v>0</v>
      </c>
      <c r="K3" s="175">
        <f>'餐厅工资录入 '!K3</f>
        <v>25</v>
      </c>
      <c r="L3" s="176">
        <f t="shared" ref="L3:AM3" si="4">IFERROR($G3/$K$2,0)</f>
        <v>280</v>
      </c>
      <c r="M3" s="176">
        <f t="shared" si="4"/>
        <v>280</v>
      </c>
      <c r="N3" s="176">
        <f t="shared" si="4"/>
        <v>280</v>
      </c>
      <c r="O3" s="176">
        <f t="shared" si="4"/>
        <v>280</v>
      </c>
      <c r="P3" s="176">
        <f t="shared" si="4"/>
        <v>280</v>
      </c>
      <c r="Q3" s="176">
        <f t="shared" si="4"/>
        <v>280</v>
      </c>
      <c r="R3" s="176">
        <f t="shared" si="4"/>
        <v>280</v>
      </c>
      <c r="S3" s="176">
        <f t="shared" si="4"/>
        <v>280</v>
      </c>
      <c r="T3" s="176">
        <f t="shared" si="4"/>
        <v>280</v>
      </c>
      <c r="U3" s="176">
        <f t="shared" si="4"/>
        <v>280</v>
      </c>
      <c r="V3" s="176">
        <f t="shared" si="4"/>
        <v>280</v>
      </c>
      <c r="W3" s="176">
        <f t="shared" si="4"/>
        <v>280</v>
      </c>
      <c r="X3" s="176">
        <f t="shared" si="4"/>
        <v>280</v>
      </c>
      <c r="Y3" s="176">
        <f t="shared" si="4"/>
        <v>280</v>
      </c>
      <c r="Z3" s="176">
        <f t="shared" si="4"/>
        <v>280</v>
      </c>
      <c r="AA3" s="176">
        <f t="shared" si="4"/>
        <v>280</v>
      </c>
      <c r="AB3" s="176">
        <f t="shared" si="4"/>
        <v>280</v>
      </c>
      <c r="AC3" s="176">
        <f t="shared" si="4"/>
        <v>280</v>
      </c>
      <c r="AD3" s="176">
        <f t="shared" si="4"/>
        <v>280</v>
      </c>
      <c r="AE3" s="176">
        <f t="shared" si="4"/>
        <v>280</v>
      </c>
      <c r="AF3" s="176">
        <f t="shared" si="4"/>
        <v>280</v>
      </c>
      <c r="AG3" s="176">
        <f t="shared" si="4"/>
        <v>280</v>
      </c>
      <c r="AH3" s="176">
        <f t="shared" si="4"/>
        <v>280</v>
      </c>
      <c r="AI3" s="176">
        <f t="shared" si="4"/>
        <v>280</v>
      </c>
      <c r="AJ3" s="176">
        <f t="shared" si="4"/>
        <v>280</v>
      </c>
      <c r="AK3" s="176">
        <f t="shared" si="4"/>
        <v>280</v>
      </c>
      <c r="AL3" s="176">
        <f t="shared" si="4"/>
        <v>280</v>
      </c>
      <c r="AM3" s="176">
        <f t="shared" si="4"/>
        <v>280</v>
      </c>
      <c r="AN3" s="176">
        <f t="shared" si="1"/>
        <v>0</v>
      </c>
      <c r="AO3" s="176">
        <f t="shared" si="2"/>
        <v>0</v>
      </c>
      <c r="AP3" s="176">
        <f t="shared" si="3"/>
        <v>0</v>
      </c>
    </row>
    <row r="4" customHeight="1" spans="1:42">
      <c r="A4" s="174" t="str">
        <f>'餐厅工资录入 '!A4</f>
        <v>栾玉艳</v>
      </c>
      <c r="B4" s="174" t="str">
        <f>'餐厅工资录入 '!B4</f>
        <v>餐厅</v>
      </c>
      <c r="C4" s="174" t="str">
        <f>'餐厅工资录入 '!C4</f>
        <v>明档</v>
      </c>
      <c r="D4" s="174" t="str">
        <f>'餐厅工资录入 '!D4</f>
        <v>是</v>
      </c>
      <c r="E4" s="174">
        <f>'餐厅工资录入 '!E4</f>
        <v>0</v>
      </c>
      <c r="F4" s="174">
        <f>'餐厅工资录入 '!F4</f>
        <v>0</v>
      </c>
      <c r="G4" s="175">
        <f>'餐厅工资录入 '!G4</f>
        <v>3500</v>
      </c>
      <c r="H4" s="175">
        <f>'餐厅工资录入 '!H4</f>
        <v>2200</v>
      </c>
      <c r="I4" s="175">
        <f>'餐厅工资录入 '!I4</f>
        <v>1300</v>
      </c>
      <c r="J4" s="175">
        <f>'餐厅工资录入 '!J4</f>
        <v>0</v>
      </c>
      <c r="K4" s="175">
        <f>'餐厅工资录入 '!K4</f>
        <v>25</v>
      </c>
      <c r="L4" s="176">
        <f t="shared" ref="L4:AM4" si="5">IFERROR($G4/$K$2,0)</f>
        <v>140</v>
      </c>
      <c r="M4" s="176">
        <f t="shared" si="5"/>
        <v>140</v>
      </c>
      <c r="N4" s="176">
        <f t="shared" si="5"/>
        <v>140</v>
      </c>
      <c r="O4" s="176">
        <f t="shared" si="5"/>
        <v>140</v>
      </c>
      <c r="P4" s="176">
        <f t="shared" si="5"/>
        <v>140</v>
      </c>
      <c r="Q4" s="176">
        <f t="shared" si="5"/>
        <v>140</v>
      </c>
      <c r="R4" s="176">
        <f t="shared" si="5"/>
        <v>140</v>
      </c>
      <c r="S4" s="176">
        <f t="shared" si="5"/>
        <v>140</v>
      </c>
      <c r="T4" s="176">
        <f t="shared" si="5"/>
        <v>140</v>
      </c>
      <c r="U4" s="176">
        <f t="shared" si="5"/>
        <v>140</v>
      </c>
      <c r="V4" s="176">
        <f t="shared" si="5"/>
        <v>140</v>
      </c>
      <c r="W4" s="176">
        <f t="shared" si="5"/>
        <v>140</v>
      </c>
      <c r="X4" s="176">
        <f t="shared" si="5"/>
        <v>140</v>
      </c>
      <c r="Y4" s="176">
        <f t="shared" si="5"/>
        <v>140</v>
      </c>
      <c r="Z4" s="176">
        <f t="shared" si="5"/>
        <v>140</v>
      </c>
      <c r="AA4" s="176">
        <f t="shared" si="5"/>
        <v>140</v>
      </c>
      <c r="AB4" s="176">
        <f t="shared" si="5"/>
        <v>140</v>
      </c>
      <c r="AC4" s="176">
        <f t="shared" si="5"/>
        <v>140</v>
      </c>
      <c r="AD4" s="176">
        <f t="shared" si="5"/>
        <v>140</v>
      </c>
      <c r="AE4" s="176">
        <f t="shared" si="5"/>
        <v>140</v>
      </c>
      <c r="AF4" s="176">
        <f t="shared" si="5"/>
        <v>140</v>
      </c>
      <c r="AG4" s="176">
        <f t="shared" si="5"/>
        <v>140</v>
      </c>
      <c r="AH4" s="176">
        <f t="shared" si="5"/>
        <v>140</v>
      </c>
      <c r="AI4" s="176">
        <f t="shared" si="5"/>
        <v>140</v>
      </c>
      <c r="AJ4" s="176">
        <f t="shared" si="5"/>
        <v>140</v>
      </c>
      <c r="AK4" s="176">
        <f t="shared" si="5"/>
        <v>140</v>
      </c>
      <c r="AL4" s="176">
        <f t="shared" si="5"/>
        <v>140</v>
      </c>
      <c r="AM4" s="176">
        <f t="shared" si="5"/>
        <v>140</v>
      </c>
      <c r="AN4" s="176">
        <f t="shared" si="1"/>
        <v>0</v>
      </c>
      <c r="AO4" s="176">
        <f t="shared" si="2"/>
        <v>0</v>
      </c>
      <c r="AP4" s="176">
        <f t="shared" si="3"/>
        <v>0</v>
      </c>
    </row>
    <row r="5" customHeight="1" spans="1:42">
      <c r="A5" s="174" t="str">
        <f>'餐厅工资录入 '!A5</f>
        <v>唐艳</v>
      </c>
      <c r="B5" s="174" t="str">
        <f>'餐厅工资录入 '!B5</f>
        <v>餐厅</v>
      </c>
      <c r="C5" s="174" t="str">
        <f>'餐厅工资录入 '!C5</f>
        <v>明档</v>
      </c>
      <c r="D5" s="174" t="str">
        <f>'餐厅工资录入 '!D5</f>
        <v>是</v>
      </c>
      <c r="E5" s="174">
        <f>'餐厅工资录入 '!E5</f>
        <v>0</v>
      </c>
      <c r="F5" s="174">
        <f>'餐厅工资录入 '!F5</f>
        <v>0</v>
      </c>
      <c r="G5" s="175">
        <f>'餐厅工资录入 '!G5</f>
        <v>3500</v>
      </c>
      <c r="H5" s="175">
        <f>'餐厅工资录入 '!H5</f>
        <v>2200</v>
      </c>
      <c r="I5" s="175">
        <f>'餐厅工资录入 '!I5</f>
        <v>1300</v>
      </c>
      <c r="J5" s="175">
        <f>'餐厅工资录入 '!J5</f>
        <v>0</v>
      </c>
      <c r="K5" s="175">
        <f>'餐厅工资录入 '!K5</f>
        <v>25</v>
      </c>
      <c r="L5" s="176">
        <f t="shared" ref="L5:AM5" si="6">IFERROR($G5/$K$2,0)</f>
        <v>140</v>
      </c>
      <c r="M5" s="176">
        <f t="shared" si="6"/>
        <v>140</v>
      </c>
      <c r="N5" s="176">
        <f t="shared" si="6"/>
        <v>140</v>
      </c>
      <c r="O5" s="176">
        <f t="shared" si="6"/>
        <v>140</v>
      </c>
      <c r="P5" s="176">
        <f t="shared" si="6"/>
        <v>140</v>
      </c>
      <c r="Q5" s="176">
        <f t="shared" si="6"/>
        <v>140</v>
      </c>
      <c r="R5" s="176">
        <f t="shared" si="6"/>
        <v>140</v>
      </c>
      <c r="S5" s="176">
        <f t="shared" si="6"/>
        <v>140</v>
      </c>
      <c r="T5" s="176">
        <f t="shared" si="6"/>
        <v>140</v>
      </c>
      <c r="U5" s="176">
        <f t="shared" si="6"/>
        <v>140</v>
      </c>
      <c r="V5" s="176">
        <f t="shared" si="6"/>
        <v>140</v>
      </c>
      <c r="W5" s="176">
        <f t="shared" si="6"/>
        <v>140</v>
      </c>
      <c r="X5" s="176">
        <f t="shared" si="6"/>
        <v>140</v>
      </c>
      <c r="Y5" s="176">
        <f t="shared" si="6"/>
        <v>140</v>
      </c>
      <c r="Z5" s="176">
        <f t="shared" si="6"/>
        <v>140</v>
      </c>
      <c r="AA5" s="176">
        <f t="shared" si="6"/>
        <v>140</v>
      </c>
      <c r="AB5" s="176">
        <f t="shared" si="6"/>
        <v>140</v>
      </c>
      <c r="AC5" s="176">
        <f t="shared" si="6"/>
        <v>140</v>
      </c>
      <c r="AD5" s="176">
        <f t="shared" si="6"/>
        <v>140</v>
      </c>
      <c r="AE5" s="176">
        <f t="shared" si="6"/>
        <v>140</v>
      </c>
      <c r="AF5" s="176">
        <f t="shared" si="6"/>
        <v>140</v>
      </c>
      <c r="AG5" s="176">
        <f t="shared" si="6"/>
        <v>140</v>
      </c>
      <c r="AH5" s="176">
        <f t="shared" si="6"/>
        <v>140</v>
      </c>
      <c r="AI5" s="176">
        <f t="shared" si="6"/>
        <v>140</v>
      </c>
      <c r="AJ5" s="176">
        <f t="shared" si="6"/>
        <v>140</v>
      </c>
      <c r="AK5" s="176">
        <f t="shared" si="6"/>
        <v>140</v>
      </c>
      <c r="AL5" s="176">
        <f t="shared" si="6"/>
        <v>140</v>
      </c>
      <c r="AM5" s="176">
        <f t="shared" si="6"/>
        <v>140</v>
      </c>
      <c r="AN5" s="176">
        <f t="shared" si="1"/>
        <v>0</v>
      </c>
      <c r="AO5" s="176">
        <f t="shared" si="2"/>
        <v>0</v>
      </c>
      <c r="AP5" s="176">
        <f t="shared" si="3"/>
        <v>0</v>
      </c>
    </row>
    <row r="6" customHeight="1" spans="1:42">
      <c r="A6" s="174">
        <f>'餐厅工资录入 '!A6</f>
        <v>0</v>
      </c>
      <c r="B6" s="174">
        <f>'餐厅工资录入 '!B6</f>
        <v>0</v>
      </c>
      <c r="C6" s="174">
        <f>'餐厅工资录入 '!C6</f>
        <v>0</v>
      </c>
      <c r="D6" s="174">
        <f>'餐厅工资录入 '!D6</f>
        <v>0</v>
      </c>
      <c r="E6" s="174">
        <f>'餐厅工资录入 '!E6</f>
        <v>0</v>
      </c>
      <c r="F6" s="174">
        <f>'餐厅工资录入 '!F6</f>
        <v>0</v>
      </c>
      <c r="G6" s="175">
        <f>'餐厅工资录入 '!G6</f>
        <v>0</v>
      </c>
      <c r="H6" s="175">
        <f>'餐厅工资录入 '!H6</f>
        <v>0</v>
      </c>
      <c r="I6" s="175">
        <f>'餐厅工资录入 '!I6</f>
        <v>0</v>
      </c>
      <c r="J6" s="175">
        <f>'餐厅工资录入 '!J6</f>
        <v>0</v>
      </c>
      <c r="K6" s="175">
        <f>'餐厅工资录入 '!K6</f>
        <v>0</v>
      </c>
      <c r="L6" s="176">
        <f t="shared" ref="L6:AM6" si="7">IFERROR($G6/$K$2,0)</f>
        <v>0</v>
      </c>
      <c r="M6" s="176">
        <f t="shared" si="7"/>
        <v>0</v>
      </c>
      <c r="N6" s="176">
        <f t="shared" si="7"/>
        <v>0</v>
      </c>
      <c r="O6" s="176">
        <f t="shared" si="7"/>
        <v>0</v>
      </c>
      <c r="P6" s="176">
        <f t="shared" si="7"/>
        <v>0</v>
      </c>
      <c r="Q6" s="176">
        <f t="shared" si="7"/>
        <v>0</v>
      </c>
      <c r="R6" s="176">
        <f t="shared" si="7"/>
        <v>0</v>
      </c>
      <c r="S6" s="176">
        <f t="shared" si="7"/>
        <v>0</v>
      </c>
      <c r="T6" s="176">
        <f t="shared" si="7"/>
        <v>0</v>
      </c>
      <c r="U6" s="176">
        <f t="shared" si="7"/>
        <v>0</v>
      </c>
      <c r="V6" s="176">
        <f t="shared" si="7"/>
        <v>0</v>
      </c>
      <c r="W6" s="176">
        <f t="shared" si="7"/>
        <v>0</v>
      </c>
      <c r="X6" s="176">
        <f t="shared" si="7"/>
        <v>0</v>
      </c>
      <c r="Y6" s="176">
        <f t="shared" si="7"/>
        <v>0</v>
      </c>
      <c r="Z6" s="176">
        <f t="shared" si="7"/>
        <v>0</v>
      </c>
      <c r="AA6" s="176">
        <f t="shared" si="7"/>
        <v>0</v>
      </c>
      <c r="AB6" s="176">
        <f t="shared" si="7"/>
        <v>0</v>
      </c>
      <c r="AC6" s="176">
        <f t="shared" si="7"/>
        <v>0</v>
      </c>
      <c r="AD6" s="176">
        <f t="shared" si="7"/>
        <v>0</v>
      </c>
      <c r="AE6" s="176">
        <f t="shared" si="7"/>
        <v>0</v>
      </c>
      <c r="AF6" s="176">
        <f t="shared" si="7"/>
        <v>0</v>
      </c>
      <c r="AG6" s="176">
        <f t="shared" si="7"/>
        <v>0</v>
      </c>
      <c r="AH6" s="176">
        <f t="shared" si="7"/>
        <v>0</v>
      </c>
      <c r="AI6" s="176">
        <f t="shared" si="7"/>
        <v>0</v>
      </c>
      <c r="AJ6" s="176">
        <f t="shared" si="7"/>
        <v>0</v>
      </c>
      <c r="AK6" s="176">
        <f t="shared" si="7"/>
        <v>0</v>
      </c>
      <c r="AL6" s="176">
        <f t="shared" si="7"/>
        <v>0</v>
      </c>
      <c r="AM6" s="176">
        <f t="shared" si="7"/>
        <v>0</v>
      </c>
      <c r="AN6" s="176">
        <f t="shared" si="1"/>
        <v>0</v>
      </c>
      <c r="AO6" s="176">
        <f t="shared" si="2"/>
        <v>0</v>
      </c>
      <c r="AP6" s="176">
        <f t="shared" si="3"/>
        <v>0</v>
      </c>
    </row>
    <row r="7" customHeight="1" spans="1:42">
      <c r="A7" s="174">
        <f>'餐厅工资录入 '!A7</f>
        <v>0</v>
      </c>
      <c r="B7" s="174">
        <f>'餐厅工资录入 '!B7</f>
        <v>0</v>
      </c>
      <c r="C7" s="174">
        <f>'餐厅工资录入 '!C7</f>
        <v>0</v>
      </c>
      <c r="D7" s="174">
        <f>'餐厅工资录入 '!D7</f>
        <v>0</v>
      </c>
      <c r="E7" s="174">
        <f>'餐厅工资录入 '!E7</f>
        <v>0</v>
      </c>
      <c r="F7" s="174">
        <f>'餐厅工资录入 '!F7</f>
        <v>0</v>
      </c>
      <c r="G7" s="175">
        <f>'餐厅工资录入 '!G7</f>
        <v>0</v>
      </c>
      <c r="H7" s="175">
        <f>'餐厅工资录入 '!H7</f>
        <v>0</v>
      </c>
      <c r="I7" s="175">
        <f>'餐厅工资录入 '!I7</f>
        <v>0</v>
      </c>
      <c r="J7" s="175">
        <f>'餐厅工资录入 '!J7</f>
        <v>0</v>
      </c>
      <c r="K7" s="175">
        <f>'餐厅工资录入 '!K7</f>
        <v>0</v>
      </c>
      <c r="L7" s="176">
        <f t="shared" ref="L7:AM7" si="8">IFERROR($G7/$K$2,0)</f>
        <v>0</v>
      </c>
      <c r="M7" s="176">
        <f t="shared" si="8"/>
        <v>0</v>
      </c>
      <c r="N7" s="176">
        <f t="shared" si="8"/>
        <v>0</v>
      </c>
      <c r="O7" s="176">
        <f t="shared" si="8"/>
        <v>0</v>
      </c>
      <c r="P7" s="176">
        <f t="shared" si="8"/>
        <v>0</v>
      </c>
      <c r="Q7" s="176">
        <f t="shared" si="8"/>
        <v>0</v>
      </c>
      <c r="R7" s="176">
        <f t="shared" si="8"/>
        <v>0</v>
      </c>
      <c r="S7" s="176">
        <f t="shared" si="8"/>
        <v>0</v>
      </c>
      <c r="T7" s="176">
        <f t="shared" si="8"/>
        <v>0</v>
      </c>
      <c r="U7" s="176">
        <f t="shared" si="8"/>
        <v>0</v>
      </c>
      <c r="V7" s="176">
        <f t="shared" si="8"/>
        <v>0</v>
      </c>
      <c r="W7" s="176">
        <f t="shared" si="8"/>
        <v>0</v>
      </c>
      <c r="X7" s="176">
        <f t="shared" si="8"/>
        <v>0</v>
      </c>
      <c r="Y7" s="176">
        <f t="shared" si="8"/>
        <v>0</v>
      </c>
      <c r="Z7" s="176">
        <f t="shared" si="8"/>
        <v>0</v>
      </c>
      <c r="AA7" s="176">
        <f t="shared" si="8"/>
        <v>0</v>
      </c>
      <c r="AB7" s="176">
        <f t="shared" si="8"/>
        <v>0</v>
      </c>
      <c r="AC7" s="176">
        <f t="shared" si="8"/>
        <v>0</v>
      </c>
      <c r="AD7" s="176">
        <f t="shared" si="8"/>
        <v>0</v>
      </c>
      <c r="AE7" s="176">
        <f t="shared" si="8"/>
        <v>0</v>
      </c>
      <c r="AF7" s="176">
        <f t="shared" si="8"/>
        <v>0</v>
      </c>
      <c r="AG7" s="176">
        <f t="shared" si="8"/>
        <v>0</v>
      </c>
      <c r="AH7" s="176">
        <f t="shared" si="8"/>
        <v>0</v>
      </c>
      <c r="AI7" s="176">
        <f t="shared" si="8"/>
        <v>0</v>
      </c>
      <c r="AJ7" s="176">
        <f t="shared" si="8"/>
        <v>0</v>
      </c>
      <c r="AK7" s="176">
        <f t="shared" si="8"/>
        <v>0</v>
      </c>
      <c r="AL7" s="176">
        <f t="shared" si="8"/>
        <v>0</v>
      </c>
      <c r="AM7" s="176">
        <f t="shared" si="8"/>
        <v>0</v>
      </c>
      <c r="AN7" s="176">
        <f t="shared" si="1"/>
        <v>0</v>
      </c>
      <c r="AO7" s="176">
        <f t="shared" si="2"/>
        <v>0</v>
      </c>
      <c r="AP7" s="176">
        <f t="shared" si="3"/>
        <v>0</v>
      </c>
    </row>
    <row r="8" customHeight="1" spans="1:42">
      <c r="A8" s="174">
        <f>'餐厅工资录入 '!A8</f>
        <v>0</v>
      </c>
      <c r="B8" s="174">
        <f>'餐厅工资录入 '!B8</f>
        <v>0</v>
      </c>
      <c r="C8" s="174">
        <f>'餐厅工资录入 '!C8</f>
        <v>0</v>
      </c>
      <c r="D8" s="174">
        <f>'餐厅工资录入 '!D8</f>
        <v>0</v>
      </c>
      <c r="E8" s="174">
        <f>'餐厅工资录入 '!E8</f>
        <v>0</v>
      </c>
      <c r="F8" s="174">
        <f>'餐厅工资录入 '!F8</f>
        <v>0</v>
      </c>
      <c r="G8" s="175">
        <f>'餐厅工资录入 '!G8</f>
        <v>0</v>
      </c>
      <c r="H8" s="175">
        <f>'餐厅工资录入 '!H8</f>
        <v>0</v>
      </c>
      <c r="I8" s="175">
        <f>'餐厅工资录入 '!I8</f>
        <v>0</v>
      </c>
      <c r="J8" s="175">
        <f>'餐厅工资录入 '!J8</f>
        <v>0</v>
      </c>
      <c r="K8" s="175">
        <f>'餐厅工资录入 '!K8</f>
        <v>0</v>
      </c>
      <c r="L8" s="176">
        <f t="shared" ref="L8:AM8" si="9">IFERROR($G8/$K$2,0)</f>
        <v>0</v>
      </c>
      <c r="M8" s="176">
        <f t="shared" si="9"/>
        <v>0</v>
      </c>
      <c r="N8" s="176">
        <f t="shared" si="9"/>
        <v>0</v>
      </c>
      <c r="O8" s="176">
        <f t="shared" si="9"/>
        <v>0</v>
      </c>
      <c r="P8" s="176">
        <f t="shared" si="9"/>
        <v>0</v>
      </c>
      <c r="Q8" s="176">
        <f t="shared" si="9"/>
        <v>0</v>
      </c>
      <c r="R8" s="176">
        <f t="shared" si="9"/>
        <v>0</v>
      </c>
      <c r="S8" s="176">
        <f t="shared" si="9"/>
        <v>0</v>
      </c>
      <c r="T8" s="176">
        <f t="shared" si="9"/>
        <v>0</v>
      </c>
      <c r="U8" s="176">
        <f t="shared" si="9"/>
        <v>0</v>
      </c>
      <c r="V8" s="176">
        <f t="shared" si="9"/>
        <v>0</v>
      </c>
      <c r="W8" s="176">
        <f t="shared" si="9"/>
        <v>0</v>
      </c>
      <c r="X8" s="176">
        <f t="shared" si="9"/>
        <v>0</v>
      </c>
      <c r="Y8" s="176">
        <f t="shared" si="9"/>
        <v>0</v>
      </c>
      <c r="Z8" s="176">
        <f t="shared" si="9"/>
        <v>0</v>
      </c>
      <c r="AA8" s="176">
        <f t="shared" si="9"/>
        <v>0</v>
      </c>
      <c r="AB8" s="176">
        <f t="shared" si="9"/>
        <v>0</v>
      </c>
      <c r="AC8" s="176">
        <f t="shared" si="9"/>
        <v>0</v>
      </c>
      <c r="AD8" s="176">
        <f t="shared" si="9"/>
        <v>0</v>
      </c>
      <c r="AE8" s="176">
        <f t="shared" si="9"/>
        <v>0</v>
      </c>
      <c r="AF8" s="176">
        <f t="shared" si="9"/>
        <v>0</v>
      </c>
      <c r="AG8" s="176">
        <f t="shared" si="9"/>
        <v>0</v>
      </c>
      <c r="AH8" s="176">
        <f t="shared" si="9"/>
        <v>0</v>
      </c>
      <c r="AI8" s="176">
        <f t="shared" si="9"/>
        <v>0</v>
      </c>
      <c r="AJ8" s="176">
        <f t="shared" si="9"/>
        <v>0</v>
      </c>
      <c r="AK8" s="176">
        <f t="shared" si="9"/>
        <v>0</v>
      </c>
      <c r="AL8" s="176">
        <f t="shared" si="9"/>
        <v>0</v>
      </c>
      <c r="AM8" s="176">
        <f t="shared" si="9"/>
        <v>0</v>
      </c>
      <c r="AN8" s="176">
        <f t="shared" si="1"/>
        <v>0</v>
      </c>
      <c r="AO8" s="176">
        <f t="shared" si="2"/>
        <v>0</v>
      </c>
      <c r="AP8" s="176">
        <f t="shared" si="3"/>
        <v>0</v>
      </c>
    </row>
    <row r="9" customHeight="1" spans="1:42">
      <c r="A9" s="174">
        <f>'餐厅工资录入 '!A9</f>
        <v>0</v>
      </c>
      <c r="B9" s="174">
        <f>'餐厅工资录入 '!B9</f>
        <v>0</v>
      </c>
      <c r="C9" s="174">
        <f>'餐厅工资录入 '!C9</f>
        <v>0</v>
      </c>
      <c r="D9" s="174">
        <f>'餐厅工资录入 '!D9</f>
        <v>0</v>
      </c>
      <c r="E9" s="174">
        <f>'餐厅工资录入 '!E9</f>
        <v>0</v>
      </c>
      <c r="F9" s="174">
        <f>'餐厅工资录入 '!F9</f>
        <v>0</v>
      </c>
      <c r="G9" s="175">
        <f>'餐厅工资录入 '!G9</f>
        <v>0</v>
      </c>
      <c r="H9" s="175">
        <f>'餐厅工资录入 '!H9</f>
        <v>0</v>
      </c>
      <c r="I9" s="175">
        <f>'餐厅工资录入 '!I9</f>
        <v>0</v>
      </c>
      <c r="J9" s="175">
        <f>'餐厅工资录入 '!J9</f>
        <v>0</v>
      </c>
      <c r="K9" s="175">
        <f>'餐厅工资录入 '!K9</f>
        <v>0</v>
      </c>
      <c r="L9" s="176">
        <f t="shared" ref="L9:AM9" si="10">IFERROR($G9/$K$2,0)</f>
        <v>0</v>
      </c>
      <c r="M9" s="176">
        <f t="shared" si="10"/>
        <v>0</v>
      </c>
      <c r="N9" s="176">
        <f t="shared" si="10"/>
        <v>0</v>
      </c>
      <c r="O9" s="176">
        <f t="shared" si="10"/>
        <v>0</v>
      </c>
      <c r="P9" s="176">
        <f t="shared" si="10"/>
        <v>0</v>
      </c>
      <c r="Q9" s="176">
        <f t="shared" si="10"/>
        <v>0</v>
      </c>
      <c r="R9" s="176">
        <f t="shared" si="10"/>
        <v>0</v>
      </c>
      <c r="S9" s="176">
        <f t="shared" si="10"/>
        <v>0</v>
      </c>
      <c r="T9" s="176">
        <f t="shared" si="10"/>
        <v>0</v>
      </c>
      <c r="U9" s="176">
        <f t="shared" si="10"/>
        <v>0</v>
      </c>
      <c r="V9" s="176">
        <f t="shared" si="10"/>
        <v>0</v>
      </c>
      <c r="W9" s="176">
        <f t="shared" si="10"/>
        <v>0</v>
      </c>
      <c r="X9" s="176">
        <f t="shared" si="10"/>
        <v>0</v>
      </c>
      <c r="Y9" s="176">
        <f t="shared" si="10"/>
        <v>0</v>
      </c>
      <c r="Z9" s="176">
        <f t="shared" si="10"/>
        <v>0</v>
      </c>
      <c r="AA9" s="176">
        <f t="shared" si="10"/>
        <v>0</v>
      </c>
      <c r="AB9" s="176">
        <f t="shared" si="10"/>
        <v>0</v>
      </c>
      <c r="AC9" s="176">
        <f t="shared" si="10"/>
        <v>0</v>
      </c>
      <c r="AD9" s="176">
        <f t="shared" si="10"/>
        <v>0</v>
      </c>
      <c r="AE9" s="176">
        <f t="shared" si="10"/>
        <v>0</v>
      </c>
      <c r="AF9" s="176">
        <f t="shared" si="10"/>
        <v>0</v>
      </c>
      <c r="AG9" s="176">
        <f t="shared" si="10"/>
        <v>0</v>
      </c>
      <c r="AH9" s="176">
        <f t="shared" si="10"/>
        <v>0</v>
      </c>
      <c r="AI9" s="176">
        <f t="shared" si="10"/>
        <v>0</v>
      </c>
      <c r="AJ9" s="176">
        <f t="shared" si="10"/>
        <v>0</v>
      </c>
      <c r="AK9" s="176">
        <f t="shared" si="10"/>
        <v>0</v>
      </c>
      <c r="AL9" s="176">
        <f t="shared" si="10"/>
        <v>0</v>
      </c>
      <c r="AM9" s="176">
        <f t="shared" si="10"/>
        <v>0</v>
      </c>
      <c r="AN9" s="176">
        <f t="shared" si="1"/>
        <v>0</v>
      </c>
      <c r="AO9" s="176">
        <f t="shared" si="2"/>
        <v>0</v>
      </c>
      <c r="AP9" s="176">
        <f t="shared" si="3"/>
        <v>0</v>
      </c>
    </row>
    <row r="10" customHeight="1" spans="1:42">
      <c r="A10" s="174">
        <f>'餐厅工资录入 '!A10</f>
        <v>0</v>
      </c>
      <c r="B10" s="174">
        <f>'餐厅工资录入 '!B10</f>
        <v>0</v>
      </c>
      <c r="C10" s="174">
        <f>'餐厅工资录入 '!C10</f>
        <v>0</v>
      </c>
      <c r="D10" s="174">
        <f>'餐厅工资录入 '!D10</f>
        <v>0</v>
      </c>
      <c r="E10" s="174">
        <f>'餐厅工资录入 '!E10</f>
        <v>0</v>
      </c>
      <c r="F10" s="174">
        <f>'餐厅工资录入 '!F10</f>
        <v>0</v>
      </c>
      <c r="G10" s="175">
        <f>'餐厅工资录入 '!G10</f>
        <v>0</v>
      </c>
      <c r="H10" s="175">
        <f>'餐厅工资录入 '!H10</f>
        <v>0</v>
      </c>
      <c r="I10" s="175">
        <f>'餐厅工资录入 '!I10</f>
        <v>0</v>
      </c>
      <c r="J10" s="175">
        <f>'餐厅工资录入 '!J10</f>
        <v>0</v>
      </c>
      <c r="K10" s="175">
        <f>'餐厅工资录入 '!K10</f>
        <v>0</v>
      </c>
      <c r="L10" s="176">
        <f t="shared" ref="L10:AM10" si="11">IFERROR($G10/$K$2,0)</f>
        <v>0</v>
      </c>
      <c r="M10" s="176">
        <f t="shared" si="11"/>
        <v>0</v>
      </c>
      <c r="N10" s="176">
        <f t="shared" si="11"/>
        <v>0</v>
      </c>
      <c r="O10" s="176">
        <f t="shared" si="11"/>
        <v>0</v>
      </c>
      <c r="P10" s="176">
        <f t="shared" si="11"/>
        <v>0</v>
      </c>
      <c r="Q10" s="176">
        <f t="shared" si="11"/>
        <v>0</v>
      </c>
      <c r="R10" s="176">
        <f t="shared" si="11"/>
        <v>0</v>
      </c>
      <c r="S10" s="176">
        <f t="shared" si="11"/>
        <v>0</v>
      </c>
      <c r="T10" s="176">
        <f t="shared" si="11"/>
        <v>0</v>
      </c>
      <c r="U10" s="176">
        <f t="shared" si="11"/>
        <v>0</v>
      </c>
      <c r="V10" s="176">
        <f t="shared" si="11"/>
        <v>0</v>
      </c>
      <c r="W10" s="176">
        <f t="shared" si="11"/>
        <v>0</v>
      </c>
      <c r="X10" s="176">
        <f t="shared" si="11"/>
        <v>0</v>
      </c>
      <c r="Y10" s="176">
        <f t="shared" si="11"/>
        <v>0</v>
      </c>
      <c r="Z10" s="176">
        <f t="shared" si="11"/>
        <v>0</v>
      </c>
      <c r="AA10" s="176">
        <f t="shared" si="11"/>
        <v>0</v>
      </c>
      <c r="AB10" s="176">
        <f t="shared" si="11"/>
        <v>0</v>
      </c>
      <c r="AC10" s="176">
        <f t="shared" si="11"/>
        <v>0</v>
      </c>
      <c r="AD10" s="176">
        <f t="shared" si="11"/>
        <v>0</v>
      </c>
      <c r="AE10" s="176">
        <f t="shared" si="11"/>
        <v>0</v>
      </c>
      <c r="AF10" s="176">
        <f t="shared" si="11"/>
        <v>0</v>
      </c>
      <c r="AG10" s="176">
        <f t="shared" si="11"/>
        <v>0</v>
      </c>
      <c r="AH10" s="176">
        <f t="shared" si="11"/>
        <v>0</v>
      </c>
      <c r="AI10" s="176">
        <f t="shared" si="11"/>
        <v>0</v>
      </c>
      <c r="AJ10" s="176">
        <f t="shared" si="11"/>
        <v>0</v>
      </c>
      <c r="AK10" s="176">
        <f t="shared" si="11"/>
        <v>0</v>
      </c>
      <c r="AL10" s="176">
        <f t="shared" si="11"/>
        <v>0</v>
      </c>
      <c r="AM10" s="176">
        <f t="shared" si="11"/>
        <v>0</v>
      </c>
      <c r="AN10" s="176">
        <f t="shared" si="1"/>
        <v>0</v>
      </c>
      <c r="AO10" s="176">
        <f t="shared" si="2"/>
        <v>0</v>
      </c>
      <c r="AP10" s="176">
        <f t="shared" si="3"/>
        <v>0</v>
      </c>
    </row>
    <row r="11" customHeight="1" spans="1:42">
      <c r="A11" s="174">
        <f>'餐厅工资录入 '!A11</f>
        <v>0</v>
      </c>
      <c r="B11" s="174">
        <f>'餐厅工资录入 '!B11</f>
        <v>0</v>
      </c>
      <c r="C11" s="174">
        <f>'餐厅工资录入 '!C11</f>
        <v>0</v>
      </c>
      <c r="D11" s="174">
        <f>'餐厅工资录入 '!D11</f>
        <v>0</v>
      </c>
      <c r="E11" s="174">
        <f>'餐厅工资录入 '!E11</f>
        <v>0</v>
      </c>
      <c r="F11" s="174">
        <f>'餐厅工资录入 '!F11</f>
        <v>0</v>
      </c>
      <c r="G11" s="175">
        <f>'餐厅工资录入 '!G11</f>
        <v>0</v>
      </c>
      <c r="H11" s="175">
        <f>'餐厅工资录入 '!H11</f>
        <v>0</v>
      </c>
      <c r="I11" s="175">
        <f>'餐厅工资录入 '!I11</f>
        <v>0</v>
      </c>
      <c r="J11" s="175">
        <f>'餐厅工资录入 '!J11</f>
        <v>0</v>
      </c>
      <c r="K11" s="175">
        <f>'餐厅工资录入 '!K11</f>
        <v>0</v>
      </c>
      <c r="L11" s="176">
        <f t="shared" ref="L11:AM11" si="12">IFERROR($G11/$K$2,0)</f>
        <v>0</v>
      </c>
      <c r="M11" s="176">
        <f t="shared" si="12"/>
        <v>0</v>
      </c>
      <c r="N11" s="176">
        <f t="shared" si="12"/>
        <v>0</v>
      </c>
      <c r="O11" s="176">
        <f t="shared" si="12"/>
        <v>0</v>
      </c>
      <c r="P11" s="176">
        <f t="shared" si="12"/>
        <v>0</v>
      </c>
      <c r="Q11" s="176">
        <f t="shared" si="12"/>
        <v>0</v>
      </c>
      <c r="R11" s="176">
        <f t="shared" si="12"/>
        <v>0</v>
      </c>
      <c r="S11" s="176">
        <f t="shared" si="12"/>
        <v>0</v>
      </c>
      <c r="T11" s="176">
        <f t="shared" si="12"/>
        <v>0</v>
      </c>
      <c r="U11" s="176">
        <f t="shared" si="12"/>
        <v>0</v>
      </c>
      <c r="V11" s="176">
        <f t="shared" si="12"/>
        <v>0</v>
      </c>
      <c r="W11" s="176">
        <f t="shared" si="12"/>
        <v>0</v>
      </c>
      <c r="X11" s="176">
        <f t="shared" si="12"/>
        <v>0</v>
      </c>
      <c r="Y11" s="176">
        <f t="shared" si="12"/>
        <v>0</v>
      </c>
      <c r="Z11" s="176">
        <f t="shared" si="12"/>
        <v>0</v>
      </c>
      <c r="AA11" s="176">
        <f t="shared" si="12"/>
        <v>0</v>
      </c>
      <c r="AB11" s="176">
        <f t="shared" si="12"/>
        <v>0</v>
      </c>
      <c r="AC11" s="176">
        <f t="shared" si="12"/>
        <v>0</v>
      </c>
      <c r="AD11" s="176">
        <f t="shared" si="12"/>
        <v>0</v>
      </c>
      <c r="AE11" s="176">
        <f t="shared" si="12"/>
        <v>0</v>
      </c>
      <c r="AF11" s="176">
        <f t="shared" si="12"/>
        <v>0</v>
      </c>
      <c r="AG11" s="176">
        <f t="shared" si="12"/>
        <v>0</v>
      </c>
      <c r="AH11" s="176">
        <f t="shared" si="12"/>
        <v>0</v>
      </c>
      <c r="AI11" s="176">
        <f t="shared" si="12"/>
        <v>0</v>
      </c>
      <c r="AJ11" s="176">
        <f t="shared" si="12"/>
        <v>0</v>
      </c>
      <c r="AK11" s="176">
        <f t="shared" si="12"/>
        <v>0</v>
      </c>
      <c r="AL11" s="176">
        <f t="shared" si="12"/>
        <v>0</v>
      </c>
      <c r="AM11" s="176">
        <f t="shared" si="12"/>
        <v>0</v>
      </c>
      <c r="AN11" s="176">
        <f t="shared" si="1"/>
        <v>0</v>
      </c>
      <c r="AO11" s="176">
        <f t="shared" si="2"/>
        <v>0</v>
      </c>
      <c r="AP11" s="176">
        <f t="shared" si="3"/>
        <v>0</v>
      </c>
    </row>
    <row r="12" customHeight="1" spans="1:42">
      <c r="A12" s="174">
        <f>'餐厅工资录入 '!A12</f>
        <v>0</v>
      </c>
      <c r="B12" s="174">
        <f>'餐厅工资录入 '!B12</f>
        <v>0</v>
      </c>
      <c r="C12" s="174">
        <f>'餐厅工资录入 '!C12</f>
        <v>0</v>
      </c>
      <c r="D12" s="174">
        <f>'餐厅工资录入 '!D12</f>
        <v>0</v>
      </c>
      <c r="E12" s="174">
        <f>'餐厅工资录入 '!E12</f>
        <v>0</v>
      </c>
      <c r="F12" s="174">
        <f>'餐厅工资录入 '!F12</f>
        <v>0</v>
      </c>
      <c r="G12" s="175">
        <f>'餐厅工资录入 '!G12</f>
        <v>0</v>
      </c>
      <c r="H12" s="175">
        <f>'餐厅工资录入 '!H12</f>
        <v>0</v>
      </c>
      <c r="I12" s="175">
        <f>'餐厅工资录入 '!I12</f>
        <v>0</v>
      </c>
      <c r="J12" s="175">
        <f>'餐厅工资录入 '!J12</f>
        <v>0</v>
      </c>
      <c r="K12" s="175">
        <f>'餐厅工资录入 '!K12</f>
        <v>0</v>
      </c>
      <c r="L12" s="176">
        <f t="shared" ref="L12:AM12" si="13">IFERROR($G12/$K$2,0)</f>
        <v>0</v>
      </c>
      <c r="M12" s="176">
        <f t="shared" si="13"/>
        <v>0</v>
      </c>
      <c r="N12" s="176">
        <f t="shared" si="13"/>
        <v>0</v>
      </c>
      <c r="O12" s="176">
        <f t="shared" si="13"/>
        <v>0</v>
      </c>
      <c r="P12" s="176">
        <f t="shared" si="13"/>
        <v>0</v>
      </c>
      <c r="Q12" s="176">
        <f t="shared" si="13"/>
        <v>0</v>
      </c>
      <c r="R12" s="176">
        <f t="shared" si="13"/>
        <v>0</v>
      </c>
      <c r="S12" s="176">
        <f t="shared" si="13"/>
        <v>0</v>
      </c>
      <c r="T12" s="176">
        <f t="shared" si="13"/>
        <v>0</v>
      </c>
      <c r="U12" s="176">
        <f t="shared" si="13"/>
        <v>0</v>
      </c>
      <c r="V12" s="176">
        <f t="shared" si="13"/>
        <v>0</v>
      </c>
      <c r="W12" s="176">
        <f t="shared" si="13"/>
        <v>0</v>
      </c>
      <c r="X12" s="176">
        <f t="shared" si="13"/>
        <v>0</v>
      </c>
      <c r="Y12" s="176">
        <f t="shared" si="13"/>
        <v>0</v>
      </c>
      <c r="Z12" s="176">
        <f t="shared" si="13"/>
        <v>0</v>
      </c>
      <c r="AA12" s="176">
        <f t="shared" si="13"/>
        <v>0</v>
      </c>
      <c r="AB12" s="176">
        <f t="shared" si="13"/>
        <v>0</v>
      </c>
      <c r="AC12" s="176">
        <f t="shared" si="13"/>
        <v>0</v>
      </c>
      <c r="AD12" s="176">
        <f t="shared" si="13"/>
        <v>0</v>
      </c>
      <c r="AE12" s="176">
        <f t="shared" si="13"/>
        <v>0</v>
      </c>
      <c r="AF12" s="176">
        <f t="shared" si="13"/>
        <v>0</v>
      </c>
      <c r="AG12" s="176">
        <f t="shared" si="13"/>
        <v>0</v>
      </c>
      <c r="AH12" s="176">
        <f t="shared" si="13"/>
        <v>0</v>
      </c>
      <c r="AI12" s="176">
        <f t="shared" si="13"/>
        <v>0</v>
      </c>
      <c r="AJ12" s="176">
        <f t="shared" si="13"/>
        <v>0</v>
      </c>
      <c r="AK12" s="176">
        <f t="shared" si="13"/>
        <v>0</v>
      </c>
      <c r="AL12" s="176">
        <f t="shared" si="13"/>
        <v>0</v>
      </c>
      <c r="AM12" s="176">
        <f t="shared" si="13"/>
        <v>0</v>
      </c>
      <c r="AN12" s="176">
        <f t="shared" si="1"/>
        <v>0</v>
      </c>
      <c r="AO12" s="176">
        <f t="shared" si="2"/>
        <v>0</v>
      </c>
      <c r="AP12" s="176">
        <f t="shared" si="3"/>
        <v>0</v>
      </c>
    </row>
    <row r="13" customHeight="1" spans="1:42">
      <c r="A13" s="7" t="s">
        <v>335</v>
      </c>
      <c r="B13" s="7"/>
      <c r="C13" s="7"/>
      <c r="D13" s="7"/>
      <c r="E13" s="7"/>
      <c r="F13" s="7"/>
      <c r="G13" s="7"/>
      <c r="H13" s="7"/>
      <c r="I13" s="7"/>
      <c r="J13" s="7"/>
      <c r="K13" s="176"/>
      <c r="L13" s="176">
        <f t="shared" ref="L13:AP13" si="14">SUM(L2:L12)</f>
        <v>880</v>
      </c>
      <c r="M13" s="176">
        <f t="shared" si="14"/>
        <v>880</v>
      </c>
      <c r="N13" s="176">
        <f t="shared" si="14"/>
        <v>880</v>
      </c>
      <c r="O13" s="176">
        <f t="shared" si="14"/>
        <v>880</v>
      </c>
      <c r="P13" s="176">
        <f t="shared" si="14"/>
        <v>880</v>
      </c>
      <c r="Q13" s="176">
        <f t="shared" si="14"/>
        <v>880</v>
      </c>
      <c r="R13" s="176">
        <f t="shared" si="14"/>
        <v>880</v>
      </c>
      <c r="S13" s="176">
        <f t="shared" si="14"/>
        <v>880</v>
      </c>
      <c r="T13" s="176">
        <f t="shared" si="14"/>
        <v>880</v>
      </c>
      <c r="U13" s="176">
        <f t="shared" si="14"/>
        <v>880</v>
      </c>
      <c r="V13" s="176">
        <f t="shared" si="14"/>
        <v>880</v>
      </c>
      <c r="W13" s="176">
        <f t="shared" si="14"/>
        <v>880</v>
      </c>
      <c r="X13" s="176">
        <f t="shared" si="14"/>
        <v>880</v>
      </c>
      <c r="Y13" s="176">
        <f t="shared" si="14"/>
        <v>880</v>
      </c>
      <c r="Z13" s="176">
        <f t="shared" si="14"/>
        <v>880</v>
      </c>
      <c r="AA13" s="176">
        <f t="shared" si="14"/>
        <v>880</v>
      </c>
      <c r="AB13" s="176">
        <f t="shared" si="14"/>
        <v>880</v>
      </c>
      <c r="AC13" s="176">
        <f t="shared" si="14"/>
        <v>880</v>
      </c>
      <c r="AD13" s="176">
        <f t="shared" si="14"/>
        <v>880</v>
      </c>
      <c r="AE13" s="176">
        <f t="shared" si="14"/>
        <v>880</v>
      </c>
      <c r="AF13" s="176">
        <f t="shared" si="14"/>
        <v>880</v>
      </c>
      <c r="AG13" s="176">
        <f t="shared" si="14"/>
        <v>880</v>
      </c>
      <c r="AH13" s="176">
        <f t="shared" si="14"/>
        <v>880</v>
      </c>
      <c r="AI13" s="176">
        <f t="shared" si="14"/>
        <v>880</v>
      </c>
      <c r="AJ13" s="176">
        <f t="shared" si="14"/>
        <v>880</v>
      </c>
      <c r="AK13" s="176">
        <f t="shared" si="14"/>
        <v>880</v>
      </c>
      <c r="AL13" s="176">
        <f t="shared" si="14"/>
        <v>880</v>
      </c>
      <c r="AM13" s="176">
        <f t="shared" si="14"/>
        <v>880</v>
      </c>
      <c r="AN13" s="176">
        <f t="shared" si="14"/>
        <v>0</v>
      </c>
      <c r="AO13" s="176">
        <f t="shared" si="14"/>
        <v>0</v>
      </c>
      <c r="AP13" s="176">
        <f t="shared" si="14"/>
        <v>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J13" etc:filterBottomFollowUsedRange="0">
    <extLst/>
  </autoFilter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耗能2">
    <tabColor rgb="FFFF0000"/>
    <pageSetUpPr fitToPage="1"/>
  </sheetPr>
  <dimension ref="A1:CC37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J5" sqref="J5:M5"/>
    </sheetView>
  </sheetViews>
  <sheetFormatPr defaultColWidth="9.45" defaultRowHeight="25" customHeight="1"/>
  <cols>
    <col min="1" max="1" width="5" style="143"/>
    <col min="2" max="2" width="18.525" style="143"/>
    <col min="3" max="3" width="8.675" style="143"/>
    <col min="4" max="5" width="6.45" style="143"/>
    <col min="6" max="6" width="10.9" style="143"/>
    <col min="7" max="7" width="9.93333333333333" style="144" customWidth="1"/>
    <col min="8" max="8" width="14.2416666666667" style="145" customWidth="1"/>
    <col min="9" max="9" width="10.9" style="144"/>
    <col min="10" max="10" width="11.0833333333333" style="146"/>
    <col min="11" max="12" width="10.375" style="146"/>
    <col min="13" max="13" width="7.75" style="146" customWidth="1"/>
    <col min="14" max="18" width="10.375" style="146"/>
    <col min="19" max="19" width="11.5" style="146"/>
    <col min="20" max="22" width="10.375" style="146"/>
    <col min="23" max="23" width="11.5" style="146"/>
    <col min="24" max="24" width="10.375" style="146"/>
    <col min="25" max="25" width="11.5" style="146"/>
    <col min="26" max="28" width="10.375" style="146"/>
    <col min="29" max="29" width="11.5" style="146"/>
    <col min="30" max="30" width="10.375" style="146"/>
    <col min="31" max="31" width="11.5" style="146"/>
    <col min="32" max="32" width="10.375" style="146"/>
    <col min="33" max="33" width="11.5" style="146"/>
    <col min="34" max="34" width="8.375" style="146"/>
    <col min="35" max="35" width="11.5" style="146"/>
    <col min="36" max="36" width="10.3833333333333" style="146"/>
    <col min="37" max="37" width="11.5" style="146"/>
    <col min="38" max="38" width="10.375" style="146"/>
    <col min="39" max="39" width="11.5" style="146"/>
    <col min="40" max="40" width="10.375" style="146"/>
    <col min="41" max="81" width="9.45" style="147"/>
    <col min="82" max="16384" width="9.45" style="142"/>
  </cols>
  <sheetData>
    <row r="1" s="18" customFormat="1" ht="40" customHeight="1" spans="1:81">
      <c r="A1" s="148"/>
      <c r="B1" s="148" t="s">
        <v>663</v>
      </c>
      <c r="C1" s="148"/>
      <c r="D1" s="148"/>
      <c r="E1" s="148"/>
      <c r="F1" s="148"/>
      <c r="G1" s="149"/>
      <c r="H1" s="150"/>
      <c r="I1" s="149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152"/>
      <c r="BG1" s="152"/>
      <c r="BH1" s="152"/>
      <c r="BI1" s="152"/>
      <c r="BJ1" s="152"/>
      <c r="BK1" s="152"/>
      <c r="BL1" s="152"/>
      <c r="BM1" s="152"/>
      <c r="BN1" s="152"/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2"/>
      <c r="BZ1" s="152"/>
      <c r="CA1" s="152"/>
      <c r="CB1" s="152"/>
      <c r="CC1" s="152"/>
    </row>
    <row r="2" s="18" customFormat="1" ht="15" customHeight="1" spans="1:81">
      <c r="A2" s="148"/>
      <c r="B2" s="153" t="s">
        <v>2</v>
      </c>
      <c r="C2" s="148"/>
      <c r="D2" s="148"/>
      <c r="E2" s="148"/>
      <c r="F2" s="148"/>
      <c r="G2" s="149"/>
      <c r="H2" s="150"/>
      <c r="I2" s="149"/>
      <c r="J2" s="154" t="s">
        <v>125</v>
      </c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1"/>
      <c r="AM2" s="151"/>
      <c r="AN2" s="151"/>
      <c r="AO2" s="152"/>
      <c r="AP2" s="152"/>
      <c r="AQ2" s="152"/>
      <c r="AR2" s="152"/>
      <c r="AS2" s="152"/>
      <c r="AT2" s="152"/>
      <c r="AU2" s="152"/>
      <c r="AV2" s="152"/>
      <c r="AW2" s="152"/>
      <c r="AX2" s="152"/>
      <c r="AY2" s="152"/>
      <c r="AZ2" s="152"/>
      <c r="BA2" s="152"/>
      <c r="BB2" s="152"/>
      <c r="BC2" s="152"/>
      <c r="BD2" s="152"/>
      <c r="BE2" s="152"/>
      <c r="BF2" s="152"/>
      <c r="BG2" s="152"/>
      <c r="BH2" s="152"/>
      <c r="BI2" s="152"/>
      <c r="BJ2" s="152"/>
      <c r="BK2" s="152"/>
      <c r="BL2" s="152"/>
      <c r="BM2" s="152"/>
      <c r="BN2" s="152"/>
      <c r="BO2" s="152"/>
      <c r="BP2" s="152"/>
      <c r="BQ2" s="152"/>
      <c r="BR2" s="152"/>
      <c r="BS2" s="152"/>
      <c r="BT2" s="152"/>
      <c r="BU2" s="152"/>
      <c r="BV2" s="152"/>
      <c r="BW2" s="152"/>
      <c r="BX2" s="152"/>
      <c r="BY2" s="152"/>
      <c r="BZ2" s="152"/>
      <c r="CA2" s="152"/>
      <c r="CB2" s="152"/>
      <c r="CC2" s="152"/>
    </row>
    <row r="3" s="18" customFormat="1" customHeight="1" spans="1:81">
      <c r="A3" s="155" t="s">
        <v>3</v>
      </c>
      <c r="B3" s="155" t="s">
        <v>621</v>
      </c>
      <c r="C3" s="155" t="s">
        <v>127</v>
      </c>
      <c r="D3" s="155" t="s">
        <v>6</v>
      </c>
      <c r="E3" s="155" t="s">
        <v>64</v>
      </c>
      <c r="F3" s="156" t="s">
        <v>687</v>
      </c>
      <c r="G3" s="156" t="s">
        <v>665</v>
      </c>
      <c r="H3" s="156" t="s">
        <v>65</v>
      </c>
      <c r="I3" s="156"/>
      <c r="J3" s="157" t="s">
        <v>9</v>
      </c>
      <c r="K3" s="157" t="s">
        <v>10</v>
      </c>
      <c r="L3" s="157" t="s">
        <v>11</v>
      </c>
      <c r="M3" s="157" t="s">
        <v>12</v>
      </c>
      <c r="N3" s="157" t="s">
        <v>13</v>
      </c>
      <c r="O3" s="157" t="s">
        <v>14</v>
      </c>
      <c r="P3" s="157" t="s">
        <v>15</v>
      </c>
      <c r="Q3" s="157" t="s">
        <v>16</v>
      </c>
      <c r="R3" s="157" t="s">
        <v>17</v>
      </c>
      <c r="S3" s="157" t="s">
        <v>18</v>
      </c>
      <c r="T3" s="157" t="s">
        <v>19</v>
      </c>
      <c r="U3" s="157" t="s">
        <v>20</v>
      </c>
      <c r="V3" s="157" t="s">
        <v>21</v>
      </c>
      <c r="W3" s="157" t="s">
        <v>22</v>
      </c>
      <c r="X3" s="157" t="s">
        <v>23</v>
      </c>
      <c r="Y3" s="157" t="s">
        <v>24</v>
      </c>
      <c r="Z3" s="157" t="s">
        <v>25</v>
      </c>
      <c r="AA3" s="157" t="s">
        <v>26</v>
      </c>
      <c r="AB3" s="157" t="s">
        <v>27</v>
      </c>
      <c r="AC3" s="157" t="s">
        <v>28</v>
      </c>
      <c r="AD3" s="157" t="s">
        <v>29</v>
      </c>
      <c r="AE3" s="157" t="s">
        <v>30</v>
      </c>
      <c r="AF3" s="157" t="s">
        <v>31</v>
      </c>
      <c r="AG3" s="157" t="s">
        <v>32</v>
      </c>
      <c r="AH3" s="157" t="s">
        <v>33</v>
      </c>
      <c r="AI3" s="157" t="s">
        <v>34</v>
      </c>
      <c r="AJ3" s="157" t="s">
        <v>35</v>
      </c>
      <c r="AK3" s="157" t="s">
        <v>36</v>
      </c>
      <c r="AL3" s="157" t="s">
        <v>37</v>
      </c>
      <c r="AM3" s="157" t="s">
        <v>38</v>
      </c>
      <c r="AN3" s="157" t="s">
        <v>39</v>
      </c>
      <c r="AO3" s="152"/>
      <c r="AP3" s="152"/>
      <c r="AQ3" s="152"/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2"/>
      <c r="BF3" s="152"/>
      <c r="BG3" s="152"/>
      <c r="BH3" s="152"/>
      <c r="BI3" s="152"/>
      <c r="BJ3" s="152"/>
      <c r="BK3" s="152"/>
      <c r="BL3" s="152"/>
      <c r="BM3" s="152"/>
      <c r="BN3" s="152"/>
      <c r="BO3" s="152"/>
      <c r="BP3" s="152"/>
      <c r="BQ3" s="152"/>
      <c r="BR3" s="152"/>
      <c r="BS3" s="152"/>
      <c r="BT3" s="152"/>
      <c r="BU3" s="152"/>
      <c r="BV3" s="152"/>
      <c r="BW3" s="152"/>
      <c r="BX3" s="152"/>
      <c r="BY3" s="152"/>
      <c r="BZ3" s="152"/>
      <c r="CA3" s="152"/>
      <c r="CB3" s="152"/>
      <c r="CC3" s="152"/>
    </row>
    <row r="4" s="18" customFormat="1" customHeight="1" spans="1:81">
      <c r="A4" s="158"/>
      <c r="B4" s="158"/>
      <c r="C4" s="158"/>
      <c r="D4" s="158"/>
      <c r="E4" s="158"/>
      <c r="F4" s="159"/>
      <c r="G4" s="20" t="s">
        <v>624</v>
      </c>
      <c r="H4" s="159"/>
      <c r="I4" s="159" t="s">
        <v>305</v>
      </c>
      <c r="J4" s="160" t="s">
        <v>8</v>
      </c>
      <c r="K4" s="160" t="s">
        <v>8</v>
      </c>
      <c r="L4" s="160" t="s">
        <v>8</v>
      </c>
      <c r="M4" s="160" t="s">
        <v>8</v>
      </c>
      <c r="N4" s="160" t="s">
        <v>8</v>
      </c>
      <c r="O4" s="160" t="s">
        <v>8</v>
      </c>
      <c r="P4" s="160" t="s">
        <v>8</v>
      </c>
      <c r="Q4" s="160" t="s">
        <v>8</v>
      </c>
      <c r="R4" s="160" t="s">
        <v>8</v>
      </c>
      <c r="S4" s="160" t="s">
        <v>8</v>
      </c>
      <c r="T4" s="160" t="s">
        <v>8</v>
      </c>
      <c r="U4" s="160" t="s">
        <v>8</v>
      </c>
      <c r="V4" s="160" t="s">
        <v>8</v>
      </c>
      <c r="W4" s="160" t="s">
        <v>8</v>
      </c>
      <c r="X4" s="160" t="s">
        <v>8</v>
      </c>
      <c r="Y4" s="160" t="s">
        <v>8</v>
      </c>
      <c r="Z4" s="160" t="s">
        <v>8</v>
      </c>
      <c r="AA4" s="160" t="s">
        <v>8</v>
      </c>
      <c r="AB4" s="160" t="s">
        <v>8</v>
      </c>
      <c r="AC4" s="160" t="s">
        <v>8</v>
      </c>
      <c r="AD4" s="160" t="s">
        <v>8</v>
      </c>
      <c r="AE4" s="160" t="s">
        <v>8</v>
      </c>
      <c r="AF4" s="160" t="s">
        <v>8</v>
      </c>
      <c r="AG4" s="160" t="s">
        <v>8</v>
      </c>
      <c r="AH4" s="160" t="s">
        <v>8</v>
      </c>
      <c r="AI4" s="160" t="s">
        <v>8</v>
      </c>
      <c r="AJ4" s="160" t="s">
        <v>8</v>
      </c>
      <c r="AK4" s="160" t="s">
        <v>8</v>
      </c>
      <c r="AL4" s="160" t="s">
        <v>8</v>
      </c>
      <c r="AM4" s="160" t="s">
        <v>8</v>
      </c>
      <c r="AN4" s="160" t="s">
        <v>8</v>
      </c>
      <c r="AO4" s="152"/>
      <c r="AP4" s="152"/>
      <c r="AQ4" s="152"/>
      <c r="AR4" s="152"/>
      <c r="AS4" s="152"/>
      <c r="AT4" s="152"/>
      <c r="AU4" s="152"/>
      <c r="AV4" s="152"/>
      <c r="AW4" s="152"/>
      <c r="AX4" s="152"/>
      <c r="AY4" s="152"/>
      <c r="AZ4" s="152"/>
      <c r="BA4" s="152"/>
      <c r="BB4" s="152"/>
      <c r="BC4" s="152"/>
      <c r="BD4" s="152"/>
      <c r="BE4" s="152"/>
      <c r="BF4" s="152"/>
      <c r="BG4" s="152"/>
      <c r="BH4" s="152"/>
      <c r="BI4" s="152"/>
      <c r="BJ4" s="152"/>
      <c r="BK4" s="152"/>
      <c r="BL4" s="152"/>
      <c r="BM4" s="152"/>
      <c r="BN4" s="152"/>
      <c r="BO4" s="152"/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52"/>
      <c r="CA4" s="152"/>
      <c r="CB4" s="152"/>
      <c r="CC4" s="152"/>
    </row>
    <row r="5" s="140" customFormat="1" customHeight="1" spans="1:81">
      <c r="A5" s="161">
        <v>1</v>
      </c>
      <c r="B5" s="162" t="str">
        <f>[1]水电气费!B5</f>
        <v>电费</v>
      </c>
      <c r="C5" s="162">
        <f>[1]水电气费!C5</f>
        <v>80</v>
      </c>
      <c r="D5" s="162" t="str">
        <f>[1]水电气费!D5</f>
        <v>度</v>
      </c>
      <c r="E5" s="162">
        <f>能耗录入!D5</f>
        <v>0.77</v>
      </c>
      <c r="F5" s="162"/>
      <c r="G5" s="162"/>
      <c r="H5" s="15"/>
      <c r="I5" s="162"/>
      <c r="J5" s="163">
        <f>$E$5*能耗录入!J5</f>
        <v>1950.0789</v>
      </c>
      <c r="K5" s="163">
        <f>$E$5*能耗录入!L5</f>
        <v>1907.8213</v>
      </c>
      <c r="L5" s="163">
        <f>$E$5*能耗录入!N5</f>
        <v>2376.1584</v>
      </c>
      <c r="M5" s="163">
        <f>$E$5*能耗录入!P5</f>
        <v>2754.8675</v>
      </c>
      <c r="N5" s="163">
        <f>$E$5*能耗录入!R5</f>
        <v>2767.1028</v>
      </c>
      <c r="O5" s="163">
        <f>$E$5*能耗录入!T5</f>
        <v>2840.8226</v>
      </c>
      <c r="P5" s="163">
        <f>$E$5*能耗录入!V5</f>
        <v>2596.1551</v>
      </c>
      <c r="Q5" s="163">
        <f>$E$5*能耗录入!X5</f>
        <v>2603.1621</v>
      </c>
      <c r="R5" s="163">
        <f>$E$5*能耗录入!Z5</f>
        <v>3029.0029</v>
      </c>
      <c r="S5" s="163">
        <f>$E$5*能耗录入!AB5</f>
        <v>2867.6571</v>
      </c>
      <c r="T5" s="163">
        <f>$E$5*能耗录入!AD5</f>
        <v>3324.629</v>
      </c>
      <c r="U5" s="163">
        <f>$E$5*能耗录入!AF5</f>
        <v>3064.8695</v>
      </c>
      <c r="V5" s="163">
        <f>$E$5*能耗录入!AH5</f>
        <v>2506.9352</v>
      </c>
      <c r="W5" s="163">
        <f>$E$5*能耗录入!AJ5</f>
        <v>2276.5127</v>
      </c>
      <c r="X5" s="164">
        <f>$E$5*能耗录入!XAL5</f>
        <v>0</v>
      </c>
      <c r="Y5" s="163">
        <f>$E$5*能耗录入!AN5</f>
        <v>2454.5521</v>
      </c>
      <c r="Z5" s="163">
        <f>$E$5*能耗录入!AP5</f>
        <v>2497.5181</v>
      </c>
      <c r="AA5" s="164">
        <f>$E$5*能耗录入!AR5</f>
        <v>1956.1927</v>
      </c>
      <c r="AB5" s="164">
        <f>$E$5*能耗录入!AT5</f>
        <v>2549.2775</v>
      </c>
      <c r="AC5" s="164">
        <f>$E$5*能耗录入!AV5</f>
        <v>1953.6748</v>
      </c>
      <c r="AD5" s="164">
        <f>$E$5*能耗录入!AX5</f>
        <v>2318.2852</v>
      </c>
      <c r="AE5" s="164">
        <f>$E$5*能耗录入!AZ5</f>
        <v>2470.0137</v>
      </c>
      <c r="AF5" s="164">
        <f>$E$5*能耗录入!BB5</f>
        <v>2358.2867</v>
      </c>
      <c r="AG5" s="164">
        <f>$E$5*能耗录入!BD5</f>
        <v>2469.9521</v>
      </c>
      <c r="AH5" s="164">
        <f>$E$5*能耗录入!BF5</f>
        <v>2310.6699</v>
      </c>
      <c r="AI5" s="164">
        <f>$E$5*能耗录入!BH5</f>
        <v>2534.6552</v>
      </c>
      <c r="AJ5" s="164">
        <f>$E$5*能耗录入!BJ5</f>
        <v>2337.2965</v>
      </c>
      <c r="AK5" s="164">
        <f>$E$5*能耗录入!BL5</f>
        <v>2655.6376</v>
      </c>
      <c r="AL5" s="164">
        <f>$E$5*能耗录入!BN5</f>
        <v>3007.697</v>
      </c>
      <c r="AM5" s="164">
        <f>$E$5*能耗录入!BP5</f>
        <v>3005.2946</v>
      </c>
      <c r="AN5" s="164">
        <f>$E$5*能耗录入!BR5</f>
        <v>3136.8876</v>
      </c>
      <c r="AO5" s="165"/>
      <c r="AP5" s="165"/>
      <c r="AQ5" s="165"/>
      <c r="AR5" s="165"/>
      <c r="AS5" s="165"/>
      <c r="AT5" s="165"/>
      <c r="AU5" s="165"/>
      <c r="AV5" s="165"/>
      <c r="AW5" s="165"/>
      <c r="AX5" s="165"/>
      <c r="AY5" s="165"/>
      <c r="AZ5" s="165"/>
      <c r="BA5" s="165"/>
      <c r="BB5" s="165"/>
      <c r="BC5" s="165"/>
      <c r="BD5" s="165"/>
      <c r="BE5" s="165"/>
      <c r="BF5" s="165"/>
      <c r="BG5" s="165"/>
      <c r="BH5" s="165"/>
      <c r="BI5" s="165"/>
      <c r="BJ5" s="165"/>
      <c r="BK5" s="165"/>
      <c r="BL5" s="165"/>
      <c r="BM5" s="165"/>
      <c r="BN5" s="165"/>
      <c r="BO5" s="165"/>
      <c r="BP5" s="165"/>
      <c r="BQ5" s="165"/>
      <c r="BR5" s="165"/>
      <c r="BS5" s="165"/>
      <c r="BT5" s="165"/>
      <c r="BU5" s="165"/>
      <c r="BV5" s="165"/>
      <c r="BW5" s="165"/>
      <c r="BX5" s="165"/>
      <c r="BY5" s="165"/>
      <c r="BZ5" s="165"/>
      <c r="CA5" s="165"/>
      <c r="CB5" s="165"/>
      <c r="CC5" s="165"/>
    </row>
    <row r="6" s="141" customFormat="1" customHeight="1" spans="1:81">
      <c r="A6" s="166">
        <v>2</v>
      </c>
      <c r="B6" s="167" t="str">
        <f>[1]水电气费!B6</f>
        <v>水费</v>
      </c>
      <c r="C6" s="167">
        <f>[1]水电气费!C6</f>
        <v>1</v>
      </c>
      <c r="D6" s="167" t="str">
        <f>[1]水电气费!D6</f>
        <v>吨</v>
      </c>
      <c r="E6" s="167">
        <f>能耗录入!D6</f>
        <v>5.3</v>
      </c>
      <c r="F6" s="167"/>
      <c r="G6" s="167"/>
      <c r="H6" s="167"/>
      <c r="I6" s="167"/>
      <c r="J6" s="164">
        <f>$E$6*能耗录入!J6</f>
        <v>127.2</v>
      </c>
      <c r="K6" s="164">
        <f>$E$6*能耗录入!L6</f>
        <v>153.7</v>
      </c>
      <c r="L6" s="164">
        <f>$E$6*能耗录入!N6</f>
        <v>164.3</v>
      </c>
      <c r="M6" s="164">
        <f>$E$6*能耗录入!P6</f>
        <v>169.6</v>
      </c>
      <c r="N6" s="164">
        <f>$E$6*能耗录入!R6</f>
        <v>254.4</v>
      </c>
      <c r="O6" s="164">
        <f>$E$6*能耗录入!T6</f>
        <v>201.4</v>
      </c>
      <c r="P6" s="164">
        <f>$E$6*能耗录入!V6</f>
        <v>185.5</v>
      </c>
      <c r="Q6" s="164">
        <f>$E$6*能耗录入!X6</f>
        <v>222.6</v>
      </c>
      <c r="R6" s="164">
        <f>$E$6*能耗录入!Z6</f>
        <v>217.3</v>
      </c>
      <c r="S6" s="164">
        <f>$E$6*能耗录入!AB6</f>
        <v>233.2</v>
      </c>
      <c r="T6" s="164">
        <f>$E$6*能耗录入!AD6</f>
        <v>212</v>
      </c>
      <c r="U6" s="164">
        <f>$E$6*能耗录入!AF6</f>
        <v>201.4</v>
      </c>
      <c r="V6" s="164">
        <f>$E$6*能耗录入!AH6</f>
        <v>233.2</v>
      </c>
      <c r="W6" s="164">
        <f>$E$6*能耗录入!AJ6</f>
        <v>143.1</v>
      </c>
      <c r="X6" s="164">
        <f>$E$6*能耗录入!XAL6</f>
        <v>0</v>
      </c>
      <c r="Y6" s="164">
        <f>$E$6*能耗录入!AN6</f>
        <v>185.5</v>
      </c>
      <c r="Z6" s="164">
        <f>$E$6*能耗录入!AP6</f>
        <v>254.4</v>
      </c>
      <c r="AA6" s="164">
        <f>$E$6*能耗录入!AR6</f>
        <v>206.7</v>
      </c>
      <c r="AB6" s="164">
        <f>$E$6*能耗录入!AT6</f>
        <v>222.6</v>
      </c>
      <c r="AC6" s="164">
        <f>$E$6*能耗录入!AV6</f>
        <v>212</v>
      </c>
      <c r="AD6" s="164">
        <f>$E$6*能耗录入!AX6</f>
        <v>111.3</v>
      </c>
      <c r="AE6" s="164">
        <f>$E$6*能耗录入!AZ6</f>
        <v>217.3</v>
      </c>
      <c r="AF6" s="164">
        <f>$E$6*能耗录入!BB6</f>
        <v>127.2</v>
      </c>
      <c r="AG6" s="164">
        <f>$E$6*能耗录入!BD6</f>
        <v>206.7</v>
      </c>
      <c r="AH6" s="164">
        <f>$E$6*能耗录入!BF6</f>
        <v>198.75</v>
      </c>
      <c r="AI6" s="164">
        <f>$E$6*能耗录入!BH6</f>
        <v>233.2</v>
      </c>
      <c r="AJ6" s="164">
        <f>$E$6*能耗录入!BJ6</f>
        <v>177.55</v>
      </c>
      <c r="AK6" s="164">
        <f>$E$6*能耗录入!BL6</f>
        <v>153.7</v>
      </c>
      <c r="AL6" s="164">
        <f>$E$6*能耗录入!BN6</f>
        <v>206.7</v>
      </c>
      <c r="AM6" s="164">
        <f>$E$6*能耗录入!BP6</f>
        <v>190.8</v>
      </c>
      <c r="AN6" s="164">
        <f>$E$6*能耗录入!BR6</f>
        <v>196.1</v>
      </c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</row>
    <row r="7" s="141" customFormat="1" customHeight="1" spans="1:81">
      <c r="A7" s="161">
        <v>3</v>
      </c>
      <c r="B7" s="167"/>
      <c r="C7" s="167"/>
      <c r="D7" s="167"/>
      <c r="E7" s="167"/>
      <c r="F7" s="167"/>
      <c r="G7" s="167"/>
      <c r="H7" s="167"/>
      <c r="I7" s="167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</row>
    <row r="8" s="140" customFormat="1" customHeight="1" spans="1:81">
      <c r="A8" s="161">
        <v>4</v>
      </c>
      <c r="B8" s="162"/>
      <c r="C8" s="162"/>
      <c r="D8" s="162"/>
      <c r="E8" s="162"/>
      <c r="F8" s="162"/>
      <c r="G8" s="162"/>
      <c r="H8" s="162"/>
      <c r="I8" s="162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5"/>
      <c r="AP8" s="165"/>
      <c r="AQ8" s="165"/>
      <c r="AR8" s="165"/>
      <c r="AS8" s="165"/>
      <c r="AT8" s="165"/>
      <c r="AU8" s="165"/>
      <c r="AV8" s="165"/>
      <c r="AW8" s="165"/>
      <c r="AX8" s="165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65"/>
      <c r="BP8" s="165"/>
      <c r="BQ8" s="165"/>
      <c r="BR8" s="165"/>
      <c r="BS8" s="165"/>
      <c r="BT8" s="165"/>
      <c r="BU8" s="165"/>
      <c r="BV8" s="165"/>
      <c r="BW8" s="165"/>
      <c r="BX8" s="165"/>
      <c r="BY8" s="165"/>
      <c r="BZ8" s="165"/>
      <c r="CA8" s="165"/>
      <c r="CB8" s="165"/>
      <c r="CC8" s="165"/>
    </row>
    <row r="9" s="140" customFormat="1" customHeight="1" spans="1:81">
      <c r="A9" s="161">
        <v>5</v>
      </c>
      <c r="B9" s="162"/>
      <c r="C9" s="162"/>
      <c r="D9" s="162"/>
      <c r="E9" s="162"/>
      <c r="F9" s="162"/>
      <c r="G9" s="162"/>
      <c r="H9" s="162"/>
      <c r="I9" s="162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5"/>
      <c r="AP9" s="165"/>
      <c r="AQ9" s="165"/>
      <c r="AR9" s="165"/>
      <c r="AS9" s="165"/>
      <c r="AT9" s="165"/>
      <c r="AU9" s="165"/>
      <c r="AV9" s="165"/>
      <c r="AW9" s="165"/>
      <c r="AX9" s="165"/>
      <c r="AY9" s="165"/>
      <c r="AZ9" s="165"/>
      <c r="BA9" s="165"/>
      <c r="BB9" s="165"/>
      <c r="BC9" s="165"/>
      <c r="BD9" s="165"/>
      <c r="BE9" s="165"/>
      <c r="BF9" s="165"/>
      <c r="BG9" s="165"/>
      <c r="BH9" s="165"/>
      <c r="BI9" s="165"/>
      <c r="BJ9" s="165"/>
      <c r="BK9" s="165"/>
      <c r="BL9" s="165"/>
      <c r="BM9" s="165"/>
      <c r="BN9" s="165"/>
      <c r="BO9" s="165"/>
      <c r="BP9" s="165"/>
      <c r="BQ9" s="165"/>
      <c r="BR9" s="165"/>
      <c r="BS9" s="165"/>
      <c r="BT9" s="165"/>
      <c r="BU9" s="165"/>
      <c r="BV9" s="165"/>
      <c r="BW9" s="165"/>
      <c r="BX9" s="165"/>
      <c r="BY9" s="165"/>
      <c r="BZ9" s="165"/>
      <c r="CA9" s="165"/>
      <c r="CB9" s="165"/>
      <c r="CC9" s="165"/>
    </row>
    <row r="10" s="140" customFormat="1" customHeight="1" spans="1:81">
      <c r="A10" s="161">
        <v>6</v>
      </c>
      <c r="B10" s="162"/>
      <c r="C10" s="162"/>
      <c r="D10" s="162"/>
      <c r="E10" s="162"/>
      <c r="F10" s="162"/>
      <c r="G10" s="162"/>
      <c r="H10" s="162"/>
      <c r="I10" s="162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64"/>
      <c r="AC10" s="164"/>
      <c r="AD10" s="164"/>
      <c r="AE10" s="164"/>
      <c r="AF10" s="164"/>
      <c r="AG10" s="164"/>
      <c r="AH10" s="164"/>
      <c r="AI10" s="164"/>
      <c r="AJ10" s="164"/>
      <c r="AK10" s="164"/>
      <c r="AL10" s="164"/>
      <c r="AM10" s="164"/>
      <c r="AN10" s="164"/>
      <c r="AO10" s="165"/>
      <c r="AP10" s="165"/>
      <c r="AQ10" s="165"/>
      <c r="AR10" s="165"/>
      <c r="AS10" s="165"/>
      <c r="AT10" s="165"/>
      <c r="AU10" s="165"/>
      <c r="AV10" s="165"/>
      <c r="AW10" s="165"/>
      <c r="AX10" s="165"/>
      <c r="AY10" s="165"/>
      <c r="AZ10" s="165"/>
      <c r="BA10" s="165"/>
      <c r="BB10" s="165"/>
      <c r="BC10" s="165"/>
      <c r="BD10" s="165"/>
      <c r="BE10" s="165"/>
      <c r="BF10" s="165"/>
      <c r="BG10" s="165"/>
      <c r="BH10" s="165"/>
      <c r="BI10" s="165"/>
      <c r="BJ10" s="165"/>
      <c r="BK10" s="165"/>
      <c r="BL10" s="165"/>
      <c r="BM10" s="165"/>
      <c r="BN10" s="165"/>
      <c r="BO10" s="165"/>
      <c r="BP10" s="165"/>
      <c r="BQ10" s="165"/>
      <c r="BR10" s="165"/>
      <c r="BS10" s="165"/>
      <c r="BT10" s="165"/>
      <c r="BU10" s="165"/>
      <c r="BV10" s="165"/>
      <c r="BW10" s="165"/>
      <c r="BX10" s="165"/>
      <c r="BY10" s="165"/>
      <c r="BZ10" s="165"/>
      <c r="CA10" s="165"/>
      <c r="CB10" s="165"/>
      <c r="CC10" s="165"/>
    </row>
    <row r="11" s="140" customFormat="1" customHeight="1" spans="1:81">
      <c r="A11" s="161">
        <v>7</v>
      </c>
      <c r="B11" s="162"/>
      <c r="C11" s="162"/>
      <c r="D11" s="162"/>
      <c r="E11" s="162"/>
      <c r="F11" s="162"/>
      <c r="G11" s="162"/>
      <c r="H11" s="162"/>
      <c r="I11" s="162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164"/>
      <c r="AC11" s="164"/>
      <c r="AD11" s="164"/>
      <c r="AE11" s="164"/>
      <c r="AF11" s="164"/>
      <c r="AG11" s="164"/>
      <c r="AH11" s="164"/>
      <c r="AI11" s="164"/>
      <c r="AJ11" s="164"/>
      <c r="AK11" s="164"/>
      <c r="AL11" s="164"/>
      <c r="AM11" s="164"/>
      <c r="AN11" s="164"/>
      <c r="AO11" s="165"/>
      <c r="AP11" s="165"/>
      <c r="AQ11" s="165"/>
      <c r="AR11" s="165"/>
      <c r="AS11" s="165"/>
      <c r="AT11" s="165"/>
      <c r="AU11" s="165"/>
      <c r="AV11" s="165"/>
      <c r="AW11" s="165"/>
      <c r="AX11" s="165"/>
      <c r="AY11" s="165"/>
      <c r="AZ11" s="165"/>
      <c r="BA11" s="165"/>
      <c r="BB11" s="165"/>
      <c r="BC11" s="165"/>
      <c r="BD11" s="165"/>
      <c r="BE11" s="165"/>
      <c r="BF11" s="165"/>
      <c r="BG11" s="165"/>
      <c r="BH11" s="165"/>
      <c r="BI11" s="165"/>
      <c r="BJ11" s="165"/>
      <c r="BK11" s="165"/>
      <c r="BL11" s="165"/>
      <c r="BM11" s="165"/>
      <c r="BN11" s="165"/>
      <c r="BO11" s="165"/>
      <c r="BP11" s="165"/>
      <c r="BQ11" s="165"/>
      <c r="BR11" s="165"/>
      <c r="BS11" s="165"/>
      <c r="BT11" s="165"/>
      <c r="BU11" s="165"/>
      <c r="BV11" s="165"/>
      <c r="BW11" s="165"/>
      <c r="BX11" s="165"/>
      <c r="BY11" s="165"/>
      <c r="BZ11" s="165"/>
      <c r="CA11" s="165"/>
      <c r="CB11" s="165"/>
      <c r="CC11" s="165"/>
    </row>
    <row r="12" s="140" customFormat="1" customHeight="1" spans="1:81">
      <c r="A12" s="161">
        <v>8</v>
      </c>
      <c r="B12" s="162"/>
      <c r="C12" s="162"/>
      <c r="D12" s="162"/>
      <c r="E12" s="162"/>
      <c r="F12" s="162"/>
      <c r="G12" s="162"/>
      <c r="H12" s="162"/>
      <c r="I12" s="162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  <c r="AA12" s="164"/>
      <c r="AB12" s="164"/>
      <c r="AC12" s="164"/>
      <c r="AD12" s="164"/>
      <c r="AE12" s="164"/>
      <c r="AF12" s="164"/>
      <c r="AG12" s="164"/>
      <c r="AH12" s="164"/>
      <c r="AI12" s="164"/>
      <c r="AJ12" s="164"/>
      <c r="AK12" s="164"/>
      <c r="AL12" s="164"/>
      <c r="AM12" s="164"/>
      <c r="AN12" s="164"/>
      <c r="AO12" s="165"/>
      <c r="AP12" s="165"/>
      <c r="AQ12" s="165"/>
      <c r="AR12" s="165"/>
      <c r="AS12" s="165"/>
      <c r="AT12" s="165"/>
      <c r="AU12" s="165"/>
      <c r="AV12" s="165"/>
      <c r="AW12" s="165"/>
      <c r="AX12" s="165"/>
      <c r="AY12" s="165"/>
      <c r="AZ12" s="165"/>
      <c r="BA12" s="165"/>
      <c r="BB12" s="165"/>
      <c r="BC12" s="165"/>
      <c r="BD12" s="165"/>
      <c r="BE12" s="165"/>
      <c r="BF12" s="165"/>
      <c r="BG12" s="165"/>
      <c r="BH12" s="165"/>
      <c r="BI12" s="165"/>
      <c r="BJ12" s="165"/>
      <c r="BK12" s="165"/>
      <c r="BL12" s="165"/>
      <c r="BM12" s="165"/>
      <c r="BN12" s="165"/>
      <c r="BO12" s="165"/>
      <c r="BP12" s="165"/>
      <c r="BQ12" s="165"/>
      <c r="BR12" s="165"/>
      <c r="BS12" s="165"/>
      <c r="BT12" s="165"/>
      <c r="BU12" s="165"/>
      <c r="BV12" s="165"/>
      <c r="BW12" s="165"/>
      <c r="BX12" s="165"/>
      <c r="BY12" s="165"/>
      <c r="BZ12" s="165"/>
      <c r="CA12" s="165"/>
      <c r="CB12" s="165"/>
      <c r="CC12" s="165"/>
    </row>
    <row r="13" s="140" customFormat="1" customHeight="1" spans="1:81">
      <c r="A13" s="161">
        <v>9</v>
      </c>
      <c r="B13" s="162"/>
      <c r="C13" s="162"/>
      <c r="D13" s="162"/>
      <c r="E13" s="162"/>
      <c r="F13" s="162"/>
      <c r="G13" s="162"/>
      <c r="H13" s="162"/>
      <c r="I13" s="162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  <c r="AO13" s="165"/>
      <c r="AP13" s="165"/>
      <c r="AQ13" s="165"/>
      <c r="AR13" s="165"/>
      <c r="AS13" s="165"/>
      <c r="AT13" s="165"/>
      <c r="AU13" s="165"/>
      <c r="AV13" s="165"/>
      <c r="AW13" s="165"/>
      <c r="AX13" s="165"/>
      <c r="AY13" s="165"/>
      <c r="AZ13" s="165"/>
      <c r="BA13" s="165"/>
      <c r="BB13" s="165"/>
      <c r="BC13" s="165"/>
      <c r="BD13" s="165"/>
      <c r="BE13" s="165"/>
      <c r="BF13" s="165"/>
      <c r="BG13" s="165"/>
      <c r="BH13" s="165"/>
      <c r="BI13" s="165"/>
      <c r="BJ13" s="165"/>
      <c r="BK13" s="165"/>
      <c r="BL13" s="165"/>
      <c r="BM13" s="165"/>
      <c r="BN13" s="165"/>
      <c r="BO13" s="165"/>
      <c r="BP13" s="165"/>
      <c r="BQ13" s="165"/>
      <c r="BR13" s="165"/>
      <c r="BS13" s="165"/>
      <c r="BT13" s="165"/>
      <c r="BU13" s="165"/>
      <c r="BV13" s="165"/>
      <c r="BW13" s="165"/>
      <c r="BX13" s="165"/>
      <c r="BY13" s="165"/>
      <c r="BZ13" s="165"/>
      <c r="CA13" s="165"/>
      <c r="CB13" s="165"/>
      <c r="CC13" s="165"/>
    </row>
    <row r="14" s="142" customFormat="1" customHeight="1" spans="1:81">
      <c r="A14" s="162"/>
      <c r="B14" s="170"/>
      <c r="C14" s="162"/>
      <c r="D14" s="162"/>
      <c r="E14" s="162"/>
      <c r="F14" s="162"/>
      <c r="G14" s="171"/>
      <c r="H14" s="172"/>
      <c r="I14" s="171"/>
      <c r="J14" s="173"/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  <c r="AM14" s="173"/>
      <c r="AN14" s="173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</row>
    <row r="15" s="142" customFormat="1" customHeight="1" spans="1:81">
      <c r="A15" s="143"/>
      <c r="B15" s="143" t="s">
        <v>688</v>
      </c>
      <c r="C15" s="143"/>
      <c r="D15" s="143"/>
      <c r="E15" s="143"/>
      <c r="F15" s="143"/>
      <c r="G15" s="144"/>
      <c r="H15" s="145"/>
      <c r="I15" s="144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  <c r="AN15" s="146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</row>
    <row r="16" s="142" customFormat="1" customHeight="1" spans="1:81">
      <c r="A16" s="143"/>
      <c r="B16" s="143"/>
      <c r="C16" s="143"/>
      <c r="D16" s="143"/>
      <c r="E16" s="143"/>
      <c r="F16" s="143"/>
      <c r="G16" s="144"/>
      <c r="H16" s="145"/>
      <c r="I16" s="144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  <c r="AN16" s="146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</row>
    <row r="17" s="142" customFormat="1" customHeight="1" spans="1:81">
      <c r="A17" s="143"/>
      <c r="B17" s="143"/>
      <c r="C17" s="143"/>
      <c r="D17" s="143"/>
      <c r="E17" s="143"/>
      <c r="F17" s="143"/>
      <c r="G17" s="144"/>
      <c r="H17" s="145"/>
      <c r="I17" s="144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</row>
    <row r="18" s="142" customFormat="1" customHeight="1" spans="1:81">
      <c r="A18" s="143"/>
      <c r="B18" s="143"/>
      <c r="C18" s="143"/>
      <c r="D18" s="143"/>
      <c r="E18" s="143"/>
      <c r="F18" s="143"/>
      <c r="G18" s="144"/>
      <c r="H18" s="145"/>
      <c r="I18" s="144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</row>
    <row r="19" s="142" customFormat="1" customHeight="1" spans="1:81">
      <c r="A19" s="143"/>
      <c r="B19" s="143"/>
      <c r="C19" s="143"/>
      <c r="D19" s="143"/>
      <c r="E19" s="143"/>
      <c r="F19" s="143"/>
      <c r="G19" s="144"/>
      <c r="H19" s="145"/>
      <c r="I19" s="144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7"/>
      <c r="AP19" s="147"/>
      <c r="AQ19" s="147"/>
      <c r="AR19" s="147"/>
      <c r="AS19" s="147"/>
      <c r="AT19" s="147"/>
      <c r="AU19" s="147"/>
      <c r="AV19" s="147"/>
      <c r="AW19" s="147"/>
      <c r="AX19" s="147"/>
      <c r="AY19" s="147"/>
      <c r="AZ19" s="147"/>
      <c r="BA19" s="147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7"/>
      <c r="BM19" s="147"/>
      <c r="BN19" s="147"/>
      <c r="BO19" s="147"/>
      <c r="BP19" s="147"/>
      <c r="BQ19" s="147"/>
      <c r="BR19" s="147"/>
      <c r="BS19" s="147"/>
      <c r="BT19" s="147"/>
      <c r="BU19" s="147"/>
      <c r="BV19" s="147"/>
      <c r="BW19" s="147"/>
      <c r="BX19" s="147"/>
      <c r="BY19" s="147"/>
      <c r="BZ19" s="147"/>
      <c r="CA19" s="147"/>
      <c r="CB19" s="147"/>
      <c r="CC19" s="147"/>
    </row>
    <row r="20" s="142" customFormat="1" customHeight="1" spans="1:81">
      <c r="A20" s="143"/>
      <c r="B20" s="143"/>
      <c r="C20" s="143"/>
      <c r="D20" s="143"/>
      <c r="E20" s="143"/>
      <c r="F20" s="143"/>
      <c r="G20" s="144"/>
      <c r="H20" s="145"/>
      <c r="I20" s="144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  <c r="AN20" s="146"/>
      <c r="AO20" s="147"/>
      <c r="AP20" s="147"/>
      <c r="AQ20" s="147"/>
      <c r="AR20" s="147"/>
      <c r="AS20" s="147"/>
      <c r="AT20" s="147"/>
      <c r="AU20" s="147"/>
      <c r="AV20" s="147"/>
      <c r="AW20" s="147"/>
      <c r="AX20" s="147"/>
      <c r="AY20" s="147"/>
      <c r="AZ20" s="147"/>
      <c r="BA20" s="147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7"/>
      <c r="BM20" s="147"/>
      <c r="BN20" s="147"/>
      <c r="BO20" s="147"/>
      <c r="BP20" s="147"/>
      <c r="BQ20" s="147"/>
      <c r="BR20" s="147"/>
      <c r="BS20" s="147"/>
      <c r="BT20" s="147"/>
      <c r="BU20" s="147"/>
      <c r="BV20" s="147"/>
      <c r="BW20" s="147"/>
      <c r="BX20" s="147"/>
      <c r="BY20" s="147"/>
      <c r="BZ20" s="147"/>
      <c r="CA20" s="147"/>
      <c r="CB20" s="147"/>
      <c r="CC20" s="147"/>
    </row>
    <row r="21" s="142" customFormat="1" customHeight="1" spans="1:81">
      <c r="A21" s="143"/>
      <c r="B21" s="143"/>
      <c r="C21" s="143"/>
      <c r="D21" s="143"/>
      <c r="E21" s="143"/>
      <c r="F21" s="143"/>
      <c r="G21" s="144"/>
      <c r="H21" s="145"/>
      <c r="I21" s="144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7"/>
      <c r="AP21" s="147"/>
      <c r="AQ21" s="147"/>
      <c r="AR21" s="147"/>
      <c r="AS21" s="147"/>
      <c r="AT21" s="147"/>
      <c r="AU21" s="147"/>
      <c r="AV21" s="147"/>
      <c r="AW21" s="147"/>
      <c r="AX21" s="147"/>
      <c r="AY21" s="147"/>
      <c r="AZ21" s="147"/>
      <c r="BA21" s="147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7"/>
      <c r="BM21" s="147"/>
      <c r="BN21" s="147"/>
      <c r="BO21" s="147"/>
      <c r="BP21" s="147"/>
      <c r="BQ21" s="147"/>
      <c r="BR21" s="147"/>
      <c r="BS21" s="147"/>
      <c r="BT21" s="147"/>
      <c r="BU21" s="147"/>
      <c r="BV21" s="147"/>
      <c r="BW21" s="147"/>
      <c r="BX21" s="147"/>
      <c r="BY21" s="147"/>
      <c r="BZ21" s="147"/>
      <c r="CA21" s="147"/>
      <c r="CB21" s="147"/>
      <c r="CC21" s="147"/>
    </row>
    <row r="22" s="142" customFormat="1" customHeight="1" spans="1:81">
      <c r="A22" s="143"/>
      <c r="B22" s="143"/>
      <c r="C22" s="143"/>
      <c r="D22" s="143"/>
      <c r="E22" s="143"/>
      <c r="F22" s="143"/>
      <c r="G22" s="144"/>
      <c r="H22" s="145"/>
      <c r="I22" s="144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7"/>
      <c r="AP22" s="147"/>
      <c r="AQ22" s="147"/>
      <c r="AR22" s="147"/>
      <c r="AS22" s="147"/>
      <c r="AT22" s="147"/>
      <c r="AU22" s="147"/>
      <c r="AV22" s="147"/>
      <c r="AW22" s="147"/>
      <c r="AX22" s="147"/>
      <c r="AY22" s="147"/>
      <c r="AZ22" s="147"/>
      <c r="BA22" s="147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7"/>
      <c r="BM22" s="147"/>
      <c r="BN22" s="147"/>
      <c r="BO22" s="147"/>
      <c r="BP22" s="147"/>
      <c r="BQ22" s="147"/>
      <c r="BR22" s="147"/>
      <c r="BS22" s="147"/>
      <c r="BT22" s="147"/>
      <c r="BU22" s="147"/>
      <c r="BV22" s="147"/>
      <c r="BW22" s="147"/>
      <c r="BX22" s="147"/>
      <c r="BY22" s="147"/>
      <c r="BZ22" s="147"/>
      <c r="CA22" s="147"/>
      <c r="CB22" s="147"/>
      <c r="CC22" s="147"/>
    </row>
    <row r="23" s="142" customFormat="1" customHeight="1" spans="1:81">
      <c r="A23" s="143"/>
      <c r="B23" s="143"/>
      <c r="C23" s="143"/>
      <c r="D23" s="143"/>
      <c r="E23" s="143"/>
      <c r="F23" s="143"/>
      <c r="G23" s="144"/>
      <c r="H23" s="145"/>
      <c r="I23" s="144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7"/>
      <c r="AP23" s="147"/>
      <c r="AQ23" s="147"/>
      <c r="AR23" s="147"/>
      <c r="AS23" s="147"/>
      <c r="AT23" s="147"/>
      <c r="AU23" s="147"/>
      <c r="AV23" s="147"/>
      <c r="AW23" s="147"/>
      <c r="AX23" s="147"/>
      <c r="AY23" s="147"/>
      <c r="AZ23" s="147"/>
      <c r="BA23" s="147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7"/>
      <c r="BM23" s="147"/>
      <c r="BN23" s="147"/>
      <c r="BO23" s="147"/>
      <c r="BP23" s="147"/>
      <c r="BQ23" s="147"/>
      <c r="BR23" s="147"/>
      <c r="BS23" s="147"/>
      <c r="BT23" s="147"/>
      <c r="BU23" s="147"/>
      <c r="BV23" s="147"/>
      <c r="BW23" s="147"/>
      <c r="BX23" s="147"/>
      <c r="BY23" s="147"/>
      <c r="BZ23" s="147"/>
      <c r="CA23" s="147"/>
      <c r="CB23" s="147"/>
      <c r="CC23" s="147"/>
    </row>
    <row r="24" s="142" customFormat="1" customHeight="1" spans="1:81">
      <c r="A24" s="143"/>
      <c r="B24" s="143"/>
      <c r="C24" s="143"/>
      <c r="D24" s="143"/>
      <c r="E24" s="143"/>
      <c r="F24" s="143"/>
      <c r="G24" s="144"/>
      <c r="H24" s="145"/>
      <c r="I24" s="144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6"/>
      <c r="AM24" s="146"/>
      <c r="AN24" s="146"/>
      <c r="AO24" s="147"/>
      <c r="AP24" s="147"/>
      <c r="AQ24" s="147"/>
      <c r="AR24" s="147"/>
      <c r="AS24" s="147"/>
      <c r="AT24" s="147"/>
      <c r="AU24" s="147"/>
      <c r="AV24" s="147"/>
      <c r="AW24" s="147"/>
      <c r="AX24" s="147"/>
      <c r="AY24" s="147"/>
      <c r="AZ24" s="147"/>
      <c r="BA24" s="147"/>
      <c r="BB24" s="147"/>
      <c r="BC24" s="147"/>
      <c r="BD24" s="147"/>
      <c r="BE24" s="147"/>
      <c r="BF24" s="147"/>
      <c r="BG24" s="147"/>
      <c r="BH24" s="147"/>
      <c r="BI24" s="147"/>
      <c r="BJ24" s="147"/>
      <c r="BK24" s="147"/>
      <c r="BL24" s="147"/>
      <c r="BM24" s="147"/>
      <c r="BN24" s="147"/>
      <c r="BO24" s="147"/>
      <c r="BP24" s="147"/>
      <c r="BQ24" s="147"/>
      <c r="BR24" s="147"/>
      <c r="BS24" s="147"/>
      <c r="BT24" s="147"/>
      <c r="BU24" s="147"/>
      <c r="BV24" s="147"/>
      <c r="BW24" s="147"/>
      <c r="BX24" s="147"/>
      <c r="BY24" s="147"/>
      <c r="BZ24" s="147"/>
      <c r="CA24" s="147"/>
      <c r="CB24" s="147"/>
      <c r="CC24" s="147"/>
    </row>
    <row r="25" s="142" customFormat="1" customHeight="1" spans="1:81">
      <c r="A25" s="143"/>
      <c r="B25" s="143"/>
      <c r="C25" s="143"/>
      <c r="D25" s="143"/>
      <c r="E25" s="143"/>
      <c r="F25" s="143"/>
      <c r="G25" s="144"/>
      <c r="H25" s="145"/>
      <c r="I25" s="144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6"/>
      <c r="AM25" s="146"/>
      <c r="AN25" s="146"/>
      <c r="AO25" s="147"/>
      <c r="AP25" s="147"/>
      <c r="AQ25" s="147"/>
      <c r="AR25" s="147"/>
      <c r="AS25" s="147"/>
      <c r="AT25" s="147"/>
      <c r="AU25" s="147"/>
      <c r="AV25" s="147"/>
      <c r="AW25" s="147"/>
      <c r="AX25" s="147"/>
      <c r="AY25" s="147"/>
      <c r="AZ25" s="147"/>
      <c r="BA25" s="147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7"/>
      <c r="BM25" s="147"/>
      <c r="BN25" s="147"/>
      <c r="BO25" s="147"/>
      <c r="BP25" s="147"/>
      <c r="BQ25" s="147"/>
      <c r="BR25" s="147"/>
      <c r="BS25" s="147"/>
      <c r="BT25" s="147"/>
      <c r="BU25" s="147"/>
      <c r="BV25" s="147"/>
      <c r="BW25" s="147"/>
      <c r="BX25" s="147"/>
      <c r="BY25" s="147"/>
      <c r="BZ25" s="147"/>
      <c r="CA25" s="147"/>
      <c r="CB25" s="147"/>
      <c r="CC25" s="147"/>
    </row>
    <row r="26" s="142" customFormat="1" customHeight="1" spans="1:81">
      <c r="A26" s="143"/>
      <c r="B26" s="143"/>
      <c r="C26" s="143"/>
      <c r="D26" s="143"/>
      <c r="E26" s="143"/>
      <c r="F26" s="143"/>
      <c r="G26" s="144"/>
      <c r="H26" s="145"/>
      <c r="I26" s="144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  <c r="AF26" s="146"/>
      <c r="AG26" s="146"/>
      <c r="AH26" s="146"/>
      <c r="AI26" s="146"/>
      <c r="AJ26" s="146"/>
      <c r="AK26" s="146"/>
      <c r="AL26" s="146"/>
      <c r="AM26" s="146"/>
      <c r="AN26" s="146"/>
      <c r="AO26" s="147"/>
      <c r="AP26" s="147"/>
      <c r="AQ26" s="147"/>
      <c r="AR26" s="147"/>
      <c r="AS26" s="147"/>
      <c r="AT26" s="147"/>
      <c r="AU26" s="147"/>
      <c r="AV26" s="147"/>
      <c r="AW26" s="147"/>
      <c r="AX26" s="147"/>
      <c r="AY26" s="147"/>
      <c r="AZ26" s="147"/>
      <c r="BA26" s="147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7"/>
      <c r="BM26" s="147"/>
      <c r="BN26" s="147"/>
      <c r="BO26" s="147"/>
      <c r="BP26" s="147"/>
      <c r="BQ26" s="147"/>
      <c r="BR26" s="147"/>
      <c r="BS26" s="147"/>
      <c r="BT26" s="147"/>
      <c r="BU26" s="147"/>
      <c r="BV26" s="147"/>
      <c r="BW26" s="147"/>
      <c r="BX26" s="147"/>
      <c r="BY26" s="147"/>
      <c r="BZ26" s="147"/>
      <c r="CA26" s="147"/>
      <c r="CB26" s="147"/>
      <c r="CC26" s="147"/>
    </row>
    <row r="27" s="142" customFormat="1" customHeight="1" spans="1:81">
      <c r="A27" s="143"/>
      <c r="B27" s="143"/>
      <c r="C27" s="143"/>
      <c r="D27" s="143"/>
      <c r="E27" s="143"/>
      <c r="F27" s="143"/>
      <c r="G27" s="144"/>
      <c r="H27" s="145"/>
      <c r="I27" s="144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7"/>
      <c r="AP27" s="147"/>
      <c r="AQ27" s="147"/>
      <c r="AR27" s="147"/>
      <c r="AS27" s="147"/>
      <c r="AT27" s="147"/>
      <c r="AU27" s="147"/>
      <c r="AV27" s="147"/>
      <c r="AW27" s="147"/>
      <c r="AX27" s="147"/>
      <c r="AY27" s="147"/>
      <c r="AZ27" s="147"/>
      <c r="BA27" s="147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7"/>
      <c r="BM27" s="147"/>
      <c r="BN27" s="147"/>
      <c r="BO27" s="147"/>
      <c r="BP27" s="147"/>
      <c r="BQ27" s="147"/>
      <c r="BR27" s="147"/>
      <c r="BS27" s="147"/>
      <c r="BT27" s="147"/>
      <c r="BU27" s="147"/>
      <c r="BV27" s="147"/>
      <c r="BW27" s="147"/>
      <c r="BX27" s="147"/>
      <c r="BY27" s="147"/>
      <c r="BZ27" s="147"/>
      <c r="CA27" s="147"/>
      <c r="CB27" s="147"/>
      <c r="CC27" s="147"/>
    </row>
    <row r="28" s="142" customFormat="1" customHeight="1" spans="1:81">
      <c r="A28" s="143"/>
      <c r="B28" s="143"/>
      <c r="C28" s="143"/>
      <c r="D28" s="143"/>
      <c r="E28" s="143"/>
      <c r="F28" s="143"/>
      <c r="G28" s="144"/>
      <c r="H28" s="145"/>
      <c r="I28" s="144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7"/>
      <c r="AP28" s="147"/>
      <c r="AQ28" s="147"/>
      <c r="AR28" s="147"/>
      <c r="AS28" s="147"/>
      <c r="AT28" s="147"/>
      <c r="AU28" s="147"/>
      <c r="AV28" s="147"/>
      <c r="AW28" s="147"/>
      <c r="AX28" s="147"/>
      <c r="AY28" s="147"/>
      <c r="AZ28" s="147"/>
      <c r="BA28" s="147"/>
      <c r="BB28" s="147"/>
      <c r="BC28" s="147"/>
      <c r="BD28" s="147"/>
      <c r="BE28" s="147"/>
      <c r="BF28" s="147"/>
      <c r="BG28" s="147"/>
      <c r="BH28" s="147"/>
      <c r="BI28" s="147"/>
      <c r="BJ28" s="147"/>
      <c r="BK28" s="147"/>
      <c r="BL28" s="147"/>
      <c r="BM28" s="147"/>
      <c r="BN28" s="147"/>
      <c r="BO28" s="147"/>
      <c r="BP28" s="147"/>
      <c r="BQ28" s="147"/>
      <c r="BR28" s="147"/>
      <c r="BS28" s="147"/>
      <c r="BT28" s="147"/>
      <c r="BU28" s="147"/>
      <c r="BV28" s="147"/>
      <c r="BW28" s="147"/>
      <c r="BX28" s="147"/>
      <c r="BY28" s="147"/>
      <c r="BZ28" s="147"/>
      <c r="CA28" s="147"/>
      <c r="CB28" s="147"/>
      <c r="CC28" s="147"/>
    </row>
    <row r="29" s="142" customFormat="1" customHeight="1" spans="1:81">
      <c r="A29" s="143"/>
      <c r="B29" s="143"/>
      <c r="C29" s="143"/>
      <c r="D29" s="143"/>
      <c r="E29" s="143"/>
      <c r="F29" s="143"/>
      <c r="G29" s="144"/>
      <c r="H29" s="145"/>
      <c r="I29" s="144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146"/>
      <c r="AI29" s="146"/>
      <c r="AJ29" s="146"/>
      <c r="AK29" s="146"/>
      <c r="AL29" s="146"/>
      <c r="AM29" s="146"/>
      <c r="AN29" s="146"/>
      <c r="AO29" s="147"/>
      <c r="AP29" s="147"/>
      <c r="AQ29" s="147"/>
      <c r="AR29" s="147"/>
      <c r="AS29" s="147"/>
      <c r="AT29" s="147"/>
      <c r="AU29" s="147"/>
      <c r="AV29" s="147"/>
      <c r="AW29" s="147"/>
      <c r="AX29" s="147"/>
      <c r="AY29" s="147"/>
      <c r="AZ29" s="147"/>
      <c r="BA29" s="147"/>
      <c r="BB29" s="147"/>
      <c r="BC29" s="147"/>
      <c r="BD29" s="147"/>
      <c r="BE29" s="147"/>
      <c r="BF29" s="147"/>
      <c r="BG29" s="147"/>
      <c r="BH29" s="147"/>
      <c r="BI29" s="147"/>
      <c r="BJ29" s="147"/>
      <c r="BK29" s="147"/>
      <c r="BL29" s="147"/>
      <c r="BM29" s="147"/>
      <c r="BN29" s="147"/>
      <c r="BO29" s="147"/>
      <c r="BP29" s="147"/>
      <c r="BQ29" s="147"/>
      <c r="BR29" s="147"/>
      <c r="BS29" s="147"/>
      <c r="BT29" s="147"/>
      <c r="BU29" s="147"/>
      <c r="BV29" s="147"/>
      <c r="BW29" s="147"/>
      <c r="BX29" s="147"/>
      <c r="BY29" s="147"/>
      <c r="BZ29" s="147"/>
      <c r="CA29" s="147"/>
      <c r="CB29" s="147"/>
      <c r="CC29" s="147"/>
    </row>
    <row r="30" s="142" customFormat="1" customHeight="1" spans="1:81">
      <c r="A30" s="143"/>
      <c r="B30" s="143"/>
      <c r="C30" s="143"/>
      <c r="D30" s="143"/>
      <c r="E30" s="143"/>
      <c r="F30" s="143"/>
      <c r="G30" s="144"/>
      <c r="H30" s="145"/>
      <c r="I30" s="144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7"/>
      <c r="AP30" s="147"/>
      <c r="AQ30" s="147"/>
      <c r="AR30" s="147"/>
      <c r="AS30" s="147"/>
      <c r="AT30" s="147"/>
      <c r="AU30" s="147"/>
      <c r="AV30" s="147"/>
      <c r="AW30" s="147"/>
      <c r="AX30" s="147"/>
      <c r="AY30" s="147"/>
      <c r="AZ30" s="147"/>
      <c r="BA30" s="147"/>
      <c r="BB30" s="147"/>
      <c r="BC30" s="147"/>
      <c r="BD30" s="147"/>
      <c r="BE30" s="147"/>
      <c r="BF30" s="147"/>
      <c r="BG30" s="147"/>
      <c r="BH30" s="147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7"/>
      <c r="BT30" s="147"/>
      <c r="BU30" s="147"/>
      <c r="BV30" s="147"/>
      <c r="BW30" s="147"/>
      <c r="BX30" s="147"/>
      <c r="BY30" s="147"/>
      <c r="BZ30" s="147"/>
      <c r="CA30" s="147"/>
      <c r="CB30" s="147"/>
      <c r="CC30" s="147"/>
    </row>
    <row r="31" s="142" customFormat="1" customHeight="1" spans="1:81">
      <c r="A31" s="143"/>
      <c r="B31" s="143"/>
      <c r="C31" s="143"/>
      <c r="D31" s="143"/>
      <c r="E31" s="143"/>
      <c r="F31" s="143"/>
      <c r="G31" s="144"/>
      <c r="H31" s="145"/>
      <c r="I31" s="144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7"/>
      <c r="AP31" s="147"/>
      <c r="AQ31" s="147"/>
      <c r="AR31" s="147"/>
      <c r="AS31" s="147"/>
      <c r="AT31" s="147"/>
      <c r="AU31" s="147"/>
      <c r="AV31" s="147"/>
      <c r="AW31" s="147"/>
      <c r="AX31" s="147"/>
      <c r="AY31" s="147"/>
      <c r="AZ31" s="147"/>
      <c r="BA31" s="147"/>
      <c r="BB31" s="147"/>
      <c r="BC31" s="147"/>
      <c r="BD31" s="147"/>
      <c r="BE31" s="147"/>
      <c r="BF31" s="147"/>
      <c r="BG31" s="147"/>
      <c r="BH31" s="147"/>
      <c r="BI31" s="147"/>
      <c r="BJ31" s="147"/>
      <c r="BK31" s="147"/>
      <c r="BL31" s="147"/>
      <c r="BM31" s="147"/>
      <c r="BN31" s="147"/>
      <c r="BO31" s="147"/>
      <c r="BP31" s="147"/>
      <c r="BQ31" s="147"/>
      <c r="BR31" s="147"/>
      <c r="BS31" s="147"/>
      <c r="BT31" s="147"/>
      <c r="BU31" s="147"/>
      <c r="BV31" s="147"/>
      <c r="BW31" s="147"/>
      <c r="BX31" s="147"/>
      <c r="BY31" s="147"/>
      <c r="BZ31" s="147"/>
      <c r="CA31" s="147"/>
      <c r="CB31" s="147"/>
      <c r="CC31" s="147"/>
    </row>
    <row r="33" s="142" customFormat="1" customHeight="1" spans="1:81">
      <c r="A33" s="143"/>
      <c r="B33" s="143"/>
      <c r="C33" s="143"/>
      <c r="D33" s="143"/>
      <c r="E33" s="143"/>
      <c r="F33" s="143"/>
      <c r="G33" s="144"/>
      <c r="H33" s="145"/>
      <c r="I33" s="144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7"/>
      <c r="AP33" s="147"/>
      <c r="AQ33" s="147"/>
      <c r="AR33" s="147"/>
      <c r="AS33" s="147"/>
      <c r="AT33" s="147"/>
      <c r="AU33" s="147"/>
      <c r="AV33" s="147"/>
      <c r="AW33" s="147"/>
      <c r="AX33" s="147"/>
      <c r="AY33" s="147"/>
      <c r="AZ33" s="147"/>
      <c r="BA33" s="147"/>
      <c r="BB33" s="147"/>
      <c r="BC33" s="147"/>
      <c r="BD33" s="147"/>
      <c r="BE33" s="147"/>
      <c r="BF33" s="147"/>
      <c r="BG33" s="147"/>
      <c r="BH33" s="147"/>
      <c r="BI33" s="147"/>
      <c r="BJ33" s="147"/>
      <c r="BK33" s="147"/>
      <c r="BL33" s="147"/>
      <c r="BM33" s="147"/>
      <c r="BN33" s="147"/>
      <c r="BO33" s="147"/>
      <c r="BP33" s="147"/>
      <c r="BQ33" s="147"/>
      <c r="BR33" s="147"/>
      <c r="BS33" s="147"/>
      <c r="BT33" s="147"/>
      <c r="BU33" s="147"/>
      <c r="BV33" s="147"/>
      <c r="BW33" s="147"/>
      <c r="BX33" s="147"/>
      <c r="BY33" s="147"/>
      <c r="BZ33" s="147"/>
      <c r="CA33" s="147"/>
      <c r="CB33" s="147"/>
      <c r="CC33" s="147"/>
    </row>
    <row r="34" s="142" customFormat="1" customHeight="1" spans="1:81">
      <c r="A34" s="143"/>
      <c r="B34" s="143"/>
      <c r="C34" s="143"/>
      <c r="D34" s="143"/>
      <c r="E34" s="143"/>
      <c r="F34" s="143"/>
      <c r="G34" s="144"/>
      <c r="H34" s="145"/>
      <c r="I34" s="144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/>
      <c r="AI34" s="146"/>
      <c r="AJ34" s="146"/>
      <c r="AK34" s="146"/>
      <c r="AL34" s="146"/>
      <c r="AM34" s="146"/>
      <c r="AN34" s="146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47"/>
      <c r="BJ34" s="147"/>
      <c r="BK34" s="147"/>
      <c r="BL34" s="147"/>
      <c r="BM34" s="147"/>
      <c r="BN34" s="147"/>
      <c r="BO34" s="147"/>
      <c r="BP34" s="147"/>
      <c r="BQ34" s="147"/>
      <c r="BR34" s="147"/>
      <c r="BS34" s="147"/>
      <c r="BT34" s="147"/>
      <c r="BU34" s="147"/>
      <c r="BV34" s="147"/>
      <c r="BW34" s="147"/>
      <c r="BX34" s="147"/>
      <c r="BY34" s="147"/>
      <c r="BZ34" s="147"/>
      <c r="CA34" s="147"/>
      <c r="CB34" s="147"/>
      <c r="CC34" s="147"/>
    </row>
    <row r="35" s="142" customFormat="1" customHeight="1" spans="1:81">
      <c r="A35" s="143"/>
      <c r="B35" s="143"/>
      <c r="C35" s="143"/>
      <c r="D35" s="143"/>
      <c r="E35" s="143"/>
      <c r="F35" s="143"/>
      <c r="G35" s="144"/>
      <c r="H35" s="145"/>
      <c r="I35" s="144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6"/>
      <c r="AI35" s="146"/>
      <c r="AJ35" s="146"/>
      <c r="AK35" s="146"/>
      <c r="AL35" s="146"/>
      <c r="AM35" s="146"/>
      <c r="AN35" s="146"/>
      <c r="AO35" s="147"/>
      <c r="AP35" s="147"/>
      <c r="AQ35" s="147"/>
      <c r="AR35" s="147"/>
      <c r="AS35" s="147"/>
      <c r="AT35" s="147"/>
      <c r="AU35" s="147"/>
      <c r="AV35" s="147"/>
      <c r="AW35" s="147"/>
      <c r="AX35" s="147"/>
      <c r="AY35" s="147"/>
      <c r="AZ35" s="147"/>
      <c r="BA35" s="147"/>
      <c r="BB35" s="147"/>
      <c r="BC35" s="147"/>
      <c r="BD35" s="147"/>
      <c r="BE35" s="147"/>
      <c r="BF35" s="147"/>
      <c r="BG35" s="147"/>
      <c r="BH35" s="147"/>
      <c r="BI35" s="147"/>
      <c r="BJ35" s="147"/>
      <c r="BK35" s="147"/>
      <c r="BL35" s="147"/>
      <c r="BM35" s="147"/>
      <c r="BN35" s="147"/>
      <c r="BO35" s="147"/>
      <c r="BP35" s="147"/>
      <c r="BQ35" s="147"/>
      <c r="BR35" s="147"/>
      <c r="BS35" s="147"/>
      <c r="BT35" s="147"/>
      <c r="BU35" s="147"/>
      <c r="BV35" s="147"/>
      <c r="BW35" s="147"/>
      <c r="BX35" s="147"/>
      <c r="BY35" s="147"/>
      <c r="BZ35" s="147"/>
      <c r="CA35" s="147"/>
      <c r="CB35" s="147"/>
      <c r="CC35" s="147"/>
    </row>
    <row r="36" s="142" customFormat="1" customHeight="1" spans="1:81">
      <c r="A36" s="143"/>
      <c r="B36" s="143"/>
      <c r="C36" s="143"/>
      <c r="D36" s="143"/>
      <c r="E36" s="143"/>
      <c r="F36" s="143"/>
      <c r="G36" s="144"/>
      <c r="H36" s="145"/>
      <c r="I36" s="144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7"/>
      <c r="AP36" s="147"/>
      <c r="AQ36" s="147"/>
      <c r="AR36" s="147"/>
      <c r="AS36" s="147"/>
      <c r="AT36" s="147"/>
      <c r="AU36" s="147"/>
      <c r="AV36" s="147"/>
      <c r="AW36" s="147"/>
      <c r="AX36" s="147"/>
      <c r="AY36" s="147"/>
      <c r="AZ36" s="147"/>
      <c r="BA36" s="147"/>
      <c r="BB36" s="147"/>
      <c r="BC36" s="147"/>
      <c r="BD36" s="147"/>
      <c r="BE36" s="147"/>
      <c r="BF36" s="147"/>
      <c r="BG36" s="147"/>
      <c r="BH36" s="147"/>
      <c r="BI36" s="147"/>
      <c r="BJ36" s="147"/>
      <c r="BK36" s="147"/>
      <c r="BL36" s="147"/>
      <c r="BM36" s="147"/>
      <c r="BN36" s="147"/>
      <c r="BO36" s="147"/>
      <c r="BP36" s="147"/>
      <c r="BQ36" s="147"/>
      <c r="BR36" s="147"/>
      <c r="BS36" s="147"/>
      <c r="BT36" s="147"/>
      <c r="BU36" s="147"/>
      <c r="BV36" s="147"/>
      <c r="BW36" s="147"/>
      <c r="BX36" s="147"/>
      <c r="BY36" s="147"/>
      <c r="BZ36" s="147"/>
      <c r="CA36" s="147"/>
      <c r="CB36" s="147"/>
      <c r="CC36" s="147"/>
    </row>
    <row r="37" s="142" customFormat="1" customHeight="1" spans="1:81">
      <c r="A37" s="143"/>
      <c r="B37" s="143"/>
      <c r="C37" s="143"/>
      <c r="D37" s="143"/>
      <c r="E37" s="143"/>
      <c r="F37" s="143"/>
      <c r="G37" s="144"/>
      <c r="H37" s="145"/>
      <c r="I37" s="144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6"/>
      <c r="AI37" s="146"/>
      <c r="AJ37" s="146"/>
      <c r="AK37" s="146"/>
      <c r="AL37" s="146"/>
      <c r="AM37" s="146"/>
      <c r="AN37" s="146"/>
      <c r="AO37" s="147"/>
      <c r="AP37" s="147"/>
      <c r="AQ37" s="147"/>
      <c r="AR37" s="147"/>
      <c r="AS37" s="147"/>
      <c r="AT37" s="147"/>
      <c r="AU37" s="147"/>
      <c r="AV37" s="147"/>
      <c r="AW37" s="147"/>
      <c r="AX37" s="147"/>
      <c r="AY37" s="147"/>
      <c r="AZ37" s="147"/>
      <c r="BA37" s="147"/>
      <c r="BB37" s="147"/>
      <c r="BC37" s="147"/>
      <c r="BD37" s="147"/>
      <c r="BE37" s="147"/>
      <c r="BF37" s="147"/>
      <c r="BG37" s="147"/>
      <c r="BH37" s="147"/>
      <c r="BI37" s="147"/>
      <c r="BJ37" s="147"/>
      <c r="BK37" s="147"/>
      <c r="BL37" s="147"/>
      <c r="BM37" s="147"/>
      <c r="BN37" s="147"/>
      <c r="BO37" s="147"/>
      <c r="BP37" s="147"/>
      <c r="BQ37" s="147"/>
      <c r="BR37" s="147"/>
      <c r="BS37" s="147"/>
      <c r="BT37" s="147"/>
      <c r="BU37" s="147"/>
      <c r="BV37" s="147"/>
      <c r="BW37" s="147"/>
      <c r="BX37" s="147"/>
      <c r="BY37" s="147"/>
      <c r="BZ37" s="147"/>
      <c r="CA37" s="147"/>
      <c r="CB37" s="147"/>
      <c r="CC37" s="147"/>
    </row>
  </sheetData>
  <sheetProtection formatCells="0" formatColumns="0" formatRows="0" insertRows="0" insertColumns="0" insertHyperlinks="0" deleteColumns="0" deleteRows="0" sort="0" autoFilter="0" pivotTables="0"/>
  <mergeCells count="7">
    <mergeCell ref="A3:A4"/>
    <mergeCell ref="B3:B4"/>
    <mergeCell ref="C3:C4"/>
    <mergeCell ref="D3:D4"/>
    <mergeCell ref="E3:E4"/>
    <mergeCell ref="F3:F4"/>
    <mergeCell ref="H3:H4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P199"/>
  <sheetViews>
    <sheetView topLeftCell="A2" workbookViewId="0">
      <selection activeCell="K2" sqref="K2"/>
    </sheetView>
  </sheetViews>
  <sheetFormatPr defaultColWidth="8.275" defaultRowHeight="20" customHeight="1"/>
  <cols>
    <col min="1" max="1" width="8.63333333333333" style="132" customWidth="1"/>
    <col min="2" max="42" width="8.275" style="132" customWidth="1"/>
  </cols>
  <sheetData>
    <row r="1" s="129" customFormat="1" ht="27" customHeight="1" spans="1:42">
      <c r="A1" s="133" t="s">
        <v>76</v>
      </c>
      <c r="B1" s="133" t="s">
        <v>77</v>
      </c>
      <c r="C1" s="133" t="s">
        <v>78</v>
      </c>
      <c r="D1" s="133" t="s">
        <v>79</v>
      </c>
      <c r="E1" s="133" t="s">
        <v>80</v>
      </c>
      <c r="F1" s="133" t="s">
        <v>81</v>
      </c>
      <c r="G1" s="133" t="s">
        <v>82</v>
      </c>
      <c r="H1" s="133" t="s">
        <v>83</v>
      </c>
      <c r="I1" s="133" t="s">
        <v>84</v>
      </c>
      <c r="J1" s="133" t="s">
        <v>85</v>
      </c>
      <c r="K1" s="134" t="s">
        <v>86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5" t="s">
        <v>23</v>
      </c>
      <c r="AA1" s="15" t="s">
        <v>24</v>
      </c>
      <c r="AB1" s="15" t="s">
        <v>25</v>
      </c>
      <c r="AC1" s="15" t="s">
        <v>26</v>
      </c>
      <c r="AD1" s="15" t="s">
        <v>27</v>
      </c>
      <c r="AE1" s="15" t="s">
        <v>28</v>
      </c>
      <c r="AF1" s="15" t="s">
        <v>29</v>
      </c>
      <c r="AG1" s="15" t="s">
        <v>30</v>
      </c>
      <c r="AH1" s="15" t="s">
        <v>31</v>
      </c>
      <c r="AI1" s="15" t="s">
        <v>32</v>
      </c>
      <c r="AJ1" s="15" t="s">
        <v>33</v>
      </c>
      <c r="AK1" s="15" t="s">
        <v>34</v>
      </c>
      <c r="AL1" s="15" t="s">
        <v>35</v>
      </c>
      <c r="AM1" s="15" t="s">
        <v>36</v>
      </c>
      <c r="AN1" s="15" t="s">
        <v>37</v>
      </c>
      <c r="AO1" s="15" t="s">
        <v>38</v>
      </c>
      <c r="AP1" s="15" t="s">
        <v>39</v>
      </c>
    </row>
    <row r="2" s="130" customFormat="1" customHeight="1" spans="1:42">
      <c r="A2" s="40" t="str">
        <f>管理层工资录入!A2</f>
        <v>李祯</v>
      </c>
      <c r="B2" s="40" t="str">
        <f>管理层工资录入!B2</f>
        <v>运营</v>
      </c>
      <c r="C2" s="40" t="str">
        <f>管理层工资录入!C2</f>
        <v>店总</v>
      </c>
      <c r="D2" s="40" t="str">
        <f>管理层工资录入!D2</f>
        <v>是</v>
      </c>
      <c r="E2" s="40">
        <f>管理层工资录入!E2</f>
        <v>0</v>
      </c>
      <c r="F2" s="40">
        <f>管理层工资录入!F2</f>
        <v>0</v>
      </c>
      <c r="G2" s="40">
        <f>H2+I2+J2</f>
        <v>16800</v>
      </c>
      <c r="H2" s="40">
        <f>管理层工资录入!H2</f>
        <v>2200</v>
      </c>
      <c r="I2" s="40">
        <f>管理层工资录入!I2</f>
        <v>9560</v>
      </c>
      <c r="J2" s="40">
        <f>管理层工资录入!J2</f>
        <v>5040</v>
      </c>
      <c r="K2" s="40">
        <v>30</v>
      </c>
      <c r="L2" s="135">
        <f>$G2/$K2</f>
        <v>560</v>
      </c>
      <c r="M2" s="135">
        <f t="shared" ref="L2:AP2" si="0">$G2/$K2</f>
        <v>560</v>
      </c>
      <c r="N2" s="135">
        <f t="shared" si="0"/>
        <v>560</v>
      </c>
      <c r="O2" s="135">
        <f t="shared" si="0"/>
        <v>560</v>
      </c>
      <c r="P2" s="135">
        <f t="shared" si="0"/>
        <v>560</v>
      </c>
      <c r="Q2" s="135">
        <f t="shared" si="0"/>
        <v>560</v>
      </c>
      <c r="R2" s="135">
        <f t="shared" si="0"/>
        <v>560</v>
      </c>
      <c r="S2" s="135">
        <f t="shared" si="0"/>
        <v>560</v>
      </c>
      <c r="T2" s="135">
        <f t="shared" si="0"/>
        <v>560</v>
      </c>
      <c r="U2" s="135">
        <f t="shared" si="0"/>
        <v>560</v>
      </c>
      <c r="V2" s="84">
        <f t="shared" si="0"/>
        <v>560</v>
      </c>
      <c r="W2" s="84">
        <f t="shared" si="0"/>
        <v>560</v>
      </c>
      <c r="X2" s="84">
        <f t="shared" si="0"/>
        <v>560</v>
      </c>
      <c r="Y2" s="84">
        <f t="shared" si="0"/>
        <v>560</v>
      </c>
      <c r="Z2" s="84">
        <f t="shared" si="0"/>
        <v>560</v>
      </c>
      <c r="AA2" s="84">
        <f t="shared" si="0"/>
        <v>560</v>
      </c>
      <c r="AB2" s="84">
        <f t="shared" si="0"/>
        <v>560</v>
      </c>
      <c r="AC2" s="84">
        <f t="shared" si="0"/>
        <v>560</v>
      </c>
      <c r="AD2" s="84">
        <f t="shared" si="0"/>
        <v>560</v>
      </c>
      <c r="AE2" s="84">
        <f t="shared" si="0"/>
        <v>560</v>
      </c>
      <c r="AF2" s="84">
        <f t="shared" si="0"/>
        <v>560</v>
      </c>
      <c r="AG2" s="84">
        <f t="shared" si="0"/>
        <v>560</v>
      </c>
      <c r="AH2" s="84">
        <f t="shared" si="0"/>
        <v>560</v>
      </c>
      <c r="AI2" s="84">
        <f t="shared" si="0"/>
        <v>560</v>
      </c>
      <c r="AJ2" s="84">
        <f t="shared" si="0"/>
        <v>560</v>
      </c>
      <c r="AK2" s="84">
        <f t="shared" si="0"/>
        <v>560</v>
      </c>
      <c r="AL2" s="84">
        <f t="shared" si="0"/>
        <v>560</v>
      </c>
      <c r="AM2" s="84">
        <f t="shared" si="0"/>
        <v>560</v>
      </c>
      <c r="AN2" s="84">
        <f t="shared" si="0"/>
        <v>560</v>
      </c>
      <c r="AO2" s="84">
        <f t="shared" si="0"/>
        <v>560</v>
      </c>
      <c r="AP2" s="84">
        <f t="shared" si="0"/>
        <v>560</v>
      </c>
    </row>
    <row r="3" s="130" customFormat="1" customHeight="1" spans="1:42">
      <c r="A3" s="40" t="str">
        <f>管理层工资录入!A3</f>
        <v>苏梦洁</v>
      </c>
      <c r="B3" s="40" t="str">
        <f>管理层工资录入!B3</f>
        <v>运营</v>
      </c>
      <c r="C3" s="40" t="str">
        <f>管理层工资录入!C3</f>
        <v>店助</v>
      </c>
      <c r="D3" s="40" t="str">
        <f>管理层工资录入!D3</f>
        <v>是</v>
      </c>
      <c r="E3" s="40">
        <f>管理层工资录入!E3</f>
        <v>0</v>
      </c>
      <c r="F3" s="40">
        <f>管理层工资录入!F3</f>
        <v>0</v>
      </c>
      <c r="G3" s="40">
        <f>H3+I3+J3</f>
        <v>8000</v>
      </c>
      <c r="H3" s="40">
        <f>管理层工资录入!H3</f>
        <v>2200</v>
      </c>
      <c r="I3" s="40">
        <f>管理层工资录入!I3</f>
        <v>3400</v>
      </c>
      <c r="J3" s="40">
        <f>管理层工资录入!J3</f>
        <v>2400</v>
      </c>
      <c r="K3" s="40">
        <v>30</v>
      </c>
      <c r="L3" s="135">
        <f t="shared" ref="L3:AP3" si="1">$G3/$K3</f>
        <v>266.666666666667</v>
      </c>
      <c r="M3" s="135">
        <f t="shared" si="1"/>
        <v>266.666666666667</v>
      </c>
      <c r="N3" s="135">
        <f t="shared" si="1"/>
        <v>266.666666666667</v>
      </c>
      <c r="O3" s="135">
        <f t="shared" si="1"/>
        <v>266.666666666667</v>
      </c>
      <c r="P3" s="135">
        <f t="shared" si="1"/>
        <v>266.666666666667</v>
      </c>
      <c r="Q3" s="135">
        <f t="shared" si="1"/>
        <v>266.666666666667</v>
      </c>
      <c r="R3" s="135">
        <f t="shared" si="1"/>
        <v>266.666666666667</v>
      </c>
      <c r="S3" s="135">
        <f t="shared" si="1"/>
        <v>266.666666666667</v>
      </c>
      <c r="T3" s="135">
        <f t="shared" si="1"/>
        <v>266.666666666667</v>
      </c>
      <c r="U3" s="135">
        <f t="shared" si="1"/>
        <v>266.666666666667</v>
      </c>
      <c r="V3" s="84">
        <f t="shared" si="1"/>
        <v>266.666666666667</v>
      </c>
      <c r="W3" s="84">
        <f t="shared" si="1"/>
        <v>266.666666666667</v>
      </c>
      <c r="X3" s="84">
        <f t="shared" si="1"/>
        <v>266.666666666667</v>
      </c>
      <c r="Y3" s="84">
        <f t="shared" si="1"/>
        <v>266.666666666667</v>
      </c>
      <c r="Z3" s="84">
        <f t="shared" si="1"/>
        <v>266.666666666667</v>
      </c>
      <c r="AA3" s="84">
        <f t="shared" si="1"/>
        <v>266.666666666667</v>
      </c>
      <c r="AB3" s="84">
        <f t="shared" si="1"/>
        <v>266.666666666667</v>
      </c>
      <c r="AC3" s="84">
        <f t="shared" si="1"/>
        <v>266.666666666667</v>
      </c>
      <c r="AD3" s="84">
        <f t="shared" si="1"/>
        <v>266.666666666667</v>
      </c>
      <c r="AE3" s="84">
        <f t="shared" si="1"/>
        <v>266.666666666667</v>
      </c>
      <c r="AF3" s="84">
        <f t="shared" si="1"/>
        <v>266.666666666667</v>
      </c>
      <c r="AG3" s="84">
        <f t="shared" si="1"/>
        <v>266.666666666667</v>
      </c>
      <c r="AH3" s="84">
        <f t="shared" si="1"/>
        <v>266.666666666667</v>
      </c>
      <c r="AI3" s="84">
        <f t="shared" si="1"/>
        <v>266.666666666667</v>
      </c>
      <c r="AJ3" s="84">
        <f t="shared" si="1"/>
        <v>266.666666666667</v>
      </c>
      <c r="AK3" s="84">
        <f t="shared" si="1"/>
        <v>266.666666666667</v>
      </c>
      <c r="AL3" s="84">
        <f t="shared" si="1"/>
        <v>266.666666666667</v>
      </c>
      <c r="AM3" s="84">
        <f t="shared" si="1"/>
        <v>266.666666666667</v>
      </c>
      <c r="AN3" s="84">
        <f t="shared" si="1"/>
        <v>266.666666666667</v>
      </c>
      <c r="AO3" s="84">
        <f t="shared" si="1"/>
        <v>266.666666666667</v>
      </c>
      <c r="AP3" s="84">
        <f t="shared" si="1"/>
        <v>266.666666666667</v>
      </c>
    </row>
    <row r="4" s="131" customFormat="1" customHeight="1" spans="1:42">
      <c r="A4" s="136" t="s">
        <v>335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7">
        <f t="shared" ref="L4:AM4" si="2">SUM(L2:L2)</f>
        <v>560</v>
      </c>
      <c r="M4" s="137">
        <f t="shared" si="2"/>
        <v>560</v>
      </c>
      <c r="N4" s="137">
        <f t="shared" si="2"/>
        <v>560</v>
      </c>
      <c r="O4" s="137">
        <f t="shared" si="2"/>
        <v>560</v>
      </c>
      <c r="P4" s="137">
        <f t="shared" si="2"/>
        <v>560</v>
      </c>
      <c r="Q4" s="137">
        <f t="shared" si="2"/>
        <v>560</v>
      </c>
      <c r="R4" s="137">
        <f t="shared" si="2"/>
        <v>560</v>
      </c>
      <c r="S4" s="137">
        <f t="shared" si="2"/>
        <v>560</v>
      </c>
      <c r="T4" s="137">
        <f t="shared" si="2"/>
        <v>560</v>
      </c>
      <c r="U4" s="137">
        <f t="shared" si="2"/>
        <v>560</v>
      </c>
      <c r="V4" s="136">
        <f t="shared" si="2"/>
        <v>560</v>
      </c>
      <c r="W4" s="136">
        <f t="shared" si="2"/>
        <v>560</v>
      </c>
      <c r="X4" s="136">
        <f t="shared" si="2"/>
        <v>560</v>
      </c>
      <c r="Y4" s="136">
        <f t="shared" si="2"/>
        <v>560</v>
      </c>
      <c r="Z4" s="136">
        <f t="shared" si="2"/>
        <v>560</v>
      </c>
      <c r="AA4" s="136">
        <f t="shared" si="2"/>
        <v>560</v>
      </c>
      <c r="AB4" s="136">
        <f t="shared" si="2"/>
        <v>560</v>
      </c>
      <c r="AC4" s="136">
        <f t="shared" si="2"/>
        <v>560</v>
      </c>
      <c r="AD4" s="136">
        <f t="shared" si="2"/>
        <v>560</v>
      </c>
      <c r="AE4" s="136">
        <f t="shared" si="2"/>
        <v>560</v>
      </c>
      <c r="AF4" s="136">
        <f t="shared" si="2"/>
        <v>560</v>
      </c>
      <c r="AG4" s="136">
        <f t="shared" si="2"/>
        <v>560</v>
      </c>
      <c r="AH4" s="136">
        <f t="shared" si="2"/>
        <v>560</v>
      </c>
      <c r="AI4" s="136">
        <f t="shared" ref="AI4:AP4" si="3">SUM(AI2:AI2)</f>
        <v>560</v>
      </c>
      <c r="AJ4" s="136">
        <f t="shared" si="3"/>
        <v>560</v>
      </c>
      <c r="AK4" s="136">
        <f t="shared" si="3"/>
        <v>560</v>
      </c>
      <c r="AL4" s="136">
        <f t="shared" si="3"/>
        <v>560</v>
      </c>
      <c r="AM4" s="136">
        <f t="shared" si="3"/>
        <v>560</v>
      </c>
      <c r="AN4" s="136">
        <f t="shared" si="3"/>
        <v>560</v>
      </c>
      <c r="AO4" s="136">
        <f t="shared" si="3"/>
        <v>560</v>
      </c>
      <c r="AP4" s="136">
        <f t="shared" si="3"/>
        <v>560</v>
      </c>
    </row>
    <row r="5" ht="13.5" spans="1:42">
      <c r="L5" s="138"/>
      <c r="M5" s="138"/>
      <c r="N5" s="138"/>
      <c r="O5" s="138"/>
      <c r="P5" s="138"/>
      <c r="Q5" s="138"/>
      <c r="R5" s="138"/>
      <c r="S5" s="138"/>
      <c r="T5" s="138"/>
      <c r="U5" s="138"/>
      <c r="AO5" s="139"/>
      <c r="AP5" s="139"/>
    </row>
    <row r="6" ht="13.5" spans="1:42">
      <c r="AO6" s="139"/>
      <c r="AP6" s="139"/>
    </row>
    <row r="7" ht="13.5" spans="1:42">
      <c r="AO7" s="139"/>
      <c r="AP7" s="139"/>
    </row>
    <row r="8" ht="13.5" spans="1:42">
      <c r="AO8" s="139"/>
      <c r="AP8" s="139"/>
    </row>
    <row r="9" ht="13.5" spans="1:42">
      <c r="AO9" s="139"/>
      <c r="AP9" s="139"/>
    </row>
    <row r="10" ht="13.5" spans="1:42">
      <c r="AO10" s="139"/>
      <c r="AP10" s="139"/>
    </row>
    <row r="11" ht="13.5" spans="1:42">
      <c r="AO11" s="139"/>
      <c r="AP11" s="139"/>
    </row>
    <row r="12" ht="13.5" spans="1:42">
      <c r="AO12" s="139"/>
      <c r="AP12" s="139"/>
    </row>
    <row r="13" ht="13.5" spans="1:42">
      <c r="AO13" s="139"/>
      <c r="AP13" s="139"/>
    </row>
    <row r="14" ht="13.5" spans="1:42">
      <c r="AO14" s="139"/>
      <c r="AP14" s="139"/>
    </row>
    <row r="15" ht="13.5" spans="1:42">
      <c r="AO15" s="139"/>
      <c r="AP15" s="139"/>
    </row>
    <row r="16" ht="13.5" spans="1:42">
      <c r="AO16" s="139"/>
      <c r="AP16" s="139"/>
    </row>
    <row r="17" ht="13.5" spans="41:42">
      <c r="AO17" s="139"/>
      <c r="AP17" s="139"/>
    </row>
    <row r="18" ht="13.5" spans="41:42">
      <c r="AO18" s="139"/>
      <c r="AP18" s="139"/>
    </row>
    <row r="19" ht="13.5" spans="41:42">
      <c r="AO19" s="139"/>
      <c r="AP19" s="139"/>
    </row>
    <row r="20" ht="13.5" spans="41:42">
      <c r="AO20" s="139"/>
      <c r="AP20" s="139"/>
    </row>
    <row r="21" ht="13.5" spans="41:42">
      <c r="AO21" s="139"/>
      <c r="AP21" s="139"/>
    </row>
    <row r="22" ht="13.5" spans="41:42">
      <c r="AO22" s="139"/>
      <c r="AP22" s="139"/>
    </row>
    <row r="23" ht="13.5" spans="41:42">
      <c r="AO23" s="139"/>
      <c r="AP23" s="139"/>
    </row>
    <row r="24" ht="13.5" spans="41:42">
      <c r="AO24" s="139"/>
      <c r="AP24" s="139"/>
    </row>
    <row r="25" ht="13.5" spans="41:42">
      <c r="AO25" s="139"/>
      <c r="AP25" s="139"/>
    </row>
    <row r="26" ht="13.5" spans="41:42">
      <c r="AO26" s="139"/>
      <c r="AP26" s="139"/>
    </row>
    <row r="27" ht="13.5" spans="41:42">
      <c r="AO27" s="139"/>
      <c r="AP27" s="139"/>
    </row>
    <row r="28" ht="13.5" spans="41:42">
      <c r="AO28" s="139"/>
      <c r="AP28" s="139"/>
    </row>
    <row r="29" ht="13.5" spans="41:42">
      <c r="AO29" s="139"/>
      <c r="AP29" s="139"/>
    </row>
    <row r="30" ht="13.5" spans="41:42">
      <c r="AO30" s="139"/>
      <c r="AP30" s="139"/>
    </row>
    <row r="31" ht="13.5" spans="41:42">
      <c r="AO31" s="139"/>
      <c r="AP31" s="139"/>
    </row>
    <row r="32" ht="13.5" spans="41:42">
      <c r="AO32" s="139"/>
      <c r="AP32" s="139"/>
    </row>
    <row r="33" ht="13.5" spans="41:42">
      <c r="AO33" s="139"/>
      <c r="AP33" s="139"/>
    </row>
    <row r="34" ht="13.5" spans="41:42">
      <c r="AO34" s="139"/>
      <c r="AP34" s="139"/>
    </row>
    <row r="35" ht="13.5" spans="41:42">
      <c r="AO35" s="139"/>
      <c r="AP35" s="139"/>
    </row>
    <row r="36" ht="13.5" spans="41:42">
      <c r="AO36" s="139"/>
      <c r="AP36" s="139"/>
    </row>
    <row r="37" ht="13.5" spans="41:42">
      <c r="AO37" s="139"/>
      <c r="AP37" s="139"/>
    </row>
    <row r="38" ht="13.5" spans="41:42">
      <c r="AO38" s="139"/>
      <c r="AP38" s="139"/>
    </row>
    <row r="39" ht="13.5" spans="41:42">
      <c r="AO39" s="139"/>
      <c r="AP39" s="139"/>
    </row>
    <row r="40" ht="13.5" spans="41:42">
      <c r="AO40" s="139"/>
      <c r="AP40" s="139"/>
    </row>
    <row r="41" ht="13.5" spans="41:42">
      <c r="AO41" s="139"/>
      <c r="AP41" s="139"/>
    </row>
    <row r="42" ht="13.5" spans="41:42">
      <c r="AO42" s="139"/>
      <c r="AP42" s="139"/>
    </row>
    <row r="43" ht="13.5" spans="41:42">
      <c r="AO43" s="139"/>
      <c r="AP43" s="139"/>
    </row>
    <row r="44" ht="13.5" spans="41:42">
      <c r="AO44" s="139"/>
      <c r="AP44" s="139"/>
    </row>
    <row r="45" ht="13.5" spans="41:42">
      <c r="AO45" s="139"/>
      <c r="AP45" s="139"/>
    </row>
    <row r="46" ht="13.5" spans="41:42">
      <c r="AO46" s="139"/>
      <c r="AP46" s="139"/>
    </row>
    <row r="47" ht="13.5" spans="41:42">
      <c r="AO47" s="139"/>
      <c r="AP47" s="139"/>
    </row>
    <row r="48" ht="13.5" spans="41:42">
      <c r="AO48" s="139"/>
      <c r="AP48" s="139"/>
    </row>
    <row r="49" ht="13.5" spans="41:42">
      <c r="AO49" s="139"/>
      <c r="AP49" s="139"/>
    </row>
    <row r="50" ht="13.5" spans="41:42">
      <c r="AO50" s="139"/>
      <c r="AP50" s="139"/>
    </row>
    <row r="51" ht="13.5" spans="41:42">
      <c r="AO51" s="139"/>
      <c r="AP51" s="139"/>
    </row>
    <row r="52" ht="13.5" spans="41:42">
      <c r="AO52" s="139"/>
      <c r="AP52" s="139"/>
    </row>
    <row r="53" ht="13.5" spans="41:42">
      <c r="AO53" s="139"/>
      <c r="AP53" s="139"/>
    </row>
    <row r="54" ht="13.5" spans="41:42">
      <c r="AO54" s="139"/>
      <c r="AP54" s="139"/>
    </row>
    <row r="55" ht="13.5" spans="41:42">
      <c r="AO55" s="139"/>
      <c r="AP55" s="139"/>
    </row>
    <row r="56" ht="13.5" spans="41:42">
      <c r="AO56" s="139"/>
      <c r="AP56" s="139"/>
    </row>
    <row r="57" ht="13.5" spans="41:42">
      <c r="AO57" s="139"/>
      <c r="AP57" s="139"/>
    </row>
    <row r="58" ht="13.5" spans="41:42">
      <c r="AO58" s="139"/>
      <c r="AP58" s="139"/>
    </row>
    <row r="59" ht="13.5" spans="41:42">
      <c r="AO59" s="139"/>
      <c r="AP59" s="139"/>
    </row>
    <row r="60" ht="13.5" spans="41:42">
      <c r="AO60" s="139"/>
      <c r="AP60" s="139"/>
    </row>
    <row r="61" ht="13.5" spans="41:42">
      <c r="AO61" s="139"/>
      <c r="AP61" s="139"/>
    </row>
    <row r="62" ht="13.5" spans="41:42">
      <c r="AO62" s="139"/>
      <c r="AP62" s="139"/>
    </row>
    <row r="63" ht="13.5" spans="41:42">
      <c r="AO63" s="139"/>
      <c r="AP63" s="139"/>
    </row>
    <row r="64" ht="13.5" spans="41:42">
      <c r="AO64" s="139"/>
      <c r="AP64" s="139"/>
    </row>
    <row r="65" ht="13.5" spans="41:42">
      <c r="AO65" s="139"/>
      <c r="AP65" s="139"/>
    </row>
    <row r="66" ht="13.5" spans="41:42">
      <c r="AO66" s="139"/>
      <c r="AP66" s="139"/>
    </row>
    <row r="67" ht="13.5" spans="41:42">
      <c r="AO67" s="139"/>
      <c r="AP67" s="139"/>
    </row>
    <row r="68" ht="13.5" spans="41:42">
      <c r="AO68" s="139"/>
      <c r="AP68" s="139"/>
    </row>
    <row r="69" ht="13.5" spans="41:42">
      <c r="AO69" s="139"/>
      <c r="AP69" s="139"/>
    </row>
    <row r="70" ht="13.5" spans="41:42">
      <c r="AO70" s="139"/>
      <c r="AP70" s="139"/>
    </row>
    <row r="71" ht="13.5" spans="41:42">
      <c r="AO71" s="139"/>
      <c r="AP71" s="139"/>
    </row>
    <row r="72" ht="13.5" spans="41:42">
      <c r="AO72" s="139"/>
      <c r="AP72" s="139"/>
    </row>
    <row r="73" ht="13.5" spans="41:42">
      <c r="AO73" s="139"/>
      <c r="AP73" s="139"/>
    </row>
    <row r="74" ht="13.5" spans="41:42">
      <c r="AO74" s="139"/>
      <c r="AP74" s="139"/>
    </row>
    <row r="75" ht="13.5" spans="41:42">
      <c r="AO75" s="139"/>
      <c r="AP75" s="139"/>
    </row>
    <row r="76" ht="13.5" spans="41:42">
      <c r="AO76" s="139"/>
      <c r="AP76" s="139"/>
    </row>
    <row r="77" ht="13.5" spans="41:42">
      <c r="AO77" s="139"/>
      <c r="AP77" s="139"/>
    </row>
    <row r="78" ht="13.5" spans="41:42">
      <c r="AO78" s="139"/>
      <c r="AP78" s="139"/>
    </row>
    <row r="79" ht="13.5" spans="41:42">
      <c r="AO79" s="139"/>
      <c r="AP79" s="139"/>
    </row>
    <row r="80" ht="13.5" spans="41:42">
      <c r="AO80" s="139"/>
      <c r="AP80" s="139"/>
    </row>
    <row r="81" ht="13.5" spans="41:42">
      <c r="AO81" s="139"/>
      <c r="AP81" s="139"/>
    </row>
    <row r="82" ht="13.5" spans="41:42">
      <c r="AO82" s="139"/>
      <c r="AP82" s="139"/>
    </row>
    <row r="83" ht="13.5" spans="41:42">
      <c r="AO83" s="139"/>
      <c r="AP83" s="139"/>
    </row>
    <row r="84" ht="13.5" spans="41:42">
      <c r="AO84" s="139"/>
      <c r="AP84" s="139"/>
    </row>
    <row r="85" ht="13.5" spans="41:42">
      <c r="AO85" s="139"/>
      <c r="AP85" s="139"/>
    </row>
    <row r="86" ht="13.5" spans="41:42">
      <c r="AO86" s="139"/>
      <c r="AP86" s="139"/>
    </row>
    <row r="87" ht="13.5" spans="41:42">
      <c r="AO87" s="139"/>
      <c r="AP87" s="139"/>
    </row>
    <row r="88" ht="13.5" spans="41:42">
      <c r="AO88" s="139"/>
      <c r="AP88" s="139"/>
    </row>
    <row r="89" ht="13.5" spans="41:42">
      <c r="AO89" s="139"/>
      <c r="AP89" s="139"/>
    </row>
    <row r="90" ht="13.5" spans="41:42">
      <c r="AO90" s="139"/>
      <c r="AP90" s="139"/>
    </row>
    <row r="91" ht="13.5" spans="41:42">
      <c r="AO91" s="139"/>
      <c r="AP91" s="139"/>
    </row>
    <row r="92" ht="13.5" spans="41:42">
      <c r="AO92" s="139"/>
      <c r="AP92" s="139"/>
    </row>
    <row r="93" ht="13.5" spans="41:42">
      <c r="AO93" s="139"/>
      <c r="AP93" s="139"/>
    </row>
    <row r="94" ht="13.5" spans="41:42">
      <c r="AO94" s="139"/>
      <c r="AP94" s="139"/>
    </row>
    <row r="95" ht="13.5" spans="41:42">
      <c r="AO95" s="139"/>
      <c r="AP95" s="139"/>
    </row>
    <row r="96" ht="13.5" spans="41:42">
      <c r="AO96" s="139"/>
      <c r="AP96" s="139"/>
    </row>
    <row r="97" ht="13.5" spans="41:42">
      <c r="AO97" s="139"/>
      <c r="AP97" s="139"/>
    </row>
    <row r="98" ht="13.5" spans="41:42">
      <c r="AO98" s="139"/>
      <c r="AP98" s="139"/>
    </row>
    <row r="99" ht="13.5" spans="41:42">
      <c r="AO99" s="139"/>
      <c r="AP99" s="139"/>
    </row>
    <row r="100" ht="13.5" spans="41:42">
      <c r="AO100" s="139"/>
      <c r="AP100" s="139"/>
    </row>
    <row r="101" ht="13.5" spans="41:42">
      <c r="AO101" s="139"/>
      <c r="AP101" s="139"/>
    </row>
    <row r="102" ht="13.5" spans="41:42">
      <c r="AO102" s="139"/>
      <c r="AP102" s="139"/>
    </row>
    <row r="103" ht="13.5" spans="41:42">
      <c r="AO103" s="139"/>
      <c r="AP103" s="139"/>
    </row>
    <row r="104" ht="13.5" spans="41:42">
      <c r="AO104" s="139"/>
      <c r="AP104" s="139"/>
    </row>
    <row r="105" ht="13.5" spans="41:42">
      <c r="AO105" s="139"/>
      <c r="AP105" s="139"/>
    </row>
    <row r="106" ht="13.5" spans="41:42">
      <c r="AO106" s="139"/>
      <c r="AP106" s="139"/>
    </row>
    <row r="107" ht="13.5" spans="41:42">
      <c r="AO107" s="139"/>
      <c r="AP107" s="139"/>
    </row>
    <row r="108" ht="13.5" spans="41:42">
      <c r="AO108" s="139"/>
      <c r="AP108" s="139"/>
    </row>
    <row r="109" ht="13.5" spans="41:42">
      <c r="AO109" s="139"/>
      <c r="AP109" s="139"/>
    </row>
    <row r="110" ht="13.5" spans="41:42">
      <c r="AO110" s="139"/>
      <c r="AP110" s="139"/>
    </row>
    <row r="111" ht="13.5" spans="41:42">
      <c r="AO111" s="139"/>
      <c r="AP111" s="139"/>
    </row>
    <row r="112" ht="13.5" spans="41:42">
      <c r="AO112" s="139"/>
      <c r="AP112" s="139"/>
    </row>
    <row r="113" ht="13.5" spans="41:42">
      <c r="AO113" s="139"/>
      <c r="AP113" s="139"/>
    </row>
    <row r="114" ht="13.5" spans="41:42">
      <c r="AO114" s="139"/>
      <c r="AP114" s="139"/>
    </row>
    <row r="115" ht="13.5" spans="41:42">
      <c r="AO115" s="139"/>
      <c r="AP115" s="139"/>
    </row>
    <row r="116" ht="13.5" spans="41:42">
      <c r="AO116" s="139"/>
      <c r="AP116" s="139"/>
    </row>
    <row r="117" ht="13.5" spans="41:42">
      <c r="AO117" s="139"/>
      <c r="AP117" s="139"/>
    </row>
    <row r="118" ht="13.5" spans="41:42">
      <c r="AO118" s="139"/>
      <c r="AP118" s="139"/>
    </row>
    <row r="119" ht="13.5" spans="41:42">
      <c r="AO119" s="139"/>
      <c r="AP119" s="139"/>
    </row>
    <row r="120" ht="13.5" spans="41:42">
      <c r="AO120" s="139"/>
      <c r="AP120" s="139"/>
    </row>
    <row r="121" ht="13.5" spans="41:42">
      <c r="AO121" s="139"/>
      <c r="AP121" s="139"/>
    </row>
    <row r="122" ht="13.5" spans="41:42">
      <c r="AO122" s="139"/>
      <c r="AP122" s="139"/>
    </row>
    <row r="123" ht="13.5" spans="41:42">
      <c r="AO123" s="139"/>
      <c r="AP123" s="139"/>
    </row>
    <row r="124" ht="13.5" spans="41:42">
      <c r="AO124" s="139"/>
      <c r="AP124" s="139"/>
    </row>
    <row r="125" ht="13.5" spans="41:42">
      <c r="AO125" s="139"/>
      <c r="AP125" s="139"/>
    </row>
    <row r="126" ht="13.5" spans="41:42">
      <c r="AO126" s="139"/>
      <c r="AP126" s="139"/>
    </row>
    <row r="127" ht="13.5" spans="41:42">
      <c r="AO127" s="139"/>
      <c r="AP127" s="139"/>
    </row>
    <row r="128" ht="13.5" spans="41:42">
      <c r="AO128" s="139"/>
      <c r="AP128" s="139"/>
    </row>
    <row r="129" ht="13.5" spans="41:42">
      <c r="AO129" s="139"/>
      <c r="AP129" s="139"/>
    </row>
    <row r="130" ht="13.5" spans="41:42">
      <c r="AO130" s="139"/>
      <c r="AP130" s="139"/>
    </row>
    <row r="131" ht="13.5" spans="41:42">
      <c r="AO131" s="139"/>
      <c r="AP131" s="139"/>
    </row>
    <row r="132" ht="13.5" spans="41:42">
      <c r="AO132" s="139"/>
      <c r="AP132" s="139"/>
    </row>
    <row r="133" ht="13.5" spans="41:42">
      <c r="AO133" s="139"/>
      <c r="AP133" s="139"/>
    </row>
    <row r="134" ht="13.5" spans="41:42">
      <c r="AO134" s="139"/>
      <c r="AP134" s="139"/>
    </row>
    <row r="135" ht="13.5" spans="41:42">
      <c r="AO135" s="139"/>
      <c r="AP135" s="139"/>
    </row>
    <row r="136" ht="13.5" spans="41:42">
      <c r="AO136" s="139"/>
      <c r="AP136" s="139"/>
    </row>
    <row r="137" ht="13.5" spans="41:42">
      <c r="AO137" s="139"/>
      <c r="AP137" s="139"/>
    </row>
    <row r="138" ht="13.5" spans="41:42">
      <c r="AO138" s="139"/>
      <c r="AP138" s="139"/>
    </row>
    <row r="139" ht="13.5" spans="41:42">
      <c r="AO139" s="139"/>
      <c r="AP139" s="139"/>
    </row>
    <row r="140" ht="13.5" spans="41:42">
      <c r="AO140" s="139"/>
      <c r="AP140" s="139"/>
    </row>
    <row r="141" ht="13.5" spans="41:42">
      <c r="AO141" s="139"/>
      <c r="AP141" s="139"/>
    </row>
    <row r="142" ht="13.5" spans="41:42">
      <c r="AO142" s="139"/>
      <c r="AP142" s="139"/>
    </row>
    <row r="143" ht="13.5" spans="41:42">
      <c r="AO143" s="139"/>
      <c r="AP143" s="139"/>
    </row>
    <row r="144" ht="13.5" spans="41:42">
      <c r="AO144" s="139"/>
      <c r="AP144" s="139"/>
    </row>
    <row r="145" ht="13.5" spans="41:42">
      <c r="AO145" s="139"/>
      <c r="AP145" s="139"/>
    </row>
    <row r="146" ht="13.5" spans="41:42">
      <c r="AO146" s="139"/>
      <c r="AP146" s="139"/>
    </row>
    <row r="147" ht="13.5" spans="41:42">
      <c r="AO147" s="139"/>
      <c r="AP147" s="139"/>
    </row>
    <row r="148" ht="13.5" spans="41:42">
      <c r="AO148" s="139"/>
      <c r="AP148" s="139"/>
    </row>
    <row r="149" ht="13.5" spans="41:42">
      <c r="AO149" s="139"/>
      <c r="AP149" s="139"/>
    </row>
    <row r="150" ht="13.5" spans="41:42">
      <c r="AO150" s="139"/>
      <c r="AP150" s="139"/>
    </row>
    <row r="151" ht="13.5" spans="41:42">
      <c r="AO151" s="139"/>
      <c r="AP151" s="139"/>
    </row>
    <row r="152" ht="13.5" spans="41:42">
      <c r="AO152" s="139"/>
      <c r="AP152" s="139"/>
    </row>
    <row r="153" ht="13.5" spans="41:42">
      <c r="AO153" s="139"/>
      <c r="AP153" s="139"/>
    </row>
    <row r="154" ht="13.5" spans="41:42">
      <c r="AO154" s="139"/>
      <c r="AP154" s="139"/>
    </row>
    <row r="155" ht="13.5" spans="41:42">
      <c r="AO155" s="139"/>
      <c r="AP155" s="139"/>
    </row>
    <row r="156" ht="13.5" spans="41:42">
      <c r="AO156" s="139"/>
      <c r="AP156" s="139"/>
    </row>
    <row r="157" ht="13.5" spans="41:42">
      <c r="AO157" s="139"/>
      <c r="AP157" s="139"/>
    </row>
    <row r="158" ht="13.5" spans="41:42">
      <c r="AO158" s="139"/>
      <c r="AP158" s="139"/>
    </row>
    <row r="159" ht="13.5" spans="41:42">
      <c r="AO159" s="139"/>
      <c r="AP159" s="139"/>
    </row>
    <row r="160" ht="13.5" spans="41:42">
      <c r="AO160" s="139"/>
      <c r="AP160" s="139"/>
    </row>
    <row r="161" ht="13.5" spans="41:42">
      <c r="AO161" s="139"/>
      <c r="AP161" s="139"/>
    </row>
    <row r="162" ht="13.5" spans="41:42">
      <c r="AO162" s="139"/>
      <c r="AP162" s="139"/>
    </row>
    <row r="163" ht="13.5" spans="41:42">
      <c r="AO163" s="139"/>
      <c r="AP163" s="139"/>
    </row>
    <row r="164" ht="13.5" spans="41:42">
      <c r="AO164" s="139"/>
      <c r="AP164" s="139"/>
    </row>
    <row r="165" ht="13.5" spans="41:42">
      <c r="AO165" s="139"/>
      <c r="AP165" s="139"/>
    </row>
    <row r="166" ht="13.5" spans="41:42">
      <c r="AO166" s="139"/>
      <c r="AP166" s="139"/>
    </row>
    <row r="167" ht="13.5" spans="41:42">
      <c r="AO167" s="139"/>
      <c r="AP167" s="139"/>
    </row>
    <row r="168" ht="13.5" spans="41:42">
      <c r="AO168" s="139"/>
      <c r="AP168" s="139"/>
    </row>
    <row r="169" ht="13.5" spans="41:42">
      <c r="AO169" s="139"/>
      <c r="AP169" s="139"/>
    </row>
    <row r="170" ht="13.5" spans="41:42">
      <c r="AO170" s="139"/>
      <c r="AP170" s="139"/>
    </row>
    <row r="171" ht="13.5" spans="41:42">
      <c r="AO171" s="139"/>
      <c r="AP171" s="139"/>
    </row>
    <row r="172" ht="13.5" spans="41:42">
      <c r="AO172" s="139"/>
      <c r="AP172" s="139"/>
    </row>
    <row r="173" ht="13.5" spans="41:42">
      <c r="AO173" s="139"/>
      <c r="AP173" s="139"/>
    </row>
    <row r="174" ht="13.5" spans="41:42">
      <c r="AO174" s="139"/>
      <c r="AP174" s="139"/>
    </row>
    <row r="175" ht="13.5" spans="41:42">
      <c r="AO175" s="139"/>
      <c r="AP175" s="139"/>
    </row>
    <row r="176" ht="13.5" spans="41:42">
      <c r="AO176" s="139"/>
      <c r="AP176" s="139"/>
    </row>
    <row r="177" ht="13.5" spans="41:42">
      <c r="AO177" s="139"/>
      <c r="AP177" s="139"/>
    </row>
    <row r="178" ht="13.5" spans="41:42">
      <c r="AO178" s="139"/>
      <c r="AP178" s="139"/>
    </row>
    <row r="179" ht="13.5" spans="41:42">
      <c r="AO179" s="139"/>
      <c r="AP179" s="139"/>
    </row>
    <row r="180" ht="13.5" spans="41:42">
      <c r="AO180" s="139"/>
      <c r="AP180" s="139"/>
    </row>
    <row r="181" ht="13.5" spans="41:42">
      <c r="AO181" s="139"/>
      <c r="AP181" s="139"/>
    </row>
    <row r="182" ht="13.5" spans="41:42">
      <c r="AO182" s="139"/>
      <c r="AP182" s="139"/>
    </row>
    <row r="183" ht="13.5" spans="41:42">
      <c r="AO183" s="139"/>
      <c r="AP183" s="139"/>
    </row>
    <row r="184" ht="13.5" spans="41:42">
      <c r="AO184" s="139"/>
      <c r="AP184" s="139"/>
    </row>
    <row r="185" ht="13.5" spans="41:42">
      <c r="AO185" s="139"/>
      <c r="AP185" s="139"/>
    </row>
    <row r="186" ht="13.5" spans="41:42">
      <c r="AO186" s="139"/>
      <c r="AP186" s="139"/>
    </row>
    <row r="187" ht="13.5" spans="41:42">
      <c r="AO187" s="139"/>
      <c r="AP187" s="139"/>
    </row>
    <row r="188" ht="13.5" spans="41:42">
      <c r="AO188" s="139"/>
      <c r="AP188" s="139"/>
    </row>
    <row r="189" ht="13.5" spans="41:42">
      <c r="AO189" s="139"/>
      <c r="AP189" s="139"/>
    </row>
    <row r="190" ht="13.5" spans="41:42">
      <c r="AO190" s="139"/>
      <c r="AP190" s="139"/>
    </row>
    <row r="191" ht="13.5" spans="41:42">
      <c r="AO191" s="139"/>
      <c r="AP191" s="139"/>
    </row>
    <row r="192" ht="13.5" spans="41:42">
      <c r="AO192" s="139"/>
      <c r="AP192" s="139"/>
    </row>
    <row r="193" ht="13.5" spans="41:42">
      <c r="AO193" s="139"/>
      <c r="AP193" s="139"/>
    </row>
    <row r="194" ht="13.5" spans="41:42">
      <c r="AO194" s="139"/>
      <c r="AP194" s="139"/>
    </row>
    <row r="195" ht="13.5" spans="41:42">
      <c r="AO195" s="139"/>
      <c r="AP195" s="139"/>
    </row>
    <row r="196" ht="13.5" spans="41:42">
      <c r="AO196" s="139"/>
      <c r="AP196" s="139"/>
    </row>
    <row r="197" ht="13.5" spans="41:42">
      <c r="AO197" s="139"/>
      <c r="AP197" s="139"/>
    </row>
    <row r="198" ht="13.5" spans="41:42">
      <c r="AO198" s="139"/>
      <c r="AP198" s="139"/>
    </row>
    <row r="199" ht="13.5" spans="41:42">
      <c r="AO199" s="139"/>
      <c r="AP199" s="139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C1 E1">
      <formula1>#REF!</formula1>
    </dataValidation>
  </dataValidations>
  <pageMargins left="0.75" right="0.75" top="1" bottom="1" header="0.5" footer="0.5"/>
  <headerFooter/>
  <ignoredErrors>
    <ignoredError sqref="A5:AP199 A4:AG4 A1:AP1" evalError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I19"/>
  <sheetViews>
    <sheetView topLeftCell="A8" workbookViewId="0">
      <pane xSplit="1" topLeftCell="E1" activePane="topRight" state="frozen"/>
      <selection/>
      <selection pane="topRight" activeCell="E8" sqref="E8"/>
    </sheetView>
  </sheetViews>
  <sheetFormatPr defaultColWidth="8.725" defaultRowHeight="21" customHeight="1"/>
  <cols>
    <col min="1" max="1" width="13.2583333333333" style="3" customWidth="1"/>
    <col min="2" max="3" width="14.125" style="3" customWidth="1"/>
    <col min="4" max="4" width="10.375" style="74" customWidth="1"/>
    <col min="5" max="9" width="9.625" style="75" customWidth="1"/>
    <col min="10" max="35" width="9.625" style="3" customWidth="1"/>
  </cols>
  <sheetData>
    <row r="1" ht="15" spans="1:35">
      <c r="A1" s="23" t="s">
        <v>621</v>
      </c>
      <c r="B1" s="23" t="s">
        <v>689</v>
      </c>
      <c r="C1" s="23" t="s">
        <v>690</v>
      </c>
      <c r="D1" s="76" t="s">
        <v>691</v>
      </c>
      <c r="E1" s="77" t="s">
        <v>9</v>
      </c>
      <c r="F1" s="78" t="s">
        <v>10</v>
      </c>
      <c r="G1" s="78" t="s">
        <v>11</v>
      </c>
      <c r="H1" s="78" t="s">
        <v>12</v>
      </c>
      <c r="I1" s="78" t="s">
        <v>13</v>
      </c>
      <c r="J1" s="79" t="s">
        <v>14</v>
      </c>
      <c r="K1" s="78" t="s">
        <v>15</v>
      </c>
      <c r="L1" s="78" t="s">
        <v>16</v>
      </c>
      <c r="M1" s="80" t="s">
        <v>17</v>
      </c>
      <c r="N1" s="81" t="s">
        <v>18</v>
      </c>
      <c r="O1" s="82" t="s">
        <v>19</v>
      </c>
      <c r="P1" s="78" t="s">
        <v>20</v>
      </c>
      <c r="Q1" s="78" t="s">
        <v>21</v>
      </c>
      <c r="R1" s="78" t="s">
        <v>22</v>
      </c>
      <c r="S1" s="78" t="s">
        <v>23</v>
      </c>
      <c r="T1" s="78" t="s">
        <v>24</v>
      </c>
      <c r="U1" s="78" t="s">
        <v>25</v>
      </c>
      <c r="V1" s="78" t="s">
        <v>26</v>
      </c>
      <c r="W1" s="78" t="s">
        <v>27</v>
      </c>
      <c r="X1" s="78" t="s">
        <v>28</v>
      </c>
      <c r="Y1" s="78" t="s">
        <v>29</v>
      </c>
      <c r="Z1" s="78" t="s">
        <v>30</v>
      </c>
      <c r="AA1" s="78" t="s">
        <v>31</v>
      </c>
      <c r="AB1" s="78" t="s">
        <v>32</v>
      </c>
      <c r="AC1" s="78" t="s">
        <v>33</v>
      </c>
      <c r="AD1" s="78" t="s">
        <v>34</v>
      </c>
      <c r="AE1" s="83" t="s">
        <v>35</v>
      </c>
      <c r="AF1" s="84" t="s">
        <v>36</v>
      </c>
      <c r="AG1" s="84" t="s">
        <v>37</v>
      </c>
      <c r="AH1" s="84" t="s">
        <v>38</v>
      </c>
      <c r="AI1" s="84" t="s">
        <v>39</v>
      </c>
    </row>
    <row r="2" customHeight="1" spans="1:35">
      <c r="A2" s="40" t="s">
        <v>692</v>
      </c>
      <c r="B2" s="40">
        <f t="shared" ref="B2:B17" si="0">SUM(E2:AI2)</f>
        <v>3709</v>
      </c>
      <c r="C2" s="85">
        <v>3299</v>
      </c>
      <c r="D2" s="86">
        <f>B2/C2</f>
        <v>1.1242800848742</v>
      </c>
      <c r="E2" s="87">
        <v>91</v>
      </c>
      <c r="F2" s="87">
        <v>99</v>
      </c>
      <c r="G2" s="87">
        <v>110</v>
      </c>
      <c r="H2" s="87">
        <v>146</v>
      </c>
      <c r="I2" s="87">
        <v>126</v>
      </c>
      <c r="J2" s="87">
        <v>130</v>
      </c>
      <c r="K2" s="87">
        <v>143</v>
      </c>
      <c r="L2" s="87">
        <v>147</v>
      </c>
      <c r="M2" s="88">
        <v>139</v>
      </c>
      <c r="N2" s="89">
        <v>145</v>
      </c>
      <c r="O2" s="90">
        <v>131</v>
      </c>
      <c r="P2" s="87">
        <v>106</v>
      </c>
      <c r="Q2" s="87">
        <v>95</v>
      </c>
      <c r="R2" s="87">
        <v>113</v>
      </c>
      <c r="S2" s="87">
        <v>124</v>
      </c>
      <c r="T2" s="87">
        <v>114</v>
      </c>
      <c r="U2" s="87">
        <v>137</v>
      </c>
      <c r="V2" s="87">
        <v>118</v>
      </c>
      <c r="W2" s="87">
        <v>100</v>
      </c>
      <c r="X2" s="87">
        <v>109</v>
      </c>
      <c r="Y2" s="87">
        <v>123</v>
      </c>
      <c r="Z2" s="87">
        <v>97</v>
      </c>
      <c r="AA2" s="87">
        <v>109</v>
      </c>
      <c r="AB2" s="87">
        <v>105</v>
      </c>
      <c r="AC2" s="87">
        <v>123</v>
      </c>
      <c r="AD2" s="87">
        <v>100</v>
      </c>
      <c r="AE2" s="91">
        <v>109</v>
      </c>
      <c r="AF2" s="92">
        <v>125</v>
      </c>
      <c r="AG2" s="92">
        <v>129</v>
      </c>
      <c r="AH2" s="92">
        <v>132</v>
      </c>
      <c r="AI2" s="92">
        <v>134</v>
      </c>
    </row>
    <row r="3" ht="22" customHeight="1" spans="1:35">
      <c r="A3" s="40" t="s">
        <v>693</v>
      </c>
      <c r="B3" s="40">
        <f t="shared" si="0"/>
        <v>8894.11</v>
      </c>
      <c r="C3" s="85">
        <f>C5/C2</f>
        <v>467.414974234617</v>
      </c>
      <c r="D3" s="86">
        <f t="shared" ref="D2:D17" si="1">IFERROR(C3/B3,0)</f>
        <v>0.0525533160973517</v>
      </c>
      <c r="E3" s="87">
        <v>274.01</v>
      </c>
      <c r="F3" s="87">
        <v>269.74</v>
      </c>
      <c r="G3" s="87">
        <v>250.06</v>
      </c>
      <c r="H3" s="87">
        <v>258.49</v>
      </c>
      <c r="I3" s="87">
        <v>263.62</v>
      </c>
      <c r="J3" s="87">
        <v>278.66</v>
      </c>
      <c r="K3" s="87">
        <v>264.03</v>
      </c>
      <c r="L3" s="87">
        <v>274.1</v>
      </c>
      <c r="M3" s="87">
        <v>279.49</v>
      </c>
      <c r="N3" s="87">
        <v>284.05</v>
      </c>
      <c r="O3" s="87">
        <v>280.82</v>
      </c>
      <c r="P3" s="87">
        <v>279.95</v>
      </c>
      <c r="Q3" s="87">
        <v>291.53</v>
      </c>
      <c r="R3" s="87">
        <v>284.02</v>
      </c>
      <c r="S3" s="87">
        <v>298.34</v>
      </c>
      <c r="T3" s="87">
        <v>289.3</v>
      </c>
      <c r="U3" s="87">
        <v>281.26</v>
      </c>
      <c r="V3" s="87">
        <v>303.92</v>
      </c>
      <c r="W3" s="87">
        <v>288.85</v>
      </c>
      <c r="X3" s="87">
        <v>317.88</v>
      </c>
      <c r="Y3" s="87">
        <v>327.23</v>
      </c>
      <c r="Z3" s="87">
        <v>341.33</v>
      </c>
      <c r="AA3" s="87">
        <v>307.69</v>
      </c>
      <c r="AB3" s="87">
        <v>291.37</v>
      </c>
      <c r="AC3" s="87">
        <v>289.39</v>
      </c>
      <c r="AD3" s="87">
        <v>261.72</v>
      </c>
      <c r="AE3" s="91">
        <v>292.07</v>
      </c>
      <c r="AF3" s="92">
        <v>294.06</v>
      </c>
      <c r="AG3" s="92">
        <v>285.13</v>
      </c>
      <c r="AH3" s="93">
        <v>297.33</v>
      </c>
      <c r="AI3" s="92">
        <v>294.67</v>
      </c>
    </row>
    <row r="4" ht="22.5" customHeight="1" spans="1:35">
      <c r="A4" s="41" t="s">
        <v>694</v>
      </c>
      <c r="B4" s="40">
        <f t="shared" si="0"/>
        <v>7992.99</v>
      </c>
      <c r="C4" s="94">
        <f>C5/4123</f>
        <v>374</v>
      </c>
      <c r="D4" s="86">
        <f t="shared" si="1"/>
        <v>0.0467910006142883</v>
      </c>
      <c r="E4" s="87">
        <v>187.48</v>
      </c>
      <c r="F4" s="87">
        <v>200.78</v>
      </c>
      <c r="G4" s="87">
        <v>206.82</v>
      </c>
      <c r="H4" s="87">
        <v>283.75</v>
      </c>
      <c r="I4" s="87">
        <v>249.75</v>
      </c>
      <c r="J4" s="87">
        <v>272.37</v>
      </c>
      <c r="K4" s="87">
        <v>283.89</v>
      </c>
      <c r="L4" s="87">
        <v>302.95</v>
      </c>
      <c r="M4" s="87">
        <v>292.1</v>
      </c>
      <c r="N4" s="87">
        <v>309.68</v>
      </c>
      <c r="O4" s="87">
        <v>276.6</v>
      </c>
      <c r="P4" s="87">
        <v>223.12</v>
      </c>
      <c r="Q4" s="87">
        <v>209.81</v>
      </c>
      <c r="R4" s="87">
        <v>241.31</v>
      </c>
      <c r="S4" s="87">
        <v>278.15</v>
      </c>
      <c r="T4" s="87">
        <v>247.98</v>
      </c>
      <c r="U4" s="87">
        <v>289.72</v>
      </c>
      <c r="V4" s="95">
        <v>269.64</v>
      </c>
      <c r="W4" s="87">
        <v>217.18</v>
      </c>
      <c r="X4" s="87">
        <v>260.52</v>
      </c>
      <c r="Y4" s="87">
        <v>302.63</v>
      </c>
      <c r="Z4" s="87">
        <v>248.94</v>
      </c>
      <c r="AA4" s="87">
        <v>252.16</v>
      </c>
      <c r="AB4" s="87">
        <v>230.03</v>
      </c>
      <c r="AC4" s="87">
        <v>273.81</v>
      </c>
      <c r="AD4" s="87">
        <v>199.78</v>
      </c>
      <c r="AE4" s="91">
        <v>239.36</v>
      </c>
      <c r="AF4" s="92">
        <v>276.37</v>
      </c>
      <c r="AG4" s="92">
        <v>276.55</v>
      </c>
      <c r="AH4" s="92">
        <v>295.09</v>
      </c>
      <c r="AI4" s="92">
        <v>294.67</v>
      </c>
    </row>
    <row r="5" customHeight="1" spans="1:35">
      <c r="A5" s="41" t="s">
        <v>695</v>
      </c>
      <c r="B5" s="40">
        <f t="shared" si="0"/>
        <v>994743.33</v>
      </c>
      <c r="C5" s="94">
        <v>1542002</v>
      </c>
      <c r="D5" s="86">
        <f>B5/C5</f>
        <v>0.645098599093905</v>
      </c>
      <c r="E5" s="87">
        <v>24935.05</v>
      </c>
      <c r="F5" s="87">
        <v>26704.06</v>
      </c>
      <c r="G5" s="87">
        <v>27506.44</v>
      </c>
      <c r="H5" s="87">
        <v>37739.01</v>
      </c>
      <c r="I5" s="87">
        <v>33216.14</v>
      </c>
      <c r="J5" s="87">
        <v>36225.48</v>
      </c>
      <c r="K5" s="87">
        <v>37756.83</v>
      </c>
      <c r="L5" s="87">
        <v>40292.32</v>
      </c>
      <c r="M5" s="96">
        <v>38849.19</v>
      </c>
      <c r="N5" s="96">
        <v>41187.14</v>
      </c>
      <c r="O5" s="97">
        <v>38787.98</v>
      </c>
      <c r="P5" s="97">
        <v>29674.96</v>
      </c>
      <c r="Q5" s="97">
        <v>27694.96</v>
      </c>
      <c r="R5" s="97">
        <v>32093.75</v>
      </c>
      <c r="S5" s="97">
        <v>36994.05</v>
      </c>
      <c r="T5" s="97">
        <v>32980.74</v>
      </c>
      <c r="U5" s="97">
        <v>38532.45</v>
      </c>
      <c r="V5" s="97">
        <v>35862.66</v>
      </c>
      <c r="W5" s="97">
        <v>28884.98</v>
      </c>
      <c r="X5" s="97">
        <v>34649.23</v>
      </c>
      <c r="Y5" s="97">
        <v>40249.85</v>
      </c>
      <c r="Z5" s="97">
        <v>3109.19</v>
      </c>
      <c r="AA5" s="97">
        <v>33537.93</v>
      </c>
      <c r="AB5" s="97">
        <v>30593.61</v>
      </c>
      <c r="AC5" s="97">
        <v>35595.26</v>
      </c>
      <c r="AD5" s="97">
        <v>26171.71</v>
      </c>
      <c r="AE5" s="91">
        <v>31835.1</v>
      </c>
      <c r="AF5" s="92">
        <v>36757.67</v>
      </c>
      <c r="AG5" s="92">
        <v>36781.17</v>
      </c>
      <c r="AH5" s="92">
        <v>39247.54</v>
      </c>
      <c r="AI5" s="92">
        <v>296.88</v>
      </c>
    </row>
    <row r="6" customHeight="1" spans="1:35">
      <c r="A6" s="41" t="s">
        <v>696</v>
      </c>
      <c r="B6" s="40">
        <f t="shared" si="0"/>
        <v>0</v>
      </c>
      <c r="C6" s="41"/>
      <c r="D6" s="98">
        <f t="shared" si="1"/>
        <v>0</v>
      </c>
      <c r="E6" s="87"/>
      <c r="F6" s="87"/>
      <c r="G6" s="87"/>
      <c r="H6" s="87"/>
      <c r="I6" s="99"/>
      <c r="J6" s="100"/>
      <c r="K6" s="96"/>
      <c r="L6" s="96"/>
      <c r="M6" s="96"/>
      <c r="N6" s="96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1"/>
      <c r="AF6" s="92"/>
      <c r="AG6" s="92"/>
      <c r="AH6" s="92"/>
      <c r="AI6" s="92"/>
    </row>
    <row r="7" customHeight="1" spans="1:35">
      <c r="A7" s="41" t="s">
        <v>697</v>
      </c>
      <c r="B7" s="40">
        <f t="shared" si="0"/>
        <v>0</v>
      </c>
      <c r="C7" s="101"/>
      <c r="D7" s="102">
        <f t="shared" si="1"/>
        <v>0</v>
      </c>
      <c r="E7" s="103"/>
      <c r="F7" s="103"/>
      <c r="G7" s="87"/>
      <c r="H7" s="87"/>
      <c r="I7" s="100"/>
      <c r="J7" s="96"/>
      <c r="K7" s="96"/>
      <c r="L7" s="96"/>
      <c r="M7" s="96"/>
      <c r="N7" s="96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1"/>
      <c r="AF7" s="92"/>
      <c r="AG7" s="92"/>
      <c r="AH7" s="92"/>
      <c r="AI7" s="92"/>
    </row>
    <row r="8" customHeight="1" spans="1:35">
      <c r="A8" s="41" t="s">
        <v>698</v>
      </c>
      <c r="B8" s="104">
        <f t="shared" si="0"/>
        <v>0</v>
      </c>
      <c r="C8" s="105"/>
      <c r="D8" s="106">
        <f t="shared" si="1"/>
        <v>0</v>
      </c>
      <c r="E8" s="87"/>
      <c r="F8" s="87"/>
      <c r="G8" s="87"/>
      <c r="H8" s="87"/>
      <c r="I8" s="96"/>
      <c r="J8" s="96"/>
      <c r="K8" s="96"/>
      <c r="L8" s="96"/>
      <c r="M8" s="96"/>
      <c r="N8" s="96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1"/>
      <c r="AF8" s="92"/>
      <c r="AG8" s="92"/>
      <c r="AH8" s="92"/>
      <c r="AI8" s="92"/>
    </row>
    <row r="9" customHeight="1" spans="1:35">
      <c r="A9" s="7" t="s">
        <v>699</v>
      </c>
      <c r="B9" s="40">
        <f t="shared" si="0"/>
        <v>0</v>
      </c>
      <c r="C9" s="107"/>
      <c r="D9" s="108">
        <f t="shared" si="1"/>
        <v>0</v>
      </c>
      <c r="E9" s="109"/>
      <c r="F9" s="109"/>
      <c r="G9" s="87"/>
      <c r="H9" s="87"/>
      <c r="I9" s="96"/>
      <c r="J9" s="96"/>
      <c r="K9" s="96"/>
      <c r="L9" s="96"/>
      <c r="M9" s="96"/>
      <c r="N9" s="96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1"/>
      <c r="AF9" s="92"/>
      <c r="AG9" s="92"/>
      <c r="AH9" s="92"/>
      <c r="AI9" s="92"/>
    </row>
    <row r="10" customHeight="1" spans="1:35">
      <c r="A10" s="7" t="s">
        <v>700</v>
      </c>
      <c r="B10" s="40">
        <f t="shared" si="0"/>
        <v>0</v>
      </c>
      <c r="C10" s="7"/>
      <c r="D10" s="98">
        <f t="shared" si="1"/>
        <v>0</v>
      </c>
      <c r="E10" s="87"/>
      <c r="F10" s="87"/>
      <c r="G10" s="87"/>
      <c r="H10" s="87"/>
      <c r="I10" s="96"/>
      <c r="J10" s="96"/>
      <c r="K10" s="110"/>
      <c r="L10" s="96"/>
      <c r="M10" s="111"/>
      <c r="N10" s="96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1"/>
      <c r="AF10" s="92"/>
      <c r="AG10" s="92"/>
      <c r="AH10" s="92"/>
      <c r="AI10" s="92"/>
    </row>
    <row r="11" customHeight="1" spans="1:35">
      <c r="A11" s="7" t="s">
        <v>701</v>
      </c>
      <c r="B11" s="40">
        <f t="shared" si="0"/>
        <v>0</v>
      </c>
      <c r="C11" s="7"/>
      <c r="D11" s="98">
        <f t="shared" si="1"/>
        <v>0</v>
      </c>
      <c r="E11" s="112"/>
      <c r="F11" s="97"/>
      <c r="G11" s="97"/>
      <c r="H11" s="97"/>
      <c r="I11" s="97"/>
      <c r="J11" s="97"/>
      <c r="K11" s="113"/>
      <c r="L11" s="49"/>
      <c r="M11" s="114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1"/>
      <c r="AF11" s="92"/>
      <c r="AG11" s="92"/>
      <c r="AH11" s="92"/>
      <c r="AI11" s="92"/>
    </row>
    <row r="12" customHeight="1" spans="1:35">
      <c r="A12" s="7" t="s">
        <v>702</v>
      </c>
      <c r="B12" s="40">
        <f t="shared" si="0"/>
        <v>764.15983</v>
      </c>
      <c r="C12" s="7"/>
      <c r="D12" s="115">
        <f t="shared" si="1"/>
        <v>0</v>
      </c>
      <c r="E12" s="116">
        <v>17.781</v>
      </c>
      <c r="F12" s="117">
        <v>10.08</v>
      </c>
      <c r="G12" s="117">
        <v>6.23</v>
      </c>
      <c r="H12" s="117">
        <v>6.8</v>
      </c>
      <c r="I12" s="117">
        <v>16.25</v>
      </c>
      <c r="J12" s="117">
        <v>32.1</v>
      </c>
      <c r="K12" s="118">
        <v>21.98</v>
      </c>
      <c r="L12" s="97">
        <v>15.8</v>
      </c>
      <c r="M12" s="119">
        <v>9.56</v>
      </c>
      <c r="N12" s="117">
        <v>37.28</v>
      </c>
      <c r="O12" s="117">
        <v>30.82</v>
      </c>
      <c r="P12" s="117">
        <v>6.61</v>
      </c>
      <c r="Q12" s="117">
        <v>18.44</v>
      </c>
      <c r="R12" s="117">
        <v>23.01</v>
      </c>
      <c r="S12" s="117">
        <v>17.16</v>
      </c>
      <c r="T12" s="117">
        <v>13.95</v>
      </c>
      <c r="U12" s="117">
        <v>25.48</v>
      </c>
      <c r="V12" s="117">
        <v>8.85</v>
      </c>
      <c r="W12" s="117">
        <v>21.51</v>
      </c>
      <c r="X12" s="117">
        <v>27.98</v>
      </c>
      <c r="Y12" s="117">
        <v>14.8</v>
      </c>
      <c r="Z12" s="117">
        <v>16.13</v>
      </c>
      <c r="AA12" s="117">
        <v>33.53</v>
      </c>
      <c r="AB12" s="117">
        <v>43.16</v>
      </c>
      <c r="AC12" s="117">
        <v>17.87</v>
      </c>
      <c r="AD12" s="117">
        <v>31.36</v>
      </c>
      <c r="AE12" s="120">
        <v>176.58</v>
      </c>
      <c r="AF12" s="120">
        <f>4331.8*0.003</f>
        <v>12.9954</v>
      </c>
      <c r="AG12" s="121">
        <f>4658.01*0.003</f>
        <v>13.97403</v>
      </c>
      <c r="AH12" s="120">
        <f>8754*0.003</f>
        <v>26.262</v>
      </c>
      <c r="AI12" s="120">
        <f>3275.8*0.003</f>
        <v>9.8274</v>
      </c>
    </row>
    <row r="13" customHeight="1" spans="1:35">
      <c r="A13" s="7" t="s">
        <v>703</v>
      </c>
      <c r="B13" s="40">
        <f t="shared" si="0"/>
        <v>0</v>
      </c>
      <c r="C13" s="7"/>
      <c r="D13" s="98">
        <f t="shared" si="1"/>
        <v>0</v>
      </c>
      <c r="E13" s="112"/>
      <c r="F13" s="97"/>
      <c r="G13" s="97"/>
      <c r="H13" s="97"/>
      <c r="I13" s="97"/>
      <c r="J13" s="97"/>
      <c r="K13" s="113"/>
      <c r="L13" s="97"/>
      <c r="M13" s="114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</row>
    <row r="14" customHeight="1" spans="1:35">
      <c r="A14" s="7" t="s">
        <v>704</v>
      </c>
      <c r="B14" s="40">
        <f t="shared" si="0"/>
        <v>0</v>
      </c>
      <c r="C14" s="7"/>
      <c r="D14" s="98">
        <f t="shared" si="1"/>
        <v>0</v>
      </c>
      <c r="E14" s="112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</row>
    <row r="15" customHeight="1" spans="1:35">
      <c r="A15" s="7" t="s">
        <v>705</v>
      </c>
      <c r="B15" s="40">
        <f t="shared" si="0"/>
        <v>352.98</v>
      </c>
      <c r="C15" s="7"/>
      <c r="D15" s="98">
        <f t="shared" si="1"/>
        <v>0</v>
      </c>
      <c r="E15" s="112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>
        <v>352.98</v>
      </c>
      <c r="AD15" s="97"/>
      <c r="AE15" s="97"/>
      <c r="AF15" s="97"/>
      <c r="AG15" s="97"/>
      <c r="AH15" s="97"/>
      <c r="AI15" s="97"/>
    </row>
    <row r="16" customHeight="1" spans="1:35">
      <c r="A16" s="70" t="s">
        <v>706</v>
      </c>
      <c r="B16" s="122">
        <f t="shared" si="0"/>
        <v>0</v>
      </c>
      <c r="C16" s="70"/>
      <c r="D16" s="102">
        <f t="shared" si="1"/>
        <v>0</v>
      </c>
      <c r="E16" s="123"/>
      <c r="F16" s="97"/>
      <c r="G16" s="97"/>
      <c r="H16" s="124"/>
      <c r="I16" s="124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124"/>
      <c r="W16" s="124"/>
      <c r="X16" s="124"/>
      <c r="Y16" s="97"/>
      <c r="Z16" s="97"/>
      <c r="AA16" s="97"/>
      <c r="AB16" s="97"/>
      <c r="AC16" s="97"/>
      <c r="AD16" s="97"/>
      <c r="AE16" s="97"/>
      <c r="AF16" s="97"/>
      <c r="AG16" s="124"/>
      <c r="AH16" s="124"/>
      <c r="AI16" s="124"/>
    </row>
    <row r="17" ht="37" customHeight="1" spans="1:35">
      <c r="A17" s="125" t="s">
        <v>707</v>
      </c>
      <c r="B17" s="126">
        <f t="shared" si="0"/>
        <v>114.48</v>
      </c>
      <c r="C17" s="125"/>
      <c r="D17" s="106">
        <f t="shared" si="1"/>
        <v>0</v>
      </c>
      <c r="E17" s="127"/>
      <c r="F17" s="127">
        <v>52.1</v>
      </c>
      <c r="G17" s="127"/>
      <c r="H17" s="127"/>
      <c r="I17" s="127"/>
      <c r="J17" s="49">
        <v>25.91</v>
      </c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49"/>
      <c r="Y17" s="127"/>
      <c r="Z17" s="127"/>
      <c r="AA17" s="128"/>
      <c r="AB17" s="127"/>
      <c r="AC17" s="128">
        <v>11.55</v>
      </c>
      <c r="AD17" s="49">
        <v>5.78</v>
      </c>
      <c r="AE17" s="127"/>
      <c r="AF17" s="127">
        <f>1290*0.0055</f>
        <v>7.095</v>
      </c>
      <c r="AG17" s="127">
        <f>1290*0.0055</f>
        <v>7.095</v>
      </c>
      <c r="AH17" s="57">
        <f>450*0.0055</f>
        <v>2.475</v>
      </c>
      <c r="AI17" s="57">
        <f>450*0.0055</f>
        <v>2.475</v>
      </c>
    </row>
    <row r="18" ht="13.5"/>
    <row r="19" ht="13.5"/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汇总表">
    <tabColor rgb="FFFF0000"/>
  </sheetPr>
  <dimension ref="A1:AG55"/>
  <sheetViews>
    <sheetView workbookViewId="0">
      <pane xSplit="1" ySplit="1" topLeftCell="B51" activePane="bottomRight" state="frozen"/>
      <selection/>
      <selection pane="topRight"/>
      <selection pane="bottomLeft"/>
      <selection pane="bottomRight" activeCell="H35" sqref="H35"/>
    </sheetView>
  </sheetViews>
  <sheetFormatPr defaultColWidth="8.725" defaultRowHeight="20" customHeight="1"/>
  <cols>
    <col min="1" max="1" width="22.5" style="4" customWidth="1"/>
    <col min="2" max="17" width="10.375" style="4" customWidth="1"/>
    <col min="18" max="33" width="11.5" style="4" customWidth="1"/>
  </cols>
  <sheetData>
    <row r="1" s="62" customFormat="1" ht="29" customHeight="1" spans="1:33">
      <c r="A1" s="23" t="s">
        <v>621</v>
      </c>
      <c r="B1" s="23" t="s">
        <v>9</v>
      </c>
      <c r="C1" s="23" t="s">
        <v>10</v>
      </c>
      <c r="D1" s="23" t="s">
        <v>11</v>
      </c>
      <c r="E1" s="23" t="s">
        <v>12</v>
      </c>
      <c r="F1" s="23" t="s">
        <v>13</v>
      </c>
      <c r="G1" s="23" t="s">
        <v>14</v>
      </c>
      <c r="H1" s="23" t="s">
        <v>15</v>
      </c>
      <c r="I1" s="23" t="s">
        <v>16</v>
      </c>
      <c r="J1" s="23" t="s">
        <v>17</v>
      </c>
      <c r="K1" s="23" t="s">
        <v>18</v>
      </c>
      <c r="L1" s="23" t="s">
        <v>19</v>
      </c>
      <c r="M1" s="23" t="s">
        <v>20</v>
      </c>
      <c r="N1" s="23" t="s">
        <v>21</v>
      </c>
      <c r="O1" s="23" t="s">
        <v>22</v>
      </c>
      <c r="P1" s="23" t="s">
        <v>23</v>
      </c>
      <c r="Q1" s="23" t="s">
        <v>24</v>
      </c>
      <c r="R1" s="23" t="s">
        <v>25</v>
      </c>
      <c r="S1" s="23" t="s">
        <v>26</v>
      </c>
      <c r="T1" s="23" t="s">
        <v>27</v>
      </c>
      <c r="U1" s="23" t="s">
        <v>28</v>
      </c>
      <c r="V1" s="23" t="s">
        <v>29</v>
      </c>
      <c r="W1" s="23" t="s">
        <v>30</v>
      </c>
      <c r="X1" s="23" t="s">
        <v>31</v>
      </c>
      <c r="Y1" s="23" t="s">
        <v>32</v>
      </c>
      <c r="Z1" s="23" t="s">
        <v>33</v>
      </c>
      <c r="AA1" s="23" t="s">
        <v>34</v>
      </c>
      <c r="AB1" s="23" t="s">
        <v>35</v>
      </c>
      <c r="AC1" s="23" t="s">
        <v>36</v>
      </c>
      <c r="AD1" s="23" t="s">
        <v>37</v>
      </c>
      <c r="AE1" s="23" t="s">
        <v>38</v>
      </c>
      <c r="AF1" s="23" t="s">
        <v>39</v>
      </c>
      <c r="AG1" s="23" t="s">
        <v>335</v>
      </c>
    </row>
    <row r="2" s="62" customFormat="1" ht="29" customHeight="1" spans="1:33">
      <c r="A2" s="40" t="s">
        <v>612</v>
      </c>
      <c r="B2" s="22">
        <f>用餐人数汇总!B4</f>
        <v>147</v>
      </c>
      <c r="C2" s="22">
        <f>用餐人数汇总!C4</f>
        <v>155</v>
      </c>
      <c r="D2" s="22">
        <f>用餐人数汇总!D4</f>
        <v>185</v>
      </c>
      <c r="E2" s="22">
        <f>用餐人数汇总!E4</f>
        <v>174</v>
      </c>
      <c r="F2" s="22">
        <f>用餐人数汇总!F4</f>
        <v>182</v>
      </c>
      <c r="G2" s="22">
        <f>用餐人数汇总!G4</f>
        <v>166</v>
      </c>
      <c r="H2" s="22">
        <f>用餐人数汇总!H4</f>
        <v>187</v>
      </c>
      <c r="I2" s="22">
        <f>用餐人数汇总!I4</f>
        <v>192</v>
      </c>
      <c r="J2" s="22">
        <f>用餐人数汇总!J4</f>
        <v>212</v>
      </c>
      <c r="K2" s="22">
        <f>用餐人数汇总!K4</f>
        <v>224</v>
      </c>
      <c r="L2" s="22">
        <f>用餐人数汇总!L4</f>
        <v>203</v>
      </c>
      <c r="M2" s="22">
        <f>用餐人数汇总!M4</f>
        <v>197</v>
      </c>
      <c r="N2" s="22">
        <f>用餐人数汇总!N4</f>
        <v>144</v>
      </c>
      <c r="O2" s="22">
        <f>用餐人数汇总!O4</f>
        <v>198</v>
      </c>
      <c r="P2" s="22">
        <f>用餐人数汇总!P4</f>
        <v>191</v>
      </c>
      <c r="Q2" s="22">
        <f>用餐人数汇总!Q4</f>
        <v>199</v>
      </c>
      <c r="R2" s="22">
        <f>用餐人数汇总!R4</f>
        <v>176</v>
      </c>
      <c r="S2" s="22">
        <f>用餐人数汇总!S4</f>
        <v>207</v>
      </c>
      <c r="T2" s="22">
        <f>用餐人数汇总!T4</f>
        <v>185</v>
      </c>
      <c r="U2" s="22">
        <f>用餐人数汇总!U4</f>
        <v>172</v>
      </c>
      <c r="V2" s="22">
        <f>用餐人数汇总!V4</f>
        <v>181</v>
      </c>
      <c r="W2" s="22">
        <f>用餐人数汇总!W4</f>
        <v>205</v>
      </c>
      <c r="X2" s="22">
        <f>用餐人数汇总!X4</f>
        <v>171</v>
      </c>
      <c r="Y2" s="22">
        <f>用餐人数汇总!Y4</f>
        <v>171</v>
      </c>
      <c r="Z2" s="22">
        <f>用餐人数汇总!Z4</f>
        <v>178</v>
      </c>
      <c r="AA2" s="22">
        <f>用餐人数汇总!AA4</f>
        <v>181</v>
      </c>
      <c r="AB2" s="22">
        <f>用餐人数汇总!AB4</f>
        <v>150</v>
      </c>
      <c r="AC2" s="22">
        <f>用餐人数汇总!AC4</f>
        <v>184</v>
      </c>
      <c r="AD2" s="22">
        <f>用餐人数汇总!AD4</f>
        <v>197</v>
      </c>
      <c r="AE2" s="22">
        <f>用餐人数汇总!AE4</f>
        <v>199</v>
      </c>
      <c r="AF2" s="22">
        <f>用餐人数汇总!AF4</f>
        <v>204</v>
      </c>
      <c r="AG2" s="23">
        <f t="shared" ref="AG2:AG10" si="0">SUM(B2:AF2)</f>
        <v>5717</v>
      </c>
    </row>
    <row r="3" s="62" customFormat="1" ht="29" customHeight="1" spans="1:33">
      <c r="A3" s="40" t="s">
        <v>708</v>
      </c>
      <c r="B3" s="23">
        <v>133</v>
      </c>
      <c r="C3" s="23">
        <v>133</v>
      </c>
      <c r="D3" s="23">
        <v>133</v>
      </c>
      <c r="E3" s="23">
        <v>133</v>
      </c>
      <c r="F3" s="23">
        <v>133</v>
      </c>
      <c r="G3" s="23">
        <v>133</v>
      </c>
      <c r="H3" s="23">
        <v>133</v>
      </c>
      <c r="I3" s="23">
        <v>133</v>
      </c>
      <c r="J3" s="23">
        <v>133</v>
      </c>
      <c r="K3" s="23">
        <v>133</v>
      </c>
      <c r="L3" s="23">
        <v>133</v>
      </c>
      <c r="M3" s="23">
        <v>133</v>
      </c>
      <c r="N3" s="23">
        <v>133</v>
      </c>
      <c r="O3" s="23">
        <v>133</v>
      </c>
      <c r="P3" s="23">
        <v>133</v>
      </c>
      <c r="Q3" s="23">
        <v>133</v>
      </c>
      <c r="R3" s="23">
        <v>133</v>
      </c>
      <c r="S3" s="23">
        <v>133</v>
      </c>
      <c r="T3" s="23">
        <v>133</v>
      </c>
      <c r="U3" s="23">
        <v>133</v>
      </c>
      <c r="V3" s="23">
        <v>133</v>
      </c>
      <c r="W3" s="23">
        <v>133</v>
      </c>
      <c r="X3" s="23">
        <v>133</v>
      </c>
      <c r="Y3" s="23">
        <v>133</v>
      </c>
      <c r="Z3" s="23">
        <v>133</v>
      </c>
      <c r="AA3" s="23">
        <v>133</v>
      </c>
      <c r="AB3" s="23">
        <v>133</v>
      </c>
      <c r="AC3" s="23">
        <v>133</v>
      </c>
      <c r="AD3" s="23">
        <v>133</v>
      </c>
      <c r="AE3" s="23">
        <v>133</v>
      </c>
      <c r="AF3" s="23">
        <v>133</v>
      </c>
      <c r="AG3" s="23">
        <f t="shared" si="0"/>
        <v>4123</v>
      </c>
    </row>
    <row r="4" s="62" customFormat="1" ht="29" customHeight="1" spans="1:33">
      <c r="A4" s="40" t="s">
        <v>692</v>
      </c>
      <c r="B4" s="22">
        <f>VLOOKUP($A4,收入及其他项目!$A:$AI,MATCH(B$1,收入及其他项目!$A$1:$AI$1,),)</f>
        <v>91</v>
      </c>
      <c r="C4" s="22">
        <f>VLOOKUP($A4,收入及其他项目!$A:$AI,MATCH(C$1,收入及其他项目!$A$1:$AI$1,),)</f>
        <v>99</v>
      </c>
      <c r="D4" s="22">
        <f>VLOOKUP($A4,收入及其他项目!$A:$AI,MATCH(D$1,收入及其他项目!$A$1:$AI$1,),)</f>
        <v>110</v>
      </c>
      <c r="E4" s="22">
        <f>VLOOKUP($A4,收入及其他项目!$A:$AI,MATCH(E$1,收入及其他项目!$A$1:$AI$1,),)</f>
        <v>146</v>
      </c>
      <c r="F4" s="22">
        <f>VLOOKUP($A4,收入及其他项目!$A:$AI,MATCH(F$1,收入及其他项目!$A$1:$AI$1,),)</f>
        <v>126</v>
      </c>
      <c r="G4" s="22">
        <f>VLOOKUP($A4,收入及其他项目!$A:$AI,MATCH(G$1,收入及其他项目!$A$1:$AI$1,),)</f>
        <v>130</v>
      </c>
      <c r="H4" s="22">
        <f>VLOOKUP($A4,收入及其他项目!$A:$AI,MATCH(H$1,收入及其他项目!$A$1:$AI$1,),)</f>
        <v>143</v>
      </c>
      <c r="I4" s="22">
        <f>VLOOKUP($A4,收入及其他项目!$A:$AI,MATCH(I$1,收入及其他项目!$A$1:$AI$1,),)</f>
        <v>147</v>
      </c>
      <c r="J4" s="22">
        <f>VLOOKUP($A4,收入及其他项目!$A:$AI,MATCH(J$1,收入及其他项目!$A$1:$AI$1,),)</f>
        <v>139</v>
      </c>
      <c r="K4" s="22">
        <f>VLOOKUP($A4,收入及其他项目!$A:$AI,MATCH(K$1,收入及其他项目!$A$1:$AI$1,),)</f>
        <v>145</v>
      </c>
      <c r="L4" s="22">
        <f>VLOOKUP($A4,收入及其他项目!$A:$AI,MATCH(L$1,收入及其他项目!$A$1:$AI$1,),)</f>
        <v>131</v>
      </c>
      <c r="M4" s="22">
        <f>VLOOKUP($A4,收入及其他项目!$A:$AI,MATCH(M$1,收入及其他项目!$A$1:$AI$1,),)</f>
        <v>106</v>
      </c>
      <c r="N4" s="22">
        <f>VLOOKUP($A4,收入及其他项目!$A:$AI,MATCH(N$1,收入及其他项目!$A$1:$AI$1,),)</f>
        <v>95</v>
      </c>
      <c r="O4" s="22">
        <f>VLOOKUP($A4,收入及其他项目!$A:$AI,MATCH(O$1,收入及其他项目!$A$1:$AI$1,),)</f>
        <v>113</v>
      </c>
      <c r="P4" s="22">
        <f>VLOOKUP($A4,收入及其他项目!$A:$AI,MATCH(P$1,收入及其他项目!$A$1:$AI$1,),)</f>
        <v>124</v>
      </c>
      <c r="Q4" s="22">
        <f>VLOOKUP($A4,收入及其他项目!$A:$AI,MATCH(Q$1,收入及其他项目!$A$1:$AI$1,),)</f>
        <v>114</v>
      </c>
      <c r="R4" s="22">
        <f>VLOOKUP($A4,收入及其他项目!$A:$AI,MATCH(R$1,收入及其他项目!$A$1:$AI$1,),)</f>
        <v>137</v>
      </c>
      <c r="S4" s="22">
        <f>VLOOKUP($A4,收入及其他项目!$A:$AI,MATCH(S$1,收入及其他项目!$A$1:$AI$1,),)</f>
        <v>118</v>
      </c>
      <c r="T4" s="22">
        <f>VLOOKUP($A4,收入及其他项目!$A:$AI,MATCH(T$1,收入及其他项目!$A$1:$AI$1,),)</f>
        <v>100</v>
      </c>
      <c r="U4" s="22">
        <f>VLOOKUP($A4,收入及其他项目!$A:$AI,MATCH(U$1,收入及其他项目!$A$1:$AI$1,),)</f>
        <v>109</v>
      </c>
      <c r="V4" s="22">
        <f>VLOOKUP($A4,收入及其他项目!$A:$AI,MATCH(V$1,收入及其他项目!$A$1:$AI$1,),)</f>
        <v>123</v>
      </c>
      <c r="W4" s="22">
        <f>VLOOKUP($A4,收入及其他项目!$A:$AI,MATCH(W$1,收入及其他项目!$A$1:$AI$1,),)</f>
        <v>97</v>
      </c>
      <c r="X4" s="22">
        <f>VLOOKUP($A4,收入及其他项目!$A:$AI,MATCH(X$1,收入及其他项目!$A$1:$AI$1,),)</f>
        <v>109</v>
      </c>
      <c r="Y4" s="22">
        <f>VLOOKUP($A4,收入及其他项目!$A:$AI,MATCH(Y$1,收入及其他项目!$A$1:$AI$1,),)</f>
        <v>105</v>
      </c>
      <c r="Z4" s="22">
        <f>VLOOKUP($A4,收入及其他项目!$A:$AI,MATCH(Z$1,收入及其他项目!$A$1:$AI$1,),)</f>
        <v>123</v>
      </c>
      <c r="AA4" s="22">
        <f>VLOOKUP($A4,收入及其他项目!$A:$AI,MATCH(AA$1,收入及其他项目!$A$1:$AI$1,),)</f>
        <v>100</v>
      </c>
      <c r="AB4" s="22">
        <f>VLOOKUP($A4,收入及其他项目!$A:$AI,MATCH(AB$1,收入及其他项目!$A$1:$AI$1,),)</f>
        <v>109</v>
      </c>
      <c r="AC4" s="22">
        <f>VLOOKUP($A4,收入及其他项目!$A:$AI,MATCH(AC$1,收入及其他项目!$A$1:$AI$1,),)</f>
        <v>125</v>
      </c>
      <c r="AD4" s="22">
        <f>VLOOKUP($A4,收入及其他项目!$A:$AI,MATCH(AD$1,收入及其他项目!$A$1:$AI$1,),)</f>
        <v>129</v>
      </c>
      <c r="AE4" s="22">
        <f>VLOOKUP($A4,收入及其他项目!$A:$AI,MATCH(AE$1,收入及其他项目!$A$1:$AI$1,),)</f>
        <v>132</v>
      </c>
      <c r="AF4" s="22">
        <f>VLOOKUP($A4,收入及其他项目!$A:$AI,MATCH(AF$1,收入及其他项目!$A$1:$AI$1,),)</f>
        <v>134</v>
      </c>
      <c r="AG4" s="23">
        <f t="shared" si="0"/>
        <v>3709</v>
      </c>
    </row>
    <row r="5" s="62" customFormat="1" ht="29" customHeight="1" spans="1:33">
      <c r="A5" s="40" t="s">
        <v>693</v>
      </c>
      <c r="B5" s="22">
        <f>VLOOKUP($A5,收入及其他项目!$A:$AI,MATCH(B$1,收入及其他项目!$A$1:$AI$1,),)</f>
        <v>274.01</v>
      </c>
      <c r="C5" s="22">
        <f>VLOOKUP($A5,收入及其他项目!$A:$AI,MATCH(C$1,收入及其他项目!$A$1:$AI$1,),)</f>
        <v>269.74</v>
      </c>
      <c r="D5" s="22">
        <f>VLOOKUP($A5,收入及其他项目!$A:$AI,MATCH(D$1,收入及其他项目!$A$1:$AI$1,),)</f>
        <v>250.06</v>
      </c>
      <c r="E5" s="22">
        <f>VLOOKUP($A5,收入及其他项目!$A:$AI,MATCH(E$1,收入及其他项目!$A$1:$AI$1,),)</f>
        <v>258.49</v>
      </c>
      <c r="F5" s="22">
        <f>VLOOKUP($A5,收入及其他项目!$A:$AI,MATCH(F$1,收入及其他项目!$A$1:$AI$1,),)</f>
        <v>263.62</v>
      </c>
      <c r="G5" s="22">
        <f>VLOOKUP($A5,收入及其他项目!$A:$AI,MATCH(G$1,收入及其他项目!$A$1:$AI$1,),)</f>
        <v>278.66</v>
      </c>
      <c r="H5" s="22">
        <f>VLOOKUP($A5,收入及其他项目!$A:$AI,MATCH(H$1,收入及其他项目!$A$1:$AI$1,),)</f>
        <v>264.03</v>
      </c>
      <c r="I5" s="22">
        <f>VLOOKUP($A5,收入及其他项目!$A:$AI,MATCH(I$1,收入及其他项目!$A$1:$AI$1,),)</f>
        <v>274.1</v>
      </c>
      <c r="J5" s="22">
        <f>VLOOKUP($A5,收入及其他项目!$A:$AI,MATCH(J$1,收入及其他项目!$A$1:$AI$1,),)</f>
        <v>279.49</v>
      </c>
      <c r="K5" s="22">
        <f>VLOOKUP($A5,收入及其他项目!$A:$AI,MATCH(K$1,收入及其他项目!$A$1:$AI$1,),)</f>
        <v>284.05</v>
      </c>
      <c r="L5" s="22">
        <f>VLOOKUP($A5,收入及其他项目!$A:$AI,MATCH(L$1,收入及其他项目!$A$1:$AI$1,),)</f>
        <v>280.82</v>
      </c>
      <c r="M5" s="22">
        <f>VLOOKUP($A5,收入及其他项目!$A:$AI,MATCH(M$1,收入及其他项目!$A$1:$AI$1,),)</f>
        <v>279.95</v>
      </c>
      <c r="N5" s="22">
        <f>VLOOKUP($A5,收入及其他项目!$A:$AI,MATCH(N$1,收入及其他项目!$A$1:$AI$1,),)</f>
        <v>291.53</v>
      </c>
      <c r="O5" s="22">
        <f>VLOOKUP($A5,收入及其他项目!$A:$AI,MATCH(O$1,收入及其他项目!$A$1:$AI$1,),)</f>
        <v>284.02</v>
      </c>
      <c r="P5" s="22">
        <f>VLOOKUP($A5,收入及其他项目!$A:$AI,MATCH(P$1,收入及其他项目!$A$1:$AI$1,),)</f>
        <v>298.34</v>
      </c>
      <c r="Q5" s="22">
        <f>VLOOKUP($A5,收入及其他项目!$A:$AI,MATCH(Q$1,收入及其他项目!$A$1:$AI$1,),)</f>
        <v>289.3</v>
      </c>
      <c r="R5" s="22">
        <f>VLOOKUP($A5,收入及其他项目!$A:$AI,MATCH(R$1,收入及其他项目!$A$1:$AI$1,),)</f>
        <v>281.26</v>
      </c>
      <c r="S5" s="22">
        <f>VLOOKUP($A5,收入及其他项目!$A:$AI,MATCH(S$1,收入及其他项目!$A$1:$AI$1,),)</f>
        <v>303.92</v>
      </c>
      <c r="T5" s="22">
        <f>VLOOKUP($A5,收入及其他项目!$A:$AI,MATCH(T$1,收入及其他项目!$A$1:$AI$1,),)</f>
        <v>288.85</v>
      </c>
      <c r="U5" s="22">
        <f>VLOOKUP($A5,收入及其他项目!$A:$AI,MATCH(U$1,收入及其他项目!$A$1:$AI$1,),)</f>
        <v>317.88</v>
      </c>
      <c r="V5" s="22">
        <f>VLOOKUP($A5,收入及其他项目!$A:$AI,MATCH(V$1,收入及其他项目!$A$1:$AI$1,),)</f>
        <v>327.23</v>
      </c>
      <c r="W5" s="22">
        <f>VLOOKUP($A5,收入及其他项目!$A:$AI,MATCH(W$1,收入及其他项目!$A$1:$AI$1,),)</f>
        <v>341.33</v>
      </c>
      <c r="X5" s="22">
        <f>VLOOKUP($A5,收入及其他项目!$A:$AI,MATCH(X$1,收入及其他项目!$A$1:$AI$1,),)</f>
        <v>307.69</v>
      </c>
      <c r="Y5" s="22">
        <f>VLOOKUP($A5,收入及其他项目!$A:$AI,MATCH(Y$1,收入及其他项目!$A$1:$AI$1,),)</f>
        <v>291.37</v>
      </c>
      <c r="Z5" s="22">
        <f>VLOOKUP($A5,收入及其他项目!$A:$AI,MATCH(Z$1,收入及其他项目!$A$1:$AI$1,),)</f>
        <v>289.39</v>
      </c>
      <c r="AA5" s="22">
        <f>VLOOKUP($A5,收入及其他项目!$A:$AI,MATCH(AA$1,收入及其他项目!$A$1:$AI$1,),)</f>
        <v>261.72</v>
      </c>
      <c r="AB5" s="22">
        <f>VLOOKUP($A5,收入及其他项目!$A:$AI,MATCH(AB$1,收入及其他项目!$A$1:$AI$1,),)</f>
        <v>292.07</v>
      </c>
      <c r="AC5" s="22">
        <f>VLOOKUP($A5,收入及其他项目!$A:$AI,MATCH(AC$1,收入及其他项目!$A$1:$AI$1,),)</f>
        <v>294.06</v>
      </c>
      <c r="AD5" s="22">
        <f>VLOOKUP($A5,收入及其他项目!$A:$AI,MATCH(AD$1,收入及其他项目!$A$1:$AI$1,),)</f>
        <v>285.13</v>
      </c>
      <c r="AE5" s="22">
        <f>VLOOKUP($A5,收入及其他项目!$A:$AI,MATCH(AE$1,收入及其他项目!$A$1:$AI$1,),)</f>
        <v>297.33</v>
      </c>
      <c r="AF5" s="22">
        <f>VLOOKUP($A5,收入及其他项目!$A:$AI,MATCH(AF$1,收入及其他项目!$A$1:$AI$1,),)</f>
        <v>294.67</v>
      </c>
      <c r="AG5" s="23">
        <f t="shared" si="0"/>
        <v>8894.11</v>
      </c>
    </row>
    <row r="6" s="62" customFormat="1" ht="29" customHeight="1" spans="1:33">
      <c r="A6" s="41" t="s">
        <v>694</v>
      </c>
      <c r="B6" s="22">
        <f>VLOOKUP($A6,收入及其他项目!$A:$AI,MATCH(B$1,收入及其他项目!$A$1:$AI$1,),)</f>
        <v>187.48</v>
      </c>
      <c r="C6" s="22">
        <f>VLOOKUP($A6,收入及其他项目!$A:$AI,MATCH(C$1,收入及其他项目!$A$1:$AI$1,),)</f>
        <v>200.78</v>
      </c>
      <c r="D6" s="22">
        <f>VLOOKUP($A6,收入及其他项目!$A:$AI,MATCH(D$1,收入及其他项目!$A$1:$AI$1,),)</f>
        <v>206.82</v>
      </c>
      <c r="E6" s="22">
        <f>VLOOKUP($A6,收入及其他项目!$A:$AI,MATCH(E$1,收入及其他项目!$A$1:$AI$1,),)</f>
        <v>283.75</v>
      </c>
      <c r="F6" s="22">
        <f>VLOOKUP($A6,收入及其他项目!$A:$AI,MATCH(F$1,收入及其他项目!$A$1:$AI$1,),)</f>
        <v>249.75</v>
      </c>
      <c r="G6" s="22">
        <f>VLOOKUP($A6,收入及其他项目!$A:$AI,MATCH(G$1,收入及其他项目!$A$1:$AI$1,),)</f>
        <v>272.37</v>
      </c>
      <c r="H6" s="22">
        <f>VLOOKUP($A6,收入及其他项目!$A:$AI,MATCH(H$1,收入及其他项目!$A$1:$AI$1,),)</f>
        <v>283.89</v>
      </c>
      <c r="I6" s="22">
        <f>VLOOKUP($A6,收入及其他项目!$A:$AI,MATCH(I$1,收入及其他项目!$A$1:$AI$1,),)</f>
        <v>302.95</v>
      </c>
      <c r="J6" s="22">
        <f>VLOOKUP($A6,收入及其他项目!$A:$AI,MATCH(J$1,收入及其他项目!$A$1:$AI$1,),)</f>
        <v>292.1</v>
      </c>
      <c r="K6" s="22">
        <f>VLOOKUP($A6,收入及其他项目!$A:$AI,MATCH(K$1,收入及其他项目!$A$1:$AI$1,),)</f>
        <v>309.68</v>
      </c>
      <c r="L6" s="22">
        <f>VLOOKUP($A6,收入及其他项目!$A:$AI,MATCH(L$1,收入及其他项目!$A$1:$AI$1,),)</f>
        <v>276.6</v>
      </c>
      <c r="M6" s="22">
        <f>VLOOKUP($A6,收入及其他项目!$A:$AI,MATCH(M$1,收入及其他项目!$A$1:$AI$1,),)</f>
        <v>223.12</v>
      </c>
      <c r="N6" s="22">
        <f>VLOOKUP($A6,收入及其他项目!$A:$AI,MATCH(N$1,收入及其他项目!$A$1:$AI$1,),)</f>
        <v>209.81</v>
      </c>
      <c r="O6" s="22">
        <f>VLOOKUP($A6,收入及其他项目!$A:$AI,MATCH(O$1,收入及其他项目!$A$1:$AI$1,),)</f>
        <v>241.31</v>
      </c>
      <c r="P6" s="22">
        <f>VLOOKUP($A6,收入及其他项目!$A:$AI,MATCH(P$1,收入及其他项目!$A$1:$AI$1,),)</f>
        <v>278.15</v>
      </c>
      <c r="Q6" s="22">
        <f>VLOOKUP($A6,收入及其他项目!$A:$AI,MATCH(Q$1,收入及其他项目!$A$1:$AI$1,),)</f>
        <v>247.98</v>
      </c>
      <c r="R6" s="22">
        <f>VLOOKUP($A6,收入及其他项目!$A:$AI,MATCH(R$1,收入及其他项目!$A$1:$AI$1,),)</f>
        <v>289.72</v>
      </c>
      <c r="S6" s="22">
        <f>VLOOKUP($A6,收入及其他项目!$A:$AI,MATCH(S$1,收入及其他项目!$A$1:$AI$1,),)</f>
        <v>269.64</v>
      </c>
      <c r="T6" s="22">
        <f>VLOOKUP($A6,收入及其他项目!$A:$AI,MATCH(T$1,收入及其他项目!$A$1:$AI$1,),)</f>
        <v>217.18</v>
      </c>
      <c r="U6" s="22">
        <f>VLOOKUP($A6,收入及其他项目!$A:$AI,MATCH(U$1,收入及其他项目!$A$1:$AI$1,),)</f>
        <v>260.52</v>
      </c>
      <c r="V6" s="22">
        <f>VLOOKUP($A6,收入及其他项目!$A:$AI,MATCH(V$1,收入及其他项目!$A$1:$AI$1,),)</f>
        <v>302.63</v>
      </c>
      <c r="W6" s="22">
        <f>VLOOKUP($A6,收入及其他项目!$A:$AI,MATCH(W$1,收入及其他项目!$A$1:$AI$1,),)</f>
        <v>248.94</v>
      </c>
      <c r="X6" s="22">
        <f>VLOOKUP($A6,收入及其他项目!$A:$AI,MATCH(X$1,收入及其他项目!$A$1:$AI$1,),)</f>
        <v>252.16</v>
      </c>
      <c r="Y6" s="22">
        <f>VLOOKUP($A6,收入及其他项目!$A:$AI,MATCH(Y$1,收入及其他项目!$A$1:$AI$1,),)</f>
        <v>230.03</v>
      </c>
      <c r="Z6" s="22">
        <f>VLOOKUP($A6,收入及其他项目!$A:$AI,MATCH(Z$1,收入及其他项目!$A$1:$AI$1,),)</f>
        <v>273.81</v>
      </c>
      <c r="AA6" s="22">
        <f>VLOOKUP($A6,收入及其他项目!$A:$AI,MATCH(AA$1,收入及其他项目!$A$1:$AI$1,),)</f>
        <v>199.78</v>
      </c>
      <c r="AB6" s="22">
        <f>VLOOKUP($A6,收入及其他项目!$A:$AI,MATCH(AB$1,收入及其他项目!$A$1:$AI$1,),)</f>
        <v>239.36</v>
      </c>
      <c r="AC6" s="22">
        <f>VLOOKUP($A6,收入及其他项目!$A:$AI,MATCH(AC$1,收入及其他项目!$A$1:$AI$1,),)</f>
        <v>276.37</v>
      </c>
      <c r="AD6" s="22">
        <f>VLOOKUP($A6,收入及其他项目!$A:$AI,MATCH(AD$1,收入及其他项目!$A$1:$AI$1,),)</f>
        <v>276.55</v>
      </c>
      <c r="AE6" s="22">
        <f>VLOOKUP($A6,收入及其他项目!$A:$AI,MATCH(AE$1,收入及其他项目!$A$1:$AI$1,),)</f>
        <v>295.09</v>
      </c>
      <c r="AF6" s="22">
        <f>VLOOKUP($A6,收入及其他项目!$A:$AI,MATCH(AF$1,收入及其他项目!$A$1:$AI$1,),)</f>
        <v>294.67</v>
      </c>
      <c r="AG6" s="23">
        <f t="shared" si="0"/>
        <v>7992.99</v>
      </c>
    </row>
    <row r="7" s="62" customFormat="1" ht="29" customHeight="1" spans="1:33">
      <c r="A7" s="41" t="s">
        <v>695</v>
      </c>
      <c r="B7" s="22">
        <f>VLOOKUP($A7,收入及其他项目!$A:$AI,MATCH(B$1,收入及其他项目!$A$1:$AI$1,),)</f>
        <v>24935.05</v>
      </c>
      <c r="C7" s="22">
        <f>VLOOKUP($A7,收入及其他项目!$A:$AI,MATCH(C$1,收入及其他项目!$A$1:$AI$1,),)</f>
        <v>26704.06</v>
      </c>
      <c r="D7" s="22">
        <f>VLOOKUP($A7,收入及其他项目!$A:$AI,MATCH(D$1,收入及其他项目!$A$1:$AI$1,),)</f>
        <v>27506.44</v>
      </c>
      <c r="E7" s="22">
        <f>VLOOKUP($A7,收入及其他项目!$A:$AI,MATCH(E$1,收入及其他项目!$A$1:$AI$1,),)</f>
        <v>37739.01</v>
      </c>
      <c r="F7" s="22">
        <f>VLOOKUP($A7,收入及其他项目!$A:$AI,MATCH(F$1,收入及其他项目!$A$1:$AI$1,),)</f>
        <v>33216.14</v>
      </c>
      <c r="G7" s="22">
        <f>VLOOKUP($A7,收入及其他项目!$A:$AI,MATCH(G$1,收入及其他项目!$A$1:$AI$1,),)</f>
        <v>36225.48</v>
      </c>
      <c r="H7" s="22">
        <f>VLOOKUP($A7,收入及其他项目!$A:$AI,MATCH(H$1,收入及其他项目!$A$1:$AI$1,),)</f>
        <v>37756.83</v>
      </c>
      <c r="I7" s="22">
        <f>VLOOKUP($A7,收入及其他项目!$A:$AI,MATCH(I$1,收入及其他项目!$A$1:$AI$1,),)</f>
        <v>40292.32</v>
      </c>
      <c r="J7" s="22">
        <f>VLOOKUP($A7,收入及其他项目!$A:$AI,MATCH(J$1,收入及其他项目!$A$1:$AI$1,),)</f>
        <v>38849.19</v>
      </c>
      <c r="K7" s="22">
        <f>VLOOKUP($A7,收入及其他项目!$A:$AI,MATCH(K$1,收入及其他项目!$A$1:$AI$1,),)</f>
        <v>41187.14</v>
      </c>
      <c r="L7" s="22">
        <f>VLOOKUP($A7,收入及其他项目!$A:$AI,MATCH(L$1,收入及其他项目!$A$1:$AI$1,),)</f>
        <v>38787.98</v>
      </c>
      <c r="M7" s="22">
        <f>VLOOKUP($A7,收入及其他项目!$A:$AI,MATCH(M$1,收入及其他项目!$A$1:$AI$1,),)</f>
        <v>29674.96</v>
      </c>
      <c r="N7" s="22">
        <f>VLOOKUP($A7,收入及其他项目!$A:$AI,MATCH(N$1,收入及其他项目!$A$1:$AI$1,),)</f>
        <v>27694.96</v>
      </c>
      <c r="O7" s="22">
        <f>VLOOKUP($A7,收入及其他项目!$A:$AI,MATCH(O$1,收入及其他项目!$A$1:$AI$1,),)</f>
        <v>32093.75</v>
      </c>
      <c r="P7" s="22">
        <f>VLOOKUP($A7,收入及其他项目!$A:$AI,MATCH(P$1,收入及其他项目!$A$1:$AI$1,),)</f>
        <v>36994.05</v>
      </c>
      <c r="Q7" s="22">
        <f>VLOOKUP($A7,收入及其他项目!$A:$AI,MATCH(Q$1,收入及其他项目!$A$1:$AI$1,),)</f>
        <v>32980.74</v>
      </c>
      <c r="R7" s="22">
        <f>VLOOKUP($A7,收入及其他项目!$A:$AI,MATCH(R$1,收入及其他项目!$A$1:$AI$1,),)</f>
        <v>38532.45</v>
      </c>
      <c r="S7" s="22">
        <f>VLOOKUP($A7,收入及其他项目!$A:$AI,MATCH(S$1,收入及其他项目!$A$1:$AI$1,),)</f>
        <v>35862.66</v>
      </c>
      <c r="T7" s="22">
        <f>VLOOKUP($A7,收入及其他项目!$A:$AI,MATCH(T$1,收入及其他项目!$A$1:$AI$1,),)</f>
        <v>28884.98</v>
      </c>
      <c r="U7" s="22">
        <f>VLOOKUP($A7,收入及其他项目!$A:$AI,MATCH(U$1,收入及其他项目!$A$1:$AI$1,),)</f>
        <v>34649.23</v>
      </c>
      <c r="V7" s="22">
        <f>VLOOKUP($A7,收入及其他项目!$A:$AI,MATCH(V$1,收入及其他项目!$A$1:$AI$1,),)</f>
        <v>40249.85</v>
      </c>
      <c r="W7" s="22">
        <f>VLOOKUP($A7,收入及其他项目!$A:$AI,MATCH(W$1,收入及其他项目!$A$1:$AI$1,),)</f>
        <v>3109.19</v>
      </c>
      <c r="X7" s="22">
        <f>VLOOKUP($A7,收入及其他项目!$A:$AI,MATCH(X$1,收入及其他项目!$A$1:$AI$1,),)</f>
        <v>33537.93</v>
      </c>
      <c r="Y7" s="22">
        <f>VLOOKUP($A7,收入及其他项目!$A:$AI,MATCH(Y$1,收入及其他项目!$A$1:$AI$1,),)</f>
        <v>30593.61</v>
      </c>
      <c r="Z7" s="22">
        <f>VLOOKUP($A7,收入及其他项目!$A:$AI,MATCH(Z$1,收入及其他项目!$A$1:$AI$1,),)</f>
        <v>35595.26</v>
      </c>
      <c r="AA7" s="22">
        <f>VLOOKUP($A7,收入及其他项目!$A:$AI,MATCH(AA$1,收入及其他项目!$A$1:$AI$1,),)</f>
        <v>26171.71</v>
      </c>
      <c r="AB7" s="22">
        <f>VLOOKUP($A7,收入及其他项目!$A:$AI,MATCH(AB$1,收入及其他项目!$A$1:$AI$1,),)</f>
        <v>31835.1</v>
      </c>
      <c r="AC7" s="22">
        <f>VLOOKUP($A7,收入及其他项目!$A:$AI,MATCH(AC$1,收入及其他项目!$A$1:$AI$1,),)</f>
        <v>36757.67</v>
      </c>
      <c r="AD7" s="22">
        <f>VLOOKUP($A7,收入及其他项目!$A:$AI,MATCH(AD$1,收入及其他项目!$A$1:$AI$1,),)</f>
        <v>36781.17</v>
      </c>
      <c r="AE7" s="22">
        <f>VLOOKUP($A7,收入及其他项目!$A:$AI,MATCH(AE$1,收入及其他项目!$A$1:$AI$1,),)</f>
        <v>39247.54</v>
      </c>
      <c r="AF7" s="22">
        <f>VLOOKUP($A7,收入及其他项目!$A:$AI,MATCH(AF$1,收入及其他项目!$A$1:$AI$1,),)</f>
        <v>296.88</v>
      </c>
      <c r="AG7" s="23">
        <f t="shared" si="0"/>
        <v>994743.33</v>
      </c>
    </row>
    <row r="8" s="62" customFormat="1" ht="29" customHeight="1" spans="1:33">
      <c r="A8" s="41" t="s">
        <v>696</v>
      </c>
      <c r="B8" s="22">
        <f>VLOOKUP($A8,收入及其他项目!$A:$AI,MATCH(B$1,收入及其他项目!$A$1:$AI$1,),)</f>
        <v>0</v>
      </c>
      <c r="C8" s="22">
        <f>VLOOKUP($A8,收入及其他项目!$A:$AI,MATCH(C$1,收入及其他项目!$A$1:$AI$1,),)</f>
        <v>0</v>
      </c>
      <c r="D8" s="22">
        <f>VLOOKUP($A8,收入及其他项目!$A:$AI,MATCH(D$1,收入及其他项目!$A$1:$AI$1,),)</f>
        <v>0</v>
      </c>
      <c r="E8" s="22">
        <f>VLOOKUP($A8,收入及其他项目!$A:$AI,MATCH(E$1,收入及其他项目!$A$1:$AI$1,),)</f>
        <v>0</v>
      </c>
      <c r="F8" s="22">
        <f>VLOOKUP($A8,收入及其他项目!$A:$AI,MATCH(F$1,收入及其他项目!$A$1:$AI$1,),)</f>
        <v>0</v>
      </c>
      <c r="G8" s="22">
        <f>VLOOKUP($A8,收入及其他项目!$A:$AI,MATCH(G$1,收入及其他项目!$A$1:$AI$1,),)</f>
        <v>0</v>
      </c>
      <c r="H8" s="22">
        <f>VLOOKUP($A8,收入及其他项目!$A:$AI,MATCH(H$1,收入及其他项目!$A$1:$AI$1,),)</f>
        <v>0</v>
      </c>
      <c r="I8" s="22">
        <f>VLOOKUP($A8,收入及其他项目!$A:$AI,MATCH(I$1,收入及其他项目!$A$1:$AI$1,),)</f>
        <v>0</v>
      </c>
      <c r="J8" s="22">
        <f>VLOOKUP($A8,收入及其他项目!$A:$AI,MATCH(J$1,收入及其他项目!$A$1:$AI$1,),)</f>
        <v>0</v>
      </c>
      <c r="K8" s="22">
        <f>VLOOKUP($A8,收入及其他项目!$A:$AI,MATCH(K$1,收入及其他项目!$A$1:$AI$1,),)</f>
        <v>0</v>
      </c>
      <c r="L8" s="22">
        <f>VLOOKUP($A8,收入及其他项目!$A:$AI,MATCH(L$1,收入及其他项目!$A$1:$AI$1,),)</f>
        <v>0</v>
      </c>
      <c r="M8" s="22">
        <f>VLOOKUP($A8,收入及其他项目!$A:$AI,MATCH(M$1,收入及其他项目!$A$1:$AI$1,),)</f>
        <v>0</v>
      </c>
      <c r="N8" s="22">
        <f>VLOOKUP($A8,收入及其他项目!$A:$AI,MATCH(N$1,收入及其他项目!$A$1:$AI$1,),)</f>
        <v>0</v>
      </c>
      <c r="O8" s="22">
        <f>VLOOKUP($A8,收入及其他项目!$A:$AI,MATCH(O$1,收入及其他项目!$A$1:$AI$1,),)</f>
        <v>0</v>
      </c>
      <c r="P8" s="22">
        <f>VLOOKUP($A8,收入及其他项目!$A:$AI,MATCH(P$1,收入及其他项目!$A$1:$AI$1,),)</f>
        <v>0</v>
      </c>
      <c r="Q8" s="22">
        <f>VLOOKUP($A8,收入及其他项目!$A:$AI,MATCH(Q$1,收入及其他项目!$A$1:$AI$1,),)</f>
        <v>0</v>
      </c>
      <c r="R8" s="22">
        <f>VLOOKUP($A8,收入及其他项目!$A:$AI,MATCH(R$1,收入及其他项目!$A$1:$AI$1,),)</f>
        <v>0</v>
      </c>
      <c r="S8" s="22">
        <f>VLOOKUP($A8,收入及其他项目!$A:$AI,MATCH(S$1,收入及其他项目!$A$1:$AI$1,),)</f>
        <v>0</v>
      </c>
      <c r="T8" s="22">
        <f>VLOOKUP($A8,收入及其他项目!$A:$AI,MATCH(T$1,收入及其他项目!$A$1:$AI$1,),)</f>
        <v>0</v>
      </c>
      <c r="U8" s="22">
        <f>VLOOKUP($A8,收入及其他项目!$A:$AI,MATCH(U$1,收入及其他项目!$A$1:$AI$1,),)</f>
        <v>0</v>
      </c>
      <c r="V8" s="22">
        <f>VLOOKUP($A8,收入及其他项目!$A:$AI,MATCH(V$1,收入及其他项目!$A$1:$AI$1,),)</f>
        <v>0</v>
      </c>
      <c r="W8" s="22">
        <f>VLOOKUP($A8,收入及其他项目!$A:$AI,MATCH(W$1,收入及其他项目!$A$1:$AI$1,),)</f>
        <v>0</v>
      </c>
      <c r="X8" s="22">
        <f>VLOOKUP($A8,收入及其他项目!$A:$AI,MATCH(X$1,收入及其他项目!$A$1:$AI$1,),)</f>
        <v>0</v>
      </c>
      <c r="Y8" s="22">
        <f>VLOOKUP($A8,收入及其他项目!$A:$AI,MATCH(Y$1,收入及其他项目!$A$1:$AI$1,),)</f>
        <v>0</v>
      </c>
      <c r="Z8" s="22">
        <f>VLOOKUP($A8,收入及其他项目!$A:$AI,MATCH(Z$1,收入及其他项目!$A$1:$AI$1,),)</f>
        <v>0</v>
      </c>
      <c r="AA8" s="22">
        <f>VLOOKUP($A8,收入及其他项目!$A:$AI,MATCH(AA$1,收入及其他项目!$A$1:$AI$1,),)</f>
        <v>0</v>
      </c>
      <c r="AB8" s="22">
        <f>VLOOKUP($A8,收入及其他项目!$A:$AI,MATCH(AB$1,收入及其他项目!$A$1:$AI$1,),)</f>
        <v>0</v>
      </c>
      <c r="AC8" s="22">
        <f>VLOOKUP($A8,收入及其他项目!$A:$AI,MATCH(AC$1,收入及其他项目!$A$1:$AI$1,),)</f>
        <v>0</v>
      </c>
      <c r="AD8" s="22">
        <f>VLOOKUP($A8,收入及其他项目!$A:$AI,MATCH(AD$1,收入及其他项目!$A$1:$AI$1,),)</f>
        <v>0</v>
      </c>
      <c r="AE8" s="22">
        <f>VLOOKUP($A8,收入及其他项目!$A:$AI,MATCH(AE$1,收入及其他项目!$A$1:$AI$1,),)</f>
        <v>0</v>
      </c>
      <c r="AF8" s="22">
        <f>VLOOKUP($A8,收入及其他项目!$A:$AI,MATCH(AF$1,收入及其他项目!$A$1:$AI$1,),)</f>
        <v>0</v>
      </c>
      <c r="AG8" s="23">
        <f t="shared" si="0"/>
        <v>0</v>
      </c>
    </row>
    <row r="9" s="62" customFormat="1" ht="29" customHeight="1" spans="1:33">
      <c r="A9" s="41" t="s">
        <v>697</v>
      </c>
      <c r="B9" s="22">
        <f>VLOOKUP($A9,收入及其他项目!$A:$AI,MATCH(B$1,收入及其他项目!$A$1:$AI$1,),)</f>
        <v>0</v>
      </c>
      <c r="C9" s="22">
        <f>VLOOKUP($A9,收入及其他项目!$A:$AI,MATCH(C$1,收入及其他项目!$A$1:$AI$1,),)</f>
        <v>0</v>
      </c>
      <c r="D9" s="22">
        <f>VLOOKUP($A9,收入及其他项目!$A:$AI,MATCH(D$1,收入及其他项目!$A$1:$AI$1,),)</f>
        <v>0</v>
      </c>
      <c r="E9" s="22">
        <f>VLOOKUP($A9,收入及其他项目!$A:$AI,MATCH(E$1,收入及其他项目!$A$1:$AI$1,),)</f>
        <v>0</v>
      </c>
      <c r="F9" s="22">
        <f>VLOOKUP($A9,收入及其他项目!$A:$AI,MATCH(F$1,收入及其他项目!$A$1:$AI$1,),)</f>
        <v>0</v>
      </c>
      <c r="G9" s="22">
        <f>VLOOKUP($A9,收入及其他项目!$A:$AI,MATCH(G$1,收入及其他项目!$A$1:$AI$1,),)</f>
        <v>0</v>
      </c>
      <c r="H9" s="22">
        <f>VLOOKUP($A9,收入及其他项目!$A:$AI,MATCH(H$1,收入及其他项目!$A$1:$AI$1,),)</f>
        <v>0</v>
      </c>
      <c r="I9" s="22">
        <f>VLOOKUP($A9,收入及其他项目!$A:$AI,MATCH(I$1,收入及其他项目!$A$1:$AI$1,),)</f>
        <v>0</v>
      </c>
      <c r="J9" s="22">
        <f>VLOOKUP($A9,收入及其他项目!$A:$AI,MATCH(J$1,收入及其他项目!$A$1:$AI$1,),)</f>
        <v>0</v>
      </c>
      <c r="K9" s="22">
        <f>VLOOKUP($A9,收入及其他项目!$A:$AI,MATCH(K$1,收入及其他项目!$A$1:$AI$1,),)</f>
        <v>0</v>
      </c>
      <c r="L9" s="22">
        <f>VLOOKUP($A9,收入及其他项目!$A:$AI,MATCH(L$1,收入及其他项目!$A$1:$AI$1,),)</f>
        <v>0</v>
      </c>
      <c r="M9" s="22">
        <f>VLOOKUP($A9,收入及其他项目!$A:$AI,MATCH(M$1,收入及其他项目!$A$1:$AI$1,),)</f>
        <v>0</v>
      </c>
      <c r="N9" s="22">
        <f>VLOOKUP($A9,收入及其他项目!$A:$AI,MATCH(N$1,收入及其他项目!$A$1:$AI$1,),)</f>
        <v>0</v>
      </c>
      <c r="O9" s="22">
        <f>VLOOKUP($A9,收入及其他项目!$A:$AI,MATCH(O$1,收入及其他项目!$A$1:$AI$1,),)</f>
        <v>0</v>
      </c>
      <c r="P9" s="22">
        <f>VLOOKUP($A9,收入及其他项目!$A:$AI,MATCH(P$1,收入及其他项目!$A$1:$AI$1,),)</f>
        <v>0</v>
      </c>
      <c r="Q9" s="22">
        <f>VLOOKUP($A9,收入及其他项目!$A:$AI,MATCH(Q$1,收入及其他项目!$A$1:$AI$1,),)</f>
        <v>0</v>
      </c>
      <c r="R9" s="22">
        <f>VLOOKUP($A9,收入及其他项目!$A:$AI,MATCH(R$1,收入及其他项目!$A$1:$AI$1,),)</f>
        <v>0</v>
      </c>
      <c r="S9" s="22">
        <f>VLOOKUP($A9,收入及其他项目!$A:$AI,MATCH(S$1,收入及其他项目!$A$1:$AI$1,),)</f>
        <v>0</v>
      </c>
      <c r="T9" s="22">
        <f>VLOOKUP($A9,收入及其他项目!$A:$AI,MATCH(T$1,收入及其他项目!$A$1:$AI$1,),)</f>
        <v>0</v>
      </c>
      <c r="U9" s="22">
        <f>VLOOKUP($A9,收入及其他项目!$A:$AI,MATCH(U$1,收入及其他项目!$A$1:$AI$1,),)</f>
        <v>0</v>
      </c>
      <c r="V9" s="22">
        <f>VLOOKUP($A9,收入及其他项目!$A:$AI,MATCH(V$1,收入及其他项目!$A$1:$AI$1,),)</f>
        <v>0</v>
      </c>
      <c r="W9" s="22">
        <f>VLOOKUP($A9,收入及其他项目!$A:$AI,MATCH(W$1,收入及其他项目!$A$1:$AI$1,),)</f>
        <v>0</v>
      </c>
      <c r="X9" s="22">
        <f>VLOOKUP($A9,收入及其他项目!$A:$AI,MATCH(X$1,收入及其他项目!$A$1:$AI$1,),)</f>
        <v>0</v>
      </c>
      <c r="Y9" s="22">
        <f>VLOOKUP($A9,收入及其他项目!$A:$AI,MATCH(Y$1,收入及其他项目!$A$1:$AI$1,),)</f>
        <v>0</v>
      </c>
      <c r="Z9" s="22">
        <f>VLOOKUP($A9,收入及其他项目!$A:$AI,MATCH(Z$1,收入及其他项目!$A$1:$AI$1,),)</f>
        <v>0</v>
      </c>
      <c r="AA9" s="22">
        <f>VLOOKUP($A9,收入及其他项目!$A:$AI,MATCH(AA$1,收入及其他项目!$A$1:$AI$1,),)</f>
        <v>0</v>
      </c>
      <c r="AB9" s="22">
        <f>VLOOKUP($A9,收入及其他项目!$A:$AI,MATCH(AB$1,收入及其他项目!$A$1:$AI$1,),)</f>
        <v>0</v>
      </c>
      <c r="AC9" s="22">
        <f>VLOOKUP($A9,收入及其他项目!$A:$AI,MATCH(AC$1,收入及其他项目!$A$1:$AI$1,),)</f>
        <v>0</v>
      </c>
      <c r="AD9" s="22">
        <f>VLOOKUP($A9,收入及其他项目!$A:$AI,MATCH(AD$1,收入及其他项目!$A$1:$AI$1,),)</f>
        <v>0</v>
      </c>
      <c r="AE9" s="22">
        <f>VLOOKUP($A9,收入及其他项目!$A:$AI,MATCH(AE$1,收入及其他项目!$A$1:$AI$1,),)</f>
        <v>0</v>
      </c>
      <c r="AF9" s="22">
        <f>VLOOKUP($A9,收入及其他项目!$A:$AI,MATCH(AF$1,收入及其他项目!$A$1:$AI$1,),)</f>
        <v>0</v>
      </c>
      <c r="AG9" s="23">
        <f t="shared" si="0"/>
        <v>0</v>
      </c>
    </row>
    <row r="10" s="62" customFormat="1" ht="29" customHeight="1" spans="1:33">
      <c r="A10" s="41" t="s">
        <v>698</v>
      </c>
      <c r="B10" s="22">
        <f>VLOOKUP($A10,收入及其他项目!$A:$AI,MATCH(B$1,收入及其他项目!$A$1:$AI$1,),)</f>
        <v>0</v>
      </c>
      <c r="C10" s="22">
        <f>VLOOKUP($A10,收入及其他项目!$A:$AI,MATCH(C$1,收入及其他项目!$A$1:$AI$1,),)</f>
        <v>0</v>
      </c>
      <c r="D10" s="22">
        <f>VLOOKUP($A10,收入及其他项目!$A:$AI,MATCH(D$1,收入及其他项目!$A$1:$AI$1,),)</f>
        <v>0</v>
      </c>
      <c r="E10" s="22">
        <f>VLOOKUP($A10,收入及其他项目!$A:$AI,MATCH(E$1,收入及其他项目!$A$1:$AI$1,),)</f>
        <v>0</v>
      </c>
      <c r="F10" s="22">
        <f>VLOOKUP($A10,收入及其他项目!$A:$AI,MATCH(F$1,收入及其他项目!$A$1:$AI$1,),)</f>
        <v>0</v>
      </c>
      <c r="G10" s="22">
        <f>VLOOKUP($A10,收入及其他项目!$A:$AI,MATCH(G$1,收入及其他项目!$A$1:$AI$1,),)</f>
        <v>0</v>
      </c>
      <c r="H10" s="22">
        <f>VLOOKUP($A10,收入及其他项目!$A:$AI,MATCH(H$1,收入及其他项目!$A$1:$AI$1,),)</f>
        <v>0</v>
      </c>
      <c r="I10" s="22">
        <f>VLOOKUP($A10,收入及其他项目!$A:$AI,MATCH(I$1,收入及其他项目!$A$1:$AI$1,),)</f>
        <v>0</v>
      </c>
      <c r="J10" s="22">
        <f>VLOOKUP($A10,收入及其他项目!$A:$AI,MATCH(J$1,收入及其他项目!$A$1:$AI$1,),)</f>
        <v>0</v>
      </c>
      <c r="K10" s="22">
        <f>VLOOKUP($A10,收入及其他项目!$A:$AI,MATCH(K$1,收入及其他项目!$A$1:$AI$1,),)</f>
        <v>0</v>
      </c>
      <c r="L10" s="22">
        <f>VLOOKUP($A10,收入及其他项目!$A:$AI,MATCH(L$1,收入及其他项目!$A$1:$AI$1,),)</f>
        <v>0</v>
      </c>
      <c r="M10" s="22">
        <f>VLOOKUP($A10,收入及其他项目!$A:$AI,MATCH(M$1,收入及其他项目!$A$1:$AI$1,),)</f>
        <v>0</v>
      </c>
      <c r="N10" s="22">
        <f>VLOOKUP($A10,收入及其他项目!$A:$AI,MATCH(N$1,收入及其他项目!$A$1:$AI$1,),)</f>
        <v>0</v>
      </c>
      <c r="O10" s="22">
        <f>VLOOKUP($A10,收入及其他项目!$A:$AI,MATCH(O$1,收入及其他项目!$A$1:$AI$1,),)</f>
        <v>0</v>
      </c>
      <c r="P10" s="22">
        <f>VLOOKUP($A10,收入及其他项目!$A:$AI,MATCH(P$1,收入及其他项目!$A$1:$AI$1,),)</f>
        <v>0</v>
      </c>
      <c r="Q10" s="22">
        <f>VLOOKUP($A10,收入及其他项目!$A:$AI,MATCH(Q$1,收入及其他项目!$A$1:$AI$1,),)</f>
        <v>0</v>
      </c>
      <c r="R10" s="22">
        <f>VLOOKUP($A10,收入及其他项目!$A:$AI,MATCH(R$1,收入及其他项目!$A$1:$AI$1,),)</f>
        <v>0</v>
      </c>
      <c r="S10" s="22">
        <f>VLOOKUP($A10,收入及其他项目!$A:$AI,MATCH(S$1,收入及其他项目!$A$1:$AI$1,),)</f>
        <v>0</v>
      </c>
      <c r="T10" s="22">
        <f>VLOOKUP($A10,收入及其他项目!$A:$AI,MATCH(T$1,收入及其他项目!$A$1:$AI$1,),)</f>
        <v>0</v>
      </c>
      <c r="U10" s="22">
        <f>VLOOKUP($A10,收入及其他项目!$A:$AI,MATCH(U$1,收入及其他项目!$A$1:$AI$1,),)</f>
        <v>0</v>
      </c>
      <c r="V10" s="22">
        <f>VLOOKUP($A10,收入及其他项目!$A:$AI,MATCH(V$1,收入及其他项目!$A$1:$AI$1,),)</f>
        <v>0</v>
      </c>
      <c r="W10" s="22">
        <f>VLOOKUP($A10,收入及其他项目!$A:$AI,MATCH(W$1,收入及其他项目!$A$1:$AI$1,),)</f>
        <v>0</v>
      </c>
      <c r="X10" s="22">
        <f>VLOOKUP($A10,收入及其他项目!$A:$AI,MATCH(X$1,收入及其他项目!$A$1:$AI$1,),)</f>
        <v>0</v>
      </c>
      <c r="Y10" s="22">
        <f>VLOOKUP($A10,收入及其他项目!$A:$AI,MATCH(Y$1,收入及其他项目!$A$1:$AI$1,),)</f>
        <v>0</v>
      </c>
      <c r="Z10" s="22">
        <f>VLOOKUP($A10,收入及其他项目!$A:$AI,MATCH(Z$1,收入及其他项目!$A$1:$AI$1,),)</f>
        <v>0</v>
      </c>
      <c r="AA10" s="22">
        <f>VLOOKUP($A10,收入及其他项目!$A:$AI,MATCH(AA$1,收入及其他项目!$A$1:$AI$1,),)</f>
        <v>0</v>
      </c>
      <c r="AB10" s="22">
        <f>VLOOKUP($A10,收入及其他项目!$A:$AI,MATCH(AB$1,收入及其他项目!$A$1:$AI$1,),)</f>
        <v>0</v>
      </c>
      <c r="AC10" s="22">
        <f>VLOOKUP($A10,收入及其他项目!$A:$AI,MATCH(AC$1,收入及其他项目!$A$1:$AI$1,),)</f>
        <v>0</v>
      </c>
      <c r="AD10" s="22">
        <f>VLOOKUP($A10,收入及其他项目!$A:$AI,MATCH(AD$1,收入及其他项目!$A$1:$AI$1,),)</f>
        <v>0</v>
      </c>
      <c r="AE10" s="22">
        <f>VLOOKUP($A10,收入及其他项目!$A:$AI,MATCH(AE$1,收入及其他项目!$A$1:$AI$1,),)</f>
        <v>0</v>
      </c>
      <c r="AF10" s="22">
        <f>VLOOKUP($A10,收入及其他项目!$A:$AI,MATCH(AF$1,收入及其他项目!$A$1:$AI$1,),)</f>
        <v>0</v>
      </c>
      <c r="AG10" s="23">
        <f t="shared" si="0"/>
        <v>0</v>
      </c>
    </row>
    <row r="11" s="62" customFormat="1" customHeight="1" spans="1:33">
      <c r="A11" s="63" t="s">
        <v>709</v>
      </c>
      <c r="B11" s="63">
        <f t="shared" ref="B11:AG11" si="1">SUM(B7:B10)</f>
        <v>24935.05</v>
      </c>
      <c r="C11" s="63">
        <f t="shared" si="1"/>
        <v>26704.06</v>
      </c>
      <c r="D11" s="63">
        <f t="shared" si="1"/>
        <v>27506.44</v>
      </c>
      <c r="E11" s="63">
        <f t="shared" si="1"/>
        <v>37739.01</v>
      </c>
      <c r="F11" s="63">
        <f t="shared" si="1"/>
        <v>33216.14</v>
      </c>
      <c r="G11" s="63">
        <f t="shared" si="1"/>
        <v>36225.48</v>
      </c>
      <c r="H11" s="63">
        <f t="shared" si="1"/>
        <v>37756.83</v>
      </c>
      <c r="I11" s="63">
        <f t="shared" si="1"/>
        <v>40292.32</v>
      </c>
      <c r="J11" s="63">
        <f t="shared" si="1"/>
        <v>38849.19</v>
      </c>
      <c r="K11" s="63">
        <f t="shared" si="1"/>
        <v>41187.14</v>
      </c>
      <c r="L11" s="63">
        <f t="shared" si="1"/>
        <v>38787.98</v>
      </c>
      <c r="M11" s="63">
        <f t="shared" si="1"/>
        <v>29674.96</v>
      </c>
      <c r="N11" s="63">
        <f t="shared" si="1"/>
        <v>27694.96</v>
      </c>
      <c r="O11" s="63">
        <f t="shared" si="1"/>
        <v>32093.75</v>
      </c>
      <c r="P11" s="63">
        <f t="shared" si="1"/>
        <v>36994.05</v>
      </c>
      <c r="Q11" s="63">
        <f t="shared" si="1"/>
        <v>32980.74</v>
      </c>
      <c r="R11" s="63">
        <f t="shared" si="1"/>
        <v>38532.45</v>
      </c>
      <c r="S11" s="63">
        <f t="shared" si="1"/>
        <v>35862.66</v>
      </c>
      <c r="T11" s="63">
        <f t="shared" si="1"/>
        <v>28884.98</v>
      </c>
      <c r="U11" s="63">
        <f t="shared" si="1"/>
        <v>34649.23</v>
      </c>
      <c r="V11" s="63">
        <f t="shared" si="1"/>
        <v>40249.85</v>
      </c>
      <c r="W11" s="63">
        <f t="shared" si="1"/>
        <v>3109.19</v>
      </c>
      <c r="X11" s="63">
        <f t="shared" si="1"/>
        <v>33537.93</v>
      </c>
      <c r="Y11" s="63">
        <f t="shared" si="1"/>
        <v>30593.61</v>
      </c>
      <c r="Z11" s="63">
        <f t="shared" si="1"/>
        <v>35595.26</v>
      </c>
      <c r="AA11" s="63">
        <f t="shared" si="1"/>
        <v>26171.71</v>
      </c>
      <c r="AB11" s="63">
        <f t="shared" si="1"/>
        <v>31835.1</v>
      </c>
      <c r="AC11" s="63">
        <f t="shared" si="1"/>
        <v>36757.67</v>
      </c>
      <c r="AD11" s="63">
        <f t="shared" si="1"/>
        <v>36781.17</v>
      </c>
      <c r="AE11" s="63">
        <f t="shared" si="1"/>
        <v>39247.54</v>
      </c>
      <c r="AF11" s="63">
        <f t="shared" si="1"/>
        <v>296.88</v>
      </c>
      <c r="AG11" s="64">
        <f t="shared" si="1"/>
        <v>994743.33</v>
      </c>
    </row>
    <row r="12" s="12" customFormat="1" customHeight="1" spans="1:33">
      <c r="A12" s="10" t="s">
        <v>710</v>
      </c>
      <c r="B12" s="22">
        <f>INDEX(客房耗材成本呈现!$N$61:$BW$61,COLUMN(客房耗材成本呈现!A1)*2)</f>
        <v>1047.194</v>
      </c>
      <c r="C12" s="22">
        <f>INDEX(客房耗材成本呈现!$N$61:$BW$61,COLUMN(客房耗材成本呈现!B1)*2)</f>
        <v>1073.099</v>
      </c>
      <c r="D12" s="22">
        <f>INDEX(客房耗材成本呈现!$N$61:$BW$61,COLUMN(客房耗材成本呈现!C1)*2)</f>
        <v>1576.884</v>
      </c>
      <c r="E12" s="22">
        <f>INDEX(客房耗材成本呈现!$N$61:$BW$61,COLUMN(客房耗材成本呈现!D1)*2)</f>
        <v>1071.937</v>
      </c>
      <c r="F12" s="22">
        <f>INDEX(客房耗材成本呈现!$N$61:$BW$61,COLUMN(客房耗材成本呈现!E1)*2)</f>
        <v>1182.254</v>
      </c>
      <c r="G12" s="22">
        <f>INDEX(客房耗材成本呈现!$N$61:$BW$61,COLUMN(客房耗材成本呈现!F1)*2)</f>
        <v>1138.791</v>
      </c>
      <c r="H12" s="22">
        <f>INDEX(客房耗材成本呈现!$N$61:$BW$61,COLUMN(客房耗材成本呈现!G1)*2)</f>
        <v>1178.481</v>
      </c>
      <c r="I12" s="22">
        <f>INDEX(客房耗材成本呈现!$N$61:$BW$61,COLUMN(客房耗材成本呈现!H1)*2)</f>
        <v>1120.785</v>
      </c>
      <c r="J12" s="22">
        <f>INDEX(客房耗材成本呈现!$N$61:$BW$61,COLUMN(客房耗材成本呈现!I1)*2)</f>
        <v>1150.335</v>
      </c>
      <c r="K12" s="22">
        <f>INDEX(客房耗材成本呈现!$N$61:$BW$61,COLUMN(客房耗材成本呈现!J1)*2)</f>
        <v>1174.465</v>
      </c>
      <c r="L12" s="22">
        <f>INDEX(客房耗材成本呈现!$N$61:$BW$61,COLUMN(客房耗材成本呈现!K1)*2)</f>
        <v>1240.852</v>
      </c>
      <c r="M12" s="22">
        <f>INDEX(客房耗材成本呈现!$N$61:$BW$61,COLUMN(客房耗材成本呈现!L1)*2)</f>
        <v>1181.257</v>
      </c>
      <c r="N12" s="22">
        <f>INDEX(客房耗材成本呈现!$N$61:$BW$61,COLUMN(客房耗材成本呈现!M1)*2)</f>
        <v>1338.223</v>
      </c>
      <c r="O12" s="22">
        <f>INDEX(客房耗材成本呈现!$N$61:$BW$61,COLUMN(客房耗材成本呈现!N1)*2)</f>
        <v>1447.411</v>
      </c>
      <c r="P12" s="22">
        <f>INDEX(客房耗材成本呈现!$N$61:$BW$61,COLUMN(客房耗材成本呈现!O1)*2)</f>
        <v>1392.47</v>
      </c>
      <c r="Q12" s="22">
        <f>INDEX(客房耗材成本呈现!$N$61:$BW$61,COLUMN(客房耗材成本呈现!P1)*2)</f>
        <v>1397.19</v>
      </c>
      <c r="R12" s="22">
        <f>INDEX(客房耗材成本呈现!$N$61:$BW$61,COLUMN(客房耗材成本呈现!Q1)*2)</f>
        <v>1321.543</v>
      </c>
      <c r="S12" s="22">
        <f>INDEX(客房耗材成本呈现!$N$61:$BW$61,COLUMN(客房耗材成本呈现!R1)*2)</f>
        <v>1474.571</v>
      </c>
      <c r="T12" s="22">
        <f>INDEX(客房耗材成本呈现!$N$61:$BW$61,COLUMN(客房耗材成本呈现!S1)*2)</f>
        <v>1361.347</v>
      </c>
      <c r="U12" s="22">
        <f>INDEX(客房耗材成本呈现!$N$61:$BW$61,COLUMN(客房耗材成本呈现!T1)*2)</f>
        <v>1529.443</v>
      </c>
      <c r="V12" s="22">
        <f>INDEX(客房耗材成本呈现!$N$61:$BW$61,COLUMN(客房耗材成本呈现!U1)*2)</f>
        <v>1463.644</v>
      </c>
      <c r="W12" s="22">
        <f>INDEX(客房耗材成本呈现!$N$61:$BW$61,COLUMN(客房耗材成本呈现!V1)*2)</f>
        <v>1411.837</v>
      </c>
      <c r="X12" s="22">
        <f>INDEX(客房耗材成本呈现!$N$61:$BW$61,COLUMN(客房耗材成本呈现!W1)*2)</f>
        <v>1503.361</v>
      </c>
      <c r="Y12" s="22">
        <f>INDEX(客房耗材成本呈现!$N$61:$BW$61,COLUMN(客房耗材成本呈现!X1)*2)</f>
        <v>1406.317</v>
      </c>
      <c r="Z12" s="22">
        <f>INDEX(客房耗材成本呈现!$N$61:$BW$61,COLUMN(客房耗材成本呈现!Y1)*2)</f>
        <v>1439.955</v>
      </c>
      <c r="AA12" s="22">
        <f>INDEX(客房耗材成本呈现!$N$61:$BW$61,COLUMN(客房耗材成本呈现!Z1)*2)</f>
        <v>1299.939</v>
      </c>
      <c r="AB12" s="22">
        <f>INDEX(客房耗材成本呈现!$N$61:$BW$61,COLUMN(客房耗材成本呈现!AA1)*2)</f>
        <v>1415.706</v>
      </c>
      <c r="AC12" s="22">
        <f>INDEX(客房耗材成本呈现!$N$61:$BW$61,COLUMN(客房耗材成本呈现!AB1)*2)</f>
        <v>1377.873</v>
      </c>
      <c r="AD12" s="22">
        <f>INDEX(客房耗材成本呈现!$N$61:$BW$61,COLUMN(客房耗材成本呈现!AC1)*2)</f>
        <v>1715.802</v>
      </c>
      <c r="AE12" s="22">
        <f>INDEX(客房耗材成本呈现!$N$61:$BW$61,COLUMN(客房耗材成本呈现!AD1)*2)</f>
        <v>1602.453</v>
      </c>
      <c r="AF12" s="22">
        <f>INDEX(客房耗材成本呈现!$N$61:$BW$61,COLUMN(客房耗材成本呈现!AE1)*2)</f>
        <v>1584.049</v>
      </c>
      <c r="AG12" s="10">
        <f t="shared" ref="AG12:AG20" si="2">SUM(B12:AF12)</f>
        <v>41619.468</v>
      </c>
    </row>
    <row r="13" s="12" customFormat="1" customHeight="1" spans="1:33">
      <c r="A13" s="10" t="s">
        <v>711</v>
      </c>
      <c r="B13" s="22">
        <f>INDEX(前台增值物品成本呈现!$N$174:$BW$174,COLUMN(前台增值物品成本呈现!A1)*2)</f>
        <v>132.6494</v>
      </c>
      <c r="C13" s="22">
        <f>INDEX(前台增值物品成本呈现!$N$174:$BW$174,COLUMN(前台增值物品成本呈现!B1)*2)</f>
        <v>95.557229167</v>
      </c>
      <c r="D13" s="22">
        <f>INDEX(前台增值物品成本呈现!$N$174:$BW$174,COLUMN(前台增值物品成本呈现!C1)*2)</f>
        <v>179.78575625</v>
      </c>
      <c r="E13" s="22">
        <f>INDEX(前台增值物品成本呈现!$N$174:$BW$174,COLUMN(前台增值物品成本呈现!D1)*2)</f>
        <v>36.4417</v>
      </c>
      <c r="F13" s="22">
        <f>INDEX(前台增值物品成本呈现!$N$174:$BW$174,COLUMN(前台增值物品成本呈现!E1)*2)</f>
        <v>92.5288625</v>
      </c>
      <c r="G13" s="22">
        <f>INDEX(前台增值物品成本呈现!$N$174:$BW$174,COLUMN(前台增值物品成本呈现!F1)*2)</f>
        <v>132.7999</v>
      </c>
      <c r="H13" s="22">
        <f>INDEX(前台增值物品成本呈现!$N$174:$BW$174,COLUMN(前台增值物品成本呈现!G1)*2)</f>
        <v>227.88238125</v>
      </c>
      <c r="I13" s="22">
        <f>INDEX(前台增值物品成本呈现!$N$174:$BW$174,COLUMN(前台增值物品成本呈现!H1)*2)</f>
        <v>22.2541</v>
      </c>
      <c r="J13" s="22">
        <f>INDEX(前台增值物品成本呈现!$N$174:$BW$174,COLUMN(前台增值物品成本呈现!I1)*2)</f>
        <v>150.8872</v>
      </c>
      <c r="K13" s="22">
        <f>INDEX(前台增值物品成本呈现!$N$174:$BW$174,COLUMN(前台增值物品成本呈现!J1)*2)</f>
        <v>7.8892</v>
      </c>
      <c r="L13" s="22">
        <f>INDEX(前台增值物品成本呈现!$N$174:$BW$174,COLUMN(前台增值物品成本呈现!K1)*2)</f>
        <v>15.9982</v>
      </c>
      <c r="M13" s="22">
        <f>INDEX(前台增值物品成本呈现!$N$174:$BW$174,COLUMN(前台增值物品成本呈现!L1)*2)</f>
        <v>21.418675</v>
      </c>
      <c r="N13" s="22">
        <f>INDEX(前台增值物品成本呈现!$N$174:$BW$174,COLUMN(前台增值物品成本呈现!M1)*2)</f>
        <v>10.95269375</v>
      </c>
      <c r="O13" s="22">
        <f>INDEX(前台增值物品成本呈现!$N$174:$BW$174,COLUMN(前台增值物品成本呈现!N1)*2)</f>
        <v>86.32318125</v>
      </c>
      <c r="P13" s="22">
        <f>INDEX(前台增值物品成本呈现!$N$174:$BW$174,COLUMN(前台增值物品成本呈现!O1)*2)</f>
        <v>19.8758</v>
      </c>
      <c r="Q13" s="22">
        <f>INDEX(前台增值物品成本呈现!$N$174:$BW$174,COLUMN(前台增值物品成本呈现!P1)*2)</f>
        <v>15.174875</v>
      </c>
      <c r="R13" s="22">
        <f>INDEX(前台增值物品成本呈现!$N$174:$BW$174,COLUMN(前台增值物品成本呈现!Q1)*2)</f>
        <v>17.7291</v>
      </c>
      <c r="S13" s="22">
        <f>INDEX(前台增值物品成本呈现!$N$174:$BW$174,COLUMN(前台增值物品成本呈现!R1)*2)</f>
        <v>10.90449375</v>
      </c>
      <c r="T13" s="22">
        <f>INDEX(前台增值物品成本呈现!$N$174:$BW$174,COLUMN(前台增值物品成本呈现!S1)*2)</f>
        <v>375.20078125</v>
      </c>
      <c r="U13" s="22">
        <f>INDEX(前台增值物品成本呈现!$N$174:$BW$174,COLUMN(前台增值物品成本呈现!T1)*2)</f>
        <v>28.190066668</v>
      </c>
      <c r="V13" s="22">
        <f>INDEX(前台增值物品成本呈现!$N$174:$BW$174,COLUMN(前台增值物品成本呈现!U1)*2)</f>
        <v>36.472447918</v>
      </c>
      <c r="W13" s="22">
        <f>INDEX(前台增值物品成本呈现!$N$174:$BW$174,COLUMN(前台增值物品成本呈现!V1)*2)</f>
        <v>22.34245625</v>
      </c>
      <c r="X13" s="22">
        <f>INDEX(前台增值物品成本呈现!$N$174:$BW$174,COLUMN(前台增值物品成本呈现!W1)*2)</f>
        <v>52.550625</v>
      </c>
      <c r="Y13" s="22">
        <f>INDEX(前台增值物品成本呈现!$N$174:$BW$174,COLUMN(前台增值物品成本呈现!X1)*2)</f>
        <v>139.253129862</v>
      </c>
      <c r="Z13" s="22">
        <f>INDEX(前台增值物品成本呈现!$N$174:$BW$174,COLUMN(前台增值物品成本呈现!Y1)*2)</f>
        <v>260.286643056</v>
      </c>
      <c r="AA13" s="22">
        <f>INDEX(前台增值物品成本呈现!$N$174:$BW$174,COLUMN(前台增值物品成本呈现!Z1)*2)</f>
        <v>104.922498612</v>
      </c>
      <c r="AB13" s="22">
        <f>INDEX(前台增值物品成本呈现!$N$174:$BW$174,COLUMN(前台增值物品成本呈现!AA1)*2)</f>
        <v>39.4544</v>
      </c>
      <c r="AC13" s="22">
        <f>INDEX(前台增值物品成本呈现!$N$174:$BW$174,COLUMN(前台增值物品成本呈现!AB1)*2)</f>
        <v>50.54849375</v>
      </c>
      <c r="AD13" s="22">
        <f>INDEX(前台增值物品成本呈现!$N$174:$BW$174,COLUMN(前台增值物品成本呈现!AC1)*2)</f>
        <v>8.6409875</v>
      </c>
      <c r="AE13" s="22">
        <f>INDEX(前台增值物品成本呈现!$N$174:$BW$174,COLUMN(前台增值物品成本呈现!AD1)*2)</f>
        <v>4.26328125</v>
      </c>
      <c r="AF13" s="22">
        <f>INDEX(前台增值物品成本呈现!$N$174:$BW$174,COLUMN(前台增值物品成本呈现!AE1)*2)</f>
        <v>2.1288</v>
      </c>
      <c r="AG13" s="10">
        <f t="shared" si="2"/>
        <v>2401.307359033</v>
      </c>
    </row>
    <row r="14" customHeight="1" spans="1:33">
      <c r="A14" s="10" t="s">
        <v>297</v>
      </c>
      <c r="B14" s="22">
        <f>INDEX(商品成本呈现!$N$145:$BW$145,COLUMN(商品成本呈现!A1)*2)</f>
        <v>0</v>
      </c>
      <c r="C14" s="22">
        <f>INDEX(商品成本呈现!$N$145:$BW$145,COLUMN(商品成本呈现!B1)*2)</f>
        <v>0</v>
      </c>
      <c r="D14" s="22">
        <f>INDEX(商品成本呈现!$N$145:$BW$145,COLUMN(商品成本呈现!C1)*2)</f>
        <v>0</v>
      </c>
      <c r="E14" s="22">
        <f>INDEX(商品成本呈现!$N$145:$BW$145,COLUMN(商品成本呈现!D1)*2)</f>
        <v>0</v>
      </c>
      <c r="F14" s="22">
        <f>INDEX(商品成本呈现!$N$145:$BW$145,COLUMN(商品成本呈现!E1)*2)</f>
        <v>0</v>
      </c>
      <c r="G14" s="22">
        <f>INDEX(商品成本呈现!$N$145:$BW$145,COLUMN(商品成本呈现!F1)*2)</f>
        <v>0</v>
      </c>
      <c r="H14" s="22">
        <f>INDEX(商品成本呈现!$N$145:$BW$145,COLUMN(商品成本呈现!G1)*2)</f>
        <v>0</v>
      </c>
      <c r="I14" s="22">
        <f>INDEX(商品成本呈现!$N$145:$BW$145,COLUMN(商品成本呈现!H1)*2)</f>
        <v>0</v>
      </c>
      <c r="J14" s="22">
        <f>INDEX(商品成本呈现!$N$145:$BW$145,COLUMN(商品成本呈现!I1)*2)</f>
        <v>0</v>
      </c>
      <c r="K14" s="22">
        <f>INDEX(商品成本呈现!$N$145:$BW$145,COLUMN(商品成本呈现!J1)*2)</f>
        <v>0</v>
      </c>
      <c r="L14" s="22">
        <f>INDEX(商品成本呈现!$N$145:$BW$145,COLUMN(商品成本呈现!K1)*2)</f>
        <v>0</v>
      </c>
      <c r="M14" s="22">
        <f>INDEX(商品成本呈现!$N$145:$BW$145,COLUMN(商品成本呈现!L1)*2)</f>
        <v>0</v>
      </c>
      <c r="N14" s="22">
        <f>INDEX(商品成本呈现!$N$145:$BW$145,COLUMN(商品成本呈现!M1)*2)</f>
        <v>0</v>
      </c>
      <c r="O14" s="22">
        <f>INDEX(商品成本呈现!$N$145:$BW$145,COLUMN(商品成本呈现!N1)*2)</f>
        <v>0</v>
      </c>
      <c r="P14" s="22">
        <f>INDEX(商品成本呈现!$N$145:$BW$145,COLUMN(商品成本呈现!O1)*2)</f>
        <v>0</v>
      </c>
      <c r="Q14" s="22">
        <f>INDEX(商品成本呈现!$N$145:$BW$145,COLUMN(商品成本呈现!P1)*2)</f>
        <v>0</v>
      </c>
      <c r="R14" s="22">
        <f>INDEX(商品成本呈现!$N$145:$BW$145,COLUMN(商品成本呈现!Q1)*2)</f>
        <v>0</v>
      </c>
      <c r="S14" s="22">
        <f>INDEX(商品成本呈现!$N$145:$BW$145,COLUMN(商品成本呈现!R1)*2)</f>
        <v>0</v>
      </c>
      <c r="T14" s="22">
        <f>INDEX(商品成本呈现!$N$145:$BW$145,COLUMN(商品成本呈现!S1)*2)</f>
        <v>0</v>
      </c>
      <c r="U14" s="22">
        <f>INDEX(商品成本呈现!$N$145:$BW$145,COLUMN(商品成本呈现!T1)*2)</f>
        <v>0</v>
      </c>
      <c r="V14" s="22">
        <f>INDEX(商品成本呈现!$N$145:$BW$145,COLUMN(商品成本呈现!U1)*2)</f>
        <v>0</v>
      </c>
      <c r="W14" s="22">
        <f>INDEX(商品成本呈现!$N$145:$BW$145,COLUMN(商品成本呈现!V1)*2)</f>
        <v>0</v>
      </c>
      <c r="X14" s="22">
        <f>INDEX(商品成本呈现!$N$145:$BW$145,COLUMN(商品成本呈现!W1)*2)</f>
        <v>0</v>
      </c>
      <c r="Y14" s="22">
        <f>INDEX(商品成本呈现!$N$145:$BW$145,COLUMN(商品成本呈现!X1)*2)</f>
        <v>0</v>
      </c>
      <c r="Z14" s="22">
        <f>INDEX(商品成本呈现!$N$145:$BW$145,COLUMN(商品成本呈现!Y1)*2)</f>
        <v>0</v>
      </c>
      <c r="AA14" s="22">
        <f>INDEX(商品成本呈现!$N$145:$BW$145,COLUMN(商品成本呈现!Z1)*2)</f>
        <v>0</v>
      </c>
      <c r="AB14" s="22">
        <f>INDEX(商品成本呈现!$N$145:$BW$145,COLUMN(商品成本呈现!AA1)*2)</f>
        <v>0</v>
      </c>
      <c r="AC14" s="22">
        <f>INDEX(商品成本呈现!$N$145:$BW$145,COLUMN(商品成本呈现!AB1)*2)</f>
        <v>0</v>
      </c>
      <c r="AD14" s="22">
        <f>INDEX(商品成本呈现!$N$145:$BW$145,COLUMN(商品成本呈现!AC1)*2)</f>
        <v>0</v>
      </c>
      <c r="AE14" s="22">
        <f>INDEX(商品成本呈现!$N$145:$BW$145,COLUMN(商品成本呈现!AD1)*2)</f>
        <v>0</v>
      </c>
      <c r="AF14" s="22">
        <f>INDEX(商品成本呈现!$N$145:$BW$145,COLUMN(商品成本呈现!AE1)*2)</f>
        <v>0</v>
      </c>
      <c r="AG14" s="10">
        <f t="shared" si="2"/>
        <v>0</v>
      </c>
    </row>
    <row r="15" s="12" customFormat="1" customHeight="1" spans="1:33">
      <c r="A15" s="10" t="s">
        <v>614</v>
      </c>
      <c r="B15" s="22">
        <f>INDEX(餐厅成本呈现!$N224:$BW224,COLUMN(餐厅成本呈现!A1)*2)</f>
        <v>2486.7</v>
      </c>
      <c r="C15" s="22">
        <f>INDEX(餐厅成本呈现!$N224:$BW224,COLUMN(餐厅成本呈现!B1)*2)</f>
        <v>1054.36</v>
      </c>
      <c r="D15" s="22">
        <f>INDEX(餐厅成本呈现!$N224:$BW224,COLUMN(餐厅成本呈现!C1)*2)</f>
        <v>2437</v>
      </c>
      <c r="E15" s="22">
        <f>INDEX(餐厅成本呈现!$N224:$BW224,COLUMN(餐厅成本呈现!D1)*2)</f>
        <v>410</v>
      </c>
      <c r="F15" s="22">
        <f>INDEX(餐厅成本呈现!$N224:$BW224,COLUMN(餐厅成本呈现!E1)*2)</f>
        <v>4436.24</v>
      </c>
      <c r="G15" s="22">
        <f>INDEX(餐厅成本呈现!$N224:$BW224,COLUMN(餐厅成本呈现!F1)*2)</f>
        <v>408</v>
      </c>
      <c r="H15" s="22">
        <f>INDEX(餐厅成本呈现!$N224:$BW224,COLUMN(餐厅成本呈现!G1)*2)</f>
        <v>305</v>
      </c>
      <c r="I15" s="22">
        <f>INDEX(餐厅成本呈现!$N224:$BW224,COLUMN(餐厅成本呈现!H1)*2)</f>
        <v>2596</v>
      </c>
      <c r="J15" s="22">
        <f>INDEX(餐厅成本呈现!$N224:$BW224,COLUMN(餐厅成本呈现!I1)*2)</f>
        <v>377.03</v>
      </c>
      <c r="K15" s="22">
        <f>INDEX(餐厅成本呈现!$N224:$BW224,COLUMN(餐厅成本呈现!J1)*2)</f>
        <v>1025.6</v>
      </c>
      <c r="L15" s="22">
        <f>INDEX(餐厅成本呈现!$N224:$BW224,COLUMN(餐厅成本呈现!K1)*2)</f>
        <v>1234.81</v>
      </c>
      <c r="M15" s="22">
        <f>INDEX(餐厅成本呈现!$N224:$BW224,COLUMN(餐厅成本呈现!L1)*2)</f>
        <v>1327</v>
      </c>
      <c r="N15" s="22">
        <f>INDEX(餐厅成本呈现!$N224:$BW224,COLUMN(餐厅成本呈现!M1)*2)</f>
        <v>2162.66</v>
      </c>
      <c r="O15" s="22">
        <f>INDEX(餐厅成本呈现!$N224:$BW224,COLUMN(餐厅成本呈现!N1)*2)</f>
        <v>1676.7</v>
      </c>
      <c r="P15" s="22">
        <f>INDEX(餐厅成本呈现!$N224:$BW224,COLUMN(餐厅成本呈现!O1)*2)</f>
        <v>3073.51</v>
      </c>
      <c r="Q15" s="22">
        <f>INDEX(餐厅成本呈现!$N224:$BW224,COLUMN(餐厅成本呈现!P1)*2)</f>
        <v>881.52</v>
      </c>
      <c r="R15" s="22">
        <f>INDEX(餐厅成本呈现!$N224:$BW224,COLUMN(餐厅成本呈现!Q1)*2)</f>
        <v>2639.44</v>
      </c>
      <c r="S15" s="22">
        <f>INDEX(餐厅成本呈现!$N224:$BW224,COLUMN(餐厅成本呈现!R1)*2)</f>
        <v>231.84</v>
      </c>
      <c r="T15" s="22">
        <f>INDEX(餐厅成本呈现!$N224:$BW224,COLUMN(餐厅成本呈现!S1)*2)</f>
        <v>3110.14</v>
      </c>
      <c r="U15" s="22">
        <f>INDEX(餐厅成本呈现!$N224:$BW224,COLUMN(餐厅成本呈现!T1)*2)</f>
        <v>637</v>
      </c>
      <c r="V15" s="22">
        <f>INDEX(餐厅成本呈现!$N224:$BW224,COLUMN(餐厅成本呈现!U1)*2)</f>
        <v>1778.52</v>
      </c>
      <c r="W15" s="22">
        <f>INDEX(餐厅成本呈现!$N224:$BW224,COLUMN(餐厅成本呈现!V1)*2)</f>
        <v>2334</v>
      </c>
      <c r="X15" s="22">
        <f>INDEX(餐厅成本呈现!$N224:$BW224,COLUMN(餐厅成本呈现!W1)*2)</f>
        <v>1264.7</v>
      </c>
      <c r="Y15" s="22">
        <f>INDEX(餐厅成本呈现!$N224:$BW224,COLUMN(餐厅成本呈现!X1)*2)</f>
        <v>4056.8</v>
      </c>
      <c r="Z15" s="22">
        <f>INDEX(餐厅成本呈现!$N224:$BW224,COLUMN(餐厅成本呈现!Y1)*2)</f>
        <v>2699.4</v>
      </c>
      <c r="AA15" s="22">
        <f>INDEX(餐厅成本呈现!$N224:$BW224,COLUMN(餐厅成本呈现!Z1)*2)</f>
        <v>2769</v>
      </c>
      <c r="AB15" s="22">
        <f>INDEX(餐厅成本呈现!$N224:$BW224,COLUMN(餐厅成本呈现!AA1)*2)</f>
        <v>5224.3</v>
      </c>
      <c r="AC15" s="22">
        <f>INDEX(餐厅成本呈现!$N224:$BW224,COLUMN(餐厅成本呈现!AB1)*2)</f>
        <v>1162</v>
      </c>
      <c r="AD15" s="22">
        <f>INDEX(餐厅成本呈现!$N224:$BW224,COLUMN(餐厅成本呈现!AC1)*2)</f>
        <v>1175.4</v>
      </c>
      <c r="AE15" s="22">
        <f>INDEX(餐厅成本呈现!$N224:$BW224,COLUMN(餐厅成本呈现!AD1)*2)</f>
        <v>2737</v>
      </c>
      <c r="AF15" s="22">
        <f>INDEX(餐厅成本呈现!$N224:$BW224,COLUMN(餐厅成本呈现!AE1)*2)</f>
        <v>1749</v>
      </c>
      <c r="AG15" s="10">
        <f t="shared" si="2"/>
        <v>59460.67</v>
      </c>
    </row>
    <row r="16" s="12" customFormat="1" customHeight="1" spans="1:33">
      <c r="A16" s="10" t="s">
        <v>394</v>
      </c>
      <c r="B16" s="10">
        <f>洗涤费呈现!H45</f>
        <v>965.98</v>
      </c>
      <c r="C16" s="10">
        <f>洗涤费呈现!I45</f>
        <v>725.46</v>
      </c>
      <c r="D16" s="10">
        <f>洗涤费呈现!J45</f>
        <v>773.46</v>
      </c>
      <c r="E16" s="10">
        <f>洗涤费呈现!K45</f>
        <v>845.4</v>
      </c>
      <c r="F16" s="10">
        <f>洗涤费呈现!L45</f>
        <v>1119.84</v>
      </c>
      <c r="G16" s="10">
        <f>洗涤费呈现!M45</f>
        <v>1211.56</v>
      </c>
      <c r="H16" s="10">
        <f>洗涤费呈现!N45</f>
        <v>997.02</v>
      </c>
      <c r="I16" s="10">
        <f>洗涤费呈现!O45</f>
        <v>985.85</v>
      </c>
      <c r="J16" s="10">
        <f>洗涤费呈现!P45</f>
        <v>1128.85</v>
      </c>
      <c r="K16" s="10">
        <f>洗涤费呈现!Q45</f>
        <v>968.75</v>
      </c>
      <c r="L16" s="10">
        <f>洗涤费呈现!R45</f>
        <v>1174.86</v>
      </c>
      <c r="M16" s="10">
        <f>洗涤费呈现!S45</f>
        <v>1208.5</v>
      </c>
      <c r="N16" s="10">
        <f>洗涤费呈现!T45</f>
        <v>1128.23</v>
      </c>
      <c r="O16" s="10">
        <f>洗涤费呈现!U45</f>
        <v>963.79</v>
      </c>
      <c r="P16" s="10">
        <f>洗涤费呈现!V45</f>
        <v>802.32</v>
      </c>
      <c r="Q16" s="10">
        <f>洗涤费呈现!W45</f>
        <v>830.92</v>
      </c>
      <c r="R16" s="10">
        <f>洗涤费呈现!X45</f>
        <v>1200.16</v>
      </c>
      <c r="S16" s="10">
        <f>洗涤费呈现!Y45</f>
        <v>1264.58</v>
      </c>
      <c r="T16" s="10">
        <f>洗涤费呈现!Z45</f>
        <v>1156.68</v>
      </c>
      <c r="U16" s="10">
        <f>洗涤费呈现!AA45</f>
        <v>1211.36</v>
      </c>
      <c r="V16" s="10">
        <f>洗涤费呈现!AB45</f>
        <v>1130.63</v>
      </c>
      <c r="W16" s="10">
        <f>洗涤费呈现!AC45</f>
        <v>883.08</v>
      </c>
      <c r="X16" s="10">
        <f>洗涤费呈现!AD45</f>
        <v>886.49</v>
      </c>
      <c r="Y16" s="10">
        <f>洗涤费呈现!AE45</f>
        <v>827.83</v>
      </c>
      <c r="Z16" s="10">
        <f>洗涤费呈现!AF45</f>
        <v>992.09</v>
      </c>
      <c r="AA16" s="10">
        <f>洗涤费呈现!AG45</f>
        <v>940.71</v>
      </c>
      <c r="AB16" s="10">
        <f>洗涤费呈现!AH45</f>
        <v>1207.23</v>
      </c>
      <c r="AC16" s="10">
        <f>洗涤费呈现!AI45</f>
        <v>693.17</v>
      </c>
      <c r="AD16" s="10">
        <f>洗涤费呈现!AJ45</f>
        <v>818.81</v>
      </c>
      <c r="AE16" s="10">
        <f>洗涤费呈现!AK45</f>
        <v>1093.81</v>
      </c>
      <c r="AF16" s="10">
        <f>洗涤费呈现!AL45</f>
        <v>983.48</v>
      </c>
      <c r="AG16" s="10">
        <f t="shared" si="2"/>
        <v>31120.9</v>
      </c>
    </row>
    <row r="17" customHeight="1" spans="1:33">
      <c r="A17" s="7" t="s">
        <v>667</v>
      </c>
      <c r="B17" s="22">
        <f>耗能呈现!J5</f>
        <v>1950.0789</v>
      </c>
      <c r="C17" s="22">
        <f>耗能呈现!K5</f>
        <v>1907.8213</v>
      </c>
      <c r="D17" s="22">
        <f>耗能呈现!L5</f>
        <v>2376.1584</v>
      </c>
      <c r="E17" s="22">
        <f>耗能呈现!M5</f>
        <v>2754.8675</v>
      </c>
      <c r="F17" s="22">
        <f>耗能呈现!N5</f>
        <v>2767.1028</v>
      </c>
      <c r="G17" s="22">
        <f>耗能呈现!O5</f>
        <v>2840.8226</v>
      </c>
      <c r="H17" s="22">
        <f>耗能呈现!P5</f>
        <v>2596.1551</v>
      </c>
      <c r="I17" s="22">
        <f>耗能呈现!Q5</f>
        <v>2603.1621</v>
      </c>
      <c r="J17" s="22">
        <f>耗能呈现!R5</f>
        <v>3029.0029</v>
      </c>
      <c r="K17" s="22">
        <f>耗能呈现!S5</f>
        <v>2867.6571</v>
      </c>
      <c r="L17" s="22">
        <f>耗能呈现!T5</f>
        <v>3324.629</v>
      </c>
      <c r="M17" s="22">
        <f>耗能呈现!U5</f>
        <v>3064.8695</v>
      </c>
      <c r="N17" s="22">
        <f>耗能呈现!V5</f>
        <v>2506.9352</v>
      </c>
      <c r="O17" s="22">
        <f>耗能呈现!W5</f>
        <v>2276.5127</v>
      </c>
      <c r="P17" s="22">
        <f>耗能呈现!X5</f>
        <v>0</v>
      </c>
      <c r="Q17" s="22">
        <f>耗能呈现!Y5</f>
        <v>2454.5521</v>
      </c>
      <c r="R17" s="22">
        <f>耗能呈现!Z5</f>
        <v>2497.5181</v>
      </c>
      <c r="S17" s="22">
        <f>耗能呈现!AA5</f>
        <v>1956.1927</v>
      </c>
      <c r="T17" s="22">
        <f>耗能呈现!AB5</f>
        <v>2549.2775</v>
      </c>
      <c r="U17" s="22">
        <f>耗能呈现!AC5</f>
        <v>1953.6748</v>
      </c>
      <c r="V17" s="22">
        <f>耗能呈现!AD5</f>
        <v>2318.2852</v>
      </c>
      <c r="W17" s="22">
        <f>耗能呈现!AE5</f>
        <v>2470.0137</v>
      </c>
      <c r="X17" s="22">
        <f>耗能呈现!AF5</f>
        <v>2358.2867</v>
      </c>
      <c r="Y17" s="22">
        <f>耗能呈现!AG5</f>
        <v>2469.9521</v>
      </c>
      <c r="Z17" s="22">
        <f>耗能呈现!AH5</f>
        <v>2310.6699</v>
      </c>
      <c r="AA17" s="22">
        <f>耗能呈现!AI5</f>
        <v>2534.6552</v>
      </c>
      <c r="AB17" s="22">
        <f>耗能呈现!AJ5</f>
        <v>2337.2965</v>
      </c>
      <c r="AC17" s="22">
        <f>耗能呈现!AK5</f>
        <v>2655.6376</v>
      </c>
      <c r="AD17" s="22">
        <f>耗能呈现!AL5</f>
        <v>3007.697</v>
      </c>
      <c r="AE17" s="22">
        <f>耗能呈现!AM5</f>
        <v>3005.2946</v>
      </c>
      <c r="AF17" s="22">
        <f>耗能呈现!AN5</f>
        <v>3136.8876</v>
      </c>
      <c r="AG17" s="10">
        <f t="shared" si="2"/>
        <v>76881.6664</v>
      </c>
    </row>
    <row r="18" customHeight="1" spans="1:33">
      <c r="A18" s="7" t="s">
        <v>669</v>
      </c>
      <c r="B18" s="22">
        <f>耗能呈现!J6</f>
        <v>127.2</v>
      </c>
      <c r="C18" s="22">
        <f>耗能呈现!K6</f>
        <v>153.7</v>
      </c>
      <c r="D18" s="22">
        <f>耗能呈现!L6</f>
        <v>164.3</v>
      </c>
      <c r="E18" s="22">
        <f>耗能呈现!M6</f>
        <v>169.6</v>
      </c>
      <c r="F18" s="22">
        <f>耗能呈现!N6</f>
        <v>254.4</v>
      </c>
      <c r="G18" s="22">
        <f>耗能呈现!O6</f>
        <v>201.4</v>
      </c>
      <c r="H18" s="22">
        <f>耗能呈现!P6</f>
        <v>185.5</v>
      </c>
      <c r="I18" s="22">
        <f>耗能呈现!Q6</f>
        <v>222.6</v>
      </c>
      <c r="J18" s="22">
        <f>耗能呈现!R6</f>
        <v>217.3</v>
      </c>
      <c r="K18" s="22">
        <f>耗能呈现!S6</f>
        <v>233.2</v>
      </c>
      <c r="L18" s="22">
        <f>耗能呈现!T6</f>
        <v>212</v>
      </c>
      <c r="M18" s="22">
        <f>耗能呈现!U6</f>
        <v>201.4</v>
      </c>
      <c r="N18" s="22">
        <f>耗能呈现!V6</f>
        <v>233.2</v>
      </c>
      <c r="O18" s="22">
        <f>耗能呈现!W6</f>
        <v>143.1</v>
      </c>
      <c r="P18" s="22">
        <f>耗能呈现!X6</f>
        <v>0</v>
      </c>
      <c r="Q18" s="22">
        <f>耗能呈现!Y6</f>
        <v>185.5</v>
      </c>
      <c r="R18" s="22">
        <f>耗能呈现!Z6</f>
        <v>254.4</v>
      </c>
      <c r="S18" s="22">
        <f>耗能呈现!AA6</f>
        <v>206.7</v>
      </c>
      <c r="T18" s="22">
        <f>耗能呈现!AB6</f>
        <v>222.6</v>
      </c>
      <c r="U18" s="22">
        <f>耗能呈现!AC6</f>
        <v>212</v>
      </c>
      <c r="V18" s="22">
        <f>耗能呈现!AD6</f>
        <v>111.3</v>
      </c>
      <c r="W18" s="22">
        <f>耗能呈现!AE6</f>
        <v>217.3</v>
      </c>
      <c r="X18" s="22">
        <f>耗能呈现!AF6</f>
        <v>127.2</v>
      </c>
      <c r="Y18" s="22">
        <f>耗能呈现!AG6</f>
        <v>206.7</v>
      </c>
      <c r="Z18" s="22">
        <f>耗能呈现!AH6</f>
        <v>198.75</v>
      </c>
      <c r="AA18" s="22">
        <f>耗能呈现!AI6</f>
        <v>233.2</v>
      </c>
      <c r="AB18" s="22">
        <f>耗能呈现!AJ6</f>
        <v>177.55</v>
      </c>
      <c r="AC18" s="22">
        <f>耗能呈现!AK6</f>
        <v>153.7</v>
      </c>
      <c r="AD18" s="22">
        <f>耗能呈现!AL6</f>
        <v>206.7</v>
      </c>
      <c r="AE18" s="22">
        <f>耗能呈现!AM6</f>
        <v>190.8</v>
      </c>
      <c r="AF18" s="22">
        <f>耗能呈现!AN6</f>
        <v>196.1</v>
      </c>
      <c r="AG18" s="10">
        <f t="shared" si="2"/>
        <v>5819.4</v>
      </c>
    </row>
    <row r="19" customHeight="1" spans="1:33">
      <c r="A19" s="7" t="s">
        <v>712</v>
      </c>
      <c r="B19" s="22">
        <f>耗能呈现!J7</f>
        <v>0</v>
      </c>
      <c r="C19" s="22">
        <f>耗能呈现!K7</f>
        <v>0</v>
      </c>
      <c r="D19" s="22">
        <f>耗能呈现!L7</f>
        <v>0</v>
      </c>
      <c r="E19" s="22">
        <f>耗能呈现!M7</f>
        <v>0</v>
      </c>
      <c r="F19" s="22">
        <f>耗能呈现!N7</f>
        <v>0</v>
      </c>
      <c r="G19" s="22">
        <f>耗能呈现!O7</f>
        <v>0</v>
      </c>
      <c r="H19" s="22">
        <f>耗能呈现!P7</f>
        <v>0</v>
      </c>
      <c r="I19" s="22">
        <f>耗能呈现!Q7</f>
        <v>0</v>
      </c>
      <c r="J19" s="22">
        <f>耗能呈现!R7</f>
        <v>0</v>
      </c>
      <c r="K19" s="22">
        <f>耗能呈现!S7</f>
        <v>0</v>
      </c>
      <c r="L19" s="22">
        <f>耗能呈现!T7</f>
        <v>0</v>
      </c>
      <c r="M19" s="22">
        <f>耗能呈现!U7</f>
        <v>0</v>
      </c>
      <c r="N19" s="22">
        <f>耗能呈现!V7</f>
        <v>0</v>
      </c>
      <c r="O19" s="22">
        <f>耗能呈现!W7</f>
        <v>0</v>
      </c>
      <c r="P19" s="22">
        <f>耗能呈现!X7</f>
        <v>0</v>
      </c>
      <c r="Q19" s="22">
        <f>耗能呈现!Y7</f>
        <v>0</v>
      </c>
      <c r="R19" s="22">
        <f>耗能呈现!Z7</f>
        <v>0</v>
      </c>
      <c r="S19" s="22">
        <f>耗能呈现!AA7</f>
        <v>0</v>
      </c>
      <c r="T19" s="22">
        <f>耗能呈现!AB7</f>
        <v>0</v>
      </c>
      <c r="U19" s="22">
        <f>耗能呈现!AC7</f>
        <v>0</v>
      </c>
      <c r="V19" s="22">
        <f>耗能呈现!AD7</f>
        <v>0</v>
      </c>
      <c r="W19" s="22">
        <f>耗能呈现!AE7</f>
        <v>0</v>
      </c>
      <c r="X19" s="22">
        <f>耗能呈现!AF7</f>
        <v>0</v>
      </c>
      <c r="Y19" s="22">
        <f>耗能呈现!AG7</f>
        <v>0</v>
      </c>
      <c r="Z19" s="22">
        <f>耗能呈现!AH7</f>
        <v>0</v>
      </c>
      <c r="AA19" s="22">
        <f>耗能呈现!AI7</f>
        <v>0</v>
      </c>
      <c r="AB19" s="22">
        <f>耗能呈现!AJ7</f>
        <v>0</v>
      </c>
      <c r="AC19" s="22">
        <f>耗能呈现!AK7</f>
        <v>0</v>
      </c>
      <c r="AD19" s="22">
        <f>耗能呈现!AL7</f>
        <v>0</v>
      </c>
      <c r="AE19" s="22">
        <f>耗能呈现!AM7</f>
        <v>0</v>
      </c>
      <c r="AF19" s="22">
        <f>耗能呈现!AN7</f>
        <v>0</v>
      </c>
      <c r="AG19" s="10">
        <f t="shared" si="2"/>
        <v>0</v>
      </c>
    </row>
    <row r="20" customHeight="1" spans="1:33">
      <c r="A20" s="7" t="s">
        <v>713</v>
      </c>
      <c r="B20" s="22">
        <f>耗能呈现!J8</f>
        <v>0</v>
      </c>
      <c r="C20" s="22">
        <f>耗能呈现!K8</f>
        <v>0</v>
      </c>
      <c r="D20" s="22">
        <f>耗能呈现!L8</f>
        <v>0</v>
      </c>
      <c r="E20" s="22">
        <f>耗能呈现!M8</f>
        <v>0</v>
      </c>
      <c r="F20" s="22">
        <f>耗能呈现!N8</f>
        <v>0</v>
      </c>
      <c r="G20" s="22">
        <f>耗能呈现!O8</f>
        <v>0</v>
      </c>
      <c r="H20" s="22">
        <f>耗能呈现!P8</f>
        <v>0</v>
      </c>
      <c r="I20" s="22">
        <f>耗能呈现!Q8</f>
        <v>0</v>
      </c>
      <c r="J20" s="22">
        <f>耗能呈现!R8</f>
        <v>0</v>
      </c>
      <c r="K20" s="22">
        <f>耗能呈现!S8</f>
        <v>0</v>
      </c>
      <c r="L20" s="22">
        <f>耗能呈现!T8</f>
        <v>0</v>
      </c>
      <c r="M20" s="22">
        <f>耗能呈现!U8</f>
        <v>0</v>
      </c>
      <c r="N20" s="22">
        <f>耗能呈现!V8</f>
        <v>0</v>
      </c>
      <c r="O20" s="22">
        <f>耗能呈现!W8</f>
        <v>0</v>
      </c>
      <c r="P20" s="22">
        <f>耗能呈现!X8</f>
        <v>0</v>
      </c>
      <c r="Q20" s="22">
        <f>耗能呈现!Y8</f>
        <v>0</v>
      </c>
      <c r="R20" s="22">
        <f>耗能呈现!Z8</f>
        <v>0</v>
      </c>
      <c r="S20" s="22">
        <f>耗能呈现!AA8</f>
        <v>0</v>
      </c>
      <c r="T20" s="22">
        <f>耗能呈现!AB8</f>
        <v>0</v>
      </c>
      <c r="U20" s="22">
        <f>耗能呈现!AC8</f>
        <v>0</v>
      </c>
      <c r="V20" s="22">
        <f>耗能呈现!AD8</f>
        <v>0</v>
      </c>
      <c r="W20" s="22">
        <f>耗能呈现!AE8</f>
        <v>0</v>
      </c>
      <c r="X20" s="22">
        <f>耗能呈现!AF8</f>
        <v>0</v>
      </c>
      <c r="Y20" s="22">
        <f>耗能呈现!AG8</f>
        <v>0</v>
      </c>
      <c r="Z20" s="22">
        <f>耗能呈现!AH8</f>
        <v>0</v>
      </c>
      <c r="AA20" s="22">
        <f>耗能呈现!AI8</f>
        <v>0</v>
      </c>
      <c r="AB20" s="22">
        <f>耗能呈现!AJ8</f>
        <v>0</v>
      </c>
      <c r="AC20" s="22">
        <f>耗能呈现!AK8</f>
        <v>0</v>
      </c>
      <c r="AD20" s="22">
        <f>耗能呈现!AL8</f>
        <v>0</v>
      </c>
      <c r="AE20" s="22">
        <f>耗能呈现!AM8</f>
        <v>0</v>
      </c>
      <c r="AF20" s="22">
        <f>耗能呈现!AN8</f>
        <v>0</v>
      </c>
      <c r="AG20" s="10">
        <f t="shared" si="2"/>
        <v>0</v>
      </c>
    </row>
    <row r="21" customHeight="1" spans="1:33">
      <c r="A21" s="15" t="s">
        <v>714</v>
      </c>
      <c r="B21" s="22">
        <f>固定费用录入!H11</f>
        <v>0</v>
      </c>
      <c r="C21" s="22">
        <f>固定费用录入!I11</f>
        <v>0</v>
      </c>
      <c r="D21" s="22">
        <f>固定费用录入!J11</f>
        <v>0</v>
      </c>
      <c r="E21" s="22">
        <f>固定费用录入!K11</f>
        <v>0</v>
      </c>
      <c r="F21" s="22">
        <f>固定费用录入!L11</f>
        <v>0</v>
      </c>
      <c r="G21" s="22">
        <f>固定费用录入!M11</f>
        <v>0</v>
      </c>
      <c r="H21" s="22">
        <f>固定费用录入!N11</f>
        <v>0</v>
      </c>
      <c r="I21" s="22">
        <f>固定费用录入!O11</f>
        <v>0</v>
      </c>
      <c r="J21" s="22">
        <f>固定费用录入!P11</f>
        <v>0</v>
      </c>
      <c r="K21" s="22">
        <f>固定费用录入!Q11</f>
        <v>0</v>
      </c>
      <c r="L21" s="22">
        <f>固定费用录入!R11</f>
        <v>0</v>
      </c>
      <c r="M21" s="22">
        <f>固定费用录入!S11</f>
        <v>0</v>
      </c>
      <c r="N21" s="22">
        <f>固定费用录入!T11</f>
        <v>0</v>
      </c>
      <c r="O21" s="22">
        <f>固定费用录入!U11</f>
        <v>0</v>
      </c>
      <c r="P21" s="22">
        <f>固定费用录入!V11</f>
        <v>0</v>
      </c>
      <c r="Q21" s="22">
        <f>固定费用录入!W11</f>
        <v>0</v>
      </c>
      <c r="R21" s="22">
        <f>固定费用录入!X11</f>
        <v>0</v>
      </c>
      <c r="S21" s="22">
        <f>固定费用录入!Y11</f>
        <v>0</v>
      </c>
      <c r="T21" s="22">
        <f>固定费用录入!Z11</f>
        <v>0</v>
      </c>
      <c r="U21" s="22">
        <f>固定费用录入!AA11</f>
        <v>0</v>
      </c>
      <c r="V21" s="22">
        <f>固定费用录入!AB11</f>
        <v>0</v>
      </c>
      <c r="W21" s="22">
        <f>固定费用录入!AC11</f>
        <v>0</v>
      </c>
      <c r="X21" s="22">
        <f>固定费用录入!AD11</f>
        <v>0</v>
      </c>
      <c r="Y21" s="22">
        <f>固定费用录入!AE11</f>
        <v>0</v>
      </c>
      <c r="Z21" s="22">
        <f>固定费用录入!AF11</f>
        <v>0</v>
      </c>
      <c r="AA21" s="22">
        <f>固定费用录入!AG11</f>
        <v>0</v>
      </c>
      <c r="AB21" s="22">
        <f>固定费用录入!AH11</f>
        <v>0</v>
      </c>
      <c r="AC21" s="22">
        <f>固定费用录入!AI11</f>
        <v>0</v>
      </c>
      <c r="AD21" s="22">
        <f>固定费用录入!AJ11</f>
        <v>0</v>
      </c>
      <c r="AE21" s="22">
        <f>固定费用录入!AK11</f>
        <v>0</v>
      </c>
      <c r="AF21" s="22">
        <f>固定费用录入!AL11</f>
        <v>0</v>
      </c>
      <c r="AG21" s="10">
        <f t="shared" ref="AG21:AG52" si="3">SUM(B21:AF21)</f>
        <v>0</v>
      </c>
    </row>
    <row r="22" customHeight="1" spans="1:33">
      <c r="A22" s="15" t="s">
        <v>715</v>
      </c>
      <c r="B22" s="22">
        <f>固定费用录入!H12</f>
        <v>0</v>
      </c>
      <c r="C22" s="22">
        <f>固定费用录入!I12</f>
        <v>0</v>
      </c>
      <c r="D22" s="22">
        <f>固定费用录入!J12</f>
        <v>0</v>
      </c>
      <c r="E22" s="22">
        <f>固定费用录入!K12</f>
        <v>0</v>
      </c>
      <c r="F22" s="22">
        <f>固定费用录入!L12</f>
        <v>0</v>
      </c>
      <c r="G22" s="22">
        <f>固定费用录入!M12</f>
        <v>0</v>
      </c>
      <c r="H22" s="22">
        <f>固定费用录入!N12</f>
        <v>0</v>
      </c>
      <c r="I22" s="22">
        <f>固定费用录入!O12</f>
        <v>0</v>
      </c>
      <c r="J22" s="22">
        <f>固定费用录入!P12</f>
        <v>0</v>
      </c>
      <c r="K22" s="22">
        <f>固定费用录入!Q12</f>
        <v>0</v>
      </c>
      <c r="L22" s="22">
        <f>固定费用录入!R12</f>
        <v>0</v>
      </c>
      <c r="M22" s="22">
        <f>固定费用录入!S12</f>
        <v>0</v>
      </c>
      <c r="N22" s="22">
        <f>固定费用录入!T12</f>
        <v>0</v>
      </c>
      <c r="O22" s="22">
        <f>固定费用录入!U12</f>
        <v>0</v>
      </c>
      <c r="P22" s="22">
        <f>固定费用录入!V12</f>
        <v>0</v>
      </c>
      <c r="Q22" s="22">
        <f>固定费用录入!W12</f>
        <v>0</v>
      </c>
      <c r="R22" s="22">
        <f>固定费用录入!X12</f>
        <v>0</v>
      </c>
      <c r="S22" s="22">
        <f>固定费用录入!Y12</f>
        <v>0</v>
      </c>
      <c r="T22" s="22">
        <f>固定费用录入!Z12</f>
        <v>0</v>
      </c>
      <c r="U22" s="22">
        <f>固定费用录入!AA12</f>
        <v>0</v>
      </c>
      <c r="V22" s="22">
        <f>固定费用录入!AB12</f>
        <v>0</v>
      </c>
      <c r="W22" s="22">
        <f>固定费用录入!AC12</f>
        <v>0</v>
      </c>
      <c r="X22" s="22">
        <f>固定费用录入!AD12</f>
        <v>0</v>
      </c>
      <c r="Y22" s="22">
        <f>固定费用录入!AE12</f>
        <v>0</v>
      </c>
      <c r="Z22" s="22">
        <f>固定费用录入!AF12</f>
        <v>0</v>
      </c>
      <c r="AA22" s="22">
        <f>固定费用录入!AG12</f>
        <v>0</v>
      </c>
      <c r="AB22" s="22">
        <f>固定费用录入!AH12</f>
        <v>0</v>
      </c>
      <c r="AC22" s="22">
        <f>固定费用录入!AI12</f>
        <v>0</v>
      </c>
      <c r="AD22" s="22">
        <f>固定费用录入!AJ12</f>
        <v>0</v>
      </c>
      <c r="AE22" s="22">
        <f>固定费用录入!AK12</f>
        <v>0</v>
      </c>
      <c r="AF22" s="22">
        <f>固定费用录入!AL12</f>
        <v>0</v>
      </c>
      <c r="AG22" s="10">
        <f t="shared" si="3"/>
        <v>0</v>
      </c>
    </row>
    <row r="23" s="1" customFormat="1" customHeight="1" spans="1:33">
      <c r="A23" s="13" t="s">
        <v>673</v>
      </c>
      <c r="B23" s="65">
        <f>固定费用录入!H5</f>
        <v>6251.22580645161</v>
      </c>
      <c r="C23" s="65">
        <f>固定费用录入!I5</f>
        <v>6251.22580645161</v>
      </c>
      <c r="D23" s="65">
        <f>固定费用录入!J5</f>
        <v>6251.22580645161</v>
      </c>
      <c r="E23" s="65">
        <f>固定费用录入!K5</f>
        <v>6251.22580645161</v>
      </c>
      <c r="F23" s="65">
        <f>固定费用录入!L5</f>
        <v>6251.22580645161</v>
      </c>
      <c r="G23" s="65">
        <f>固定费用录入!M5</f>
        <v>6251.22580645161</v>
      </c>
      <c r="H23" s="65">
        <f>固定费用录入!N5</f>
        <v>6251.22580645161</v>
      </c>
      <c r="I23" s="65">
        <f>固定费用录入!O5</f>
        <v>6251.22580645161</v>
      </c>
      <c r="J23" s="65">
        <f>固定费用录入!P5</f>
        <v>6251.22580645161</v>
      </c>
      <c r="K23" s="65">
        <f>固定费用录入!Q5</f>
        <v>6251.22580645161</v>
      </c>
      <c r="L23" s="65">
        <f>固定费用录入!R5</f>
        <v>6251.22580645161</v>
      </c>
      <c r="M23" s="65">
        <f>固定费用录入!S5</f>
        <v>6251.22580645161</v>
      </c>
      <c r="N23" s="65">
        <f>固定费用录入!T5</f>
        <v>6251.22580645161</v>
      </c>
      <c r="O23" s="65">
        <f>固定费用录入!U5</f>
        <v>6251.22580645161</v>
      </c>
      <c r="P23" s="65">
        <f>固定费用录入!V5</f>
        <v>6251.22580645161</v>
      </c>
      <c r="Q23" s="65">
        <f>固定费用录入!W5</f>
        <v>6251.22580645161</v>
      </c>
      <c r="R23" s="65">
        <f>固定费用录入!X5</f>
        <v>6251.22580645161</v>
      </c>
      <c r="S23" s="65">
        <f>固定费用录入!Y5</f>
        <v>6251.22580645161</v>
      </c>
      <c r="T23" s="65">
        <f>固定费用录入!Z5</f>
        <v>6251.22580645161</v>
      </c>
      <c r="U23" s="65">
        <f>固定费用录入!AA5</f>
        <v>6251.22580645161</v>
      </c>
      <c r="V23" s="65">
        <f>固定费用录入!AB5</f>
        <v>6251.22580645161</v>
      </c>
      <c r="W23" s="65">
        <f>固定费用录入!AC5</f>
        <v>6251.22580645161</v>
      </c>
      <c r="X23" s="65">
        <f>固定费用录入!AD5</f>
        <v>6251.22580645161</v>
      </c>
      <c r="Y23" s="65">
        <f>固定费用录入!AE5</f>
        <v>6251.22580645161</v>
      </c>
      <c r="Z23" s="65">
        <f>固定费用录入!AF5</f>
        <v>6251.22580645161</v>
      </c>
      <c r="AA23" s="65">
        <f>固定费用录入!AG5</f>
        <v>6251.22580645161</v>
      </c>
      <c r="AB23" s="65">
        <f>固定费用录入!AH5</f>
        <v>6251.22580645161</v>
      </c>
      <c r="AC23" s="65">
        <f>固定费用录入!AI5</f>
        <v>6251.22580645161</v>
      </c>
      <c r="AD23" s="65">
        <f>固定费用录入!AJ5</f>
        <v>6251.22580645161</v>
      </c>
      <c r="AE23" s="65">
        <f>固定费用录入!AK5</f>
        <v>6251.22580645161</v>
      </c>
      <c r="AF23" s="65">
        <f>固定费用录入!AL5</f>
        <v>6251.22580645161</v>
      </c>
      <c r="AG23" s="65">
        <f t="shared" si="3"/>
        <v>193788</v>
      </c>
    </row>
    <row r="24" customHeight="1" spans="1:33">
      <c r="A24" s="7" t="s">
        <v>675</v>
      </c>
      <c r="B24" s="22">
        <f>固定费用录入!H6</f>
        <v>893.032258064516</v>
      </c>
      <c r="C24" s="22">
        <f>固定费用录入!I6</f>
        <v>893.032258064516</v>
      </c>
      <c r="D24" s="22">
        <f>固定费用录入!J6</f>
        <v>893.032258064516</v>
      </c>
      <c r="E24" s="22">
        <f>固定费用录入!K6</f>
        <v>893.032258064516</v>
      </c>
      <c r="F24" s="22">
        <f>固定费用录入!L6</f>
        <v>893.032258064516</v>
      </c>
      <c r="G24" s="22">
        <f>固定费用录入!M6</f>
        <v>893.032258064516</v>
      </c>
      <c r="H24" s="22">
        <f>固定费用录入!N6</f>
        <v>893.032258064516</v>
      </c>
      <c r="I24" s="22">
        <f>固定费用录入!O6</f>
        <v>893.032258064516</v>
      </c>
      <c r="J24" s="22">
        <f>固定费用录入!P6</f>
        <v>893.032258064516</v>
      </c>
      <c r="K24" s="22">
        <f>固定费用录入!Q6</f>
        <v>893.032258064516</v>
      </c>
      <c r="L24" s="22">
        <f>固定费用录入!R6</f>
        <v>893.032258064516</v>
      </c>
      <c r="M24" s="22">
        <f>固定费用录入!S6</f>
        <v>893.032258064516</v>
      </c>
      <c r="N24" s="22">
        <f>固定费用录入!T6</f>
        <v>893.032258064516</v>
      </c>
      <c r="O24" s="22">
        <f>固定费用录入!U6</f>
        <v>893.032258064516</v>
      </c>
      <c r="P24" s="22">
        <f>固定费用录入!V6</f>
        <v>893.032258064516</v>
      </c>
      <c r="Q24" s="22">
        <f>固定费用录入!W6</f>
        <v>893.032258064516</v>
      </c>
      <c r="R24" s="22">
        <f>固定费用录入!X6</f>
        <v>893.032258064516</v>
      </c>
      <c r="S24" s="22">
        <f>固定费用录入!Y6</f>
        <v>893.032258064516</v>
      </c>
      <c r="T24" s="22">
        <f>固定费用录入!Z6</f>
        <v>893.032258064516</v>
      </c>
      <c r="U24" s="22">
        <f>固定费用录入!AA6</f>
        <v>893.032258064516</v>
      </c>
      <c r="V24" s="22">
        <f>固定费用录入!AB6</f>
        <v>893.032258064516</v>
      </c>
      <c r="W24" s="22">
        <f>固定费用录入!AC6</f>
        <v>893.032258064516</v>
      </c>
      <c r="X24" s="22">
        <f>固定费用录入!AD6</f>
        <v>893.032258064516</v>
      </c>
      <c r="Y24" s="22">
        <f>固定费用录入!AE6</f>
        <v>893.032258064516</v>
      </c>
      <c r="Z24" s="22">
        <f>固定费用录入!AF6</f>
        <v>893.032258064516</v>
      </c>
      <c r="AA24" s="22">
        <f>固定费用录入!AG6</f>
        <v>893.032258064516</v>
      </c>
      <c r="AB24" s="22">
        <f>固定费用录入!AH6</f>
        <v>893.032258064516</v>
      </c>
      <c r="AC24" s="22">
        <f>固定费用录入!AI6</f>
        <v>893.032258064516</v>
      </c>
      <c r="AD24" s="22">
        <f>固定费用录入!AJ6</f>
        <v>893.032258064516</v>
      </c>
      <c r="AE24" s="22">
        <f>固定费用录入!AK6</f>
        <v>893.032258064516</v>
      </c>
      <c r="AF24" s="22">
        <f>固定费用录入!AL6</f>
        <v>893.032258064516</v>
      </c>
      <c r="AG24" s="10">
        <f t="shared" si="3"/>
        <v>27684</v>
      </c>
    </row>
    <row r="25" customHeight="1" spans="1:33">
      <c r="A25" s="7" t="s">
        <v>716</v>
      </c>
      <c r="B25" s="22">
        <f>固定费用录入!H7</f>
        <v>63.3225806451613</v>
      </c>
      <c r="C25" s="22">
        <f>固定费用录入!I7</f>
        <v>63.3225806451613</v>
      </c>
      <c r="D25" s="22">
        <f>固定费用录入!J7</f>
        <v>63.3225806451613</v>
      </c>
      <c r="E25" s="22">
        <f>固定费用录入!K7</f>
        <v>63.3225806451613</v>
      </c>
      <c r="F25" s="22">
        <f>固定费用录入!L7</f>
        <v>63.3225806451613</v>
      </c>
      <c r="G25" s="22">
        <f>固定费用录入!M7</f>
        <v>63.3225806451613</v>
      </c>
      <c r="H25" s="22">
        <f>固定费用录入!N7</f>
        <v>63.3225806451613</v>
      </c>
      <c r="I25" s="22">
        <f>固定费用录入!O7</f>
        <v>63.3225806451613</v>
      </c>
      <c r="J25" s="22">
        <f>固定费用录入!P7</f>
        <v>63.3225806451613</v>
      </c>
      <c r="K25" s="22">
        <f>固定费用录入!Q7</f>
        <v>63.3225806451613</v>
      </c>
      <c r="L25" s="22">
        <f>固定费用录入!R7</f>
        <v>63.3225806451613</v>
      </c>
      <c r="M25" s="22">
        <f>固定费用录入!S7</f>
        <v>63.3225806451613</v>
      </c>
      <c r="N25" s="22">
        <f>固定费用录入!T7</f>
        <v>63.3225806451613</v>
      </c>
      <c r="O25" s="22">
        <f>固定费用录入!U7</f>
        <v>63.3225806451613</v>
      </c>
      <c r="P25" s="22">
        <f>固定费用录入!V7</f>
        <v>63.3225806451613</v>
      </c>
      <c r="Q25" s="22">
        <f>固定费用录入!W7</f>
        <v>63.3225806451613</v>
      </c>
      <c r="R25" s="22">
        <f>固定费用录入!X7</f>
        <v>63.3225806451613</v>
      </c>
      <c r="S25" s="22">
        <f>固定费用录入!Y7</f>
        <v>63.3225806451613</v>
      </c>
      <c r="T25" s="22">
        <f>固定费用录入!Z7</f>
        <v>63.3225806451613</v>
      </c>
      <c r="U25" s="22">
        <f>固定费用录入!AA7</f>
        <v>63.3225806451613</v>
      </c>
      <c r="V25" s="22">
        <f>固定费用录入!AB7</f>
        <v>63.3225806451613</v>
      </c>
      <c r="W25" s="22">
        <f>固定费用录入!AC7</f>
        <v>63.3225806451613</v>
      </c>
      <c r="X25" s="22">
        <f>固定费用录入!AD7</f>
        <v>63.3225806451613</v>
      </c>
      <c r="Y25" s="22">
        <f>固定费用录入!AE7</f>
        <v>63.3225806451613</v>
      </c>
      <c r="Z25" s="22">
        <f>固定费用录入!AF7</f>
        <v>63.3225806451613</v>
      </c>
      <c r="AA25" s="22">
        <f>固定费用录入!AG7</f>
        <v>63.3225806451613</v>
      </c>
      <c r="AB25" s="22">
        <f>固定费用录入!AH7</f>
        <v>63.3225806451613</v>
      </c>
      <c r="AC25" s="22">
        <f>固定费用录入!AI7</f>
        <v>63.3225806451613</v>
      </c>
      <c r="AD25" s="22">
        <f>固定费用录入!AJ7</f>
        <v>63.3225806451613</v>
      </c>
      <c r="AE25" s="22">
        <f>固定费用录入!AK7</f>
        <v>63.3225806451613</v>
      </c>
      <c r="AF25" s="22">
        <f>固定费用录入!AL7</f>
        <v>63.3225806451613</v>
      </c>
      <c r="AG25" s="10">
        <f t="shared" si="3"/>
        <v>1963</v>
      </c>
    </row>
    <row r="26" customHeight="1" spans="1:33">
      <c r="A26" s="7" t="s">
        <v>717</v>
      </c>
      <c r="B26" s="22">
        <f>固定费用录入!H8</f>
        <v>38.7096774193548</v>
      </c>
      <c r="C26" s="22">
        <f>固定费用录入!I8</f>
        <v>38.7096774193548</v>
      </c>
      <c r="D26" s="22">
        <f>固定费用录入!J8</f>
        <v>38.7096774193548</v>
      </c>
      <c r="E26" s="22">
        <f>固定费用录入!K8</f>
        <v>38.7096774193548</v>
      </c>
      <c r="F26" s="22">
        <f>固定费用录入!L8</f>
        <v>38.7096774193548</v>
      </c>
      <c r="G26" s="22">
        <f>固定费用录入!M8</f>
        <v>38.7096774193548</v>
      </c>
      <c r="H26" s="22">
        <f>固定费用录入!N8</f>
        <v>38.7096774193548</v>
      </c>
      <c r="I26" s="22">
        <f>固定费用录入!O8</f>
        <v>38.7096774193548</v>
      </c>
      <c r="J26" s="22">
        <f>固定费用录入!P8</f>
        <v>38.7096774193548</v>
      </c>
      <c r="K26" s="22">
        <f>固定费用录入!Q8</f>
        <v>38.7096774193548</v>
      </c>
      <c r="L26" s="22">
        <f>固定费用录入!R8</f>
        <v>38.7096774193548</v>
      </c>
      <c r="M26" s="22">
        <f>固定费用录入!S8</f>
        <v>38.7096774193548</v>
      </c>
      <c r="N26" s="22">
        <f>固定费用录入!T8</f>
        <v>38.7096774193548</v>
      </c>
      <c r="O26" s="22">
        <f>固定费用录入!U8</f>
        <v>38.7096774193548</v>
      </c>
      <c r="P26" s="22">
        <f>固定费用录入!V8</f>
        <v>38.7096774193548</v>
      </c>
      <c r="Q26" s="22">
        <f>固定费用录入!W8</f>
        <v>38.7096774193548</v>
      </c>
      <c r="R26" s="22">
        <f>固定费用录入!X8</f>
        <v>38.7096774193548</v>
      </c>
      <c r="S26" s="22">
        <f>固定费用录入!Y8</f>
        <v>38.7096774193548</v>
      </c>
      <c r="T26" s="22">
        <f>固定费用录入!Z8</f>
        <v>38.7096774193548</v>
      </c>
      <c r="U26" s="22">
        <f>固定费用录入!AA8</f>
        <v>38.7096774193548</v>
      </c>
      <c r="V26" s="22">
        <f>固定费用录入!AB8</f>
        <v>38.7096774193548</v>
      </c>
      <c r="W26" s="22">
        <f>固定费用录入!AC8</f>
        <v>38.7096774193548</v>
      </c>
      <c r="X26" s="22">
        <f>固定费用录入!AD8</f>
        <v>38.7096774193548</v>
      </c>
      <c r="Y26" s="22">
        <f>固定费用录入!AE8</f>
        <v>38.7096774193548</v>
      </c>
      <c r="Z26" s="22">
        <f>固定费用录入!AF8</f>
        <v>38.7096774193548</v>
      </c>
      <c r="AA26" s="22">
        <f>固定费用录入!AG8</f>
        <v>38.7096774193548</v>
      </c>
      <c r="AB26" s="22">
        <f>固定费用录入!AH8</f>
        <v>38.7096774193548</v>
      </c>
      <c r="AC26" s="22">
        <f>固定费用录入!AI8</f>
        <v>38.7096774193548</v>
      </c>
      <c r="AD26" s="22">
        <f>固定费用录入!AJ8</f>
        <v>38.7096774193548</v>
      </c>
      <c r="AE26" s="22">
        <f>固定费用录入!AK8</f>
        <v>38.7096774193548</v>
      </c>
      <c r="AF26" s="22">
        <f>固定费用录入!AL8</f>
        <v>38.7096774193548</v>
      </c>
      <c r="AG26" s="10">
        <f t="shared" si="3"/>
        <v>1200</v>
      </c>
    </row>
    <row r="27" customHeight="1" spans="1:33">
      <c r="A27" s="7" t="s">
        <v>718</v>
      </c>
      <c r="B27" s="22">
        <f t="shared" ref="B27:AF27" si="4">B11*0.01</f>
        <v>249.3505</v>
      </c>
      <c r="C27" s="22">
        <f t="shared" si="4"/>
        <v>267.0406</v>
      </c>
      <c r="D27" s="22">
        <f t="shared" si="4"/>
        <v>275.0644</v>
      </c>
      <c r="E27" s="22">
        <f t="shared" si="4"/>
        <v>377.3901</v>
      </c>
      <c r="F27" s="22">
        <f t="shared" si="4"/>
        <v>332.1614</v>
      </c>
      <c r="G27" s="22">
        <f t="shared" si="4"/>
        <v>362.2548</v>
      </c>
      <c r="H27" s="22">
        <f t="shared" si="4"/>
        <v>377.5683</v>
      </c>
      <c r="I27" s="22">
        <f t="shared" si="4"/>
        <v>402.9232</v>
      </c>
      <c r="J27" s="22">
        <f t="shared" si="4"/>
        <v>388.4919</v>
      </c>
      <c r="K27" s="22">
        <f t="shared" si="4"/>
        <v>411.8714</v>
      </c>
      <c r="L27" s="22">
        <f t="shared" si="4"/>
        <v>387.8798</v>
      </c>
      <c r="M27" s="22">
        <f t="shared" si="4"/>
        <v>296.7496</v>
      </c>
      <c r="N27" s="22">
        <f t="shared" si="4"/>
        <v>276.9496</v>
      </c>
      <c r="O27" s="22">
        <f t="shared" si="4"/>
        <v>320.9375</v>
      </c>
      <c r="P27" s="22">
        <f t="shared" si="4"/>
        <v>369.9405</v>
      </c>
      <c r="Q27" s="22">
        <f t="shared" si="4"/>
        <v>329.8074</v>
      </c>
      <c r="R27" s="22">
        <f t="shared" si="4"/>
        <v>385.3245</v>
      </c>
      <c r="S27" s="22">
        <f t="shared" si="4"/>
        <v>358.6266</v>
      </c>
      <c r="T27" s="22">
        <f t="shared" si="4"/>
        <v>288.8498</v>
      </c>
      <c r="U27" s="22">
        <f t="shared" si="4"/>
        <v>346.4923</v>
      </c>
      <c r="V27" s="22">
        <f t="shared" si="4"/>
        <v>402.4985</v>
      </c>
      <c r="W27" s="22">
        <f t="shared" si="4"/>
        <v>31.0919</v>
      </c>
      <c r="X27" s="22">
        <f t="shared" si="4"/>
        <v>335.3793</v>
      </c>
      <c r="Y27" s="22">
        <f t="shared" si="4"/>
        <v>305.9361</v>
      </c>
      <c r="Z27" s="22">
        <f t="shared" si="4"/>
        <v>355.9526</v>
      </c>
      <c r="AA27" s="22">
        <f t="shared" si="4"/>
        <v>261.7171</v>
      </c>
      <c r="AB27" s="22">
        <f t="shared" si="4"/>
        <v>318.351</v>
      </c>
      <c r="AC27" s="22">
        <f t="shared" si="4"/>
        <v>367.5767</v>
      </c>
      <c r="AD27" s="22">
        <f t="shared" si="4"/>
        <v>367.8117</v>
      </c>
      <c r="AE27" s="22">
        <f t="shared" si="4"/>
        <v>392.4754</v>
      </c>
      <c r="AF27" s="22">
        <f t="shared" si="4"/>
        <v>2.9688</v>
      </c>
      <c r="AG27" s="10">
        <f t="shared" si="3"/>
        <v>9947.4333</v>
      </c>
    </row>
    <row r="28" customHeight="1" spans="1:33">
      <c r="A28" s="7" t="s">
        <v>719</v>
      </c>
      <c r="B28" s="7">
        <f t="shared" ref="B28:AF28" si="5">B11*0.01</f>
        <v>249.3505</v>
      </c>
      <c r="C28" s="7">
        <f t="shared" si="5"/>
        <v>267.0406</v>
      </c>
      <c r="D28" s="7">
        <f t="shared" si="5"/>
        <v>275.0644</v>
      </c>
      <c r="E28" s="7">
        <f t="shared" si="5"/>
        <v>377.3901</v>
      </c>
      <c r="F28" s="7">
        <f t="shared" si="5"/>
        <v>332.1614</v>
      </c>
      <c r="G28" s="7">
        <f t="shared" si="5"/>
        <v>362.2548</v>
      </c>
      <c r="H28" s="7">
        <f t="shared" si="5"/>
        <v>377.5683</v>
      </c>
      <c r="I28" s="7">
        <f t="shared" si="5"/>
        <v>402.9232</v>
      </c>
      <c r="J28" s="7">
        <f t="shared" si="5"/>
        <v>388.4919</v>
      </c>
      <c r="K28" s="7">
        <f t="shared" si="5"/>
        <v>411.8714</v>
      </c>
      <c r="L28" s="7">
        <f t="shared" si="5"/>
        <v>387.8798</v>
      </c>
      <c r="M28" s="7">
        <f t="shared" si="5"/>
        <v>296.7496</v>
      </c>
      <c r="N28" s="7">
        <f t="shared" si="5"/>
        <v>276.9496</v>
      </c>
      <c r="O28" s="7">
        <f t="shared" si="5"/>
        <v>320.9375</v>
      </c>
      <c r="P28" s="7">
        <f t="shared" si="5"/>
        <v>369.9405</v>
      </c>
      <c r="Q28" s="7">
        <f t="shared" si="5"/>
        <v>329.8074</v>
      </c>
      <c r="R28" s="7">
        <f t="shared" si="5"/>
        <v>385.3245</v>
      </c>
      <c r="S28" s="7">
        <f t="shared" si="5"/>
        <v>358.6266</v>
      </c>
      <c r="T28" s="7">
        <f t="shared" si="5"/>
        <v>288.8498</v>
      </c>
      <c r="U28" s="7">
        <f t="shared" si="5"/>
        <v>346.4923</v>
      </c>
      <c r="V28" s="7">
        <f t="shared" si="5"/>
        <v>402.4985</v>
      </c>
      <c r="W28" s="7">
        <f t="shared" si="5"/>
        <v>31.0919</v>
      </c>
      <c r="X28" s="7">
        <f t="shared" si="5"/>
        <v>335.3793</v>
      </c>
      <c r="Y28" s="7">
        <f t="shared" si="5"/>
        <v>305.9361</v>
      </c>
      <c r="Z28" s="7">
        <f t="shared" si="5"/>
        <v>355.9526</v>
      </c>
      <c r="AA28" s="7">
        <f t="shared" si="5"/>
        <v>261.7171</v>
      </c>
      <c r="AB28" s="7">
        <f t="shared" si="5"/>
        <v>318.351</v>
      </c>
      <c r="AC28" s="7">
        <f t="shared" si="5"/>
        <v>367.5767</v>
      </c>
      <c r="AD28" s="7">
        <f t="shared" si="5"/>
        <v>367.8117</v>
      </c>
      <c r="AE28" s="7">
        <f t="shared" si="5"/>
        <v>392.4754</v>
      </c>
      <c r="AF28" s="7">
        <f t="shared" si="5"/>
        <v>2.9688</v>
      </c>
      <c r="AG28" s="10">
        <f t="shared" si="3"/>
        <v>9947.4333</v>
      </c>
    </row>
    <row r="29" customHeight="1" spans="1:33">
      <c r="A29" s="63" t="s">
        <v>720</v>
      </c>
      <c r="B29" s="63">
        <f>SUM(B12:B28)</f>
        <v>14454.7936225806</v>
      </c>
      <c r="C29" s="63">
        <f t="shared" ref="C29:AF29" si="6">SUM(C12:C28)</f>
        <v>12790.3690517476</v>
      </c>
      <c r="D29" s="63">
        <f t="shared" si="6"/>
        <v>15304.0072788306</v>
      </c>
      <c r="E29" s="63">
        <f t="shared" si="6"/>
        <v>13289.3167225806</v>
      </c>
      <c r="F29" s="63">
        <f t="shared" si="6"/>
        <v>17762.9787850806</v>
      </c>
      <c r="G29" s="63">
        <f t="shared" si="6"/>
        <v>13904.1734225806</v>
      </c>
      <c r="H29" s="63">
        <f t="shared" si="6"/>
        <v>13491.4654038306</v>
      </c>
      <c r="I29" s="63">
        <f t="shared" si="6"/>
        <v>15602.7879225806</v>
      </c>
      <c r="J29" s="63">
        <f t="shared" si="6"/>
        <v>14076.6792225806</v>
      </c>
      <c r="K29" s="63">
        <f t="shared" si="6"/>
        <v>14347.5944225806</v>
      </c>
      <c r="L29" s="63">
        <f t="shared" si="6"/>
        <v>15225.1991225806</v>
      </c>
      <c r="M29" s="63">
        <f t="shared" si="6"/>
        <v>14844.2346975806</v>
      </c>
      <c r="N29" s="63">
        <f t="shared" si="6"/>
        <v>15180.3904163306</v>
      </c>
      <c r="O29" s="63">
        <f t="shared" si="6"/>
        <v>14482.0022038306</v>
      </c>
      <c r="P29" s="63">
        <f t="shared" si="6"/>
        <v>13274.3471225806</v>
      </c>
      <c r="Q29" s="63">
        <f t="shared" si="6"/>
        <v>13670.7620975806</v>
      </c>
      <c r="R29" s="63">
        <f t="shared" si="6"/>
        <v>15947.7295225806</v>
      </c>
      <c r="S29" s="63">
        <f t="shared" si="6"/>
        <v>13108.3317163306</v>
      </c>
      <c r="T29" s="63">
        <f t="shared" si="6"/>
        <v>16599.2352038306</v>
      </c>
      <c r="U29" s="63">
        <f t="shared" si="6"/>
        <v>13510.9427892486</v>
      </c>
      <c r="V29" s="63">
        <f t="shared" si="6"/>
        <v>14890.1389704986</v>
      </c>
      <c r="W29" s="63">
        <f t="shared" si="6"/>
        <v>14647.0472788306</v>
      </c>
      <c r="X29" s="63">
        <f t="shared" si="6"/>
        <v>14109.6372475806</v>
      </c>
      <c r="Y29" s="63">
        <f t="shared" si="6"/>
        <v>16965.0147524426</v>
      </c>
      <c r="Z29" s="63">
        <f t="shared" si="6"/>
        <v>15859.3470656366</v>
      </c>
      <c r="AA29" s="63">
        <f t="shared" si="6"/>
        <v>15652.1512211926</v>
      </c>
      <c r="AB29" s="63">
        <f t="shared" si="6"/>
        <v>18284.5292225806</v>
      </c>
      <c r="AC29" s="63">
        <f t="shared" si="6"/>
        <v>14074.3728163306</v>
      </c>
      <c r="AD29" s="63">
        <f t="shared" si="6"/>
        <v>14914.9637100806</v>
      </c>
      <c r="AE29" s="63">
        <f t="shared" si="6"/>
        <v>16664.8620038306</v>
      </c>
      <c r="AF29" s="63">
        <f t="shared" si="6"/>
        <v>14903.8733225806</v>
      </c>
      <c r="AG29" s="10">
        <f t="shared" si="3"/>
        <v>461833.278359033</v>
      </c>
    </row>
    <row r="30" customHeight="1" spans="1:33">
      <c r="A30" s="7" t="s">
        <v>699</v>
      </c>
      <c r="B30" s="22">
        <f>VLOOKUP($A30,收入及其他项目!$A:$AI,MATCH(B$1,收入及其他项目!$A$1:$AI$1,),)</f>
        <v>0</v>
      </c>
      <c r="C30" s="22">
        <f>VLOOKUP($A30,收入及其他项目!$A:$AI,MATCH(C$1,收入及其他项目!$A$1:$AI$1,),)</f>
        <v>0</v>
      </c>
      <c r="D30" s="22">
        <f>VLOOKUP($A30,收入及其他项目!$A:$AI,MATCH(D$1,收入及其他项目!$A$1:$AI$1,),)</f>
        <v>0</v>
      </c>
      <c r="E30" s="22">
        <f>VLOOKUP($A30,收入及其他项目!$A:$AI,MATCH(E$1,收入及其他项目!$A$1:$AI$1,),)</f>
        <v>0</v>
      </c>
      <c r="F30" s="22">
        <f>VLOOKUP($A30,收入及其他项目!$A:$AI,MATCH(F$1,收入及其他项目!$A$1:$AI$1,),)</f>
        <v>0</v>
      </c>
      <c r="G30" s="22">
        <f>VLOOKUP($A30,收入及其他项目!$A:$AI,MATCH(G$1,收入及其他项目!$A$1:$AI$1,),)</f>
        <v>0</v>
      </c>
      <c r="H30" s="22">
        <f>VLOOKUP($A30,收入及其他项目!$A:$AI,MATCH(H$1,收入及其他项目!$A$1:$AI$1,),)</f>
        <v>0</v>
      </c>
      <c r="I30" s="22">
        <f>VLOOKUP($A30,收入及其他项目!$A:$AI,MATCH(I$1,收入及其他项目!$A$1:$AI$1,),)</f>
        <v>0</v>
      </c>
      <c r="J30" s="22">
        <f>VLOOKUP($A30,收入及其他项目!$A:$AI,MATCH(J$1,收入及其他项目!$A$1:$AI$1,),)</f>
        <v>0</v>
      </c>
      <c r="K30" s="22">
        <f>VLOOKUP($A30,收入及其他项目!$A:$AI,MATCH(K$1,收入及其他项目!$A$1:$AI$1,),)</f>
        <v>0</v>
      </c>
      <c r="L30" s="22">
        <f>VLOOKUP($A30,收入及其他项目!$A:$AI,MATCH(L$1,收入及其他项目!$A$1:$AI$1,),)</f>
        <v>0</v>
      </c>
      <c r="M30" s="22">
        <f>VLOOKUP($A30,收入及其他项目!$A:$AI,MATCH(M$1,收入及其他项目!$A$1:$AI$1,),)</f>
        <v>0</v>
      </c>
      <c r="N30" s="22">
        <f>VLOOKUP($A30,收入及其他项目!$A:$AI,MATCH(N$1,收入及其他项目!$A$1:$AI$1,),)</f>
        <v>0</v>
      </c>
      <c r="O30" s="22">
        <f>VLOOKUP($A30,收入及其他项目!$A:$AI,MATCH(O$1,收入及其他项目!$A$1:$AI$1,),)</f>
        <v>0</v>
      </c>
      <c r="P30" s="22">
        <f>VLOOKUP($A30,收入及其他项目!$A:$AI,MATCH(P$1,收入及其他项目!$A$1:$AI$1,),)</f>
        <v>0</v>
      </c>
      <c r="Q30" s="22">
        <f>VLOOKUP($A30,收入及其他项目!$A:$AI,MATCH(Q$1,收入及其他项目!$A$1:$AI$1,),)</f>
        <v>0</v>
      </c>
      <c r="R30" s="22">
        <f>VLOOKUP($A30,收入及其他项目!$A:$AI,MATCH(R$1,收入及其他项目!$A$1:$AI$1,),)</f>
        <v>0</v>
      </c>
      <c r="S30" s="22">
        <f>VLOOKUP($A30,收入及其他项目!$A:$AI,MATCH(S$1,收入及其他项目!$A$1:$AI$1,),)</f>
        <v>0</v>
      </c>
      <c r="T30" s="22">
        <f>VLOOKUP($A30,收入及其他项目!$A:$AI,MATCH(T$1,收入及其他项目!$A$1:$AI$1,),)</f>
        <v>0</v>
      </c>
      <c r="U30" s="22">
        <f>VLOOKUP($A30,收入及其他项目!$A:$AI,MATCH(U$1,收入及其他项目!$A$1:$AI$1,),)</f>
        <v>0</v>
      </c>
      <c r="V30" s="22">
        <f>VLOOKUP($A30,收入及其他项目!$A:$AI,MATCH(V$1,收入及其他项目!$A$1:$AI$1,),)</f>
        <v>0</v>
      </c>
      <c r="W30" s="22">
        <f>VLOOKUP($A30,收入及其他项目!$A:$AI,MATCH(W$1,收入及其他项目!$A$1:$AI$1,),)</f>
        <v>0</v>
      </c>
      <c r="X30" s="22">
        <f>VLOOKUP($A30,收入及其他项目!$A:$AI,MATCH(X$1,收入及其他项目!$A$1:$AI$1,),)</f>
        <v>0</v>
      </c>
      <c r="Y30" s="22">
        <f>VLOOKUP($A30,收入及其他项目!$A:$AI,MATCH(Y$1,收入及其他项目!$A$1:$AI$1,),)</f>
        <v>0</v>
      </c>
      <c r="Z30" s="22">
        <f>VLOOKUP($A30,收入及其他项目!$A:$AI,MATCH(Z$1,收入及其他项目!$A$1:$AI$1,),)</f>
        <v>0</v>
      </c>
      <c r="AA30" s="22">
        <f>VLOOKUP($A30,收入及其他项目!$A:$AI,MATCH(AA$1,收入及其他项目!$A$1:$AI$1,),)</f>
        <v>0</v>
      </c>
      <c r="AB30" s="22">
        <f>VLOOKUP($A30,收入及其他项目!$A:$AI,MATCH(AB$1,收入及其他项目!$A$1:$AI$1,),)</f>
        <v>0</v>
      </c>
      <c r="AC30" s="22">
        <f>VLOOKUP($A30,收入及其他项目!$A:$AI,MATCH(AC$1,收入及其他项目!$A$1:$AI$1,),)</f>
        <v>0</v>
      </c>
      <c r="AD30" s="22">
        <f>VLOOKUP($A30,收入及其他项目!$A:$AI,MATCH(AD$1,收入及其他项目!$A$1:$AI$1,),)</f>
        <v>0</v>
      </c>
      <c r="AE30" s="22">
        <f>VLOOKUP($A30,收入及其他项目!$A:$AI,MATCH(AE$1,收入及其他项目!$A$1:$AI$1,),)</f>
        <v>0</v>
      </c>
      <c r="AF30" s="22">
        <f>VLOOKUP($A30,收入及其他项目!$A:$AI,MATCH(AF$1,收入及其他项目!$A$1:$AI$1,),)</f>
        <v>0</v>
      </c>
      <c r="AG30" s="10">
        <f t="shared" si="3"/>
        <v>0</v>
      </c>
    </row>
    <row r="31" customHeight="1" spans="1:33">
      <c r="A31" s="7" t="s">
        <v>700</v>
      </c>
      <c r="B31" s="22">
        <f>VLOOKUP($A31,收入及其他项目!$A:$AI,MATCH(B$1,收入及其他项目!$A$1:$AI$1,),)</f>
        <v>0</v>
      </c>
      <c r="C31" s="22">
        <f>VLOOKUP($A31,收入及其他项目!$A:$AI,MATCH(C$1,收入及其他项目!$A$1:$AI$1,),)</f>
        <v>0</v>
      </c>
      <c r="D31" s="22">
        <f>VLOOKUP($A31,收入及其他项目!$A:$AI,MATCH(D$1,收入及其他项目!$A$1:$AI$1,),)</f>
        <v>0</v>
      </c>
      <c r="E31" s="22">
        <f>VLOOKUP($A31,收入及其他项目!$A:$AI,MATCH(E$1,收入及其他项目!$A$1:$AI$1,),)</f>
        <v>0</v>
      </c>
      <c r="F31" s="22">
        <f>VLOOKUP($A31,收入及其他项目!$A:$AI,MATCH(F$1,收入及其他项目!$A$1:$AI$1,),)</f>
        <v>0</v>
      </c>
      <c r="G31" s="22">
        <f>VLOOKUP($A31,收入及其他项目!$A:$AI,MATCH(G$1,收入及其他项目!$A$1:$AI$1,),)</f>
        <v>0</v>
      </c>
      <c r="H31" s="22">
        <f>VLOOKUP($A31,收入及其他项目!$A:$AI,MATCH(H$1,收入及其他项目!$A$1:$AI$1,),)</f>
        <v>0</v>
      </c>
      <c r="I31" s="22">
        <f>VLOOKUP($A31,收入及其他项目!$A:$AI,MATCH(I$1,收入及其他项目!$A$1:$AI$1,),)</f>
        <v>0</v>
      </c>
      <c r="J31" s="22">
        <f>VLOOKUP($A31,收入及其他项目!$A:$AI,MATCH(J$1,收入及其他项目!$A$1:$AI$1,),)</f>
        <v>0</v>
      </c>
      <c r="K31" s="22">
        <f>VLOOKUP($A31,收入及其他项目!$A:$AI,MATCH(K$1,收入及其他项目!$A$1:$AI$1,),)</f>
        <v>0</v>
      </c>
      <c r="L31" s="22">
        <f>VLOOKUP($A31,收入及其他项目!$A:$AI,MATCH(L$1,收入及其他项目!$A$1:$AI$1,),)</f>
        <v>0</v>
      </c>
      <c r="M31" s="22">
        <f>VLOOKUP($A31,收入及其他项目!$A:$AI,MATCH(M$1,收入及其他项目!$A$1:$AI$1,),)</f>
        <v>0</v>
      </c>
      <c r="N31" s="22">
        <f>VLOOKUP($A31,收入及其他项目!$A:$AI,MATCH(N$1,收入及其他项目!$A$1:$AI$1,),)</f>
        <v>0</v>
      </c>
      <c r="O31" s="22">
        <f>VLOOKUP($A31,收入及其他项目!$A:$AI,MATCH(O$1,收入及其他项目!$A$1:$AI$1,),)</f>
        <v>0</v>
      </c>
      <c r="P31" s="22">
        <f>VLOOKUP($A31,收入及其他项目!$A:$AI,MATCH(P$1,收入及其他项目!$A$1:$AI$1,),)</f>
        <v>0</v>
      </c>
      <c r="Q31" s="22">
        <f>VLOOKUP($A31,收入及其他项目!$A:$AI,MATCH(Q$1,收入及其他项目!$A$1:$AI$1,),)</f>
        <v>0</v>
      </c>
      <c r="R31" s="22">
        <f>VLOOKUP($A31,收入及其他项目!$A:$AI,MATCH(R$1,收入及其他项目!$A$1:$AI$1,),)</f>
        <v>0</v>
      </c>
      <c r="S31" s="22">
        <f>VLOOKUP($A31,收入及其他项目!$A:$AI,MATCH(S$1,收入及其他项目!$A$1:$AI$1,),)</f>
        <v>0</v>
      </c>
      <c r="T31" s="22">
        <f>VLOOKUP($A31,收入及其他项目!$A:$AI,MATCH(T$1,收入及其他项目!$A$1:$AI$1,),)</f>
        <v>0</v>
      </c>
      <c r="U31" s="22">
        <f>VLOOKUP($A31,收入及其他项目!$A:$AI,MATCH(U$1,收入及其他项目!$A$1:$AI$1,),)</f>
        <v>0</v>
      </c>
      <c r="V31" s="22">
        <f>VLOOKUP($A31,收入及其他项目!$A:$AI,MATCH(V$1,收入及其他项目!$A$1:$AI$1,),)</f>
        <v>0</v>
      </c>
      <c r="W31" s="22">
        <f>VLOOKUP($A31,收入及其他项目!$A:$AI,MATCH(W$1,收入及其他项目!$A$1:$AI$1,),)</f>
        <v>0</v>
      </c>
      <c r="X31" s="22">
        <f>VLOOKUP($A31,收入及其他项目!$A:$AI,MATCH(X$1,收入及其他项目!$A$1:$AI$1,),)</f>
        <v>0</v>
      </c>
      <c r="Y31" s="22">
        <f>VLOOKUP($A31,收入及其他项目!$A:$AI,MATCH(Y$1,收入及其他项目!$A$1:$AI$1,),)</f>
        <v>0</v>
      </c>
      <c r="Z31" s="22">
        <f>VLOOKUP($A31,收入及其他项目!$A:$AI,MATCH(Z$1,收入及其他项目!$A$1:$AI$1,),)</f>
        <v>0</v>
      </c>
      <c r="AA31" s="22">
        <f>VLOOKUP($A31,收入及其他项目!$A:$AI,MATCH(AA$1,收入及其他项目!$A$1:$AI$1,),)</f>
        <v>0</v>
      </c>
      <c r="AB31" s="22">
        <f>VLOOKUP($A31,收入及其他项目!$A:$AI,MATCH(AB$1,收入及其他项目!$A$1:$AI$1,),)</f>
        <v>0</v>
      </c>
      <c r="AC31" s="22">
        <f>VLOOKUP($A31,收入及其他项目!$A:$AI,MATCH(AC$1,收入及其他项目!$A$1:$AI$1,),)</f>
        <v>0</v>
      </c>
      <c r="AD31" s="22">
        <f>VLOOKUP($A31,收入及其他项目!$A:$AI,MATCH(AD$1,收入及其他项目!$A$1:$AI$1,),)</f>
        <v>0</v>
      </c>
      <c r="AE31" s="22">
        <f>VLOOKUP($A31,收入及其他项目!$A:$AI,MATCH(AE$1,收入及其他项目!$A$1:$AI$1,),)</f>
        <v>0</v>
      </c>
      <c r="AF31" s="22">
        <f>VLOOKUP($A31,收入及其他项目!$A:$AI,MATCH(AF$1,收入及其他项目!$A$1:$AI$1,),)</f>
        <v>0</v>
      </c>
      <c r="AG31" s="10">
        <f t="shared" si="3"/>
        <v>0</v>
      </c>
    </row>
    <row r="32" customHeight="1" spans="1:33">
      <c r="A32" s="7" t="s">
        <v>701</v>
      </c>
      <c r="B32" s="22">
        <f>VLOOKUP($A32,收入及其他项目!$A:$AI,MATCH(B$1,收入及其他项目!$A$1:$AI$1,),)</f>
        <v>0</v>
      </c>
      <c r="C32" s="22">
        <f>VLOOKUP($A32,收入及其他项目!$A:$AI,MATCH(C$1,收入及其他项目!$A$1:$AI$1,),)</f>
        <v>0</v>
      </c>
      <c r="D32" s="22">
        <f>VLOOKUP($A32,收入及其他项目!$A:$AI,MATCH(D$1,收入及其他项目!$A$1:$AI$1,),)</f>
        <v>0</v>
      </c>
      <c r="E32" s="22">
        <f>VLOOKUP($A32,收入及其他项目!$A:$AI,MATCH(E$1,收入及其他项目!$A$1:$AI$1,),)</f>
        <v>0</v>
      </c>
      <c r="F32" s="22">
        <f>VLOOKUP($A32,收入及其他项目!$A:$AI,MATCH(F$1,收入及其他项目!$A$1:$AI$1,),)</f>
        <v>0</v>
      </c>
      <c r="G32" s="22">
        <f>VLOOKUP($A32,收入及其他项目!$A:$AI,MATCH(G$1,收入及其他项目!$A$1:$AI$1,),)</f>
        <v>0</v>
      </c>
      <c r="H32" s="22">
        <f>VLOOKUP($A32,收入及其他项目!$A:$AI,MATCH(H$1,收入及其他项目!$A$1:$AI$1,),)</f>
        <v>0</v>
      </c>
      <c r="I32" s="22">
        <f>VLOOKUP($A32,收入及其他项目!$A:$AI,MATCH(I$1,收入及其他项目!$A$1:$AI$1,),)</f>
        <v>0</v>
      </c>
      <c r="J32" s="22">
        <f>VLOOKUP($A32,收入及其他项目!$A:$AI,MATCH(J$1,收入及其他项目!$A$1:$AI$1,),)</f>
        <v>0</v>
      </c>
      <c r="K32" s="22">
        <f>VLOOKUP($A32,收入及其他项目!$A:$AI,MATCH(K$1,收入及其他项目!$A$1:$AI$1,),)</f>
        <v>0</v>
      </c>
      <c r="L32" s="22">
        <f>VLOOKUP($A32,收入及其他项目!$A:$AI,MATCH(L$1,收入及其他项目!$A$1:$AI$1,),)</f>
        <v>0</v>
      </c>
      <c r="M32" s="22">
        <f>VLOOKUP($A32,收入及其他项目!$A:$AI,MATCH(M$1,收入及其他项目!$A$1:$AI$1,),)</f>
        <v>0</v>
      </c>
      <c r="N32" s="22">
        <f>VLOOKUP($A32,收入及其他项目!$A:$AI,MATCH(N$1,收入及其他项目!$A$1:$AI$1,),)</f>
        <v>0</v>
      </c>
      <c r="O32" s="22">
        <f>VLOOKUP($A32,收入及其他项目!$A:$AI,MATCH(O$1,收入及其他项目!$A$1:$AI$1,),)</f>
        <v>0</v>
      </c>
      <c r="P32" s="22">
        <f>VLOOKUP($A32,收入及其他项目!$A:$AI,MATCH(P$1,收入及其他项目!$A$1:$AI$1,),)</f>
        <v>0</v>
      </c>
      <c r="Q32" s="22">
        <f>VLOOKUP($A32,收入及其他项目!$A:$AI,MATCH(Q$1,收入及其他项目!$A$1:$AI$1,),)</f>
        <v>0</v>
      </c>
      <c r="R32" s="22">
        <f>VLOOKUP($A32,收入及其他项目!$A:$AI,MATCH(R$1,收入及其他项目!$A$1:$AI$1,),)</f>
        <v>0</v>
      </c>
      <c r="S32" s="22">
        <f>VLOOKUP($A32,收入及其他项目!$A:$AI,MATCH(S$1,收入及其他项目!$A$1:$AI$1,),)</f>
        <v>0</v>
      </c>
      <c r="T32" s="22">
        <f>VLOOKUP($A32,收入及其他项目!$A:$AI,MATCH(T$1,收入及其他项目!$A$1:$AI$1,),)</f>
        <v>0</v>
      </c>
      <c r="U32" s="22">
        <f>VLOOKUP($A32,收入及其他项目!$A:$AI,MATCH(U$1,收入及其他项目!$A$1:$AI$1,),)</f>
        <v>0</v>
      </c>
      <c r="V32" s="22">
        <f>VLOOKUP($A32,收入及其他项目!$A:$AI,MATCH(V$1,收入及其他项目!$A$1:$AI$1,),)</f>
        <v>0</v>
      </c>
      <c r="W32" s="22">
        <f>VLOOKUP($A32,收入及其他项目!$A:$AI,MATCH(W$1,收入及其他项目!$A$1:$AI$1,),)</f>
        <v>0</v>
      </c>
      <c r="X32" s="22">
        <f>VLOOKUP($A32,收入及其他项目!$A:$AI,MATCH(X$1,收入及其他项目!$A$1:$AI$1,),)</f>
        <v>0</v>
      </c>
      <c r="Y32" s="22">
        <f>VLOOKUP($A32,收入及其他项目!$A:$AI,MATCH(Y$1,收入及其他项目!$A$1:$AI$1,),)</f>
        <v>0</v>
      </c>
      <c r="Z32" s="22">
        <f>VLOOKUP($A32,收入及其他项目!$A:$AI,MATCH(Z$1,收入及其他项目!$A$1:$AI$1,),)</f>
        <v>0</v>
      </c>
      <c r="AA32" s="22">
        <f>VLOOKUP($A32,收入及其他项目!$A:$AI,MATCH(AA$1,收入及其他项目!$A$1:$AI$1,),)</f>
        <v>0</v>
      </c>
      <c r="AB32" s="22">
        <f>VLOOKUP($A32,收入及其他项目!$A:$AI,MATCH(AB$1,收入及其他项目!$A$1:$AI$1,),)</f>
        <v>0</v>
      </c>
      <c r="AC32" s="22">
        <f>VLOOKUP($A32,收入及其他项目!$A:$AI,MATCH(AC$1,收入及其他项目!$A$1:$AI$1,),)</f>
        <v>0</v>
      </c>
      <c r="AD32" s="22">
        <f>VLOOKUP($A32,收入及其他项目!$A:$AI,MATCH(AD$1,收入及其他项目!$A$1:$AI$1,),)</f>
        <v>0</v>
      </c>
      <c r="AE32" s="22">
        <f>VLOOKUP($A32,收入及其他项目!$A:$AI,MATCH(AE$1,收入及其他项目!$A$1:$AI$1,),)</f>
        <v>0</v>
      </c>
      <c r="AF32" s="22">
        <f>VLOOKUP($A32,收入及其他项目!$A:$AI,MATCH(AF$1,收入及其他项目!$A$1:$AI$1,),)</f>
        <v>0</v>
      </c>
      <c r="AG32" s="10">
        <f t="shared" si="3"/>
        <v>0</v>
      </c>
    </row>
    <row r="33" customHeight="1" spans="1:33">
      <c r="A33" s="7" t="s">
        <v>702</v>
      </c>
      <c r="B33" s="22">
        <f>VLOOKUP($A33,收入及其他项目!$A:$AI,MATCH(B$1,收入及其他项目!$A$1:$AI$1,),)</f>
        <v>17.781</v>
      </c>
      <c r="C33" s="22">
        <f>VLOOKUP($A33,收入及其他项目!$A:$AI,MATCH(C$1,收入及其他项目!$A$1:$AI$1,),)</f>
        <v>10.08</v>
      </c>
      <c r="D33" s="22">
        <f>VLOOKUP($A33,收入及其他项目!$A:$AI,MATCH(D$1,收入及其他项目!$A$1:$AI$1,),)</f>
        <v>6.23</v>
      </c>
      <c r="E33" s="22">
        <f>VLOOKUP($A33,收入及其他项目!$A:$AI,MATCH(E$1,收入及其他项目!$A$1:$AI$1,),)</f>
        <v>6.8</v>
      </c>
      <c r="F33" s="22">
        <f>VLOOKUP($A33,收入及其他项目!$A:$AI,MATCH(F$1,收入及其他项目!$A$1:$AI$1,),)</f>
        <v>16.25</v>
      </c>
      <c r="G33" s="22">
        <f>VLOOKUP($A33,收入及其他项目!$A:$AI,MATCH(G$1,收入及其他项目!$A$1:$AI$1,),)</f>
        <v>32.1</v>
      </c>
      <c r="H33" s="22">
        <f>VLOOKUP($A33,收入及其他项目!$A:$AI,MATCH(H$1,收入及其他项目!$A$1:$AI$1,),)</f>
        <v>21.98</v>
      </c>
      <c r="I33" s="22">
        <f>VLOOKUP($A33,收入及其他项目!$A:$AI,MATCH(I$1,收入及其他项目!$A$1:$AI$1,),)</f>
        <v>15.8</v>
      </c>
      <c r="J33" s="22">
        <f>VLOOKUP($A33,收入及其他项目!$A:$AI,MATCH(J$1,收入及其他项目!$A$1:$AI$1,),)</f>
        <v>9.56</v>
      </c>
      <c r="K33" s="22">
        <f>VLOOKUP($A33,收入及其他项目!$A:$AI,MATCH(K$1,收入及其他项目!$A$1:$AI$1,),)</f>
        <v>37.28</v>
      </c>
      <c r="L33" s="22">
        <f>VLOOKUP($A33,收入及其他项目!$A:$AI,MATCH(L$1,收入及其他项目!$A$1:$AI$1,),)</f>
        <v>30.82</v>
      </c>
      <c r="M33" s="22">
        <f>VLOOKUP($A33,收入及其他项目!$A:$AI,MATCH(M$1,收入及其他项目!$A$1:$AI$1,),)</f>
        <v>6.61</v>
      </c>
      <c r="N33" s="22">
        <f>VLOOKUP($A33,收入及其他项目!$A:$AI,MATCH(N$1,收入及其他项目!$A$1:$AI$1,),)</f>
        <v>18.44</v>
      </c>
      <c r="O33" s="22">
        <f>VLOOKUP($A33,收入及其他项目!$A:$AI,MATCH(O$1,收入及其他项目!$A$1:$AI$1,),)</f>
        <v>23.01</v>
      </c>
      <c r="P33" s="22">
        <f>VLOOKUP($A33,收入及其他项目!$A:$AI,MATCH(P$1,收入及其他项目!$A$1:$AI$1,),)</f>
        <v>17.16</v>
      </c>
      <c r="Q33" s="22">
        <f>VLOOKUP($A33,收入及其他项目!$A:$AI,MATCH(Q$1,收入及其他项目!$A$1:$AI$1,),)</f>
        <v>13.95</v>
      </c>
      <c r="R33" s="22">
        <f>VLOOKUP($A33,收入及其他项目!$A:$AI,MATCH(R$1,收入及其他项目!$A$1:$AI$1,),)</f>
        <v>25.48</v>
      </c>
      <c r="S33" s="22">
        <f>VLOOKUP($A33,收入及其他项目!$A:$AI,MATCH(S$1,收入及其他项目!$A$1:$AI$1,),)</f>
        <v>8.85</v>
      </c>
      <c r="T33" s="22">
        <f>VLOOKUP($A33,收入及其他项目!$A:$AI,MATCH(T$1,收入及其他项目!$A$1:$AI$1,),)</f>
        <v>21.51</v>
      </c>
      <c r="U33" s="22">
        <f>VLOOKUP($A33,收入及其他项目!$A:$AI,MATCH(U$1,收入及其他项目!$A$1:$AI$1,),)</f>
        <v>27.98</v>
      </c>
      <c r="V33" s="22">
        <f>VLOOKUP($A33,收入及其他项目!$A:$AI,MATCH(V$1,收入及其他项目!$A$1:$AI$1,),)</f>
        <v>14.8</v>
      </c>
      <c r="W33" s="22">
        <f>VLOOKUP($A33,收入及其他项目!$A:$AI,MATCH(W$1,收入及其他项目!$A$1:$AI$1,),)</f>
        <v>16.13</v>
      </c>
      <c r="X33" s="22">
        <f>VLOOKUP($A33,收入及其他项目!$A:$AI,MATCH(X$1,收入及其他项目!$A$1:$AI$1,),)</f>
        <v>33.53</v>
      </c>
      <c r="Y33" s="22">
        <f>VLOOKUP($A33,收入及其他项目!$A:$AI,MATCH(Y$1,收入及其他项目!$A$1:$AI$1,),)</f>
        <v>43.16</v>
      </c>
      <c r="Z33" s="22">
        <f>VLOOKUP($A33,收入及其他项目!$A:$AI,MATCH(Z$1,收入及其他项目!$A$1:$AI$1,),)</f>
        <v>17.87</v>
      </c>
      <c r="AA33" s="22">
        <f>VLOOKUP($A33,收入及其他项目!$A:$AI,MATCH(AA$1,收入及其他项目!$A$1:$AI$1,),)</f>
        <v>31.36</v>
      </c>
      <c r="AB33" s="22">
        <f>VLOOKUP($A33,收入及其他项目!$A:$AI,MATCH(AB$1,收入及其他项目!$A$1:$AI$1,),)</f>
        <v>176.58</v>
      </c>
      <c r="AC33" s="22">
        <f>VLOOKUP($A33,收入及其他项目!$A:$AI,MATCH(AC$1,收入及其他项目!$A$1:$AI$1,),)</f>
        <v>12.9954</v>
      </c>
      <c r="AD33" s="22">
        <f>VLOOKUP($A33,收入及其他项目!$A:$AI,MATCH(AD$1,收入及其他项目!$A$1:$AI$1,),)</f>
        <v>13.97403</v>
      </c>
      <c r="AE33" s="22">
        <f>VLOOKUP($A33,收入及其他项目!$A:$AI,MATCH(AE$1,收入及其他项目!$A$1:$AI$1,),)</f>
        <v>26.262</v>
      </c>
      <c r="AF33" s="22">
        <f>VLOOKUP($A33,收入及其他项目!$A:$AI,MATCH(AF$1,收入及其他项目!$A$1:$AI$1,),)</f>
        <v>9.8274</v>
      </c>
      <c r="AG33" s="10">
        <f t="shared" si="3"/>
        <v>764.15983</v>
      </c>
    </row>
    <row r="34" customHeight="1" spans="1:33">
      <c r="A34" s="7" t="s">
        <v>703</v>
      </c>
      <c r="B34" s="22">
        <f>VLOOKUP($A34,收入及其他项目!$A:$AI,MATCH(B$1,收入及其他项目!$A$1:$AI$1,),)</f>
        <v>0</v>
      </c>
      <c r="C34" s="22">
        <f>VLOOKUP($A34,收入及其他项目!$A:$AI,MATCH(C$1,收入及其他项目!$A$1:$AI$1,),)</f>
        <v>0</v>
      </c>
      <c r="D34" s="22">
        <f>VLOOKUP($A34,收入及其他项目!$A:$AI,MATCH(D$1,收入及其他项目!$A$1:$AI$1,),)</f>
        <v>0</v>
      </c>
      <c r="E34" s="22">
        <f>VLOOKUP($A34,收入及其他项目!$A:$AI,MATCH(E$1,收入及其他项目!$A$1:$AI$1,),)</f>
        <v>0</v>
      </c>
      <c r="F34" s="22">
        <f>VLOOKUP($A34,收入及其他项目!$A:$AI,MATCH(F$1,收入及其他项目!$A$1:$AI$1,),)</f>
        <v>0</v>
      </c>
      <c r="G34" s="22">
        <f>VLOOKUP($A34,收入及其他项目!$A:$AI,MATCH(G$1,收入及其他项目!$A$1:$AI$1,),)</f>
        <v>0</v>
      </c>
      <c r="H34" s="22">
        <f>VLOOKUP($A34,收入及其他项目!$A:$AI,MATCH(H$1,收入及其他项目!$A$1:$AI$1,),)</f>
        <v>0</v>
      </c>
      <c r="I34" s="22">
        <f>VLOOKUP($A34,收入及其他项目!$A:$AI,MATCH(I$1,收入及其他项目!$A$1:$AI$1,),)</f>
        <v>0</v>
      </c>
      <c r="J34" s="22">
        <f>VLOOKUP($A34,收入及其他项目!$A:$AI,MATCH(J$1,收入及其他项目!$A$1:$AI$1,),)</f>
        <v>0</v>
      </c>
      <c r="K34" s="22">
        <f>VLOOKUP($A34,收入及其他项目!$A:$AI,MATCH(K$1,收入及其他项目!$A$1:$AI$1,),)</f>
        <v>0</v>
      </c>
      <c r="L34" s="22">
        <f>VLOOKUP($A34,收入及其他项目!$A:$AI,MATCH(L$1,收入及其他项目!$A$1:$AI$1,),)</f>
        <v>0</v>
      </c>
      <c r="M34" s="22">
        <f>VLOOKUP($A34,收入及其他项目!$A:$AI,MATCH(M$1,收入及其他项目!$A$1:$AI$1,),)</f>
        <v>0</v>
      </c>
      <c r="N34" s="22">
        <f>VLOOKUP($A34,收入及其他项目!$A:$AI,MATCH(N$1,收入及其他项目!$A$1:$AI$1,),)</f>
        <v>0</v>
      </c>
      <c r="O34" s="22">
        <f>VLOOKUP($A34,收入及其他项目!$A:$AI,MATCH(O$1,收入及其他项目!$A$1:$AI$1,),)</f>
        <v>0</v>
      </c>
      <c r="P34" s="22">
        <f>VLOOKUP($A34,收入及其他项目!$A:$AI,MATCH(P$1,收入及其他项目!$A$1:$AI$1,),)</f>
        <v>0</v>
      </c>
      <c r="Q34" s="22">
        <f>VLOOKUP($A34,收入及其他项目!$A:$AI,MATCH(Q$1,收入及其他项目!$A$1:$AI$1,),)</f>
        <v>0</v>
      </c>
      <c r="R34" s="22">
        <f>VLOOKUP($A34,收入及其他项目!$A:$AI,MATCH(R$1,收入及其他项目!$A$1:$AI$1,),)</f>
        <v>0</v>
      </c>
      <c r="S34" s="22">
        <f>VLOOKUP($A34,收入及其他项目!$A:$AI,MATCH(S$1,收入及其他项目!$A$1:$AI$1,),)</f>
        <v>0</v>
      </c>
      <c r="T34" s="22">
        <f>VLOOKUP($A34,收入及其他项目!$A:$AI,MATCH(T$1,收入及其他项目!$A$1:$AI$1,),)</f>
        <v>0</v>
      </c>
      <c r="U34" s="22">
        <f>VLOOKUP($A34,收入及其他项目!$A:$AI,MATCH(U$1,收入及其他项目!$A$1:$AI$1,),)</f>
        <v>0</v>
      </c>
      <c r="V34" s="22">
        <f>VLOOKUP($A34,收入及其他项目!$A:$AI,MATCH(V$1,收入及其他项目!$A$1:$AI$1,),)</f>
        <v>0</v>
      </c>
      <c r="W34" s="22">
        <f>VLOOKUP($A34,收入及其他项目!$A:$AI,MATCH(W$1,收入及其他项目!$A$1:$AI$1,),)</f>
        <v>0</v>
      </c>
      <c r="X34" s="22">
        <f>VLOOKUP($A34,收入及其他项目!$A:$AI,MATCH(X$1,收入及其他项目!$A$1:$AI$1,),)</f>
        <v>0</v>
      </c>
      <c r="Y34" s="22">
        <f>VLOOKUP($A34,收入及其他项目!$A:$AI,MATCH(Y$1,收入及其他项目!$A$1:$AI$1,),)</f>
        <v>0</v>
      </c>
      <c r="Z34" s="22">
        <f>VLOOKUP($A34,收入及其他项目!$A:$AI,MATCH(Z$1,收入及其他项目!$A$1:$AI$1,),)</f>
        <v>0</v>
      </c>
      <c r="AA34" s="22">
        <f>VLOOKUP($A34,收入及其他项目!$A:$AI,MATCH(AA$1,收入及其他项目!$A$1:$AI$1,),)</f>
        <v>0</v>
      </c>
      <c r="AB34" s="22">
        <f>VLOOKUP($A34,收入及其他项目!$A:$AI,MATCH(AB$1,收入及其他项目!$A$1:$AI$1,),)</f>
        <v>0</v>
      </c>
      <c r="AC34" s="22">
        <f>VLOOKUP($A34,收入及其他项目!$A:$AI,MATCH(AC$1,收入及其他项目!$A$1:$AI$1,),)</f>
        <v>0</v>
      </c>
      <c r="AD34" s="22">
        <f>VLOOKUP($A34,收入及其他项目!$A:$AI,MATCH(AD$1,收入及其他项目!$A$1:$AI$1,),)</f>
        <v>0</v>
      </c>
      <c r="AE34" s="22">
        <f>VLOOKUP($A34,收入及其他项目!$A:$AI,MATCH(AE$1,收入及其他项目!$A$1:$AI$1,),)</f>
        <v>0</v>
      </c>
      <c r="AF34" s="22">
        <f>VLOOKUP($A34,收入及其他项目!$A:$AI,MATCH(AF$1,收入及其他项目!$A$1:$AI$1,),)</f>
        <v>0</v>
      </c>
      <c r="AG34" s="10">
        <f t="shared" si="3"/>
        <v>0</v>
      </c>
    </row>
    <row r="35" customHeight="1" spans="1:33">
      <c r="A35" s="7" t="s">
        <v>704</v>
      </c>
      <c r="B35" s="22">
        <f>VLOOKUP($A35,收入及其他项目!$A:$AI,MATCH(B$1,收入及其他项目!$A$1:$AI$1,),)</f>
        <v>0</v>
      </c>
      <c r="C35" s="22">
        <f>VLOOKUP($A35,收入及其他项目!$A:$AI,MATCH(C$1,收入及其他项目!$A$1:$AI$1,),)</f>
        <v>0</v>
      </c>
      <c r="D35" s="22">
        <f>VLOOKUP($A35,收入及其他项目!$A:$AI,MATCH(D$1,收入及其他项目!$A$1:$AI$1,),)</f>
        <v>0</v>
      </c>
      <c r="E35" s="22">
        <f>VLOOKUP($A35,收入及其他项目!$A:$AI,MATCH(E$1,收入及其他项目!$A$1:$AI$1,),)</f>
        <v>0</v>
      </c>
      <c r="F35" s="22">
        <f>VLOOKUP($A35,收入及其他项目!$A:$AI,MATCH(F$1,收入及其他项目!$A$1:$AI$1,),)</f>
        <v>0</v>
      </c>
      <c r="G35" s="22">
        <f>VLOOKUP($A35,收入及其他项目!$A:$AI,MATCH(G$1,收入及其他项目!$A$1:$AI$1,),)</f>
        <v>0</v>
      </c>
      <c r="H35" s="22">
        <f>VLOOKUP($A35,收入及其他项目!$A:$AI,MATCH(H$1,收入及其他项目!$A$1:$AI$1,),)</f>
        <v>0</v>
      </c>
      <c r="I35" s="22">
        <f>VLOOKUP($A35,收入及其他项目!$A:$AI,MATCH(I$1,收入及其他项目!$A$1:$AI$1,),)</f>
        <v>0</v>
      </c>
      <c r="J35" s="22">
        <f>VLOOKUP($A35,收入及其他项目!$A:$AI,MATCH(J$1,收入及其他项目!$A$1:$AI$1,),)</f>
        <v>0</v>
      </c>
      <c r="K35" s="22">
        <f>VLOOKUP($A35,收入及其他项目!$A:$AI,MATCH(K$1,收入及其他项目!$A$1:$AI$1,),)</f>
        <v>0</v>
      </c>
      <c r="L35" s="22">
        <f>VLOOKUP($A35,收入及其他项目!$A:$AI,MATCH(L$1,收入及其他项目!$A$1:$AI$1,),)</f>
        <v>0</v>
      </c>
      <c r="M35" s="22">
        <f>VLOOKUP($A35,收入及其他项目!$A:$AI,MATCH(M$1,收入及其他项目!$A$1:$AI$1,),)</f>
        <v>0</v>
      </c>
      <c r="N35" s="22">
        <f>VLOOKUP($A35,收入及其他项目!$A:$AI,MATCH(N$1,收入及其他项目!$A$1:$AI$1,),)</f>
        <v>0</v>
      </c>
      <c r="O35" s="22">
        <f>VLOOKUP($A35,收入及其他项目!$A:$AI,MATCH(O$1,收入及其他项目!$A$1:$AI$1,),)</f>
        <v>0</v>
      </c>
      <c r="P35" s="22">
        <f>VLOOKUP($A35,收入及其他项目!$A:$AI,MATCH(P$1,收入及其他项目!$A$1:$AI$1,),)</f>
        <v>0</v>
      </c>
      <c r="Q35" s="22">
        <f>VLOOKUP($A35,收入及其他项目!$A:$AI,MATCH(Q$1,收入及其他项目!$A$1:$AI$1,),)</f>
        <v>0</v>
      </c>
      <c r="R35" s="22">
        <f>VLOOKUP($A35,收入及其他项目!$A:$AI,MATCH(R$1,收入及其他项目!$A$1:$AI$1,),)</f>
        <v>0</v>
      </c>
      <c r="S35" s="22">
        <f>VLOOKUP($A35,收入及其他项目!$A:$AI,MATCH(S$1,收入及其他项目!$A$1:$AI$1,),)</f>
        <v>0</v>
      </c>
      <c r="T35" s="22">
        <f>VLOOKUP($A35,收入及其他项目!$A:$AI,MATCH(T$1,收入及其他项目!$A$1:$AI$1,),)</f>
        <v>0</v>
      </c>
      <c r="U35" s="22">
        <f>VLOOKUP($A35,收入及其他项目!$A:$AI,MATCH(U$1,收入及其他项目!$A$1:$AI$1,),)</f>
        <v>0</v>
      </c>
      <c r="V35" s="22">
        <f>VLOOKUP($A35,收入及其他项目!$A:$AI,MATCH(V$1,收入及其他项目!$A$1:$AI$1,),)</f>
        <v>0</v>
      </c>
      <c r="W35" s="22">
        <f>VLOOKUP($A35,收入及其他项目!$A:$AI,MATCH(W$1,收入及其他项目!$A$1:$AI$1,),)</f>
        <v>0</v>
      </c>
      <c r="X35" s="22">
        <f>VLOOKUP($A35,收入及其他项目!$A:$AI,MATCH(X$1,收入及其他项目!$A$1:$AI$1,),)</f>
        <v>0</v>
      </c>
      <c r="Y35" s="22">
        <f>VLOOKUP($A35,收入及其他项目!$A:$AI,MATCH(Y$1,收入及其他项目!$A$1:$AI$1,),)</f>
        <v>0</v>
      </c>
      <c r="Z35" s="22">
        <f>VLOOKUP($A35,收入及其他项目!$A:$AI,MATCH(Z$1,收入及其他项目!$A$1:$AI$1,),)</f>
        <v>0</v>
      </c>
      <c r="AA35" s="22">
        <f>VLOOKUP($A35,收入及其他项目!$A:$AI,MATCH(AA$1,收入及其他项目!$A$1:$AI$1,),)</f>
        <v>0</v>
      </c>
      <c r="AB35" s="22">
        <f>VLOOKUP($A35,收入及其他项目!$A:$AI,MATCH(AB$1,收入及其他项目!$A$1:$AI$1,),)</f>
        <v>0</v>
      </c>
      <c r="AC35" s="22">
        <f>VLOOKUP($A35,收入及其他项目!$A:$AI,MATCH(AC$1,收入及其他项目!$A$1:$AI$1,),)</f>
        <v>0</v>
      </c>
      <c r="AD35" s="22">
        <f>VLOOKUP($A35,收入及其他项目!$A:$AI,MATCH(AD$1,收入及其他项目!$A$1:$AI$1,),)</f>
        <v>0</v>
      </c>
      <c r="AE35" s="22">
        <f>VLOOKUP($A35,收入及其他项目!$A:$AI,MATCH(AE$1,收入及其他项目!$A$1:$AI$1,),)</f>
        <v>0</v>
      </c>
      <c r="AF35" s="22">
        <f>VLOOKUP($A35,收入及其他项目!$A:$AI,MATCH(AF$1,收入及其他项目!$A$1:$AI$1,),)</f>
        <v>0</v>
      </c>
      <c r="AG35" s="10">
        <f t="shared" si="3"/>
        <v>0</v>
      </c>
    </row>
    <row r="36" customHeight="1" spans="1:33">
      <c r="A36" s="7" t="s">
        <v>705</v>
      </c>
      <c r="B36" s="22">
        <f>VLOOKUP($A36,收入及其他项目!$A:$AI,MATCH(B$1,收入及其他项目!$A$1:$AI$1,),)</f>
        <v>0</v>
      </c>
      <c r="C36" s="22">
        <f>VLOOKUP($A36,收入及其他项目!$A:$AI,MATCH(C$1,收入及其他项目!$A$1:$AI$1,),)</f>
        <v>0</v>
      </c>
      <c r="D36" s="22">
        <f>VLOOKUP($A36,收入及其他项目!$A:$AI,MATCH(D$1,收入及其他项目!$A$1:$AI$1,),)</f>
        <v>0</v>
      </c>
      <c r="E36" s="22">
        <f>VLOOKUP($A36,收入及其他项目!$A:$AI,MATCH(E$1,收入及其他项目!$A$1:$AI$1,),)</f>
        <v>0</v>
      </c>
      <c r="F36" s="22">
        <f>VLOOKUP($A36,收入及其他项目!$A:$AI,MATCH(F$1,收入及其他项目!$A$1:$AI$1,),)</f>
        <v>0</v>
      </c>
      <c r="G36" s="22">
        <f>VLOOKUP($A36,收入及其他项目!$A:$AI,MATCH(G$1,收入及其他项目!$A$1:$AI$1,),)</f>
        <v>0</v>
      </c>
      <c r="H36" s="22">
        <f>VLOOKUP($A36,收入及其他项目!$A:$AI,MATCH(H$1,收入及其他项目!$A$1:$AI$1,),)</f>
        <v>0</v>
      </c>
      <c r="I36" s="22">
        <f>VLOOKUP($A36,收入及其他项目!$A:$AI,MATCH(I$1,收入及其他项目!$A$1:$AI$1,),)</f>
        <v>0</v>
      </c>
      <c r="J36" s="22">
        <f>VLOOKUP($A36,收入及其他项目!$A:$AI,MATCH(J$1,收入及其他项目!$A$1:$AI$1,),)</f>
        <v>0</v>
      </c>
      <c r="K36" s="22">
        <f>VLOOKUP($A36,收入及其他项目!$A:$AI,MATCH(K$1,收入及其他项目!$A$1:$AI$1,),)</f>
        <v>0</v>
      </c>
      <c r="L36" s="22">
        <f>VLOOKUP($A36,收入及其他项目!$A:$AI,MATCH(L$1,收入及其他项目!$A$1:$AI$1,),)</f>
        <v>0</v>
      </c>
      <c r="M36" s="22">
        <f>VLOOKUP($A36,收入及其他项目!$A:$AI,MATCH(M$1,收入及其他项目!$A$1:$AI$1,),)</f>
        <v>0</v>
      </c>
      <c r="N36" s="22">
        <f>VLOOKUP($A36,收入及其他项目!$A:$AI,MATCH(N$1,收入及其他项目!$A$1:$AI$1,),)</f>
        <v>0</v>
      </c>
      <c r="O36" s="22">
        <f>VLOOKUP($A36,收入及其他项目!$A:$AI,MATCH(O$1,收入及其他项目!$A$1:$AI$1,),)</f>
        <v>0</v>
      </c>
      <c r="P36" s="22">
        <f>VLOOKUP($A36,收入及其他项目!$A:$AI,MATCH(P$1,收入及其他项目!$A$1:$AI$1,),)</f>
        <v>0</v>
      </c>
      <c r="Q36" s="22">
        <f>VLOOKUP($A36,收入及其他项目!$A:$AI,MATCH(Q$1,收入及其他项目!$A$1:$AI$1,),)</f>
        <v>0</v>
      </c>
      <c r="R36" s="22">
        <f>VLOOKUP($A36,收入及其他项目!$A:$AI,MATCH(R$1,收入及其他项目!$A$1:$AI$1,),)</f>
        <v>0</v>
      </c>
      <c r="S36" s="22">
        <f>VLOOKUP($A36,收入及其他项目!$A:$AI,MATCH(S$1,收入及其他项目!$A$1:$AI$1,),)</f>
        <v>0</v>
      </c>
      <c r="T36" s="22">
        <f>VLOOKUP($A36,收入及其他项目!$A:$AI,MATCH(T$1,收入及其他项目!$A$1:$AI$1,),)</f>
        <v>0</v>
      </c>
      <c r="U36" s="22">
        <f>VLOOKUP($A36,收入及其他项目!$A:$AI,MATCH(U$1,收入及其他项目!$A$1:$AI$1,),)</f>
        <v>0</v>
      </c>
      <c r="V36" s="22">
        <f>VLOOKUP($A36,收入及其他项目!$A:$AI,MATCH(V$1,收入及其他项目!$A$1:$AI$1,),)</f>
        <v>0</v>
      </c>
      <c r="W36" s="22">
        <f>VLOOKUP($A36,收入及其他项目!$A:$AI,MATCH(W$1,收入及其他项目!$A$1:$AI$1,),)</f>
        <v>0</v>
      </c>
      <c r="X36" s="22">
        <f>VLOOKUP($A36,收入及其他项目!$A:$AI,MATCH(X$1,收入及其他项目!$A$1:$AI$1,),)</f>
        <v>0</v>
      </c>
      <c r="Y36" s="22">
        <f>VLOOKUP($A36,收入及其他项目!$A:$AI,MATCH(Y$1,收入及其他项目!$A$1:$AI$1,),)</f>
        <v>0</v>
      </c>
      <c r="Z36" s="22">
        <f>VLOOKUP($A36,收入及其他项目!$A:$AI,MATCH(Z$1,收入及其他项目!$A$1:$AI$1,),)</f>
        <v>352.98</v>
      </c>
      <c r="AA36" s="22">
        <f>VLOOKUP($A36,收入及其他项目!$A:$AI,MATCH(AA$1,收入及其他项目!$A$1:$AI$1,),)</f>
        <v>0</v>
      </c>
      <c r="AB36" s="22">
        <f>VLOOKUP($A36,收入及其他项目!$A:$AI,MATCH(AB$1,收入及其他项目!$A$1:$AI$1,),)</f>
        <v>0</v>
      </c>
      <c r="AC36" s="22">
        <f>VLOOKUP($A36,收入及其他项目!$A:$AI,MATCH(AC$1,收入及其他项目!$A$1:$AI$1,),)</f>
        <v>0</v>
      </c>
      <c r="AD36" s="22">
        <f>VLOOKUP($A36,收入及其他项目!$A:$AI,MATCH(AD$1,收入及其他项目!$A$1:$AI$1,),)</f>
        <v>0</v>
      </c>
      <c r="AE36" s="22">
        <f>VLOOKUP($A36,收入及其他项目!$A:$AI,MATCH(AE$1,收入及其他项目!$A$1:$AI$1,),)</f>
        <v>0</v>
      </c>
      <c r="AF36" s="22">
        <f>VLOOKUP($A36,收入及其他项目!$A:$AI,MATCH(AF$1,收入及其他项目!$A$1:$AI$1,),)</f>
        <v>0</v>
      </c>
      <c r="AG36" s="10">
        <f t="shared" si="3"/>
        <v>352.98</v>
      </c>
    </row>
    <row r="37" customHeight="1" spans="1:33">
      <c r="A37" s="7" t="s">
        <v>706</v>
      </c>
      <c r="B37" s="22">
        <f>VLOOKUP($A37,收入及其他项目!$A:$AI,MATCH(B$1,收入及其他项目!$A$1:$AI$1,),)</f>
        <v>0</v>
      </c>
      <c r="C37" s="22">
        <f>VLOOKUP($A37,收入及其他项目!$A:$AI,MATCH(C$1,收入及其他项目!$A$1:$AI$1,),)</f>
        <v>0</v>
      </c>
      <c r="D37" s="22">
        <f>VLOOKUP($A37,收入及其他项目!$A:$AI,MATCH(D$1,收入及其他项目!$A$1:$AI$1,),)</f>
        <v>0</v>
      </c>
      <c r="E37" s="22">
        <f>VLOOKUP($A37,收入及其他项目!$A:$AI,MATCH(E$1,收入及其他项目!$A$1:$AI$1,),)</f>
        <v>0</v>
      </c>
      <c r="F37" s="22">
        <f>VLOOKUP($A37,收入及其他项目!$A:$AI,MATCH(F$1,收入及其他项目!$A$1:$AI$1,),)</f>
        <v>0</v>
      </c>
      <c r="G37" s="22">
        <f>VLOOKUP($A37,收入及其他项目!$A:$AI,MATCH(G$1,收入及其他项目!$A$1:$AI$1,),)</f>
        <v>0</v>
      </c>
      <c r="H37" s="22">
        <f>VLOOKUP($A37,收入及其他项目!$A:$AI,MATCH(H$1,收入及其他项目!$A$1:$AI$1,),)</f>
        <v>0</v>
      </c>
      <c r="I37" s="22">
        <f>VLOOKUP($A37,收入及其他项目!$A:$AI,MATCH(I$1,收入及其他项目!$A$1:$AI$1,),)</f>
        <v>0</v>
      </c>
      <c r="J37" s="22">
        <f>VLOOKUP($A37,收入及其他项目!$A:$AI,MATCH(J$1,收入及其他项目!$A$1:$AI$1,),)</f>
        <v>0</v>
      </c>
      <c r="K37" s="22">
        <f>VLOOKUP($A37,收入及其他项目!$A:$AI,MATCH(K$1,收入及其他项目!$A$1:$AI$1,),)</f>
        <v>0</v>
      </c>
      <c r="L37" s="22">
        <f>VLOOKUP($A37,收入及其他项目!$A:$AI,MATCH(L$1,收入及其他项目!$A$1:$AI$1,),)</f>
        <v>0</v>
      </c>
      <c r="M37" s="22">
        <f>VLOOKUP($A37,收入及其他项目!$A:$AI,MATCH(M$1,收入及其他项目!$A$1:$AI$1,),)</f>
        <v>0</v>
      </c>
      <c r="N37" s="22">
        <f>VLOOKUP($A37,收入及其他项目!$A:$AI,MATCH(N$1,收入及其他项目!$A$1:$AI$1,),)</f>
        <v>0</v>
      </c>
      <c r="O37" s="22">
        <f>VLOOKUP($A37,收入及其他项目!$A:$AI,MATCH(O$1,收入及其他项目!$A$1:$AI$1,),)</f>
        <v>0</v>
      </c>
      <c r="P37" s="22">
        <f>VLOOKUP($A37,收入及其他项目!$A:$AI,MATCH(P$1,收入及其他项目!$A$1:$AI$1,),)</f>
        <v>0</v>
      </c>
      <c r="Q37" s="22">
        <f>VLOOKUP($A37,收入及其他项目!$A:$AI,MATCH(Q$1,收入及其他项目!$A$1:$AI$1,),)</f>
        <v>0</v>
      </c>
      <c r="R37" s="22">
        <f>VLOOKUP($A37,收入及其他项目!$A:$AI,MATCH(R$1,收入及其他项目!$A$1:$AI$1,),)</f>
        <v>0</v>
      </c>
      <c r="S37" s="22">
        <f>VLOOKUP($A37,收入及其他项目!$A:$AI,MATCH(S$1,收入及其他项目!$A$1:$AI$1,),)</f>
        <v>0</v>
      </c>
      <c r="T37" s="22">
        <f>VLOOKUP($A37,收入及其他项目!$A:$AI,MATCH(T$1,收入及其他项目!$A$1:$AI$1,),)</f>
        <v>0</v>
      </c>
      <c r="U37" s="22">
        <f>VLOOKUP($A37,收入及其他项目!$A:$AI,MATCH(U$1,收入及其他项目!$A$1:$AI$1,),)</f>
        <v>0</v>
      </c>
      <c r="V37" s="22">
        <f>VLOOKUP($A37,收入及其他项目!$A:$AI,MATCH(V$1,收入及其他项目!$A$1:$AI$1,),)</f>
        <v>0</v>
      </c>
      <c r="W37" s="22">
        <f>VLOOKUP($A37,收入及其他项目!$A:$AI,MATCH(W$1,收入及其他项目!$A$1:$AI$1,),)</f>
        <v>0</v>
      </c>
      <c r="X37" s="22">
        <f>VLOOKUP($A37,收入及其他项目!$A:$AI,MATCH(X$1,收入及其他项目!$A$1:$AI$1,),)</f>
        <v>0</v>
      </c>
      <c r="Y37" s="22">
        <f>VLOOKUP($A37,收入及其他项目!$A:$AI,MATCH(Y$1,收入及其他项目!$A$1:$AI$1,),)</f>
        <v>0</v>
      </c>
      <c r="Z37" s="22">
        <f>VLOOKUP($A37,收入及其他项目!$A:$AI,MATCH(Z$1,收入及其他项目!$A$1:$AI$1,),)</f>
        <v>0</v>
      </c>
      <c r="AA37" s="22">
        <f>VLOOKUP($A37,收入及其他项目!$A:$AI,MATCH(AA$1,收入及其他项目!$A$1:$AI$1,),)</f>
        <v>0</v>
      </c>
      <c r="AB37" s="22">
        <f>VLOOKUP($A37,收入及其他项目!$A:$AI,MATCH(AB$1,收入及其他项目!$A$1:$AI$1,),)</f>
        <v>0</v>
      </c>
      <c r="AC37" s="22">
        <f>VLOOKUP($A37,收入及其他项目!$A:$AI,MATCH(AC$1,收入及其他项目!$A$1:$AI$1,),)</f>
        <v>0</v>
      </c>
      <c r="AD37" s="22">
        <f>VLOOKUP($A37,收入及其他项目!$A:$AI,MATCH(AD$1,收入及其他项目!$A$1:$AI$1,),)</f>
        <v>0</v>
      </c>
      <c r="AE37" s="22">
        <f>VLOOKUP($A37,收入及其他项目!$A:$AI,MATCH(AE$1,收入及其他项目!$A$1:$AI$1,),)</f>
        <v>0</v>
      </c>
      <c r="AF37" s="22">
        <f>VLOOKUP($A37,收入及其他项目!$A:$AI,MATCH(AF$1,收入及其他项目!$A$1:$AI$1,),)</f>
        <v>0</v>
      </c>
      <c r="AG37" s="10">
        <f t="shared" si="3"/>
        <v>0</v>
      </c>
    </row>
    <row r="38" customHeight="1" spans="1:33">
      <c r="A38" s="7" t="s">
        <v>707</v>
      </c>
      <c r="B38" s="22">
        <f>VLOOKUP($A38,收入及其他项目!$A:$AI,MATCH(B$1,收入及其他项目!$A$1:$AI$1,),)</f>
        <v>0</v>
      </c>
      <c r="C38" s="22">
        <f>VLOOKUP($A38,收入及其他项目!$A:$AI,MATCH(C$1,收入及其他项目!$A$1:$AI$1,),)</f>
        <v>52.1</v>
      </c>
      <c r="D38" s="22">
        <f>VLOOKUP($A38,收入及其他项目!$A:$AI,MATCH(D$1,收入及其他项目!$A$1:$AI$1,),)</f>
        <v>0</v>
      </c>
      <c r="E38" s="22">
        <f>VLOOKUP($A38,收入及其他项目!$A:$AI,MATCH(E$1,收入及其他项目!$A$1:$AI$1,),)</f>
        <v>0</v>
      </c>
      <c r="F38" s="22">
        <f>VLOOKUP($A38,收入及其他项目!$A:$AI,MATCH(F$1,收入及其他项目!$A$1:$AI$1,),)</f>
        <v>0</v>
      </c>
      <c r="G38" s="22">
        <f>VLOOKUP($A38,收入及其他项目!$A:$AI,MATCH(G$1,收入及其他项目!$A$1:$AI$1,),)</f>
        <v>25.91</v>
      </c>
      <c r="H38" s="22">
        <f>VLOOKUP($A38,收入及其他项目!$A:$AI,MATCH(H$1,收入及其他项目!$A$1:$AI$1,),)</f>
        <v>0</v>
      </c>
      <c r="I38" s="22">
        <f>VLOOKUP($A38,收入及其他项目!$A:$AI,MATCH(I$1,收入及其他项目!$A$1:$AI$1,),)</f>
        <v>0</v>
      </c>
      <c r="J38" s="22">
        <f>VLOOKUP($A38,收入及其他项目!$A:$AI,MATCH(J$1,收入及其他项目!$A$1:$AI$1,),)</f>
        <v>0</v>
      </c>
      <c r="K38" s="22">
        <f>VLOOKUP($A38,收入及其他项目!$A:$AI,MATCH(K$1,收入及其他项目!$A$1:$AI$1,),)</f>
        <v>0</v>
      </c>
      <c r="L38" s="22">
        <f>VLOOKUP($A38,收入及其他项目!$A:$AI,MATCH(L$1,收入及其他项目!$A$1:$AI$1,),)</f>
        <v>0</v>
      </c>
      <c r="M38" s="22">
        <f>VLOOKUP($A38,收入及其他项目!$A:$AI,MATCH(M$1,收入及其他项目!$A$1:$AI$1,),)</f>
        <v>0</v>
      </c>
      <c r="N38" s="22">
        <f>VLOOKUP($A38,收入及其他项目!$A:$AI,MATCH(N$1,收入及其他项目!$A$1:$AI$1,),)</f>
        <v>0</v>
      </c>
      <c r="O38" s="22">
        <f>VLOOKUP($A38,收入及其他项目!$A:$AI,MATCH(O$1,收入及其他项目!$A$1:$AI$1,),)</f>
        <v>0</v>
      </c>
      <c r="P38" s="22">
        <f>VLOOKUP($A38,收入及其他项目!$A:$AI,MATCH(P$1,收入及其他项目!$A$1:$AI$1,),)</f>
        <v>0</v>
      </c>
      <c r="Q38" s="22">
        <f>VLOOKUP($A38,收入及其他项目!$A:$AI,MATCH(Q$1,收入及其他项目!$A$1:$AI$1,),)</f>
        <v>0</v>
      </c>
      <c r="R38" s="22">
        <f>VLOOKUP($A38,收入及其他项目!$A:$AI,MATCH(R$1,收入及其他项目!$A$1:$AI$1,),)</f>
        <v>0</v>
      </c>
      <c r="S38" s="22">
        <f>VLOOKUP($A38,收入及其他项目!$A:$AI,MATCH(S$1,收入及其他项目!$A$1:$AI$1,),)</f>
        <v>0</v>
      </c>
      <c r="T38" s="22">
        <f>VLOOKUP($A38,收入及其他项目!$A:$AI,MATCH(T$1,收入及其他项目!$A$1:$AI$1,),)</f>
        <v>0</v>
      </c>
      <c r="U38" s="22">
        <f>VLOOKUP($A38,收入及其他项目!$A:$AI,MATCH(U$1,收入及其他项目!$A$1:$AI$1,),)</f>
        <v>0</v>
      </c>
      <c r="V38" s="22">
        <f>VLOOKUP($A38,收入及其他项目!$A:$AI,MATCH(V$1,收入及其他项目!$A$1:$AI$1,),)</f>
        <v>0</v>
      </c>
      <c r="W38" s="22">
        <f>VLOOKUP($A38,收入及其他项目!$A:$AI,MATCH(W$1,收入及其他项目!$A$1:$AI$1,),)</f>
        <v>0</v>
      </c>
      <c r="X38" s="22">
        <f>VLOOKUP($A38,收入及其他项目!$A:$AI,MATCH(X$1,收入及其他项目!$A$1:$AI$1,),)</f>
        <v>0</v>
      </c>
      <c r="Y38" s="22">
        <f>VLOOKUP($A38,收入及其他项目!$A:$AI,MATCH(Y$1,收入及其他项目!$A$1:$AI$1,),)</f>
        <v>0</v>
      </c>
      <c r="Z38" s="22">
        <f>VLOOKUP($A38,收入及其他项目!$A:$AI,MATCH(Z$1,收入及其他项目!$A$1:$AI$1,),)</f>
        <v>11.55</v>
      </c>
      <c r="AA38" s="22">
        <f>VLOOKUP($A38,收入及其他项目!$A:$AI,MATCH(AA$1,收入及其他项目!$A$1:$AI$1,),)</f>
        <v>5.78</v>
      </c>
      <c r="AB38" s="22">
        <f>VLOOKUP($A38,收入及其他项目!$A:$AI,MATCH(AB$1,收入及其他项目!$A$1:$AI$1,),)</f>
        <v>0</v>
      </c>
      <c r="AC38" s="22">
        <f>VLOOKUP($A38,收入及其他项目!$A:$AI,MATCH(AC$1,收入及其他项目!$A$1:$AI$1,),)</f>
        <v>7.095</v>
      </c>
      <c r="AD38" s="22">
        <f>VLOOKUP($A38,收入及其他项目!$A:$AI,MATCH(AD$1,收入及其他项目!$A$1:$AI$1,),)</f>
        <v>7.095</v>
      </c>
      <c r="AE38" s="22">
        <f>VLOOKUP($A38,收入及其他项目!$A:$AI,MATCH(AE$1,收入及其他项目!$A$1:$AI$1,),)</f>
        <v>2.475</v>
      </c>
      <c r="AF38" s="22">
        <f>VLOOKUP($A38,收入及其他项目!$A:$AI,MATCH(AF$1,收入及其他项目!$A$1:$AI$1,),)</f>
        <v>2.475</v>
      </c>
      <c r="AG38" s="10">
        <f t="shared" si="3"/>
        <v>114.48</v>
      </c>
    </row>
    <row r="39" customHeight="1" spans="1:33">
      <c r="A39" s="66" t="s">
        <v>721</v>
      </c>
      <c r="B39" s="22">
        <f>平台推广费录入!J14</f>
        <v>526.524766451613</v>
      </c>
      <c r="C39" s="22">
        <f>平台推广费录入!K14</f>
        <v>526.524766451613</v>
      </c>
      <c r="D39" s="22">
        <f>平台推广费录入!L14</f>
        <v>526.524766451613</v>
      </c>
      <c r="E39" s="22">
        <f>平台推广费录入!M14</f>
        <v>526.524766451613</v>
      </c>
      <c r="F39" s="22">
        <f>平台推广费录入!N14</f>
        <v>526.524766451613</v>
      </c>
      <c r="G39" s="22">
        <f>平台推广费录入!O14</f>
        <v>526.524766451613</v>
      </c>
      <c r="H39" s="22">
        <f>平台推广费录入!P14</f>
        <v>526.524766451613</v>
      </c>
      <c r="I39" s="22">
        <f>平台推广费录入!Q14</f>
        <v>526.524766451613</v>
      </c>
      <c r="J39" s="22">
        <f>平台推广费录入!R14</f>
        <v>526.524766451613</v>
      </c>
      <c r="K39" s="22">
        <f>平台推广费录入!S14</f>
        <v>526.524766451613</v>
      </c>
      <c r="L39" s="22">
        <f>平台推广费录入!T14</f>
        <v>526.524766451613</v>
      </c>
      <c r="M39" s="22">
        <f>平台推广费录入!U14</f>
        <v>526.524766451613</v>
      </c>
      <c r="N39" s="22">
        <f>平台推广费录入!V14</f>
        <v>576.524766451613</v>
      </c>
      <c r="O39" s="22">
        <f>平台推广费录入!W14</f>
        <v>576.524766451613</v>
      </c>
      <c r="P39" s="22">
        <f>平台推广费录入!X14</f>
        <v>576.524766451613</v>
      </c>
      <c r="Q39" s="22">
        <f>平台推广费录入!Y14</f>
        <v>576.524766451613</v>
      </c>
      <c r="R39" s="22">
        <f>平台推广费录入!Z14</f>
        <v>576.524766451613</v>
      </c>
      <c r="S39" s="22">
        <f>平台推广费录入!AA14</f>
        <v>576.524766451613</v>
      </c>
      <c r="T39" s="22">
        <f>平台推广费录入!AB14</f>
        <v>576.524766451613</v>
      </c>
      <c r="U39" s="22">
        <f>平台推广费录入!AC14</f>
        <v>492.064766451613</v>
      </c>
      <c r="V39" s="22">
        <f>平台推广费录入!AD14</f>
        <v>576.524766451613</v>
      </c>
      <c r="W39" s="22">
        <f>平台推广费录入!AE14</f>
        <v>526.304766451613</v>
      </c>
      <c r="X39" s="22">
        <f>平台推广费录入!AF14</f>
        <v>576.524766451613</v>
      </c>
      <c r="Y39" s="22">
        <f>平台推广费录入!AG14</f>
        <v>576.524766451613</v>
      </c>
      <c r="Z39" s="22">
        <f>平台推广费录入!AH14</f>
        <v>505.004766451613</v>
      </c>
      <c r="AA39" s="22">
        <f>平台推广费录入!AI14</f>
        <v>464.524766451613</v>
      </c>
      <c r="AB39" s="22">
        <f>平台推广费录入!AJ14</f>
        <v>658.224766451613</v>
      </c>
      <c r="AC39" s="22">
        <f>平台推广费录入!AK14</f>
        <v>576.524766451613</v>
      </c>
      <c r="AD39" s="22">
        <f>平台推广费录入!AL14</f>
        <v>633.234766451613</v>
      </c>
      <c r="AE39" s="22">
        <f>平台推广费录入!AM14</f>
        <v>728.174766451613</v>
      </c>
      <c r="AF39" s="22">
        <f>平台推广费录入!AN14</f>
        <v>932.474766451613</v>
      </c>
      <c r="AG39" s="10">
        <f t="shared" si="3"/>
        <v>17600.07776</v>
      </c>
    </row>
    <row r="40" s="62" customFormat="1" customHeight="1" spans="1:33">
      <c r="A40" s="63" t="s">
        <v>722</v>
      </c>
      <c r="B40" s="63">
        <f t="shared" ref="B40:AF40" si="7">SUM(B30:B39)</f>
        <v>544.305766451613</v>
      </c>
      <c r="C40" s="63">
        <f t="shared" si="7"/>
        <v>588.704766451613</v>
      </c>
      <c r="D40" s="63">
        <f t="shared" si="7"/>
        <v>532.754766451613</v>
      </c>
      <c r="E40" s="63">
        <f t="shared" si="7"/>
        <v>533.324766451613</v>
      </c>
      <c r="F40" s="63">
        <f t="shared" si="7"/>
        <v>542.774766451613</v>
      </c>
      <c r="G40" s="63">
        <f t="shared" si="7"/>
        <v>584.534766451613</v>
      </c>
      <c r="H40" s="63">
        <f t="shared" si="7"/>
        <v>548.504766451613</v>
      </c>
      <c r="I40" s="63">
        <f t="shared" si="7"/>
        <v>542.324766451613</v>
      </c>
      <c r="J40" s="63">
        <f t="shared" si="7"/>
        <v>536.084766451613</v>
      </c>
      <c r="K40" s="63">
        <f t="shared" si="7"/>
        <v>563.804766451613</v>
      </c>
      <c r="L40" s="63">
        <f t="shared" si="7"/>
        <v>557.344766451613</v>
      </c>
      <c r="M40" s="63">
        <f t="shared" si="7"/>
        <v>533.134766451613</v>
      </c>
      <c r="N40" s="63">
        <f t="shared" si="7"/>
        <v>594.964766451613</v>
      </c>
      <c r="O40" s="63">
        <f t="shared" si="7"/>
        <v>599.534766451613</v>
      </c>
      <c r="P40" s="63">
        <f t="shared" si="7"/>
        <v>593.684766451613</v>
      </c>
      <c r="Q40" s="63">
        <f t="shared" si="7"/>
        <v>590.474766451613</v>
      </c>
      <c r="R40" s="63">
        <f t="shared" si="7"/>
        <v>602.004766451613</v>
      </c>
      <c r="S40" s="63">
        <f t="shared" si="7"/>
        <v>585.374766451613</v>
      </c>
      <c r="T40" s="63">
        <f t="shared" si="7"/>
        <v>598.034766451613</v>
      </c>
      <c r="U40" s="63">
        <f t="shared" si="7"/>
        <v>520.044766451613</v>
      </c>
      <c r="V40" s="63">
        <f t="shared" si="7"/>
        <v>591.324766451613</v>
      </c>
      <c r="W40" s="63">
        <f t="shared" si="7"/>
        <v>542.434766451613</v>
      </c>
      <c r="X40" s="63">
        <f t="shared" si="7"/>
        <v>610.054766451613</v>
      </c>
      <c r="Y40" s="63">
        <f t="shared" si="7"/>
        <v>619.684766451613</v>
      </c>
      <c r="Z40" s="63">
        <f t="shared" si="7"/>
        <v>887.404766451613</v>
      </c>
      <c r="AA40" s="63">
        <f t="shared" si="7"/>
        <v>501.664766451613</v>
      </c>
      <c r="AB40" s="63">
        <f t="shared" si="7"/>
        <v>834.804766451613</v>
      </c>
      <c r="AC40" s="63">
        <f t="shared" si="7"/>
        <v>596.615166451613</v>
      </c>
      <c r="AD40" s="63">
        <f t="shared" si="7"/>
        <v>654.303796451613</v>
      </c>
      <c r="AE40" s="63">
        <f t="shared" si="7"/>
        <v>756.911766451613</v>
      </c>
      <c r="AF40" s="63">
        <f t="shared" si="7"/>
        <v>944.777166451613</v>
      </c>
      <c r="AG40" s="10">
        <f t="shared" si="3"/>
        <v>18831.69759</v>
      </c>
    </row>
    <row r="41" customHeight="1" spans="1:33">
      <c r="A41" s="10" t="s">
        <v>723</v>
      </c>
      <c r="B41" s="22">
        <f>客房提成呈现!B2</f>
        <v>0</v>
      </c>
      <c r="C41" s="22">
        <f>客房提成呈现!C2</f>
        <v>0</v>
      </c>
      <c r="D41" s="22">
        <f>客房提成呈现!D2</f>
        <v>0</v>
      </c>
      <c r="E41" s="22">
        <f>客房提成呈现!E2</f>
        <v>0</v>
      </c>
      <c r="F41" s="22">
        <f>客房提成呈现!F2</f>
        <v>0</v>
      </c>
      <c r="G41" s="22">
        <f>客房提成呈现!G2</f>
        <v>0</v>
      </c>
      <c r="H41" s="22">
        <f>客房提成呈现!H2</f>
        <v>0</v>
      </c>
      <c r="I41" s="22">
        <f>客房提成呈现!I2</f>
        <v>0</v>
      </c>
      <c r="J41" s="22">
        <f>客房提成呈现!J2</f>
        <v>0</v>
      </c>
      <c r="K41" s="22">
        <f>客房提成呈现!K2</f>
        <v>0</v>
      </c>
      <c r="L41" s="22">
        <f>客房提成呈现!L2</f>
        <v>0</v>
      </c>
      <c r="M41" s="22">
        <f>客房提成呈现!M2</f>
        <v>0</v>
      </c>
      <c r="N41" s="22">
        <f>客房提成呈现!N2</f>
        <v>0</v>
      </c>
      <c r="O41" s="22">
        <f>客房提成呈现!O2</f>
        <v>0</v>
      </c>
      <c r="P41" s="22">
        <f>客房提成呈现!P2</f>
        <v>0</v>
      </c>
      <c r="Q41" s="22">
        <f>客房提成呈现!Q2</f>
        <v>0</v>
      </c>
      <c r="R41" s="22">
        <f>客房提成呈现!R2</f>
        <v>0</v>
      </c>
      <c r="S41" s="22">
        <f>客房提成呈现!S2</f>
        <v>0</v>
      </c>
      <c r="T41" s="22">
        <f>客房提成呈现!T2</f>
        <v>0</v>
      </c>
      <c r="U41" s="22">
        <f>客房提成呈现!U2</f>
        <v>0</v>
      </c>
      <c r="V41" s="22">
        <f>客房提成呈现!V2</f>
        <v>0</v>
      </c>
      <c r="W41" s="22">
        <f>客房提成呈现!W2</f>
        <v>0</v>
      </c>
      <c r="X41" s="22">
        <f>客房提成呈现!X2</f>
        <v>0</v>
      </c>
      <c r="Y41" s="22">
        <f>客房提成呈现!Y2</f>
        <v>0</v>
      </c>
      <c r="Z41" s="22">
        <f>客房提成呈现!Z2</f>
        <v>0</v>
      </c>
      <c r="AA41" s="22">
        <f>客房提成呈现!AA2</f>
        <v>0</v>
      </c>
      <c r="AB41" s="22">
        <f>客房提成呈现!AB2</f>
        <v>0</v>
      </c>
      <c r="AC41" s="22">
        <f>客房提成呈现!AC2</f>
        <v>0</v>
      </c>
      <c r="AD41" s="22">
        <f>客房提成呈现!AD2</f>
        <v>0</v>
      </c>
      <c r="AE41" s="22">
        <f>客房提成呈现!AE2</f>
        <v>0</v>
      </c>
      <c r="AF41" s="22">
        <f>客房提成呈现!AF2</f>
        <v>0</v>
      </c>
      <c r="AG41" s="10">
        <f t="shared" si="3"/>
        <v>0</v>
      </c>
    </row>
    <row r="42" customHeight="1" spans="1:33">
      <c r="A42" s="10" t="s">
        <v>724</v>
      </c>
      <c r="B42" s="22">
        <f>客房工资呈现!L12</f>
        <v>530</v>
      </c>
      <c r="C42" s="22">
        <f>客房工资呈现!M12</f>
        <v>530</v>
      </c>
      <c r="D42" s="22">
        <f>客房工资呈现!N12</f>
        <v>530</v>
      </c>
      <c r="E42" s="22">
        <f>客房工资呈现!O12</f>
        <v>530</v>
      </c>
      <c r="F42" s="22">
        <f>客房工资呈现!P12</f>
        <v>530</v>
      </c>
      <c r="G42" s="22">
        <f>客房工资呈现!Q12</f>
        <v>530</v>
      </c>
      <c r="H42" s="22">
        <f>客房工资呈现!R12</f>
        <v>530</v>
      </c>
      <c r="I42" s="22">
        <f>客房工资呈现!S12</f>
        <v>530</v>
      </c>
      <c r="J42" s="22">
        <f>客房工资呈现!T12</f>
        <v>530</v>
      </c>
      <c r="K42" s="22">
        <f>客房工资呈现!U12</f>
        <v>530</v>
      </c>
      <c r="L42" s="22">
        <f>客房工资呈现!V12</f>
        <v>530</v>
      </c>
      <c r="M42" s="22">
        <f>客房工资呈现!W12</f>
        <v>530</v>
      </c>
      <c r="N42" s="22">
        <f>客房工资呈现!X12</f>
        <v>530</v>
      </c>
      <c r="O42" s="22">
        <f>客房工资呈现!Y12</f>
        <v>530</v>
      </c>
      <c r="P42" s="22">
        <f>客房工资呈现!Z12</f>
        <v>530</v>
      </c>
      <c r="Q42" s="22">
        <f>客房工资呈现!AA12</f>
        <v>530</v>
      </c>
      <c r="R42" s="22">
        <f>客房工资呈现!AB12</f>
        <v>530</v>
      </c>
      <c r="S42" s="22">
        <f>客房工资呈现!AC12</f>
        <v>530</v>
      </c>
      <c r="T42" s="22">
        <f>客房工资呈现!AD12</f>
        <v>530</v>
      </c>
      <c r="U42" s="22">
        <f>客房工资呈现!AE12</f>
        <v>530</v>
      </c>
      <c r="V42" s="22">
        <f>客房工资呈现!AF12</f>
        <v>530</v>
      </c>
      <c r="W42" s="22">
        <f>客房工资呈现!AG12</f>
        <v>530</v>
      </c>
      <c r="X42" s="22">
        <f>客房工资呈现!AH12</f>
        <v>530</v>
      </c>
      <c r="Y42" s="22">
        <f>客房工资呈现!AI12</f>
        <v>530</v>
      </c>
      <c r="Z42" s="22">
        <f>客房工资呈现!AJ12</f>
        <v>530</v>
      </c>
      <c r="AA42" s="22">
        <f>客房工资呈现!AK12</f>
        <v>530</v>
      </c>
      <c r="AB42" s="22">
        <f>客房工资呈现!AL12</f>
        <v>530</v>
      </c>
      <c r="AC42" s="22">
        <f>客房工资呈现!AM12</f>
        <v>530</v>
      </c>
      <c r="AD42" s="22">
        <f>客房工资呈现!AN12</f>
        <v>530</v>
      </c>
      <c r="AE42" s="22">
        <f>客房工资呈现!AO12</f>
        <v>530</v>
      </c>
      <c r="AF42" s="22">
        <f>客房工资呈现!AP12</f>
        <v>0</v>
      </c>
      <c r="AG42" s="10">
        <f t="shared" si="3"/>
        <v>15900</v>
      </c>
    </row>
    <row r="43" customHeight="1" spans="1:33">
      <c r="A43" s="10" t="s">
        <v>303</v>
      </c>
      <c r="B43" s="22">
        <f>会员卡提成呈现!H75</f>
        <v>1910</v>
      </c>
      <c r="C43" s="22">
        <f>会员卡提成呈现!I75</f>
        <v>0</v>
      </c>
      <c r="D43" s="22">
        <f>会员卡提成呈现!J75</f>
        <v>0</v>
      </c>
      <c r="E43" s="22">
        <f>会员卡提成呈现!K75</f>
        <v>0</v>
      </c>
      <c r="F43" s="22">
        <f>会员卡提成呈现!L75</f>
        <v>0</v>
      </c>
      <c r="G43" s="22">
        <f>会员卡提成呈现!M75</f>
        <v>0</v>
      </c>
      <c r="H43" s="22">
        <f>会员卡提成呈现!N75</f>
        <v>0</v>
      </c>
      <c r="I43" s="22">
        <f>会员卡提成呈现!O75</f>
        <v>0</v>
      </c>
      <c r="J43" s="22">
        <f>会员卡提成呈现!P75</f>
        <v>0</v>
      </c>
      <c r="K43" s="22">
        <f>会员卡提成呈现!Q75</f>
        <v>0</v>
      </c>
      <c r="L43" s="22">
        <f>会员卡提成呈现!R75</f>
        <v>0</v>
      </c>
      <c r="M43" s="22">
        <f>会员卡提成呈现!S75</f>
        <v>0</v>
      </c>
      <c r="N43" s="22">
        <f>会员卡提成呈现!T75</f>
        <v>0</v>
      </c>
      <c r="O43" s="22">
        <f>会员卡提成呈现!U75</f>
        <v>0</v>
      </c>
      <c r="P43" s="22">
        <f>会员卡提成呈现!V75</f>
        <v>0</v>
      </c>
      <c r="Q43" s="22">
        <f>会员卡提成呈现!W75</f>
        <v>0</v>
      </c>
      <c r="R43" s="22">
        <f>会员卡提成呈现!X75</f>
        <v>0</v>
      </c>
      <c r="S43" s="22">
        <f>会员卡提成呈现!Y75</f>
        <v>0</v>
      </c>
      <c r="T43" s="22">
        <f>会员卡提成呈现!Z75</f>
        <v>0</v>
      </c>
      <c r="U43" s="22">
        <f>会员卡提成呈现!AA75</f>
        <v>0</v>
      </c>
      <c r="V43" s="22">
        <f>会员卡提成呈现!AB75</f>
        <v>0</v>
      </c>
      <c r="W43" s="22">
        <f>会员卡提成呈现!AC75</f>
        <v>0</v>
      </c>
      <c r="X43" s="22">
        <f>会员卡提成呈现!AD75</f>
        <v>0</v>
      </c>
      <c r="Y43" s="22">
        <f>会员卡提成呈现!AE75</f>
        <v>0</v>
      </c>
      <c r="Z43" s="22">
        <f>会员卡提成呈现!AF75</f>
        <v>0</v>
      </c>
      <c r="AA43" s="22">
        <f>会员卡提成呈现!AG75</f>
        <v>0</v>
      </c>
      <c r="AB43" s="22">
        <f>会员卡提成呈现!AH75</f>
        <v>0</v>
      </c>
      <c r="AC43" s="22">
        <f>会员卡提成呈现!AI75</f>
        <v>0</v>
      </c>
      <c r="AD43" s="22">
        <f>会员卡提成呈现!AJ75</f>
        <v>0</v>
      </c>
      <c r="AE43" s="22">
        <f>会员卡提成呈现!AK75</f>
        <v>0</v>
      </c>
      <c r="AF43" s="22">
        <f>会员卡提成呈现!AL75</f>
        <v>0</v>
      </c>
      <c r="AG43" s="10">
        <f t="shared" si="3"/>
        <v>1910</v>
      </c>
    </row>
    <row r="44" customHeight="1" spans="1:33">
      <c r="A44" s="10" t="s">
        <v>62</v>
      </c>
      <c r="B44" s="22">
        <f>前台好评提成呈现!H105</f>
        <v>2266</v>
      </c>
      <c r="C44" s="22">
        <f>前台好评提成呈现!I105</f>
        <v>0</v>
      </c>
      <c r="D44" s="22">
        <f>前台好评提成呈现!J105</f>
        <v>0</v>
      </c>
      <c r="E44" s="22">
        <f>前台好评提成呈现!K105</f>
        <v>0</v>
      </c>
      <c r="F44" s="22">
        <f>前台好评提成呈现!L105</f>
        <v>0</v>
      </c>
      <c r="G44" s="22">
        <f>前台好评提成呈现!M105</f>
        <v>0</v>
      </c>
      <c r="H44" s="22">
        <f>前台好评提成呈现!N105</f>
        <v>0</v>
      </c>
      <c r="I44" s="22">
        <f>前台好评提成呈现!O105</f>
        <v>0</v>
      </c>
      <c r="J44" s="22">
        <f>前台好评提成呈现!P105</f>
        <v>0</v>
      </c>
      <c r="K44" s="22">
        <f>前台好评提成呈现!Q105</f>
        <v>0</v>
      </c>
      <c r="L44" s="22">
        <f>前台好评提成呈现!R105</f>
        <v>0</v>
      </c>
      <c r="M44" s="22">
        <f>前台好评提成呈现!S105</f>
        <v>0</v>
      </c>
      <c r="N44" s="22">
        <f>前台好评提成呈现!T105</f>
        <v>0</v>
      </c>
      <c r="O44" s="22">
        <f>前台好评提成呈现!U105</f>
        <v>0</v>
      </c>
      <c r="P44" s="22">
        <f>前台好评提成呈现!V105</f>
        <v>0</v>
      </c>
      <c r="Q44" s="22">
        <f>前台好评提成呈现!W105</f>
        <v>0</v>
      </c>
      <c r="R44" s="22">
        <f>前台好评提成呈现!X105</f>
        <v>0</v>
      </c>
      <c r="S44" s="22">
        <f>前台好评提成呈现!Y105</f>
        <v>0</v>
      </c>
      <c r="T44" s="22">
        <f>前台好评提成呈现!Z105</f>
        <v>0</v>
      </c>
      <c r="U44" s="22">
        <f>前台好评提成呈现!AA105</f>
        <v>0</v>
      </c>
      <c r="V44" s="22">
        <f>前台好评提成呈现!AB105</f>
        <v>0</v>
      </c>
      <c r="W44" s="22">
        <f>前台好评提成呈现!AC105</f>
        <v>0</v>
      </c>
      <c r="X44" s="22">
        <f>前台好评提成呈现!AD105</f>
        <v>0</v>
      </c>
      <c r="Y44" s="22">
        <f>前台好评提成呈现!AE105</f>
        <v>0</v>
      </c>
      <c r="Z44" s="22">
        <f>前台好评提成呈现!AF105</f>
        <v>0</v>
      </c>
      <c r="AA44" s="22">
        <f>前台好评提成呈现!AG105</f>
        <v>0</v>
      </c>
      <c r="AB44" s="22">
        <f>前台好评提成呈现!AH105</f>
        <v>0</v>
      </c>
      <c r="AC44" s="22">
        <f>前台好评提成呈现!AI105</f>
        <v>0</v>
      </c>
      <c r="AD44" s="22">
        <f>前台好评提成呈现!AJ105</f>
        <v>0</v>
      </c>
      <c r="AE44" s="22">
        <f>前台好评提成呈现!AK105</f>
        <v>0</v>
      </c>
      <c r="AF44" s="22">
        <f>前台好评提成呈现!AL105</f>
        <v>0</v>
      </c>
      <c r="AG44" s="10">
        <f t="shared" si="3"/>
        <v>2266</v>
      </c>
    </row>
    <row r="45" customHeight="1" spans="1:33">
      <c r="A45" s="10" t="s">
        <v>75</v>
      </c>
      <c r="B45" s="22">
        <f>前台二维码提成呈现!H105</f>
        <v>9</v>
      </c>
      <c r="C45" s="22">
        <f>前台二维码提成呈现!I105</f>
        <v>3</v>
      </c>
      <c r="D45" s="22">
        <f>前台二维码提成呈现!J105</f>
        <v>23.5</v>
      </c>
      <c r="E45" s="22">
        <f>前台二维码提成呈现!K105</f>
        <v>4.5</v>
      </c>
      <c r="F45" s="22">
        <f>前台二维码提成呈现!L105</f>
        <v>17</v>
      </c>
      <c r="G45" s="22">
        <f>前台二维码提成呈现!M105</f>
        <v>18</v>
      </c>
      <c r="H45" s="22">
        <f>前台二维码提成呈现!N105</f>
        <v>5.5</v>
      </c>
      <c r="I45" s="22">
        <f>前台二维码提成呈现!O105</f>
        <v>31</v>
      </c>
      <c r="J45" s="22">
        <f>前台二维码提成呈现!P105</f>
        <v>56</v>
      </c>
      <c r="K45" s="22">
        <f>前台二维码提成呈现!Q105</f>
        <v>17.5</v>
      </c>
      <c r="L45" s="22">
        <f>前台二维码提成呈现!R105</f>
        <v>24.5</v>
      </c>
      <c r="M45" s="22">
        <f>前台二维码提成呈现!S105</f>
        <v>20</v>
      </c>
      <c r="N45" s="22">
        <f>前台二维码提成呈现!T105</f>
        <v>17.5</v>
      </c>
      <c r="O45" s="22">
        <f>前台二维码提成呈现!U105</f>
        <v>14.5</v>
      </c>
      <c r="P45" s="22">
        <f>前台二维码提成呈现!V105</f>
        <v>21</v>
      </c>
      <c r="Q45" s="22">
        <f>前台二维码提成呈现!W105</f>
        <v>7</v>
      </c>
      <c r="R45" s="22">
        <f>前台二维码提成呈现!X105</f>
        <v>18.5</v>
      </c>
      <c r="S45" s="22">
        <f>前台二维码提成呈现!Y105</f>
        <v>16.5</v>
      </c>
      <c r="T45" s="22">
        <f>前台二维码提成呈现!Z105</f>
        <v>21</v>
      </c>
      <c r="U45" s="22">
        <f>前台二维码提成呈现!AA105</f>
        <v>11.5</v>
      </c>
      <c r="V45" s="22">
        <f>前台二维码提成呈现!AB105</f>
        <v>14</v>
      </c>
      <c r="W45" s="22">
        <f>前台二维码提成呈现!AC105</f>
        <v>4.5</v>
      </c>
      <c r="X45" s="22">
        <f>前台二维码提成呈现!AD105</f>
        <v>9</v>
      </c>
      <c r="Y45" s="22">
        <f>前台二维码提成呈现!AE105</f>
        <v>15.5</v>
      </c>
      <c r="Z45" s="22">
        <f>前台二维码提成呈现!AF105</f>
        <v>17</v>
      </c>
      <c r="AA45" s="22">
        <f>前台二维码提成呈现!AG105</f>
        <v>72.5</v>
      </c>
      <c r="AB45" s="22">
        <f>前台二维码提成呈现!AH105</f>
        <v>16</v>
      </c>
      <c r="AC45" s="22">
        <f>前台二维码提成呈现!AI105</f>
        <v>18.5</v>
      </c>
      <c r="AD45" s="22">
        <f>前台二维码提成呈现!AJ105</f>
        <v>6.5</v>
      </c>
      <c r="AE45" s="22">
        <f>前台二维码提成呈现!AK105</f>
        <v>15</v>
      </c>
      <c r="AF45" s="22">
        <f>前台二维码提成呈现!AL105</f>
        <v>13.5</v>
      </c>
      <c r="AG45" s="10">
        <f t="shared" si="3"/>
        <v>559</v>
      </c>
    </row>
    <row r="46" customHeight="1" spans="1:33">
      <c r="A46" s="10" t="s">
        <v>725</v>
      </c>
      <c r="B46" s="22">
        <f>前台工资呈现!L16</f>
        <v>1640</v>
      </c>
      <c r="C46" s="22">
        <f>前台工资呈现!M16</f>
        <v>1640</v>
      </c>
      <c r="D46" s="22">
        <f>前台工资呈现!N16</f>
        <v>1640</v>
      </c>
      <c r="E46" s="22">
        <f>前台工资呈现!O16</f>
        <v>1640</v>
      </c>
      <c r="F46" s="22">
        <f>前台工资呈现!P16</f>
        <v>1640</v>
      </c>
      <c r="G46" s="22">
        <f>前台工资呈现!Q16</f>
        <v>1640</v>
      </c>
      <c r="H46" s="22">
        <f>前台工资呈现!R16</f>
        <v>1640</v>
      </c>
      <c r="I46" s="22">
        <f>前台工资呈现!S16</f>
        <v>1640</v>
      </c>
      <c r="J46" s="22">
        <f>前台工资呈现!T16</f>
        <v>1640</v>
      </c>
      <c r="K46" s="22">
        <f>前台工资呈现!U16</f>
        <v>1640</v>
      </c>
      <c r="L46" s="22">
        <f>前台工资呈现!V16</f>
        <v>1640</v>
      </c>
      <c r="M46" s="22">
        <f>前台工资呈现!W16</f>
        <v>1640</v>
      </c>
      <c r="N46" s="22">
        <f>前台工资呈现!X16</f>
        <v>1640</v>
      </c>
      <c r="O46" s="22">
        <f>前台工资呈现!Y16</f>
        <v>1640</v>
      </c>
      <c r="P46" s="22">
        <f>前台工资呈现!Z16</f>
        <v>1640</v>
      </c>
      <c r="Q46" s="22">
        <f>前台工资呈现!AA16</f>
        <v>1640</v>
      </c>
      <c r="R46" s="22">
        <f>前台工资呈现!AB16</f>
        <v>1640</v>
      </c>
      <c r="S46" s="22">
        <f>前台工资呈现!AC16</f>
        <v>1640</v>
      </c>
      <c r="T46" s="22">
        <f>前台工资呈现!AD16</f>
        <v>1640</v>
      </c>
      <c r="U46" s="22">
        <f>前台工资呈现!AE16</f>
        <v>1640</v>
      </c>
      <c r="V46" s="22">
        <f>前台工资呈现!AF16</f>
        <v>1640</v>
      </c>
      <c r="W46" s="22">
        <f>前台工资呈现!AG16</f>
        <v>1640</v>
      </c>
      <c r="X46" s="22">
        <f>前台工资呈现!AH16</f>
        <v>1640</v>
      </c>
      <c r="Y46" s="22">
        <f>前台工资呈现!AI16</f>
        <v>1640</v>
      </c>
      <c r="Z46" s="22">
        <f>前台工资呈现!AJ16</f>
        <v>1640</v>
      </c>
      <c r="AA46" s="22">
        <f>前台工资呈现!AK16</f>
        <v>1640</v>
      </c>
      <c r="AB46" s="22">
        <f>前台工资呈现!AL16</f>
        <v>1640</v>
      </c>
      <c r="AC46" s="22">
        <f>前台工资呈现!AM16</f>
        <v>1640</v>
      </c>
      <c r="AD46" s="22">
        <f>前台工资呈现!AN16</f>
        <v>0</v>
      </c>
      <c r="AE46" s="22">
        <f>前台工资呈现!AO16</f>
        <v>0</v>
      </c>
      <c r="AF46" s="22">
        <f>前台工资呈现!AP16</f>
        <v>0</v>
      </c>
      <c r="AG46" s="10">
        <f t="shared" si="3"/>
        <v>45920</v>
      </c>
    </row>
    <row r="47" customHeight="1" spans="1:33">
      <c r="A47" s="10" t="s">
        <v>726</v>
      </c>
      <c r="B47" s="22">
        <f>餐厅工资呈现!L13</f>
        <v>880</v>
      </c>
      <c r="C47" s="22">
        <f>餐厅工资呈现!M13</f>
        <v>880</v>
      </c>
      <c r="D47" s="22">
        <f>餐厅工资呈现!N13</f>
        <v>880</v>
      </c>
      <c r="E47" s="22">
        <f>餐厅工资呈现!O13</f>
        <v>880</v>
      </c>
      <c r="F47" s="22">
        <f>餐厅工资呈现!P13</f>
        <v>880</v>
      </c>
      <c r="G47" s="22">
        <f>餐厅工资呈现!Q13</f>
        <v>880</v>
      </c>
      <c r="H47" s="22">
        <f>餐厅工资呈现!R13</f>
        <v>880</v>
      </c>
      <c r="I47" s="22">
        <f>餐厅工资呈现!S13</f>
        <v>880</v>
      </c>
      <c r="J47" s="22">
        <f>餐厅工资呈现!T13</f>
        <v>880</v>
      </c>
      <c r="K47" s="22">
        <f>餐厅工资呈现!U13</f>
        <v>880</v>
      </c>
      <c r="L47" s="22">
        <f>餐厅工资呈现!V13</f>
        <v>880</v>
      </c>
      <c r="M47" s="22">
        <f>餐厅工资呈现!W13</f>
        <v>880</v>
      </c>
      <c r="N47" s="22">
        <f>餐厅工资呈现!X13</f>
        <v>880</v>
      </c>
      <c r="O47" s="22">
        <f>餐厅工资呈现!Y13</f>
        <v>880</v>
      </c>
      <c r="P47" s="22">
        <f>餐厅工资呈现!Z13</f>
        <v>880</v>
      </c>
      <c r="Q47" s="22">
        <f>餐厅工资呈现!AA13</f>
        <v>880</v>
      </c>
      <c r="R47" s="22">
        <f>餐厅工资呈现!AB13</f>
        <v>880</v>
      </c>
      <c r="S47" s="22">
        <f>餐厅工资呈现!AC13</f>
        <v>880</v>
      </c>
      <c r="T47" s="22">
        <f>餐厅工资呈现!AD13</f>
        <v>880</v>
      </c>
      <c r="U47" s="22">
        <f>餐厅工资呈现!AE13</f>
        <v>880</v>
      </c>
      <c r="V47" s="22">
        <f>餐厅工资呈现!AF13</f>
        <v>880</v>
      </c>
      <c r="W47" s="22">
        <f>餐厅工资呈现!AG13</f>
        <v>880</v>
      </c>
      <c r="X47" s="22">
        <f>餐厅工资呈现!AH13</f>
        <v>880</v>
      </c>
      <c r="Y47" s="22">
        <f>餐厅工资呈现!AI13</f>
        <v>880</v>
      </c>
      <c r="Z47" s="22">
        <f>餐厅工资呈现!AJ13</f>
        <v>880</v>
      </c>
      <c r="AA47" s="22">
        <f>餐厅工资呈现!AK13</f>
        <v>880</v>
      </c>
      <c r="AB47" s="22">
        <f>餐厅工资呈现!AL13</f>
        <v>880</v>
      </c>
      <c r="AC47" s="22">
        <f>餐厅工资呈现!AM13</f>
        <v>880</v>
      </c>
      <c r="AD47" s="22">
        <f>餐厅工资呈现!AN13</f>
        <v>0</v>
      </c>
      <c r="AE47" s="22">
        <f>餐厅工资呈现!AO13</f>
        <v>0</v>
      </c>
      <c r="AF47" s="22">
        <f>餐厅工资呈现!AP13</f>
        <v>0</v>
      </c>
      <c r="AG47" s="10">
        <f t="shared" si="3"/>
        <v>24640</v>
      </c>
    </row>
    <row r="48" customHeight="1" spans="1:33">
      <c r="A48" s="10" t="s">
        <v>727</v>
      </c>
      <c r="B48" s="22">
        <f>管理层工资呈现!L4</f>
        <v>560</v>
      </c>
      <c r="C48" s="22">
        <f>管理层工资呈现!M4</f>
        <v>560</v>
      </c>
      <c r="D48" s="22">
        <f>管理层工资呈现!N4</f>
        <v>560</v>
      </c>
      <c r="E48" s="22">
        <f>管理层工资呈现!O4</f>
        <v>560</v>
      </c>
      <c r="F48" s="22">
        <f>管理层工资呈现!P4</f>
        <v>560</v>
      </c>
      <c r="G48" s="22">
        <f>管理层工资呈现!Q4</f>
        <v>560</v>
      </c>
      <c r="H48" s="22">
        <f>管理层工资呈现!R4</f>
        <v>560</v>
      </c>
      <c r="I48" s="22">
        <f>管理层工资呈现!S4</f>
        <v>560</v>
      </c>
      <c r="J48" s="22">
        <f>管理层工资呈现!T4</f>
        <v>560</v>
      </c>
      <c r="K48" s="22">
        <f>管理层工资呈现!U4</f>
        <v>560</v>
      </c>
      <c r="L48" s="22">
        <f>管理层工资呈现!V4</f>
        <v>560</v>
      </c>
      <c r="M48" s="22">
        <f>管理层工资呈现!W4</f>
        <v>560</v>
      </c>
      <c r="N48" s="22">
        <f>管理层工资呈现!X4</f>
        <v>560</v>
      </c>
      <c r="O48" s="22">
        <f>管理层工资呈现!Y4</f>
        <v>560</v>
      </c>
      <c r="P48" s="22">
        <f>管理层工资呈现!Z4</f>
        <v>560</v>
      </c>
      <c r="Q48" s="22">
        <f>管理层工资呈现!AA4</f>
        <v>560</v>
      </c>
      <c r="R48" s="22">
        <f>管理层工资呈现!AB4</f>
        <v>560</v>
      </c>
      <c r="S48" s="22">
        <f>管理层工资呈现!AC4</f>
        <v>560</v>
      </c>
      <c r="T48" s="22">
        <f>管理层工资呈现!AD4</f>
        <v>560</v>
      </c>
      <c r="U48" s="22">
        <f>管理层工资呈现!AE4</f>
        <v>560</v>
      </c>
      <c r="V48" s="22">
        <f>管理层工资呈现!AF4</f>
        <v>560</v>
      </c>
      <c r="W48" s="22">
        <f>管理层工资呈现!AG4</f>
        <v>560</v>
      </c>
      <c r="X48" s="22">
        <f>管理层工资呈现!AH4</f>
        <v>560</v>
      </c>
      <c r="Y48" s="22">
        <f>管理层工资呈现!AI4</f>
        <v>560</v>
      </c>
      <c r="Z48" s="22">
        <f>管理层工资呈现!AJ4</f>
        <v>560</v>
      </c>
      <c r="AA48" s="22">
        <f>管理层工资呈现!AK4</f>
        <v>560</v>
      </c>
      <c r="AB48" s="22">
        <f>管理层工资呈现!AL4</f>
        <v>560</v>
      </c>
      <c r="AC48" s="22">
        <f>管理层工资呈现!AM4</f>
        <v>560</v>
      </c>
      <c r="AD48" s="22">
        <f>管理层工资呈现!AN4</f>
        <v>560</v>
      </c>
      <c r="AE48" s="22">
        <f>管理层工资呈现!AO4</f>
        <v>560</v>
      </c>
      <c r="AF48" s="22">
        <f>管理层工资呈现!AP4</f>
        <v>560</v>
      </c>
      <c r="AG48" s="10">
        <f t="shared" si="3"/>
        <v>17360</v>
      </c>
    </row>
    <row r="49" ht="13.5" spans="1:33">
      <c r="A49" s="9" t="s">
        <v>728</v>
      </c>
      <c r="B49" s="22">
        <f>固定费用录入!H10</f>
        <v>692.887096774194</v>
      </c>
      <c r="C49" s="22">
        <f>固定费用录入!I10</f>
        <v>692.887096774194</v>
      </c>
      <c r="D49" s="22">
        <f>固定费用录入!J10</f>
        <v>692.887096774194</v>
      </c>
      <c r="E49" s="22">
        <f>固定费用录入!K10</f>
        <v>692.887096774194</v>
      </c>
      <c r="F49" s="22">
        <f>固定费用录入!L10</f>
        <v>692.887096774194</v>
      </c>
      <c r="G49" s="22">
        <f>固定费用录入!M10</f>
        <v>692.887096774194</v>
      </c>
      <c r="H49" s="22">
        <f>固定费用录入!N10</f>
        <v>692.887096774194</v>
      </c>
      <c r="I49" s="22">
        <f>固定费用录入!O10</f>
        <v>692.887096774194</v>
      </c>
      <c r="J49" s="22">
        <f>固定费用录入!P10</f>
        <v>692.887096774194</v>
      </c>
      <c r="K49" s="22">
        <f>固定费用录入!Q10</f>
        <v>692.887096774194</v>
      </c>
      <c r="L49" s="22">
        <f>固定费用录入!R10</f>
        <v>692.887096774194</v>
      </c>
      <c r="M49" s="22">
        <f>固定费用录入!S10</f>
        <v>692.887096774194</v>
      </c>
      <c r="N49" s="22">
        <f>固定费用录入!T10</f>
        <v>692.887096774194</v>
      </c>
      <c r="O49" s="22">
        <f>固定费用录入!U10</f>
        <v>692.887096774194</v>
      </c>
      <c r="P49" s="22">
        <f>固定费用录入!V10</f>
        <v>692.887096774194</v>
      </c>
      <c r="Q49" s="22">
        <f>固定费用录入!W10</f>
        <v>692.887096774194</v>
      </c>
      <c r="R49" s="22">
        <f>固定费用录入!X10</f>
        <v>692.887096774194</v>
      </c>
      <c r="S49" s="22">
        <f>固定费用录入!Y10</f>
        <v>692.887096774194</v>
      </c>
      <c r="T49" s="22">
        <f>固定费用录入!Z10</f>
        <v>692.887096774194</v>
      </c>
      <c r="U49" s="22">
        <f>固定费用录入!AA10</f>
        <v>692.887096774194</v>
      </c>
      <c r="V49" s="22">
        <f>固定费用录入!AB10</f>
        <v>692.887096774194</v>
      </c>
      <c r="W49" s="22">
        <f>固定费用录入!AC10</f>
        <v>692.887096774194</v>
      </c>
      <c r="X49" s="22">
        <f>固定费用录入!AD10</f>
        <v>692.887096774194</v>
      </c>
      <c r="Y49" s="22">
        <f>固定费用录入!AE10</f>
        <v>692.887096774194</v>
      </c>
      <c r="Z49" s="22">
        <f>固定费用录入!AF10</f>
        <v>692.887096774194</v>
      </c>
      <c r="AA49" s="22">
        <f>固定费用录入!AG10</f>
        <v>692.887096774194</v>
      </c>
      <c r="AB49" s="22">
        <f>固定费用录入!AH10</f>
        <v>692.887096774194</v>
      </c>
      <c r="AC49" s="22">
        <f>固定费用录入!AI10</f>
        <v>692.887096774194</v>
      </c>
      <c r="AD49" s="22">
        <f>固定费用录入!AJ10</f>
        <v>692.887096774194</v>
      </c>
      <c r="AE49" s="22">
        <f>固定费用录入!AK10</f>
        <v>692.887096774194</v>
      </c>
      <c r="AF49" s="22">
        <f>固定费用录入!AL10</f>
        <v>692.887096774194</v>
      </c>
      <c r="AG49" s="10">
        <f t="shared" si="3"/>
        <v>21479.5</v>
      </c>
    </row>
    <row r="50" customHeight="1" spans="1:33">
      <c r="A50" s="67" t="s">
        <v>729</v>
      </c>
      <c r="B50" s="68">
        <f t="shared" ref="B50:AF50" si="8">SUM(B41:B49)</f>
        <v>8487.88709677419</v>
      </c>
      <c r="C50" s="68">
        <f t="shared" si="8"/>
        <v>4305.88709677419</v>
      </c>
      <c r="D50" s="68">
        <f t="shared" si="8"/>
        <v>4326.38709677419</v>
      </c>
      <c r="E50" s="68">
        <f t="shared" si="8"/>
        <v>4307.38709677419</v>
      </c>
      <c r="F50" s="68">
        <f t="shared" si="8"/>
        <v>4319.88709677419</v>
      </c>
      <c r="G50" s="68">
        <f t="shared" si="8"/>
        <v>4320.88709677419</v>
      </c>
      <c r="H50" s="68">
        <f t="shared" si="8"/>
        <v>4308.38709677419</v>
      </c>
      <c r="I50" s="68">
        <f t="shared" si="8"/>
        <v>4333.88709677419</v>
      </c>
      <c r="J50" s="68">
        <f t="shared" si="8"/>
        <v>4358.88709677419</v>
      </c>
      <c r="K50" s="68">
        <f t="shared" si="8"/>
        <v>4320.38709677419</v>
      </c>
      <c r="L50" s="68">
        <f t="shared" si="8"/>
        <v>4327.38709677419</v>
      </c>
      <c r="M50" s="68">
        <f t="shared" si="8"/>
        <v>4322.88709677419</v>
      </c>
      <c r="N50" s="68">
        <f t="shared" si="8"/>
        <v>4320.38709677419</v>
      </c>
      <c r="O50" s="68">
        <f t="shared" si="8"/>
        <v>4317.38709677419</v>
      </c>
      <c r="P50" s="68">
        <f t="shared" si="8"/>
        <v>4323.88709677419</v>
      </c>
      <c r="Q50" s="68">
        <f t="shared" si="8"/>
        <v>4309.88709677419</v>
      </c>
      <c r="R50" s="68">
        <f t="shared" si="8"/>
        <v>4321.38709677419</v>
      </c>
      <c r="S50" s="68">
        <f t="shared" si="8"/>
        <v>4319.38709677419</v>
      </c>
      <c r="T50" s="68">
        <f t="shared" si="8"/>
        <v>4323.88709677419</v>
      </c>
      <c r="U50" s="68">
        <f t="shared" si="8"/>
        <v>4314.38709677419</v>
      </c>
      <c r="V50" s="68">
        <f t="shared" si="8"/>
        <v>4316.88709677419</v>
      </c>
      <c r="W50" s="68">
        <f t="shared" si="8"/>
        <v>4307.38709677419</v>
      </c>
      <c r="X50" s="68">
        <f t="shared" si="8"/>
        <v>4311.88709677419</v>
      </c>
      <c r="Y50" s="68">
        <f t="shared" si="8"/>
        <v>4318.38709677419</v>
      </c>
      <c r="Z50" s="68">
        <f t="shared" si="8"/>
        <v>4319.88709677419</v>
      </c>
      <c r="AA50" s="68">
        <f t="shared" si="8"/>
        <v>4375.38709677419</v>
      </c>
      <c r="AB50" s="68">
        <f t="shared" si="8"/>
        <v>4318.88709677419</v>
      </c>
      <c r="AC50" s="68">
        <f t="shared" si="8"/>
        <v>4321.38709677419</v>
      </c>
      <c r="AD50" s="68">
        <f t="shared" si="8"/>
        <v>1789.38709677419</v>
      </c>
      <c r="AE50" s="68">
        <f t="shared" si="8"/>
        <v>1797.88709677419</v>
      </c>
      <c r="AF50" s="68">
        <f t="shared" si="8"/>
        <v>1266.38709677419</v>
      </c>
      <c r="AG50" s="10">
        <f t="shared" si="3"/>
        <v>130034.5</v>
      </c>
    </row>
    <row r="51" customHeight="1" spans="1:33">
      <c r="A51" s="69" t="s">
        <v>730</v>
      </c>
      <c r="B51" s="69">
        <f>B11-B29-B40-B50</f>
        <v>1448.06351419355</v>
      </c>
      <c r="C51" s="69">
        <f t="shared" ref="B51:AG51" si="9">C11-C29-C40-C50</f>
        <v>9019.09908502656</v>
      </c>
      <c r="D51" s="69">
        <f t="shared" si="9"/>
        <v>7343.29085794355</v>
      </c>
      <c r="E51" s="69">
        <f t="shared" si="9"/>
        <v>19608.9814141936</v>
      </c>
      <c r="F51" s="69">
        <f t="shared" si="9"/>
        <v>10590.4993516935</v>
      </c>
      <c r="G51" s="69">
        <f t="shared" si="9"/>
        <v>17415.8847141936</v>
      </c>
      <c r="H51" s="69">
        <f t="shared" si="9"/>
        <v>19408.4727329436</v>
      </c>
      <c r="I51" s="69">
        <f t="shared" si="9"/>
        <v>19813.3202141936</v>
      </c>
      <c r="J51" s="69">
        <f t="shared" si="9"/>
        <v>19877.5389141936</v>
      </c>
      <c r="K51" s="69">
        <f t="shared" si="9"/>
        <v>21955.3537141936</v>
      </c>
      <c r="L51" s="69">
        <f t="shared" si="9"/>
        <v>18678.0490141936</v>
      </c>
      <c r="M51" s="69">
        <f t="shared" si="9"/>
        <v>9974.70343919356</v>
      </c>
      <c r="N51" s="69">
        <f t="shared" si="9"/>
        <v>7599.21772044355</v>
      </c>
      <c r="O51" s="69">
        <f t="shared" si="9"/>
        <v>12694.8259329436</v>
      </c>
      <c r="P51" s="69">
        <f t="shared" si="9"/>
        <v>18802.1310141936</v>
      </c>
      <c r="Q51" s="69">
        <f t="shared" si="9"/>
        <v>14409.6160391936</v>
      </c>
      <c r="R51" s="69">
        <f t="shared" si="9"/>
        <v>17661.3286141935</v>
      </c>
      <c r="S51" s="69">
        <f t="shared" si="9"/>
        <v>17849.5664204436</v>
      </c>
      <c r="T51" s="69">
        <f t="shared" si="9"/>
        <v>7363.82293294355</v>
      </c>
      <c r="U51" s="69">
        <f t="shared" si="9"/>
        <v>16303.8553475256</v>
      </c>
      <c r="V51" s="69">
        <f t="shared" si="9"/>
        <v>20451.4991662756</v>
      </c>
      <c r="W51" s="69">
        <f t="shared" si="9"/>
        <v>-16387.6791420564</v>
      </c>
      <c r="X51" s="69">
        <f t="shared" si="9"/>
        <v>14506.3508891936</v>
      </c>
      <c r="Y51" s="69">
        <f t="shared" si="9"/>
        <v>8690.52338433155</v>
      </c>
      <c r="Z51" s="69">
        <f t="shared" si="9"/>
        <v>14528.6210711376</v>
      </c>
      <c r="AA51" s="69">
        <f t="shared" si="9"/>
        <v>5642.50691558155</v>
      </c>
      <c r="AB51" s="69">
        <f t="shared" si="9"/>
        <v>8396.87891419355</v>
      </c>
      <c r="AC51" s="69">
        <f t="shared" si="9"/>
        <v>17765.2949204435</v>
      </c>
      <c r="AD51" s="69">
        <f t="shared" si="9"/>
        <v>19422.5153966936</v>
      </c>
      <c r="AE51" s="69">
        <f t="shared" si="9"/>
        <v>20027.8791329436</v>
      </c>
      <c r="AF51" s="69">
        <f t="shared" si="9"/>
        <v>-16818.1575858064</v>
      </c>
      <c r="AG51" s="7">
        <f t="shared" si="9"/>
        <v>384043.854050967</v>
      </c>
    </row>
    <row r="52" s="4" customFormat="1" customHeight="1" spans="1:33">
      <c r="A52" s="7" t="s">
        <v>731</v>
      </c>
      <c r="B52" s="7">
        <f>时长汇总!B6</f>
        <v>176</v>
      </c>
      <c r="C52" s="7">
        <f>时长汇总!C6</f>
        <v>192</v>
      </c>
      <c r="D52" s="7">
        <f>时长汇总!D6</f>
        <v>196</v>
      </c>
      <c r="E52" s="7">
        <f>时长汇总!E6</f>
        <v>198.5</v>
      </c>
      <c r="F52" s="7">
        <f>时长汇总!F6</f>
        <v>213.5</v>
      </c>
      <c r="G52" s="7">
        <f>时长汇总!G6</f>
        <v>184</v>
      </c>
      <c r="H52" s="7">
        <f>时长汇总!H6</f>
        <v>170</v>
      </c>
      <c r="I52" s="7">
        <f>时长汇总!I6</f>
        <v>192</v>
      </c>
      <c r="J52" s="7">
        <f>时长汇总!J6</f>
        <v>176</v>
      </c>
      <c r="K52" s="7">
        <f>时长汇总!K6</f>
        <v>200</v>
      </c>
      <c r="L52" s="7">
        <f>时长汇总!L6</f>
        <v>201</v>
      </c>
      <c r="M52" s="7">
        <f>时长汇总!M6</f>
        <v>200.5</v>
      </c>
      <c r="N52" s="7">
        <f>时长汇总!N6</f>
        <v>200</v>
      </c>
      <c r="O52" s="7">
        <f>时长汇总!O6</f>
        <v>176</v>
      </c>
      <c r="P52" s="7">
        <f>时长汇总!P6</f>
        <v>200</v>
      </c>
      <c r="Q52" s="7">
        <f>时长汇总!Q6</f>
        <v>197.5</v>
      </c>
      <c r="R52" s="7">
        <f>时长汇总!R6</f>
        <v>193</v>
      </c>
      <c r="S52" s="7">
        <f>时长汇总!S6</f>
        <v>216</v>
      </c>
      <c r="T52" s="7">
        <f>时长汇总!T6</f>
        <v>202</v>
      </c>
      <c r="U52" s="7">
        <f>时长汇总!U6</f>
        <v>208</v>
      </c>
      <c r="V52" s="7">
        <f>时长汇总!V6</f>
        <v>212</v>
      </c>
      <c r="W52" s="7">
        <f>时长汇总!W6</f>
        <v>208</v>
      </c>
      <c r="X52" s="7">
        <f>时长汇总!X6</f>
        <v>198</v>
      </c>
      <c r="Y52" s="7">
        <f>时长汇总!Y6</f>
        <v>189</v>
      </c>
      <c r="Z52" s="7">
        <f>时长汇总!Z6</f>
        <v>200</v>
      </c>
      <c r="AA52" s="7">
        <f>时长汇总!AA6</f>
        <v>213</v>
      </c>
      <c r="AB52" s="7">
        <f>时长汇总!AB6</f>
        <v>192</v>
      </c>
      <c r="AC52" s="7">
        <f>时长汇总!AC6</f>
        <v>201.5</v>
      </c>
      <c r="AD52" s="7">
        <f>时长汇总!AD6</f>
        <v>212</v>
      </c>
      <c r="AE52" s="7">
        <f>时长汇总!AE6</f>
        <v>208</v>
      </c>
      <c r="AF52" s="7">
        <f>时长汇总!AF6</f>
        <v>189.5</v>
      </c>
      <c r="AG52" s="10">
        <f>SUM(B52:AF52)</f>
        <v>6115</v>
      </c>
    </row>
    <row r="53" customHeight="1" spans="1:33">
      <c r="A53" s="70" t="s">
        <v>732</v>
      </c>
      <c r="B53" s="70">
        <f t="shared" ref="B53:AF53" si="10">IFERROR(B51/B52,0)</f>
        <v>8.22763360337246</v>
      </c>
      <c r="C53" s="70">
        <f t="shared" si="10"/>
        <v>46.97447440118</v>
      </c>
      <c r="D53" s="70">
        <f t="shared" si="10"/>
        <v>37.4657696833855</v>
      </c>
      <c r="E53" s="70">
        <f t="shared" si="10"/>
        <v>98.7858005752824</v>
      </c>
      <c r="F53" s="70">
        <f t="shared" si="10"/>
        <v>49.6042124201103</v>
      </c>
      <c r="G53" s="70">
        <f t="shared" si="10"/>
        <v>94.6515473597476</v>
      </c>
      <c r="H53" s="70">
        <f t="shared" si="10"/>
        <v>114.167486664374</v>
      </c>
      <c r="I53" s="70">
        <f t="shared" si="10"/>
        <v>103.194376115591</v>
      </c>
      <c r="J53" s="70">
        <f t="shared" si="10"/>
        <v>112.940562012463</v>
      </c>
      <c r="K53" s="70">
        <f t="shared" si="10"/>
        <v>109.776768570968</v>
      </c>
      <c r="L53" s="70">
        <f t="shared" si="10"/>
        <v>92.9256169860376</v>
      </c>
      <c r="M53" s="70">
        <f t="shared" si="10"/>
        <v>49.74914433513</v>
      </c>
      <c r="N53" s="70">
        <f t="shared" si="10"/>
        <v>37.9960886022178</v>
      </c>
      <c r="O53" s="70">
        <f t="shared" si="10"/>
        <v>72.1296928008156</v>
      </c>
      <c r="P53" s="70">
        <f t="shared" si="10"/>
        <v>94.0106550709678</v>
      </c>
      <c r="Q53" s="70">
        <f t="shared" si="10"/>
        <v>72.9600812111066</v>
      </c>
      <c r="R53" s="70">
        <f t="shared" si="10"/>
        <v>91.5094746849407</v>
      </c>
      <c r="S53" s="70">
        <f t="shared" si="10"/>
        <v>82.6368815761276</v>
      </c>
      <c r="T53" s="70">
        <f t="shared" si="10"/>
        <v>36.4545689749681</v>
      </c>
      <c r="U53" s="70">
        <f t="shared" si="10"/>
        <v>78.3839199400267</v>
      </c>
      <c r="V53" s="70">
        <f t="shared" si="10"/>
        <v>96.469335689979</v>
      </c>
      <c r="W53" s="70">
        <f t="shared" si="10"/>
        <v>-78.7869189521945</v>
      </c>
      <c r="X53" s="70">
        <f t="shared" si="10"/>
        <v>73.2643984302705</v>
      </c>
      <c r="Y53" s="70">
        <f t="shared" si="10"/>
        <v>45.9816052081035</v>
      </c>
      <c r="Z53" s="70">
        <f t="shared" si="10"/>
        <v>72.6431053556878</v>
      </c>
      <c r="AA53" s="70">
        <f t="shared" si="10"/>
        <v>26.4906427961575</v>
      </c>
      <c r="AB53" s="70">
        <f t="shared" si="10"/>
        <v>43.7337443447581</v>
      </c>
      <c r="AC53" s="70">
        <f t="shared" si="10"/>
        <v>88.1652353371888</v>
      </c>
      <c r="AD53" s="70">
        <f t="shared" si="10"/>
        <v>91.6156386636488</v>
      </c>
      <c r="AE53" s="70">
        <f t="shared" si="10"/>
        <v>96.287880446844</v>
      </c>
      <c r="AF53" s="70">
        <f t="shared" si="10"/>
        <v>-88.7501719567623</v>
      </c>
      <c r="AG53" s="71">
        <f>SUM(B53:AF53)</f>
        <v>1951.65925095249</v>
      </c>
    </row>
    <row r="54" ht="13.5" spans="1:33">
      <c r="A54" s="46" t="s">
        <v>733</v>
      </c>
      <c r="B54" s="72">
        <f t="shared" ref="B54:AF54" si="11">5+7+9+3</f>
        <v>24</v>
      </c>
      <c r="C54" s="72">
        <f t="shared" si="11"/>
        <v>24</v>
      </c>
      <c r="D54" s="72">
        <f t="shared" si="11"/>
        <v>24</v>
      </c>
      <c r="E54" s="72">
        <f t="shared" si="11"/>
        <v>24</v>
      </c>
      <c r="F54" s="72">
        <f t="shared" si="11"/>
        <v>24</v>
      </c>
      <c r="G54" s="72">
        <f t="shared" si="11"/>
        <v>24</v>
      </c>
      <c r="H54" s="72">
        <f t="shared" si="11"/>
        <v>24</v>
      </c>
      <c r="I54" s="72">
        <f t="shared" si="11"/>
        <v>24</v>
      </c>
      <c r="J54" s="72">
        <f t="shared" si="11"/>
        <v>24</v>
      </c>
      <c r="K54" s="72">
        <f t="shared" si="11"/>
        <v>24</v>
      </c>
      <c r="L54" s="72">
        <f t="shared" si="11"/>
        <v>24</v>
      </c>
      <c r="M54" s="72">
        <f t="shared" si="11"/>
        <v>24</v>
      </c>
      <c r="N54" s="72">
        <f t="shared" si="11"/>
        <v>24</v>
      </c>
      <c r="O54" s="72">
        <f t="shared" si="11"/>
        <v>24</v>
      </c>
      <c r="P54" s="72">
        <f t="shared" si="11"/>
        <v>24</v>
      </c>
      <c r="Q54" s="72">
        <f t="shared" si="11"/>
        <v>24</v>
      </c>
      <c r="R54" s="72">
        <f t="shared" si="11"/>
        <v>24</v>
      </c>
      <c r="S54" s="72">
        <f t="shared" si="11"/>
        <v>24</v>
      </c>
      <c r="T54" s="72">
        <f t="shared" si="11"/>
        <v>24</v>
      </c>
      <c r="U54" s="72">
        <f t="shared" si="11"/>
        <v>24</v>
      </c>
      <c r="V54" s="72">
        <f t="shared" si="11"/>
        <v>24</v>
      </c>
      <c r="W54" s="72">
        <f t="shared" si="11"/>
        <v>24</v>
      </c>
      <c r="X54" s="72">
        <f t="shared" si="11"/>
        <v>24</v>
      </c>
      <c r="Y54" s="72">
        <f t="shared" si="11"/>
        <v>24</v>
      </c>
      <c r="Z54" s="72">
        <f t="shared" si="11"/>
        <v>24</v>
      </c>
      <c r="AA54" s="72">
        <f t="shared" si="11"/>
        <v>24</v>
      </c>
      <c r="AB54" s="72">
        <f t="shared" si="11"/>
        <v>24</v>
      </c>
      <c r="AC54" s="72">
        <f t="shared" si="11"/>
        <v>24</v>
      </c>
      <c r="AD54" s="72">
        <f t="shared" si="11"/>
        <v>24</v>
      </c>
      <c r="AE54" s="72">
        <f t="shared" si="11"/>
        <v>24</v>
      </c>
      <c r="AF54" s="72">
        <f t="shared" si="11"/>
        <v>24</v>
      </c>
      <c r="AG54" s="72">
        <f>AVERAGE(B54:AF54)</f>
        <v>24</v>
      </c>
    </row>
    <row r="55" ht="13.5" spans="1:33">
      <c r="A55" s="46" t="s">
        <v>734</v>
      </c>
      <c r="B55" s="73">
        <f t="shared" ref="B55:AG55" si="12">IFERROR(B51/B54,0)</f>
        <v>60.3359797580647</v>
      </c>
      <c r="C55" s="72">
        <f t="shared" si="12"/>
        <v>375.79579520944</v>
      </c>
      <c r="D55" s="72">
        <f t="shared" si="12"/>
        <v>305.970452414315</v>
      </c>
      <c r="E55" s="72">
        <f t="shared" si="12"/>
        <v>817.040892258065</v>
      </c>
      <c r="F55" s="72">
        <f t="shared" si="12"/>
        <v>441.270806320564</v>
      </c>
      <c r="G55" s="72">
        <f t="shared" si="12"/>
        <v>725.661863091398</v>
      </c>
      <c r="H55" s="72">
        <f t="shared" si="12"/>
        <v>808.686363872648</v>
      </c>
      <c r="I55" s="72">
        <f t="shared" si="12"/>
        <v>825.555008924731</v>
      </c>
      <c r="J55" s="72">
        <f t="shared" si="12"/>
        <v>828.230788091398</v>
      </c>
      <c r="K55" s="72">
        <f t="shared" si="12"/>
        <v>914.806404758065</v>
      </c>
      <c r="L55" s="72">
        <f t="shared" si="12"/>
        <v>778.252042258065</v>
      </c>
      <c r="M55" s="72">
        <f t="shared" si="12"/>
        <v>415.612643299731</v>
      </c>
      <c r="N55" s="72">
        <f t="shared" si="12"/>
        <v>316.634071685148</v>
      </c>
      <c r="O55" s="72">
        <f t="shared" si="12"/>
        <v>528.951080539315</v>
      </c>
      <c r="P55" s="72">
        <f t="shared" si="12"/>
        <v>783.422125591398</v>
      </c>
      <c r="Q55" s="72">
        <f t="shared" si="12"/>
        <v>600.400668299731</v>
      </c>
      <c r="R55" s="72">
        <f t="shared" si="12"/>
        <v>735.888692258065</v>
      </c>
      <c r="S55" s="72">
        <f t="shared" si="12"/>
        <v>743.731934185148</v>
      </c>
      <c r="T55" s="72">
        <f t="shared" si="12"/>
        <v>306.825955539315</v>
      </c>
      <c r="U55" s="72">
        <f t="shared" si="12"/>
        <v>679.327306146898</v>
      </c>
      <c r="V55" s="72">
        <f t="shared" si="12"/>
        <v>852.145798594815</v>
      </c>
      <c r="W55" s="72">
        <f t="shared" si="12"/>
        <v>-682.819964252352</v>
      </c>
      <c r="X55" s="72">
        <f t="shared" si="12"/>
        <v>604.431287049731</v>
      </c>
      <c r="Y55" s="72">
        <f t="shared" si="12"/>
        <v>362.105141013815</v>
      </c>
      <c r="Z55" s="72">
        <f t="shared" si="12"/>
        <v>605.359211297398</v>
      </c>
      <c r="AA55" s="72">
        <f t="shared" si="12"/>
        <v>235.104454815898</v>
      </c>
      <c r="AB55" s="72">
        <f t="shared" si="12"/>
        <v>349.869954758065</v>
      </c>
      <c r="AC55" s="72">
        <f t="shared" si="12"/>
        <v>740.220621685148</v>
      </c>
      <c r="AD55" s="72">
        <f t="shared" si="12"/>
        <v>809.271474862231</v>
      </c>
      <c r="AE55" s="72">
        <f t="shared" si="12"/>
        <v>834.494963872648</v>
      </c>
      <c r="AF55" s="72">
        <f t="shared" si="12"/>
        <v>-700.756566075269</v>
      </c>
      <c r="AG55" s="72">
        <f t="shared" si="12"/>
        <v>16001.8272521236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阿米巴核算表（月）">
    <tabColor rgb="FFFF0000"/>
  </sheetPr>
  <dimension ref="A1:Z200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D5" sqref="D5"/>
    </sheetView>
  </sheetViews>
  <sheetFormatPr defaultColWidth="9.81666666666667" defaultRowHeight="13.5"/>
  <cols>
    <col min="1" max="1" width="17.7083333333333" customWidth="1"/>
    <col min="2" max="2" width="25.7083333333333" customWidth="1"/>
    <col min="3" max="3" width="16.7083333333333" customWidth="1"/>
    <col min="4" max="4" width="25.7083333333333" customWidth="1"/>
    <col min="5" max="5" width="20.7083333333333" style="28" customWidth="1"/>
    <col min="6" max="6" width="20.7083333333333" customWidth="1"/>
    <col min="7" max="7" width="17.7083333333333" style="28"/>
    <col min="8" max="8" width="16.7083333333333" customWidth="1"/>
    <col min="9" max="9" width="25.7083333333333" customWidth="1"/>
    <col min="10" max="10" width="20.7083333333333" customWidth="1"/>
    <col min="11" max="11" width="14.7083333333333" customWidth="1"/>
    <col min="12" max="12" width="24.7083333333333" customWidth="1"/>
    <col min="13" max="14" width="14.7083333333333" customWidth="1"/>
    <col min="15" max="15" width="37.7083333333333" customWidth="1"/>
    <col min="16" max="26" width="15.7083333333333" customWidth="1"/>
  </cols>
  <sheetData>
    <row r="1" spans="1:26">
      <c r="A1" s="3" t="s">
        <v>735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736</v>
      </c>
      <c r="B2" s="3"/>
      <c r="C2" s="3"/>
      <c r="D2" s="3" t="s">
        <v>737</v>
      </c>
      <c r="E2" s="54"/>
      <c r="F2" s="3"/>
      <c r="G2" s="5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49" t="s">
        <v>621</v>
      </c>
      <c r="B3" s="31"/>
      <c r="C3" s="49" t="s">
        <v>738</v>
      </c>
      <c r="D3" s="55" t="s">
        <v>739</v>
      </c>
      <c r="E3" s="55"/>
      <c r="F3" s="56"/>
      <c r="G3" s="56"/>
      <c r="H3" s="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1"/>
      <c r="B4" s="31"/>
      <c r="C4" s="31"/>
      <c r="D4" s="49" t="s">
        <v>740</v>
      </c>
      <c r="E4" s="38" t="s">
        <v>741</v>
      </c>
      <c r="F4" s="49" t="s">
        <v>742</v>
      </c>
      <c r="G4" s="38" t="s">
        <v>741</v>
      </c>
      <c r="H4" s="57" t="s">
        <v>743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1"/>
      <c r="B5" s="31"/>
      <c r="C5" s="31"/>
      <c r="D5" s="49" t="s">
        <v>8</v>
      </c>
      <c r="E5" s="51"/>
      <c r="F5" s="49" t="s">
        <v>8</v>
      </c>
      <c r="G5" s="51"/>
      <c r="H5" s="49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49" t="s">
        <v>744</v>
      </c>
      <c r="B6" s="49" t="s">
        <v>695</v>
      </c>
      <c r="C6" s="49" t="s">
        <v>745</v>
      </c>
      <c r="D6" s="49">
        <v>1540000</v>
      </c>
      <c r="E6" s="51">
        <f t="shared" ref="E6:E49" si="0">D6/$D$11</f>
        <v>0.998055735580039</v>
      </c>
      <c r="F6" s="49">
        <f>VLOOKUP(B6,汇总表!A:AH,33,0)</f>
        <v>994743.33</v>
      </c>
      <c r="G6" s="51">
        <f t="shared" ref="G6:G49" si="1">F6/$D$11</f>
        <v>0.644681354504213</v>
      </c>
      <c r="H6" s="49">
        <v>390000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1"/>
      <c r="B7" s="49" t="s">
        <v>696</v>
      </c>
      <c r="C7" s="49" t="s">
        <v>746</v>
      </c>
      <c r="D7" s="29">
        <v>0</v>
      </c>
      <c r="E7" s="51">
        <f t="shared" si="0"/>
        <v>0</v>
      </c>
      <c r="F7" s="49">
        <f>VLOOKUP(B7,汇总表!A:AH,33,0)</f>
        <v>0</v>
      </c>
      <c r="G7" s="51">
        <f t="shared" si="1"/>
        <v>0</v>
      </c>
      <c r="H7" s="49">
        <v>500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1"/>
      <c r="B8" s="49" t="s">
        <v>697</v>
      </c>
      <c r="C8" s="49" t="s">
        <v>747</v>
      </c>
      <c r="D8" s="29">
        <v>0</v>
      </c>
      <c r="E8" s="51">
        <f t="shared" si="0"/>
        <v>0</v>
      </c>
      <c r="F8" s="49">
        <v>0</v>
      </c>
      <c r="G8" s="51">
        <f t="shared" si="1"/>
        <v>0</v>
      </c>
      <c r="H8" s="49">
        <v>1000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1"/>
      <c r="B9" s="49" t="s">
        <v>698</v>
      </c>
      <c r="C9" s="49" t="s">
        <v>748</v>
      </c>
      <c r="D9" s="29">
        <v>3000</v>
      </c>
      <c r="E9" s="51">
        <f t="shared" si="0"/>
        <v>0.00194426441996111</v>
      </c>
      <c r="F9" s="49">
        <v>0</v>
      </c>
      <c r="G9" s="51">
        <f t="shared" si="1"/>
        <v>0</v>
      </c>
      <c r="H9" s="49">
        <v>2000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1"/>
      <c r="B10" s="49" t="s">
        <v>749</v>
      </c>
      <c r="C10" s="49" t="s">
        <v>750</v>
      </c>
      <c r="D10" s="29">
        <v>0</v>
      </c>
      <c r="E10" s="51">
        <f t="shared" si="0"/>
        <v>0</v>
      </c>
      <c r="F10" s="49">
        <v>0</v>
      </c>
      <c r="G10" s="51">
        <f t="shared" si="1"/>
        <v>0</v>
      </c>
      <c r="H10" s="49"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1"/>
      <c r="B11" s="49" t="s">
        <v>709</v>
      </c>
      <c r="C11" s="49" t="s">
        <v>751</v>
      </c>
      <c r="D11" s="29">
        <f>SUM(D6:D10)</f>
        <v>1543000</v>
      </c>
      <c r="E11" s="51">
        <f t="shared" si="0"/>
        <v>1</v>
      </c>
      <c r="F11" s="49">
        <f>SUM(F6:F10)</f>
        <v>994743.33</v>
      </c>
      <c r="G11" s="51">
        <f t="shared" si="1"/>
        <v>0.644681354504213</v>
      </c>
      <c r="H11" s="49">
        <v>393500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49" t="s">
        <v>752</v>
      </c>
      <c r="B12" s="49" t="s">
        <v>710</v>
      </c>
      <c r="C12" s="49" t="s">
        <v>753</v>
      </c>
      <c r="D12" s="29">
        <f>D11*0.03</f>
        <v>46290</v>
      </c>
      <c r="E12" s="51">
        <f t="shared" si="0"/>
        <v>0.03</v>
      </c>
      <c r="F12" s="49">
        <f>VLOOKUP(B12,汇总表!A:AH,33,0)</f>
        <v>41619.468</v>
      </c>
      <c r="G12" s="51">
        <f t="shared" si="1"/>
        <v>0.0269730836033701</v>
      </c>
      <c r="H12" s="49">
        <v>11000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1"/>
      <c r="B13" s="49" t="s">
        <v>711</v>
      </c>
      <c r="C13" s="49" t="s">
        <v>754</v>
      </c>
      <c r="D13" s="29">
        <v>3000</v>
      </c>
      <c r="E13" s="51">
        <f t="shared" si="0"/>
        <v>0.00194426441996111</v>
      </c>
      <c r="F13" s="49">
        <f>VLOOKUP(B13,汇总表!A:AH,33,0)</f>
        <v>2401.307359033</v>
      </c>
      <c r="G13" s="51">
        <f t="shared" si="1"/>
        <v>0.00155625881985288</v>
      </c>
      <c r="H13" s="58">
        <v>1400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1"/>
      <c r="B14" s="49" t="s">
        <v>614</v>
      </c>
      <c r="C14" s="49" t="s">
        <v>755</v>
      </c>
      <c r="D14" s="29">
        <v>40000</v>
      </c>
      <c r="E14" s="51">
        <f t="shared" si="0"/>
        <v>0.0259235255994815</v>
      </c>
      <c r="F14" s="49">
        <f>VLOOKUP(B14,汇总表!A:AH,33,0)</f>
        <v>59460.67</v>
      </c>
      <c r="G14" s="51">
        <f t="shared" si="1"/>
        <v>0.0385357550226831</v>
      </c>
      <c r="H14" s="50">
        <v>17000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1"/>
      <c r="B15" s="49" t="s">
        <v>394</v>
      </c>
      <c r="C15" s="49" t="s">
        <v>756</v>
      </c>
      <c r="D15" s="29">
        <f>D11*0.03</f>
        <v>46290</v>
      </c>
      <c r="E15" s="51">
        <f t="shared" si="0"/>
        <v>0.03</v>
      </c>
      <c r="F15" s="49">
        <f>VLOOKUP(B15,汇总表!A:AH,33,0)</f>
        <v>31120.9</v>
      </c>
      <c r="G15" s="51">
        <f t="shared" si="1"/>
        <v>0.0201690861957226</v>
      </c>
      <c r="H15" s="50">
        <v>13000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1"/>
      <c r="B16" s="49" t="s">
        <v>667</v>
      </c>
      <c r="C16" s="49" t="s">
        <v>757</v>
      </c>
      <c r="D16" s="29">
        <v>80000</v>
      </c>
      <c r="E16" s="51">
        <f t="shared" si="0"/>
        <v>0.0518470511989631</v>
      </c>
      <c r="F16" s="49">
        <f>VLOOKUP(B16,汇总表!A:AH,33,0)</f>
        <v>76881.6664</v>
      </c>
      <c r="G16" s="51">
        <f t="shared" si="1"/>
        <v>0.04982609617628</v>
      </c>
      <c r="H16" s="49">
        <v>20000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1"/>
      <c r="B17" s="49" t="s">
        <v>669</v>
      </c>
      <c r="C17" s="49" t="s">
        <v>758</v>
      </c>
      <c r="D17" s="29">
        <v>8000</v>
      </c>
      <c r="E17" s="51">
        <f t="shared" si="0"/>
        <v>0.00518470511989631</v>
      </c>
      <c r="F17" s="49">
        <f>VLOOKUP(B17,汇总表!A:AH,33,0)</f>
        <v>5819.4</v>
      </c>
      <c r="G17" s="51">
        <f t="shared" si="1"/>
        <v>0.00377148412184057</v>
      </c>
      <c r="H17" s="49">
        <v>1500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1"/>
      <c r="B18" s="49" t="s">
        <v>712</v>
      </c>
      <c r="C18" s="49" t="s">
        <v>759</v>
      </c>
      <c r="D18" s="29">
        <v>0</v>
      </c>
      <c r="E18" s="51">
        <f t="shared" si="0"/>
        <v>0</v>
      </c>
      <c r="F18" s="49">
        <f>VLOOKUP(B18,汇总表!A:AH,33,0)</f>
        <v>0</v>
      </c>
      <c r="G18" s="51">
        <f t="shared" si="1"/>
        <v>0</v>
      </c>
      <c r="H18" s="49">
        <v>7000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1"/>
      <c r="B19" s="49" t="s">
        <v>303</v>
      </c>
      <c r="C19" s="49" t="s">
        <v>760</v>
      </c>
      <c r="D19" s="29">
        <v>1000</v>
      </c>
      <c r="E19" s="51">
        <f t="shared" si="0"/>
        <v>0.000648088139987038</v>
      </c>
      <c r="F19" s="49">
        <f>VLOOKUP(B19,汇总表!A:AH,33,0)</f>
        <v>1910</v>
      </c>
      <c r="G19" s="51">
        <f t="shared" si="1"/>
        <v>0.00123784834737524</v>
      </c>
      <c r="H19" s="49">
        <v>500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1"/>
      <c r="B20" s="49" t="s">
        <v>723</v>
      </c>
      <c r="C20" s="49" t="s">
        <v>761</v>
      </c>
      <c r="D20" s="29">
        <v>10000</v>
      </c>
      <c r="E20" s="51">
        <f t="shared" si="0"/>
        <v>0.00648088139987038</v>
      </c>
      <c r="F20" s="49">
        <f>VLOOKUP(B20,汇总表!A:AH,33,0)</f>
        <v>0</v>
      </c>
      <c r="G20" s="51">
        <f t="shared" si="1"/>
        <v>0</v>
      </c>
      <c r="H20" s="49">
        <v>5500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1"/>
      <c r="B21" s="49" t="s">
        <v>724</v>
      </c>
      <c r="C21" s="49" t="s">
        <v>762</v>
      </c>
      <c r="D21" s="29">
        <v>35000</v>
      </c>
      <c r="E21" s="51">
        <f t="shared" si="0"/>
        <v>0.0226830848995463</v>
      </c>
      <c r="F21" s="49">
        <f>VLOOKUP(B21,汇总表!A:AH,33,0)</f>
        <v>15900</v>
      </c>
      <c r="G21" s="51">
        <f t="shared" si="1"/>
        <v>0.0103046014257939</v>
      </c>
      <c r="H21" s="49">
        <v>100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1"/>
      <c r="B22" s="49" t="s">
        <v>725</v>
      </c>
      <c r="C22" s="49" t="s">
        <v>763</v>
      </c>
      <c r="D22" s="29">
        <v>35000</v>
      </c>
      <c r="E22" s="51">
        <f t="shared" si="0"/>
        <v>0.0226830848995463</v>
      </c>
      <c r="F22" s="49">
        <f>VLOOKUP(B22,汇总表!A:AH,33,0)</f>
        <v>45920</v>
      </c>
      <c r="G22" s="51">
        <f t="shared" si="1"/>
        <v>0.0297602073882048</v>
      </c>
      <c r="H22" s="49">
        <v>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1"/>
      <c r="B23" s="49" t="s">
        <v>726</v>
      </c>
      <c r="C23" s="49" t="s">
        <v>764</v>
      </c>
      <c r="D23" s="29">
        <v>22000</v>
      </c>
      <c r="E23" s="51">
        <f t="shared" si="0"/>
        <v>0.0142579390797148</v>
      </c>
      <c r="F23" s="49">
        <f>VLOOKUP(B23,汇总表!A:AH,33,0)</f>
        <v>24640</v>
      </c>
      <c r="G23" s="51">
        <f t="shared" si="1"/>
        <v>0.0159688917692806</v>
      </c>
      <c r="H23" s="49">
        <v>600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1"/>
      <c r="B24" s="49" t="s">
        <v>727</v>
      </c>
      <c r="C24" s="49" t="s">
        <v>765</v>
      </c>
      <c r="D24" s="29">
        <v>24800</v>
      </c>
      <c r="E24" s="51">
        <f t="shared" si="0"/>
        <v>0.0160725858716785</v>
      </c>
      <c r="F24" s="49">
        <f>VLOOKUP(B24,汇总表!A:AH,33,0)</f>
        <v>17360</v>
      </c>
      <c r="G24" s="51">
        <f t="shared" si="1"/>
        <v>0.011250810110175</v>
      </c>
      <c r="H24" s="49">
        <v>1000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1"/>
      <c r="B25" s="49" t="s">
        <v>297</v>
      </c>
      <c r="C25" s="49" t="s">
        <v>766</v>
      </c>
      <c r="D25" s="29">
        <v>1000</v>
      </c>
      <c r="E25" s="51">
        <f t="shared" si="0"/>
        <v>0.000648088139987038</v>
      </c>
      <c r="F25" s="49">
        <f>VLOOKUP(B25,汇总表!A:AH,33,0)</f>
        <v>0</v>
      </c>
      <c r="G25" s="51">
        <f t="shared" si="1"/>
        <v>0</v>
      </c>
      <c r="H25" s="49">
        <v>79400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1"/>
      <c r="B26" s="49" t="s">
        <v>62</v>
      </c>
      <c r="C26" s="49" t="s">
        <v>767</v>
      </c>
      <c r="D26" s="29">
        <v>1500</v>
      </c>
      <c r="E26" s="51">
        <f t="shared" si="0"/>
        <v>0.000972132209980557</v>
      </c>
      <c r="F26" s="49">
        <f>VLOOKUP(B26,汇总表!A:AH,33,0)</f>
        <v>2266</v>
      </c>
      <c r="G26" s="51">
        <f t="shared" si="1"/>
        <v>0.00146856772521063</v>
      </c>
      <c r="H26" s="49">
        <v>38000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1"/>
      <c r="B27" s="49" t="s">
        <v>75</v>
      </c>
      <c r="C27" s="49" t="s">
        <v>768</v>
      </c>
      <c r="D27" s="29">
        <v>500</v>
      </c>
      <c r="E27" s="51">
        <f t="shared" si="0"/>
        <v>0.000324044069993519</v>
      </c>
      <c r="F27" s="49">
        <f>VLOOKUP(B27,汇总表!A:AH,33,0)</f>
        <v>559</v>
      </c>
      <c r="G27" s="51">
        <f t="shared" si="1"/>
        <v>0.000362281270252754</v>
      </c>
      <c r="H27" s="49">
        <v>41000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1"/>
      <c r="B28" s="49" t="s">
        <v>718</v>
      </c>
      <c r="C28" s="49" t="s">
        <v>769</v>
      </c>
      <c r="D28" s="29">
        <f>D11*0.01</f>
        <v>15430</v>
      </c>
      <c r="E28" s="51">
        <f t="shared" si="0"/>
        <v>0.01</v>
      </c>
      <c r="F28" s="49">
        <f>VLOOKUP(B28,汇总表!A:AH,33,0)</f>
        <v>9947.4333</v>
      </c>
      <c r="G28" s="51">
        <f t="shared" si="1"/>
        <v>0.00644681354504213</v>
      </c>
      <c r="H28" s="49">
        <v>32000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1"/>
      <c r="B29" s="49" t="s">
        <v>335</v>
      </c>
      <c r="C29" s="49" t="s">
        <v>770</v>
      </c>
      <c r="D29" s="29">
        <f>SUM(D12:D28)</f>
        <v>369810</v>
      </c>
      <c r="E29" s="51">
        <f t="shared" si="0"/>
        <v>0.239669475048607</v>
      </c>
      <c r="F29" s="49">
        <f>SUM(F12:F28)</f>
        <v>335805.845059033</v>
      </c>
      <c r="G29" s="51">
        <f t="shared" si="1"/>
        <v>0.217631785521084</v>
      </c>
      <c r="H29" s="49">
        <v>208000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49" t="s">
        <v>771</v>
      </c>
      <c r="B30" s="49" t="s">
        <v>673</v>
      </c>
      <c r="C30" s="49" t="s">
        <v>772</v>
      </c>
      <c r="D30" s="29">
        <v>193788</v>
      </c>
      <c r="E30" s="51">
        <f t="shared" si="0"/>
        <v>0.125591704471808</v>
      </c>
      <c r="F30" s="49">
        <f>VLOOKUP(B30,汇总表!A:AH,33,0)</f>
        <v>193788</v>
      </c>
      <c r="G30" s="51">
        <f t="shared" si="1"/>
        <v>0.125591704471808</v>
      </c>
      <c r="H30" s="49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1"/>
      <c r="B31" s="49" t="s">
        <v>773</v>
      </c>
      <c r="C31" s="49" t="s">
        <v>774</v>
      </c>
      <c r="D31" s="29">
        <v>0</v>
      </c>
      <c r="E31" s="51">
        <f t="shared" si="0"/>
        <v>0</v>
      </c>
      <c r="F31" s="49">
        <v>0</v>
      </c>
      <c r="G31" s="51">
        <f t="shared" si="1"/>
        <v>0</v>
      </c>
      <c r="H31" s="49">
        <v>9880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1"/>
      <c r="B32" s="49" t="s">
        <v>675</v>
      </c>
      <c r="C32" s="49" t="s">
        <v>775</v>
      </c>
      <c r="D32" s="29">
        <v>27684</v>
      </c>
      <c r="E32" s="51">
        <f t="shared" si="0"/>
        <v>0.0179416720674012</v>
      </c>
      <c r="F32" s="49">
        <f>VLOOKUP(B32,汇总表!A:AH,33,0)</f>
        <v>27684</v>
      </c>
      <c r="G32" s="51">
        <f t="shared" si="1"/>
        <v>0.0179416720674012</v>
      </c>
      <c r="H32" s="49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1"/>
      <c r="B33" s="49" t="s">
        <v>716</v>
      </c>
      <c r="C33" s="49" t="s">
        <v>776</v>
      </c>
      <c r="D33" s="29">
        <v>1963</v>
      </c>
      <c r="E33" s="51">
        <f t="shared" si="0"/>
        <v>0.00127219701879456</v>
      </c>
      <c r="F33" s="49">
        <f>VLOOKUP(B33,汇总表!A:AH,33,0)</f>
        <v>1963</v>
      </c>
      <c r="G33" s="51">
        <f t="shared" si="1"/>
        <v>0.00127219701879456</v>
      </c>
      <c r="H33" s="49">
        <v>2000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1"/>
      <c r="B34" s="49" t="s">
        <v>717</v>
      </c>
      <c r="C34" s="49" t="s">
        <v>777</v>
      </c>
      <c r="D34" s="29">
        <v>1200</v>
      </c>
      <c r="E34" s="51">
        <f t="shared" si="0"/>
        <v>0.000777705767984446</v>
      </c>
      <c r="F34" s="49">
        <f>VLOOKUP(B34,汇总表!A:AH,33,0)</f>
        <v>1200</v>
      </c>
      <c r="G34" s="51">
        <f t="shared" si="1"/>
        <v>0.000777705767984446</v>
      </c>
      <c r="H34" s="49">
        <v>330880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1"/>
      <c r="B35" s="49" t="s">
        <v>335</v>
      </c>
      <c r="C35" s="49" t="s">
        <v>778</v>
      </c>
      <c r="D35" s="49">
        <f>SUM(D30:D34)</f>
        <v>224635</v>
      </c>
      <c r="E35" s="51">
        <f t="shared" si="0"/>
        <v>0.145583279325988</v>
      </c>
      <c r="F35" s="49">
        <f>SUM(F30:F34)</f>
        <v>224635</v>
      </c>
      <c r="G35" s="51">
        <f t="shared" si="1"/>
        <v>0.145583279325988</v>
      </c>
      <c r="H35" s="49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49" t="s">
        <v>779</v>
      </c>
      <c r="B36" s="49" t="s">
        <v>699</v>
      </c>
      <c r="C36" s="49" t="s">
        <v>780</v>
      </c>
      <c r="D36" s="29">
        <v>0</v>
      </c>
      <c r="E36" s="51">
        <f t="shared" si="0"/>
        <v>0</v>
      </c>
      <c r="F36" s="49">
        <f>VLOOKUP(B36,汇总表!A:AH,33,0)</f>
        <v>0</v>
      </c>
      <c r="G36" s="51">
        <f t="shared" si="1"/>
        <v>0</v>
      </c>
      <c r="H36" s="49">
        <v>1000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1"/>
      <c r="B37" s="49" t="s">
        <v>700</v>
      </c>
      <c r="C37" s="49" t="s">
        <v>781</v>
      </c>
      <c r="D37" s="29">
        <v>0</v>
      </c>
      <c r="E37" s="51">
        <f t="shared" si="0"/>
        <v>0</v>
      </c>
      <c r="F37" s="49">
        <f>VLOOKUP(B37,汇总表!A:AH,33,0)</f>
        <v>0</v>
      </c>
      <c r="G37" s="51">
        <f t="shared" si="1"/>
        <v>0</v>
      </c>
      <c r="H37" s="49">
        <v>500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1"/>
      <c r="B38" s="49" t="s">
        <v>701</v>
      </c>
      <c r="C38" s="49" t="s">
        <v>782</v>
      </c>
      <c r="D38" s="29">
        <v>0</v>
      </c>
      <c r="E38" s="51">
        <f t="shared" si="0"/>
        <v>0</v>
      </c>
      <c r="F38" s="49">
        <f>VLOOKUP(B38,汇总表!A:AH,33,0)</f>
        <v>0</v>
      </c>
      <c r="G38" s="51">
        <f t="shared" si="1"/>
        <v>0</v>
      </c>
      <c r="H38" s="49">
        <v>50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1"/>
      <c r="B39" s="49" t="s">
        <v>702</v>
      </c>
      <c r="C39" s="49" t="s">
        <v>783</v>
      </c>
      <c r="D39" s="29">
        <v>0</v>
      </c>
      <c r="E39" s="51">
        <f t="shared" si="0"/>
        <v>0</v>
      </c>
      <c r="F39" s="49">
        <f>VLOOKUP(B39,汇总表!A:AH,33,0)</f>
        <v>764.15983</v>
      </c>
      <c r="G39" s="51">
        <f t="shared" si="1"/>
        <v>0.000495242922877511</v>
      </c>
      <c r="H39" s="49">
        <v>1000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1"/>
      <c r="B40" s="49" t="s">
        <v>703</v>
      </c>
      <c r="C40" s="49" t="s">
        <v>784</v>
      </c>
      <c r="D40" s="29">
        <v>0</v>
      </c>
      <c r="E40" s="51">
        <f t="shared" si="0"/>
        <v>0</v>
      </c>
      <c r="F40" s="49">
        <f>VLOOKUP(B40,汇总表!A:AH,33,0)</f>
        <v>0</v>
      </c>
      <c r="G40" s="51">
        <f t="shared" si="1"/>
        <v>0</v>
      </c>
      <c r="H40" s="49">
        <v>5000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1"/>
      <c r="B41" s="49" t="s">
        <v>704</v>
      </c>
      <c r="C41" s="49" t="s">
        <v>785</v>
      </c>
      <c r="D41" s="29">
        <v>0</v>
      </c>
      <c r="E41" s="51">
        <f t="shared" si="0"/>
        <v>0</v>
      </c>
      <c r="F41" s="49">
        <f>VLOOKUP(B41,汇总表!A:AH,33,0)</f>
        <v>0</v>
      </c>
      <c r="G41" s="51">
        <f t="shared" si="1"/>
        <v>0</v>
      </c>
      <c r="H41" s="49">
        <v>2000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1"/>
      <c r="B42" s="49" t="s">
        <v>705</v>
      </c>
      <c r="C42" s="49" t="s">
        <v>786</v>
      </c>
      <c r="D42" s="29">
        <v>0</v>
      </c>
      <c r="E42" s="51">
        <f t="shared" si="0"/>
        <v>0</v>
      </c>
      <c r="F42" s="49">
        <f>VLOOKUP(B42,汇总表!A:AH,33,0)</f>
        <v>352.98</v>
      </c>
      <c r="G42" s="51">
        <f t="shared" si="1"/>
        <v>0.000228762151652625</v>
      </c>
      <c r="H42" s="49">
        <v>1000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1"/>
      <c r="B43" s="49" t="s">
        <v>706</v>
      </c>
      <c r="C43" s="49" t="s">
        <v>787</v>
      </c>
      <c r="D43" s="29">
        <v>500</v>
      </c>
      <c r="E43" s="51">
        <f t="shared" si="0"/>
        <v>0.000324044069993519</v>
      </c>
      <c r="F43" s="49">
        <f>VLOOKUP(B43,汇总表!A:AH,33,0)</f>
        <v>0</v>
      </c>
      <c r="G43" s="51">
        <f t="shared" si="1"/>
        <v>0</v>
      </c>
      <c r="H43" s="49">
        <v>300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1"/>
      <c r="B44" s="49" t="s">
        <v>707</v>
      </c>
      <c r="C44" s="49" t="s">
        <v>788</v>
      </c>
      <c r="D44" s="29">
        <v>1000</v>
      </c>
      <c r="E44" s="51">
        <f t="shared" si="0"/>
        <v>0.000648088139987038</v>
      </c>
      <c r="F44" s="49">
        <f>VLOOKUP(B44,汇总表!A:AH,33,0)</f>
        <v>114.48</v>
      </c>
      <c r="G44" s="51">
        <f t="shared" si="1"/>
        <v>7.41931302657161e-5</v>
      </c>
      <c r="H44" s="49">
        <v>1500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1"/>
      <c r="B45" s="57" t="s">
        <v>721</v>
      </c>
      <c r="C45" s="49" t="s">
        <v>789</v>
      </c>
      <c r="D45" s="32">
        <f>200*30</f>
        <v>6000</v>
      </c>
      <c r="E45" s="51">
        <f t="shared" si="0"/>
        <v>0.00388852883992223</v>
      </c>
      <c r="F45" s="49">
        <f>汇总表!AG39</f>
        <v>17600.07776</v>
      </c>
      <c r="G45" s="51">
        <f t="shared" si="1"/>
        <v>0.0114064016591056</v>
      </c>
      <c r="H45" s="49">
        <v>1000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1"/>
      <c r="B46" s="49"/>
      <c r="C46" s="49"/>
      <c r="D46" s="32"/>
      <c r="E46" s="51"/>
      <c r="F46" s="49"/>
      <c r="G46" s="51"/>
      <c r="H46" s="49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1"/>
      <c r="B47" s="49"/>
      <c r="C47" s="49"/>
      <c r="D47" s="29"/>
      <c r="E47" s="51"/>
      <c r="F47" s="49"/>
      <c r="G47" s="51"/>
      <c r="H47" s="49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49"/>
      <c r="B48" s="49" t="s">
        <v>335</v>
      </c>
      <c r="C48" s="49" t="s">
        <v>790</v>
      </c>
      <c r="D48" s="49">
        <f>SUM(D36:D47)</f>
        <v>7500</v>
      </c>
      <c r="E48" s="51">
        <f t="shared" si="0"/>
        <v>0.00486066104990279</v>
      </c>
      <c r="F48" s="49">
        <f>SUM(F36:F47)</f>
        <v>18831.69759</v>
      </c>
      <c r="G48" s="51">
        <f t="shared" si="1"/>
        <v>0.0122045998639015</v>
      </c>
      <c r="H48" s="49"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49" t="s">
        <v>791</v>
      </c>
      <c r="B49" s="49"/>
      <c r="C49" s="49" t="s">
        <v>792</v>
      </c>
      <c r="D49" s="49">
        <f>D11-D29-D35-D48</f>
        <v>941055</v>
      </c>
      <c r="E49" s="51">
        <f t="shared" si="0"/>
        <v>0.609886584575502</v>
      </c>
      <c r="F49" s="49">
        <f>F11-F29-F35-F48</f>
        <v>415470.787350967</v>
      </c>
      <c r="G49" s="51">
        <f t="shared" si="1"/>
        <v>0.269261689793239</v>
      </c>
      <c r="H49" s="49"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59" t="s">
        <v>793</v>
      </c>
      <c r="B50" s="49" t="s">
        <v>794</v>
      </c>
      <c r="C50" s="49" t="s">
        <v>795</v>
      </c>
      <c r="D50" s="29">
        <f t="shared" ref="D50:D59" si="2">H50</f>
        <v>0</v>
      </c>
      <c r="E50" s="51"/>
      <c r="F50" s="49">
        <v>23</v>
      </c>
      <c r="G50" s="51">
        <f t="shared" ref="G50:G59" si="3">D50-F50</f>
        <v>-23</v>
      </c>
      <c r="H50" s="49"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1"/>
      <c r="B51" s="49" t="s">
        <v>796</v>
      </c>
      <c r="C51" s="49" t="s">
        <v>797</v>
      </c>
      <c r="D51" s="29">
        <f t="shared" si="2"/>
        <v>0</v>
      </c>
      <c r="E51" s="51"/>
      <c r="F51" s="49"/>
      <c r="G51" s="51">
        <f t="shared" si="3"/>
        <v>0</v>
      </c>
      <c r="H51" s="49"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1"/>
      <c r="B52" s="49" t="s">
        <v>798</v>
      </c>
      <c r="C52" s="49" t="s">
        <v>799</v>
      </c>
      <c r="D52" s="29">
        <f t="shared" si="2"/>
        <v>0</v>
      </c>
      <c r="E52" s="51"/>
      <c r="F52" s="49">
        <f>SUM(F50:F51)</f>
        <v>23</v>
      </c>
      <c r="G52" s="51">
        <f t="shared" si="3"/>
        <v>-23</v>
      </c>
      <c r="H52" s="49"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49" t="s">
        <v>800</v>
      </c>
      <c r="B53" s="49" t="s">
        <v>801</v>
      </c>
      <c r="C53" s="49" t="s">
        <v>802</v>
      </c>
      <c r="D53" s="29">
        <f t="shared" si="2"/>
        <v>0</v>
      </c>
      <c r="E53" s="51"/>
      <c r="F53" s="49">
        <f>汇总表!AH49</f>
        <v>0</v>
      </c>
      <c r="G53" s="60">
        <f t="shared" si="3"/>
        <v>0</v>
      </c>
      <c r="H53" s="49"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1"/>
      <c r="B54" s="49" t="s">
        <v>803</v>
      </c>
      <c r="C54" s="49" t="s">
        <v>804</v>
      </c>
      <c r="D54" s="29">
        <f t="shared" si="2"/>
        <v>0</v>
      </c>
      <c r="E54" s="51"/>
      <c r="F54" s="49"/>
      <c r="G54" s="51">
        <f t="shared" si="3"/>
        <v>0</v>
      </c>
      <c r="H54" s="49"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1"/>
      <c r="B55" s="49" t="s">
        <v>805</v>
      </c>
      <c r="C55" s="49" t="s">
        <v>806</v>
      </c>
      <c r="D55" s="29">
        <f t="shared" si="2"/>
        <v>0</v>
      </c>
      <c r="E55" s="51"/>
      <c r="F55" s="49"/>
      <c r="G55" s="51">
        <f t="shared" si="3"/>
        <v>0</v>
      </c>
      <c r="H55" s="49">
        <v>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1"/>
      <c r="B56" s="49" t="s">
        <v>807</v>
      </c>
      <c r="C56" s="49" t="s">
        <v>808</v>
      </c>
      <c r="D56" s="29">
        <f t="shared" si="2"/>
        <v>0</v>
      </c>
      <c r="E56" s="51"/>
      <c r="F56" s="49"/>
      <c r="G56" s="51">
        <f t="shared" si="3"/>
        <v>0</v>
      </c>
      <c r="H56" s="49">
        <v>0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1"/>
      <c r="B57" s="49" t="s">
        <v>809</v>
      </c>
      <c r="C57" s="49" t="s">
        <v>810</v>
      </c>
      <c r="D57" s="29">
        <f t="shared" si="2"/>
        <v>0</v>
      </c>
      <c r="E57" s="51"/>
      <c r="F57" s="49"/>
      <c r="G57" s="60">
        <f t="shared" si="3"/>
        <v>0</v>
      </c>
      <c r="H57" s="49"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49" t="s">
        <v>811</v>
      </c>
      <c r="B58" s="49"/>
      <c r="C58" s="49" t="s">
        <v>812</v>
      </c>
      <c r="D58" s="29">
        <f t="shared" si="2"/>
        <v>0</v>
      </c>
      <c r="E58" s="61"/>
      <c r="F58" s="37"/>
      <c r="G58" s="51">
        <f t="shared" si="3"/>
        <v>0</v>
      </c>
      <c r="H58" s="49"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49" t="s">
        <v>813</v>
      </c>
      <c r="B59" s="31"/>
      <c r="C59" s="49"/>
      <c r="D59" s="29">
        <f t="shared" si="2"/>
        <v>0</v>
      </c>
      <c r="E59" s="51"/>
      <c r="F59" s="29"/>
      <c r="G59" s="51">
        <f t="shared" si="3"/>
        <v>0</v>
      </c>
      <c r="H59" s="49"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54"/>
      <c r="F60" s="3"/>
      <c r="G60" s="54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54"/>
      <c r="F61" s="3"/>
      <c r="G61" s="54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54"/>
      <c r="F62" s="3"/>
      <c r="G62" s="54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54"/>
      <c r="F63" s="3"/>
      <c r="G63" s="54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54"/>
      <c r="F64" s="3"/>
      <c r="G64" s="54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54"/>
      <c r="F65" s="3"/>
      <c r="G65" s="54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54"/>
      <c r="F66" s="3"/>
      <c r="G66" s="54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54"/>
      <c r="F67" s="3"/>
      <c r="G67" s="54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54"/>
      <c r="F68" s="3"/>
      <c r="G68" s="54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54"/>
      <c r="F69" s="3"/>
      <c r="G69" s="54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54"/>
      <c r="F70" s="3"/>
      <c r="G70" s="54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54"/>
      <c r="F71" s="3"/>
      <c r="G71" s="54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54"/>
      <c r="F72" s="3"/>
      <c r="G72" s="54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54"/>
      <c r="F73" s="3"/>
      <c r="G73" s="54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54"/>
      <c r="F74" s="3"/>
      <c r="G74" s="54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54"/>
      <c r="F75" s="3"/>
      <c r="G75" s="54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54"/>
      <c r="F76" s="3"/>
      <c r="G76" s="54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54"/>
      <c r="F77" s="3"/>
      <c r="G77" s="54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54"/>
      <c r="F78" s="3"/>
      <c r="G78" s="54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54"/>
      <c r="F79" s="3"/>
      <c r="G79" s="54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54"/>
      <c r="F80" s="3"/>
      <c r="G80" s="54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54"/>
      <c r="F81" s="3"/>
      <c r="G81" s="54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54"/>
      <c r="F82" s="3"/>
      <c r="G82" s="54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54"/>
      <c r="F83" s="3"/>
      <c r="G83" s="54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54"/>
      <c r="F84" s="3"/>
      <c r="G84" s="54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54"/>
      <c r="F85" s="3"/>
      <c r="G85" s="54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54"/>
      <c r="F86" s="3"/>
      <c r="G86" s="54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54"/>
      <c r="F87" s="3"/>
      <c r="G87" s="54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54"/>
      <c r="F88" s="3"/>
      <c r="G88" s="54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54"/>
      <c r="F89" s="3"/>
      <c r="G89" s="54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54"/>
      <c r="F90" s="3"/>
      <c r="G90" s="54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54"/>
      <c r="F91" s="3"/>
      <c r="G91" s="54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54"/>
      <c r="F92" s="3"/>
      <c r="G92" s="54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54"/>
      <c r="F93" s="3"/>
      <c r="G93" s="54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54"/>
      <c r="F94" s="3"/>
      <c r="G94" s="54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54"/>
      <c r="F95" s="3"/>
      <c r="G95" s="54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54"/>
      <c r="F96" s="3"/>
      <c r="G96" s="54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54"/>
      <c r="F97" s="3"/>
      <c r="G97" s="54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54"/>
      <c r="F98" s="3"/>
      <c r="G98" s="54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54"/>
      <c r="F99" s="3"/>
      <c r="G99" s="54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54"/>
      <c r="F100" s="3"/>
      <c r="G100" s="54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>
      <c r="A101" s="3"/>
      <c r="B101" s="3"/>
      <c r="C101" s="3"/>
      <c r="D101" s="3"/>
      <c r="E101" s="54"/>
      <c r="F101" s="3"/>
      <c r="G101" s="54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>
      <c r="A102" s="3"/>
      <c r="B102" s="3"/>
      <c r="C102" s="3"/>
      <c r="D102" s="3"/>
      <c r="E102" s="54"/>
      <c r="F102" s="3"/>
      <c r="G102" s="54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>
      <c r="A103" s="3"/>
      <c r="B103" s="3"/>
      <c r="C103" s="3"/>
      <c r="D103" s="3"/>
      <c r="E103" s="54"/>
      <c r="F103" s="3"/>
      <c r="G103" s="54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>
      <c r="A104" s="3"/>
      <c r="B104" s="3"/>
      <c r="C104" s="3"/>
      <c r="D104" s="3"/>
      <c r="E104" s="54"/>
      <c r="F104" s="3"/>
      <c r="G104" s="54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>
      <c r="A105" s="3"/>
      <c r="B105" s="3"/>
      <c r="C105" s="3"/>
      <c r="D105" s="3"/>
      <c r="E105" s="54"/>
      <c r="F105" s="3"/>
      <c r="G105" s="54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>
      <c r="A106" s="3"/>
      <c r="B106" s="3"/>
      <c r="C106" s="3"/>
      <c r="D106" s="3"/>
      <c r="E106" s="54"/>
      <c r="F106" s="3"/>
      <c r="G106" s="54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>
      <c r="A107" s="3"/>
      <c r="B107" s="3"/>
      <c r="C107" s="3"/>
      <c r="D107" s="3"/>
      <c r="E107" s="54"/>
      <c r="F107" s="3"/>
      <c r="G107" s="54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>
      <c r="A108" s="3"/>
      <c r="B108" s="3"/>
      <c r="C108" s="3"/>
      <c r="D108" s="3"/>
      <c r="E108" s="54"/>
      <c r="F108" s="3"/>
      <c r="G108" s="5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>
      <c r="A109" s="3"/>
      <c r="B109" s="3"/>
      <c r="C109" s="3"/>
      <c r="D109" s="3"/>
      <c r="E109" s="54"/>
      <c r="F109" s="3"/>
      <c r="G109" s="5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>
      <c r="A110" s="3"/>
      <c r="B110" s="3"/>
      <c r="C110" s="3"/>
      <c r="D110" s="3"/>
      <c r="E110" s="54"/>
      <c r="F110" s="3"/>
      <c r="G110" s="5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>
      <c r="A111" s="3"/>
      <c r="B111" s="3"/>
      <c r="C111" s="3"/>
      <c r="D111" s="3"/>
      <c r="E111" s="54"/>
      <c r="F111" s="3"/>
      <c r="G111" s="5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>
      <c r="A112" s="3"/>
      <c r="B112" s="3"/>
      <c r="C112" s="3"/>
      <c r="D112" s="3"/>
      <c r="E112" s="54"/>
      <c r="F112" s="3"/>
      <c r="G112" s="5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>
      <c r="A113" s="3"/>
      <c r="B113" s="3"/>
      <c r="C113" s="3"/>
      <c r="D113" s="3"/>
      <c r="E113" s="54"/>
      <c r="F113" s="3"/>
      <c r="G113" s="5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>
      <c r="A114" s="3"/>
      <c r="B114" s="3"/>
      <c r="C114" s="3"/>
      <c r="D114" s="3"/>
      <c r="E114" s="54"/>
      <c r="F114" s="3"/>
      <c r="G114" s="5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>
      <c r="A115" s="3"/>
      <c r="B115" s="3"/>
      <c r="C115" s="3"/>
      <c r="D115" s="3"/>
      <c r="E115" s="54"/>
      <c r="F115" s="3"/>
      <c r="G115" s="5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>
      <c r="A116" s="3"/>
      <c r="B116" s="3"/>
      <c r="C116" s="3"/>
      <c r="D116" s="3"/>
      <c r="E116" s="54"/>
      <c r="F116" s="3"/>
      <c r="G116" s="5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>
      <c r="A117" s="3"/>
      <c r="B117" s="3"/>
      <c r="C117" s="3"/>
      <c r="D117" s="3"/>
      <c r="E117" s="54"/>
      <c r="F117" s="3"/>
      <c r="G117" s="5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>
      <c r="A118" s="3"/>
      <c r="B118" s="3"/>
      <c r="C118" s="3"/>
      <c r="D118" s="3"/>
      <c r="E118" s="54"/>
      <c r="F118" s="3"/>
      <c r="G118" s="5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>
      <c r="A119" s="3"/>
      <c r="B119" s="3"/>
      <c r="C119" s="3"/>
      <c r="D119" s="3"/>
      <c r="E119" s="54"/>
      <c r="F119" s="3"/>
      <c r="G119" s="5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>
      <c r="A120" s="3"/>
      <c r="B120" s="3"/>
      <c r="C120" s="3"/>
      <c r="D120" s="3"/>
      <c r="E120" s="54"/>
      <c r="F120" s="3"/>
      <c r="G120" s="5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>
      <c r="A121" s="3"/>
      <c r="B121" s="3"/>
      <c r="C121" s="3"/>
      <c r="D121" s="3"/>
      <c r="E121" s="54"/>
      <c r="F121" s="3"/>
      <c r="G121" s="5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>
      <c r="A122" s="3"/>
      <c r="B122" s="3"/>
      <c r="C122" s="3"/>
      <c r="D122" s="3"/>
      <c r="E122" s="54"/>
      <c r="F122" s="3"/>
      <c r="G122" s="5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>
      <c r="A123" s="3"/>
      <c r="B123" s="3"/>
      <c r="C123" s="3"/>
      <c r="D123" s="3"/>
      <c r="E123" s="54"/>
      <c r="F123" s="3"/>
      <c r="G123" s="5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>
      <c r="A124" s="3"/>
      <c r="B124" s="3"/>
      <c r="C124" s="3"/>
      <c r="D124" s="3"/>
      <c r="E124" s="54"/>
      <c r="F124" s="3"/>
      <c r="G124" s="5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>
      <c r="A125" s="3"/>
      <c r="B125" s="3"/>
      <c r="C125" s="3"/>
      <c r="D125" s="3"/>
      <c r="E125" s="54"/>
      <c r="F125" s="3"/>
      <c r="G125" s="5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>
      <c r="A126" s="3"/>
      <c r="B126" s="3"/>
      <c r="C126" s="3"/>
      <c r="D126" s="3"/>
      <c r="E126" s="54"/>
      <c r="F126" s="3"/>
      <c r="G126" s="5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>
      <c r="A127" s="3"/>
      <c r="B127" s="3"/>
      <c r="C127" s="3"/>
      <c r="D127" s="3"/>
      <c r="E127" s="54"/>
      <c r="F127" s="3"/>
      <c r="G127" s="5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>
      <c r="A128" s="3"/>
      <c r="B128" s="3"/>
      <c r="C128" s="3"/>
      <c r="D128" s="3"/>
      <c r="E128" s="54"/>
      <c r="F128" s="3"/>
      <c r="G128" s="5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>
      <c r="A129" s="3"/>
      <c r="B129" s="3"/>
      <c r="C129" s="3"/>
      <c r="D129" s="3"/>
      <c r="E129" s="54"/>
      <c r="F129" s="3"/>
      <c r="G129" s="5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>
      <c r="A130" s="3"/>
      <c r="B130" s="3"/>
      <c r="C130" s="3"/>
      <c r="D130" s="3"/>
      <c r="E130" s="54"/>
      <c r="F130" s="3"/>
      <c r="G130" s="5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>
      <c r="A131" s="3"/>
      <c r="B131" s="3"/>
      <c r="C131" s="3"/>
      <c r="D131" s="3"/>
      <c r="E131" s="54"/>
      <c r="F131" s="3"/>
      <c r="G131" s="5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>
      <c r="A132" s="3"/>
      <c r="B132" s="3"/>
      <c r="C132" s="3"/>
      <c r="D132" s="3"/>
      <c r="E132" s="54"/>
      <c r="F132" s="3"/>
      <c r="G132" s="5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>
      <c r="A133" s="3"/>
      <c r="B133" s="3"/>
      <c r="C133" s="3"/>
      <c r="D133" s="3"/>
      <c r="E133" s="54"/>
      <c r="F133" s="3"/>
      <c r="G133" s="5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>
      <c r="A134" s="3"/>
      <c r="B134" s="3"/>
      <c r="C134" s="3"/>
      <c r="D134" s="3"/>
      <c r="E134" s="54"/>
      <c r="F134" s="3"/>
      <c r="G134" s="5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>
      <c r="A135" s="3"/>
      <c r="B135" s="3"/>
      <c r="C135" s="3"/>
      <c r="D135" s="3"/>
      <c r="E135" s="54"/>
      <c r="F135" s="3"/>
      <c r="G135" s="5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>
      <c r="A136" s="3"/>
      <c r="B136" s="3"/>
      <c r="C136" s="3"/>
      <c r="D136" s="3"/>
      <c r="E136" s="54"/>
      <c r="F136" s="3"/>
      <c r="G136" s="5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>
      <c r="A137" s="3"/>
      <c r="B137" s="3"/>
      <c r="C137" s="3"/>
      <c r="D137" s="3"/>
      <c r="E137" s="54"/>
      <c r="F137" s="3"/>
      <c r="G137" s="5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>
      <c r="A138" s="3"/>
      <c r="B138" s="3"/>
      <c r="C138" s="3"/>
      <c r="D138" s="3"/>
      <c r="E138" s="54"/>
      <c r="F138" s="3"/>
      <c r="G138" s="5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>
      <c r="A139" s="3"/>
      <c r="B139" s="3"/>
      <c r="C139" s="3"/>
      <c r="D139" s="3"/>
      <c r="E139" s="54"/>
      <c r="F139" s="3"/>
      <c r="G139" s="5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>
      <c r="A140" s="3"/>
      <c r="B140" s="3"/>
      <c r="C140" s="3"/>
      <c r="D140" s="3"/>
      <c r="E140" s="54"/>
      <c r="F140" s="3"/>
      <c r="G140" s="5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>
      <c r="A141" s="3"/>
      <c r="B141" s="3"/>
      <c r="C141" s="3"/>
      <c r="D141" s="3"/>
      <c r="E141" s="54"/>
      <c r="F141" s="3"/>
      <c r="G141" s="5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>
      <c r="A142" s="3"/>
      <c r="B142" s="3"/>
      <c r="C142" s="3"/>
      <c r="D142" s="3"/>
      <c r="E142" s="54"/>
      <c r="F142" s="3"/>
      <c r="G142" s="5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>
      <c r="A143" s="3"/>
      <c r="B143" s="3"/>
      <c r="C143" s="3"/>
      <c r="D143" s="3"/>
      <c r="E143" s="54"/>
      <c r="F143" s="3"/>
      <c r="G143" s="5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>
      <c r="A144" s="3"/>
      <c r="B144" s="3"/>
      <c r="C144" s="3"/>
      <c r="D144" s="3"/>
      <c r="E144" s="54"/>
      <c r="F144" s="3"/>
      <c r="G144" s="5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>
      <c r="A145" s="3"/>
      <c r="B145" s="3"/>
      <c r="C145" s="3"/>
      <c r="D145" s="3"/>
      <c r="E145" s="54"/>
      <c r="F145" s="3"/>
      <c r="G145" s="5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>
      <c r="A146" s="3"/>
      <c r="B146" s="3"/>
      <c r="C146" s="3"/>
      <c r="D146" s="3"/>
      <c r="E146" s="54"/>
      <c r="F146" s="3"/>
      <c r="G146" s="5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>
      <c r="A147" s="3"/>
      <c r="B147" s="3"/>
      <c r="C147" s="3"/>
      <c r="D147" s="3"/>
      <c r="E147" s="54"/>
      <c r="F147" s="3"/>
      <c r="G147" s="5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>
      <c r="A148" s="3"/>
      <c r="B148" s="3"/>
      <c r="C148" s="3"/>
      <c r="D148" s="3"/>
      <c r="E148" s="54"/>
      <c r="F148" s="3"/>
      <c r="G148" s="5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>
      <c r="A149" s="3"/>
      <c r="B149" s="3"/>
      <c r="C149" s="3"/>
      <c r="D149" s="3"/>
      <c r="E149" s="54"/>
      <c r="F149" s="3"/>
      <c r="G149" s="5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>
      <c r="A150" s="3"/>
      <c r="B150" s="3"/>
      <c r="C150" s="3"/>
      <c r="D150" s="3"/>
      <c r="E150" s="54"/>
      <c r="F150" s="3"/>
      <c r="G150" s="5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>
      <c r="A151" s="3"/>
      <c r="B151" s="3"/>
      <c r="C151" s="3"/>
      <c r="D151" s="3"/>
      <c r="E151" s="54"/>
      <c r="F151" s="3"/>
      <c r="G151" s="5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>
      <c r="A152" s="3"/>
      <c r="B152" s="3"/>
      <c r="C152" s="3"/>
      <c r="D152" s="3"/>
      <c r="E152" s="54"/>
      <c r="F152" s="3"/>
      <c r="G152" s="5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>
      <c r="A153" s="3"/>
      <c r="B153" s="3"/>
      <c r="C153" s="3"/>
      <c r="D153" s="3"/>
      <c r="E153" s="54"/>
      <c r="F153" s="3"/>
      <c r="G153" s="5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>
      <c r="A154" s="3"/>
      <c r="B154" s="3"/>
      <c r="C154" s="3"/>
      <c r="D154" s="3"/>
      <c r="E154" s="54"/>
      <c r="F154" s="3"/>
      <c r="G154" s="5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>
      <c r="A155" s="3"/>
      <c r="B155" s="3"/>
      <c r="C155" s="3"/>
      <c r="D155" s="3"/>
      <c r="E155" s="54"/>
      <c r="F155" s="3"/>
      <c r="G155" s="5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>
      <c r="A156" s="3"/>
      <c r="B156" s="3"/>
      <c r="C156" s="3"/>
      <c r="D156" s="3"/>
      <c r="E156" s="54"/>
      <c r="F156" s="3"/>
      <c r="G156" s="5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>
      <c r="A157" s="3"/>
      <c r="B157" s="3"/>
      <c r="C157" s="3"/>
      <c r="D157" s="3"/>
      <c r="E157" s="54"/>
      <c r="F157" s="3"/>
      <c r="G157" s="5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>
      <c r="A158" s="3"/>
      <c r="B158" s="3"/>
      <c r="C158" s="3"/>
      <c r="D158" s="3"/>
      <c r="E158" s="54"/>
      <c r="F158" s="3"/>
      <c r="G158" s="5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>
      <c r="A159" s="3"/>
      <c r="B159" s="3"/>
      <c r="C159" s="3"/>
      <c r="D159" s="3"/>
      <c r="E159" s="54"/>
      <c r="F159" s="3"/>
      <c r="G159" s="5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>
      <c r="A160" s="3"/>
      <c r="B160" s="3"/>
      <c r="C160" s="3"/>
      <c r="D160" s="3"/>
      <c r="E160" s="54"/>
      <c r="F160" s="3"/>
      <c r="G160" s="5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>
      <c r="A161" s="3"/>
      <c r="B161" s="3"/>
      <c r="C161" s="3"/>
      <c r="D161" s="3"/>
      <c r="E161" s="54"/>
      <c r="F161" s="3"/>
      <c r="G161" s="5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>
      <c r="A162" s="3"/>
      <c r="B162" s="3"/>
      <c r="C162" s="3"/>
      <c r="D162" s="3"/>
      <c r="E162" s="54"/>
      <c r="F162" s="3"/>
      <c r="G162" s="5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>
      <c r="A163" s="3"/>
      <c r="B163" s="3"/>
      <c r="C163" s="3"/>
      <c r="D163" s="3"/>
      <c r="E163" s="54"/>
      <c r="F163" s="3"/>
      <c r="G163" s="5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>
      <c r="A164" s="3"/>
      <c r="B164" s="3"/>
      <c r="C164" s="3"/>
      <c r="D164" s="3"/>
      <c r="E164" s="54"/>
      <c r="F164" s="3"/>
      <c r="G164" s="5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>
      <c r="A165" s="3"/>
      <c r="B165" s="3"/>
      <c r="C165" s="3"/>
      <c r="D165" s="3"/>
      <c r="E165" s="54"/>
      <c r="F165" s="3"/>
      <c r="G165" s="5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>
      <c r="A166" s="3"/>
      <c r="B166" s="3"/>
      <c r="C166" s="3"/>
      <c r="D166" s="3"/>
      <c r="E166" s="54"/>
      <c r="F166" s="3"/>
      <c r="G166" s="5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>
      <c r="A167" s="3"/>
      <c r="B167" s="3"/>
      <c r="C167" s="3"/>
      <c r="D167" s="3"/>
      <c r="E167" s="54"/>
      <c r="F167" s="3"/>
      <c r="G167" s="5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>
      <c r="A168" s="3"/>
      <c r="B168" s="3"/>
      <c r="C168" s="3"/>
      <c r="D168" s="3"/>
      <c r="E168" s="54"/>
      <c r="F168" s="3"/>
      <c r="G168" s="5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>
      <c r="A169" s="3"/>
      <c r="B169" s="3"/>
      <c r="C169" s="3"/>
      <c r="D169" s="3"/>
      <c r="E169" s="54"/>
      <c r="F169" s="3"/>
      <c r="G169" s="5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>
      <c r="A170" s="3"/>
      <c r="B170" s="3"/>
      <c r="C170" s="3"/>
      <c r="D170" s="3"/>
      <c r="E170" s="54"/>
      <c r="F170" s="3"/>
      <c r="G170" s="5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>
      <c r="A171" s="3"/>
      <c r="B171" s="3"/>
      <c r="C171" s="3"/>
      <c r="D171" s="3"/>
      <c r="E171" s="54"/>
      <c r="F171" s="3"/>
      <c r="G171" s="5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>
      <c r="A172" s="3"/>
      <c r="B172" s="3"/>
      <c r="C172" s="3"/>
      <c r="D172" s="3"/>
      <c r="E172" s="54"/>
      <c r="F172" s="3"/>
      <c r="G172" s="5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>
      <c r="A173" s="3"/>
      <c r="B173" s="3"/>
      <c r="C173" s="3"/>
      <c r="D173" s="3"/>
      <c r="E173" s="54"/>
      <c r="F173" s="3"/>
      <c r="G173" s="5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>
      <c r="A174" s="3"/>
      <c r="B174" s="3"/>
      <c r="C174" s="3"/>
      <c r="D174" s="3"/>
      <c r="E174" s="54"/>
      <c r="F174" s="3"/>
      <c r="G174" s="5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>
      <c r="A175" s="3"/>
      <c r="B175" s="3"/>
      <c r="C175" s="3"/>
      <c r="D175" s="3"/>
      <c r="E175" s="54"/>
      <c r="F175" s="3"/>
      <c r="G175" s="5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>
      <c r="A176" s="3"/>
      <c r="B176" s="3"/>
      <c r="C176" s="3"/>
      <c r="D176" s="3"/>
      <c r="E176" s="54"/>
      <c r="F176" s="3"/>
      <c r="G176" s="5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>
      <c r="A177" s="3"/>
      <c r="B177" s="3"/>
      <c r="C177" s="3"/>
      <c r="D177" s="3"/>
      <c r="E177" s="54"/>
      <c r="F177" s="3"/>
      <c r="G177" s="5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>
      <c r="A178" s="3"/>
      <c r="B178" s="3"/>
      <c r="C178" s="3"/>
      <c r="D178" s="3"/>
      <c r="E178" s="54"/>
      <c r="F178" s="3"/>
      <c r="G178" s="5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>
      <c r="A179" s="3"/>
      <c r="B179" s="3"/>
      <c r="C179" s="3"/>
      <c r="D179" s="3"/>
      <c r="E179" s="54"/>
      <c r="F179" s="3"/>
      <c r="G179" s="5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>
      <c r="A180" s="3"/>
      <c r="B180" s="3"/>
      <c r="C180" s="3"/>
      <c r="D180" s="3"/>
      <c r="E180" s="54"/>
      <c r="F180" s="3"/>
      <c r="G180" s="5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>
      <c r="A181" s="3"/>
      <c r="B181" s="3"/>
      <c r="C181" s="3"/>
      <c r="D181" s="3"/>
      <c r="E181" s="54"/>
      <c r="F181" s="3"/>
      <c r="G181" s="5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>
      <c r="A182" s="3"/>
      <c r="B182" s="3"/>
      <c r="C182" s="3"/>
      <c r="D182" s="3"/>
      <c r="E182" s="54"/>
      <c r="F182" s="3"/>
      <c r="G182" s="5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>
      <c r="A183" s="3"/>
      <c r="B183" s="3"/>
      <c r="C183" s="3"/>
      <c r="D183" s="3"/>
      <c r="E183" s="54"/>
      <c r="F183" s="3"/>
      <c r="G183" s="5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>
      <c r="A184" s="3"/>
      <c r="B184" s="3"/>
      <c r="C184" s="3"/>
      <c r="D184" s="3"/>
      <c r="E184" s="54"/>
      <c r="F184" s="3"/>
      <c r="G184" s="5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>
      <c r="A185" s="3"/>
      <c r="B185" s="3"/>
      <c r="C185" s="3"/>
      <c r="D185" s="3"/>
      <c r="E185" s="54"/>
      <c r="F185" s="3"/>
      <c r="G185" s="5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>
      <c r="A186" s="3"/>
      <c r="B186" s="3"/>
      <c r="C186" s="3"/>
      <c r="D186" s="3"/>
      <c r="E186" s="54"/>
      <c r="F186" s="3"/>
      <c r="G186" s="5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3"/>
      <c r="B187" s="3"/>
      <c r="C187" s="3"/>
      <c r="D187" s="3"/>
      <c r="E187" s="54"/>
      <c r="F187" s="3"/>
      <c r="G187" s="5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3"/>
      <c r="B188" s="3"/>
      <c r="C188" s="3"/>
      <c r="D188" s="3"/>
      <c r="E188" s="54"/>
      <c r="F188" s="3"/>
      <c r="G188" s="5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>
      <c r="A189" s="3"/>
      <c r="B189" s="3"/>
      <c r="C189" s="3"/>
      <c r="D189" s="3"/>
      <c r="E189" s="54"/>
      <c r="F189" s="3"/>
      <c r="G189" s="5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3"/>
      <c r="B190" s="3"/>
      <c r="C190" s="3"/>
      <c r="D190" s="3"/>
      <c r="E190" s="54"/>
      <c r="F190" s="3"/>
      <c r="G190" s="5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3"/>
      <c r="B191" s="3"/>
      <c r="C191" s="3"/>
      <c r="D191" s="3"/>
      <c r="E191" s="54"/>
      <c r="F191" s="3"/>
      <c r="G191" s="5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>
      <c r="A192" s="3"/>
      <c r="B192" s="3"/>
      <c r="C192" s="3"/>
      <c r="D192" s="3"/>
      <c r="E192" s="54"/>
      <c r="F192" s="3"/>
      <c r="G192" s="5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>
      <c r="A193" s="3"/>
      <c r="B193" s="3"/>
      <c r="C193" s="3"/>
      <c r="D193" s="3"/>
      <c r="E193" s="54"/>
      <c r="F193" s="3"/>
      <c r="G193" s="5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>
      <c r="A194" s="3"/>
      <c r="B194" s="3"/>
      <c r="C194" s="3"/>
      <c r="D194" s="3"/>
      <c r="E194" s="54"/>
      <c r="F194" s="3"/>
      <c r="G194" s="5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>
      <c r="A195" s="3"/>
      <c r="B195" s="3"/>
      <c r="C195" s="3"/>
      <c r="D195" s="3"/>
      <c r="E195" s="54"/>
      <c r="F195" s="3"/>
      <c r="G195" s="5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>
      <c r="A196" s="3"/>
      <c r="B196" s="3"/>
      <c r="C196" s="3"/>
      <c r="D196" s="3"/>
      <c r="E196" s="54"/>
      <c r="F196" s="3"/>
      <c r="G196" s="5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>
      <c r="A197" s="3"/>
      <c r="B197" s="3"/>
      <c r="C197" s="3"/>
      <c r="D197" s="3"/>
      <c r="E197" s="54"/>
      <c r="F197" s="3"/>
      <c r="G197" s="5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>
      <c r="A198" s="3"/>
      <c r="B198" s="3"/>
      <c r="C198" s="3"/>
      <c r="D198" s="3"/>
      <c r="E198" s="54"/>
      <c r="F198" s="3"/>
      <c r="G198" s="5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>
      <c r="A199" s="3"/>
      <c r="B199" s="3"/>
      <c r="C199" s="3"/>
      <c r="D199" s="3"/>
      <c r="E199" s="54"/>
      <c r="F199" s="3"/>
      <c r="G199" s="5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>
      <c r="A200" s="3"/>
      <c r="B200" s="3"/>
      <c r="C200" s="3"/>
      <c r="D200" s="3"/>
      <c r="E200" s="54"/>
      <c r="F200" s="3"/>
      <c r="G200" s="5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</sheetData>
  <sheetProtection formatCells="0" formatColumns="0" formatRows="0" insertRows="0" insertColumns="0" insertHyperlinks="0" deleteColumns="0" deleteRows="0" sort="0" autoFilter="0" pivotTables="0"/>
  <mergeCells count="10">
    <mergeCell ref="D3:G3"/>
    <mergeCell ref="A59:B59"/>
    <mergeCell ref="A6:A11"/>
    <mergeCell ref="A12:A29"/>
    <mergeCell ref="A30:A35"/>
    <mergeCell ref="A36:A47"/>
    <mergeCell ref="A50:A52"/>
    <mergeCell ref="A53:A57"/>
    <mergeCell ref="C3:C5"/>
    <mergeCell ref="A3:B5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阿米巴核算表（日）">
    <tabColor rgb="FFFF0000"/>
  </sheetPr>
  <dimension ref="A1:DX57"/>
  <sheetViews>
    <sheetView workbookViewId="0">
      <pane xSplit="3" ySplit="4" topLeftCell="CU5" activePane="bottomRight" state="frozen"/>
      <selection/>
      <selection pane="topRight"/>
      <selection pane="bottomLeft"/>
      <selection pane="bottomRight" activeCell="F15" sqref="F15"/>
    </sheetView>
  </sheetViews>
  <sheetFormatPr defaultColWidth="9.81666666666667" defaultRowHeight="13.5"/>
  <cols>
    <col min="1" max="1" width="28.625" customWidth="1"/>
    <col min="2" max="2" width="22.5" customWidth="1"/>
    <col min="3" max="3" width="14.875" customWidth="1"/>
    <col min="4" max="6" width="10.375" customWidth="1"/>
    <col min="7" max="7" width="11.5" customWidth="1"/>
    <col min="8" max="10" width="10.375" customWidth="1"/>
    <col min="11" max="11" width="11.5" customWidth="1"/>
    <col min="12" max="13" width="10.375" customWidth="1"/>
    <col min="14" max="15" width="11.5" customWidth="1"/>
    <col min="16" max="17" width="10.375" customWidth="1"/>
    <col min="18" max="19" width="11.5" customWidth="1"/>
    <col min="20" max="21" width="10.375" customWidth="1"/>
    <col min="22" max="23" width="11.5" customWidth="1"/>
    <col min="24" max="25" width="10.375" customWidth="1"/>
    <col min="26" max="27" width="11.5" customWidth="1"/>
    <col min="28" max="29" width="10.375" customWidth="1"/>
    <col min="30" max="31" width="11.5" customWidth="1"/>
    <col min="32" max="33" width="10.375" customWidth="1"/>
    <col min="34" max="35" width="11.5" customWidth="1"/>
    <col min="36" max="37" width="10.375" customWidth="1"/>
    <col min="38" max="39" width="11.5" customWidth="1"/>
    <col min="40" max="41" width="10.375" customWidth="1"/>
    <col min="42" max="43" width="11.5" customWidth="1"/>
    <col min="44" max="45" width="10.375" customWidth="1"/>
    <col min="46" max="47" width="11.5" customWidth="1"/>
    <col min="48" max="49" width="10.375" customWidth="1"/>
    <col min="50" max="51" width="11.5" customWidth="1"/>
    <col min="52" max="53" width="10.375" customWidth="1"/>
    <col min="54" max="55" width="11.5" customWidth="1"/>
    <col min="56" max="57" width="10.375" customWidth="1"/>
    <col min="58" max="59" width="11.5" customWidth="1"/>
    <col min="60" max="61" width="10.375" customWidth="1"/>
    <col min="62" max="63" width="11.5" customWidth="1"/>
    <col min="64" max="65" width="10.375" customWidth="1"/>
    <col min="66" max="67" width="11.5" customWidth="1"/>
    <col min="68" max="69" width="10.375" customWidth="1"/>
    <col min="70" max="71" width="11.5" customWidth="1"/>
    <col min="72" max="73" width="10.375" customWidth="1"/>
    <col min="74" max="75" width="11.5" customWidth="1"/>
    <col min="76" max="77" width="10.375" customWidth="1"/>
    <col min="78" max="79" width="11.5" customWidth="1"/>
    <col min="80" max="81" width="10.375" customWidth="1"/>
    <col min="82" max="83" width="11.5" customWidth="1"/>
    <col min="84" max="85" width="10.375" customWidth="1"/>
    <col min="86" max="87" width="11.5" customWidth="1"/>
    <col min="88" max="89" width="10.375" customWidth="1"/>
    <col min="90" max="91" width="11.5" customWidth="1"/>
    <col min="92" max="93" width="10.375" customWidth="1"/>
    <col min="94" max="95" width="11.5" customWidth="1"/>
    <col min="96" max="97" width="10.375" customWidth="1"/>
    <col min="98" max="99" width="11.5" customWidth="1"/>
    <col min="100" max="101" width="10.375" customWidth="1"/>
    <col min="102" max="103" width="11.5" customWidth="1"/>
    <col min="104" max="104" width="10.375" customWidth="1"/>
    <col min="105" max="105" width="9.375" customWidth="1"/>
    <col min="106" max="107" width="11.5" customWidth="1"/>
    <col min="108" max="108" width="10.375" customWidth="1"/>
    <col min="109" max="109" width="9.375" customWidth="1"/>
    <col min="110" max="111" width="11.5" customWidth="1"/>
    <col min="112" max="113" width="10.375" customWidth="1"/>
    <col min="114" max="115" width="11.5" customWidth="1"/>
    <col min="116" max="117" width="10.375" customWidth="1"/>
    <col min="118" max="119" width="11.5" customWidth="1"/>
    <col min="120" max="121" width="10.375" customWidth="1"/>
    <col min="122" max="123" width="11.5" customWidth="1"/>
    <col min="124" max="124" width="8.875" customWidth="1"/>
    <col min="125" max="126" width="10.375" customWidth="1"/>
    <col min="127" max="127" width="8.875" customWidth="1"/>
    <col min="128" max="128" width="16.25" customWidth="1"/>
  </cols>
  <sheetData>
    <row r="1" spans="1:128">
      <c r="A1" s="24" t="s">
        <v>735</v>
      </c>
      <c r="B1" s="25"/>
      <c r="C1" s="25"/>
      <c r="D1" s="26" t="s">
        <v>623</v>
      </c>
      <c r="E1" s="27">
        <v>30</v>
      </c>
      <c r="F1" s="25"/>
      <c r="G1" s="28"/>
      <c r="H1" s="24"/>
      <c r="I1" s="25"/>
      <c r="J1" s="25"/>
      <c r="K1" s="28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</row>
    <row r="2" spans="1:128">
      <c r="A2" s="3" t="s">
        <v>736</v>
      </c>
      <c r="B2" s="24"/>
      <c r="C2" s="24" t="s">
        <v>737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</row>
    <row r="3" spans="1:128">
      <c r="A3" s="29" t="s">
        <v>77</v>
      </c>
      <c r="B3" s="29" t="s">
        <v>621</v>
      </c>
      <c r="C3" s="29" t="s">
        <v>814</v>
      </c>
      <c r="D3" s="30" t="s">
        <v>9</v>
      </c>
      <c r="E3" s="30" t="s">
        <v>9</v>
      </c>
      <c r="F3" s="30" t="s">
        <v>9</v>
      </c>
      <c r="G3" s="31"/>
      <c r="H3" s="30" t="s">
        <v>10</v>
      </c>
      <c r="I3" s="30" t="s">
        <v>10</v>
      </c>
      <c r="J3" s="30" t="s">
        <v>10</v>
      </c>
      <c r="K3" s="31"/>
      <c r="L3" s="30" t="s">
        <v>11</v>
      </c>
      <c r="M3" s="30" t="s">
        <v>11</v>
      </c>
      <c r="N3" s="30" t="s">
        <v>11</v>
      </c>
      <c r="O3" s="30" t="s">
        <v>11</v>
      </c>
      <c r="P3" s="30" t="s">
        <v>12</v>
      </c>
      <c r="Q3" s="30" t="s">
        <v>12</v>
      </c>
      <c r="R3" s="30" t="s">
        <v>12</v>
      </c>
      <c r="S3" s="30" t="s">
        <v>12</v>
      </c>
      <c r="T3" s="30" t="s">
        <v>13</v>
      </c>
      <c r="U3" s="30" t="s">
        <v>13</v>
      </c>
      <c r="V3" s="30" t="s">
        <v>13</v>
      </c>
      <c r="W3" s="30" t="s">
        <v>13</v>
      </c>
      <c r="X3" s="30" t="s">
        <v>14</v>
      </c>
      <c r="Y3" s="30" t="s">
        <v>14</v>
      </c>
      <c r="Z3" s="30" t="s">
        <v>14</v>
      </c>
      <c r="AA3" s="30" t="s">
        <v>14</v>
      </c>
      <c r="AB3" s="30" t="s">
        <v>15</v>
      </c>
      <c r="AC3" s="30" t="s">
        <v>15</v>
      </c>
      <c r="AD3" s="30" t="s">
        <v>15</v>
      </c>
      <c r="AE3" s="30" t="s">
        <v>15</v>
      </c>
      <c r="AF3" s="30" t="s">
        <v>16</v>
      </c>
      <c r="AG3" s="30" t="s">
        <v>16</v>
      </c>
      <c r="AH3" s="30" t="s">
        <v>16</v>
      </c>
      <c r="AI3" s="30" t="s">
        <v>16</v>
      </c>
      <c r="AJ3" s="30" t="s">
        <v>17</v>
      </c>
      <c r="AK3" s="30" t="s">
        <v>17</v>
      </c>
      <c r="AL3" s="30" t="s">
        <v>17</v>
      </c>
      <c r="AM3" s="30" t="s">
        <v>17</v>
      </c>
      <c r="AN3" s="30" t="s">
        <v>18</v>
      </c>
      <c r="AO3" s="30" t="s">
        <v>18</v>
      </c>
      <c r="AP3" s="30" t="s">
        <v>18</v>
      </c>
      <c r="AQ3" s="30" t="s">
        <v>18</v>
      </c>
      <c r="AR3" s="30" t="s">
        <v>19</v>
      </c>
      <c r="AS3" s="30" t="s">
        <v>19</v>
      </c>
      <c r="AT3" s="30" t="s">
        <v>19</v>
      </c>
      <c r="AU3" s="30" t="s">
        <v>19</v>
      </c>
      <c r="AV3" s="30" t="s">
        <v>20</v>
      </c>
      <c r="AW3" s="30" t="s">
        <v>20</v>
      </c>
      <c r="AX3" s="30" t="s">
        <v>20</v>
      </c>
      <c r="AY3" s="30" t="s">
        <v>20</v>
      </c>
      <c r="AZ3" s="30" t="s">
        <v>21</v>
      </c>
      <c r="BA3" s="30" t="s">
        <v>21</v>
      </c>
      <c r="BB3" s="30" t="s">
        <v>21</v>
      </c>
      <c r="BC3" s="30" t="s">
        <v>21</v>
      </c>
      <c r="BD3" s="30" t="s">
        <v>22</v>
      </c>
      <c r="BE3" s="30" t="s">
        <v>22</v>
      </c>
      <c r="BF3" s="30" t="s">
        <v>22</v>
      </c>
      <c r="BG3" s="30" t="s">
        <v>22</v>
      </c>
      <c r="BH3" s="30" t="s">
        <v>23</v>
      </c>
      <c r="BI3" s="32" t="s">
        <v>23</v>
      </c>
      <c r="BJ3" s="30" t="s">
        <v>23</v>
      </c>
      <c r="BK3" s="30" t="s">
        <v>23</v>
      </c>
      <c r="BL3" s="30" t="s">
        <v>24</v>
      </c>
      <c r="BM3" s="30" t="s">
        <v>24</v>
      </c>
      <c r="BN3" s="30" t="s">
        <v>24</v>
      </c>
      <c r="BO3" s="30" t="s">
        <v>24</v>
      </c>
      <c r="BP3" s="30" t="s">
        <v>25</v>
      </c>
      <c r="BQ3" s="30" t="s">
        <v>25</v>
      </c>
      <c r="BR3" s="30" t="s">
        <v>25</v>
      </c>
      <c r="BS3" s="30" t="s">
        <v>25</v>
      </c>
      <c r="BT3" s="30" t="s">
        <v>26</v>
      </c>
      <c r="BU3" s="30" t="s">
        <v>26</v>
      </c>
      <c r="BV3" s="30" t="s">
        <v>26</v>
      </c>
      <c r="BW3" s="30" t="s">
        <v>26</v>
      </c>
      <c r="BX3" s="30" t="s">
        <v>27</v>
      </c>
      <c r="BY3" s="30" t="s">
        <v>27</v>
      </c>
      <c r="BZ3" s="30" t="s">
        <v>27</v>
      </c>
      <c r="CA3" s="30" t="s">
        <v>27</v>
      </c>
      <c r="CB3" s="30" t="s">
        <v>28</v>
      </c>
      <c r="CC3" s="30" t="s">
        <v>28</v>
      </c>
      <c r="CD3" s="30" t="s">
        <v>28</v>
      </c>
      <c r="CE3" s="30" t="s">
        <v>28</v>
      </c>
      <c r="CF3" s="30" t="s">
        <v>29</v>
      </c>
      <c r="CG3" s="30" t="s">
        <v>29</v>
      </c>
      <c r="CH3" s="30" t="s">
        <v>29</v>
      </c>
      <c r="CI3" s="30" t="s">
        <v>29</v>
      </c>
      <c r="CJ3" s="30" t="s">
        <v>30</v>
      </c>
      <c r="CK3" s="30" t="s">
        <v>30</v>
      </c>
      <c r="CL3" s="30" t="s">
        <v>30</v>
      </c>
      <c r="CM3" s="30" t="s">
        <v>30</v>
      </c>
      <c r="CN3" s="30" t="s">
        <v>31</v>
      </c>
      <c r="CO3" s="30" t="s">
        <v>31</v>
      </c>
      <c r="CP3" s="30" t="s">
        <v>31</v>
      </c>
      <c r="CQ3" s="30" t="s">
        <v>31</v>
      </c>
      <c r="CR3" s="30" t="s">
        <v>32</v>
      </c>
      <c r="CS3" s="30" t="s">
        <v>32</v>
      </c>
      <c r="CT3" s="30" t="s">
        <v>32</v>
      </c>
      <c r="CU3" s="30" t="s">
        <v>32</v>
      </c>
      <c r="CV3" s="30" t="s">
        <v>33</v>
      </c>
      <c r="CW3" s="30" t="s">
        <v>33</v>
      </c>
      <c r="CX3" s="30" t="s">
        <v>33</v>
      </c>
      <c r="CY3" s="30" t="s">
        <v>33</v>
      </c>
      <c r="CZ3" s="30" t="s">
        <v>34</v>
      </c>
      <c r="DA3" s="30" t="s">
        <v>34</v>
      </c>
      <c r="DB3" s="30" t="s">
        <v>34</v>
      </c>
      <c r="DC3" s="30" t="s">
        <v>34</v>
      </c>
      <c r="DD3" s="30" t="s">
        <v>35</v>
      </c>
      <c r="DE3" s="30" t="s">
        <v>35</v>
      </c>
      <c r="DF3" s="30" t="s">
        <v>35</v>
      </c>
      <c r="DG3" s="30" t="s">
        <v>35</v>
      </c>
      <c r="DH3" s="30" t="s">
        <v>36</v>
      </c>
      <c r="DI3" s="30" t="s">
        <v>36</v>
      </c>
      <c r="DJ3" s="30" t="s">
        <v>36</v>
      </c>
      <c r="DK3" s="30" t="s">
        <v>36</v>
      </c>
      <c r="DL3" s="30" t="s">
        <v>37</v>
      </c>
      <c r="DM3" s="30" t="s">
        <v>37</v>
      </c>
      <c r="DN3" s="30" t="s">
        <v>37</v>
      </c>
      <c r="DO3" s="30" t="s">
        <v>37</v>
      </c>
      <c r="DP3" s="30" t="s">
        <v>38</v>
      </c>
      <c r="DQ3" s="30" t="s">
        <v>38</v>
      </c>
      <c r="DR3" s="30" t="s">
        <v>38</v>
      </c>
      <c r="DS3" s="30" t="s">
        <v>38</v>
      </c>
      <c r="DT3" s="30" t="s">
        <v>39</v>
      </c>
      <c r="DU3" s="30" t="s">
        <v>39</v>
      </c>
      <c r="DV3" s="30" t="s">
        <v>39</v>
      </c>
      <c r="DW3" s="33" t="s">
        <v>39</v>
      </c>
      <c r="DX3" s="29" t="s">
        <v>815</v>
      </c>
    </row>
    <row r="4" spans="1:128">
      <c r="A4" s="31"/>
      <c r="B4" s="31"/>
      <c r="C4" s="31"/>
      <c r="D4" s="34" t="s">
        <v>816</v>
      </c>
      <c r="E4" s="34" t="s">
        <v>817</v>
      </c>
      <c r="F4" s="34" t="s">
        <v>818</v>
      </c>
      <c r="G4" s="35" t="s">
        <v>819</v>
      </c>
      <c r="H4" s="34" t="s">
        <v>816</v>
      </c>
      <c r="I4" s="34" t="s">
        <v>817</v>
      </c>
      <c r="J4" s="34" t="s">
        <v>818</v>
      </c>
      <c r="K4" s="35" t="s">
        <v>819</v>
      </c>
      <c r="L4" s="34" t="s">
        <v>816</v>
      </c>
      <c r="M4" s="34" t="s">
        <v>817</v>
      </c>
      <c r="N4" s="34" t="s">
        <v>818</v>
      </c>
      <c r="O4" s="34" t="s">
        <v>819</v>
      </c>
      <c r="P4" s="34" t="s">
        <v>816</v>
      </c>
      <c r="Q4" s="34" t="s">
        <v>817</v>
      </c>
      <c r="R4" s="34" t="s">
        <v>818</v>
      </c>
      <c r="S4" s="34" t="s">
        <v>819</v>
      </c>
      <c r="T4" s="34" t="s">
        <v>816</v>
      </c>
      <c r="U4" s="34" t="s">
        <v>817</v>
      </c>
      <c r="V4" s="34" t="s">
        <v>818</v>
      </c>
      <c r="W4" s="34" t="s">
        <v>819</v>
      </c>
      <c r="X4" s="34" t="s">
        <v>816</v>
      </c>
      <c r="Y4" s="34" t="s">
        <v>817</v>
      </c>
      <c r="Z4" s="34" t="s">
        <v>818</v>
      </c>
      <c r="AA4" s="34" t="s">
        <v>819</v>
      </c>
      <c r="AB4" s="34" t="s">
        <v>816</v>
      </c>
      <c r="AC4" s="34" t="s">
        <v>817</v>
      </c>
      <c r="AD4" s="34" t="s">
        <v>818</v>
      </c>
      <c r="AE4" s="34" t="s">
        <v>819</v>
      </c>
      <c r="AF4" s="34" t="s">
        <v>816</v>
      </c>
      <c r="AG4" s="34" t="s">
        <v>817</v>
      </c>
      <c r="AH4" s="34" t="s">
        <v>818</v>
      </c>
      <c r="AI4" s="34" t="s">
        <v>819</v>
      </c>
      <c r="AJ4" s="34" t="s">
        <v>816</v>
      </c>
      <c r="AK4" s="34" t="s">
        <v>817</v>
      </c>
      <c r="AL4" s="34" t="s">
        <v>818</v>
      </c>
      <c r="AM4" s="34" t="s">
        <v>819</v>
      </c>
      <c r="AN4" s="34" t="s">
        <v>816</v>
      </c>
      <c r="AO4" s="34" t="s">
        <v>817</v>
      </c>
      <c r="AP4" s="34" t="s">
        <v>818</v>
      </c>
      <c r="AQ4" s="34" t="s">
        <v>819</v>
      </c>
      <c r="AR4" s="34" t="s">
        <v>816</v>
      </c>
      <c r="AS4" s="34" t="s">
        <v>817</v>
      </c>
      <c r="AT4" s="34" t="s">
        <v>818</v>
      </c>
      <c r="AU4" s="34" t="s">
        <v>819</v>
      </c>
      <c r="AV4" s="34" t="s">
        <v>816</v>
      </c>
      <c r="AW4" s="34" t="s">
        <v>817</v>
      </c>
      <c r="AX4" s="34" t="s">
        <v>818</v>
      </c>
      <c r="AY4" s="34" t="s">
        <v>819</v>
      </c>
      <c r="AZ4" s="34" t="s">
        <v>816</v>
      </c>
      <c r="BA4" s="34" t="s">
        <v>817</v>
      </c>
      <c r="BB4" s="34" t="s">
        <v>818</v>
      </c>
      <c r="BC4" s="34" t="s">
        <v>819</v>
      </c>
      <c r="BD4" s="34" t="s">
        <v>816</v>
      </c>
      <c r="BE4" s="34" t="s">
        <v>817</v>
      </c>
      <c r="BF4" s="34" t="s">
        <v>818</v>
      </c>
      <c r="BG4" s="34" t="s">
        <v>819</v>
      </c>
      <c r="BH4" s="34" t="s">
        <v>816</v>
      </c>
      <c r="BI4" s="34" t="s">
        <v>817</v>
      </c>
      <c r="BJ4" s="34" t="s">
        <v>818</v>
      </c>
      <c r="BK4" s="34" t="s">
        <v>819</v>
      </c>
      <c r="BL4" s="34" t="s">
        <v>816</v>
      </c>
      <c r="BM4" s="34" t="s">
        <v>817</v>
      </c>
      <c r="BN4" s="34" t="s">
        <v>818</v>
      </c>
      <c r="BO4" s="34" t="s">
        <v>819</v>
      </c>
      <c r="BP4" s="34" t="s">
        <v>816</v>
      </c>
      <c r="BQ4" s="34" t="s">
        <v>817</v>
      </c>
      <c r="BR4" s="34" t="s">
        <v>818</v>
      </c>
      <c r="BS4" s="34" t="s">
        <v>819</v>
      </c>
      <c r="BT4" s="34" t="s">
        <v>816</v>
      </c>
      <c r="BU4" s="34" t="s">
        <v>817</v>
      </c>
      <c r="BV4" s="34" t="s">
        <v>818</v>
      </c>
      <c r="BW4" s="34" t="s">
        <v>819</v>
      </c>
      <c r="BX4" s="34" t="s">
        <v>816</v>
      </c>
      <c r="BY4" s="34" t="s">
        <v>817</v>
      </c>
      <c r="BZ4" s="34" t="s">
        <v>818</v>
      </c>
      <c r="CA4" s="34" t="s">
        <v>819</v>
      </c>
      <c r="CB4" s="34" t="s">
        <v>816</v>
      </c>
      <c r="CC4" s="34" t="s">
        <v>817</v>
      </c>
      <c r="CD4" s="34" t="s">
        <v>818</v>
      </c>
      <c r="CE4" s="34" t="s">
        <v>819</v>
      </c>
      <c r="CF4" s="34" t="s">
        <v>816</v>
      </c>
      <c r="CG4" s="34" t="s">
        <v>817</v>
      </c>
      <c r="CH4" s="34" t="s">
        <v>818</v>
      </c>
      <c r="CI4" s="34" t="s">
        <v>819</v>
      </c>
      <c r="CJ4" s="34" t="s">
        <v>816</v>
      </c>
      <c r="CK4" s="34" t="s">
        <v>817</v>
      </c>
      <c r="CL4" s="34" t="s">
        <v>818</v>
      </c>
      <c r="CM4" s="34" t="s">
        <v>819</v>
      </c>
      <c r="CN4" s="34" t="s">
        <v>816</v>
      </c>
      <c r="CO4" s="34" t="s">
        <v>817</v>
      </c>
      <c r="CP4" s="34" t="s">
        <v>818</v>
      </c>
      <c r="CQ4" s="34" t="s">
        <v>819</v>
      </c>
      <c r="CR4" s="34" t="s">
        <v>816</v>
      </c>
      <c r="CS4" s="34" t="s">
        <v>817</v>
      </c>
      <c r="CT4" s="34" t="s">
        <v>818</v>
      </c>
      <c r="CU4" s="34" t="s">
        <v>819</v>
      </c>
      <c r="CV4" s="34" t="s">
        <v>816</v>
      </c>
      <c r="CW4" s="34" t="s">
        <v>817</v>
      </c>
      <c r="CX4" s="34" t="s">
        <v>818</v>
      </c>
      <c r="CY4" s="34" t="s">
        <v>819</v>
      </c>
      <c r="CZ4" s="34" t="s">
        <v>816</v>
      </c>
      <c r="DA4" s="34" t="s">
        <v>817</v>
      </c>
      <c r="DB4" s="34" t="s">
        <v>818</v>
      </c>
      <c r="DC4" s="34" t="s">
        <v>819</v>
      </c>
      <c r="DD4" s="34" t="s">
        <v>816</v>
      </c>
      <c r="DE4" s="34" t="s">
        <v>817</v>
      </c>
      <c r="DF4" s="34" t="s">
        <v>818</v>
      </c>
      <c r="DG4" s="34" t="s">
        <v>819</v>
      </c>
      <c r="DH4" s="34" t="s">
        <v>816</v>
      </c>
      <c r="DI4" s="34" t="s">
        <v>817</v>
      </c>
      <c r="DJ4" s="34" t="s">
        <v>818</v>
      </c>
      <c r="DK4" s="34" t="s">
        <v>819</v>
      </c>
      <c r="DL4" s="34" t="s">
        <v>816</v>
      </c>
      <c r="DM4" s="34" t="s">
        <v>817</v>
      </c>
      <c r="DN4" s="34" t="s">
        <v>818</v>
      </c>
      <c r="DO4" s="34" t="s">
        <v>819</v>
      </c>
      <c r="DP4" s="34" t="s">
        <v>816</v>
      </c>
      <c r="DQ4" s="34" t="s">
        <v>817</v>
      </c>
      <c r="DR4" s="34" t="s">
        <v>818</v>
      </c>
      <c r="DS4" s="34" t="s">
        <v>819</v>
      </c>
      <c r="DT4" s="34" t="s">
        <v>816</v>
      </c>
      <c r="DU4" s="34" t="s">
        <v>817</v>
      </c>
      <c r="DV4" s="34" t="s">
        <v>818</v>
      </c>
      <c r="DW4" s="36" t="s">
        <v>819</v>
      </c>
      <c r="DX4" s="29" t="s">
        <v>8</v>
      </c>
    </row>
    <row r="5" ht="14.25" spans="1:128">
      <c r="A5" s="29" t="s">
        <v>820</v>
      </c>
      <c r="B5" s="29" t="s">
        <v>821</v>
      </c>
      <c r="C5" s="29"/>
      <c r="D5" s="29">
        <f>$DX5/$E$1</f>
        <v>109.946666666667</v>
      </c>
      <c r="E5" s="29">
        <f>SUMIF(汇总表!$B$1:$AF$1,E3,汇总表!$B$4:$AG$4)</f>
        <v>91</v>
      </c>
      <c r="F5" s="37">
        <f>E5-D5</f>
        <v>-18.9466666666667</v>
      </c>
      <c r="G5" s="38">
        <f>IFERROR(-F5/D5,0)</f>
        <v>0.1723259762309</v>
      </c>
      <c r="H5" s="29">
        <f>$DX5/$E$1</f>
        <v>109.946666666667</v>
      </c>
      <c r="I5" s="29">
        <f>SUMIF(汇总表!$B$1:$AF$1,I3,汇总表!$B$4:$AG$4)</f>
        <v>99</v>
      </c>
      <c r="J5" s="37">
        <f>I5-H5</f>
        <v>-10.9466666666667</v>
      </c>
      <c r="K5" s="38">
        <f>IFERROR(-J5/H5,0)</f>
        <v>0.0995634246907592</v>
      </c>
      <c r="L5" s="29">
        <f>$DX5/$E$1</f>
        <v>109.946666666667</v>
      </c>
      <c r="M5" s="29">
        <f>SUMIF(汇总表!$B$1:$AF$1,M3,汇总表!$B$4:$AG$4)</f>
        <v>110</v>
      </c>
      <c r="N5" s="37">
        <f>M5-L5</f>
        <v>0.0533333333333275</v>
      </c>
      <c r="O5" s="38">
        <f>IFERROR(-N5/L5,0)</f>
        <v>-0.000485083676934218</v>
      </c>
      <c r="P5" s="29">
        <f>$DX5/$E$1</f>
        <v>109.946666666667</v>
      </c>
      <c r="Q5" s="29">
        <f>SUMIF(汇总表!$B$1:$AF$1,Q3,汇总表!$B$4:$AG$4)</f>
        <v>146</v>
      </c>
      <c r="R5" s="37">
        <f>Q5-P5</f>
        <v>36.0533333333333</v>
      </c>
      <c r="S5" s="38">
        <f>IFERROR(-R5/P5,0)</f>
        <v>-0.327916565607567</v>
      </c>
      <c r="T5" s="29">
        <f>$DX5/$E$1</f>
        <v>109.946666666667</v>
      </c>
      <c r="U5" s="29">
        <f>SUMIF(汇总表!$B$1:$AF$1,U3,汇总表!$B$4:$AG$4)</f>
        <v>126</v>
      </c>
      <c r="V5" s="29">
        <f>U5-T5</f>
        <v>16.0533333333333</v>
      </c>
      <c r="W5" s="38">
        <f>IFERROR(-V5/T5,0)</f>
        <v>-0.146010186757216</v>
      </c>
      <c r="X5" s="29">
        <f>$DX5/$E$1</f>
        <v>109.946666666667</v>
      </c>
      <c r="Y5" s="29">
        <f>SUMIF(汇总表!$B$1:$AF$1,Y3,汇总表!$B$4:$AG$4)</f>
        <v>130</v>
      </c>
      <c r="Z5" s="37">
        <f>Y5-X5</f>
        <v>20.0533333333333</v>
      </c>
      <c r="AA5" s="38">
        <f>IFERROR(-Z5/X5,0)</f>
        <v>-0.182391462527286</v>
      </c>
      <c r="AB5" s="29">
        <f>$DX5/$E$1</f>
        <v>109.946666666667</v>
      </c>
      <c r="AC5" s="29">
        <f>SUMIF(汇总表!$B$1:$AF$1,AC3,汇总表!$B$4:$AG$4)</f>
        <v>143</v>
      </c>
      <c r="AD5" s="37">
        <f>AC5-AB5</f>
        <v>33.0533333333333</v>
      </c>
      <c r="AE5" s="38">
        <f>IFERROR(-AD5/AB5,0)</f>
        <v>-0.300630608780014</v>
      </c>
      <c r="AF5" s="29">
        <f>$DX5/$E$1</f>
        <v>109.946666666667</v>
      </c>
      <c r="AG5" s="29">
        <f>SUMIF(汇总表!$B$1:$AF$1,AG3,汇总表!$B$4:$AG$4)</f>
        <v>147</v>
      </c>
      <c r="AH5" s="37">
        <f>AG5-AF5</f>
        <v>37.0533333333333</v>
      </c>
      <c r="AI5" s="38">
        <f>IFERROR(-AH5/AF5,0)</f>
        <v>-0.337011884550085</v>
      </c>
      <c r="AJ5" s="29">
        <f>$DX5/$E$1</f>
        <v>109.946666666667</v>
      </c>
      <c r="AK5" s="29">
        <f>SUMIF(汇总表!$B$1:$AF$1,AK3,汇总表!$B$4:$AG$4)</f>
        <v>139</v>
      </c>
      <c r="AL5" s="37">
        <f>AK5-AJ5</f>
        <v>29.0533333333333</v>
      </c>
      <c r="AM5" s="38">
        <f>IFERROR(-AL5/AJ5,0)</f>
        <v>-0.264249333009944</v>
      </c>
      <c r="AN5" s="29">
        <f>$DX5/$E$1</f>
        <v>109.946666666667</v>
      </c>
      <c r="AO5" s="29">
        <f>SUMIF(汇总表!$B$1:$AF$1,AO3,汇总表!$B$4:$AG$4)</f>
        <v>145</v>
      </c>
      <c r="AP5" s="37">
        <f>AO5-AN5</f>
        <v>35.0533333333333</v>
      </c>
      <c r="AQ5" s="38">
        <f>IFERROR(-AP5/AN5,0)</f>
        <v>-0.31882124666505</v>
      </c>
      <c r="AR5" s="29">
        <f t="shared" ref="AR5:AR11" si="0">$DX5/$E$1</f>
        <v>109.946666666667</v>
      </c>
      <c r="AS5" s="29">
        <f>SUMIF(汇总表!$B$1:$AF$1,AS3,汇总表!$B$4:$AG$4)</f>
        <v>131</v>
      </c>
      <c r="AT5" s="37">
        <f>AS5-AR5</f>
        <v>21.0533333333333</v>
      </c>
      <c r="AU5" s="38">
        <f>IFERROR(-AT5/AR5,0)</f>
        <v>-0.191486781469803</v>
      </c>
      <c r="AV5" s="29">
        <f>$DX5/$E$1</f>
        <v>109.946666666667</v>
      </c>
      <c r="AW5" s="29">
        <f>SUMIF(汇总表!$B$1:$AF$1,AW3,汇总表!$B$4:$AG$4)</f>
        <v>106</v>
      </c>
      <c r="AX5" s="37">
        <f>AW5-AV5</f>
        <v>-3.94666666666667</v>
      </c>
      <c r="AY5" s="38">
        <f>IFERROR(-AX5/AV5,0)</f>
        <v>0.0358961920931361</v>
      </c>
      <c r="AZ5" s="29">
        <f>$DX5/$E$1</f>
        <v>109.946666666667</v>
      </c>
      <c r="BA5" s="29">
        <f>SUMIF(汇总表!$B$1:$AF$1,BA3,汇总表!$B$4:$AG$4)</f>
        <v>95</v>
      </c>
      <c r="BB5" s="37">
        <f>BA5-AZ5</f>
        <v>-14.9466666666667</v>
      </c>
      <c r="BC5" s="38">
        <f>IFERROR(-BB5/AZ5,0)</f>
        <v>0.13594470046083</v>
      </c>
      <c r="BD5" s="29">
        <f>$DX5/$E$1</f>
        <v>109.946666666667</v>
      </c>
      <c r="BE5" s="29">
        <f>SUMIF(汇总表!$B$1:$AF$1,BE3,汇总表!$B$4:$AG$4)</f>
        <v>113</v>
      </c>
      <c r="BF5" s="37">
        <f>BE5-BD5</f>
        <v>3.05333333333333</v>
      </c>
      <c r="BG5" s="38">
        <f>IFERROR(-BF5/BD5,0)</f>
        <v>-0.027771040504487</v>
      </c>
      <c r="BH5" s="29">
        <f>$DX5/$E$1</f>
        <v>109.946666666667</v>
      </c>
      <c r="BI5" s="29">
        <f>SUMIF(汇总表!$B$1:$AF$1,BI3,汇总表!$B$4:$AG$4)</f>
        <v>124</v>
      </c>
      <c r="BJ5" s="37">
        <f>BI5-BH5</f>
        <v>14.0533333333333</v>
      </c>
      <c r="BK5" s="38">
        <f>IFERROR(-BJ5/BH5,0)</f>
        <v>-0.12781954887218</v>
      </c>
      <c r="BL5" s="29">
        <f>$DX5/$E$1</f>
        <v>109.946666666667</v>
      </c>
      <c r="BM5" s="29">
        <f>SUMIF(汇总表!$B$1:$AF$1,BM3,汇总表!$B$4:$AG$4)</f>
        <v>114</v>
      </c>
      <c r="BN5" s="37">
        <f>BM5-BL5</f>
        <v>4.05333333333333</v>
      </c>
      <c r="BO5" s="38">
        <f>IFERROR(-BN5/BL5,0)</f>
        <v>-0.0368663594470046</v>
      </c>
      <c r="BP5" s="29">
        <f>$DX5/$E$1</f>
        <v>109.946666666667</v>
      </c>
      <c r="BQ5" s="29">
        <f>SUMIF(汇总表!$B$1:$AF$1,BQ3,汇总表!$B$4:$AG$4)</f>
        <v>137</v>
      </c>
      <c r="BR5" s="37">
        <f>BQ5-BP5</f>
        <v>27.0533333333333</v>
      </c>
      <c r="BS5" s="38">
        <f>IFERROR(-BR5/BP5,0)</f>
        <v>-0.246058695124909</v>
      </c>
      <c r="BT5" s="29">
        <f>$DX5/$E$1</f>
        <v>109.946666666667</v>
      </c>
      <c r="BU5" s="29">
        <f>SUMIF(汇总表!$B$1:$AF$1,BU3,汇总表!$B$4:$AG$4)</f>
        <v>118</v>
      </c>
      <c r="BV5" s="37">
        <f>BU5-BT5</f>
        <v>8.05333333333333</v>
      </c>
      <c r="BW5" s="38">
        <f>IFERROR(-BV5/BT5,0)</f>
        <v>-0.0732476352170749</v>
      </c>
      <c r="BX5" s="29">
        <f>$DX5/$E$1</f>
        <v>109.946666666667</v>
      </c>
      <c r="BY5" s="29">
        <f>SUMIF(汇总表!$B$1:$AF$1,BY3,汇总表!$B$4:$AG$4)</f>
        <v>100</v>
      </c>
      <c r="BZ5" s="37">
        <f>BY5-BX5</f>
        <v>-9.94666666666667</v>
      </c>
      <c r="CA5" s="38">
        <f>IFERROR(-BZ5/BX5,0)</f>
        <v>0.0904681057482416</v>
      </c>
      <c r="CB5" s="29">
        <f>$DX5/$E$1</f>
        <v>109.946666666667</v>
      </c>
      <c r="CC5" s="29">
        <f>SUMIF(汇总表!$B$1:$AF$1,CC3,汇总表!$B$4:$AG$4)</f>
        <v>109</v>
      </c>
      <c r="CD5" s="37">
        <f>CC5-CB5</f>
        <v>-0.946666666666673</v>
      </c>
      <c r="CE5" s="38">
        <f>IFERROR(-CD5/CB5,0)</f>
        <v>0.00861023526558337</v>
      </c>
      <c r="CF5" s="29">
        <f>$DX5/$E$1</f>
        <v>109.946666666667</v>
      </c>
      <c r="CG5" s="29">
        <f>SUMIF(汇总表!$B$1:$AF$1,CG3,汇总表!$B$4:$AG$4)</f>
        <v>123</v>
      </c>
      <c r="CH5" s="37">
        <f>CG5-CF5</f>
        <v>13.0533333333333</v>
      </c>
      <c r="CI5" s="38">
        <f>IFERROR(-CH5/CF5,0)</f>
        <v>-0.118724229929663</v>
      </c>
      <c r="CJ5" s="29">
        <f>$DX5/$E$1</f>
        <v>109.946666666667</v>
      </c>
      <c r="CK5" s="29">
        <f>SUMIF(汇总表!$B$1:$AF$1,CK3,汇总表!$B$4:$AG$4)</f>
        <v>97</v>
      </c>
      <c r="CL5" s="37">
        <f>CK5-CJ5</f>
        <v>-12.9466666666667</v>
      </c>
      <c r="CM5" s="38">
        <f>IFERROR(-CL5/CJ5,0)</f>
        <v>0.117754062575794</v>
      </c>
      <c r="CN5" s="29">
        <f>$DX5/$E$1</f>
        <v>109.946666666667</v>
      </c>
      <c r="CO5" s="29">
        <f>SUMIF(汇总表!$B$1:$AF$1,CO3,汇总表!$B$4:$AG$4)</f>
        <v>109</v>
      </c>
      <c r="CP5" s="37">
        <f>CO5-CN5</f>
        <v>-0.946666666666673</v>
      </c>
      <c r="CQ5" s="38">
        <f>IFERROR(-CP5/CN5,0)</f>
        <v>0.00861023526558337</v>
      </c>
      <c r="CR5" s="29">
        <f>$DX5/$E$1</f>
        <v>109.946666666667</v>
      </c>
      <c r="CS5" s="29">
        <f>SUMIF(汇总表!$B$1:$AF$1,CS3,汇总表!$B$4:$AG$4)</f>
        <v>105</v>
      </c>
      <c r="CT5" s="37">
        <f>CS5-CR5</f>
        <v>-4.94666666666667</v>
      </c>
      <c r="CU5" s="38">
        <f>IFERROR(-CT5/CR5,0)</f>
        <v>0.0449915110356537</v>
      </c>
      <c r="CV5" s="29">
        <f>$DX5/$E$1</f>
        <v>109.946666666667</v>
      </c>
      <c r="CW5" s="29">
        <f>SUMIF(汇总表!$B$1:$AF$1,CW3,汇总表!$B$4:$AG$4)</f>
        <v>123</v>
      </c>
      <c r="CX5" s="37">
        <f>CW5-CV5</f>
        <v>13.0533333333333</v>
      </c>
      <c r="CY5" s="38">
        <f>IFERROR(-CX5/CV5,0)</f>
        <v>-0.118724229929663</v>
      </c>
      <c r="CZ5" s="29">
        <f>$DX5/$E$1</f>
        <v>109.946666666667</v>
      </c>
      <c r="DA5" s="29">
        <f>SUMIF(汇总表!$B$1:$AF$1,DA3,汇总表!$B$4:$AG$4)</f>
        <v>100</v>
      </c>
      <c r="DB5" s="37">
        <f>DA5-CZ5</f>
        <v>-9.94666666666667</v>
      </c>
      <c r="DC5" s="38">
        <f>IFERROR(-DB5/CZ5,0)</f>
        <v>0.0904681057482416</v>
      </c>
      <c r="DD5" s="29">
        <f>$DX5/$E$1</f>
        <v>109.946666666667</v>
      </c>
      <c r="DE5" s="29">
        <f>SUMIF(汇总表!$B$1:$AF$1,DE3,汇总表!$B$4:$AG$4)</f>
        <v>109</v>
      </c>
      <c r="DF5" s="37">
        <f>DE5-DD5</f>
        <v>-0.946666666666673</v>
      </c>
      <c r="DG5" s="38">
        <f>IFERROR(-DF5/DD5,0)</f>
        <v>0.00861023526558337</v>
      </c>
      <c r="DH5" s="29">
        <f>$DX5/$E$1</f>
        <v>109.946666666667</v>
      </c>
      <c r="DI5" s="29">
        <f>SUMIF(汇总表!$B$1:$AF$1,DI3,汇总表!$B$4:$AG$4)</f>
        <v>125</v>
      </c>
      <c r="DJ5" s="37">
        <f>DI5-DH5</f>
        <v>15.0533333333333</v>
      </c>
      <c r="DK5" s="38">
        <f>IFERROR(-DJ5/DH5,0)</f>
        <v>-0.136914867814698</v>
      </c>
      <c r="DL5" s="29">
        <f>$DX5/$E$1</f>
        <v>109.946666666667</v>
      </c>
      <c r="DM5" s="29">
        <f>SUMIF(汇总表!$B$1:$AF$1,DM3,汇总表!$B$4:$AG$4)</f>
        <v>129</v>
      </c>
      <c r="DN5" s="37">
        <f>DM5-DL5</f>
        <v>19.0533333333333</v>
      </c>
      <c r="DO5" s="38">
        <f>IFERROR(-DN5/DL5,0)</f>
        <v>-0.173296143584768</v>
      </c>
      <c r="DP5" s="29">
        <f>IF($E$1=30,$DX$5/$E$1)</f>
        <v>109.946666666667</v>
      </c>
      <c r="DQ5" s="29">
        <f>SUMIF(汇总表!$B$1:$AF$1,DQ3,汇总表!$B$4:$AG$4)</f>
        <v>132</v>
      </c>
      <c r="DR5" s="37">
        <f>DQ5-DP5</f>
        <v>22.0533333333333</v>
      </c>
      <c r="DS5" s="38">
        <f>IFERROR(-DR5/DP5,0)</f>
        <v>-0.200582100412321</v>
      </c>
      <c r="DT5" s="29">
        <f>IF($E$1=31,$DX$5/$E$1,0)</f>
        <v>0</v>
      </c>
      <c r="DU5" s="29">
        <f>SUMIF(汇总表!$B$1:$AF$1,DU3,汇总表!$B$4:$AG$4)</f>
        <v>134</v>
      </c>
      <c r="DV5" s="29">
        <f>DU5-DT5</f>
        <v>134</v>
      </c>
      <c r="DW5" s="38">
        <f>IFERROR(-DV5/DT5,0)</f>
        <v>0</v>
      </c>
      <c r="DX5" s="39">
        <f>133*31*0.8</f>
        <v>3298.4</v>
      </c>
    </row>
    <row r="6" ht="14.25" spans="1:128">
      <c r="A6" s="31"/>
      <c r="B6" s="29" t="s">
        <v>693</v>
      </c>
      <c r="C6" s="29"/>
      <c r="D6" s="29">
        <f>$DX6</f>
        <v>467.5</v>
      </c>
      <c r="E6" s="29">
        <f>SUMIF(汇总表!$B$1:$AF$1,E$3,汇总表!$B5:$AG5)</f>
        <v>274.01</v>
      </c>
      <c r="F6" s="37">
        <f t="shared" ref="F6:F38" si="1">E6-D6</f>
        <v>-193.49</v>
      </c>
      <c r="G6" s="38">
        <f t="shared" ref="G6:G24" si="2">IFERROR(-F6/D6,0)</f>
        <v>0.413882352941176</v>
      </c>
      <c r="H6" s="29">
        <f>$DX6</f>
        <v>467.5</v>
      </c>
      <c r="I6" s="29">
        <f>SUMIF(汇总表!$B$1:$AF$1,I$3,汇总表!$B5:$AG5)</f>
        <v>269.74</v>
      </c>
      <c r="J6" s="37">
        <f t="shared" ref="J6:J38" si="3">I6-H6</f>
        <v>-197.76</v>
      </c>
      <c r="K6" s="38">
        <f t="shared" ref="K6:K26" si="4">IFERROR(-J6/H6,0)</f>
        <v>0.423016042780749</v>
      </c>
      <c r="L6" s="29">
        <f>$DX6</f>
        <v>467.5</v>
      </c>
      <c r="M6" s="29">
        <f>SUMIF(汇总表!$B$1:$AF$1,M$3,汇总表!$B5:$AG5)</f>
        <v>250.06</v>
      </c>
      <c r="N6" s="37">
        <f t="shared" ref="N6:N38" si="5">M6-L6</f>
        <v>-217.44</v>
      </c>
      <c r="O6" s="38">
        <f t="shared" ref="O6:O37" si="6">IFERROR(-N6/L6,0)</f>
        <v>0.465112299465241</v>
      </c>
      <c r="P6" s="29">
        <f>$DX6</f>
        <v>467.5</v>
      </c>
      <c r="Q6" s="29">
        <f>SUMIF(汇总表!$B$1:$AF$1,Q$3,汇总表!$B5:$AG5)</f>
        <v>258.49</v>
      </c>
      <c r="R6" s="37">
        <f t="shared" ref="R6:R38" si="7">Q6-P6</f>
        <v>-209.01</v>
      </c>
      <c r="S6" s="38">
        <f t="shared" ref="S6:S37" si="8">IFERROR(-R6/P6,0)</f>
        <v>0.447080213903743</v>
      </c>
      <c r="T6" s="29">
        <f>$DX6</f>
        <v>467.5</v>
      </c>
      <c r="U6" s="29">
        <f>SUMIF(汇总表!$B$1:$AF$1,U$3,汇总表!$B5:$AG5)</f>
        <v>263.62</v>
      </c>
      <c r="V6" s="29">
        <f t="shared" ref="V6:V38" si="9">U6-T6</f>
        <v>-203.88</v>
      </c>
      <c r="W6" s="38">
        <f t="shared" ref="W6:W37" si="10">IFERROR(-V6/T6,0)</f>
        <v>0.436106951871658</v>
      </c>
      <c r="X6" s="29">
        <f>$DX6</f>
        <v>467.5</v>
      </c>
      <c r="Y6" s="29">
        <f>SUMIF(汇总表!$B$1:$AF$1,Y$3,汇总表!$B5:$AG5)</f>
        <v>278.66</v>
      </c>
      <c r="Z6" s="37">
        <f t="shared" ref="Z6:Z38" si="11">Y6-X6</f>
        <v>-188.84</v>
      </c>
      <c r="AA6" s="38">
        <f t="shared" ref="AA6:AA37" si="12">IFERROR(-Z6/X6,0)</f>
        <v>0.403935828877005</v>
      </c>
      <c r="AB6" s="29">
        <f>$DX6</f>
        <v>467.5</v>
      </c>
      <c r="AC6" s="29">
        <f>SUMIF(汇总表!$B$1:$AF$1,AC$3,汇总表!$B5:$AG5)</f>
        <v>264.03</v>
      </c>
      <c r="AD6" s="37">
        <f t="shared" ref="AD6:AD38" si="13">AC6-AB6</f>
        <v>-203.47</v>
      </c>
      <c r="AE6" s="38">
        <f t="shared" ref="AE6:AE37" si="14">IFERROR(-AD6/AB6,0)</f>
        <v>0.435229946524064</v>
      </c>
      <c r="AF6" s="29">
        <f>$DX6</f>
        <v>467.5</v>
      </c>
      <c r="AG6" s="29">
        <f>SUMIF(汇总表!$B$1:$AF$1,AG$3,汇总表!$B5:$AG5)</f>
        <v>274.1</v>
      </c>
      <c r="AH6" s="37">
        <f t="shared" ref="AH6:AH38" si="15">AG6-AF6</f>
        <v>-193.4</v>
      </c>
      <c r="AI6" s="38">
        <f t="shared" ref="AI6:AI37" si="16">IFERROR(-AH6/AF6,0)</f>
        <v>0.413689839572192</v>
      </c>
      <c r="AJ6" s="29">
        <f>$DX6</f>
        <v>467.5</v>
      </c>
      <c r="AK6" s="29">
        <f>SUMIF(汇总表!$B$1:$AF$1,AK$3,汇总表!$B5:$AG5)</f>
        <v>279.49</v>
      </c>
      <c r="AL6" s="37">
        <f t="shared" ref="AL6:AL38" si="17">AK6-AJ6</f>
        <v>-188.01</v>
      </c>
      <c r="AM6" s="38">
        <f t="shared" ref="AM6:AM37" si="18">IFERROR(-AL6/AJ6,0)</f>
        <v>0.402160427807487</v>
      </c>
      <c r="AN6" s="29">
        <f>$DX6</f>
        <v>467.5</v>
      </c>
      <c r="AO6" s="29">
        <f>SUMIF(汇总表!$B$1:$AF$1,AO$3,汇总表!$B5:$AG5)</f>
        <v>284.05</v>
      </c>
      <c r="AP6" s="37">
        <f t="shared" ref="AP6:AP37" si="19">AO6-AN6</f>
        <v>-183.45</v>
      </c>
      <c r="AQ6" s="38">
        <f>IFERROR(-AP6/AN6,0)</f>
        <v>0.392406417112299</v>
      </c>
      <c r="AR6" s="29">
        <f>$DX6</f>
        <v>467.5</v>
      </c>
      <c r="AS6" s="29">
        <f>SUMIF(汇总表!$B$1:$AF$1,AS$3,汇总表!$B5:$AG5)</f>
        <v>280.82</v>
      </c>
      <c r="AT6" s="37">
        <f t="shared" ref="AT6:AT38" si="20">AS6-AR6</f>
        <v>-186.68</v>
      </c>
      <c r="AU6" s="38">
        <f t="shared" ref="AU6:AU37" si="21">IFERROR(-AT6/AR6,0)</f>
        <v>0.39931550802139</v>
      </c>
      <c r="AV6" s="29">
        <f>$DX6</f>
        <v>467.5</v>
      </c>
      <c r="AW6" s="29">
        <f>SUMIF(汇总表!$B$1:$AF$1,AW$3,汇总表!$B5:$AG5)</f>
        <v>279.95</v>
      </c>
      <c r="AX6" s="37">
        <f t="shared" ref="AX6:AX38" si="22">AW6-AV6</f>
        <v>-187.55</v>
      </c>
      <c r="AY6" s="38">
        <f t="shared" ref="AY6:AY37" si="23">IFERROR(-AX6/AV6,0)</f>
        <v>0.401176470588235</v>
      </c>
      <c r="AZ6" s="29">
        <f>$DX6</f>
        <v>467.5</v>
      </c>
      <c r="BA6" s="29">
        <f>SUMIF(汇总表!$B$1:$AF$1,BA$3,汇总表!$B5:$AG5)</f>
        <v>291.53</v>
      </c>
      <c r="BB6" s="37">
        <f t="shared" ref="BB6:BB37" si="24">BA6-AZ6</f>
        <v>-175.97</v>
      </c>
      <c r="BC6" s="38">
        <f t="shared" ref="BC6:BC37" si="25">IFERROR(-BB6/AZ6,0)</f>
        <v>0.376406417112299</v>
      </c>
      <c r="BD6" s="29">
        <f>$DX6</f>
        <v>467.5</v>
      </c>
      <c r="BE6" s="29">
        <f>SUMIF(汇总表!$B$1:$AF$1,BE$3,汇总表!$B5:$AG5)</f>
        <v>284.02</v>
      </c>
      <c r="BF6" s="37">
        <f t="shared" ref="BF6:BF37" si="26">BE6-BD6</f>
        <v>-183.48</v>
      </c>
      <c r="BG6" s="38">
        <f t="shared" ref="BG6:BG37" si="27">IFERROR(-BF6/BD6,0)</f>
        <v>0.392470588235294</v>
      </c>
      <c r="BH6" s="29">
        <f>$DX6</f>
        <v>467.5</v>
      </c>
      <c r="BI6" s="29">
        <f>SUMIF(汇总表!$B$1:$AF$1,BI$3,汇总表!$B5:$AG5)</f>
        <v>298.34</v>
      </c>
      <c r="BJ6" s="37">
        <f t="shared" ref="BJ6:BJ37" si="28">BI6-BH6</f>
        <v>-169.16</v>
      </c>
      <c r="BK6" s="38">
        <f t="shared" ref="BK6:BK37" si="29">IFERROR(-BJ6/BH6,0)</f>
        <v>0.361839572192513</v>
      </c>
      <c r="BL6" s="29">
        <f>$DX6</f>
        <v>467.5</v>
      </c>
      <c r="BM6" s="29">
        <f>SUMIF(汇总表!$B$1:$AF$1,BM$3,汇总表!$B5:$AG5)</f>
        <v>289.3</v>
      </c>
      <c r="BN6" s="37">
        <f t="shared" ref="BN6:BN37" si="30">BM6-BL6</f>
        <v>-178.2</v>
      </c>
      <c r="BO6" s="38">
        <f t="shared" ref="BO6:BO37" si="31">IFERROR(-BN6/BL6,0)</f>
        <v>0.381176470588235</v>
      </c>
      <c r="BP6" s="29">
        <f>$DX6</f>
        <v>467.5</v>
      </c>
      <c r="BQ6" s="29">
        <f>SUMIF(汇总表!$B$1:$AF$1,BQ$3,汇总表!$B5:$AG5)</f>
        <v>281.26</v>
      </c>
      <c r="BR6" s="37">
        <f t="shared" ref="BR6:BR37" si="32">BQ6-BP6</f>
        <v>-186.24</v>
      </c>
      <c r="BS6" s="38">
        <f t="shared" ref="BS6:BS37" si="33">IFERROR(-BR6/BP6,0)</f>
        <v>0.398374331550802</v>
      </c>
      <c r="BT6" s="29">
        <f>$DX6</f>
        <v>467.5</v>
      </c>
      <c r="BU6" s="29">
        <f>SUMIF(汇总表!$B$1:$AF$1,BU$3,汇总表!$B5:$AG5)</f>
        <v>303.92</v>
      </c>
      <c r="BV6" s="37">
        <f t="shared" ref="BV6:BV38" si="34">BU6-BT6</f>
        <v>-163.58</v>
      </c>
      <c r="BW6" s="38">
        <f t="shared" ref="BW6:BW37" si="35">IFERROR(-BV6/BT6,0)</f>
        <v>0.349903743315508</v>
      </c>
      <c r="BX6" s="29">
        <f>$DX6</f>
        <v>467.5</v>
      </c>
      <c r="BY6" s="29">
        <f>SUMIF(汇总表!$B$1:$AF$1,BY$3,汇总表!$B5:$AG5)</f>
        <v>288.85</v>
      </c>
      <c r="BZ6" s="37">
        <f t="shared" ref="BZ6:BZ37" si="36">BY6-BX6</f>
        <v>-178.65</v>
      </c>
      <c r="CA6" s="38">
        <f t="shared" ref="CA6:CA37" si="37">IFERROR(-BZ6/BX6,0)</f>
        <v>0.382139037433155</v>
      </c>
      <c r="CB6" s="29">
        <f>$DX6</f>
        <v>467.5</v>
      </c>
      <c r="CC6" s="29">
        <f>SUMIF(汇总表!$B$1:$AF$1,CC$3,汇总表!$B5:$AG5)</f>
        <v>317.88</v>
      </c>
      <c r="CD6" s="37">
        <f t="shared" ref="CD6:CD37" si="38">CC6-CB6</f>
        <v>-149.62</v>
      </c>
      <c r="CE6" s="38">
        <f t="shared" ref="CE6:CE37" si="39">IFERROR(-CD6/CB6,0)</f>
        <v>0.320042780748663</v>
      </c>
      <c r="CF6" s="29">
        <f>$DX6</f>
        <v>467.5</v>
      </c>
      <c r="CG6" s="29">
        <f>SUMIF(汇总表!$B$1:$AF$1,CG$3,汇总表!$B5:$AG5)</f>
        <v>327.23</v>
      </c>
      <c r="CH6" s="37">
        <f t="shared" ref="CH6:CH37" si="40">CG6-CF6</f>
        <v>-140.27</v>
      </c>
      <c r="CI6" s="38">
        <f t="shared" ref="CI6:CI37" si="41">IFERROR(-CH6/CF6,0)</f>
        <v>0.300042780748663</v>
      </c>
      <c r="CJ6" s="29">
        <f>$DX6</f>
        <v>467.5</v>
      </c>
      <c r="CK6" s="29">
        <f>SUMIF(汇总表!$B$1:$AF$1,CK$3,汇总表!$B5:$AG5)</f>
        <v>341.33</v>
      </c>
      <c r="CL6" s="37">
        <f t="shared" ref="CL6:CL38" si="42">CK6-CJ6</f>
        <v>-126.17</v>
      </c>
      <c r="CM6" s="38">
        <f t="shared" ref="CM6:CM37" si="43">IFERROR(-CL6/CJ6,0)</f>
        <v>0.269882352941177</v>
      </c>
      <c r="CN6" s="29">
        <f>$DX6</f>
        <v>467.5</v>
      </c>
      <c r="CO6" s="29">
        <f>SUMIF(汇总表!$B$1:$AF$1,CO$3,汇总表!$B5:$AG5)</f>
        <v>307.69</v>
      </c>
      <c r="CP6" s="37">
        <f t="shared" ref="CP6:CP37" si="44">CO6-CN6</f>
        <v>-159.81</v>
      </c>
      <c r="CQ6" s="38">
        <f t="shared" ref="CQ6:CQ37" si="45">IFERROR(-CP6/CN6,0)</f>
        <v>0.341839572192513</v>
      </c>
      <c r="CR6" s="29">
        <f>$DX6</f>
        <v>467.5</v>
      </c>
      <c r="CS6" s="29">
        <f>SUMIF(汇总表!$B$1:$AF$1,CS$3,汇总表!$B5:$AG5)</f>
        <v>291.37</v>
      </c>
      <c r="CT6" s="37">
        <f t="shared" ref="CT6:CT38" si="46">CS6-CR6</f>
        <v>-176.13</v>
      </c>
      <c r="CU6" s="38">
        <f t="shared" ref="CU6:CU37" si="47">IFERROR(-CT6/CR6,0)</f>
        <v>0.376748663101604</v>
      </c>
      <c r="CV6" s="29">
        <f>$DX6</f>
        <v>467.5</v>
      </c>
      <c r="CW6" s="29">
        <f>SUMIF(汇总表!$B$1:$AF$1,CW$3,汇总表!$B5:$AG5)</f>
        <v>289.39</v>
      </c>
      <c r="CX6" s="37">
        <f t="shared" ref="CX6:CX38" si="48">CW6-CV6</f>
        <v>-178.11</v>
      </c>
      <c r="CY6" s="38">
        <f t="shared" ref="CY6:CY37" si="49">IFERROR(-CX6/CV6,0)</f>
        <v>0.380983957219251</v>
      </c>
      <c r="CZ6" s="29">
        <f>$DX6</f>
        <v>467.5</v>
      </c>
      <c r="DA6" s="29">
        <f>SUMIF(汇总表!$B$1:$AF$1,DA$3,汇总表!$B5:$AG5)</f>
        <v>261.72</v>
      </c>
      <c r="DB6" s="37">
        <f t="shared" ref="DB6:DB38" si="50">DA6-CZ6</f>
        <v>-205.78</v>
      </c>
      <c r="DC6" s="38">
        <f t="shared" ref="DC6:DC37" si="51">IFERROR(-DB6/CZ6,0)</f>
        <v>0.440171122994652</v>
      </c>
      <c r="DD6" s="29">
        <f>$DX6</f>
        <v>467.5</v>
      </c>
      <c r="DE6" s="29">
        <f>SUMIF(汇总表!$B$1:$AF$1,DE$3,汇总表!$B5:$AG5)</f>
        <v>292.07</v>
      </c>
      <c r="DF6" s="37">
        <f t="shared" ref="DF6:DF38" si="52">DE6-DD6</f>
        <v>-175.43</v>
      </c>
      <c r="DG6" s="38">
        <f t="shared" ref="DG6:DG37" si="53">IFERROR(-DF6/DD6,0)</f>
        <v>0.375251336898396</v>
      </c>
      <c r="DH6" s="29">
        <f>$DX6</f>
        <v>467.5</v>
      </c>
      <c r="DI6" s="29">
        <f>SUMIF(汇总表!$B$1:$AF$1,DI$3,汇总表!$B5:$AG5)</f>
        <v>294.06</v>
      </c>
      <c r="DJ6" s="37">
        <f t="shared" ref="DJ6:DJ37" si="54">DI6-DH6</f>
        <v>-173.44</v>
      </c>
      <c r="DK6" s="38">
        <f t="shared" ref="DK6:DK37" si="55">IFERROR(-DJ6/DH6,0)</f>
        <v>0.370994652406417</v>
      </c>
      <c r="DL6" s="29">
        <f>$DX6</f>
        <v>467.5</v>
      </c>
      <c r="DM6" s="29">
        <f>SUMIF(汇总表!$B$1:$AF$1,DM$3,汇总表!$B5:$AG5)</f>
        <v>285.13</v>
      </c>
      <c r="DN6" s="37">
        <f t="shared" ref="DN6:DN37" si="56">DM6-DL6</f>
        <v>-182.37</v>
      </c>
      <c r="DO6" s="38">
        <f t="shared" ref="DO6:DO37" si="57">IFERROR(-DN6/DL6,0)</f>
        <v>0.390096256684492</v>
      </c>
      <c r="DP6" s="29">
        <f>$DX6</f>
        <v>467.5</v>
      </c>
      <c r="DQ6" s="29">
        <f>SUMIF(汇总表!$B$1:$AF$1,DQ$3,汇总表!$B5:$AG5)</f>
        <v>297.33</v>
      </c>
      <c r="DR6" s="37">
        <f t="shared" ref="DR6:DR37" si="58">DQ6-DP6</f>
        <v>-170.17</v>
      </c>
      <c r="DS6" s="38">
        <f t="shared" ref="DS6:DS37" si="59">IFERROR(-DR6/DP6,0)</f>
        <v>0.364</v>
      </c>
      <c r="DT6" s="29">
        <f>IF($E$1=31,$DX$5,0)</f>
        <v>0</v>
      </c>
      <c r="DU6" s="29">
        <f>SUMIF(汇总表!$B$1:$AF$1,DU$3,汇总表!$B5:$AG5)</f>
        <v>294.67</v>
      </c>
      <c r="DV6" s="29">
        <f t="shared" ref="DV6:DV37" si="60">DU6-DT6</f>
        <v>294.67</v>
      </c>
      <c r="DW6" s="38">
        <f t="shared" ref="DW6:DW37" si="61">IFERROR(-DV6/DT6,0)</f>
        <v>0</v>
      </c>
      <c r="DX6" s="40">
        <f>DX8/DX5</f>
        <v>467.5</v>
      </c>
    </row>
    <row r="7" spans="1:128">
      <c r="A7" s="31"/>
      <c r="B7" s="29" t="s">
        <v>694</v>
      </c>
      <c r="C7" s="29"/>
      <c r="D7" s="29">
        <f>$DX7</f>
        <v>236</v>
      </c>
      <c r="E7" s="29">
        <f>SUMIF(汇总表!$B$1:$AF$1,E$3,汇总表!$B6:$AG6)</f>
        <v>187.48</v>
      </c>
      <c r="F7" s="37">
        <f t="shared" si="1"/>
        <v>-48.52</v>
      </c>
      <c r="G7" s="38">
        <f t="shared" si="2"/>
        <v>0.205593220338983</v>
      </c>
      <c r="H7" s="29">
        <f>$DX7</f>
        <v>236</v>
      </c>
      <c r="I7" s="29">
        <f>SUMIF(汇总表!$B$1:$AF$1,I$3,汇总表!$B6:$AG6)</f>
        <v>200.78</v>
      </c>
      <c r="J7" s="37">
        <f t="shared" si="3"/>
        <v>-35.22</v>
      </c>
      <c r="K7" s="38">
        <f t="shared" si="4"/>
        <v>0.149237288135593</v>
      </c>
      <c r="L7" s="29">
        <f>$DX7</f>
        <v>236</v>
      </c>
      <c r="M7" s="29">
        <f>SUMIF(汇总表!$B$1:$AF$1,M$3,汇总表!$B6:$AG6)</f>
        <v>206.82</v>
      </c>
      <c r="N7" s="37">
        <f t="shared" si="5"/>
        <v>-29.18</v>
      </c>
      <c r="O7" s="38">
        <f t="shared" si="6"/>
        <v>0.12364406779661</v>
      </c>
      <c r="P7" s="29">
        <f>$DX7</f>
        <v>236</v>
      </c>
      <c r="Q7" s="29">
        <f>SUMIF(汇总表!$B$1:$AF$1,Q$3,汇总表!$B6:$AG6)</f>
        <v>283.75</v>
      </c>
      <c r="R7" s="37">
        <f t="shared" si="7"/>
        <v>47.75</v>
      </c>
      <c r="S7" s="38">
        <f t="shared" si="8"/>
        <v>-0.202330508474576</v>
      </c>
      <c r="T7" s="29">
        <f>$DX7</f>
        <v>236</v>
      </c>
      <c r="U7" s="29">
        <f>SUMIF(汇总表!$B$1:$AF$1,U$3,汇总表!$B6:$AG6)</f>
        <v>249.75</v>
      </c>
      <c r="V7" s="29">
        <f t="shared" si="9"/>
        <v>13.75</v>
      </c>
      <c r="W7" s="38">
        <f t="shared" si="10"/>
        <v>-0.0582627118644068</v>
      </c>
      <c r="X7" s="29">
        <f>$DX7</f>
        <v>236</v>
      </c>
      <c r="Y7" s="29">
        <f>SUMIF(汇总表!$B$1:$AF$1,Y$3,汇总表!$B6:$AG6)</f>
        <v>272.37</v>
      </c>
      <c r="Z7" s="37">
        <f t="shared" si="11"/>
        <v>36.37</v>
      </c>
      <c r="AA7" s="38">
        <f t="shared" si="12"/>
        <v>-0.154110169491525</v>
      </c>
      <c r="AB7" s="29">
        <f>$DX7</f>
        <v>236</v>
      </c>
      <c r="AC7" s="29">
        <f>SUMIF(汇总表!$B$1:$AF$1,AC$3,汇总表!$B6:$AG6)</f>
        <v>283.89</v>
      </c>
      <c r="AD7" s="37">
        <f t="shared" si="13"/>
        <v>47.89</v>
      </c>
      <c r="AE7" s="38">
        <f t="shared" si="14"/>
        <v>-0.202923728813559</v>
      </c>
      <c r="AF7" s="29">
        <f>$DX7</f>
        <v>236</v>
      </c>
      <c r="AG7" s="29">
        <f>SUMIF(汇总表!$B$1:$AF$1,AG$3,汇总表!$B6:$AG6)</f>
        <v>302.95</v>
      </c>
      <c r="AH7" s="37">
        <f t="shared" si="15"/>
        <v>66.95</v>
      </c>
      <c r="AI7" s="38">
        <f t="shared" si="16"/>
        <v>-0.283686440677966</v>
      </c>
      <c r="AJ7" s="29">
        <f>$DX7</f>
        <v>236</v>
      </c>
      <c r="AK7" s="29">
        <f>SUMIF(汇总表!$B$1:$AF$1,AK$3,汇总表!$B6:$AG6)</f>
        <v>292.1</v>
      </c>
      <c r="AL7" s="37">
        <f t="shared" si="17"/>
        <v>56.1</v>
      </c>
      <c r="AM7" s="38">
        <f t="shared" si="18"/>
        <v>-0.23771186440678</v>
      </c>
      <c r="AN7" s="29">
        <f>$DX7</f>
        <v>236</v>
      </c>
      <c r="AO7" s="29">
        <f>SUMIF(汇总表!$B$1:$AF$1,AO$3,汇总表!$B6:$AG6)</f>
        <v>309.68</v>
      </c>
      <c r="AP7" s="37">
        <f t="shared" si="19"/>
        <v>73.68</v>
      </c>
      <c r="AQ7" s="38">
        <f>IFERROR(-AP7/AN7,0)</f>
        <v>-0.312203389830508</v>
      </c>
      <c r="AR7" s="29">
        <f>$DX7</f>
        <v>236</v>
      </c>
      <c r="AS7" s="29">
        <f>SUMIF(汇总表!$B$1:$AF$1,AS$3,汇总表!$B6:$AG6)</f>
        <v>276.6</v>
      </c>
      <c r="AT7" s="37">
        <f t="shared" si="20"/>
        <v>40.6</v>
      </c>
      <c r="AU7" s="38">
        <f t="shared" si="21"/>
        <v>-0.172033898305085</v>
      </c>
      <c r="AV7" s="29">
        <f>$DX7</f>
        <v>236</v>
      </c>
      <c r="AW7" s="29">
        <f>SUMIF(汇总表!$B$1:$AF$1,AW$3,汇总表!$B6:$AG6)</f>
        <v>223.12</v>
      </c>
      <c r="AX7" s="37">
        <f t="shared" si="22"/>
        <v>-12.88</v>
      </c>
      <c r="AY7" s="38">
        <f t="shared" si="23"/>
        <v>0.0545762711864407</v>
      </c>
      <c r="AZ7" s="29">
        <f>$DX7</f>
        <v>236</v>
      </c>
      <c r="BA7" s="29">
        <f>SUMIF(汇总表!$B$1:$AF$1,BA$3,汇总表!$B6:$AG6)</f>
        <v>209.81</v>
      </c>
      <c r="BB7" s="37">
        <f t="shared" si="24"/>
        <v>-26.19</v>
      </c>
      <c r="BC7" s="38">
        <f t="shared" si="25"/>
        <v>0.110974576271186</v>
      </c>
      <c r="BD7" s="29">
        <f>$DX7</f>
        <v>236</v>
      </c>
      <c r="BE7" s="29">
        <f>SUMIF(汇总表!$B$1:$AF$1,BE$3,汇总表!$B6:$AG6)</f>
        <v>241.31</v>
      </c>
      <c r="BF7" s="37">
        <f t="shared" si="26"/>
        <v>5.31</v>
      </c>
      <c r="BG7" s="38">
        <f t="shared" si="27"/>
        <v>-0.0225</v>
      </c>
      <c r="BH7" s="29">
        <f>$DX7</f>
        <v>236</v>
      </c>
      <c r="BI7" s="29">
        <f>SUMIF(汇总表!$B$1:$AF$1,BI$3,汇总表!$B6:$AG6)</f>
        <v>278.15</v>
      </c>
      <c r="BJ7" s="37">
        <f t="shared" si="28"/>
        <v>42.15</v>
      </c>
      <c r="BK7" s="38">
        <f t="shared" si="29"/>
        <v>-0.178601694915254</v>
      </c>
      <c r="BL7" s="29">
        <f>$DX7</f>
        <v>236</v>
      </c>
      <c r="BM7" s="29">
        <f>SUMIF(汇总表!$B$1:$AF$1,BM$3,汇总表!$B6:$AG6)</f>
        <v>247.98</v>
      </c>
      <c r="BN7" s="37">
        <f t="shared" si="30"/>
        <v>11.98</v>
      </c>
      <c r="BO7" s="38">
        <f t="shared" si="31"/>
        <v>-0.0507627118644067</v>
      </c>
      <c r="BP7" s="29">
        <f>$DX7</f>
        <v>236</v>
      </c>
      <c r="BQ7" s="29">
        <f>SUMIF(汇总表!$B$1:$AF$1,BQ$3,汇总表!$B6:$AG6)</f>
        <v>289.72</v>
      </c>
      <c r="BR7" s="37">
        <f t="shared" si="32"/>
        <v>53.72</v>
      </c>
      <c r="BS7" s="38">
        <f t="shared" si="33"/>
        <v>-0.227627118644068</v>
      </c>
      <c r="BT7" s="29">
        <f>$DX7</f>
        <v>236</v>
      </c>
      <c r="BU7" s="29">
        <f>SUMIF(汇总表!$B$1:$AF$1,BU$3,汇总表!$B6:$AG6)</f>
        <v>269.64</v>
      </c>
      <c r="BV7" s="37">
        <f t="shared" si="34"/>
        <v>33.64</v>
      </c>
      <c r="BW7" s="38">
        <f t="shared" si="35"/>
        <v>-0.142542372881356</v>
      </c>
      <c r="BX7" s="29">
        <f>$DX7</f>
        <v>236</v>
      </c>
      <c r="BY7" s="29">
        <f>SUMIF(汇总表!$B$1:$AF$1,BY$3,汇总表!$B6:$AG6)</f>
        <v>217.18</v>
      </c>
      <c r="BZ7" s="37">
        <f t="shared" si="36"/>
        <v>-18.82</v>
      </c>
      <c r="CA7" s="38">
        <f t="shared" si="37"/>
        <v>0.0797457627118644</v>
      </c>
      <c r="CB7" s="29">
        <f>$DX7</f>
        <v>236</v>
      </c>
      <c r="CC7" s="29">
        <f>SUMIF(汇总表!$B$1:$AF$1,CC$3,汇总表!$B6:$AG6)</f>
        <v>260.52</v>
      </c>
      <c r="CD7" s="37">
        <f t="shared" si="38"/>
        <v>24.52</v>
      </c>
      <c r="CE7" s="38">
        <f t="shared" si="39"/>
        <v>-0.103898305084746</v>
      </c>
      <c r="CF7" s="29">
        <f>$DX7</f>
        <v>236</v>
      </c>
      <c r="CG7" s="29">
        <f>SUMIF(汇总表!$B$1:$AF$1,CG$3,汇总表!$B6:$AG6)</f>
        <v>302.63</v>
      </c>
      <c r="CH7" s="37">
        <f t="shared" si="40"/>
        <v>66.63</v>
      </c>
      <c r="CI7" s="38">
        <f t="shared" si="41"/>
        <v>-0.282330508474576</v>
      </c>
      <c r="CJ7" s="29">
        <f>$DX7</f>
        <v>236</v>
      </c>
      <c r="CK7" s="29">
        <f>SUMIF(汇总表!$B$1:$AF$1,CK$3,汇总表!$B6:$AG6)</f>
        <v>248.94</v>
      </c>
      <c r="CL7" s="37">
        <f t="shared" si="42"/>
        <v>12.94</v>
      </c>
      <c r="CM7" s="38">
        <f t="shared" si="43"/>
        <v>-0.0548305084745763</v>
      </c>
      <c r="CN7" s="29">
        <f>$DX7</f>
        <v>236</v>
      </c>
      <c r="CO7" s="29">
        <f>SUMIF(汇总表!$B$1:$AF$1,CO$3,汇总表!$B6:$AG6)</f>
        <v>252.16</v>
      </c>
      <c r="CP7" s="37">
        <f t="shared" si="44"/>
        <v>16.16</v>
      </c>
      <c r="CQ7" s="38">
        <f t="shared" si="45"/>
        <v>-0.0684745762711864</v>
      </c>
      <c r="CR7" s="29">
        <f>$DX7</f>
        <v>236</v>
      </c>
      <c r="CS7" s="29">
        <f>SUMIF(汇总表!$B$1:$AF$1,CS$3,汇总表!$B6:$AG6)</f>
        <v>230.03</v>
      </c>
      <c r="CT7" s="37">
        <f t="shared" si="46"/>
        <v>-5.97</v>
      </c>
      <c r="CU7" s="38">
        <f t="shared" si="47"/>
        <v>0.0252966101694915</v>
      </c>
      <c r="CV7" s="29">
        <f>$DX7</f>
        <v>236</v>
      </c>
      <c r="CW7" s="29">
        <f>SUMIF(汇总表!$B$1:$AF$1,CW$3,汇总表!$B6:$AG6)</f>
        <v>273.81</v>
      </c>
      <c r="CX7" s="37">
        <f t="shared" si="48"/>
        <v>37.81</v>
      </c>
      <c r="CY7" s="38">
        <f t="shared" si="49"/>
        <v>-0.16021186440678</v>
      </c>
      <c r="CZ7" s="29">
        <f>$DX7</f>
        <v>236</v>
      </c>
      <c r="DA7" s="29">
        <f>SUMIF(汇总表!$B$1:$AF$1,DA$3,汇总表!$B6:$AG6)</f>
        <v>199.78</v>
      </c>
      <c r="DB7" s="37">
        <f t="shared" si="50"/>
        <v>-36.22</v>
      </c>
      <c r="DC7" s="38">
        <f t="shared" si="51"/>
        <v>0.153474576271186</v>
      </c>
      <c r="DD7" s="29">
        <f>$DX7</f>
        <v>236</v>
      </c>
      <c r="DE7" s="29">
        <f>SUMIF(汇总表!$B$1:$AF$1,DE$3,汇总表!$B6:$AG6)</f>
        <v>239.36</v>
      </c>
      <c r="DF7" s="37">
        <f t="shared" si="52"/>
        <v>3.36000000000001</v>
      </c>
      <c r="DG7" s="38">
        <f t="shared" si="53"/>
        <v>-0.0142372881355933</v>
      </c>
      <c r="DH7" s="29">
        <f>$DX7</f>
        <v>236</v>
      </c>
      <c r="DI7" s="29">
        <f>SUMIF(汇总表!$B$1:$AF$1,DI$3,汇总表!$B6:$AG6)</f>
        <v>276.37</v>
      </c>
      <c r="DJ7" s="37">
        <f t="shared" si="54"/>
        <v>40.37</v>
      </c>
      <c r="DK7" s="38">
        <f t="shared" si="55"/>
        <v>-0.171059322033898</v>
      </c>
      <c r="DL7" s="29">
        <f>$DX7</f>
        <v>236</v>
      </c>
      <c r="DM7" s="29">
        <f>SUMIF(汇总表!$B$1:$AF$1,DM$3,汇总表!$B6:$AG6)</f>
        <v>276.55</v>
      </c>
      <c r="DN7" s="37">
        <f t="shared" si="56"/>
        <v>40.55</v>
      </c>
      <c r="DO7" s="38">
        <f t="shared" si="57"/>
        <v>-0.171822033898305</v>
      </c>
      <c r="DP7" s="29">
        <f>$DX7</f>
        <v>236</v>
      </c>
      <c r="DQ7" s="29">
        <f>SUMIF(汇总表!$B$1:$AF$1,DQ$3,汇总表!$B6:$AG6)</f>
        <v>295.09</v>
      </c>
      <c r="DR7" s="37">
        <f t="shared" si="58"/>
        <v>59.09</v>
      </c>
      <c r="DS7" s="38">
        <f t="shared" si="59"/>
        <v>-0.250381355932203</v>
      </c>
      <c r="DT7" s="29">
        <f>IF($E$1=31,$DX$5/$E$1,0)</f>
        <v>0</v>
      </c>
      <c r="DU7" s="29">
        <f>SUMIF(汇总表!$B$1:$AF$1,DU$3,汇总表!$B6:$AG6)</f>
        <v>294.67</v>
      </c>
      <c r="DV7" s="29">
        <f t="shared" si="60"/>
        <v>294.67</v>
      </c>
      <c r="DW7" s="38">
        <f t="shared" si="61"/>
        <v>0</v>
      </c>
      <c r="DX7" s="41">
        <v>236</v>
      </c>
    </row>
    <row r="8" spans="1:128">
      <c r="A8" s="29" t="s">
        <v>744</v>
      </c>
      <c r="B8" s="29" t="s">
        <v>695</v>
      </c>
      <c r="C8" s="29" t="s">
        <v>745</v>
      </c>
      <c r="D8" s="29">
        <f>$DX8/$E$1</f>
        <v>51400.0666666667</v>
      </c>
      <c r="E8" s="29">
        <f>SUMIF(汇总表!$B$1:$AF$1,E$3,汇总表!$B7:$AG7)</f>
        <v>24935.05</v>
      </c>
      <c r="F8" s="37">
        <f t="shared" si="1"/>
        <v>-26465.0166666667</v>
      </c>
      <c r="G8" s="38">
        <f t="shared" si="2"/>
        <v>0.51488292492487</v>
      </c>
      <c r="H8" s="29">
        <f>$DX8/$E$1</f>
        <v>51400.0666666667</v>
      </c>
      <c r="I8" s="29">
        <f>SUMIF(汇总表!$B$1:$AF$1,I$3,汇总表!$B7:$AG7)</f>
        <v>26704.06</v>
      </c>
      <c r="J8" s="37">
        <f t="shared" si="3"/>
        <v>-24696.0066666667</v>
      </c>
      <c r="K8" s="38">
        <f t="shared" si="4"/>
        <v>0.480466432598661</v>
      </c>
      <c r="L8" s="29">
        <f>$DX8/$E$1</f>
        <v>51400.0666666667</v>
      </c>
      <c r="M8" s="29">
        <f>SUMIF(汇总表!$B$1:$AF$1,M$3,汇总表!$B7:$AG7)</f>
        <v>27506.44</v>
      </c>
      <c r="N8" s="37">
        <f t="shared" si="5"/>
        <v>-23893.6266666667</v>
      </c>
      <c r="O8" s="38">
        <f t="shared" si="6"/>
        <v>0.464855947009148</v>
      </c>
      <c r="P8" s="29">
        <f>$DX8/$E$1</f>
        <v>51400.0666666667</v>
      </c>
      <c r="Q8" s="29">
        <f>SUMIF(汇总表!$B$1:$AF$1,Q$3,汇总表!$B7:$AG7)</f>
        <v>37739.01</v>
      </c>
      <c r="R8" s="37">
        <f t="shared" si="7"/>
        <v>-13661.0566666667</v>
      </c>
      <c r="S8" s="38">
        <f t="shared" si="8"/>
        <v>0.265778967861261</v>
      </c>
      <c r="T8" s="29">
        <f>$DX8/$E$1</f>
        <v>51400.0666666667</v>
      </c>
      <c r="U8" s="29">
        <f>SUMIF(汇总表!$B$1:$AF$1,U$3,汇总表!$B7:$AG7)</f>
        <v>33216.14</v>
      </c>
      <c r="V8" s="29">
        <f t="shared" si="9"/>
        <v>-18183.9266666667</v>
      </c>
      <c r="W8" s="38">
        <f t="shared" si="10"/>
        <v>0.353772433498789</v>
      </c>
      <c r="X8" s="29">
        <f>$DX8/$E$1</f>
        <v>51400.0666666667</v>
      </c>
      <c r="Y8" s="29">
        <f>SUMIF(汇总表!$B$1:$AF$1,Y$3,汇总表!$B7:$AG7)</f>
        <v>36225.48</v>
      </c>
      <c r="Z8" s="37">
        <f t="shared" si="11"/>
        <v>-15174.5866666667</v>
      </c>
      <c r="AA8" s="38">
        <f t="shared" si="12"/>
        <v>0.295225038618627</v>
      </c>
      <c r="AB8" s="29">
        <f>$DX8/$E$1</f>
        <v>51400.0666666667</v>
      </c>
      <c r="AC8" s="29">
        <f>SUMIF(汇总表!$B$1:$AF$1,AC$3,汇总表!$B7:$AG7)</f>
        <v>37756.83</v>
      </c>
      <c r="AD8" s="37">
        <f t="shared" si="13"/>
        <v>-13643.2366666667</v>
      </c>
      <c r="AE8" s="38">
        <f t="shared" si="14"/>
        <v>0.265432275703923</v>
      </c>
      <c r="AF8" s="29">
        <f>$DX8/$E$1</f>
        <v>51400.0666666667</v>
      </c>
      <c r="AG8" s="29">
        <f>SUMIF(汇总表!$B$1:$AF$1,AG$3,汇总表!$B7:$AG7)</f>
        <v>40292.32</v>
      </c>
      <c r="AH8" s="37">
        <f t="shared" si="15"/>
        <v>-11107.7466666667</v>
      </c>
      <c r="AI8" s="38">
        <f t="shared" si="16"/>
        <v>0.216103740462075</v>
      </c>
      <c r="AJ8" s="29">
        <f>$DX8/$E$1</f>
        <v>51400.0666666667</v>
      </c>
      <c r="AK8" s="29">
        <f>SUMIF(汇总表!$B$1:$AF$1,AK$3,汇总表!$B7:$AG7)</f>
        <v>38849.19</v>
      </c>
      <c r="AL8" s="37">
        <f t="shared" si="17"/>
        <v>-12550.8766666667</v>
      </c>
      <c r="AM8" s="38">
        <f t="shared" si="18"/>
        <v>0.24418016319045</v>
      </c>
      <c r="AN8" s="29">
        <f>$DX8/$E$1</f>
        <v>51400.0666666667</v>
      </c>
      <c r="AO8" s="29">
        <f>SUMIF(汇总表!$B$1:$AF$1,AO$3,汇总表!$B7:$AG7)</f>
        <v>41187.14</v>
      </c>
      <c r="AP8" s="37">
        <f t="shared" si="19"/>
        <v>-10212.9266666667</v>
      </c>
      <c r="AQ8" s="38">
        <f>IFERROR(-AP8/AN8,0)</f>
        <v>0.198694813625404</v>
      </c>
      <c r="AR8" s="29">
        <f t="shared" si="0"/>
        <v>51400.0666666667</v>
      </c>
      <c r="AS8" s="29">
        <f>SUMIF(汇总表!$B$1:$AF$1,AS$3,汇总表!$B7:$AG7)</f>
        <v>38787.98</v>
      </c>
      <c r="AT8" s="37">
        <f t="shared" si="20"/>
        <v>-12612.0866666667</v>
      </c>
      <c r="AU8" s="38">
        <f t="shared" si="21"/>
        <v>0.24537101767702</v>
      </c>
      <c r="AV8" s="29">
        <f>$DX8/$E$1</f>
        <v>51400.0666666667</v>
      </c>
      <c r="AW8" s="29">
        <f>SUMIF(汇总表!$B$1:$AF$1,AW$3,汇总表!$B7:$AG7)</f>
        <v>29674.96</v>
      </c>
      <c r="AX8" s="37">
        <f t="shared" si="22"/>
        <v>-21725.1066666667</v>
      </c>
      <c r="AY8" s="38">
        <f t="shared" si="23"/>
        <v>0.422666896670692</v>
      </c>
      <c r="AZ8" s="29">
        <f>$DX8/$E$1</f>
        <v>51400.0666666667</v>
      </c>
      <c r="BA8" s="29">
        <f>SUMIF(汇总表!$B$1:$AF$1,BA$3,汇总表!$B7:$AG7)</f>
        <v>27694.96</v>
      </c>
      <c r="BB8" s="37">
        <f t="shared" si="24"/>
        <v>-23705.1066666667</v>
      </c>
      <c r="BC8" s="38">
        <f t="shared" si="25"/>
        <v>0.46118824748606</v>
      </c>
      <c r="BD8" s="29">
        <f>$DX8/$E$1</f>
        <v>51400.0666666667</v>
      </c>
      <c r="BE8" s="29">
        <f>SUMIF(汇总表!$B$1:$AF$1,BE$3,汇总表!$B7:$AG7)</f>
        <v>32093.75</v>
      </c>
      <c r="BF8" s="37">
        <f t="shared" si="26"/>
        <v>-19306.3166666667</v>
      </c>
      <c r="BG8" s="38">
        <f t="shared" si="27"/>
        <v>0.375608786499628</v>
      </c>
      <c r="BH8" s="29">
        <f>$DX8/$E$1</f>
        <v>51400.0666666667</v>
      </c>
      <c r="BI8" s="29">
        <f>SUMIF(汇总表!$B$1:$AF$1,BI$3,汇总表!$B7:$AG7)</f>
        <v>36994.05</v>
      </c>
      <c r="BJ8" s="37">
        <f t="shared" si="28"/>
        <v>-14406.0166666667</v>
      </c>
      <c r="BK8" s="38">
        <f t="shared" si="29"/>
        <v>0.280272334277128</v>
      </c>
      <c r="BL8" s="29">
        <f>$DX8/$E$1</f>
        <v>51400.0666666667</v>
      </c>
      <c r="BM8" s="29">
        <f>SUMIF(汇总表!$B$1:$AF$1,BM$3,汇总表!$B7:$AG7)</f>
        <v>32980.74</v>
      </c>
      <c r="BN8" s="37">
        <f t="shared" si="30"/>
        <v>-18419.3266666667</v>
      </c>
      <c r="BO8" s="38">
        <f t="shared" si="31"/>
        <v>0.358352194095728</v>
      </c>
      <c r="BP8" s="29">
        <f>$DX8/$E$1</f>
        <v>51400.0666666667</v>
      </c>
      <c r="BQ8" s="29">
        <f>SUMIF(汇总表!$B$1:$AF$1,BQ$3,汇总表!$B7:$AG7)</f>
        <v>38532.45</v>
      </c>
      <c r="BR8" s="37">
        <f t="shared" si="32"/>
        <v>-12867.6166666667</v>
      </c>
      <c r="BS8" s="38">
        <f t="shared" si="33"/>
        <v>0.250342412007248</v>
      </c>
      <c r="BT8" s="29">
        <f>$DX8/$E$1</f>
        <v>51400.0666666667</v>
      </c>
      <c r="BU8" s="29">
        <f>SUMIF(汇总表!$B$1:$AF$1,BU$3,汇总表!$B7:$AG7)</f>
        <v>35862.66</v>
      </c>
      <c r="BV8" s="37">
        <f t="shared" si="34"/>
        <v>-15537.4066666667</v>
      </c>
      <c r="BW8" s="38">
        <f t="shared" si="35"/>
        <v>0.302283784327128</v>
      </c>
      <c r="BX8" s="29">
        <f>$DX8/$E$1</f>
        <v>51400.0666666667</v>
      </c>
      <c r="BY8" s="29">
        <f>SUMIF(汇总表!$B$1:$AF$1,BY$3,汇总表!$B7:$AG7)</f>
        <v>28884.98</v>
      </c>
      <c r="BZ8" s="37">
        <f t="shared" si="36"/>
        <v>-22515.0866666667</v>
      </c>
      <c r="CA8" s="38">
        <f t="shared" si="37"/>
        <v>0.438036137436916</v>
      </c>
      <c r="CB8" s="29">
        <f>$DX8/$E$1</f>
        <v>51400.0666666667</v>
      </c>
      <c r="CC8" s="29">
        <f>SUMIF(汇总表!$B$1:$AF$1,CC$3,汇总表!$B7:$AG7)</f>
        <v>34649.23</v>
      </c>
      <c r="CD8" s="37">
        <f t="shared" si="38"/>
        <v>-16750.8366666667</v>
      </c>
      <c r="CE8" s="38">
        <f t="shared" si="39"/>
        <v>0.325891341256367</v>
      </c>
      <c r="CF8" s="29">
        <f>$DX8/$E$1</f>
        <v>51400.0666666667</v>
      </c>
      <c r="CG8" s="29">
        <f>SUMIF(汇总表!$B$1:$AF$1,CG$3,汇总表!$B7:$AG7)</f>
        <v>40249.85</v>
      </c>
      <c r="CH8" s="37">
        <f t="shared" si="40"/>
        <v>-11150.2166666667</v>
      </c>
      <c r="CI8" s="38">
        <f t="shared" si="41"/>
        <v>0.216930003981837</v>
      </c>
      <c r="CJ8" s="29">
        <f>$DX8/$E$1</f>
        <v>51400.0666666667</v>
      </c>
      <c r="CK8" s="29">
        <f>SUMIF(汇总表!$B$1:$AF$1,CK$3,汇总表!$B7:$AG7)</f>
        <v>3109.19</v>
      </c>
      <c r="CL8" s="37">
        <f t="shared" si="42"/>
        <v>-48290.8766666667</v>
      </c>
      <c r="CM8" s="38">
        <f t="shared" si="43"/>
        <v>0.939510000635537</v>
      </c>
      <c r="CN8" s="29">
        <f>$DX8/$E$1</f>
        <v>51400.0666666667</v>
      </c>
      <c r="CO8" s="29">
        <f>SUMIF(汇总表!$B$1:$AF$1,CO$3,汇总表!$B7:$AG7)</f>
        <v>33537.93</v>
      </c>
      <c r="CP8" s="37">
        <f t="shared" si="44"/>
        <v>-17862.1366666667</v>
      </c>
      <c r="CQ8" s="38">
        <f t="shared" si="45"/>
        <v>0.347511935782184</v>
      </c>
      <c r="CR8" s="29">
        <f>$DX8/$E$1</f>
        <v>51400.0666666667</v>
      </c>
      <c r="CS8" s="29">
        <f>SUMIF(汇总表!$B$1:$AF$1,CS$3,汇总表!$B7:$AG7)</f>
        <v>30593.61</v>
      </c>
      <c r="CT8" s="37">
        <f t="shared" si="46"/>
        <v>-20806.4566666667</v>
      </c>
      <c r="CU8" s="38">
        <f t="shared" si="47"/>
        <v>0.404794351758299</v>
      </c>
      <c r="CV8" s="29">
        <f>$DX8/$E$1</f>
        <v>51400.0666666667</v>
      </c>
      <c r="CW8" s="29">
        <f>SUMIF(汇总表!$B$1:$AF$1,CW$3,汇总表!$B7:$AG7)</f>
        <v>35595.26</v>
      </c>
      <c r="CX8" s="37">
        <f t="shared" si="48"/>
        <v>-15804.8066666667</v>
      </c>
      <c r="CY8" s="38">
        <f t="shared" si="49"/>
        <v>0.307486112209971</v>
      </c>
      <c r="CZ8" s="29">
        <f>$DX8/$E$1</f>
        <v>51400.0666666667</v>
      </c>
      <c r="DA8" s="29">
        <f>SUMIF(汇总表!$B$1:$AF$1,DA$3,汇总表!$B7:$AG7)</f>
        <v>26171.71</v>
      </c>
      <c r="DB8" s="37">
        <f t="shared" si="50"/>
        <v>-25228.3566666667</v>
      </c>
      <c r="DC8" s="38">
        <f t="shared" si="51"/>
        <v>0.49082342305652</v>
      </c>
      <c r="DD8" s="29">
        <f>$DX8/$E$1</f>
        <v>51400.0666666667</v>
      </c>
      <c r="DE8" s="29">
        <f>SUMIF(汇总表!$B$1:$AF$1,DE$3,汇总表!$B7:$AG7)</f>
        <v>31835.1</v>
      </c>
      <c r="DF8" s="37">
        <f t="shared" si="52"/>
        <v>-19564.9666666667</v>
      </c>
      <c r="DG8" s="38">
        <f t="shared" si="53"/>
        <v>0.380640881140232</v>
      </c>
      <c r="DH8" s="29">
        <f>$DX8/$E$1</f>
        <v>51400.0666666667</v>
      </c>
      <c r="DI8" s="29">
        <f>SUMIF(汇总表!$B$1:$AF$1,DI$3,汇总表!$B7:$AG7)</f>
        <v>36757.67</v>
      </c>
      <c r="DJ8" s="37">
        <f t="shared" si="54"/>
        <v>-14642.3966666667</v>
      </c>
      <c r="DK8" s="38">
        <f t="shared" si="55"/>
        <v>0.284871160997197</v>
      </c>
      <c r="DL8" s="29">
        <f>$DX8/$E$1</f>
        <v>51400.0666666667</v>
      </c>
      <c r="DM8" s="29">
        <f>SUMIF(汇总表!$B$1:$AF$1,DM$3,汇总表!$B7:$AG7)</f>
        <v>36781.17</v>
      </c>
      <c r="DN8" s="37">
        <f t="shared" si="56"/>
        <v>-14618.8966666667</v>
      </c>
      <c r="DO8" s="38">
        <f t="shared" si="57"/>
        <v>0.284413963146611</v>
      </c>
      <c r="DP8" s="29">
        <f>IF($E$1=30,DX8/$E$1)</f>
        <v>51400.0666666667</v>
      </c>
      <c r="DQ8" s="29">
        <f>SUMIF(汇总表!$B$1:$AF$1,DQ$3,汇总表!$B7:$AG7)</f>
        <v>39247.54</v>
      </c>
      <c r="DR8" s="37">
        <f t="shared" si="58"/>
        <v>-12152.5266666667</v>
      </c>
      <c r="DS8" s="38">
        <f t="shared" si="59"/>
        <v>0.236430173242317</v>
      </c>
      <c r="DT8" s="29">
        <f>IF($E$1=31,$DX$5/$E$1,0)</f>
        <v>0</v>
      </c>
      <c r="DU8" s="29">
        <f>SUMIF(汇总表!$B$1:$AF$1,DU$3,汇总表!$B7:$AG7)</f>
        <v>296.88</v>
      </c>
      <c r="DV8" s="29">
        <f t="shared" si="60"/>
        <v>296.88</v>
      </c>
      <c r="DW8" s="38">
        <f t="shared" si="61"/>
        <v>0</v>
      </c>
      <c r="DX8" s="41">
        <v>1542002</v>
      </c>
    </row>
    <row r="9" spans="1:128">
      <c r="A9" s="31"/>
      <c r="B9" s="29" t="s">
        <v>696</v>
      </c>
      <c r="C9" s="29" t="s">
        <v>746</v>
      </c>
      <c r="D9" s="29">
        <f>$DX9/$E$1</f>
        <v>0</v>
      </c>
      <c r="E9" s="29">
        <f>SUMIF(汇总表!$B$1:$AF$1,E$3,汇总表!$B8:$AG8)</f>
        <v>0</v>
      </c>
      <c r="F9" s="37">
        <f t="shared" si="1"/>
        <v>0</v>
      </c>
      <c r="G9" s="38">
        <f t="shared" si="2"/>
        <v>0</v>
      </c>
      <c r="H9" s="29">
        <f>$DX9/$E$1</f>
        <v>0</v>
      </c>
      <c r="I9" s="29">
        <f>SUMIF(汇总表!$B$1:$AF$1,I$3,汇总表!$B8:$AG8)</f>
        <v>0</v>
      </c>
      <c r="J9" s="37">
        <f t="shared" si="3"/>
        <v>0</v>
      </c>
      <c r="K9" s="38">
        <f t="shared" si="4"/>
        <v>0</v>
      </c>
      <c r="L9" s="29">
        <f>$DX9/$E$1</f>
        <v>0</v>
      </c>
      <c r="M9" s="29">
        <f>SUMIF(汇总表!$B$1:$AF$1,M$3,汇总表!$B8:$AG8)</f>
        <v>0</v>
      </c>
      <c r="N9" s="37">
        <f t="shared" si="5"/>
        <v>0</v>
      </c>
      <c r="O9" s="38">
        <f t="shared" si="6"/>
        <v>0</v>
      </c>
      <c r="P9" s="29">
        <f>$DX9/$E$1</f>
        <v>0</v>
      </c>
      <c r="Q9" s="29">
        <f>SUMIF(汇总表!$B$1:$AF$1,Q$3,汇总表!$B8:$AG8)</f>
        <v>0</v>
      </c>
      <c r="R9" s="37">
        <f t="shared" si="7"/>
        <v>0</v>
      </c>
      <c r="S9" s="38">
        <f t="shared" si="8"/>
        <v>0</v>
      </c>
      <c r="T9" s="29">
        <f>$DX9/$E$1</f>
        <v>0</v>
      </c>
      <c r="U9" s="29">
        <f>SUMIF(汇总表!$B$1:$AF$1,U$3,汇总表!$B8:$AG8)</f>
        <v>0</v>
      </c>
      <c r="V9" s="29">
        <f t="shared" si="9"/>
        <v>0</v>
      </c>
      <c r="W9" s="38">
        <f t="shared" si="10"/>
        <v>0</v>
      </c>
      <c r="X9" s="29">
        <f>$DX9/$E$1</f>
        <v>0</v>
      </c>
      <c r="Y9" s="29">
        <f>SUMIF(汇总表!$B$1:$AF$1,Y$3,汇总表!$B8:$AG8)</f>
        <v>0</v>
      </c>
      <c r="Z9" s="37">
        <f t="shared" si="11"/>
        <v>0</v>
      </c>
      <c r="AA9" s="38">
        <f t="shared" si="12"/>
        <v>0</v>
      </c>
      <c r="AB9" s="29">
        <f>$DX9/$E$1</f>
        <v>0</v>
      </c>
      <c r="AC9" s="29">
        <f>SUMIF(汇总表!$B$1:$AF$1,AC$3,汇总表!$B8:$AG8)</f>
        <v>0</v>
      </c>
      <c r="AD9" s="37">
        <f t="shared" si="13"/>
        <v>0</v>
      </c>
      <c r="AE9" s="38">
        <f t="shared" si="14"/>
        <v>0</v>
      </c>
      <c r="AF9" s="29">
        <f>$DX9/$E$1</f>
        <v>0</v>
      </c>
      <c r="AG9" s="29">
        <f>SUMIF(汇总表!$B$1:$AF$1,AG$3,汇总表!$B8:$AG8)</f>
        <v>0</v>
      </c>
      <c r="AH9" s="37">
        <f t="shared" si="15"/>
        <v>0</v>
      </c>
      <c r="AI9" s="38">
        <f t="shared" si="16"/>
        <v>0</v>
      </c>
      <c r="AJ9" s="29">
        <f>$DX9/$E$1</f>
        <v>0</v>
      </c>
      <c r="AK9" s="29">
        <f>SUMIF(汇总表!$B$1:$AF$1,AK$3,汇总表!$B8:$AG8)</f>
        <v>0</v>
      </c>
      <c r="AL9" s="37">
        <f t="shared" si="17"/>
        <v>0</v>
      </c>
      <c r="AM9" s="38">
        <f t="shared" si="18"/>
        <v>0</v>
      </c>
      <c r="AN9" s="29">
        <f>$DX9/$E$1</f>
        <v>0</v>
      </c>
      <c r="AO9" s="29">
        <f>SUMIF(汇总表!$B$1:$AF$1,AO$3,汇总表!$B8:$AG8)</f>
        <v>0</v>
      </c>
      <c r="AP9" s="37">
        <f t="shared" si="19"/>
        <v>0</v>
      </c>
      <c r="AQ9" s="38">
        <f t="shared" ref="AQ9:AQ30" si="62">IFERROR(-AP9/AN9,0)</f>
        <v>0</v>
      </c>
      <c r="AR9" s="29">
        <f t="shared" si="0"/>
        <v>0</v>
      </c>
      <c r="AS9" s="29">
        <f>SUMIF(汇总表!$B$1:$AF$1,AS$3,汇总表!$B8:$AG8)</f>
        <v>0</v>
      </c>
      <c r="AT9" s="37">
        <f t="shared" si="20"/>
        <v>0</v>
      </c>
      <c r="AU9" s="38">
        <f t="shared" si="21"/>
        <v>0</v>
      </c>
      <c r="AV9" s="29">
        <f>$DX9/$E$1</f>
        <v>0</v>
      </c>
      <c r="AW9" s="29">
        <f>SUMIF(汇总表!$B$1:$AF$1,AW$3,汇总表!$B8:$AG8)</f>
        <v>0</v>
      </c>
      <c r="AX9" s="37">
        <f t="shared" si="22"/>
        <v>0</v>
      </c>
      <c r="AY9" s="38">
        <f t="shared" si="23"/>
        <v>0</v>
      </c>
      <c r="AZ9" s="29">
        <f>$DX9/$E$1</f>
        <v>0</v>
      </c>
      <c r="BA9" s="29">
        <f>SUMIF(汇总表!$B$1:$AF$1,BA$3,汇总表!$B8:$AG8)</f>
        <v>0</v>
      </c>
      <c r="BB9" s="37">
        <f t="shared" si="24"/>
        <v>0</v>
      </c>
      <c r="BC9" s="38">
        <f t="shared" si="25"/>
        <v>0</v>
      </c>
      <c r="BD9" s="29">
        <f>$DX9/$E$1</f>
        <v>0</v>
      </c>
      <c r="BE9" s="29">
        <f>SUMIF(汇总表!$B$1:$AF$1,BE$3,汇总表!$B8:$AG8)</f>
        <v>0</v>
      </c>
      <c r="BF9" s="37">
        <f t="shared" si="26"/>
        <v>0</v>
      </c>
      <c r="BG9" s="38">
        <f t="shared" si="27"/>
        <v>0</v>
      </c>
      <c r="BH9" s="29">
        <f>$DX9/$E$1</f>
        <v>0</v>
      </c>
      <c r="BI9" s="29">
        <f>SUMIF(汇总表!$B$1:$AF$1,BI$3,汇总表!$B8:$AG8)</f>
        <v>0</v>
      </c>
      <c r="BJ9" s="37">
        <f t="shared" si="28"/>
        <v>0</v>
      </c>
      <c r="BK9" s="38">
        <f t="shared" si="29"/>
        <v>0</v>
      </c>
      <c r="BL9" s="29">
        <f>$DX9/$E$1</f>
        <v>0</v>
      </c>
      <c r="BM9" s="29">
        <f>SUMIF(汇总表!$B$1:$AF$1,BM$3,汇总表!$B8:$AG8)</f>
        <v>0</v>
      </c>
      <c r="BN9" s="37">
        <f t="shared" si="30"/>
        <v>0</v>
      </c>
      <c r="BO9" s="38">
        <f t="shared" si="31"/>
        <v>0</v>
      </c>
      <c r="BP9" s="29">
        <f>$DX9/$E$1</f>
        <v>0</v>
      </c>
      <c r="BQ9" s="29">
        <f>SUMIF(汇总表!$B$1:$AF$1,BQ$3,汇总表!$B8:$AG8)</f>
        <v>0</v>
      </c>
      <c r="BR9" s="37">
        <f t="shared" si="32"/>
        <v>0</v>
      </c>
      <c r="BS9" s="38">
        <f t="shared" si="33"/>
        <v>0</v>
      </c>
      <c r="BT9" s="29">
        <f>$DX9/$E$1</f>
        <v>0</v>
      </c>
      <c r="BU9" s="29">
        <f>SUMIF(汇总表!$B$1:$AF$1,BU$3,汇总表!$B8:$AG8)</f>
        <v>0</v>
      </c>
      <c r="BV9" s="37">
        <f t="shared" si="34"/>
        <v>0</v>
      </c>
      <c r="BW9" s="38">
        <f t="shared" si="35"/>
        <v>0</v>
      </c>
      <c r="BX9" s="29">
        <f>$DX9/$E$1</f>
        <v>0</v>
      </c>
      <c r="BY9" s="29">
        <f>SUMIF(汇总表!$B$1:$AF$1,BY$3,汇总表!$B8:$AG8)</f>
        <v>0</v>
      </c>
      <c r="BZ9" s="37">
        <f t="shared" si="36"/>
        <v>0</v>
      </c>
      <c r="CA9" s="38">
        <f t="shared" si="37"/>
        <v>0</v>
      </c>
      <c r="CB9" s="29">
        <f>$DX9/$E$1</f>
        <v>0</v>
      </c>
      <c r="CC9" s="29">
        <f>SUMIF(汇总表!$B$1:$AF$1,CC$3,汇总表!$B8:$AG8)</f>
        <v>0</v>
      </c>
      <c r="CD9" s="37">
        <f t="shared" si="38"/>
        <v>0</v>
      </c>
      <c r="CE9" s="38">
        <f t="shared" si="39"/>
        <v>0</v>
      </c>
      <c r="CF9" s="29">
        <f>$DX9/$E$1</f>
        <v>0</v>
      </c>
      <c r="CG9" s="29">
        <f>SUMIF(汇总表!$B$1:$AF$1,CG$3,汇总表!$B8:$AG8)</f>
        <v>0</v>
      </c>
      <c r="CH9" s="37">
        <f t="shared" si="40"/>
        <v>0</v>
      </c>
      <c r="CI9" s="38">
        <f t="shared" si="41"/>
        <v>0</v>
      </c>
      <c r="CJ9" s="29">
        <f>$DX9/$E$1</f>
        <v>0</v>
      </c>
      <c r="CK9" s="29">
        <f>SUMIF(汇总表!$B$1:$AF$1,CK$3,汇总表!$B8:$AG8)</f>
        <v>0</v>
      </c>
      <c r="CL9" s="37">
        <f t="shared" si="42"/>
        <v>0</v>
      </c>
      <c r="CM9" s="38">
        <f t="shared" si="43"/>
        <v>0</v>
      </c>
      <c r="CN9" s="29">
        <f>$DX9/$E$1</f>
        <v>0</v>
      </c>
      <c r="CO9" s="29">
        <f>SUMIF(汇总表!$B$1:$AF$1,CO$3,汇总表!$B8:$AG8)</f>
        <v>0</v>
      </c>
      <c r="CP9" s="37">
        <f t="shared" si="44"/>
        <v>0</v>
      </c>
      <c r="CQ9" s="38">
        <f t="shared" si="45"/>
        <v>0</v>
      </c>
      <c r="CR9" s="29">
        <f>$DX9/$E$1</f>
        <v>0</v>
      </c>
      <c r="CS9" s="29">
        <f>SUMIF(汇总表!$B$1:$AF$1,CS$3,汇总表!$B8:$AG8)</f>
        <v>0</v>
      </c>
      <c r="CT9" s="37">
        <f t="shared" si="46"/>
        <v>0</v>
      </c>
      <c r="CU9" s="38">
        <f t="shared" si="47"/>
        <v>0</v>
      </c>
      <c r="CV9" s="29">
        <f>$DX9/$E$1</f>
        <v>0</v>
      </c>
      <c r="CW9" s="29">
        <f>SUMIF(汇总表!$B$1:$AF$1,CW$3,汇总表!$B8:$AG8)</f>
        <v>0</v>
      </c>
      <c r="CX9" s="37">
        <f t="shared" si="48"/>
        <v>0</v>
      </c>
      <c r="CY9" s="38">
        <f t="shared" si="49"/>
        <v>0</v>
      </c>
      <c r="CZ9" s="29">
        <f>$DX9/$E$1</f>
        <v>0</v>
      </c>
      <c r="DA9" s="29">
        <f>SUMIF(汇总表!$B$1:$AF$1,DA$3,汇总表!$B8:$AG8)</f>
        <v>0</v>
      </c>
      <c r="DB9" s="37">
        <f t="shared" si="50"/>
        <v>0</v>
      </c>
      <c r="DC9" s="38">
        <f t="shared" si="51"/>
        <v>0</v>
      </c>
      <c r="DD9" s="29">
        <f>$DX9/$E$1</f>
        <v>0</v>
      </c>
      <c r="DE9" s="29">
        <f>SUMIF(汇总表!$B$1:$AF$1,DE$3,汇总表!$B8:$AG8)</f>
        <v>0</v>
      </c>
      <c r="DF9" s="37">
        <f t="shared" si="52"/>
        <v>0</v>
      </c>
      <c r="DG9" s="38">
        <f t="shared" si="53"/>
        <v>0</v>
      </c>
      <c r="DH9" s="29">
        <f>$DX9/$E$1</f>
        <v>0</v>
      </c>
      <c r="DI9" s="29">
        <f>SUMIF(汇总表!$B$1:$AF$1,DI$3,汇总表!$B8:$AG8)</f>
        <v>0</v>
      </c>
      <c r="DJ9" s="37">
        <f t="shared" si="54"/>
        <v>0</v>
      </c>
      <c r="DK9" s="38">
        <f t="shared" si="55"/>
        <v>0</v>
      </c>
      <c r="DL9" s="29">
        <f>$DX9/$E$1</f>
        <v>0</v>
      </c>
      <c r="DM9" s="29">
        <f>SUMIF(汇总表!$B$1:$AF$1,DM$3,汇总表!$B8:$AG8)</f>
        <v>0</v>
      </c>
      <c r="DN9" s="37">
        <f t="shared" si="56"/>
        <v>0</v>
      </c>
      <c r="DO9" s="38">
        <f t="shared" si="57"/>
        <v>0</v>
      </c>
      <c r="DP9" s="29">
        <f>IF($E$1=30,DX9/$E$1)</f>
        <v>0</v>
      </c>
      <c r="DQ9" s="29">
        <f>SUMIF(汇总表!$B$1:$AF$1,DQ$3,汇总表!$B8:$AG8)</f>
        <v>0</v>
      </c>
      <c r="DR9" s="37">
        <f t="shared" si="58"/>
        <v>0</v>
      </c>
      <c r="DS9" s="38">
        <f t="shared" si="59"/>
        <v>0</v>
      </c>
      <c r="DT9" s="29">
        <f>IF($E$1=31,$DX$5/$E$1,0)</f>
        <v>0</v>
      </c>
      <c r="DU9" s="29">
        <f>SUMIF(汇总表!$B$1:$AF$1,DU$3,汇总表!$B8:$AG8)</f>
        <v>0</v>
      </c>
      <c r="DV9" s="29">
        <f t="shared" si="60"/>
        <v>0</v>
      </c>
      <c r="DW9" s="38">
        <f t="shared" si="61"/>
        <v>0</v>
      </c>
      <c r="DX9" s="29">
        <v>0</v>
      </c>
    </row>
    <row r="10" spans="1:128">
      <c r="A10" s="31"/>
      <c r="B10" s="29" t="s">
        <v>697</v>
      </c>
      <c r="C10" s="29" t="s">
        <v>747</v>
      </c>
      <c r="D10" s="29">
        <f>$DX10/$E$1</f>
        <v>0</v>
      </c>
      <c r="E10" s="29">
        <f>SUMIF(汇总表!$B$1:$AF$1,E$3,汇总表!$B9:$AG9)</f>
        <v>0</v>
      </c>
      <c r="F10" s="37">
        <f t="shared" si="1"/>
        <v>0</v>
      </c>
      <c r="G10" s="38">
        <f t="shared" si="2"/>
        <v>0</v>
      </c>
      <c r="H10" s="29">
        <f>$DX10/$E$1</f>
        <v>0</v>
      </c>
      <c r="I10" s="29">
        <f>SUMIF(汇总表!$B$1:$AF$1,I$3,汇总表!$B9:$AG9)</f>
        <v>0</v>
      </c>
      <c r="J10" s="37">
        <f t="shared" si="3"/>
        <v>0</v>
      </c>
      <c r="K10" s="38">
        <f t="shared" si="4"/>
        <v>0</v>
      </c>
      <c r="L10" s="29">
        <f>$DX10/$E$1</f>
        <v>0</v>
      </c>
      <c r="M10" s="29">
        <f>SUMIF(汇总表!$B$1:$AF$1,M$3,汇总表!$B9:$AG9)</f>
        <v>0</v>
      </c>
      <c r="N10" s="37">
        <f t="shared" si="5"/>
        <v>0</v>
      </c>
      <c r="O10" s="38">
        <f t="shared" si="6"/>
        <v>0</v>
      </c>
      <c r="P10" s="29">
        <f>$DX10/$E$1</f>
        <v>0</v>
      </c>
      <c r="Q10" s="29">
        <f>SUMIF(汇总表!$B$1:$AF$1,Q$3,汇总表!$B9:$AG9)</f>
        <v>0</v>
      </c>
      <c r="R10" s="37">
        <f t="shared" si="7"/>
        <v>0</v>
      </c>
      <c r="S10" s="38">
        <f t="shared" si="8"/>
        <v>0</v>
      </c>
      <c r="T10" s="29">
        <f>$DX10/$E$1</f>
        <v>0</v>
      </c>
      <c r="U10" s="29">
        <f>SUMIF(汇总表!$B$1:$AF$1,U$3,汇总表!$B9:$AG9)</f>
        <v>0</v>
      </c>
      <c r="V10" s="29">
        <f t="shared" si="9"/>
        <v>0</v>
      </c>
      <c r="W10" s="38">
        <f t="shared" si="10"/>
        <v>0</v>
      </c>
      <c r="X10" s="29">
        <f>$DX10/$E$1</f>
        <v>0</v>
      </c>
      <c r="Y10" s="29">
        <f>SUMIF(汇总表!$B$1:$AF$1,Y$3,汇总表!$B9:$AG9)</f>
        <v>0</v>
      </c>
      <c r="Z10" s="37">
        <f t="shared" si="11"/>
        <v>0</v>
      </c>
      <c r="AA10" s="38">
        <f t="shared" si="12"/>
        <v>0</v>
      </c>
      <c r="AB10" s="29">
        <f>$DX10/$E$1</f>
        <v>0</v>
      </c>
      <c r="AC10" s="29">
        <f>SUMIF(汇总表!$B$1:$AF$1,AC$3,汇总表!$B9:$AG9)</f>
        <v>0</v>
      </c>
      <c r="AD10" s="37">
        <f t="shared" si="13"/>
        <v>0</v>
      </c>
      <c r="AE10" s="38">
        <f t="shared" si="14"/>
        <v>0</v>
      </c>
      <c r="AF10" s="29">
        <f>$DX10/$E$1</f>
        <v>0</v>
      </c>
      <c r="AG10" s="29">
        <f>SUMIF(汇总表!$B$1:$AF$1,AG$3,汇总表!$B9:$AG9)</f>
        <v>0</v>
      </c>
      <c r="AH10" s="37">
        <f t="shared" si="15"/>
        <v>0</v>
      </c>
      <c r="AI10" s="38">
        <f t="shared" si="16"/>
        <v>0</v>
      </c>
      <c r="AJ10" s="29">
        <f>$DX10/$E$1</f>
        <v>0</v>
      </c>
      <c r="AK10" s="29">
        <f>SUMIF(汇总表!$B$1:$AF$1,AK$3,汇总表!$B9:$AG9)</f>
        <v>0</v>
      </c>
      <c r="AL10" s="37">
        <f t="shared" si="17"/>
        <v>0</v>
      </c>
      <c r="AM10" s="38">
        <f t="shared" si="18"/>
        <v>0</v>
      </c>
      <c r="AN10" s="29">
        <f>$DX10/$E$1</f>
        <v>0</v>
      </c>
      <c r="AO10" s="29">
        <f>SUMIF(汇总表!$B$1:$AF$1,AO$3,汇总表!$B9:$AG9)</f>
        <v>0</v>
      </c>
      <c r="AP10" s="37">
        <f t="shared" si="19"/>
        <v>0</v>
      </c>
      <c r="AQ10" s="38">
        <f t="shared" si="62"/>
        <v>0</v>
      </c>
      <c r="AR10" s="29">
        <f t="shared" si="0"/>
        <v>0</v>
      </c>
      <c r="AS10" s="29">
        <f>SUMIF(汇总表!$B$1:$AF$1,AS$3,汇总表!$B9:$AG9)</f>
        <v>0</v>
      </c>
      <c r="AT10" s="37">
        <f t="shared" si="20"/>
        <v>0</v>
      </c>
      <c r="AU10" s="38">
        <f t="shared" si="21"/>
        <v>0</v>
      </c>
      <c r="AV10" s="29">
        <f>$DX10/$E$1</f>
        <v>0</v>
      </c>
      <c r="AW10" s="29">
        <f>SUMIF(汇总表!$B$1:$AF$1,AW$3,汇总表!$B9:$AG9)</f>
        <v>0</v>
      </c>
      <c r="AX10" s="37">
        <f t="shared" si="22"/>
        <v>0</v>
      </c>
      <c r="AY10" s="38">
        <f t="shared" si="23"/>
        <v>0</v>
      </c>
      <c r="AZ10" s="29">
        <f>$DX10/$E$1</f>
        <v>0</v>
      </c>
      <c r="BA10" s="29">
        <f>SUMIF(汇总表!$B$1:$AF$1,BA$3,汇总表!$B9:$AG9)</f>
        <v>0</v>
      </c>
      <c r="BB10" s="37">
        <f t="shared" si="24"/>
        <v>0</v>
      </c>
      <c r="BC10" s="38">
        <f t="shared" si="25"/>
        <v>0</v>
      </c>
      <c r="BD10" s="29">
        <f>$DX10/$E$1</f>
        <v>0</v>
      </c>
      <c r="BE10" s="29">
        <f>SUMIF(汇总表!$B$1:$AF$1,BE$3,汇总表!$B9:$AG9)</f>
        <v>0</v>
      </c>
      <c r="BF10" s="37">
        <f t="shared" si="26"/>
        <v>0</v>
      </c>
      <c r="BG10" s="38">
        <f t="shared" si="27"/>
        <v>0</v>
      </c>
      <c r="BH10" s="29">
        <f>$DX10/$E$1</f>
        <v>0</v>
      </c>
      <c r="BI10" s="29">
        <f>SUMIF(汇总表!$B$1:$AF$1,BI$3,汇总表!$B9:$AG9)</f>
        <v>0</v>
      </c>
      <c r="BJ10" s="37">
        <f t="shared" si="28"/>
        <v>0</v>
      </c>
      <c r="BK10" s="38">
        <f t="shared" si="29"/>
        <v>0</v>
      </c>
      <c r="BL10" s="29">
        <f>$DX10/$E$1</f>
        <v>0</v>
      </c>
      <c r="BM10" s="29">
        <f>SUMIF(汇总表!$B$1:$AF$1,BM$3,汇总表!$B9:$AG9)</f>
        <v>0</v>
      </c>
      <c r="BN10" s="37">
        <f t="shared" si="30"/>
        <v>0</v>
      </c>
      <c r="BO10" s="38">
        <f t="shared" si="31"/>
        <v>0</v>
      </c>
      <c r="BP10" s="29">
        <f>$DX10/$E$1</f>
        <v>0</v>
      </c>
      <c r="BQ10" s="29">
        <f>SUMIF(汇总表!$B$1:$AF$1,BQ$3,汇总表!$B9:$AG9)</f>
        <v>0</v>
      </c>
      <c r="BR10" s="37">
        <f t="shared" si="32"/>
        <v>0</v>
      </c>
      <c r="BS10" s="38">
        <f t="shared" si="33"/>
        <v>0</v>
      </c>
      <c r="BT10" s="29">
        <f>$DX10/$E$1</f>
        <v>0</v>
      </c>
      <c r="BU10" s="29">
        <f>SUMIF(汇总表!$B$1:$AF$1,BU$3,汇总表!$B9:$AG9)</f>
        <v>0</v>
      </c>
      <c r="BV10" s="37">
        <f t="shared" si="34"/>
        <v>0</v>
      </c>
      <c r="BW10" s="38">
        <f t="shared" si="35"/>
        <v>0</v>
      </c>
      <c r="BX10" s="29">
        <f>$DX10/$E$1</f>
        <v>0</v>
      </c>
      <c r="BY10" s="29">
        <f>SUMIF(汇总表!$B$1:$AF$1,BY$3,汇总表!$B9:$AG9)</f>
        <v>0</v>
      </c>
      <c r="BZ10" s="37">
        <f t="shared" si="36"/>
        <v>0</v>
      </c>
      <c r="CA10" s="38">
        <f t="shared" si="37"/>
        <v>0</v>
      </c>
      <c r="CB10" s="29">
        <f>$DX10/$E$1</f>
        <v>0</v>
      </c>
      <c r="CC10" s="29">
        <f>SUMIF(汇总表!$B$1:$AF$1,CC$3,汇总表!$B9:$AG9)</f>
        <v>0</v>
      </c>
      <c r="CD10" s="37">
        <f t="shared" si="38"/>
        <v>0</v>
      </c>
      <c r="CE10" s="38">
        <f t="shared" si="39"/>
        <v>0</v>
      </c>
      <c r="CF10" s="29">
        <f>$DX10/$E$1</f>
        <v>0</v>
      </c>
      <c r="CG10" s="29">
        <f>SUMIF(汇总表!$B$1:$AF$1,CG$3,汇总表!$B9:$AG9)</f>
        <v>0</v>
      </c>
      <c r="CH10" s="37">
        <f t="shared" si="40"/>
        <v>0</v>
      </c>
      <c r="CI10" s="38">
        <f t="shared" si="41"/>
        <v>0</v>
      </c>
      <c r="CJ10" s="29">
        <f>$DX10/$E$1</f>
        <v>0</v>
      </c>
      <c r="CK10" s="29">
        <f>SUMIF(汇总表!$B$1:$AF$1,CK$3,汇总表!$B9:$AG9)</f>
        <v>0</v>
      </c>
      <c r="CL10" s="37">
        <f t="shared" si="42"/>
        <v>0</v>
      </c>
      <c r="CM10" s="38">
        <f t="shared" si="43"/>
        <v>0</v>
      </c>
      <c r="CN10" s="29">
        <f>$DX10/$E$1</f>
        <v>0</v>
      </c>
      <c r="CO10" s="29">
        <f>SUMIF(汇总表!$B$1:$AF$1,CO$3,汇总表!$B9:$AG9)</f>
        <v>0</v>
      </c>
      <c r="CP10" s="37">
        <f t="shared" si="44"/>
        <v>0</v>
      </c>
      <c r="CQ10" s="38">
        <f t="shared" si="45"/>
        <v>0</v>
      </c>
      <c r="CR10" s="29">
        <f>$DX10/$E$1</f>
        <v>0</v>
      </c>
      <c r="CS10" s="29">
        <f>SUMIF(汇总表!$B$1:$AF$1,CS$3,汇总表!$B9:$AG9)</f>
        <v>0</v>
      </c>
      <c r="CT10" s="37">
        <f t="shared" si="46"/>
        <v>0</v>
      </c>
      <c r="CU10" s="38">
        <f t="shared" si="47"/>
        <v>0</v>
      </c>
      <c r="CV10" s="29">
        <f>$DX10/$E$1</f>
        <v>0</v>
      </c>
      <c r="CW10" s="29">
        <f>SUMIF(汇总表!$B$1:$AF$1,CW$3,汇总表!$B9:$AG9)</f>
        <v>0</v>
      </c>
      <c r="CX10" s="37">
        <f t="shared" si="48"/>
        <v>0</v>
      </c>
      <c r="CY10" s="38">
        <f t="shared" si="49"/>
        <v>0</v>
      </c>
      <c r="CZ10" s="29">
        <f>$DX10/$E$1</f>
        <v>0</v>
      </c>
      <c r="DA10" s="29">
        <f>SUMIF(汇总表!$B$1:$AF$1,DA$3,汇总表!$B9:$AG9)</f>
        <v>0</v>
      </c>
      <c r="DB10" s="37">
        <f t="shared" si="50"/>
        <v>0</v>
      </c>
      <c r="DC10" s="38">
        <f t="shared" si="51"/>
        <v>0</v>
      </c>
      <c r="DD10" s="29">
        <f>$DX10/$E$1</f>
        <v>0</v>
      </c>
      <c r="DE10" s="29">
        <f>SUMIF(汇总表!$B$1:$AF$1,DE$3,汇总表!$B9:$AG9)</f>
        <v>0</v>
      </c>
      <c r="DF10" s="37">
        <f t="shared" si="52"/>
        <v>0</v>
      </c>
      <c r="DG10" s="38">
        <f t="shared" si="53"/>
        <v>0</v>
      </c>
      <c r="DH10" s="29">
        <f>$DX10/$E$1</f>
        <v>0</v>
      </c>
      <c r="DI10" s="29">
        <f>SUMIF(汇总表!$B$1:$AF$1,DI$3,汇总表!$B9:$AG9)</f>
        <v>0</v>
      </c>
      <c r="DJ10" s="37">
        <f t="shared" si="54"/>
        <v>0</v>
      </c>
      <c r="DK10" s="38">
        <f t="shared" si="55"/>
        <v>0</v>
      </c>
      <c r="DL10" s="29">
        <f>$DX10/$E$1</f>
        <v>0</v>
      </c>
      <c r="DM10" s="29">
        <f>SUMIF(汇总表!$B$1:$AF$1,DM$3,汇总表!$B9:$AG9)</f>
        <v>0</v>
      </c>
      <c r="DN10" s="37">
        <f t="shared" si="56"/>
        <v>0</v>
      </c>
      <c r="DO10" s="38">
        <f t="shared" si="57"/>
        <v>0</v>
      </c>
      <c r="DP10" s="29">
        <f>IF($E$1=30,DX10/$E$1)</f>
        <v>0</v>
      </c>
      <c r="DQ10" s="29">
        <f>SUMIF(汇总表!$B$1:$AF$1,DQ$3,汇总表!$B9:$AG9)</f>
        <v>0</v>
      </c>
      <c r="DR10" s="37">
        <f t="shared" si="58"/>
        <v>0</v>
      </c>
      <c r="DS10" s="38">
        <f t="shared" si="59"/>
        <v>0</v>
      </c>
      <c r="DT10" s="29">
        <f>IF($E$1=31,$DX$5/$E$1,0)</f>
        <v>0</v>
      </c>
      <c r="DU10" s="29">
        <f>SUMIF(汇总表!$B$1:$AF$1,DU$3,汇总表!$B9:$AG9)</f>
        <v>0</v>
      </c>
      <c r="DV10" s="29">
        <f t="shared" si="60"/>
        <v>0</v>
      </c>
      <c r="DW10" s="38">
        <f t="shared" si="61"/>
        <v>0</v>
      </c>
      <c r="DX10" s="29">
        <v>0</v>
      </c>
    </row>
    <row r="11" spans="1:128">
      <c r="A11" s="31"/>
      <c r="B11" s="29" t="s">
        <v>698</v>
      </c>
      <c r="C11" s="29" t="s">
        <v>750</v>
      </c>
      <c r="D11" s="29">
        <f>$DX11/$E$1</f>
        <v>100</v>
      </c>
      <c r="E11" s="29">
        <f>SUMIF(汇总表!$B$1:$AF$1,E$3,汇总表!$B10:$AG10)</f>
        <v>0</v>
      </c>
      <c r="F11" s="37">
        <f t="shared" si="1"/>
        <v>-100</v>
      </c>
      <c r="G11" s="38">
        <f t="shared" si="2"/>
        <v>1</v>
      </c>
      <c r="H11" s="29">
        <f>$DX11/$E$1</f>
        <v>100</v>
      </c>
      <c r="I11" s="29">
        <f>SUMIF(汇总表!$B$1:$AF$1,I$3,汇总表!$B10:$AG10)</f>
        <v>0</v>
      </c>
      <c r="J11" s="37">
        <f t="shared" si="3"/>
        <v>-100</v>
      </c>
      <c r="K11" s="38">
        <f t="shared" si="4"/>
        <v>1</v>
      </c>
      <c r="L11" s="29">
        <f>$DX11/$E$1</f>
        <v>100</v>
      </c>
      <c r="M11" s="29">
        <f>SUMIF(汇总表!$B$1:$AF$1,M$3,汇总表!$B10:$AG10)</f>
        <v>0</v>
      </c>
      <c r="N11" s="37">
        <f t="shared" si="5"/>
        <v>-100</v>
      </c>
      <c r="O11" s="38">
        <f t="shared" si="6"/>
        <v>1</v>
      </c>
      <c r="P11" s="29">
        <f>$DX11/$E$1</f>
        <v>100</v>
      </c>
      <c r="Q11" s="29">
        <f>SUMIF(汇总表!$B$1:$AF$1,Q$3,汇总表!$B10:$AG10)</f>
        <v>0</v>
      </c>
      <c r="R11" s="37">
        <f t="shared" si="7"/>
        <v>-100</v>
      </c>
      <c r="S11" s="38">
        <f t="shared" si="8"/>
        <v>1</v>
      </c>
      <c r="T11" s="29">
        <f>$DX11/$E$1</f>
        <v>100</v>
      </c>
      <c r="U11" s="29">
        <f>SUMIF(汇总表!$B$1:$AF$1,U$3,汇总表!$B10:$AG10)</f>
        <v>0</v>
      </c>
      <c r="V11" s="29">
        <f t="shared" si="9"/>
        <v>-100</v>
      </c>
      <c r="W11" s="38">
        <f t="shared" si="10"/>
        <v>1</v>
      </c>
      <c r="X11" s="29">
        <f>$DX11/$E$1</f>
        <v>100</v>
      </c>
      <c r="Y11" s="29">
        <f>SUMIF(汇总表!$B$1:$AF$1,Y$3,汇总表!$B10:$AG10)</f>
        <v>0</v>
      </c>
      <c r="Z11" s="37">
        <f t="shared" si="11"/>
        <v>-100</v>
      </c>
      <c r="AA11" s="38">
        <f t="shared" si="12"/>
        <v>1</v>
      </c>
      <c r="AB11" s="29">
        <f>$DX11/$E$1</f>
        <v>100</v>
      </c>
      <c r="AC11" s="29">
        <f>SUMIF(汇总表!$B$1:$AF$1,AC$3,汇总表!$B10:$AG10)</f>
        <v>0</v>
      </c>
      <c r="AD11" s="37">
        <f t="shared" si="13"/>
        <v>-100</v>
      </c>
      <c r="AE11" s="38">
        <f t="shared" si="14"/>
        <v>1</v>
      </c>
      <c r="AF11" s="29">
        <f>$DX11/$E$1</f>
        <v>100</v>
      </c>
      <c r="AG11" s="29">
        <f>SUMIF(汇总表!$B$1:$AF$1,AG$3,汇总表!$B10:$AG10)</f>
        <v>0</v>
      </c>
      <c r="AH11" s="37">
        <f t="shared" si="15"/>
        <v>-100</v>
      </c>
      <c r="AI11" s="38">
        <f t="shared" si="16"/>
        <v>1</v>
      </c>
      <c r="AJ11" s="29">
        <f>$DX11/$E$1</f>
        <v>100</v>
      </c>
      <c r="AK11" s="29">
        <f>SUMIF(汇总表!$B$1:$AF$1,AK$3,汇总表!$B10:$AG10)</f>
        <v>0</v>
      </c>
      <c r="AL11" s="37">
        <f t="shared" si="17"/>
        <v>-100</v>
      </c>
      <c r="AM11" s="38">
        <f t="shared" si="18"/>
        <v>1</v>
      </c>
      <c r="AN11" s="29">
        <f>$DX11/$E$1</f>
        <v>100</v>
      </c>
      <c r="AO11" s="29">
        <f>SUMIF(汇总表!$B$1:$AF$1,AO$3,汇总表!$B10:$AG10)</f>
        <v>0</v>
      </c>
      <c r="AP11" s="37">
        <f t="shared" si="19"/>
        <v>-100</v>
      </c>
      <c r="AQ11" s="38">
        <f t="shared" si="62"/>
        <v>1</v>
      </c>
      <c r="AR11" s="29">
        <f t="shared" si="0"/>
        <v>100</v>
      </c>
      <c r="AS11" s="29">
        <f>SUMIF(汇总表!$B$1:$AF$1,AS$3,汇总表!$B10:$AG10)</f>
        <v>0</v>
      </c>
      <c r="AT11" s="37">
        <f t="shared" si="20"/>
        <v>-100</v>
      </c>
      <c r="AU11" s="38">
        <f t="shared" si="21"/>
        <v>1</v>
      </c>
      <c r="AV11" s="29">
        <f>$DX11/$E$1</f>
        <v>100</v>
      </c>
      <c r="AW11" s="29">
        <f>SUMIF(汇总表!$B$1:$AF$1,AW$3,汇总表!$B10:$AG10)</f>
        <v>0</v>
      </c>
      <c r="AX11" s="37">
        <f t="shared" si="22"/>
        <v>-100</v>
      </c>
      <c r="AY11" s="38">
        <f t="shared" si="23"/>
        <v>1</v>
      </c>
      <c r="AZ11" s="29">
        <f>$DX11/$E$1</f>
        <v>100</v>
      </c>
      <c r="BA11" s="29">
        <f>SUMIF(汇总表!$B$1:$AF$1,BA$3,汇总表!$B10:$AG10)</f>
        <v>0</v>
      </c>
      <c r="BB11" s="37">
        <f t="shared" si="24"/>
        <v>-100</v>
      </c>
      <c r="BC11" s="38">
        <f t="shared" si="25"/>
        <v>1</v>
      </c>
      <c r="BD11" s="29">
        <f>$DX11/$E$1</f>
        <v>100</v>
      </c>
      <c r="BE11" s="29">
        <f>SUMIF(汇总表!$B$1:$AF$1,BE$3,汇总表!$B10:$AG10)</f>
        <v>0</v>
      </c>
      <c r="BF11" s="37">
        <f t="shared" si="26"/>
        <v>-100</v>
      </c>
      <c r="BG11" s="38">
        <f t="shared" si="27"/>
        <v>1</v>
      </c>
      <c r="BH11" s="29">
        <f>$DX11/$E$1</f>
        <v>100</v>
      </c>
      <c r="BI11" s="29">
        <f>SUMIF(汇总表!$B$1:$AF$1,BI$3,汇总表!$B10:$AG10)</f>
        <v>0</v>
      </c>
      <c r="BJ11" s="37">
        <f t="shared" si="28"/>
        <v>-100</v>
      </c>
      <c r="BK11" s="38">
        <f t="shared" si="29"/>
        <v>1</v>
      </c>
      <c r="BL11" s="29">
        <f>$DX11/$E$1</f>
        <v>100</v>
      </c>
      <c r="BM11" s="29">
        <f>SUMIF(汇总表!$B$1:$AF$1,BM$3,汇总表!$B10:$AG10)</f>
        <v>0</v>
      </c>
      <c r="BN11" s="37">
        <f t="shared" si="30"/>
        <v>-100</v>
      </c>
      <c r="BO11" s="38">
        <f t="shared" si="31"/>
        <v>1</v>
      </c>
      <c r="BP11" s="29">
        <f>$DX11/$E$1</f>
        <v>100</v>
      </c>
      <c r="BQ11" s="29">
        <f>SUMIF(汇总表!$B$1:$AF$1,BQ$3,汇总表!$B10:$AG10)</f>
        <v>0</v>
      </c>
      <c r="BR11" s="37">
        <f t="shared" si="32"/>
        <v>-100</v>
      </c>
      <c r="BS11" s="38">
        <f t="shared" si="33"/>
        <v>1</v>
      </c>
      <c r="BT11" s="29">
        <f>$DX11/$E$1</f>
        <v>100</v>
      </c>
      <c r="BU11" s="29">
        <f>SUMIF(汇总表!$B$1:$AF$1,BU$3,汇总表!$B10:$AG10)</f>
        <v>0</v>
      </c>
      <c r="BV11" s="37">
        <f t="shared" si="34"/>
        <v>-100</v>
      </c>
      <c r="BW11" s="38">
        <f t="shared" si="35"/>
        <v>1</v>
      </c>
      <c r="BX11" s="29">
        <f>$DX11/$E$1</f>
        <v>100</v>
      </c>
      <c r="BY11" s="29">
        <f>SUMIF(汇总表!$B$1:$AF$1,BY$3,汇总表!$B10:$AG10)</f>
        <v>0</v>
      </c>
      <c r="BZ11" s="37">
        <f t="shared" si="36"/>
        <v>-100</v>
      </c>
      <c r="CA11" s="38">
        <f t="shared" si="37"/>
        <v>1</v>
      </c>
      <c r="CB11" s="29">
        <f>$DX11/$E$1</f>
        <v>100</v>
      </c>
      <c r="CC11" s="29">
        <f>SUMIF(汇总表!$B$1:$AF$1,CC$3,汇总表!$B10:$AG10)</f>
        <v>0</v>
      </c>
      <c r="CD11" s="37">
        <f t="shared" si="38"/>
        <v>-100</v>
      </c>
      <c r="CE11" s="38">
        <f t="shared" si="39"/>
        <v>1</v>
      </c>
      <c r="CF11" s="29">
        <f>$DX11/$E$1</f>
        <v>100</v>
      </c>
      <c r="CG11" s="29">
        <f>SUMIF(汇总表!$B$1:$AF$1,CG$3,汇总表!$B10:$AG10)</f>
        <v>0</v>
      </c>
      <c r="CH11" s="37">
        <f t="shared" si="40"/>
        <v>-100</v>
      </c>
      <c r="CI11" s="38">
        <f t="shared" si="41"/>
        <v>1</v>
      </c>
      <c r="CJ11" s="29">
        <f>$DX11/$E$1</f>
        <v>100</v>
      </c>
      <c r="CK11" s="29">
        <f>SUMIF(汇总表!$B$1:$AF$1,CK$3,汇总表!$B10:$AG10)</f>
        <v>0</v>
      </c>
      <c r="CL11" s="37">
        <f t="shared" si="42"/>
        <v>-100</v>
      </c>
      <c r="CM11" s="38">
        <f t="shared" si="43"/>
        <v>1</v>
      </c>
      <c r="CN11" s="29">
        <f>$DX11/$E$1</f>
        <v>100</v>
      </c>
      <c r="CO11" s="29">
        <f>SUMIF(汇总表!$B$1:$AF$1,CO$3,汇总表!$B10:$AG10)</f>
        <v>0</v>
      </c>
      <c r="CP11" s="37">
        <f t="shared" si="44"/>
        <v>-100</v>
      </c>
      <c r="CQ11" s="38">
        <f t="shared" si="45"/>
        <v>1</v>
      </c>
      <c r="CR11" s="29">
        <f>$DX11/$E$1</f>
        <v>100</v>
      </c>
      <c r="CS11" s="29">
        <f>SUMIF(汇总表!$B$1:$AF$1,CS$3,汇总表!$B10:$AG10)</f>
        <v>0</v>
      </c>
      <c r="CT11" s="37">
        <f t="shared" si="46"/>
        <v>-100</v>
      </c>
      <c r="CU11" s="38">
        <f t="shared" si="47"/>
        <v>1</v>
      </c>
      <c r="CV11" s="29">
        <f>$DX11/$E$1</f>
        <v>100</v>
      </c>
      <c r="CW11" s="29">
        <f>SUMIF(汇总表!$B$1:$AF$1,CW$3,汇总表!$B10:$AG10)</f>
        <v>0</v>
      </c>
      <c r="CX11" s="37">
        <f t="shared" si="48"/>
        <v>-100</v>
      </c>
      <c r="CY11" s="38">
        <f t="shared" si="49"/>
        <v>1</v>
      </c>
      <c r="CZ11" s="29">
        <f>$DX11/$E$1</f>
        <v>100</v>
      </c>
      <c r="DA11" s="29">
        <f>SUMIF(汇总表!$B$1:$AF$1,DA$3,汇总表!$B10:$AG10)</f>
        <v>0</v>
      </c>
      <c r="DB11" s="37">
        <f t="shared" si="50"/>
        <v>-100</v>
      </c>
      <c r="DC11" s="38">
        <f t="shared" si="51"/>
        <v>1</v>
      </c>
      <c r="DD11" s="29">
        <f>$DX11/$E$1</f>
        <v>100</v>
      </c>
      <c r="DE11" s="29">
        <f>SUMIF(汇总表!$B$1:$AF$1,DE$3,汇总表!$B10:$AG10)</f>
        <v>0</v>
      </c>
      <c r="DF11" s="37">
        <f t="shared" si="52"/>
        <v>-100</v>
      </c>
      <c r="DG11" s="38">
        <f t="shared" si="53"/>
        <v>1</v>
      </c>
      <c r="DH11" s="29">
        <f>$DX11/$E$1</f>
        <v>100</v>
      </c>
      <c r="DI11" s="29">
        <f>SUMIF(汇总表!$B$1:$AF$1,DI$3,汇总表!$B10:$AG10)</f>
        <v>0</v>
      </c>
      <c r="DJ11" s="37">
        <f t="shared" si="54"/>
        <v>-100</v>
      </c>
      <c r="DK11" s="38">
        <f t="shared" si="55"/>
        <v>1</v>
      </c>
      <c r="DL11" s="29">
        <f>$DX11/$E$1</f>
        <v>100</v>
      </c>
      <c r="DM11" s="29">
        <f>SUMIF(汇总表!$B$1:$AF$1,DM$3,汇总表!$B10:$AG10)</f>
        <v>0</v>
      </c>
      <c r="DN11" s="37">
        <f t="shared" si="56"/>
        <v>-100</v>
      </c>
      <c r="DO11" s="38">
        <f t="shared" si="57"/>
        <v>1</v>
      </c>
      <c r="DP11" s="29">
        <f>IF($E$1=30,DX11/$E$1)</f>
        <v>100</v>
      </c>
      <c r="DQ11" s="29">
        <f>SUMIF(汇总表!$B$1:$AF$1,DQ$3,汇总表!$B10:$AG10)</f>
        <v>0</v>
      </c>
      <c r="DR11" s="37">
        <f t="shared" si="58"/>
        <v>-100</v>
      </c>
      <c r="DS11" s="38">
        <f t="shared" si="59"/>
        <v>1</v>
      </c>
      <c r="DT11" s="29">
        <f>IF($E$1=31,$DX$5/$E$1,0)</f>
        <v>0</v>
      </c>
      <c r="DU11" s="29">
        <f>SUMIF(汇总表!$B$1:$AF$1,DU$3,汇总表!$B10:$AG10)</f>
        <v>0</v>
      </c>
      <c r="DV11" s="29">
        <f t="shared" si="60"/>
        <v>0</v>
      </c>
      <c r="DW11" s="38">
        <f t="shared" si="61"/>
        <v>0</v>
      </c>
      <c r="DX11" s="29">
        <v>3000</v>
      </c>
    </row>
    <row r="12" spans="1:128">
      <c r="A12" s="31"/>
      <c r="B12" s="29" t="s">
        <v>709</v>
      </c>
      <c r="C12" s="29" t="s">
        <v>751</v>
      </c>
      <c r="D12" s="29">
        <f>SUM(D8:D11)</f>
        <v>51500.0666666667</v>
      </c>
      <c r="E12" s="29">
        <f>SUM(E8:E11)</f>
        <v>24935.05</v>
      </c>
      <c r="F12" s="37">
        <f t="shared" si="1"/>
        <v>-26565.0166666667</v>
      </c>
      <c r="G12" s="38">
        <f t="shared" si="2"/>
        <v>0.515824898608546</v>
      </c>
      <c r="H12" s="29">
        <f>SUM(H8:H11)</f>
        <v>51500.0666666667</v>
      </c>
      <c r="I12" s="29">
        <f>SUM(I8:I11)</f>
        <v>26704.06</v>
      </c>
      <c r="J12" s="37">
        <f t="shared" si="3"/>
        <v>-24796.0066666667</v>
      </c>
      <c r="K12" s="38">
        <f t="shared" si="4"/>
        <v>0.481475234336266</v>
      </c>
      <c r="L12" s="29">
        <f>SUM(L8:L11)</f>
        <v>51500.0666666667</v>
      </c>
      <c r="M12" s="29">
        <f>SUM(M8:M11)</f>
        <v>27506.44</v>
      </c>
      <c r="N12" s="37">
        <f t="shared" si="5"/>
        <v>-23993.6266666667</v>
      </c>
      <c r="O12" s="38">
        <f t="shared" si="6"/>
        <v>0.465895060330019</v>
      </c>
      <c r="P12" s="29">
        <f>SUM(P8:P11)</f>
        <v>51500.0666666667</v>
      </c>
      <c r="Q12" s="29">
        <f>SUM(Q8:Q11)</f>
        <v>37739.01</v>
      </c>
      <c r="R12" s="37">
        <f t="shared" si="7"/>
        <v>-13761.0566666667</v>
      </c>
      <c r="S12" s="38">
        <f t="shared" si="8"/>
        <v>0.267204637922799</v>
      </c>
      <c r="T12" s="29">
        <f>SUM(T8:T11)</f>
        <v>51500.0666666667</v>
      </c>
      <c r="U12" s="29">
        <f>SUM(U8:U11)</f>
        <v>33216.14</v>
      </c>
      <c r="V12" s="29">
        <f t="shared" si="9"/>
        <v>-18283.9266666667</v>
      </c>
      <c r="W12" s="38">
        <f t="shared" si="10"/>
        <v>0.355027242683181</v>
      </c>
      <c r="X12" s="29">
        <f>SUM(X8:X11)</f>
        <v>51500.0666666667</v>
      </c>
      <c r="Y12" s="29">
        <f>SUM(Y8:Y11)</f>
        <v>36225.48</v>
      </c>
      <c r="Z12" s="37">
        <f t="shared" si="11"/>
        <v>-15274.5866666667</v>
      </c>
      <c r="AA12" s="38">
        <f t="shared" si="12"/>
        <v>0.296593531917758</v>
      </c>
      <c r="AB12" s="29">
        <f>SUM(AB8:AB11)</f>
        <v>51500.0666666667</v>
      </c>
      <c r="AC12" s="29">
        <f>SUM(AC8:AC11)</f>
        <v>37756.83</v>
      </c>
      <c r="AD12" s="37">
        <f t="shared" si="13"/>
        <v>-13743.2366666667</v>
      </c>
      <c r="AE12" s="38">
        <f t="shared" si="14"/>
        <v>0.266858618953244</v>
      </c>
      <c r="AF12" s="29">
        <f>SUM(AF8:AF11)</f>
        <v>51500.0666666667</v>
      </c>
      <c r="AG12" s="29">
        <f>SUM(AG8:AG11)</f>
        <v>40292.32</v>
      </c>
      <c r="AH12" s="37">
        <f t="shared" si="15"/>
        <v>-11207.7466666667</v>
      </c>
      <c r="AI12" s="38">
        <f t="shared" si="16"/>
        <v>0.217625867150981</v>
      </c>
      <c r="AJ12" s="29">
        <f>SUM(AJ8:AJ11)</f>
        <v>51500.0666666667</v>
      </c>
      <c r="AK12" s="29">
        <f>SUM(AK8:AK11)</f>
        <v>38849.19</v>
      </c>
      <c r="AL12" s="37">
        <f t="shared" si="17"/>
        <v>-12650.8766666667</v>
      </c>
      <c r="AM12" s="38">
        <f t="shared" si="18"/>
        <v>0.245647772624243</v>
      </c>
      <c r="AN12" s="29">
        <f t="shared" ref="AN12:AS12" si="63">SUM(AN8:AN11)</f>
        <v>51500.0666666667</v>
      </c>
      <c r="AO12" s="29">
        <f t="shared" si="63"/>
        <v>41187.14</v>
      </c>
      <c r="AP12" s="37">
        <f t="shared" si="19"/>
        <v>-10312.9266666667</v>
      </c>
      <c r="AQ12" s="38">
        <f t="shared" si="62"/>
        <v>0.200250744011982</v>
      </c>
      <c r="AR12" s="29">
        <f t="shared" si="63"/>
        <v>51500.0666666667</v>
      </c>
      <c r="AS12" s="29">
        <f t="shared" si="63"/>
        <v>38787.98</v>
      </c>
      <c r="AT12" s="37">
        <f t="shared" si="20"/>
        <v>-12712.0866666667</v>
      </c>
      <c r="AU12" s="38">
        <f t="shared" si="21"/>
        <v>0.246836314774997</v>
      </c>
      <c r="AV12" s="29">
        <f>SUM(AV8:AV11)</f>
        <v>51500.0666666667</v>
      </c>
      <c r="AW12" s="29">
        <f>SUM(AW8:AW11)</f>
        <v>29674.96</v>
      </c>
      <c r="AX12" s="37">
        <f t="shared" si="22"/>
        <v>-21825.1066666667</v>
      </c>
      <c r="AY12" s="38">
        <f t="shared" si="23"/>
        <v>0.423787930371611</v>
      </c>
      <c r="AZ12" s="29">
        <f>SUM(AZ8:AZ11)</f>
        <v>51500.0666666667</v>
      </c>
      <c r="BA12" s="29">
        <f>SUM(BA8:BA11)</f>
        <v>27694.96</v>
      </c>
      <c r="BB12" s="37">
        <f t="shared" si="24"/>
        <v>-23805.1066666667</v>
      </c>
      <c r="BC12" s="38">
        <f t="shared" si="25"/>
        <v>0.462234482544359</v>
      </c>
      <c r="BD12" s="29">
        <f>SUM(BD8:BD11)</f>
        <v>51500.0666666667</v>
      </c>
      <c r="BE12" s="29">
        <f>SUM(BE8:BE11)</f>
        <v>32093.75</v>
      </c>
      <c r="BF12" s="37">
        <f t="shared" si="26"/>
        <v>-19406.3166666667</v>
      </c>
      <c r="BG12" s="38">
        <f t="shared" si="27"/>
        <v>0.376821195053469</v>
      </c>
      <c r="BH12" s="29">
        <f>SUM(BH8:BH11)</f>
        <v>51500.0666666667</v>
      </c>
      <c r="BI12" s="29">
        <f>SUM(BI8:BI11)</f>
        <v>36994.05</v>
      </c>
      <c r="BJ12" s="37">
        <f t="shared" si="28"/>
        <v>-14506.0166666667</v>
      </c>
      <c r="BK12" s="38">
        <f t="shared" si="29"/>
        <v>0.281669861916036</v>
      </c>
      <c r="BL12" s="29">
        <f>SUM(BL8:BL11)</f>
        <v>51500.0666666667</v>
      </c>
      <c r="BM12" s="29">
        <f>SUM(BM8:BM11)</f>
        <v>32980.74</v>
      </c>
      <c r="BN12" s="37">
        <f t="shared" si="30"/>
        <v>-18519.3266666667</v>
      </c>
      <c r="BO12" s="38">
        <f t="shared" si="31"/>
        <v>0.359598110552608</v>
      </c>
      <c r="BP12" s="29">
        <f>SUM(BP8:BP11)</f>
        <v>51500.0666666667</v>
      </c>
      <c r="BQ12" s="29">
        <f>SUM(BQ8:BQ11)</f>
        <v>38532.45</v>
      </c>
      <c r="BR12" s="37">
        <f t="shared" si="32"/>
        <v>-12967.6166666667</v>
      </c>
      <c r="BS12" s="38">
        <f t="shared" si="33"/>
        <v>0.251798055924847</v>
      </c>
      <c r="BT12" s="29">
        <f>SUM(BT8:BT11)</f>
        <v>51500.0666666667</v>
      </c>
      <c r="BU12" s="29">
        <f>SUM(BU8:BU11)</f>
        <v>35862.66</v>
      </c>
      <c r="BV12" s="37">
        <f t="shared" si="34"/>
        <v>-15637.4066666667</v>
      </c>
      <c r="BW12" s="38">
        <f t="shared" si="35"/>
        <v>0.303638571341655</v>
      </c>
      <c r="BX12" s="29">
        <f>SUM(BX8:BX11)</f>
        <v>51500.0666666667</v>
      </c>
      <c r="BY12" s="29">
        <f>SUM(BY8:BY11)</f>
        <v>28884.98</v>
      </c>
      <c r="BZ12" s="37">
        <f t="shared" si="36"/>
        <v>-22615.0866666667</v>
      </c>
      <c r="CA12" s="38">
        <f t="shared" si="37"/>
        <v>0.439127327990514</v>
      </c>
      <c r="CB12" s="29">
        <f>SUM(CB8:CB11)</f>
        <v>51500.0666666667</v>
      </c>
      <c r="CC12" s="29">
        <f>SUM(CC8:CC11)</f>
        <v>34649.23</v>
      </c>
      <c r="CD12" s="37">
        <f t="shared" si="38"/>
        <v>-16850.8366666667</v>
      </c>
      <c r="CE12" s="38">
        <f t="shared" si="39"/>
        <v>0.327200288413866</v>
      </c>
      <c r="CF12" s="29">
        <f>SUM(CF8:CF11)</f>
        <v>51500.0666666667</v>
      </c>
      <c r="CG12" s="29">
        <f>SUM(CG8:CG11)</f>
        <v>40249.85</v>
      </c>
      <c r="CH12" s="37">
        <f t="shared" si="40"/>
        <v>-11250.2166666667</v>
      </c>
      <c r="CI12" s="38">
        <f t="shared" si="41"/>
        <v>0.218450526277636</v>
      </c>
      <c r="CJ12" s="29">
        <f>SUM(CJ8:CJ11)</f>
        <v>51500.0666666667</v>
      </c>
      <c r="CK12" s="29">
        <f>SUM(CK8:CK11)</f>
        <v>3109.19</v>
      </c>
      <c r="CL12" s="37">
        <f t="shared" si="42"/>
        <v>-48390.8766666667</v>
      </c>
      <c r="CM12" s="38">
        <f t="shared" si="43"/>
        <v>0.939627456792936</v>
      </c>
      <c r="CN12" s="29">
        <f>SUM(CN8:CN11)</f>
        <v>51500.0666666667</v>
      </c>
      <c r="CO12" s="29">
        <f>SUM(CO8:CO11)</f>
        <v>33537.93</v>
      </c>
      <c r="CP12" s="37">
        <f t="shared" si="44"/>
        <v>-17962.1366666667</v>
      </c>
      <c r="CQ12" s="38">
        <f t="shared" si="45"/>
        <v>0.348778901257086</v>
      </c>
      <c r="CR12" s="29">
        <f>SUM(CR8:CR11)</f>
        <v>51500.0666666667</v>
      </c>
      <c r="CS12" s="29">
        <f>SUM(CS8:CS11)</f>
        <v>30593.61</v>
      </c>
      <c r="CT12" s="37">
        <f t="shared" si="46"/>
        <v>-20906.4566666667</v>
      </c>
      <c r="CU12" s="38">
        <f t="shared" si="47"/>
        <v>0.405950089384998</v>
      </c>
      <c r="CV12" s="29">
        <f>SUM(CV8:CV11)</f>
        <v>51500.0666666667</v>
      </c>
      <c r="CW12" s="29">
        <f>SUM(CW8:CW11)</f>
        <v>35595.26</v>
      </c>
      <c r="CX12" s="37">
        <f t="shared" si="48"/>
        <v>-15904.8066666667</v>
      </c>
      <c r="CY12" s="38">
        <f t="shared" si="49"/>
        <v>0.308830797630035</v>
      </c>
      <c r="CZ12" s="29">
        <f>SUM(CZ8:CZ11)</f>
        <v>51500.0666666667</v>
      </c>
      <c r="DA12" s="29">
        <f>SUM(DA8:DA11)</f>
        <v>26171.71</v>
      </c>
      <c r="DB12" s="37">
        <f t="shared" si="50"/>
        <v>-25328.3566666667</v>
      </c>
      <c r="DC12" s="38">
        <f t="shared" si="51"/>
        <v>0.491812114159076</v>
      </c>
      <c r="DD12" s="29">
        <f>SUM(DD8:DD11)</f>
        <v>51500.0666666667</v>
      </c>
      <c r="DE12" s="29">
        <f>SUM(DE8:DE11)</f>
        <v>31835.1</v>
      </c>
      <c r="DF12" s="37">
        <f t="shared" si="52"/>
        <v>-19664.9666666667</v>
      </c>
      <c r="DG12" s="38">
        <f t="shared" si="53"/>
        <v>0.381843518649167</v>
      </c>
      <c r="DH12" s="29">
        <f>SUM(DH8:DH11)</f>
        <v>51500.0666666667</v>
      </c>
      <c r="DI12" s="29">
        <f>SUM(DI8:DI11)</f>
        <v>36757.67</v>
      </c>
      <c r="DJ12" s="37">
        <f t="shared" si="54"/>
        <v>-14742.3966666667</v>
      </c>
      <c r="DK12" s="38">
        <f t="shared" si="55"/>
        <v>0.286259758887044</v>
      </c>
      <c r="DL12" s="29">
        <f>SUM(DL8:DL11)</f>
        <v>51500.0666666667</v>
      </c>
      <c r="DM12" s="29">
        <f>SUM(DM8:DM11)</f>
        <v>36781.17</v>
      </c>
      <c r="DN12" s="37">
        <f t="shared" si="56"/>
        <v>-14718.8966666667</v>
      </c>
      <c r="DO12" s="38">
        <f t="shared" si="57"/>
        <v>0.285803448798125</v>
      </c>
      <c r="DP12" s="29">
        <f>SUM(DP8:DP11)</f>
        <v>51500.0666666667</v>
      </c>
      <c r="DQ12" s="29">
        <f>SUM(DQ8:DQ11)</f>
        <v>39247.54</v>
      </c>
      <c r="DR12" s="37">
        <f t="shared" si="58"/>
        <v>-12252.5266666667</v>
      </c>
      <c r="DS12" s="38">
        <f t="shared" si="59"/>
        <v>0.237912831180801</v>
      </c>
      <c r="DT12" s="29">
        <f>SUM(DT8:DT11)</f>
        <v>0</v>
      </c>
      <c r="DU12" s="29">
        <f>SUM(DU8:DU11)</f>
        <v>296.88</v>
      </c>
      <c r="DV12" s="29">
        <f t="shared" si="60"/>
        <v>296.88</v>
      </c>
      <c r="DW12" s="38">
        <f t="shared" si="61"/>
        <v>0</v>
      </c>
      <c r="DX12" s="29">
        <f>SUM(DX8:DX11)</f>
        <v>1545002</v>
      </c>
    </row>
    <row r="13" spans="1:128">
      <c r="A13" s="42" t="s">
        <v>752</v>
      </c>
      <c r="B13" s="29" t="s">
        <v>710</v>
      </c>
      <c r="C13" s="29" t="s">
        <v>753</v>
      </c>
      <c r="D13" s="29">
        <f t="shared" ref="D13:D40" si="64">$DX13/$E$1</f>
        <v>1545.002</v>
      </c>
      <c r="E13" s="29">
        <f>SUMIF(汇总表!$B$1:$AF$1,E$3,汇总表!$B12:$AG12)</f>
        <v>1047.194</v>
      </c>
      <c r="F13" s="37">
        <f t="shared" si="1"/>
        <v>-497.808</v>
      </c>
      <c r="G13" s="38">
        <f t="shared" si="2"/>
        <v>0.322205408148339</v>
      </c>
      <c r="H13" s="29">
        <f>$DX13/$E$1</f>
        <v>1545.002</v>
      </c>
      <c r="I13" s="29">
        <f>SUMIF(汇总表!$B$1:$AF$1,I$3,汇总表!$B12:$AG12)</f>
        <v>1073.099</v>
      </c>
      <c r="J13" s="37">
        <f t="shared" si="3"/>
        <v>-471.903</v>
      </c>
      <c r="K13" s="38">
        <f t="shared" si="4"/>
        <v>0.305438439561891</v>
      </c>
      <c r="L13" s="29">
        <f>$DX13/$E$1</f>
        <v>1545.002</v>
      </c>
      <c r="M13" s="29">
        <f>SUMIF(汇总表!$B$1:$AF$1,M$3,汇总表!$B12:$AG12)</f>
        <v>1576.884</v>
      </c>
      <c r="N13" s="37">
        <f t="shared" si="5"/>
        <v>31.8820000000001</v>
      </c>
      <c r="O13" s="38">
        <f t="shared" si="6"/>
        <v>-0.0206355719927871</v>
      </c>
      <c r="P13" s="29">
        <f>$DX13/$E$1</f>
        <v>1545.002</v>
      </c>
      <c r="Q13" s="29">
        <f>SUMIF(汇总表!$B$1:$AF$1,Q$3,汇总表!$B12:$AG12)</f>
        <v>1071.937</v>
      </c>
      <c r="R13" s="37">
        <f t="shared" si="7"/>
        <v>-473.065</v>
      </c>
      <c r="S13" s="38">
        <f t="shared" si="8"/>
        <v>0.306190542148166</v>
      </c>
      <c r="T13" s="29">
        <f>$DX13/$E$1</f>
        <v>1545.002</v>
      </c>
      <c r="U13" s="29">
        <f>SUMIF(汇总表!$B$1:$AF$1,U$3,汇总表!$B12:$AG12)</f>
        <v>1182.254</v>
      </c>
      <c r="V13" s="29">
        <f t="shared" si="9"/>
        <v>-362.748</v>
      </c>
      <c r="W13" s="38">
        <f t="shared" si="10"/>
        <v>0.234788045581818</v>
      </c>
      <c r="X13" s="29">
        <f>$DX13/$E$1</f>
        <v>1545.002</v>
      </c>
      <c r="Y13" s="29">
        <f>SUMIF(汇总表!$B$1:$AF$1,Y$3,汇总表!$B12:$AG12)</f>
        <v>1138.791</v>
      </c>
      <c r="Z13" s="37">
        <f t="shared" si="11"/>
        <v>-406.211</v>
      </c>
      <c r="AA13" s="38">
        <f t="shared" si="12"/>
        <v>0.262919400751585</v>
      </c>
      <c r="AB13" s="29">
        <f>$DX13/$E$1</f>
        <v>1545.002</v>
      </c>
      <c r="AC13" s="29">
        <f>SUMIF(汇总表!$B$1:$AF$1,AC$3,汇总表!$B12:$AG12)</f>
        <v>1178.481</v>
      </c>
      <c r="AD13" s="37">
        <f t="shared" si="13"/>
        <v>-366.521</v>
      </c>
      <c r="AE13" s="38">
        <f t="shared" si="14"/>
        <v>0.237230113617976</v>
      </c>
      <c r="AF13" s="29">
        <f>$DX13/$E$1</f>
        <v>1545.002</v>
      </c>
      <c r="AG13" s="29">
        <f>SUMIF(汇总表!$B$1:$AF$1,AG$3,汇总表!$B12:$AG12)</f>
        <v>1120.785</v>
      </c>
      <c r="AH13" s="37">
        <f t="shared" si="15"/>
        <v>-424.217</v>
      </c>
      <c r="AI13" s="38">
        <f t="shared" si="16"/>
        <v>0.274573754597081</v>
      </c>
      <c r="AJ13" s="29">
        <f>$DX13/$E$1</f>
        <v>1545.002</v>
      </c>
      <c r="AK13" s="29">
        <f>SUMIF(汇总表!$B$1:$AF$1,AK$3,汇总表!$B12:$AG12)</f>
        <v>1150.335</v>
      </c>
      <c r="AL13" s="37">
        <f t="shared" si="17"/>
        <v>-394.667</v>
      </c>
      <c r="AM13" s="38">
        <f t="shared" si="18"/>
        <v>0.255447565763669</v>
      </c>
      <c r="AN13" s="29">
        <f>$DX13/$E$1</f>
        <v>1545.002</v>
      </c>
      <c r="AO13" s="29">
        <f>SUMIF(汇总表!$B$1:$AF$1,AO$3,汇总表!$B12:$AG12)</f>
        <v>1174.465</v>
      </c>
      <c r="AP13" s="37">
        <f t="shared" si="19"/>
        <v>-370.537</v>
      </c>
      <c r="AQ13" s="38">
        <f t="shared" si="62"/>
        <v>0.239829463003931</v>
      </c>
      <c r="AR13" s="29">
        <f t="shared" ref="AR13:AR40" si="65">$DX13/$E$1</f>
        <v>1545.002</v>
      </c>
      <c r="AS13" s="29">
        <f>SUMIF(汇总表!$B$1:$AF$1,AS$3,汇总表!$B12:$AG12)</f>
        <v>1240.852</v>
      </c>
      <c r="AT13" s="37">
        <f t="shared" si="20"/>
        <v>-304.15</v>
      </c>
      <c r="AU13" s="38">
        <f t="shared" si="21"/>
        <v>0.196860586588237</v>
      </c>
      <c r="AV13" s="29">
        <f>$DX13/$E$1</f>
        <v>1545.002</v>
      </c>
      <c r="AW13" s="29">
        <f>SUMIF(汇总表!$B$1:$AF$1,AW$3,汇总表!$B12:$AG12)</f>
        <v>1181.257</v>
      </c>
      <c r="AX13" s="37">
        <f t="shared" si="22"/>
        <v>-363.745</v>
      </c>
      <c r="AY13" s="38">
        <f t="shared" si="23"/>
        <v>0.235433352189835</v>
      </c>
      <c r="AZ13" s="29">
        <f>$DX13/$E$1</f>
        <v>1545.002</v>
      </c>
      <c r="BA13" s="29">
        <f>SUMIF(汇总表!$B$1:$AF$1,BA$3,汇总表!$B12:$AG12)</f>
        <v>1338.223</v>
      </c>
      <c r="BB13" s="37">
        <f t="shared" si="24"/>
        <v>-206.779</v>
      </c>
      <c r="BC13" s="38">
        <f t="shared" si="25"/>
        <v>0.133837367200819</v>
      </c>
      <c r="BD13" s="29">
        <f>$DX13/$E$1</f>
        <v>1545.002</v>
      </c>
      <c r="BE13" s="29">
        <f>SUMIF(汇总表!$B$1:$AF$1,BE$3,汇总表!$B12:$AG12)</f>
        <v>1447.411</v>
      </c>
      <c r="BF13" s="37">
        <f t="shared" si="26"/>
        <v>-97.5909999999999</v>
      </c>
      <c r="BG13" s="38">
        <f t="shared" si="27"/>
        <v>0.063165614025095</v>
      </c>
      <c r="BH13" s="29">
        <f>$DX13/$E$1</f>
        <v>1545.002</v>
      </c>
      <c r="BI13" s="29">
        <f>SUMIF(汇总表!$B$1:$AF$1,BI$3,汇总表!$B12:$AG12)</f>
        <v>1392.47</v>
      </c>
      <c r="BJ13" s="37">
        <f t="shared" si="28"/>
        <v>-152.532</v>
      </c>
      <c r="BK13" s="38">
        <f t="shared" si="29"/>
        <v>0.0987260857914747</v>
      </c>
      <c r="BL13" s="29">
        <f>$DX13/$E$1</f>
        <v>1545.002</v>
      </c>
      <c r="BM13" s="29">
        <f>SUMIF(汇总表!$B$1:$AF$1,BM$3,汇总表!$B12:$AG12)</f>
        <v>1397.19</v>
      </c>
      <c r="BN13" s="37">
        <f t="shared" si="30"/>
        <v>-147.812</v>
      </c>
      <c r="BO13" s="38">
        <f t="shared" si="31"/>
        <v>0.0956710735649532</v>
      </c>
      <c r="BP13" s="29">
        <f>$DX13/$E$1</f>
        <v>1545.002</v>
      </c>
      <c r="BQ13" s="29">
        <f>SUMIF(汇总表!$B$1:$AF$1,BQ$3,汇总表!$B12:$AG12)</f>
        <v>1321.543</v>
      </c>
      <c r="BR13" s="37">
        <f t="shared" si="32"/>
        <v>-223.459</v>
      </c>
      <c r="BS13" s="38">
        <f t="shared" si="33"/>
        <v>0.144633469730136</v>
      </c>
      <c r="BT13" s="29">
        <f>$DX13/$E$1</f>
        <v>1545.002</v>
      </c>
      <c r="BU13" s="29">
        <f>SUMIF(汇总表!$B$1:$AF$1,BU$3,汇总表!$B12:$AG12)</f>
        <v>1474.571</v>
      </c>
      <c r="BV13" s="37">
        <f t="shared" si="34"/>
        <v>-70.431</v>
      </c>
      <c r="BW13" s="38">
        <f t="shared" si="35"/>
        <v>0.0455863487555356</v>
      </c>
      <c r="BX13" s="29">
        <f>$DX13/$E$1</f>
        <v>1545.002</v>
      </c>
      <c r="BY13" s="29">
        <f>SUMIF(汇总表!$B$1:$AF$1,BY$3,汇总表!$B12:$AG12)</f>
        <v>1361.347</v>
      </c>
      <c r="BZ13" s="37">
        <f t="shared" si="36"/>
        <v>-183.655</v>
      </c>
      <c r="CA13" s="38">
        <f t="shared" si="37"/>
        <v>0.118870396284277</v>
      </c>
      <c r="CB13" s="29">
        <f>$DX13/$E$1</f>
        <v>1545.002</v>
      </c>
      <c r="CC13" s="29">
        <f>SUMIF(汇总表!$B$1:$AF$1,CC$3,汇总表!$B12:$AG12)</f>
        <v>1529.443</v>
      </c>
      <c r="CD13" s="37">
        <f t="shared" si="38"/>
        <v>-15.559</v>
      </c>
      <c r="CE13" s="38">
        <f t="shared" si="39"/>
        <v>0.0100705371255183</v>
      </c>
      <c r="CF13" s="29">
        <f>$DX13/$E$1</f>
        <v>1545.002</v>
      </c>
      <c r="CG13" s="29">
        <f>SUMIF(汇总表!$B$1:$AF$1,CG$3,汇总表!$B12:$AG12)</f>
        <v>1463.644</v>
      </c>
      <c r="CH13" s="37">
        <f t="shared" si="40"/>
        <v>-81.3579999999999</v>
      </c>
      <c r="CI13" s="38">
        <f t="shared" si="41"/>
        <v>0.0526588315096032</v>
      </c>
      <c r="CJ13" s="29">
        <f>$DX13/$E$1</f>
        <v>1545.002</v>
      </c>
      <c r="CK13" s="29">
        <f>SUMIF(汇总表!$B$1:$AF$1,CK$3,汇总表!$B12:$AG12)</f>
        <v>1411.837</v>
      </c>
      <c r="CL13" s="37">
        <f t="shared" si="42"/>
        <v>-133.165</v>
      </c>
      <c r="CM13" s="38">
        <f t="shared" si="43"/>
        <v>0.0861908269374408</v>
      </c>
      <c r="CN13" s="29">
        <f>$DX13/$E$1</f>
        <v>1545.002</v>
      </c>
      <c r="CO13" s="29">
        <f>SUMIF(汇总表!$B$1:$AF$1,CO$3,汇总表!$B12:$AG12)</f>
        <v>1503.361</v>
      </c>
      <c r="CP13" s="37">
        <f t="shared" si="44"/>
        <v>-41.6409999999998</v>
      </c>
      <c r="CQ13" s="38">
        <f t="shared" si="45"/>
        <v>0.0269520686704612</v>
      </c>
      <c r="CR13" s="29">
        <f>$DX13/$E$1</f>
        <v>1545.002</v>
      </c>
      <c r="CS13" s="29">
        <f>SUMIF(汇总表!$B$1:$AF$1,CS$3,汇总表!$B12:$AG12)</f>
        <v>1406.317</v>
      </c>
      <c r="CT13" s="37">
        <f t="shared" si="46"/>
        <v>-138.685</v>
      </c>
      <c r="CU13" s="38">
        <f t="shared" si="47"/>
        <v>0.0897636378464235</v>
      </c>
      <c r="CV13" s="29">
        <f>$DX13/$E$1</f>
        <v>1545.002</v>
      </c>
      <c r="CW13" s="29">
        <f>SUMIF(汇总表!$B$1:$AF$1,CW$3,汇总表!$B12:$AG12)</f>
        <v>1439.955</v>
      </c>
      <c r="CX13" s="37">
        <f t="shared" si="48"/>
        <v>-105.047</v>
      </c>
      <c r="CY13" s="38">
        <f t="shared" si="49"/>
        <v>0.067991497745634</v>
      </c>
      <c r="CZ13" s="29">
        <f>$DX13/$E$1</f>
        <v>1545.002</v>
      </c>
      <c r="DA13" s="29">
        <f>SUMIF(汇总表!$B$1:$AF$1,DA$3,汇总表!$B12:$AG12)</f>
        <v>1299.939</v>
      </c>
      <c r="DB13" s="37">
        <f t="shared" si="50"/>
        <v>-245.063</v>
      </c>
      <c r="DC13" s="38">
        <f t="shared" si="51"/>
        <v>0.158616623150002</v>
      </c>
      <c r="DD13" s="29">
        <f>$DX13/$E$1</f>
        <v>1545.002</v>
      </c>
      <c r="DE13" s="29">
        <f>SUMIF(汇总表!$B$1:$AF$1,DE$3,汇总表!$B12:$AG12)</f>
        <v>1415.706</v>
      </c>
      <c r="DF13" s="37">
        <f t="shared" si="52"/>
        <v>-129.296</v>
      </c>
      <c r="DG13" s="38">
        <f t="shared" si="53"/>
        <v>0.0836866230593877</v>
      </c>
      <c r="DH13" s="29">
        <f>$DX13/$E$1</f>
        <v>1545.002</v>
      </c>
      <c r="DI13" s="29">
        <f>SUMIF(汇总表!$B$1:$AF$1,DI$3,汇总表!$B12:$AG12)</f>
        <v>1377.873</v>
      </c>
      <c r="DJ13" s="37">
        <f t="shared" si="54"/>
        <v>-167.129</v>
      </c>
      <c r="DK13" s="38">
        <f t="shared" si="55"/>
        <v>0.108173970001333</v>
      </c>
      <c r="DL13" s="29">
        <f>$DX13/$E$1</f>
        <v>1545.002</v>
      </c>
      <c r="DM13" s="29">
        <f>SUMIF(汇总表!$B$1:$AF$1,DM$3,汇总表!$B12:$AG12)</f>
        <v>1715.802</v>
      </c>
      <c r="DN13" s="37">
        <f t="shared" si="56"/>
        <v>170.8</v>
      </c>
      <c r="DO13" s="38">
        <f t="shared" si="57"/>
        <v>-0.110550018705477</v>
      </c>
      <c r="DP13" s="29">
        <f>IF($E$1=30,DX13/$E$1)</f>
        <v>1545.002</v>
      </c>
      <c r="DQ13" s="29">
        <f>SUMIF(汇总表!$B$1:$AF$1,DQ$3,汇总表!$B12:$AG12)</f>
        <v>1602.453</v>
      </c>
      <c r="DR13" s="37">
        <f t="shared" si="58"/>
        <v>57.451</v>
      </c>
      <c r="DS13" s="38">
        <f t="shared" si="59"/>
        <v>-0.0371850651326018</v>
      </c>
      <c r="DT13" s="29">
        <f>IF($E$1=31,$DX$5/$E$1,0)</f>
        <v>0</v>
      </c>
      <c r="DU13" s="29">
        <f>SUMIF(汇总表!$B$1:$AF$1,DU$3,汇总表!$B12:$AG12)</f>
        <v>1584.049</v>
      </c>
      <c r="DV13" s="29">
        <f t="shared" si="60"/>
        <v>1584.049</v>
      </c>
      <c r="DW13" s="38">
        <f t="shared" si="61"/>
        <v>0</v>
      </c>
      <c r="DX13" s="29">
        <f>DX12*0.03</f>
        <v>46350.06</v>
      </c>
    </row>
    <row r="14" spans="1:128">
      <c r="A14" s="43"/>
      <c r="B14" s="29" t="s">
        <v>711</v>
      </c>
      <c r="C14" s="29" t="s">
        <v>754</v>
      </c>
      <c r="D14" s="29">
        <f t="shared" si="64"/>
        <v>100</v>
      </c>
      <c r="E14" s="44">
        <f>SUMIF(汇总表!$B$1:$AF$1,E$3,汇总表!$B13:$AG13)</f>
        <v>132.6494</v>
      </c>
      <c r="F14" s="37">
        <f t="shared" si="1"/>
        <v>32.6494</v>
      </c>
      <c r="G14" s="38">
        <f t="shared" si="2"/>
        <v>-0.326494</v>
      </c>
      <c r="H14" s="29">
        <f>$DX14/$E$1</f>
        <v>100</v>
      </c>
      <c r="I14" s="29">
        <f>SUMIF(汇总表!$B$1:$AF$1,I$3,汇总表!$B13:$AG13)</f>
        <v>95.557229167</v>
      </c>
      <c r="J14" s="37">
        <f t="shared" si="3"/>
        <v>-4.442770833</v>
      </c>
      <c r="K14" s="38">
        <f t="shared" si="4"/>
        <v>0.04442770833</v>
      </c>
      <c r="L14" s="29">
        <f>$DX14/$E$1</f>
        <v>100</v>
      </c>
      <c r="M14" s="29">
        <f>SUMIF(汇总表!$B$1:$AF$1,M$3,汇总表!$B13:$AG13)</f>
        <v>179.78575625</v>
      </c>
      <c r="N14" s="37">
        <f t="shared" si="5"/>
        <v>79.78575625</v>
      </c>
      <c r="O14" s="38">
        <f t="shared" si="6"/>
        <v>-0.7978575625</v>
      </c>
      <c r="P14" s="29">
        <f>$DX14/$E$1</f>
        <v>100</v>
      </c>
      <c r="Q14" s="29">
        <f>SUMIF(汇总表!$B$1:$AF$1,Q$3,汇总表!$B13:$AG13)</f>
        <v>36.4417</v>
      </c>
      <c r="R14" s="37">
        <f t="shared" si="7"/>
        <v>-63.5583</v>
      </c>
      <c r="S14" s="38">
        <f t="shared" si="8"/>
        <v>0.635583</v>
      </c>
      <c r="T14" s="29">
        <f>$DX14/$E$1</f>
        <v>100</v>
      </c>
      <c r="U14" s="29">
        <f>SUMIF(汇总表!$B$1:$AF$1,U$3,汇总表!$B13:$AG13)</f>
        <v>92.5288625</v>
      </c>
      <c r="V14" s="29">
        <f t="shared" si="9"/>
        <v>-7.4711375</v>
      </c>
      <c r="W14" s="38">
        <f t="shared" si="10"/>
        <v>0.074711375</v>
      </c>
      <c r="X14" s="29">
        <f>$DX14/$E$1</f>
        <v>100</v>
      </c>
      <c r="Y14" s="29">
        <f>SUMIF(汇总表!$B$1:$AF$1,Y$3,汇总表!$B13:$AG13)</f>
        <v>132.7999</v>
      </c>
      <c r="Z14" s="37">
        <f t="shared" si="11"/>
        <v>32.7999</v>
      </c>
      <c r="AA14" s="38">
        <f t="shared" si="12"/>
        <v>-0.327999</v>
      </c>
      <c r="AB14" s="29">
        <f>$DX14/$E$1</f>
        <v>100</v>
      </c>
      <c r="AC14" s="29">
        <f>SUMIF(汇总表!$B$1:$AF$1,AC$3,汇总表!$B13:$AG13)</f>
        <v>227.88238125</v>
      </c>
      <c r="AD14" s="37">
        <f t="shared" si="13"/>
        <v>127.88238125</v>
      </c>
      <c r="AE14" s="38">
        <f t="shared" si="14"/>
        <v>-1.2788238125</v>
      </c>
      <c r="AF14" s="29">
        <f>$DX14/$E$1</f>
        <v>100</v>
      </c>
      <c r="AG14" s="29">
        <f>SUMIF(汇总表!$B$1:$AF$1,AG$3,汇总表!$B13:$AG13)</f>
        <v>22.2541</v>
      </c>
      <c r="AH14" s="37">
        <f t="shared" si="15"/>
        <v>-77.7459</v>
      </c>
      <c r="AI14" s="38">
        <f t="shared" si="16"/>
        <v>0.777459</v>
      </c>
      <c r="AJ14" s="29">
        <f>$DX14/$E$1</f>
        <v>100</v>
      </c>
      <c r="AK14" s="29">
        <f>SUMIF(汇总表!$B$1:$AF$1,AK$3,汇总表!$B13:$AG13)</f>
        <v>150.8872</v>
      </c>
      <c r="AL14" s="37">
        <f t="shared" si="17"/>
        <v>50.8872</v>
      </c>
      <c r="AM14" s="38">
        <f t="shared" si="18"/>
        <v>-0.508872</v>
      </c>
      <c r="AN14" s="29">
        <f>$DX14/$E$1</f>
        <v>100</v>
      </c>
      <c r="AO14" s="29">
        <f>SUMIF(汇总表!$B$1:$AF$1,AO$3,汇总表!$B13:$AG13)</f>
        <v>7.8892</v>
      </c>
      <c r="AP14" s="37">
        <f t="shared" si="19"/>
        <v>-92.1108</v>
      </c>
      <c r="AQ14" s="38">
        <f t="shared" si="62"/>
        <v>0.921108</v>
      </c>
      <c r="AR14" s="29">
        <f t="shared" si="65"/>
        <v>100</v>
      </c>
      <c r="AS14" s="29">
        <f>SUMIF(汇总表!$B$1:$AF$1,AS$3,汇总表!$B13:$AG13)</f>
        <v>15.9982</v>
      </c>
      <c r="AT14" s="37">
        <f t="shared" si="20"/>
        <v>-84.0018</v>
      </c>
      <c r="AU14" s="38">
        <f t="shared" si="21"/>
        <v>0.840018</v>
      </c>
      <c r="AV14" s="29">
        <f>$DX14/$E$1</f>
        <v>100</v>
      </c>
      <c r="AW14" s="29">
        <f>SUMIF(汇总表!$B$1:$AF$1,AW$3,汇总表!$B13:$AG13)</f>
        <v>21.418675</v>
      </c>
      <c r="AX14" s="37">
        <f t="shared" si="22"/>
        <v>-78.581325</v>
      </c>
      <c r="AY14" s="38">
        <f t="shared" si="23"/>
        <v>0.78581325</v>
      </c>
      <c r="AZ14" s="29">
        <f>$DX14/$E$1</f>
        <v>100</v>
      </c>
      <c r="BA14" s="29">
        <f>SUMIF(汇总表!$B$1:$AF$1,BA$3,汇总表!$B13:$AG13)</f>
        <v>10.95269375</v>
      </c>
      <c r="BB14" s="37">
        <f t="shared" si="24"/>
        <v>-89.04730625</v>
      </c>
      <c r="BC14" s="38">
        <f t="shared" si="25"/>
        <v>0.8904730625</v>
      </c>
      <c r="BD14" s="29">
        <f>$DX14/$E$1</f>
        <v>100</v>
      </c>
      <c r="BE14" s="29">
        <f>SUMIF(汇总表!$B$1:$AF$1,BE$3,汇总表!$B13:$AG13)</f>
        <v>86.32318125</v>
      </c>
      <c r="BF14" s="37">
        <f t="shared" si="26"/>
        <v>-13.67681875</v>
      </c>
      <c r="BG14" s="38">
        <f t="shared" si="27"/>
        <v>0.1367681875</v>
      </c>
      <c r="BH14" s="29">
        <f>$DX14/$E$1</f>
        <v>100</v>
      </c>
      <c r="BI14" s="29">
        <f>SUMIF(汇总表!$B$1:$AF$1,BI$3,汇总表!$B13:$AG13)</f>
        <v>19.8758</v>
      </c>
      <c r="BJ14" s="37">
        <f t="shared" si="28"/>
        <v>-80.1242</v>
      </c>
      <c r="BK14" s="38">
        <f t="shared" si="29"/>
        <v>0.801242</v>
      </c>
      <c r="BL14" s="29">
        <f>$DX14/$E$1</f>
        <v>100</v>
      </c>
      <c r="BM14" s="29">
        <f>SUMIF(汇总表!$B$1:$AF$1,BM$3,汇总表!$B13:$AG13)</f>
        <v>15.174875</v>
      </c>
      <c r="BN14" s="37">
        <f t="shared" si="30"/>
        <v>-84.825125</v>
      </c>
      <c r="BO14" s="38">
        <f t="shared" si="31"/>
        <v>0.84825125</v>
      </c>
      <c r="BP14" s="29">
        <f>$DX14/$E$1</f>
        <v>100</v>
      </c>
      <c r="BQ14" s="29">
        <f>SUMIF(汇总表!$B$1:$AF$1,BQ$3,汇总表!$B13:$AG13)</f>
        <v>17.7291</v>
      </c>
      <c r="BR14" s="37">
        <f t="shared" si="32"/>
        <v>-82.2709</v>
      </c>
      <c r="BS14" s="38">
        <f t="shared" si="33"/>
        <v>0.822709</v>
      </c>
      <c r="BT14" s="29">
        <f>$DX14/$E$1</f>
        <v>100</v>
      </c>
      <c r="BU14" s="29">
        <f>SUMIF(汇总表!$B$1:$AF$1,BU$3,汇总表!$B13:$AG13)</f>
        <v>10.90449375</v>
      </c>
      <c r="BV14" s="37">
        <f t="shared" si="34"/>
        <v>-89.09550625</v>
      </c>
      <c r="BW14" s="38">
        <f t="shared" si="35"/>
        <v>0.8909550625</v>
      </c>
      <c r="BX14" s="29">
        <f>$DX14/$E$1</f>
        <v>100</v>
      </c>
      <c r="BY14" s="29">
        <f>SUMIF(汇总表!$B$1:$AF$1,BY$3,汇总表!$B13:$AG13)</f>
        <v>375.20078125</v>
      </c>
      <c r="BZ14" s="37">
        <f t="shared" si="36"/>
        <v>275.20078125</v>
      </c>
      <c r="CA14" s="38">
        <f t="shared" si="37"/>
        <v>-2.7520078125</v>
      </c>
      <c r="CB14" s="29">
        <f>$DX14/$E$1</f>
        <v>100</v>
      </c>
      <c r="CC14" s="29">
        <f>SUMIF(汇总表!$B$1:$AF$1,CC$3,汇总表!$B13:$AG13)</f>
        <v>28.190066668</v>
      </c>
      <c r="CD14" s="37">
        <f t="shared" si="38"/>
        <v>-71.809933332</v>
      </c>
      <c r="CE14" s="38">
        <f t="shared" si="39"/>
        <v>0.71809933332</v>
      </c>
      <c r="CF14" s="29">
        <f>$DX14/$E$1</f>
        <v>100</v>
      </c>
      <c r="CG14" s="29">
        <f>SUMIF(汇总表!$B$1:$AF$1,CG$3,汇总表!$B13:$AG13)</f>
        <v>36.472447918</v>
      </c>
      <c r="CH14" s="37">
        <f t="shared" si="40"/>
        <v>-63.527552082</v>
      </c>
      <c r="CI14" s="38">
        <f t="shared" si="41"/>
        <v>0.63527552082</v>
      </c>
      <c r="CJ14" s="29">
        <f>$DX14/$E$1</f>
        <v>100</v>
      </c>
      <c r="CK14" s="29">
        <f>SUMIF(汇总表!$B$1:$AF$1,CK$3,汇总表!$B13:$AG13)</f>
        <v>22.34245625</v>
      </c>
      <c r="CL14" s="37">
        <f t="shared" si="42"/>
        <v>-77.65754375</v>
      </c>
      <c r="CM14" s="38">
        <f t="shared" si="43"/>
        <v>0.7765754375</v>
      </c>
      <c r="CN14" s="29">
        <f>$DX14/$E$1</f>
        <v>100</v>
      </c>
      <c r="CO14" s="29">
        <f>SUMIF(汇总表!$B$1:$AF$1,CO$3,汇总表!$B13:$AG13)</f>
        <v>52.550625</v>
      </c>
      <c r="CP14" s="37">
        <f t="shared" si="44"/>
        <v>-47.449375</v>
      </c>
      <c r="CQ14" s="38">
        <f t="shared" si="45"/>
        <v>0.47449375</v>
      </c>
      <c r="CR14" s="29">
        <f>$DX14/$E$1</f>
        <v>100</v>
      </c>
      <c r="CS14" s="29">
        <f>SUMIF(汇总表!$B$1:$AF$1,CS$3,汇总表!$B13:$AG13)</f>
        <v>139.253129862</v>
      </c>
      <c r="CT14" s="37">
        <f t="shared" si="46"/>
        <v>39.253129862</v>
      </c>
      <c r="CU14" s="38">
        <f t="shared" si="47"/>
        <v>-0.39253129862</v>
      </c>
      <c r="CV14" s="29">
        <f>$DX14/$E$1</f>
        <v>100</v>
      </c>
      <c r="CW14" s="29">
        <f>SUMIF(汇总表!$B$1:$AF$1,CW$3,汇总表!$B13:$AG13)</f>
        <v>260.286643056</v>
      </c>
      <c r="CX14" s="37">
        <f t="shared" si="48"/>
        <v>160.286643056</v>
      </c>
      <c r="CY14" s="38">
        <f t="shared" si="49"/>
        <v>-1.60286643056</v>
      </c>
      <c r="CZ14" s="29">
        <f>$DX14/$E$1</f>
        <v>100</v>
      </c>
      <c r="DA14" s="29">
        <f>SUMIF(汇总表!$B$1:$AF$1,DA$3,汇总表!$B13:$AG13)</f>
        <v>104.922498612</v>
      </c>
      <c r="DB14" s="37">
        <f t="shared" si="50"/>
        <v>4.922498612</v>
      </c>
      <c r="DC14" s="38">
        <f t="shared" si="51"/>
        <v>-0.04922498612</v>
      </c>
      <c r="DD14" s="29">
        <f>$DX14/$E$1</f>
        <v>100</v>
      </c>
      <c r="DE14" s="29">
        <f>SUMIF(汇总表!$B$1:$AF$1,DE$3,汇总表!$B13:$AG13)</f>
        <v>39.4544</v>
      </c>
      <c r="DF14" s="37">
        <f t="shared" si="52"/>
        <v>-60.5456</v>
      </c>
      <c r="DG14" s="38">
        <f t="shared" si="53"/>
        <v>0.605456</v>
      </c>
      <c r="DH14" s="29">
        <f>$DX14/$E$1</f>
        <v>100</v>
      </c>
      <c r="DI14" s="29">
        <f>SUMIF(汇总表!$B$1:$AF$1,DI$3,汇总表!$B13:$AG13)</f>
        <v>50.54849375</v>
      </c>
      <c r="DJ14" s="37">
        <f t="shared" si="54"/>
        <v>-49.45150625</v>
      </c>
      <c r="DK14" s="38">
        <f t="shared" si="55"/>
        <v>0.4945150625</v>
      </c>
      <c r="DL14" s="29">
        <f>$DX14/$E$1</f>
        <v>100</v>
      </c>
      <c r="DM14" s="29">
        <f>SUMIF(汇总表!$B$1:$AF$1,DM$3,汇总表!$B13:$AG13)</f>
        <v>8.6409875</v>
      </c>
      <c r="DN14" s="37">
        <f t="shared" si="56"/>
        <v>-91.3590125</v>
      </c>
      <c r="DO14" s="38">
        <f t="shared" si="57"/>
        <v>0.913590125</v>
      </c>
      <c r="DP14" s="29">
        <f>IF($E$1=30,DX14/$E$1)</f>
        <v>100</v>
      </c>
      <c r="DQ14" s="29">
        <f>SUMIF(汇总表!$B$1:$AF$1,DQ$3,汇总表!$B13:$AG13)</f>
        <v>4.26328125</v>
      </c>
      <c r="DR14" s="37">
        <f t="shared" si="58"/>
        <v>-95.73671875</v>
      </c>
      <c r="DS14" s="38">
        <f t="shared" si="59"/>
        <v>0.9573671875</v>
      </c>
      <c r="DT14" s="29">
        <f>IF($E$1=31,$DX$5/$E$1,0)</f>
        <v>0</v>
      </c>
      <c r="DU14" s="29">
        <f>SUMIF(汇总表!$B$1:$AF$1,DU$3,汇总表!$B13:$AG13)</f>
        <v>2.1288</v>
      </c>
      <c r="DV14" s="29">
        <f t="shared" si="60"/>
        <v>2.1288</v>
      </c>
      <c r="DW14" s="38">
        <f t="shared" si="61"/>
        <v>0</v>
      </c>
      <c r="DX14" s="29">
        <v>3000</v>
      </c>
    </row>
    <row r="15" spans="1:128">
      <c r="A15" s="43"/>
      <c r="B15" s="29" t="s">
        <v>297</v>
      </c>
      <c r="C15" s="29" t="s">
        <v>755</v>
      </c>
      <c r="D15" s="29">
        <f t="shared" si="64"/>
        <v>33.3333333333333</v>
      </c>
      <c r="E15" s="29">
        <f>SUMIF(汇总表!$B$1:$AF$1,E$3,汇总表!$B14:$AG14)</f>
        <v>0</v>
      </c>
      <c r="F15" s="37">
        <f t="shared" si="1"/>
        <v>-33.3333333333333</v>
      </c>
      <c r="G15" s="38">
        <f t="shared" si="2"/>
        <v>1</v>
      </c>
      <c r="H15" s="29"/>
      <c r="I15" s="29">
        <f>SUMIF(汇总表!$B$1:$AF$1,I$3,汇总表!$B14:$AG14)</f>
        <v>0</v>
      </c>
      <c r="J15" s="37">
        <f t="shared" si="3"/>
        <v>0</v>
      </c>
      <c r="K15" s="38">
        <f t="shared" si="4"/>
        <v>0</v>
      </c>
      <c r="L15" s="29"/>
      <c r="M15" s="29">
        <f>SUMIF(汇总表!$B$1:$AF$1,M$3,汇总表!$B14:$AG14)</f>
        <v>0</v>
      </c>
      <c r="N15" s="37">
        <f t="shared" si="5"/>
        <v>0</v>
      </c>
      <c r="O15" s="38">
        <f t="shared" si="6"/>
        <v>0</v>
      </c>
      <c r="P15" s="29"/>
      <c r="Q15" s="29">
        <f>SUMIF(汇总表!$B$1:$AF$1,Q$3,汇总表!$B14:$AG14)</f>
        <v>0</v>
      </c>
      <c r="R15" s="37">
        <f t="shared" si="7"/>
        <v>0</v>
      </c>
      <c r="S15" s="38">
        <f t="shared" si="8"/>
        <v>0</v>
      </c>
      <c r="T15" s="29"/>
      <c r="U15" s="29">
        <f>SUMIF(汇总表!$B$1:$AF$1,U$3,汇总表!$B14:$AG14)</f>
        <v>0</v>
      </c>
      <c r="V15" s="29">
        <f t="shared" si="9"/>
        <v>0</v>
      </c>
      <c r="W15" s="38">
        <f t="shared" si="10"/>
        <v>0</v>
      </c>
      <c r="X15" s="29"/>
      <c r="Y15" s="29">
        <f>SUMIF(汇总表!$B$1:$AF$1,Y$3,汇总表!$B14:$AG14)</f>
        <v>0</v>
      </c>
      <c r="Z15" s="37">
        <f t="shared" si="11"/>
        <v>0</v>
      </c>
      <c r="AA15" s="38">
        <f t="shared" si="12"/>
        <v>0</v>
      </c>
      <c r="AB15" s="29"/>
      <c r="AC15" s="29">
        <f>SUMIF(汇总表!$B$1:$AF$1,AC$3,汇总表!$B14:$AG14)</f>
        <v>0</v>
      </c>
      <c r="AD15" s="37">
        <f t="shared" si="13"/>
        <v>0</v>
      </c>
      <c r="AE15" s="38">
        <f t="shared" si="14"/>
        <v>0</v>
      </c>
      <c r="AF15" s="29"/>
      <c r="AG15" s="29">
        <f>SUMIF(汇总表!$B$1:$AF$1,AG$3,汇总表!$B14:$AG14)</f>
        <v>0</v>
      </c>
      <c r="AH15" s="37">
        <f t="shared" si="15"/>
        <v>0</v>
      </c>
      <c r="AI15" s="38">
        <f t="shared" si="16"/>
        <v>0</v>
      </c>
      <c r="AJ15" s="29"/>
      <c r="AK15" s="29">
        <f>SUMIF(汇总表!$B$1:$AF$1,AK$3,汇总表!$B14:$AG14)</f>
        <v>0</v>
      </c>
      <c r="AL15" s="37">
        <f t="shared" si="17"/>
        <v>0</v>
      </c>
      <c r="AM15" s="38">
        <f t="shared" si="18"/>
        <v>0</v>
      </c>
      <c r="AN15" s="29"/>
      <c r="AO15" s="29">
        <f>SUMIF(汇总表!$B$1:$AF$1,AO$3,汇总表!$B14:$AG14)</f>
        <v>0</v>
      </c>
      <c r="AP15" s="37">
        <f t="shared" si="19"/>
        <v>0</v>
      </c>
      <c r="AQ15" s="38">
        <f t="shared" si="62"/>
        <v>0</v>
      </c>
      <c r="AR15" s="29"/>
      <c r="AS15" s="29">
        <f>SUMIF(汇总表!$B$1:$AF$1,AS$3,汇总表!$B14:$AG14)</f>
        <v>0</v>
      </c>
      <c r="AT15" s="37">
        <f t="shared" si="20"/>
        <v>0</v>
      </c>
      <c r="AU15" s="38">
        <f t="shared" si="21"/>
        <v>0</v>
      </c>
      <c r="AV15" s="29"/>
      <c r="AW15" s="29">
        <f>SUMIF(汇总表!$B$1:$AF$1,AW$3,汇总表!$B14:$AG14)</f>
        <v>0</v>
      </c>
      <c r="AX15" s="37">
        <f t="shared" si="22"/>
        <v>0</v>
      </c>
      <c r="AY15" s="38">
        <f t="shared" si="23"/>
        <v>0</v>
      </c>
      <c r="AZ15" s="29"/>
      <c r="BA15" s="29">
        <f>SUMIF(汇总表!$B$1:$AF$1,BA$3,汇总表!$B14:$AG14)</f>
        <v>0</v>
      </c>
      <c r="BB15" s="37">
        <f t="shared" si="24"/>
        <v>0</v>
      </c>
      <c r="BC15" s="38">
        <f t="shared" si="25"/>
        <v>0</v>
      </c>
      <c r="BD15" s="29"/>
      <c r="BE15" s="29">
        <f>SUMIF(汇总表!$B$1:$AF$1,BE$3,汇总表!$B14:$AG14)</f>
        <v>0</v>
      </c>
      <c r="BF15" s="37">
        <f t="shared" si="26"/>
        <v>0</v>
      </c>
      <c r="BG15" s="38">
        <f t="shared" si="27"/>
        <v>0</v>
      </c>
      <c r="BH15" s="29"/>
      <c r="BI15" s="29">
        <f>SUMIF(汇总表!$B$1:$AF$1,BI$3,汇总表!$B14:$AG14)</f>
        <v>0</v>
      </c>
      <c r="BJ15" s="37">
        <f t="shared" si="28"/>
        <v>0</v>
      </c>
      <c r="BK15" s="38">
        <f t="shared" si="29"/>
        <v>0</v>
      </c>
      <c r="BL15" s="29"/>
      <c r="BM15" s="29">
        <f>SUMIF(汇总表!$B$1:$AF$1,BM$3,汇总表!$B14:$AG14)</f>
        <v>0</v>
      </c>
      <c r="BN15" s="37">
        <f t="shared" si="30"/>
        <v>0</v>
      </c>
      <c r="BO15" s="38">
        <f t="shared" si="31"/>
        <v>0</v>
      </c>
      <c r="BP15" s="29"/>
      <c r="BQ15" s="29">
        <f>SUMIF(汇总表!$B$1:$AF$1,BQ$3,汇总表!$B14:$AG14)</f>
        <v>0</v>
      </c>
      <c r="BR15" s="37">
        <f t="shared" si="32"/>
        <v>0</v>
      </c>
      <c r="BS15" s="38">
        <f t="shared" si="33"/>
        <v>0</v>
      </c>
      <c r="BT15" s="29"/>
      <c r="BU15" s="29">
        <f>SUMIF(汇总表!$B$1:$AF$1,BU$3,汇总表!$B14:$AG14)</f>
        <v>0</v>
      </c>
      <c r="BV15" s="37">
        <f t="shared" si="34"/>
        <v>0</v>
      </c>
      <c r="BW15" s="38">
        <f t="shared" si="35"/>
        <v>0</v>
      </c>
      <c r="BX15" s="29"/>
      <c r="BY15" s="29">
        <f>SUMIF(汇总表!$B$1:$AF$1,BY$3,汇总表!$B14:$AG14)</f>
        <v>0</v>
      </c>
      <c r="BZ15" s="37">
        <f t="shared" si="36"/>
        <v>0</v>
      </c>
      <c r="CA15" s="38">
        <f t="shared" si="37"/>
        <v>0</v>
      </c>
      <c r="CB15" s="29"/>
      <c r="CC15" s="29">
        <f>SUMIF(汇总表!$B$1:$AF$1,CC$3,汇总表!$B14:$AG14)</f>
        <v>0</v>
      </c>
      <c r="CD15" s="37">
        <f t="shared" si="38"/>
        <v>0</v>
      </c>
      <c r="CE15" s="38">
        <f t="shared" si="39"/>
        <v>0</v>
      </c>
      <c r="CF15" s="29"/>
      <c r="CG15" s="29">
        <f>SUMIF(汇总表!$B$1:$AF$1,CG$3,汇总表!$B14:$AG14)</f>
        <v>0</v>
      </c>
      <c r="CH15" s="37">
        <f t="shared" si="40"/>
        <v>0</v>
      </c>
      <c r="CI15" s="38">
        <f t="shared" si="41"/>
        <v>0</v>
      </c>
      <c r="CJ15" s="29"/>
      <c r="CK15" s="29">
        <f>SUMIF(汇总表!$B$1:$AF$1,CK$3,汇总表!$B14:$AG14)</f>
        <v>0</v>
      </c>
      <c r="CL15" s="37">
        <f t="shared" si="42"/>
        <v>0</v>
      </c>
      <c r="CM15" s="38">
        <f t="shared" si="43"/>
        <v>0</v>
      </c>
      <c r="CN15" s="29"/>
      <c r="CO15" s="29">
        <f>SUMIF(汇总表!$B$1:$AF$1,CO$3,汇总表!$B14:$AG14)</f>
        <v>0</v>
      </c>
      <c r="CP15" s="37">
        <f t="shared" si="44"/>
        <v>0</v>
      </c>
      <c r="CQ15" s="38">
        <f t="shared" si="45"/>
        <v>0</v>
      </c>
      <c r="CR15" s="29"/>
      <c r="CS15" s="29">
        <f>SUMIF(汇总表!$B$1:$AF$1,CS$3,汇总表!$B14:$AG14)</f>
        <v>0</v>
      </c>
      <c r="CT15" s="37">
        <f t="shared" si="46"/>
        <v>0</v>
      </c>
      <c r="CU15" s="38">
        <f t="shared" si="47"/>
        <v>0</v>
      </c>
      <c r="CV15" s="29"/>
      <c r="CW15" s="29">
        <f>SUMIF(汇总表!$B$1:$AF$1,CW$3,汇总表!$B14:$AG14)</f>
        <v>0</v>
      </c>
      <c r="CX15" s="37">
        <f t="shared" si="48"/>
        <v>0</v>
      </c>
      <c r="CY15" s="38">
        <f t="shared" si="49"/>
        <v>0</v>
      </c>
      <c r="CZ15" s="29"/>
      <c r="DA15" s="29">
        <f>SUMIF(汇总表!$B$1:$AF$1,DA$3,汇总表!$B14:$AG14)</f>
        <v>0</v>
      </c>
      <c r="DB15" s="37">
        <f t="shared" si="50"/>
        <v>0</v>
      </c>
      <c r="DC15" s="38">
        <f t="shared" si="51"/>
        <v>0</v>
      </c>
      <c r="DD15" s="29"/>
      <c r="DE15" s="29">
        <f>SUMIF(汇总表!$B$1:$AF$1,DE$3,汇总表!$B14:$AG14)</f>
        <v>0</v>
      </c>
      <c r="DF15" s="37">
        <f t="shared" si="52"/>
        <v>0</v>
      </c>
      <c r="DG15" s="38">
        <f t="shared" si="53"/>
        <v>0</v>
      </c>
      <c r="DH15" s="29"/>
      <c r="DI15" s="29">
        <f>SUMIF(汇总表!$B$1:$AF$1,DI$3,汇总表!$B14:$AG14)</f>
        <v>0</v>
      </c>
      <c r="DJ15" s="37">
        <f t="shared" si="54"/>
        <v>0</v>
      </c>
      <c r="DK15" s="38">
        <f t="shared" si="55"/>
        <v>0</v>
      </c>
      <c r="DL15" s="29"/>
      <c r="DM15" s="29">
        <f>SUMIF(汇总表!$B$1:$AF$1,DM$3,汇总表!$B14:$AG14)</f>
        <v>0</v>
      </c>
      <c r="DN15" s="37">
        <f t="shared" si="56"/>
        <v>0</v>
      </c>
      <c r="DO15" s="38">
        <f t="shared" si="57"/>
        <v>0</v>
      </c>
      <c r="DP15" s="29"/>
      <c r="DQ15" s="29">
        <f>SUMIF(汇总表!$B$1:$AF$1,DQ$3,汇总表!$B14:$AG14)</f>
        <v>0</v>
      </c>
      <c r="DR15" s="37">
        <f t="shared" si="58"/>
        <v>0</v>
      </c>
      <c r="DS15" s="38">
        <f t="shared" si="59"/>
        <v>0</v>
      </c>
      <c r="DT15" s="29"/>
      <c r="DU15" s="29">
        <f>SUMIF(汇总表!$B$1:$AF$1,DU$3,汇总表!$B14:$AG14)</f>
        <v>0</v>
      </c>
      <c r="DV15" s="29">
        <f t="shared" si="60"/>
        <v>0</v>
      </c>
      <c r="DW15" s="38">
        <f t="shared" si="61"/>
        <v>0</v>
      </c>
      <c r="DX15" s="29">
        <v>1000</v>
      </c>
    </row>
    <row r="16" spans="1:128">
      <c r="A16" s="43"/>
      <c r="B16" s="29" t="s">
        <v>614</v>
      </c>
      <c r="C16" s="29" t="s">
        <v>756</v>
      </c>
      <c r="D16" s="29">
        <f t="shared" si="64"/>
        <v>1666.66666666667</v>
      </c>
      <c r="E16" s="29">
        <f>SUMIF(汇总表!$B$1:$AF$1,E$3,汇总表!$B15:$AG15)</f>
        <v>2486.7</v>
      </c>
      <c r="F16" s="37">
        <f t="shared" si="1"/>
        <v>820.033333333333</v>
      </c>
      <c r="G16" s="38">
        <f t="shared" si="2"/>
        <v>-0.49202</v>
      </c>
      <c r="H16" s="29">
        <f t="shared" ref="H16:H40" si="66">$DX16/$E$1</f>
        <v>1666.66666666667</v>
      </c>
      <c r="I16" s="29">
        <f>SUMIF(汇总表!$B$1:$AF$1,I$3,汇总表!$B15:$AG15)</f>
        <v>1054.36</v>
      </c>
      <c r="J16" s="37">
        <f t="shared" si="3"/>
        <v>-612.306666666667</v>
      </c>
      <c r="K16" s="38">
        <f t="shared" si="4"/>
        <v>0.367384</v>
      </c>
      <c r="L16" s="29">
        <f t="shared" ref="L16:L40" si="67">$DX16/$E$1</f>
        <v>1666.66666666667</v>
      </c>
      <c r="M16" s="29">
        <f>SUMIF(汇总表!$B$1:$AF$1,M$3,汇总表!$B15:$AG15)</f>
        <v>2437</v>
      </c>
      <c r="N16" s="37">
        <f t="shared" si="5"/>
        <v>770.333333333333</v>
      </c>
      <c r="O16" s="38">
        <f t="shared" si="6"/>
        <v>-0.4622</v>
      </c>
      <c r="P16" s="29">
        <f t="shared" ref="P16:P40" si="68">$DX16/$E$1</f>
        <v>1666.66666666667</v>
      </c>
      <c r="Q16" s="29">
        <f>SUMIF(汇总表!$B$1:$AF$1,Q$3,汇总表!$B15:$AG15)</f>
        <v>410</v>
      </c>
      <c r="R16" s="37">
        <f t="shared" si="7"/>
        <v>-1256.66666666667</v>
      </c>
      <c r="S16" s="38">
        <f t="shared" si="8"/>
        <v>0.754</v>
      </c>
      <c r="T16" s="29">
        <f t="shared" ref="T16:T40" si="69">$DX16/$E$1</f>
        <v>1666.66666666667</v>
      </c>
      <c r="U16" s="29">
        <f>SUMIF(汇总表!$B$1:$AF$1,U$3,汇总表!$B15:$AG15)</f>
        <v>4436.24</v>
      </c>
      <c r="V16" s="29">
        <f t="shared" si="9"/>
        <v>2769.57333333333</v>
      </c>
      <c r="W16" s="38">
        <f t="shared" si="10"/>
        <v>-1.661744</v>
      </c>
      <c r="X16" s="29">
        <f t="shared" ref="X16:X40" si="70">$DX16/$E$1</f>
        <v>1666.66666666667</v>
      </c>
      <c r="Y16" s="29">
        <f>SUMIF(汇总表!$B$1:$AF$1,Y$3,汇总表!$B15:$AG15)</f>
        <v>408</v>
      </c>
      <c r="Z16" s="37">
        <f t="shared" si="11"/>
        <v>-1258.66666666667</v>
      </c>
      <c r="AA16" s="38">
        <f t="shared" si="12"/>
        <v>0.7552</v>
      </c>
      <c r="AB16" s="29">
        <f t="shared" ref="AB16:AB40" si="71">$DX16/$E$1</f>
        <v>1666.66666666667</v>
      </c>
      <c r="AC16" s="29">
        <v>318</v>
      </c>
      <c r="AD16" s="37">
        <f t="shared" si="13"/>
        <v>-1348.66666666667</v>
      </c>
      <c r="AE16" s="38">
        <f t="shared" si="14"/>
        <v>0.8092</v>
      </c>
      <c r="AF16" s="29">
        <f t="shared" ref="AF16:AF40" si="72">$DX16/$E$1</f>
        <v>1666.66666666667</v>
      </c>
      <c r="AG16" s="29">
        <f>SUMIF(汇总表!$B$1:$AF$1,AG$3,汇总表!$B15:$AG15)</f>
        <v>2596</v>
      </c>
      <c r="AH16" s="37">
        <f t="shared" si="15"/>
        <v>929.333333333333</v>
      </c>
      <c r="AI16" s="38">
        <f t="shared" si="16"/>
        <v>-0.5576</v>
      </c>
      <c r="AJ16" s="29">
        <f t="shared" ref="AJ16:AJ40" si="73">$DX16/$E$1</f>
        <v>1666.66666666667</v>
      </c>
      <c r="AK16" s="29">
        <f>SUMIF(汇总表!$B$1:$AF$1,AK$3,汇总表!$B15:$AG15)</f>
        <v>377.03</v>
      </c>
      <c r="AL16" s="37">
        <f t="shared" si="17"/>
        <v>-1289.63666666667</v>
      </c>
      <c r="AM16" s="38">
        <f t="shared" si="18"/>
        <v>0.773782</v>
      </c>
      <c r="AN16" s="29">
        <f t="shared" ref="AN16:AN40" si="74">$DX16/$E$1</f>
        <v>1666.66666666667</v>
      </c>
      <c r="AO16" s="29">
        <f>SUMIF(汇总表!$B$1:$AF$1,AO$3,汇总表!$B15:$AG15)</f>
        <v>1025.6</v>
      </c>
      <c r="AP16" s="37">
        <f t="shared" si="19"/>
        <v>-641.066666666667</v>
      </c>
      <c r="AQ16" s="38">
        <f t="shared" si="62"/>
        <v>0.38464</v>
      </c>
      <c r="AR16" s="29">
        <f t="shared" si="65"/>
        <v>1666.66666666667</v>
      </c>
      <c r="AS16" s="29">
        <f>SUMIF(汇总表!$B$1:$AF$1,AS$3,汇总表!$B15:$AG15)</f>
        <v>1234.81</v>
      </c>
      <c r="AT16" s="37">
        <f t="shared" si="20"/>
        <v>-431.856666666667</v>
      </c>
      <c r="AU16" s="38">
        <f t="shared" si="21"/>
        <v>0.259114</v>
      </c>
      <c r="AV16" s="29">
        <f t="shared" ref="AV16:AV40" si="75">$DX16/$E$1</f>
        <v>1666.66666666667</v>
      </c>
      <c r="AW16" s="29">
        <f>SUMIF(汇总表!$B$1:$AF$1,AW$3,汇总表!$B15:$AG15)</f>
        <v>1327</v>
      </c>
      <c r="AX16" s="37">
        <f t="shared" si="22"/>
        <v>-339.666666666667</v>
      </c>
      <c r="AY16" s="38">
        <f t="shared" si="23"/>
        <v>0.2038</v>
      </c>
      <c r="AZ16" s="29">
        <f t="shared" ref="AZ16:AZ40" si="76">$DX16/$E$1</f>
        <v>1666.66666666667</v>
      </c>
      <c r="BA16" s="29">
        <f>SUMIF(汇总表!$B$1:$AF$1,BA$3,汇总表!$B15:$AG15)</f>
        <v>2162.66</v>
      </c>
      <c r="BB16" s="37">
        <f t="shared" si="24"/>
        <v>495.993333333333</v>
      </c>
      <c r="BC16" s="38">
        <f t="shared" si="25"/>
        <v>-0.297596</v>
      </c>
      <c r="BD16" s="29">
        <f t="shared" ref="BD16:BD40" si="77">$DX16/$E$1</f>
        <v>1666.66666666667</v>
      </c>
      <c r="BE16" s="29">
        <f>SUMIF(汇总表!$B$1:$AF$1,BE$3,汇总表!$B15:$AG15)</f>
        <v>1676.7</v>
      </c>
      <c r="BF16" s="37">
        <f t="shared" si="26"/>
        <v>10.0333333333333</v>
      </c>
      <c r="BG16" s="38">
        <f t="shared" si="27"/>
        <v>-0.00601999999999998</v>
      </c>
      <c r="BH16" s="29">
        <f t="shared" ref="BH16:BH40" si="78">$DX16/$E$1</f>
        <v>1666.66666666667</v>
      </c>
      <c r="BI16" s="29">
        <f>SUMIF(汇总表!$B$1:$AF$1,BI$3,汇总表!$B15:$AG15)</f>
        <v>3073.51</v>
      </c>
      <c r="BJ16" s="37">
        <f t="shared" si="28"/>
        <v>1406.84333333333</v>
      </c>
      <c r="BK16" s="38">
        <f t="shared" si="29"/>
        <v>-0.844106</v>
      </c>
      <c r="BL16" s="29">
        <f t="shared" ref="BL16:BL40" si="79">$DX16/$E$1</f>
        <v>1666.66666666667</v>
      </c>
      <c r="BM16" s="29">
        <f>SUMIF(汇总表!$B$1:$AF$1,BM$3,汇总表!$B15:$AG15)</f>
        <v>881.52</v>
      </c>
      <c r="BN16" s="37">
        <f t="shared" si="30"/>
        <v>-785.146666666667</v>
      </c>
      <c r="BO16" s="38">
        <f t="shared" si="31"/>
        <v>0.471088</v>
      </c>
      <c r="BP16" s="29">
        <f t="shared" ref="BP16:BP40" si="80">$DX16/$E$1</f>
        <v>1666.66666666667</v>
      </c>
      <c r="BQ16" s="29">
        <f>SUMIF(汇总表!$B$1:$AF$1,BQ$3,汇总表!$B15:$AG15)</f>
        <v>2639.44</v>
      </c>
      <c r="BR16" s="37">
        <f t="shared" si="32"/>
        <v>972.773333333333</v>
      </c>
      <c r="BS16" s="38">
        <f t="shared" si="33"/>
        <v>-0.583664</v>
      </c>
      <c r="BT16" s="29">
        <f t="shared" ref="BT16:BT40" si="81">$DX16/$E$1</f>
        <v>1666.66666666667</v>
      </c>
      <c r="BU16" s="29">
        <f>SUMIF(汇总表!$B$1:$AF$1,BU$3,汇总表!$B15:$AG15)</f>
        <v>231.84</v>
      </c>
      <c r="BV16" s="37">
        <f t="shared" si="34"/>
        <v>-1434.82666666667</v>
      </c>
      <c r="BW16" s="38">
        <f t="shared" si="35"/>
        <v>0.860896</v>
      </c>
      <c r="BX16" s="29">
        <f t="shared" ref="BX16:BX40" si="82">$DX16/$E$1</f>
        <v>1666.66666666667</v>
      </c>
      <c r="BY16" s="29">
        <f>SUMIF(汇总表!$B$1:$AF$1,BY$3,汇总表!$B15:$AG15)</f>
        <v>3110.14</v>
      </c>
      <c r="BZ16" s="37">
        <f t="shared" si="36"/>
        <v>1443.47333333333</v>
      </c>
      <c r="CA16" s="38">
        <f t="shared" si="37"/>
        <v>-0.866084</v>
      </c>
      <c r="CB16" s="29">
        <f t="shared" ref="CB16:CB40" si="83">$DX16/$E$1</f>
        <v>1666.66666666667</v>
      </c>
      <c r="CC16" s="29">
        <f>SUMIF(汇总表!$B$1:$AF$1,CC$3,汇总表!$B15:$AG15)</f>
        <v>637</v>
      </c>
      <c r="CD16" s="37">
        <f t="shared" si="38"/>
        <v>-1029.66666666667</v>
      </c>
      <c r="CE16" s="38">
        <f t="shared" si="39"/>
        <v>0.6178</v>
      </c>
      <c r="CF16" s="29">
        <f t="shared" ref="CF16:CF40" si="84">$DX16/$E$1</f>
        <v>1666.66666666667</v>
      </c>
      <c r="CG16" s="29">
        <f>SUMIF(汇总表!$B$1:$AF$1,CG$3,汇总表!$B15:$AG15)</f>
        <v>1778.52</v>
      </c>
      <c r="CH16" s="37">
        <f t="shared" si="40"/>
        <v>111.853333333333</v>
      </c>
      <c r="CI16" s="38">
        <f t="shared" si="41"/>
        <v>-0.0671119999999999</v>
      </c>
      <c r="CJ16" s="29">
        <f t="shared" ref="CJ16:CJ40" si="85">$DX16/$E$1</f>
        <v>1666.66666666667</v>
      </c>
      <c r="CK16" s="29">
        <f>SUMIF(汇总表!$B$1:$AF$1,CK$3,汇总表!$B15:$AG15)</f>
        <v>2334</v>
      </c>
      <c r="CL16" s="37">
        <f t="shared" si="42"/>
        <v>667.333333333333</v>
      </c>
      <c r="CM16" s="38">
        <f t="shared" si="43"/>
        <v>-0.4004</v>
      </c>
      <c r="CN16" s="29">
        <f t="shared" ref="CN16:CN40" si="86">$DX16/$E$1</f>
        <v>1666.66666666667</v>
      </c>
      <c r="CO16" s="29">
        <f>SUMIF(汇总表!$B$1:$AF$1,CO$3,汇总表!$B15:$AG15)</f>
        <v>1264.7</v>
      </c>
      <c r="CP16" s="37">
        <f t="shared" si="44"/>
        <v>-401.966666666667</v>
      </c>
      <c r="CQ16" s="38">
        <f t="shared" si="45"/>
        <v>0.24118</v>
      </c>
      <c r="CR16" s="29">
        <f t="shared" ref="CR16:CR40" si="87">$DX16/$E$1</f>
        <v>1666.66666666667</v>
      </c>
      <c r="CS16" s="29">
        <f>SUMIF(汇总表!$B$1:$AF$1,CS$3,汇总表!$B15:$AG15)</f>
        <v>4056.8</v>
      </c>
      <c r="CT16" s="37">
        <f t="shared" si="46"/>
        <v>2390.13333333333</v>
      </c>
      <c r="CU16" s="38">
        <f t="shared" si="47"/>
        <v>-1.43408</v>
      </c>
      <c r="CV16" s="29">
        <f t="shared" ref="CV16:CV40" si="88">$DX16/$E$1</f>
        <v>1666.66666666667</v>
      </c>
      <c r="CW16" s="29">
        <f>SUMIF(汇总表!$B$1:$AF$1,CW$3,汇总表!$B15:$AG15)</f>
        <v>2699.4</v>
      </c>
      <c r="CX16" s="37">
        <f t="shared" si="48"/>
        <v>1032.73333333333</v>
      </c>
      <c r="CY16" s="38">
        <f t="shared" si="49"/>
        <v>-0.61964</v>
      </c>
      <c r="CZ16" s="29">
        <f t="shared" ref="CZ16:CZ40" si="89">$DX16/$E$1</f>
        <v>1666.66666666667</v>
      </c>
      <c r="DA16" s="29">
        <f>SUMIF(汇总表!$B$1:$AF$1,DA$3,汇总表!$B15:$AG15)</f>
        <v>2769</v>
      </c>
      <c r="DB16" s="37">
        <f t="shared" si="50"/>
        <v>1102.33333333333</v>
      </c>
      <c r="DC16" s="38">
        <f t="shared" si="51"/>
        <v>-0.6614</v>
      </c>
      <c r="DD16" s="29">
        <f t="shared" ref="DD16:DD40" si="90">$DX16/$E$1</f>
        <v>1666.66666666667</v>
      </c>
      <c r="DE16" s="29">
        <f>SUMIF(汇总表!$B$1:$AF$1,DE$3,汇总表!$B15:$AG15)</f>
        <v>5224.3</v>
      </c>
      <c r="DF16" s="37">
        <f t="shared" si="52"/>
        <v>3557.63333333333</v>
      </c>
      <c r="DG16" s="38">
        <f t="shared" si="53"/>
        <v>-2.13458</v>
      </c>
      <c r="DH16" s="29">
        <f t="shared" ref="DH16:DH40" si="91">$DX16/$E$1</f>
        <v>1666.66666666667</v>
      </c>
      <c r="DI16" s="29">
        <f>SUMIF(汇总表!$B$1:$AF$1,DI$3,汇总表!$B15:$AG15)</f>
        <v>1162</v>
      </c>
      <c r="DJ16" s="37">
        <f t="shared" si="54"/>
        <v>-504.666666666667</v>
      </c>
      <c r="DK16" s="38">
        <f t="shared" si="55"/>
        <v>0.3028</v>
      </c>
      <c r="DL16" s="29">
        <f t="shared" ref="DL16:DL40" si="92">$DX16/$E$1</f>
        <v>1666.66666666667</v>
      </c>
      <c r="DM16" s="29">
        <f>SUMIF(汇总表!$B$1:$AF$1,DM$3,汇总表!$B15:$AG15)</f>
        <v>1175.4</v>
      </c>
      <c r="DN16" s="37">
        <f t="shared" si="56"/>
        <v>-491.266666666667</v>
      </c>
      <c r="DO16" s="38">
        <f t="shared" si="57"/>
        <v>0.29476</v>
      </c>
      <c r="DP16" s="29">
        <f t="shared" ref="DP16:DP35" si="93">IF($E$1=30,DX16/$E$1)</f>
        <v>1666.66666666667</v>
      </c>
      <c r="DQ16" s="29">
        <f>SUMIF(汇总表!$B$1:$AF$1,DQ$3,汇总表!$B15:$AG15)</f>
        <v>2737</v>
      </c>
      <c r="DR16" s="37">
        <f t="shared" si="58"/>
        <v>1070.33333333333</v>
      </c>
      <c r="DS16" s="38">
        <f t="shared" si="59"/>
        <v>-0.6422</v>
      </c>
      <c r="DT16" s="29">
        <f t="shared" ref="DT16:DT35" si="94">IF($E$1=31,$DX$5/$E$1,0)</f>
        <v>0</v>
      </c>
      <c r="DU16" s="29">
        <f>SUMIF(汇总表!$B$1:$AF$1,DU$3,汇总表!$B15:$AG15)</f>
        <v>1749</v>
      </c>
      <c r="DV16" s="29">
        <f t="shared" si="60"/>
        <v>1749</v>
      </c>
      <c r="DW16" s="38">
        <f t="shared" si="61"/>
        <v>0</v>
      </c>
      <c r="DX16" s="29">
        <v>50000</v>
      </c>
    </row>
    <row r="17" spans="1:128">
      <c r="A17" s="43"/>
      <c r="B17" s="29" t="s">
        <v>394</v>
      </c>
      <c r="C17" s="29" t="s">
        <v>757</v>
      </c>
      <c r="D17" s="29">
        <f t="shared" si="64"/>
        <v>1545.002</v>
      </c>
      <c r="E17" s="29">
        <f>SUMIF(汇总表!$B$1:$AF$1,E$3,汇总表!$B16:$AG16)</f>
        <v>965.98</v>
      </c>
      <c r="F17" s="37">
        <f t="shared" si="1"/>
        <v>-579.022</v>
      </c>
      <c r="G17" s="38">
        <f t="shared" si="2"/>
        <v>0.374771035895099</v>
      </c>
      <c r="H17" s="29">
        <f t="shared" si="66"/>
        <v>1545.002</v>
      </c>
      <c r="I17" s="29">
        <f>SUMIF(汇总表!$B$1:$AF$1,I$3,汇总表!$B16:$AG16)</f>
        <v>725.46</v>
      </c>
      <c r="J17" s="37">
        <f t="shared" si="3"/>
        <v>-819.542</v>
      </c>
      <c r="K17" s="38">
        <f t="shared" si="4"/>
        <v>0.530447209777075</v>
      </c>
      <c r="L17" s="29">
        <f t="shared" si="67"/>
        <v>1545.002</v>
      </c>
      <c r="M17" s="29">
        <f>SUMIF(汇总表!$B$1:$AF$1,M$3,汇总表!$B16:$AG16)</f>
        <v>773.46</v>
      </c>
      <c r="N17" s="37">
        <f t="shared" si="5"/>
        <v>-771.542</v>
      </c>
      <c r="O17" s="38">
        <f t="shared" si="6"/>
        <v>0.4993792888294</v>
      </c>
      <c r="P17" s="29">
        <f t="shared" si="68"/>
        <v>1545.002</v>
      </c>
      <c r="Q17" s="29">
        <f>SUMIF(汇总表!$B$1:$AF$1,Q$3,汇总表!$B16:$AG16)</f>
        <v>845.4</v>
      </c>
      <c r="R17" s="37">
        <f t="shared" si="7"/>
        <v>-699.602</v>
      </c>
      <c r="S17" s="38">
        <f t="shared" si="8"/>
        <v>0.452816242309071</v>
      </c>
      <c r="T17" s="29">
        <f t="shared" si="69"/>
        <v>1545.002</v>
      </c>
      <c r="U17" s="29">
        <f>SUMIF(汇总表!$B$1:$AF$1,U$3,汇总表!$B16:$AG16)</f>
        <v>1119.84</v>
      </c>
      <c r="V17" s="29">
        <f t="shared" si="9"/>
        <v>-425.162</v>
      </c>
      <c r="W17" s="38">
        <f t="shared" si="10"/>
        <v>0.275185404290739</v>
      </c>
      <c r="X17" s="29">
        <f t="shared" si="70"/>
        <v>1545.002</v>
      </c>
      <c r="Y17" s="29">
        <f>SUMIF(汇总表!$B$1:$AF$1,Y$3,汇总表!$B16:$AG16)</f>
        <v>1211.56</v>
      </c>
      <c r="Z17" s="37">
        <f t="shared" si="11"/>
        <v>-333.442</v>
      </c>
      <c r="AA17" s="38">
        <f t="shared" si="12"/>
        <v>0.215819785346556</v>
      </c>
      <c r="AB17" s="29">
        <f t="shared" si="71"/>
        <v>1545.002</v>
      </c>
      <c r="AC17" s="29">
        <f>SUMIF(汇总表!$B$1:$AF$1,AC$3,汇总表!$B16:$AG16)</f>
        <v>997.02</v>
      </c>
      <c r="AD17" s="37">
        <f t="shared" si="13"/>
        <v>-547.982</v>
      </c>
      <c r="AE17" s="38">
        <f t="shared" si="14"/>
        <v>0.354680447015603</v>
      </c>
      <c r="AF17" s="29">
        <f t="shared" si="72"/>
        <v>1545.002</v>
      </c>
      <c r="AG17" s="29">
        <f>SUMIF(汇总表!$B$1:$AF$1,AG$3,汇总表!$B16:$AG16)</f>
        <v>985.85</v>
      </c>
      <c r="AH17" s="37">
        <f t="shared" si="15"/>
        <v>-559.152</v>
      </c>
      <c r="AI17" s="38">
        <f t="shared" si="16"/>
        <v>0.361910211119468</v>
      </c>
      <c r="AJ17" s="29">
        <f t="shared" si="73"/>
        <v>1545.002</v>
      </c>
      <c r="AK17" s="29">
        <f>SUMIF(汇总表!$B$1:$AF$1,AK$3,汇总表!$B16:$AG16)</f>
        <v>1128.85</v>
      </c>
      <c r="AL17" s="37">
        <f t="shared" si="17"/>
        <v>-416.152</v>
      </c>
      <c r="AM17" s="38">
        <f t="shared" si="18"/>
        <v>0.269353696629519</v>
      </c>
      <c r="AN17" s="29">
        <f t="shared" si="74"/>
        <v>1545.002</v>
      </c>
      <c r="AO17" s="29">
        <f>SUMIF(汇总表!$B$1:$AF$1,AO$3,汇总表!$B16:$AG16)</f>
        <v>968.75</v>
      </c>
      <c r="AP17" s="37">
        <f t="shared" si="19"/>
        <v>-576.252</v>
      </c>
      <c r="AQ17" s="38">
        <f t="shared" si="62"/>
        <v>0.372978157957077</v>
      </c>
      <c r="AR17" s="29">
        <f t="shared" si="65"/>
        <v>1545.002</v>
      </c>
      <c r="AS17" s="29">
        <f>SUMIF(汇总表!$B$1:$AF$1,AS$3,汇总表!$B16:$AG16)</f>
        <v>1174.86</v>
      </c>
      <c r="AT17" s="37">
        <f t="shared" si="20"/>
        <v>-370.142</v>
      </c>
      <c r="AU17" s="38">
        <f t="shared" si="21"/>
        <v>0.239573799904466</v>
      </c>
      <c r="AV17" s="29">
        <f t="shared" si="75"/>
        <v>1545.002</v>
      </c>
      <c r="AW17" s="29">
        <f>SUMIF(汇总表!$B$1:$AF$1,AW$3,汇总表!$B16:$AG16)</f>
        <v>1208.5</v>
      </c>
      <c r="AX17" s="37">
        <f t="shared" si="22"/>
        <v>-336.502</v>
      </c>
      <c r="AY17" s="38">
        <f t="shared" si="23"/>
        <v>0.21780036530697</v>
      </c>
      <c r="AZ17" s="29">
        <f t="shared" si="76"/>
        <v>1545.002</v>
      </c>
      <c r="BA17" s="29">
        <f>SUMIF(汇总表!$B$1:$AF$1,BA$3,汇总表!$B16:$AG16)</f>
        <v>1128.23</v>
      </c>
      <c r="BB17" s="37">
        <f t="shared" si="24"/>
        <v>-416.772</v>
      </c>
      <c r="BC17" s="38">
        <f t="shared" si="25"/>
        <v>0.269754990608426</v>
      </c>
      <c r="BD17" s="29">
        <f t="shared" si="77"/>
        <v>1545.002</v>
      </c>
      <c r="BE17" s="29">
        <f>SUMIF(汇总表!$B$1:$AF$1,BE$3,汇总表!$B16:$AG16)</f>
        <v>963.79</v>
      </c>
      <c r="BF17" s="37">
        <f t="shared" si="26"/>
        <v>-581.212</v>
      </c>
      <c r="BG17" s="38">
        <f t="shared" si="27"/>
        <v>0.376188509788337</v>
      </c>
      <c r="BH17" s="29">
        <f t="shared" si="78"/>
        <v>1545.002</v>
      </c>
      <c r="BI17" s="29">
        <f>SUMIF(汇总表!$B$1:$AF$1,BI$3,汇总表!$B16:$AG16)</f>
        <v>802.32</v>
      </c>
      <c r="BJ17" s="37">
        <f t="shared" si="28"/>
        <v>-742.682</v>
      </c>
      <c r="BK17" s="38">
        <f t="shared" si="29"/>
        <v>0.48069970135961</v>
      </c>
      <c r="BL17" s="29">
        <f t="shared" si="79"/>
        <v>1545.002</v>
      </c>
      <c r="BM17" s="29">
        <f>SUMIF(汇总表!$B$1:$AF$1,BM$3,汇总表!$B16:$AG16)</f>
        <v>830.92</v>
      </c>
      <c r="BN17" s="37">
        <f t="shared" si="30"/>
        <v>-714.082</v>
      </c>
      <c r="BO17" s="38">
        <f t="shared" si="31"/>
        <v>0.46218839846162</v>
      </c>
      <c r="BP17" s="29">
        <f t="shared" si="80"/>
        <v>1545.002</v>
      </c>
      <c r="BQ17" s="29">
        <f>SUMIF(汇总表!$B$1:$AF$1,BQ$3,汇总表!$B16:$AG16)</f>
        <v>1200.16</v>
      </c>
      <c r="BR17" s="37">
        <f t="shared" si="32"/>
        <v>-344.842</v>
      </c>
      <c r="BS17" s="38">
        <f t="shared" si="33"/>
        <v>0.223198416571629</v>
      </c>
      <c r="BT17" s="29">
        <f t="shared" si="81"/>
        <v>1545.002</v>
      </c>
      <c r="BU17" s="29">
        <f>SUMIF(汇总表!$B$1:$AF$1,BU$3,汇总表!$B16:$AG16)</f>
        <v>1264.58</v>
      </c>
      <c r="BV17" s="37">
        <f t="shared" si="34"/>
        <v>-280.422</v>
      </c>
      <c r="BW17" s="38">
        <f t="shared" si="35"/>
        <v>0.181502677666437</v>
      </c>
      <c r="BX17" s="29">
        <f t="shared" si="82"/>
        <v>1545.002</v>
      </c>
      <c r="BY17" s="29">
        <f>SUMIF(汇总表!$B$1:$AF$1,BY$3,汇总表!$B16:$AG16)</f>
        <v>1156.68</v>
      </c>
      <c r="BZ17" s="37">
        <f t="shared" si="36"/>
        <v>-388.322</v>
      </c>
      <c r="CA17" s="38">
        <f t="shared" si="37"/>
        <v>0.251340774963398</v>
      </c>
      <c r="CB17" s="29">
        <f t="shared" si="83"/>
        <v>1545.002</v>
      </c>
      <c r="CC17" s="29">
        <f>SUMIF(汇总表!$B$1:$AF$1,CC$3,汇总表!$B16:$AG16)</f>
        <v>1211.36</v>
      </c>
      <c r="CD17" s="37">
        <f t="shared" si="38"/>
        <v>-333.642</v>
      </c>
      <c r="CE17" s="38">
        <f t="shared" si="39"/>
        <v>0.215949235017172</v>
      </c>
      <c r="CF17" s="29">
        <f t="shared" si="84"/>
        <v>1545.002</v>
      </c>
      <c r="CG17" s="29">
        <f>SUMIF(汇总表!$B$1:$AF$1,CG$3,汇总表!$B16:$AG16)</f>
        <v>1130.63</v>
      </c>
      <c r="CH17" s="37">
        <f t="shared" si="40"/>
        <v>-414.372</v>
      </c>
      <c r="CI17" s="38">
        <f t="shared" si="41"/>
        <v>0.268201594561043</v>
      </c>
      <c r="CJ17" s="29">
        <f t="shared" si="85"/>
        <v>1545.002</v>
      </c>
      <c r="CK17" s="29">
        <f>SUMIF(汇总表!$B$1:$AF$1,CK$3,汇总表!$B16:$AG16)</f>
        <v>883.08</v>
      </c>
      <c r="CL17" s="37">
        <f t="shared" si="42"/>
        <v>-661.922</v>
      </c>
      <c r="CM17" s="38">
        <f t="shared" si="43"/>
        <v>0.428427924365146</v>
      </c>
      <c r="CN17" s="29">
        <f t="shared" si="86"/>
        <v>1545.002</v>
      </c>
      <c r="CO17" s="29">
        <f>SUMIF(汇总表!$B$1:$AF$1,CO$3,汇总表!$B16:$AG16)</f>
        <v>886.49</v>
      </c>
      <c r="CP17" s="37">
        <f t="shared" si="44"/>
        <v>-658.512</v>
      </c>
      <c r="CQ17" s="38">
        <f t="shared" si="45"/>
        <v>0.426220807481155</v>
      </c>
      <c r="CR17" s="29">
        <f t="shared" si="87"/>
        <v>1545.002</v>
      </c>
      <c r="CS17" s="29">
        <f>SUMIF(汇总表!$B$1:$AF$1,CS$3,汇总表!$B16:$AG16)</f>
        <v>827.83</v>
      </c>
      <c r="CT17" s="37">
        <f t="shared" si="46"/>
        <v>-717.172</v>
      </c>
      <c r="CU17" s="38">
        <f t="shared" si="47"/>
        <v>0.464188395872627</v>
      </c>
      <c r="CV17" s="29">
        <f t="shared" si="88"/>
        <v>1545.002</v>
      </c>
      <c r="CW17" s="29">
        <f>SUMIF(汇总表!$B$1:$AF$1,CW$3,汇总表!$B16:$AG16)</f>
        <v>992.09</v>
      </c>
      <c r="CX17" s="37">
        <f t="shared" si="48"/>
        <v>-552.912</v>
      </c>
      <c r="CY17" s="38">
        <f t="shared" si="49"/>
        <v>0.35787138139627</v>
      </c>
      <c r="CZ17" s="29">
        <f t="shared" si="89"/>
        <v>1545.002</v>
      </c>
      <c r="DA17" s="29">
        <f>SUMIF(汇总表!$B$1:$AF$1,DA$3,汇总表!$B16:$AG16)</f>
        <v>940.71</v>
      </c>
      <c r="DB17" s="37">
        <f t="shared" si="50"/>
        <v>-604.292</v>
      </c>
      <c r="DC17" s="38">
        <f t="shared" si="51"/>
        <v>0.391127001777344</v>
      </c>
      <c r="DD17" s="29">
        <f t="shared" si="90"/>
        <v>1545.002</v>
      </c>
      <c r="DE17" s="29">
        <f>SUMIF(汇总表!$B$1:$AF$1,DE$3,汇总表!$B16:$AG16)</f>
        <v>1207.23</v>
      </c>
      <c r="DF17" s="37">
        <f t="shared" si="52"/>
        <v>-337.772</v>
      </c>
      <c r="DG17" s="38">
        <f t="shared" si="53"/>
        <v>0.218622370715378</v>
      </c>
      <c r="DH17" s="29">
        <f t="shared" si="91"/>
        <v>1545.002</v>
      </c>
      <c r="DI17" s="29">
        <f>SUMIF(汇总表!$B$1:$AF$1,DI$3,汇总表!$B16:$AG16)</f>
        <v>693.17</v>
      </c>
      <c r="DJ17" s="37">
        <f t="shared" si="54"/>
        <v>-851.832</v>
      </c>
      <c r="DK17" s="38">
        <f t="shared" si="55"/>
        <v>0.551346859097917</v>
      </c>
      <c r="DL17" s="29">
        <f t="shared" si="92"/>
        <v>1545.002</v>
      </c>
      <c r="DM17" s="29">
        <f>SUMIF(汇总表!$B$1:$AF$1,DM$3,汇总表!$B16:$AG16)</f>
        <v>818.81</v>
      </c>
      <c r="DN17" s="37">
        <f t="shared" si="56"/>
        <v>-726.192</v>
      </c>
      <c r="DO17" s="38">
        <f t="shared" si="57"/>
        <v>0.470026576017377</v>
      </c>
      <c r="DP17" s="29">
        <f t="shared" si="93"/>
        <v>1545.002</v>
      </c>
      <c r="DQ17" s="29">
        <f>SUMIF(汇总表!$B$1:$AF$1,DQ$3,汇总表!$B16:$AG16)</f>
        <v>1093.81</v>
      </c>
      <c r="DR17" s="37">
        <f t="shared" si="58"/>
        <v>-451.192</v>
      </c>
      <c r="DS17" s="38">
        <f t="shared" si="59"/>
        <v>0.292033278921322</v>
      </c>
      <c r="DT17" s="29">
        <f t="shared" si="94"/>
        <v>0</v>
      </c>
      <c r="DU17" s="29">
        <f>SUMIF(汇总表!$B$1:$AF$1,DU$3,汇总表!$B16:$AG16)</f>
        <v>983.48</v>
      </c>
      <c r="DV17" s="29">
        <f t="shared" si="60"/>
        <v>983.48</v>
      </c>
      <c r="DW17" s="38">
        <f t="shared" si="61"/>
        <v>0</v>
      </c>
      <c r="DX17" s="29">
        <f>DX13</f>
        <v>46350.06</v>
      </c>
    </row>
    <row r="18" spans="1:128">
      <c r="A18" s="43"/>
      <c r="B18" s="29" t="s">
        <v>667</v>
      </c>
      <c r="C18" s="29" t="s">
        <v>758</v>
      </c>
      <c r="D18" s="29">
        <f t="shared" si="64"/>
        <v>2666.66666666667</v>
      </c>
      <c r="E18" s="29">
        <f>SUMIF(汇总表!$B$1:$AF$1,E$3,汇总表!$B17:$AG17)</f>
        <v>1950.0789</v>
      </c>
      <c r="F18" s="37">
        <f t="shared" si="1"/>
        <v>-716.587766666667</v>
      </c>
      <c r="G18" s="38">
        <f t="shared" si="2"/>
        <v>0.2687204125</v>
      </c>
      <c r="H18" s="29">
        <f t="shared" si="66"/>
        <v>2666.66666666667</v>
      </c>
      <c r="I18" s="29">
        <f>SUMIF(汇总表!$B$1:$AF$1,I$3,汇总表!$B17:$AG17)</f>
        <v>1907.8213</v>
      </c>
      <c r="J18" s="37">
        <f t="shared" si="3"/>
        <v>-758.845366666666</v>
      </c>
      <c r="K18" s="38">
        <f t="shared" si="4"/>
        <v>0.2845670125</v>
      </c>
      <c r="L18" s="29">
        <f t="shared" si="67"/>
        <v>2666.66666666667</v>
      </c>
      <c r="M18" s="29">
        <f>SUMIF(汇总表!$B$1:$AF$1,M$3,汇总表!$B17:$AG17)</f>
        <v>2376.1584</v>
      </c>
      <c r="N18" s="37">
        <f t="shared" si="5"/>
        <v>-290.508266666667</v>
      </c>
      <c r="O18" s="38">
        <f t="shared" si="6"/>
        <v>0.1089406</v>
      </c>
      <c r="P18" s="29">
        <f t="shared" si="68"/>
        <v>2666.66666666667</v>
      </c>
      <c r="Q18" s="29">
        <f>SUMIF(汇总表!$B$1:$AF$1,Q$3,汇总表!$B17:$AG17)</f>
        <v>2754.8675</v>
      </c>
      <c r="R18" s="37">
        <f t="shared" si="7"/>
        <v>88.2008333333333</v>
      </c>
      <c r="S18" s="38">
        <f t="shared" si="8"/>
        <v>-0.0330753125</v>
      </c>
      <c r="T18" s="29">
        <f t="shared" si="69"/>
        <v>2666.66666666667</v>
      </c>
      <c r="U18" s="29">
        <f>SUMIF(汇总表!$B$1:$AF$1,U$3,汇总表!$B17:$AG17)</f>
        <v>2767.1028</v>
      </c>
      <c r="V18" s="29">
        <f t="shared" si="9"/>
        <v>100.436133333334</v>
      </c>
      <c r="W18" s="38">
        <f t="shared" si="10"/>
        <v>-0.0376635500000001</v>
      </c>
      <c r="X18" s="29">
        <f t="shared" si="70"/>
        <v>2666.66666666667</v>
      </c>
      <c r="Y18" s="29">
        <f>SUMIF(汇总表!$B$1:$AF$1,Y$3,汇总表!$B17:$AG17)</f>
        <v>2840.8226</v>
      </c>
      <c r="Z18" s="37">
        <f t="shared" si="11"/>
        <v>174.155933333333</v>
      </c>
      <c r="AA18" s="38">
        <f t="shared" si="12"/>
        <v>-0.065308475</v>
      </c>
      <c r="AB18" s="29">
        <f t="shared" si="71"/>
        <v>2666.66666666667</v>
      </c>
      <c r="AC18" s="29">
        <f>SUMIF(汇总表!$B$1:$AF$1,AC$3,汇总表!$B17:$AG17)</f>
        <v>2596.1551</v>
      </c>
      <c r="AD18" s="37">
        <f t="shared" si="13"/>
        <v>-70.5115666666666</v>
      </c>
      <c r="AE18" s="38">
        <f t="shared" si="14"/>
        <v>0.0264418375</v>
      </c>
      <c r="AF18" s="29">
        <f t="shared" si="72"/>
        <v>2666.66666666667</v>
      </c>
      <c r="AG18" s="29">
        <f>SUMIF(汇总表!$B$1:$AF$1,AG$3,汇总表!$B17:$AG17)</f>
        <v>2603.1621</v>
      </c>
      <c r="AH18" s="37">
        <f t="shared" si="15"/>
        <v>-63.5045666666665</v>
      </c>
      <c r="AI18" s="38">
        <f t="shared" si="16"/>
        <v>0.0238142124999999</v>
      </c>
      <c r="AJ18" s="29">
        <f t="shared" si="73"/>
        <v>2666.66666666667</v>
      </c>
      <c r="AK18" s="29">
        <f>SUMIF(汇总表!$B$1:$AF$1,AK$3,汇总表!$B17:$AG17)</f>
        <v>3029.0029</v>
      </c>
      <c r="AL18" s="37">
        <f t="shared" si="17"/>
        <v>362.336233333333</v>
      </c>
      <c r="AM18" s="38">
        <f t="shared" si="18"/>
        <v>-0.1358760875</v>
      </c>
      <c r="AN18" s="29">
        <f t="shared" si="74"/>
        <v>2666.66666666667</v>
      </c>
      <c r="AO18" s="29">
        <f>SUMIF(汇总表!$B$1:$AF$1,AO$3,汇总表!$B17:$AG17)</f>
        <v>2867.6571</v>
      </c>
      <c r="AP18" s="37">
        <f t="shared" si="19"/>
        <v>200.990433333333</v>
      </c>
      <c r="AQ18" s="38">
        <f t="shared" si="62"/>
        <v>-0.0753714125</v>
      </c>
      <c r="AR18" s="29">
        <f t="shared" si="65"/>
        <v>2666.66666666667</v>
      </c>
      <c r="AS18" s="29">
        <f>SUMIF(汇总表!$B$1:$AF$1,AS$3,汇总表!$B17:$AG17)</f>
        <v>3324.629</v>
      </c>
      <c r="AT18" s="37">
        <f t="shared" si="20"/>
        <v>657.962333333333</v>
      </c>
      <c r="AU18" s="38">
        <f t="shared" si="21"/>
        <v>-0.246735875</v>
      </c>
      <c r="AV18" s="29">
        <f t="shared" si="75"/>
        <v>2666.66666666667</v>
      </c>
      <c r="AW18" s="29">
        <f>SUMIF(汇总表!$B$1:$AF$1,AW$3,汇总表!$B17:$AG17)</f>
        <v>3064.8695</v>
      </c>
      <c r="AX18" s="37">
        <f t="shared" si="22"/>
        <v>398.202833333333</v>
      </c>
      <c r="AY18" s="38">
        <f t="shared" si="23"/>
        <v>-0.1493260625</v>
      </c>
      <c r="AZ18" s="29">
        <f t="shared" si="76"/>
        <v>2666.66666666667</v>
      </c>
      <c r="BA18" s="29">
        <f>SUMIF(汇总表!$B$1:$AF$1,BA$3,汇总表!$B17:$AG17)</f>
        <v>2506.9352</v>
      </c>
      <c r="BB18" s="37">
        <f t="shared" si="24"/>
        <v>-159.731466666667</v>
      </c>
      <c r="BC18" s="38">
        <f t="shared" si="25"/>
        <v>0.0598993</v>
      </c>
      <c r="BD18" s="29">
        <f t="shared" si="77"/>
        <v>2666.66666666667</v>
      </c>
      <c r="BE18" s="29">
        <f>SUMIF(汇总表!$B$1:$AF$1,BE$3,汇总表!$B17:$AG17)</f>
        <v>2276.5127</v>
      </c>
      <c r="BF18" s="37">
        <f t="shared" si="26"/>
        <v>-390.153966666666</v>
      </c>
      <c r="BG18" s="38">
        <f t="shared" si="27"/>
        <v>0.1463077375</v>
      </c>
      <c r="BH18" s="29">
        <f t="shared" si="78"/>
        <v>2666.66666666667</v>
      </c>
      <c r="BI18" s="29">
        <f>SUMIF(汇总表!$B$1:$AF$1,BI$3,汇总表!$B17:$AG17)</f>
        <v>0</v>
      </c>
      <c r="BJ18" s="37">
        <f t="shared" si="28"/>
        <v>-2666.66666666667</v>
      </c>
      <c r="BK18" s="38">
        <f t="shared" si="29"/>
        <v>1</v>
      </c>
      <c r="BL18" s="29">
        <f t="shared" si="79"/>
        <v>2666.66666666667</v>
      </c>
      <c r="BM18" s="29">
        <f>SUMIF(汇总表!$B$1:$AF$1,BM$3,汇总表!$B17:$AG17)</f>
        <v>2454.5521</v>
      </c>
      <c r="BN18" s="37">
        <f t="shared" si="30"/>
        <v>-212.114566666667</v>
      </c>
      <c r="BO18" s="38">
        <f t="shared" si="31"/>
        <v>0.0795429625</v>
      </c>
      <c r="BP18" s="29">
        <f t="shared" si="80"/>
        <v>2666.66666666667</v>
      </c>
      <c r="BQ18" s="29">
        <f>SUMIF(汇总表!$B$1:$AF$1,BQ$3,汇总表!$B17:$AG17)</f>
        <v>2497.5181</v>
      </c>
      <c r="BR18" s="37">
        <f t="shared" si="32"/>
        <v>-169.148566666667</v>
      </c>
      <c r="BS18" s="38">
        <f t="shared" si="33"/>
        <v>0.0634307125</v>
      </c>
      <c r="BT18" s="29">
        <f t="shared" si="81"/>
        <v>2666.66666666667</v>
      </c>
      <c r="BU18" s="29">
        <f>SUMIF(汇总表!$B$1:$AF$1,BU$3,汇总表!$B17:$AG17)</f>
        <v>1956.1927</v>
      </c>
      <c r="BV18" s="37">
        <f t="shared" si="34"/>
        <v>-710.473966666666</v>
      </c>
      <c r="BW18" s="38">
        <f t="shared" si="35"/>
        <v>0.2664277375</v>
      </c>
      <c r="BX18" s="29">
        <f t="shared" si="82"/>
        <v>2666.66666666667</v>
      </c>
      <c r="BY18" s="29">
        <f>SUMIF(汇总表!$B$1:$AF$1,BY$3,汇总表!$B17:$AG17)</f>
        <v>2549.2775</v>
      </c>
      <c r="BZ18" s="37">
        <f t="shared" si="36"/>
        <v>-117.389166666666</v>
      </c>
      <c r="CA18" s="38">
        <f t="shared" si="37"/>
        <v>0.0440209374999999</v>
      </c>
      <c r="CB18" s="29">
        <f t="shared" si="83"/>
        <v>2666.66666666667</v>
      </c>
      <c r="CC18" s="29">
        <f>SUMIF(汇总表!$B$1:$AF$1,CC$3,汇总表!$B17:$AG17)</f>
        <v>1953.6748</v>
      </c>
      <c r="CD18" s="37">
        <f t="shared" si="38"/>
        <v>-712.991866666667</v>
      </c>
      <c r="CE18" s="38">
        <f t="shared" si="39"/>
        <v>0.26737195</v>
      </c>
      <c r="CF18" s="29">
        <f t="shared" si="84"/>
        <v>2666.66666666667</v>
      </c>
      <c r="CG18" s="29">
        <f>SUMIF(汇总表!$B$1:$AF$1,CG$3,汇总表!$B17:$AG17)</f>
        <v>2318.2852</v>
      </c>
      <c r="CH18" s="37">
        <f t="shared" si="40"/>
        <v>-348.381466666667</v>
      </c>
      <c r="CI18" s="38">
        <f t="shared" si="41"/>
        <v>0.13064305</v>
      </c>
      <c r="CJ18" s="29">
        <f t="shared" si="85"/>
        <v>2666.66666666667</v>
      </c>
      <c r="CK18" s="29">
        <f>SUMIF(汇总表!$B$1:$AF$1,CK$3,汇总表!$B17:$AG17)</f>
        <v>2470.0137</v>
      </c>
      <c r="CL18" s="37">
        <f t="shared" si="42"/>
        <v>-196.652966666667</v>
      </c>
      <c r="CM18" s="38">
        <f t="shared" si="43"/>
        <v>0.0737448625</v>
      </c>
      <c r="CN18" s="29">
        <f t="shared" si="86"/>
        <v>2666.66666666667</v>
      </c>
      <c r="CO18" s="29">
        <f>SUMIF(汇总表!$B$1:$AF$1,CO$3,汇总表!$B17:$AG17)</f>
        <v>2358.2867</v>
      </c>
      <c r="CP18" s="37">
        <f t="shared" si="44"/>
        <v>-308.379966666666</v>
      </c>
      <c r="CQ18" s="38">
        <f t="shared" si="45"/>
        <v>0.1156424875</v>
      </c>
      <c r="CR18" s="29">
        <f t="shared" si="87"/>
        <v>2666.66666666667</v>
      </c>
      <c r="CS18" s="29">
        <f>SUMIF(汇总表!$B$1:$AF$1,CS$3,汇总表!$B17:$AG17)</f>
        <v>2469.9521</v>
      </c>
      <c r="CT18" s="37">
        <f t="shared" si="46"/>
        <v>-196.714566666667</v>
      </c>
      <c r="CU18" s="38">
        <f t="shared" si="47"/>
        <v>0.0737679625</v>
      </c>
      <c r="CV18" s="29">
        <f t="shared" si="88"/>
        <v>2666.66666666667</v>
      </c>
      <c r="CW18" s="29">
        <f>SUMIF(汇总表!$B$1:$AF$1,CW$3,汇总表!$B17:$AG17)</f>
        <v>2310.6699</v>
      </c>
      <c r="CX18" s="37">
        <f t="shared" si="48"/>
        <v>-355.996766666667</v>
      </c>
      <c r="CY18" s="38">
        <f t="shared" si="49"/>
        <v>0.1334987875</v>
      </c>
      <c r="CZ18" s="29">
        <f t="shared" si="89"/>
        <v>2666.66666666667</v>
      </c>
      <c r="DA18" s="29">
        <f>SUMIF(汇总表!$B$1:$AF$1,DA$3,汇总表!$B17:$AG17)</f>
        <v>2534.6552</v>
      </c>
      <c r="DB18" s="37">
        <f t="shared" si="50"/>
        <v>-132.011466666666</v>
      </c>
      <c r="DC18" s="38">
        <f t="shared" si="51"/>
        <v>0.0495042999999999</v>
      </c>
      <c r="DD18" s="29">
        <f t="shared" si="90"/>
        <v>2666.66666666667</v>
      </c>
      <c r="DE18" s="29">
        <f>SUMIF(汇总表!$B$1:$AF$1,DE$3,汇总表!$B17:$AG17)</f>
        <v>2337.2965</v>
      </c>
      <c r="DF18" s="37">
        <f t="shared" si="52"/>
        <v>-329.370166666667</v>
      </c>
      <c r="DG18" s="38">
        <f t="shared" si="53"/>
        <v>0.1235138125</v>
      </c>
      <c r="DH18" s="29">
        <f t="shared" si="91"/>
        <v>2666.66666666667</v>
      </c>
      <c r="DI18" s="29">
        <f>SUMIF(汇总表!$B$1:$AF$1,DI$3,汇总表!$B17:$AG17)</f>
        <v>2655.6376</v>
      </c>
      <c r="DJ18" s="37">
        <f t="shared" si="54"/>
        <v>-11.0290666666665</v>
      </c>
      <c r="DK18" s="38">
        <f t="shared" si="55"/>
        <v>0.00413589999999994</v>
      </c>
      <c r="DL18" s="29">
        <f t="shared" si="92"/>
        <v>2666.66666666667</v>
      </c>
      <c r="DM18" s="29">
        <f>SUMIF(汇总表!$B$1:$AF$1,DM$3,汇总表!$B17:$AG17)</f>
        <v>3007.697</v>
      </c>
      <c r="DN18" s="37">
        <f t="shared" si="56"/>
        <v>341.030333333334</v>
      </c>
      <c r="DO18" s="38">
        <f t="shared" si="57"/>
        <v>-0.127886375</v>
      </c>
      <c r="DP18" s="29">
        <f t="shared" si="93"/>
        <v>2666.66666666667</v>
      </c>
      <c r="DQ18" s="29">
        <f>SUMIF(汇总表!$B$1:$AF$1,DQ$3,汇总表!$B17:$AG17)</f>
        <v>3005.2946</v>
      </c>
      <c r="DR18" s="37">
        <f t="shared" si="58"/>
        <v>338.627933333334</v>
      </c>
      <c r="DS18" s="38">
        <f t="shared" si="59"/>
        <v>-0.126985475</v>
      </c>
      <c r="DT18" s="29">
        <f t="shared" si="94"/>
        <v>0</v>
      </c>
      <c r="DU18" s="29">
        <f>SUMIF(汇总表!$B$1:$AF$1,DU$3,汇总表!$B17:$AG17)</f>
        <v>3136.8876</v>
      </c>
      <c r="DV18" s="29">
        <f t="shared" si="60"/>
        <v>3136.8876</v>
      </c>
      <c r="DW18" s="38">
        <f t="shared" si="61"/>
        <v>0</v>
      </c>
      <c r="DX18" s="29">
        <v>80000</v>
      </c>
    </row>
    <row r="19" spans="1:128">
      <c r="A19" s="43"/>
      <c r="B19" s="29" t="s">
        <v>669</v>
      </c>
      <c r="C19" s="29" t="s">
        <v>759</v>
      </c>
      <c r="D19" s="29">
        <f t="shared" si="64"/>
        <v>266.666666666667</v>
      </c>
      <c r="E19" s="29">
        <f>SUMIF(汇总表!$B$1:$AF$1,E$3,汇总表!$B18:$AG18)</f>
        <v>127.2</v>
      </c>
      <c r="F19" s="37">
        <f t="shared" si="1"/>
        <v>-139.466666666667</v>
      </c>
      <c r="G19" s="38">
        <f t="shared" si="2"/>
        <v>0.523</v>
      </c>
      <c r="H19" s="29">
        <f t="shared" si="66"/>
        <v>266.666666666667</v>
      </c>
      <c r="I19" s="29">
        <f>SUMIF(汇总表!$B$1:$AF$1,I$3,汇总表!$B18:$AG18)</f>
        <v>153.7</v>
      </c>
      <c r="J19" s="37">
        <f t="shared" si="3"/>
        <v>-112.966666666667</v>
      </c>
      <c r="K19" s="38">
        <f t="shared" si="4"/>
        <v>0.423625</v>
      </c>
      <c r="L19" s="29">
        <f t="shared" si="67"/>
        <v>266.666666666667</v>
      </c>
      <c r="M19" s="29">
        <f>SUMIF(汇总表!$B$1:$AF$1,M$3,汇总表!$B18:$AG18)</f>
        <v>164.3</v>
      </c>
      <c r="N19" s="37">
        <f t="shared" si="5"/>
        <v>-102.366666666667</v>
      </c>
      <c r="O19" s="38">
        <f t="shared" si="6"/>
        <v>0.383875</v>
      </c>
      <c r="P19" s="29">
        <f t="shared" si="68"/>
        <v>266.666666666667</v>
      </c>
      <c r="Q19" s="29">
        <f>SUMIF(汇总表!$B$1:$AF$1,Q$3,汇总表!$B18:$AG18)</f>
        <v>169.6</v>
      </c>
      <c r="R19" s="37">
        <f t="shared" si="7"/>
        <v>-97.0666666666667</v>
      </c>
      <c r="S19" s="38">
        <f t="shared" si="8"/>
        <v>0.364</v>
      </c>
      <c r="T19" s="29">
        <f t="shared" si="69"/>
        <v>266.666666666667</v>
      </c>
      <c r="U19" s="29">
        <f>SUMIF(汇总表!$B$1:$AF$1,U$3,汇总表!$B18:$AG18)</f>
        <v>254.4</v>
      </c>
      <c r="V19" s="29">
        <f t="shared" si="9"/>
        <v>-12.2666666666667</v>
      </c>
      <c r="W19" s="38">
        <f t="shared" si="10"/>
        <v>0.046</v>
      </c>
      <c r="X19" s="29">
        <f t="shared" si="70"/>
        <v>266.666666666667</v>
      </c>
      <c r="Y19" s="29">
        <f>SUMIF(汇总表!$B$1:$AF$1,Y$3,汇总表!$B18:$AG18)</f>
        <v>201.4</v>
      </c>
      <c r="Z19" s="37">
        <f t="shared" si="11"/>
        <v>-65.2666666666667</v>
      </c>
      <c r="AA19" s="38">
        <f t="shared" si="12"/>
        <v>0.24475</v>
      </c>
      <c r="AB19" s="29">
        <f t="shared" si="71"/>
        <v>266.666666666667</v>
      </c>
      <c r="AC19" s="29">
        <f>SUMIF(汇总表!$B$1:$AF$1,AC$3,汇总表!$B18:$AG18)</f>
        <v>185.5</v>
      </c>
      <c r="AD19" s="37">
        <f t="shared" si="13"/>
        <v>-81.1666666666667</v>
      </c>
      <c r="AE19" s="38">
        <f t="shared" si="14"/>
        <v>0.304375</v>
      </c>
      <c r="AF19" s="29">
        <f t="shared" si="72"/>
        <v>266.666666666667</v>
      </c>
      <c r="AG19" s="29">
        <f>SUMIF(汇总表!$B$1:$AF$1,AG$3,汇总表!$B18:$AG18)</f>
        <v>222.6</v>
      </c>
      <c r="AH19" s="37">
        <f t="shared" si="15"/>
        <v>-44.0666666666667</v>
      </c>
      <c r="AI19" s="38">
        <f t="shared" si="16"/>
        <v>0.16525</v>
      </c>
      <c r="AJ19" s="29">
        <f t="shared" si="73"/>
        <v>266.666666666667</v>
      </c>
      <c r="AK19" s="29">
        <f>SUMIF(汇总表!$B$1:$AF$1,AK$3,汇总表!$B18:$AG18)</f>
        <v>217.3</v>
      </c>
      <c r="AL19" s="37">
        <f t="shared" si="17"/>
        <v>-49.3666666666667</v>
      </c>
      <c r="AM19" s="38">
        <f t="shared" si="18"/>
        <v>0.185125</v>
      </c>
      <c r="AN19" s="29">
        <f t="shared" si="74"/>
        <v>266.666666666667</v>
      </c>
      <c r="AO19" s="29">
        <f>SUMIF(汇总表!$B$1:$AF$1,AO$3,汇总表!$B18:$AG18)</f>
        <v>233.2</v>
      </c>
      <c r="AP19" s="37">
        <f t="shared" si="19"/>
        <v>-33.4666666666667</v>
      </c>
      <c r="AQ19" s="38">
        <f t="shared" si="62"/>
        <v>0.1255</v>
      </c>
      <c r="AR19" s="29">
        <f t="shared" si="65"/>
        <v>266.666666666667</v>
      </c>
      <c r="AS19" s="29">
        <f>SUMIF(汇总表!$B$1:$AF$1,AS$3,汇总表!$B18:$AG18)</f>
        <v>212</v>
      </c>
      <c r="AT19" s="37">
        <f t="shared" si="20"/>
        <v>-54.6666666666667</v>
      </c>
      <c r="AU19" s="38">
        <f t="shared" si="21"/>
        <v>0.205</v>
      </c>
      <c r="AV19" s="29">
        <f t="shared" si="75"/>
        <v>266.666666666667</v>
      </c>
      <c r="AW19" s="29">
        <f>SUMIF(汇总表!$B$1:$AF$1,AW$3,汇总表!$B18:$AG18)</f>
        <v>201.4</v>
      </c>
      <c r="AX19" s="37">
        <f t="shared" si="22"/>
        <v>-65.2666666666667</v>
      </c>
      <c r="AY19" s="38">
        <f t="shared" si="23"/>
        <v>0.24475</v>
      </c>
      <c r="AZ19" s="29">
        <f t="shared" si="76"/>
        <v>266.666666666667</v>
      </c>
      <c r="BA19" s="29">
        <f>SUMIF(汇总表!$B$1:$AF$1,BA$3,汇总表!$B18:$AG18)</f>
        <v>233.2</v>
      </c>
      <c r="BB19" s="37">
        <f t="shared" si="24"/>
        <v>-33.4666666666667</v>
      </c>
      <c r="BC19" s="38">
        <f t="shared" si="25"/>
        <v>0.1255</v>
      </c>
      <c r="BD19" s="29">
        <f t="shared" si="77"/>
        <v>266.666666666667</v>
      </c>
      <c r="BE19" s="29">
        <f>SUMIF(汇总表!$B$1:$AF$1,BE$3,汇总表!$B18:$AG18)</f>
        <v>143.1</v>
      </c>
      <c r="BF19" s="37">
        <f t="shared" si="26"/>
        <v>-123.566666666667</v>
      </c>
      <c r="BG19" s="38">
        <f t="shared" si="27"/>
        <v>0.463375</v>
      </c>
      <c r="BH19" s="29">
        <f t="shared" si="78"/>
        <v>266.666666666667</v>
      </c>
      <c r="BI19" s="29">
        <f>SUMIF(汇总表!$B$1:$AF$1,BI$3,汇总表!$B18:$AG18)</f>
        <v>0</v>
      </c>
      <c r="BJ19" s="37">
        <f t="shared" si="28"/>
        <v>-266.666666666667</v>
      </c>
      <c r="BK19" s="38">
        <f t="shared" si="29"/>
        <v>1</v>
      </c>
      <c r="BL19" s="29">
        <f t="shared" si="79"/>
        <v>266.666666666667</v>
      </c>
      <c r="BM19" s="29">
        <f>SUMIF(汇总表!$B$1:$AF$1,BM$3,汇总表!$B18:$AG18)</f>
        <v>185.5</v>
      </c>
      <c r="BN19" s="37">
        <f t="shared" si="30"/>
        <v>-81.1666666666667</v>
      </c>
      <c r="BO19" s="38">
        <f t="shared" si="31"/>
        <v>0.304375</v>
      </c>
      <c r="BP19" s="29">
        <f t="shared" si="80"/>
        <v>266.666666666667</v>
      </c>
      <c r="BQ19" s="29">
        <f>SUMIF(汇总表!$B$1:$AF$1,BQ$3,汇总表!$B18:$AG18)</f>
        <v>254.4</v>
      </c>
      <c r="BR19" s="37">
        <f t="shared" si="32"/>
        <v>-12.2666666666667</v>
      </c>
      <c r="BS19" s="38">
        <f t="shared" si="33"/>
        <v>0.046</v>
      </c>
      <c r="BT19" s="29">
        <f t="shared" si="81"/>
        <v>266.666666666667</v>
      </c>
      <c r="BU19" s="29">
        <f>SUMIF(汇总表!$B$1:$AF$1,BU$3,汇总表!$B18:$AG18)</f>
        <v>206.7</v>
      </c>
      <c r="BV19" s="37">
        <f t="shared" si="34"/>
        <v>-59.9666666666667</v>
      </c>
      <c r="BW19" s="38">
        <f t="shared" si="35"/>
        <v>0.224875</v>
      </c>
      <c r="BX19" s="29">
        <f t="shared" si="82"/>
        <v>266.666666666667</v>
      </c>
      <c r="BY19" s="29">
        <f>SUMIF(汇总表!$B$1:$AF$1,BY$3,汇总表!$B18:$AG18)</f>
        <v>222.6</v>
      </c>
      <c r="BZ19" s="37">
        <f t="shared" si="36"/>
        <v>-44.0666666666667</v>
      </c>
      <c r="CA19" s="38">
        <f t="shared" si="37"/>
        <v>0.16525</v>
      </c>
      <c r="CB19" s="29">
        <f t="shared" si="83"/>
        <v>266.666666666667</v>
      </c>
      <c r="CC19" s="29">
        <f>SUMIF(汇总表!$B$1:$AF$1,CC$3,汇总表!$B18:$AG18)</f>
        <v>212</v>
      </c>
      <c r="CD19" s="37">
        <f t="shared" si="38"/>
        <v>-54.6666666666667</v>
      </c>
      <c r="CE19" s="38">
        <f t="shared" si="39"/>
        <v>0.205</v>
      </c>
      <c r="CF19" s="29">
        <f t="shared" si="84"/>
        <v>266.666666666667</v>
      </c>
      <c r="CG19" s="29">
        <f>SUMIF(汇总表!$B$1:$AF$1,CG$3,汇总表!$B18:$AG18)</f>
        <v>111.3</v>
      </c>
      <c r="CH19" s="37">
        <f t="shared" si="40"/>
        <v>-155.366666666667</v>
      </c>
      <c r="CI19" s="38">
        <f t="shared" si="41"/>
        <v>0.582625</v>
      </c>
      <c r="CJ19" s="29">
        <f t="shared" si="85"/>
        <v>266.666666666667</v>
      </c>
      <c r="CK19" s="29">
        <f>SUMIF(汇总表!$B$1:$AF$1,CK$3,汇总表!$B18:$AG18)</f>
        <v>217.3</v>
      </c>
      <c r="CL19" s="37">
        <f t="shared" si="42"/>
        <v>-49.3666666666667</v>
      </c>
      <c r="CM19" s="38">
        <f t="shared" si="43"/>
        <v>0.185125</v>
      </c>
      <c r="CN19" s="29">
        <f t="shared" si="86"/>
        <v>266.666666666667</v>
      </c>
      <c r="CO19" s="29">
        <f>SUMIF(汇总表!$B$1:$AF$1,CO$3,汇总表!$B18:$AG18)</f>
        <v>127.2</v>
      </c>
      <c r="CP19" s="37">
        <f t="shared" si="44"/>
        <v>-139.466666666667</v>
      </c>
      <c r="CQ19" s="38">
        <f t="shared" si="45"/>
        <v>0.523</v>
      </c>
      <c r="CR19" s="29">
        <f t="shared" si="87"/>
        <v>266.666666666667</v>
      </c>
      <c r="CS19" s="29">
        <f>SUMIF(汇总表!$B$1:$AF$1,CS$3,汇总表!$B18:$AG18)</f>
        <v>206.7</v>
      </c>
      <c r="CT19" s="37">
        <f t="shared" si="46"/>
        <v>-59.9666666666667</v>
      </c>
      <c r="CU19" s="38">
        <f t="shared" si="47"/>
        <v>0.224875</v>
      </c>
      <c r="CV19" s="29">
        <f t="shared" si="88"/>
        <v>266.666666666667</v>
      </c>
      <c r="CW19" s="29">
        <f>SUMIF(汇总表!$B$1:$AF$1,CW$3,汇总表!$B18:$AG18)</f>
        <v>198.75</v>
      </c>
      <c r="CX19" s="37">
        <f t="shared" si="48"/>
        <v>-67.9166666666667</v>
      </c>
      <c r="CY19" s="38">
        <f t="shared" si="49"/>
        <v>0.2546875</v>
      </c>
      <c r="CZ19" s="29">
        <f t="shared" si="89"/>
        <v>266.666666666667</v>
      </c>
      <c r="DA19" s="29">
        <f>SUMIF(汇总表!$B$1:$AF$1,DA$3,汇总表!$B18:$AG18)</f>
        <v>233.2</v>
      </c>
      <c r="DB19" s="37">
        <f t="shared" si="50"/>
        <v>-33.4666666666667</v>
      </c>
      <c r="DC19" s="38">
        <f t="shared" si="51"/>
        <v>0.1255</v>
      </c>
      <c r="DD19" s="29">
        <f t="shared" si="90"/>
        <v>266.666666666667</v>
      </c>
      <c r="DE19" s="29">
        <f>SUMIF(汇总表!$B$1:$AF$1,DE$3,汇总表!$B18:$AG18)</f>
        <v>177.55</v>
      </c>
      <c r="DF19" s="37">
        <f t="shared" si="52"/>
        <v>-89.1166666666667</v>
      </c>
      <c r="DG19" s="38">
        <f t="shared" si="53"/>
        <v>0.3341875</v>
      </c>
      <c r="DH19" s="29">
        <f t="shared" si="91"/>
        <v>266.666666666667</v>
      </c>
      <c r="DI19" s="29">
        <f>SUMIF(汇总表!$B$1:$AF$1,DI$3,汇总表!$B18:$AG18)</f>
        <v>153.7</v>
      </c>
      <c r="DJ19" s="37">
        <f t="shared" si="54"/>
        <v>-112.966666666667</v>
      </c>
      <c r="DK19" s="38">
        <f t="shared" si="55"/>
        <v>0.423625</v>
      </c>
      <c r="DL19" s="29">
        <f t="shared" si="92"/>
        <v>266.666666666667</v>
      </c>
      <c r="DM19" s="29">
        <f>SUMIF(汇总表!$B$1:$AF$1,DM$3,汇总表!$B18:$AG18)</f>
        <v>206.7</v>
      </c>
      <c r="DN19" s="37">
        <f t="shared" si="56"/>
        <v>-59.9666666666667</v>
      </c>
      <c r="DO19" s="38">
        <f t="shared" si="57"/>
        <v>0.224875</v>
      </c>
      <c r="DP19" s="29">
        <f t="shared" si="93"/>
        <v>266.666666666667</v>
      </c>
      <c r="DQ19" s="29">
        <f>SUMIF(汇总表!$B$1:$AF$1,DQ$3,汇总表!$B18:$AG18)</f>
        <v>190.8</v>
      </c>
      <c r="DR19" s="37">
        <f t="shared" si="58"/>
        <v>-75.8666666666667</v>
      </c>
      <c r="DS19" s="38">
        <f t="shared" si="59"/>
        <v>0.2845</v>
      </c>
      <c r="DT19" s="29">
        <f t="shared" si="94"/>
        <v>0</v>
      </c>
      <c r="DU19" s="29">
        <f>SUMIF(汇总表!$B$1:$AF$1,DU$3,汇总表!$B18:$AG18)</f>
        <v>196.1</v>
      </c>
      <c r="DV19" s="29">
        <f t="shared" si="60"/>
        <v>196.1</v>
      </c>
      <c r="DW19" s="38">
        <f t="shared" si="61"/>
        <v>0</v>
      </c>
      <c r="DX19" s="29">
        <v>8000</v>
      </c>
    </row>
    <row r="20" spans="1:128">
      <c r="A20" s="43"/>
      <c r="B20" s="29" t="s">
        <v>712</v>
      </c>
      <c r="C20" s="29" t="s">
        <v>760</v>
      </c>
      <c r="D20" s="29">
        <f t="shared" si="64"/>
        <v>0</v>
      </c>
      <c r="E20" s="29">
        <f>SUMIF(汇总表!$B$1:$AF$1,E$3,汇总表!$B19:$AG19)</f>
        <v>0</v>
      </c>
      <c r="F20" s="37">
        <f t="shared" si="1"/>
        <v>0</v>
      </c>
      <c r="G20" s="38">
        <f t="shared" si="2"/>
        <v>0</v>
      </c>
      <c r="H20" s="29">
        <f t="shared" si="66"/>
        <v>0</v>
      </c>
      <c r="I20" s="29">
        <f>SUMIF(汇总表!$B$1:$AF$1,I$3,汇总表!$B19:$AG19)</f>
        <v>0</v>
      </c>
      <c r="J20" s="37">
        <f t="shared" si="3"/>
        <v>0</v>
      </c>
      <c r="K20" s="38">
        <f t="shared" si="4"/>
        <v>0</v>
      </c>
      <c r="L20" s="29">
        <f t="shared" si="67"/>
        <v>0</v>
      </c>
      <c r="M20" s="29">
        <f>SUMIF(汇总表!$B$1:$AF$1,M$3,汇总表!$B19:$AG19)</f>
        <v>0</v>
      </c>
      <c r="N20" s="37">
        <f t="shared" si="5"/>
        <v>0</v>
      </c>
      <c r="O20" s="38">
        <f t="shared" si="6"/>
        <v>0</v>
      </c>
      <c r="P20" s="29">
        <f t="shared" si="68"/>
        <v>0</v>
      </c>
      <c r="Q20" s="29">
        <f>SUMIF(汇总表!$B$1:$AF$1,Q$3,汇总表!$B19:$AG19)</f>
        <v>0</v>
      </c>
      <c r="R20" s="37">
        <f t="shared" si="7"/>
        <v>0</v>
      </c>
      <c r="S20" s="38">
        <f t="shared" si="8"/>
        <v>0</v>
      </c>
      <c r="T20" s="29">
        <f t="shared" si="69"/>
        <v>0</v>
      </c>
      <c r="U20" s="29">
        <f>SUMIF(汇总表!$B$1:$AF$1,U$3,汇总表!$B19:$AG19)</f>
        <v>0</v>
      </c>
      <c r="V20" s="29">
        <f t="shared" si="9"/>
        <v>0</v>
      </c>
      <c r="W20" s="38">
        <f t="shared" si="10"/>
        <v>0</v>
      </c>
      <c r="X20" s="29">
        <f t="shared" si="70"/>
        <v>0</v>
      </c>
      <c r="Y20" s="29">
        <f>SUMIF(汇总表!$B$1:$AF$1,Y$3,汇总表!$B19:$AG19)</f>
        <v>0</v>
      </c>
      <c r="Z20" s="37">
        <f t="shared" si="11"/>
        <v>0</v>
      </c>
      <c r="AA20" s="38">
        <f t="shared" si="12"/>
        <v>0</v>
      </c>
      <c r="AB20" s="29">
        <f t="shared" si="71"/>
        <v>0</v>
      </c>
      <c r="AC20" s="29">
        <f>SUMIF(汇总表!$B$1:$AF$1,AC$3,汇总表!$B19:$AG19)</f>
        <v>0</v>
      </c>
      <c r="AD20" s="37">
        <f t="shared" si="13"/>
        <v>0</v>
      </c>
      <c r="AE20" s="38">
        <f t="shared" si="14"/>
        <v>0</v>
      </c>
      <c r="AF20" s="29">
        <f t="shared" si="72"/>
        <v>0</v>
      </c>
      <c r="AG20" s="29">
        <f>SUMIF(汇总表!$B$1:$AF$1,AG$3,汇总表!$B19:$AG19)</f>
        <v>0</v>
      </c>
      <c r="AH20" s="37">
        <f t="shared" si="15"/>
        <v>0</v>
      </c>
      <c r="AI20" s="38">
        <f t="shared" si="16"/>
        <v>0</v>
      </c>
      <c r="AJ20" s="29">
        <f t="shared" si="73"/>
        <v>0</v>
      </c>
      <c r="AK20" s="29">
        <f>SUMIF(汇总表!$B$1:$AF$1,AK$3,汇总表!$B19:$AG19)</f>
        <v>0</v>
      </c>
      <c r="AL20" s="37">
        <f t="shared" si="17"/>
        <v>0</v>
      </c>
      <c r="AM20" s="38">
        <f t="shared" si="18"/>
        <v>0</v>
      </c>
      <c r="AN20" s="29">
        <f t="shared" si="74"/>
        <v>0</v>
      </c>
      <c r="AO20" s="29">
        <f>SUMIF(汇总表!$B$1:$AF$1,AO$3,汇总表!$B19:$AG19)</f>
        <v>0</v>
      </c>
      <c r="AP20" s="37">
        <f t="shared" si="19"/>
        <v>0</v>
      </c>
      <c r="AQ20" s="38">
        <f t="shared" si="62"/>
        <v>0</v>
      </c>
      <c r="AR20" s="29">
        <f t="shared" si="65"/>
        <v>0</v>
      </c>
      <c r="AS20" s="29">
        <f>SUMIF(汇总表!$B$1:$AF$1,AS$3,汇总表!$B19:$AG19)</f>
        <v>0</v>
      </c>
      <c r="AT20" s="37">
        <f t="shared" si="20"/>
        <v>0</v>
      </c>
      <c r="AU20" s="38">
        <f t="shared" si="21"/>
        <v>0</v>
      </c>
      <c r="AV20" s="29">
        <f t="shared" si="75"/>
        <v>0</v>
      </c>
      <c r="AW20" s="29">
        <f>SUMIF(汇总表!$B$1:$AF$1,AW$3,汇总表!$B19:$AG19)</f>
        <v>0</v>
      </c>
      <c r="AX20" s="37">
        <f t="shared" si="22"/>
        <v>0</v>
      </c>
      <c r="AY20" s="38">
        <f t="shared" si="23"/>
        <v>0</v>
      </c>
      <c r="AZ20" s="29">
        <f t="shared" si="76"/>
        <v>0</v>
      </c>
      <c r="BA20" s="29">
        <f>SUMIF(汇总表!$B$1:$AF$1,BA$3,汇总表!$B19:$AG19)</f>
        <v>0</v>
      </c>
      <c r="BB20" s="37">
        <f t="shared" si="24"/>
        <v>0</v>
      </c>
      <c r="BC20" s="38">
        <f t="shared" si="25"/>
        <v>0</v>
      </c>
      <c r="BD20" s="29">
        <f t="shared" si="77"/>
        <v>0</v>
      </c>
      <c r="BE20" s="29">
        <f>SUMIF(汇总表!$B$1:$AF$1,BE$3,汇总表!$B19:$AG19)</f>
        <v>0</v>
      </c>
      <c r="BF20" s="37">
        <f t="shared" si="26"/>
        <v>0</v>
      </c>
      <c r="BG20" s="38">
        <f t="shared" si="27"/>
        <v>0</v>
      </c>
      <c r="BH20" s="29">
        <f t="shared" si="78"/>
        <v>0</v>
      </c>
      <c r="BI20" s="29">
        <f>SUMIF(汇总表!$B$1:$AF$1,BI$3,汇总表!$B19:$AG19)</f>
        <v>0</v>
      </c>
      <c r="BJ20" s="37">
        <f t="shared" si="28"/>
        <v>0</v>
      </c>
      <c r="BK20" s="38">
        <f t="shared" si="29"/>
        <v>0</v>
      </c>
      <c r="BL20" s="29">
        <f t="shared" si="79"/>
        <v>0</v>
      </c>
      <c r="BM20" s="29">
        <f>SUMIF(汇总表!$B$1:$AF$1,BM$3,汇总表!$B19:$AG19)</f>
        <v>0</v>
      </c>
      <c r="BN20" s="37">
        <f t="shared" si="30"/>
        <v>0</v>
      </c>
      <c r="BO20" s="38">
        <f t="shared" si="31"/>
        <v>0</v>
      </c>
      <c r="BP20" s="29">
        <f t="shared" si="80"/>
        <v>0</v>
      </c>
      <c r="BQ20" s="29">
        <f>SUMIF(汇总表!$B$1:$AF$1,BQ$3,汇总表!$B19:$AG19)</f>
        <v>0</v>
      </c>
      <c r="BR20" s="37">
        <f t="shared" si="32"/>
        <v>0</v>
      </c>
      <c r="BS20" s="38">
        <f t="shared" si="33"/>
        <v>0</v>
      </c>
      <c r="BT20" s="29">
        <f t="shared" si="81"/>
        <v>0</v>
      </c>
      <c r="BU20" s="29">
        <f>SUMIF(汇总表!$B$1:$AF$1,BU$3,汇总表!$B19:$AG19)</f>
        <v>0</v>
      </c>
      <c r="BV20" s="37">
        <f t="shared" si="34"/>
        <v>0</v>
      </c>
      <c r="BW20" s="38">
        <f t="shared" si="35"/>
        <v>0</v>
      </c>
      <c r="BX20" s="29">
        <f t="shared" si="82"/>
        <v>0</v>
      </c>
      <c r="BY20" s="29">
        <f>SUMIF(汇总表!$B$1:$AF$1,BY$3,汇总表!$B19:$AG19)</f>
        <v>0</v>
      </c>
      <c r="BZ20" s="37">
        <f t="shared" si="36"/>
        <v>0</v>
      </c>
      <c r="CA20" s="38">
        <f t="shared" si="37"/>
        <v>0</v>
      </c>
      <c r="CB20" s="29">
        <f t="shared" si="83"/>
        <v>0</v>
      </c>
      <c r="CC20" s="29">
        <f>SUMIF(汇总表!$B$1:$AF$1,CC$3,汇总表!$B19:$AG19)</f>
        <v>0</v>
      </c>
      <c r="CD20" s="37">
        <f t="shared" si="38"/>
        <v>0</v>
      </c>
      <c r="CE20" s="38">
        <f t="shared" si="39"/>
        <v>0</v>
      </c>
      <c r="CF20" s="29">
        <f t="shared" si="84"/>
        <v>0</v>
      </c>
      <c r="CG20" s="29">
        <f>SUMIF(汇总表!$B$1:$AF$1,CG$3,汇总表!$B19:$AG19)</f>
        <v>0</v>
      </c>
      <c r="CH20" s="37">
        <f t="shared" si="40"/>
        <v>0</v>
      </c>
      <c r="CI20" s="38">
        <f t="shared" si="41"/>
        <v>0</v>
      </c>
      <c r="CJ20" s="29">
        <f t="shared" si="85"/>
        <v>0</v>
      </c>
      <c r="CK20" s="29">
        <f>SUMIF(汇总表!$B$1:$AF$1,CK$3,汇总表!$B19:$AG19)</f>
        <v>0</v>
      </c>
      <c r="CL20" s="37">
        <f t="shared" si="42"/>
        <v>0</v>
      </c>
      <c r="CM20" s="38">
        <f t="shared" si="43"/>
        <v>0</v>
      </c>
      <c r="CN20" s="29">
        <f t="shared" si="86"/>
        <v>0</v>
      </c>
      <c r="CO20" s="29">
        <f>SUMIF(汇总表!$B$1:$AF$1,CO$3,汇总表!$B19:$AG19)</f>
        <v>0</v>
      </c>
      <c r="CP20" s="37">
        <f t="shared" si="44"/>
        <v>0</v>
      </c>
      <c r="CQ20" s="38">
        <f t="shared" si="45"/>
        <v>0</v>
      </c>
      <c r="CR20" s="29">
        <f t="shared" si="87"/>
        <v>0</v>
      </c>
      <c r="CS20" s="29">
        <f>SUMIF(汇总表!$B$1:$AF$1,CS$3,汇总表!$B19:$AG19)</f>
        <v>0</v>
      </c>
      <c r="CT20" s="37">
        <f t="shared" si="46"/>
        <v>0</v>
      </c>
      <c r="CU20" s="38">
        <f t="shared" si="47"/>
        <v>0</v>
      </c>
      <c r="CV20" s="29">
        <f t="shared" si="88"/>
        <v>0</v>
      </c>
      <c r="CW20" s="29">
        <f>SUMIF(汇总表!$B$1:$AF$1,CW$3,汇总表!$B19:$AG19)</f>
        <v>0</v>
      </c>
      <c r="CX20" s="37">
        <f t="shared" si="48"/>
        <v>0</v>
      </c>
      <c r="CY20" s="38">
        <f t="shared" si="49"/>
        <v>0</v>
      </c>
      <c r="CZ20" s="29">
        <f t="shared" si="89"/>
        <v>0</v>
      </c>
      <c r="DA20" s="29">
        <f>SUMIF(汇总表!$B$1:$AF$1,DA$3,汇总表!$B19:$AG19)</f>
        <v>0</v>
      </c>
      <c r="DB20" s="37">
        <f t="shared" si="50"/>
        <v>0</v>
      </c>
      <c r="DC20" s="38">
        <f t="shared" si="51"/>
        <v>0</v>
      </c>
      <c r="DD20" s="29">
        <f t="shared" si="90"/>
        <v>0</v>
      </c>
      <c r="DE20" s="29">
        <f>SUMIF(汇总表!$B$1:$AF$1,DE$3,汇总表!$B19:$AG19)</f>
        <v>0</v>
      </c>
      <c r="DF20" s="37">
        <f t="shared" si="52"/>
        <v>0</v>
      </c>
      <c r="DG20" s="38">
        <f t="shared" si="53"/>
        <v>0</v>
      </c>
      <c r="DH20" s="29">
        <f t="shared" si="91"/>
        <v>0</v>
      </c>
      <c r="DI20" s="29">
        <f>SUMIF(汇总表!$B$1:$AF$1,DI$3,汇总表!$B19:$AG19)</f>
        <v>0</v>
      </c>
      <c r="DJ20" s="37">
        <f t="shared" si="54"/>
        <v>0</v>
      </c>
      <c r="DK20" s="38">
        <f t="shared" si="55"/>
        <v>0</v>
      </c>
      <c r="DL20" s="29">
        <f t="shared" si="92"/>
        <v>0</v>
      </c>
      <c r="DM20" s="29">
        <f>SUMIF(汇总表!$B$1:$AF$1,DM$3,汇总表!$B19:$AG19)</f>
        <v>0</v>
      </c>
      <c r="DN20" s="37">
        <f t="shared" si="56"/>
        <v>0</v>
      </c>
      <c r="DO20" s="38">
        <f t="shared" si="57"/>
        <v>0</v>
      </c>
      <c r="DP20" s="29">
        <f t="shared" si="93"/>
        <v>0</v>
      </c>
      <c r="DQ20" s="29">
        <f>SUMIF(汇总表!$B$1:$AF$1,DQ$3,汇总表!$B19:$AG19)</f>
        <v>0</v>
      </c>
      <c r="DR20" s="37">
        <f t="shared" si="58"/>
        <v>0</v>
      </c>
      <c r="DS20" s="38">
        <f t="shared" si="59"/>
        <v>0</v>
      </c>
      <c r="DT20" s="29">
        <f t="shared" si="94"/>
        <v>0</v>
      </c>
      <c r="DU20" s="29">
        <f>SUMIF(汇总表!$B$1:$AF$1,DU$3,汇总表!$B19:$AG19)</f>
        <v>0</v>
      </c>
      <c r="DV20" s="29">
        <f t="shared" si="60"/>
        <v>0</v>
      </c>
      <c r="DW20" s="38">
        <f t="shared" si="61"/>
        <v>0</v>
      </c>
      <c r="DX20" s="29">
        <v>0</v>
      </c>
    </row>
    <row r="21" spans="1:128">
      <c r="A21" s="43"/>
      <c r="B21" s="45" t="s">
        <v>714</v>
      </c>
      <c r="C21" s="29" t="s">
        <v>761</v>
      </c>
      <c r="D21" s="29">
        <f t="shared" si="64"/>
        <v>0</v>
      </c>
      <c r="E21" s="29">
        <f>SUMIF(汇总表!$B$1:$AF$1,E$3,汇总表!$B21:$AG21)</f>
        <v>0</v>
      </c>
      <c r="F21" s="37">
        <f t="shared" si="1"/>
        <v>0</v>
      </c>
      <c r="G21" s="38">
        <f t="shared" si="2"/>
        <v>0</v>
      </c>
      <c r="H21" s="29">
        <f t="shared" si="66"/>
        <v>0</v>
      </c>
      <c r="I21" s="29">
        <f>SUMIF(汇总表!$B$1:$AF$1,I$3,汇总表!$B21:$AG21)</f>
        <v>0</v>
      </c>
      <c r="J21" s="37">
        <f t="shared" si="3"/>
        <v>0</v>
      </c>
      <c r="K21" s="38">
        <f t="shared" si="4"/>
        <v>0</v>
      </c>
      <c r="L21" s="29">
        <f t="shared" si="67"/>
        <v>0</v>
      </c>
      <c r="M21" s="29">
        <f>SUMIF(汇总表!$B$1:$AF$1,M$3,汇总表!$B21:$AG21)</f>
        <v>0</v>
      </c>
      <c r="N21" s="37">
        <f t="shared" si="5"/>
        <v>0</v>
      </c>
      <c r="O21" s="38">
        <f t="shared" si="6"/>
        <v>0</v>
      </c>
      <c r="P21" s="29">
        <f t="shared" si="68"/>
        <v>0</v>
      </c>
      <c r="Q21" s="29">
        <f>SUMIF(汇总表!$B$1:$AF$1,Q$3,汇总表!$B21:$AG21)</f>
        <v>0</v>
      </c>
      <c r="R21" s="37">
        <f t="shared" si="7"/>
        <v>0</v>
      </c>
      <c r="S21" s="38">
        <f t="shared" si="8"/>
        <v>0</v>
      </c>
      <c r="T21" s="29">
        <f t="shared" si="69"/>
        <v>0</v>
      </c>
      <c r="U21" s="29">
        <f>SUMIF(汇总表!$B$1:$AF$1,U$3,汇总表!$B21:$AG21)</f>
        <v>0</v>
      </c>
      <c r="V21" s="29">
        <f t="shared" si="9"/>
        <v>0</v>
      </c>
      <c r="W21" s="38">
        <f t="shared" si="10"/>
        <v>0</v>
      </c>
      <c r="X21" s="29">
        <f t="shared" si="70"/>
        <v>0</v>
      </c>
      <c r="Y21" s="29">
        <f>SUMIF(汇总表!$B$1:$AF$1,Y$3,汇总表!$B21:$AG21)</f>
        <v>0</v>
      </c>
      <c r="Z21" s="37">
        <f t="shared" si="11"/>
        <v>0</v>
      </c>
      <c r="AA21" s="38">
        <f t="shared" si="12"/>
        <v>0</v>
      </c>
      <c r="AB21" s="29">
        <f t="shared" si="71"/>
        <v>0</v>
      </c>
      <c r="AC21" s="29">
        <f>SUMIF(汇总表!$B$1:$AF$1,AC$3,汇总表!$B21:$AG21)</f>
        <v>0</v>
      </c>
      <c r="AD21" s="37">
        <f t="shared" si="13"/>
        <v>0</v>
      </c>
      <c r="AE21" s="38">
        <f t="shared" si="14"/>
        <v>0</v>
      </c>
      <c r="AF21" s="29">
        <f t="shared" si="72"/>
        <v>0</v>
      </c>
      <c r="AG21" s="29">
        <f>SUMIF(汇总表!$B$1:$AF$1,AG$3,汇总表!$B21:$AG21)</f>
        <v>0</v>
      </c>
      <c r="AH21" s="37">
        <f t="shared" si="15"/>
        <v>0</v>
      </c>
      <c r="AI21" s="38">
        <f t="shared" si="16"/>
        <v>0</v>
      </c>
      <c r="AJ21" s="29">
        <f t="shared" si="73"/>
        <v>0</v>
      </c>
      <c r="AK21" s="29">
        <f>SUMIF(汇总表!$B$1:$AF$1,AK$3,汇总表!$B21:$AG21)</f>
        <v>0</v>
      </c>
      <c r="AL21" s="37">
        <f t="shared" si="17"/>
        <v>0</v>
      </c>
      <c r="AM21" s="38">
        <f t="shared" si="18"/>
        <v>0</v>
      </c>
      <c r="AN21" s="29">
        <f t="shared" si="74"/>
        <v>0</v>
      </c>
      <c r="AO21" s="29">
        <f>SUMIF(汇总表!$B$1:$AF$1,AO$3,汇总表!$B21:$AG21)</f>
        <v>0</v>
      </c>
      <c r="AP21" s="37">
        <f t="shared" si="19"/>
        <v>0</v>
      </c>
      <c r="AQ21" s="38">
        <f t="shared" si="62"/>
        <v>0</v>
      </c>
      <c r="AR21" s="29">
        <f t="shared" si="65"/>
        <v>0</v>
      </c>
      <c r="AS21" s="29">
        <f>SUMIF(汇总表!$B$1:$AF$1,AS$3,汇总表!$B21:$AG21)</f>
        <v>0</v>
      </c>
      <c r="AT21" s="37">
        <f t="shared" si="20"/>
        <v>0</v>
      </c>
      <c r="AU21" s="38">
        <f t="shared" si="21"/>
        <v>0</v>
      </c>
      <c r="AV21" s="29">
        <f t="shared" si="75"/>
        <v>0</v>
      </c>
      <c r="AW21" s="29">
        <f>SUMIF(汇总表!$B$1:$AF$1,AW$3,汇总表!$B21:$AG21)</f>
        <v>0</v>
      </c>
      <c r="AX21" s="37">
        <f t="shared" si="22"/>
        <v>0</v>
      </c>
      <c r="AY21" s="38">
        <f t="shared" si="23"/>
        <v>0</v>
      </c>
      <c r="AZ21" s="29">
        <f t="shared" si="76"/>
        <v>0</v>
      </c>
      <c r="BA21" s="29">
        <f>SUMIF(汇总表!$B$1:$AF$1,BA$3,汇总表!$B21:$AG21)</f>
        <v>0</v>
      </c>
      <c r="BB21" s="37">
        <f t="shared" si="24"/>
        <v>0</v>
      </c>
      <c r="BC21" s="38">
        <f t="shared" si="25"/>
        <v>0</v>
      </c>
      <c r="BD21" s="29">
        <f t="shared" si="77"/>
        <v>0</v>
      </c>
      <c r="BE21" s="29">
        <f>SUMIF(汇总表!$B$1:$AF$1,BE$3,汇总表!$B21:$AG21)</f>
        <v>0</v>
      </c>
      <c r="BF21" s="37">
        <f t="shared" si="26"/>
        <v>0</v>
      </c>
      <c r="BG21" s="38">
        <f t="shared" si="27"/>
        <v>0</v>
      </c>
      <c r="BH21" s="29">
        <f t="shared" si="78"/>
        <v>0</v>
      </c>
      <c r="BI21" s="29">
        <f>SUMIF(汇总表!$B$1:$AF$1,BI$3,汇总表!$B21:$AG21)</f>
        <v>0</v>
      </c>
      <c r="BJ21" s="37">
        <f t="shared" si="28"/>
        <v>0</v>
      </c>
      <c r="BK21" s="38">
        <f t="shared" si="29"/>
        <v>0</v>
      </c>
      <c r="BL21" s="29">
        <f t="shared" si="79"/>
        <v>0</v>
      </c>
      <c r="BM21" s="29">
        <f>SUMIF(汇总表!$B$1:$AF$1,BM$3,汇总表!$B21:$AG21)</f>
        <v>0</v>
      </c>
      <c r="BN21" s="37">
        <f t="shared" si="30"/>
        <v>0</v>
      </c>
      <c r="BO21" s="38">
        <f t="shared" si="31"/>
        <v>0</v>
      </c>
      <c r="BP21" s="29">
        <f t="shared" si="80"/>
        <v>0</v>
      </c>
      <c r="BQ21" s="29">
        <f>SUMIF(汇总表!$B$1:$AF$1,BQ$3,汇总表!$B21:$AG21)</f>
        <v>0</v>
      </c>
      <c r="BR21" s="37">
        <f t="shared" si="32"/>
        <v>0</v>
      </c>
      <c r="BS21" s="38">
        <f t="shared" si="33"/>
        <v>0</v>
      </c>
      <c r="BT21" s="29">
        <f t="shared" si="81"/>
        <v>0</v>
      </c>
      <c r="BU21" s="29">
        <f>SUMIF(汇总表!$B$1:$AF$1,BU$3,汇总表!$B21:$AG21)</f>
        <v>0</v>
      </c>
      <c r="BV21" s="37">
        <f t="shared" si="34"/>
        <v>0</v>
      </c>
      <c r="BW21" s="38">
        <f t="shared" si="35"/>
        <v>0</v>
      </c>
      <c r="BX21" s="29">
        <f t="shared" si="82"/>
        <v>0</v>
      </c>
      <c r="BY21" s="29">
        <f>SUMIF(汇总表!$B$1:$AF$1,BY$3,汇总表!$B21:$AG21)</f>
        <v>0</v>
      </c>
      <c r="BZ21" s="37">
        <f t="shared" si="36"/>
        <v>0</v>
      </c>
      <c r="CA21" s="38">
        <f t="shared" si="37"/>
        <v>0</v>
      </c>
      <c r="CB21" s="29">
        <f t="shared" si="83"/>
        <v>0</v>
      </c>
      <c r="CC21" s="29">
        <f>SUMIF(汇总表!$B$1:$AF$1,CC$3,汇总表!$B21:$AG21)</f>
        <v>0</v>
      </c>
      <c r="CD21" s="37">
        <f t="shared" si="38"/>
        <v>0</v>
      </c>
      <c r="CE21" s="38">
        <f t="shared" si="39"/>
        <v>0</v>
      </c>
      <c r="CF21" s="29">
        <f t="shared" si="84"/>
        <v>0</v>
      </c>
      <c r="CG21" s="29">
        <f>SUMIF(汇总表!$B$1:$AF$1,CG$3,汇总表!$B21:$AG21)</f>
        <v>0</v>
      </c>
      <c r="CH21" s="37">
        <f t="shared" si="40"/>
        <v>0</v>
      </c>
      <c r="CI21" s="38">
        <f t="shared" si="41"/>
        <v>0</v>
      </c>
      <c r="CJ21" s="29">
        <f t="shared" si="85"/>
        <v>0</v>
      </c>
      <c r="CK21" s="29">
        <f>SUMIF(汇总表!$B$1:$AF$1,CK$3,汇总表!$B21:$AG21)</f>
        <v>0</v>
      </c>
      <c r="CL21" s="37">
        <f t="shared" si="42"/>
        <v>0</v>
      </c>
      <c r="CM21" s="38">
        <f t="shared" si="43"/>
        <v>0</v>
      </c>
      <c r="CN21" s="29">
        <f t="shared" si="86"/>
        <v>0</v>
      </c>
      <c r="CO21" s="29">
        <f>SUMIF(汇总表!$B$1:$AF$1,CO$3,汇总表!$B21:$AG21)</f>
        <v>0</v>
      </c>
      <c r="CP21" s="37">
        <f t="shared" si="44"/>
        <v>0</v>
      </c>
      <c r="CQ21" s="38">
        <f t="shared" si="45"/>
        <v>0</v>
      </c>
      <c r="CR21" s="29">
        <f t="shared" si="87"/>
        <v>0</v>
      </c>
      <c r="CS21" s="29">
        <f>SUMIF(汇总表!$B$1:$AF$1,CS$3,汇总表!$B21:$AG21)</f>
        <v>0</v>
      </c>
      <c r="CT21" s="37">
        <f t="shared" si="46"/>
        <v>0</v>
      </c>
      <c r="CU21" s="38">
        <f t="shared" si="47"/>
        <v>0</v>
      </c>
      <c r="CV21" s="29">
        <f t="shared" si="88"/>
        <v>0</v>
      </c>
      <c r="CW21" s="29">
        <f>SUMIF(汇总表!$B$1:$AF$1,CW$3,汇总表!$B21:$AG21)</f>
        <v>0</v>
      </c>
      <c r="CX21" s="37">
        <f t="shared" si="48"/>
        <v>0</v>
      </c>
      <c r="CY21" s="38">
        <f t="shared" si="49"/>
        <v>0</v>
      </c>
      <c r="CZ21" s="29">
        <f t="shared" si="89"/>
        <v>0</v>
      </c>
      <c r="DA21" s="29">
        <f>SUMIF(汇总表!$B$1:$AF$1,DA$3,汇总表!$B21:$AG21)</f>
        <v>0</v>
      </c>
      <c r="DB21" s="37">
        <f t="shared" si="50"/>
        <v>0</v>
      </c>
      <c r="DC21" s="38">
        <f t="shared" si="51"/>
        <v>0</v>
      </c>
      <c r="DD21" s="29">
        <f t="shared" si="90"/>
        <v>0</v>
      </c>
      <c r="DE21" s="29">
        <f>SUMIF(汇总表!$B$1:$AF$1,DE$3,汇总表!$B21:$AG21)</f>
        <v>0</v>
      </c>
      <c r="DF21" s="37">
        <f t="shared" si="52"/>
        <v>0</v>
      </c>
      <c r="DG21" s="38">
        <f t="shared" si="53"/>
        <v>0</v>
      </c>
      <c r="DH21" s="29">
        <f t="shared" si="91"/>
        <v>0</v>
      </c>
      <c r="DI21" s="29">
        <f>SUMIF(汇总表!$B$1:$AF$1,DI$3,汇总表!$B21:$AG21)</f>
        <v>0</v>
      </c>
      <c r="DJ21" s="37">
        <f t="shared" si="54"/>
        <v>0</v>
      </c>
      <c r="DK21" s="38">
        <f t="shared" si="55"/>
        <v>0</v>
      </c>
      <c r="DL21" s="29">
        <f t="shared" si="92"/>
        <v>0</v>
      </c>
      <c r="DM21" s="29">
        <f>SUMIF(汇总表!$B$1:$AF$1,DM$3,汇总表!$B21:$AG21)</f>
        <v>0</v>
      </c>
      <c r="DN21" s="37">
        <f t="shared" si="56"/>
        <v>0</v>
      </c>
      <c r="DO21" s="38">
        <f t="shared" si="57"/>
        <v>0</v>
      </c>
      <c r="DP21" s="29">
        <f t="shared" si="93"/>
        <v>0</v>
      </c>
      <c r="DQ21" s="29">
        <f>SUMIF(汇总表!$B$1:$AF$1,DQ$3,汇总表!$B21:$AG21)</f>
        <v>0</v>
      </c>
      <c r="DR21" s="37">
        <f t="shared" si="58"/>
        <v>0</v>
      </c>
      <c r="DS21" s="38">
        <f t="shared" si="59"/>
        <v>0</v>
      </c>
      <c r="DT21" s="29">
        <f t="shared" si="94"/>
        <v>0</v>
      </c>
      <c r="DU21" s="29">
        <f>SUMIF(汇总表!$B$1:$AF$1,DU$3,汇总表!$B21:$AG21)</f>
        <v>0</v>
      </c>
      <c r="DV21" s="29">
        <f t="shared" si="60"/>
        <v>0</v>
      </c>
      <c r="DW21" s="38">
        <f t="shared" si="61"/>
        <v>0</v>
      </c>
      <c r="DX21" s="29">
        <v>0</v>
      </c>
    </row>
    <row r="22" spans="1:128">
      <c r="A22" s="43"/>
      <c r="B22" s="45" t="s">
        <v>715</v>
      </c>
      <c r="C22" s="29" t="s">
        <v>762</v>
      </c>
      <c r="D22" s="29">
        <f t="shared" si="64"/>
        <v>0</v>
      </c>
      <c r="E22" s="29">
        <f>SUMIF(汇总表!$B$1:$AF$1,E$3,汇总表!$B22:$AG22)</f>
        <v>0</v>
      </c>
      <c r="F22" s="37">
        <f t="shared" si="1"/>
        <v>0</v>
      </c>
      <c r="G22" s="38">
        <f t="shared" si="2"/>
        <v>0</v>
      </c>
      <c r="H22" s="29">
        <f t="shared" si="66"/>
        <v>0</v>
      </c>
      <c r="I22" s="29">
        <f>SUMIF(汇总表!$B$1:$AF$1,I$3,汇总表!$B22:$AG22)</f>
        <v>0</v>
      </c>
      <c r="J22" s="37">
        <f t="shared" si="3"/>
        <v>0</v>
      </c>
      <c r="K22" s="38">
        <f t="shared" si="4"/>
        <v>0</v>
      </c>
      <c r="L22" s="29">
        <f t="shared" si="67"/>
        <v>0</v>
      </c>
      <c r="M22" s="29">
        <f>SUMIF(汇总表!$B$1:$AF$1,M$3,汇总表!$B22:$AG22)</f>
        <v>0</v>
      </c>
      <c r="N22" s="37">
        <f t="shared" si="5"/>
        <v>0</v>
      </c>
      <c r="O22" s="38">
        <f t="shared" si="6"/>
        <v>0</v>
      </c>
      <c r="P22" s="29">
        <f t="shared" si="68"/>
        <v>0</v>
      </c>
      <c r="Q22" s="29">
        <f>SUMIF(汇总表!$B$1:$AF$1,Q$3,汇总表!$B22:$AG22)</f>
        <v>0</v>
      </c>
      <c r="R22" s="37">
        <f t="shared" si="7"/>
        <v>0</v>
      </c>
      <c r="S22" s="38">
        <f t="shared" si="8"/>
        <v>0</v>
      </c>
      <c r="T22" s="29">
        <f t="shared" si="69"/>
        <v>0</v>
      </c>
      <c r="U22" s="29">
        <f>SUMIF(汇总表!$B$1:$AF$1,U$3,汇总表!$B22:$AG22)</f>
        <v>0</v>
      </c>
      <c r="V22" s="29">
        <f t="shared" si="9"/>
        <v>0</v>
      </c>
      <c r="W22" s="38">
        <f t="shared" si="10"/>
        <v>0</v>
      </c>
      <c r="X22" s="29">
        <f t="shared" si="70"/>
        <v>0</v>
      </c>
      <c r="Y22" s="29">
        <f>SUMIF(汇总表!$B$1:$AF$1,Y$3,汇总表!$B22:$AG22)</f>
        <v>0</v>
      </c>
      <c r="Z22" s="37">
        <f t="shared" si="11"/>
        <v>0</v>
      </c>
      <c r="AA22" s="38">
        <f t="shared" si="12"/>
        <v>0</v>
      </c>
      <c r="AB22" s="29">
        <f t="shared" si="71"/>
        <v>0</v>
      </c>
      <c r="AC22" s="29">
        <f>SUMIF(汇总表!$B$1:$AF$1,AC$3,汇总表!$B22:$AG22)</f>
        <v>0</v>
      </c>
      <c r="AD22" s="37">
        <f t="shared" si="13"/>
        <v>0</v>
      </c>
      <c r="AE22" s="38">
        <f t="shared" si="14"/>
        <v>0</v>
      </c>
      <c r="AF22" s="29">
        <f t="shared" si="72"/>
        <v>0</v>
      </c>
      <c r="AG22" s="29">
        <f>SUMIF(汇总表!$B$1:$AF$1,AG$3,汇总表!$B22:$AG22)</f>
        <v>0</v>
      </c>
      <c r="AH22" s="37">
        <f t="shared" si="15"/>
        <v>0</v>
      </c>
      <c r="AI22" s="38">
        <f t="shared" si="16"/>
        <v>0</v>
      </c>
      <c r="AJ22" s="29">
        <f t="shared" si="73"/>
        <v>0</v>
      </c>
      <c r="AK22" s="29">
        <f>SUMIF(汇总表!$B$1:$AF$1,AK$3,汇总表!$B22:$AG22)</f>
        <v>0</v>
      </c>
      <c r="AL22" s="37">
        <f t="shared" si="17"/>
        <v>0</v>
      </c>
      <c r="AM22" s="38">
        <f t="shared" si="18"/>
        <v>0</v>
      </c>
      <c r="AN22" s="29">
        <f t="shared" si="74"/>
        <v>0</v>
      </c>
      <c r="AO22" s="29">
        <f>SUMIF(汇总表!$B$1:$AF$1,AO$3,汇总表!$B22:$AG22)</f>
        <v>0</v>
      </c>
      <c r="AP22" s="37">
        <f t="shared" si="19"/>
        <v>0</v>
      </c>
      <c r="AQ22" s="38">
        <f t="shared" si="62"/>
        <v>0</v>
      </c>
      <c r="AR22" s="29">
        <f t="shared" si="65"/>
        <v>0</v>
      </c>
      <c r="AS22" s="29">
        <f>SUMIF(汇总表!$B$1:$AF$1,AS$3,汇总表!$B22:$AG22)</f>
        <v>0</v>
      </c>
      <c r="AT22" s="37">
        <f t="shared" si="20"/>
        <v>0</v>
      </c>
      <c r="AU22" s="38">
        <f t="shared" si="21"/>
        <v>0</v>
      </c>
      <c r="AV22" s="29">
        <f t="shared" si="75"/>
        <v>0</v>
      </c>
      <c r="AW22" s="29">
        <f>SUMIF(汇总表!$B$1:$AF$1,AW$3,汇总表!$B22:$AG22)</f>
        <v>0</v>
      </c>
      <c r="AX22" s="37">
        <f t="shared" si="22"/>
        <v>0</v>
      </c>
      <c r="AY22" s="38">
        <f t="shared" si="23"/>
        <v>0</v>
      </c>
      <c r="AZ22" s="29">
        <f t="shared" si="76"/>
        <v>0</v>
      </c>
      <c r="BA22" s="29">
        <f>SUMIF(汇总表!$B$1:$AF$1,BA$3,汇总表!$B22:$AG22)</f>
        <v>0</v>
      </c>
      <c r="BB22" s="37">
        <f t="shared" si="24"/>
        <v>0</v>
      </c>
      <c r="BC22" s="38">
        <f t="shared" si="25"/>
        <v>0</v>
      </c>
      <c r="BD22" s="29">
        <f t="shared" si="77"/>
        <v>0</v>
      </c>
      <c r="BE22" s="29">
        <f>SUMIF(汇总表!$B$1:$AF$1,BE$3,汇总表!$B22:$AG22)</f>
        <v>0</v>
      </c>
      <c r="BF22" s="37">
        <f t="shared" si="26"/>
        <v>0</v>
      </c>
      <c r="BG22" s="38">
        <f t="shared" si="27"/>
        <v>0</v>
      </c>
      <c r="BH22" s="29">
        <f t="shared" si="78"/>
        <v>0</v>
      </c>
      <c r="BI22" s="29">
        <f>SUMIF(汇总表!$B$1:$AF$1,BI$3,汇总表!$B22:$AG22)</f>
        <v>0</v>
      </c>
      <c r="BJ22" s="37">
        <f t="shared" si="28"/>
        <v>0</v>
      </c>
      <c r="BK22" s="38">
        <f t="shared" si="29"/>
        <v>0</v>
      </c>
      <c r="BL22" s="29">
        <f t="shared" si="79"/>
        <v>0</v>
      </c>
      <c r="BM22" s="29">
        <f>SUMIF(汇总表!$B$1:$AF$1,BM$3,汇总表!$B22:$AG22)</f>
        <v>0</v>
      </c>
      <c r="BN22" s="37">
        <f t="shared" si="30"/>
        <v>0</v>
      </c>
      <c r="BO22" s="38">
        <f t="shared" si="31"/>
        <v>0</v>
      </c>
      <c r="BP22" s="29">
        <f t="shared" si="80"/>
        <v>0</v>
      </c>
      <c r="BQ22" s="29">
        <f>SUMIF(汇总表!$B$1:$AF$1,BQ$3,汇总表!$B22:$AG22)</f>
        <v>0</v>
      </c>
      <c r="BR22" s="37">
        <f t="shared" si="32"/>
        <v>0</v>
      </c>
      <c r="BS22" s="38">
        <f t="shared" si="33"/>
        <v>0</v>
      </c>
      <c r="BT22" s="29">
        <f t="shared" si="81"/>
        <v>0</v>
      </c>
      <c r="BU22" s="29">
        <f>SUMIF(汇总表!$B$1:$AF$1,BU$3,汇总表!$B22:$AG22)</f>
        <v>0</v>
      </c>
      <c r="BV22" s="37">
        <f t="shared" si="34"/>
        <v>0</v>
      </c>
      <c r="BW22" s="38">
        <f t="shared" si="35"/>
        <v>0</v>
      </c>
      <c r="BX22" s="29">
        <f t="shared" si="82"/>
        <v>0</v>
      </c>
      <c r="BY22" s="29">
        <f>SUMIF(汇总表!$B$1:$AF$1,BY$3,汇总表!$B22:$AG22)</f>
        <v>0</v>
      </c>
      <c r="BZ22" s="37">
        <f t="shared" si="36"/>
        <v>0</v>
      </c>
      <c r="CA22" s="38">
        <f t="shared" si="37"/>
        <v>0</v>
      </c>
      <c r="CB22" s="29">
        <f t="shared" si="83"/>
        <v>0</v>
      </c>
      <c r="CC22" s="29">
        <f>SUMIF(汇总表!$B$1:$AF$1,CC$3,汇总表!$B22:$AG22)</f>
        <v>0</v>
      </c>
      <c r="CD22" s="37">
        <f t="shared" si="38"/>
        <v>0</v>
      </c>
      <c r="CE22" s="38">
        <f t="shared" si="39"/>
        <v>0</v>
      </c>
      <c r="CF22" s="29">
        <f t="shared" si="84"/>
        <v>0</v>
      </c>
      <c r="CG22" s="29">
        <f>SUMIF(汇总表!$B$1:$AF$1,CG$3,汇总表!$B22:$AG22)</f>
        <v>0</v>
      </c>
      <c r="CH22" s="37">
        <f t="shared" si="40"/>
        <v>0</v>
      </c>
      <c r="CI22" s="38">
        <f t="shared" si="41"/>
        <v>0</v>
      </c>
      <c r="CJ22" s="29">
        <f t="shared" si="85"/>
        <v>0</v>
      </c>
      <c r="CK22" s="29">
        <f>SUMIF(汇总表!$B$1:$AF$1,CK$3,汇总表!$B22:$AG22)</f>
        <v>0</v>
      </c>
      <c r="CL22" s="37">
        <f t="shared" si="42"/>
        <v>0</v>
      </c>
      <c r="CM22" s="38">
        <f t="shared" si="43"/>
        <v>0</v>
      </c>
      <c r="CN22" s="29">
        <f t="shared" si="86"/>
        <v>0</v>
      </c>
      <c r="CO22" s="29">
        <f>SUMIF(汇总表!$B$1:$AF$1,CO$3,汇总表!$B22:$AG22)</f>
        <v>0</v>
      </c>
      <c r="CP22" s="37">
        <f t="shared" si="44"/>
        <v>0</v>
      </c>
      <c r="CQ22" s="38">
        <f t="shared" si="45"/>
        <v>0</v>
      </c>
      <c r="CR22" s="29">
        <f t="shared" si="87"/>
        <v>0</v>
      </c>
      <c r="CS22" s="29">
        <f>SUMIF(汇总表!$B$1:$AF$1,CS$3,汇总表!$B22:$AG22)</f>
        <v>0</v>
      </c>
      <c r="CT22" s="37">
        <f t="shared" si="46"/>
        <v>0</v>
      </c>
      <c r="CU22" s="38">
        <f t="shared" si="47"/>
        <v>0</v>
      </c>
      <c r="CV22" s="29">
        <f t="shared" si="88"/>
        <v>0</v>
      </c>
      <c r="CW22" s="29">
        <f>SUMIF(汇总表!$B$1:$AF$1,CW$3,汇总表!$B22:$AG22)</f>
        <v>0</v>
      </c>
      <c r="CX22" s="37">
        <f t="shared" si="48"/>
        <v>0</v>
      </c>
      <c r="CY22" s="38">
        <f t="shared" si="49"/>
        <v>0</v>
      </c>
      <c r="CZ22" s="29">
        <f t="shared" si="89"/>
        <v>0</v>
      </c>
      <c r="DA22" s="29">
        <f>SUMIF(汇总表!$B$1:$AF$1,DA$3,汇总表!$B22:$AG22)</f>
        <v>0</v>
      </c>
      <c r="DB22" s="37">
        <f t="shared" si="50"/>
        <v>0</v>
      </c>
      <c r="DC22" s="38">
        <f t="shared" si="51"/>
        <v>0</v>
      </c>
      <c r="DD22" s="29">
        <f t="shared" si="90"/>
        <v>0</v>
      </c>
      <c r="DE22" s="29">
        <f>SUMIF(汇总表!$B$1:$AF$1,DE$3,汇总表!$B22:$AG22)</f>
        <v>0</v>
      </c>
      <c r="DF22" s="37">
        <f t="shared" si="52"/>
        <v>0</v>
      </c>
      <c r="DG22" s="38">
        <f t="shared" si="53"/>
        <v>0</v>
      </c>
      <c r="DH22" s="29">
        <f t="shared" si="91"/>
        <v>0</v>
      </c>
      <c r="DI22" s="29">
        <f>SUMIF(汇总表!$B$1:$AF$1,DI$3,汇总表!$B22:$AG22)</f>
        <v>0</v>
      </c>
      <c r="DJ22" s="37">
        <f t="shared" si="54"/>
        <v>0</v>
      </c>
      <c r="DK22" s="38">
        <f t="shared" si="55"/>
        <v>0</v>
      </c>
      <c r="DL22" s="29">
        <f t="shared" si="92"/>
        <v>0</v>
      </c>
      <c r="DM22" s="29">
        <f>SUMIF(汇总表!$B$1:$AF$1,DM$3,汇总表!$B22:$AG22)</f>
        <v>0</v>
      </c>
      <c r="DN22" s="37">
        <f t="shared" si="56"/>
        <v>0</v>
      </c>
      <c r="DO22" s="38">
        <f t="shared" si="57"/>
        <v>0</v>
      </c>
      <c r="DP22" s="29">
        <f t="shared" si="93"/>
        <v>0</v>
      </c>
      <c r="DQ22" s="29">
        <f>SUMIF(汇总表!$B$1:$AF$1,DQ$3,汇总表!$B22:$AG22)</f>
        <v>0</v>
      </c>
      <c r="DR22" s="37">
        <f t="shared" si="58"/>
        <v>0</v>
      </c>
      <c r="DS22" s="38">
        <f t="shared" si="59"/>
        <v>0</v>
      </c>
      <c r="DT22" s="29">
        <f t="shared" si="94"/>
        <v>0</v>
      </c>
      <c r="DU22" s="29">
        <f>SUMIF(汇总表!$B$1:$AF$1,DU$3,汇总表!$B22:$AG22)</f>
        <v>0</v>
      </c>
      <c r="DV22" s="29">
        <f t="shared" si="60"/>
        <v>0</v>
      </c>
      <c r="DW22" s="38">
        <f t="shared" si="61"/>
        <v>0</v>
      </c>
      <c r="DX22" s="29">
        <v>0</v>
      </c>
    </row>
    <row r="23" spans="1:128">
      <c r="A23" s="43"/>
      <c r="B23" s="46" t="s">
        <v>673</v>
      </c>
      <c r="C23" s="29" t="s">
        <v>763</v>
      </c>
      <c r="D23" s="29">
        <f t="shared" si="64"/>
        <v>6459.6</v>
      </c>
      <c r="E23" s="29">
        <f>SUMIF(汇总表!$B$1:$AF$1,E$3,汇总表!$B23:$AG23)</f>
        <v>6251.22580645161</v>
      </c>
      <c r="F23" s="37">
        <f t="shared" si="1"/>
        <v>-208.374193548388</v>
      </c>
      <c r="G23" s="38">
        <f t="shared" si="2"/>
        <v>0.0322580645161291</v>
      </c>
      <c r="H23" s="29">
        <f t="shared" si="66"/>
        <v>6459.6</v>
      </c>
      <c r="I23" s="29">
        <f>SUMIF(汇总表!$B$1:$AF$1,I$3,汇总表!$B23:$AG23)</f>
        <v>6251.22580645161</v>
      </c>
      <c r="J23" s="37">
        <f t="shared" si="3"/>
        <v>-208.374193548388</v>
      </c>
      <c r="K23" s="38">
        <f t="shared" si="4"/>
        <v>0.0322580645161291</v>
      </c>
      <c r="L23" s="29">
        <f t="shared" si="67"/>
        <v>6459.6</v>
      </c>
      <c r="M23" s="29">
        <f>SUMIF(汇总表!$B$1:$AF$1,M$3,汇总表!$B23:$AG23)</f>
        <v>6251.22580645161</v>
      </c>
      <c r="N23" s="37">
        <f t="shared" si="5"/>
        <v>-208.374193548388</v>
      </c>
      <c r="O23" s="38">
        <f t="shared" si="6"/>
        <v>0.0322580645161291</v>
      </c>
      <c r="P23" s="29">
        <f t="shared" si="68"/>
        <v>6459.6</v>
      </c>
      <c r="Q23" s="29">
        <f>SUMIF(汇总表!$B$1:$AF$1,Q$3,汇总表!$B23:$AG23)</f>
        <v>6251.22580645161</v>
      </c>
      <c r="R23" s="37">
        <f t="shared" si="7"/>
        <v>-208.374193548388</v>
      </c>
      <c r="S23" s="38">
        <f t="shared" si="8"/>
        <v>0.0322580645161291</v>
      </c>
      <c r="T23" s="29">
        <f t="shared" si="69"/>
        <v>6459.6</v>
      </c>
      <c r="U23" s="29">
        <f>SUMIF(汇总表!$B$1:$AF$1,U$3,汇总表!$B23:$AG23)</f>
        <v>6251.22580645161</v>
      </c>
      <c r="V23" s="29">
        <f t="shared" si="9"/>
        <v>-208.374193548388</v>
      </c>
      <c r="W23" s="38">
        <f t="shared" si="10"/>
        <v>0.0322580645161291</v>
      </c>
      <c r="X23" s="29">
        <f t="shared" si="70"/>
        <v>6459.6</v>
      </c>
      <c r="Y23" s="29">
        <f>SUMIF(汇总表!$B$1:$AF$1,Y$3,汇总表!$B23:$AG23)</f>
        <v>6251.22580645161</v>
      </c>
      <c r="Z23" s="37">
        <f t="shared" si="11"/>
        <v>-208.374193548388</v>
      </c>
      <c r="AA23" s="38">
        <f t="shared" si="12"/>
        <v>0.0322580645161291</v>
      </c>
      <c r="AB23" s="29">
        <f t="shared" si="71"/>
        <v>6459.6</v>
      </c>
      <c r="AC23" s="29">
        <f>SUMIF(汇总表!$B$1:$AF$1,AC$3,汇总表!$B23:$AG23)</f>
        <v>6251.22580645161</v>
      </c>
      <c r="AD23" s="37">
        <f t="shared" si="13"/>
        <v>-208.374193548388</v>
      </c>
      <c r="AE23" s="38">
        <f t="shared" si="14"/>
        <v>0.0322580645161291</v>
      </c>
      <c r="AF23" s="29">
        <f t="shared" si="72"/>
        <v>6459.6</v>
      </c>
      <c r="AG23" s="29">
        <f>SUMIF(汇总表!$B$1:$AF$1,AG$3,汇总表!$B23:$AG23)</f>
        <v>6251.22580645161</v>
      </c>
      <c r="AH23" s="37">
        <f t="shared" si="15"/>
        <v>-208.374193548388</v>
      </c>
      <c r="AI23" s="38">
        <f t="shared" si="16"/>
        <v>0.0322580645161291</v>
      </c>
      <c r="AJ23" s="29">
        <f t="shared" si="73"/>
        <v>6459.6</v>
      </c>
      <c r="AK23" s="29">
        <f>SUMIF(汇总表!$B$1:$AF$1,AK$3,汇总表!$B23:$AG23)</f>
        <v>6251.22580645161</v>
      </c>
      <c r="AL23" s="37">
        <f t="shared" si="17"/>
        <v>-208.374193548388</v>
      </c>
      <c r="AM23" s="38">
        <f t="shared" si="18"/>
        <v>0.0322580645161291</v>
      </c>
      <c r="AN23" s="29">
        <f t="shared" si="74"/>
        <v>6459.6</v>
      </c>
      <c r="AO23" s="29">
        <f>SUMIF(汇总表!$B$1:$AF$1,AO$3,汇总表!$B23:$AG23)</f>
        <v>6251.22580645161</v>
      </c>
      <c r="AP23" s="37">
        <f t="shared" si="19"/>
        <v>-208.374193548388</v>
      </c>
      <c r="AQ23" s="38">
        <f t="shared" si="62"/>
        <v>0.0322580645161291</v>
      </c>
      <c r="AR23" s="29">
        <f t="shared" si="65"/>
        <v>6459.6</v>
      </c>
      <c r="AS23" s="29">
        <f>SUMIF(汇总表!$B$1:$AF$1,AS$3,汇总表!$B23:$AG23)</f>
        <v>6251.22580645161</v>
      </c>
      <c r="AT23" s="37">
        <f t="shared" si="20"/>
        <v>-208.374193548388</v>
      </c>
      <c r="AU23" s="38">
        <f t="shared" si="21"/>
        <v>0.0322580645161291</v>
      </c>
      <c r="AV23" s="29">
        <f t="shared" si="75"/>
        <v>6459.6</v>
      </c>
      <c r="AW23" s="29">
        <f>SUMIF(汇总表!$B$1:$AF$1,AW$3,汇总表!$B23:$AG23)</f>
        <v>6251.22580645161</v>
      </c>
      <c r="AX23" s="37">
        <f t="shared" si="22"/>
        <v>-208.374193548388</v>
      </c>
      <c r="AY23" s="38">
        <f t="shared" si="23"/>
        <v>0.0322580645161291</v>
      </c>
      <c r="AZ23" s="29">
        <f t="shared" si="76"/>
        <v>6459.6</v>
      </c>
      <c r="BA23" s="29">
        <f>SUMIF(汇总表!$B$1:$AF$1,BA$3,汇总表!$B23:$AG23)</f>
        <v>6251.22580645161</v>
      </c>
      <c r="BB23" s="37">
        <f t="shared" si="24"/>
        <v>-208.374193548388</v>
      </c>
      <c r="BC23" s="38">
        <f t="shared" si="25"/>
        <v>0.0322580645161291</v>
      </c>
      <c r="BD23" s="29">
        <f t="shared" si="77"/>
        <v>6459.6</v>
      </c>
      <c r="BE23" s="29">
        <f>SUMIF(汇总表!$B$1:$AF$1,BE$3,汇总表!$B23:$AG23)</f>
        <v>6251.22580645161</v>
      </c>
      <c r="BF23" s="37">
        <f t="shared" si="26"/>
        <v>-208.374193548388</v>
      </c>
      <c r="BG23" s="38">
        <f t="shared" si="27"/>
        <v>0.0322580645161291</v>
      </c>
      <c r="BH23" s="29">
        <f t="shared" si="78"/>
        <v>6459.6</v>
      </c>
      <c r="BI23" s="29">
        <f>SUMIF(汇总表!$B$1:$AF$1,BI$3,汇总表!$B23:$AG23)</f>
        <v>6251.22580645161</v>
      </c>
      <c r="BJ23" s="37">
        <f t="shared" si="28"/>
        <v>-208.374193548388</v>
      </c>
      <c r="BK23" s="38">
        <f t="shared" si="29"/>
        <v>0.0322580645161291</v>
      </c>
      <c r="BL23" s="29">
        <f t="shared" si="79"/>
        <v>6459.6</v>
      </c>
      <c r="BM23" s="29">
        <f>SUMIF(汇总表!$B$1:$AF$1,BM$3,汇总表!$B23:$AG23)</f>
        <v>6251.22580645161</v>
      </c>
      <c r="BN23" s="37">
        <f t="shared" si="30"/>
        <v>-208.374193548388</v>
      </c>
      <c r="BO23" s="38">
        <f t="shared" si="31"/>
        <v>0.0322580645161291</v>
      </c>
      <c r="BP23" s="29">
        <f t="shared" si="80"/>
        <v>6459.6</v>
      </c>
      <c r="BQ23" s="29">
        <f>SUMIF(汇总表!$B$1:$AF$1,BQ$3,汇总表!$B23:$AG23)</f>
        <v>6251.22580645161</v>
      </c>
      <c r="BR23" s="37">
        <f t="shared" si="32"/>
        <v>-208.374193548388</v>
      </c>
      <c r="BS23" s="38">
        <f t="shared" si="33"/>
        <v>0.0322580645161291</v>
      </c>
      <c r="BT23" s="29">
        <f t="shared" si="81"/>
        <v>6459.6</v>
      </c>
      <c r="BU23" s="29">
        <f>SUMIF(汇总表!$B$1:$AF$1,BU$3,汇总表!$B23:$AG23)</f>
        <v>6251.22580645161</v>
      </c>
      <c r="BV23" s="37">
        <f t="shared" si="34"/>
        <v>-208.374193548388</v>
      </c>
      <c r="BW23" s="38">
        <f t="shared" si="35"/>
        <v>0.0322580645161291</v>
      </c>
      <c r="BX23" s="29">
        <f t="shared" si="82"/>
        <v>6459.6</v>
      </c>
      <c r="BY23" s="29">
        <f>SUMIF(汇总表!$B$1:$AF$1,BY$3,汇总表!$B23:$AG23)</f>
        <v>6251.22580645161</v>
      </c>
      <c r="BZ23" s="37">
        <f t="shared" si="36"/>
        <v>-208.374193548388</v>
      </c>
      <c r="CA23" s="38">
        <f t="shared" si="37"/>
        <v>0.0322580645161291</v>
      </c>
      <c r="CB23" s="29">
        <f t="shared" si="83"/>
        <v>6459.6</v>
      </c>
      <c r="CC23" s="29">
        <f>SUMIF(汇总表!$B$1:$AF$1,CC$3,汇总表!$B23:$AG23)</f>
        <v>6251.22580645161</v>
      </c>
      <c r="CD23" s="37">
        <f t="shared" si="38"/>
        <v>-208.374193548388</v>
      </c>
      <c r="CE23" s="38">
        <f t="shared" si="39"/>
        <v>0.0322580645161291</v>
      </c>
      <c r="CF23" s="29">
        <f t="shared" si="84"/>
        <v>6459.6</v>
      </c>
      <c r="CG23" s="29">
        <f>SUMIF(汇总表!$B$1:$AF$1,CG$3,汇总表!$B23:$AG23)</f>
        <v>6251.22580645161</v>
      </c>
      <c r="CH23" s="37">
        <f t="shared" si="40"/>
        <v>-208.374193548388</v>
      </c>
      <c r="CI23" s="38">
        <f t="shared" si="41"/>
        <v>0.0322580645161291</v>
      </c>
      <c r="CJ23" s="29">
        <f t="shared" si="85"/>
        <v>6459.6</v>
      </c>
      <c r="CK23" s="29">
        <f>SUMIF(汇总表!$B$1:$AF$1,CK$3,汇总表!$B23:$AG23)</f>
        <v>6251.22580645161</v>
      </c>
      <c r="CL23" s="37">
        <f t="shared" si="42"/>
        <v>-208.374193548388</v>
      </c>
      <c r="CM23" s="38">
        <f t="shared" si="43"/>
        <v>0.0322580645161291</v>
      </c>
      <c r="CN23" s="29">
        <f t="shared" si="86"/>
        <v>6459.6</v>
      </c>
      <c r="CO23" s="29">
        <f>SUMIF(汇总表!$B$1:$AF$1,CO$3,汇总表!$B23:$AG23)</f>
        <v>6251.22580645161</v>
      </c>
      <c r="CP23" s="37">
        <f t="shared" si="44"/>
        <v>-208.374193548388</v>
      </c>
      <c r="CQ23" s="38">
        <f t="shared" si="45"/>
        <v>0.0322580645161291</v>
      </c>
      <c r="CR23" s="29">
        <f t="shared" si="87"/>
        <v>6459.6</v>
      </c>
      <c r="CS23" s="29">
        <f>SUMIF(汇总表!$B$1:$AF$1,CS$3,汇总表!$B23:$AG23)</f>
        <v>6251.22580645161</v>
      </c>
      <c r="CT23" s="37">
        <f t="shared" si="46"/>
        <v>-208.374193548388</v>
      </c>
      <c r="CU23" s="38">
        <f t="shared" si="47"/>
        <v>0.0322580645161291</v>
      </c>
      <c r="CV23" s="29">
        <f t="shared" si="88"/>
        <v>6459.6</v>
      </c>
      <c r="CW23" s="29">
        <f>SUMIF(汇总表!$B$1:$AF$1,CW$3,汇总表!$B23:$AG23)</f>
        <v>6251.22580645161</v>
      </c>
      <c r="CX23" s="37">
        <f t="shared" si="48"/>
        <v>-208.374193548388</v>
      </c>
      <c r="CY23" s="38">
        <f t="shared" si="49"/>
        <v>0.0322580645161291</v>
      </c>
      <c r="CZ23" s="29">
        <f t="shared" si="89"/>
        <v>6459.6</v>
      </c>
      <c r="DA23" s="29">
        <f>SUMIF(汇总表!$B$1:$AF$1,DA$3,汇总表!$B23:$AG23)</f>
        <v>6251.22580645161</v>
      </c>
      <c r="DB23" s="37">
        <f t="shared" si="50"/>
        <v>-208.374193548388</v>
      </c>
      <c r="DC23" s="38">
        <f t="shared" si="51"/>
        <v>0.0322580645161291</v>
      </c>
      <c r="DD23" s="29">
        <f t="shared" si="90"/>
        <v>6459.6</v>
      </c>
      <c r="DE23" s="29">
        <f>SUMIF(汇总表!$B$1:$AF$1,DE$3,汇总表!$B23:$AG23)</f>
        <v>6251.22580645161</v>
      </c>
      <c r="DF23" s="37">
        <f t="shared" si="52"/>
        <v>-208.374193548388</v>
      </c>
      <c r="DG23" s="38">
        <f t="shared" si="53"/>
        <v>0.0322580645161291</v>
      </c>
      <c r="DH23" s="29">
        <f t="shared" si="91"/>
        <v>6459.6</v>
      </c>
      <c r="DI23" s="29">
        <f>SUMIF(汇总表!$B$1:$AF$1,DI$3,汇总表!$B23:$AG23)</f>
        <v>6251.22580645161</v>
      </c>
      <c r="DJ23" s="37">
        <f t="shared" si="54"/>
        <v>-208.374193548388</v>
      </c>
      <c r="DK23" s="38">
        <f t="shared" si="55"/>
        <v>0.0322580645161291</v>
      </c>
      <c r="DL23" s="29">
        <f t="shared" si="92"/>
        <v>6459.6</v>
      </c>
      <c r="DM23" s="29">
        <f>SUMIF(汇总表!$B$1:$AF$1,DM$3,汇总表!$B23:$AG23)</f>
        <v>6251.22580645161</v>
      </c>
      <c r="DN23" s="37">
        <f t="shared" si="56"/>
        <v>-208.374193548388</v>
      </c>
      <c r="DO23" s="38">
        <f t="shared" si="57"/>
        <v>0.0322580645161291</v>
      </c>
      <c r="DP23" s="29">
        <f t="shared" si="93"/>
        <v>6459.6</v>
      </c>
      <c r="DQ23" s="29">
        <f>SUMIF(汇总表!$B$1:$AF$1,DQ$3,汇总表!$B23:$AG23)</f>
        <v>6251.22580645161</v>
      </c>
      <c r="DR23" s="37">
        <f t="shared" si="58"/>
        <v>-208.374193548388</v>
      </c>
      <c r="DS23" s="38">
        <f t="shared" si="59"/>
        <v>0.0322580645161291</v>
      </c>
      <c r="DT23" s="29">
        <f t="shared" si="94"/>
        <v>0</v>
      </c>
      <c r="DU23" s="29">
        <f>SUMIF(汇总表!$B$1:$AF$1,DU$3,汇总表!$B23:$AG23)</f>
        <v>6251.22580645161</v>
      </c>
      <c r="DV23" s="29">
        <f t="shared" si="60"/>
        <v>6251.22580645161</v>
      </c>
      <c r="DW23" s="38">
        <f t="shared" si="61"/>
        <v>0</v>
      </c>
      <c r="DX23" s="29">
        <v>193788</v>
      </c>
    </row>
    <row r="24" spans="1:128">
      <c r="A24" s="43"/>
      <c r="B24" s="46" t="s">
        <v>675</v>
      </c>
      <c r="C24" s="29" t="s">
        <v>764</v>
      </c>
      <c r="D24" s="29">
        <f t="shared" si="64"/>
        <v>922.8</v>
      </c>
      <c r="E24" s="29">
        <f>SUMIF(汇总表!$B$1:$AF$1,E$3,汇总表!$B24:$AG24)</f>
        <v>893.032258064516</v>
      </c>
      <c r="F24" s="37">
        <f t="shared" si="1"/>
        <v>-29.7677419354839</v>
      </c>
      <c r="G24" s="38">
        <f t="shared" si="2"/>
        <v>0.032258064516129</v>
      </c>
      <c r="H24" s="29">
        <f t="shared" si="66"/>
        <v>922.8</v>
      </c>
      <c r="I24" s="29">
        <f>SUMIF(汇总表!$B$1:$AF$1,I$3,汇总表!$B24:$AG24)</f>
        <v>893.032258064516</v>
      </c>
      <c r="J24" s="37">
        <f t="shared" si="3"/>
        <v>-29.7677419354839</v>
      </c>
      <c r="K24" s="38">
        <f t="shared" si="4"/>
        <v>0.032258064516129</v>
      </c>
      <c r="L24" s="29">
        <f t="shared" si="67"/>
        <v>922.8</v>
      </c>
      <c r="M24" s="29">
        <f>SUMIF(汇总表!$B$1:$AF$1,M$3,汇总表!$B24:$AG24)</f>
        <v>893.032258064516</v>
      </c>
      <c r="N24" s="37">
        <f t="shared" si="5"/>
        <v>-29.7677419354839</v>
      </c>
      <c r="O24" s="38">
        <f t="shared" si="6"/>
        <v>0.032258064516129</v>
      </c>
      <c r="P24" s="29">
        <f t="shared" si="68"/>
        <v>922.8</v>
      </c>
      <c r="Q24" s="29">
        <f>SUMIF(汇总表!$B$1:$AF$1,Q$3,汇总表!$B24:$AG24)</f>
        <v>893.032258064516</v>
      </c>
      <c r="R24" s="37">
        <f t="shared" si="7"/>
        <v>-29.7677419354839</v>
      </c>
      <c r="S24" s="38">
        <f t="shared" si="8"/>
        <v>0.032258064516129</v>
      </c>
      <c r="T24" s="29">
        <f t="shared" si="69"/>
        <v>922.8</v>
      </c>
      <c r="U24" s="29">
        <f>SUMIF(汇总表!$B$1:$AF$1,U$3,汇总表!$B24:$AG24)</f>
        <v>893.032258064516</v>
      </c>
      <c r="V24" s="29">
        <f t="shared" si="9"/>
        <v>-29.7677419354839</v>
      </c>
      <c r="W24" s="38">
        <f t="shared" si="10"/>
        <v>0.032258064516129</v>
      </c>
      <c r="X24" s="29">
        <f t="shared" si="70"/>
        <v>922.8</v>
      </c>
      <c r="Y24" s="29">
        <f>SUMIF(汇总表!$B$1:$AF$1,Y$3,汇总表!$B24:$AG24)</f>
        <v>893.032258064516</v>
      </c>
      <c r="Z24" s="37">
        <f t="shared" si="11"/>
        <v>-29.7677419354839</v>
      </c>
      <c r="AA24" s="38">
        <f t="shared" si="12"/>
        <v>0.032258064516129</v>
      </c>
      <c r="AB24" s="29">
        <f t="shared" si="71"/>
        <v>922.8</v>
      </c>
      <c r="AC24" s="29">
        <f>SUMIF(汇总表!$B$1:$AF$1,AC$3,汇总表!$B24:$AG24)</f>
        <v>893.032258064516</v>
      </c>
      <c r="AD24" s="37">
        <f t="shared" si="13"/>
        <v>-29.7677419354839</v>
      </c>
      <c r="AE24" s="38">
        <f t="shared" si="14"/>
        <v>0.032258064516129</v>
      </c>
      <c r="AF24" s="29">
        <f t="shared" si="72"/>
        <v>922.8</v>
      </c>
      <c r="AG24" s="29">
        <f>SUMIF(汇总表!$B$1:$AF$1,AG$3,汇总表!$B24:$AG24)</f>
        <v>893.032258064516</v>
      </c>
      <c r="AH24" s="37">
        <f t="shared" si="15"/>
        <v>-29.7677419354839</v>
      </c>
      <c r="AI24" s="38">
        <f t="shared" si="16"/>
        <v>0.032258064516129</v>
      </c>
      <c r="AJ24" s="29">
        <f t="shared" si="73"/>
        <v>922.8</v>
      </c>
      <c r="AK24" s="29">
        <f>SUMIF(汇总表!$B$1:$AF$1,AK$3,汇总表!$B24:$AG24)</f>
        <v>893.032258064516</v>
      </c>
      <c r="AL24" s="37">
        <f t="shared" si="17"/>
        <v>-29.7677419354839</v>
      </c>
      <c r="AM24" s="38">
        <f t="shared" si="18"/>
        <v>0.032258064516129</v>
      </c>
      <c r="AN24" s="29">
        <f t="shared" si="74"/>
        <v>922.8</v>
      </c>
      <c r="AO24" s="29">
        <f>SUMIF(汇总表!$B$1:$AF$1,AO$3,汇总表!$B24:$AG24)</f>
        <v>893.032258064516</v>
      </c>
      <c r="AP24" s="37">
        <f t="shared" si="19"/>
        <v>-29.7677419354839</v>
      </c>
      <c r="AQ24" s="38">
        <f t="shared" si="62"/>
        <v>0.032258064516129</v>
      </c>
      <c r="AR24" s="29">
        <f t="shared" si="65"/>
        <v>922.8</v>
      </c>
      <c r="AS24" s="29">
        <f>SUMIF(汇总表!$B$1:$AF$1,AS$3,汇总表!$B24:$AG24)</f>
        <v>893.032258064516</v>
      </c>
      <c r="AT24" s="37">
        <f t="shared" si="20"/>
        <v>-29.7677419354839</v>
      </c>
      <c r="AU24" s="38">
        <f t="shared" si="21"/>
        <v>0.032258064516129</v>
      </c>
      <c r="AV24" s="29">
        <f t="shared" si="75"/>
        <v>922.8</v>
      </c>
      <c r="AW24" s="29">
        <f>SUMIF(汇总表!$B$1:$AF$1,AW$3,汇总表!$B24:$AG24)</f>
        <v>893.032258064516</v>
      </c>
      <c r="AX24" s="37">
        <f t="shared" si="22"/>
        <v>-29.7677419354839</v>
      </c>
      <c r="AY24" s="38">
        <f t="shared" si="23"/>
        <v>0.032258064516129</v>
      </c>
      <c r="AZ24" s="29">
        <f t="shared" si="76"/>
        <v>922.8</v>
      </c>
      <c r="BA24" s="29">
        <f>SUMIF(汇总表!$B$1:$AF$1,BA$3,汇总表!$B24:$AG24)</f>
        <v>893.032258064516</v>
      </c>
      <c r="BB24" s="37">
        <f t="shared" si="24"/>
        <v>-29.7677419354839</v>
      </c>
      <c r="BC24" s="38">
        <f t="shared" si="25"/>
        <v>0.032258064516129</v>
      </c>
      <c r="BD24" s="29">
        <f t="shared" si="77"/>
        <v>922.8</v>
      </c>
      <c r="BE24" s="29">
        <f>SUMIF(汇总表!$B$1:$AF$1,BE$3,汇总表!$B24:$AG24)</f>
        <v>893.032258064516</v>
      </c>
      <c r="BF24" s="37">
        <f t="shared" si="26"/>
        <v>-29.7677419354839</v>
      </c>
      <c r="BG24" s="38">
        <f t="shared" si="27"/>
        <v>0.032258064516129</v>
      </c>
      <c r="BH24" s="29">
        <f t="shared" si="78"/>
        <v>922.8</v>
      </c>
      <c r="BI24" s="29">
        <f>SUMIF(汇总表!$B$1:$AF$1,BI$3,汇总表!$B24:$AG24)</f>
        <v>893.032258064516</v>
      </c>
      <c r="BJ24" s="37">
        <f t="shared" si="28"/>
        <v>-29.7677419354839</v>
      </c>
      <c r="BK24" s="38">
        <f t="shared" si="29"/>
        <v>0.032258064516129</v>
      </c>
      <c r="BL24" s="29">
        <f t="shared" si="79"/>
        <v>922.8</v>
      </c>
      <c r="BM24" s="29">
        <f>SUMIF(汇总表!$B$1:$AF$1,BM$3,汇总表!$B24:$AG24)</f>
        <v>893.032258064516</v>
      </c>
      <c r="BN24" s="37">
        <f t="shared" si="30"/>
        <v>-29.7677419354839</v>
      </c>
      <c r="BO24" s="38">
        <f t="shared" si="31"/>
        <v>0.032258064516129</v>
      </c>
      <c r="BP24" s="29">
        <f t="shared" si="80"/>
        <v>922.8</v>
      </c>
      <c r="BQ24" s="29">
        <f>SUMIF(汇总表!$B$1:$AF$1,BQ$3,汇总表!$B24:$AG24)</f>
        <v>893.032258064516</v>
      </c>
      <c r="BR24" s="37">
        <f t="shared" si="32"/>
        <v>-29.7677419354839</v>
      </c>
      <c r="BS24" s="38">
        <f t="shared" si="33"/>
        <v>0.032258064516129</v>
      </c>
      <c r="BT24" s="29">
        <f t="shared" si="81"/>
        <v>922.8</v>
      </c>
      <c r="BU24" s="29">
        <f>SUMIF(汇总表!$B$1:$AF$1,BU$3,汇总表!$B24:$AG24)</f>
        <v>893.032258064516</v>
      </c>
      <c r="BV24" s="37">
        <f t="shared" si="34"/>
        <v>-29.7677419354839</v>
      </c>
      <c r="BW24" s="38">
        <f t="shared" si="35"/>
        <v>0.032258064516129</v>
      </c>
      <c r="BX24" s="29">
        <f t="shared" si="82"/>
        <v>922.8</v>
      </c>
      <c r="BY24" s="29">
        <f>SUMIF(汇总表!$B$1:$AF$1,BY$3,汇总表!$B24:$AG24)</f>
        <v>893.032258064516</v>
      </c>
      <c r="BZ24" s="37">
        <f t="shared" si="36"/>
        <v>-29.7677419354839</v>
      </c>
      <c r="CA24" s="38">
        <f t="shared" si="37"/>
        <v>0.032258064516129</v>
      </c>
      <c r="CB24" s="29">
        <f t="shared" si="83"/>
        <v>922.8</v>
      </c>
      <c r="CC24" s="29">
        <f>SUMIF(汇总表!$B$1:$AF$1,CC$3,汇总表!$B24:$AG24)</f>
        <v>893.032258064516</v>
      </c>
      <c r="CD24" s="37">
        <f t="shared" si="38"/>
        <v>-29.7677419354839</v>
      </c>
      <c r="CE24" s="38">
        <f t="shared" si="39"/>
        <v>0.032258064516129</v>
      </c>
      <c r="CF24" s="29">
        <f t="shared" si="84"/>
        <v>922.8</v>
      </c>
      <c r="CG24" s="29">
        <f>SUMIF(汇总表!$B$1:$AF$1,CG$3,汇总表!$B24:$AG24)</f>
        <v>893.032258064516</v>
      </c>
      <c r="CH24" s="37">
        <f t="shared" si="40"/>
        <v>-29.7677419354839</v>
      </c>
      <c r="CI24" s="38">
        <f t="shared" si="41"/>
        <v>0.032258064516129</v>
      </c>
      <c r="CJ24" s="29">
        <f t="shared" si="85"/>
        <v>922.8</v>
      </c>
      <c r="CK24" s="29">
        <f>SUMIF(汇总表!$B$1:$AF$1,CK$3,汇总表!$B24:$AG24)</f>
        <v>893.032258064516</v>
      </c>
      <c r="CL24" s="37">
        <f t="shared" si="42"/>
        <v>-29.7677419354839</v>
      </c>
      <c r="CM24" s="38">
        <f t="shared" si="43"/>
        <v>0.032258064516129</v>
      </c>
      <c r="CN24" s="29">
        <f t="shared" si="86"/>
        <v>922.8</v>
      </c>
      <c r="CO24" s="29">
        <f>SUMIF(汇总表!$B$1:$AF$1,CO$3,汇总表!$B24:$AG24)</f>
        <v>893.032258064516</v>
      </c>
      <c r="CP24" s="37">
        <f t="shared" si="44"/>
        <v>-29.7677419354839</v>
      </c>
      <c r="CQ24" s="38">
        <f t="shared" si="45"/>
        <v>0.032258064516129</v>
      </c>
      <c r="CR24" s="29">
        <f t="shared" si="87"/>
        <v>922.8</v>
      </c>
      <c r="CS24" s="29">
        <f>SUMIF(汇总表!$B$1:$AF$1,CS$3,汇总表!$B24:$AG24)</f>
        <v>893.032258064516</v>
      </c>
      <c r="CT24" s="37">
        <f t="shared" si="46"/>
        <v>-29.7677419354839</v>
      </c>
      <c r="CU24" s="38">
        <f t="shared" si="47"/>
        <v>0.032258064516129</v>
      </c>
      <c r="CV24" s="29">
        <f t="shared" si="88"/>
        <v>922.8</v>
      </c>
      <c r="CW24" s="29">
        <f>SUMIF(汇总表!$B$1:$AF$1,CW$3,汇总表!$B24:$AG24)</f>
        <v>893.032258064516</v>
      </c>
      <c r="CX24" s="37">
        <f t="shared" si="48"/>
        <v>-29.7677419354839</v>
      </c>
      <c r="CY24" s="38">
        <f t="shared" si="49"/>
        <v>0.032258064516129</v>
      </c>
      <c r="CZ24" s="29">
        <f t="shared" si="89"/>
        <v>922.8</v>
      </c>
      <c r="DA24" s="29">
        <f>SUMIF(汇总表!$B$1:$AF$1,DA$3,汇总表!$B24:$AG24)</f>
        <v>893.032258064516</v>
      </c>
      <c r="DB24" s="37">
        <f t="shared" si="50"/>
        <v>-29.7677419354839</v>
      </c>
      <c r="DC24" s="38">
        <f t="shared" si="51"/>
        <v>0.032258064516129</v>
      </c>
      <c r="DD24" s="29">
        <f t="shared" si="90"/>
        <v>922.8</v>
      </c>
      <c r="DE24" s="29">
        <f>SUMIF(汇总表!$B$1:$AF$1,DE$3,汇总表!$B24:$AG24)</f>
        <v>893.032258064516</v>
      </c>
      <c r="DF24" s="37">
        <f t="shared" si="52"/>
        <v>-29.7677419354839</v>
      </c>
      <c r="DG24" s="38">
        <f t="shared" si="53"/>
        <v>0.032258064516129</v>
      </c>
      <c r="DH24" s="29">
        <f t="shared" si="91"/>
        <v>922.8</v>
      </c>
      <c r="DI24" s="29">
        <f>SUMIF(汇总表!$B$1:$AF$1,DI$3,汇总表!$B24:$AG24)</f>
        <v>893.032258064516</v>
      </c>
      <c r="DJ24" s="37">
        <f t="shared" si="54"/>
        <v>-29.7677419354839</v>
      </c>
      <c r="DK24" s="38">
        <f t="shared" si="55"/>
        <v>0.032258064516129</v>
      </c>
      <c r="DL24" s="29">
        <f t="shared" si="92"/>
        <v>922.8</v>
      </c>
      <c r="DM24" s="29">
        <f>SUMIF(汇总表!$B$1:$AF$1,DM$3,汇总表!$B24:$AG24)</f>
        <v>893.032258064516</v>
      </c>
      <c r="DN24" s="37">
        <f t="shared" si="56"/>
        <v>-29.7677419354839</v>
      </c>
      <c r="DO24" s="38">
        <f t="shared" si="57"/>
        <v>0.032258064516129</v>
      </c>
      <c r="DP24" s="29">
        <f t="shared" si="93"/>
        <v>922.8</v>
      </c>
      <c r="DQ24" s="29">
        <f>SUMIF(汇总表!$B$1:$AF$1,DQ$3,汇总表!$B24:$AG24)</f>
        <v>893.032258064516</v>
      </c>
      <c r="DR24" s="37">
        <f t="shared" si="58"/>
        <v>-29.7677419354839</v>
      </c>
      <c r="DS24" s="38">
        <f t="shared" si="59"/>
        <v>0.032258064516129</v>
      </c>
      <c r="DT24" s="29">
        <f t="shared" si="94"/>
        <v>0</v>
      </c>
      <c r="DU24" s="29">
        <f>SUMIF(汇总表!$B$1:$AF$1,DU$3,汇总表!$B24:$AG24)</f>
        <v>893.032258064516</v>
      </c>
      <c r="DV24" s="29">
        <f t="shared" si="60"/>
        <v>893.032258064516</v>
      </c>
      <c r="DW24" s="38">
        <f t="shared" si="61"/>
        <v>0</v>
      </c>
      <c r="DX24" s="29">
        <v>27684</v>
      </c>
    </row>
    <row r="25" spans="1:128">
      <c r="A25" s="43"/>
      <c r="B25" s="46" t="s">
        <v>716</v>
      </c>
      <c r="C25" s="29" t="s">
        <v>765</v>
      </c>
      <c r="D25" s="29">
        <f t="shared" si="64"/>
        <v>65.4333333333333</v>
      </c>
      <c r="E25" s="29">
        <f>SUMIF(汇总表!$B$1:$AF$1,E$3,汇总表!$B25:$AG25)</f>
        <v>63.3225806451613</v>
      </c>
      <c r="F25" s="37">
        <f t="shared" si="1"/>
        <v>-2.11075268817201</v>
      </c>
      <c r="G25" s="38">
        <f t="shared" ref="G6:G37" si="95">IFERROR(-F25/D25,0)</f>
        <v>0.0322580645161285</v>
      </c>
      <c r="H25" s="29">
        <f t="shared" si="66"/>
        <v>65.4333333333333</v>
      </c>
      <c r="I25" s="29">
        <f>SUMIF(汇总表!$B$1:$AF$1,I$3,汇总表!$B25:$AG25)</f>
        <v>63.3225806451613</v>
      </c>
      <c r="J25" s="37">
        <f t="shared" si="3"/>
        <v>-2.11075268817201</v>
      </c>
      <c r="K25" s="38">
        <f t="shared" si="4"/>
        <v>0.0322580645161285</v>
      </c>
      <c r="L25" s="29">
        <f t="shared" si="67"/>
        <v>65.4333333333333</v>
      </c>
      <c r="M25" s="29">
        <f>SUMIF(汇总表!$B$1:$AF$1,M$3,汇总表!$B25:$AG25)</f>
        <v>63.3225806451613</v>
      </c>
      <c r="N25" s="37">
        <f t="shared" si="5"/>
        <v>-2.11075268817201</v>
      </c>
      <c r="O25" s="38">
        <f t="shared" si="6"/>
        <v>0.0322580645161285</v>
      </c>
      <c r="P25" s="29">
        <f t="shared" si="68"/>
        <v>65.4333333333333</v>
      </c>
      <c r="Q25" s="29">
        <f>SUMIF(汇总表!$B$1:$AF$1,Q$3,汇总表!$B25:$AG25)</f>
        <v>63.3225806451613</v>
      </c>
      <c r="R25" s="37">
        <f t="shared" si="7"/>
        <v>-2.11075268817201</v>
      </c>
      <c r="S25" s="38">
        <f t="shared" si="8"/>
        <v>0.0322580645161285</v>
      </c>
      <c r="T25" s="29">
        <f t="shared" si="69"/>
        <v>65.4333333333333</v>
      </c>
      <c r="U25" s="29">
        <f>SUMIF(汇总表!$B$1:$AF$1,U$3,汇总表!$B25:$AG25)</f>
        <v>63.3225806451613</v>
      </c>
      <c r="V25" s="29">
        <f t="shared" si="9"/>
        <v>-2.11075268817201</v>
      </c>
      <c r="W25" s="38">
        <f t="shared" si="10"/>
        <v>0.0322580645161285</v>
      </c>
      <c r="X25" s="29">
        <f t="shared" si="70"/>
        <v>65.4333333333333</v>
      </c>
      <c r="Y25" s="29">
        <f>SUMIF(汇总表!$B$1:$AF$1,Y$3,汇总表!$B25:$AG25)</f>
        <v>63.3225806451613</v>
      </c>
      <c r="Z25" s="37">
        <f t="shared" si="11"/>
        <v>-2.11075268817201</v>
      </c>
      <c r="AA25" s="38">
        <f t="shared" si="12"/>
        <v>0.0322580645161285</v>
      </c>
      <c r="AB25" s="29">
        <f t="shared" si="71"/>
        <v>65.4333333333333</v>
      </c>
      <c r="AC25" s="29">
        <f>SUMIF(汇总表!$B$1:$AF$1,AC$3,汇总表!$B25:$AG25)</f>
        <v>63.3225806451613</v>
      </c>
      <c r="AD25" s="37">
        <f t="shared" si="13"/>
        <v>-2.11075268817201</v>
      </c>
      <c r="AE25" s="38">
        <f t="shared" si="14"/>
        <v>0.0322580645161285</v>
      </c>
      <c r="AF25" s="29">
        <f t="shared" si="72"/>
        <v>65.4333333333333</v>
      </c>
      <c r="AG25" s="29">
        <f>SUMIF(汇总表!$B$1:$AF$1,AG$3,汇总表!$B25:$AG25)</f>
        <v>63.3225806451613</v>
      </c>
      <c r="AH25" s="37">
        <f t="shared" si="15"/>
        <v>-2.11075268817201</v>
      </c>
      <c r="AI25" s="38">
        <f t="shared" si="16"/>
        <v>0.0322580645161285</v>
      </c>
      <c r="AJ25" s="29">
        <f t="shared" si="73"/>
        <v>65.4333333333333</v>
      </c>
      <c r="AK25" s="29">
        <f>SUMIF(汇总表!$B$1:$AF$1,AK$3,汇总表!$B25:$AG25)</f>
        <v>63.3225806451613</v>
      </c>
      <c r="AL25" s="37">
        <f t="shared" si="17"/>
        <v>-2.11075268817201</v>
      </c>
      <c r="AM25" s="38">
        <f t="shared" si="18"/>
        <v>0.0322580645161285</v>
      </c>
      <c r="AN25" s="29">
        <f t="shared" si="74"/>
        <v>65.4333333333333</v>
      </c>
      <c r="AO25" s="29">
        <f>SUMIF(汇总表!$B$1:$AF$1,AO$3,汇总表!$B25:$AG25)</f>
        <v>63.3225806451613</v>
      </c>
      <c r="AP25" s="37">
        <f t="shared" si="19"/>
        <v>-2.11075268817201</v>
      </c>
      <c r="AQ25" s="38">
        <f t="shared" si="62"/>
        <v>0.0322580645161285</v>
      </c>
      <c r="AR25" s="29">
        <f t="shared" si="65"/>
        <v>65.4333333333333</v>
      </c>
      <c r="AS25" s="29">
        <f>SUMIF(汇总表!$B$1:$AF$1,AS$3,汇总表!$B25:$AG25)</f>
        <v>63.3225806451613</v>
      </c>
      <c r="AT25" s="37">
        <f t="shared" si="20"/>
        <v>-2.11075268817201</v>
      </c>
      <c r="AU25" s="38">
        <f t="shared" si="21"/>
        <v>0.0322580645161285</v>
      </c>
      <c r="AV25" s="29">
        <f t="shared" si="75"/>
        <v>65.4333333333333</v>
      </c>
      <c r="AW25" s="29">
        <f>SUMIF(汇总表!$B$1:$AF$1,AW$3,汇总表!$B25:$AG25)</f>
        <v>63.3225806451613</v>
      </c>
      <c r="AX25" s="37">
        <f t="shared" si="22"/>
        <v>-2.11075268817201</v>
      </c>
      <c r="AY25" s="38">
        <f t="shared" si="23"/>
        <v>0.0322580645161285</v>
      </c>
      <c r="AZ25" s="29">
        <f t="shared" si="76"/>
        <v>65.4333333333333</v>
      </c>
      <c r="BA25" s="29">
        <f>SUMIF(汇总表!$B$1:$AF$1,BA$3,汇总表!$B25:$AG25)</f>
        <v>63.3225806451613</v>
      </c>
      <c r="BB25" s="37">
        <f t="shared" si="24"/>
        <v>-2.11075268817201</v>
      </c>
      <c r="BC25" s="38">
        <f t="shared" si="25"/>
        <v>0.0322580645161285</v>
      </c>
      <c r="BD25" s="29">
        <f t="shared" si="77"/>
        <v>65.4333333333333</v>
      </c>
      <c r="BE25" s="29">
        <f>SUMIF(汇总表!$B$1:$AF$1,BE$3,汇总表!$B25:$AG25)</f>
        <v>63.3225806451613</v>
      </c>
      <c r="BF25" s="37">
        <f t="shared" si="26"/>
        <v>-2.11075268817201</v>
      </c>
      <c r="BG25" s="38">
        <f t="shared" si="27"/>
        <v>0.0322580645161285</v>
      </c>
      <c r="BH25" s="29">
        <f t="shared" si="78"/>
        <v>65.4333333333333</v>
      </c>
      <c r="BI25" s="29">
        <f>SUMIF(汇总表!$B$1:$AF$1,BI$3,汇总表!$B25:$AG25)</f>
        <v>63.3225806451613</v>
      </c>
      <c r="BJ25" s="37">
        <f t="shared" si="28"/>
        <v>-2.11075268817201</v>
      </c>
      <c r="BK25" s="38">
        <f t="shared" si="29"/>
        <v>0.0322580645161285</v>
      </c>
      <c r="BL25" s="29">
        <f t="shared" si="79"/>
        <v>65.4333333333333</v>
      </c>
      <c r="BM25" s="29">
        <f>SUMIF(汇总表!$B$1:$AF$1,BM$3,汇总表!$B25:$AG25)</f>
        <v>63.3225806451613</v>
      </c>
      <c r="BN25" s="37">
        <f t="shared" si="30"/>
        <v>-2.11075268817201</v>
      </c>
      <c r="BO25" s="38">
        <f t="shared" si="31"/>
        <v>0.0322580645161285</v>
      </c>
      <c r="BP25" s="29">
        <f t="shared" si="80"/>
        <v>65.4333333333333</v>
      </c>
      <c r="BQ25" s="29">
        <f>SUMIF(汇总表!$B$1:$AF$1,BQ$3,汇总表!$B25:$AG25)</f>
        <v>63.3225806451613</v>
      </c>
      <c r="BR25" s="37">
        <f t="shared" si="32"/>
        <v>-2.11075268817201</v>
      </c>
      <c r="BS25" s="38">
        <f t="shared" si="33"/>
        <v>0.0322580645161285</v>
      </c>
      <c r="BT25" s="29">
        <f t="shared" si="81"/>
        <v>65.4333333333333</v>
      </c>
      <c r="BU25" s="29">
        <f>SUMIF(汇总表!$B$1:$AF$1,BU$3,汇总表!$B25:$AG25)</f>
        <v>63.3225806451613</v>
      </c>
      <c r="BV25" s="37">
        <f t="shared" si="34"/>
        <v>-2.11075268817201</v>
      </c>
      <c r="BW25" s="38">
        <f t="shared" si="35"/>
        <v>0.0322580645161285</v>
      </c>
      <c r="BX25" s="29">
        <f t="shared" si="82"/>
        <v>65.4333333333333</v>
      </c>
      <c r="BY25" s="29">
        <f>SUMIF(汇总表!$B$1:$AF$1,BY$3,汇总表!$B25:$AG25)</f>
        <v>63.3225806451613</v>
      </c>
      <c r="BZ25" s="37">
        <f t="shared" si="36"/>
        <v>-2.11075268817201</v>
      </c>
      <c r="CA25" s="38">
        <f t="shared" si="37"/>
        <v>0.0322580645161285</v>
      </c>
      <c r="CB25" s="29">
        <f t="shared" si="83"/>
        <v>65.4333333333333</v>
      </c>
      <c r="CC25" s="29">
        <f>SUMIF(汇总表!$B$1:$AF$1,CC$3,汇总表!$B25:$AG25)</f>
        <v>63.3225806451613</v>
      </c>
      <c r="CD25" s="37">
        <f t="shared" si="38"/>
        <v>-2.11075268817201</v>
      </c>
      <c r="CE25" s="38">
        <f t="shared" si="39"/>
        <v>0.0322580645161285</v>
      </c>
      <c r="CF25" s="29">
        <f t="shared" si="84"/>
        <v>65.4333333333333</v>
      </c>
      <c r="CG25" s="29">
        <f>SUMIF(汇总表!$B$1:$AF$1,CG$3,汇总表!$B25:$AG25)</f>
        <v>63.3225806451613</v>
      </c>
      <c r="CH25" s="37">
        <f t="shared" si="40"/>
        <v>-2.11075268817201</v>
      </c>
      <c r="CI25" s="38">
        <f t="shared" si="41"/>
        <v>0.0322580645161285</v>
      </c>
      <c r="CJ25" s="29">
        <f t="shared" si="85"/>
        <v>65.4333333333333</v>
      </c>
      <c r="CK25" s="29">
        <f>SUMIF(汇总表!$B$1:$AF$1,CK$3,汇总表!$B25:$AG25)</f>
        <v>63.3225806451613</v>
      </c>
      <c r="CL25" s="37">
        <f t="shared" si="42"/>
        <v>-2.11075268817201</v>
      </c>
      <c r="CM25" s="38">
        <f t="shared" si="43"/>
        <v>0.0322580645161285</v>
      </c>
      <c r="CN25" s="29">
        <f t="shared" si="86"/>
        <v>65.4333333333333</v>
      </c>
      <c r="CO25" s="29">
        <f>SUMIF(汇总表!$B$1:$AF$1,CO$3,汇总表!$B25:$AG25)</f>
        <v>63.3225806451613</v>
      </c>
      <c r="CP25" s="37">
        <f t="shared" si="44"/>
        <v>-2.11075268817201</v>
      </c>
      <c r="CQ25" s="38">
        <f t="shared" si="45"/>
        <v>0.0322580645161285</v>
      </c>
      <c r="CR25" s="29">
        <f t="shared" si="87"/>
        <v>65.4333333333333</v>
      </c>
      <c r="CS25" s="29">
        <f>SUMIF(汇总表!$B$1:$AF$1,CS$3,汇总表!$B25:$AG25)</f>
        <v>63.3225806451613</v>
      </c>
      <c r="CT25" s="37">
        <f t="shared" si="46"/>
        <v>-2.11075268817201</v>
      </c>
      <c r="CU25" s="38">
        <f t="shared" si="47"/>
        <v>0.0322580645161285</v>
      </c>
      <c r="CV25" s="29">
        <f t="shared" si="88"/>
        <v>65.4333333333333</v>
      </c>
      <c r="CW25" s="29">
        <f>SUMIF(汇总表!$B$1:$AF$1,CW$3,汇总表!$B25:$AG25)</f>
        <v>63.3225806451613</v>
      </c>
      <c r="CX25" s="37">
        <f t="shared" si="48"/>
        <v>-2.11075268817201</v>
      </c>
      <c r="CY25" s="38">
        <f t="shared" si="49"/>
        <v>0.0322580645161285</v>
      </c>
      <c r="CZ25" s="29">
        <f t="shared" si="89"/>
        <v>65.4333333333333</v>
      </c>
      <c r="DA25" s="29">
        <f>SUMIF(汇总表!$B$1:$AF$1,DA$3,汇总表!$B25:$AG25)</f>
        <v>63.3225806451613</v>
      </c>
      <c r="DB25" s="37">
        <f t="shared" si="50"/>
        <v>-2.11075268817201</v>
      </c>
      <c r="DC25" s="38">
        <f t="shared" si="51"/>
        <v>0.0322580645161285</v>
      </c>
      <c r="DD25" s="29">
        <f t="shared" si="90"/>
        <v>65.4333333333333</v>
      </c>
      <c r="DE25" s="29">
        <f>SUMIF(汇总表!$B$1:$AF$1,DE$3,汇总表!$B25:$AG25)</f>
        <v>63.3225806451613</v>
      </c>
      <c r="DF25" s="37">
        <f t="shared" si="52"/>
        <v>-2.11075268817201</v>
      </c>
      <c r="DG25" s="38">
        <f t="shared" si="53"/>
        <v>0.0322580645161285</v>
      </c>
      <c r="DH25" s="29">
        <f t="shared" si="91"/>
        <v>65.4333333333333</v>
      </c>
      <c r="DI25" s="29">
        <f>SUMIF(汇总表!$B$1:$AF$1,DI$3,汇总表!$B25:$AG25)</f>
        <v>63.3225806451613</v>
      </c>
      <c r="DJ25" s="37">
        <f t="shared" si="54"/>
        <v>-2.11075268817201</v>
      </c>
      <c r="DK25" s="38">
        <f t="shared" si="55"/>
        <v>0.0322580645161285</v>
      </c>
      <c r="DL25" s="29">
        <f t="shared" si="92"/>
        <v>65.4333333333333</v>
      </c>
      <c r="DM25" s="29">
        <f>SUMIF(汇总表!$B$1:$AF$1,DM$3,汇总表!$B25:$AG25)</f>
        <v>63.3225806451613</v>
      </c>
      <c r="DN25" s="37">
        <f t="shared" si="56"/>
        <v>-2.11075268817201</v>
      </c>
      <c r="DO25" s="38">
        <f t="shared" si="57"/>
        <v>0.0322580645161285</v>
      </c>
      <c r="DP25" s="29">
        <f t="shared" si="93"/>
        <v>65.4333333333333</v>
      </c>
      <c r="DQ25" s="29">
        <f>SUMIF(汇总表!$B$1:$AF$1,DQ$3,汇总表!$B25:$AG25)</f>
        <v>63.3225806451613</v>
      </c>
      <c r="DR25" s="37">
        <f t="shared" si="58"/>
        <v>-2.11075268817201</v>
      </c>
      <c r="DS25" s="38">
        <f t="shared" si="59"/>
        <v>0.0322580645161285</v>
      </c>
      <c r="DT25" s="29">
        <f t="shared" si="94"/>
        <v>0</v>
      </c>
      <c r="DU25" s="29">
        <f>SUMIF(汇总表!$B$1:$AF$1,DU$3,汇总表!$B25:$AG25)</f>
        <v>63.3225806451613</v>
      </c>
      <c r="DV25" s="29">
        <f t="shared" si="60"/>
        <v>63.3225806451613</v>
      </c>
      <c r="DW25" s="38">
        <f t="shared" si="61"/>
        <v>0</v>
      </c>
      <c r="DX25" s="29">
        <v>1963</v>
      </c>
    </row>
    <row r="26" spans="1:128">
      <c r="A26" s="43"/>
      <c r="B26" s="46" t="s">
        <v>717</v>
      </c>
      <c r="C26" s="29" t="s">
        <v>766</v>
      </c>
      <c r="D26" s="29">
        <f t="shared" si="64"/>
        <v>40</v>
      </c>
      <c r="E26" s="29">
        <f>SUMIF(汇总表!$B$1:$AF$1,E$3,汇总表!$B26:$AG26)</f>
        <v>38.7096774193548</v>
      </c>
      <c r="F26" s="37">
        <f t="shared" si="1"/>
        <v>-1.29032258064516</v>
      </c>
      <c r="G26" s="38">
        <f t="shared" si="95"/>
        <v>0.032258064516129</v>
      </c>
      <c r="H26" s="29">
        <f t="shared" si="66"/>
        <v>40</v>
      </c>
      <c r="I26" s="29">
        <f>SUMIF(汇总表!$B$1:$AF$1,I$3,汇总表!$B26:$AG26)</f>
        <v>38.7096774193548</v>
      </c>
      <c r="J26" s="37">
        <f t="shared" si="3"/>
        <v>-1.29032258064516</v>
      </c>
      <c r="K26" s="38">
        <f t="shared" si="4"/>
        <v>0.032258064516129</v>
      </c>
      <c r="L26" s="29">
        <f t="shared" si="67"/>
        <v>40</v>
      </c>
      <c r="M26" s="29">
        <f>SUMIF(汇总表!$B$1:$AF$1,M$3,汇总表!$B26:$AG26)</f>
        <v>38.7096774193548</v>
      </c>
      <c r="N26" s="37">
        <f t="shared" si="5"/>
        <v>-1.29032258064516</v>
      </c>
      <c r="O26" s="38">
        <f t="shared" si="6"/>
        <v>0.032258064516129</v>
      </c>
      <c r="P26" s="29">
        <f t="shared" si="68"/>
        <v>40</v>
      </c>
      <c r="Q26" s="29">
        <f>SUMIF(汇总表!$B$1:$AF$1,Q$3,汇总表!$B26:$AG26)</f>
        <v>38.7096774193548</v>
      </c>
      <c r="R26" s="37">
        <f t="shared" si="7"/>
        <v>-1.29032258064516</v>
      </c>
      <c r="S26" s="38">
        <f t="shared" si="8"/>
        <v>0.032258064516129</v>
      </c>
      <c r="T26" s="29">
        <f t="shared" si="69"/>
        <v>40</v>
      </c>
      <c r="U26" s="29">
        <f>SUMIF(汇总表!$B$1:$AF$1,U$3,汇总表!$B26:$AG26)</f>
        <v>38.7096774193548</v>
      </c>
      <c r="V26" s="29">
        <f t="shared" si="9"/>
        <v>-1.29032258064516</v>
      </c>
      <c r="W26" s="38">
        <f t="shared" si="10"/>
        <v>0.032258064516129</v>
      </c>
      <c r="X26" s="29">
        <f t="shared" si="70"/>
        <v>40</v>
      </c>
      <c r="Y26" s="29">
        <f>SUMIF(汇总表!$B$1:$AF$1,Y$3,汇总表!$B26:$AG26)</f>
        <v>38.7096774193548</v>
      </c>
      <c r="Z26" s="37">
        <f t="shared" si="11"/>
        <v>-1.29032258064516</v>
      </c>
      <c r="AA26" s="38">
        <f t="shared" si="12"/>
        <v>0.032258064516129</v>
      </c>
      <c r="AB26" s="29">
        <f t="shared" si="71"/>
        <v>40</v>
      </c>
      <c r="AC26" s="29">
        <f>SUMIF(汇总表!$B$1:$AF$1,AC$3,汇总表!$B26:$AG26)</f>
        <v>38.7096774193548</v>
      </c>
      <c r="AD26" s="37">
        <f t="shared" si="13"/>
        <v>-1.29032258064516</v>
      </c>
      <c r="AE26" s="38">
        <f t="shared" si="14"/>
        <v>0.032258064516129</v>
      </c>
      <c r="AF26" s="29">
        <f t="shared" si="72"/>
        <v>40</v>
      </c>
      <c r="AG26" s="29">
        <f>SUMIF(汇总表!$B$1:$AF$1,AG$3,汇总表!$B26:$AG26)</f>
        <v>38.7096774193548</v>
      </c>
      <c r="AH26" s="37">
        <f t="shared" si="15"/>
        <v>-1.29032258064516</v>
      </c>
      <c r="AI26" s="38">
        <f t="shared" si="16"/>
        <v>0.032258064516129</v>
      </c>
      <c r="AJ26" s="29">
        <f t="shared" si="73"/>
        <v>40</v>
      </c>
      <c r="AK26" s="29">
        <f>SUMIF(汇总表!$B$1:$AF$1,AK$3,汇总表!$B26:$AG26)</f>
        <v>38.7096774193548</v>
      </c>
      <c r="AL26" s="37">
        <f t="shared" si="17"/>
        <v>-1.29032258064516</v>
      </c>
      <c r="AM26" s="38">
        <f t="shared" si="18"/>
        <v>0.032258064516129</v>
      </c>
      <c r="AN26" s="29">
        <f t="shared" si="74"/>
        <v>40</v>
      </c>
      <c r="AO26" s="29">
        <f>SUMIF(汇总表!$B$1:$AF$1,AO$3,汇总表!$B26:$AG26)</f>
        <v>38.7096774193548</v>
      </c>
      <c r="AP26" s="37">
        <f t="shared" si="19"/>
        <v>-1.29032258064516</v>
      </c>
      <c r="AQ26" s="38">
        <f t="shared" si="62"/>
        <v>0.032258064516129</v>
      </c>
      <c r="AR26" s="29">
        <f t="shared" si="65"/>
        <v>40</v>
      </c>
      <c r="AS26" s="29">
        <f>SUMIF(汇总表!$B$1:$AF$1,AS$3,汇总表!$B26:$AG26)</f>
        <v>38.7096774193548</v>
      </c>
      <c r="AT26" s="37">
        <f t="shared" si="20"/>
        <v>-1.29032258064516</v>
      </c>
      <c r="AU26" s="38">
        <f t="shared" si="21"/>
        <v>0.032258064516129</v>
      </c>
      <c r="AV26" s="29">
        <f t="shared" si="75"/>
        <v>40</v>
      </c>
      <c r="AW26" s="29">
        <f>SUMIF(汇总表!$B$1:$AF$1,AW$3,汇总表!$B26:$AG26)</f>
        <v>38.7096774193548</v>
      </c>
      <c r="AX26" s="37">
        <f t="shared" si="22"/>
        <v>-1.29032258064516</v>
      </c>
      <c r="AY26" s="38">
        <f t="shared" si="23"/>
        <v>0.032258064516129</v>
      </c>
      <c r="AZ26" s="29">
        <f t="shared" si="76"/>
        <v>40</v>
      </c>
      <c r="BA26" s="29">
        <f>SUMIF(汇总表!$B$1:$AF$1,BA$3,汇总表!$B26:$AG26)</f>
        <v>38.7096774193548</v>
      </c>
      <c r="BB26" s="37">
        <f t="shared" si="24"/>
        <v>-1.29032258064516</v>
      </c>
      <c r="BC26" s="38">
        <f t="shared" si="25"/>
        <v>0.032258064516129</v>
      </c>
      <c r="BD26" s="29">
        <f t="shared" si="77"/>
        <v>40</v>
      </c>
      <c r="BE26" s="29">
        <f>SUMIF(汇总表!$B$1:$AF$1,BE$3,汇总表!$B26:$AG26)</f>
        <v>38.7096774193548</v>
      </c>
      <c r="BF26" s="37">
        <f t="shared" si="26"/>
        <v>-1.29032258064516</v>
      </c>
      <c r="BG26" s="38">
        <f t="shared" si="27"/>
        <v>0.032258064516129</v>
      </c>
      <c r="BH26" s="29">
        <f t="shared" si="78"/>
        <v>40</v>
      </c>
      <c r="BI26" s="29">
        <f>SUMIF(汇总表!$B$1:$AF$1,BI$3,汇总表!$B26:$AG26)</f>
        <v>38.7096774193548</v>
      </c>
      <c r="BJ26" s="37">
        <f t="shared" si="28"/>
        <v>-1.29032258064516</v>
      </c>
      <c r="BK26" s="38">
        <f t="shared" si="29"/>
        <v>0.032258064516129</v>
      </c>
      <c r="BL26" s="29">
        <f t="shared" si="79"/>
        <v>40</v>
      </c>
      <c r="BM26" s="29">
        <f>SUMIF(汇总表!$B$1:$AF$1,BM$3,汇总表!$B26:$AG26)</f>
        <v>38.7096774193548</v>
      </c>
      <c r="BN26" s="37">
        <f t="shared" si="30"/>
        <v>-1.29032258064516</v>
      </c>
      <c r="BO26" s="38">
        <f t="shared" si="31"/>
        <v>0.032258064516129</v>
      </c>
      <c r="BP26" s="29">
        <f t="shared" si="80"/>
        <v>40</v>
      </c>
      <c r="BQ26" s="29">
        <f>SUMIF(汇总表!$B$1:$AF$1,BQ$3,汇总表!$B26:$AG26)</f>
        <v>38.7096774193548</v>
      </c>
      <c r="BR26" s="37">
        <f t="shared" si="32"/>
        <v>-1.29032258064516</v>
      </c>
      <c r="BS26" s="38">
        <f t="shared" si="33"/>
        <v>0.032258064516129</v>
      </c>
      <c r="BT26" s="29">
        <f t="shared" si="81"/>
        <v>40</v>
      </c>
      <c r="BU26" s="29">
        <f>SUMIF(汇总表!$B$1:$AF$1,BU$3,汇总表!$B26:$AG26)</f>
        <v>38.7096774193548</v>
      </c>
      <c r="BV26" s="37">
        <f t="shared" si="34"/>
        <v>-1.29032258064516</v>
      </c>
      <c r="BW26" s="38">
        <f t="shared" si="35"/>
        <v>0.032258064516129</v>
      </c>
      <c r="BX26" s="29">
        <f t="shared" si="82"/>
        <v>40</v>
      </c>
      <c r="BY26" s="29">
        <f>SUMIF(汇总表!$B$1:$AF$1,BY$3,汇总表!$B26:$AG26)</f>
        <v>38.7096774193548</v>
      </c>
      <c r="BZ26" s="37">
        <f t="shared" si="36"/>
        <v>-1.29032258064516</v>
      </c>
      <c r="CA26" s="38">
        <f t="shared" si="37"/>
        <v>0.032258064516129</v>
      </c>
      <c r="CB26" s="29">
        <f t="shared" si="83"/>
        <v>40</v>
      </c>
      <c r="CC26" s="29">
        <f>SUMIF(汇总表!$B$1:$AF$1,CC$3,汇总表!$B26:$AG26)</f>
        <v>38.7096774193548</v>
      </c>
      <c r="CD26" s="37">
        <f t="shared" si="38"/>
        <v>-1.29032258064516</v>
      </c>
      <c r="CE26" s="38">
        <f t="shared" si="39"/>
        <v>0.032258064516129</v>
      </c>
      <c r="CF26" s="29">
        <f t="shared" si="84"/>
        <v>40</v>
      </c>
      <c r="CG26" s="29">
        <f>SUMIF(汇总表!$B$1:$AF$1,CG$3,汇总表!$B26:$AG26)</f>
        <v>38.7096774193548</v>
      </c>
      <c r="CH26" s="37">
        <f t="shared" si="40"/>
        <v>-1.29032258064516</v>
      </c>
      <c r="CI26" s="38">
        <f t="shared" si="41"/>
        <v>0.032258064516129</v>
      </c>
      <c r="CJ26" s="29">
        <f t="shared" si="85"/>
        <v>40</v>
      </c>
      <c r="CK26" s="29">
        <f>SUMIF(汇总表!$B$1:$AF$1,CK$3,汇总表!$B26:$AG26)</f>
        <v>38.7096774193548</v>
      </c>
      <c r="CL26" s="37">
        <f t="shared" si="42"/>
        <v>-1.29032258064516</v>
      </c>
      <c r="CM26" s="38">
        <f t="shared" si="43"/>
        <v>0.032258064516129</v>
      </c>
      <c r="CN26" s="29">
        <f t="shared" si="86"/>
        <v>40</v>
      </c>
      <c r="CO26" s="29">
        <f>SUMIF(汇总表!$B$1:$AF$1,CO$3,汇总表!$B26:$AG26)</f>
        <v>38.7096774193548</v>
      </c>
      <c r="CP26" s="37">
        <f t="shared" si="44"/>
        <v>-1.29032258064516</v>
      </c>
      <c r="CQ26" s="38">
        <f t="shared" si="45"/>
        <v>0.032258064516129</v>
      </c>
      <c r="CR26" s="29">
        <f t="shared" si="87"/>
        <v>40</v>
      </c>
      <c r="CS26" s="29">
        <f>SUMIF(汇总表!$B$1:$AF$1,CS$3,汇总表!$B26:$AG26)</f>
        <v>38.7096774193548</v>
      </c>
      <c r="CT26" s="37">
        <f t="shared" si="46"/>
        <v>-1.29032258064516</v>
      </c>
      <c r="CU26" s="38">
        <f t="shared" si="47"/>
        <v>0.032258064516129</v>
      </c>
      <c r="CV26" s="29">
        <f t="shared" si="88"/>
        <v>40</v>
      </c>
      <c r="CW26" s="29">
        <f>SUMIF(汇总表!$B$1:$AF$1,CW$3,汇总表!$B26:$AG26)</f>
        <v>38.7096774193548</v>
      </c>
      <c r="CX26" s="37">
        <f t="shared" si="48"/>
        <v>-1.29032258064516</v>
      </c>
      <c r="CY26" s="38">
        <f t="shared" si="49"/>
        <v>0.032258064516129</v>
      </c>
      <c r="CZ26" s="29">
        <f t="shared" si="89"/>
        <v>40</v>
      </c>
      <c r="DA26" s="29">
        <f>SUMIF(汇总表!$B$1:$AF$1,DA$3,汇总表!$B26:$AG26)</f>
        <v>38.7096774193548</v>
      </c>
      <c r="DB26" s="37">
        <f t="shared" si="50"/>
        <v>-1.29032258064516</v>
      </c>
      <c r="DC26" s="38">
        <f t="shared" si="51"/>
        <v>0.032258064516129</v>
      </c>
      <c r="DD26" s="29">
        <f t="shared" si="90"/>
        <v>40</v>
      </c>
      <c r="DE26" s="29">
        <f>SUMIF(汇总表!$B$1:$AF$1,DE$3,汇总表!$B26:$AG26)</f>
        <v>38.7096774193548</v>
      </c>
      <c r="DF26" s="37">
        <f t="shared" si="52"/>
        <v>-1.29032258064516</v>
      </c>
      <c r="DG26" s="38">
        <f t="shared" si="53"/>
        <v>0.032258064516129</v>
      </c>
      <c r="DH26" s="29">
        <f t="shared" si="91"/>
        <v>40</v>
      </c>
      <c r="DI26" s="29">
        <f>SUMIF(汇总表!$B$1:$AF$1,DI$3,汇总表!$B26:$AG26)</f>
        <v>38.7096774193548</v>
      </c>
      <c r="DJ26" s="37">
        <f t="shared" si="54"/>
        <v>-1.29032258064516</v>
      </c>
      <c r="DK26" s="38">
        <f t="shared" si="55"/>
        <v>0.032258064516129</v>
      </c>
      <c r="DL26" s="29">
        <f t="shared" si="92"/>
        <v>40</v>
      </c>
      <c r="DM26" s="29">
        <f>SUMIF(汇总表!$B$1:$AF$1,DM$3,汇总表!$B26:$AG26)</f>
        <v>38.7096774193548</v>
      </c>
      <c r="DN26" s="37">
        <f t="shared" si="56"/>
        <v>-1.29032258064516</v>
      </c>
      <c r="DO26" s="38">
        <f t="shared" si="57"/>
        <v>0.032258064516129</v>
      </c>
      <c r="DP26" s="29">
        <f t="shared" si="93"/>
        <v>40</v>
      </c>
      <c r="DQ26" s="29">
        <f>SUMIF(汇总表!$B$1:$AF$1,DQ$3,汇总表!$B26:$AG26)</f>
        <v>38.7096774193548</v>
      </c>
      <c r="DR26" s="37">
        <f t="shared" si="58"/>
        <v>-1.29032258064516</v>
      </c>
      <c r="DS26" s="38">
        <f t="shared" si="59"/>
        <v>0.032258064516129</v>
      </c>
      <c r="DT26" s="29">
        <f t="shared" si="94"/>
        <v>0</v>
      </c>
      <c r="DU26" s="29">
        <f>SUMIF(汇总表!$B$1:$AF$1,DU$3,汇总表!$B26:$AG26)</f>
        <v>38.7096774193548</v>
      </c>
      <c r="DV26" s="29">
        <f t="shared" si="60"/>
        <v>38.7096774193548</v>
      </c>
      <c r="DW26" s="38">
        <f t="shared" si="61"/>
        <v>0</v>
      </c>
      <c r="DX26" s="29">
        <v>1200</v>
      </c>
    </row>
    <row r="27" spans="1:128">
      <c r="A27" s="43"/>
      <c r="B27" s="46" t="s">
        <v>718</v>
      </c>
      <c r="C27" s="29" t="s">
        <v>767</v>
      </c>
      <c r="D27" s="29">
        <f t="shared" si="64"/>
        <v>313.88</v>
      </c>
      <c r="E27" s="29">
        <f>SUMIF(汇总表!$B$1:$AF$1,E$3,汇总表!$B27:$AG27)</f>
        <v>249.3505</v>
      </c>
      <c r="F27" s="37">
        <f t="shared" si="1"/>
        <v>-64.5295</v>
      </c>
      <c r="G27" s="38">
        <f t="shared" si="95"/>
        <v>0.205586529884032</v>
      </c>
      <c r="H27" s="29">
        <f t="shared" si="66"/>
        <v>313.88</v>
      </c>
      <c r="I27" s="29">
        <f>SUMIF(汇总表!$B$1:$AF$1,I$3,汇总表!$B27:$AG27)</f>
        <v>267.0406</v>
      </c>
      <c r="J27" s="37">
        <f t="shared" si="3"/>
        <v>-46.8394</v>
      </c>
      <c r="K27" s="38">
        <f t="shared" ref="K6:K37" si="96">IFERROR(-J27/H27,0)</f>
        <v>0.14922709315662</v>
      </c>
      <c r="L27" s="29">
        <f t="shared" si="67"/>
        <v>313.88</v>
      </c>
      <c r="M27" s="29">
        <f>SUMIF(汇总表!$B$1:$AF$1,M$3,汇总表!$B27:$AG27)</f>
        <v>275.0644</v>
      </c>
      <c r="N27" s="37">
        <f t="shared" si="5"/>
        <v>-38.8156</v>
      </c>
      <c r="O27" s="38">
        <f t="shared" si="6"/>
        <v>0.12366382056837</v>
      </c>
      <c r="P27" s="29">
        <f t="shared" si="68"/>
        <v>313.88</v>
      </c>
      <c r="Q27" s="29">
        <f>SUMIF(汇总表!$B$1:$AF$1,Q$3,汇总表!$B27:$AG27)</f>
        <v>377.3901</v>
      </c>
      <c r="R27" s="37">
        <f t="shared" si="7"/>
        <v>63.5101</v>
      </c>
      <c r="S27" s="38">
        <f t="shared" si="8"/>
        <v>-0.202338791894992</v>
      </c>
      <c r="T27" s="29">
        <f t="shared" si="69"/>
        <v>313.88</v>
      </c>
      <c r="U27" s="29">
        <f>SUMIF(汇总表!$B$1:$AF$1,U$3,汇总表!$B27:$AG27)</f>
        <v>332.1614</v>
      </c>
      <c r="V27" s="29">
        <f t="shared" si="9"/>
        <v>18.2814</v>
      </c>
      <c r="W27" s="38">
        <f t="shared" si="10"/>
        <v>-0.0582432776857398</v>
      </c>
      <c r="X27" s="29">
        <f t="shared" si="70"/>
        <v>313.88</v>
      </c>
      <c r="Y27" s="29">
        <f>SUMIF(汇总表!$B$1:$AF$1,Y$3,汇总表!$B27:$AG27)</f>
        <v>362.2548</v>
      </c>
      <c r="Z27" s="37">
        <f t="shared" si="11"/>
        <v>48.3748000000001</v>
      </c>
      <c r="AA27" s="38">
        <f t="shared" si="12"/>
        <v>-0.154118771505034</v>
      </c>
      <c r="AB27" s="29">
        <f t="shared" si="71"/>
        <v>313.88</v>
      </c>
      <c r="AC27" s="29">
        <f>SUMIF(汇总表!$B$1:$AF$1,AC$3,汇总表!$B27:$AG27)</f>
        <v>377.5683</v>
      </c>
      <c r="AD27" s="37">
        <f t="shared" si="13"/>
        <v>63.6883</v>
      </c>
      <c r="AE27" s="38">
        <f t="shared" si="14"/>
        <v>-0.202906524786543</v>
      </c>
      <c r="AF27" s="29">
        <f t="shared" si="72"/>
        <v>313.88</v>
      </c>
      <c r="AG27" s="29">
        <f>SUMIF(汇总表!$B$1:$AF$1,AG$3,汇总表!$B27:$AG27)</f>
        <v>402.9232</v>
      </c>
      <c r="AH27" s="37">
        <f t="shared" si="15"/>
        <v>89.0432</v>
      </c>
      <c r="AI27" s="38">
        <f t="shared" si="16"/>
        <v>-0.283685484898687</v>
      </c>
      <c r="AJ27" s="29">
        <f t="shared" si="73"/>
        <v>313.88</v>
      </c>
      <c r="AK27" s="29">
        <f>SUMIF(汇总表!$B$1:$AF$1,AK$3,汇总表!$B27:$AG27)</f>
        <v>388.4919</v>
      </c>
      <c r="AL27" s="37">
        <f t="shared" si="17"/>
        <v>74.6119</v>
      </c>
      <c r="AM27" s="38">
        <f t="shared" si="18"/>
        <v>-0.237708359882758</v>
      </c>
      <c r="AN27" s="29">
        <f t="shared" si="74"/>
        <v>313.88</v>
      </c>
      <c r="AO27" s="29">
        <f>SUMIF(汇总表!$B$1:$AF$1,AO$3,汇总表!$B27:$AG27)</f>
        <v>411.8714</v>
      </c>
      <c r="AP27" s="37">
        <f t="shared" si="19"/>
        <v>97.9914</v>
      </c>
      <c r="AQ27" s="38">
        <f t="shared" si="62"/>
        <v>-0.312193832037721</v>
      </c>
      <c r="AR27" s="29">
        <f t="shared" si="65"/>
        <v>313.88</v>
      </c>
      <c r="AS27" s="29">
        <f>SUMIF(汇总表!$B$1:$AF$1,AS$3,汇总表!$B27:$AG27)</f>
        <v>387.8798</v>
      </c>
      <c r="AT27" s="37">
        <f t="shared" si="20"/>
        <v>73.9998000000001</v>
      </c>
      <c r="AU27" s="38">
        <f t="shared" si="21"/>
        <v>-0.235758251561106</v>
      </c>
      <c r="AV27" s="29">
        <f t="shared" si="75"/>
        <v>313.88</v>
      </c>
      <c r="AW27" s="29">
        <f>SUMIF(汇总表!$B$1:$AF$1,AW$3,汇总表!$B27:$AG27)</f>
        <v>296.7496</v>
      </c>
      <c r="AX27" s="37">
        <f t="shared" si="22"/>
        <v>-17.1304</v>
      </c>
      <c r="AY27" s="38">
        <f t="shared" si="23"/>
        <v>0.0545762711864407</v>
      </c>
      <c r="AZ27" s="29">
        <f t="shared" si="76"/>
        <v>313.88</v>
      </c>
      <c r="BA27" s="29">
        <f>SUMIF(汇总表!$B$1:$AF$1,BA$3,汇总表!$B27:$AG27)</f>
        <v>276.9496</v>
      </c>
      <c r="BB27" s="37">
        <f t="shared" si="24"/>
        <v>-36.9304</v>
      </c>
      <c r="BC27" s="38">
        <f t="shared" si="25"/>
        <v>0.117657703580986</v>
      </c>
      <c r="BD27" s="29">
        <f t="shared" si="77"/>
        <v>313.88</v>
      </c>
      <c r="BE27" s="29">
        <f>SUMIF(汇总表!$B$1:$AF$1,BE$3,汇总表!$B27:$AG27)</f>
        <v>320.9375</v>
      </c>
      <c r="BF27" s="37">
        <f t="shared" si="26"/>
        <v>7.0575</v>
      </c>
      <c r="BG27" s="38">
        <f t="shared" si="27"/>
        <v>-0.0224847075315407</v>
      </c>
      <c r="BH27" s="29">
        <f t="shared" si="78"/>
        <v>313.88</v>
      </c>
      <c r="BI27" s="29">
        <f>SUMIF(汇总表!$B$1:$AF$1,BI$3,汇总表!$B27:$AG27)</f>
        <v>369.9405</v>
      </c>
      <c r="BJ27" s="37">
        <f t="shared" si="28"/>
        <v>56.0605</v>
      </c>
      <c r="BK27" s="38">
        <f t="shared" si="29"/>
        <v>-0.178604880846183</v>
      </c>
      <c r="BL27" s="29">
        <f t="shared" si="79"/>
        <v>313.88</v>
      </c>
      <c r="BM27" s="29">
        <f>SUMIF(汇总表!$B$1:$AF$1,BM$3,汇总表!$B27:$AG27)</f>
        <v>329.8074</v>
      </c>
      <c r="BN27" s="37">
        <f t="shared" si="30"/>
        <v>15.9274</v>
      </c>
      <c r="BO27" s="38">
        <f t="shared" si="31"/>
        <v>-0.0507435962788326</v>
      </c>
      <c r="BP27" s="29">
        <f t="shared" si="80"/>
        <v>313.88</v>
      </c>
      <c r="BQ27" s="29">
        <f>SUMIF(汇总表!$B$1:$AF$1,BQ$3,汇总表!$B27:$AG27)</f>
        <v>385.3245</v>
      </c>
      <c r="BR27" s="37">
        <f t="shared" si="32"/>
        <v>71.4445</v>
      </c>
      <c r="BS27" s="38">
        <f t="shared" si="33"/>
        <v>-0.227617242258188</v>
      </c>
      <c r="BT27" s="29">
        <f t="shared" si="81"/>
        <v>313.88</v>
      </c>
      <c r="BU27" s="29">
        <f>SUMIF(汇总表!$B$1:$AF$1,BU$3,汇总表!$B27:$AG27)</f>
        <v>358.6266</v>
      </c>
      <c r="BV27" s="37">
        <f t="shared" si="34"/>
        <v>44.7466000000001</v>
      </c>
      <c r="BW27" s="38">
        <f t="shared" si="35"/>
        <v>-0.142559576908373</v>
      </c>
      <c r="BX27" s="29">
        <f t="shared" si="82"/>
        <v>313.88</v>
      </c>
      <c r="BY27" s="29">
        <f>SUMIF(汇总表!$B$1:$AF$1,BY$3,汇总表!$B27:$AG27)</f>
        <v>288.8498</v>
      </c>
      <c r="BZ27" s="37">
        <f t="shared" si="36"/>
        <v>-25.0302</v>
      </c>
      <c r="CA27" s="38">
        <f t="shared" si="37"/>
        <v>0.0797444883394927</v>
      </c>
      <c r="CB27" s="29">
        <f t="shared" si="83"/>
        <v>313.88</v>
      </c>
      <c r="CC27" s="29">
        <f>SUMIF(汇总表!$B$1:$AF$1,CC$3,汇总表!$B27:$AG27)</f>
        <v>346.4923</v>
      </c>
      <c r="CD27" s="37">
        <f t="shared" si="38"/>
        <v>32.6123000000001</v>
      </c>
      <c r="CE27" s="38">
        <f t="shared" si="39"/>
        <v>-0.103900535236396</v>
      </c>
      <c r="CF27" s="29">
        <f t="shared" si="84"/>
        <v>313.88</v>
      </c>
      <c r="CG27" s="29">
        <f>SUMIF(汇总表!$B$1:$AF$1,CG$3,汇总表!$B27:$AG27)</f>
        <v>402.4985</v>
      </c>
      <c r="CH27" s="37">
        <f t="shared" si="40"/>
        <v>88.6185</v>
      </c>
      <c r="CI27" s="38">
        <f t="shared" si="41"/>
        <v>-0.282332420033134</v>
      </c>
      <c r="CJ27" s="29">
        <f t="shared" si="85"/>
        <v>313.88</v>
      </c>
      <c r="CK27" s="29">
        <f>SUMIF(汇总表!$B$1:$AF$1,CK$3,汇总表!$B27:$AG27)</f>
        <v>31.0919</v>
      </c>
      <c r="CL27" s="37">
        <f t="shared" si="42"/>
        <v>-282.7881</v>
      </c>
      <c r="CM27" s="38">
        <f t="shared" si="43"/>
        <v>0.900943354148082</v>
      </c>
      <c r="CN27" s="29">
        <f t="shared" si="86"/>
        <v>313.88</v>
      </c>
      <c r="CO27" s="29">
        <f>SUMIF(汇总表!$B$1:$AF$1,CO$3,汇总表!$B27:$AG27)</f>
        <v>335.3793</v>
      </c>
      <c r="CP27" s="37">
        <f t="shared" si="44"/>
        <v>21.4993</v>
      </c>
      <c r="CQ27" s="38">
        <f t="shared" si="45"/>
        <v>-0.0684952848222251</v>
      </c>
      <c r="CR27" s="29">
        <f t="shared" si="87"/>
        <v>313.88</v>
      </c>
      <c r="CS27" s="29">
        <f>SUMIF(汇总表!$B$1:$AF$1,CS$3,汇总表!$B27:$AG27)</f>
        <v>305.9361</v>
      </c>
      <c r="CT27" s="37">
        <f t="shared" si="46"/>
        <v>-7.94389999999999</v>
      </c>
      <c r="CU27" s="38">
        <f t="shared" si="47"/>
        <v>0.0253087167070217</v>
      </c>
      <c r="CV27" s="29">
        <f t="shared" si="88"/>
        <v>313.88</v>
      </c>
      <c r="CW27" s="29">
        <f>SUMIF(汇总表!$B$1:$AF$1,CW$3,汇总表!$B27:$AG27)</f>
        <v>355.9526</v>
      </c>
      <c r="CX27" s="37">
        <f t="shared" si="48"/>
        <v>42.0726</v>
      </c>
      <c r="CY27" s="38">
        <f t="shared" si="49"/>
        <v>-0.13404039760418</v>
      </c>
      <c r="CZ27" s="29">
        <f t="shared" si="89"/>
        <v>313.88</v>
      </c>
      <c r="DA27" s="29">
        <f>SUMIF(汇总表!$B$1:$AF$1,DA$3,汇总表!$B27:$AG27)</f>
        <v>261.7171</v>
      </c>
      <c r="DB27" s="37">
        <f t="shared" si="50"/>
        <v>-52.1629</v>
      </c>
      <c r="DC27" s="38">
        <f t="shared" si="51"/>
        <v>0.166187396457245</v>
      </c>
      <c r="DD27" s="29">
        <f t="shared" si="90"/>
        <v>313.88</v>
      </c>
      <c r="DE27" s="29">
        <f>SUMIF(汇总表!$B$1:$AF$1,DE$3,汇总表!$B27:$AG27)</f>
        <v>318.351</v>
      </c>
      <c r="DF27" s="37">
        <f t="shared" si="52"/>
        <v>4.471</v>
      </c>
      <c r="DG27" s="38">
        <f t="shared" si="53"/>
        <v>-0.0142442971836371</v>
      </c>
      <c r="DH27" s="29">
        <f t="shared" si="91"/>
        <v>313.88</v>
      </c>
      <c r="DI27" s="29">
        <f>SUMIF(汇总表!$B$1:$AF$1,DI$3,汇总表!$B27:$AG27)</f>
        <v>367.5767</v>
      </c>
      <c r="DJ27" s="37">
        <f t="shared" si="54"/>
        <v>53.6967</v>
      </c>
      <c r="DK27" s="38">
        <f t="shared" si="55"/>
        <v>-0.171073977316172</v>
      </c>
      <c r="DL27" s="29">
        <f t="shared" si="92"/>
        <v>313.88</v>
      </c>
      <c r="DM27" s="29">
        <f>SUMIF(汇总表!$B$1:$AF$1,DM$3,汇总表!$B27:$AG27)</f>
        <v>367.8117</v>
      </c>
      <c r="DN27" s="37">
        <f t="shared" si="56"/>
        <v>53.9317</v>
      </c>
      <c r="DO27" s="38">
        <f t="shared" si="57"/>
        <v>-0.171822671084491</v>
      </c>
      <c r="DP27" s="29">
        <f t="shared" si="93"/>
        <v>313.88</v>
      </c>
      <c r="DQ27" s="29">
        <f>SUMIF(汇总表!$B$1:$AF$1,DQ$3,汇总表!$B27:$AG27)</f>
        <v>392.4754</v>
      </c>
      <c r="DR27" s="37">
        <f t="shared" si="58"/>
        <v>78.5954</v>
      </c>
      <c r="DS27" s="38">
        <f t="shared" si="59"/>
        <v>-0.250399515738499</v>
      </c>
      <c r="DT27" s="29">
        <f t="shared" si="94"/>
        <v>0</v>
      </c>
      <c r="DU27" s="29">
        <f>SUMIF(汇总表!$B$1:$AF$1,DU$3,汇总表!$B27:$AG27)</f>
        <v>2.9688</v>
      </c>
      <c r="DV27" s="29">
        <f t="shared" si="60"/>
        <v>2.9688</v>
      </c>
      <c r="DW27" s="38">
        <f t="shared" si="61"/>
        <v>0</v>
      </c>
      <c r="DX27" s="29">
        <v>9416.4</v>
      </c>
    </row>
    <row r="28" spans="1:128">
      <c r="A28" s="43"/>
      <c r="B28" s="46" t="s">
        <v>719</v>
      </c>
      <c r="C28" s="29" t="s">
        <v>768</v>
      </c>
      <c r="D28" s="29">
        <f t="shared" si="64"/>
        <v>0</v>
      </c>
      <c r="E28" s="29">
        <f>SUMIF(汇总表!$B$1:$AF$1,E$3,汇总表!$B28:$AG28)</f>
        <v>249.3505</v>
      </c>
      <c r="F28" s="37">
        <f t="shared" si="1"/>
        <v>249.3505</v>
      </c>
      <c r="G28" s="38">
        <f t="shared" si="95"/>
        <v>0</v>
      </c>
      <c r="H28" s="29">
        <f t="shared" si="66"/>
        <v>0</v>
      </c>
      <c r="I28" s="29">
        <f>SUMIF(汇总表!$B$1:$AF$1,I$3,汇总表!$B28:$AG28)</f>
        <v>267.0406</v>
      </c>
      <c r="J28" s="37">
        <f t="shared" si="3"/>
        <v>267.0406</v>
      </c>
      <c r="K28" s="38">
        <f t="shared" si="96"/>
        <v>0</v>
      </c>
      <c r="L28" s="29">
        <f t="shared" si="67"/>
        <v>0</v>
      </c>
      <c r="M28" s="29">
        <f>SUMIF(汇总表!$B$1:$AF$1,M$3,汇总表!$B28:$AG28)</f>
        <v>275.0644</v>
      </c>
      <c r="N28" s="37">
        <f t="shared" si="5"/>
        <v>275.0644</v>
      </c>
      <c r="O28" s="38">
        <f t="shared" si="6"/>
        <v>0</v>
      </c>
      <c r="P28" s="29">
        <f t="shared" si="68"/>
        <v>0</v>
      </c>
      <c r="Q28" s="29">
        <f>SUMIF(汇总表!$B$1:$AF$1,Q$3,汇总表!$B28:$AG28)</f>
        <v>377.3901</v>
      </c>
      <c r="R28" s="37">
        <f t="shared" si="7"/>
        <v>377.3901</v>
      </c>
      <c r="S28" s="38">
        <f t="shared" si="8"/>
        <v>0</v>
      </c>
      <c r="T28" s="29">
        <f t="shared" si="69"/>
        <v>0</v>
      </c>
      <c r="U28" s="29">
        <f>SUMIF(汇总表!$B$1:$AF$1,U$3,汇总表!$B28:$AG28)</f>
        <v>332.1614</v>
      </c>
      <c r="V28" s="29">
        <f t="shared" si="9"/>
        <v>332.1614</v>
      </c>
      <c r="W28" s="38">
        <f t="shared" si="10"/>
        <v>0</v>
      </c>
      <c r="X28" s="29">
        <f t="shared" si="70"/>
        <v>0</v>
      </c>
      <c r="Y28" s="29">
        <f>SUMIF(汇总表!$B$1:$AF$1,Y$3,汇总表!$B28:$AG28)</f>
        <v>362.2548</v>
      </c>
      <c r="Z28" s="37">
        <f t="shared" si="11"/>
        <v>362.2548</v>
      </c>
      <c r="AA28" s="38">
        <f t="shared" si="12"/>
        <v>0</v>
      </c>
      <c r="AB28" s="29">
        <f t="shared" si="71"/>
        <v>0</v>
      </c>
      <c r="AC28" s="29">
        <f>SUMIF(汇总表!$B$1:$AF$1,AC$3,汇总表!$B28:$AG28)</f>
        <v>377.5683</v>
      </c>
      <c r="AD28" s="37">
        <f t="shared" si="13"/>
        <v>377.5683</v>
      </c>
      <c r="AE28" s="38">
        <f t="shared" si="14"/>
        <v>0</v>
      </c>
      <c r="AF28" s="29">
        <f t="shared" si="72"/>
        <v>0</v>
      </c>
      <c r="AG28" s="29">
        <f>SUMIF(汇总表!$B$1:$AF$1,AG$3,汇总表!$B28:$AG28)</f>
        <v>402.9232</v>
      </c>
      <c r="AH28" s="37">
        <f t="shared" si="15"/>
        <v>402.9232</v>
      </c>
      <c r="AI28" s="38">
        <f t="shared" si="16"/>
        <v>0</v>
      </c>
      <c r="AJ28" s="29">
        <f t="shared" si="73"/>
        <v>0</v>
      </c>
      <c r="AK28" s="29">
        <f>SUMIF(汇总表!$B$1:$AF$1,AK$3,汇总表!$B28:$AG28)</f>
        <v>388.4919</v>
      </c>
      <c r="AL28" s="37">
        <f t="shared" si="17"/>
        <v>388.4919</v>
      </c>
      <c r="AM28" s="38">
        <f t="shared" si="18"/>
        <v>0</v>
      </c>
      <c r="AN28" s="29">
        <f t="shared" si="74"/>
        <v>0</v>
      </c>
      <c r="AO28" s="29">
        <f>SUMIF(汇总表!$B$1:$AF$1,AO$3,汇总表!$B28:$AG28)</f>
        <v>411.8714</v>
      </c>
      <c r="AP28" s="37">
        <f t="shared" si="19"/>
        <v>411.8714</v>
      </c>
      <c r="AQ28" s="38">
        <f t="shared" si="62"/>
        <v>0</v>
      </c>
      <c r="AR28" s="29">
        <f t="shared" si="65"/>
        <v>0</v>
      </c>
      <c r="AS28" s="29">
        <f>SUMIF(汇总表!$B$1:$AF$1,AS$3,汇总表!$B28:$AG28)</f>
        <v>387.8798</v>
      </c>
      <c r="AT28" s="37">
        <f t="shared" si="20"/>
        <v>387.8798</v>
      </c>
      <c r="AU28" s="38">
        <f t="shared" si="21"/>
        <v>0</v>
      </c>
      <c r="AV28" s="29">
        <f t="shared" si="75"/>
        <v>0</v>
      </c>
      <c r="AW28" s="29">
        <f>SUMIF(汇总表!$B$1:$AF$1,AW$3,汇总表!$B28:$AG28)</f>
        <v>296.7496</v>
      </c>
      <c r="AX28" s="37">
        <f t="shared" si="22"/>
        <v>296.7496</v>
      </c>
      <c r="AY28" s="38">
        <f t="shared" si="23"/>
        <v>0</v>
      </c>
      <c r="AZ28" s="29">
        <f t="shared" si="76"/>
        <v>0</v>
      </c>
      <c r="BA28" s="29">
        <f>SUMIF(汇总表!$B$1:$AF$1,BA$3,汇总表!$B28:$AG28)</f>
        <v>276.9496</v>
      </c>
      <c r="BB28" s="37">
        <f t="shared" si="24"/>
        <v>276.9496</v>
      </c>
      <c r="BC28" s="38">
        <f t="shared" si="25"/>
        <v>0</v>
      </c>
      <c r="BD28" s="29">
        <f t="shared" si="77"/>
        <v>0</v>
      </c>
      <c r="BE28" s="29">
        <f>SUMIF(汇总表!$B$1:$AF$1,BE$3,汇总表!$B28:$AG28)</f>
        <v>320.9375</v>
      </c>
      <c r="BF28" s="37">
        <f t="shared" si="26"/>
        <v>320.9375</v>
      </c>
      <c r="BG28" s="38">
        <f t="shared" si="27"/>
        <v>0</v>
      </c>
      <c r="BH28" s="29">
        <f t="shared" si="78"/>
        <v>0</v>
      </c>
      <c r="BI28" s="29">
        <f>SUMIF(汇总表!$B$1:$AF$1,BI$3,汇总表!$B28:$AG28)</f>
        <v>369.9405</v>
      </c>
      <c r="BJ28" s="37">
        <f t="shared" si="28"/>
        <v>369.9405</v>
      </c>
      <c r="BK28" s="38">
        <f t="shared" si="29"/>
        <v>0</v>
      </c>
      <c r="BL28" s="29">
        <f t="shared" si="79"/>
        <v>0</v>
      </c>
      <c r="BM28" s="29">
        <f>SUMIF(汇总表!$B$1:$AF$1,BM$3,汇总表!$B28:$AG28)</f>
        <v>329.8074</v>
      </c>
      <c r="BN28" s="37">
        <f t="shared" si="30"/>
        <v>329.8074</v>
      </c>
      <c r="BO28" s="38">
        <f t="shared" si="31"/>
        <v>0</v>
      </c>
      <c r="BP28" s="29">
        <f t="shared" si="80"/>
        <v>0</v>
      </c>
      <c r="BQ28" s="29">
        <f>SUMIF(汇总表!$B$1:$AF$1,BQ$3,汇总表!$B28:$AG28)</f>
        <v>385.3245</v>
      </c>
      <c r="BR28" s="37">
        <f t="shared" si="32"/>
        <v>385.3245</v>
      </c>
      <c r="BS28" s="38">
        <f t="shared" si="33"/>
        <v>0</v>
      </c>
      <c r="BT28" s="29">
        <f t="shared" si="81"/>
        <v>0</v>
      </c>
      <c r="BU28" s="29">
        <f>SUMIF(汇总表!$B$1:$AF$1,BU$3,汇总表!$B28:$AG28)</f>
        <v>358.6266</v>
      </c>
      <c r="BV28" s="37">
        <f t="shared" si="34"/>
        <v>358.6266</v>
      </c>
      <c r="BW28" s="38">
        <f t="shared" si="35"/>
        <v>0</v>
      </c>
      <c r="BX28" s="29">
        <f t="shared" si="82"/>
        <v>0</v>
      </c>
      <c r="BY28" s="29">
        <f>SUMIF(汇总表!$B$1:$AF$1,BY$3,汇总表!$B28:$AG28)</f>
        <v>288.8498</v>
      </c>
      <c r="BZ28" s="37">
        <f t="shared" si="36"/>
        <v>288.8498</v>
      </c>
      <c r="CA28" s="38">
        <f t="shared" si="37"/>
        <v>0</v>
      </c>
      <c r="CB28" s="29">
        <f t="shared" si="83"/>
        <v>0</v>
      </c>
      <c r="CC28" s="29">
        <f>SUMIF(汇总表!$B$1:$AF$1,CC$3,汇总表!$B28:$AG28)</f>
        <v>346.4923</v>
      </c>
      <c r="CD28" s="37">
        <f t="shared" si="38"/>
        <v>346.4923</v>
      </c>
      <c r="CE28" s="38">
        <f t="shared" si="39"/>
        <v>0</v>
      </c>
      <c r="CF28" s="29">
        <f t="shared" si="84"/>
        <v>0</v>
      </c>
      <c r="CG28" s="29">
        <f>SUMIF(汇总表!$B$1:$AF$1,CG$3,汇总表!$B28:$AG28)</f>
        <v>402.4985</v>
      </c>
      <c r="CH28" s="37">
        <f t="shared" si="40"/>
        <v>402.4985</v>
      </c>
      <c r="CI28" s="38">
        <f t="shared" si="41"/>
        <v>0</v>
      </c>
      <c r="CJ28" s="29">
        <f t="shared" si="85"/>
        <v>0</v>
      </c>
      <c r="CK28" s="29">
        <f>SUMIF(汇总表!$B$1:$AF$1,CK$3,汇总表!$B28:$AG28)</f>
        <v>31.0919</v>
      </c>
      <c r="CL28" s="37">
        <f t="shared" si="42"/>
        <v>31.0919</v>
      </c>
      <c r="CM28" s="38">
        <f t="shared" si="43"/>
        <v>0</v>
      </c>
      <c r="CN28" s="29">
        <f t="shared" si="86"/>
        <v>0</v>
      </c>
      <c r="CO28" s="29">
        <f>SUMIF(汇总表!$B$1:$AF$1,CO$3,汇总表!$B28:$AG28)</f>
        <v>335.3793</v>
      </c>
      <c r="CP28" s="37">
        <f t="shared" si="44"/>
        <v>335.3793</v>
      </c>
      <c r="CQ28" s="38">
        <f t="shared" si="45"/>
        <v>0</v>
      </c>
      <c r="CR28" s="29">
        <f t="shared" si="87"/>
        <v>0</v>
      </c>
      <c r="CS28" s="29">
        <f>SUMIF(汇总表!$B$1:$AF$1,CS$3,汇总表!$B28:$AG28)</f>
        <v>305.9361</v>
      </c>
      <c r="CT28" s="37">
        <f t="shared" si="46"/>
        <v>305.9361</v>
      </c>
      <c r="CU28" s="38">
        <f t="shared" si="47"/>
        <v>0</v>
      </c>
      <c r="CV28" s="29">
        <f t="shared" si="88"/>
        <v>0</v>
      </c>
      <c r="CW28" s="29">
        <f>SUMIF(汇总表!$B$1:$AF$1,CW$3,汇总表!$B28:$AG28)</f>
        <v>355.9526</v>
      </c>
      <c r="CX28" s="37">
        <f t="shared" si="48"/>
        <v>355.9526</v>
      </c>
      <c r="CY28" s="38">
        <f t="shared" si="49"/>
        <v>0</v>
      </c>
      <c r="CZ28" s="29">
        <f t="shared" si="89"/>
        <v>0</v>
      </c>
      <c r="DA28" s="29">
        <f>SUMIF(汇总表!$B$1:$AF$1,DA$3,汇总表!$B28:$AG28)</f>
        <v>261.7171</v>
      </c>
      <c r="DB28" s="37">
        <f t="shared" si="50"/>
        <v>261.7171</v>
      </c>
      <c r="DC28" s="38">
        <f t="shared" si="51"/>
        <v>0</v>
      </c>
      <c r="DD28" s="29">
        <f t="shared" si="90"/>
        <v>0</v>
      </c>
      <c r="DE28" s="29">
        <f>SUMIF(汇总表!$B$1:$AF$1,DE$3,汇总表!$B28:$AG28)</f>
        <v>318.351</v>
      </c>
      <c r="DF28" s="37">
        <f t="shared" si="52"/>
        <v>318.351</v>
      </c>
      <c r="DG28" s="38">
        <f t="shared" si="53"/>
        <v>0</v>
      </c>
      <c r="DH28" s="29">
        <f t="shared" si="91"/>
        <v>0</v>
      </c>
      <c r="DI28" s="29">
        <f>SUMIF(汇总表!$B$1:$AF$1,DI$3,汇总表!$B28:$AG28)</f>
        <v>367.5767</v>
      </c>
      <c r="DJ28" s="37">
        <f t="shared" si="54"/>
        <v>367.5767</v>
      </c>
      <c r="DK28" s="38">
        <f t="shared" si="55"/>
        <v>0</v>
      </c>
      <c r="DL28" s="29">
        <f t="shared" si="92"/>
        <v>0</v>
      </c>
      <c r="DM28" s="29">
        <f>SUMIF(汇总表!$B$1:$AF$1,DM$3,汇总表!$B28:$AG28)</f>
        <v>367.8117</v>
      </c>
      <c r="DN28" s="37">
        <f t="shared" si="56"/>
        <v>367.8117</v>
      </c>
      <c r="DO28" s="38">
        <f t="shared" si="57"/>
        <v>0</v>
      </c>
      <c r="DP28" s="29">
        <f t="shared" si="93"/>
        <v>0</v>
      </c>
      <c r="DQ28" s="29">
        <f>SUMIF(汇总表!$B$1:$AF$1,DQ$3,汇总表!$B28:$AG28)</f>
        <v>392.4754</v>
      </c>
      <c r="DR28" s="37">
        <f t="shared" si="58"/>
        <v>392.4754</v>
      </c>
      <c r="DS28" s="38">
        <f t="shared" si="59"/>
        <v>0</v>
      </c>
      <c r="DT28" s="29">
        <f t="shared" si="94"/>
        <v>0</v>
      </c>
      <c r="DU28" s="29">
        <f>SUMIF(汇总表!$B$1:$AF$1,DU$3,汇总表!$B28:$AG28)</f>
        <v>2.9688</v>
      </c>
      <c r="DV28" s="29">
        <f t="shared" si="60"/>
        <v>2.9688</v>
      </c>
      <c r="DW28" s="38">
        <f t="shared" si="61"/>
        <v>0</v>
      </c>
      <c r="DX28" s="29">
        <v>0</v>
      </c>
    </row>
    <row r="29" spans="1:128">
      <c r="A29" s="43"/>
      <c r="B29" s="46" t="s">
        <v>699</v>
      </c>
      <c r="C29" s="29" t="s">
        <v>769</v>
      </c>
      <c r="D29" s="29">
        <f t="shared" si="64"/>
        <v>0</v>
      </c>
      <c r="E29" s="29">
        <f>SUMIF(汇总表!$B$1:$AF$1,E$3,汇总表!$B30:$AG30)</f>
        <v>0</v>
      </c>
      <c r="F29" s="37">
        <f t="shared" si="1"/>
        <v>0</v>
      </c>
      <c r="G29" s="38">
        <f t="shared" si="95"/>
        <v>0</v>
      </c>
      <c r="H29" s="29">
        <f t="shared" si="66"/>
        <v>0</v>
      </c>
      <c r="I29" s="29">
        <f>SUMIF(汇总表!$B$1:$AF$1,I$3,汇总表!$B30:$AG30)</f>
        <v>0</v>
      </c>
      <c r="J29" s="37">
        <f t="shared" si="3"/>
        <v>0</v>
      </c>
      <c r="K29" s="38">
        <f t="shared" si="96"/>
        <v>0</v>
      </c>
      <c r="L29" s="29">
        <f t="shared" si="67"/>
        <v>0</v>
      </c>
      <c r="M29" s="29">
        <f>SUMIF(汇总表!$B$1:$AF$1,M$3,汇总表!$B30:$AG30)</f>
        <v>0</v>
      </c>
      <c r="N29" s="37">
        <f t="shared" si="5"/>
        <v>0</v>
      </c>
      <c r="O29" s="38">
        <f t="shared" si="6"/>
        <v>0</v>
      </c>
      <c r="P29" s="29">
        <f t="shared" si="68"/>
        <v>0</v>
      </c>
      <c r="Q29" s="29">
        <f>SUMIF(汇总表!$B$1:$AF$1,Q$3,汇总表!$B30:$AG30)</f>
        <v>0</v>
      </c>
      <c r="R29" s="37">
        <f t="shared" si="7"/>
        <v>0</v>
      </c>
      <c r="S29" s="38">
        <f t="shared" si="8"/>
        <v>0</v>
      </c>
      <c r="T29" s="29">
        <f t="shared" si="69"/>
        <v>0</v>
      </c>
      <c r="U29" s="29">
        <f>SUMIF(汇总表!$B$1:$AF$1,U$3,汇总表!$B30:$AG30)</f>
        <v>0</v>
      </c>
      <c r="V29" s="29">
        <f t="shared" si="9"/>
        <v>0</v>
      </c>
      <c r="W29" s="38">
        <f t="shared" si="10"/>
        <v>0</v>
      </c>
      <c r="X29" s="29">
        <f t="shared" si="70"/>
        <v>0</v>
      </c>
      <c r="Y29" s="29">
        <f>SUMIF(汇总表!$B$1:$AF$1,Y$3,汇总表!$B30:$AG30)</f>
        <v>0</v>
      </c>
      <c r="Z29" s="37">
        <f t="shared" si="11"/>
        <v>0</v>
      </c>
      <c r="AA29" s="38">
        <f t="shared" si="12"/>
        <v>0</v>
      </c>
      <c r="AB29" s="29">
        <f t="shared" si="71"/>
        <v>0</v>
      </c>
      <c r="AC29" s="29">
        <f>SUMIF(汇总表!$B$1:$AF$1,AC$3,汇总表!$B30:$AG30)</f>
        <v>0</v>
      </c>
      <c r="AD29" s="37">
        <f t="shared" si="13"/>
        <v>0</v>
      </c>
      <c r="AE29" s="38">
        <f t="shared" si="14"/>
        <v>0</v>
      </c>
      <c r="AF29" s="29">
        <f t="shared" si="72"/>
        <v>0</v>
      </c>
      <c r="AG29" s="29">
        <f>SUMIF(汇总表!$B$1:$AF$1,AG$3,汇总表!$B30:$AG30)</f>
        <v>0</v>
      </c>
      <c r="AH29" s="37">
        <f t="shared" si="15"/>
        <v>0</v>
      </c>
      <c r="AI29" s="38">
        <f t="shared" si="16"/>
        <v>0</v>
      </c>
      <c r="AJ29" s="29">
        <f t="shared" si="73"/>
        <v>0</v>
      </c>
      <c r="AK29" s="29">
        <f>SUMIF(汇总表!$B$1:$AF$1,AK$3,汇总表!$B30:$AG30)</f>
        <v>0</v>
      </c>
      <c r="AL29" s="37">
        <f t="shared" si="17"/>
        <v>0</v>
      </c>
      <c r="AM29" s="38">
        <f t="shared" si="18"/>
        <v>0</v>
      </c>
      <c r="AN29" s="29">
        <f t="shared" si="74"/>
        <v>0</v>
      </c>
      <c r="AO29" s="29">
        <f>SUMIF(汇总表!$B$1:$AF$1,AO$3,汇总表!$B30:$AG30)</f>
        <v>0</v>
      </c>
      <c r="AP29" s="37">
        <f t="shared" si="19"/>
        <v>0</v>
      </c>
      <c r="AQ29" s="38">
        <f t="shared" si="62"/>
        <v>0</v>
      </c>
      <c r="AR29" s="29">
        <f t="shared" si="65"/>
        <v>0</v>
      </c>
      <c r="AS29" s="29">
        <f>SUMIF(汇总表!$B$1:$AF$1,AS$3,汇总表!$B30:$AG30)</f>
        <v>0</v>
      </c>
      <c r="AT29" s="37">
        <f t="shared" si="20"/>
        <v>0</v>
      </c>
      <c r="AU29" s="38">
        <f t="shared" si="21"/>
        <v>0</v>
      </c>
      <c r="AV29" s="29">
        <f t="shared" si="75"/>
        <v>0</v>
      </c>
      <c r="AW29" s="29">
        <f>SUMIF(汇总表!$B$1:$AF$1,AW$3,汇总表!$B30:$AG30)</f>
        <v>0</v>
      </c>
      <c r="AX29" s="37">
        <f t="shared" si="22"/>
        <v>0</v>
      </c>
      <c r="AY29" s="38">
        <f t="shared" si="23"/>
        <v>0</v>
      </c>
      <c r="AZ29" s="29">
        <f t="shared" si="76"/>
        <v>0</v>
      </c>
      <c r="BA29" s="29">
        <f>SUMIF(汇总表!$B$1:$AF$1,BA$3,汇总表!$B30:$AG30)</f>
        <v>0</v>
      </c>
      <c r="BB29" s="37">
        <f t="shared" si="24"/>
        <v>0</v>
      </c>
      <c r="BC29" s="38">
        <f t="shared" si="25"/>
        <v>0</v>
      </c>
      <c r="BD29" s="29">
        <f t="shared" si="77"/>
        <v>0</v>
      </c>
      <c r="BE29" s="29">
        <f>SUMIF(汇总表!$B$1:$AF$1,BE$3,汇总表!$B30:$AG30)</f>
        <v>0</v>
      </c>
      <c r="BF29" s="37">
        <f t="shared" si="26"/>
        <v>0</v>
      </c>
      <c r="BG29" s="38">
        <f t="shared" si="27"/>
        <v>0</v>
      </c>
      <c r="BH29" s="29">
        <f t="shared" si="78"/>
        <v>0</v>
      </c>
      <c r="BI29" s="29">
        <f>SUMIF(汇总表!$B$1:$AF$1,BI$3,汇总表!$B30:$AG30)</f>
        <v>0</v>
      </c>
      <c r="BJ29" s="37">
        <f t="shared" si="28"/>
        <v>0</v>
      </c>
      <c r="BK29" s="38">
        <f t="shared" si="29"/>
        <v>0</v>
      </c>
      <c r="BL29" s="29">
        <f t="shared" si="79"/>
        <v>0</v>
      </c>
      <c r="BM29" s="29">
        <f>SUMIF(汇总表!$B$1:$AF$1,BM$3,汇总表!$B30:$AG30)</f>
        <v>0</v>
      </c>
      <c r="BN29" s="37">
        <f t="shared" si="30"/>
        <v>0</v>
      </c>
      <c r="BO29" s="38">
        <f t="shared" si="31"/>
        <v>0</v>
      </c>
      <c r="BP29" s="29">
        <f t="shared" si="80"/>
        <v>0</v>
      </c>
      <c r="BQ29" s="29">
        <f>SUMIF(汇总表!$B$1:$AF$1,BQ$3,汇总表!$B30:$AG30)</f>
        <v>0</v>
      </c>
      <c r="BR29" s="37">
        <f t="shared" si="32"/>
        <v>0</v>
      </c>
      <c r="BS29" s="38">
        <f t="shared" si="33"/>
        <v>0</v>
      </c>
      <c r="BT29" s="29">
        <f t="shared" si="81"/>
        <v>0</v>
      </c>
      <c r="BU29" s="29">
        <f>SUMIF(汇总表!$B$1:$AF$1,BU$3,汇总表!$B30:$AG30)</f>
        <v>0</v>
      </c>
      <c r="BV29" s="37">
        <f t="shared" si="34"/>
        <v>0</v>
      </c>
      <c r="BW29" s="38">
        <f t="shared" si="35"/>
        <v>0</v>
      </c>
      <c r="BX29" s="29">
        <f t="shared" si="82"/>
        <v>0</v>
      </c>
      <c r="BY29" s="29">
        <f>SUMIF(汇总表!$B$1:$AF$1,BY$3,汇总表!$B30:$AG30)</f>
        <v>0</v>
      </c>
      <c r="BZ29" s="37">
        <f t="shared" si="36"/>
        <v>0</v>
      </c>
      <c r="CA29" s="38">
        <f t="shared" si="37"/>
        <v>0</v>
      </c>
      <c r="CB29" s="29">
        <f t="shared" si="83"/>
        <v>0</v>
      </c>
      <c r="CC29" s="29">
        <f>SUMIF(汇总表!$B$1:$AF$1,CC$3,汇总表!$B30:$AG30)</f>
        <v>0</v>
      </c>
      <c r="CD29" s="37">
        <f t="shared" si="38"/>
        <v>0</v>
      </c>
      <c r="CE29" s="38">
        <f t="shared" si="39"/>
        <v>0</v>
      </c>
      <c r="CF29" s="29">
        <f t="shared" si="84"/>
        <v>0</v>
      </c>
      <c r="CG29" s="29">
        <f>SUMIF(汇总表!$B$1:$AF$1,CG$3,汇总表!$B30:$AG30)</f>
        <v>0</v>
      </c>
      <c r="CH29" s="37">
        <f t="shared" si="40"/>
        <v>0</v>
      </c>
      <c r="CI29" s="38">
        <f t="shared" si="41"/>
        <v>0</v>
      </c>
      <c r="CJ29" s="29">
        <f t="shared" si="85"/>
        <v>0</v>
      </c>
      <c r="CK29" s="29">
        <f>SUMIF(汇总表!$B$1:$AF$1,CK$3,汇总表!$B30:$AG30)</f>
        <v>0</v>
      </c>
      <c r="CL29" s="37">
        <f t="shared" si="42"/>
        <v>0</v>
      </c>
      <c r="CM29" s="38">
        <f t="shared" si="43"/>
        <v>0</v>
      </c>
      <c r="CN29" s="29">
        <f t="shared" si="86"/>
        <v>0</v>
      </c>
      <c r="CO29" s="29">
        <f>SUMIF(汇总表!$B$1:$AF$1,CO$3,汇总表!$B30:$AG30)</f>
        <v>0</v>
      </c>
      <c r="CP29" s="37">
        <f t="shared" si="44"/>
        <v>0</v>
      </c>
      <c r="CQ29" s="38">
        <f t="shared" si="45"/>
        <v>0</v>
      </c>
      <c r="CR29" s="29">
        <f t="shared" si="87"/>
        <v>0</v>
      </c>
      <c r="CS29" s="29">
        <f>SUMIF(汇总表!$B$1:$AF$1,CS$3,汇总表!$B30:$AG30)</f>
        <v>0</v>
      </c>
      <c r="CT29" s="37">
        <f t="shared" si="46"/>
        <v>0</v>
      </c>
      <c r="CU29" s="38">
        <f t="shared" si="47"/>
        <v>0</v>
      </c>
      <c r="CV29" s="29">
        <f t="shared" si="88"/>
        <v>0</v>
      </c>
      <c r="CW29" s="29">
        <f>SUMIF(汇总表!$B$1:$AF$1,CW$3,汇总表!$B30:$AG30)</f>
        <v>0</v>
      </c>
      <c r="CX29" s="37">
        <f t="shared" si="48"/>
        <v>0</v>
      </c>
      <c r="CY29" s="38">
        <f t="shared" si="49"/>
        <v>0</v>
      </c>
      <c r="CZ29" s="29">
        <f t="shared" si="89"/>
        <v>0</v>
      </c>
      <c r="DA29" s="29">
        <f>SUMIF(汇总表!$B$1:$AF$1,DA$3,汇总表!$B30:$AG30)</f>
        <v>0</v>
      </c>
      <c r="DB29" s="37">
        <f t="shared" si="50"/>
        <v>0</v>
      </c>
      <c r="DC29" s="38">
        <f t="shared" si="51"/>
        <v>0</v>
      </c>
      <c r="DD29" s="29">
        <f t="shared" si="90"/>
        <v>0</v>
      </c>
      <c r="DE29" s="29">
        <f>SUMIF(汇总表!$B$1:$AF$1,DE$3,汇总表!$B30:$AG30)</f>
        <v>0</v>
      </c>
      <c r="DF29" s="37">
        <f t="shared" si="52"/>
        <v>0</v>
      </c>
      <c r="DG29" s="38">
        <f t="shared" si="53"/>
        <v>0</v>
      </c>
      <c r="DH29" s="29">
        <f t="shared" si="91"/>
        <v>0</v>
      </c>
      <c r="DI29" s="29">
        <f>SUMIF(汇总表!$B$1:$AF$1,DI$3,汇总表!$B30:$AG30)</f>
        <v>0</v>
      </c>
      <c r="DJ29" s="37">
        <f t="shared" si="54"/>
        <v>0</v>
      </c>
      <c r="DK29" s="38">
        <f t="shared" si="55"/>
        <v>0</v>
      </c>
      <c r="DL29" s="29">
        <f t="shared" si="92"/>
        <v>0</v>
      </c>
      <c r="DM29" s="29">
        <f>SUMIF(汇总表!$B$1:$AF$1,DM$3,汇总表!$B30:$AG30)</f>
        <v>0</v>
      </c>
      <c r="DN29" s="37">
        <f t="shared" si="56"/>
        <v>0</v>
      </c>
      <c r="DO29" s="38">
        <f t="shared" si="57"/>
        <v>0</v>
      </c>
      <c r="DP29" s="29">
        <f t="shared" si="93"/>
        <v>0</v>
      </c>
      <c r="DQ29" s="29">
        <f>SUMIF(汇总表!$B$1:$AF$1,DQ$3,汇总表!$B30:$AG30)</f>
        <v>0</v>
      </c>
      <c r="DR29" s="37">
        <f t="shared" si="58"/>
        <v>0</v>
      </c>
      <c r="DS29" s="38">
        <f t="shared" si="59"/>
        <v>0</v>
      </c>
      <c r="DT29" s="29">
        <f t="shared" si="94"/>
        <v>0</v>
      </c>
      <c r="DU29" s="29">
        <f>SUMIF(汇总表!$B$1:$AF$1,DU$3,汇总表!$B30:$AG30)</f>
        <v>0</v>
      </c>
      <c r="DV29" s="29">
        <f t="shared" si="60"/>
        <v>0</v>
      </c>
      <c r="DW29" s="38">
        <f t="shared" si="61"/>
        <v>0</v>
      </c>
      <c r="DX29" s="29">
        <v>0</v>
      </c>
    </row>
    <row r="30" spans="1:128">
      <c r="A30" s="43"/>
      <c r="B30" s="46" t="s">
        <v>700</v>
      </c>
      <c r="C30" s="29" t="s">
        <v>822</v>
      </c>
      <c r="D30" s="29">
        <f t="shared" si="64"/>
        <v>0</v>
      </c>
      <c r="E30" s="29">
        <f>SUMIF(汇总表!$B$1:$AF$1,E$3,汇总表!$B31:$AG31)</f>
        <v>0</v>
      </c>
      <c r="F30" s="37">
        <f t="shared" si="1"/>
        <v>0</v>
      </c>
      <c r="G30" s="38">
        <f t="shared" si="95"/>
        <v>0</v>
      </c>
      <c r="H30" s="29">
        <f t="shared" si="66"/>
        <v>0</v>
      </c>
      <c r="I30" s="29">
        <f>SUMIF(汇总表!$B$1:$AF$1,I$3,汇总表!$B31:$AG31)</f>
        <v>0</v>
      </c>
      <c r="J30" s="37">
        <f t="shared" si="3"/>
        <v>0</v>
      </c>
      <c r="K30" s="38">
        <f t="shared" si="96"/>
        <v>0</v>
      </c>
      <c r="L30" s="29">
        <f t="shared" si="67"/>
        <v>0</v>
      </c>
      <c r="M30" s="29">
        <f>SUMIF(汇总表!$B$1:$AF$1,M$3,汇总表!$B31:$AG31)</f>
        <v>0</v>
      </c>
      <c r="N30" s="37">
        <f t="shared" si="5"/>
        <v>0</v>
      </c>
      <c r="O30" s="38">
        <f t="shared" si="6"/>
        <v>0</v>
      </c>
      <c r="P30" s="29">
        <f t="shared" si="68"/>
        <v>0</v>
      </c>
      <c r="Q30" s="29">
        <f>SUMIF(汇总表!$B$1:$AF$1,Q$3,汇总表!$B31:$AG31)</f>
        <v>0</v>
      </c>
      <c r="R30" s="37">
        <f t="shared" si="7"/>
        <v>0</v>
      </c>
      <c r="S30" s="38">
        <f t="shared" si="8"/>
        <v>0</v>
      </c>
      <c r="T30" s="29">
        <f t="shared" si="69"/>
        <v>0</v>
      </c>
      <c r="U30" s="29">
        <f>SUMIF(汇总表!$B$1:$AF$1,U$3,汇总表!$B31:$AG31)</f>
        <v>0</v>
      </c>
      <c r="V30" s="29">
        <f t="shared" si="9"/>
        <v>0</v>
      </c>
      <c r="W30" s="38">
        <f t="shared" si="10"/>
        <v>0</v>
      </c>
      <c r="X30" s="29">
        <f t="shared" si="70"/>
        <v>0</v>
      </c>
      <c r="Y30" s="29">
        <f>SUMIF(汇总表!$B$1:$AF$1,Y$3,汇总表!$B31:$AG31)</f>
        <v>0</v>
      </c>
      <c r="Z30" s="37">
        <f t="shared" si="11"/>
        <v>0</v>
      </c>
      <c r="AA30" s="38">
        <f t="shared" si="12"/>
        <v>0</v>
      </c>
      <c r="AB30" s="29">
        <f t="shared" si="71"/>
        <v>0</v>
      </c>
      <c r="AC30" s="29">
        <f>SUMIF(汇总表!$B$1:$AF$1,AC$3,汇总表!$B31:$AG31)</f>
        <v>0</v>
      </c>
      <c r="AD30" s="37">
        <f t="shared" si="13"/>
        <v>0</v>
      </c>
      <c r="AE30" s="38">
        <f t="shared" si="14"/>
        <v>0</v>
      </c>
      <c r="AF30" s="29">
        <f t="shared" si="72"/>
        <v>0</v>
      </c>
      <c r="AG30" s="29">
        <f>SUMIF(汇总表!$B$1:$AF$1,AG$3,汇总表!$B31:$AG31)</f>
        <v>0</v>
      </c>
      <c r="AH30" s="37">
        <f t="shared" si="15"/>
        <v>0</v>
      </c>
      <c r="AI30" s="38">
        <f t="shared" si="16"/>
        <v>0</v>
      </c>
      <c r="AJ30" s="29">
        <f t="shared" si="73"/>
        <v>0</v>
      </c>
      <c r="AK30" s="29">
        <f>SUMIF(汇总表!$B$1:$AF$1,AK$3,汇总表!$B31:$AG31)</f>
        <v>0</v>
      </c>
      <c r="AL30" s="37">
        <f t="shared" si="17"/>
        <v>0</v>
      </c>
      <c r="AM30" s="38">
        <f t="shared" si="18"/>
        <v>0</v>
      </c>
      <c r="AN30" s="29">
        <f t="shared" si="74"/>
        <v>0</v>
      </c>
      <c r="AO30" s="29">
        <f>SUMIF(汇总表!$B$1:$AF$1,AO$3,汇总表!$B31:$AG31)</f>
        <v>0</v>
      </c>
      <c r="AP30" s="37">
        <f t="shared" si="19"/>
        <v>0</v>
      </c>
      <c r="AQ30" s="38">
        <f t="shared" si="62"/>
        <v>0</v>
      </c>
      <c r="AR30" s="29">
        <f t="shared" si="65"/>
        <v>0</v>
      </c>
      <c r="AS30" s="29">
        <f>SUMIF(汇总表!$B$1:$AF$1,AS$3,汇总表!$B31:$AG31)</f>
        <v>0</v>
      </c>
      <c r="AT30" s="37">
        <f t="shared" si="20"/>
        <v>0</v>
      </c>
      <c r="AU30" s="38">
        <f t="shared" si="21"/>
        <v>0</v>
      </c>
      <c r="AV30" s="29">
        <f t="shared" si="75"/>
        <v>0</v>
      </c>
      <c r="AW30" s="29">
        <f>SUMIF(汇总表!$B$1:$AF$1,AW$3,汇总表!$B31:$AG31)</f>
        <v>0</v>
      </c>
      <c r="AX30" s="37">
        <f t="shared" si="22"/>
        <v>0</v>
      </c>
      <c r="AY30" s="38">
        <f t="shared" si="23"/>
        <v>0</v>
      </c>
      <c r="AZ30" s="29">
        <f t="shared" si="76"/>
        <v>0</v>
      </c>
      <c r="BA30" s="29">
        <f>SUMIF(汇总表!$B$1:$AF$1,BA$3,汇总表!$B31:$AG31)</f>
        <v>0</v>
      </c>
      <c r="BB30" s="37">
        <f t="shared" si="24"/>
        <v>0</v>
      </c>
      <c r="BC30" s="38">
        <f t="shared" si="25"/>
        <v>0</v>
      </c>
      <c r="BD30" s="29">
        <f t="shared" si="77"/>
        <v>0</v>
      </c>
      <c r="BE30" s="29">
        <f>SUMIF(汇总表!$B$1:$AF$1,BE$3,汇总表!$B31:$AG31)</f>
        <v>0</v>
      </c>
      <c r="BF30" s="37">
        <f t="shared" si="26"/>
        <v>0</v>
      </c>
      <c r="BG30" s="38">
        <f t="shared" si="27"/>
        <v>0</v>
      </c>
      <c r="BH30" s="29">
        <f t="shared" si="78"/>
        <v>0</v>
      </c>
      <c r="BI30" s="29">
        <f>SUMIF(汇总表!$B$1:$AF$1,BI$3,汇总表!$B31:$AG31)</f>
        <v>0</v>
      </c>
      <c r="BJ30" s="37">
        <f t="shared" si="28"/>
        <v>0</v>
      </c>
      <c r="BK30" s="38">
        <f t="shared" si="29"/>
        <v>0</v>
      </c>
      <c r="BL30" s="29">
        <f t="shared" si="79"/>
        <v>0</v>
      </c>
      <c r="BM30" s="29">
        <f>SUMIF(汇总表!$B$1:$AF$1,BM$3,汇总表!$B31:$AG31)</f>
        <v>0</v>
      </c>
      <c r="BN30" s="37">
        <f t="shared" si="30"/>
        <v>0</v>
      </c>
      <c r="BO30" s="38">
        <f t="shared" si="31"/>
        <v>0</v>
      </c>
      <c r="BP30" s="29">
        <f t="shared" si="80"/>
        <v>0</v>
      </c>
      <c r="BQ30" s="29">
        <f>SUMIF(汇总表!$B$1:$AF$1,BQ$3,汇总表!$B31:$AG31)</f>
        <v>0</v>
      </c>
      <c r="BR30" s="37">
        <f t="shared" si="32"/>
        <v>0</v>
      </c>
      <c r="BS30" s="38">
        <f t="shared" si="33"/>
        <v>0</v>
      </c>
      <c r="BT30" s="29">
        <f t="shared" si="81"/>
        <v>0</v>
      </c>
      <c r="BU30" s="29">
        <f>SUMIF(汇总表!$B$1:$AF$1,BU$3,汇总表!$B31:$AG31)</f>
        <v>0</v>
      </c>
      <c r="BV30" s="37">
        <f t="shared" si="34"/>
        <v>0</v>
      </c>
      <c r="BW30" s="38">
        <f t="shared" si="35"/>
        <v>0</v>
      </c>
      <c r="BX30" s="29">
        <f t="shared" si="82"/>
        <v>0</v>
      </c>
      <c r="BY30" s="29">
        <f>SUMIF(汇总表!$B$1:$AF$1,BY$3,汇总表!$B31:$AG31)</f>
        <v>0</v>
      </c>
      <c r="BZ30" s="37">
        <f t="shared" si="36"/>
        <v>0</v>
      </c>
      <c r="CA30" s="38">
        <f t="shared" si="37"/>
        <v>0</v>
      </c>
      <c r="CB30" s="29">
        <f t="shared" si="83"/>
        <v>0</v>
      </c>
      <c r="CC30" s="29">
        <f>SUMIF(汇总表!$B$1:$AF$1,CC$3,汇总表!$B31:$AG31)</f>
        <v>0</v>
      </c>
      <c r="CD30" s="37">
        <f t="shared" si="38"/>
        <v>0</v>
      </c>
      <c r="CE30" s="38">
        <f t="shared" si="39"/>
        <v>0</v>
      </c>
      <c r="CF30" s="29">
        <f t="shared" si="84"/>
        <v>0</v>
      </c>
      <c r="CG30" s="29">
        <f>SUMIF(汇总表!$B$1:$AF$1,CG$3,汇总表!$B31:$AG31)</f>
        <v>0</v>
      </c>
      <c r="CH30" s="37">
        <f t="shared" si="40"/>
        <v>0</v>
      </c>
      <c r="CI30" s="38">
        <f t="shared" si="41"/>
        <v>0</v>
      </c>
      <c r="CJ30" s="29">
        <f t="shared" si="85"/>
        <v>0</v>
      </c>
      <c r="CK30" s="29">
        <f>SUMIF(汇总表!$B$1:$AF$1,CK$3,汇总表!$B31:$AG31)</f>
        <v>0</v>
      </c>
      <c r="CL30" s="37">
        <f t="shared" si="42"/>
        <v>0</v>
      </c>
      <c r="CM30" s="38">
        <f t="shared" si="43"/>
        <v>0</v>
      </c>
      <c r="CN30" s="29">
        <f t="shared" si="86"/>
        <v>0</v>
      </c>
      <c r="CO30" s="29">
        <f>SUMIF(汇总表!$B$1:$AF$1,CO$3,汇总表!$B31:$AG31)</f>
        <v>0</v>
      </c>
      <c r="CP30" s="37">
        <f t="shared" si="44"/>
        <v>0</v>
      </c>
      <c r="CQ30" s="38">
        <f t="shared" si="45"/>
        <v>0</v>
      </c>
      <c r="CR30" s="29">
        <f t="shared" si="87"/>
        <v>0</v>
      </c>
      <c r="CS30" s="29">
        <f>SUMIF(汇总表!$B$1:$AF$1,CS$3,汇总表!$B31:$AG31)</f>
        <v>0</v>
      </c>
      <c r="CT30" s="37">
        <f t="shared" si="46"/>
        <v>0</v>
      </c>
      <c r="CU30" s="38">
        <f t="shared" si="47"/>
        <v>0</v>
      </c>
      <c r="CV30" s="29">
        <f t="shared" si="88"/>
        <v>0</v>
      </c>
      <c r="CW30" s="29">
        <f>SUMIF(汇总表!$B$1:$AF$1,CW$3,汇总表!$B31:$AG31)</f>
        <v>0</v>
      </c>
      <c r="CX30" s="37">
        <f t="shared" si="48"/>
        <v>0</v>
      </c>
      <c r="CY30" s="38">
        <f t="shared" si="49"/>
        <v>0</v>
      </c>
      <c r="CZ30" s="29">
        <f t="shared" si="89"/>
        <v>0</v>
      </c>
      <c r="DA30" s="29">
        <f>SUMIF(汇总表!$B$1:$AF$1,DA$3,汇总表!$B31:$AG31)</f>
        <v>0</v>
      </c>
      <c r="DB30" s="37">
        <f t="shared" si="50"/>
        <v>0</v>
      </c>
      <c r="DC30" s="38">
        <f t="shared" si="51"/>
        <v>0</v>
      </c>
      <c r="DD30" s="29">
        <f t="shared" si="90"/>
        <v>0</v>
      </c>
      <c r="DE30" s="29">
        <f>SUMIF(汇总表!$B$1:$AF$1,DE$3,汇总表!$B31:$AG31)</f>
        <v>0</v>
      </c>
      <c r="DF30" s="37">
        <f t="shared" si="52"/>
        <v>0</v>
      </c>
      <c r="DG30" s="38">
        <f t="shared" si="53"/>
        <v>0</v>
      </c>
      <c r="DH30" s="29">
        <f t="shared" si="91"/>
        <v>0</v>
      </c>
      <c r="DI30" s="29">
        <f>SUMIF(汇总表!$B$1:$AF$1,DI$3,汇总表!$B31:$AG31)</f>
        <v>0</v>
      </c>
      <c r="DJ30" s="37">
        <f t="shared" si="54"/>
        <v>0</v>
      </c>
      <c r="DK30" s="38">
        <f t="shared" si="55"/>
        <v>0</v>
      </c>
      <c r="DL30" s="29">
        <f t="shared" si="92"/>
        <v>0</v>
      </c>
      <c r="DM30" s="29">
        <f>SUMIF(汇总表!$B$1:$AF$1,DM$3,汇总表!$B31:$AG31)</f>
        <v>0</v>
      </c>
      <c r="DN30" s="37">
        <f t="shared" si="56"/>
        <v>0</v>
      </c>
      <c r="DO30" s="38">
        <f t="shared" si="57"/>
        <v>0</v>
      </c>
      <c r="DP30" s="29">
        <f t="shared" si="93"/>
        <v>0</v>
      </c>
      <c r="DQ30" s="29">
        <f>SUMIF(汇总表!$B$1:$AF$1,DQ$3,汇总表!$B31:$AG31)</f>
        <v>0</v>
      </c>
      <c r="DR30" s="37">
        <f t="shared" si="58"/>
        <v>0</v>
      </c>
      <c r="DS30" s="38">
        <f t="shared" si="59"/>
        <v>0</v>
      </c>
      <c r="DT30" s="29">
        <f t="shared" si="94"/>
        <v>0</v>
      </c>
      <c r="DU30" s="29">
        <f>SUMIF(汇总表!$B$1:$AF$1,DU$3,汇总表!$B31:$AG31)</f>
        <v>0</v>
      </c>
      <c r="DV30" s="29">
        <f t="shared" si="60"/>
        <v>0</v>
      </c>
      <c r="DW30" s="38">
        <f t="shared" si="61"/>
        <v>0</v>
      </c>
      <c r="DX30" s="29">
        <v>0</v>
      </c>
    </row>
    <row r="31" spans="1:128">
      <c r="A31" s="43"/>
      <c r="B31" s="46" t="s">
        <v>701</v>
      </c>
      <c r="C31" s="29" t="s">
        <v>823</v>
      </c>
      <c r="D31" s="29">
        <f t="shared" si="64"/>
        <v>0</v>
      </c>
      <c r="E31" s="29">
        <f>SUMIF(汇总表!$B$1:$AF$1,E$3,汇总表!$B32:$AG32)</f>
        <v>0</v>
      </c>
      <c r="F31" s="37">
        <f t="shared" si="1"/>
        <v>0</v>
      </c>
      <c r="G31" s="38">
        <f t="shared" si="95"/>
        <v>0</v>
      </c>
      <c r="H31" s="29">
        <f t="shared" si="66"/>
        <v>0</v>
      </c>
      <c r="I31" s="29">
        <f>SUMIF(汇总表!$B$1:$AF$1,I$3,汇总表!$B32:$AG32)</f>
        <v>0</v>
      </c>
      <c r="J31" s="37">
        <f t="shared" si="3"/>
        <v>0</v>
      </c>
      <c r="K31" s="38">
        <f t="shared" si="96"/>
        <v>0</v>
      </c>
      <c r="L31" s="29">
        <f t="shared" si="67"/>
        <v>0</v>
      </c>
      <c r="M31" s="29">
        <f>SUMIF(汇总表!$B$1:$AF$1,M$3,汇总表!$B32:$AG32)</f>
        <v>0</v>
      </c>
      <c r="N31" s="37">
        <f t="shared" si="5"/>
        <v>0</v>
      </c>
      <c r="O31" s="38">
        <f t="shared" si="6"/>
        <v>0</v>
      </c>
      <c r="P31" s="29">
        <f t="shared" si="68"/>
        <v>0</v>
      </c>
      <c r="Q31" s="29">
        <f>SUMIF(汇总表!$B$1:$AF$1,Q$3,汇总表!$B32:$AG32)</f>
        <v>0</v>
      </c>
      <c r="R31" s="37">
        <f t="shared" si="7"/>
        <v>0</v>
      </c>
      <c r="S31" s="38">
        <f t="shared" si="8"/>
        <v>0</v>
      </c>
      <c r="T31" s="29">
        <f t="shared" si="69"/>
        <v>0</v>
      </c>
      <c r="U31" s="29">
        <f>SUMIF(汇总表!$B$1:$AF$1,U$3,汇总表!$B32:$AG32)</f>
        <v>0</v>
      </c>
      <c r="V31" s="29">
        <f t="shared" si="9"/>
        <v>0</v>
      </c>
      <c r="W31" s="38">
        <f t="shared" si="10"/>
        <v>0</v>
      </c>
      <c r="X31" s="29">
        <f t="shared" si="70"/>
        <v>0</v>
      </c>
      <c r="Y31" s="29">
        <f>SUMIF(汇总表!$B$1:$AF$1,Y$3,汇总表!$B32:$AG32)</f>
        <v>0</v>
      </c>
      <c r="Z31" s="37">
        <f t="shared" si="11"/>
        <v>0</v>
      </c>
      <c r="AA31" s="38">
        <f t="shared" si="12"/>
        <v>0</v>
      </c>
      <c r="AB31" s="29">
        <f t="shared" si="71"/>
        <v>0</v>
      </c>
      <c r="AC31" s="29">
        <f>SUMIF(汇总表!$B$1:$AF$1,AC$3,汇总表!$B32:$AG32)</f>
        <v>0</v>
      </c>
      <c r="AD31" s="37">
        <f t="shared" si="13"/>
        <v>0</v>
      </c>
      <c r="AE31" s="38">
        <f t="shared" si="14"/>
        <v>0</v>
      </c>
      <c r="AF31" s="29">
        <f t="shared" si="72"/>
        <v>0</v>
      </c>
      <c r="AG31" s="29">
        <f>SUMIF(汇总表!$B$1:$AF$1,AG$3,汇总表!$B32:$AG32)</f>
        <v>0</v>
      </c>
      <c r="AH31" s="37">
        <f t="shared" si="15"/>
        <v>0</v>
      </c>
      <c r="AI31" s="38">
        <f t="shared" si="16"/>
        <v>0</v>
      </c>
      <c r="AJ31" s="29">
        <f t="shared" si="73"/>
        <v>0</v>
      </c>
      <c r="AK31" s="29">
        <f>SUMIF(汇总表!$B$1:$AF$1,AK$3,汇总表!$B32:$AG32)</f>
        <v>0</v>
      </c>
      <c r="AL31" s="37">
        <f t="shared" si="17"/>
        <v>0</v>
      </c>
      <c r="AM31" s="38">
        <f t="shared" si="18"/>
        <v>0</v>
      </c>
      <c r="AN31" s="29">
        <f t="shared" si="74"/>
        <v>0</v>
      </c>
      <c r="AO31" s="29">
        <f>SUMIF(汇总表!$B$1:$AF$1,AO$3,汇总表!$B32:$AG32)</f>
        <v>0</v>
      </c>
      <c r="AP31" s="37">
        <f t="shared" si="19"/>
        <v>0</v>
      </c>
      <c r="AQ31" s="38">
        <f t="shared" ref="AQ31:AQ54" si="97">IFERROR(-AP31/AN31,0)</f>
        <v>0</v>
      </c>
      <c r="AR31" s="29">
        <f t="shared" si="65"/>
        <v>0</v>
      </c>
      <c r="AS31" s="29">
        <f>SUMIF(汇总表!$B$1:$AF$1,AS$3,汇总表!$B32:$AG32)</f>
        <v>0</v>
      </c>
      <c r="AT31" s="37">
        <f t="shared" si="20"/>
        <v>0</v>
      </c>
      <c r="AU31" s="38">
        <f t="shared" si="21"/>
        <v>0</v>
      </c>
      <c r="AV31" s="29">
        <f t="shared" si="75"/>
        <v>0</v>
      </c>
      <c r="AW31" s="29">
        <f>SUMIF(汇总表!$B$1:$AF$1,AW$3,汇总表!$B32:$AG32)</f>
        <v>0</v>
      </c>
      <c r="AX31" s="37">
        <f t="shared" si="22"/>
        <v>0</v>
      </c>
      <c r="AY31" s="38">
        <f t="shared" si="23"/>
        <v>0</v>
      </c>
      <c r="AZ31" s="29">
        <f t="shared" si="76"/>
        <v>0</v>
      </c>
      <c r="BA31" s="29">
        <f>SUMIF(汇总表!$B$1:$AF$1,BA$3,汇总表!$B32:$AG32)</f>
        <v>0</v>
      </c>
      <c r="BB31" s="37">
        <f t="shared" si="24"/>
        <v>0</v>
      </c>
      <c r="BC31" s="38">
        <f t="shared" si="25"/>
        <v>0</v>
      </c>
      <c r="BD31" s="29">
        <f t="shared" si="77"/>
        <v>0</v>
      </c>
      <c r="BE31" s="29">
        <f>SUMIF(汇总表!$B$1:$AF$1,BE$3,汇总表!$B32:$AG32)</f>
        <v>0</v>
      </c>
      <c r="BF31" s="37">
        <f t="shared" si="26"/>
        <v>0</v>
      </c>
      <c r="BG31" s="38">
        <f t="shared" si="27"/>
        <v>0</v>
      </c>
      <c r="BH31" s="29">
        <f t="shared" si="78"/>
        <v>0</v>
      </c>
      <c r="BI31" s="29">
        <f>SUMIF(汇总表!$B$1:$AF$1,BI$3,汇总表!$B32:$AG32)</f>
        <v>0</v>
      </c>
      <c r="BJ31" s="37">
        <f t="shared" si="28"/>
        <v>0</v>
      </c>
      <c r="BK31" s="38">
        <f t="shared" si="29"/>
        <v>0</v>
      </c>
      <c r="BL31" s="29">
        <f t="shared" si="79"/>
        <v>0</v>
      </c>
      <c r="BM31" s="29">
        <f>SUMIF(汇总表!$B$1:$AF$1,BM$3,汇总表!$B32:$AG32)</f>
        <v>0</v>
      </c>
      <c r="BN31" s="37">
        <f t="shared" si="30"/>
        <v>0</v>
      </c>
      <c r="BO31" s="38">
        <f t="shared" si="31"/>
        <v>0</v>
      </c>
      <c r="BP31" s="29">
        <f t="shared" si="80"/>
        <v>0</v>
      </c>
      <c r="BQ31" s="29">
        <f>SUMIF(汇总表!$B$1:$AF$1,BQ$3,汇总表!$B32:$AG32)</f>
        <v>0</v>
      </c>
      <c r="BR31" s="37">
        <f t="shared" si="32"/>
        <v>0</v>
      </c>
      <c r="BS31" s="38">
        <f t="shared" si="33"/>
        <v>0</v>
      </c>
      <c r="BT31" s="29">
        <f t="shared" si="81"/>
        <v>0</v>
      </c>
      <c r="BU31" s="29">
        <f>SUMIF(汇总表!$B$1:$AF$1,BU$3,汇总表!$B32:$AG32)</f>
        <v>0</v>
      </c>
      <c r="BV31" s="37">
        <f t="shared" si="34"/>
        <v>0</v>
      </c>
      <c r="BW31" s="38">
        <f t="shared" si="35"/>
        <v>0</v>
      </c>
      <c r="BX31" s="29">
        <f t="shared" si="82"/>
        <v>0</v>
      </c>
      <c r="BY31" s="29">
        <f>SUMIF(汇总表!$B$1:$AF$1,BY$3,汇总表!$B32:$AG32)</f>
        <v>0</v>
      </c>
      <c r="BZ31" s="37">
        <f t="shared" si="36"/>
        <v>0</v>
      </c>
      <c r="CA31" s="38">
        <f t="shared" si="37"/>
        <v>0</v>
      </c>
      <c r="CB31" s="29">
        <f t="shared" si="83"/>
        <v>0</v>
      </c>
      <c r="CC31" s="29">
        <f>SUMIF(汇总表!$B$1:$AF$1,CC$3,汇总表!$B32:$AG32)</f>
        <v>0</v>
      </c>
      <c r="CD31" s="37">
        <f t="shared" si="38"/>
        <v>0</v>
      </c>
      <c r="CE31" s="38">
        <f t="shared" si="39"/>
        <v>0</v>
      </c>
      <c r="CF31" s="29">
        <f t="shared" si="84"/>
        <v>0</v>
      </c>
      <c r="CG31" s="29">
        <f>SUMIF(汇总表!$B$1:$AF$1,CG$3,汇总表!$B32:$AG32)</f>
        <v>0</v>
      </c>
      <c r="CH31" s="37">
        <f t="shared" si="40"/>
        <v>0</v>
      </c>
      <c r="CI31" s="38">
        <f t="shared" si="41"/>
        <v>0</v>
      </c>
      <c r="CJ31" s="29">
        <f t="shared" si="85"/>
        <v>0</v>
      </c>
      <c r="CK31" s="29">
        <f>SUMIF(汇总表!$B$1:$AF$1,CK$3,汇总表!$B32:$AG32)</f>
        <v>0</v>
      </c>
      <c r="CL31" s="37">
        <f t="shared" si="42"/>
        <v>0</v>
      </c>
      <c r="CM31" s="38">
        <f t="shared" si="43"/>
        <v>0</v>
      </c>
      <c r="CN31" s="29">
        <f t="shared" si="86"/>
        <v>0</v>
      </c>
      <c r="CO31" s="29">
        <f>SUMIF(汇总表!$B$1:$AF$1,CO$3,汇总表!$B32:$AG32)</f>
        <v>0</v>
      </c>
      <c r="CP31" s="37">
        <f t="shared" si="44"/>
        <v>0</v>
      </c>
      <c r="CQ31" s="38">
        <f t="shared" si="45"/>
        <v>0</v>
      </c>
      <c r="CR31" s="29">
        <f t="shared" si="87"/>
        <v>0</v>
      </c>
      <c r="CS31" s="29">
        <f>SUMIF(汇总表!$B$1:$AF$1,CS$3,汇总表!$B32:$AG32)</f>
        <v>0</v>
      </c>
      <c r="CT31" s="37">
        <f t="shared" si="46"/>
        <v>0</v>
      </c>
      <c r="CU31" s="38">
        <f t="shared" si="47"/>
        <v>0</v>
      </c>
      <c r="CV31" s="29">
        <f t="shared" si="88"/>
        <v>0</v>
      </c>
      <c r="CW31" s="29">
        <f>SUMIF(汇总表!$B$1:$AF$1,CW$3,汇总表!$B32:$AG32)</f>
        <v>0</v>
      </c>
      <c r="CX31" s="37">
        <f t="shared" si="48"/>
        <v>0</v>
      </c>
      <c r="CY31" s="38">
        <f t="shared" si="49"/>
        <v>0</v>
      </c>
      <c r="CZ31" s="29">
        <f t="shared" si="89"/>
        <v>0</v>
      </c>
      <c r="DA31" s="29">
        <f>SUMIF(汇总表!$B$1:$AF$1,DA$3,汇总表!$B32:$AG32)</f>
        <v>0</v>
      </c>
      <c r="DB31" s="37">
        <f t="shared" si="50"/>
        <v>0</v>
      </c>
      <c r="DC31" s="38">
        <f t="shared" si="51"/>
        <v>0</v>
      </c>
      <c r="DD31" s="29">
        <f t="shared" si="90"/>
        <v>0</v>
      </c>
      <c r="DE31" s="29">
        <f>SUMIF(汇总表!$B$1:$AF$1,DE$3,汇总表!$B32:$AG32)</f>
        <v>0</v>
      </c>
      <c r="DF31" s="37">
        <f t="shared" si="52"/>
        <v>0</v>
      </c>
      <c r="DG31" s="38">
        <f t="shared" si="53"/>
        <v>0</v>
      </c>
      <c r="DH31" s="29">
        <f t="shared" si="91"/>
        <v>0</v>
      </c>
      <c r="DI31" s="29">
        <f>SUMIF(汇总表!$B$1:$AF$1,DI$3,汇总表!$B32:$AG32)</f>
        <v>0</v>
      </c>
      <c r="DJ31" s="37">
        <f t="shared" si="54"/>
        <v>0</v>
      </c>
      <c r="DK31" s="38">
        <f t="shared" si="55"/>
        <v>0</v>
      </c>
      <c r="DL31" s="29">
        <f t="shared" si="92"/>
        <v>0</v>
      </c>
      <c r="DM31" s="29">
        <f>SUMIF(汇总表!$B$1:$AF$1,DM$3,汇总表!$B32:$AG32)</f>
        <v>0</v>
      </c>
      <c r="DN31" s="37">
        <f t="shared" si="56"/>
        <v>0</v>
      </c>
      <c r="DO31" s="38">
        <f t="shared" si="57"/>
        <v>0</v>
      </c>
      <c r="DP31" s="29">
        <f t="shared" si="93"/>
        <v>0</v>
      </c>
      <c r="DQ31" s="29">
        <f>SUMIF(汇总表!$B$1:$AF$1,DQ$3,汇总表!$B32:$AG32)</f>
        <v>0</v>
      </c>
      <c r="DR31" s="37">
        <f t="shared" si="58"/>
        <v>0</v>
      </c>
      <c r="DS31" s="38">
        <f t="shared" si="59"/>
        <v>0</v>
      </c>
      <c r="DT31" s="29">
        <f t="shared" si="94"/>
        <v>0</v>
      </c>
      <c r="DU31" s="29">
        <f>SUMIF(汇总表!$B$1:$AF$1,DU$3,汇总表!$B32:$AG32)</f>
        <v>0</v>
      </c>
      <c r="DV31" s="29">
        <f t="shared" si="60"/>
        <v>0</v>
      </c>
      <c r="DW31" s="38">
        <f t="shared" si="61"/>
        <v>0</v>
      </c>
      <c r="DX31" s="29">
        <v>0</v>
      </c>
    </row>
    <row r="32" spans="1:128">
      <c r="A32" s="43"/>
      <c r="B32" s="46" t="s">
        <v>702</v>
      </c>
      <c r="C32" s="29" t="s">
        <v>824</v>
      </c>
      <c r="D32" s="29">
        <f t="shared" si="64"/>
        <v>16.6666666666667</v>
      </c>
      <c r="E32" s="29">
        <f>SUMIF(汇总表!$B$1:$AF$1,E$3,汇总表!$B33:$AG33)</f>
        <v>17.781</v>
      </c>
      <c r="F32" s="37">
        <f t="shared" si="1"/>
        <v>1.11433333333333</v>
      </c>
      <c r="G32" s="38">
        <f t="shared" si="95"/>
        <v>-0.0668599999999998</v>
      </c>
      <c r="H32" s="29">
        <f t="shared" si="66"/>
        <v>16.6666666666667</v>
      </c>
      <c r="I32" s="29">
        <f>SUMIF(汇总表!$B$1:$AF$1,I$3,汇总表!$B33:$AG33)</f>
        <v>10.08</v>
      </c>
      <c r="J32" s="37">
        <f t="shared" si="3"/>
        <v>-6.58666666666667</v>
      </c>
      <c r="K32" s="38">
        <f t="shared" si="96"/>
        <v>0.3952</v>
      </c>
      <c r="L32" s="29">
        <f t="shared" si="67"/>
        <v>16.6666666666667</v>
      </c>
      <c r="M32" s="29">
        <f>SUMIF(汇总表!$B$1:$AF$1,M$3,汇总表!$B33:$AG33)</f>
        <v>6.23</v>
      </c>
      <c r="N32" s="37">
        <f t="shared" si="5"/>
        <v>-10.4366666666667</v>
      </c>
      <c r="O32" s="38">
        <f t="shared" si="6"/>
        <v>0.6262</v>
      </c>
      <c r="P32" s="29">
        <f t="shared" si="68"/>
        <v>16.6666666666667</v>
      </c>
      <c r="Q32" s="29">
        <f>SUMIF(汇总表!$B$1:$AF$1,Q$3,汇总表!$B33:$AG33)</f>
        <v>6.8</v>
      </c>
      <c r="R32" s="37">
        <f t="shared" si="7"/>
        <v>-9.86666666666667</v>
      </c>
      <c r="S32" s="38">
        <f t="shared" si="8"/>
        <v>0.592</v>
      </c>
      <c r="T32" s="29">
        <f t="shared" si="69"/>
        <v>16.6666666666667</v>
      </c>
      <c r="U32" s="29">
        <f>SUMIF(汇总表!$B$1:$AF$1,U$3,汇总表!$B33:$AG33)</f>
        <v>16.25</v>
      </c>
      <c r="V32" s="29">
        <f t="shared" si="9"/>
        <v>-0.416666666666668</v>
      </c>
      <c r="W32" s="38">
        <f t="shared" si="10"/>
        <v>0.0250000000000001</v>
      </c>
      <c r="X32" s="29">
        <f t="shared" si="70"/>
        <v>16.6666666666667</v>
      </c>
      <c r="Y32" s="29">
        <f>SUMIF(汇总表!$B$1:$AF$1,Y$3,汇总表!$B33:$AG33)</f>
        <v>32.1</v>
      </c>
      <c r="Z32" s="37">
        <f t="shared" si="11"/>
        <v>15.4333333333333</v>
      </c>
      <c r="AA32" s="38">
        <f t="shared" si="12"/>
        <v>-0.926</v>
      </c>
      <c r="AB32" s="29">
        <f t="shared" si="71"/>
        <v>16.6666666666667</v>
      </c>
      <c r="AC32" s="29">
        <f>SUMIF(汇总表!$B$1:$AF$1,AC$3,汇总表!$B33:$AG33)</f>
        <v>21.98</v>
      </c>
      <c r="AD32" s="37">
        <f t="shared" si="13"/>
        <v>5.31333333333333</v>
      </c>
      <c r="AE32" s="38">
        <f t="shared" si="14"/>
        <v>-0.3188</v>
      </c>
      <c r="AF32" s="29">
        <f t="shared" si="72"/>
        <v>16.6666666666667</v>
      </c>
      <c r="AG32" s="29">
        <f>SUMIF(汇总表!$B$1:$AF$1,AG$3,汇总表!$B33:$AG33)</f>
        <v>15.8</v>
      </c>
      <c r="AH32" s="37">
        <f t="shared" si="15"/>
        <v>-0.866666666666667</v>
      </c>
      <c r="AI32" s="38">
        <f t="shared" si="16"/>
        <v>0.052</v>
      </c>
      <c r="AJ32" s="29">
        <f t="shared" si="73"/>
        <v>16.6666666666667</v>
      </c>
      <c r="AK32" s="29">
        <f>SUMIF(汇总表!$B$1:$AF$1,AK$3,汇总表!$B33:$AG33)</f>
        <v>9.56</v>
      </c>
      <c r="AL32" s="37">
        <f t="shared" si="17"/>
        <v>-7.10666666666667</v>
      </c>
      <c r="AM32" s="38">
        <f t="shared" si="18"/>
        <v>0.4264</v>
      </c>
      <c r="AN32" s="29">
        <f t="shared" si="74"/>
        <v>16.6666666666667</v>
      </c>
      <c r="AO32" s="29">
        <f>SUMIF(汇总表!$B$1:$AF$1,AO$3,汇总表!$B33:$AG33)</f>
        <v>37.28</v>
      </c>
      <c r="AP32" s="37">
        <f t="shared" si="19"/>
        <v>20.6133333333333</v>
      </c>
      <c r="AQ32" s="38">
        <f t="shared" si="97"/>
        <v>-1.2368</v>
      </c>
      <c r="AR32" s="29">
        <f t="shared" si="65"/>
        <v>16.6666666666667</v>
      </c>
      <c r="AS32" s="29">
        <f>SUMIF(汇总表!$B$1:$AF$1,AS$3,汇总表!$B33:$AG33)</f>
        <v>30.82</v>
      </c>
      <c r="AT32" s="37">
        <f t="shared" si="20"/>
        <v>14.1533333333333</v>
      </c>
      <c r="AU32" s="38">
        <f t="shared" si="21"/>
        <v>-0.8492</v>
      </c>
      <c r="AV32" s="29">
        <f t="shared" si="75"/>
        <v>16.6666666666667</v>
      </c>
      <c r="AW32" s="29">
        <f>SUMIF(汇总表!$B$1:$AF$1,AW$3,汇总表!$B33:$AG33)</f>
        <v>6.61</v>
      </c>
      <c r="AX32" s="37">
        <f t="shared" si="22"/>
        <v>-10.0566666666667</v>
      </c>
      <c r="AY32" s="38">
        <f t="shared" si="23"/>
        <v>0.6034</v>
      </c>
      <c r="AZ32" s="29">
        <f t="shared" si="76"/>
        <v>16.6666666666667</v>
      </c>
      <c r="BA32" s="29">
        <f>SUMIF(汇总表!$B$1:$AF$1,BA$3,汇总表!$B33:$AG33)</f>
        <v>18.44</v>
      </c>
      <c r="BB32" s="37">
        <f t="shared" si="24"/>
        <v>1.77333333333333</v>
      </c>
      <c r="BC32" s="38">
        <f t="shared" si="25"/>
        <v>-0.1064</v>
      </c>
      <c r="BD32" s="29">
        <f t="shared" si="77"/>
        <v>16.6666666666667</v>
      </c>
      <c r="BE32" s="29">
        <f>SUMIF(汇总表!$B$1:$AF$1,BE$3,汇总表!$B33:$AG33)</f>
        <v>23.01</v>
      </c>
      <c r="BF32" s="37">
        <f t="shared" si="26"/>
        <v>6.34333333333333</v>
      </c>
      <c r="BG32" s="38">
        <f t="shared" si="27"/>
        <v>-0.3806</v>
      </c>
      <c r="BH32" s="29">
        <f t="shared" si="78"/>
        <v>16.6666666666667</v>
      </c>
      <c r="BI32" s="29">
        <f>SUMIF(汇总表!$B$1:$AF$1,BI$3,汇总表!$B33:$AG33)</f>
        <v>17.16</v>
      </c>
      <c r="BJ32" s="37">
        <f t="shared" si="28"/>
        <v>0.493333333333332</v>
      </c>
      <c r="BK32" s="38">
        <f t="shared" si="29"/>
        <v>-0.0295999999999999</v>
      </c>
      <c r="BL32" s="29">
        <f t="shared" si="79"/>
        <v>16.6666666666667</v>
      </c>
      <c r="BM32" s="29">
        <f>SUMIF(汇总表!$B$1:$AF$1,BM$3,汇总表!$B33:$AG33)</f>
        <v>13.95</v>
      </c>
      <c r="BN32" s="37">
        <f t="shared" si="30"/>
        <v>-2.71666666666667</v>
      </c>
      <c r="BO32" s="38">
        <f t="shared" si="31"/>
        <v>0.163</v>
      </c>
      <c r="BP32" s="29">
        <f t="shared" si="80"/>
        <v>16.6666666666667</v>
      </c>
      <c r="BQ32" s="29">
        <f>SUMIF(汇总表!$B$1:$AF$1,BQ$3,汇总表!$B33:$AG33)</f>
        <v>25.48</v>
      </c>
      <c r="BR32" s="37">
        <f t="shared" si="32"/>
        <v>8.81333333333333</v>
      </c>
      <c r="BS32" s="38">
        <f t="shared" si="33"/>
        <v>-0.5288</v>
      </c>
      <c r="BT32" s="29">
        <f t="shared" si="81"/>
        <v>16.6666666666667</v>
      </c>
      <c r="BU32" s="29">
        <f>SUMIF(汇总表!$B$1:$AF$1,BU$3,汇总表!$B33:$AG33)</f>
        <v>8.85</v>
      </c>
      <c r="BV32" s="37">
        <f t="shared" si="34"/>
        <v>-7.81666666666667</v>
      </c>
      <c r="BW32" s="38">
        <f t="shared" si="35"/>
        <v>0.469</v>
      </c>
      <c r="BX32" s="29">
        <f t="shared" si="82"/>
        <v>16.6666666666667</v>
      </c>
      <c r="BY32" s="29">
        <f>SUMIF(汇总表!$B$1:$AF$1,BY$3,汇总表!$B33:$AG33)</f>
        <v>21.51</v>
      </c>
      <c r="BZ32" s="37">
        <f t="shared" si="36"/>
        <v>4.84333333333333</v>
      </c>
      <c r="CA32" s="38">
        <f t="shared" si="37"/>
        <v>-0.2906</v>
      </c>
      <c r="CB32" s="29">
        <f t="shared" si="83"/>
        <v>16.6666666666667</v>
      </c>
      <c r="CC32" s="29">
        <f>SUMIF(汇总表!$B$1:$AF$1,CC$3,汇总表!$B33:$AG33)</f>
        <v>27.98</v>
      </c>
      <c r="CD32" s="37">
        <f t="shared" si="38"/>
        <v>11.3133333333333</v>
      </c>
      <c r="CE32" s="38">
        <f t="shared" si="39"/>
        <v>-0.6788</v>
      </c>
      <c r="CF32" s="29">
        <f t="shared" si="84"/>
        <v>16.6666666666667</v>
      </c>
      <c r="CG32" s="29">
        <f>SUMIF(汇总表!$B$1:$AF$1,CG$3,汇总表!$B33:$AG33)</f>
        <v>14.8</v>
      </c>
      <c r="CH32" s="37">
        <f t="shared" si="40"/>
        <v>-1.86666666666667</v>
      </c>
      <c r="CI32" s="38">
        <f t="shared" si="41"/>
        <v>0.112</v>
      </c>
      <c r="CJ32" s="29">
        <f t="shared" si="85"/>
        <v>16.6666666666667</v>
      </c>
      <c r="CK32" s="29">
        <f>SUMIF(汇总表!$B$1:$AF$1,CK$3,汇总表!$B33:$AG33)</f>
        <v>16.13</v>
      </c>
      <c r="CL32" s="37">
        <f t="shared" si="42"/>
        <v>-0.536666666666669</v>
      </c>
      <c r="CM32" s="38">
        <f t="shared" si="43"/>
        <v>0.0322000000000001</v>
      </c>
      <c r="CN32" s="29">
        <f t="shared" si="86"/>
        <v>16.6666666666667</v>
      </c>
      <c r="CO32" s="29">
        <f>SUMIF(汇总表!$B$1:$AF$1,CO$3,汇总表!$B33:$AG33)</f>
        <v>33.53</v>
      </c>
      <c r="CP32" s="37">
        <f t="shared" si="44"/>
        <v>16.8633333333333</v>
      </c>
      <c r="CQ32" s="38">
        <f t="shared" si="45"/>
        <v>-1.0118</v>
      </c>
      <c r="CR32" s="29">
        <f t="shared" si="87"/>
        <v>16.6666666666667</v>
      </c>
      <c r="CS32" s="29">
        <f>SUMIF(汇总表!$B$1:$AF$1,CS$3,汇总表!$B33:$AG33)</f>
        <v>43.16</v>
      </c>
      <c r="CT32" s="37">
        <f t="shared" si="46"/>
        <v>26.4933333333333</v>
      </c>
      <c r="CU32" s="38">
        <f t="shared" si="47"/>
        <v>-1.5896</v>
      </c>
      <c r="CV32" s="29">
        <f t="shared" si="88"/>
        <v>16.6666666666667</v>
      </c>
      <c r="CW32" s="29">
        <f>SUMIF(汇总表!$B$1:$AF$1,CW$3,汇总表!$B33:$AG33)</f>
        <v>17.87</v>
      </c>
      <c r="CX32" s="37">
        <f t="shared" si="48"/>
        <v>1.20333333333333</v>
      </c>
      <c r="CY32" s="38">
        <f t="shared" si="49"/>
        <v>-0.0722</v>
      </c>
      <c r="CZ32" s="29">
        <f t="shared" si="89"/>
        <v>16.6666666666667</v>
      </c>
      <c r="DA32" s="29">
        <f>SUMIF(汇总表!$B$1:$AF$1,DA$3,汇总表!$B33:$AG33)</f>
        <v>31.36</v>
      </c>
      <c r="DB32" s="37">
        <f t="shared" si="50"/>
        <v>14.6933333333333</v>
      </c>
      <c r="DC32" s="38">
        <f t="shared" si="51"/>
        <v>-0.8816</v>
      </c>
      <c r="DD32" s="29">
        <f t="shared" si="90"/>
        <v>16.6666666666667</v>
      </c>
      <c r="DE32" s="29">
        <f>SUMIF(汇总表!$B$1:$AF$1,DE$3,汇总表!$B33:$AG33)</f>
        <v>176.58</v>
      </c>
      <c r="DF32" s="37">
        <f t="shared" si="52"/>
        <v>159.913333333333</v>
      </c>
      <c r="DG32" s="38">
        <f t="shared" si="53"/>
        <v>-9.5948</v>
      </c>
      <c r="DH32" s="29">
        <f t="shared" si="91"/>
        <v>16.6666666666667</v>
      </c>
      <c r="DI32" s="29">
        <f>SUMIF(汇总表!$B$1:$AF$1,DI$3,汇总表!$B33:$AG33)</f>
        <v>12.9954</v>
      </c>
      <c r="DJ32" s="37">
        <f t="shared" si="54"/>
        <v>-3.67126666666667</v>
      </c>
      <c r="DK32" s="38">
        <f t="shared" si="55"/>
        <v>0.220276</v>
      </c>
      <c r="DL32" s="29">
        <f t="shared" si="92"/>
        <v>16.6666666666667</v>
      </c>
      <c r="DM32" s="29">
        <f>SUMIF(汇总表!$B$1:$AF$1,DM$3,汇总表!$B33:$AG33)</f>
        <v>13.97403</v>
      </c>
      <c r="DN32" s="37">
        <f t="shared" si="56"/>
        <v>-2.69263666666667</v>
      </c>
      <c r="DO32" s="38">
        <f t="shared" si="57"/>
        <v>0.1615582</v>
      </c>
      <c r="DP32" s="29">
        <f t="shared" si="93"/>
        <v>16.6666666666667</v>
      </c>
      <c r="DQ32" s="29">
        <f>SUMIF(汇总表!$B$1:$AF$1,DQ$3,汇总表!$B33:$AG33)</f>
        <v>26.262</v>
      </c>
      <c r="DR32" s="37">
        <f t="shared" si="58"/>
        <v>9.59533333333333</v>
      </c>
      <c r="DS32" s="38">
        <f t="shared" si="59"/>
        <v>-0.57572</v>
      </c>
      <c r="DT32" s="29">
        <f t="shared" si="94"/>
        <v>0</v>
      </c>
      <c r="DU32" s="29">
        <f>SUMIF(汇总表!$B$1:$AF$1,DU$3,汇总表!$B33:$AG33)</f>
        <v>9.8274</v>
      </c>
      <c r="DV32" s="29">
        <f t="shared" si="60"/>
        <v>9.8274</v>
      </c>
      <c r="DW32" s="38">
        <f t="shared" si="61"/>
        <v>0</v>
      </c>
      <c r="DX32" s="29">
        <v>500</v>
      </c>
    </row>
    <row r="33" spans="1:128">
      <c r="A33" s="43"/>
      <c r="B33" s="46" t="s">
        <v>703</v>
      </c>
      <c r="C33" s="29" t="s">
        <v>825</v>
      </c>
      <c r="D33" s="29">
        <f t="shared" si="64"/>
        <v>0</v>
      </c>
      <c r="E33" s="29">
        <f>SUMIF(汇总表!$B$1:$AF$1,E$3,汇总表!$B34:$AG34)</f>
        <v>0</v>
      </c>
      <c r="F33" s="37">
        <f t="shared" si="1"/>
        <v>0</v>
      </c>
      <c r="G33" s="38">
        <f t="shared" si="95"/>
        <v>0</v>
      </c>
      <c r="H33" s="29">
        <f t="shared" si="66"/>
        <v>0</v>
      </c>
      <c r="I33" s="29">
        <f>SUMIF(汇总表!$B$1:$AF$1,I$3,汇总表!$B34:$AG34)</f>
        <v>0</v>
      </c>
      <c r="J33" s="37">
        <f t="shared" si="3"/>
        <v>0</v>
      </c>
      <c r="K33" s="38">
        <f t="shared" si="96"/>
        <v>0</v>
      </c>
      <c r="L33" s="29">
        <f t="shared" si="67"/>
        <v>0</v>
      </c>
      <c r="M33" s="29">
        <f>SUMIF(汇总表!$B$1:$AF$1,M$3,汇总表!$B34:$AG34)</f>
        <v>0</v>
      </c>
      <c r="N33" s="37">
        <f t="shared" si="5"/>
        <v>0</v>
      </c>
      <c r="O33" s="38">
        <f t="shared" si="6"/>
        <v>0</v>
      </c>
      <c r="P33" s="29">
        <f t="shared" si="68"/>
        <v>0</v>
      </c>
      <c r="Q33" s="29">
        <f>SUMIF(汇总表!$B$1:$AF$1,Q$3,汇总表!$B34:$AG34)</f>
        <v>0</v>
      </c>
      <c r="R33" s="37">
        <f t="shared" si="7"/>
        <v>0</v>
      </c>
      <c r="S33" s="38">
        <f t="shared" si="8"/>
        <v>0</v>
      </c>
      <c r="T33" s="29">
        <f t="shared" si="69"/>
        <v>0</v>
      </c>
      <c r="U33" s="29">
        <f>SUMIF(汇总表!$B$1:$AF$1,U$3,汇总表!$B34:$AG34)</f>
        <v>0</v>
      </c>
      <c r="V33" s="29">
        <f t="shared" si="9"/>
        <v>0</v>
      </c>
      <c r="W33" s="38">
        <f t="shared" si="10"/>
        <v>0</v>
      </c>
      <c r="X33" s="29">
        <f t="shared" si="70"/>
        <v>0</v>
      </c>
      <c r="Y33" s="29">
        <f>SUMIF(汇总表!$B$1:$AF$1,Y$3,汇总表!$B34:$AG34)</f>
        <v>0</v>
      </c>
      <c r="Z33" s="37">
        <f t="shared" si="11"/>
        <v>0</v>
      </c>
      <c r="AA33" s="38">
        <f t="shared" si="12"/>
        <v>0</v>
      </c>
      <c r="AB33" s="29">
        <f t="shared" si="71"/>
        <v>0</v>
      </c>
      <c r="AC33" s="29">
        <f>SUMIF(汇总表!$B$1:$AF$1,AC$3,汇总表!$B34:$AG34)</f>
        <v>0</v>
      </c>
      <c r="AD33" s="37">
        <f t="shared" si="13"/>
        <v>0</v>
      </c>
      <c r="AE33" s="38">
        <f t="shared" si="14"/>
        <v>0</v>
      </c>
      <c r="AF33" s="29">
        <f t="shared" si="72"/>
        <v>0</v>
      </c>
      <c r="AG33" s="29">
        <f>SUMIF(汇总表!$B$1:$AF$1,AG$3,汇总表!$B34:$AG34)</f>
        <v>0</v>
      </c>
      <c r="AH33" s="37">
        <f t="shared" si="15"/>
        <v>0</v>
      </c>
      <c r="AI33" s="38">
        <f t="shared" si="16"/>
        <v>0</v>
      </c>
      <c r="AJ33" s="29">
        <f t="shared" si="73"/>
        <v>0</v>
      </c>
      <c r="AK33" s="29">
        <f>SUMIF(汇总表!$B$1:$AF$1,AK$3,汇总表!$B34:$AG34)</f>
        <v>0</v>
      </c>
      <c r="AL33" s="37">
        <f t="shared" si="17"/>
        <v>0</v>
      </c>
      <c r="AM33" s="38">
        <f t="shared" si="18"/>
        <v>0</v>
      </c>
      <c r="AN33" s="29">
        <f t="shared" si="74"/>
        <v>0</v>
      </c>
      <c r="AO33" s="29">
        <f>SUMIF(汇总表!$B$1:$AF$1,AO$3,汇总表!$B34:$AG34)</f>
        <v>0</v>
      </c>
      <c r="AP33" s="37">
        <f t="shared" si="19"/>
        <v>0</v>
      </c>
      <c r="AQ33" s="38">
        <f t="shared" si="97"/>
        <v>0</v>
      </c>
      <c r="AR33" s="29">
        <f t="shared" si="65"/>
        <v>0</v>
      </c>
      <c r="AS33" s="29">
        <f>SUMIF(汇总表!$B$1:$AF$1,AS$3,汇总表!$B34:$AG34)</f>
        <v>0</v>
      </c>
      <c r="AT33" s="37">
        <f t="shared" si="20"/>
        <v>0</v>
      </c>
      <c r="AU33" s="38">
        <f t="shared" si="21"/>
        <v>0</v>
      </c>
      <c r="AV33" s="29">
        <f t="shared" si="75"/>
        <v>0</v>
      </c>
      <c r="AW33" s="29">
        <f>SUMIF(汇总表!$B$1:$AF$1,AW$3,汇总表!$B34:$AG34)</f>
        <v>0</v>
      </c>
      <c r="AX33" s="37">
        <f t="shared" si="22"/>
        <v>0</v>
      </c>
      <c r="AY33" s="38">
        <f t="shared" si="23"/>
        <v>0</v>
      </c>
      <c r="AZ33" s="29">
        <f t="shared" si="76"/>
        <v>0</v>
      </c>
      <c r="BA33" s="29">
        <f>SUMIF(汇总表!$B$1:$AF$1,BA$3,汇总表!$B34:$AG34)</f>
        <v>0</v>
      </c>
      <c r="BB33" s="37">
        <f t="shared" si="24"/>
        <v>0</v>
      </c>
      <c r="BC33" s="38">
        <f t="shared" si="25"/>
        <v>0</v>
      </c>
      <c r="BD33" s="29">
        <f t="shared" si="77"/>
        <v>0</v>
      </c>
      <c r="BE33" s="29">
        <f>SUMIF(汇总表!$B$1:$AF$1,BE$3,汇总表!$B34:$AG34)</f>
        <v>0</v>
      </c>
      <c r="BF33" s="37">
        <f t="shared" si="26"/>
        <v>0</v>
      </c>
      <c r="BG33" s="38">
        <f t="shared" si="27"/>
        <v>0</v>
      </c>
      <c r="BH33" s="29">
        <f t="shared" si="78"/>
        <v>0</v>
      </c>
      <c r="BI33" s="29">
        <f>SUMIF(汇总表!$B$1:$AF$1,BI$3,汇总表!$B34:$AG34)</f>
        <v>0</v>
      </c>
      <c r="BJ33" s="37">
        <f t="shared" si="28"/>
        <v>0</v>
      </c>
      <c r="BK33" s="38">
        <f t="shared" si="29"/>
        <v>0</v>
      </c>
      <c r="BL33" s="29">
        <f t="shared" si="79"/>
        <v>0</v>
      </c>
      <c r="BM33" s="29">
        <f>SUMIF(汇总表!$B$1:$AF$1,BM$3,汇总表!$B34:$AG34)</f>
        <v>0</v>
      </c>
      <c r="BN33" s="37">
        <f t="shared" si="30"/>
        <v>0</v>
      </c>
      <c r="BO33" s="38">
        <f t="shared" si="31"/>
        <v>0</v>
      </c>
      <c r="BP33" s="29">
        <f t="shared" si="80"/>
        <v>0</v>
      </c>
      <c r="BQ33" s="29">
        <f>SUMIF(汇总表!$B$1:$AF$1,BQ$3,汇总表!$B34:$AG34)</f>
        <v>0</v>
      </c>
      <c r="BR33" s="37">
        <f t="shared" si="32"/>
        <v>0</v>
      </c>
      <c r="BS33" s="38">
        <f t="shared" si="33"/>
        <v>0</v>
      </c>
      <c r="BT33" s="29">
        <f t="shared" si="81"/>
        <v>0</v>
      </c>
      <c r="BU33" s="29">
        <f>SUMIF(汇总表!$B$1:$AF$1,BU$3,汇总表!$B34:$AG34)</f>
        <v>0</v>
      </c>
      <c r="BV33" s="37">
        <f t="shared" si="34"/>
        <v>0</v>
      </c>
      <c r="BW33" s="38">
        <f t="shared" si="35"/>
        <v>0</v>
      </c>
      <c r="BX33" s="29">
        <f t="shared" si="82"/>
        <v>0</v>
      </c>
      <c r="BY33" s="29">
        <f>SUMIF(汇总表!$B$1:$AF$1,BY$3,汇总表!$B34:$AG34)</f>
        <v>0</v>
      </c>
      <c r="BZ33" s="37">
        <f t="shared" si="36"/>
        <v>0</v>
      </c>
      <c r="CA33" s="38">
        <f t="shared" si="37"/>
        <v>0</v>
      </c>
      <c r="CB33" s="29">
        <f t="shared" si="83"/>
        <v>0</v>
      </c>
      <c r="CC33" s="29">
        <f>SUMIF(汇总表!$B$1:$AF$1,CC$3,汇总表!$B34:$AG34)</f>
        <v>0</v>
      </c>
      <c r="CD33" s="37">
        <f t="shared" si="38"/>
        <v>0</v>
      </c>
      <c r="CE33" s="38">
        <f t="shared" si="39"/>
        <v>0</v>
      </c>
      <c r="CF33" s="29">
        <f t="shared" si="84"/>
        <v>0</v>
      </c>
      <c r="CG33" s="29">
        <f>SUMIF(汇总表!$B$1:$AF$1,CG$3,汇总表!$B34:$AG34)</f>
        <v>0</v>
      </c>
      <c r="CH33" s="37">
        <f t="shared" si="40"/>
        <v>0</v>
      </c>
      <c r="CI33" s="38">
        <f t="shared" si="41"/>
        <v>0</v>
      </c>
      <c r="CJ33" s="29">
        <f t="shared" si="85"/>
        <v>0</v>
      </c>
      <c r="CK33" s="29">
        <f>SUMIF(汇总表!$B$1:$AF$1,CK$3,汇总表!$B34:$AG34)</f>
        <v>0</v>
      </c>
      <c r="CL33" s="37">
        <f t="shared" si="42"/>
        <v>0</v>
      </c>
      <c r="CM33" s="38">
        <f t="shared" si="43"/>
        <v>0</v>
      </c>
      <c r="CN33" s="29">
        <f t="shared" si="86"/>
        <v>0</v>
      </c>
      <c r="CO33" s="29">
        <f>SUMIF(汇总表!$B$1:$AF$1,CO$3,汇总表!$B34:$AG34)</f>
        <v>0</v>
      </c>
      <c r="CP33" s="37">
        <f t="shared" si="44"/>
        <v>0</v>
      </c>
      <c r="CQ33" s="38">
        <f t="shared" si="45"/>
        <v>0</v>
      </c>
      <c r="CR33" s="29">
        <f t="shared" si="87"/>
        <v>0</v>
      </c>
      <c r="CS33" s="29">
        <f>SUMIF(汇总表!$B$1:$AF$1,CS$3,汇总表!$B34:$AG34)</f>
        <v>0</v>
      </c>
      <c r="CT33" s="37">
        <f t="shared" si="46"/>
        <v>0</v>
      </c>
      <c r="CU33" s="38">
        <f t="shared" si="47"/>
        <v>0</v>
      </c>
      <c r="CV33" s="29">
        <f t="shared" si="88"/>
        <v>0</v>
      </c>
      <c r="CW33" s="29">
        <f>SUMIF(汇总表!$B$1:$AF$1,CW$3,汇总表!$B34:$AG34)</f>
        <v>0</v>
      </c>
      <c r="CX33" s="37">
        <f t="shared" si="48"/>
        <v>0</v>
      </c>
      <c r="CY33" s="38">
        <f t="shared" si="49"/>
        <v>0</v>
      </c>
      <c r="CZ33" s="29">
        <f t="shared" si="89"/>
        <v>0</v>
      </c>
      <c r="DA33" s="29">
        <f>SUMIF(汇总表!$B$1:$AF$1,DA$3,汇总表!$B34:$AG34)</f>
        <v>0</v>
      </c>
      <c r="DB33" s="37">
        <f t="shared" si="50"/>
        <v>0</v>
      </c>
      <c r="DC33" s="38">
        <f t="shared" si="51"/>
        <v>0</v>
      </c>
      <c r="DD33" s="29">
        <f t="shared" si="90"/>
        <v>0</v>
      </c>
      <c r="DE33" s="29">
        <f>SUMIF(汇总表!$B$1:$AF$1,DE$3,汇总表!$B34:$AG34)</f>
        <v>0</v>
      </c>
      <c r="DF33" s="37">
        <f t="shared" si="52"/>
        <v>0</v>
      </c>
      <c r="DG33" s="38">
        <f t="shared" si="53"/>
        <v>0</v>
      </c>
      <c r="DH33" s="29">
        <f t="shared" si="91"/>
        <v>0</v>
      </c>
      <c r="DI33" s="29">
        <f>SUMIF(汇总表!$B$1:$AF$1,DI$3,汇总表!$B34:$AG34)</f>
        <v>0</v>
      </c>
      <c r="DJ33" s="37">
        <f t="shared" si="54"/>
        <v>0</v>
      </c>
      <c r="DK33" s="38">
        <f t="shared" si="55"/>
        <v>0</v>
      </c>
      <c r="DL33" s="29">
        <f t="shared" si="92"/>
        <v>0</v>
      </c>
      <c r="DM33" s="29">
        <f>SUMIF(汇总表!$B$1:$AF$1,DM$3,汇总表!$B34:$AG34)</f>
        <v>0</v>
      </c>
      <c r="DN33" s="37">
        <f t="shared" si="56"/>
        <v>0</v>
      </c>
      <c r="DO33" s="38">
        <f t="shared" si="57"/>
        <v>0</v>
      </c>
      <c r="DP33" s="29">
        <f t="shared" si="93"/>
        <v>0</v>
      </c>
      <c r="DQ33" s="29">
        <f>SUMIF(汇总表!$B$1:$AF$1,DQ$3,汇总表!$B34:$AG34)</f>
        <v>0</v>
      </c>
      <c r="DR33" s="37">
        <f t="shared" si="58"/>
        <v>0</v>
      </c>
      <c r="DS33" s="38">
        <f t="shared" si="59"/>
        <v>0</v>
      </c>
      <c r="DT33" s="29">
        <f t="shared" si="94"/>
        <v>0</v>
      </c>
      <c r="DU33" s="29">
        <f>SUMIF(汇总表!$B$1:$AF$1,DU$3,汇总表!$B34:$AG34)</f>
        <v>0</v>
      </c>
      <c r="DV33" s="29">
        <f t="shared" si="60"/>
        <v>0</v>
      </c>
      <c r="DW33" s="38">
        <f t="shared" si="61"/>
        <v>0</v>
      </c>
      <c r="DX33" s="29">
        <v>0</v>
      </c>
    </row>
    <row r="34" spans="1:128">
      <c r="A34" s="43"/>
      <c r="B34" s="46" t="s">
        <v>704</v>
      </c>
      <c r="C34" s="29" t="s">
        <v>826</v>
      </c>
      <c r="D34" s="29">
        <f t="shared" si="64"/>
        <v>0</v>
      </c>
      <c r="E34" s="29">
        <f>SUMIF(汇总表!$B$1:$AF$1,E$3,汇总表!$B35:$AG35)</f>
        <v>0</v>
      </c>
      <c r="F34" s="37">
        <f t="shared" si="1"/>
        <v>0</v>
      </c>
      <c r="G34" s="38">
        <f t="shared" si="95"/>
        <v>0</v>
      </c>
      <c r="H34" s="29">
        <f t="shared" si="66"/>
        <v>0</v>
      </c>
      <c r="I34" s="29">
        <f>SUMIF(汇总表!$B$1:$AF$1,I$3,汇总表!$B35:$AG35)</f>
        <v>0</v>
      </c>
      <c r="J34" s="37">
        <f t="shared" si="3"/>
        <v>0</v>
      </c>
      <c r="K34" s="38">
        <f t="shared" si="96"/>
        <v>0</v>
      </c>
      <c r="L34" s="29">
        <f t="shared" si="67"/>
        <v>0</v>
      </c>
      <c r="M34" s="29">
        <f>SUMIF(汇总表!$B$1:$AF$1,M$3,汇总表!$B35:$AG35)</f>
        <v>0</v>
      </c>
      <c r="N34" s="37">
        <f t="shared" si="5"/>
        <v>0</v>
      </c>
      <c r="O34" s="38">
        <f t="shared" si="6"/>
        <v>0</v>
      </c>
      <c r="P34" s="29">
        <f t="shared" si="68"/>
        <v>0</v>
      </c>
      <c r="Q34" s="29">
        <f>SUMIF(汇总表!$B$1:$AF$1,Q$3,汇总表!$B35:$AG35)</f>
        <v>0</v>
      </c>
      <c r="R34" s="37">
        <f t="shared" si="7"/>
        <v>0</v>
      </c>
      <c r="S34" s="38">
        <f t="shared" si="8"/>
        <v>0</v>
      </c>
      <c r="T34" s="29">
        <f t="shared" si="69"/>
        <v>0</v>
      </c>
      <c r="U34" s="29">
        <f>SUMIF(汇总表!$B$1:$AF$1,U$3,汇总表!$B35:$AG35)</f>
        <v>0</v>
      </c>
      <c r="V34" s="29">
        <f t="shared" si="9"/>
        <v>0</v>
      </c>
      <c r="W34" s="38">
        <f t="shared" si="10"/>
        <v>0</v>
      </c>
      <c r="X34" s="29">
        <f t="shared" si="70"/>
        <v>0</v>
      </c>
      <c r="Y34" s="29">
        <f>SUMIF(汇总表!$B$1:$AF$1,Y$3,汇总表!$B35:$AG35)</f>
        <v>0</v>
      </c>
      <c r="Z34" s="37">
        <f t="shared" si="11"/>
        <v>0</v>
      </c>
      <c r="AA34" s="38">
        <f t="shared" si="12"/>
        <v>0</v>
      </c>
      <c r="AB34" s="29">
        <f t="shared" si="71"/>
        <v>0</v>
      </c>
      <c r="AC34" s="29">
        <f>SUMIF(汇总表!$B$1:$AF$1,AC$3,汇总表!$B35:$AG35)</f>
        <v>0</v>
      </c>
      <c r="AD34" s="37">
        <f t="shared" si="13"/>
        <v>0</v>
      </c>
      <c r="AE34" s="38">
        <f t="shared" si="14"/>
        <v>0</v>
      </c>
      <c r="AF34" s="29">
        <f t="shared" si="72"/>
        <v>0</v>
      </c>
      <c r="AG34" s="29">
        <f>SUMIF(汇总表!$B$1:$AF$1,AG$3,汇总表!$B35:$AG35)</f>
        <v>0</v>
      </c>
      <c r="AH34" s="37">
        <f t="shared" si="15"/>
        <v>0</v>
      </c>
      <c r="AI34" s="38">
        <f t="shared" si="16"/>
        <v>0</v>
      </c>
      <c r="AJ34" s="29">
        <f t="shared" si="73"/>
        <v>0</v>
      </c>
      <c r="AK34" s="29">
        <f>SUMIF(汇总表!$B$1:$AF$1,AK$3,汇总表!$B35:$AG35)</f>
        <v>0</v>
      </c>
      <c r="AL34" s="37">
        <f t="shared" si="17"/>
        <v>0</v>
      </c>
      <c r="AM34" s="38">
        <f t="shared" si="18"/>
        <v>0</v>
      </c>
      <c r="AN34" s="29">
        <f t="shared" si="74"/>
        <v>0</v>
      </c>
      <c r="AO34" s="29">
        <f>SUMIF(汇总表!$B$1:$AF$1,AO$3,汇总表!$B35:$AG35)</f>
        <v>0</v>
      </c>
      <c r="AP34" s="37">
        <f t="shared" si="19"/>
        <v>0</v>
      </c>
      <c r="AQ34" s="38">
        <f t="shared" si="97"/>
        <v>0</v>
      </c>
      <c r="AR34" s="29">
        <f t="shared" si="65"/>
        <v>0</v>
      </c>
      <c r="AS34" s="29">
        <f>SUMIF(汇总表!$B$1:$AF$1,AS$3,汇总表!$B35:$AG35)</f>
        <v>0</v>
      </c>
      <c r="AT34" s="37">
        <f t="shared" si="20"/>
        <v>0</v>
      </c>
      <c r="AU34" s="38">
        <f t="shared" si="21"/>
        <v>0</v>
      </c>
      <c r="AV34" s="29">
        <f t="shared" si="75"/>
        <v>0</v>
      </c>
      <c r="AW34" s="29">
        <f>SUMIF(汇总表!$B$1:$AF$1,AW$3,汇总表!$B35:$AG35)</f>
        <v>0</v>
      </c>
      <c r="AX34" s="37">
        <f t="shared" si="22"/>
        <v>0</v>
      </c>
      <c r="AY34" s="38">
        <f t="shared" si="23"/>
        <v>0</v>
      </c>
      <c r="AZ34" s="29">
        <f t="shared" si="76"/>
        <v>0</v>
      </c>
      <c r="BA34" s="29">
        <f>SUMIF(汇总表!$B$1:$AF$1,BA$3,汇总表!$B35:$AG35)</f>
        <v>0</v>
      </c>
      <c r="BB34" s="37">
        <f t="shared" si="24"/>
        <v>0</v>
      </c>
      <c r="BC34" s="38">
        <f t="shared" si="25"/>
        <v>0</v>
      </c>
      <c r="BD34" s="29">
        <f t="shared" si="77"/>
        <v>0</v>
      </c>
      <c r="BE34" s="29">
        <f>SUMIF(汇总表!$B$1:$AF$1,BE$3,汇总表!$B35:$AG35)</f>
        <v>0</v>
      </c>
      <c r="BF34" s="37">
        <f t="shared" si="26"/>
        <v>0</v>
      </c>
      <c r="BG34" s="38">
        <f t="shared" si="27"/>
        <v>0</v>
      </c>
      <c r="BH34" s="29">
        <f t="shared" si="78"/>
        <v>0</v>
      </c>
      <c r="BI34" s="29">
        <f>SUMIF(汇总表!$B$1:$AF$1,BI$3,汇总表!$B35:$AG35)</f>
        <v>0</v>
      </c>
      <c r="BJ34" s="37">
        <f t="shared" si="28"/>
        <v>0</v>
      </c>
      <c r="BK34" s="38">
        <f t="shared" si="29"/>
        <v>0</v>
      </c>
      <c r="BL34" s="29">
        <f t="shared" si="79"/>
        <v>0</v>
      </c>
      <c r="BM34" s="29">
        <f>SUMIF(汇总表!$B$1:$AF$1,BM$3,汇总表!$B35:$AG35)</f>
        <v>0</v>
      </c>
      <c r="BN34" s="37">
        <f t="shared" si="30"/>
        <v>0</v>
      </c>
      <c r="BO34" s="38">
        <f t="shared" si="31"/>
        <v>0</v>
      </c>
      <c r="BP34" s="29">
        <f t="shared" si="80"/>
        <v>0</v>
      </c>
      <c r="BQ34" s="29">
        <f>SUMIF(汇总表!$B$1:$AF$1,BQ$3,汇总表!$B35:$AG35)</f>
        <v>0</v>
      </c>
      <c r="BR34" s="37">
        <f t="shared" si="32"/>
        <v>0</v>
      </c>
      <c r="BS34" s="38">
        <f t="shared" si="33"/>
        <v>0</v>
      </c>
      <c r="BT34" s="29">
        <f t="shared" si="81"/>
        <v>0</v>
      </c>
      <c r="BU34" s="29">
        <f>SUMIF(汇总表!$B$1:$AF$1,BU$3,汇总表!$B35:$AG35)</f>
        <v>0</v>
      </c>
      <c r="BV34" s="37">
        <f t="shared" si="34"/>
        <v>0</v>
      </c>
      <c r="BW34" s="38">
        <f t="shared" si="35"/>
        <v>0</v>
      </c>
      <c r="BX34" s="29">
        <f t="shared" si="82"/>
        <v>0</v>
      </c>
      <c r="BY34" s="29">
        <f>SUMIF(汇总表!$B$1:$AF$1,BY$3,汇总表!$B35:$AG35)</f>
        <v>0</v>
      </c>
      <c r="BZ34" s="37">
        <f t="shared" si="36"/>
        <v>0</v>
      </c>
      <c r="CA34" s="38">
        <f t="shared" si="37"/>
        <v>0</v>
      </c>
      <c r="CB34" s="29">
        <f t="shared" si="83"/>
        <v>0</v>
      </c>
      <c r="CC34" s="29">
        <f>SUMIF(汇总表!$B$1:$AF$1,CC$3,汇总表!$B35:$AG35)</f>
        <v>0</v>
      </c>
      <c r="CD34" s="37">
        <f t="shared" si="38"/>
        <v>0</v>
      </c>
      <c r="CE34" s="38">
        <f t="shared" si="39"/>
        <v>0</v>
      </c>
      <c r="CF34" s="29">
        <f t="shared" si="84"/>
        <v>0</v>
      </c>
      <c r="CG34" s="29">
        <f>SUMIF(汇总表!$B$1:$AF$1,CG$3,汇总表!$B35:$AG35)</f>
        <v>0</v>
      </c>
      <c r="CH34" s="37">
        <f t="shared" si="40"/>
        <v>0</v>
      </c>
      <c r="CI34" s="38">
        <f t="shared" si="41"/>
        <v>0</v>
      </c>
      <c r="CJ34" s="29">
        <f t="shared" si="85"/>
        <v>0</v>
      </c>
      <c r="CK34" s="29">
        <f>SUMIF(汇总表!$B$1:$AF$1,CK$3,汇总表!$B35:$AG35)</f>
        <v>0</v>
      </c>
      <c r="CL34" s="37">
        <f t="shared" si="42"/>
        <v>0</v>
      </c>
      <c r="CM34" s="38">
        <f t="shared" si="43"/>
        <v>0</v>
      </c>
      <c r="CN34" s="29">
        <f t="shared" si="86"/>
        <v>0</v>
      </c>
      <c r="CO34" s="29">
        <f>SUMIF(汇总表!$B$1:$AF$1,CO$3,汇总表!$B35:$AG35)</f>
        <v>0</v>
      </c>
      <c r="CP34" s="37">
        <f t="shared" si="44"/>
        <v>0</v>
      </c>
      <c r="CQ34" s="38">
        <f t="shared" si="45"/>
        <v>0</v>
      </c>
      <c r="CR34" s="29">
        <f t="shared" si="87"/>
        <v>0</v>
      </c>
      <c r="CS34" s="29">
        <f>SUMIF(汇总表!$B$1:$AF$1,CS$3,汇总表!$B35:$AG35)</f>
        <v>0</v>
      </c>
      <c r="CT34" s="37">
        <f t="shared" si="46"/>
        <v>0</v>
      </c>
      <c r="CU34" s="38">
        <f t="shared" si="47"/>
        <v>0</v>
      </c>
      <c r="CV34" s="29">
        <f t="shared" si="88"/>
        <v>0</v>
      </c>
      <c r="CW34" s="29">
        <f>SUMIF(汇总表!$B$1:$AF$1,CW$3,汇总表!$B35:$AG35)</f>
        <v>0</v>
      </c>
      <c r="CX34" s="37">
        <f t="shared" si="48"/>
        <v>0</v>
      </c>
      <c r="CY34" s="38">
        <f t="shared" si="49"/>
        <v>0</v>
      </c>
      <c r="CZ34" s="29">
        <f t="shared" si="89"/>
        <v>0</v>
      </c>
      <c r="DA34" s="29">
        <f>SUMIF(汇总表!$B$1:$AF$1,DA$3,汇总表!$B35:$AG35)</f>
        <v>0</v>
      </c>
      <c r="DB34" s="37">
        <f t="shared" si="50"/>
        <v>0</v>
      </c>
      <c r="DC34" s="38">
        <f t="shared" si="51"/>
        <v>0</v>
      </c>
      <c r="DD34" s="29">
        <f t="shared" si="90"/>
        <v>0</v>
      </c>
      <c r="DE34" s="29">
        <f>SUMIF(汇总表!$B$1:$AF$1,DE$3,汇总表!$B35:$AG35)</f>
        <v>0</v>
      </c>
      <c r="DF34" s="37">
        <f t="shared" si="52"/>
        <v>0</v>
      </c>
      <c r="DG34" s="38">
        <f t="shared" si="53"/>
        <v>0</v>
      </c>
      <c r="DH34" s="29">
        <f t="shared" si="91"/>
        <v>0</v>
      </c>
      <c r="DI34" s="29">
        <f>SUMIF(汇总表!$B$1:$AF$1,DI$3,汇总表!$B35:$AG35)</f>
        <v>0</v>
      </c>
      <c r="DJ34" s="37">
        <f t="shared" si="54"/>
        <v>0</v>
      </c>
      <c r="DK34" s="38">
        <f t="shared" si="55"/>
        <v>0</v>
      </c>
      <c r="DL34" s="29">
        <f t="shared" si="92"/>
        <v>0</v>
      </c>
      <c r="DM34" s="29">
        <f>SUMIF(汇总表!$B$1:$AF$1,DM$3,汇总表!$B35:$AG35)</f>
        <v>0</v>
      </c>
      <c r="DN34" s="37">
        <f t="shared" si="56"/>
        <v>0</v>
      </c>
      <c r="DO34" s="38">
        <f t="shared" si="57"/>
        <v>0</v>
      </c>
      <c r="DP34" s="29">
        <f t="shared" si="93"/>
        <v>0</v>
      </c>
      <c r="DQ34" s="29">
        <f>SUMIF(汇总表!$B$1:$AF$1,DQ$3,汇总表!$B35:$AG35)</f>
        <v>0</v>
      </c>
      <c r="DR34" s="37">
        <f t="shared" si="58"/>
        <v>0</v>
      </c>
      <c r="DS34" s="38">
        <f t="shared" si="59"/>
        <v>0</v>
      </c>
      <c r="DT34" s="29">
        <f t="shared" si="94"/>
        <v>0</v>
      </c>
      <c r="DU34" s="29">
        <f>SUMIF(汇总表!$B$1:$AF$1,DU$3,汇总表!$B35:$AG35)</f>
        <v>0</v>
      </c>
      <c r="DV34" s="29">
        <f t="shared" si="60"/>
        <v>0</v>
      </c>
      <c r="DW34" s="38">
        <f t="shared" si="61"/>
        <v>0</v>
      </c>
      <c r="DX34" s="29">
        <v>0</v>
      </c>
    </row>
    <row r="35" spans="1:128">
      <c r="A35" s="43"/>
      <c r="B35" s="46" t="s">
        <v>705</v>
      </c>
      <c r="C35" s="29" t="s">
        <v>827</v>
      </c>
      <c r="D35" s="29">
        <f t="shared" si="64"/>
        <v>0</v>
      </c>
      <c r="E35" s="29">
        <f>SUMIF(汇总表!$B$1:$AF$1,E$3,汇总表!$B36:$AG36)</f>
        <v>0</v>
      </c>
      <c r="F35" s="37">
        <f t="shared" si="1"/>
        <v>0</v>
      </c>
      <c r="G35" s="38">
        <f t="shared" si="95"/>
        <v>0</v>
      </c>
      <c r="H35" s="29">
        <f t="shared" si="66"/>
        <v>0</v>
      </c>
      <c r="I35" s="29">
        <f>SUMIF(汇总表!$B$1:$AF$1,I$3,汇总表!$B36:$AG36)</f>
        <v>0</v>
      </c>
      <c r="J35" s="37">
        <f t="shared" si="3"/>
        <v>0</v>
      </c>
      <c r="K35" s="38">
        <f t="shared" si="96"/>
        <v>0</v>
      </c>
      <c r="L35" s="29">
        <f t="shared" si="67"/>
        <v>0</v>
      </c>
      <c r="M35" s="29">
        <f>SUMIF(汇总表!$B$1:$AF$1,M$3,汇总表!$B36:$AG36)</f>
        <v>0</v>
      </c>
      <c r="N35" s="37">
        <f t="shared" si="5"/>
        <v>0</v>
      </c>
      <c r="O35" s="38">
        <f t="shared" si="6"/>
        <v>0</v>
      </c>
      <c r="P35" s="29">
        <f t="shared" si="68"/>
        <v>0</v>
      </c>
      <c r="Q35" s="29">
        <f>SUMIF(汇总表!$B$1:$AF$1,Q$3,汇总表!$B36:$AG36)</f>
        <v>0</v>
      </c>
      <c r="R35" s="37">
        <f t="shared" si="7"/>
        <v>0</v>
      </c>
      <c r="S35" s="38">
        <f t="shared" si="8"/>
        <v>0</v>
      </c>
      <c r="T35" s="29">
        <f t="shared" si="69"/>
        <v>0</v>
      </c>
      <c r="U35" s="29">
        <f>SUMIF(汇总表!$B$1:$AF$1,U$3,汇总表!$B36:$AG36)</f>
        <v>0</v>
      </c>
      <c r="V35" s="29">
        <f t="shared" si="9"/>
        <v>0</v>
      </c>
      <c r="W35" s="38">
        <f t="shared" si="10"/>
        <v>0</v>
      </c>
      <c r="X35" s="29">
        <f t="shared" si="70"/>
        <v>0</v>
      </c>
      <c r="Y35" s="29">
        <f>SUMIF(汇总表!$B$1:$AF$1,Y$3,汇总表!$B36:$AG36)</f>
        <v>0</v>
      </c>
      <c r="Z35" s="37">
        <f t="shared" si="11"/>
        <v>0</v>
      </c>
      <c r="AA35" s="38">
        <f t="shared" si="12"/>
        <v>0</v>
      </c>
      <c r="AB35" s="29">
        <f t="shared" si="71"/>
        <v>0</v>
      </c>
      <c r="AC35" s="29">
        <f>SUMIF(汇总表!$B$1:$AF$1,AC$3,汇总表!$B36:$AG36)</f>
        <v>0</v>
      </c>
      <c r="AD35" s="37">
        <f t="shared" si="13"/>
        <v>0</v>
      </c>
      <c r="AE35" s="38">
        <f t="shared" si="14"/>
        <v>0</v>
      </c>
      <c r="AF35" s="29">
        <f t="shared" si="72"/>
        <v>0</v>
      </c>
      <c r="AG35" s="29">
        <f>SUMIF(汇总表!$B$1:$AF$1,AG$3,汇总表!$B36:$AG36)</f>
        <v>0</v>
      </c>
      <c r="AH35" s="37">
        <f t="shared" si="15"/>
        <v>0</v>
      </c>
      <c r="AI35" s="38">
        <f t="shared" si="16"/>
        <v>0</v>
      </c>
      <c r="AJ35" s="29">
        <f t="shared" si="73"/>
        <v>0</v>
      </c>
      <c r="AK35" s="29">
        <f>SUMIF(汇总表!$B$1:$AF$1,AK$3,汇总表!$B36:$AG36)</f>
        <v>0</v>
      </c>
      <c r="AL35" s="37">
        <f t="shared" si="17"/>
        <v>0</v>
      </c>
      <c r="AM35" s="38">
        <f t="shared" si="18"/>
        <v>0</v>
      </c>
      <c r="AN35" s="29">
        <f t="shared" si="74"/>
        <v>0</v>
      </c>
      <c r="AO35" s="29">
        <f>SUMIF(汇总表!$B$1:$AF$1,AO$3,汇总表!$B36:$AG36)</f>
        <v>0</v>
      </c>
      <c r="AP35" s="37">
        <f t="shared" si="19"/>
        <v>0</v>
      </c>
      <c r="AQ35" s="38">
        <f t="shared" si="97"/>
        <v>0</v>
      </c>
      <c r="AR35" s="29">
        <f t="shared" si="65"/>
        <v>0</v>
      </c>
      <c r="AS35" s="29">
        <f>SUMIF(汇总表!$B$1:$AF$1,AS$3,汇总表!$B36:$AG36)</f>
        <v>0</v>
      </c>
      <c r="AT35" s="37">
        <f t="shared" si="20"/>
        <v>0</v>
      </c>
      <c r="AU35" s="38">
        <f t="shared" si="21"/>
        <v>0</v>
      </c>
      <c r="AV35" s="29">
        <f t="shared" si="75"/>
        <v>0</v>
      </c>
      <c r="AW35" s="29">
        <f>SUMIF(汇总表!$B$1:$AF$1,AW$3,汇总表!$B36:$AG36)</f>
        <v>0</v>
      </c>
      <c r="AX35" s="37">
        <f t="shared" si="22"/>
        <v>0</v>
      </c>
      <c r="AY35" s="38">
        <f t="shared" si="23"/>
        <v>0</v>
      </c>
      <c r="AZ35" s="29">
        <f t="shared" si="76"/>
        <v>0</v>
      </c>
      <c r="BA35" s="29">
        <f>SUMIF(汇总表!$B$1:$AF$1,BA$3,汇总表!$B36:$AG36)</f>
        <v>0</v>
      </c>
      <c r="BB35" s="37">
        <f t="shared" si="24"/>
        <v>0</v>
      </c>
      <c r="BC35" s="38">
        <f t="shared" si="25"/>
        <v>0</v>
      </c>
      <c r="BD35" s="29">
        <f t="shared" si="77"/>
        <v>0</v>
      </c>
      <c r="BE35" s="29">
        <f>SUMIF(汇总表!$B$1:$AF$1,BE$3,汇总表!$B36:$AG36)</f>
        <v>0</v>
      </c>
      <c r="BF35" s="37">
        <f t="shared" si="26"/>
        <v>0</v>
      </c>
      <c r="BG35" s="38">
        <f t="shared" si="27"/>
        <v>0</v>
      </c>
      <c r="BH35" s="29">
        <f t="shared" si="78"/>
        <v>0</v>
      </c>
      <c r="BI35" s="29">
        <f>SUMIF(汇总表!$B$1:$AF$1,BI$3,汇总表!$B36:$AG36)</f>
        <v>0</v>
      </c>
      <c r="BJ35" s="37">
        <f t="shared" si="28"/>
        <v>0</v>
      </c>
      <c r="BK35" s="38">
        <f t="shared" si="29"/>
        <v>0</v>
      </c>
      <c r="BL35" s="29">
        <f t="shared" si="79"/>
        <v>0</v>
      </c>
      <c r="BM35" s="29">
        <f>SUMIF(汇总表!$B$1:$AF$1,BM$3,汇总表!$B36:$AG36)</f>
        <v>0</v>
      </c>
      <c r="BN35" s="37">
        <f t="shared" si="30"/>
        <v>0</v>
      </c>
      <c r="BO35" s="38">
        <f t="shared" si="31"/>
        <v>0</v>
      </c>
      <c r="BP35" s="29">
        <f t="shared" si="80"/>
        <v>0</v>
      </c>
      <c r="BQ35" s="29">
        <f>SUMIF(汇总表!$B$1:$AF$1,BQ$3,汇总表!$B36:$AG36)</f>
        <v>0</v>
      </c>
      <c r="BR35" s="37">
        <f t="shared" si="32"/>
        <v>0</v>
      </c>
      <c r="BS35" s="38">
        <f t="shared" si="33"/>
        <v>0</v>
      </c>
      <c r="BT35" s="29">
        <f t="shared" si="81"/>
        <v>0</v>
      </c>
      <c r="BU35" s="29">
        <f>SUMIF(汇总表!$B$1:$AF$1,BU$3,汇总表!$B36:$AG36)</f>
        <v>0</v>
      </c>
      <c r="BV35" s="37">
        <f t="shared" si="34"/>
        <v>0</v>
      </c>
      <c r="BW35" s="38">
        <f t="shared" si="35"/>
        <v>0</v>
      </c>
      <c r="BX35" s="29">
        <f t="shared" si="82"/>
        <v>0</v>
      </c>
      <c r="BY35" s="29">
        <f>SUMIF(汇总表!$B$1:$AF$1,BY$3,汇总表!$B36:$AG36)</f>
        <v>0</v>
      </c>
      <c r="BZ35" s="37">
        <f t="shared" si="36"/>
        <v>0</v>
      </c>
      <c r="CA35" s="38">
        <f t="shared" si="37"/>
        <v>0</v>
      </c>
      <c r="CB35" s="29">
        <f t="shared" si="83"/>
        <v>0</v>
      </c>
      <c r="CC35" s="29">
        <f>SUMIF(汇总表!$B$1:$AF$1,CC$3,汇总表!$B36:$AG36)</f>
        <v>0</v>
      </c>
      <c r="CD35" s="37">
        <f t="shared" si="38"/>
        <v>0</v>
      </c>
      <c r="CE35" s="38">
        <f t="shared" si="39"/>
        <v>0</v>
      </c>
      <c r="CF35" s="29">
        <f t="shared" si="84"/>
        <v>0</v>
      </c>
      <c r="CG35" s="29">
        <f>SUMIF(汇总表!$B$1:$AF$1,CG$3,汇总表!$B36:$AG36)</f>
        <v>0</v>
      </c>
      <c r="CH35" s="37">
        <f t="shared" si="40"/>
        <v>0</v>
      </c>
      <c r="CI35" s="38">
        <f t="shared" si="41"/>
        <v>0</v>
      </c>
      <c r="CJ35" s="29">
        <f t="shared" si="85"/>
        <v>0</v>
      </c>
      <c r="CK35" s="29">
        <f>SUMIF(汇总表!$B$1:$AF$1,CK$3,汇总表!$B36:$AG36)</f>
        <v>0</v>
      </c>
      <c r="CL35" s="37">
        <f t="shared" si="42"/>
        <v>0</v>
      </c>
      <c r="CM35" s="38">
        <f t="shared" si="43"/>
        <v>0</v>
      </c>
      <c r="CN35" s="29">
        <f t="shared" si="86"/>
        <v>0</v>
      </c>
      <c r="CO35" s="29">
        <f>SUMIF(汇总表!$B$1:$AF$1,CO$3,汇总表!$B36:$AG36)</f>
        <v>0</v>
      </c>
      <c r="CP35" s="37">
        <f t="shared" si="44"/>
        <v>0</v>
      </c>
      <c r="CQ35" s="38">
        <f t="shared" si="45"/>
        <v>0</v>
      </c>
      <c r="CR35" s="29">
        <f t="shared" si="87"/>
        <v>0</v>
      </c>
      <c r="CS35" s="29">
        <f>SUMIF(汇总表!$B$1:$AF$1,CS$3,汇总表!$B36:$AG36)</f>
        <v>0</v>
      </c>
      <c r="CT35" s="37">
        <f t="shared" si="46"/>
        <v>0</v>
      </c>
      <c r="CU35" s="38">
        <f t="shared" si="47"/>
        <v>0</v>
      </c>
      <c r="CV35" s="29">
        <f t="shared" si="88"/>
        <v>0</v>
      </c>
      <c r="CW35" s="29">
        <f>SUMIF(汇总表!$B$1:$AF$1,CW$3,汇总表!$B36:$AG36)</f>
        <v>352.98</v>
      </c>
      <c r="CX35" s="37">
        <f t="shared" si="48"/>
        <v>352.98</v>
      </c>
      <c r="CY35" s="38">
        <f t="shared" si="49"/>
        <v>0</v>
      </c>
      <c r="CZ35" s="29">
        <f t="shared" si="89"/>
        <v>0</v>
      </c>
      <c r="DA35" s="29">
        <f>SUMIF(汇总表!$B$1:$AF$1,DA$3,汇总表!$B36:$AG36)</f>
        <v>0</v>
      </c>
      <c r="DB35" s="37">
        <f t="shared" si="50"/>
        <v>0</v>
      </c>
      <c r="DC35" s="38">
        <f t="shared" si="51"/>
        <v>0</v>
      </c>
      <c r="DD35" s="29">
        <f t="shared" si="90"/>
        <v>0</v>
      </c>
      <c r="DE35" s="29">
        <f>SUMIF(汇总表!$B$1:$AF$1,DE$3,汇总表!$B36:$AG36)</f>
        <v>0</v>
      </c>
      <c r="DF35" s="37">
        <f t="shared" si="52"/>
        <v>0</v>
      </c>
      <c r="DG35" s="38">
        <f t="shared" si="53"/>
        <v>0</v>
      </c>
      <c r="DH35" s="29">
        <f t="shared" si="91"/>
        <v>0</v>
      </c>
      <c r="DI35" s="29">
        <f>SUMIF(汇总表!$B$1:$AF$1,DI$3,汇总表!$B36:$AG36)</f>
        <v>0</v>
      </c>
      <c r="DJ35" s="37">
        <f t="shared" si="54"/>
        <v>0</v>
      </c>
      <c r="DK35" s="38">
        <f t="shared" si="55"/>
        <v>0</v>
      </c>
      <c r="DL35" s="29">
        <f t="shared" si="92"/>
        <v>0</v>
      </c>
      <c r="DM35" s="29">
        <f>SUMIF(汇总表!$B$1:$AF$1,DM$3,汇总表!$B36:$AG36)</f>
        <v>0</v>
      </c>
      <c r="DN35" s="37">
        <f t="shared" si="56"/>
        <v>0</v>
      </c>
      <c r="DO35" s="38">
        <f t="shared" si="57"/>
        <v>0</v>
      </c>
      <c r="DP35" s="29">
        <f t="shared" si="93"/>
        <v>0</v>
      </c>
      <c r="DQ35" s="29">
        <f>SUMIF(汇总表!$B$1:$AF$1,DQ$3,汇总表!$B36:$AG36)</f>
        <v>0</v>
      </c>
      <c r="DR35" s="37">
        <f t="shared" si="58"/>
        <v>0</v>
      </c>
      <c r="DS35" s="38">
        <f t="shared" si="59"/>
        <v>0</v>
      </c>
      <c r="DT35" s="29">
        <f t="shared" si="94"/>
        <v>0</v>
      </c>
      <c r="DU35" s="29">
        <f>SUMIF(汇总表!$B$1:$AF$1,DU$3,汇总表!$B36:$AG36)</f>
        <v>0</v>
      </c>
      <c r="DV35" s="29">
        <f t="shared" si="60"/>
        <v>0</v>
      </c>
      <c r="DW35" s="38">
        <f t="shared" si="61"/>
        <v>0</v>
      </c>
      <c r="DX35" s="29">
        <v>0</v>
      </c>
    </row>
    <row r="36" spans="1:128">
      <c r="A36" s="47"/>
      <c r="B36" s="46" t="s">
        <v>706</v>
      </c>
      <c r="C36" s="29" t="s">
        <v>828</v>
      </c>
      <c r="D36" s="29">
        <f t="shared" si="64"/>
        <v>0</v>
      </c>
      <c r="E36" s="29">
        <f>SUMIF(汇总表!$B$1:$AF$1,E$3,汇总表!$B37:$AG37)</f>
        <v>0</v>
      </c>
      <c r="F36" s="37">
        <f t="shared" si="1"/>
        <v>0</v>
      </c>
      <c r="G36" s="38">
        <f t="shared" si="95"/>
        <v>0</v>
      </c>
      <c r="H36" s="29">
        <f t="shared" si="66"/>
        <v>0</v>
      </c>
      <c r="I36" s="29">
        <f>SUMIF(汇总表!$B$1:$AF$1,I$3,汇总表!$B37:$AG37)</f>
        <v>0</v>
      </c>
      <c r="J36" s="37">
        <f t="shared" si="3"/>
        <v>0</v>
      </c>
      <c r="K36" s="38">
        <f t="shared" si="96"/>
        <v>0</v>
      </c>
      <c r="L36" s="29">
        <f t="shared" si="67"/>
        <v>0</v>
      </c>
      <c r="M36" s="29">
        <f>SUMIF(汇总表!$B$1:$AF$1,M$3,汇总表!$B37:$AG37)</f>
        <v>0</v>
      </c>
      <c r="N36" s="37">
        <f t="shared" si="5"/>
        <v>0</v>
      </c>
      <c r="O36" s="38">
        <f t="shared" si="6"/>
        <v>0</v>
      </c>
      <c r="P36" s="29">
        <f t="shared" si="68"/>
        <v>0</v>
      </c>
      <c r="Q36" s="29">
        <f>SUMIF(汇总表!$B$1:$AF$1,Q$3,汇总表!$B37:$AG37)</f>
        <v>0</v>
      </c>
      <c r="R36" s="37">
        <f t="shared" si="7"/>
        <v>0</v>
      </c>
      <c r="S36" s="38">
        <f t="shared" si="8"/>
        <v>0</v>
      </c>
      <c r="T36" s="29">
        <f t="shared" si="69"/>
        <v>0</v>
      </c>
      <c r="U36" s="29">
        <f>SUMIF(汇总表!$B$1:$AF$1,U$3,汇总表!$B37:$AG37)</f>
        <v>0</v>
      </c>
      <c r="V36" s="29">
        <f t="shared" si="9"/>
        <v>0</v>
      </c>
      <c r="W36" s="38">
        <f t="shared" si="10"/>
        <v>0</v>
      </c>
      <c r="X36" s="29">
        <f t="shared" si="70"/>
        <v>0</v>
      </c>
      <c r="Y36" s="29">
        <f>SUMIF(汇总表!$B$1:$AF$1,Y$3,汇总表!$B37:$AG37)</f>
        <v>0</v>
      </c>
      <c r="Z36" s="37">
        <f t="shared" si="11"/>
        <v>0</v>
      </c>
      <c r="AA36" s="38">
        <f t="shared" si="12"/>
        <v>0</v>
      </c>
      <c r="AB36" s="29">
        <f t="shared" si="71"/>
        <v>0</v>
      </c>
      <c r="AC36" s="29">
        <f>SUMIF(汇总表!$B$1:$AF$1,AC$3,汇总表!$B37:$AG37)</f>
        <v>0</v>
      </c>
      <c r="AD36" s="37">
        <f t="shared" si="13"/>
        <v>0</v>
      </c>
      <c r="AE36" s="38">
        <f t="shared" si="14"/>
        <v>0</v>
      </c>
      <c r="AF36" s="29">
        <f t="shared" si="72"/>
        <v>0</v>
      </c>
      <c r="AG36" s="29">
        <f>SUMIF(汇总表!$B$1:$AF$1,AG$3,汇总表!$B37:$AG37)</f>
        <v>0</v>
      </c>
      <c r="AH36" s="37">
        <f t="shared" si="15"/>
        <v>0</v>
      </c>
      <c r="AI36" s="38">
        <f t="shared" si="16"/>
        <v>0</v>
      </c>
      <c r="AJ36" s="29">
        <f t="shared" si="73"/>
        <v>0</v>
      </c>
      <c r="AK36" s="29">
        <f>SUMIF(汇总表!$B$1:$AF$1,AK$3,汇总表!$B37:$AG37)</f>
        <v>0</v>
      </c>
      <c r="AL36" s="37">
        <f t="shared" si="17"/>
        <v>0</v>
      </c>
      <c r="AM36" s="38">
        <f t="shared" si="18"/>
        <v>0</v>
      </c>
      <c r="AN36" s="29">
        <f t="shared" si="74"/>
        <v>0</v>
      </c>
      <c r="AO36" s="29">
        <f>SUMIF(汇总表!$B$1:$AF$1,AO$3,汇总表!$B37:$AG37)</f>
        <v>0</v>
      </c>
      <c r="AP36" s="37">
        <f t="shared" si="19"/>
        <v>0</v>
      </c>
      <c r="AQ36" s="38">
        <f t="shared" si="97"/>
        <v>0</v>
      </c>
      <c r="AR36" s="29">
        <f t="shared" si="65"/>
        <v>0</v>
      </c>
      <c r="AS36" s="29">
        <f>SUMIF(汇总表!$B$1:$AF$1,AS$3,汇总表!$B37:$AG37)</f>
        <v>0</v>
      </c>
      <c r="AT36" s="37">
        <f t="shared" si="20"/>
        <v>0</v>
      </c>
      <c r="AU36" s="38">
        <f t="shared" si="21"/>
        <v>0</v>
      </c>
      <c r="AV36" s="29">
        <f t="shared" si="75"/>
        <v>0</v>
      </c>
      <c r="AW36" s="29">
        <f>SUMIF(汇总表!$B$1:$AF$1,AW$3,汇总表!$B37:$AG37)</f>
        <v>0</v>
      </c>
      <c r="AX36" s="37">
        <f t="shared" si="22"/>
        <v>0</v>
      </c>
      <c r="AY36" s="38">
        <f t="shared" si="23"/>
        <v>0</v>
      </c>
      <c r="AZ36" s="29">
        <f t="shared" si="76"/>
        <v>0</v>
      </c>
      <c r="BA36" s="29">
        <f>SUMIF(汇总表!$B$1:$AF$1,BA$3,汇总表!$B37:$AG37)</f>
        <v>0</v>
      </c>
      <c r="BB36" s="37">
        <f t="shared" si="24"/>
        <v>0</v>
      </c>
      <c r="BC36" s="38">
        <f t="shared" si="25"/>
        <v>0</v>
      </c>
      <c r="BD36" s="29">
        <f t="shared" si="77"/>
        <v>0</v>
      </c>
      <c r="BE36" s="29">
        <f>SUMIF(汇总表!$B$1:$AF$1,BE$3,汇总表!$B37:$AG37)</f>
        <v>0</v>
      </c>
      <c r="BF36" s="37">
        <f t="shared" si="26"/>
        <v>0</v>
      </c>
      <c r="BG36" s="38">
        <f t="shared" si="27"/>
        <v>0</v>
      </c>
      <c r="BH36" s="29">
        <f t="shared" si="78"/>
        <v>0</v>
      </c>
      <c r="BI36" s="29">
        <f>SUMIF(汇总表!$B$1:$AF$1,BI$3,汇总表!$B37:$AG37)</f>
        <v>0</v>
      </c>
      <c r="BJ36" s="37">
        <f t="shared" si="28"/>
        <v>0</v>
      </c>
      <c r="BK36" s="38">
        <f t="shared" si="29"/>
        <v>0</v>
      </c>
      <c r="BL36" s="29">
        <f t="shared" si="79"/>
        <v>0</v>
      </c>
      <c r="BM36" s="29">
        <f>SUMIF(汇总表!$B$1:$AF$1,BM$3,汇总表!$B37:$AG37)</f>
        <v>0</v>
      </c>
      <c r="BN36" s="37">
        <f t="shared" si="30"/>
        <v>0</v>
      </c>
      <c r="BO36" s="38">
        <f t="shared" si="31"/>
        <v>0</v>
      </c>
      <c r="BP36" s="29">
        <f t="shared" si="80"/>
        <v>0</v>
      </c>
      <c r="BQ36" s="29">
        <f>SUMIF(汇总表!$B$1:$AF$1,BQ$3,汇总表!$B37:$AG37)</f>
        <v>0</v>
      </c>
      <c r="BR36" s="37">
        <f t="shared" si="32"/>
        <v>0</v>
      </c>
      <c r="BS36" s="38">
        <f t="shared" si="33"/>
        <v>0</v>
      </c>
      <c r="BT36" s="29">
        <f t="shared" si="81"/>
        <v>0</v>
      </c>
      <c r="BU36" s="29">
        <f>SUMIF(汇总表!$B$1:$AF$1,BU$3,汇总表!$B37:$AG37)</f>
        <v>0</v>
      </c>
      <c r="BV36" s="37">
        <f t="shared" si="34"/>
        <v>0</v>
      </c>
      <c r="BW36" s="38">
        <f t="shared" si="35"/>
        <v>0</v>
      </c>
      <c r="BX36" s="29">
        <f t="shared" si="82"/>
        <v>0</v>
      </c>
      <c r="BY36" s="29">
        <f>SUMIF(汇总表!$B$1:$AF$1,BY$3,汇总表!$B37:$AG37)</f>
        <v>0</v>
      </c>
      <c r="BZ36" s="37">
        <f t="shared" si="36"/>
        <v>0</v>
      </c>
      <c r="CA36" s="38">
        <f t="shared" si="37"/>
        <v>0</v>
      </c>
      <c r="CB36" s="29">
        <f t="shared" si="83"/>
        <v>0</v>
      </c>
      <c r="CC36" s="29">
        <f>SUMIF(汇总表!$B$1:$AF$1,CC$3,汇总表!$B37:$AG37)</f>
        <v>0</v>
      </c>
      <c r="CD36" s="37">
        <f t="shared" si="38"/>
        <v>0</v>
      </c>
      <c r="CE36" s="38">
        <f t="shared" si="39"/>
        <v>0</v>
      </c>
      <c r="CF36" s="29">
        <f t="shared" si="84"/>
        <v>0</v>
      </c>
      <c r="CG36" s="29">
        <f>SUMIF(汇总表!$B$1:$AF$1,CG$3,汇总表!$B37:$AG37)</f>
        <v>0</v>
      </c>
      <c r="CH36" s="37">
        <f t="shared" si="40"/>
        <v>0</v>
      </c>
      <c r="CI36" s="38">
        <f t="shared" si="41"/>
        <v>0</v>
      </c>
      <c r="CJ36" s="29">
        <f t="shared" si="85"/>
        <v>0</v>
      </c>
      <c r="CK36" s="29">
        <f>SUMIF(汇总表!$B$1:$AF$1,CK$3,汇总表!$B37:$AG37)</f>
        <v>0</v>
      </c>
      <c r="CL36" s="37">
        <f t="shared" si="42"/>
        <v>0</v>
      </c>
      <c r="CM36" s="38">
        <f t="shared" si="43"/>
        <v>0</v>
      </c>
      <c r="CN36" s="29">
        <f t="shared" si="86"/>
        <v>0</v>
      </c>
      <c r="CO36" s="29">
        <f>SUMIF(汇总表!$B$1:$AF$1,CO$3,汇总表!$B37:$AG37)</f>
        <v>0</v>
      </c>
      <c r="CP36" s="37">
        <f t="shared" si="44"/>
        <v>0</v>
      </c>
      <c r="CQ36" s="38">
        <f t="shared" si="45"/>
        <v>0</v>
      </c>
      <c r="CR36" s="29">
        <f t="shared" si="87"/>
        <v>0</v>
      </c>
      <c r="CS36" s="29">
        <f>SUMIF(汇总表!$B$1:$AF$1,CS$3,汇总表!$B37:$AG37)</f>
        <v>0</v>
      </c>
      <c r="CT36" s="37">
        <f t="shared" si="46"/>
        <v>0</v>
      </c>
      <c r="CU36" s="38">
        <f t="shared" si="47"/>
        <v>0</v>
      </c>
      <c r="CV36" s="29">
        <f t="shared" si="88"/>
        <v>0</v>
      </c>
      <c r="CW36" s="29">
        <f>SUMIF(汇总表!$B$1:$AF$1,CW$3,汇总表!$B37:$AG37)</f>
        <v>0</v>
      </c>
      <c r="CX36" s="37">
        <f t="shared" si="48"/>
        <v>0</v>
      </c>
      <c r="CY36" s="38">
        <f t="shared" si="49"/>
        <v>0</v>
      </c>
      <c r="CZ36" s="29">
        <f t="shared" si="89"/>
        <v>0</v>
      </c>
      <c r="DA36" s="29">
        <f>SUMIF(汇总表!$B$1:$AF$1,DA$3,汇总表!$B37:$AG37)</f>
        <v>0</v>
      </c>
      <c r="DB36" s="37">
        <f t="shared" si="50"/>
        <v>0</v>
      </c>
      <c r="DC36" s="38">
        <f t="shared" si="51"/>
        <v>0</v>
      </c>
      <c r="DD36" s="29">
        <f t="shared" si="90"/>
        <v>0</v>
      </c>
      <c r="DE36" s="29">
        <f>SUMIF(汇总表!$B$1:$AF$1,DE$3,汇总表!$B37:$AG37)</f>
        <v>0</v>
      </c>
      <c r="DF36" s="37">
        <f t="shared" si="52"/>
        <v>0</v>
      </c>
      <c r="DG36" s="38">
        <f t="shared" si="53"/>
        <v>0</v>
      </c>
      <c r="DH36" s="29">
        <f t="shared" si="91"/>
        <v>0</v>
      </c>
      <c r="DI36" s="29">
        <f>SUMIF(汇总表!$B$1:$AF$1,DI$3,汇总表!$B37:$AG37)</f>
        <v>0</v>
      </c>
      <c r="DJ36" s="37">
        <f t="shared" si="54"/>
        <v>0</v>
      </c>
      <c r="DK36" s="38">
        <f t="shared" si="55"/>
        <v>0</v>
      </c>
      <c r="DL36" s="29">
        <f t="shared" si="92"/>
        <v>0</v>
      </c>
      <c r="DM36" s="29">
        <f>SUMIF(汇总表!$B$1:$AF$1,DM$3,汇总表!$B37:$AG37)</f>
        <v>0</v>
      </c>
      <c r="DN36" s="37">
        <f t="shared" si="56"/>
        <v>0</v>
      </c>
      <c r="DO36" s="38">
        <f t="shared" si="57"/>
        <v>0</v>
      </c>
      <c r="DP36" s="29">
        <f>SUM(DP31:DP35)</f>
        <v>16.6666666666667</v>
      </c>
      <c r="DQ36" s="29">
        <f>SUMIF(汇总表!$B$1:$AF$1,DQ$3,汇总表!$B37:$AG37)</f>
        <v>0</v>
      </c>
      <c r="DR36" s="37">
        <f t="shared" si="58"/>
        <v>-16.6666666666667</v>
      </c>
      <c r="DS36" s="38">
        <f t="shared" si="59"/>
        <v>1</v>
      </c>
      <c r="DT36" s="29">
        <f>SUM(DT31:DT35)</f>
        <v>0</v>
      </c>
      <c r="DU36" s="29">
        <f>SUMIF(汇总表!$B$1:$AF$1,DU$3,汇总表!$B37:$AG37)</f>
        <v>0</v>
      </c>
      <c r="DV36" s="29">
        <f t="shared" si="60"/>
        <v>0</v>
      </c>
      <c r="DW36" s="38">
        <f t="shared" si="61"/>
        <v>0</v>
      </c>
      <c r="DX36" s="29">
        <v>0</v>
      </c>
    </row>
    <row r="37" spans="1:128">
      <c r="A37" s="29" t="s">
        <v>779</v>
      </c>
      <c r="B37" s="46" t="s">
        <v>707</v>
      </c>
      <c r="C37" s="29" t="s">
        <v>829</v>
      </c>
      <c r="D37" s="29">
        <f t="shared" si="64"/>
        <v>16.6666666666667</v>
      </c>
      <c r="E37" s="29">
        <f>SUMIF(汇总表!$B$1:$AF$1,E$3,汇总表!$B38:$AG38)</f>
        <v>0</v>
      </c>
      <c r="F37" s="37">
        <f t="shared" si="1"/>
        <v>-16.6666666666667</v>
      </c>
      <c r="G37" s="38">
        <f t="shared" si="95"/>
        <v>1</v>
      </c>
      <c r="H37" s="29">
        <f t="shared" si="66"/>
        <v>16.6666666666667</v>
      </c>
      <c r="I37" s="29">
        <f>SUMIF(汇总表!$B$1:$AF$1,I$3,汇总表!$B38:$AG38)</f>
        <v>52.1</v>
      </c>
      <c r="J37" s="37">
        <f t="shared" si="3"/>
        <v>35.4333333333333</v>
      </c>
      <c r="K37" s="38">
        <f t="shared" si="96"/>
        <v>-2.12599999999999</v>
      </c>
      <c r="L37" s="29">
        <f t="shared" si="67"/>
        <v>16.6666666666667</v>
      </c>
      <c r="M37" s="29">
        <f>SUMIF(汇总表!$B$1:$AF$1,M$3,汇总表!$B38:$AG38)</f>
        <v>0</v>
      </c>
      <c r="N37" s="37">
        <f t="shared" si="5"/>
        <v>-16.6666666666667</v>
      </c>
      <c r="O37" s="38">
        <f t="shared" si="6"/>
        <v>1</v>
      </c>
      <c r="P37" s="29">
        <f t="shared" si="68"/>
        <v>16.6666666666667</v>
      </c>
      <c r="Q37" s="29">
        <f>SUMIF(汇总表!$B$1:$AF$1,Q$3,汇总表!$B38:$AG38)</f>
        <v>0</v>
      </c>
      <c r="R37" s="37">
        <f t="shared" si="7"/>
        <v>-16.6666666666667</v>
      </c>
      <c r="S37" s="38">
        <f t="shared" si="8"/>
        <v>1</v>
      </c>
      <c r="T37" s="29">
        <f t="shared" si="69"/>
        <v>16.6666666666667</v>
      </c>
      <c r="U37" s="29">
        <f>SUMIF(汇总表!$B$1:$AF$1,U$3,汇总表!$B38:$AG38)</f>
        <v>0</v>
      </c>
      <c r="V37" s="29">
        <f t="shared" si="9"/>
        <v>-16.6666666666667</v>
      </c>
      <c r="W37" s="38">
        <f t="shared" si="10"/>
        <v>1</v>
      </c>
      <c r="X37" s="29">
        <f t="shared" si="70"/>
        <v>16.6666666666667</v>
      </c>
      <c r="Y37" s="29">
        <f>SUMIF(汇总表!$B$1:$AF$1,Y$3,汇总表!$B38:$AG38)</f>
        <v>25.91</v>
      </c>
      <c r="Z37" s="37">
        <f t="shared" si="11"/>
        <v>9.2433333333333</v>
      </c>
      <c r="AA37" s="38">
        <f t="shared" si="12"/>
        <v>-0.554599999999997</v>
      </c>
      <c r="AB37" s="29">
        <f t="shared" si="71"/>
        <v>16.6666666666667</v>
      </c>
      <c r="AC37" s="29">
        <f>SUMIF(汇总表!$B$1:$AF$1,AC$3,汇总表!$B38:$AG38)</f>
        <v>0</v>
      </c>
      <c r="AD37" s="37">
        <f t="shared" si="13"/>
        <v>-16.6666666666667</v>
      </c>
      <c r="AE37" s="38">
        <f t="shared" si="14"/>
        <v>1</v>
      </c>
      <c r="AF37" s="29">
        <f t="shared" si="72"/>
        <v>16.6666666666667</v>
      </c>
      <c r="AG37" s="29">
        <f>SUMIF(汇总表!$B$1:$AF$1,AG$3,汇总表!$B38:$AG38)</f>
        <v>0</v>
      </c>
      <c r="AH37" s="37">
        <f t="shared" si="15"/>
        <v>-16.6666666666667</v>
      </c>
      <c r="AI37" s="38">
        <f t="shared" si="16"/>
        <v>1</v>
      </c>
      <c r="AJ37" s="29">
        <f t="shared" si="73"/>
        <v>16.6666666666667</v>
      </c>
      <c r="AK37" s="29">
        <f>SUMIF(汇总表!$B$1:$AF$1,AK$3,汇总表!$B38:$AG38)</f>
        <v>0</v>
      </c>
      <c r="AL37" s="37">
        <f t="shared" si="17"/>
        <v>-16.6666666666667</v>
      </c>
      <c r="AM37" s="38">
        <f t="shared" si="18"/>
        <v>1</v>
      </c>
      <c r="AN37" s="29">
        <f t="shared" si="74"/>
        <v>16.6666666666667</v>
      </c>
      <c r="AO37" s="29">
        <f>SUMIF(汇总表!$B$1:$AF$1,AO$3,汇总表!$B38:$AG38)</f>
        <v>0</v>
      </c>
      <c r="AP37" s="37">
        <f t="shared" si="19"/>
        <v>-16.6666666666667</v>
      </c>
      <c r="AQ37" s="38">
        <f t="shared" si="97"/>
        <v>1</v>
      </c>
      <c r="AR37" s="29">
        <f t="shared" si="65"/>
        <v>16.6666666666667</v>
      </c>
      <c r="AS37" s="29">
        <f>SUMIF(汇总表!$B$1:$AF$1,AS$3,汇总表!$B38:$AG38)</f>
        <v>0</v>
      </c>
      <c r="AT37" s="37">
        <f t="shared" si="20"/>
        <v>-16.6666666666667</v>
      </c>
      <c r="AU37" s="38">
        <f t="shared" si="21"/>
        <v>1</v>
      </c>
      <c r="AV37" s="29">
        <f t="shared" si="75"/>
        <v>16.6666666666667</v>
      </c>
      <c r="AW37" s="29">
        <f>SUMIF(汇总表!$B$1:$AF$1,AW$3,汇总表!$B38:$AG38)</f>
        <v>0</v>
      </c>
      <c r="AX37" s="37">
        <f t="shared" si="22"/>
        <v>-16.6666666666667</v>
      </c>
      <c r="AY37" s="38">
        <f t="shared" si="23"/>
        <v>1</v>
      </c>
      <c r="AZ37" s="29">
        <f t="shared" si="76"/>
        <v>16.6666666666667</v>
      </c>
      <c r="BA37" s="29">
        <f>SUMIF(汇总表!$B$1:$AF$1,BA$3,汇总表!$B38:$AG38)</f>
        <v>0</v>
      </c>
      <c r="BB37" s="37">
        <f t="shared" si="24"/>
        <v>-16.6666666666667</v>
      </c>
      <c r="BC37" s="38">
        <f t="shared" si="25"/>
        <v>1</v>
      </c>
      <c r="BD37" s="29">
        <f t="shared" si="77"/>
        <v>16.6666666666667</v>
      </c>
      <c r="BE37" s="29">
        <f>SUMIF(汇总表!$B$1:$AF$1,BE$3,汇总表!$B38:$AG38)</f>
        <v>0</v>
      </c>
      <c r="BF37" s="37">
        <f t="shared" si="26"/>
        <v>-16.6666666666667</v>
      </c>
      <c r="BG37" s="38">
        <f t="shared" si="27"/>
        <v>1</v>
      </c>
      <c r="BH37" s="29">
        <f t="shared" si="78"/>
        <v>16.6666666666667</v>
      </c>
      <c r="BI37" s="29">
        <f>SUMIF(汇总表!$B$1:$AF$1,BI$3,汇总表!$B38:$AG38)</f>
        <v>0</v>
      </c>
      <c r="BJ37" s="37">
        <f t="shared" si="28"/>
        <v>-16.6666666666667</v>
      </c>
      <c r="BK37" s="38">
        <f t="shared" si="29"/>
        <v>1</v>
      </c>
      <c r="BL37" s="29">
        <f t="shared" si="79"/>
        <v>16.6666666666667</v>
      </c>
      <c r="BM37" s="29">
        <f>SUMIF(汇总表!$B$1:$AF$1,BM$3,汇总表!$B38:$AG38)</f>
        <v>0</v>
      </c>
      <c r="BN37" s="37">
        <f t="shared" si="30"/>
        <v>-16.6666666666667</v>
      </c>
      <c r="BO37" s="38">
        <f t="shared" si="31"/>
        <v>1</v>
      </c>
      <c r="BP37" s="29">
        <f t="shared" si="80"/>
        <v>16.6666666666667</v>
      </c>
      <c r="BQ37" s="29">
        <f>SUMIF(汇总表!$B$1:$AF$1,BQ$3,汇总表!$B38:$AG38)</f>
        <v>0</v>
      </c>
      <c r="BR37" s="37">
        <f t="shared" si="32"/>
        <v>-16.6666666666667</v>
      </c>
      <c r="BS37" s="38">
        <f t="shared" si="33"/>
        <v>1</v>
      </c>
      <c r="BT37" s="29">
        <f t="shared" si="81"/>
        <v>16.6666666666667</v>
      </c>
      <c r="BU37" s="29">
        <f>SUMIF(汇总表!$B$1:$AF$1,BU$3,汇总表!$B38:$AG38)</f>
        <v>0</v>
      </c>
      <c r="BV37" s="37">
        <f t="shared" si="34"/>
        <v>-16.6666666666667</v>
      </c>
      <c r="BW37" s="38">
        <f t="shared" si="35"/>
        <v>1</v>
      </c>
      <c r="BX37" s="29">
        <f t="shared" si="82"/>
        <v>16.6666666666667</v>
      </c>
      <c r="BY37" s="29">
        <f>SUMIF(汇总表!$B$1:$AF$1,BY$3,汇总表!$B38:$AG38)</f>
        <v>0</v>
      </c>
      <c r="BZ37" s="37">
        <f t="shared" si="36"/>
        <v>-16.6666666666667</v>
      </c>
      <c r="CA37" s="38">
        <f t="shared" si="37"/>
        <v>1</v>
      </c>
      <c r="CB37" s="29">
        <f t="shared" si="83"/>
        <v>16.6666666666667</v>
      </c>
      <c r="CC37" s="29">
        <f>SUMIF(汇总表!$B$1:$AF$1,CC$3,汇总表!$B38:$AG38)</f>
        <v>0</v>
      </c>
      <c r="CD37" s="37">
        <f t="shared" si="38"/>
        <v>-16.6666666666667</v>
      </c>
      <c r="CE37" s="38">
        <f t="shared" si="39"/>
        <v>1</v>
      </c>
      <c r="CF37" s="29">
        <f t="shared" si="84"/>
        <v>16.6666666666667</v>
      </c>
      <c r="CG37" s="29">
        <f>SUMIF(汇总表!$B$1:$AF$1,CG$3,汇总表!$B38:$AG38)</f>
        <v>0</v>
      </c>
      <c r="CH37" s="37">
        <f t="shared" si="40"/>
        <v>-16.6666666666667</v>
      </c>
      <c r="CI37" s="38">
        <f t="shared" si="41"/>
        <v>1</v>
      </c>
      <c r="CJ37" s="29">
        <f t="shared" si="85"/>
        <v>16.6666666666667</v>
      </c>
      <c r="CK37" s="29">
        <f>SUMIF(汇总表!$B$1:$AF$1,CK$3,汇总表!$B38:$AG38)</f>
        <v>0</v>
      </c>
      <c r="CL37" s="37">
        <f t="shared" si="42"/>
        <v>-16.6666666666667</v>
      </c>
      <c r="CM37" s="38">
        <f t="shared" si="43"/>
        <v>1</v>
      </c>
      <c r="CN37" s="29">
        <f t="shared" si="86"/>
        <v>16.6666666666667</v>
      </c>
      <c r="CO37" s="29">
        <f>SUMIF(汇总表!$B$1:$AF$1,CO$3,汇总表!$B38:$AG38)</f>
        <v>0</v>
      </c>
      <c r="CP37" s="37">
        <f t="shared" si="44"/>
        <v>-16.6666666666667</v>
      </c>
      <c r="CQ37" s="38">
        <f t="shared" si="45"/>
        <v>1</v>
      </c>
      <c r="CR37" s="29">
        <f t="shared" si="87"/>
        <v>16.6666666666667</v>
      </c>
      <c r="CS37" s="29">
        <f>SUMIF(汇总表!$B$1:$AF$1,CS$3,汇总表!$B38:$AG38)</f>
        <v>0</v>
      </c>
      <c r="CT37" s="37">
        <f t="shared" si="46"/>
        <v>-16.6666666666667</v>
      </c>
      <c r="CU37" s="38">
        <f t="shared" si="47"/>
        <v>1</v>
      </c>
      <c r="CV37" s="29">
        <f t="shared" si="88"/>
        <v>16.6666666666667</v>
      </c>
      <c r="CW37" s="29">
        <f>SUMIF(汇总表!$B$1:$AF$1,CW$3,汇总表!$B38:$AG38)</f>
        <v>11.55</v>
      </c>
      <c r="CX37" s="37">
        <f t="shared" si="48"/>
        <v>-5.1166666666667</v>
      </c>
      <c r="CY37" s="38">
        <f t="shared" si="49"/>
        <v>0.307000000000001</v>
      </c>
      <c r="CZ37" s="29">
        <f t="shared" si="89"/>
        <v>16.6666666666667</v>
      </c>
      <c r="DA37" s="29">
        <f>SUMIF(汇总表!$B$1:$AF$1,DA$3,汇总表!$B38:$AG38)</f>
        <v>5.78</v>
      </c>
      <c r="DB37" s="37">
        <f t="shared" si="50"/>
        <v>-10.8866666666667</v>
      </c>
      <c r="DC37" s="38">
        <f t="shared" si="51"/>
        <v>0.653200000000001</v>
      </c>
      <c r="DD37" s="29">
        <f t="shared" si="90"/>
        <v>16.6666666666667</v>
      </c>
      <c r="DE37" s="29">
        <f>SUMIF(汇总表!$B$1:$AF$1,DE$3,汇总表!$B38:$AG38)</f>
        <v>0</v>
      </c>
      <c r="DF37" s="37">
        <f t="shared" si="52"/>
        <v>-16.6666666666667</v>
      </c>
      <c r="DG37" s="38">
        <f t="shared" si="53"/>
        <v>1</v>
      </c>
      <c r="DH37" s="29">
        <f t="shared" si="91"/>
        <v>16.6666666666667</v>
      </c>
      <c r="DI37" s="29">
        <f>SUMIF(汇总表!$B$1:$AF$1,DI$3,汇总表!$B38:$AG38)</f>
        <v>7.095</v>
      </c>
      <c r="DJ37" s="37">
        <f t="shared" si="54"/>
        <v>-9.5716666666667</v>
      </c>
      <c r="DK37" s="38">
        <f t="shared" si="55"/>
        <v>0.574300000000001</v>
      </c>
      <c r="DL37" s="29">
        <f t="shared" si="92"/>
        <v>16.6666666666667</v>
      </c>
      <c r="DM37" s="29">
        <f>SUMIF(汇总表!$B$1:$AF$1,DM$3,汇总表!$B38:$AG38)</f>
        <v>7.095</v>
      </c>
      <c r="DN37" s="37">
        <f t="shared" si="56"/>
        <v>-9.5716666666667</v>
      </c>
      <c r="DO37" s="38">
        <f t="shared" si="57"/>
        <v>0.574300000000001</v>
      </c>
      <c r="DP37" s="29">
        <f>IF($E$1=30,DX37/$E$1)</f>
        <v>16.6666666666667</v>
      </c>
      <c r="DQ37" s="29">
        <f>SUMIF(汇总表!$B$1:$AF$1,DQ$3,汇总表!$B38:$AG38)</f>
        <v>2.475</v>
      </c>
      <c r="DR37" s="37">
        <f t="shared" si="58"/>
        <v>-14.1916666666667</v>
      </c>
      <c r="DS37" s="38">
        <f t="shared" si="59"/>
        <v>0.8515</v>
      </c>
      <c r="DT37" s="29">
        <f>IF($E$1=31,$DX$5/$E$1,0)</f>
        <v>0</v>
      </c>
      <c r="DU37" s="29">
        <f>SUMIF(汇总表!$B$1:$AF$1,DU$3,汇总表!$B38:$AG38)</f>
        <v>2.475</v>
      </c>
      <c r="DV37" s="29">
        <f t="shared" si="60"/>
        <v>2.475</v>
      </c>
      <c r="DW37" s="38">
        <f t="shared" si="61"/>
        <v>0</v>
      </c>
      <c r="DX37" s="29">
        <v>500</v>
      </c>
    </row>
    <row r="38" spans="1:128">
      <c r="A38" s="31"/>
      <c r="B38" s="48" t="s">
        <v>721</v>
      </c>
      <c r="C38" s="29" t="s">
        <v>830</v>
      </c>
      <c r="D38" s="29"/>
      <c r="E38" s="29">
        <f>汇总表!B39</f>
        <v>526.524766451613</v>
      </c>
      <c r="F38" s="37">
        <f t="shared" si="1"/>
        <v>526.524766451613</v>
      </c>
      <c r="G38" s="38" t="e">
        <f>F38/D38</f>
        <v>#DIV/0!</v>
      </c>
      <c r="H38" s="29"/>
      <c r="I38" s="29">
        <f>汇总表!C39</f>
        <v>526.524766451613</v>
      </c>
      <c r="J38" s="37">
        <f t="shared" si="3"/>
        <v>526.524766451613</v>
      </c>
      <c r="K38" s="38" t="e">
        <f>J38/H38</f>
        <v>#DIV/0!</v>
      </c>
      <c r="L38" s="29"/>
      <c r="M38" s="29">
        <f>汇总表!D39</f>
        <v>526.524766451613</v>
      </c>
      <c r="N38" s="37">
        <f t="shared" si="5"/>
        <v>526.524766451613</v>
      </c>
      <c r="O38" s="38" t="e">
        <f>N38/L38</f>
        <v>#DIV/0!</v>
      </c>
      <c r="P38" s="29"/>
      <c r="Q38" s="29">
        <f>汇总表!E39</f>
        <v>526.524766451613</v>
      </c>
      <c r="R38" s="37">
        <f t="shared" si="7"/>
        <v>526.524766451613</v>
      </c>
      <c r="S38" s="38" t="e">
        <f>R38/P38</f>
        <v>#DIV/0!</v>
      </c>
      <c r="T38" s="29"/>
      <c r="U38" s="29">
        <f>汇总表!F39</f>
        <v>526.524766451613</v>
      </c>
      <c r="V38" s="29">
        <f t="shared" si="9"/>
        <v>526.524766451613</v>
      </c>
      <c r="W38" s="38" t="e">
        <f>V38/T38</f>
        <v>#DIV/0!</v>
      </c>
      <c r="X38" s="29"/>
      <c r="Y38" s="29">
        <f>汇总表!G39</f>
        <v>526.524766451613</v>
      </c>
      <c r="Z38" s="37">
        <f t="shared" si="11"/>
        <v>526.524766451613</v>
      </c>
      <c r="AA38" s="38" t="e">
        <f>Z38/X38</f>
        <v>#DIV/0!</v>
      </c>
      <c r="AB38" s="29"/>
      <c r="AC38" s="29">
        <f>汇总表!H39</f>
        <v>526.524766451613</v>
      </c>
      <c r="AD38" s="37">
        <f t="shared" si="13"/>
        <v>526.524766451613</v>
      </c>
      <c r="AE38" s="38" t="e">
        <f>AD38/AB38</f>
        <v>#DIV/0!</v>
      </c>
      <c r="AF38" s="29"/>
      <c r="AG38" s="29">
        <f>汇总表!I39</f>
        <v>526.524766451613</v>
      </c>
      <c r="AH38" s="37">
        <f t="shared" si="15"/>
        <v>526.524766451613</v>
      </c>
      <c r="AI38" s="38" t="e">
        <f>AH38/AF38</f>
        <v>#DIV/0!</v>
      </c>
      <c r="AJ38" s="29"/>
      <c r="AK38" s="29">
        <f>汇总表!J39</f>
        <v>526.524766451613</v>
      </c>
      <c r="AL38" s="37">
        <f t="shared" si="17"/>
        <v>526.524766451613</v>
      </c>
      <c r="AM38" s="38" t="e">
        <f>AL38/AJ38</f>
        <v>#DIV/0!</v>
      </c>
      <c r="AN38" s="29"/>
      <c r="AO38" s="29">
        <f>汇总表!K39</f>
        <v>526.524766451613</v>
      </c>
      <c r="AP38" s="37">
        <f t="shared" ref="AP38:AP57" si="98">AO38-AN38</f>
        <v>526.524766451613</v>
      </c>
      <c r="AQ38" s="38" t="e">
        <f>AP38/AN38</f>
        <v>#DIV/0!</v>
      </c>
      <c r="AR38" s="29"/>
      <c r="AS38" s="29">
        <f>汇总表!L39</f>
        <v>526.524766451613</v>
      </c>
      <c r="AT38" s="37">
        <f t="shared" si="20"/>
        <v>526.524766451613</v>
      </c>
      <c r="AU38" s="38" t="e">
        <f>AT38/AR38</f>
        <v>#DIV/0!</v>
      </c>
      <c r="AV38" s="29"/>
      <c r="AW38" s="29">
        <f>汇总表!M39</f>
        <v>526.524766451613</v>
      </c>
      <c r="AX38" s="37">
        <f t="shared" si="22"/>
        <v>526.524766451613</v>
      </c>
      <c r="AY38" s="38">
        <f t="shared" ref="AY38:AY57" si="99">IFERROR(-AX38/AV38,0)</f>
        <v>0</v>
      </c>
      <c r="AZ38" s="29"/>
      <c r="BA38" s="29">
        <f>汇总表!N39</f>
        <v>576.524766451613</v>
      </c>
      <c r="BB38" s="37">
        <f t="shared" ref="BB38:BB57" si="100">BA38-AZ38</f>
        <v>576.524766451613</v>
      </c>
      <c r="BC38" s="38">
        <f t="shared" ref="BC38:BC57" si="101">IFERROR(-BB38/AZ38,0)</f>
        <v>0</v>
      </c>
      <c r="BD38" s="29"/>
      <c r="BE38" s="29">
        <f>汇总表!O39</f>
        <v>576.524766451613</v>
      </c>
      <c r="BF38" s="37">
        <f t="shared" ref="BF38:BF57" si="102">BE38-BD38</f>
        <v>576.524766451613</v>
      </c>
      <c r="BG38" s="38">
        <f t="shared" ref="BG38:BG57" si="103">IFERROR(-BF38/BD38,0)</f>
        <v>0</v>
      </c>
      <c r="BH38" s="29"/>
      <c r="BI38" s="29">
        <f>汇总表!P39</f>
        <v>576.524766451613</v>
      </c>
      <c r="BJ38" s="37">
        <f t="shared" ref="BJ38:BJ57" si="104">BI38-BH38</f>
        <v>576.524766451613</v>
      </c>
      <c r="BK38" s="38">
        <f t="shared" ref="BK38:BK57" si="105">IFERROR(-BJ38/BH38,0)</f>
        <v>0</v>
      </c>
      <c r="BL38" s="29"/>
      <c r="BM38" s="29">
        <f>汇总表!Q39</f>
        <v>576.524766451613</v>
      </c>
      <c r="BN38" s="37">
        <f t="shared" ref="BN38:BN57" si="106">BM38-BL38</f>
        <v>576.524766451613</v>
      </c>
      <c r="BO38" s="38">
        <f t="shared" ref="BO38:BO57" si="107">IFERROR(-BN38/BL38,0)</f>
        <v>0</v>
      </c>
      <c r="BP38" s="29"/>
      <c r="BQ38" s="29">
        <f>汇总表!R39</f>
        <v>576.524766451613</v>
      </c>
      <c r="BR38" s="37">
        <f t="shared" ref="BR38:BR57" si="108">BQ38-BP38</f>
        <v>576.524766451613</v>
      </c>
      <c r="BS38" s="38">
        <f t="shared" ref="BS38:BS57" si="109">IFERROR(-BR38/BP38,0)</f>
        <v>0</v>
      </c>
      <c r="BT38" s="29"/>
      <c r="BU38" s="29">
        <f>汇总表!S39</f>
        <v>576.524766451613</v>
      </c>
      <c r="BV38" s="37">
        <f t="shared" si="34"/>
        <v>576.524766451613</v>
      </c>
      <c r="BW38" s="38">
        <f t="shared" ref="BW38:BW57" si="110">IFERROR(-BV38/BT38,0)</f>
        <v>0</v>
      </c>
      <c r="BX38" s="29"/>
      <c r="BY38" s="29">
        <f>汇总表!T39</f>
        <v>576.524766451613</v>
      </c>
      <c r="BZ38" s="37">
        <f>BY38-BX37</f>
        <v>559.858099784946</v>
      </c>
      <c r="CA38" s="38">
        <f t="shared" ref="CA38:CA57" si="111">IFERROR(-BZ38/BX38,0)</f>
        <v>0</v>
      </c>
      <c r="CB38" s="29"/>
      <c r="CC38" s="29">
        <f>汇总表!U396</f>
        <v>0</v>
      </c>
      <c r="CD38" s="37">
        <f>CC386-CB38</f>
        <v>0</v>
      </c>
      <c r="CE38" s="38">
        <f t="shared" ref="CE38:CE57" si="112">IFERROR(-CD38/CB38,0)</f>
        <v>0</v>
      </c>
      <c r="CF38" s="29"/>
      <c r="CG38" s="29">
        <f>汇总表!V39</f>
        <v>576.524766451613</v>
      </c>
      <c r="CH38" s="37">
        <f t="shared" ref="CH38:CH57" si="113">CG38-CF38</f>
        <v>576.524766451613</v>
      </c>
      <c r="CI38" s="38">
        <f t="shared" ref="CI38:CI57" si="114">IFERROR(-CH38/CF38,0)</f>
        <v>0</v>
      </c>
      <c r="CJ38" s="29"/>
      <c r="CK38" s="29">
        <f>汇总表!W393</f>
        <v>0</v>
      </c>
      <c r="CL38" s="37">
        <f t="shared" si="42"/>
        <v>0</v>
      </c>
      <c r="CM38" s="38">
        <f t="shared" ref="CM38:CM57" si="115">IFERROR(-CL38/CJ38,0)</f>
        <v>0</v>
      </c>
      <c r="CN38" s="29"/>
      <c r="CO38" s="29">
        <f>汇总表!X39</f>
        <v>576.524766451613</v>
      </c>
      <c r="CP38" s="37">
        <f t="shared" ref="CP38:CP57" si="116">CO38-CN38</f>
        <v>576.524766451613</v>
      </c>
      <c r="CQ38" s="38">
        <f t="shared" ref="CQ38:CQ57" si="117">IFERROR(-CP38/CN38,0)</f>
        <v>0</v>
      </c>
      <c r="CR38" s="29"/>
      <c r="CS38" s="29">
        <f>汇总表!Y39</f>
        <v>576.524766451613</v>
      </c>
      <c r="CT38" s="37">
        <f t="shared" si="46"/>
        <v>576.524766451613</v>
      </c>
      <c r="CU38" s="38">
        <f t="shared" ref="CU38:CU57" si="118">IFERROR(-CT38/CR38,0)</f>
        <v>0</v>
      </c>
      <c r="CV38" s="29"/>
      <c r="CW38" s="29">
        <f>汇总表!Z39</f>
        <v>505.004766451613</v>
      </c>
      <c r="CX38" s="37">
        <f t="shared" si="48"/>
        <v>505.004766451613</v>
      </c>
      <c r="CY38" s="38">
        <f t="shared" ref="CY38:CY57" si="119">IFERROR(-CX38/CV38,0)</f>
        <v>0</v>
      </c>
      <c r="CZ38" s="29"/>
      <c r="DA38" s="29">
        <f>汇总表!AA39</f>
        <v>464.524766451613</v>
      </c>
      <c r="DB38" s="37">
        <f t="shared" si="50"/>
        <v>464.524766451613</v>
      </c>
      <c r="DC38" s="38">
        <f t="shared" ref="DC38:DC57" si="120">IFERROR(-DB38/CZ38,0)</f>
        <v>0</v>
      </c>
      <c r="DD38" s="29"/>
      <c r="DE38" s="29">
        <f>汇总表!AB39</f>
        <v>658.224766451613</v>
      </c>
      <c r="DF38" s="37">
        <f t="shared" si="52"/>
        <v>658.224766451613</v>
      </c>
      <c r="DG38" s="38">
        <f t="shared" ref="DG38:DG57" si="121">IFERROR(-DF38/DD38,0)</f>
        <v>0</v>
      </c>
      <c r="DH38" s="29"/>
      <c r="DI38" s="29">
        <f>汇总表!AC39</f>
        <v>576.524766451613</v>
      </c>
      <c r="DJ38" s="37">
        <f t="shared" ref="DJ38:DJ57" si="122">DI38-DH38</f>
        <v>576.524766451613</v>
      </c>
      <c r="DK38" s="38">
        <f t="shared" ref="DK38:DK57" si="123">IFERROR(-DJ38/DH38,0)</f>
        <v>0</v>
      </c>
      <c r="DL38" s="29"/>
      <c r="DM38" s="29">
        <f>汇总表!AD39</f>
        <v>633.234766451613</v>
      </c>
      <c r="DN38" s="37">
        <f t="shared" ref="DN38:DN57" si="124">DM38-DL38</f>
        <v>633.234766451613</v>
      </c>
      <c r="DO38" s="38">
        <f t="shared" ref="DO38:DO57" si="125">IFERROR(-DN38/DL38,0)</f>
        <v>0</v>
      </c>
      <c r="DP38" s="29"/>
      <c r="DQ38" s="29">
        <f>汇总表!AD39</f>
        <v>633.234766451613</v>
      </c>
      <c r="DR38" s="37">
        <f t="shared" ref="DR38:DR57" si="126">DQ38-DP38</f>
        <v>633.234766451613</v>
      </c>
      <c r="DS38" s="38">
        <f t="shared" ref="DS38:DS57" si="127">IFERROR(-DR38/DP38,0)</f>
        <v>0</v>
      </c>
      <c r="DT38" s="29"/>
      <c r="DU38" s="29">
        <f>汇总表!AF39</f>
        <v>932.474766451613</v>
      </c>
      <c r="DV38" s="29">
        <f t="shared" ref="DV38:DV57" si="128">DU38-DT38</f>
        <v>932.474766451613</v>
      </c>
      <c r="DW38" s="38">
        <f t="shared" ref="DW38:DW57" si="129">IFERROR(-DV38/DT38,0)</f>
        <v>0</v>
      </c>
      <c r="DX38" s="32">
        <f>600*31</f>
        <v>18600</v>
      </c>
    </row>
    <row r="39" spans="1:128">
      <c r="A39" s="31"/>
      <c r="B39" s="46"/>
      <c r="C39" s="29" t="s">
        <v>831</v>
      </c>
      <c r="D39" s="29"/>
      <c r="E39" s="29"/>
      <c r="F39" s="37"/>
      <c r="G39" s="38"/>
      <c r="H39" s="29"/>
      <c r="I39" s="29"/>
      <c r="J39" s="37"/>
      <c r="K39" s="38"/>
      <c r="L39" s="29"/>
      <c r="M39" s="29"/>
      <c r="N39" s="37"/>
      <c r="O39" s="38"/>
      <c r="P39" s="29"/>
      <c r="Q39" s="29"/>
      <c r="R39" s="37"/>
      <c r="S39" s="38"/>
      <c r="T39" s="29"/>
      <c r="U39" s="29"/>
      <c r="V39" s="29"/>
      <c r="W39" s="38"/>
      <c r="X39" s="29"/>
      <c r="Y39" s="29"/>
      <c r="Z39" s="37"/>
      <c r="AA39" s="38"/>
      <c r="AB39" s="29"/>
      <c r="AC39" s="29"/>
      <c r="AD39" s="37"/>
      <c r="AE39" s="38"/>
      <c r="AF39" s="29"/>
      <c r="AG39" s="29"/>
      <c r="AH39" s="37"/>
      <c r="AI39" s="38"/>
      <c r="AJ39" s="29"/>
      <c r="AK39" s="29"/>
      <c r="AL39" s="37"/>
      <c r="AM39" s="38"/>
      <c r="AN39" s="29"/>
      <c r="AO39" s="29"/>
      <c r="AP39" s="37"/>
      <c r="AQ39" s="38"/>
      <c r="AR39" s="29"/>
      <c r="AS39" s="29"/>
      <c r="AT39" s="37"/>
      <c r="AU39" s="38"/>
      <c r="AV39" s="29"/>
      <c r="AW39" s="29"/>
      <c r="AX39" s="37"/>
      <c r="AY39" s="38"/>
      <c r="AZ39" s="29"/>
      <c r="BA39" s="29"/>
      <c r="BB39" s="37"/>
      <c r="BC39" s="38"/>
      <c r="BD39" s="29"/>
      <c r="BE39" s="29"/>
      <c r="BF39" s="37"/>
      <c r="BG39" s="38"/>
      <c r="BH39" s="29"/>
      <c r="BI39" s="29"/>
      <c r="BJ39" s="37"/>
      <c r="BK39" s="38"/>
      <c r="BL39" s="29"/>
      <c r="BM39" s="29"/>
      <c r="BN39" s="37"/>
      <c r="BO39" s="38"/>
      <c r="BP39" s="29"/>
      <c r="BQ39" s="29"/>
      <c r="BR39" s="37"/>
      <c r="BS39" s="38"/>
      <c r="BT39" s="29"/>
      <c r="BU39" s="29"/>
      <c r="BV39" s="37"/>
      <c r="BW39" s="38"/>
      <c r="BX39" s="29"/>
      <c r="BY39" s="29"/>
      <c r="BZ39" s="37"/>
      <c r="CA39" s="38"/>
      <c r="CB39" s="29"/>
      <c r="CC39" s="29"/>
      <c r="CD39" s="37"/>
      <c r="CE39" s="38"/>
      <c r="CF39" s="29"/>
      <c r="CG39" s="29"/>
      <c r="CH39" s="37"/>
      <c r="CI39" s="38"/>
      <c r="CJ39" s="29"/>
      <c r="CK39" s="29"/>
      <c r="CL39" s="37"/>
      <c r="CM39" s="38"/>
      <c r="CN39" s="29"/>
      <c r="CO39" s="29"/>
      <c r="CP39" s="37"/>
      <c r="CQ39" s="38"/>
      <c r="CR39" s="29"/>
      <c r="CS39" s="29"/>
      <c r="CT39" s="37"/>
      <c r="CU39" s="38"/>
      <c r="CV39" s="29"/>
      <c r="CW39" s="29"/>
      <c r="CX39" s="37"/>
      <c r="CY39" s="38"/>
      <c r="CZ39" s="29"/>
      <c r="DA39" s="29"/>
      <c r="DB39" s="37"/>
      <c r="DC39" s="38"/>
      <c r="DD39" s="29"/>
      <c r="DE39" s="29"/>
      <c r="DF39" s="37"/>
      <c r="DG39" s="38"/>
      <c r="DH39" s="29"/>
      <c r="DI39" s="29"/>
      <c r="DJ39" s="37"/>
      <c r="DK39" s="38"/>
      <c r="DL39" s="29"/>
      <c r="DM39" s="29"/>
      <c r="DN39" s="37"/>
      <c r="DO39" s="38"/>
      <c r="DP39" s="29"/>
      <c r="DQ39" s="29"/>
      <c r="DR39" s="37"/>
      <c r="DS39" s="38"/>
      <c r="DT39" s="29"/>
      <c r="DU39" s="29"/>
      <c r="DV39" s="29"/>
      <c r="DW39" s="38"/>
      <c r="DX39" s="32"/>
    </row>
    <row r="40" spans="1:128">
      <c r="A40" s="31"/>
      <c r="B40" s="45"/>
      <c r="C40" s="29" t="s">
        <v>832</v>
      </c>
      <c r="D40" s="29"/>
      <c r="E40" s="29"/>
      <c r="F40" s="37"/>
      <c r="G40" s="38"/>
      <c r="H40" s="29"/>
      <c r="I40" s="29"/>
      <c r="J40" s="37"/>
      <c r="K40" s="38"/>
      <c r="L40" s="29"/>
      <c r="M40" s="29"/>
      <c r="N40" s="37"/>
      <c r="O40" s="38"/>
      <c r="P40" s="29"/>
      <c r="Q40" s="29"/>
      <c r="R40" s="37"/>
      <c r="S40" s="38"/>
      <c r="T40" s="29"/>
      <c r="U40" s="29"/>
      <c r="V40" s="29"/>
      <c r="W40" s="38"/>
      <c r="X40" s="29"/>
      <c r="Y40" s="29"/>
      <c r="Z40" s="37"/>
      <c r="AA40" s="38"/>
      <c r="AB40" s="29"/>
      <c r="AC40" s="29"/>
      <c r="AD40" s="37"/>
      <c r="AE40" s="38"/>
      <c r="AF40" s="29"/>
      <c r="AG40" s="29"/>
      <c r="AH40" s="37"/>
      <c r="AI40" s="38"/>
      <c r="AJ40" s="29"/>
      <c r="AK40" s="29"/>
      <c r="AL40" s="37"/>
      <c r="AM40" s="38"/>
      <c r="AN40" s="29"/>
      <c r="AO40" s="29"/>
      <c r="AP40" s="37"/>
      <c r="AQ40" s="38"/>
      <c r="AR40" s="29"/>
      <c r="AS40" s="29"/>
      <c r="AT40" s="37"/>
      <c r="AU40" s="38"/>
      <c r="AV40" s="29"/>
      <c r="AW40" s="29"/>
      <c r="AX40" s="37"/>
      <c r="AY40" s="38"/>
      <c r="AZ40" s="29"/>
      <c r="BA40" s="29"/>
      <c r="BB40" s="37"/>
      <c r="BC40" s="38"/>
      <c r="BD40" s="29"/>
      <c r="BE40" s="29"/>
      <c r="BF40" s="37"/>
      <c r="BG40" s="38"/>
      <c r="BH40" s="29"/>
      <c r="BI40" s="29"/>
      <c r="BJ40" s="37"/>
      <c r="BK40" s="38"/>
      <c r="BL40" s="29"/>
      <c r="BM40" s="29"/>
      <c r="BN40" s="37"/>
      <c r="BO40" s="38"/>
      <c r="BP40" s="29"/>
      <c r="BQ40" s="29"/>
      <c r="BR40" s="37"/>
      <c r="BS40" s="38"/>
      <c r="BT40" s="29"/>
      <c r="BU40" s="29"/>
      <c r="BV40" s="37"/>
      <c r="BW40" s="38"/>
      <c r="BX40" s="29"/>
      <c r="BY40" s="29"/>
      <c r="BZ40" s="37"/>
      <c r="CA40" s="38"/>
      <c r="CB40" s="29"/>
      <c r="CC40" s="29"/>
      <c r="CD40" s="37"/>
      <c r="CE40" s="38"/>
      <c r="CF40" s="29"/>
      <c r="CG40" s="29"/>
      <c r="CH40" s="37"/>
      <c r="CI40" s="38"/>
      <c r="CJ40" s="29"/>
      <c r="CK40" s="29"/>
      <c r="CL40" s="37"/>
      <c r="CM40" s="38"/>
      <c r="CN40" s="29"/>
      <c r="CO40" s="29"/>
      <c r="CP40" s="37"/>
      <c r="CQ40" s="38"/>
      <c r="CR40" s="29"/>
      <c r="CS40" s="29"/>
      <c r="CT40" s="37"/>
      <c r="CU40" s="38"/>
      <c r="CV40" s="29"/>
      <c r="CW40" s="29"/>
      <c r="CX40" s="37"/>
      <c r="CY40" s="38"/>
      <c r="CZ40" s="29"/>
      <c r="DA40" s="29"/>
      <c r="DB40" s="37"/>
      <c r="DC40" s="38"/>
      <c r="DD40" s="29"/>
      <c r="DE40" s="29"/>
      <c r="DF40" s="37"/>
      <c r="DG40" s="38"/>
      <c r="DH40" s="29"/>
      <c r="DI40" s="29"/>
      <c r="DJ40" s="37"/>
      <c r="DK40" s="38"/>
      <c r="DL40" s="29"/>
      <c r="DM40" s="29"/>
      <c r="DN40" s="37"/>
      <c r="DO40" s="38"/>
      <c r="DP40" s="29"/>
      <c r="DQ40" s="29"/>
      <c r="DR40" s="37"/>
      <c r="DS40" s="38"/>
      <c r="DT40" s="29"/>
      <c r="DU40" s="29"/>
      <c r="DV40" s="29"/>
      <c r="DW40" s="38"/>
      <c r="DX40" s="29"/>
    </row>
    <row r="41" spans="1:128">
      <c r="A41" s="31"/>
      <c r="B41" s="29" t="s">
        <v>335</v>
      </c>
      <c r="C41" s="29" t="s">
        <v>833</v>
      </c>
      <c r="D41" s="29">
        <f>SUM(D13:D40)</f>
        <v>15658.384</v>
      </c>
      <c r="E41" s="29">
        <f>SUM(E13:E40)</f>
        <v>14999.0993890323</v>
      </c>
      <c r="F41" s="37">
        <f t="shared" ref="F38:F57" si="130">E41-D41</f>
        <v>-659.284610967743</v>
      </c>
      <c r="G41" s="38">
        <f t="shared" ref="G38:G57" si="131">IFERROR(-F41/D41,0)</f>
        <v>0.042104256158729</v>
      </c>
      <c r="H41" s="29">
        <f>SUM(H13:H40)</f>
        <v>15625.0506666667</v>
      </c>
      <c r="I41" s="29">
        <f>SUM(I13:I40)</f>
        <v>13379.0738181993</v>
      </c>
      <c r="J41" s="37">
        <f t="shared" ref="J38:J57" si="132">I41-H41</f>
        <v>-2245.97684846741</v>
      </c>
      <c r="K41" s="38">
        <f t="shared" ref="K38:K57" si="133">IFERROR(-J41/H41,0)</f>
        <v>0.143742052194353</v>
      </c>
      <c r="L41" s="29">
        <f>SUM(L37:L40)</f>
        <v>16.6666666666667</v>
      </c>
      <c r="M41" s="29">
        <f>SUM(M13:M40)</f>
        <v>15836.7620452823</v>
      </c>
      <c r="N41" s="37">
        <f t="shared" ref="N38:N57" si="134">M41-L41</f>
        <v>15820.0953786156</v>
      </c>
      <c r="O41" s="38">
        <f t="shared" ref="O38:O57" si="135">IFERROR(-N41/L41,0)</f>
        <v>-949.205722716933</v>
      </c>
      <c r="P41" s="29">
        <f>SUM(P37:P40)</f>
        <v>16.6666666666667</v>
      </c>
      <c r="Q41" s="29">
        <f>SUM(Q13:Q40)</f>
        <v>13822.6414890323</v>
      </c>
      <c r="R41" s="37">
        <f t="shared" ref="R38:R57" si="136">Q41-P41</f>
        <v>13805.9748223656</v>
      </c>
      <c r="S41" s="38">
        <f t="shared" ref="S38:S57" si="137">IFERROR(-R41/P41,0)</f>
        <v>-828.358489341934</v>
      </c>
      <c r="T41" s="29">
        <f>SUM(T37:T40)</f>
        <v>16.6666666666667</v>
      </c>
      <c r="U41" s="29">
        <f>SUM(U13:U40)</f>
        <v>18305.7535515323</v>
      </c>
      <c r="V41" s="29">
        <f t="shared" ref="V38:V57" si="138">U41-T41</f>
        <v>18289.0868848656</v>
      </c>
      <c r="W41" s="38">
        <f t="shared" ref="W38:W57" si="139">IFERROR(-V41/T41,0)</f>
        <v>-1097.34521309193</v>
      </c>
      <c r="X41" s="29">
        <f>SUM(X37:X40)</f>
        <v>16.6666666666667</v>
      </c>
      <c r="Y41" s="29">
        <f>SUM(Y13:Y40)</f>
        <v>14488.7081890323</v>
      </c>
      <c r="Z41" s="37">
        <f t="shared" ref="Z38:Z57" si="140">Y41-X41</f>
        <v>14472.0415223656</v>
      </c>
      <c r="AA41" s="38">
        <f t="shared" ref="AA38:AA57" si="141">IFERROR(-Z41/X41,0)</f>
        <v>-868.322491341934</v>
      </c>
      <c r="AB41" s="29">
        <f>SUM(AB37:AB40)</f>
        <v>16.6666666666667</v>
      </c>
      <c r="AC41" s="29">
        <f>SUM(AC13:AC40)</f>
        <v>14052.9701702823</v>
      </c>
      <c r="AD41" s="37">
        <f t="shared" ref="AD38:AD57" si="142">AC41-AB41</f>
        <v>14036.3035036156</v>
      </c>
      <c r="AE41" s="38">
        <f t="shared" ref="AE38:AE57" si="143">IFERROR(-AD41/AB41,0)</f>
        <v>-842.178210216934</v>
      </c>
      <c r="AF41" s="29">
        <f>SUM(AF37:AF40)</f>
        <v>16.6666666666667</v>
      </c>
      <c r="AG41" s="29">
        <f>SUM(AG13:AG40)</f>
        <v>16145.1126890323</v>
      </c>
      <c r="AH41" s="37">
        <f t="shared" ref="AH38:AH57" si="144">AG41-AF41</f>
        <v>16128.4460223656</v>
      </c>
      <c r="AI41" s="38">
        <f t="shared" ref="AI38:AI57" si="145">IFERROR(-AH41/AF41,0)</f>
        <v>-967.706761341933</v>
      </c>
      <c r="AJ41" s="29">
        <f>SUM(AJ37:AJ40)</f>
        <v>16.6666666666667</v>
      </c>
      <c r="AK41" s="29">
        <f>SUM(AK13:AK40)</f>
        <v>14612.7639890323</v>
      </c>
      <c r="AL41" s="37">
        <f t="shared" ref="AL38:AL57" si="146">AK41-AJ41</f>
        <v>14596.0973223656</v>
      </c>
      <c r="AM41" s="38">
        <f t="shared" ref="AM38:AM57" si="147">IFERROR(-AL41/AJ41,0)</f>
        <v>-875.765839341934</v>
      </c>
      <c r="AN41" s="29">
        <f>SUM(AN37:AN40)</f>
        <v>16.6666666666667</v>
      </c>
      <c r="AO41" s="29">
        <f>SUM(AO13:AO40)</f>
        <v>14911.3991890323</v>
      </c>
      <c r="AP41" s="37">
        <f t="shared" si="98"/>
        <v>14894.7325223656</v>
      </c>
      <c r="AQ41" s="38">
        <f t="shared" si="97"/>
        <v>-893.683951341934</v>
      </c>
      <c r="AR41" s="29">
        <f>SUM(AR37:AR40)</f>
        <v>16.6666666666667</v>
      </c>
      <c r="AS41" s="29">
        <f>SUM(AS13:AS40)</f>
        <v>15782.5438890323</v>
      </c>
      <c r="AT41" s="37">
        <f t="shared" ref="AT38:AT57" si="148">AS41-AR41</f>
        <v>15765.8772223656</v>
      </c>
      <c r="AU41" s="38">
        <f t="shared" ref="AU38:AU57" si="149">IFERROR(-AT41/AR41,0)</f>
        <v>-945.952633341933</v>
      </c>
      <c r="AV41" s="29">
        <f>SUM(AV37:AV40)</f>
        <v>16.6666666666667</v>
      </c>
      <c r="AW41" s="29">
        <f>SUM(AW13:AW40)</f>
        <v>15377.3694640323</v>
      </c>
      <c r="AX41" s="37">
        <f t="shared" ref="AX38:AX57" si="150">AW41-AV41</f>
        <v>15360.7027973656</v>
      </c>
      <c r="AY41" s="38">
        <f t="shared" si="99"/>
        <v>-921.642167841933</v>
      </c>
      <c r="AZ41" s="29">
        <f>SUM(AZ37:AZ40)</f>
        <v>16.6666666666667</v>
      </c>
      <c r="BA41" s="29">
        <f>SUM(BA13:BA40)</f>
        <v>15775.3551827823</v>
      </c>
      <c r="BB41" s="37">
        <f t="shared" si="100"/>
        <v>15758.6885161156</v>
      </c>
      <c r="BC41" s="38">
        <f t="shared" si="101"/>
        <v>-945.521310966933</v>
      </c>
      <c r="BD41" s="29">
        <f>SUM(BD37:BD40)</f>
        <v>16.6666666666667</v>
      </c>
      <c r="BE41" s="29">
        <f>SUM(BE13:BE40)</f>
        <v>15081.5369702823</v>
      </c>
      <c r="BF41" s="37">
        <f t="shared" si="102"/>
        <v>15064.8703036156</v>
      </c>
      <c r="BG41" s="38">
        <f t="shared" si="103"/>
        <v>-903.892218216934</v>
      </c>
      <c r="BH41" s="29">
        <f>SUM(BH37:BH40)</f>
        <v>16.6666666666667</v>
      </c>
      <c r="BI41" s="29">
        <f>SUM(BI13:BI40)</f>
        <v>13868.0318890323</v>
      </c>
      <c r="BJ41" s="37">
        <f t="shared" si="104"/>
        <v>13851.3652223656</v>
      </c>
      <c r="BK41" s="38">
        <f t="shared" si="105"/>
        <v>-831.081913341934</v>
      </c>
      <c r="BL41" s="29">
        <f>SUM(BL37:BL40)</f>
        <v>16.6666666666667</v>
      </c>
      <c r="BM41" s="29">
        <f>SUM(BM13:BM40)</f>
        <v>14261.2368640323</v>
      </c>
      <c r="BN41" s="37">
        <f t="shared" si="106"/>
        <v>14244.5701973656</v>
      </c>
      <c r="BO41" s="38">
        <f t="shared" si="107"/>
        <v>-854.674211841933</v>
      </c>
      <c r="BP41" s="29">
        <f>SUM(BP37:BP40)</f>
        <v>16.6666666666667</v>
      </c>
      <c r="BQ41" s="29">
        <f>SUM(BQ13:BQ40)</f>
        <v>16549.7342890323</v>
      </c>
      <c r="BR41" s="37">
        <f t="shared" si="108"/>
        <v>16533.0676223656</v>
      </c>
      <c r="BS41" s="38">
        <f t="shared" si="109"/>
        <v>-991.984057341933</v>
      </c>
      <c r="BT41" s="29">
        <f>SUM(BT37:BT40)</f>
        <v>16.6666666666667</v>
      </c>
      <c r="BU41" s="29">
        <f>SUM(BU13:BU40)</f>
        <v>13693.7064827823</v>
      </c>
      <c r="BV41" s="37">
        <f t="shared" ref="BV38:BV57" si="151">BU41-BT41</f>
        <v>13677.0398161156</v>
      </c>
      <c r="BW41" s="38">
        <f t="shared" si="110"/>
        <v>-820.622388966934</v>
      </c>
      <c r="BX41" s="29">
        <f>SUM(BX37:BX40)</f>
        <v>16.6666666666667</v>
      </c>
      <c r="BY41" s="29">
        <f>SUM(BY13:BY40)</f>
        <v>17197.2699702823</v>
      </c>
      <c r="BZ41" s="37">
        <f t="shared" ref="BZ38:BZ57" si="152">BY41-BX41</f>
        <v>17180.6033036156</v>
      </c>
      <c r="CA41" s="38">
        <f t="shared" si="111"/>
        <v>-1030.83619821693</v>
      </c>
      <c r="CB41" s="29">
        <f>SUM(CB37:CB40)</f>
        <v>16.6666666666667</v>
      </c>
      <c r="CC41" s="29">
        <f>SUM(CC13:CC40)</f>
        <v>13538.9227892486</v>
      </c>
      <c r="CD41" s="37">
        <f t="shared" ref="CD38:CD57" si="153">CC41-CB41</f>
        <v>13522.256122582</v>
      </c>
      <c r="CE41" s="38">
        <f t="shared" si="112"/>
        <v>-811.335367354917</v>
      </c>
      <c r="CF41" s="29">
        <f>SUM(CF37:CF40)</f>
        <v>16.6666666666667</v>
      </c>
      <c r="CG41" s="29">
        <f>SUM(CG13:CG40)</f>
        <v>15481.4637369503</v>
      </c>
      <c r="CH41" s="37">
        <f t="shared" si="113"/>
        <v>15464.7970702836</v>
      </c>
      <c r="CI41" s="38">
        <f t="shared" si="114"/>
        <v>-927.887824217013</v>
      </c>
      <c r="CJ41" s="29">
        <f>SUM(CJ37:CJ40)</f>
        <v>16.6666666666667</v>
      </c>
      <c r="CK41" s="29">
        <f>SUM(CK13:CK40)</f>
        <v>14663.1772788306</v>
      </c>
      <c r="CL41" s="37">
        <f t="shared" ref="CL38:CL57" si="154">CK41-CJ41</f>
        <v>14646.510612164</v>
      </c>
      <c r="CM41" s="38">
        <f t="shared" si="115"/>
        <v>-878.790636729837</v>
      </c>
      <c r="CN41" s="29">
        <f>SUM(CN37:CN40)</f>
        <v>16.6666666666667</v>
      </c>
      <c r="CO41" s="29">
        <f>SUM(CO13:CO40)</f>
        <v>14719.6920140323</v>
      </c>
      <c r="CP41" s="37">
        <f t="shared" si="116"/>
        <v>14703.0253473656</v>
      </c>
      <c r="CQ41" s="38">
        <f t="shared" si="117"/>
        <v>-882.181520841934</v>
      </c>
      <c r="CR41" s="29">
        <f>SUM(CR37:CR40)</f>
        <v>16.6666666666667</v>
      </c>
      <c r="CS41" s="29">
        <f>SUM(CS13:CS40)</f>
        <v>17584.6995188943</v>
      </c>
      <c r="CT41" s="37">
        <f t="shared" ref="CT38:CT57" si="155">CS41-CR41</f>
        <v>17568.0328522276</v>
      </c>
      <c r="CU41" s="38">
        <f t="shared" si="118"/>
        <v>-1054.08197113365</v>
      </c>
      <c r="CV41" s="29">
        <f>SUM(CV37:CV40)</f>
        <v>16.6666666666667</v>
      </c>
      <c r="CW41" s="29">
        <f>SUM(CW13:CW40)</f>
        <v>16746.7518320883</v>
      </c>
      <c r="CX41" s="37">
        <f t="shared" ref="CX38:CX57" si="156">CW41-CV41</f>
        <v>16730.0851654216</v>
      </c>
      <c r="CY41" s="38">
        <f t="shared" si="119"/>
        <v>-1003.80510992529</v>
      </c>
      <c r="CZ41" s="29">
        <f>SUM(CZ37:CZ40)</f>
        <v>16.6666666666667</v>
      </c>
      <c r="DA41" s="29">
        <f>SUMIF(汇总表!$B$1:$AF$1,DA$3,汇总表!$B40:$AG40)</f>
        <v>501.664766451613</v>
      </c>
      <c r="DB41" s="37">
        <f t="shared" ref="DB38:DB57" si="157">DA41-CZ41</f>
        <v>484.998099784946</v>
      </c>
      <c r="DC41" s="38">
        <f t="shared" si="120"/>
        <v>-29.0998859870967</v>
      </c>
      <c r="DD41" s="29">
        <f>SUM(DD37:DD40)</f>
        <v>16.6666666666667</v>
      </c>
      <c r="DE41" s="29">
        <f>SUMIF(汇总表!$B$1:$AF$1,DE$3,汇总表!$B40:$AG40)</f>
        <v>834.804766451613</v>
      </c>
      <c r="DF41" s="37">
        <f t="shared" ref="DF38:DF57" si="158">DE41-DD41</f>
        <v>818.138099784946</v>
      </c>
      <c r="DG41" s="38">
        <f t="shared" si="121"/>
        <v>-49.0882859870967</v>
      </c>
      <c r="DH41" s="29">
        <f>SUM(DH37:DH40)</f>
        <v>16.6666666666667</v>
      </c>
      <c r="DI41" s="29">
        <f>SUM(DI13:DI40)</f>
        <v>14670.9879827823</v>
      </c>
      <c r="DJ41" s="37">
        <f t="shared" si="122"/>
        <v>14654.3213161156</v>
      </c>
      <c r="DK41" s="38">
        <f t="shared" si="123"/>
        <v>-879.259278966933</v>
      </c>
      <c r="DL41" s="29">
        <f>SUM(DL37:DL40)</f>
        <v>16.6666666666667</v>
      </c>
      <c r="DM41" s="29">
        <f>SUM(DM13:DM40)</f>
        <v>15569.2675065323</v>
      </c>
      <c r="DN41" s="37">
        <f t="shared" si="124"/>
        <v>15552.6008398656</v>
      </c>
      <c r="DO41" s="38">
        <f t="shared" si="125"/>
        <v>-933.156050391933</v>
      </c>
      <c r="DP41" s="29">
        <f>SUM(DP37:DP40)</f>
        <v>16.6666666666667</v>
      </c>
      <c r="DQ41" s="29">
        <f>SUM(DQ13:DQ40)</f>
        <v>17326.8337702823</v>
      </c>
      <c r="DR41" s="37">
        <f t="shared" si="126"/>
        <v>17310.1671036156</v>
      </c>
      <c r="DS41" s="38">
        <f t="shared" si="127"/>
        <v>-1038.61002621693</v>
      </c>
      <c r="DT41" s="29">
        <f>SUM(DT37:DT40)</f>
        <v>0</v>
      </c>
      <c r="DU41" s="29">
        <f>SUM(DU13:DU40)</f>
        <v>15848.6504890323</v>
      </c>
      <c r="DV41" s="29">
        <f t="shared" si="128"/>
        <v>15848.6504890323</v>
      </c>
      <c r="DW41" s="38">
        <f t="shared" si="129"/>
        <v>0</v>
      </c>
      <c r="DX41" s="29">
        <f>SUM(DX13:DX40)</f>
        <v>488351.52</v>
      </c>
    </row>
    <row r="42" spans="1:128">
      <c r="A42" s="49" t="s">
        <v>791</v>
      </c>
      <c r="B42" s="29"/>
      <c r="C42" s="29" t="s">
        <v>834</v>
      </c>
      <c r="D42" s="29">
        <f>D12-D41</f>
        <v>35841.6826666667</v>
      </c>
      <c r="E42" s="29">
        <f t="shared" ref="E42:AK42" si="159">E12-E41</f>
        <v>9935.95061096774</v>
      </c>
      <c r="F42" s="37">
        <f t="shared" si="130"/>
        <v>-25905.7320556989</v>
      </c>
      <c r="G42" s="38">
        <f t="shared" si="131"/>
        <v>0.722782250393385</v>
      </c>
      <c r="H42" s="29">
        <f t="shared" si="159"/>
        <v>35875.016</v>
      </c>
      <c r="I42" s="29">
        <f t="shared" si="159"/>
        <v>13324.9861818007</v>
      </c>
      <c r="J42" s="37">
        <f t="shared" si="132"/>
        <v>-22550.0298181993</v>
      </c>
      <c r="K42" s="38">
        <f t="shared" si="133"/>
        <v>0.628571979402023</v>
      </c>
      <c r="L42" s="29">
        <f t="shared" si="159"/>
        <v>51483.4</v>
      </c>
      <c r="M42" s="29">
        <f t="shared" si="159"/>
        <v>11669.6779547177</v>
      </c>
      <c r="N42" s="37">
        <f t="shared" si="134"/>
        <v>-39813.7220452823</v>
      </c>
      <c r="O42" s="38">
        <f t="shared" si="135"/>
        <v>0.773331249398491</v>
      </c>
      <c r="P42" s="29">
        <f t="shared" si="159"/>
        <v>51483.4</v>
      </c>
      <c r="Q42" s="29">
        <f t="shared" si="159"/>
        <v>23916.3685109677</v>
      </c>
      <c r="R42" s="37">
        <f t="shared" si="136"/>
        <v>-27567.0314890323</v>
      </c>
      <c r="S42" s="38">
        <f t="shared" si="137"/>
        <v>0.535454758019716</v>
      </c>
      <c r="T42" s="29">
        <f t="shared" si="159"/>
        <v>51483.4</v>
      </c>
      <c r="U42" s="29">
        <f t="shared" si="159"/>
        <v>14910.3864484677</v>
      </c>
      <c r="V42" s="29">
        <f t="shared" si="138"/>
        <v>-36573.0135515323</v>
      </c>
      <c r="W42" s="38">
        <f t="shared" si="139"/>
        <v>0.710384581273425</v>
      </c>
      <c r="X42" s="29">
        <f t="shared" si="159"/>
        <v>51483.4</v>
      </c>
      <c r="Y42" s="29">
        <f t="shared" si="159"/>
        <v>21736.7718109677</v>
      </c>
      <c r="Z42" s="37">
        <f t="shared" si="140"/>
        <v>-29746.6281890323</v>
      </c>
      <c r="AA42" s="38">
        <f t="shared" si="141"/>
        <v>0.57779067017781</v>
      </c>
      <c r="AB42" s="29">
        <f t="shared" si="159"/>
        <v>51483.4</v>
      </c>
      <c r="AC42" s="29">
        <f t="shared" si="159"/>
        <v>23703.8598297177</v>
      </c>
      <c r="AD42" s="37">
        <f t="shared" si="142"/>
        <v>-27779.5401702823</v>
      </c>
      <c r="AE42" s="38">
        <f t="shared" si="143"/>
        <v>0.539582470665928</v>
      </c>
      <c r="AF42" s="29">
        <f t="shared" si="159"/>
        <v>51483.4</v>
      </c>
      <c r="AG42" s="29">
        <f t="shared" si="159"/>
        <v>24147.2073109677</v>
      </c>
      <c r="AH42" s="37">
        <f t="shared" si="144"/>
        <v>-27336.1926890323</v>
      </c>
      <c r="AI42" s="38">
        <f t="shared" si="145"/>
        <v>0.530971005975368</v>
      </c>
      <c r="AJ42" s="29">
        <f t="shared" si="159"/>
        <v>51483.4</v>
      </c>
      <c r="AK42" s="29">
        <f t="shared" si="159"/>
        <v>24236.4260109677</v>
      </c>
      <c r="AL42" s="37">
        <f t="shared" si="146"/>
        <v>-27246.9739890323</v>
      </c>
      <c r="AM42" s="38">
        <f t="shared" si="147"/>
        <v>0.529238045448285</v>
      </c>
      <c r="AN42" s="29">
        <f t="shared" ref="AM42:AS42" si="160">AN12-AN41</f>
        <v>51483.4</v>
      </c>
      <c r="AO42" s="29">
        <f t="shared" si="160"/>
        <v>26275.7408109677</v>
      </c>
      <c r="AP42" s="37">
        <f t="shared" si="98"/>
        <v>-25207.6591890323</v>
      </c>
      <c r="AQ42" s="29">
        <f t="shared" si="160"/>
        <v>893.884202085946</v>
      </c>
      <c r="AR42" s="29">
        <f t="shared" si="160"/>
        <v>51483.4</v>
      </c>
      <c r="AS42" s="29">
        <f t="shared" si="160"/>
        <v>23005.4361109677</v>
      </c>
      <c r="AT42" s="37">
        <f t="shared" si="148"/>
        <v>-28477.9638890323</v>
      </c>
      <c r="AU42" s="38">
        <f t="shared" si="149"/>
        <v>0.553148469002285</v>
      </c>
      <c r="AV42" s="29">
        <f>AV12-AV41</f>
        <v>51483.4</v>
      </c>
      <c r="AW42" s="29">
        <f t="shared" ref="AW42:BP42" si="161">AW12-AW41</f>
        <v>14297.5905359677</v>
      </c>
      <c r="AX42" s="37">
        <f t="shared" si="150"/>
        <v>-37185.8094640323</v>
      </c>
      <c r="AY42" s="38">
        <f t="shared" si="99"/>
        <v>0.722287367656997</v>
      </c>
      <c r="AZ42" s="29">
        <f t="shared" si="161"/>
        <v>51483.4</v>
      </c>
      <c r="BA42" s="29">
        <f t="shared" si="161"/>
        <v>11919.6048172177</v>
      </c>
      <c r="BB42" s="37">
        <f t="shared" si="100"/>
        <v>-39563.7951827823</v>
      </c>
      <c r="BC42" s="38">
        <f t="shared" si="101"/>
        <v>0.768476735856262</v>
      </c>
      <c r="BD42" s="29">
        <f t="shared" si="161"/>
        <v>51483.4</v>
      </c>
      <c r="BE42" s="29">
        <f t="shared" si="161"/>
        <v>17012.2130297177</v>
      </c>
      <c r="BF42" s="37">
        <f t="shared" si="102"/>
        <v>-34471.1869702823</v>
      </c>
      <c r="BG42" s="38">
        <f t="shared" si="103"/>
        <v>0.669559255415964</v>
      </c>
      <c r="BH42" s="29">
        <f t="shared" si="161"/>
        <v>51483.4</v>
      </c>
      <c r="BI42" s="29">
        <f t="shared" si="161"/>
        <v>23126.0181109677</v>
      </c>
      <c r="BJ42" s="37">
        <f t="shared" si="104"/>
        <v>-28357.3818890323</v>
      </c>
      <c r="BK42" s="38">
        <f t="shared" si="105"/>
        <v>0.550806315997627</v>
      </c>
      <c r="BL42" s="29">
        <f t="shared" si="161"/>
        <v>51483.4</v>
      </c>
      <c r="BM42" s="29">
        <f t="shared" si="161"/>
        <v>18719.5031359677</v>
      </c>
      <c r="BN42" s="37">
        <f t="shared" si="106"/>
        <v>-32763.8968640323</v>
      </c>
      <c r="BO42" s="38">
        <f t="shared" si="107"/>
        <v>0.63639730212131</v>
      </c>
      <c r="BP42" s="29">
        <f t="shared" si="161"/>
        <v>51483.4</v>
      </c>
      <c r="BQ42" s="29">
        <f t="shared" ref="BQ42:CV42" si="162">BQ12-BQ41</f>
        <v>21982.7157109677</v>
      </c>
      <c r="BR42" s="37">
        <f t="shared" si="108"/>
        <v>-29500.6842890323</v>
      </c>
      <c r="BS42" s="38">
        <f t="shared" si="109"/>
        <v>0.573013520650001</v>
      </c>
      <c r="BT42" s="29">
        <f t="shared" si="162"/>
        <v>51483.4</v>
      </c>
      <c r="BU42" s="29">
        <f t="shared" si="162"/>
        <v>22168.9535172177</v>
      </c>
      <c r="BV42" s="37">
        <f t="shared" si="151"/>
        <v>-29314.4464827823</v>
      </c>
      <c r="BW42" s="38">
        <f t="shared" si="110"/>
        <v>0.569396086559595</v>
      </c>
      <c r="BX42" s="29">
        <f t="shared" si="162"/>
        <v>51483.4</v>
      </c>
      <c r="BY42" s="29">
        <f t="shared" si="162"/>
        <v>11687.7100297177</v>
      </c>
      <c r="BZ42" s="37">
        <f t="shared" si="152"/>
        <v>-39795.6899702823</v>
      </c>
      <c r="CA42" s="38">
        <f t="shared" si="111"/>
        <v>0.772980999123645</v>
      </c>
      <c r="CB42" s="29">
        <f t="shared" si="162"/>
        <v>51483.4</v>
      </c>
      <c r="CC42" s="29">
        <f t="shared" si="162"/>
        <v>21110.3072107514</v>
      </c>
      <c r="CD42" s="37">
        <f t="shared" si="153"/>
        <v>-30373.0927892486</v>
      </c>
      <c r="CE42" s="38">
        <f t="shared" si="112"/>
        <v>0.589958953551021</v>
      </c>
      <c r="CF42" s="29">
        <f t="shared" si="162"/>
        <v>51483.4</v>
      </c>
      <c r="CG42" s="29">
        <f t="shared" si="162"/>
        <v>24768.3862630497</v>
      </c>
      <c r="CH42" s="37">
        <f t="shared" si="113"/>
        <v>-26715.0137369503</v>
      </c>
      <c r="CI42" s="38">
        <f t="shared" si="114"/>
        <v>0.51890538963919</v>
      </c>
      <c r="CJ42" s="29">
        <f t="shared" si="162"/>
        <v>51483.4</v>
      </c>
      <c r="CK42" s="29">
        <f t="shared" si="162"/>
        <v>-11553.9872788306</v>
      </c>
      <c r="CL42" s="37">
        <f t="shared" si="154"/>
        <v>-63037.3872788306</v>
      </c>
      <c r="CM42" s="38">
        <f t="shared" si="115"/>
        <v>1.22442160538796</v>
      </c>
      <c r="CN42" s="29">
        <f t="shared" si="162"/>
        <v>51483.4</v>
      </c>
      <c r="CO42" s="29">
        <f t="shared" si="162"/>
        <v>18818.2379859677</v>
      </c>
      <c r="CP42" s="37">
        <f t="shared" si="116"/>
        <v>-32665.1620140323</v>
      </c>
      <c r="CQ42" s="38">
        <f t="shared" si="117"/>
        <v>0.634479502403343</v>
      </c>
      <c r="CR42" s="29">
        <f t="shared" si="162"/>
        <v>51483.4</v>
      </c>
      <c r="CS42" s="29">
        <f t="shared" si="162"/>
        <v>13008.9104811057</v>
      </c>
      <c r="CT42" s="37">
        <f t="shared" si="155"/>
        <v>-38474.4895188943</v>
      </c>
      <c r="CU42" s="38">
        <f t="shared" si="118"/>
        <v>0.747318349582472</v>
      </c>
      <c r="CV42" s="29">
        <f t="shared" si="162"/>
        <v>51483.4</v>
      </c>
      <c r="CW42" s="29">
        <f t="shared" ref="CW42:DW42" si="163">CW12-CW41</f>
        <v>18848.5081679118</v>
      </c>
      <c r="CX42" s="37">
        <f t="shared" si="156"/>
        <v>-32634.8918320883</v>
      </c>
      <c r="CY42" s="38">
        <f t="shared" si="119"/>
        <v>0.633891542362941</v>
      </c>
      <c r="CZ42" s="29">
        <f t="shared" si="163"/>
        <v>51483.4</v>
      </c>
      <c r="DA42" s="29">
        <f t="shared" si="163"/>
        <v>25670.0452335484</v>
      </c>
      <c r="DB42" s="37">
        <f t="shared" si="157"/>
        <v>-25813.3547664516</v>
      </c>
      <c r="DC42" s="38">
        <f t="shared" si="120"/>
        <v>0.501391803308476</v>
      </c>
      <c r="DD42" s="29">
        <f t="shared" si="163"/>
        <v>51483.4</v>
      </c>
      <c r="DE42" s="29">
        <f t="shared" si="163"/>
        <v>31000.2952335484</v>
      </c>
      <c r="DF42" s="37">
        <f t="shared" si="158"/>
        <v>-20483.1047664516</v>
      </c>
      <c r="DG42" s="38">
        <f t="shared" si="121"/>
        <v>0.397858431386653</v>
      </c>
      <c r="DH42" s="29">
        <f t="shared" si="163"/>
        <v>51483.4</v>
      </c>
      <c r="DI42" s="29">
        <f t="shared" si="163"/>
        <v>22086.6820172177</v>
      </c>
      <c r="DJ42" s="37">
        <f t="shared" si="122"/>
        <v>-29396.7179827823</v>
      </c>
      <c r="DK42" s="38">
        <f t="shared" si="123"/>
        <v>0.570994106503888</v>
      </c>
      <c r="DL42" s="29">
        <f t="shared" si="163"/>
        <v>51483.4</v>
      </c>
      <c r="DM42" s="29">
        <f t="shared" si="163"/>
        <v>21211.9024934677</v>
      </c>
      <c r="DN42" s="37">
        <f t="shared" si="124"/>
        <v>-30271.4975065323</v>
      </c>
      <c r="DO42" s="38">
        <f t="shared" si="125"/>
        <v>0.587985593541457</v>
      </c>
      <c r="DP42" s="29">
        <f t="shared" si="163"/>
        <v>51483.4</v>
      </c>
      <c r="DQ42" s="29">
        <f t="shared" si="163"/>
        <v>21920.7062297178</v>
      </c>
      <c r="DR42" s="37">
        <f t="shared" si="126"/>
        <v>-29562.6937702823</v>
      </c>
      <c r="DS42" s="38">
        <f t="shared" si="127"/>
        <v>0.574217976479453</v>
      </c>
      <c r="DT42" s="29">
        <f t="shared" si="163"/>
        <v>0</v>
      </c>
      <c r="DU42" s="29">
        <f t="shared" si="163"/>
        <v>-15551.7704890323</v>
      </c>
      <c r="DV42" s="29">
        <f t="shared" si="128"/>
        <v>-15551.7704890323</v>
      </c>
      <c r="DW42" s="38">
        <f t="shared" si="129"/>
        <v>0</v>
      </c>
      <c r="DX42" s="50">
        <f>DX12-DX41</f>
        <v>1056650.48</v>
      </c>
    </row>
    <row r="43" spans="1:128">
      <c r="A43" s="29" t="s">
        <v>793</v>
      </c>
      <c r="B43" s="29" t="s">
        <v>794</v>
      </c>
      <c r="C43" s="29" t="s">
        <v>795</v>
      </c>
      <c r="D43" s="29">
        <v>23</v>
      </c>
      <c r="E43" s="29">
        <v>23</v>
      </c>
      <c r="F43" s="37">
        <f t="shared" si="130"/>
        <v>0</v>
      </c>
      <c r="G43" s="38">
        <f t="shared" si="131"/>
        <v>0</v>
      </c>
      <c r="H43" s="29">
        <v>23</v>
      </c>
      <c r="I43" s="29">
        <v>23</v>
      </c>
      <c r="J43" s="37">
        <f t="shared" si="132"/>
        <v>0</v>
      </c>
      <c r="K43" s="38">
        <f t="shared" si="133"/>
        <v>0</v>
      </c>
      <c r="L43" s="29">
        <v>23</v>
      </c>
      <c r="M43" s="29">
        <v>23</v>
      </c>
      <c r="N43" s="37">
        <f t="shared" si="134"/>
        <v>0</v>
      </c>
      <c r="O43" s="38">
        <f t="shared" si="135"/>
        <v>0</v>
      </c>
      <c r="P43" s="29">
        <v>23</v>
      </c>
      <c r="Q43" s="29">
        <v>23</v>
      </c>
      <c r="R43" s="37">
        <f t="shared" si="136"/>
        <v>0</v>
      </c>
      <c r="S43" s="38">
        <f t="shared" si="137"/>
        <v>0</v>
      </c>
      <c r="T43" s="29">
        <v>23</v>
      </c>
      <c r="U43" s="29">
        <v>23</v>
      </c>
      <c r="V43" s="29">
        <f t="shared" si="138"/>
        <v>0</v>
      </c>
      <c r="W43" s="38">
        <f t="shared" si="139"/>
        <v>0</v>
      </c>
      <c r="X43" s="29">
        <v>23</v>
      </c>
      <c r="Y43" s="29">
        <v>23</v>
      </c>
      <c r="Z43" s="37">
        <f t="shared" si="140"/>
        <v>0</v>
      </c>
      <c r="AA43" s="38">
        <f t="shared" si="141"/>
        <v>0</v>
      </c>
      <c r="AB43" s="29">
        <v>23</v>
      </c>
      <c r="AC43" s="29">
        <v>23</v>
      </c>
      <c r="AD43" s="37">
        <f t="shared" si="142"/>
        <v>0</v>
      </c>
      <c r="AE43" s="38">
        <f t="shared" si="143"/>
        <v>0</v>
      </c>
      <c r="AF43" s="29">
        <v>23</v>
      </c>
      <c r="AG43" s="29">
        <v>23</v>
      </c>
      <c r="AH43" s="37">
        <f t="shared" si="144"/>
        <v>0</v>
      </c>
      <c r="AI43" s="38">
        <f t="shared" si="145"/>
        <v>0</v>
      </c>
      <c r="AJ43" s="29">
        <v>23</v>
      </c>
      <c r="AK43" s="29">
        <v>23</v>
      </c>
      <c r="AL43" s="37">
        <f t="shared" si="146"/>
        <v>0</v>
      </c>
      <c r="AM43" s="38">
        <f t="shared" si="147"/>
        <v>0</v>
      </c>
      <c r="AN43" s="29">
        <v>23</v>
      </c>
      <c r="AO43" s="29">
        <v>23</v>
      </c>
      <c r="AP43" s="37">
        <f t="shared" si="98"/>
        <v>0</v>
      </c>
      <c r="AQ43" s="38">
        <f t="shared" si="97"/>
        <v>0</v>
      </c>
      <c r="AR43" s="29">
        <v>23</v>
      </c>
      <c r="AS43" s="29">
        <v>23</v>
      </c>
      <c r="AT43" s="37">
        <f t="shared" si="148"/>
        <v>0</v>
      </c>
      <c r="AU43" s="38">
        <f t="shared" si="149"/>
        <v>0</v>
      </c>
      <c r="AV43" s="29">
        <v>23</v>
      </c>
      <c r="AW43" s="29">
        <v>23</v>
      </c>
      <c r="AX43" s="37">
        <f t="shared" si="150"/>
        <v>0</v>
      </c>
      <c r="AY43" s="38">
        <f t="shared" si="99"/>
        <v>0</v>
      </c>
      <c r="AZ43" s="29">
        <v>23</v>
      </c>
      <c r="BA43" s="29">
        <v>23</v>
      </c>
      <c r="BB43" s="37">
        <f t="shared" si="100"/>
        <v>0</v>
      </c>
      <c r="BC43" s="38">
        <f t="shared" si="101"/>
        <v>0</v>
      </c>
      <c r="BD43" s="29">
        <v>23</v>
      </c>
      <c r="BE43" s="29">
        <v>23</v>
      </c>
      <c r="BF43" s="37">
        <f t="shared" si="102"/>
        <v>0</v>
      </c>
      <c r="BG43" s="38">
        <f t="shared" si="103"/>
        <v>0</v>
      </c>
      <c r="BH43" s="29">
        <v>23</v>
      </c>
      <c r="BI43" s="29">
        <v>23</v>
      </c>
      <c r="BJ43" s="37">
        <f t="shared" si="104"/>
        <v>0</v>
      </c>
      <c r="BK43" s="38">
        <f t="shared" si="105"/>
        <v>0</v>
      </c>
      <c r="BL43" s="29">
        <v>23</v>
      </c>
      <c r="BM43" s="29">
        <v>23</v>
      </c>
      <c r="BN43" s="37">
        <f t="shared" si="106"/>
        <v>0</v>
      </c>
      <c r="BO43" s="38">
        <f t="shared" si="107"/>
        <v>0</v>
      </c>
      <c r="BP43" s="29">
        <v>23</v>
      </c>
      <c r="BQ43" s="29">
        <v>23</v>
      </c>
      <c r="BR43" s="37">
        <f t="shared" si="108"/>
        <v>0</v>
      </c>
      <c r="BS43" s="38">
        <f t="shared" si="109"/>
        <v>0</v>
      </c>
      <c r="BT43" s="29">
        <v>23</v>
      </c>
      <c r="BU43" s="29">
        <v>23</v>
      </c>
      <c r="BV43" s="37">
        <f t="shared" si="151"/>
        <v>0</v>
      </c>
      <c r="BW43" s="38">
        <f t="shared" si="110"/>
        <v>0</v>
      </c>
      <c r="BX43" s="29">
        <v>23</v>
      </c>
      <c r="BY43" s="29">
        <v>23</v>
      </c>
      <c r="BZ43" s="37">
        <f t="shared" si="152"/>
        <v>0</v>
      </c>
      <c r="CA43" s="38">
        <f t="shared" si="111"/>
        <v>0</v>
      </c>
      <c r="CB43" s="29">
        <v>23</v>
      </c>
      <c r="CC43" s="29">
        <v>23</v>
      </c>
      <c r="CD43" s="37">
        <f t="shared" si="153"/>
        <v>0</v>
      </c>
      <c r="CE43" s="38">
        <f t="shared" si="112"/>
        <v>0</v>
      </c>
      <c r="CF43" s="29">
        <v>23</v>
      </c>
      <c r="CG43" s="29">
        <v>23</v>
      </c>
      <c r="CH43" s="37">
        <f t="shared" si="113"/>
        <v>0</v>
      </c>
      <c r="CI43" s="38">
        <f t="shared" si="114"/>
        <v>0</v>
      </c>
      <c r="CJ43" s="29">
        <v>23</v>
      </c>
      <c r="CK43" s="29">
        <v>23</v>
      </c>
      <c r="CL43" s="37">
        <f t="shared" si="154"/>
        <v>0</v>
      </c>
      <c r="CM43" s="38">
        <f t="shared" si="115"/>
        <v>0</v>
      </c>
      <c r="CN43" s="29">
        <v>23</v>
      </c>
      <c r="CO43" s="29">
        <v>23</v>
      </c>
      <c r="CP43" s="37">
        <f t="shared" si="116"/>
        <v>0</v>
      </c>
      <c r="CQ43" s="38">
        <f t="shared" si="117"/>
        <v>0</v>
      </c>
      <c r="CR43" s="29">
        <v>23</v>
      </c>
      <c r="CS43" s="29">
        <v>23</v>
      </c>
      <c r="CT43" s="37">
        <f t="shared" si="155"/>
        <v>0</v>
      </c>
      <c r="CU43" s="38">
        <f t="shared" si="118"/>
        <v>0</v>
      </c>
      <c r="CV43" s="29">
        <v>23</v>
      </c>
      <c r="CW43" s="29">
        <v>23</v>
      </c>
      <c r="CX43" s="37">
        <f t="shared" si="156"/>
        <v>0</v>
      </c>
      <c r="CY43" s="38">
        <f t="shared" si="119"/>
        <v>0</v>
      </c>
      <c r="CZ43" s="29">
        <v>23</v>
      </c>
      <c r="DA43" s="29">
        <v>23</v>
      </c>
      <c r="DB43" s="37">
        <f t="shared" si="157"/>
        <v>0</v>
      </c>
      <c r="DC43" s="38">
        <f t="shared" si="120"/>
        <v>0</v>
      </c>
      <c r="DD43" s="29">
        <v>23</v>
      </c>
      <c r="DE43" s="29">
        <v>23</v>
      </c>
      <c r="DF43" s="37">
        <f t="shared" si="158"/>
        <v>0</v>
      </c>
      <c r="DG43" s="38">
        <f t="shared" si="121"/>
        <v>0</v>
      </c>
      <c r="DH43" s="29">
        <v>23</v>
      </c>
      <c r="DI43" s="29">
        <v>23</v>
      </c>
      <c r="DJ43" s="37">
        <f t="shared" si="122"/>
        <v>0</v>
      </c>
      <c r="DK43" s="38">
        <f t="shared" si="123"/>
        <v>0</v>
      </c>
      <c r="DL43" s="29">
        <v>23</v>
      </c>
      <c r="DM43" s="29">
        <v>23</v>
      </c>
      <c r="DN43" s="37">
        <f t="shared" si="124"/>
        <v>0</v>
      </c>
      <c r="DO43" s="38">
        <f t="shared" si="125"/>
        <v>0</v>
      </c>
      <c r="DP43" s="29">
        <v>23</v>
      </c>
      <c r="DQ43" s="29">
        <v>23</v>
      </c>
      <c r="DR43" s="37">
        <f t="shared" si="126"/>
        <v>0</v>
      </c>
      <c r="DS43" s="38">
        <f t="shared" si="127"/>
        <v>0</v>
      </c>
      <c r="DT43" s="29">
        <f>IF($E$1=31,$DX$5,0)</f>
        <v>0</v>
      </c>
      <c r="DU43" s="29">
        <v>23</v>
      </c>
      <c r="DV43" s="29">
        <f t="shared" si="128"/>
        <v>23</v>
      </c>
      <c r="DW43" s="38">
        <f t="shared" si="129"/>
        <v>0</v>
      </c>
      <c r="DX43" s="29">
        <v>23</v>
      </c>
    </row>
    <row r="44" spans="1:128">
      <c r="A44" s="31"/>
      <c r="B44" s="29" t="s">
        <v>796</v>
      </c>
      <c r="C44" s="29" t="s">
        <v>797</v>
      </c>
      <c r="D44" s="29">
        <f>$DX44/$E$1</f>
        <v>0</v>
      </c>
      <c r="E44" s="29">
        <v>0</v>
      </c>
      <c r="F44" s="37">
        <f t="shared" si="130"/>
        <v>0</v>
      </c>
      <c r="G44" s="38">
        <f t="shared" si="131"/>
        <v>0</v>
      </c>
      <c r="H44" s="29">
        <f>$DX44/$E$1</f>
        <v>0</v>
      </c>
      <c r="I44" s="29"/>
      <c r="J44" s="37">
        <f t="shared" si="132"/>
        <v>0</v>
      </c>
      <c r="K44" s="38">
        <f t="shared" si="133"/>
        <v>0</v>
      </c>
      <c r="L44" s="29">
        <f>$DX44/$E$1</f>
        <v>0</v>
      </c>
      <c r="M44" s="29"/>
      <c r="N44" s="37">
        <f t="shared" si="134"/>
        <v>0</v>
      </c>
      <c r="O44" s="38">
        <f t="shared" si="135"/>
        <v>0</v>
      </c>
      <c r="P44" s="29">
        <f>$DX44/$E$1</f>
        <v>0</v>
      </c>
      <c r="Q44" s="29"/>
      <c r="R44" s="37">
        <f t="shared" si="136"/>
        <v>0</v>
      </c>
      <c r="S44" s="38">
        <f t="shared" si="137"/>
        <v>0</v>
      </c>
      <c r="T44" s="29">
        <f>$DX44/$E$1</f>
        <v>0</v>
      </c>
      <c r="U44" s="29"/>
      <c r="V44" s="29">
        <f t="shared" si="138"/>
        <v>0</v>
      </c>
      <c r="W44" s="38">
        <f t="shared" si="139"/>
        <v>0</v>
      </c>
      <c r="X44" s="29">
        <f>$DX44/$E$1</f>
        <v>0</v>
      </c>
      <c r="Y44" s="29"/>
      <c r="Z44" s="37">
        <f t="shared" si="140"/>
        <v>0</v>
      </c>
      <c r="AA44" s="38">
        <f t="shared" si="141"/>
        <v>0</v>
      </c>
      <c r="AB44" s="29">
        <f>$DX44/$E$1</f>
        <v>0</v>
      </c>
      <c r="AC44" s="29"/>
      <c r="AD44" s="37">
        <f t="shared" si="142"/>
        <v>0</v>
      </c>
      <c r="AE44" s="38">
        <f t="shared" si="143"/>
        <v>0</v>
      </c>
      <c r="AF44" s="29">
        <f>$DX44/$E$1</f>
        <v>0</v>
      </c>
      <c r="AG44" s="29"/>
      <c r="AH44" s="37">
        <f t="shared" si="144"/>
        <v>0</v>
      </c>
      <c r="AI44" s="38">
        <f t="shared" si="145"/>
        <v>0</v>
      </c>
      <c r="AJ44" s="29">
        <f>$DX44/$E$1</f>
        <v>0</v>
      </c>
      <c r="AK44" s="29"/>
      <c r="AL44" s="37">
        <f t="shared" si="146"/>
        <v>0</v>
      </c>
      <c r="AM44" s="38">
        <f t="shared" si="147"/>
        <v>0</v>
      </c>
      <c r="AN44" s="29">
        <f>$DX44/$E$1</f>
        <v>0</v>
      </c>
      <c r="AO44" s="29"/>
      <c r="AP44" s="37">
        <f t="shared" si="98"/>
        <v>0</v>
      </c>
      <c r="AQ44" s="38">
        <f t="shared" si="97"/>
        <v>0</v>
      </c>
      <c r="AR44" s="29">
        <f t="shared" ref="AR44:AR55" si="164">$DX44/$E$1</f>
        <v>0</v>
      </c>
      <c r="AS44" s="29"/>
      <c r="AT44" s="37">
        <f t="shared" si="148"/>
        <v>0</v>
      </c>
      <c r="AU44" s="38">
        <f t="shared" si="149"/>
        <v>0</v>
      </c>
      <c r="AV44" s="29">
        <f>$DX44/$E$1</f>
        <v>0</v>
      </c>
      <c r="AW44" s="29"/>
      <c r="AX44" s="37">
        <f t="shared" si="150"/>
        <v>0</v>
      </c>
      <c r="AY44" s="38">
        <f t="shared" si="99"/>
        <v>0</v>
      </c>
      <c r="AZ44" s="29">
        <f>$DX44/$E$1</f>
        <v>0</v>
      </c>
      <c r="BA44" s="29"/>
      <c r="BB44" s="37">
        <f t="shared" si="100"/>
        <v>0</v>
      </c>
      <c r="BC44" s="38">
        <f t="shared" si="101"/>
        <v>0</v>
      </c>
      <c r="BD44" s="29">
        <f>$DX44/$E$1</f>
        <v>0</v>
      </c>
      <c r="BE44" s="29"/>
      <c r="BF44" s="37">
        <f t="shared" si="102"/>
        <v>0</v>
      </c>
      <c r="BG44" s="38">
        <f t="shared" si="103"/>
        <v>0</v>
      </c>
      <c r="BH44" s="29">
        <f>$DX44/$E$1</f>
        <v>0</v>
      </c>
      <c r="BI44" s="29"/>
      <c r="BJ44" s="37">
        <f t="shared" si="104"/>
        <v>0</v>
      </c>
      <c r="BK44" s="38">
        <f t="shared" si="105"/>
        <v>0</v>
      </c>
      <c r="BL44" s="29">
        <f>$DX44/$E$1</f>
        <v>0</v>
      </c>
      <c r="BM44" s="29"/>
      <c r="BN44" s="37">
        <f t="shared" si="106"/>
        <v>0</v>
      </c>
      <c r="BO44" s="38">
        <f t="shared" si="107"/>
        <v>0</v>
      </c>
      <c r="BP44" s="29">
        <f>$DX44/$E$1</f>
        <v>0</v>
      </c>
      <c r="BQ44" s="29"/>
      <c r="BR44" s="37">
        <f t="shared" si="108"/>
        <v>0</v>
      </c>
      <c r="BS44" s="38">
        <f t="shared" si="109"/>
        <v>0</v>
      </c>
      <c r="BT44" s="29">
        <f>$DX44/$E$1</f>
        <v>0</v>
      </c>
      <c r="BU44" s="29"/>
      <c r="BV44" s="37">
        <f t="shared" si="151"/>
        <v>0</v>
      </c>
      <c r="BW44" s="38">
        <f t="shared" si="110"/>
        <v>0</v>
      </c>
      <c r="BX44" s="29">
        <f>$DX44/$E$1</f>
        <v>0</v>
      </c>
      <c r="BY44" s="29"/>
      <c r="BZ44" s="37">
        <f t="shared" si="152"/>
        <v>0</v>
      </c>
      <c r="CA44" s="38">
        <f t="shared" si="111"/>
        <v>0</v>
      </c>
      <c r="CB44" s="29">
        <f>$DX44/$E$1</f>
        <v>0</v>
      </c>
      <c r="CC44" s="29"/>
      <c r="CD44" s="37">
        <f t="shared" si="153"/>
        <v>0</v>
      </c>
      <c r="CE44" s="38">
        <f t="shared" si="112"/>
        <v>0</v>
      </c>
      <c r="CF44" s="29">
        <f>$DX44/$E$1</f>
        <v>0</v>
      </c>
      <c r="CG44" s="29"/>
      <c r="CH44" s="37">
        <f t="shared" si="113"/>
        <v>0</v>
      </c>
      <c r="CI44" s="38">
        <f t="shared" si="114"/>
        <v>0</v>
      </c>
      <c r="CJ44" s="29">
        <f>$DX44/$E$1</f>
        <v>0</v>
      </c>
      <c r="CK44" s="29"/>
      <c r="CL44" s="37">
        <f t="shared" si="154"/>
        <v>0</v>
      </c>
      <c r="CM44" s="38">
        <f t="shared" si="115"/>
        <v>0</v>
      </c>
      <c r="CN44" s="29">
        <f>$DX44/$E$1</f>
        <v>0</v>
      </c>
      <c r="CO44" s="29"/>
      <c r="CP44" s="37">
        <f t="shared" si="116"/>
        <v>0</v>
      </c>
      <c r="CQ44" s="38">
        <f t="shared" si="117"/>
        <v>0</v>
      </c>
      <c r="CR44" s="29">
        <f>$DX44/$E$1</f>
        <v>0</v>
      </c>
      <c r="CS44" s="29"/>
      <c r="CT44" s="37">
        <f t="shared" si="155"/>
        <v>0</v>
      </c>
      <c r="CU44" s="38">
        <f t="shared" si="118"/>
        <v>0</v>
      </c>
      <c r="CV44" s="29">
        <f>$DX44/$E$1</f>
        <v>0</v>
      </c>
      <c r="CW44" s="29"/>
      <c r="CX44" s="37">
        <f t="shared" si="156"/>
        <v>0</v>
      </c>
      <c r="CY44" s="38">
        <f t="shared" si="119"/>
        <v>0</v>
      </c>
      <c r="CZ44" s="29">
        <f>$DX44/$E$1</f>
        <v>0</v>
      </c>
      <c r="DA44" s="29"/>
      <c r="DB44" s="37">
        <f t="shared" si="157"/>
        <v>0</v>
      </c>
      <c r="DC44" s="38">
        <f t="shared" si="120"/>
        <v>0</v>
      </c>
      <c r="DD44" s="29">
        <f>$DX44/$E$1</f>
        <v>0</v>
      </c>
      <c r="DE44" s="29"/>
      <c r="DF44" s="37">
        <f t="shared" si="158"/>
        <v>0</v>
      </c>
      <c r="DG44" s="38">
        <f t="shared" si="121"/>
        <v>0</v>
      </c>
      <c r="DH44" s="29">
        <f>$DX44/$E$1</f>
        <v>0</v>
      </c>
      <c r="DI44" s="29"/>
      <c r="DJ44" s="37">
        <f t="shared" si="122"/>
        <v>0</v>
      </c>
      <c r="DK44" s="38">
        <f t="shared" si="123"/>
        <v>0</v>
      </c>
      <c r="DL44" s="29">
        <f>$DX44/$E$1</f>
        <v>0</v>
      </c>
      <c r="DM44" s="29"/>
      <c r="DN44" s="37">
        <f t="shared" si="124"/>
        <v>0</v>
      </c>
      <c r="DO44" s="38">
        <f t="shared" si="125"/>
        <v>0</v>
      </c>
      <c r="DP44" s="29">
        <f>$DX44/$E$1</f>
        <v>0</v>
      </c>
      <c r="DQ44" s="29"/>
      <c r="DR44" s="37">
        <f t="shared" si="126"/>
        <v>0</v>
      </c>
      <c r="DS44" s="38">
        <f t="shared" si="127"/>
        <v>0</v>
      </c>
      <c r="DT44" s="29">
        <f>$DX44/$E$1</f>
        <v>0</v>
      </c>
      <c r="DU44" s="29"/>
      <c r="DV44" s="29">
        <f t="shared" si="128"/>
        <v>0</v>
      </c>
      <c r="DW44" s="38">
        <f t="shared" si="129"/>
        <v>0</v>
      </c>
      <c r="DX44" s="29">
        <v>0</v>
      </c>
    </row>
    <row r="45" spans="1:128">
      <c r="A45" s="31"/>
      <c r="B45" s="29" t="s">
        <v>798</v>
      </c>
      <c r="C45" s="29" t="s">
        <v>799</v>
      </c>
      <c r="D45" s="29">
        <v>23</v>
      </c>
      <c r="E45" s="29">
        <f>SUM(E43:E44)</f>
        <v>23</v>
      </c>
      <c r="F45" s="37">
        <f t="shared" si="130"/>
        <v>0</v>
      </c>
      <c r="G45" s="38">
        <f t="shared" si="131"/>
        <v>0</v>
      </c>
      <c r="H45" s="29">
        <v>23</v>
      </c>
      <c r="I45" s="29">
        <f>SUM(I43:I44)</f>
        <v>23</v>
      </c>
      <c r="J45" s="37">
        <f t="shared" si="132"/>
        <v>0</v>
      </c>
      <c r="K45" s="38">
        <f t="shared" si="133"/>
        <v>0</v>
      </c>
      <c r="L45" s="29">
        <v>23</v>
      </c>
      <c r="M45" s="29">
        <f>SUM(M43:M44)</f>
        <v>23</v>
      </c>
      <c r="N45" s="37">
        <f t="shared" si="134"/>
        <v>0</v>
      </c>
      <c r="O45" s="38">
        <f t="shared" si="135"/>
        <v>0</v>
      </c>
      <c r="P45" s="29">
        <v>23</v>
      </c>
      <c r="Q45" s="29">
        <f>SUM(Q43:Q44)</f>
        <v>23</v>
      </c>
      <c r="R45" s="37">
        <f t="shared" si="136"/>
        <v>0</v>
      </c>
      <c r="S45" s="38">
        <f t="shared" si="137"/>
        <v>0</v>
      </c>
      <c r="T45" s="29">
        <v>23</v>
      </c>
      <c r="U45" s="29">
        <f>SUM(U43:U44)</f>
        <v>23</v>
      </c>
      <c r="V45" s="29">
        <f t="shared" si="138"/>
        <v>0</v>
      </c>
      <c r="W45" s="38">
        <f t="shared" si="139"/>
        <v>0</v>
      </c>
      <c r="X45" s="29">
        <v>23</v>
      </c>
      <c r="Y45" s="29">
        <f>SUM(Y43:Y44)</f>
        <v>23</v>
      </c>
      <c r="Z45" s="37">
        <f t="shared" si="140"/>
        <v>0</v>
      </c>
      <c r="AA45" s="38">
        <f t="shared" si="141"/>
        <v>0</v>
      </c>
      <c r="AB45" s="29">
        <v>23</v>
      </c>
      <c r="AC45" s="29">
        <f>SUM(AC43:AC44)</f>
        <v>23</v>
      </c>
      <c r="AD45" s="37">
        <f t="shared" si="142"/>
        <v>0</v>
      </c>
      <c r="AE45" s="38">
        <f t="shared" si="143"/>
        <v>0</v>
      </c>
      <c r="AF45" s="29">
        <v>23</v>
      </c>
      <c r="AG45" s="29">
        <f>SUM(AG43:AG44)</f>
        <v>23</v>
      </c>
      <c r="AH45" s="37">
        <f t="shared" si="144"/>
        <v>0</v>
      </c>
      <c r="AI45" s="38">
        <f t="shared" si="145"/>
        <v>0</v>
      </c>
      <c r="AJ45" s="29">
        <v>23</v>
      </c>
      <c r="AK45" s="29">
        <f>SUM(AK43:AK44)</f>
        <v>23</v>
      </c>
      <c r="AL45" s="37">
        <f t="shared" si="146"/>
        <v>0</v>
      </c>
      <c r="AM45" s="38">
        <f t="shared" si="147"/>
        <v>0</v>
      </c>
      <c r="AN45" s="29">
        <v>23</v>
      </c>
      <c r="AO45" s="29">
        <f>SUM(AO43:AO44)</f>
        <v>23</v>
      </c>
      <c r="AP45" s="37">
        <f t="shared" si="98"/>
        <v>0</v>
      </c>
      <c r="AQ45" s="38">
        <f t="shared" si="97"/>
        <v>0</v>
      </c>
      <c r="AR45" s="29">
        <v>23</v>
      </c>
      <c r="AS45" s="29">
        <f>SUM(AS43:AS44)</f>
        <v>23</v>
      </c>
      <c r="AT45" s="37">
        <f t="shared" si="148"/>
        <v>0</v>
      </c>
      <c r="AU45" s="38">
        <f t="shared" si="149"/>
        <v>0</v>
      </c>
      <c r="AV45" s="29">
        <v>23</v>
      </c>
      <c r="AW45" s="29">
        <f>SUM(AW43:AW44)</f>
        <v>23</v>
      </c>
      <c r="AX45" s="37">
        <f t="shared" si="150"/>
        <v>0</v>
      </c>
      <c r="AY45" s="38">
        <f t="shared" si="99"/>
        <v>0</v>
      </c>
      <c r="AZ45" s="29">
        <v>23</v>
      </c>
      <c r="BA45" s="29">
        <f>SUM(BA43:BA44)</f>
        <v>23</v>
      </c>
      <c r="BB45" s="37">
        <f t="shared" si="100"/>
        <v>0</v>
      </c>
      <c r="BC45" s="38">
        <f t="shared" si="101"/>
        <v>0</v>
      </c>
      <c r="BD45" s="29">
        <v>23</v>
      </c>
      <c r="BE45" s="29">
        <f>SUM(BE43:BE44)</f>
        <v>23</v>
      </c>
      <c r="BF45" s="37">
        <f t="shared" si="102"/>
        <v>0</v>
      </c>
      <c r="BG45" s="38">
        <f t="shared" si="103"/>
        <v>0</v>
      </c>
      <c r="BH45" s="29">
        <v>23</v>
      </c>
      <c r="BI45" s="29">
        <f>SUM(BI43:BI44)</f>
        <v>23</v>
      </c>
      <c r="BJ45" s="37">
        <f t="shared" si="104"/>
        <v>0</v>
      </c>
      <c r="BK45" s="38">
        <f t="shared" si="105"/>
        <v>0</v>
      </c>
      <c r="BL45" s="29">
        <v>23</v>
      </c>
      <c r="BM45" s="29">
        <f>SUM(BM43:BM44)</f>
        <v>23</v>
      </c>
      <c r="BN45" s="37">
        <f t="shared" si="106"/>
        <v>0</v>
      </c>
      <c r="BO45" s="38">
        <f t="shared" si="107"/>
        <v>0</v>
      </c>
      <c r="BP45" s="29">
        <v>23</v>
      </c>
      <c r="BQ45" s="29">
        <f>SUM(BQ43:BQ44)</f>
        <v>23</v>
      </c>
      <c r="BR45" s="37">
        <f t="shared" si="108"/>
        <v>0</v>
      </c>
      <c r="BS45" s="38">
        <f t="shared" si="109"/>
        <v>0</v>
      </c>
      <c r="BT45" s="29">
        <v>23</v>
      </c>
      <c r="BU45" s="29">
        <f>SUM(BU43:BU44)</f>
        <v>23</v>
      </c>
      <c r="BV45" s="37">
        <f t="shared" si="151"/>
        <v>0</v>
      </c>
      <c r="BW45" s="38">
        <f t="shared" si="110"/>
        <v>0</v>
      </c>
      <c r="BX45" s="29">
        <v>23</v>
      </c>
      <c r="BY45" s="29">
        <f>SUM(BY43:BY44)</f>
        <v>23</v>
      </c>
      <c r="BZ45" s="37">
        <f t="shared" si="152"/>
        <v>0</v>
      </c>
      <c r="CA45" s="38">
        <f t="shared" si="111"/>
        <v>0</v>
      </c>
      <c r="CB45" s="29">
        <v>23</v>
      </c>
      <c r="CC45" s="29">
        <f>SUM(CC43:CC44)</f>
        <v>23</v>
      </c>
      <c r="CD45" s="37">
        <f t="shared" si="153"/>
        <v>0</v>
      </c>
      <c r="CE45" s="38">
        <f t="shared" si="112"/>
        <v>0</v>
      </c>
      <c r="CF45" s="29">
        <v>23</v>
      </c>
      <c r="CG45" s="29">
        <f>SUM(CG43:CG44)</f>
        <v>23</v>
      </c>
      <c r="CH45" s="37">
        <f t="shared" si="113"/>
        <v>0</v>
      </c>
      <c r="CI45" s="38">
        <f t="shared" si="114"/>
        <v>0</v>
      </c>
      <c r="CJ45" s="29">
        <v>23</v>
      </c>
      <c r="CK45" s="29">
        <f>SUM(CK43:CK44)</f>
        <v>23</v>
      </c>
      <c r="CL45" s="37">
        <f t="shared" si="154"/>
        <v>0</v>
      </c>
      <c r="CM45" s="38">
        <f t="shared" si="115"/>
        <v>0</v>
      </c>
      <c r="CN45" s="29">
        <v>23</v>
      </c>
      <c r="CO45" s="29">
        <f>SUM(CO43:CO44)</f>
        <v>23</v>
      </c>
      <c r="CP45" s="37">
        <f t="shared" si="116"/>
        <v>0</v>
      </c>
      <c r="CQ45" s="38">
        <f t="shared" si="117"/>
        <v>0</v>
      </c>
      <c r="CR45" s="29">
        <v>23</v>
      </c>
      <c r="CS45" s="29">
        <f>SUM(CS43:CS44)</f>
        <v>23</v>
      </c>
      <c r="CT45" s="37">
        <f t="shared" si="155"/>
        <v>0</v>
      </c>
      <c r="CU45" s="38">
        <f t="shared" si="118"/>
        <v>0</v>
      </c>
      <c r="CV45" s="29">
        <v>23</v>
      </c>
      <c r="CW45" s="29">
        <f>SUM(CW43:CW44)</f>
        <v>23</v>
      </c>
      <c r="CX45" s="37">
        <f t="shared" si="156"/>
        <v>0</v>
      </c>
      <c r="CY45" s="38">
        <f t="shared" si="119"/>
        <v>0</v>
      </c>
      <c r="CZ45" s="29">
        <v>23</v>
      </c>
      <c r="DA45" s="29">
        <f>SUM(DA43:DA44)</f>
        <v>23</v>
      </c>
      <c r="DB45" s="37">
        <f t="shared" si="157"/>
        <v>0</v>
      </c>
      <c r="DC45" s="38">
        <f t="shared" si="120"/>
        <v>0</v>
      </c>
      <c r="DD45" s="29">
        <v>23</v>
      </c>
      <c r="DE45" s="29">
        <f>SUM(DE43:DE44)</f>
        <v>23</v>
      </c>
      <c r="DF45" s="37">
        <f t="shared" si="158"/>
        <v>0</v>
      </c>
      <c r="DG45" s="38">
        <f t="shared" si="121"/>
        <v>0</v>
      </c>
      <c r="DH45" s="29">
        <v>23</v>
      </c>
      <c r="DI45" s="29">
        <f>SUM(DI43:DI44)</f>
        <v>23</v>
      </c>
      <c r="DJ45" s="37">
        <f t="shared" si="122"/>
        <v>0</v>
      </c>
      <c r="DK45" s="38">
        <f t="shared" si="123"/>
        <v>0</v>
      </c>
      <c r="DL45" s="29">
        <v>23</v>
      </c>
      <c r="DM45" s="29">
        <f>SUM(DM43:DM44)</f>
        <v>23</v>
      </c>
      <c r="DN45" s="37">
        <f t="shared" si="124"/>
        <v>0</v>
      </c>
      <c r="DO45" s="38">
        <f t="shared" si="125"/>
        <v>0</v>
      </c>
      <c r="DP45" s="29">
        <v>23</v>
      </c>
      <c r="DQ45" s="29">
        <f>SUM(DQ43:DQ44)</f>
        <v>23</v>
      </c>
      <c r="DR45" s="37">
        <f t="shared" si="126"/>
        <v>0</v>
      </c>
      <c r="DS45" s="38">
        <f t="shared" si="127"/>
        <v>0</v>
      </c>
      <c r="DT45" s="29">
        <f>SUM(DT43:DT44)</f>
        <v>0</v>
      </c>
      <c r="DU45" s="29">
        <f>SUM(DU43:DU44)</f>
        <v>23</v>
      </c>
      <c r="DV45" s="29">
        <f t="shared" si="128"/>
        <v>23</v>
      </c>
      <c r="DW45" s="38">
        <f t="shared" si="129"/>
        <v>0</v>
      </c>
      <c r="DX45" s="29">
        <f>SUM(DX43:DX44)</f>
        <v>23</v>
      </c>
    </row>
    <row r="46" spans="1:128">
      <c r="A46" s="29" t="s">
        <v>800</v>
      </c>
      <c r="B46" s="29" t="s">
        <v>801</v>
      </c>
      <c r="C46" s="29" t="s">
        <v>802</v>
      </c>
      <c r="D46" s="29"/>
      <c r="E46" s="29">
        <f>SUMIF(汇总表!$B$1:$AF$1,E$3,汇总表!$B52:$AG52)</f>
        <v>176</v>
      </c>
      <c r="F46" s="37">
        <f t="shared" si="130"/>
        <v>176</v>
      </c>
      <c r="G46" s="38">
        <f t="shared" si="131"/>
        <v>0</v>
      </c>
      <c r="H46" s="29"/>
      <c r="I46" s="29">
        <f>SUMIF(汇总表!$B$1:$AF$1,I$3,汇总表!$B52:$AG52)</f>
        <v>192</v>
      </c>
      <c r="J46" s="37">
        <f t="shared" si="132"/>
        <v>192</v>
      </c>
      <c r="K46" s="38">
        <f t="shared" si="133"/>
        <v>0</v>
      </c>
      <c r="L46" s="29"/>
      <c r="M46" s="29">
        <f>SUMIF(汇总表!$B$1:$AF$1,M$3,汇总表!$B52:$AG52)</f>
        <v>196</v>
      </c>
      <c r="N46" s="37">
        <f t="shared" si="134"/>
        <v>196</v>
      </c>
      <c r="O46" s="38">
        <f t="shared" si="135"/>
        <v>0</v>
      </c>
      <c r="P46" s="29"/>
      <c r="Q46" s="29">
        <f>SUMIF(汇总表!$B$1:$AF$1,Q$3,汇总表!$B52:$AG52)</f>
        <v>198.5</v>
      </c>
      <c r="R46" s="37">
        <f t="shared" si="136"/>
        <v>198.5</v>
      </c>
      <c r="S46" s="38">
        <f t="shared" si="137"/>
        <v>0</v>
      </c>
      <c r="T46" s="29"/>
      <c r="U46" s="29">
        <f>SUMIF(汇总表!$B$1:$AF$1,U$3,汇总表!$B52:$AG52)</f>
        <v>213.5</v>
      </c>
      <c r="V46" s="29">
        <f t="shared" si="138"/>
        <v>213.5</v>
      </c>
      <c r="W46" s="38">
        <f t="shared" si="139"/>
        <v>0</v>
      </c>
      <c r="X46" s="29"/>
      <c r="Y46" s="29">
        <f>SUMIF(汇总表!$B$1:$AF$1,Y$3,汇总表!$B52:$AG52)</f>
        <v>184</v>
      </c>
      <c r="Z46" s="37">
        <f t="shared" si="140"/>
        <v>184</v>
      </c>
      <c r="AA46" s="38">
        <f t="shared" si="141"/>
        <v>0</v>
      </c>
      <c r="AB46" s="29"/>
      <c r="AC46" s="29">
        <f>SUMIF(汇总表!$B$1:$AF$1,AC$3,汇总表!$B52:$AG52)</f>
        <v>170</v>
      </c>
      <c r="AD46" s="37">
        <f t="shared" si="142"/>
        <v>170</v>
      </c>
      <c r="AE46" s="38">
        <f t="shared" si="143"/>
        <v>0</v>
      </c>
      <c r="AF46" s="29"/>
      <c r="AG46" s="29">
        <f>SUMIF(汇总表!$B$1:$AF$1,AG$3,汇总表!$B52:$AG52)</f>
        <v>192</v>
      </c>
      <c r="AH46" s="37">
        <f t="shared" si="144"/>
        <v>192</v>
      </c>
      <c r="AI46" s="38">
        <f t="shared" si="145"/>
        <v>0</v>
      </c>
      <c r="AJ46" s="29"/>
      <c r="AK46" s="29">
        <f>SUMIF(汇总表!$B$1:$AF$1,AK$3,汇总表!$B52:$AG52)</f>
        <v>176</v>
      </c>
      <c r="AL46" s="37">
        <f t="shared" si="146"/>
        <v>176</v>
      </c>
      <c r="AM46" s="38">
        <f t="shared" si="147"/>
        <v>0</v>
      </c>
      <c r="AN46" s="29"/>
      <c r="AO46" s="29">
        <f>SUMIF(汇总表!$B$1:$AF$1,AO$3,汇总表!$B52:$AG52)</f>
        <v>200</v>
      </c>
      <c r="AP46" s="37">
        <f t="shared" si="98"/>
        <v>200</v>
      </c>
      <c r="AQ46" s="38">
        <f t="shared" si="97"/>
        <v>0</v>
      </c>
      <c r="AR46" s="29"/>
      <c r="AS46" s="29">
        <f>SUMIF(汇总表!$B$1:$AF$1,AS$3,汇总表!$B52:$AG52)</f>
        <v>201</v>
      </c>
      <c r="AT46" s="37">
        <f t="shared" si="148"/>
        <v>201</v>
      </c>
      <c r="AU46" s="38">
        <f t="shared" si="149"/>
        <v>0</v>
      </c>
      <c r="AV46" s="29"/>
      <c r="AW46" s="29">
        <f>SUMIF(汇总表!$B$1:$AF$1,AW$3,汇总表!$B52:$AG52)</f>
        <v>200.5</v>
      </c>
      <c r="AX46" s="37">
        <f t="shared" si="150"/>
        <v>200.5</v>
      </c>
      <c r="AY46" s="38">
        <f t="shared" si="99"/>
        <v>0</v>
      </c>
      <c r="AZ46" s="29"/>
      <c r="BA46" s="29">
        <f>SUMIF(汇总表!$B$1:$AF$1,BA$3,汇总表!$B52:$AG52)</f>
        <v>200</v>
      </c>
      <c r="BB46" s="37">
        <f t="shared" si="100"/>
        <v>200</v>
      </c>
      <c r="BC46" s="38">
        <f t="shared" si="101"/>
        <v>0</v>
      </c>
      <c r="BD46" s="29"/>
      <c r="BE46" s="29">
        <f>SUMIF(汇总表!$B$1:$AF$1,BE$3,汇总表!$B52:$AG52)</f>
        <v>176</v>
      </c>
      <c r="BF46" s="37">
        <f t="shared" si="102"/>
        <v>176</v>
      </c>
      <c r="BG46" s="38">
        <f t="shared" si="103"/>
        <v>0</v>
      </c>
      <c r="BH46" s="29"/>
      <c r="BI46" s="29">
        <f>SUMIF(汇总表!$B$1:$AF$1,BI$3,汇总表!$B52:$AG52)</f>
        <v>200</v>
      </c>
      <c r="BJ46" s="37">
        <f t="shared" si="104"/>
        <v>200</v>
      </c>
      <c r="BK46" s="38">
        <f t="shared" si="105"/>
        <v>0</v>
      </c>
      <c r="BL46" s="29"/>
      <c r="BM46" s="29">
        <f>SUMIF(汇总表!$B$1:$AF$1,BM$3,汇总表!$B52:$AG52)</f>
        <v>197.5</v>
      </c>
      <c r="BN46" s="37">
        <f t="shared" si="106"/>
        <v>197.5</v>
      </c>
      <c r="BO46" s="38">
        <f t="shared" si="107"/>
        <v>0</v>
      </c>
      <c r="BP46" s="29"/>
      <c r="BQ46" s="29">
        <f>SUMIF(汇总表!$B$1:$AF$1,BQ$3,汇总表!$B52:$AG52)</f>
        <v>193</v>
      </c>
      <c r="BR46" s="37">
        <f t="shared" si="108"/>
        <v>193</v>
      </c>
      <c r="BS46" s="38">
        <f t="shared" si="109"/>
        <v>0</v>
      </c>
      <c r="BT46" s="29"/>
      <c r="BU46" s="29">
        <f>SUMIF(汇总表!$B$1:$AF$1,BU$3,汇总表!$B52:$AG52)</f>
        <v>216</v>
      </c>
      <c r="BV46" s="37">
        <f t="shared" si="151"/>
        <v>216</v>
      </c>
      <c r="BW46" s="38">
        <f t="shared" si="110"/>
        <v>0</v>
      </c>
      <c r="BX46" s="29"/>
      <c r="BY46" s="29">
        <f>SUMIF(汇总表!$B$1:$AF$1,BY$3,汇总表!$B52:$AG52)</f>
        <v>202</v>
      </c>
      <c r="BZ46" s="37">
        <f t="shared" si="152"/>
        <v>202</v>
      </c>
      <c r="CA46" s="38">
        <f t="shared" si="111"/>
        <v>0</v>
      </c>
      <c r="CB46" s="29"/>
      <c r="CC46" s="29">
        <f>SUMIF(汇总表!$B$1:$AF$1,CC$3,汇总表!$B52:$AG52)</f>
        <v>208</v>
      </c>
      <c r="CD46" s="37">
        <f t="shared" si="153"/>
        <v>208</v>
      </c>
      <c r="CE46" s="38">
        <f t="shared" si="112"/>
        <v>0</v>
      </c>
      <c r="CF46" s="29"/>
      <c r="CG46" s="29">
        <f>SUMIF(汇总表!$B$1:$AF$1,CG$3,汇总表!$B52:$AG52)</f>
        <v>212</v>
      </c>
      <c r="CH46" s="37">
        <f t="shared" si="113"/>
        <v>212</v>
      </c>
      <c r="CI46" s="38">
        <f t="shared" si="114"/>
        <v>0</v>
      </c>
      <c r="CJ46" s="29"/>
      <c r="CK46" s="29">
        <f>SUMIF(汇总表!$B$1:$AF$1,CK$3,汇总表!$B52:$AG52)</f>
        <v>208</v>
      </c>
      <c r="CL46" s="37">
        <f t="shared" si="154"/>
        <v>208</v>
      </c>
      <c r="CM46" s="38">
        <f t="shared" si="115"/>
        <v>0</v>
      </c>
      <c r="CN46" s="29"/>
      <c r="CO46" s="29">
        <f>SUMIF(汇总表!$B$1:$AF$1,CO$3,汇总表!$B52:$AG52)</f>
        <v>198</v>
      </c>
      <c r="CP46" s="37">
        <f t="shared" si="116"/>
        <v>198</v>
      </c>
      <c r="CQ46" s="38">
        <f t="shared" si="117"/>
        <v>0</v>
      </c>
      <c r="CR46" s="29"/>
      <c r="CS46" s="29">
        <f>SUMIF(汇总表!$B$1:$AF$1,CS$3,汇总表!$B52:$AG52)</f>
        <v>189</v>
      </c>
      <c r="CT46" s="37">
        <f t="shared" si="155"/>
        <v>189</v>
      </c>
      <c r="CU46" s="38">
        <f t="shared" si="118"/>
        <v>0</v>
      </c>
      <c r="CV46" s="29"/>
      <c r="CW46" s="29">
        <f>SUMIF(汇总表!$B$1:$AF$1,CW$3,汇总表!$B52:$AG52)</f>
        <v>200</v>
      </c>
      <c r="CX46" s="37">
        <f t="shared" si="156"/>
        <v>200</v>
      </c>
      <c r="CY46" s="38">
        <f t="shared" si="119"/>
        <v>0</v>
      </c>
      <c r="CZ46" s="29"/>
      <c r="DA46" s="29">
        <f>SUMIF(汇总表!$B$1:$AF$1,DA$3,汇总表!$B52:$AG52)</f>
        <v>213</v>
      </c>
      <c r="DB46" s="37">
        <f t="shared" si="157"/>
        <v>213</v>
      </c>
      <c r="DC46" s="38">
        <f t="shared" si="120"/>
        <v>0</v>
      </c>
      <c r="DD46" s="29"/>
      <c r="DE46" s="29">
        <f>SUMIF(汇总表!$B$1:$AF$1,DE$3,汇总表!$B52:$AG52)</f>
        <v>192</v>
      </c>
      <c r="DF46" s="37">
        <f t="shared" si="158"/>
        <v>192</v>
      </c>
      <c r="DG46" s="38">
        <f t="shared" si="121"/>
        <v>0</v>
      </c>
      <c r="DH46" s="29"/>
      <c r="DI46" s="29">
        <f>SUMIF(汇总表!$B$1:$AF$1,DI$3,汇总表!$B52:$AG52)</f>
        <v>201.5</v>
      </c>
      <c r="DJ46" s="37">
        <f t="shared" si="122"/>
        <v>201.5</v>
      </c>
      <c r="DK46" s="38">
        <f t="shared" si="123"/>
        <v>0</v>
      </c>
      <c r="DL46" s="29"/>
      <c r="DM46" s="29">
        <f>SUMIF(汇总表!$B$1:$AF$1,DM$3,汇总表!$B52:$AG52)</f>
        <v>212</v>
      </c>
      <c r="DN46" s="37">
        <f t="shared" si="124"/>
        <v>212</v>
      </c>
      <c r="DO46" s="38">
        <f t="shared" si="125"/>
        <v>0</v>
      </c>
      <c r="DP46" s="29"/>
      <c r="DQ46" s="29">
        <f>SUMIF(汇总表!$B$1:$AF$1,DQ$3,汇总表!$B52:$AG52)</f>
        <v>208</v>
      </c>
      <c r="DR46" s="37">
        <f t="shared" si="126"/>
        <v>208</v>
      </c>
      <c r="DS46" s="38">
        <f t="shared" si="127"/>
        <v>0</v>
      </c>
      <c r="DT46" s="29"/>
      <c r="DU46" s="29">
        <f>SUMIF(汇总表!$B$1:$AF$1,DU$3,汇总表!$B52:$AG52)</f>
        <v>189.5</v>
      </c>
      <c r="DV46" s="29">
        <f t="shared" si="128"/>
        <v>189.5</v>
      </c>
      <c r="DW46" s="38">
        <f t="shared" si="129"/>
        <v>0</v>
      </c>
      <c r="DX46" s="29"/>
    </row>
    <row r="47" spans="1:128">
      <c r="A47" s="31"/>
      <c r="B47" s="29" t="s">
        <v>803</v>
      </c>
      <c r="C47" s="29" t="s">
        <v>804</v>
      </c>
      <c r="D47" s="29">
        <f t="shared" ref="D46:D55" si="165">$DX47/$E$1</f>
        <v>0</v>
      </c>
      <c r="E47" s="29">
        <v>0</v>
      </c>
      <c r="F47" s="37">
        <f t="shared" si="130"/>
        <v>0</v>
      </c>
      <c r="G47" s="38">
        <f t="shared" si="131"/>
        <v>0</v>
      </c>
      <c r="H47" s="29">
        <f t="shared" ref="H46:H55" si="166">$DX47/$E$1</f>
        <v>0</v>
      </c>
      <c r="I47" s="29"/>
      <c r="J47" s="37">
        <f t="shared" si="132"/>
        <v>0</v>
      </c>
      <c r="K47" s="38">
        <f t="shared" si="133"/>
        <v>0</v>
      </c>
      <c r="L47" s="29">
        <f t="shared" ref="L46:L55" si="167">$DX47/$E$1</f>
        <v>0</v>
      </c>
      <c r="M47" s="29"/>
      <c r="N47" s="37">
        <f t="shared" si="134"/>
        <v>0</v>
      </c>
      <c r="O47" s="38">
        <f t="shared" si="135"/>
        <v>0</v>
      </c>
      <c r="P47" s="29">
        <f t="shared" ref="P46:P55" si="168">$DX47/$E$1</f>
        <v>0</v>
      </c>
      <c r="Q47" s="29"/>
      <c r="R47" s="37">
        <f t="shared" si="136"/>
        <v>0</v>
      </c>
      <c r="S47" s="38">
        <f t="shared" si="137"/>
        <v>0</v>
      </c>
      <c r="T47" s="29">
        <f t="shared" ref="T46:T55" si="169">$DX47/$E$1</f>
        <v>0</v>
      </c>
      <c r="U47" s="29"/>
      <c r="V47" s="29">
        <f t="shared" si="138"/>
        <v>0</v>
      </c>
      <c r="W47" s="38">
        <f t="shared" si="139"/>
        <v>0</v>
      </c>
      <c r="X47" s="29">
        <f t="shared" ref="X46:X55" si="170">$DX47/$E$1</f>
        <v>0</v>
      </c>
      <c r="Y47" s="29"/>
      <c r="Z47" s="37">
        <f t="shared" si="140"/>
        <v>0</v>
      </c>
      <c r="AA47" s="38">
        <f t="shared" si="141"/>
        <v>0</v>
      </c>
      <c r="AB47" s="29">
        <f t="shared" ref="AB46:AB55" si="171">$DX47/$E$1</f>
        <v>0</v>
      </c>
      <c r="AC47" s="29"/>
      <c r="AD47" s="37">
        <f t="shared" si="142"/>
        <v>0</v>
      </c>
      <c r="AE47" s="38">
        <f t="shared" si="143"/>
        <v>0</v>
      </c>
      <c r="AF47" s="29">
        <f t="shared" ref="AF46:AF55" si="172">$DX47/$E$1</f>
        <v>0</v>
      </c>
      <c r="AG47" s="29"/>
      <c r="AH47" s="37">
        <f t="shared" si="144"/>
        <v>0</v>
      </c>
      <c r="AI47" s="38">
        <f t="shared" si="145"/>
        <v>0</v>
      </c>
      <c r="AJ47" s="29">
        <f t="shared" ref="AJ46:AJ55" si="173">$DX47/$E$1</f>
        <v>0</v>
      </c>
      <c r="AK47" s="29"/>
      <c r="AL47" s="37">
        <f t="shared" si="146"/>
        <v>0</v>
      </c>
      <c r="AM47" s="38">
        <f t="shared" si="147"/>
        <v>0</v>
      </c>
      <c r="AN47" s="29">
        <f t="shared" ref="AN46:AN55" si="174">$DX47/$E$1</f>
        <v>0</v>
      </c>
      <c r="AO47" s="29"/>
      <c r="AP47" s="37">
        <f t="shared" si="98"/>
        <v>0</v>
      </c>
      <c r="AQ47" s="38">
        <f t="shared" si="97"/>
        <v>0</v>
      </c>
      <c r="AR47" s="29">
        <f t="shared" si="164"/>
        <v>0</v>
      </c>
      <c r="AS47" s="29"/>
      <c r="AT47" s="37">
        <f t="shared" si="148"/>
        <v>0</v>
      </c>
      <c r="AU47" s="38">
        <f t="shared" si="149"/>
        <v>0</v>
      </c>
      <c r="AV47" s="29">
        <f t="shared" ref="AV46:AV55" si="175">$DX47/$E$1</f>
        <v>0</v>
      </c>
      <c r="AW47" s="29"/>
      <c r="AX47" s="37">
        <f t="shared" si="150"/>
        <v>0</v>
      </c>
      <c r="AY47" s="38">
        <f t="shared" si="99"/>
        <v>0</v>
      </c>
      <c r="AZ47" s="29">
        <f t="shared" ref="AZ46:AZ55" si="176">$DX47/$E$1</f>
        <v>0</v>
      </c>
      <c r="BA47" s="29"/>
      <c r="BB47" s="37">
        <f t="shared" si="100"/>
        <v>0</v>
      </c>
      <c r="BC47" s="38">
        <f t="shared" si="101"/>
        <v>0</v>
      </c>
      <c r="BD47" s="29">
        <f t="shared" ref="BD46:BD55" si="177">$DX47/$E$1</f>
        <v>0</v>
      </c>
      <c r="BE47" s="29"/>
      <c r="BF47" s="37">
        <f t="shared" si="102"/>
        <v>0</v>
      </c>
      <c r="BG47" s="38">
        <f t="shared" si="103"/>
        <v>0</v>
      </c>
      <c r="BH47" s="29">
        <f t="shared" ref="BH46:BH55" si="178">$DX47/$E$1</f>
        <v>0</v>
      </c>
      <c r="BI47" s="29"/>
      <c r="BJ47" s="37">
        <f t="shared" si="104"/>
        <v>0</v>
      </c>
      <c r="BK47" s="38">
        <f t="shared" si="105"/>
        <v>0</v>
      </c>
      <c r="BL47" s="29">
        <f t="shared" ref="BL46:BL55" si="179">$DX47/$E$1</f>
        <v>0</v>
      </c>
      <c r="BM47" s="29"/>
      <c r="BN47" s="37">
        <f t="shared" si="106"/>
        <v>0</v>
      </c>
      <c r="BO47" s="38">
        <f t="shared" si="107"/>
        <v>0</v>
      </c>
      <c r="BP47" s="29">
        <f t="shared" ref="BP46:BP55" si="180">$DX47/$E$1</f>
        <v>0</v>
      </c>
      <c r="BQ47" s="29"/>
      <c r="BR47" s="37">
        <f t="shared" si="108"/>
        <v>0</v>
      </c>
      <c r="BS47" s="38">
        <f t="shared" si="109"/>
        <v>0</v>
      </c>
      <c r="BT47" s="29">
        <f t="shared" ref="BT46:BT55" si="181">$DX47/$E$1</f>
        <v>0</v>
      </c>
      <c r="BU47" s="29"/>
      <c r="BV47" s="37">
        <f t="shared" si="151"/>
        <v>0</v>
      </c>
      <c r="BW47" s="38">
        <f t="shared" si="110"/>
        <v>0</v>
      </c>
      <c r="BX47" s="29">
        <f t="shared" ref="BX46:BX55" si="182">$DX47/$E$1</f>
        <v>0</v>
      </c>
      <c r="BY47" s="29"/>
      <c r="BZ47" s="37">
        <f t="shared" si="152"/>
        <v>0</v>
      </c>
      <c r="CA47" s="38">
        <f t="shared" si="111"/>
        <v>0</v>
      </c>
      <c r="CB47" s="29">
        <f t="shared" ref="CB46:CB55" si="183">$DX47/$E$1</f>
        <v>0</v>
      </c>
      <c r="CC47" s="29"/>
      <c r="CD47" s="37">
        <f t="shared" si="153"/>
        <v>0</v>
      </c>
      <c r="CE47" s="38">
        <f t="shared" si="112"/>
        <v>0</v>
      </c>
      <c r="CF47" s="29">
        <f t="shared" ref="CF46:CF55" si="184">$DX47/$E$1</f>
        <v>0</v>
      </c>
      <c r="CG47" s="29"/>
      <c r="CH47" s="37">
        <f t="shared" si="113"/>
        <v>0</v>
      </c>
      <c r="CI47" s="38">
        <f t="shared" si="114"/>
        <v>0</v>
      </c>
      <c r="CJ47" s="29">
        <f t="shared" ref="CJ46:CJ55" si="185">$DX47/$E$1</f>
        <v>0</v>
      </c>
      <c r="CK47" s="29"/>
      <c r="CL47" s="37">
        <f t="shared" si="154"/>
        <v>0</v>
      </c>
      <c r="CM47" s="38">
        <f t="shared" si="115"/>
        <v>0</v>
      </c>
      <c r="CN47" s="29">
        <f t="shared" ref="CN46:CN55" si="186">$DX47/$E$1</f>
        <v>0</v>
      </c>
      <c r="CO47" s="29"/>
      <c r="CP47" s="37">
        <f t="shared" si="116"/>
        <v>0</v>
      </c>
      <c r="CQ47" s="38">
        <f t="shared" si="117"/>
        <v>0</v>
      </c>
      <c r="CR47" s="29">
        <f t="shared" ref="CR46:CR55" si="187">$DX47/$E$1</f>
        <v>0</v>
      </c>
      <c r="CS47" s="29"/>
      <c r="CT47" s="37">
        <f t="shared" si="155"/>
        <v>0</v>
      </c>
      <c r="CU47" s="38">
        <f t="shared" si="118"/>
        <v>0</v>
      </c>
      <c r="CV47" s="29">
        <f t="shared" ref="CV46:CV55" si="188">$DX47/$E$1</f>
        <v>0</v>
      </c>
      <c r="CW47" s="29"/>
      <c r="CX47" s="37">
        <f t="shared" si="156"/>
        <v>0</v>
      </c>
      <c r="CY47" s="38">
        <f t="shared" si="119"/>
        <v>0</v>
      </c>
      <c r="CZ47" s="29">
        <f t="shared" ref="CZ46:CZ55" si="189">$DX47/$E$1</f>
        <v>0</v>
      </c>
      <c r="DA47" s="29"/>
      <c r="DB47" s="37">
        <f t="shared" si="157"/>
        <v>0</v>
      </c>
      <c r="DC47" s="38">
        <f t="shared" si="120"/>
        <v>0</v>
      </c>
      <c r="DD47" s="29">
        <f t="shared" ref="DD46:DD55" si="190">$DX47/$E$1</f>
        <v>0</v>
      </c>
      <c r="DE47" s="29"/>
      <c r="DF47" s="37">
        <f t="shared" si="158"/>
        <v>0</v>
      </c>
      <c r="DG47" s="38">
        <f t="shared" si="121"/>
        <v>0</v>
      </c>
      <c r="DH47" s="29">
        <f t="shared" ref="DH46:DH55" si="191">$DX47/$E$1</f>
        <v>0</v>
      </c>
      <c r="DI47" s="29"/>
      <c r="DJ47" s="37">
        <f t="shared" si="122"/>
        <v>0</v>
      </c>
      <c r="DK47" s="38">
        <f t="shared" si="123"/>
        <v>0</v>
      </c>
      <c r="DL47" s="29">
        <f t="shared" ref="DL46:DL55" si="192">$DX47/$E$1</f>
        <v>0</v>
      </c>
      <c r="DM47" s="29"/>
      <c r="DN47" s="37">
        <f t="shared" si="124"/>
        <v>0</v>
      </c>
      <c r="DO47" s="38">
        <f t="shared" si="125"/>
        <v>0</v>
      </c>
      <c r="DP47" s="29">
        <f>$DX47/$E$1</f>
        <v>0</v>
      </c>
      <c r="DQ47" s="29"/>
      <c r="DR47" s="37">
        <f t="shared" si="126"/>
        <v>0</v>
      </c>
      <c r="DS47" s="38">
        <f t="shared" si="127"/>
        <v>0</v>
      </c>
      <c r="DT47" s="29">
        <f>$DX47/$E$1</f>
        <v>0</v>
      </c>
      <c r="DU47" s="29"/>
      <c r="DV47" s="29">
        <f t="shared" si="128"/>
        <v>0</v>
      </c>
      <c r="DW47" s="38">
        <f t="shared" si="129"/>
        <v>0</v>
      </c>
      <c r="DX47" s="29">
        <v>0</v>
      </c>
    </row>
    <row r="48" spans="1:128">
      <c r="A48" s="31"/>
      <c r="B48" s="29" t="s">
        <v>805</v>
      </c>
      <c r="C48" s="29" t="s">
        <v>806</v>
      </c>
      <c r="D48" s="29">
        <f t="shared" si="165"/>
        <v>0</v>
      </c>
      <c r="E48" s="29">
        <v>0</v>
      </c>
      <c r="F48" s="37">
        <f t="shared" si="130"/>
        <v>0</v>
      </c>
      <c r="G48" s="38">
        <f t="shared" si="131"/>
        <v>0</v>
      </c>
      <c r="H48" s="29">
        <f t="shared" si="166"/>
        <v>0</v>
      </c>
      <c r="I48" s="29"/>
      <c r="J48" s="37">
        <f t="shared" si="132"/>
        <v>0</v>
      </c>
      <c r="K48" s="38">
        <f t="shared" si="133"/>
        <v>0</v>
      </c>
      <c r="L48" s="29">
        <f t="shared" si="167"/>
        <v>0</v>
      </c>
      <c r="M48" s="29"/>
      <c r="N48" s="37">
        <f t="shared" si="134"/>
        <v>0</v>
      </c>
      <c r="O48" s="38">
        <f t="shared" si="135"/>
        <v>0</v>
      </c>
      <c r="P48" s="29">
        <f t="shared" si="168"/>
        <v>0</v>
      </c>
      <c r="Q48" s="29"/>
      <c r="R48" s="37">
        <f t="shared" si="136"/>
        <v>0</v>
      </c>
      <c r="S48" s="38">
        <f t="shared" si="137"/>
        <v>0</v>
      </c>
      <c r="T48" s="29">
        <f t="shared" si="169"/>
        <v>0</v>
      </c>
      <c r="U48" s="29"/>
      <c r="V48" s="29">
        <f t="shared" si="138"/>
        <v>0</v>
      </c>
      <c r="W48" s="38">
        <f t="shared" si="139"/>
        <v>0</v>
      </c>
      <c r="X48" s="29">
        <f t="shared" si="170"/>
        <v>0</v>
      </c>
      <c r="Y48" s="29"/>
      <c r="Z48" s="37">
        <f t="shared" si="140"/>
        <v>0</v>
      </c>
      <c r="AA48" s="38">
        <f t="shared" si="141"/>
        <v>0</v>
      </c>
      <c r="AB48" s="29">
        <f t="shared" si="171"/>
        <v>0</v>
      </c>
      <c r="AC48" s="29"/>
      <c r="AD48" s="37">
        <f t="shared" si="142"/>
        <v>0</v>
      </c>
      <c r="AE48" s="38">
        <f t="shared" si="143"/>
        <v>0</v>
      </c>
      <c r="AF48" s="29">
        <f t="shared" si="172"/>
        <v>0</v>
      </c>
      <c r="AG48" s="29"/>
      <c r="AH48" s="37">
        <f t="shared" si="144"/>
        <v>0</v>
      </c>
      <c r="AI48" s="38">
        <f t="shared" si="145"/>
        <v>0</v>
      </c>
      <c r="AJ48" s="29">
        <f t="shared" si="173"/>
        <v>0</v>
      </c>
      <c r="AK48" s="29"/>
      <c r="AL48" s="37">
        <f t="shared" si="146"/>
        <v>0</v>
      </c>
      <c r="AM48" s="38">
        <f t="shared" si="147"/>
        <v>0</v>
      </c>
      <c r="AN48" s="29">
        <f t="shared" si="174"/>
        <v>0</v>
      </c>
      <c r="AO48" s="29"/>
      <c r="AP48" s="37">
        <f t="shared" si="98"/>
        <v>0</v>
      </c>
      <c r="AQ48" s="38">
        <f t="shared" si="97"/>
        <v>0</v>
      </c>
      <c r="AR48" s="29">
        <f t="shared" si="164"/>
        <v>0</v>
      </c>
      <c r="AS48" s="29"/>
      <c r="AT48" s="37">
        <f t="shared" si="148"/>
        <v>0</v>
      </c>
      <c r="AU48" s="38">
        <f t="shared" si="149"/>
        <v>0</v>
      </c>
      <c r="AV48" s="29">
        <f t="shared" si="175"/>
        <v>0</v>
      </c>
      <c r="AW48" s="29"/>
      <c r="AX48" s="37">
        <f t="shared" si="150"/>
        <v>0</v>
      </c>
      <c r="AY48" s="38">
        <f t="shared" si="99"/>
        <v>0</v>
      </c>
      <c r="AZ48" s="29">
        <f t="shared" si="176"/>
        <v>0</v>
      </c>
      <c r="BA48" s="29"/>
      <c r="BB48" s="37">
        <f t="shared" si="100"/>
        <v>0</v>
      </c>
      <c r="BC48" s="38">
        <f t="shared" si="101"/>
        <v>0</v>
      </c>
      <c r="BD48" s="29">
        <f t="shared" si="177"/>
        <v>0</v>
      </c>
      <c r="BE48" s="29"/>
      <c r="BF48" s="37">
        <f t="shared" si="102"/>
        <v>0</v>
      </c>
      <c r="BG48" s="38">
        <f t="shared" si="103"/>
        <v>0</v>
      </c>
      <c r="BH48" s="29">
        <f t="shared" si="178"/>
        <v>0</v>
      </c>
      <c r="BI48" s="29"/>
      <c r="BJ48" s="37">
        <f t="shared" si="104"/>
        <v>0</v>
      </c>
      <c r="BK48" s="38">
        <f t="shared" si="105"/>
        <v>0</v>
      </c>
      <c r="BL48" s="29">
        <f t="shared" si="179"/>
        <v>0</v>
      </c>
      <c r="BM48" s="29"/>
      <c r="BN48" s="37">
        <f t="shared" si="106"/>
        <v>0</v>
      </c>
      <c r="BO48" s="38">
        <f t="shared" si="107"/>
        <v>0</v>
      </c>
      <c r="BP48" s="29">
        <f t="shared" si="180"/>
        <v>0</v>
      </c>
      <c r="BQ48" s="29"/>
      <c r="BR48" s="37">
        <f t="shared" si="108"/>
        <v>0</v>
      </c>
      <c r="BS48" s="38">
        <f t="shared" si="109"/>
        <v>0</v>
      </c>
      <c r="BT48" s="29">
        <f t="shared" si="181"/>
        <v>0</v>
      </c>
      <c r="BU48" s="29"/>
      <c r="BV48" s="37">
        <f t="shared" si="151"/>
        <v>0</v>
      </c>
      <c r="BW48" s="38">
        <f t="shared" si="110"/>
        <v>0</v>
      </c>
      <c r="BX48" s="29">
        <f t="shared" si="182"/>
        <v>0</v>
      </c>
      <c r="BY48" s="29"/>
      <c r="BZ48" s="37">
        <f t="shared" si="152"/>
        <v>0</v>
      </c>
      <c r="CA48" s="38">
        <f t="shared" si="111"/>
        <v>0</v>
      </c>
      <c r="CB48" s="29">
        <f t="shared" si="183"/>
        <v>0</v>
      </c>
      <c r="CC48" s="29"/>
      <c r="CD48" s="37">
        <f t="shared" si="153"/>
        <v>0</v>
      </c>
      <c r="CE48" s="38">
        <f t="shared" si="112"/>
        <v>0</v>
      </c>
      <c r="CF48" s="29">
        <f t="shared" si="184"/>
        <v>0</v>
      </c>
      <c r="CG48" s="29"/>
      <c r="CH48" s="37">
        <f t="shared" si="113"/>
        <v>0</v>
      </c>
      <c r="CI48" s="38">
        <f t="shared" si="114"/>
        <v>0</v>
      </c>
      <c r="CJ48" s="29">
        <f t="shared" si="185"/>
        <v>0</v>
      </c>
      <c r="CK48" s="29"/>
      <c r="CL48" s="37">
        <f t="shared" si="154"/>
        <v>0</v>
      </c>
      <c r="CM48" s="38">
        <f t="shared" si="115"/>
        <v>0</v>
      </c>
      <c r="CN48" s="29">
        <f t="shared" si="186"/>
        <v>0</v>
      </c>
      <c r="CO48" s="29"/>
      <c r="CP48" s="37">
        <f t="shared" si="116"/>
        <v>0</v>
      </c>
      <c r="CQ48" s="38">
        <f t="shared" si="117"/>
        <v>0</v>
      </c>
      <c r="CR48" s="29">
        <f t="shared" si="187"/>
        <v>0</v>
      </c>
      <c r="CS48" s="29"/>
      <c r="CT48" s="37">
        <f t="shared" si="155"/>
        <v>0</v>
      </c>
      <c r="CU48" s="38">
        <f t="shared" si="118"/>
        <v>0</v>
      </c>
      <c r="CV48" s="29">
        <f t="shared" si="188"/>
        <v>0</v>
      </c>
      <c r="CW48" s="29"/>
      <c r="CX48" s="37">
        <f t="shared" si="156"/>
        <v>0</v>
      </c>
      <c r="CY48" s="38">
        <f t="shared" si="119"/>
        <v>0</v>
      </c>
      <c r="CZ48" s="29">
        <f t="shared" si="189"/>
        <v>0</v>
      </c>
      <c r="DA48" s="29"/>
      <c r="DB48" s="37">
        <f t="shared" si="157"/>
        <v>0</v>
      </c>
      <c r="DC48" s="38">
        <f t="shared" si="120"/>
        <v>0</v>
      </c>
      <c r="DD48" s="29">
        <f t="shared" si="190"/>
        <v>0</v>
      </c>
      <c r="DE48" s="29"/>
      <c r="DF48" s="37">
        <f t="shared" si="158"/>
        <v>0</v>
      </c>
      <c r="DG48" s="38">
        <f t="shared" si="121"/>
        <v>0</v>
      </c>
      <c r="DH48" s="29">
        <f t="shared" si="191"/>
        <v>0</v>
      </c>
      <c r="DI48" s="29"/>
      <c r="DJ48" s="37">
        <f t="shared" si="122"/>
        <v>0</v>
      </c>
      <c r="DK48" s="38">
        <f t="shared" si="123"/>
        <v>0</v>
      </c>
      <c r="DL48" s="29">
        <f t="shared" si="192"/>
        <v>0</v>
      </c>
      <c r="DM48" s="29"/>
      <c r="DN48" s="37">
        <f t="shared" si="124"/>
        <v>0</v>
      </c>
      <c r="DO48" s="38">
        <f t="shared" si="125"/>
        <v>0</v>
      </c>
      <c r="DP48" s="29">
        <f>$DX48/$E$1</f>
        <v>0</v>
      </c>
      <c r="DQ48" s="29"/>
      <c r="DR48" s="37">
        <f t="shared" si="126"/>
        <v>0</v>
      </c>
      <c r="DS48" s="38">
        <f t="shared" si="127"/>
        <v>0</v>
      </c>
      <c r="DT48" s="29">
        <f>$DX48/$E$1</f>
        <v>0</v>
      </c>
      <c r="DU48" s="29"/>
      <c r="DV48" s="29">
        <f t="shared" si="128"/>
        <v>0</v>
      </c>
      <c r="DW48" s="38">
        <f t="shared" si="129"/>
        <v>0</v>
      </c>
      <c r="DX48" s="29">
        <v>0</v>
      </c>
    </row>
    <row r="49" spans="1:128">
      <c r="A49" s="31"/>
      <c r="B49" s="29" t="s">
        <v>807</v>
      </c>
      <c r="C49" s="29" t="s">
        <v>835</v>
      </c>
      <c r="D49" s="29">
        <f t="shared" si="165"/>
        <v>0</v>
      </c>
      <c r="E49" s="29">
        <v>0</v>
      </c>
      <c r="F49" s="37">
        <f t="shared" si="130"/>
        <v>0</v>
      </c>
      <c r="G49" s="38">
        <f t="shared" si="131"/>
        <v>0</v>
      </c>
      <c r="H49" s="29">
        <f t="shared" si="166"/>
        <v>0</v>
      </c>
      <c r="I49" s="29"/>
      <c r="J49" s="37">
        <f t="shared" si="132"/>
        <v>0</v>
      </c>
      <c r="K49" s="38">
        <f t="shared" si="133"/>
        <v>0</v>
      </c>
      <c r="L49" s="29">
        <f t="shared" si="167"/>
        <v>0</v>
      </c>
      <c r="M49" s="29"/>
      <c r="N49" s="37">
        <f t="shared" si="134"/>
        <v>0</v>
      </c>
      <c r="O49" s="38">
        <f t="shared" si="135"/>
        <v>0</v>
      </c>
      <c r="P49" s="29">
        <f t="shared" si="168"/>
        <v>0</v>
      </c>
      <c r="Q49" s="29"/>
      <c r="R49" s="37">
        <f t="shared" si="136"/>
        <v>0</v>
      </c>
      <c r="S49" s="38">
        <f t="shared" si="137"/>
        <v>0</v>
      </c>
      <c r="T49" s="29">
        <f t="shared" si="169"/>
        <v>0</v>
      </c>
      <c r="U49" s="29"/>
      <c r="V49" s="29">
        <f t="shared" si="138"/>
        <v>0</v>
      </c>
      <c r="W49" s="38">
        <f t="shared" si="139"/>
        <v>0</v>
      </c>
      <c r="X49" s="29">
        <f t="shared" si="170"/>
        <v>0</v>
      </c>
      <c r="Y49" s="29"/>
      <c r="Z49" s="37">
        <f t="shared" si="140"/>
        <v>0</v>
      </c>
      <c r="AA49" s="38">
        <f t="shared" si="141"/>
        <v>0</v>
      </c>
      <c r="AB49" s="29">
        <f t="shared" si="171"/>
        <v>0</v>
      </c>
      <c r="AC49" s="29"/>
      <c r="AD49" s="37">
        <f t="shared" si="142"/>
        <v>0</v>
      </c>
      <c r="AE49" s="38">
        <f t="shared" si="143"/>
        <v>0</v>
      </c>
      <c r="AF49" s="29">
        <f t="shared" si="172"/>
        <v>0</v>
      </c>
      <c r="AG49" s="29"/>
      <c r="AH49" s="37">
        <f t="shared" si="144"/>
        <v>0</v>
      </c>
      <c r="AI49" s="38">
        <f t="shared" si="145"/>
        <v>0</v>
      </c>
      <c r="AJ49" s="29">
        <f t="shared" si="173"/>
        <v>0</v>
      </c>
      <c r="AK49" s="29"/>
      <c r="AL49" s="37">
        <f t="shared" si="146"/>
        <v>0</v>
      </c>
      <c r="AM49" s="38">
        <f t="shared" si="147"/>
        <v>0</v>
      </c>
      <c r="AN49" s="29">
        <f t="shared" si="174"/>
        <v>0</v>
      </c>
      <c r="AO49" s="29"/>
      <c r="AP49" s="37">
        <f t="shared" si="98"/>
        <v>0</v>
      </c>
      <c r="AQ49" s="38">
        <f t="shared" si="97"/>
        <v>0</v>
      </c>
      <c r="AR49" s="29">
        <f t="shared" si="164"/>
        <v>0</v>
      </c>
      <c r="AS49" s="29"/>
      <c r="AT49" s="37">
        <f t="shared" si="148"/>
        <v>0</v>
      </c>
      <c r="AU49" s="38">
        <f t="shared" si="149"/>
        <v>0</v>
      </c>
      <c r="AV49" s="29">
        <f t="shared" si="175"/>
        <v>0</v>
      </c>
      <c r="AW49" s="29"/>
      <c r="AX49" s="37">
        <f t="shared" si="150"/>
        <v>0</v>
      </c>
      <c r="AY49" s="38">
        <f t="shared" si="99"/>
        <v>0</v>
      </c>
      <c r="AZ49" s="29">
        <f t="shared" si="176"/>
        <v>0</v>
      </c>
      <c r="BA49" s="29"/>
      <c r="BB49" s="37">
        <f t="shared" si="100"/>
        <v>0</v>
      </c>
      <c r="BC49" s="38">
        <f t="shared" si="101"/>
        <v>0</v>
      </c>
      <c r="BD49" s="29">
        <f t="shared" si="177"/>
        <v>0</v>
      </c>
      <c r="BE49" s="29"/>
      <c r="BF49" s="37">
        <f t="shared" si="102"/>
        <v>0</v>
      </c>
      <c r="BG49" s="38">
        <f t="shared" si="103"/>
        <v>0</v>
      </c>
      <c r="BH49" s="29">
        <f t="shared" si="178"/>
        <v>0</v>
      </c>
      <c r="BI49" s="29"/>
      <c r="BJ49" s="37">
        <f t="shared" si="104"/>
        <v>0</v>
      </c>
      <c r="BK49" s="38">
        <f t="shared" si="105"/>
        <v>0</v>
      </c>
      <c r="BL49" s="29">
        <f t="shared" si="179"/>
        <v>0</v>
      </c>
      <c r="BM49" s="29"/>
      <c r="BN49" s="37">
        <f t="shared" si="106"/>
        <v>0</v>
      </c>
      <c r="BO49" s="38">
        <f t="shared" si="107"/>
        <v>0</v>
      </c>
      <c r="BP49" s="29">
        <f t="shared" si="180"/>
        <v>0</v>
      </c>
      <c r="BQ49" s="29"/>
      <c r="BR49" s="37">
        <f t="shared" si="108"/>
        <v>0</v>
      </c>
      <c r="BS49" s="38">
        <f t="shared" si="109"/>
        <v>0</v>
      </c>
      <c r="BT49" s="29">
        <f t="shared" si="181"/>
        <v>0</v>
      </c>
      <c r="BU49" s="29"/>
      <c r="BV49" s="37">
        <f t="shared" si="151"/>
        <v>0</v>
      </c>
      <c r="BW49" s="38">
        <f t="shared" si="110"/>
        <v>0</v>
      </c>
      <c r="BX49" s="29">
        <f t="shared" si="182"/>
        <v>0</v>
      </c>
      <c r="BY49" s="29"/>
      <c r="BZ49" s="37">
        <f t="shared" si="152"/>
        <v>0</v>
      </c>
      <c r="CA49" s="38">
        <f t="shared" si="111"/>
        <v>0</v>
      </c>
      <c r="CB49" s="29">
        <f t="shared" si="183"/>
        <v>0</v>
      </c>
      <c r="CC49" s="29"/>
      <c r="CD49" s="37">
        <f t="shared" si="153"/>
        <v>0</v>
      </c>
      <c r="CE49" s="38">
        <f t="shared" si="112"/>
        <v>0</v>
      </c>
      <c r="CF49" s="29">
        <f t="shared" si="184"/>
        <v>0</v>
      </c>
      <c r="CG49" s="29"/>
      <c r="CH49" s="37">
        <f t="shared" si="113"/>
        <v>0</v>
      </c>
      <c r="CI49" s="38">
        <f t="shared" si="114"/>
        <v>0</v>
      </c>
      <c r="CJ49" s="29">
        <f t="shared" si="185"/>
        <v>0</v>
      </c>
      <c r="CK49" s="29"/>
      <c r="CL49" s="37">
        <f t="shared" si="154"/>
        <v>0</v>
      </c>
      <c r="CM49" s="38">
        <f t="shared" si="115"/>
        <v>0</v>
      </c>
      <c r="CN49" s="29">
        <f t="shared" si="186"/>
        <v>0</v>
      </c>
      <c r="CO49" s="29"/>
      <c r="CP49" s="37">
        <f t="shared" si="116"/>
        <v>0</v>
      </c>
      <c r="CQ49" s="38">
        <f t="shared" si="117"/>
        <v>0</v>
      </c>
      <c r="CR49" s="29">
        <f t="shared" si="187"/>
        <v>0</v>
      </c>
      <c r="CS49" s="29"/>
      <c r="CT49" s="37">
        <f t="shared" si="155"/>
        <v>0</v>
      </c>
      <c r="CU49" s="38">
        <f t="shared" si="118"/>
        <v>0</v>
      </c>
      <c r="CV49" s="29">
        <f t="shared" si="188"/>
        <v>0</v>
      </c>
      <c r="CW49" s="29"/>
      <c r="CX49" s="37">
        <f t="shared" si="156"/>
        <v>0</v>
      </c>
      <c r="CY49" s="38">
        <f t="shared" si="119"/>
        <v>0</v>
      </c>
      <c r="CZ49" s="29">
        <f t="shared" si="189"/>
        <v>0</v>
      </c>
      <c r="DA49" s="29"/>
      <c r="DB49" s="37">
        <f t="shared" si="157"/>
        <v>0</v>
      </c>
      <c r="DC49" s="38">
        <f t="shared" si="120"/>
        <v>0</v>
      </c>
      <c r="DD49" s="29">
        <f t="shared" si="190"/>
        <v>0</v>
      </c>
      <c r="DE49" s="29"/>
      <c r="DF49" s="37">
        <f t="shared" si="158"/>
        <v>0</v>
      </c>
      <c r="DG49" s="38">
        <f t="shared" si="121"/>
        <v>0</v>
      </c>
      <c r="DH49" s="29">
        <f t="shared" si="191"/>
        <v>0</v>
      </c>
      <c r="DI49" s="29"/>
      <c r="DJ49" s="37">
        <f t="shared" si="122"/>
        <v>0</v>
      </c>
      <c r="DK49" s="38">
        <f t="shared" si="123"/>
        <v>0</v>
      </c>
      <c r="DL49" s="29">
        <f t="shared" si="192"/>
        <v>0</v>
      </c>
      <c r="DM49" s="29"/>
      <c r="DN49" s="37">
        <f t="shared" si="124"/>
        <v>0</v>
      </c>
      <c r="DO49" s="38">
        <f t="shared" si="125"/>
        <v>0</v>
      </c>
      <c r="DP49" s="29">
        <f>$DX49/$E$1</f>
        <v>0</v>
      </c>
      <c r="DQ49" s="29"/>
      <c r="DR49" s="37">
        <f t="shared" si="126"/>
        <v>0</v>
      </c>
      <c r="DS49" s="38">
        <f t="shared" si="127"/>
        <v>0</v>
      </c>
      <c r="DT49" s="29">
        <f>$DX49/$E$1</f>
        <v>0</v>
      </c>
      <c r="DU49" s="29"/>
      <c r="DV49" s="29">
        <f t="shared" si="128"/>
        <v>0</v>
      </c>
      <c r="DW49" s="38">
        <f t="shared" si="129"/>
        <v>0</v>
      </c>
      <c r="DX49" s="29">
        <v>0</v>
      </c>
    </row>
    <row r="50" spans="1:128">
      <c r="A50" s="31"/>
      <c r="B50" s="29" t="s">
        <v>809</v>
      </c>
      <c r="C50" s="29" t="s">
        <v>836</v>
      </c>
      <c r="D50" s="29">
        <f>D47+D49++D46+D48</f>
        <v>0</v>
      </c>
      <c r="E50" s="29">
        <f>SUM(E46:E49)</f>
        <v>176</v>
      </c>
      <c r="F50" s="37">
        <f t="shared" si="130"/>
        <v>176</v>
      </c>
      <c r="G50" s="38">
        <f t="shared" si="131"/>
        <v>0</v>
      </c>
      <c r="H50" s="29">
        <f t="shared" si="166"/>
        <v>0</v>
      </c>
      <c r="I50" s="29">
        <f>SUM(I46:I49)</f>
        <v>192</v>
      </c>
      <c r="J50" s="37">
        <f t="shared" si="132"/>
        <v>192</v>
      </c>
      <c r="K50" s="38">
        <f t="shared" si="133"/>
        <v>0</v>
      </c>
      <c r="L50" s="29">
        <f t="shared" si="167"/>
        <v>0</v>
      </c>
      <c r="M50" s="29">
        <f>SUM(M46:M49)</f>
        <v>196</v>
      </c>
      <c r="N50" s="37">
        <f t="shared" si="134"/>
        <v>196</v>
      </c>
      <c r="O50" s="38">
        <f t="shared" si="135"/>
        <v>0</v>
      </c>
      <c r="P50" s="29">
        <f t="shared" si="168"/>
        <v>0</v>
      </c>
      <c r="Q50" s="29">
        <f>SUM(Q46:Q49)</f>
        <v>198.5</v>
      </c>
      <c r="R50" s="37">
        <f t="shared" si="136"/>
        <v>198.5</v>
      </c>
      <c r="S50" s="38">
        <f t="shared" si="137"/>
        <v>0</v>
      </c>
      <c r="T50" s="29">
        <f t="shared" si="169"/>
        <v>0</v>
      </c>
      <c r="U50" s="29">
        <f>SUM(U46:U49)</f>
        <v>213.5</v>
      </c>
      <c r="V50" s="29">
        <f t="shared" si="138"/>
        <v>213.5</v>
      </c>
      <c r="W50" s="38">
        <f t="shared" si="139"/>
        <v>0</v>
      </c>
      <c r="X50" s="29">
        <f t="shared" si="170"/>
        <v>0</v>
      </c>
      <c r="Y50" s="29">
        <f>SUM(Y46:Y49)</f>
        <v>184</v>
      </c>
      <c r="Z50" s="37">
        <f t="shared" si="140"/>
        <v>184</v>
      </c>
      <c r="AA50" s="38">
        <f t="shared" si="141"/>
        <v>0</v>
      </c>
      <c r="AB50" s="29">
        <f t="shared" si="171"/>
        <v>0</v>
      </c>
      <c r="AC50" s="29">
        <f>SUM(AC46:AC49)</f>
        <v>170</v>
      </c>
      <c r="AD50" s="37">
        <f t="shared" si="142"/>
        <v>170</v>
      </c>
      <c r="AE50" s="38">
        <f t="shared" si="143"/>
        <v>0</v>
      </c>
      <c r="AF50" s="29">
        <f t="shared" si="172"/>
        <v>0</v>
      </c>
      <c r="AG50" s="29">
        <f>SUM(AG46:AG49)</f>
        <v>192</v>
      </c>
      <c r="AH50" s="37">
        <f t="shared" si="144"/>
        <v>192</v>
      </c>
      <c r="AI50" s="38">
        <f t="shared" si="145"/>
        <v>0</v>
      </c>
      <c r="AJ50" s="29">
        <f t="shared" si="173"/>
        <v>0</v>
      </c>
      <c r="AK50" s="29">
        <f>SUM(AK46:AK49)</f>
        <v>176</v>
      </c>
      <c r="AL50" s="37">
        <f t="shared" si="146"/>
        <v>176</v>
      </c>
      <c r="AM50" s="38">
        <f t="shared" si="147"/>
        <v>0</v>
      </c>
      <c r="AN50" s="29">
        <f t="shared" si="174"/>
        <v>0</v>
      </c>
      <c r="AO50" s="29">
        <f>SUM(AO46:AO49)</f>
        <v>200</v>
      </c>
      <c r="AP50" s="37">
        <f t="shared" si="98"/>
        <v>200</v>
      </c>
      <c r="AQ50" s="38">
        <f t="shared" si="97"/>
        <v>0</v>
      </c>
      <c r="AR50" s="29">
        <f t="shared" si="164"/>
        <v>0</v>
      </c>
      <c r="AS50" s="29">
        <f>SUM(AS46:AS49)</f>
        <v>201</v>
      </c>
      <c r="AT50" s="37">
        <f t="shared" si="148"/>
        <v>201</v>
      </c>
      <c r="AU50" s="38">
        <f t="shared" si="149"/>
        <v>0</v>
      </c>
      <c r="AV50" s="29">
        <f t="shared" si="175"/>
        <v>0</v>
      </c>
      <c r="AW50" s="29">
        <f>SUM(AW46:AW49)</f>
        <v>200.5</v>
      </c>
      <c r="AX50" s="37">
        <f t="shared" si="150"/>
        <v>200.5</v>
      </c>
      <c r="AY50" s="38">
        <f t="shared" si="99"/>
        <v>0</v>
      </c>
      <c r="AZ50" s="29">
        <f t="shared" si="176"/>
        <v>0</v>
      </c>
      <c r="BA50" s="29">
        <f>SUM(BA46:BA49)</f>
        <v>200</v>
      </c>
      <c r="BB50" s="37">
        <f t="shared" si="100"/>
        <v>200</v>
      </c>
      <c r="BC50" s="38">
        <f t="shared" si="101"/>
        <v>0</v>
      </c>
      <c r="BD50" s="29">
        <f t="shared" si="177"/>
        <v>0</v>
      </c>
      <c r="BE50" s="29">
        <f>SUM(BE46:BE49)</f>
        <v>176</v>
      </c>
      <c r="BF50" s="37">
        <f t="shared" si="102"/>
        <v>176</v>
      </c>
      <c r="BG50" s="38">
        <f t="shared" si="103"/>
        <v>0</v>
      </c>
      <c r="BH50" s="29">
        <f t="shared" si="178"/>
        <v>0</v>
      </c>
      <c r="BI50" s="29">
        <f>SUM(BI46:BI49)</f>
        <v>200</v>
      </c>
      <c r="BJ50" s="37">
        <f t="shared" si="104"/>
        <v>200</v>
      </c>
      <c r="BK50" s="38">
        <f t="shared" si="105"/>
        <v>0</v>
      </c>
      <c r="BL50" s="29">
        <f t="shared" si="179"/>
        <v>0</v>
      </c>
      <c r="BM50" s="29">
        <f>SUM(BM46:BM49)</f>
        <v>197.5</v>
      </c>
      <c r="BN50" s="37">
        <f t="shared" si="106"/>
        <v>197.5</v>
      </c>
      <c r="BO50" s="38">
        <f t="shared" si="107"/>
        <v>0</v>
      </c>
      <c r="BP50" s="29">
        <f t="shared" si="180"/>
        <v>0</v>
      </c>
      <c r="BQ50" s="29">
        <f>SUM(BQ46:BQ49)</f>
        <v>193</v>
      </c>
      <c r="BR50" s="37">
        <f t="shared" si="108"/>
        <v>193</v>
      </c>
      <c r="BS50" s="38">
        <f t="shared" si="109"/>
        <v>0</v>
      </c>
      <c r="BT50" s="29">
        <f t="shared" si="181"/>
        <v>0</v>
      </c>
      <c r="BU50" s="29">
        <f>SUM(BU46:BU49)</f>
        <v>216</v>
      </c>
      <c r="BV50" s="37">
        <f t="shared" si="151"/>
        <v>216</v>
      </c>
      <c r="BW50" s="38">
        <f t="shared" si="110"/>
        <v>0</v>
      </c>
      <c r="BX50" s="29">
        <f t="shared" si="182"/>
        <v>0</v>
      </c>
      <c r="BY50" s="29">
        <f>SUM(BY46:BY49)</f>
        <v>202</v>
      </c>
      <c r="BZ50" s="37">
        <f t="shared" si="152"/>
        <v>202</v>
      </c>
      <c r="CA50" s="38">
        <f t="shared" si="111"/>
        <v>0</v>
      </c>
      <c r="CB50" s="29">
        <f t="shared" si="183"/>
        <v>0</v>
      </c>
      <c r="CC50" s="29">
        <f>SUM(CC46:CC49)</f>
        <v>208</v>
      </c>
      <c r="CD50" s="37">
        <f t="shared" si="153"/>
        <v>208</v>
      </c>
      <c r="CE50" s="38">
        <f t="shared" si="112"/>
        <v>0</v>
      </c>
      <c r="CF50" s="29">
        <f t="shared" si="184"/>
        <v>0</v>
      </c>
      <c r="CG50" s="29">
        <f>SUM(CG46:CG49)</f>
        <v>212</v>
      </c>
      <c r="CH50" s="37">
        <f t="shared" si="113"/>
        <v>212</v>
      </c>
      <c r="CI50" s="38">
        <f t="shared" si="114"/>
        <v>0</v>
      </c>
      <c r="CJ50" s="29">
        <f t="shared" si="185"/>
        <v>0</v>
      </c>
      <c r="CK50" s="29">
        <f>SUM(CK46:CK49)</f>
        <v>208</v>
      </c>
      <c r="CL50" s="37">
        <f t="shared" si="154"/>
        <v>208</v>
      </c>
      <c r="CM50" s="38">
        <f t="shared" si="115"/>
        <v>0</v>
      </c>
      <c r="CN50" s="29">
        <f t="shared" si="186"/>
        <v>0</v>
      </c>
      <c r="CO50" s="29">
        <f>SUM(CO46:CO49)</f>
        <v>198</v>
      </c>
      <c r="CP50" s="37">
        <f t="shared" si="116"/>
        <v>198</v>
      </c>
      <c r="CQ50" s="38">
        <f t="shared" si="117"/>
        <v>0</v>
      </c>
      <c r="CR50" s="29">
        <f t="shared" si="187"/>
        <v>0</v>
      </c>
      <c r="CS50" s="29">
        <f>SUM(CS46:CS49)</f>
        <v>189</v>
      </c>
      <c r="CT50" s="37">
        <f t="shared" si="155"/>
        <v>189</v>
      </c>
      <c r="CU50" s="38">
        <f t="shared" si="118"/>
        <v>0</v>
      </c>
      <c r="CV50" s="29">
        <f t="shared" si="188"/>
        <v>0</v>
      </c>
      <c r="CW50" s="29">
        <f>SUM(CW46:CW49)</f>
        <v>200</v>
      </c>
      <c r="CX50" s="37">
        <f t="shared" si="156"/>
        <v>200</v>
      </c>
      <c r="CY50" s="38">
        <f t="shared" si="119"/>
        <v>0</v>
      </c>
      <c r="CZ50" s="29">
        <f t="shared" si="189"/>
        <v>0</v>
      </c>
      <c r="DA50" s="29">
        <f>SUM(DA46:DA49)</f>
        <v>213</v>
      </c>
      <c r="DB50" s="37">
        <f t="shared" si="157"/>
        <v>213</v>
      </c>
      <c r="DC50" s="38">
        <f t="shared" si="120"/>
        <v>0</v>
      </c>
      <c r="DD50" s="29">
        <f t="shared" si="190"/>
        <v>0</v>
      </c>
      <c r="DE50" s="29">
        <f>SUM(DE46:DE49)</f>
        <v>192</v>
      </c>
      <c r="DF50" s="37">
        <f t="shared" si="158"/>
        <v>192</v>
      </c>
      <c r="DG50" s="38">
        <f t="shared" si="121"/>
        <v>0</v>
      </c>
      <c r="DH50" s="29">
        <f t="shared" si="191"/>
        <v>0</v>
      </c>
      <c r="DI50" s="29">
        <f>SUM(DI46:DI49)</f>
        <v>201.5</v>
      </c>
      <c r="DJ50" s="37">
        <f t="shared" si="122"/>
        <v>201.5</v>
      </c>
      <c r="DK50" s="38">
        <f t="shared" si="123"/>
        <v>0</v>
      </c>
      <c r="DL50" s="29">
        <f t="shared" si="192"/>
        <v>0</v>
      </c>
      <c r="DM50" s="29">
        <f>SUM(DM46:DM49)</f>
        <v>212</v>
      </c>
      <c r="DN50" s="37">
        <f t="shared" si="124"/>
        <v>212</v>
      </c>
      <c r="DO50" s="38">
        <f t="shared" si="125"/>
        <v>0</v>
      </c>
      <c r="DP50" s="29">
        <f>$DX50/$E$1</f>
        <v>0</v>
      </c>
      <c r="DQ50" s="29">
        <f>SUM(DQ46:DQ49)</f>
        <v>208</v>
      </c>
      <c r="DR50" s="37">
        <f t="shared" si="126"/>
        <v>208</v>
      </c>
      <c r="DS50" s="38">
        <f t="shared" si="127"/>
        <v>0</v>
      </c>
      <c r="DT50" s="29">
        <f>$DX50/$E$1</f>
        <v>0</v>
      </c>
      <c r="DU50" s="29">
        <f>SUM(DU46:DU49)</f>
        <v>189.5</v>
      </c>
      <c r="DV50" s="29">
        <f t="shared" si="128"/>
        <v>189.5</v>
      </c>
      <c r="DW50" s="38">
        <f t="shared" si="129"/>
        <v>0</v>
      </c>
      <c r="DX50" s="29">
        <f>SUM(DX46:DX49)</f>
        <v>0</v>
      </c>
    </row>
    <row r="51" spans="1:128">
      <c r="A51" s="29" t="s">
        <v>811</v>
      </c>
      <c r="B51" s="29"/>
      <c r="C51" s="29" t="s">
        <v>812</v>
      </c>
      <c r="D51" s="29">
        <f t="shared" si="165"/>
        <v>0</v>
      </c>
      <c r="E51" s="29">
        <f>IFERROR((E42+E53)/E50,0)</f>
        <v>104.680896066716</v>
      </c>
      <c r="F51" s="37">
        <f t="shared" si="130"/>
        <v>104.680896066716</v>
      </c>
      <c r="G51" s="38">
        <f t="shared" si="131"/>
        <v>0</v>
      </c>
      <c r="H51" s="29">
        <f t="shared" si="166"/>
        <v>0</v>
      </c>
      <c r="I51" s="37">
        <f>IFERROR((I42+I53)/I50,0)</f>
        <v>91.8274649925778</v>
      </c>
      <c r="J51" s="37">
        <f t="shared" si="132"/>
        <v>91.8274649925778</v>
      </c>
      <c r="K51" s="38">
        <f t="shared" si="133"/>
        <v>0</v>
      </c>
      <c r="L51" s="29">
        <f t="shared" si="167"/>
        <v>0</v>
      </c>
      <c r="M51" s="29">
        <f>IFERROR((M42+M53)/M50,0)</f>
        <v>81.6125767933262</v>
      </c>
      <c r="N51" s="37">
        <f t="shared" si="134"/>
        <v>81.6125767933262</v>
      </c>
      <c r="O51" s="38">
        <f t="shared" si="135"/>
        <v>0</v>
      </c>
      <c r="P51" s="29">
        <f t="shared" si="168"/>
        <v>0</v>
      </c>
      <c r="Q51" s="29">
        <f>IFERROR((Q42+Q53)/Q50,0)</f>
        <v>142.185166789632</v>
      </c>
      <c r="R51" s="37">
        <f t="shared" si="136"/>
        <v>142.185166789632</v>
      </c>
      <c r="S51" s="38">
        <f t="shared" si="137"/>
        <v>0</v>
      </c>
      <c r="T51" s="29">
        <f t="shared" si="169"/>
        <v>0</v>
      </c>
      <c r="U51" s="37">
        <f>IFERROR((U42+U53)/U50,0)</f>
        <v>90.0715388535922</v>
      </c>
      <c r="V51" s="29">
        <f t="shared" si="138"/>
        <v>90.0715388535922</v>
      </c>
      <c r="W51" s="38">
        <f t="shared" si="139"/>
        <v>0</v>
      </c>
      <c r="X51" s="29">
        <f t="shared" si="170"/>
        <v>0</v>
      </c>
      <c r="Y51" s="37">
        <f>IFERROR((Y42+Y53)/Y50,0)</f>
        <v>141.617711455119</v>
      </c>
      <c r="Z51" s="37">
        <f t="shared" si="140"/>
        <v>141.617711455119</v>
      </c>
      <c r="AA51" s="38">
        <f t="shared" si="141"/>
        <v>0</v>
      </c>
      <c r="AB51" s="29">
        <f t="shared" si="171"/>
        <v>0</v>
      </c>
      <c r="AC51" s="37">
        <f>IFERROR((AC42+AC53)/AC50,0)</f>
        <v>164.777923097011</v>
      </c>
      <c r="AD51" s="37">
        <f t="shared" si="142"/>
        <v>164.777923097011</v>
      </c>
      <c r="AE51" s="38">
        <f t="shared" si="143"/>
        <v>0</v>
      </c>
      <c r="AF51" s="29">
        <f t="shared" si="172"/>
        <v>0</v>
      </c>
      <c r="AG51" s="37">
        <f>IFERROR((AG42+AG53)/AG50,0)</f>
        <v>148.339033373656</v>
      </c>
      <c r="AH51" s="37">
        <f t="shared" si="144"/>
        <v>148.339033373656</v>
      </c>
      <c r="AI51" s="38">
        <f t="shared" si="145"/>
        <v>0</v>
      </c>
      <c r="AJ51" s="29">
        <f t="shared" si="173"/>
        <v>0</v>
      </c>
      <c r="AK51" s="37">
        <f>IFERROR((AK42+AK53)/AK50,0)</f>
        <v>162.473369930352</v>
      </c>
      <c r="AL51" s="37">
        <f t="shared" si="146"/>
        <v>162.473369930352</v>
      </c>
      <c r="AM51" s="38">
        <f t="shared" si="147"/>
        <v>0</v>
      </c>
      <c r="AN51" s="29">
        <f t="shared" si="174"/>
        <v>0</v>
      </c>
      <c r="AO51" s="37">
        <f>IFERROR((AO42+AO53)/AO50,0)</f>
        <v>152.98063953871</v>
      </c>
      <c r="AP51" s="37">
        <f t="shared" si="98"/>
        <v>152.98063953871</v>
      </c>
      <c r="AQ51" s="38">
        <f t="shared" si="97"/>
        <v>0</v>
      </c>
      <c r="AR51" s="29">
        <f t="shared" si="164"/>
        <v>0</v>
      </c>
      <c r="AS51" s="29">
        <f>IFERROR((AS42+AS53)/AS50,0)</f>
        <v>135.984195063393</v>
      </c>
      <c r="AT51" s="37">
        <f t="shared" si="148"/>
        <v>135.984195063393</v>
      </c>
      <c r="AU51" s="38">
        <f t="shared" si="149"/>
        <v>0</v>
      </c>
      <c r="AV51" s="29">
        <f t="shared" si="175"/>
        <v>0</v>
      </c>
      <c r="AW51" s="29">
        <f>IFERROR((AW42+AW53)/AW50,0)</f>
        <v>92.8702126321294</v>
      </c>
      <c r="AX51" s="37">
        <f t="shared" si="150"/>
        <v>92.8702126321294</v>
      </c>
      <c r="AY51" s="38">
        <f t="shared" si="99"/>
        <v>0</v>
      </c>
      <c r="AZ51" s="29">
        <f t="shared" si="176"/>
        <v>0</v>
      </c>
      <c r="BA51" s="37">
        <f>IFERROR((BA42+BA53)/BA50,0)</f>
        <v>81.1999595699597</v>
      </c>
      <c r="BB51" s="37">
        <f t="shared" si="100"/>
        <v>81.1999595699597</v>
      </c>
      <c r="BC51" s="38">
        <f t="shared" si="101"/>
        <v>0</v>
      </c>
      <c r="BD51" s="29">
        <f t="shared" si="177"/>
        <v>0</v>
      </c>
      <c r="BE51" s="37">
        <f>IFERROR((BE42+BE53)/BE50,0)</f>
        <v>121.190909809613</v>
      </c>
      <c r="BF51" s="37">
        <f t="shared" si="102"/>
        <v>121.190909809613</v>
      </c>
      <c r="BG51" s="38">
        <f t="shared" si="103"/>
        <v>0</v>
      </c>
      <c r="BH51" s="29">
        <f t="shared" si="178"/>
        <v>0</v>
      </c>
      <c r="BI51" s="29">
        <f>IFERROR((BI42+BI53)/BI50,0)</f>
        <v>137.24952603871</v>
      </c>
      <c r="BJ51" s="37">
        <f t="shared" si="104"/>
        <v>137.24952603871</v>
      </c>
      <c r="BK51" s="38">
        <f t="shared" si="105"/>
        <v>0</v>
      </c>
      <c r="BL51" s="29">
        <f t="shared" si="179"/>
        <v>0</v>
      </c>
      <c r="BM51" s="29">
        <f>IFERROR((BM42+BM53)/BM50,0)</f>
        <v>116.604507507554</v>
      </c>
      <c r="BN51" s="37">
        <f t="shared" si="106"/>
        <v>116.604507507554</v>
      </c>
      <c r="BO51" s="38">
        <f t="shared" si="107"/>
        <v>0</v>
      </c>
      <c r="BP51" s="29">
        <f t="shared" si="180"/>
        <v>0</v>
      </c>
      <c r="BQ51" s="29">
        <f>IFERROR((BQ42+BQ53)/BQ50,0)</f>
        <v>136.290688123015</v>
      </c>
      <c r="BR51" s="37">
        <f t="shared" si="108"/>
        <v>136.290688123015</v>
      </c>
      <c r="BS51" s="38">
        <f t="shared" si="109"/>
        <v>0</v>
      </c>
      <c r="BT51" s="29">
        <f t="shared" si="181"/>
        <v>0</v>
      </c>
      <c r="BU51" s="29">
        <f>IFERROR((BU42+BU53)/BU50,0)</f>
        <v>122.631206546259</v>
      </c>
      <c r="BV51" s="37">
        <f t="shared" si="151"/>
        <v>122.631206546259</v>
      </c>
      <c r="BW51" s="38">
        <f t="shared" si="110"/>
        <v>0</v>
      </c>
      <c r="BX51" s="29">
        <f t="shared" si="182"/>
        <v>0</v>
      </c>
      <c r="BY51" s="29">
        <f>IFERROR((BY42+BY53)/BY50,0)</f>
        <v>79.265332309366</v>
      </c>
      <c r="BZ51" s="37">
        <f t="shared" si="152"/>
        <v>79.265332309366</v>
      </c>
      <c r="CA51" s="38">
        <f t="shared" si="111"/>
        <v>0</v>
      </c>
      <c r="CB51" s="29">
        <f t="shared" si="183"/>
        <v>0</v>
      </c>
      <c r="CC51" s="29">
        <f>IFERROR((CC42+CC53)/CC50,0)</f>
        <v>122.234107247719</v>
      </c>
      <c r="CD51" s="37">
        <f t="shared" si="153"/>
        <v>122.234107247719</v>
      </c>
      <c r="CE51" s="38">
        <f t="shared" si="112"/>
        <v>0</v>
      </c>
      <c r="CF51" s="29">
        <f t="shared" si="184"/>
        <v>0</v>
      </c>
      <c r="CG51" s="29">
        <f>IFERROR((CG42+CG53)/CG50,0)</f>
        <v>137.194685659547</v>
      </c>
      <c r="CH51" s="37">
        <f t="shared" si="113"/>
        <v>137.194685659547</v>
      </c>
      <c r="CI51" s="38">
        <f t="shared" si="114"/>
        <v>0</v>
      </c>
      <c r="CJ51" s="29">
        <f t="shared" si="185"/>
        <v>0</v>
      </c>
      <c r="CK51" s="29">
        <f>IFERROR((CK42+CK53)/CK50,0)</f>
        <v>-34.8394239521944</v>
      </c>
      <c r="CL51" s="37">
        <f t="shared" si="154"/>
        <v>-34.8394239521944</v>
      </c>
      <c r="CM51" s="38">
        <f t="shared" si="115"/>
        <v>0</v>
      </c>
      <c r="CN51" s="29">
        <f t="shared" si="186"/>
        <v>0</v>
      </c>
      <c r="CO51" s="29">
        <f>IFERROR((CO42+CO53)/CO50,0)</f>
        <v>116.818813549202</v>
      </c>
      <c r="CP51" s="37">
        <f t="shared" si="116"/>
        <v>116.818813549202</v>
      </c>
      <c r="CQ51" s="38">
        <f t="shared" si="117"/>
        <v>0</v>
      </c>
      <c r="CR51" s="29">
        <f t="shared" si="187"/>
        <v>0</v>
      </c>
      <c r="CS51" s="29">
        <f>IFERROR((CS42+CS53)/CS50,0)</f>
        <v>91.6788231633859</v>
      </c>
      <c r="CT51" s="37">
        <f t="shared" si="155"/>
        <v>91.6788231633859</v>
      </c>
      <c r="CU51" s="38">
        <f t="shared" si="118"/>
        <v>0</v>
      </c>
      <c r="CV51" s="29">
        <f t="shared" si="188"/>
        <v>0</v>
      </c>
      <c r="CW51" s="29">
        <f>IFERROR((CW42+CW53)/CW50,0)</f>
        <v>115.84197632343</v>
      </c>
      <c r="CX51" s="37">
        <f t="shared" si="156"/>
        <v>115.84197632343</v>
      </c>
      <c r="CY51" s="38">
        <f t="shared" si="119"/>
        <v>0</v>
      </c>
      <c r="CZ51" s="29">
        <f t="shared" si="189"/>
        <v>0</v>
      </c>
      <c r="DA51" s="29">
        <f>IFERROR((DA42+DA53)/DA50,0)</f>
        <v>141.058367747993</v>
      </c>
      <c r="DB51" s="37">
        <f t="shared" si="157"/>
        <v>141.058367747993</v>
      </c>
      <c r="DC51" s="38">
        <f t="shared" si="120"/>
        <v>0</v>
      </c>
      <c r="DD51" s="29">
        <f t="shared" si="190"/>
        <v>0</v>
      </c>
      <c r="DE51" s="29">
        <f>IFERROR((DE42+DE53)/DE50,0)</f>
        <v>183.954074637097</v>
      </c>
      <c r="DF51" s="37">
        <f t="shared" si="158"/>
        <v>183.954074637097</v>
      </c>
      <c r="DG51" s="38">
        <f t="shared" si="121"/>
        <v>0</v>
      </c>
      <c r="DH51" s="29">
        <f t="shared" si="191"/>
        <v>0</v>
      </c>
      <c r="DI51" s="29">
        <f>IFERROR((DI42+DI53)/DI50,0)</f>
        <v>131.057414957776</v>
      </c>
      <c r="DJ51" s="37">
        <f t="shared" si="122"/>
        <v>131.057414957776</v>
      </c>
      <c r="DK51" s="38">
        <f t="shared" si="123"/>
        <v>0</v>
      </c>
      <c r="DL51" s="29">
        <f t="shared" si="192"/>
        <v>0</v>
      </c>
      <c r="DM51" s="29">
        <f>IFERROR((DM42+DM53)/DM50,0)</f>
        <v>108.496649010575</v>
      </c>
      <c r="DN51" s="37">
        <f t="shared" si="124"/>
        <v>108.496649010575</v>
      </c>
      <c r="DO51" s="38">
        <f t="shared" si="125"/>
        <v>0</v>
      </c>
      <c r="DP51" s="29">
        <f>IFERROR((DP42+DP53)/DP50,0)</f>
        <v>0</v>
      </c>
      <c r="DQ51" s="29">
        <f>IFERROR((DQ42+DQ53)/DQ50,0)</f>
        <v>114.031698685057</v>
      </c>
      <c r="DR51" s="37">
        <f t="shared" si="126"/>
        <v>114.031698685057</v>
      </c>
      <c r="DS51" s="38">
        <f t="shared" si="127"/>
        <v>0</v>
      </c>
      <c r="DT51" s="29">
        <f>IFERROR((DT42+DT53)/DT50,0)</f>
        <v>0</v>
      </c>
      <c r="DU51" s="29">
        <f>IFERROR((DU42+DU53)/DU50,0)</f>
        <v>-75.3846089301217</v>
      </c>
      <c r="DV51" s="29">
        <f t="shared" si="128"/>
        <v>-75.3846089301217</v>
      </c>
      <c r="DW51" s="38">
        <f t="shared" si="129"/>
        <v>0</v>
      </c>
      <c r="DX51" s="29"/>
    </row>
    <row r="52" spans="1:128">
      <c r="A52" s="29" t="s">
        <v>813</v>
      </c>
      <c r="B52" s="31"/>
      <c r="C52" s="29"/>
      <c r="D52" s="29">
        <f t="shared" si="165"/>
        <v>0</v>
      </c>
      <c r="E52" s="29">
        <v>0</v>
      </c>
      <c r="F52" s="37">
        <f t="shared" si="130"/>
        <v>0</v>
      </c>
      <c r="G52" s="38">
        <f t="shared" si="131"/>
        <v>0</v>
      </c>
      <c r="H52" s="29">
        <f t="shared" si="166"/>
        <v>0</v>
      </c>
      <c r="I52" s="29">
        <v>0</v>
      </c>
      <c r="J52" s="37">
        <f t="shared" si="132"/>
        <v>0</v>
      </c>
      <c r="K52" s="38">
        <f t="shared" si="133"/>
        <v>0</v>
      </c>
      <c r="L52" s="29">
        <f t="shared" si="167"/>
        <v>0</v>
      </c>
      <c r="M52" s="29">
        <v>0</v>
      </c>
      <c r="N52" s="37">
        <f t="shared" si="134"/>
        <v>0</v>
      </c>
      <c r="O52" s="38">
        <f t="shared" si="135"/>
        <v>0</v>
      </c>
      <c r="P52" s="29">
        <f t="shared" si="168"/>
        <v>0</v>
      </c>
      <c r="Q52" s="29">
        <v>0</v>
      </c>
      <c r="R52" s="37">
        <f t="shared" si="136"/>
        <v>0</v>
      </c>
      <c r="S52" s="38">
        <f t="shared" si="137"/>
        <v>0</v>
      </c>
      <c r="T52" s="29">
        <f t="shared" si="169"/>
        <v>0</v>
      </c>
      <c r="U52" s="29">
        <v>0</v>
      </c>
      <c r="V52" s="29">
        <f t="shared" si="138"/>
        <v>0</v>
      </c>
      <c r="W52" s="38">
        <f t="shared" si="139"/>
        <v>0</v>
      </c>
      <c r="X52" s="29">
        <f t="shared" si="170"/>
        <v>0</v>
      </c>
      <c r="Y52" s="29">
        <v>0</v>
      </c>
      <c r="Z52" s="37">
        <f t="shared" si="140"/>
        <v>0</v>
      </c>
      <c r="AA52" s="38">
        <f t="shared" si="141"/>
        <v>0</v>
      </c>
      <c r="AB52" s="29">
        <f t="shared" si="171"/>
        <v>0</v>
      </c>
      <c r="AC52" s="29">
        <v>0</v>
      </c>
      <c r="AD52" s="37">
        <f t="shared" si="142"/>
        <v>0</v>
      </c>
      <c r="AE52" s="38">
        <f t="shared" si="143"/>
        <v>0</v>
      </c>
      <c r="AF52" s="29">
        <f t="shared" si="172"/>
        <v>0</v>
      </c>
      <c r="AG52" s="29">
        <v>0</v>
      </c>
      <c r="AH52" s="37">
        <f t="shared" si="144"/>
        <v>0</v>
      </c>
      <c r="AI52" s="38">
        <f t="shared" si="145"/>
        <v>0</v>
      </c>
      <c r="AJ52" s="29">
        <f t="shared" si="173"/>
        <v>0</v>
      </c>
      <c r="AK52" s="29">
        <v>0</v>
      </c>
      <c r="AL52" s="37">
        <f t="shared" si="146"/>
        <v>0</v>
      </c>
      <c r="AM52" s="38">
        <f t="shared" si="147"/>
        <v>0</v>
      </c>
      <c r="AN52" s="29">
        <f t="shared" si="174"/>
        <v>0</v>
      </c>
      <c r="AO52" s="29">
        <v>0</v>
      </c>
      <c r="AP52" s="37">
        <f t="shared" si="98"/>
        <v>0</v>
      </c>
      <c r="AQ52" s="38">
        <f t="shared" si="97"/>
        <v>0</v>
      </c>
      <c r="AR52" s="29">
        <f t="shared" si="164"/>
        <v>0</v>
      </c>
      <c r="AS52" s="29">
        <v>0</v>
      </c>
      <c r="AT52" s="37">
        <f t="shared" si="148"/>
        <v>0</v>
      </c>
      <c r="AU52" s="38">
        <f t="shared" si="149"/>
        <v>0</v>
      </c>
      <c r="AV52" s="29">
        <f t="shared" si="175"/>
        <v>0</v>
      </c>
      <c r="AW52" s="29">
        <v>0</v>
      </c>
      <c r="AX52" s="37">
        <f t="shared" si="150"/>
        <v>0</v>
      </c>
      <c r="AY52" s="38">
        <f t="shared" si="99"/>
        <v>0</v>
      </c>
      <c r="AZ52" s="29">
        <f t="shared" si="176"/>
        <v>0</v>
      </c>
      <c r="BA52" s="29">
        <v>0</v>
      </c>
      <c r="BB52" s="37">
        <f t="shared" si="100"/>
        <v>0</v>
      </c>
      <c r="BC52" s="38">
        <f t="shared" si="101"/>
        <v>0</v>
      </c>
      <c r="BD52" s="29">
        <f t="shared" si="177"/>
        <v>0</v>
      </c>
      <c r="BE52" s="29">
        <v>0</v>
      </c>
      <c r="BF52" s="37">
        <f t="shared" si="102"/>
        <v>0</v>
      </c>
      <c r="BG52" s="38">
        <f t="shared" si="103"/>
        <v>0</v>
      </c>
      <c r="BH52" s="29">
        <f t="shared" si="178"/>
        <v>0</v>
      </c>
      <c r="BI52" s="29">
        <v>0</v>
      </c>
      <c r="BJ52" s="37">
        <f t="shared" si="104"/>
        <v>0</v>
      </c>
      <c r="BK52" s="38">
        <f t="shared" si="105"/>
        <v>0</v>
      </c>
      <c r="BL52" s="29">
        <f t="shared" si="179"/>
        <v>0</v>
      </c>
      <c r="BM52" s="29">
        <v>0</v>
      </c>
      <c r="BN52" s="37">
        <f t="shared" si="106"/>
        <v>0</v>
      </c>
      <c r="BO52" s="38">
        <f t="shared" si="107"/>
        <v>0</v>
      </c>
      <c r="BP52" s="29">
        <f t="shared" si="180"/>
        <v>0</v>
      </c>
      <c r="BQ52" s="29">
        <v>0</v>
      </c>
      <c r="BR52" s="37">
        <f t="shared" si="108"/>
        <v>0</v>
      </c>
      <c r="BS52" s="38">
        <f t="shared" si="109"/>
        <v>0</v>
      </c>
      <c r="BT52" s="29">
        <f t="shared" si="181"/>
        <v>0</v>
      </c>
      <c r="BU52" s="29">
        <v>0</v>
      </c>
      <c r="BV52" s="37">
        <f t="shared" si="151"/>
        <v>0</v>
      </c>
      <c r="BW52" s="38">
        <f t="shared" si="110"/>
        <v>0</v>
      </c>
      <c r="BX52" s="29">
        <f t="shared" si="182"/>
        <v>0</v>
      </c>
      <c r="BY52" s="29">
        <v>0</v>
      </c>
      <c r="BZ52" s="37">
        <f t="shared" si="152"/>
        <v>0</v>
      </c>
      <c r="CA52" s="38">
        <f t="shared" si="111"/>
        <v>0</v>
      </c>
      <c r="CB52" s="29">
        <f t="shared" si="183"/>
        <v>0</v>
      </c>
      <c r="CC52" s="29">
        <v>0</v>
      </c>
      <c r="CD52" s="37">
        <f t="shared" si="153"/>
        <v>0</v>
      </c>
      <c r="CE52" s="38">
        <f t="shared" si="112"/>
        <v>0</v>
      </c>
      <c r="CF52" s="29">
        <f t="shared" si="184"/>
        <v>0</v>
      </c>
      <c r="CG52" s="29">
        <v>0</v>
      </c>
      <c r="CH52" s="37">
        <f t="shared" si="113"/>
        <v>0</v>
      </c>
      <c r="CI52" s="38">
        <f t="shared" si="114"/>
        <v>0</v>
      </c>
      <c r="CJ52" s="29">
        <f t="shared" si="185"/>
        <v>0</v>
      </c>
      <c r="CK52" s="29">
        <v>0</v>
      </c>
      <c r="CL52" s="37">
        <f t="shared" si="154"/>
        <v>0</v>
      </c>
      <c r="CM52" s="38">
        <f t="shared" si="115"/>
        <v>0</v>
      </c>
      <c r="CN52" s="29">
        <f t="shared" si="186"/>
        <v>0</v>
      </c>
      <c r="CO52" s="29">
        <v>0</v>
      </c>
      <c r="CP52" s="37">
        <f t="shared" si="116"/>
        <v>0</v>
      </c>
      <c r="CQ52" s="38">
        <f t="shared" si="117"/>
        <v>0</v>
      </c>
      <c r="CR52" s="29">
        <f t="shared" si="187"/>
        <v>0</v>
      </c>
      <c r="CS52" s="29">
        <v>0</v>
      </c>
      <c r="CT52" s="37">
        <f t="shared" si="155"/>
        <v>0</v>
      </c>
      <c r="CU52" s="38">
        <f t="shared" si="118"/>
        <v>0</v>
      </c>
      <c r="CV52" s="29">
        <f t="shared" si="188"/>
        <v>0</v>
      </c>
      <c r="CW52" s="29">
        <v>0</v>
      </c>
      <c r="CX52" s="37">
        <f t="shared" si="156"/>
        <v>0</v>
      </c>
      <c r="CY52" s="38">
        <f t="shared" si="119"/>
        <v>0</v>
      </c>
      <c r="CZ52" s="29">
        <f t="shared" si="189"/>
        <v>0</v>
      </c>
      <c r="DA52" s="29">
        <v>0</v>
      </c>
      <c r="DB52" s="37">
        <f t="shared" si="157"/>
        <v>0</v>
      </c>
      <c r="DC52" s="38">
        <f t="shared" si="120"/>
        <v>0</v>
      </c>
      <c r="DD52" s="29">
        <f t="shared" si="190"/>
        <v>0</v>
      </c>
      <c r="DE52" s="29">
        <v>0</v>
      </c>
      <c r="DF52" s="37">
        <f t="shared" si="158"/>
        <v>0</v>
      </c>
      <c r="DG52" s="38">
        <f t="shared" si="121"/>
        <v>0</v>
      </c>
      <c r="DH52" s="29">
        <f t="shared" si="191"/>
        <v>0</v>
      </c>
      <c r="DI52" s="29">
        <v>0</v>
      </c>
      <c r="DJ52" s="37">
        <f t="shared" si="122"/>
        <v>0</v>
      </c>
      <c r="DK52" s="38">
        <f t="shared" si="123"/>
        <v>0</v>
      </c>
      <c r="DL52" s="29">
        <f t="shared" si="192"/>
        <v>0</v>
      </c>
      <c r="DM52" s="29">
        <v>0</v>
      </c>
      <c r="DN52" s="37">
        <f t="shared" si="124"/>
        <v>0</v>
      </c>
      <c r="DO52" s="38">
        <f t="shared" si="125"/>
        <v>0</v>
      </c>
      <c r="DP52" s="29">
        <f>$DX52/$E$1</f>
        <v>0</v>
      </c>
      <c r="DQ52" s="29">
        <v>0</v>
      </c>
      <c r="DR52" s="37">
        <f t="shared" si="126"/>
        <v>0</v>
      </c>
      <c r="DS52" s="38">
        <f t="shared" si="127"/>
        <v>0</v>
      </c>
      <c r="DT52" s="29">
        <f>$DX52/$E$1</f>
        <v>0</v>
      </c>
      <c r="DU52" s="29">
        <v>0</v>
      </c>
      <c r="DV52" s="29">
        <f t="shared" si="128"/>
        <v>0</v>
      </c>
      <c r="DW52" s="38">
        <f t="shared" si="129"/>
        <v>0</v>
      </c>
      <c r="DX52" s="29">
        <v>0</v>
      </c>
    </row>
    <row r="53" spans="1:128">
      <c r="A53" s="29" t="s">
        <v>837</v>
      </c>
      <c r="B53" s="29" t="s">
        <v>838</v>
      </c>
      <c r="C53" s="31"/>
      <c r="D53" s="29"/>
      <c r="E53" s="29">
        <f>汇总表!B50</f>
        <v>8487.88709677419</v>
      </c>
      <c r="F53" s="37">
        <f t="shared" si="130"/>
        <v>8487.88709677419</v>
      </c>
      <c r="G53" s="38">
        <f t="shared" si="131"/>
        <v>0</v>
      </c>
      <c r="H53" s="29"/>
      <c r="I53" s="29">
        <f>汇总表!C50</f>
        <v>4305.88709677419</v>
      </c>
      <c r="J53" s="37">
        <f t="shared" si="132"/>
        <v>4305.88709677419</v>
      </c>
      <c r="K53" s="38">
        <f t="shared" si="133"/>
        <v>0</v>
      </c>
      <c r="L53" s="29"/>
      <c r="M53" s="29">
        <f>汇总表!D50</f>
        <v>4326.38709677419</v>
      </c>
      <c r="N53" s="37">
        <f t="shared" si="134"/>
        <v>4326.38709677419</v>
      </c>
      <c r="O53" s="38">
        <f t="shared" si="135"/>
        <v>0</v>
      </c>
      <c r="P53" s="29"/>
      <c r="Q53" s="29">
        <f>汇总表!E50</f>
        <v>4307.38709677419</v>
      </c>
      <c r="R53" s="37">
        <f t="shared" si="136"/>
        <v>4307.38709677419</v>
      </c>
      <c r="S53" s="38">
        <f t="shared" si="137"/>
        <v>0</v>
      </c>
      <c r="T53" s="29"/>
      <c r="U53" s="29">
        <f>汇总表!F50</f>
        <v>4319.88709677419</v>
      </c>
      <c r="V53" s="29">
        <f t="shared" si="138"/>
        <v>4319.88709677419</v>
      </c>
      <c r="W53" s="38">
        <f t="shared" si="139"/>
        <v>0</v>
      </c>
      <c r="X53" s="29"/>
      <c r="Y53" s="29">
        <f>汇总表!G50</f>
        <v>4320.88709677419</v>
      </c>
      <c r="Z53" s="37">
        <f t="shared" si="140"/>
        <v>4320.88709677419</v>
      </c>
      <c r="AA53" s="38">
        <f t="shared" si="141"/>
        <v>0</v>
      </c>
      <c r="AB53" s="29"/>
      <c r="AC53" s="29">
        <f>汇总表!H50</f>
        <v>4308.38709677419</v>
      </c>
      <c r="AD53" s="37">
        <f t="shared" si="142"/>
        <v>4308.38709677419</v>
      </c>
      <c r="AE53" s="38">
        <f t="shared" si="143"/>
        <v>0</v>
      </c>
      <c r="AF53" s="29"/>
      <c r="AG53" s="29">
        <f>汇总表!I50</f>
        <v>4333.88709677419</v>
      </c>
      <c r="AH53" s="37">
        <f t="shared" si="144"/>
        <v>4333.88709677419</v>
      </c>
      <c r="AI53" s="38">
        <f t="shared" si="145"/>
        <v>0</v>
      </c>
      <c r="AJ53" s="29"/>
      <c r="AK53" s="29">
        <f>汇总表!J50</f>
        <v>4358.88709677419</v>
      </c>
      <c r="AL53" s="37">
        <f t="shared" si="146"/>
        <v>4358.88709677419</v>
      </c>
      <c r="AM53" s="38">
        <f t="shared" si="147"/>
        <v>0</v>
      </c>
      <c r="AN53" s="29"/>
      <c r="AO53" s="29">
        <f>汇总表!K50</f>
        <v>4320.38709677419</v>
      </c>
      <c r="AP53" s="37">
        <f t="shared" si="98"/>
        <v>4320.38709677419</v>
      </c>
      <c r="AQ53" s="38" t="e">
        <f>AP53/AN53</f>
        <v>#DIV/0!</v>
      </c>
      <c r="AR53" s="29"/>
      <c r="AS53" s="29">
        <f>汇总表!L50</f>
        <v>4327.38709677419</v>
      </c>
      <c r="AT53" s="37">
        <f t="shared" si="148"/>
        <v>4327.38709677419</v>
      </c>
      <c r="AU53" s="38">
        <f t="shared" si="149"/>
        <v>0</v>
      </c>
      <c r="AV53" s="29"/>
      <c r="AW53" s="29">
        <f>汇总表!M50</f>
        <v>4322.88709677419</v>
      </c>
      <c r="AX53" s="37">
        <f t="shared" si="150"/>
        <v>4322.88709677419</v>
      </c>
      <c r="AY53" s="38">
        <f t="shared" si="99"/>
        <v>0</v>
      </c>
      <c r="AZ53" s="29"/>
      <c r="BA53" s="29">
        <f>汇总表!N50</f>
        <v>4320.38709677419</v>
      </c>
      <c r="BB53" s="37">
        <f t="shared" si="100"/>
        <v>4320.38709677419</v>
      </c>
      <c r="BC53" s="38">
        <f t="shared" si="101"/>
        <v>0</v>
      </c>
      <c r="BD53" s="29"/>
      <c r="BE53" s="29">
        <f>汇总表!O50</f>
        <v>4317.38709677419</v>
      </c>
      <c r="BF53" s="37">
        <f t="shared" si="102"/>
        <v>4317.38709677419</v>
      </c>
      <c r="BG53" s="38">
        <f t="shared" si="103"/>
        <v>0</v>
      </c>
      <c r="BH53" s="29"/>
      <c r="BI53" s="29">
        <f>汇总表!P50</f>
        <v>4323.88709677419</v>
      </c>
      <c r="BJ53" s="37">
        <f t="shared" si="104"/>
        <v>4323.88709677419</v>
      </c>
      <c r="BK53" s="38">
        <f t="shared" si="105"/>
        <v>0</v>
      </c>
      <c r="BL53" s="29"/>
      <c r="BM53" s="29">
        <f>汇总表!Q50</f>
        <v>4309.88709677419</v>
      </c>
      <c r="BN53" s="37">
        <f t="shared" si="106"/>
        <v>4309.88709677419</v>
      </c>
      <c r="BO53" s="38">
        <f t="shared" si="107"/>
        <v>0</v>
      </c>
      <c r="BP53" s="29"/>
      <c r="BQ53" s="29">
        <f>汇总表!R50</f>
        <v>4321.38709677419</v>
      </c>
      <c r="BR53" s="37">
        <f t="shared" si="108"/>
        <v>4321.38709677419</v>
      </c>
      <c r="BS53" s="38">
        <f t="shared" si="109"/>
        <v>0</v>
      </c>
      <c r="BT53" s="29"/>
      <c r="BU53" s="29">
        <f>汇总表!S50</f>
        <v>4319.38709677419</v>
      </c>
      <c r="BV53" s="37">
        <f t="shared" si="151"/>
        <v>4319.38709677419</v>
      </c>
      <c r="BW53" s="38">
        <f t="shared" si="110"/>
        <v>0</v>
      </c>
      <c r="BX53" s="29"/>
      <c r="BY53" s="29">
        <f>汇总表!T50</f>
        <v>4323.88709677419</v>
      </c>
      <c r="BZ53" s="37">
        <f t="shared" si="152"/>
        <v>4323.88709677419</v>
      </c>
      <c r="CA53" s="38">
        <f t="shared" si="111"/>
        <v>0</v>
      </c>
      <c r="CB53" s="29"/>
      <c r="CC53" s="29">
        <f>汇总表!U50</f>
        <v>4314.38709677419</v>
      </c>
      <c r="CD53" s="37">
        <f t="shared" si="153"/>
        <v>4314.38709677419</v>
      </c>
      <c r="CE53" s="38">
        <f t="shared" si="112"/>
        <v>0</v>
      </c>
      <c r="CF53" s="29"/>
      <c r="CG53" s="29">
        <f>汇总表!V50</f>
        <v>4316.88709677419</v>
      </c>
      <c r="CH53" s="37">
        <f t="shared" si="113"/>
        <v>4316.88709677419</v>
      </c>
      <c r="CI53" s="38">
        <f t="shared" si="114"/>
        <v>0</v>
      </c>
      <c r="CJ53" s="29"/>
      <c r="CK53" s="29">
        <f>汇总表!W50</f>
        <v>4307.38709677419</v>
      </c>
      <c r="CL53" s="37">
        <f t="shared" si="154"/>
        <v>4307.38709677419</v>
      </c>
      <c r="CM53" s="38">
        <f t="shared" si="115"/>
        <v>0</v>
      </c>
      <c r="CN53" s="29"/>
      <c r="CO53" s="29">
        <f>汇总表!X50</f>
        <v>4311.88709677419</v>
      </c>
      <c r="CP53" s="37">
        <f t="shared" si="116"/>
        <v>4311.88709677419</v>
      </c>
      <c r="CQ53" s="38">
        <f t="shared" si="117"/>
        <v>0</v>
      </c>
      <c r="CR53" s="29"/>
      <c r="CS53" s="29">
        <f>汇总表!Y50</f>
        <v>4318.38709677419</v>
      </c>
      <c r="CT53" s="37">
        <f t="shared" si="155"/>
        <v>4318.38709677419</v>
      </c>
      <c r="CU53" s="38">
        <f t="shared" si="118"/>
        <v>0</v>
      </c>
      <c r="CV53" s="29"/>
      <c r="CW53" s="29">
        <f>汇总表!Z50</f>
        <v>4319.88709677419</v>
      </c>
      <c r="CX53" s="37">
        <f t="shared" si="156"/>
        <v>4319.88709677419</v>
      </c>
      <c r="CY53" s="38">
        <f t="shared" si="119"/>
        <v>0</v>
      </c>
      <c r="CZ53" s="29"/>
      <c r="DA53" s="29">
        <f>汇总表!AA50</f>
        <v>4375.38709677419</v>
      </c>
      <c r="DB53" s="37">
        <f t="shared" si="157"/>
        <v>4375.38709677419</v>
      </c>
      <c r="DC53" s="38">
        <f t="shared" si="120"/>
        <v>0</v>
      </c>
      <c r="DD53" s="29"/>
      <c r="DE53" s="29">
        <f>汇总表!AB50</f>
        <v>4318.88709677419</v>
      </c>
      <c r="DF53" s="37">
        <f t="shared" si="158"/>
        <v>4318.88709677419</v>
      </c>
      <c r="DG53" s="38">
        <f t="shared" si="121"/>
        <v>0</v>
      </c>
      <c r="DH53" s="29"/>
      <c r="DI53" s="29">
        <f>汇总表!AC50</f>
        <v>4321.38709677419</v>
      </c>
      <c r="DJ53" s="37">
        <f t="shared" si="122"/>
        <v>4321.38709677419</v>
      </c>
      <c r="DK53" s="38">
        <f t="shared" si="123"/>
        <v>0</v>
      </c>
      <c r="DL53" s="29"/>
      <c r="DM53" s="29">
        <f>汇总表!AD50</f>
        <v>1789.38709677419</v>
      </c>
      <c r="DN53" s="37">
        <f t="shared" si="124"/>
        <v>1789.38709677419</v>
      </c>
      <c r="DO53" s="38">
        <f t="shared" si="125"/>
        <v>0</v>
      </c>
      <c r="DP53" s="29"/>
      <c r="DQ53" s="29">
        <f>汇总表!AE50</f>
        <v>1797.88709677419</v>
      </c>
      <c r="DR53" s="37">
        <f t="shared" si="126"/>
        <v>1797.88709677419</v>
      </c>
      <c r="DS53" s="38">
        <f t="shared" si="127"/>
        <v>0</v>
      </c>
      <c r="DT53" s="29"/>
      <c r="DU53" s="29">
        <f>汇总表!AF50</f>
        <v>1266.38709677419</v>
      </c>
      <c r="DV53" s="29">
        <f t="shared" si="128"/>
        <v>1266.38709677419</v>
      </c>
      <c r="DW53" s="38">
        <f t="shared" si="129"/>
        <v>0</v>
      </c>
      <c r="DX53" s="29"/>
    </row>
    <row r="54" spans="1:128">
      <c r="A54" s="29"/>
      <c r="B54" s="29" t="s">
        <v>839</v>
      </c>
      <c r="C54" s="31"/>
      <c r="D54" s="29">
        <f t="shared" si="165"/>
        <v>0</v>
      </c>
      <c r="E54" s="29">
        <f>SUMIF(汇总表!$B$1:$AF$1,$E$3,汇总表!$B57:$AG57)</f>
        <v>0</v>
      </c>
      <c r="F54" s="37">
        <f t="shared" si="130"/>
        <v>0</v>
      </c>
      <c r="G54" s="38">
        <f t="shared" si="131"/>
        <v>0</v>
      </c>
      <c r="H54" s="29">
        <f t="shared" si="166"/>
        <v>0</v>
      </c>
      <c r="I54" s="29">
        <f>SUMIF(汇总表!$B$1:$AF$1,$E$3,汇总表!$B57:$AG57)</f>
        <v>0</v>
      </c>
      <c r="J54" s="37">
        <f t="shared" si="132"/>
        <v>0</v>
      </c>
      <c r="K54" s="38">
        <f t="shared" si="133"/>
        <v>0</v>
      </c>
      <c r="L54" s="29">
        <f t="shared" si="167"/>
        <v>0</v>
      </c>
      <c r="M54" s="29">
        <f>SUMIF(汇总表!$B$1:$AF$1,$E$3,汇总表!$B57:$AG57)</f>
        <v>0</v>
      </c>
      <c r="N54" s="37">
        <f t="shared" si="134"/>
        <v>0</v>
      </c>
      <c r="O54" s="38">
        <f t="shared" si="135"/>
        <v>0</v>
      </c>
      <c r="P54" s="29">
        <f t="shared" si="168"/>
        <v>0</v>
      </c>
      <c r="Q54" s="29">
        <f>SUMIF(汇总表!$B$1:$AF$1,$E$3,汇总表!$B57:$AG57)</f>
        <v>0</v>
      </c>
      <c r="R54" s="37">
        <f t="shared" si="136"/>
        <v>0</v>
      </c>
      <c r="S54" s="38">
        <f t="shared" si="137"/>
        <v>0</v>
      </c>
      <c r="T54" s="29">
        <f t="shared" si="169"/>
        <v>0</v>
      </c>
      <c r="U54" s="29">
        <f>SUMIF(汇总表!$B$1:$AF$1,$E$3,汇总表!$B57:$AG57)</f>
        <v>0</v>
      </c>
      <c r="V54" s="29">
        <f t="shared" si="138"/>
        <v>0</v>
      </c>
      <c r="W54" s="38">
        <f t="shared" si="139"/>
        <v>0</v>
      </c>
      <c r="X54" s="29">
        <f t="shared" si="170"/>
        <v>0</v>
      </c>
      <c r="Y54" s="29">
        <f>SUMIF(汇总表!$B$1:$AF$1,$E$3,汇总表!$B57:$AG57)</f>
        <v>0</v>
      </c>
      <c r="Z54" s="37">
        <f t="shared" si="140"/>
        <v>0</v>
      </c>
      <c r="AA54" s="38">
        <f t="shared" si="141"/>
        <v>0</v>
      </c>
      <c r="AB54" s="29">
        <f t="shared" si="171"/>
        <v>0</v>
      </c>
      <c r="AC54" s="29">
        <f>SUMIF(汇总表!$B$1:$AF$1,$E$3,汇总表!$B57:$AG57)</f>
        <v>0</v>
      </c>
      <c r="AD54" s="37">
        <f t="shared" si="142"/>
        <v>0</v>
      </c>
      <c r="AE54" s="38">
        <f t="shared" si="143"/>
        <v>0</v>
      </c>
      <c r="AF54" s="29">
        <f t="shared" si="172"/>
        <v>0</v>
      </c>
      <c r="AG54" s="29">
        <f>SUMIF(汇总表!$B$1:$AF$1,$E$3,汇总表!$B57:$AG57)</f>
        <v>0</v>
      </c>
      <c r="AH54" s="37">
        <f t="shared" si="144"/>
        <v>0</v>
      </c>
      <c r="AI54" s="38">
        <f t="shared" si="145"/>
        <v>0</v>
      </c>
      <c r="AJ54" s="29">
        <f t="shared" si="173"/>
        <v>0</v>
      </c>
      <c r="AK54" s="29">
        <f>SUMIF(汇总表!$B$1:$AF$1,$E$3,汇总表!$B57:$AG57)</f>
        <v>0</v>
      </c>
      <c r="AL54" s="37">
        <f t="shared" si="146"/>
        <v>0</v>
      </c>
      <c r="AM54" s="38">
        <f t="shared" si="147"/>
        <v>0</v>
      </c>
      <c r="AN54" s="29">
        <f t="shared" si="174"/>
        <v>0</v>
      </c>
      <c r="AO54" s="29">
        <f>SUMIF(汇总表!$B$1:$AF$1,$E$3,汇总表!$B57:$AG57)</f>
        <v>0</v>
      </c>
      <c r="AP54" s="37">
        <f t="shared" si="98"/>
        <v>0</v>
      </c>
      <c r="AQ54" s="38">
        <f t="shared" si="97"/>
        <v>0</v>
      </c>
      <c r="AR54" s="29">
        <f t="shared" si="164"/>
        <v>0</v>
      </c>
      <c r="AS54" s="29">
        <f>SUMIF(汇总表!$B$1:$AF$1,$E$3,汇总表!$B57:$AG57)</f>
        <v>0</v>
      </c>
      <c r="AT54" s="37">
        <f t="shared" si="148"/>
        <v>0</v>
      </c>
      <c r="AU54" s="38">
        <f t="shared" si="149"/>
        <v>0</v>
      </c>
      <c r="AV54" s="29">
        <f t="shared" si="175"/>
        <v>0</v>
      </c>
      <c r="AW54" s="29">
        <f>SUMIF(汇总表!$B$1:$AF$1,$E$3,汇总表!$B57:$AG57)</f>
        <v>0</v>
      </c>
      <c r="AX54" s="37">
        <f t="shared" si="150"/>
        <v>0</v>
      </c>
      <c r="AY54" s="38">
        <f t="shared" si="99"/>
        <v>0</v>
      </c>
      <c r="AZ54" s="29">
        <f t="shared" si="176"/>
        <v>0</v>
      </c>
      <c r="BA54" s="29">
        <f>SUMIF(汇总表!$B$1:$AF$1,$E$3,汇总表!$B57:$AG57)</f>
        <v>0</v>
      </c>
      <c r="BB54" s="37">
        <f t="shared" si="100"/>
        <v>0</v>
      </c>
      <c r="BC54" s="38">
        <f t="shared" si="101"/>
        <v>0</v>
      </c>
      <c r="BD54" s="29">
        <f t="shared" si="177"/>
        <v>0</v>
      </c>
      <c r="BE54" s="29">
        <f>SUMIF(汇总表!$B$1:$AF$1,$E$3,汇总表!$B57:$AG57)</f>
        <v>0</v>
      </c>
      <c r="BF54" s="37">
        <f t="shared" si="102"/>
        <v>0</v>
      </c>
      <c r="BG54" s="38">
        <f t="shared" si="103"/>
        <v>0</v>
      </c>
      <c r="BH54" s="29">
        <f t="shared" si="178"/>
        <v>0</v>
      </c>
      <c r="BI54" s="29">
        <f>SUMIF(汇总表!$B$1:$AF$1,$E$3,汇总表!$B57:$AG57)</f>
        <v>0</v>
      </c>
      <c r="BJ54" s="37">
        <f t="shared" si="104"/>
        <v>0</v>
      </c>
      <c r="BK54" s="38">
        <f t="shared" si="105"/>
        <v>0</v>
      </c>
      <c r="BL54" s="29">
        <f t="shared" si="179"/>
        <v>0</v>
      </c>
      <c r="BM54" s="29">
        <f>SUMIF(汇总表!$B$1:$AF$1,$E$3,汇总表!$B57:$AG57)</f>
        <v>0</v>
      </c>
      <c r="BN54" s="37">
        <f t="shared" si="106"/>
        <v>0</v>
      </c>
      <c r="BO54" s="38">
        <f t="shared" si="107"/>
        <v>0</v>
      </c>
      <c r="BP54" s="29">
        <f t="shared" si="180"/>
        <v>0</v>
      </c>
      <c r="BQ54" s="29">
        <f>SUMIF(汇总表!$B$1:$AF$1,$E$3,汇总表!$B57:$AG57)</f>
        <v>0</v>
      </c>
      <c r="BR54" s="37">
        <f t="shared" si="108"/>
        <v>0</v>
      </c>
      <c r="BS54" s="38">
        <f t="shared" si="109"/>
        <v>0</v>
      </c>
      <c r="BT54" s="29">
        <f t="shared" si="181"/>
        <v>0</v>
      </c>
      <c r="BU54" s="29">
        <f>SUMIF(汇总表!$B$1:$AF$1,$E$3,汇总表!$B57:$AG57)</f>
        <v>0</v>
      </c>
      <c r="BV54" s="37">
        <f t="shared" si="151"/>
        <v>0</v>
      </c>
      <c r="BW54" s="38">
        <f t="shared" si="110"/>
        <v>0</v>
      </c>
      <c r="BX54" s="29">
        <f t="shared" si="182"/>
        <v>0</v>
      </c>
      <c r="BY54" s="29">
        <f>SUMIF(汇总表!$B$1:$AF$1,$E$3,汇总表!$B57:$AG57)</f>
        <v>0</v>
      </c>
      <c r="BZ54" s="37">
        <f t="shared" si="152"/>
        <v>0</v>
      </c>
      <c r="CA54" s="38">
        <f t="shared" si="111"/>
        <v>0</v>
      </c>
      <c r="CB54" s="29">
        <f t="shared" si="183"/>
        <v>0</v>
      </c>
      <c r="CC54" s="29">
        <f>SUMIF(汇总表!$B$1:$AF$1,$E$3,汇总表!$B57:$AG57)</f>
        <v>0</v>
      </c>
      <c r="CD54" s="37">
        <f t="shared" si="153"/>
        <v>0</v>
      </c>
      <c r="CE54" s="38">
        <f t="shared" si="112"/>
        <v>0</v>
      </c>
      <c r="CF54" s="29">
        <f t="shared" si="184"/>
        <v>0</v>
      </c>
      <c r="CG54" s="29">
        <f>SUMIF(汇总表!$B$1:$AF$1,$E$3,汇总表!$B57:$AG57)</f>
        <v>0</v>
      </c>
      <c r="CH54" s="37">
        <f t="shared" si="113"/>
        <v>0</v>
      </c>
      <c r="CI54" s="38">
        <f t="shared" si="114"/>
        <v>0</v>
      </c>
      <c r="CJ54" s="29">
        <f t="shared" si="185"/>
        <v>0</v>
      </c>
      <c r="CK54" s="29">
        <f>SUMIF(汇总表!$B$1:$AF$1,$E$3,汇总表!$B57:$AG57)</f>
        <v>0</v>
      </c>
      <c r="CL54" s="37">
        <f t="shared" si="154"/>
        <v>0</v>
      </c>
      <c r="CM54" s="38">
        <f t="shared" si="115"/>
        <v>0</v>
      </c>
      <c r="CN54" s="29">
        <f t="shared" si="186"/>
        <v>0</v>
      </c>
      <c r="CO54" s="29">
        <f>SUMIF(汇总表!$B$1:$AF$1,$E$3,汇总表!$B57:$AG57)</f>
        <v>0</v>
      </c>
      <c r="CP54" s="37">
        <f t="shared" si="116"/>
        <v>0</v>
      </c>
      <c r="CQ54" s="38">
        <f t="shared" si="117"/>
        <v>0</v>
      </c>
      <c r="CR54" s="29">
        <f t="shared" si="187"/>
        <v>0</v>
      </c>
      <c r="CS54" s="29">
        <f>SUMIF(汇总表!$B$1:$AF$1,$E$3,汇总表!$B57:$AG57)</f>
        <v>0</v>
      </c>
      <c r="CT54" s="37">
        <f t="shared" si="155"/>
        <v>0</v>
      </c>
      <c r="CU54" s="38">
        <f t="shared" si="118"/>
        <v>0</v>
      </c>
      <c r="CV54" s="29">
        <f t="shared" si="188"/>
        <v>0</v>
      </c>
      <c r="CW54" s="29">
        <f>SUMIF(汇总表!$B$1:$AF$1,$E$3,汇总表!$B57:$AG57)</f>
        <v>0</v>
      </c>
      <c r="CX54" s="37">
        <f t="shared" si="156"/>
        <v>0</v>
      </c>
      <c r="CY54" s="38">
        <f t="shared" si="119"/>
        <v>0</v>
      </c>
      <c r="CZ54" s="29">
        <f t="shared" si="189"/>
        <v>0</v>
      </c>
      <c r="DA54" s="29">
        <f>SUMIF(汇总表!$B$1:$AF$1,$E$3,汇总表!$B57:$AG57)</f>
        <v>0</v>
      </c>
      <c r="DB54" s="37">
        <f t="shared" si="157"/>
        <v>0</v>
      </c>
      <c r="DC54" s="38">
        <f t="shared" si="120"/>
        <v>0</v>
      </c>
      <c r="DD54" s="29">
        <f t="shared" si="190"/>
        <v>0</v>
      </c>
      <c r="DE54" s="29">
        <f>SUMIF(汇总表!$B$1:$AF$1,$E$3,汇总表!$B57:$AG57)</f>
        <v>0</v>
      </c>
      <c r="DF54" s="37">
        <f t="shared" si="158"/>
        <v>0</v>
      </c>
      <c r="DG54" s="38">
        <f t="shared" si="121"/>
        <v>0</v>
      </c>
      <c r="DH54" s="29">
        <f t="shared" si="191"/>
        <v>0</v>
      </c>
      <c r="DI54" s="29">
        <f>SUMIF(汇总表!$B$1:$AF$1,$E$3,汇总表!$B57:$AG57)</f>
        <v>0</v>
      </c>
      <c r="DJ54" s="37">
        <f t="shared" si="122"/>
        <v>0</v>
      </c>
      <c r="DK54" s="38">
        <f t="shared" si="123"/>
        <v>0</v>
      </c>
      <c r="DL54" s="29">
        <f t="shared" si="192"/>
        <v>0</v>
      </c>
      <c r="DM54" s="29">
        <f>SUMIF(汇总表!$B$1:$AF$1,$E$3,汇总表!$B57:$AG57)</f>
        <v>0</v>
      </c>
      <c r="DN54" s="37">
        <f t="shared" si="124"/>
        <v>0</v>
      </c>
      <c r="DO54" s="38">
        <f t="shared" si="125"/>
        <v>0</v>
      </c>
      <c r="DP54" s="29">
        <f>IF($E$1=30,DX54/$E$1)</f>
        <v>0</v>
      </c>
      <c r="DQ54" s="29">
        <f>SUMIF(汇总表!$B$1:$AF$1,$E$3,汇总表!$B57:$AG57)</f>
        <v>0</v>
      </c>
      <c r="DR54" s="37">
        <f t="shared" si="126"/>
        <v>0</v>
      </c>
      <c r="DS54" s="38">
        <f t="shared" si="127"/>
        <v>0</v>
      </c>
      <c r="DT54" s="29">
        <f>IF($E$1=31,$DX$5,0)</f>
        <v>0</v>
      </c>
      <c r="DU54" s="29">
        <f>SUMIF(汇总表!$B$1:$AF$1,$E$3,汇总表!$B57:$AG57)</f>
        <v>0</v>
      </c>
      <c r="DV54" s="29">
        <f t="shared" si="128"/>
        <v>0</v>
      </c>
      <c r="DW54" s="38">
        <f t="shared" si="129"/>
        <v>0</v>
      </c>
      <c r="DX54" s="29"/>
    </row>
    <row r="55" spans="1:128">
      <c r="A55" s="29"/>
      <c r="B55" s="29" t="s">
        <v>840</v>
      </c>
      <c r="C55" s="31"/>
      <c r="D55" s="29">
        <f t="shared" si="165"/>
        <v>0</v>
      </c>
      <c r="E55" s="37">
        <f>E42-E54</f>
        <v>9935.95061096774</v>
      </c>
      <c r="F55" s="37">
        <f t="shared" si="130"/>
        <v>9935.95061096774</v>
      </c>
      <c r="G55" s="38">
        <f t="shared" si="131"/>
        <v>0</v>
      </c>
      <c r="H55" s="29">
        <f t="shared" si="166"/>
        <v>0</v>
      </c>
      <c r="I55" s="37">
        <f>I42-I54</f>
        <v>13324.9861818007</v>
      </c>
      <c r="J55" s="37">
        <f t="shared" si="132"/>
        <v>13324.9861818007</v>
      </c>
      <c r="K55" s="38">
        <f t="shared" si="133"/>
        <v>0</v>
      </c>
      <c r="L55" s="29">
        <f t="shared" si="167"/>
        <v>0</v>
      </c>
      <c r="M55" s="37">
        <f>M42-M54</f>
        <v>11669.6779547177</v>
      </c>
      <c r="N55" s="37">
        <f t="shared" si="134"/>
        <v>11669.6779547177</v>
      </c>
      <c r="O55" s="38">
        <f t="shared" si="135"/>
        <v>0</v>
      </c>
      <c r="P55" s="29">
        <f t="shared" si="168"/>
        <v>0</v>
      </c>
      <c r="Q55" s="37">
        <f>Q42-Q54</f>
        <v>23916.3685109677</v>
      </c>
      <c r="R55" s="37">
        <f t="shared" si="136"/>
        <v>23916.3685109677</v>
      </c>
      <c r="S55" s="38">
        <f t="shared" si="137"/>
        <v>0</v>
      </c>
      <c r="T55" s="29">
        <f t="shared" si="169"/>
        <v>0</v>
      </c>
      <c r="U55" s="37">
        <f>U42-U54</f>
        <v>14910.3864484677</v>
      </c>
      <c r="V55" s="29">
        <f t="shared" si="138"/>
        <v>14910.3864484677</v>
      </c>
      <c r="W55" s="38">
        <f t="shared" si="139"/>
        <v>0</v>
      </c>
      <c r="X55" s="29">
        <f t="shared" si="170"/>
        <v>0</v>
      </c>
      <c r="Y55" s="37">
        <f>Y42-Y54</f>
        <v>21736.7718109677</v>
      </c>
      <c r="Z55" s="37">
        <f t="shared" si="140"/>
        <v>21736.7718109677</v>
      </c>
      <c r="AA55" s="38">
        <f t="shared" si="141"/>
        <v>0</v>
      </c>
      <c r="AB55" s="29">
        <f t="shared" si="171"/>
        <v>0</v>
      </c>
      <c r="AC55" s="37">
        <f>AC42-AC54</f>
        <v>23703.8598297177</v>
      </c>
      <c r="AD55" s="37">
        <f t="shared" si="142"/>
        <v>23703.8598297177</v>
      </c>
      <c r="AE55" s="38">
        <f t="shared" si="143"/>
        <v>0</v>
      </c>
      <c r="AF55" s="29">
        <f t="shared" si="172"/>
        <v>0</v>
      </c>
      <c r="AG55" s="37">
        <f>AG42-AG54</f>
        <v>24147.2073109677</v>
      </c>
      <c r="AH55" s="37">
        <f t="shared" si="144"/>
        <v>24147.2073109677</v>
      </c>
      <c r="AI55" s="38">
        <f t="shared" si="145"/>
        <v>0</v>
      </c>
      <c r="AJ55" s="29">
        <f t="shared" si="173"/>
        <v>0</v>
      </c>
      <c r="AK55" s="37">
        <f>AK42-AK54</f>
        <v>24236.4260109677</v>
      </c>
      <c r="AL55" s="37">
        <f t="shared" si="146"/>
        <v>24236.4260109677</v>
      </c>
      <c r="AM55" s="38">
        <f t="shared" si="147"/>
        <v>0</v>
      </c>
      <c r="AN55" s="29">
        <f t="shared" si="174"/>
        <v>0</v>
      </c>
      <c r="AO55" s="37">
        <f>AO42-AO54</f>
        <v>26275.7408109677</v>
      </c>
      <c r="AP55" s="37">
        <f t="shared" si="98"/>
        <v>26275.7408109677</v>
      </c>
      <c r="AQ55" s="38">
        <f>IFERROR(AP55/AN55,0)</f>
        <v>0</v>
      </c>
      <c r="AR55" s="29">
        <f t="shared" si="164"/>
        <v>0</v>
      </c>
      <c r="AS55" s="37">
        <f>AS42-AS54</f>
        <v>23005.4361109677</v>
      </c>
      <c r="AT55" s="37">
        <f t="shared" si="148"/>
        <v>23005.4361109677</v>
      </c>
      <c r="AU55" s="38">
        <f t="shared" si="149"/>
        <v>0</v>
      </c>
      <c r="AV55" s="29">
        <f t="shared" si="175"/>
        <v>0</v>
      </c>
      <c r="AW55" s="29">
        <f>AW42-AW54</f>
        <v>14297.5905359677</v>
      </c>
      <c r="AX55" s="37">
        <f t="shared" si="150"/>
        <v>14297.5905359677</v>
      </c>
      <c r="AY55" s="38">
        <f t="shared" si="99"/>
        <v>0</v>
      </c>
      <c r="AZ55" s="29">
        <f t="shared" si="176"/>
        <v>0</v>
      </c>
      <c r="BA55" s="37">
        <f>BA42-BA54</f>
        <v>11919.6048172177</v>
      </c>
      <c r="BB55" s="37">
        <f t="shared" si="100"/>
        <v>11919.6048172177</v>
      </c>
      <c r="BC55" s="38">
        <f t="shared" si="101"/>
        <v>0</v>
      </c>
      <c r="BD55" s="29">
        <f t="shared" si="177"/>
        <v>0</v>
      </c>
      <c r="BE55" s="37">
        <f>BE42-BE54</f>
        <v>17012.2130297177</v>
      </c>
      <c r="BF55" s="37">
        <f t="shared" si="102"/>
        <v>17012.2130297177</v>
      </c>
      <c r="BG55" s="38">
        <f t="shared" si="103"/>
        <v>0</v>
      </c>
      <c r="BH55" s="29">
        <f t="shared" si="178"/>
        <v>0</v>
      </c>
      <c r="BI55" s="37">
        <f>BI42-BI54</f>
        <v>23126.0181109677</v>
      </c>
      <c r="BJ55" s="37">
        <f t="shared" si="104"/>
        <v>23126.0181109677</v>
      </c>
      <c r="BK55" s="38">
        <f t="shared" si="105"/>
        <v>0</v>
      </c>
      <c r="BL55" s="29">
        <f t="shared" si="179"/>
        <v>0</v>
      </c>
      <c r="BM55" s="37">
        <f>BM42-BM54</f>
        <v>18719.5031359677</v>
      </c>
      <c r="BN55" s="37">
        <f t="shared" si="106"/>
        <v>18719.5031359677</v>
      </c>
      <c r="BO55" s="38">
        <f t="shared" si="107"/>
        <v>0</v>
      </c>
      <c r="BP55" s="29">
        <f t="shared" si="180"/>
        <v>0</v>
      </c>
      <c r="BQ55" s="37">
        <f>BQ42-BQ54</f>
        <v>21982.7157109677</v>
      </c>
      <c r="BR55" s="37">
        <f t="shared" si="108"/>
        <v>21982.7157109677</v>
      </c>
      <c r="BS55" s="38">
        <f t="shared" si="109"/>
        <v>0</v>
      </c>
      <c r="BT55" s="29">
        <f t="shared" si="181"/>
        <v>0</v>
      </c>
      <c r="BU55" s="37">
        <f>BU42-BU54</f>
        <v>22168.9535172177</v>
      </c>
      <c r="BV55" s="37">
        <f t="shared" si="151"/>
        <v>22168.9535172177</v>
      </c>
      <c r="BW55" s="38">
        <f t="shared" si="110"/>
        <v>0</v>
      </c>
      <c r="BX55" s="29">
        <f t="shared" si="182"/>
        <v>0</v>
      </c>
      <c r="BY55" s="37">
        <f>BY42-BY54</f>
        <v>11687.7100297177</v>
      </c>
      <c r="BZ55" s="37">
        <f t="shared" si="152"/>
        <v>11687.7100297177</v>
      </c>
      <c r="CA55" s="38">
        <f t="shared" si="111"/>
        <v>0</v>
      </c>
      <c r="CB55" s="29">
        <f t="shared" si="183"/>
        <v>0</v>
      </c>
      <c r="CC55" s="37">
        <f>CC42-CC54</f>
        <v>21110.3072107514</v>
      </c>
      <c r="CD55" s="37">
        <f t="shared" si="153"/>
        <v>21110.3072107514</v>
      </c>
      <c r="CE55" s="38">
        <f t="shared" si="112"/>
        <v>0</v>
      </c>
      <c r="CF55" s="29">
        <f t="shared" si="184"/>
        <v>0</v>
      </c>
      <c r="CG55" s="37">
        <f>CG42-CG54</f>
        <v>24768.3862630497</v>
      </c>
      <c r="CH55" s="37">
        <f t="shared" si="113"/>
        <v>24768.3862630497</v>
      </c>
      <c r="CI55" s="38">
        <f t="shared" si="114"/>
        <v>0</v>
      </c>
      <c r="CJ55" s="29">
        <f t="shared" si="185"/>
        <v>0</v>
      </c>
      <c r="CK55" s="37">
        <f>CK42-CK54</f>
        <v>-11553.9872788306</v>
      </c>
      <c r="CL55" s="37">
        <f t="shared" si="154"/>
        <v>-11553.9872788306</v>
      </c>
      <c r="CM55" s="38">
        <f t="shared" si="115"/>
        <v>0</v>
      </c>
      <c r="CN55" s="29">
        <f t="shared" si="186"/>
        <v>0</v>
      </c>
      <c r="CO55" s="37">
        <f>CO42-CO54</f>
        <v>18818.2379859677</v>
      </c>
      <c r="CP55" s="37">
        <f t="shared" si="116"/>
        <v>18818.2379859677</v>
      </c>
      <c r="CQ55" s="38">
        <f t="shared" si="117"/>
        <v>0</v>
      </c>
      <c r="CR55" s="29">
        <f t="shared" si="187"/>
        <v>0</v>
      </c>
      <c r="CS55" s="37">
        <f>CS42-CS54</f>
        <v>13008.9104811057</v>
      </c>
      <c r="CT55" s="37">
        <f t="shared" si="155"/>
        <v>13008.9104811057</v>
      </c>
      <c r="CU55" s="38">
        <f t="shared" si="118"/>
        <v>0</v>
      </c>
      <c r="CV55" s="29">
        <f t="shared" si="188"/>
        <v>0</v>
      </c>
      <c r="CW55" s="37">
        <f>CW42-CW54</f>
        <v>18848.5081679118</v>
      </c>
      <c r="CX55" s="37">
        <f t="shared" si="156"/>
        <v>18848.5081679118</v>
      </c>
      <c r="CY55" s="38">
        <f t="shared" si="119"/>
        <v>0</v>
      </c>
      <c r="CZ55" s="29">
        <f t="shared" si="189"/>
        <v>0</v>
      </c>
      <c r="DA55" s="37">
        <f>DA42-DA54</f>
        <v>25670.0452335484</v>
      </c>
      <c r="DB55" s="37">
        <f t="shared" si="157"/>
        <v>25670.0452335484</v>
      </c>
      <c r="DC55" s="38">
        <f t="shared" si="120"/>
        <v>0</v>
      </c>
      <c r="DD55" s="29">
        <f t="shared" si="190"/>
        <v>0</v>
      </c>
      <c r="DE55" s="37">
        <f>DE42-DE54</f>
        <v>31000.2952335484</v>
      </c>
      <c r="DF55" s="37">
        <f t="shared" si="158"/>
        <v>31000.2952335484</v>
      </c>
      <c r="DG55" s="38">
        <f t="shared" si="121"/>
        <v>0</v>
      </c>
      <c r="DH55" s="29">
        <f t="shared" si="191"/>
        <v>0</v>
      </c>
      <c r="DI55" s="37">
        <f>DI42-DI54</f>
        <v>22086.6820172177</v>
      </c>
      <c r="DJ55" s="37">
        <f t="shared" si="122"/>
        <v>22086.6820172177</v>
      </c>
      <c r="DK55" s="38">
        <f t="shared" si="123"/>
        <v>0</v>
      </c>
      <c r="DL55" s="29">
        <f t="shared" si="192"/>
        <v>0</v>
      </c>
      <c r="DM55" s="37">
        <f>DM42-DM54</f>
        <v>21211.9024934677</v>
      </c>
      <c r="DN55" s="37">
        <f t="shared" si="124"/>
        <v>21211.9024934677</v>
      </c>
      <c r="DO55" s="38">
        <f t="shared" si="125"/>
        <v>0</v>
      </c>
      <c r="DP55" s="29">
        <f>$DX55/$E$1</f>
        <v>0</v>
      </c>
      <c r="DQ55" s="37">
        <f>DQ42-DQ54</f>
        <v>21920.7062297178</v>
      </c>
      <c r="DR55" s="37">
        <f t="shared" si="126"/>
        <v>21920.7062297178</v>
      </c>
      <c r="DS55" s="38">
        <f t="shared" si="127"/>
        <v>0</v>
      </c>
      <c r="DT55" s="29">
        <f>$DX55/$E$1</f>
        <v>0</v>
      </c>
      <c r="DU55" s="37">
        <f>DU42-DU54</f>
        <v>-15551.7704890323</v>
      </c>
      <c r="DV55" s="29">
        <f t="shared" si="128"/>
        <v>-15551.7704890323</v>
      </c>
      <c r="DW55" s="38">
        <f t="shared" si="129"/>
        <v>0</v>
      </c>
      <c r="DX55" s="29"/>
    </row>
    <row r="56" spans="1:128">
      <c r="A56" s="51"/>
      <c r="B56" s="51" t="s">
        <v>841</v>
      </c>
      <c r="C56" s="31"/>
      <c r="D56" s="51">
        <f>D42/D12</f>
        <v>0.695954102324787</v>
      </c>
      <c r="E56" s="51">
        <f>IFERROR(E42/E12,0)</f>
        <v>0.398473257962897</v>
      </c>
      <c r="F56" s="37">
        <f t="shared" si="130"/>
        <v>-0.297480844361889</v>
      </c>
      <c r="G56" s="38">
        <f t="shared" si="131"/>
        <v>0.427443193981004</v>
      </c>
      <c r="H56" s="51">
        <f>H42/H12</f>
        <v>0.696601350677863</v>
      </c>
      <c r="I56" s="51">
        <f>IFERROR(I42/I12,0)</f>
        <v>0.498987276908483</v>
      </c>
      <c r="J56" s="37">
        <f t="shared" si="132"/>
        <v>-0.19761407376938</v>
      </c>
      <c r="K56" s="38">
        <f t="shared" si="133"/>
        <v>0.283683161936281</v>
      </c>
      <c r="L56" s="51">
        <f>L42/L12</f>
        <v>0.999676375823462</v>
      </c>
      <c r="M56" s="51">
        <f>IFERROR(M42/M12,0)</f>
        <v>0.424252573387096</v>
      </c>
      <c r="N56" s="37">
        <f t="shared" si="134"/>
        <v>-0.575423802436366</v>
      </c>
      <c r="O56" s="38">
        <f t="shared" si="135"/>
        <v>0.575610083775735</v>
      </c>
      <c r="P56" s="51">
        <f>P42/P12</f>
        <v>0.999676375823462</v>
      </c>
      <c r="Q56" s="51">
        <f>IFERROR(Q42/Q12,0)</f>
        <v>0.633730681090144</v>
      </c>
      <c r="R56" s="37">
        <f t="shared" si="136"/>
        <v>-0.365945694733318</v>
      </c>
      <c r="S56" s="38">
        <f t="shared" si="137"/>
        <v>0.366064161946288</v>
      </c>
      <c r="T56" s="51">
        <f>T42/T12</f>
        <v>0.999676375823462</v>
      </c>
      <c r="U56" s="51">
        <f>IFERROR(U42/U12,0)</f>
        <v>0.448889800213623</v>
      </c>
      <c r="V56" s="29">
        <f t="shared" si="138"/>
        <v>-0.550786575609839</v>
      </c>
      <c r="W56" s="38">
        <f t="shared" si="139"/>
        <v>0.550964881165807</v>
      </c>
      <c r="X56" s="51">
        <f>X42/X12</f>
        <v>0.999676375823462</v>
      </c>
      <c r="Y56" s="51">
        <f>IFERROR(Y42/Y12,0)</f>
        <v>0.600040960422546</v>
      </c>
      <c r="Z56" s="37">
        <f t="shared" si="140"/>
        <v>-0.399635415400915</v>
      </c>
      <c r="AA56" s="38">
        <f t="shared" si="141"/>
        <v>0.399764788951549</v>
      </c>
      <c r="AB56" s="51">
        <f>AB42/AB12</f>
        <v>0.999676375823462</v>
      </c>
      <c r="AC56" s="51">
        <f>IFERROR(AC42/AC12,0)</f>
        <v>0.627803230030639</v>
      </c>
      <c r="AD56" s="37">
        <f t="shared" si="142"/>
        <v>-0.371873145792822</v>
      </c>
      <c r="AE56" s="38">
        <f t="shared" si="143"/>
        <v>0.371993531893259</v>
      </c>
      <c r="AF56" s="51">
        <f>AF42/AF12</f>
        <v>0.999676375823462</v>
      </c>
      <c r="AG56" s="51">
        <f>IFERROR(AG42/AG12,0)</f>
        <v>0.599300494758499</v>
      </c>
      <c r="AH56" s="37">
        <f t="shared" si="144"/>
        <v>-0.400375881064963</v>
      </c>
      <c r="AI56" s="38">
        <f t="shared" si="145"/>
        <v>0.400505494325763</v>
      </c>
      <c r="AJ56" s="51">
        <f>AJ42/AJ12</f>
        <v>0.999676375823462</v>
      </c>
      <c r="AK56" s="51">
        <f>IFERROR(AK42/AK12,0)</f>
        <v>0.623859236472311</v>
      </c>
      <c r="AL56" s="37">
        <f t="shared" si="146"/>
        <v>-0.375817139351151</v>
      </c>
      <c r="AM56" s="38">
        <f t="shared" si="147"/>
        <v>0.375938802236453</v>
      </c>
      <c r="AN56" s="51">
        <f>AN42/AN12</f>
        <v>0.999676375823462</v>
      </c>
      <c r="AO56" s="51">
        <f>IFERROR(AO42/AO12,0)</f>
        <v>0.637959829475116</v>
      </c>
      <c r="AP56" s="37">
        <f t="shared" si="98"/>
        <v>-0.361716546348345</v>
      </c>
      <c r="AQ56" s="38"/>
      <c r="AR56" s="51">
        <f>AR42/AR12</f>
        <v>0.999676375823462</v>
      </c>
      <c r="AS56" s="51">
        <f>IFERROR(AS42/AS12,0)</f>
        <v>0.59310735209639</v>
      </c>
      <c r="AT56" s="37">
        <f t="shared" si="148"/>
        <v>-0.406569023727071</v>
      </c>
      <c r="AU56" s="38">
        <f t="shared" si="149"/>
        <v>0.4067006418874</v>
      </c>
      <c r="AV56" s="51">
        <f>AV42/AV12</f>
        <v>0.999676375823462</v>
      </c>
      <c r="AW56" s="51">
        <f>IFERROR(AW42/AW12,0)</f>
        <v>0.481806564725538</v>
      </c>
      <c r="AX56" s="37">
        <f t="shared" si="150"/>
        <v>-0.517869811097924</v>
      </c>
      <c r="AY56" s="38">
        <f t="shared" si="99"/>
        <v>0.518037460544508</v>
      </c>
      <c r="AZ56" s="51">
        <f>AZ42/AZ12</f>
        <v>0.999676375823462</v>
      </c>
      <c r="BA56" s="51">
        <f>IFERROR(BA42/BA12,0)</f>
        <v>0.430388952257658</v>
      </c>
      <c r="BB56" s="37">
        <f t="shared" si="100"/>
        <v>-0.569287423565804</v>
      </c>
      <c r="BC56" s="38">
        <f t="shared" si="101"/>
        <v>0.569471718381727</v>
      </c>
      <c r="BD56" s="51">
        <f>BD42/BD12</f>
        <v>0.999676375823462</v>
      </c>
      <c r="BE56" s="51">
        <f>IFERROR(BE42/BE12,0)</f>
        <v>0.530078692259949</v>
      </c>
      <c r="BF56" s="37">
        <f t="shared" si="102"/>
        <v>-0.469597683563513</v>
      </c>
      <c r="BG56" s="38">
        <f t="shared" si="103"/>
        <v>0.469749705925272</v>
      </c>
      <c r="BH56" s="51">
        <f>BH42/BH12</f>
        <v>0.999676375823462</v>
      </c>
      <c r="BI56" s="51">
        <f>IFERROR(BI42/BI12,0)</f>
        <v>0.625128043860235</v>
      </c>
      <c r="BJ56" s="37">
        <f t="shared" si="104"/>
        <v>-0.374548331963226</v>
      </c>
      <c r="BK56" s="38">
        <f t="shared" si="105"/>
        <v>0.374669584098854</v>
      </c>
      <c r="BL56" s="51">
        <f>BL42/BL12</f>
        <v>0.999676375823462</v>
      </c>
      <c r="BM56" s="51">
        <f>IFERROR(BM42/BM12,0)</f>
        <v>0.567588936329741</v>
      </c>
      <c r="BN56" s="37">
        <f t="shared" si="106"/>
        <v>-0.432087439493721</v>
      </c>
      <c r="BO56" s="38">
        <f t="shared" si="107"/>
        <v>0.432227318703813</v>
      </c>
      <c r="BP56" s="51">
        <f>BP42/BP12</f>
        <v>0.999676375823462</v>
      </c>
      <c r="BQ56" s="51">
        <f>IFERROR(BQ42/BQ12,0)</f>
        <v>0.570498779884688</v>
      </c>
      <c r="BR56" s="37">
        <f t="shared" si="108"/>
        <v>-0.429177595938774</v>
      </c>
      <c r="BS56" s="38">
        <f t="shared" si="109"/>
        <v>0.429316533148288</v>
      </c>
      <c r="BT56" s="51">
        <f>BT42/BT12</f>
        <v>0.999676375823462</v>
      </c>
      <c r="BU56" s="51">
        <f>IFERROR(BU42/BU12,0)</f>
        <v>0.618162554512625</v>
      </c>
      <c r="BV56" s="37">
        <f t="shared" si="151"/>
        <v>-0.381513821310836</v>
      </c>
      <c r="BW56" s="38">
        <f t="shared" si="110"/>
        <v>0.381637328376969</v>
      </c>
      <c r="BX56" s="51">
        <f>BX42/BX12</f>
        <v>0.999676375823462</v>
      </c>
      <c r="BY56" s="51">
        <f>IFERROR(BY42/BY12,0)</f>
        <v>0.4046293274123</v>
      </c>
      <c r="BZ56" s="37">
        <f t="shared" si="152"/>
        <v>-0.595047048411162</v>
      </c>
      <c r="CA56" s="38">
        <f t="shared" si="111"/>
        <v>0.595239682363209</v>
      </c>
      <c r="CB56" s="51">
        <f>CB42/CB12</f>
        <v>0.999676375823462</v>
      </c>
      <c r="CC56" s="51">
        <f>IFERROR(CC42/CC12,0)</f>
        <v>0.609257614404458</v>
      </c>
      <c r="CD56" s="37">
        <f t="shared" si="153"/>
        <v>-0.390418761419004</v>
      </c>
      <c r="CE56" s="38">
        <f t="shared" si="112"/>
        <v>0.390545151271986</v>
      </c>
      <c r="CF56" s="51">
        <f>CF42/CF12</f>
        <v>0.999676375823462</v>
      </c>
      <c r="CG56" s="51">
        <f>IFERROR(CG42/CG12,0)</f>
        <v>0.615365927153759</v>
      </c>
      <c r="CH56" s="37">
        <f t="shared" si="113"/>
        <v>-0.384310448669702</v>
      </c>
      <c r="CI56" s="38">
        <f t="shared" si="114"/>
        <v>0.384434861085054</v>
      </c>
      <c r="CJ56" s="51">
        <f>CJ42/CJ12</f>
        <v>0.999676375823462</v>
      </c>
      <c r="CK56" s="51">
        <f>IFERROR(CK42/CK12,0)</f>
        <v>-3.71607630245519</v>
      </c>
      <c r="CL56" s="37">
        <f t="shared" si="154"/>
        <v>-4.71575267827865</v>
      </c>
      <c r="CM56" s="38">
        <f t="shared" si="115"/>
        <v>4.71727930390888</v>
      </c>
      <c r="CN56" s="51">
        <f>CN42/CN12</f>
        <v>0.999676375823462</v>
      </c>
      <c r="CO56" s="51">
        <f>IFERROR(CO42/CO12,0)</f>
        <v>0.561103144587866</v>
      </c>
      <c r="CP56" s="37">
        <f t="shared" si="116"/>
        <v>-0.438573231235595</v>
      </c>
      <c r="CQ56" s="38">
        <f t="shared" si="117"/>
        <v>0.438715210084194</v>
      </c>
      <c r="CR56" s="51">
        <f>CR42/CR12</f>
        <v>0.999676375823462</v>
      </c>
      <c r="CS56" s="51">
        <f>IFERROR(CS42/CS12,0)</f>
        <v>0.425216588729011</v>
      </c>
      <c r="CT56" s="37">
        <f t="shared" si="155"/>
        <v>-0.574459787094451</v>
      </c>
      <c r="CU56" s="38">
        <f t="shared" si="118"/>
        <v>0.574645756354152</v>
      </c>
      <c r="CV56" s="51">
        <f>CV42/CV12</f>
        <v>0.999676375823462</v>
      </c>
      <c r="CW56" s="51">
        <f>IFERROR(CW42/CW12,0)</f>
        <v>0.529522980529198</v>
      </c>
      <c r="CX56" s="37">
        <f t="shared" si="156"/>
        <v>-0.470153395294264</v>
      </c>
      <c r="CY56" s="38">
        <f t="shared" si="119"/>
        <v>0.470305597555994</v>
      </c>
      <c r="CZ56" s="51">
        <f>CZ42/CZ12</f>
        <v>0.999676375823462</v>
      </c>
      <c r="DA56" s="51">
        <f>IFERROR(DA42/DA12,0)</f>
        <v>0.980831792555717</v>
      </c>
      <c r="DB56" s="37">
        <f t="shared" si="157"/>
        <v>-0.0188445832677447</v>
      </c>
      <c r="DC56" s="38">
        <f t="shared" si="120"/>
        <v>0.0188506838047682</v>
      </c>
      <c r="DD56" s="51">
        <f>DD42/DD12</f>
        <v>0.999676375823462</v>
      </c>
      <c r="DE56" s="51">
        <f>IFERROR(DE42/DE12,0)</f>
        <v>0.973777221794447</v>
      </c>
      <c r="DF56" s="37">
        <f t="shared" si="158"/>
        <v>-0.0258991540290152</v>
      </c>
      <c r="DG56" s="38">
        <f t="shared" si="121"/>
        <v>0.0259075383347749</v>
      </c>
      <c r="DH56" s="51">
        <f>DH42/DH12</f>
        <v>0.999676375823462</v>
      </c>
      <c r="DI56" s="51">
        <f>IFERROR(DI42/DI12,0)</f>
        <v>0.600872743490481</v>
      </c>
      <c r="DJ56" s="37">
        <f t="shared" si="122"/>
        <v>-0.398803632332981</v>
      </c>
      <c r="DK56" s="38">
        <f t="shared" si="123"/>
        <v>0.398932736611361</v>
      </c>
      <c r="DL56" s="51">
        <f>DL42/DL12</f>
        <v>0.999676375823462</v>
      </c>
      <c r="DM56" s="51">
        <f>IFERROR(DM42/DM12,0)</f>
        <v>0.576705485265089</v>
      </c>
      <c r="DN56" s="37">
        <f t="shared" si="124"/>
        <v>-0.422970890558372</v>
      </c>
      <c r="DO56" s="38">
        <f t="shared" si="125"/>
        <v>0.423107818477714</v>
      </c>
      <c r="DP56" s="51">
        <f>DP42/DP12</f>
        <v>0.999676375823462</v>
      </c>
      <c r="DQ56" s="51">
        <f>IFERROR(DQ42/DQ12,0)</f>
        <v>0.55852433629516</v>
      </c>
      <c r="DR56" s="37">
        <f t="shared" si="126"/>
        <v>-0.441152039528302</v>
      </c>
      <c r="DS56" s="38">
        <f t="shared" si="127"/>
        <v>0.441294853211783</v>
      </c>
      <c r="DT56" s="51">
        <f>IFERROR(DT42/DT12,0)</f>
        <v>0</v>
      </c>
      <c r="DU56" s="51">
        <f>IFERROR(DU42/DU12,0)</f>
        <v>-52.3840288636225</v>
      </c>
      <c r="DV56" s="29">
        <f t="shared" si="128"/>
        <v>-52.3840288636225</v>
      </c>
      <c r="DW56" s="38">
        <f t="shared" si="129"/>
        <v>0</v>
      </c>
      <c r="DX56" s="51"/>
    </row>
    <row r="57" spans="1:128">
      <c r="A57" s="52"/>
      <c r="B57" s="52" t="s">
        <v>841</v>
      </c>
      <c r="C57" s="31"/>
      <c r="D57" s="52">
        <f>D56/D13</f>
        <v>0.000450455146546598</v>
      </c>
      <c r="E57" s="52">
        <v>0.1747</v>
      </c>
      <c r="F57" s="37">
        <f t="shared" si="130"/>
        <v>0.174249544853453</v>
      </c>
      <c r="G57" s="38">
        <f t="shared" si="131"/>
        <v>-386.82995674338</v>
      </c>
      <c r="H57" s="52">
        <f>H56/H13</f>
        <v>0.000450874076977158</v>
      </c>
      <c r="I57" s="52">
        <v>0.1747</v>
      </c>
      <c r="J57" s="37">
        <f t="shared" si="132"/>
        <v>0.174249125923023</v>
      </c>
      <c r="K57" s="38">
        <f t="shared" si="133"/>
        <v>-386.46960386647</v>
      </c>
      <c r="L57" s="52">
        <f>L56/L13</f>
        <v>0.000647038887861286</v>
      </c>
      <c r="M57" s="52">
        <v>0.1747</v>
      </c>
      <c r="N57" s="37">
        <f t="shared" si="134"/>
        <v>0.174052961112139</v>
      </c>
      <c r="O57" s="38">
        <f t="shared" si="135"/>
        <v>-268.999227677723</v>
      </c>
      <c r="P57" s="52">
        <f>P56/P13</f>
        <v>0.000647038887861286</v>
      </c>
      <c r="Q57" s="52">
        <v>0.1747</v>
      </c>
      <c r="R57" s="37">
        <f t="shared" si="136"/>
        <v>0.174052961112139</v>
      </c>
      <c r="S57" s="38">
        <f t="shared" si="137"/>
        <v>-268.999227677723</v>
      </c>
      <c r="T57" s="52">
        <f>T56/T13</f>
        <v>0.000647038887861286</v>
      </c>
      <c r="U57" s="52">
        <v>0.1747</v>
      </c>
      <c r="V57" s="29">
        <f t="shared" si="138"/>
        <v>0.174052961112139</v>
      </c>
      <c r="W57" s="38">
        <f t="shared" si="139"/>
        <v>-268.999227677723</v>
      </c>
      <c r="X57" s="52">
        <f>X56/X13</f>
        <v>0.000647038887861286</v>
      </c>
      <c r="Y57" s="52">
        <v>0.1747</v>
      </c>
      <c r="Z57" s="37">
        <f t="shared" si="140"/>
        <v>0.174052961112139</v>
      </c>
      <c r="AA57" s="38">
        <f t="shared" si="141"/>
        <v>-268.999227677723</v>
      </c>
      <c r="AB57" s="52">
        <f>AB56/AB13</f>
        <v>0.000647038887861286</v>
      </c>
      <c r="AC57" s="52">
        <v>0.1747</v>
      </c>
      <c r="AD57" s="37">
        <f t="shared" si="142"/>
        <v>0.174052961112139</v>
      </c>
      <c r="AE57" s="38">
        <f t="shared" si="143"/>
        <v>-268.999227677723</v>
      </c>
      <c r="AF57" s="52">
        <f>AF56/AF13</f>
        <v>0.000647038887861286</v>
      </c>
      <c r="AG57" s="52">
        <v>0.1747</v>
      </c>
      <c r="AH57" s="37">
        <f t="shared" si="144"/>
        <v>0.174052961112139</v>
      </c>
      <c r="AI57" s="38">
        <f t="shared" si="145"/>
        <v>-268.999227677723</v>
      </c>
      <c r="AJ57" s="52">
        <f>AJ56/AJ13</f>
        <v>0.000647038887861286</v>
      </c>
      <c r="AK57" s="52">
        <v>0.1747</v>
      </c>
      <c r="AL57" s="37">
        <f t="shared" si="146"/>
        <v>0.174052961112139</v>
      </c>
      <c r="AM57" s="38">
        <f t="shared" si="147"/>
        <v>-268.999227677723</v>
      </c>
      <c r="AN57" s="52">
        <f>AN56/AN13</f>
        <v>0.000647038887861286</v>
      </c>
      <c r="AO57" s="52">
        <v>0.1747</v>
      </c>
      <c r="AP57" s="37">
        <f t="shared" si="98"/>
        <v>0.174052961112139</v>
      </c>
      <c r="AQ57" s="53">
        <f>IFERROR(AP57/AN57,0)</f>
        <v>268.999227677723</v>
      </c>
      <c r="AR57" s="52">
        <f>AR56/AR13</f>
        <v>0.000647038887861286</v>
      </c>
      <c r="AS57" s="52">
        <v>0.1747</v>
      </c>
      <c r="AT57" s="37">
        <f t="shared" si="148"/>
        <v>0.174052961112139</v>
      </c>
      <c r="AU57" s="38">
        <f t="shared" si="149"/>
        <v>-268.999227677723</v>
      </c>
      <c r="AV57" s="52">
        <f>AV56/AV13</f>
        <v>0.000647038887861286</v>
      </c>
      <c r="AW57" s="52">
        <v>0.1747</v>
      </c>
      <c r="AX57" s="37">
        <f t="shared" si="150"/>
        <v>0.174052961112139</v>
      </c>
      <c r="AY57" s="38">
        <f t="shared" si="99"/>
        <v>-268.999227677723</v>
      </c>
      <c r="AZ57" s="52">
        <f>AZ56/AZ13</f>
        <v>0.000647038887861286</v>
      </c>
      <c r="BA57" s="52">
        <v>0.1747</v>
      </c>
      <c r="BB57" s="37">
        <f t="shared" si="100"/>
        <v>0.174052961112139</v>
      </c>
      <c r="BC57" s="38">
        <f t="shared" si="101"/>
        <v>-268.999227677723</v>
      </c>
      <c r="BD57" s="52">
        <f>BD56/BD13</f>
        <v>0.000647038887861286</v>
      </c>
      <c r="BE57" s="52">
        <v>0.1747</v>
      </c>
      <c r="BF57" s="37">
        <f t="shared" si="102"/>
        <v>0.174052961112139</v>
      </c>
      <c r="BG57" s="38">
        <f t="shared" si="103"/>
        <v>-268.999227677723</v>
      </c>
      <c r="BH57" s="52">
        <f>BH56/BH13</f>
        <v>0.000647038887861286</v>
      </c>
      <c r="BI57" s="52">
        <v>0.1747</v>
      </c>
      <c r="BJ57" s="37">
        <f t="shared" si="104"/>
        <v>0.174052961112139</v>
      </c>
      <c r="BK57" s="38">
        <f t="shared" si="105"/>
        <v>-268.999227677723</v>
      </c>
      <c r="BL57" s="52">
        <f>BL56/BL13</f>
        <v>0.000647038887861286</v>
      </c>
      <c r="BM57" s="52">
        <v>0.1747</v>
      </c>
      <c r="BN57" s="37">
        <f t="shared" si="106"/>
        <v>0.174052961112139</v>
      </c>
      <c r="BO57" s="38">
        <f t="shared" si="107"/>
        <v>-268.999227677723</v>
      </c>
      <c r="BP57" s="52">
        <f>BP56/BP13</f>
        <v>0.000647038887861286</v>
      </c>
      <c r="BQ57" s="52">
        <v>0.1747</v>
      </c>
      <c r="BR57" s="37">
        <f t="shared" si="108"/>
        <v>0.174052961112139</v>
      </c>
      <c r="BS57" s="38">
        <f t="shared" si="109"/>
        <v>-268.999227677723</v>
      </c>
      <c r="BT57" s="52">
        <f>BT56/BT13</f>
        <v>0.000647038887861286</v>
      </c>
      <c r="BU57" s="52">
        <v>0.1747</v>
      </c>
      <c r="BV57" s="37">
        <f t="shared" si="151"/>
        <v>0.174052961112139</v>
      </c>
      <c r="BW57" s="38">
        <f t="shared" si="110"/>
        <v>-268.999227677723</v>
      </c>
      <c r="BX57" s="52">
        <f>BX56/BX13</f>
        <v>0.000647038887861286</v>
      </c>
      <c r="BY57" s="52">
        <v>0.1747</v>
      </c>
      <c r="BZ57" s="37">
        <f t="shared" si="152"/>
        <v>0.174052961112139</v>
      </c>
      <c r="CA57" s="38">
        <f t="shared" si="111"/>
        <v>-268.999227677723</v>
      </c>
      <c r="CB57" s="52">
        <f>CB56/CB13</f>
        <v>0.000647038887861286</v>
      </c>
      <c r="CC57" s="52">
        <v>0.1747</v>
      </c>
      <c r="CD57" s="37">
        <f t="shared" si="153"/>
        <v>0.174052961112139</v>
      </c>
      <c r="CE57" s="38">
        <f t="shared" si="112"/>
        <v>-268.999227677723</v>
      </c>
      <c r="CF57" s="52">
        <f>CF56/CF13</f>
        <v>0.000647038887861286</v>
      </c>
      <c r="CG57" s="52">
        <v>0.1747</v>
      </c>
      <c r="CH57" s="37">
        <f t="shared" si="113"/>
        <v>0.174052961112139</v>
      </c>
      <c r="CI57" s="38">
        <f t="shared" si="114"/>
        <v>-268.999227677723</v>
      </c>
      <c r="CJ57" s="52">
        <f>CJ56/CJ13</f>
        <v>0.000647038887861286</v>
      </c>
      <c r="CK57" s="52">
        <v>0.1747</v>
      </c>
      <c r="CL57" s="37">
        <f t="shared" si="154"/>
        <v>0.174052961112139</v>
      </c>
      <c r="CM57" s="38">
        <f t="shared" si="115"/>
        <v>-268.999227677723</v>
      </c>
      <c r="CN57" s="52">
        <f>CN56/CN13</f>
        <v>0.000647038887861286</v>
      </c>
      <c r="CO57" s="52">
        <v>0.1747</v>
      </c>
      <c r="CP57" s="37">
        <f t="shared" si="116"/>
        <v>0.174052961112139</v>
      </c>
      <c r="CQ57" s="38">
        <f t="shared" si="117"/>
        <v>-268.999227677723</v>
      </c>
      <c r="CR57" s="52">
        <f>CR56/CR13</f>
        <v>0.000647038887861286</v>
      </c>
      <c r="CS57" s="52">
        <v>0.1747</v>
      </c>
      <c r="CT57" s="37">
        <f t="shared" si="155"/>
        <v>0.174052961112139</v>
      </c>
      <c r="CU57" s="38">
        <f t="shared" si="118"/>
        <v>-268.999227677723</v>
      </c>
      <c r="CV57" s="52">
        <f>CV56/CV13</f>
        <v>0.000647038887861286</v>
      </c>
      <c r="CW57" s="52">
        <v>0.1747</v>
      </c>
      <c r="CX57" s="37">
        <f t="shared" si="156"/>
        <v>0.174052961112139</v>
      </c>
      <c r="CY57" s="38">
        <f t="shared" si="119"/>
        <v>-268.999227677723</v>
      </c>
      <c r="CZ57" s="52">
        <f>CZ56/CZ13</f>
        <v>0.000647038887861286</v>
      </c>
      <c r="DA57" s="52">
        <v>0.1747</v>
      </c>
      <c r="DB57" s="37">
        <f t="shared" si="157"/>
        <v>0.174052961112139</v>
      </c>
      <c r="DC57" s="38">
        <f t="shared" si="120"/>
        <v>-268.999227677723</v>
      </c>
      <c r="DD57" s="52">
        <f>DD56/DD13</f>
        <v>0.000647038887861286</v>
      </c>
      <c r="DE57" s="52">
        <v>0.1747</v>
      </c>
      <c r="DF57" s="37">
        <f t="shared" si="158"/>
        <v>0.174052961112139</v>
      </c>
      <c r="DG57" s="38">
        <f t="shared" si="121"/>
        <v>-268.999227677723</v>
      </c>
      <c r="DH57" s="52">
        <f>DH56/DH13</f>
        <v>0.000647038887861286</v>
      </c>
      <c r="DI57" s="52">
        <v>0.1747</v>
      </c>
      <c r="DJ57" s="37">
        <f t="shared" si="122"/>
        <v>0.174052961112139</v>
      </c>
      <c r="DK57" s="38">
        <f t="shared" si="123"/>
        <v>-268.999227677723</v>
      </c>
      <c r="DL57" s="52">
        <f>DL56/DL13</f>
        <v>0.000647038887861286</v>
      </c>
      <c r="DM57" s="52">
        <v>0.1747</v>
      </c>
      <c r="DN57" s="37">
        <f t="shared" si="124"/>
        <v>0.174052961112139</v>
      </c>
      <c r="DO57" s="38">
        <f t="shared" si="125"/>
        <v>-268.999227677723</v>
      </c>
      <c r="DP57" s="52">
        <f>DP56/DP13</f>
        <v>0.000647038887861286</v>
      </c>
      <c r="DQ57" s="52">
        <v>0.1747</v>
      </c>
      <c r="DR57" s="37">
        <f t="shared" si="126"/>
        <v>0.174052961112139</v>
      </c>
      <c r="DS57" s="38">
        <f t="shared" si="127"/>
        <v>-268.999227677723</v>
      </c>
      <c r="DT57" s="52" t="e">
        <f>DT56/DT13</f>
        <v>#DIV/0!</v>
      </c>
      <c r="DU57" s="52">
        <v>0.1747</v>
      </c>
      <c r="DV57" s="29" t="e">
        <f t="shared" si="128"/>
        <v>#DIV/0!</v>
      </c>
      <c r="DW57" s="38">
        <f t="shared" si="129"/>
        <v>0</v>
      </c>
      <c r="DX57" s="52" t="e">
        <f>VLOOKUP(B57,#REF!,7,0)</f>
        <v>#VALUE!</v>
      </c>
    </row>
  </sheetData>
  <sheetProtection formatCells="0" formatColumns="0" formatRows="0" insertRows="0" insertColumns="0" insertHyperlinks="0" deleteColumns="0" deleteRows="0" sort="0" autoFilter="0" pivotTables="0"/>
  <mergeCells count="17">
    <mergeCell ref="F3:G3"/>
    <mergeCell ref="J3:K3"/>
    <mergeCell ref="A52:B52"/>
    <mergeCell ref="B53:C53"/>
    <mergeCell ref="B54:C54"/>
    <mergeCell ref="B55:C55"/>
    <mergeCell ref="B56:C56"/>
    <mergeCell ref="B57:C57"/>
    <mergeCell ref="A3:A4"/>
    <mergeCell ref="A5:A7"/>
    <mergeCell ref="A8:A12"/>
    <mergeCell ref="A13:A36"/>
    <mergeCell ref="A37:A41"/>
    <mergeCell ref="A43:A45"/>
    <mergeCell ref="A46:A50"/>
    <mergeCell ref="B3:B4"/>
    <mergeCell ref="C3:C4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F6"/>
  <sheetViews>
    <sheetView workbookViewId="0">
      <selection activeCell="E19" sqref="E19"/>
    </sheetView>
  </sheetViews>
  <sheetFormatPr defaultColWidth="8.725" defaultRowHeight="23" customHeight="1" outlineLevelRow="5"/>
  <cols>
    <col min="1" max="1" width="14"/>
    <col min="2" max="10" width="10.875"/>
    <col min="11" max="32" width="11.875"/>
  </cols>
  <sheetData>
    <row r="1" customHeight="1" spans="1:32">
      <c r="A1" s="23" t="s">
        <v>621</v>
      </c>
      <c r="B1" s="15" t="s">
        <v>9</v>
      </c>
      <c r="C1" s="15" t="s">
        <v>10</v>
      </c>
      <c r="D1" s="15" t="s">
        <v>11</v>
      </c>
      <c r="E1" s="15" t="s">
        <v>12</v>
      </c>
      <c r="F1" s="15" t="s">
        <v>13</v>
      </c>
      <c r="G1" s="15" t="s">
        <v>14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  <c r="Y1" s="15" t="s">
        <v>32</v>
      </c>
      <c r="Z1" s="15" t="s">
        <v>33</v>
      </c>
      <c r="AA1" s="15" t="s">
        <v>34</v>
      </c>
      <c r="AB1" s="15" t="s">
        <v>35</v>
      </c>
      <c r="AC1" s="15" t="s">
        <v>36</v>
      </c>
      <c r="AD1" s="15" t="s">
        <v>37</v>
      </c>
      <c r="AE1" s="15" t="s">
        <v>38</v>
      </c>
      <c r="AF1" s="15" t="s">
        <v>39</v>
      </c>
    </row>
    <row r="2" customHeight="1" spans="1:32">
      <c r="A2" s="6" t="s">
        <v>123</v>
      </c>
      <c r="B2" s="22">
        <f>前台工资录入!L16</f>
        <v>72</v>
      </c>
      <c r="C2" s="22">
        <f>前台工资录入!M16</f>
        <v>72</v>
      </c>
      <c r="D2" s="22">
        <f>前台工资录入!N16</f>
        <v>68</v>
      </c>
      <c r="E2" s="22">
        <f>前台工资录入!O16</f>
        <v>60</v>
      </c>
      <c r="F2" s="22">
        <f>前台工资录入!P16</f>
        <v>80</v>
      </c>
      <c r="G2" s="22">
        <f>前台工资录入!Q16</f>
        <v>80</v>
      </c>
      <c r="H2" s="22">
        <f>前台工资录入!R16</f>
        <v>72</v>
      </c>
      <c r="I2" s="22">
        <f>前台工资录入!S16</f>
        <v>80</v>
      </c>
      <c r="J2" s="22">
        <f>前台工资录入!T16</f>
        <v>72</v>
      </c>
      <c r="K2" s="22">
        <f>前台工资录入!U16</f>
        <v>72</v>
      </c>
      <c r="L2" s="22">
        <f>前台工资录入!V16</f>
        <v>72</v>
      </c>
      <c r="M2" s="22">
        <f>前台工资录入!W16</f>
        <v>80</v>
      </c>
      <c r="N2" s="22">
        <f>前台工资录入!X16</f>
        <v>80</v>
      </c>
      <c r="O2" s="22">
        <f>前台工资录入!Y16</f>
        <v>64</v>
      </c>
      <c r="P2" s="22">
        <f>前台工资录入!Z16</f>
        <v>72</v>
      </c>
      <c r="Q2" s="22">
        <f>前台工资录入!AA16</f>
        <v>68</v>
      </c>
      <c r="R2" s="22">
        <f>前台工资录入!AB16</f>
        <v>72</v>
      </c>
      <c r="S2" s="22">
        <f>前台工资录入!AC16</f>
        <v>80</v>
      </c>
      <c r="T2" s="22">
        <f>前台工资录入!AD16</f>
        <v>66</v>
      </c>
      <c r="U2" s="22">
        <f>前台工资录入!AE16</f>
        <v>80</v>
      </c>
      <c r="V2" s="22">
        <f>前台工资录入!AF16</f>
        <v>76</v>
      </c>
      <c r="W2" s="22">
        <f>前台工资录入!AG16</f>
        <v>72</v>
      </c>
      <c r="X2" s="22">
        <f>前台工资录入!AH16</f>
        <v>84</v>
      </c>
      <c r="Y2" s="22">
        <f>前台工资录入!AI16</f>
        <v>76</v>
      </c>
      <c r="Z2" s="22">
        <f>前台工资录入!AJ16</f>
        <v>72</v>
      </c>
      <c r="AA2" s="22">
        <f>前台工资录入!AK16</f>
        <v>72</v>
      </c>
      <c r="AB2" s="22">
        <f>前台工资录入!AL16</f>
        <v>72</v>
      </c>
      <c r="AC2" s="22">
        <f>前台工资录入!AM16</f>
        <v>84</v>
      </c>
      <c r="AD2" s="22">
        <f>前台工资录入!AN16</f>
        <v>84</v>
      </c>
      <c r="AE2" s="22">
        <f>前台工资录入!AO16</f>
        <v>84</v>
      </c>
      <c r="AF2" s="22">
        <f>前台工资录入!AP16</f>
        <v>68</v>
      </c>
    </row>
    <row r="3" customHeight="1" spans="1:32">
      <c r="A3" s="6" t="s">
        <v>842</v>
      </c>
      <c r="B3" s="22">
        <f>客房工资录入!L15</f>
        <v>64</v>
      </c>
      <c r="C3" s="22">
        <f>客房工资录入!M15</f>
        <v>72</v>
      </c>
      <c r="D3" s="22">
        <f>客房工资录入!N15</f>
        <v>80</v>
      </c>
      <c r="E3" s="22">
        <f>客房工资录入!O15</f>
        <v>90.5</v>
      </c>
      <c r="F3" s="22">
        <f>客房工资录入!P15</f>
        <v>85.5</v>
      </c>
      <c r="G3" s="22">
        <f>客房工资录入!Q15</f>
        <v>72</v>
      </c>
      <c r="H3" s="22">
        <f>客房工资录入!R15</f>
        <v>66</v>
      </c>
      <c r="I3" s="22">
        <f>客房工资录入!S15</f>
        <v>80</v>
      </c>
      <c r="J3" s="22">
        <f>客房工资录入!T15</f>
        <v>72</v>
      </c>
      <c r="K3" s="22">
        <f>客房工资录入!U15</f>
        <v>88</v>
      </c>
      <c r="L3" s="22">
        <f>客房工资录入!V15</f>
        <v>89</v>
      </c>
      <c r="M3" s="22">
        <f>客房工资录入!W15</f>
        <v>88.5</v>
      </c>
      <c r="N3" s="22">
        <f>客房工资录入!X15</f>
        <v>80</v>
      </c>
      <c r="O3" s="22">
        <f>客房工资录入!Y15</f>
        <v>72</v>
      </c>
      <c r="P3" s="22">
        <f>客房工资录入!Z15</f>
        <v>80</v>
      </c>
      <c r="Q3" s="22">
        <f>客房工资录入!AA15</f>
        <v>89.5</v>
      </c>
      <c r="R3" s="22">
        <f>客房工资录入!AB15</f>
        <v>89</v>
      </c>
      <c r="S3" s="22">
        <f>客房工资录入!AC15</f>
        <v>96</v>
      </c>
      <c r="T3" s="22">
        <f>客房工资录入!AD15</f>
        <v>88</v>
      </c>
      <c r="U3" s="22">
        <f>客房工资录入!AE15</f>
        <v>88</v>
      </c>
      <c r="V3" s="22">
        <f>客房工资录入!AF15</f>
        <v>88</v>
      </c>
      <c r="W3" s="22">
        <f>客房工资录入!AG15</f>
        <v>88</v>
      </c>
      <c r="X3" s="22">
        <f>客房工资录入!AH15</f>
        <v>74</v>
      </c>
      <c r="Y3" s="22">
        <f>客房工资录入!AI15</f>
        <v>73</v>
      </c>
      <c r="Z3" s="22">
        <f>客房工资录入!AJ15</f>
        <v>80</v>
      </c>
      <c r="AA3" s="22">
        <f>客房工资录入!AK15</f>
        <v>101</v>
      </c>
      <c r="AB3" s="22">
        <f>客房工资录入!AL15</f>
        <v>80</v>
      </c>
      <c r="AC3" s="22">
        <f>客房工资录入!AM15</f>
        <v>69.5</v>
      </c>
      <c r="AD3" s="22">
        <f>客房工资录入!AN15</f>
        <v>88</v>
      </c>
      <c r="AE3" s="22">
        <f>客房工资录入!AO15</f>
        <v>84</v>
      </c>
      <c r="AF3" s="22">
        <f>客房工资录入!AP15</f>
        <v>81.5</v>
      </c>
    </row>
    <row r="4" customHeight="1" spans="1:32">
      <c r="A4" s="6" t="s">
        <v>843</v>
      </c>
      <c r="B4" s="22">
        <f>'餐厅工资录入 '!L13</f>
        <v>24</v>
      </c>
      <c r="C4" s="22">
        <f>'餐厅工资录入 '!M13</f>
        <v>32</v>
      </c>
      <c r="D4" s="22">
        <f>'餐厅工资录入 '!N13</f>
        <v>32</v>
      </c>
      <c r="E4" s="22">
        <f>'餐厅工资录入 '!O13</f>
        <v>32</v>
      </c>
      <c r="F4" s="22">
        <f>'餐厅工资录入 '!P13</f>
        <v>32</v>
      </c>
      <c r="G4" s="22">
        <f>'餐厅工资录入 '!Q13</f>
        <v>24</v>
      </c>
      <c r="H4" s="22">
        <f>'餐厅工资录入 '!R13</f>
        <v>24</v>
      </c>
      <c r="I4" s="22">
        <f>'餐厅工资录入 '!S13</f>
        <v>24</v>
      </c>
      <c r="J4" s="22">
        <f>'餐厅工资录入 '!T13</f>
        <v>24</v>
      </c>
      <c r="K4" s="22">
        <f>'餐厅工资录入 '!U13</f>
        <v>32</v>
      </c>
      <c r="L4" s="22">
        <f>'餐厅工资录入 '!V13</f>
        <v>24</v>
      </c>
      <c r="M4" s="22">
        <f>'餐厅工资录入 '!W13</f>
        <v>24</v>
      </c>
      <c r="N4" s="22">
        <f>'餐厅工资录入 '!X13</f>
        <v>24</v>
      </c>
      <c r="O4" s="22">
        <f>'餐厅工资录入 '!Y13</f>
        <v>24</v>
      </c>
      <c r="P4" s="22">
        <f>'餐厅工资录入 '!Z13</f>
        <v>32</v>
      </c>
      <c r="Q4" s="22">
        <f>'餐厅工资录入 '!AA13</f>
        <v>32</v>
      </c>
      <c r="R4" s="22">
        <f>'餐厅工资录入 '!AB13</f>
        <v>24</v>
      </c>
      <c r="S4" s="22">
        <f>'餐厅工资录入 '!AC13</f>
        <v>32</v>
      </c>
      <c r="T4" s="22">
        <f>'餐厅工资录入 '!AD13</f>
        <v>32</v>
      </c>
      <c r="U4" s="22">
        <f>'餐厅工资录入 '!AE13</f>
        <v>24</v>
      </c>
      <c r="V4" s="22">
        <f>'餐厅工资录入 '!AF13</f>
        <v>32</v>
      </c>
      <c r="W4" s="22">
        <f>'餐厅工资录入 '!AG13</f>
        <v>32</v>
      </c>
      <c r="X4" s="22">
        <f>'餐厅工资录入 '!AH13</f>
        <v>24</v>
      </c>
      <c r="Y4" s="22">
        <f>'餐厅工资录入 '!AI13</f>
        <v>24</v>
      </c>
      <c r="Z4" s="22">
        <f>'餐厅工资录入 '!AJ13</f>
        <v>32</v>
      </c>
      <c r="AA4" s="22">
        <f>'餐厅工资录入 '!AK13</f>
        <v>32</v>
      </c>
      <c r="AB4" s="22">
        <f>'餐厅工资录入 '!AL13</f>
        <v>24</v>
      </c>
      <c r="AC4" s="22">
        <f>'餐厅工资录入 '!AM13</f>
        <v>32</v>
      </c>
      <c r="AD4" s="22">
        <f>'餐厅工资录入 '!AN13</f>
        <v>24</v>
      </c>
      <c r="AE4" s="22">
        <f>'餐厅工资录入 '!AO13</f>
        <v>24</v>
      </c>
      <c r="AF4" s="22">
        <f>'餐厅工资录入 '!AP13</f>
        <v>24</v>
      </c>
    </row>
    <row r="5" customHeight="1" spans="1:32">
      <c r="A5" s="6" t="s">
        <v>844</v>
      </c>
      <c r="B5" s="22">
        <f>管理层工资录入!L4</f>
        <v>16</v>
      </c>
      <c r="C5" s="22">
        <f>管理层工资录入!M4</f>
        <v>16</v>
      </c>
      <c r="D5" s="22">
        <f>管理层工资录入!N4</f>
        <v>16</v>
      </c>
      <c r="E5" s="22">
        <f>管理层工资录入!O4</f>
        <v>16</v>
      </c>
      <c r="F5" s="22">
        <f>管理层工资录入!P4</f>
        <v>16</v>
      </c>
      <c r="G5" s="22">
        <f>管理层工资录入!Q4</f>
        <v>8</v>
      </c>
      <c r="H5" s="22">
        <f>管理层工资录入!R4</f>
        <v>8</v>
      </c>
      <c r="I5" s="22">
        <f>管理层工资录入!S4</f>
        <v>8</v>
      </c>
      <c r="J5" s="22">
        <f>管理层工资录入!T4</f>
        <v>8</v>
      </c>
      <c r="K5" s="22">
        <f>管理层工资录入!U4</f>
        <v>8</v>
      </c>
      <c r="L5" s="22">
        <f>管理层工资录入!V4</f>
        <v>16</v>
      </c>
      <c r="M5" s="22">
        <f>管理层工资录入!W4</f>
        <v>8</v>
      </c>
      <c r="N5" s="22">
        <f>管理层工资录入!X4</f>
        <v>16</v>
      </c>
      <c r="O5" s="22">
        <f>管理层工资录入!Y4</f>
        <v>16</v>
      </c>
      <c r="P5" s="22">
        <f>管理层工资录入!Z4</f>
        <v>16</v>
      </c>
      <c r="Q5" s="22">
        <f>管理层工资录入!AA4</f>
        <v>8</v>
      </c>
      <c r="R5" s="22">
        <f>管理层工资录入!AB4</f>
        <v>8</v>
      </c>
      <c r="S5" s="22">
        <f>管理层工资录入!AC4</f>
        <v>8</v>
      </c>
      <c r="T5" s="22">
        <f>管理层工资录入!AD4</f>
        <v>16</v>
      </c>
      <c r="U5" s="22">
        <f>管理层工资录入!AE4</f>
        <v>16</v>
      </c>
      <c r="V5" s="22">
        <f>管理层工资录入!AF4</f>
        <v>16</v>
      </c>
      <c r="W5" s="22">
        <f>管理层工资录入!AG4</f>
        <v>16</v>
      </c>
      <c r="X5" s="22">
        <f>管理层工资录入!AH4</f>
        <v>16</v>
      </c>
      <c r="Y5" s="22">
        <f>管理层工资录入!AI4</f>
        <v>16</v>
      </c>
      <c r="Z5" s="22">
        <f>管理层工资录入!AJ4</f>
        <v>16</v>
      </c>
      <c r="AA5" s="22">
        <f>管理层工资录入!AK4</f>
        <v>8</v>
      </c>
      <c r="AB5" s="22">
        <f>管理层工资录入!AL4</f>
        <v>16</v>
      </c>
      <c r="AC5" s="22">
        <f>管理层工资录入!AM4</f>
        <v>16</v>
      </c>
      <c r="AD5" s="22">
        <f>管理层工资录入!AN4</f>
        <v>16</v>
      </c>
      <c r="AE5" s="22">
        <f>管理层工资录入!AO4</f>
        <v>16</v>
      </c>
      <c r="AF5" s="22">
        <f>管理层工资录入!AP4</f>
        <v>16</v>
      </c>
    </row>
    <row r="6" customHeight="1" spans="1:32">
      <c r="A6" s="6" t="s">
        <v>845</v>
      </c>
      <c r="B6" s="6">
        <f t="shared" ref="B6:AF6" si="0">SUM(B2:B5)</f>
        <v>176</v>
      </c>
      <c r="C6" s="6">
        <f t="shared" si="0"/>
        <v>192</v>
      </c>
      <c r="D6" s="6">
        <f t="shared" si="0"/>
        <v>196</v>
      </c>
      <c r="E6" s="6">
        <f t="shared" si="0"/>
        <v>198.5</v>
      </c>
      <c r="F6" s="6">
        <f t="shared" si="0"/>
        <v>213.5</v>
      </c>
      <c r="G6" s="6">
        <f t="shared" si="0"/>
        <v>184</v>
      </c>
      <c r="H6" s="6">
        <f t="shared" si="0"/>
        <v>170</v>
      </c>
      <c r="I6" s="6">
        <f t="shared" si="0"/>
        <v>192</v>
      </c>
      <c r="J6" s="6">
        <f t="shared" si="0"/>
        <v>176</v>
      </c>
      <c r="K6" s="6">
        <f t="shared" si="0"/>
        <v>200</v>
      </c>
      <c r="L6" s="6">
        <f t="shared" si="0"/>
        <v>201</v>
      </c>
      <c r="M6" s="6">
        <f t="shared" si="0"/>
        <v>200.5</v>
      </c>
      <c r="N6" s="6">
        <f t="shared" si="0"/>
        <v>200</v>
      </c>
      <c r="O6" s="6">
        <f t="shared" si="0"/>
        <v>176</v>
      </c>
      <c r="P6" s="6">
        <f t="shared" si="0"/>
        <v>200</v>
      </c>
      <c r="Q6" s="6">
        <f t="shared" si="0"/>
        <v>197.5</v>
      </c>
      <c r="R6" s="6">
        <f t="shared" si="0"/>
        <v>193</v>
      </c>
      <c r="S6" s="6">
        <f t="shared" si="0"/>
        <v>216</v>
      </c>
      <c r="T6" s="6">
        <f t="shared" si="0"/>
        <v>202</v>
      </c>
      <c r="U6" s="6">
        <f t="shared" si="0"/>
        <v>208</v>
      </c>
      <c r="V6" s="6">
        <f t="shared" si="0"/>
        <v>212</v>
      </c>
      <c r="W6" s="6">
        <f t="shared" si="0"/>
        <v>208</v>
      </c>
      <c r="X6" s="6">
        <f t="shared" si="0"/>
        <v>198</v>
      </c>
      <c r="Y6" s="6">
        <f t="shared" si="0"/>
        <v>189</v>
      </c>
      <c r="Z6" s="6">
        <f t="shared" si="0"/>
        <v>200</v>
      </c>
      <c r="AA6" s="6">
        <f t="shared" si="0"/>
        <v>213</v>
      </c>
      <c r="AB6" s="6">
        <f t="shared" si="0"/>
        <v>192</v>
      </c>
      <c r="AC6" s="6">
        <f t="shared" si="0"/>
        <v>201.5</v>
      </c>
      <c r="AD6" s="6">
        <f t="shared" si="0"/>
        <v>212</v>
      </c>
      <c r="AE6" s="6">
        <f t="shared" si="0"/>
        <v>208</v>
      </c>
      <c r="AF6" s="6">
        <f t="shared" si="0"/>
        <v>189.5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F4"/>
  <sheetViews>
    <sheetView workbookViewId="0">
      <selection activeCell="M24" sqref="M24"/>
    </sheetView>
  </sheetViews>
  <sheetFormatPr defaultColWidth="8.725" defaultRowHeight="21" customHeight="1" outlineLevelRow="3"/>
  <cols>
    <col min="2" max="2" width="10"/>
  </cols>
  <sheetData>
    <row r="1" s="18" customFormat="1" customHeight="1" spans="1:32">
      <c r="A1" s="19" t="s">
        <v>621</v>
      </c>
      <c r="B1" s="20" t="s">
        <v>9</v>
      </c>
      <c r="C1" s="20" t="s">
        <v>10</v>
      </c>
      <c r="D1" s="20" t="s">
        <v>11</v>
      </c>
      <c r="E1" s="20" t="s">
        <v>12</v>
      </c>
      <c r="F1" s="20" t="s">
        <v>13</v>
      </c>
      <c r="G1" s="20" t="s">
        <v>14</v>
      </c>
      <c r="H1" s="20" t="s">
        <v>15</v>
      </c>
      <c r="I1" s="20" t="s">
        <v>16</v>
      </c>
      <c r="J1" s="20" t="s">
        <v>17</v>
      </c>
      <c r="K1" s="20" t="s">
        <v>18</v>
      </c>
      <c r="L1" s="20" t="s">
        <v>19</v>
      </c>
      <c r="M1" s="20" t="s">
        <v>20</v>
      </c>
      <c r="N1" s="20" t="s">
        <v>21</v>
      </c>
      <c r="O1" s="20" t="s">
        <v>22</v>
      </c>
      <c r="P1" s="20" t="s">
        <v>23</v>
      </c>
      <c r="Q1" s="20" t="s">
        <v>24</v>
      </c>
      <c r="R1" s="20" t="s">
        <v>25</v>
      </c>
      <c r="S1" s="20" t="s">
        <v>26</v>
      </c>
      <c r="T1" s="20" t="s">
        <v>27</v>
      </c>
      <c r="U1" s="20" t="s">
        <v>28</v>
      </c>
      <c r="V1" s="20" t="s">
        <v>29</v>
      </c>
      <c r="W1" s="20" t="s">
        <v>30</v>
      </c>
      <c r="X1" s="20" t="s">
        <v>31</v>
      </c>
      <c r="Y1" s="20" t="s">
        <v>32</v>
      </c>
      <c r="Z1" s="20" t="s">
        <v>33</v>
      </c>
      <c r="AA1" s="20" t="s">
        <v>34</v>
      </c>
      <c r="AB1" s="20" t="s">
        <v>35</v>
      </c>
      <c r="AC1" s="20" t="s">
        <v>36</v>
      </c>
      <c r="AD1" s="20" t="s">
        <v>37</v>
      </c>
      <c r="AE1" s="20" t="s">
        <v>38</v>
      </c>
      <c r="AF1" s="20" t="s">
        <v>39</v>
      </c>
    </row>
    <row r="2" customHeight="1" spans="1:32">
      <c r="A2" s="21" t="s">
        <v>607</v>
      </c>
      <c r="B2" s="22">
        <f>VLOOKUP($A$2,用餐人数录入!$B:$AK,MATCH(B$1,用餐人数录入!$B$3:$AK$3,),)</f>
        <v>126</v>
      </c>
      <c r="C2" s="22">
        <f>VLOOKUP($A$2,用餐人数录入!$B:$AK,MATCH(C$1,用餐人数录入!$B$3:$AK$3,),)</f>
        <v>136</v>
      </c>
      <c r="D2" s="22">
        <f>VLOOKUP($A$2,用餐人数录入!$B:$AK,MATCH(D$1,用餐人数录入!$B$3:$AK$3,),)</f>
        <v>163</v>
      </c>
      <c r="E2" s="22">
        <f>VLOOKUP($A$2,用餐人数录入!$B:$AK,MATCH(E$1,用餐人数录入!$B$3:$AK$3,),)</f>
        <v>155</v>
      </c>
      <c r="F2" s="22">
        <f>VLOOKUP($A$2,用餐人数录入!$B:$AK,MATCH(F$1,用餐人数录入!$B$3:$AK$3,),)</f>
        <v>160</v>
      </c>
      <c r="G2" s="22">
        <f>VLOOKUP($A$2,用餐人数录入!$B:$AK,MATCH(G$1,用餐人数录入!$B$3:$AK$3,),)</f>
        <v>145</v>
      </c>
      <c r="H2" s="22">
        <f>VLOOKUP($A$2,用餐人数录入!$B:$AK,MATCH(H$1,用餐人数录入!$B$3:$AK$3,),)</f>
        <v>166</v>
      </c>
      <c r="I2" s="22">
        <f>VLOOKUP($A$2,用餐人数录入!$B:$AK,MATCH(I$1,用餐人数录入!$B$3:$AK$3,),)</f>
        <v>172</v>
      </c>
      <c r="J2" s="22">
        <f>VLOOKUP($A$2,用餐人数录入!$B:$AK,MATCH(J$1,用餐人数录入!$B$3:$AK$3,),)</f>
        <v>188</v>
      </c>
      <c r="K2" s="22">
        <f>VLOOKUP($A$2,用餐人数录入!$B:$AK,MATCH(K$1,用餐人数录入!$B$3:$AK$3,),)</f>
        <v>200</v>
      </c>
      <c r="L2" s="22">
        <f>VLOOKUP($A$2,用餐人数录入!$B:$AK,MATCH(L$1,用餐人数录入!$B$3:$AK$3,),)</f>
        <v>180</v>
      </c>
      <c r="M2" s="22">
        <f>VLOOKUP($A$2,用餐人数录入!$B:$AK,MATCH(M$1,用餐人数录入!$B$3:$AK$3,),)</f>
        <v>178</v>
      </c>
      <c r="N2" s="22">
        <f>VLOOKUP($A$2,用餐人数录入!$B:$AK,MATCH(N$1,用餐人数录入!$B$3:$AK$3,),)</f>
        <v>126</v>
      </c>
      <c r="O2" s="22">
        <f>VLOOKUP($A$2,用餐人数录入!$B:$AK,MATCH(O$1,用餐人数录入!$B$3:$AK$3,),)</f>
        <v>175</v>
      </c>
      <c r="P2" s="22">
        <f>VLOOKUP($A$2,用餐人数录入!$B:$AK,MATCH(P$1,用餐人数录入!$B$3:$AK$3,),)</f>
        <v>170</v>
      </c>
      <c r="Q2" s="22">
        <f>VLOOKUP($A$2,用餐人数录入!$B:$AK,MATCH(Q$1,用餐人数录入!$B$3:$AK$3,),)</f>
        <v>180</v>
      </c>
      <c r="R2" s="22">
        <f>VLOOKUP($A$2,用餐人数录入!$B:$AK,MATCH(R$1,用餐人数录入!$B$3:$AK$3,),)</f>
        <v>158</v>
      </c>
      <c r="S2" s="22">
        <f>VLOOKUP($A$2,用餐人数录入!$B:$AK,MATCH(S$1,用餐人数录入!$B$3:$AK$3,),)</f>
        <v>186</v>
      </c>
      <c r="T2" s="22">
        <f>VLOOKUP($A$2,用餐人数录入!$B:$AK,MATCH(T$1,用餐人数录入!$B$3:$AK$3,),)</f>
        <v>166</v>
      </c>
      <c r="U2" s="22">
        <f>VLOOKUP($A$2,用餐人数录入!$B:$AK,MATCH(U$1,用餐人数录入!$B$3:$AK$3,),)</f>
        <v>150</v>
      </c>
      <c r="V2" s="22">
        <f>VLOOKUP($A$2,用餐人数录入!$B:$AK,MATCH(V$1,用餐人数录入!$B$3:$AK$3,),)</f>
        <v>160</v>
      </c>
      <c r="W2" s="22">
        <f>VLOOKUP($A$2,用餐人数录入!$B:$AK,MATCH(W$1,用餐人数录入!$B$3:$AK$3,),)</f>
        <v>186</v>
      </c>
      <c r="X2" s="22">
        <f>VLOOKUP($A$2,用餐人数录入!$B:$AK,MATCH(X$1,用餐人数录入!$B$3:$AK$3,),)</f>
        <v>155</v>
      </c>
      <c r="Y2" s="22">
        <f>VLOOKUP($A$2,用餐人数录入!$B:$AK,MATCH(Y$1,用餐人数录入!$B$3:$AK$3,),)</f>
        <v>150</v>
      </c>
      <c r="Z2" s="22">
        <f>VLOOKUP($A$2,用餐人数录入!$B:$AK,MATCH(Z$1,用餐人数录入!$B$3:$AK$3,),)</f>
        <v>155</v>
      </c>
      <c r="AA2" s="22">
        <f>VLOOKUP($A$2,用餐人数录入!$B:$AK,MATCH(AA$1,用餐人数录入!$B$3:$AK$3,),)</f>
        <v>160</v>
      </c>
      <c r="AB2" s="22">
        <f>VLOOKUP($A$2,用餐人数录入!$B:$AK,MATCH(AB$1,用餐人数录入!$B$3:$AK$3,),)</f>
        <v>130</v>
      </c>
      <c r="AC2" s="22">
        <f>VLOOKUP($A$2,用餐人数录入!$B:$AK,MATCH(AC$1,用餐人数录入!$B$3:$AK$3,),)</f>
        <v>165</v>
      </c>
      <c r="AD2" s="22">
        <f>VLOOKUP($A$2,用餐人数录入!$B:$AK,MATCH(AD$1,用餐人数录入!$B$3:$AK$3,),)</f>
        <v>178</v>
      </c>
      <c r="AE2" s="22">
        <f>VLOOKUP($A$2,用餐人数录入!$B:$AK,MATCH(AE$1,用餐人数录入!$B$3:$AK$3,),)</f>
        <v>180</v>
      </c>
      <c r="AF2" s="22">
        <f>VLOOKUP($A$2,用餐人数录入!$B:$AK,MATCH(AF$1,用餐人数录入!$B$3:$AK$3,),)</f>
        <v>183</v>
      </c>
    </row>
    <row r="3" customHeight="1" spans="1:32">
      <c r="A3" s="21" t="s">
        <v>609</v>
      </c>
      <c r="B3" s="22">
        <f>VLOOKUP($A$3,用餐人数录入!$B:$AK,MATCH(B$1,用餐人数录入!$B$3:$AK$3,),)</f>
        <v>21</v>
      </c>
      <c r="C3" s="22">
        <f>VLOOKUP($A$3,用餐人数录入!$B:$AK,MATCH(C$1,用餐人数录入!$B$3:$AK$3,),)</f>
        <v>19</v>
      </c>
      <c r="D3" s="22">
        <f>VLOOKUP($A$3,用餐人数录入!$B:$AK,MATCH(D$1,用餐人数录入!$B$3:$AK$3,),)</f>
        <v>22</v>
      </c>
      <c r="E3" s="22">
        <f>VLOOKUP($A$3,用餐人数录入!$B:$AK,MATCH(E$1,用餐人数录入!$B$3:$AK$3,),)</f>
        <v>19</v>
      </c>
      <c r="F3" s="22">
        <f>VLOOKUP($A$3,用餐人数录入!$B:$AK,MATCH(F$1,用餐人数录入!$B$3:$AK$3,),)</f>
        <v>22</v>
      </c>
      <c r="G3" s="22">
        <f>VLOOKUP($A$3,用餐人数录入!$B:$AK,MATCH(G$1,用餐人数录入!$B$3:$AK$3,),)</f>
        <v>21</v>
      </c>
      <c r="H3" s="22">
        <f>VLOOKUP($A$3,用餐人数录入!$B:$AK,MATCH(H$1,用餐人数录入!$B$3:$AK$3,),)</f>
        <v>21</v>
      </c>
      <c r="I3" s="22">
        <f>VLOOKUP($A$3,用餐人数录入!$B:$AK,MATCH(I$1,用餐人数录入!$B$3:$AK$3,),)</f>
        <v>20</v>
      </c>
      <c r="J3" s="22">
        <f>VLOOKUP($A$3,用餐人数录入!$B:$AK,MATCH(J$1,用餐人数录入!$B$3:$AK$3,),)</f>
        <v>24</v>
      </c>
      <c r="K3" s="22">
        <f>VLOOKUP($A$3,用餐人数录入!$B:$AK,MATCH(K$1,用餐人数录入!$B$3:$AK$3,),)</f>
        <v>24</v>
      </c>
      <c r="L3" s="22">
        <f>VLOOKUP($A$3,用餐人数录入!$B:$AK,MATCH(L$1,用餐人数录入!$B$3:$AK$3,),)</f>
        <v>23</v>
      </c>
      <c r="M3" s="22">
        <f>VLOOKUP($A$3,用餐人数录入!$B:$AK,MATCH(M$1,用餐人数录入!$B$3:$AK$3,),)</f>
        <v>19</v>
      </c>
      <c r="N3" s="22">
        <f>VLOOKUP($A$3,用餐人数录入!$B:$AK,MATCH(N$1,用餐人数录入!$B$3:$AK$3,),)</f>
        <v>18</v>
      </c>
      <c r="O3" s="22">
        <f>VLOOKUP($A$3,用餐人数录入!$B:$AK,MATCH(O$1,用餐人数录入!$B$3:$AK$3,),)</f>
        <v>23</v>
      </c>
      <c r="P3" s="22">
        <f>VLOOKUP($A$3,用餐人数录入!$B:$AK,MATCH(P$1,用餐人数录入!$B$3:$AK$3,),)</f>
        <v>21</v>
      </c>
      <c r="Q3" s="22">
        <f>VLOOKUP($A$3,用餐人数录入!$B:$AK,MATCH(Q$1,用餐人数录入!$B$3:$AK$3,),)</f>
        <v>19</v>
      </c>
      <c r="R3" s="22">
        <f>VLOOKUP($A$3,用餐人数录入!$B:$AK,MATCH(R$1,用餐人数录入!$B$3:$AK$3,),)</f>
        <v>18</v>
      </c>
      <c r="S3" s="22">
        <f>VLOOKUP($A$3,用餐人数录入!$B:$AK,MATCH(S$1,用餐人数录入!$B$3:$AK$3,),)</f>
        <v>21</v>
      </c>
      <c r="T3" s="22">
        <f>VLOOKUP($A$3,用餐人数录入!$B:$AK,MATCH(T$1,用餐人数录入!$B$3:$AK$3,),)</f>
        <v>19</v>
      </c>
      <c r="U3" s="22">
        <f>VLOOKUP($A$3,用餐人数录入!$B:$AK,MATCH(U$1,用餐人数录入!$B$3:$AK$3,),)</f>
        <v>22</v>
      </c>
      <c r="V3" s="22">
        <f>VLOOKUP($A$3,用餐人数录入!$B:$AK,MATCH(V$1,用餐人数录入!$B$3:$AK$3,),)</f>
        <v>21</v>
      </c>
      <c r="W3" s="22">
        <f>VLOOKUP($A$3,用餐人数录入!$B:$AK,MATCH(W$1,用餐人数录入!$B$3:$AK$3,),)</f>
        <v>19</v>
      </c>
      <c r="X3" s="22">
        <f>VLOOKUP($A$3,用餐人数录入!$B:$AK,MATCH(X$1,用餐人数录入!$B$3:$AK$3,),)</f>
        <v>16</v>
      </c>
      <c r="Y3" s="22">
        <f>VLOOKUP($A$3,用餐人数录入!$B:$AK,MATCH(Y$1,用餐人数录入!$B$3:$AK$3,),)</f>
        <v>21</v>
      </c>
      <c r="Z3" s="22">
        <f>VLOOKUP($A$3,用餐人数录入!$B:$AK,MATCH(Z$1,用餐人数录入!$B$3:$AK$3,),)</f>
        <v>23</v>
      </c>
      <c r="AA3" s="22">
        <f>VLOOKUP($A$3,用餐人数录入!$B:$AK,MATCH(AA$1,用餐人数录入!$B$3:$AK$3,),)</f>
        <v>21</v>
      </c>
      <c r="AB3" s="22">
        <f>VLOOKUP($A$3,用餐人数录入!$B:$AK,MATCH(AB$1,用餐人数录入!$B$3:$AK$3,),)</f>
        <v>20</v>
      </c>
      <c r="AC3" s="22">
        <f>VLOOKUP($A$3,用餐人数录入!$B:$AK,MATCH(AC$1,用餐人数录入!$B$3:$AK$3,),)</f>
        <v>19</v>
      </c>
      <c r="AD3" s="22">
        <f>VLOOKUP($A$3,用餐人数录入!$B:$AK,MATCH(AD$1,用餐人数录入!$B$3:$AK$3,),)</f>
        <v>19</v>
      </c>
      <c r="AE3" s="22">
        <f>VLOOKUP($A$3,用餐人数录入!$B:$AK,MATCH(AE$1,用餐人数录入!$B$3:$AK$3,),)</f>
        <v>19</v>
      </c>
      <c r="AF3" s="22">
        <f>VLOOKUP($A$3,用餐人数录入!$B:$AK,MATCH(AF$1,用餐人数录入!$B$3:$AK$3,),)</f>
        <v>21</v>
      </c>
    </row>
    <row r="4" customHeight="1" spans="1:32">
      <c r="A4" s="21" t="s">
        <v>335</v>
      </c>
      <c r="B4" s="22">
        <f t="shared" ref="B4:AF4" si="0">SUM(B2:B3)</f>
        <v>147</v>
      </c>
      <c r="C4" s="22">
        <f t="shared" si="0"/>
        <v>155</v>
      </c>
      <c r="D4" s="22">
        <f t="shared" si="0"/>
        <v>185</v>
      </c>
      <c r="E4" s="22">
        <f t="shared" si="0"/>
        <v>174</v>
      </c>
      <c r="F4" s="22">
        <f t="shared" si="0"/>
        <v>182</v>
      </c>
      <c r="G4" s="22">
        <f t="shared" si="0"/>
        <v>166</v>
      </c>
      <c r="H4" s="22">
        <f t="shared" si="0"/>
        <v>187</v>
      </c>
      <c r="I4" s="22">
        <f t="shared" si="0"/>
        <v>192</v>
      </c>
      <c r="J4" s="22">
        <f t="shared" si="0"/>
        <v>212</v>
      </c>
      <c r="K4" s="22">
        <f t="shared" si="0"/>
        <v>224</v>
      </c>
      <c r="L4" s="22">
        <f t="shared" si="0"/>
        <v>203</v>
      </c>
      <c r="M4" s="22">
        <f t="shared" si="0"/>
        <v>197</v>
      </c>
      <c r="N4" s="22">
        <f t="shared" si="0"/>
        <v>144</v>
      </c>
      <c r="O4" s="22">
        <f t="shared" si="0"/>
        <v>198</v>
      </c>
      <c r="P4" s="22">
        <f t="shared" si="0"/>
        <v>191</v>
      </c>
      <c r="Q4" s="22">
        <f t="shared" si="0"/>
        <v>199</v>
      </c>
      <c r="R4" s="22">
        <f t="shared" si="0"/>
        <v>176</v>
      </c>
      <c r="S4" s="22">
        <f t="shared" si="0"/>
        <v>207</v>
      </c>
      <c r="T4" s="22">
        <f t="shared" si="0"/>
        <v>185</v>
      </c>
      <c r="U4" s="22">
        <f t="shared" si="0"/>
        <v>172</v>
      </c>
      <c r="V4" s="22">
        <f t="shared" si="0"/>
        <v>181</v>
      </c>
      <c r="W4" s="22">
        <f t="shared" si="0"/>
        <v>205</v>
      </c>
      <c r="X4" s="22">
        <f t="shared" si="0"/>
        <v>171</v>
      </c>
      <c r="Y4" s="22">
        <f t="shared" si="0"/>
        <v>171</v>
      </c>
      <c r="Z4" s="22">
        <f t="shared" si="0"/>
        <v>178</v>
      </c>
      <c r="AA4" s="22">
        <f t="shared" si="0"/>
        <v>181</v>
      </c>
      <c r="AB4" s="22">
        <f t="shared" si="0"/>
        <v>150</v>
      </c>
      <c r="AC4" s="22">
        <f t="shared" si="0"/>
        <v>184</v>
      </c>
      <c r="AD4" s="22">
        <f t="shared" si="0"/>
        <v>197</v>
      </c>
      <c r="AE4" s="22">
        <f t="shared" si="0"/>
        <v>199</v>
      </c>
      <c r="AF4" s="22">
        <f t="shared" si="0"/>
        <v>204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L38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G1" sqref="G1"/>
    </sheetView>
  </sheetViews>
  <sheetFormatPr defaultColWidth="10.725" defaultRowHeight="16" customHeight="1"/>
  <cols>
    <col min="1" max="1" width="24" style="3" customWidth="1"/>
    <col min="2" max="2" width="10.725" style="3" customWidth="1"/>
    <col min="3" max="3" width="10.725" style="4" customWidth="1"/>
    <col min="4" max="33" width="10.725" style="3" customWidth="1"/>
    <col min="34" max="38" width="10.725" style="5" customWidth="1"/>
  </cols>
  <sheetData>
    <row r="1" customHeight="1" spans="1:38">
      <c r="A1" s="6" t="s">
        <v>621</v>
      </c>
      <c r="B1" s="6" t="s">
        <v>335</v>
      </c>
      <c r="C1" s="7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8" t="s">
        <v>846</v>
      </c>
      <c r="AI1" s="8" t="s">
        <v>847</v>
      </c>
      <c r="AJ1" s="8" t="s">
        <v>848</v>
      </c>
      <c r="AK1" s="8" t="s">
        <v>849</v>
      </c>
      <c r="AL1" s="8" t="s">
        <v>850</v>
      </c>
    </row>
    <row r="2" customHeight="1" spans="1:38">
      <c r="A2" s="9" t="s">
        <v>692</v>
      </c>
      <c r="B2" s="10">
        <f>SUM(C2:AG2)/30</f>
        <v>123.633333333333</v>
      </c>
      <c r="C2" s="10">
        <f>收入及其他项目!E2</f>
        <v>91</v>
      </c>
      <c r="D2" s="10">
        <f>收入及其他项目!F2</f>
        <v>99</v>
      </c>
      <c r="E2" s="10">
        <f>收入及其他项目!G2</f>
        <v>110</v>
      </c>
      <c r="F2" s="10">
        <f>收入及其他项目!H2</f>
        <v>146</v>
      </c>
      <c r="G2" s="10">
        <f>收入及其他项目!I2</f>
        <v>126</v>
      </c>
      <c r="H2" s="10">
        <f>收入及其他项目!J2</f>
        <v>130</v>
      </c>
      <c r="I2" s="10">
        <f>收入及其他项目!K2</f>
        <v>143</v>
      </c>
      <c r="J2" s="10">
        <f>收入及其他项目!L2</f>
        <v>147</v>
      </c>
      <c r="K2" s="10">
        <f>收入及其他项目!M2</f>
        <v>139</v>
      </c>
      <c r="L2" s="10">
        <f>收入及其他项目!N2</f>
        <v>145</v>
      </c>
      <c r="M2" s="10">
        <f>收入及其他项目!O2</f>
        <v>131</v>
      </c>
      <c r="N2" s="10">
        <f>收入及其他项目!P2</f>
        <v>106</v>
      </c>
      <c r="O2" s="10">
        <f>收入及其他项目!Q2</f>
        <v>95</v>
      </c>
      <c r="P2" s="10">
        <f>收入及其他项目!R2</f>
        <v>113</v>
      </c>
      <c r="Q2" s="10">
        <f>收入及其他项目!S2</f>
        <v>124</v>
      </c>
      <c r="R2" s="10">
        <f>收入及其他项目!T2</f>
        <v>114</v>
      </c>
      <c r="S2" s="10">
        <f>收入及其他项目!U2</f>
        <v>137</v>
      </c>
      <c r="T2" s="10">
        <f>收入及其他项目!V2</f>
        <v>118</v>
      </c>
      <c r="U2" s="10">
        <f>收入及其他项目!W2</f>
        <v>100</v>
      </c>
      <c r="V2" s="10">
        <f>收入及其他项目!X2</f>
        <v>109</v>
      </c>
      <c r="W2" s="10">
        <f>收入及其他项目!Y2</f>
        <v>123</v>
      </c>
      <c r="X2" s="10">
        <f>收入及其他项目!Z2</f>
        <v>97</v>
      </c>
      <c r="Y2" s="10">
        <f>收入及其他项目!AA2</f>
        <v>109</v>
      </c>
      <c r="Z2" s="10">
        <f>收入及其他项目!AB2</f>
        <v>105</v>
      </c>
      <c r="AA2" s="10">
        <f>收入及其他项目!AC2</f>
        <v>123</v>
      </c>
      <c r="AB2" s="10">
        <f>收入及其他项目!AD2</f>
        <v>100</v>
      </c>
      <c r="AC2" s="10">
        <f>收入及其他项目!AE2</f>
        <v>109</v>
      </c>
      <c r="AD2" s="10">
        <f>收入及其他项目!AF2</f>
        <v>125</v>
      </c>
      <c r="AE2" s="10">
        <f>收入及其他项目!AG2</f>
        <v>129</v>
      </c>
      <c r="AF2" s="10">
        <f>收入及其他项目!AH2</f>
        <v>132</v>
      </c>
      <c r="AG2" s="10">
        <f>收入及其他项目!AI2</f>
        <v>134</v>
      </c>
      <c r="AH2" s="11">
        <f t="shared" ref="AH2:AH37" si="0">AVERAGE(C2:E2)</f>
        <v>100</v>
      </c>
      <c r="AI2" s="11">
        <f t="shared" ref="AI2:AI37" si="1">AVERAGE(F2:L2)</f>
        <v>139.428571428571</v>
      </c>
      <c r="AJ2" s="11">
        <f t="shared" ref="AJ2:AJ37" si="2">AVERAGE(M2:S2)</f>
        <v>117.142857142857</v>
      </c>
      <c r="AK2" s="11">
        <f t="shared" ref="AK2:AK37" si="3">AVERAGE(T2:Z2)</f>
        <v>108.714285714286</v>
      </c>
      <c r="AL2" s="11">
        <f t="shared" ref="AL2:AL37" si="4">AVERAGE(AA2:AG2)</f>
        <v>121.714285714286</v>
      </c>
    </row>
    <row r="3" customHeight="1" spans="1:38">
      <c r="A3" s="10" t="s">
        <v>710</v>
      </c>
      <c r="B3" s="10">
        <f t="shared" ref="B3:B37" si="5">SUM(C3:AG3)/30</f>
        <v>11.8270980730013</v>
      </c>
      <c r="C3" s="7">
        <f>IFERROR(汇总表!B12/汇总表!B$4,0)</f>
        <v>11.5076263736264</v>
      </c>
      <c r="D3" s="7">
        <f>IFERROR(汇总表!C12/汇总表!$C$4,0)</f>
        <v>10.8393838383838</v>
      </c>
      <c r="E3" s="7">
        <f>IFERROR(汇总表!D12/汇总表!D$4,0)</f>
        <v>14.3353090909091</v>
      </c>
      <c r="F3" s="7">
        <f>IFERROR(汇总表!E12/汇总表!E$4,0)</f>
        <v>7.34203424657534</v>
      </c>
      <c r="G3" s="7">
        <f>IFERROR(汇总表!F12/汇总表!F$4,0)</f>
        <v>9.38296825396825</v>
      </c>
      <c r="H3" s="7">
        <f>IFERROR(汇总表!G12/汇总表!G$4,0)</f>
        <v>8.75993076923077</v>
      </c>
      <c r="I3" s="7">
        <f>IFERROR(汇总表!H12/汇总表!H$4,0)</f>
        <v>8.24112587412587</v>
      </c>
      <c r="J3" s="7">
        <f>IFERROR(汇总表!I12/汇总表!I$4,0)</f>
        <v>7.62438775510204</v>
      </c>
      <c r="K3" s="7">
        <f>IFERROR(汇总表!J12/汇总表!J$4,0)</f>
        <v>8.27579136690647</v>
      </c>
      <c r="L3" s="7">
        <f>IFERROR(汇总表!K12/汇总表!K$4,0)</f>
        <v>8.09975862068965</v>
      </c>
      <c r="M3" s="7">
        <f>IFERROR(汇总表!L12/汇总表!L$4,0)</f>
        <v>9.47215267175573</v>
      </c>
      <c r="N3" s="7">
        <f>IFERROR(汇总表!M12/汇总表!M$4,0)</f>
        <v>11.1439339622642</v>
      </c>
      <c r="O3" s="7">
        <f>IFERROR(汇总表!N12/汇总表!N$4,0)</f>
        <v>14.0865578947368</v>
      </c>
      <c r="P3" s="7">
        <f>IFERROR(汇总表!O12/汇总表!O$4,0)</f>
        <v>12.8089469026549</v>
      </c>
      <c r="Q3" s="7">
        <f>IFERROR(汇总表!P12/汇总表!P$4,0)</f>
        <v>11.2295967741935</v>
      </c>
      <c r="R3" s="7">
        <f>IFERROR(汇总表!Q12/汇总表!Q$4,0)</f>
        <v>12.2560526315789</v>
      </c>
      <c r="S3" s="7">
        <f>IFERROR(汇总表!R12/汇总表!R$4,0)</f>
        <v>9.64629927007299</v>
      </c>
      <c r="T3" s="7">
        <f>IFERROR(汇总表!S12/汇总表!S$4,0)</f>
        <v>12.4963644067797</v>
      </c>
      <c r="U3" s="7">
        <f>IFERROR(汇总表!T12/汇总表!T$4,0)</f>
        <v>13.61347</v>
      </c>
      <c r="V3" s="7">
        <f>IFERROR(汇总表!U12/汇总表!U$4,0)</f>
        <v>14.0315871559633</v>
      </c>
      <c r="W3" s="7">
        <f>IFERROR(汇总表!V12/汇总表!V$4,0)</f>
        <v>11.8995447154472</v>
      </c>
      <c r="X3" s="7">
        <f>IFERROR(汇总表!W12/汇总表!W$4,0)</f>
        <v>14.5550206185567</v>
      </c>
      <c r="Y3" s="7">
        <f>IFERROR(汇总表!X12/汇总表!X$4,0)</f>
        <v>13.7923027522936</v>
      </c>
      <c r="Z3" s="7">
        <f>IFERROR(汇总表!Y12/汇总表!Y$4,0)</f>
        <v>13.3934952380952</v>
      </c>
      <c r="AA3" s="7">
        <f>IFERROR(汇总表!Z12/汇总表!Z$4,0)</f>
        <v>11.7069512195122</v>
      </c>
      <c r="AB3" s="7">
        <f>IFERROR(汇总表!AA12/汇总表!AA$4,0)</f>
        <v>12.99939</v>
      </c>
      <c r="AC3" s="7">
        <f>IFERROR(汇总表!AB12/汇总表!AB$4,0)</f>
        <v>12.988128440367</v>
      </c>
      <c r="AD3" s="7">
        <f>IFERROR(汇总表!AC12/汇总表!AC$4,0)</f>
        <v>11.022984</v>
      </c>
      <c r="AE3" s="7">
        <f>IFERROR(汇总表!AD12/汇总表!AD$4,0)</f>
        <v>13.3007906976744</v>
      </c>
      <c r="AF3" s="7">
        <f>IFERROR(汇总表!AE12/汇总表!AE$4,0)</f>
        <v>12.1397954545455</v>
      </c>
      <c r="AG3" s="7">
        <f>IFERROR(汇总表!AF12/汇总表!AF$4,0)</f>
        <v>11.8212611940298</v>
      </c>
      <c r="AH3" s="12">
        <f t="shared" si="0"/>
        <v>12.2274397676398</v>
      </c>
      <c r="AI3" s="12">
        <f t="shared" si="1"/>
        <v>8.24657098379977</v>
      </c>
      <c r="AJ3" s="12">
        <f t="shared" si="2"/>
        <v>11.5205057296082</v>
      </c>
      <c r="AK3" s="12">
        <f t="shared" si="3"/>
        <v>13.3973978410194</v>
      </c>
      <c r="AL3" s="12">
        <f t="shared" si="4"/>
        <v>12.2827572865898</v>
      </c>
    </row>
    <row r="4" customHeight="1" spans="1:38">
      <c r="A4" s="10" t="s">
        <v>711</v>
      </c>
      <c r="B4" s="10">
        <f t="shared" si="5"/>
        <v>0.698042542507187</v>
      </c>
      <c r="C4" s="7">
        <f>IFERROR(汇总表!B13/汇总表!$C$4,0)</f>
        <v>1.33989292929293</v>
      </c>
      <c r="D4" s="7">
        <f>IFERROR(汇总表!C13/汇总表!$C$4,0)</f>
        <v>0.965224537040404</v>
      </c>
      <c r="E4" s="7">
        <f>IFERROR(汇总表!D13/汇总表!D$4,0)</f>
        <v>1.63441596590909</v>
      </c>
      <c r="F4" s="7">
        <f>IFERROR(汇总表!E13/汇总表!E$4,0)</f>
        <v>0.249600684931507</v>
      </c>
      <c r="G4" s="7">
        <f>IFERROR(汇总表!F13/汇总表!F$4,0)</f>
        <v>0.734356051587302</v>
      </c>
      <c r="H4" s="7">
        <f>IFERROR(汇总表!G13/汇总表!G$4,0)</f>
        <v>1.02153769230769</v>
      </c>
      <c r="I4" s="7">
        <f>IFERROR(汇总表!H13/汇总表!H$4,0)</f>
        <v>1.59358308566434</v>
      </c>
      <c r="J4" s="7">
        <f>IFERROR(汇总表!I13/汇总表!I$4,0)</f>
        <v>0.15138843537415</v>
      </c>
      <c r="K4" s="7">
        <f>IFERROR(汇总表!J13/汇总表!J$4,0)</f>
        <v>1.08551942446043</v>
      </c>
      <c r="L4" s="7">
        <f>IFERROR(汇总表!K13/汇总表!K$4,0)</f>
        <v>0.054408275862069</v>
      </c>
      <c r="M4" s="7">
        <f>IFERROR(汇总表!L13/汇总表!L$4,0)</f>
        <v>0.122123664122137</v>
      </c>
      <c r="N4" s="7">
        <f>IFERROR(汇总表!M13/汇总表!M$4,0)</f>
        <v>0.202062971698113</v>
      </c>
      <c r="O4" s="7">
        <f>IFERROR(汇总表!N13/汇总表!N$4,0)</f>
        <v>0.115291513157895</v>
      </c>
      <c r="P4" s="7">
        <f>IFERROR(汇总表!O13/汇总表!O$4,0)</f>
        <v>0.763921957964602</v>
      </c>
      <c r="Q4" s="7">
        <f>IFERROR(汇总表!P13/汇总表!P$4,0)</f>
        <v>0.160288709677419</v>
      </c>
      <c r="R4" s="7">
        <f>IFERROR(汇总表!Q13/汇总表!Q$4,0)</f>
        <v>0.133112938596491</v>
      </c>
      <c r="S4" s="7">
        <f>IFERROR(汇总表!R13/汇总表!R$4,0)</f>
        <v>0.129409489051095</v>
      </c>
      <c r="T4" s="7">
        <f>IFERROR(汇总表!S13/汇总表!S$4,0)</f>
        <v>0.0924109639830508</v>
      </c>
      <c r="U4" s="7">
        <f>IFERROR(汇总表!T13/汇总表!T$4,0)</f>
        <v>3.7520078125</v>
      </c>
      <c r="V4" s="7">
        <f>IFERROR(汇总表!U13/汇总表!U$4,0)</f>
        <v>0.258624464844037</v>
      </c>
      <c r="W4" s="7">
        <f>IFERROR(汇总表!V13/汇总表!V$4,0)</f>
        <v>0.296523966813008</v>
      </c>
      <c r="X4" s="7">
        <f>IFERROR(汇总表!W13/汇总表!W$4,0)</f>
        <v>0.230334600515464</v>
      </c>
      <c r="Y4" s="7">
        <f>IFERROR(汇总表!X13/汇总表!X$4,0)</f>
        <v>0.482115825688073</v>
      </c>
      <c r="Z4" s="7">
        <f>IFERROR(汇总表!Y13/汇总表!Y$4,0)</f>
        <v>1.3262202844</v>
      </c>
      <c r="AA4" s="7">
        <f>IFERROR(汇总表!Z13/汇总表!Z$4,0)</f>
        <v>2.11615156956098</v>
      </c>
      <c r="AB4" s="7">
        <f>IFERROR(汇总表!AA13/汇总表!AA$4,0)</f>
        <v>1.04922498612</v>
      </c>
      <c r="AC4" s="7">
        <f>IFERROR(汇总表!AB13/汇总表!AB$4,0)</f>
        <v>0.361966972477064</v>
      </c>
      <c r="AD4" s="7">
        <f>IFERROR(汇总表!AC13/汇总表!AC$4,0)</f>
        <v>0.40438795</v>
      </c>
      <c r="AE4" s="7">
        <f>IFERROR(汇总表!AD13/汇总表!AD$4,0)</f>
        <v>0.0669843992248062</v>
      </c>
      <c r="AF4" s="7">
        <f>IFERROR(汇总表!AE13/汇总表!AE$4,0)</f>
        <v>0.0322975852272727</v>
      </c>
      <c r="AG4" s="7">
        <f>IFERROR(汇总表!AF13/汇总表!AF$4,0)</f>
        <v>0.0158865671641791</v>
      </c>
      <c r="AH4" s="12">
        <f t="shared" si="0"/>
        <v>1.31317781074747</v>
      </c>
      <c r="AI4" s="12">
        <f t="shared" si="1"/>
        <v>0.698627664312498</v>
      </c>
      <c r="AJ4" s="12">
        <f t="shared" si="2"/>
        <v>0.23231589203825</v>
      </c>
      <c r="AK4" s="12">
        <f t="shared" si="3"/>
        <v>0.919748274106233</v>
      </c>
      <c r="AL4" s="12">
        <f t="shared" si="4"/>
        <v>0.578128575682043</v>
      </c>
    </row>
    <row r="5" customHeight="1" spans="1:38">
      <c r="A5" s="10" t="s">
        <v>614</v>
      </c>
      <c r="B5" s="10">
        <f t="shared" si="5"/>
        <v>17.2473244233826</v>
      </c>
      <c r="C5" s="7">
        <f>IFERROR(汇总表!B15/汇总表!$C$4,0)</f>
        <v>25.1181818181818</v>
      </c>
      <c r="D5" s="7">
        <f>IFERROR(汇总表!C15/汇总表!$C$4,0)</f>
        <v>10.650101010101</v>
      </c>
      <c r="E5" s="7">
        <f>IFERROR(汇总表!D15/汇总表!D$4,0)</f>
        <v>22.1545454545455</v>
      </c>
      <c r="F5" s="7">
        <f>IFERROR(汇总表!E15/汇总表!E$4,0)</f>
        <v>2.80821917808219</v>
      </c>
      <c r="G5" s="7">
        <f>IFERROR(汇总表!F15/汇总表!F$4,0)</f>
        <v>35.208253968254</v>
      </c>
      <c r="H5" s="7">
        <f>IFERROR(汇总表!G15/汇总表!G$4,0)</f>
        <v>3.13846153846154</v>
      </c>
      <c r="I5" s="7">
        <f>IFERROR(汇总表!H15/汇总表!H$4,0)</f>
        <v>2.13286713286713</v>
      </c>
      <c r="J5" s="7">
        <f>IFERROR(汇总表!I15/汇总表!I$4,0)</f>
        <v>17.6598639455782</v>
      </c>
      <c r="K5" s="7">
        <f>IFERROR(汇总表!J15/汇总表!J$4,0)</f>
        <v>2.71244604316547</v>
      </c>
      <c r="L5" s="7">
        <f>IFERROR(汇总表!K15/汇总表!K$4,0)</f>
        <v>7.07310344827586</v>
      </c>
      <c r="M5" s="7">
        <f>IFERROR(汇总表!L15/汇总表!L$4,0)</f>
        <v>9.42603053435115</v>
      </c>
      <c r="N5" s="7">
        <f>IFERROR(汇总表!M15/汇总表!M$4,0)</f>
        <v>12.5188679245283</v>
      </c>
      <c r="O5" s="7">
        <f>IFERROR(汇总表!N15/汇总表!N$4,0)</f>
        <v>22.7648421052632</v>
      </c>
      <c r="P5" s="7">
        <f>IFERROR(汇总表!O15/汇总表!O$4,0)</f>
        <v>14.8380530973451</v>
      </c>
      <c r="Q5" s="7">
        <f>IFERROR(汇总表!P15/汇总表!P$4,0)</f>
        <v>24.7863709677419</v>
      </c>
      <c r="R5" s="7">
        <f>IFERROR(汇总表!Q15/汇总表!Q$4,0)</f>
        <v>7.73263157894737</v>
      </c>
      <c r="S5" s="7">
        <f>IFERROR(汇总表!R15/汇总表!R$4,0)</f>
        <v>19.2659854014599</v>
      </c>
      <c r="T5" s="7">
        <f>IFERROR(汇总表!S15/汇总表!S$4,0)</f>
        <v>1.96474576271186</v>
      </c>
      <c r="U5" s="7">
        <f>IFERROR(汇总表!T15/汇总表!T$4,0)</f>
        <v>31.1014</v>
      </c>
      <c r="V5" s="7">
        <f>IFERROR(汇总表!U15/汇总表!U$4,0)</f>
        <v>5.84403669724771</v>
      </c>
      <c r="W5" s="7">
        <f>IFERROR(汇总表!V15/汇总表!V$4,0)</f>
        <v>14.459512195122</v>
      </c>
      <c r="X5" s="7">
        <f>IFERROR(汇总表!W15/汇总表!W$4,0)</f>
        <v>24.0618556701031</v>
      </c>
      <c r="Y5" s="7">
        <f>IFERROR(汇总表!X15/汇总表!X$4,0)</f>
        <v>11.602752293578</v>
      </c>
      <c r="Z5" s="7">
        <f>IFERROR(汇总表!Y15/汇总表!Y$4,0)</f>
        <v>38.6361904761905</v>
      </c>
      <c r="AA5" s="7">
        <f>IFERROR(汇总表!Z15/汇总表!Z$4,0)</f>
        <v>21.9463414634146</v>
      </c>
      <c r="AB5" s="7">
        <f>IFERROR(汇总表!AA15/汇总表!AA$4,0)</f>
        <v>27.69</v>
      </c>
      <c r="AC5" s="7">
        <f>IFERROR(汇总表!AB15/汇总表!AB$4,0)</f>
        <v>47.9293577981651</v>
      </c>
      <c r="AD5" s="7">
        <f>IFERROR(汇总表!AC15/汇总表!AC$4,0)</f>
        <v>9.296</v>
      </c>
      <c r="AE5" s="7">
        <f>IFERROR(汇总表!AD15/汇总表!AD$4,0)</f>
        <v>9.11162790697674</v>
      </c>
      <c r="AF5" s="7">
        <f>IFERROR(汇总表!AE15/汇总表!AE$4,0)</f>
        <v>20.7348484848485</v>
      </c>
      <c r="AG5" s="7">
        <f>IFERROR(汇总表!AF15/汇总表!AF$4,0)</f>
        <v>13.0522388059701</v>
      </c>
      <c r="AH5" s="12">
        <f t="shared" si="0"/>
        <v>19.3076094276094</v>
      </c>
      <c r="AI5" s="12">
        <f t="shared" si="1"/>
        <v>10.1047450363835</v>
      </c>
      <c r="AJ5" s="12">
        <f t="shared" si="2"/>
        <v>15.904683087091</v>
      </c>
      <c r="AK5" s="12">
        <f t="shared" si="3"/>
        <v>18.2386418707076</v>
      </c>
      <c r="AL5" s="12">
        <f t="shared" si="4"/>
        <v>21.3943449227679</v>
      </c>
    </row>
    <row r="6" customHeight="1" spans="1:38">
      <c r="A6" s="10" t="s">
        <v>394</v>
      </c>
      <c r="B6" s="10">
        <f t="shared" si="5"/>
        <v>8.78887482080557</v>
      </c>
      <c r="C6" s="7">
        <f>IFERROR(汇总表!B16/汇总表!$C$4,0)</f>
        <v>9.75737373737374</v>
      </c>
      <c r="D6" s="7">
        <f>IFERROR(汇总表!C16/汇总表!$C$4,0)</f>
        <v>7.32787878787879</v>
      </c>
      <c r="E6" s="7">
        <f>IFERROR(汇总表!D16/汇总表!D$4,0)</f>
        <v>7.03145454545455</v>
      </c>
      <c r="F6" s="7">
        <f>IFERROR(汇总表!E16/汇总表!E$4,0)</f>
        <v>5.79041095890411</v>
      </c>
      <c r="G6" s="7">
        <f>IFERROR(汇总表!F16/汇总表!F$4,0)</f>
        <v>8.88761904761905</v>
      </c>
      <c r="H6" s="7">
        <f>IFERROR(汇总表!G16/汇总表!G$4,0)</f>
        <v>9.31969230769231</v>
      </c>
      <c r="I6" s="7">
        <f>IFERROR(汇总表!H16/汇总表!H$4,0)</f>
        <v>6.97216783216783</v>
      </c>
      <c r="J6" s="7">
        <f>IFERROR(汇总表!I16/汇总表!I$4,0)</f>
        <v>6.70646258503401</v>
      </c>
      <c r="K6" s="7">
        <f>IFERROR(汇总表!J16/汇总表!J$4,0)</f>
        <v>8.12122302158273</v>
      </c>
      <c r="L6" s="7">
        <f>IFERROR(汇总表!K16/汇总表!K$4,0)</f>
        <v>6.68103448275862</v>
      </c>
      <c r="M6" s="7">
        <f>IFERROR(汇总表!L16/汇总表!L$4,0)</f>
        <v>8.96839694656489</v>
      </c>
      <c r="N6" s="7">
        <f>IFERROR(汇总表!M16/汇总表!M$4,0)</f>
        <v>11.4009433962264</v>
      </c>
      <c r="O6" s="7">
        <f>IFERROR(汇总表!N16/汇总表!N$4,0)</f>
        <v>11.8761052631579</v>
      </c>
      <c r="P6" s="7">
        <f>IFERROR(汇总表!O16/汇总表!O$4,0)</f>
        <v>8.52911504424779</v>
      </c>
      <c r="Q6" s="7">
        <f>IFERROR(汇总表!P16/汇总表!P$4,0)</f>
        <v>6.47032258064516</v>
      </c>
      <c r="R6" s="7">
        <f>IFERROR(汇总表!Q16/汇总表!Q$4,0)</f>
        <v>7.28877192982456</v>
      </c>
      <c r="S6" s="7">
        <f>IFERROR(汇总表!R16/汇总表!R$4,0)</f>
        <v>8.76029197080292</v>
      </c>
      <c r="T6" s="7">
        <f>IFERROR(汇总表!S16/汇总表!S$4,0)</f>
        <v>10.7167796610169</v>
      </c>
      <c r="U6" s="7">
        <f>IFERROR(汇总表!T16/汇总表!T$4,0)</f>
        <v>11.5668</v>
      </c>
      <c r="V6" s="7">
        <f>IFERROR(汇总表!U16/汇总表!U$4,0)</f>
        <v>11.1133944954128</v>
      </c>
      <c r="W6" s="7">
        <f>IFERROR(汇总表!V16/汇总表!V$4,0)</f>
        <v>9.19211382113821</v>
      </c>
      <c r="X6" s="7">
        <f>IFERROR(汇总表!W16/汇总表!W$4,0)</f>
        <v>9.1039175257732</v>
      </c>
      <c r="Y6" s="7">
        <f>IFERROR(汇总表!X16/汇总表!X$4,0)</f>
        <v>8.13293577981651</v>
      </c>
      <c r="Z6" s="7">
        <f>IFERROR(汇总表!Y16/汇总表!Y$4,0)</f>
        <v>7.88409523809524</v>
      </c>
      <c r="AA6" s="7">
        <f>IFERROR(汇总表!Z16/汇总表!Z$4,0)</f>
        <v>8.06577235772358</v>
      </c>
      <c r="AB6" s="7">
        <f>IFERROR(汇总表!AA16/汇总表!AA$4,0)</f>
        <v>9.4071</v>
      </c>
      <c r="AC6" s="7">
        <f>IFERROR(汇总表!AB16/汇总表!AB$4,0)</f>
        <v>11.075504587156</v>
      </c>
      <c r="AD6" s="7">
        <f>IFERROR(汇总表!AC16/汇总表!AC$4,0)</f>
        <v>5.54536</v>
      </c>
      <c r="AE6" s="7">
        <f>IFERROR(汇总表!AD16/汇总表!AD$4,0)</f>
        <v>6.34736434108527</v>
      </c>
      <c r="AF6" s="7">
        <f>IFERROR(汇总表!AE16/汇总表!AE$4,0)</f>
        <v>8.28643939393939</v>
      </c>
      <c r="AG6" s="7">
        <f>IFERROR(汇总表!AF16/汇总表!AF$4,0)</f>
        <v>7.33940298507463</v>
      </c>
      <c r="AH6" s="12">
        <f t="shared" si="0"/>
        <v>8.03890235690236</v>
      </c>
      <c r="AI6" s="12">
        <f t="shared" si="1"/>
        <v>7.4969443193941</v>
      </c>
      <c r="AJ6" s="12">
        <f t="shared" si="2"/>
        <v>9.0419924473528</v>
      </c>
      <c r="AK6" s="12">
        <f t="shared" si="3"/>
        <v>9.67286236017899</v>
      </c>
      <c r="AL6" s="12">
        <f t="shared" si="4"/>
        <v>8.00956338071126</v>
      </c>
    </row>
    <row r="7" customHeight="1" spans="1:38">
      <c r="A7" s="7" t="s">
        <v>667</v>
      </c>
      <c r="B7" s="10">
        <f t="shared" si="5"/>
        <v>21.5683921475147</v>
      </c>
      <c r="C7" s="7">
        <f>IFERROR(汇总表!B17/汇总表!$C$4,0)</f>
        <v>19.6977666666667</v>
      </c>
      <c r="D7" s="7">
        <f>IFERROR(汇总表!C17/汇总表!$C$4,0)</f>
        <v>19.2709222222222</v>
      </c>
      <c r="E7" s="7">
        <f>IFERROR(汇总表!D17/汇总表!D$4,0)</f>
        <v>21.60144</v>
      </c>
      <c r="F7" s="7">
        <f>IFERROR(汇总表!E17/汇总表!E$4,0)</f>
        <v>18.8689554794521</v>
      </c>
      <c r="G7" s="7">
        <f>IFERROR(汇总表!F17/汇总表!F$4,0)</f>
        <v>21.9611333333333</v>
      </c>
      <c r="H7" s="7">
        <f>IFERROR(汇总表!G17/汇总表!G$4,0)</f>
        <v>21.8524815384615</v>
      </c>
      <c r="I7" s="7">
        <f>IFERROR(汇总表!H17/汇总表!H$4,0)</f>
        <v>18.1549307692308</v>
      </c>
      <c r="J7" s="7">
        <f>IFERROR(汇总表!I17/汇总表!I$4,0)</f>
        <v>17.7085857142857</v>
      </c>
      <c r="K7" s="7">
        <f>IFERROR(汇总表!J17/汇总表!J$4,0)</f>
        <v>21.7913877697842</v>
      </c>
      <c r="L7" s="7">
        <f>IFERROR(汇总表!K17/汇总表!K$4,0)</f>
        <v>19.7769455172414</v>
      </c>
      <c r="M7" s="7">
        <f>IFERROR(汇总表!L17/汇总表!L$4,0)</f>
        <v>25.3788473282443</v>
      </c>
      <c r="N7" s="7">
        <f>IFERROR(汇总表!M17/汇总表!M$4,0)</f>
        <v>28.9138632075472</v>
      </c>
      <c r="O7" s="7">
        <f>IFERROR(汇总表!N17/汇总表!N$4,0)</f>
        <v>26.3887915789474</v>
      </c>
      <c r="P7" s="7">
        <f>IFERROR(汇总表!O17/汇总表!O$4,0)</f>
        <v>20.1461300884956</v>
      </c>
      <c r="Q7" s="7">
        <f>IFERROR(汇总表!P17/汇总表!P$4,0)</f>
        <v>0</v>
      </c>
      <c r="R7" s="7">
        <f>IFERROR(汇总表!Q17/汇总表!Q$4,0)</f>
        <v>21.5311587719298</v>
      </c>
      <c r="S7" s="7">
        <f>IFERROR(汇总表!R17/汇总表!R$4,0)</f>
        <v>18.2300591240876</v>
      </c>
      <c r="T7" s="7">
        <f>IFERROR(汇总表!S17/汇总表!S$4,0)</f>
        <v>16.5779042372881</v>
      </c>
      <c r="U7" s="7">
        <f>IFERROR(汇总表!T17/汇总表!T$4,0)</f>
        <v>25.492775</v>
      </c>
      <c r="V7" s="7">
        <f>IFERROR(汇总表!U17/汇总表!U$4,0)</f>
        <v>17.9236220183486</v>
      </c>
      <c r="W7" s="7">
        <f>IFERROR(汇总表!V17/汇总表!V$4,0)</f>
        <v>18.8478471544715</v>
      </c>
      <c r="X7" s="7">
        <f>IFERROR(汇总表!W17/汇总表!W$4,0)</f>
        <v>25.4640587628866</v>
      </c>
      <c r="Y7" s="7">
        <f>IFERROR(汇总表!X17/汇总表!X$4,0)</f>
        <v>21.6356577981651</v>
      </c>
      <c r="Z7" s="7">
        <f>IFERROR(汇总表!Y17/汇总表!Y$4,0)</f>
        <v>23.5233533333333</v>
      </c>
      <c r="AA7" s="7">
        <f>IFERROR(汇总表!Z17/汇总表!Z$4,0)</f>
        <v>18.7859341463415</v>
      </c>
      <c r="AB7" s="7">
        <f>IFERROR(汇总表!AA17/汇总表!AA$4,0)</f>
        <v>25.346552</v>
      </c>
      <c r="AC7" s="7">
        <f>IFERROR(汇总表!AB17/汇总表!AB$4,0)</f>
        <v>21.4430871559633</v>
      </c>
      <c r="AD7" s="7">
        <f>IFERROR(汇总表!AC17/汇总表!AC$4,0)</f>
        <v>21.2451008</v>
      </c>
      <c r="AE7" s="7">
        <f>IFERROR(汇总表!AD17/汇总表!AD$4,0)</f>
        <v>23.315480620155</v>
      </c>
      <c r="AF7" s="7">
        <f>IFERROR(汇总表!AE17/汇总表!AE$4,0)</f>
        <v>22.7673833333333</v>
      </c>
      <c r="AG7" s="7">
        <f>IFERROR(汇总表!AF17/汇总表!AF$4,0)</f>
        <v>23.4096089552239</v>
      </c>
      <c r="AH7" s="12">
        <f t="shared" si="0"/>
        <v>20.190042962963</v>
      </c>
      <c r="AI7" s="12">
        <f t="shared" si="1"/>
        <v>20.0163457316841</v>
      </c>
      <c r="AJ7" s="12">
        <f t="shared" si="2"/>
        <v>20.0841214427503</v>
      </c>
      <c r="AK7" s="12">
        <f t="shared" si="3"/>
        <v>21.3521740434991</v>
      </c>
      <c r="AL7" s="12">
        <f t="shared" si="4"/>
        <v>22.3304495730024</v>
      </c>
    </row>
    <row r="8" customHeight="1" spans="1:38">
      <c r="A8" s="7" t="s">
        <v>669</v>
      </c>
      <c r="B8" s="10">
        <f t="shared" si="5"/>
        <v>1.64294684538893</v>
      </c>
      <c r="C8" s="7">
        <f>IFERROR(汇总表!B18/汇总表!$C$4,0)</f>
        <v>1.28484848484848</v>
      </c>
      <c r="D8" s="7">
        <f>IFERROR(汇总表!C18/汇总表!$C$4,0)</f>
        <v>1.55252525252525</v>
      </c>
      <c r="E8" s="7">
        <f>IFERROR(汇总表!D18/汇总表!D$4,0)</f>
        <v>1.49363636363636</v>
      </c>
      <c r="F8" s="7">
        <f>IFERROR(汇总表!E18/汇总表!E$4,0)</f>
        <v>1.16164383561644</v>
      </c>
      <c r="G8" s="7">
        <f>IFERROR(汇总表!F18/汇总表!F$4,0)</f>
        <v>2.01904761904762</v>
      </c>
      <c r="H8" s="7">
        <f>IFERROR(汇总表!G18/汇总表!G$4,0)</f>
        <v>1.54923076923077</v>
      </c>
      <c r="I8" s="7">
        <f>IFERROR(汇总表!H18/汇总表!H$4,0)</f>
        <v>1.2972027972028</v>
      </c>
      <c r="J8" s="7">
        <f>IFERROR(汇总表!I18/汇总表!I$4,0)</f>
        <v>1.51428571428571</v>
      </c>
      <c r="K8" s="7">
        <f>IFERROR(汇总表!J18/汇总表!J$4,0)</f>
        <v>1.56330935251799</v>
      </c>
      <c r="L8" s="7">
        <f>IFERROR(汇总表!K18/汇总表!K$4,0)</f>
        <v>1.60827586206897</v>
      </c>
      <c r="M8" s="7">
        <f>IFERROR(汇总表!L18/汇总表!L$4,0)</f>
        <v>1.61832061068702</v>
      </c>
      <c r="N8" s="7">
        <f>IFERROR(汇总表!M18/汇总表!M$4,0)</f>
        <v>1.9</v>
      </c>
      <c r="O8" s="7">
        <f>IFERROR(汇总表!N18/汇总表!N$4,0)</f>
        <v>2.45473684210526</v>
      </c>
      <c r="P8" s="7">
        <f>IFERROR(汇总表!O18/汇总表!O$4,0)</f>
        <v>1.26637168141593</v>
      </c>
      <c r="Q8" s="7">
        <f>IFERROR(汇总表!P18/汇总表!P$4,0)</f>
        <v>0</v>
      </c>
      <c r="R8" s="7">
        <f>IFERROR(汇总表!Q18/汇总表!Q$4,0)</f>
        <v>1.62719298245614</v>
      </c>
      <c r="S8" s="7">
        <f>IFERROR(汇总表!R18/汇总表!R$4,0)</f>
        <v>1.85693430656934</v>
      </c>
      <c r="T8" s="7">
        <f>IFERROR(汇总表!S18/汇总表!S$4,0)</f>
        <v>1.75169491525424</v>
      </c>
      <c r="U8" s="7">
        <f>IFERROR(汇总表!T18/汇总表!T$4,0)</f>
        <v>2.226</v>
      </c>
      <c r="V8" s="7">
        <f>IFERROR(汇总表!U18/汇总表!U$4,0)</f>
        <v>1.94495412844037</v>
      </c>
      <c r="W8" s="7">
        <f>IFERROR(汇总表!V18/汇总表!V$4,0)</f>
        <v>0.904878048780488</v>
      </c>
      <c r="X8" s="7">
        <f>IFERROR(汇总表!W18/汇总表!W$4,0)</f>
        <v>2.24020618556701</v>
      </c>
      <c r="Y8" s="7">
        <f>IFERROR(汇总表!X18/汇总表!X$4,0)</f>
        <v>1.16697247706422</v>
      </c>
      <c r="Z8" s="7">
        <f>IFERROR(汇总表!Y18/汇总表!Y$4,0)</f>
        <v>1.96857142857143</v>
      </c>
      <c r="AA8" s="7">
        <f>IFERROR(汇总表!Z18/汇总表!Z$4,0)</f>
        <v>1.61585365853659</v>
      </c>
      <c r="AB8" s="7">
        <f>IFERROR(汇总表!AA18/汇总表!AA$4,0)</f>
        <v>2.332</v>
      </c>
      <c r="AC8" s="7">
        <f>IFERROR(汇总表!AB18/汇总表!AB$4,0)</f>
        <v>1.62889908256881</v>
      </c>
      <c r="AD8" s="7">
        <f>IFERROR(汇总表!AC18/汇总表!AC$4,0)</f>
        <v>1.2296</v>
      </c>
      <c r="AE8" s="7">
        <f>IFERROR(汇总表!AD18/汇总表!AD$4,0)</f>
        <v>1.60232558139535</v>
      </c>
      <c r="AF8" s="7">
        <f>IFERROR(汇总表!AE18/汇总表!AE$4,0)</f>
        <v>1.44545454545455</v>
      </c>
      <c r="AG8" s="7">
        <f>IFERROR(汇总表!AF18/汇总表!AF$4,0)</f>
        <v>1.4634328358209</v>
      </c>
      <c r="AH8" s="12">
        <f t="shared" si="0"/>
        <v>1.44367003367003</v>
      </c>
      <c r="AI8" s="12">
        <f t="shared" si="1"/>
        <v>1.5304279928529</v>
      </c>
      <c r="AJ8" s="12">
        <f t="shared" si="2"/>
        <v>1.53193663189053</v>
      </c>
      <c r="AK8" s="12">
        <f t="shared" si="3"/>
        <v>1.74332531195396</v>
      </c>
      <c r="AL8" s="12">
        <f t="shared" si="4"/>
        <v>1.61679510053945</v>
      </c>
    </row>
    <row r="9" customHeight="1" spans="1:38">
      <c r="A9" s="7" t="s">
        <v>712</v>
      </c>
      <c r="B9" s="10">
        <f t="shared" si="5"/>
        <v>0</v>
      </c>
      <c r="C9" s="7">
        <f>IFERROR(汇总表!B19/汇总表!$C$4,0)</f>
        <v>0</v>
      </c>
      <c r="D9" s="7">
        <f>IFERROR(汇总表!C19/汇总表!$C$4,0)</f>
        <v>0</v>
      </c>
      <c r="E9" s="7">
        <f>IFERROR(汇总表!D19/汇总表!D$4,0)</f>
        <v>0</v>
      </c>
      <c r="F9" s="7">
        <f>IFERROR(汇总表!E19/汇总表!E$4,0)</f>
        <v>0</v>
      </c>
      <c r="G9" s="7">
        <f>IFERROR(汇总表!F19/汇总表!F$4,0)</f>
        <v>0</v>
      </c>
      <c r="H9" s="7">
        <f>IFERROR(汇总表!G19/汇总表!G$4,0)</f>
        <v>0</v>
      </c>
      <c r="I9" s="7">
        <f>IFERROR(汇总表!H19/汇总表!H$4,0)</f>
        <v>0</v>
      </c>
      <c r="J9" s="7">
        <f>IFERROR(汇总表!I19/汇总表!I$4,0)</f>
        <v>0</v>
      </c>
      <c r="K9" s="7">
        <f>IFERROR(汇总表!J19/汇总表!J$4,0)</f>
        <v>0</v>
      </c>
      <c r="L9" s="7">
        <f>IFERROR(汇总表!K19/汇总表!K$4,0)</f>
        <v>0</v>
      </c>
      <c r="M9" s="7">
        <f>IFERROR(汇总表!L19/汇总表!L$4,0)</f>
        <v>0</v>
      </c>
      <c r="N9" s="7">
        <f>IFERROR(汇总表!M19/汇总表!M$4,0)</f>
        <v>0</v>
      </c>
      <c r="O9" s="7">
        <f>IFERROR(汇总表!N19/汇总表!N$4,0)</f>
        <v>0</v>
      </c>
      <c r="P9" s="7">
        <f>IFERROR(汇总表!O19/汇总表!O$4,0)</f>
        <v>0</v>
      </c>
      <c r="Q9" s="7">
        <f>IFERROR(汇总表!P19/汇总表!P$4,0)</f>
        <v>0</v>
      </c>
      <c r="R9" s="7">
        <f>IFERROR(汇总表!Q19/汇总表!Q$4,0)</f>
        <v>0</v>
      </c>
      <c r="S9" s="7">
        <f>IFERROR(汇总表!R19/汇总表!R$4,0)</f>
        <v>0</v>
      </c>
      <c r="T9" s="7">
        <f>IFERROR(汇总表!S19/汇总表!S$4,0)</f>
        <v>0</v>
      </c>
      <c r="U9" s="7">
        <f>IFERROR(汇总表!T19/汇总表!T$4,0)</f>
        <v>0</v>
      </c>
      <c r="V9" s="7">
        <f>IFERROR(汇总表!U19/汇总表!U$4,0)</f>
        <v>0</v>
      </c>
      <c r="W9" s="7">
        <f>IFERROR(汇总表!V19/汇总表!V$4,0)</f>
        <v>0</v>
      </c>
      <c r="X9" s="7">
        <f>IFERROR(汇总表!W19/汇总表!W$4,0)</f>
        <v>0</v>
      </c>
      <c r="Y9" s="7">
        <f>IFERROR(汇总表!X19/汇总表!X$4,0)</f>
        <v>0</v>
      </c>
      <c r="Z9" s="7">
        <f>IFERROR(汇总表!Y19/汇总表!Y$4,0)</f>
        <v>0</v>
      </c>
      <c r="AA9" s="7">
        <f>IFERROR(汇总表!Z19/汇总表!Z$4,0)</f>
        <v>0</v>
      </c>
      <c r="AB9" s="7">
        <f>IFERROR(汇总表!AA19/汇总表!AA$4,0)</f>
        <v>0</v>
      </c>
      <c r="AC9" s="7">
        <f>IFERROR(汇总表!AB19/汇总表!AB$4,0)</f>
        <v>0</v>
      </c>
      <c r="AD9" s="7">
        <f>IFERROR(汇总表!AC19/汇总表!AC$4,0)</f>
        <v>0</v>
      </c>
      <c r="AE9" s="7">
        <f>IFERROR(汇总表!AD19/汇总表!AD$4,0)</f>
        <v>0</v>
      </c>
      <c r="AF9" s="7">
        <f>IFERROR(汇总表!AE19/汇总表!AE$4,0)</f>
        <v>0</v>
      </c>
      <c r="AG9" s="7">
        <f>IFERROR(汇总表!AF19/汇总表!AF$4,0)</f>
        <v>0</v>
      </c>
      <c r="AH9" s="12">
        <f t="shared" si="0"/>
        <v>0</v>
      </c>
      <c r="AI9" s="12">
        <f t="shared" si="1"/>
        <v>0</v>
      </c>
      <c r="AJ9" s="12">
        <f t="shared" si="2"/>
        <v>0</v>
      </c>
      <c r="AK9" s="12">
        <f t="shared" si="3"/>
        <v>0</v>
      </c>
      <c r="AL9" s="12">
        <f t="shared" si="4"/>
        <v>0</v>
      </c>
    </row>
    <row r="10" customHeight="1" spans="1:38">
      <c r="A10" s="7" t="s">
        <v>303</v>
      </c>
      <c r="B10" s="10">
        <f t="shared" si="5"/>
        <v>0.643097643097643</v>
      </c>
      <c r="C10" s="7">
        <f>IFERROR(汇总表!B43/汇总表!$C$4,0)</f>
        <v>19.2929292929293</v>
      </c>
      <c r="D10" s="7">
        <f>IFERROR(汇总表!C43/汇总表!$C$4,0)</f>
        <v>0</v>
      </c>
      <c r="E10" s="7">
        <f>IFERROR(汇总表!D43/汇总表!$C$4,0)</f>
        <v>0</v>
      </c>
      <c r="F10" s="7">
        <f>IFERROR(汇总表!E43/汇总表!$C$4,0)</f>
        <v>0</v>
      </c>
      <c r="G10" s="7">
        <f>IFERROR(汇总表!F43/汇总表!$C$4,0)</f>
        <v>0</v>
      </c>
      <c r="H10" s="7">
        <f>IFERROR(汇总表!G43/汇总表!$C$4,0)</f>
        <v>0</v>
      </c>
      <c r="I10" s="7">
        <f>IFERROR(汇总表!H43/汇总表!$C$4,0)</f>
        <v>0</v>
      </c>
      <c r="J10" s="7">
        <f>IFERROR(汇总表!I43/汇总表!$C$4,0)</f>
        <v>0</v>
      </c>
      <c r="K10" s="7">
        <f>IFERROR(汇总表!J43/汇总表!$C$4,0)</f>
        <v>0</v>
      </c>
      <c r="L10" s="7">
        <f>IFERROR(汇总表!K43/汇总表!$C$4,0)</f>
        <v>0</v>
      </c>
      <c r="M10" s="7">
        <f>IFERROR(汇总表!L43/汇总表!$C$4,0)</f>
        <v>0</v>
      </c>
      <c r="N10" s="7">
        <f>IFERROR(汇总表!M43/汇总表!$C$4,0)</f>
        <v>0</v>
      </c>
      <c r="O10" s="7">
        <f>IFERROR(汇总表!N43/汇总表!$C$4,0)</f>
        <v>0</v>
      </c>
      <c r="P10" s="7">
        <f>IFERROR(汇总表!O43/汇总表!$C$4,0)</f>
        <v>0</v>
      </c>
      <c r="Q10" s="7">
        <f>IFERROR(汇总表!P43/汇总表!$C$4,0)</f>
        <v>0</v>
      </c>
      <c r="R10" s="7">
        <f>IFERROR(汇总表!Q43/汇总表!$C$4,0)</f>
        <v>0</v>
      </c>
      <c r="S10" s="7">
        <f>IFERROR(汇总表!R43/汇总表!$C$4,0)</f>
        <v>0</v>
      </c>
      <c r="T10" s="7">
        <f>IFERROR(汇总表!S43/汇总表!$C$4,0)</f>
        <v>0</v>
      </c>
      <c r="U10" s="7">
        <f>IFERROR(汇总表!T43/汇总表!$C$4,0)</f>
        <v>0</v>
      </c>
      <c r="V10" s="7">
        <f>IFERROR(汇总表!U43/汇总表!$C$4,0)</f>
        <v>0</v>
      </c>
      <c r="W10" s="7">
        <f>IFERROR(汇总表!V43/汇总表!$C$4,0)</f>
        <v>0</v>
      </c>
      <c r="X10" s="7">
        <f>IFERROR(汇总表!W43/汇总表!$C$4,0)</f>
        <v>0</v>
      </c>
      <c r="Y10" s="7">
        <f>IFERROR(汇总表!X43/汇总表!$C$4,0)</f>
        <v>0</v>
      </c>
      <c r="Z10" s="7">
        <f>IFERROR(汇总表!Y43/汇总表!$C$4,0)</f>
        <v>0</v>
      </c>
      <c r="AA10" s="7">
        <f>IFERROR(汇总表!Z43/汇总表!$C$4,0)</f>
        <v>0</v>
      </c>
      <c r="AB10" s="7">
        <f>IFERROR(汇总表!AA43/汇总表!$C$4,0)</f>
        <v>0</v>
      </c>
      <c r="AC10" s="7">
        <f>IFERROR(汇总表!AB43/汇总表!$C$4,0)</f>
        <v>0</v>
      </c>
      <c r="AD10" s="7">
        <f>IFERROR(汇总表!AC43/汇总表!$C$4,0)</f>
        <v>0</v>
      </c>
      <c r="AE10" s="7">
        <f>IFERROR(汇总表!AD43/汇总表!$C$4,0)</f>
        <v>0</v>
      </c>
      <c r="AF10" s="7">
        <f>IFERROR(汇总表!AE43/汇总表!$C$4,0)</f>
        <v>0</v>
      </c>
      <c r="AG10" s="7">
        <f>IFERROR(汇总表!AF43/汇总表!$C$4,0)</f>
        <v>0</v>
      </c>
      <c r="AH10" s="12">
        <f t="shared" si="0"/>
        <v>6.43097643097643</v>
      </c>
      <c r="AI10" s="12">
        <f t="shared" si="1"/>
        <v>0</v>
      </c>
      <c r="AJ10" s="12">
        <f t="shared" si="2"/>
        <v>0</v>
      </c>
      <c r="AK10" s="12">
        <f t="shared" si="3"/>
        <v>0</v>
      </c>
      <c r="AL10" s="12">
        <f t="shared" si="4"/>
        <v>0</v>
      </c>
    </row>
    <row r="11" customHeight="1" spans="1:38">
      <c r="A11" s="7" t="s">
        <v>723</v>
      </c>
      <c r="B11" s="10">
        <f t="shared" si="5"/>
        <v>0</v>
      </c>
      <c r="C11" s="7">
        <f>IFERROR(汇总表!B41/汇总表!$C$4,0)</f>
        <v>0</v>
      </c>
      <c r="D11" s="7">
        <f>IFERROR(汇总表!C41/汇总表!$C$4,0)</f>
        <v>0</v>
      </c>
      <c r="E11" s="7">
        <f>IFERROR(汇总表!D41/汇总表!$C$4,0)</f>
        <v>0</v>
      </c>
      <c r="F11" s="7">
        <f>IFERROR(汇总表!E41/汇总表!$C$4,0)</f>
        <v>0</v>
      </c>
      <c r="G11" s="7">
        <f>IFERROR(汇总表!F41/汇总表!$C$4,0)</f>
        <v>0</v>
      </c>
      <c r="H11" s="7">
        <f>IFERROR(汇总表!G41/汇总表!$C$4,0)</f>
        <v>0</v>
      </c>
      <c r="I11" s="7">
        <f>IFERROR(汇总表!H41/汇总表!$C$4,0)</f>
        <v>0</v>
      </c>
      <c r="J11" s="7">
        <f>IFERROR(汇总表!I41/汇总表!$C$4,0)</f>
        <v>0</v>
      </c>
      <c r="K11" s="7">
        <f>IFERROR(汇总表!J41/汇总表!$C$4,0)</f>
        <v>0</v>
      </c>
      <c r="L11" s="7">
        <f>IFERROR(汇总表!K41/汇总表!$C$4,0)</f>
        <v>0</v>
      </c>
      <c r="M11" s="7">
        <f>IFERROR(汇总表!L41/汇总表!$C$4,0)</f>
        <v>0</v>
      </c>
      <c r="N11" s="7">
        <f>IFERROR(汇总表!M41/汇总表!$C$4,0)</f>
        <v>0</v>
      </c>
      <c r="O11" s="7">
        <f>IFERROR(汇总表!N41/汇总表!$C$4,0)</f>
        <v>0</v>
      </c>
      <c r="P11" s="7">
        <f>IFERROR(汇总表!O41/汇总表!$C$4,0)</f>
        <v>0</v>
      </c>
      <c r="Q11" s="7">
        <f>IFERROR(汇总表!P41/汇总表!$C$4,0)</f>
        <v>0</v>
      </c>
      <c r="R11" s="7">
        <f>IFERROR(汇总表!Q41/汇总表!$C$4,0)</f>
        <v>0</v>
      </c>
      <c r="S11" s="7">
        <f>IFERROR(汇总表!R41/汇总表!$C$4,0)</f>
        <v>0</v>
      </c>
      <c r="T11" s="7">
        <f>IFERROR(汇总表!S41/汇总表!$C$4,0)</f>
        <v>0</v>
      </c>
      <c r="U11" s="7">
        <f>IFERROR(汇总表!T41/汇总表!$C$4,0)</f>
        <v>0</v>
      </c>
      <c r="V11" s="7">
        <f>IFERROR(汇总表!U41/汇总表!$C$4,0)</f>
        <v>0</v>
      </c>
      <c r="W11" s="7">
        <f>IFERROR(汇总表!V41/汇总表!$C$4,0)</f>
        <v>0</v>
      </c>
      <c r="X11" s="7">
        <f>IFERROR(汇总表!W41/汇总表!$C$4,0)</f>
        <v>0</v>
      </c>
      <c r="Y11" s="7">
        <f>IFERROR(汇总表!X41/汇总表!$C$4,0)</f>
        <v>0</v>
      </c>
      <c r="Z11" s="7">
        <f>IFERROR(汇总表!Y41/汇总表!$C$4,0)</f>
        <v>0</v>
      </c>
      <c r="AA11" s="7">
        <f>IFERROR(汇总表!Z41/汇总表!$C$4,0)</f>
        <v>0</v>
      </c>
      <c r="AB11" s="7">
        <f>IFERROR(汇总表!AA41/汇总表!$C$4,0)</f>
        <v>0</v>
      </c>
      <c r="AC11" s="7">
        <f>IFERROR(汇总表!AB41/汇总表!$C$4,0)</f>
        <v>0</v>
      </c>
      <c r="AD11" s="7">
        <f>IFERROR(汇总表!AC41/汇总表!$C$4,0)</f>
        <v>0</v>
      </c>
      <c r="AE11" s="7">
        <f>IFERROR(汇总表!AD41/汇总表!$C$4,0)</f>
        <v>0</v>
      </c>
      <c r="AF11" s="7">
        <f>IFERROR(汇总表!AE41/汇总表!$C$4,0)</f>
        <v>0</v>
      </c>
      <c r="AG11" s="7">
        <f>IFERROR(汇总表!AF41/汇总表!$C$4,0)</f>
        <v>0</v>
      </c>
      <c r="AH11" s="12">
        <f t="shared" si="0"/>
        <v>0</v>
      </c>
      <c r="AI11" s="12">
        <f t="shared" si="1"/>
        <v>0</v>
      </c>
      <c r="AJ11" s="12">
        <f t="shared" si="2"/>
        <v>0</v>
      </c>
      <c r="AK11" s="12">
        <f t="shared" si="3"/>
        <v>0</v>
      </c>
      <c r="AL11" s="12">
        <f t="shared" si="4"/>
        <v>0</v>
      </c>
    </row>
    <row r="12" customHeight="1" spans="1:38">
      <c r="A12" s="7" t="s">
        <v>724</v>
      </c>
      <c r="B12" s="10">
        <f t="shared" si="5"/>
        <v>3.98496240601504</v>
      </c>
      <c r="C12" s="7">
        <f>汇总表!B42/汇总表!$B$3</f>
        <v>3.98496240601504</v>
      </c>
      <c r="D12" s="7">
        <f>汇总表!C42/汇总表!$B$3</f>
        <v>3.98496240601504</v>
      </c>
      <c r="E12" s="7">
        <f>汇总表!D42/汇总表!$B$3</f>
        <v>3.98496240601504</v>
      </c>
      <c r="F12" s="7">
        <f>汇总表!E42/汇总表!$B$3</f>
        <v>3.98496240601504</v>
      </c>
      <c r="G12" s="7">
        <f>汇总表!F42/汇总表!$B$3</f>
        <v>3.98496240601504</v>
      </c>
      <c r="H12" s="7">
        <f>汇总表!G42/汇总表!$B$3</f>
        <v>3.98496240601504</v>
      </c>
      <c r="I12" s="7">
        <f>汇总表!H42/汇总表!$B$3</f>
        <v>3.98496240601504</v>
      </c>
      <c r="J12" s="7">
        <f>汇总表!I42/汇总表!$B$3</f>
        <v>3.98496240601504</v>
      </c>
      <c r="K12" s="7">
        <f>汇总表!J42/汇总表!$B$3</f>
        <v>3.98496240601504</v>
      </c>
      <c r="L12" s="7">
        <f>汇总表!K42/汇总表!$B$3</f>
        <v>3.98496240601504</v>
      </c>
      <c r="M12" s="7">
        <f>汇总表!L42/汇总表!$B$3</f>
        <v>3.98496240601504</v>
      </c>
      <c r="N12" s="7">
        <f>汇总表!M42/汇总表!$B$3</f>
        <v>3.98496240601504</v>
      </c>
      <c r="O12" s="7">
        <f>汇总表!N42/汇总表!$B$3</f>
        <v>3.98496240601504</v>
      </c>
      <c r="P12" s="7">
        <f>汇总表!O42/汇总表!$B$3</f>
        <v>3.98496240601504</v>
      </c>
      <c r="Q12" s="7">
        <f>汇总表!P42/汇总表!$B$3</f>
        <v>3.98496240601504</v>
      </c>
      <c r="R12" s="7">
        <f>汇总表!Q42/汇总表!$B$3</f>
        <v>3.98496240601504</v>
      </c>
      <c r="S12" s="7">
        <f>汇总表!R42/汇总表!$B$3</f>
        <v>3.98496240601504</v>
      </c>
      <c r="T12" s="7">
        <f>汇总表!S42/汇总表!$B$3</f>
        <v>3.98496240601504</v>
      </c>
      <c r="U12" s="7">
        <f>汇总表!T42/汇总表!$B$3</f>
        <v>3.98496240601504</v>
      </c>
      <c r="V12" s="7">
        <f>汇总表!U42/汇总表!$B$3</f>
        <v>3.98496240601504</v>
      </c>
      <c r="W12" s="7">
        <f>汇总表!V42/汇总表!$B$3</f>
        <v>3.98496240601504</v>
      </c>
      <c r="X12" s="7">
        <f>汇总表!W42/汇总表!$B$3</f>
        <v>3.98496240601504</v>
      </c>
      <c r="Y12" s="7">
        <f>汇总表!X42/汇总表!$B$3</f>
        <v>3.98496240601504</v>
      </c>
      <c r="Z12" s="7">
        <f>汇总表!Y42/汇总表!$B$3</f>
        <v>3.98496240601504</v>
      </c>
      <c r="AA12" s="7">
        <f>汇总表!Z42/汇总表!$B$3</f>
        <v>3.98496240601504</v>
      </c>
      <c r="AB12" s="7">
        <f>汇总表!AA42/汇总表!$B$3</f>
        <v>3.98496240601504</v>
      </c>
      <c r="AC12" s="7">
        <f>汇总表!AB42/汇总表!$B$3</f>
        <v>3.98496240601504</v>
      </c>
      <c r="AD12" s="7">
        <f>汇总表!AC42/汇总表!$B$3</f>
        <v>3.98496240601504</v>
      </c>
      <c r="AE12" s="7">
        <f>汇总表!AD42/汇总表!$B$3</f>
        <v>3.98496240601504</v>
      </c>
      <c r="AF12" s="7">
        <f>汇总表!AE42/汇总表!$B$3</f>
        <v>3.98496240601504</v>
      </c>
      <c r="AG12" s="7">
        <f>汇总表!AF42/汇总表!$B$3</f>
        <v>0</v>
      </c>
      <c r="AH12" s="12">
        <f t="shared" si="0"/>
        <v>3.98496240601504</v>
      </c>
      <c r="AI12" s="12">
        <f t="shared" si="1"/>
        <v>3.98496240601504</v>
      </c>
      <c r="AJ12" s="12">
        <f t="shared" si="2"/>
        <v>3.98496240601504</v>
      </c>
      <c r="AK12" s="12">
        <f t="shared" si="3"/>
        <v>3.98496240601504</v>
      </c>
      <c r="AL12" s="12">
        <f t="shared" si="4"/>
        <v>3.4156820622986</v>
      </c>
    </row>
    <row r="13" customHeight="1" spans="1:38">
      <c r="A13" s="7" t="s">
        <v>297</v>
      </c>
      <c r="B13" s="10">
        <f t="shared" si="5"/>
        <v>0</v>
      </c>
      <c r="C13" s="7">
        <f>汇总表!B14/汇总表!$B$3</f>
        <v>0</v>
      </c>
      <c r="D13" s="7">
        <f>汇总表!C14/汇总表!$B$3</f>
        <v>0</v>
      </c>
      <c r="E13" s="7">
        <f>汇总表!D14/汇总表!$B$3</f>
        <v>0</v>
      </c>
      <c r="F13" s="7">
        <f>汇总表!E14/汇总表!$B$3</f>
        <v>0</v>
      </c>
      <c r="G13" s="7">
        <f>汇总表!F14/汇总表!$B$3</f>
        <v>0</v>
      </c>
      <c r="H13" s="7">
        <f>汇总表!G14/汇总表!$B$3</f>
        <v>0</v>
      </c>
      <c r="I13" s="7">
        <f>汇总表!H14/汇总表!$B$3</f>
        <v>0</v>
      </c>
      <c r="J13" s="7">
        <f>汇总表!I14/汇总表!$B$3</f>
        <v>0</v>
      </c>
      <c r="K13" s="7">
        <f>汇总表!J14/汇总表!$B$3</f>
        <v>0</v>
      </c>
      <c r="L13" s="7">
        <f>汇总表!K14/汇总表!$B$3</f>
        <v>0</v>
      </c>
      <c r="M13" s="7">
        <f>汇总表!L14/汇总表!$B$3</f>
        <v>0</v>
      </c>
      <c r="N13" s="7">
        <f>汇总表!M14/汇总表!$B$3</f>
        <v>0</v>
      </c>
      <c r="O13" s="7">
        <f>汇总表!N14/汇总表!$B$3</f>
        <v>0</v>
      </c>
      <c r="P13" s="7">
        <f>汇总表!O14/汇总表!$B$3</f>
        <v>0</v>
      </c>
      <c r="Q13" s="7">
        <f>汇总表!P14/汇总表!$B$3</f>
        <v>0</v>
      </c>
      <c r="R13" s="7">
        <f>汇总表!Q14/汇总表!$B$3</f>
        <v>0</v>
      </c>
      <c r="S13" s="7">
        <f>汇总表!R14/汇总表!$B$3</f>
        <v>0</v>
      </c>
      <c r="T13" s="7">
        <f>汇总表!S14/汇总表!$B$3</f>
        <v>0</v>
      </c>
      <c r="U13" s="7">
        <f>汇总表!T14/汇总表!$B$3</f>
        <v>0</v>
      </c>
      <c r="V13" s="7">
        <f>汇总表!U14/汇总表!$B$3</f>
        <v>0</v>
      </c>
      <c r="W13" s="7">
        <f>汇总表!V14/汇总表!$B$3</f>
        <v>0</v>
      </c>
      <c r="X13" s="7">
        <f>汇总表!W14/汇总表!$B$3</f>
        <v>0</v>
      </c>
      <c r="Y13" s="7">
        <f>汇总表!X14/汇总表!$B$3</f>
        <v>0</v>
      </c>
      <c r="Z13" s="7">
        <f>汇总表!Y14/汇总表!$B$3</f>
        <v>0</v>
      </c>
      <c r="AA13" s="7">
        <f>汇总表!Z14/汇总表!$B$3</f>
        <v>0</v>
      </c>
      <c r="AB13" s="7">
        <f>汇总表!AA14/汇总表!$B$3</f>
        <v>0</v>
      </c>
      <c r="AC13" s="7">
        <f>汇总表!AB14/汇总表!$B$3</f>
        <v>0</v>
      </c>
      <c r="AD13" s="7">
        <f>汇总表!AC14/汇总表!$B$3</f>
        <v>0</v>
      </c>
      <c r="AE13" s="7">
        <f>汇总表!AD14/汇总表!$B$3</f>
        <v>0</v>
      </c>
      <c r="AF13" s="7">
        <f>汇总表!AE14/汇总表!$B$3</f>
        <v>0</v>
      </c>
      <c r="AG13" s="7">
        <f>汇总表!AF14/汇总表!$B$3</f>
        <v>0</v>
      </c>
      <c r="AH13" s="12">
        <f t="shared" si="0"/>
        <v>0</v>
      </c>
      <c r="AI13" s="12">
        <f t="shared" si="1"/>
        <v>0</v>
      </c>
      <c r="AJ13" s="12">
        <f t="shared" si="2"/>
        <v>0</v>
      </c>
      <c r="AK13" s="12">
        <f t="shared" si="3"/>
        <v>0</v>
      </c>
      <c r="AL13" s="12">
        <f t="shared" si="4"/>
        <v>0</v>
      </c>
    </row>
    <row r="14" customHeight="1" spans="1:38">
      <c r="A14" s="7" t="s">
        <v>62</v>
      </c>
      <c r="B14" s="10">
        <f t="shared" si="5"/>
        <v>0.567919799498747</v>
      </c>
      <c r="C14" s="7">
        <f>汇总表!B44/汇总表!$B$3</f>
        <v>17.0375939849624</v>
      </c>
      <c r="D14" s="7">
        <f>汇总表!C44/汇总表!$B$3</f>
        <v>0</v>
      </c>
      <c r="E14" s="7">
        <f>汇总表!D44/汇总表!$B$3</f>
        <v>0</v>
      </c>
      <c r="F14" s="7">
        <f>汇总表!E44/汇总表!$B$3</f>
        <v>0</v>
      </c>
      <c r="G14" s="7">
        <f>汇总表!F44/汇总表!$B$3</f>
        <v>0</v>
      </c>
      <c r="H14" s="7">
        <f>汇总表!G44/汇总表!$B$3</f>
        <v>0</v>
      </c>
      <c r="I14" s="7">
        <f>汇总表!H44/汇总表!$B$3</f>
        <v>0</v>
      </c>
      <c r="J14" s="7">
        <f>汇总表!I44/汇总表!$B$3</f>
        <v>0</v>
      </c>
      <c r="K14" s="7">
        <f>汇总表!J44/汇总表!$B$3</f>
        <v>0</v>
      </c>
      <c r="L14" s="7">
        <f>汇总表!K44/汇总表!$B$3</f>
        <v>0</v>
      </c>
      <c r="M14" s="7">
        <f>汇总表!L44/汇总表!$B$3</f>
        <v>0</v>
      </c>
      <c r="N14" s="7">
        <f>汇总表!M44/汇总表!$B$3</f>
        <v>0</v>
      </c>
      <c r="O14" s="7">
        <f>汇总表!N44/汇总表!$B$3</f>
        <v>0</v>
      </c>
      <c r="P14" s="7">
        <f>汇总表!O44/汇总表!$B$3</f>
        <v>0</v>
      </c>
      <c r="Q14" s="7">
        <f>汇总表!P44/汇总表!$B$3</f>
        <v>0</v>
      </c>
      <c r="R14" s="7">
        <f>汇总表!Q44/汇总表!$B$3</f>
        <v>0</v>
      </c>
      <c r="S14" s="7">
        <f>汇总表!R44/汇总表!$B$3</f>
        <v>0</v>
      </c>
      <c r="T14" s="7">
        <f>汇总表!S44/汇总表!$B$3</f>
        <v>0</v>
      </c>
      <c r="U14" s="7">
        <f>汇总表!T44/汇总表!$B$3</f>
        <v>0</v>
      </c>
      <c r="V14" s="7">
        <f>汇总表!U44/汇总表!$B$3</f>
        <v>0</v>
      </c>
      <c r="W14" s="7">
        <f>汇总表!V44/汇总表!$B$3</f>
        <v>0</v>
      </c>
      <c r="X14" s="7">
        <f>汇总表!W44/汇总表!$B$3</f>
        <v>0</v>
      </c>
      <c r="Y14" s="7">
        <f>汇总表!X44/汇总表!$B$3</f>
        <v>0</v>
      </c>
      <c r="Z14" s="7">
        <f>汇总表!Y44/汇总表!$B$3</f>
        <v>0</v>
      </c>
      <c r="AA14" s="7">
        <f>汇总表!Z44/汇总表!$B$3</f>
        <v>0</v>
      </c>
      <c r="AB14" s="7">
        <f>汇总表!AA44/汇总表!$B$3</f>
        <v>0</v>
      </c>
      <c r="AC14" s="7">
        <f>汇总表!AB44/汇总表!$B$3</f>
        <v>0</v>
      </c>
      <c r="AD14" s="7">
        <f>汇总表!AC44/汇总表!$B$3</f>
        <v>0</v>
      </c>
      <c r="AE14" s="7">
        <f>汇总表!AD44/汇总表!$B$3</f>
        <v>0</v>
      </c>
      <c r="AF14" s="7">
        <f>汇总表!AE44/汇总表!$B$3</f>
        <v>0</v>
      </c>
      <c r="AG14" s="7">
        <f>汇总表!AF44/汇总表!$B$3</f>
        <v>0</v>
      </c>
      <c r="AH14" s="12">
        <f t="shared" si="0"/>
        <v>5.67919799498747</v>
      </c>
      <c r="AI14" s="12">
        <f t="shared" si="1"/>
        <v>0</v>
      </c>
      <c r="AJ14" s="12">
        <f t="shared" si="2"/>
        <v>0</v>
      </c>
      <c r="AK14" s="12">
        <f t="shared" si="3"/>
        <v>0</v>
      </c>
      <c r="AL14" s="12">
        <f t="shared" si="4"/>
        <v>0</v>
      </c>
    </row>
    <row r="15" customHeight="1" spans="1:38">
      <c r="A15" s="7" t="s">
        <v>75</v>
      </c>
      <c r="B15" s="10">
        <f t="shared" si="5"/>
        <v>0.140100250626566</v>
      </c>
      <c r="C15" s="7">
        <f>汇总表!B45/汇总表!$B$3</f>
        <v>0.0676691729323308</v>
      </c>
      <c r="D15" s="7">
        <f>汇总表!C45/汇总表!$B$3</f>
        <v>0.0225563909774436</v>
      </c>
      <c r="E15" s="7">
        <f>汇总表!D45/汇总表!$B$3</f>
        <v>0.176691729323308</v>
      </c>
      <c r="F15" s="7">
        <f>汇总表!E45/汇总表!$B$3</f>
        <v>0.0338345864661654</v>
      </c>
      <c r="G15" s="7">
        <f>汇总表!F45/汇总表!$B$3</f>
        <v>0.12781954887218</v>
      </c>
      <c r="H15" s="7">
        <f>汇总表!G45/汇总表!$B$3</f>
        <v>0.135338345864662</v>
      </c>
      <c r="I15" s="7">
        <f>汇总表!H45/汇总表!$B$3</f>
        <v>0.0413533834586466</v>
      </c>
      <c r="J15" s="7">
        <f>汇总表!I45/汇总表!$B$3</f>
        <v>0.233082706766917</v>
      </c>
      <c r="K15" s="7">
        <f>汇总表!J45/汇总表!$B$3</f>
        <v>0.421052631578947</v>
      </c>
      <c r="L15" s="7">
        <f>汇总表!K45/汇总表!$B$3</f>
        <v>0.131578947368421</v>
      </c>
      <c r="M15" s="7">
        <f>汇总表!L45/汇总表!$B$3</f>
        <v>0.184210526315789</v>
      </c>
      <c r="N15" s="7">
        <f>汇总表!M45/汇总表!$B$3</f>
        <v>0.150375939849624</v>
      </c>
      <c r="O15" s="7">
        <f>汇总表!N45/汇总表!$B$3</f>
        <v>0.131578947368421</v>
      </c>
      <c r="P15" s="7">
        <f>汇总表!O45/汇总表!$B$3</f>
        <v>0.109022556390977</v>
      </c>
      <c r="Q15" s="7">
        <f>汇总表!P45/汇总表!$B$3</f>
        <v>0.157894736842105</v>
      </c>
      <c r="R15" s="7">
        <f>汇总表!Q45/汇总表!$B$3</f>
        <v>0.0526315789473684</v>
      </c>
      <c r="S15" s="7">
        <f>汇总表!R45/汇总表!$B$3</f>
        <v>0.139097744360902</v>
      </c>
      <c r="T15" s="7">
        <f>汇总表!S45/汇总表!$B$3</f>
        <v>0.12406015037594</v>
      </c>
      <c r="U15" s="7">
        <f>汇总表!T45/汇总表!$B$3</f>
        <v>0.157894736842105</v>
      </c>
      <c r="V15" s="7">
        <f>汇总表!U45/汇总表!$B$3</f>
        <v>0.0864661654135338</v>
      </c>
      <c r="W15" s="7">
        <f>汇总表!V45/汇总表!$B$3</f>
        <v>0.105263157894737</v>
      </c>
      <c r="X15" s="7">
        <f>汇总表!W45/汇总表!$B$3</f>
        <v>0.0338345864661654</v>
      </c>
      <c r="Y15" s="7">
        <f>汇总表!X45/汇总表!$B$3</f>
        <v>0.0676691729323308</v>
      </c>
      <c r="Z15" s="7">
        <f>汇总表!Y45/汇总表!$B$3</f>
        <v>0.116541353383459</v>
      </c>
      <c r="AA15" s="7">
        <f>汇总表!Z45/汇总表!$B$3</f>
        <v>0.12781954887218</v>
      </c>
      <c r="AB15" s="7">
        <f>汇总表!AA45/汇总表!$B$3</f>
        <v>0.545112781954887</v>
      </c>
      <c r="AC15" s="7">
        <f>汇总表!AB45/汇总表!$B$3</f>
        <v>0.120300751879699</v>
      </c>
      <c r="AD15" s="7">
        <f>汇总表!AC45/汇总表!$B$3</f>
        <v>0.139097744360902</v>
      </c>
      <c r="AE15" s="7">
        <f>汇总表!AD45/汇总表!$B$3</f>
        <v>0.0488721804511278</v>
      </c>
      <c r="AF15" s="7">
        <f>汇总表!AE45/汇总表!$B$3</f>
        <v>0.112781954887218</v>
      </c>
      <c r="AG15" s="7">
        <f>汇总表!AF45/汇总表!$B$3</f>
        <v>0.101503759398496</v>
      </c>
      <c r="AH15" s="12">
        <f t="shared" si="0"/>
        <v>0.0889724310776942</v>
      </c>
      <c r="AI15" s="12">
        <f t="shared" si="1"/>
        <v>0.160580021482277</v>
      </c>
      <c r="AJ15" s="12">
        <f t="shared" si="2"/>
        <v>0.132116004296455</v>
      </c>
      <c r="AK15" s="12">
        <f t="shared" si="3"/>
        <v>0.0988184747583244</v>
      </c>
      <c r="AL15" s="12">
        <f t="shared" si="4"/>
        <v>0.17078410311493</v>
      </c>
    </row>
    <row r="16" customHeight="1" spans="1:38">
      <c r="A16" s="7" t="s">
        <v>725</v>
      </c>
      <c r="B16" s="10">
        <f t="shared" si="5"/>
        <v>11.5087719298246</v>
      </c>
      <c r="C16" s="7">
        <f>汇总表!B46/汇总表!$B$3</f>
        <v>12.3308270676692</v>
      </c>
      <c r="D16" s="7">
        <f>汇总表!C46/汇总表!$B$3</f>
        <v>12.3308270676692</v>
      </c>
      <c r="E16" s="7">
        <f>汇总表!D46/汇总表!$B$3</f>
        <v>12.3308270676692</v>
      </c>
      <c r="F16" s="7">
        <f>汇总表!E46/汇总表!$B$3</f>
        <v>12.3308270676692</v>
      </c>
      <c r="G16" s="7">
        <f>汇总表!F46/汇总表!$B$3</f>
        <v>12.3308270676692</v>
      </c>
      <c r="H16" s="7">
        <f>汇总表!G46/汇总表!$B$3</f>
        <v>12.3308270676692</v>
      </c>
      <c r="I16" s="7">
        <f>汇总表!H46/汇总表!$B$3</f>
        <v>12.3308270676692</v>
      </c>
      <c r="J16" s="7">
        <f>汇总表!I46/汇总表!$B$3</f>
        <v>12.3308270676692</v>
      </c>
      <c r="K16" s="7">
        <f>汇总表!J46/汇总表!$B$3</f>
        <v>12.3308270676692</v>
      </c>
      <c r="L16" s="7">
        <f>汇总表!K46/汇总表!$B$3</f>
        <v>12.3308270676692</v>
      </c>
      <c r="M16" s="7">
        <f>汇总表!L46/汇总表!$B$3</f>
        <v>12.3308270676692</v>
      </c>
      <c r="N16" s="7">
        <f>汇总表!M46/汇总表!$B$3</f>
        <v>12.3308270676692</v>
      </c>
      <c r="O16" s="7">
        <f>汇总表!N46/汇总表!$B$3</f>
        <v>12.3308270676692</v>
      </c>
      <c r="P16" s="7">
        <f>汇总表!O46/汇总表!$B$3</f>
        <v>12.3308270676692</v>
      </c>
      <c r="Q16" s="7">
        <f>汇总表!P46/汇总表!$B$3</f>
        <v>12.3308270676692</v>
      </c>
      <c r="R16" s="7">
        <f>汇总表!Q46/汇总表!$B$3</f>
        <v>12.3308270676692</v>
      </c>
      <c r="S16" s="7">
        <f>汇总表!R46/汇总表!$B$3</f>
        <v>12.3308270676692</v>
      </c>
      <c r="T16" s="7">
        <f>汇总表!S46/汇总表!$B$3</f>
        <v>12.3308270676692</v>
      </c>
      <c r="U16" s="7">
        <f>汇总表!T46/汇总表!$B$3</f>
        <v>12.3308270676692</v>
      </c>
      <c r="V16" s="7">
        <f>汇总表!U46/汇总表!$B$3</f>
        <v>12.3308270676692</v>
      </c>
      <c r="W16" s="7">
        <f>汇总表!V46/汇总表!$B$3</f>
        <v>12.3308270676692</v>
      </c>
      <c r="X16" s="7">
        <f>汇总表!W46/汇总表!$B$3</f>
        <v>12.3308270676692</v>
      </c>
      <c r="Y16" s="7">
        <f>汇总表!X46/汇总表!$B$3</f>
        <v>12.3308270676692</v>
      </c>
      <c r="Z16" s="7">
        <f>汇总表!Y46/汇总表!$B$3</f>
        <v>12.3308270676692</v>
      </c>
      <c r="AA16" s="7">
        <f>汇总表!Z46/汇总表!$B$3</f>
        <v>12.3308270676692</v>
      </c>
      <c r="AB16" s="7">
        <f>汇总表!AA46/汇总表!$B$3</f>
        <v>12.3308270676692</v>
      </c>
      <c r="AC16" s="7">
        <f>汇总表!AB46/汇总表!$B$3</f>
        <v>12.3308270676692</v>
      </c>
      <c r="AD16" s="7">
        <f>汇总表!AC46/汇总表!$B$3</f>
        <v>12.3308270676692</v>
      </c>
      <c r="AE16" s="7">
        <f>汇总表!AD46/汇总表!$B$3</f>
        <v>0</v>
      </c>
      <c r="AF16" s="7">
        <f>汇总表!AE46/汇总表!$B$3</f>
        <v>0</v>
      </c>
      <c r="AG16" s="7">
        <f>汇总表!AF46/汇总表!$B$3</f>
        <v>0</v>
      </c>
      <c r="AH16" s="12">
        <f t="shared" si="0"/>
        <v>12.3308270676692</v>
      </c>
      <c r="AI16" s="12">
        <f t="shared" si="1"/>
        <v>12.3308270676692</v>
      </c>
      <c r="AJ16" s="12">
        <f t="shared" si="2"/>
        <v>12.3308270676692</v>
      </c>
      <c r="AK16" s="12">
        <f t="shared" si="3"/>
        <v>12.3308270676692</v>
      </c>
      <c r="AL16" s="12">
        <f t="shared" si="4"/>
        <v>7.04618689581096</v>
      </c>
    </row>
    <row r="17" customHeight="1" spans="1:38">
      <c r="A17" s="7" t="s">
        <v>726</v>
      </c>
      <c r="B17" s="10">
        <f t="shared" si="5"/>
        <v>6.17543859649123</v>
      </c>
      <c r="C17" s="7">
        <f>汇总表!B47/汇总表!$B$3</f>
        <v>6.61654135338346</v>
      </c>
      <c r="D17" s="7">
        <f>汇总表!C47/汇总表!$B$3</f>
        <v>6.61654135338346</v>
      </c>
      <c r="E17" s="7">
        <f>汇总表!D47/汇总表!$B$3</f>
        <v>6.61654135338346</v>
      </c>
      <c r="F17" s="7">
        <f>汇总表!E47/汇总表!$B$3</f>
        <v>6.61654135338346</v>
      </c>
      <c r="G17" s="7">
        <f>汇总表!F47/汇总表!$B$3</f>
        <v>6.61654135338346</v>
      </c>
      <c r="H17" s="7">
        <f>汇总表!G47/汇总表!$B$3</f>
        <v>6.61654135338346</v>
      </c>
      <c r="I17" s="7">
        <f>汇总表!H47/汇总表!$B$3</f>
        <v>6.61654135338346</v>
      </c>
      <c r="J17" s="7">
        <f>汇总表!I47/汇总表!$B$3</f>
        <v>6.61654135338346</v>
      </c>
      <c r="K17" s="7">
        <f>汇总表!J47/汇总表!$B$3</f>
        <v>6.61654135338346</v>
      </c>
      <c r="L17" s="7">
        <f>汇总表!K47/汇总表!$B$3</f>
        <v>6.61654135338346</v>
      </c>
      <c r="M17" s="7">
        <f>汇总表!L47/汇总表!$B$3</f>
        <v>6.61654135338346</v>
      </c>
      <c r="N17" s="7">
        <f>汇总表!M47/汇总表!$B$3</f>
        <v>6.61654135338346</v>
      </c>
      <c r="O17" s="7">
        <f>汇总表!N47/汇总表!$B$3</f>
        <v>6.61654135338346</v>
      </c>
      <c r="P17" s="7">
        <f>汇总表!O47/汇总表!$B$3</f>
        <v>6.61654135338346</v>
      </c>
      <c r="Q17" s="7">
        <f>汇总表!P47/汇总表!$B$3</f>
        <v>6.61654135338346</v>
      </c>
      <c r="R17" s="7">
        <f>汇总表!Q47/汇总表!$B$3</f>
        <v>6.61654135338346</v>
      </c>
      <c r="S17" s="7">
        <f>汇总表!R47/汇总表!$B$3</f>
        <v>6.61654135338346</v>
      </c>
      <c r="T17" s="7">
        <f>汇总表!S47/汇总表!$B$3</f>
        <v>6.61654135338346</v>
      </c>
      <c r="U17" s="7">
        <f>汇总表!T47/汇总表!$B$3</f>
        <v>6.61654135338346</v>
      </c>
      <c r="V17" s="7">
        <f>汇总表!U47/汇总表!$B$3</f>
        <v>6.61654135338346</v>
      </c>
      <c r="W17" s="7">
        <f>汇总表!V47/汇总表!$B$3</f>
        <v>6.61654135338346</v>
      </c>
      <c r="X17" s="7">
        <f>汇总表!W47/汇总表!$B$3</f>
        <v>6.61654135338346</v>
      </c>
      <c r="Y17" s="7">
        <f>汇总表!X47/汇总表!$B$3</f>
        <v>6.61654135338346</v>
      </c>
      <c r="Z17" s="7">
        <f>汇总表!Y47/汇总表!$B$3</f>
        <v>6.61654135338346</v>
      </c>
      <c r="AA17" s="7">
        <f>汇总表!Z47/汇总表!$B$3</f>
        <v>6.61654135338346</v>
      </c>
      <c r="AB17" s="7">
        <f>汇总表!AA47/汇总表!$B$3</f>
        <v>6.61654135338346</v>
      </c>
      <c r="AC17" s="7">
        <f>汇总表!AB47/汇总表!$B$3</f>
        <v>6.61654135338346</v>
      </c>
      <c r="AD17" s="7">
        <f>汇总表!AC47/汇总表!$B$3</f>
        <v>6.61654135338346</v>
      </c>
      <c r="AE17" s="7">
        <f>汇总表!AD47/汇总表!$B$3</f>
        <v>0</v>
      </c>
      <c r="AF17" s="7">
        <f>汇总表!AE47/汇总表!$B$3</f>
        <v>0</v>
      </c>
      <c r="AG17" s="7">
        <f>汇总表!AF47/汇总表!$B$3</f>
        <v>0</v>
      </c>
      <c r="AH17" s="12">
        <f t="shared" si="0"/>
        <v>6.61654135338346</v>
      </c>
      <c r="AI17" s="12">
        <f t="shared" si="1"/>
        <v>6.61654135338346</v>
      </c>
      <c r="AJ17" s="12">
        <f t="shared" si="2"/>
        <v>6.61654135338346</v>
      </c>
      <c r="AK17" s="12">
        <f t="shared" si="3"/>
        <v>6.61654135338346</v>
      </c>
      <c r="AL17" s="12">
        <f t="shared" si="4"/>
        <v>3.78088077336198</v>
      </c>
    </row>
    <row r="18" customHeight="1" spans="1:38">
      <c r="A18" s="7" t="s">
        <v>727</v>
      </c>
      <c r="B18" s="10">
        <f t="shared" si="5"/>
        <v>4.35087719298246</v>
      </c>
      <c r="C18" s="7">
        <f>汇总表!B48/汇总表!$B$3</f>
        <v>4.21052631578947</v>
      </c>
      <c r="D18" s="7">
        <f>汇总表!C48/汇总表!$B$3</f>
        <v>4.21052631578947</v>
      </c>
      <c r="E18" s="7">
        <f>汇总表!D48/汇总表!$B$3</f>
        <v>4.21052631578947</v>
      </c>
      <c r="F18" s="7">
        <f>汇总表!E48/汇总表!$B$3</f>
        <v>4.21052631578947</v>
      </c>
      <c r="G18" s="7">
        <f>汇总表!F48/汇总表!$B$3</f>
        <v>4.21052631578947</v>
      </c>
      <c r="H18" s="7">
        <f>汇总表!G48/汇总表!$B$3</f>
        <v>4.21052631578947</v>
      </c>
      <c r="I18" s="7">
        <f>汇总表!H48/汇总表!$B$3</f>
        <v>4.21052631578947</v>
      </c>
      <c r="J18" s="7">
        <f>汇总表!I48/汇总表!$B$3</f>
        <v>4.21052631578947</v>
      </c>
      <c r="K18" s="7">
        <f>汇总表!J48/汇总表!$B$3</f>
        <v>4.21052631578947</v>
      </c>
      <c r="L18" s="7">
        <f>汇总表!K48/汇总表!$B$3</f>
        <v>4.21052631578947</v>
      </c>
      <c r="M18" s="7">
        <f>汇总表!L48/汇总表!$B$3</f>
        <v>4.21052631578947</v>
      </c>
      <c r="N18" s="7">
        <f>汇总表!M48/汇总表!$B$3</f>
        <v>4.21052631578947</v>
      </c>
      <c r="O18" s="7">
        <f>汇总表!N48/汇总表!$B$3</f>
        <v>4.21052631578947</v>
      </c>
      <c r="P18" s="7">
        <f>汇总表!O48/汇总表!$B$3</f>
        <v>4.21052631578947</v>
      </c>
      <c r="Q18" s="7">
        <f>汇总表!P48/汇总表!$B$3</f>
        <v>4.21052631578947</v>
      </c>
      <c r="R18" s="7">
        <f>汇总表!Q48/汇总表!$B$3</f>
        <v>4.21052631578947</v>
      </c>
      <c r="S18" s="7">
        <f>汇总表!R48/汇总表!$B$3</f>
        <v>4.21052631578947</v>
      </c>
      <c r="T18" s="7">
        <f>汇总表!S48/汇总表!$B$3</f>
        <v>4.21052631578947</v>
      </c>
      <c r="U18" s="7">
        <f>汇总表!T48/汇总表!$B$3</f>
        <v>4.21052631578947</v>
      </c>
      <c r="V18" s="7">
        <f>汇总表!U48/汇总表!$B$3</f>
        <v>4.21052631578947</v>
      </c>
      <c r="W18" s="7">
        <f>汇总表!V48/汇总表!$B$3</f>
        <v>4.21052631578947</v>
      </c>
      <c r="X18" s="7">
        <f>汇总表!W48/汇总表!$B$3</f>
        <v>4.21052631578947</v>
      </c>
      <c r="Y18" s="7">
        <f>汇总表!X48/汇总表!$B$3</f>
        <v>4.21052631578947</v>
      </c>
      <c r="Z18" s="7">
        <f>汇总表!Y48/汇总表!$B$3</f>
        <v>4.21052631578947</v>
      </c>
      <c r="AA18" s="7">
        <f>汇总表!Z48/汇总表!$B$3</f>
        <v>4.21052631578947</v>
      </c>
      <c r="AB18" s="7">
        <f>汇总表!AA48/汇总表!$B$3</f>
        <v>4.21052631578947</v>
      </c>
      <c r="AC18" s="7">
        <f>汇总表!AB48/汇总表!$B$3</f>
        <v>4.21052631578947</v>
      </c>
      <c r="AD18" s="7">
        <f>汇总表!AC48/汇总表!$B$3</f>
        <v>4.21052631578947</v>
      </c>
      <c r="AE18" s="7">
        <f>汇总表!AD48/汇总表!$B$3</f>
        <v>4.21052631578947</v>
      </c>
      <c r="AF18" s="7">
        <f>汇总表!AE48/汇总表!$B$3</f>
        <v>4.21052631578947</v>
      </c>
      <c r="AG18" s="7">
        <f>汇总表!AF48/汇总表!$B$3</f>
        <v>4.21052631578947</v>
      </c>
      <c r="AH18" s="12">
        <f t="shared" si="0"/>
        <v>4.21052631578947</v>
      </c>
      <c r="AI18" s="12">
        <f t="shared" si="1"/>
        <v>4.21052631578947</v>
      </c>
      <c r="AJ18" s="12">
        <f t="shared" si="2"/>
        <v>4.21052631578947</v>
      </c>
      <c r="AK18" s="12">
        <f t="shared" si="3"/>
        <v>4.21052631578947</v>
      </c>
      <c r="AL18" s="12">
        <f t="shared" si="4"/>
        <v>4.21052631578947</v>
      </c>
    </row>
    <row r="19" s="1" customFormat="1" customHeight="1" spans="1:38">
      <c r="A19" s="13" t="s">
        <v>673</v>
      </c>
      <c r="B19" s="10">
        <f t="shared" si="5"/>
        <v>48.5684210526315</v>
      </c>
      <c r="C19" s="13">
        <f>汇总表!B23/汇总表!$B$3</f>
        <v>47.0016977928693</v>
      </c>
      <c r="D19" s="13">
        <f>汇总表!C23/汇总表!$B$3</f>
        <v>47.0016977928693</v>
      </c>
      <c r="E19" s="13">
        <f>汇总表!D23/汇总表!$B$3</f>
        <v>47.0016977928693</v>
      </c>
      <c r="F19" s="13">
        <f>汇总表!E23/汇总表!$B$3</f>
        <v>47.0016977928693</v>
      </c>
      <c r="G19" s="13">
        <f>汇总表!F23/汇总表!$B$3</f>
        <v>47.0016977928693</v>
      </c>
      <c r="H19" s="13">
        <f>汇总表!G23/汇总表!$B$3</f>
        <v>47.0016977928693</v>
      </c>
      <c r="I19" s="13">
        <f>汇总表!H23/汇总表!$B$3</f>
        <v>47.0016977928693</v>
      </c>
      <c r="J19" s="13">
        <f>汇总表!I23/汇总表!$B$3</f>
        <v>47.0016977928693</v>
      </c>
      <c r="K19" s="13">
        <f>汇总表!J23/汇总表!$B$3</f>
        <v>47.0016977928693</v>
      </c>
      <c r="L19" s="13">
        <f>汇总表!K23/汇总表!$B$3</f>
        <v>47.0016977928693</v>
      </c>
      <c r="M19" s="13">
        <f>汇总表!L23/汇总表!$B$3</f>
        <v>47.0016977928693</v>
      </c>
      <c r="N19" s="13">
        <f>汇总表!M23/汇总表!$B$3</f>
        <v>47.0016977928693</v>
      </c>
      <c r="O19" s="13">
        <f>汇总表!N23/汇总表!$B$3</f>
        <v>47.0016977928693</v>
      </c>
      <c r="P19" s="13">
        <f>汇总表!O23/汇总表!$B$3</f>
        <v>47.0016977928693</v>
      </c>
      <c r="Q19" s="13">
        <f>汇总表!P23/汇总表!$B$3</f>
        <v>47.0016977928693</v>
      </c>
      <c r="R19" s="13">
        <f>汇总表!Q23/汇总表!$B$3</f>
        <v>47.0016977928693</v>
      </c>
      <c r="S19" s="13">
        <f>汇总表!R23/汇总表!$B$3</f>
        <v>47.0016977928693</v>
      </c>
      <c r="T19" s="13">
        <f>汇总表!S23/汇总表!$B$3</f>
        <v>47.0016977928693</v>
      </c>
      <c r="U19" s="13">
        <f>汇总表!T23/汇总表!$B$3</f>
        <v>47.0016977928693</v>
      </c>
      <c r="V19" s="13">
        <f>汇总表!U23/汇总表!$B$3</f>
        <v>47.0016977928693</v>
      </c>
      <c r="W19" s="13">
        <f>汇总表!V23/汇总表!$B$3</f>
        <v>47.0016977928693</v>
      </c>
      <c r="X19" s="13">
        <f>汇总表!W23/汇总表!$B$3</f>
        <v>47.0016977928693</v>
      </c>
      <c r="Y19" s="13">
        <f>汇总表!X23/汇总表!$B$3</f>
        <v>47.0016977928693</v>
      </c>
      <c r="Z19" s="13">
        <f>汇总表!Y23/汇总表!$B$3</f>
        <v>47.0016977928693</v>
      </c>
      <c r="AA19" s="13">
        <f>汇总表!Z23/汇总表!$B$3</f>
        <v>47.0016977928693</v>
      </c>
      <c r="AB19" s="13">
        <f>汇总表!AA23/汇总表!$B$3</f>
        <v>47.0016977928693</v>
      </c>
      <c r="AC19" s="13">
        <f>汇总表!AB23/汇总表!$B$3</f>
        <v>47.0016977928693</v>
      </c>
      <c r="AD19" s="13">
        <f>汇总表!AC23/汇总表!$B$3</f>
        <v>47.0016977928693</v>
      </c>
      <c r="AE19" s="13">
        <f>汇总表!AD23/汇总表!$B$3</f>
        <v>47.0016977928693</v>
      </c>
      <c r="AF19" s="13">
        <f>汇总表!AE23/汇总表!$B$3</f>
        <v>47.0016977928693</v>
      </c>
      <c r="AG19" s="13">
        <f>汇总表!AF23/汇总表!$B$3</f>
        <v>47.0016977928693</v>
      </c>
      <c r="AH19" s="14">
        <f t="shared" si="0"/>
        <v>47.0016977928693</v>
      </c>
      <c r="AI19" s="14">
        <f t="shared" si="1"/>
        <v>47.0016977928693</v>
      </c>
      <c r="AJ19" s="14">
        <f t="shared" si="2"/>
        <v>47.0016977928693</v>
      </c>
      <c r="AK19" s="14">
        <f t="shared" si="3"/>
        <v>47.0016977928693</v>
      </c>
      <c r="AL19" s="14">
        <f t="shared" si="4"/>
        <v>47.0016977928693</v>
      </c>
    </row>
    <row r="20" customHeight="1" spans="1:38">
      <c r="A20" s="7" t="s">
        <v>675</v>
      </c>
      <c r="B20" s="10">
        <f t="shared" si="5"/>
        <v>7.75555815299172</v>
      </c>
      <c r="C20" s="7">
        <f>汇总表!B24/汇总表!$B$3</f>
        <v>6.71452825612418</v>
      </c>
      <c r="D20" s="7">
        <f>IFERROR(汇总表!C24/汇总表!$C$4,0)</f>
        <v>9.02052785923754</v>
      </c>
      <c r="E20" s="7">
        <f>IFERROR(汇总表!D24/汇总表!D$4,0)</f>
        <v>8.11847507331378</v>
      </c>
      <c r="F20" s="7">
        <f>IFERROR(汇总表!E24/汇总表!E$4,0)</f>
        <v>6.11665930181175</v>
      </c>
      <c r="G20" s="7">
        <f>IFERROR(汇总表!F24/汇总表!F$4,0)</f>
        <v>7.08755760368664</v>
      </c>
      <c r="H20" s="7">
        <f>IFERROR(汇总表!G24/汇总表!G$4,0)</f>
        <v>6.86947890818858</v>
      </c>
      <c r="I20" s="7">
        <f>IFERROR(汇总表!H24/汇总表!H$4,0)</f>
        <v>6.24498082562599</v>
      </c>
      <c r="J20" s="7">
        <f>IFERROR(汇总表!I24/汇总表!I$4,0)</f>
        <v>6.07504937458854</v>
      </c>
      <c r="K20" s="7">
        <f>IFERROR(汇总表!J24/汇总表!J$4,0)</f>
        <v>6.42469250406127</v>
      </c>
      <c r="L20" s="7">
        <f>IFERROR(汇总表!K24/汇总表!K$4,0)</f>
        <v>6.15884315906563</v>
      </c>
      <c r="M20" s="7">
        <f>IFERROR(汇总表!L24/汇总表!L$4,0)</f>
        <v>6.81704013789707</v>
      </c>
      <c r="N20" s="7">
        <f>IFERROR(汇总表!M24/汇总表!M$4,0)</f>
        <v>8.42483262325015</v>
      </c>
      <c r="O20" s="7">
        <f>IFERROR(汇总表!N24/汇总表!N$4,0)</f>
        <v>9.40033955857385</v>
      </c>
      <c r="P20" s="7">
        <f>IFERROR(汇总表!O24/汇总表!O$4,0)</f>
        <v>7.90294033685412</v>
      </c>
      <c r="Q20" s="7">
        <f>IFERROR(汇总表!P24/汇总表!P$4,0)</f>
        <v>7.20187304890739</v>
      </c>
      <c r="R20" s="7">
        <f>IFERROR(汇总表!Q24/汇总表!Q$4,0)</f>
        <v>7.83361629881154</v>
      </c>
      <c r="S20" s="7">
        <f>IFERROR(汇总表!R24/汇总表!R$4,0)</f>
        <v>6.51848363550742</v>
      </c>
      <c r="T20" s="7">
        <f>IFERROR(汇总表!S24/汇总表!S$4,0)</f>
        <v>7.56806998359759</v>
      </c>
      <c r="U20" s="7">
        <f>IFERROR(汇总表!T24/汇总表!T$4,0)</f>
        <v>8.93032258064516</v>
      </c>
      <c r="V20" s="7">
        <f>IFERROR(汇总表!U24/汇总表!U$4,0)</f>
        <v>8.19295649600473</v>
      </c>
      <c r="W20" s="7">
        <f>IFERROR(汇总表!V24/汇总表!V$4,0)</f>
        <v>7.26042486231314</v>
      </c>
      <c r="X20" s="7">
        <f>IFERROR(汇总表!W24/汇总表!W$4,0)</f>
        <v>9.20651812437645</v>
      </c>
      <c r="Y20" s="7">
        <f>IFERROR(汇总表!X24/汇总表!X$4,0)</f>
        <v>8.19295649600473</v>
      </c>
      <c r="Z20" s="7">
        <f>IFERROR(汇总表!Y24/汇总表!Y$4,0)</f>
        <v>8.50506912442396</v>
      </c>
      <c r="AA20" s="7">
        <f>IFERROR(汇总表!Z24/汇总表!Z$4,0)</f>
        <v>7.26042486231314</v>
      </c>
      <c r="AB20" s="7">
        <f>IFERROR(汇总表!AA24/汇总表!AA$4,0)</f>
        <v>8.93032258064516</v>
      </c>
      <c r="AC20" s="7">
        <f>IFERROR(汇总表!AB24/汇总表!AB$4,0)</f>
        <v>8.19295649600473</v>
      </c>
      <c r="AD20" s="7">
        <f>IFERROR(汇总表!AC24/汇总表!AC$4,0)</f>
        <v>7.14425806451613</v>
      </c>
      <c r="AE20" s="7">
        <f>IFERROR(汇总表!AD24/汇总表!AD$4,0)</f>
        <v>6.92273068267067</v>
      </c>
      <c r="AF20" s="7">
        <f>IFERROR(汇总表!AE24/汇总表!AE$4,0)</f>
        <v>6.76539589442815</v>
      </c>
      <c r="AG20" s="7">
        <f>IFERROR(汇总表!AF24/汇总表!AF$4,0)</f>
        <v>6.66441983630236</v>
      </c>
      <c r="AH20" s="12">
        <f t="shared" si="0"/>
        <v>7.95117706289183</v>
      </c>
      <c r="AI20" s="12">
        <f t="shared" si="1"/>
        <v>6.42532309671834</v>
      </c>
      <c r="AJ20" s="12">
        <f t="shared" si="2"/>
        <v>7.72844651997165</v>
      </c>
      <c r="AK20" s="12">
        <f t="shared" si="3"/>
        <v>8.26518823819511</v>
      </c>
      <c r="AL20" s="12">
        <f t="shared" si="4"/>
        <v>7.41150120241148</v>
      </c>
    </row>
    <row r="21" customHeight="1" spans="1:38">
      <c r="A21" s="7" t="s">
        <v>716</v>
      </c>
      <c r="B21" s="10">
        <f t="shared" si="5"/>
        <v>0.549926334862114</v>
      </c>
      <c r="C21" s="7">
        <f>汇总表!B25/汇总表!$B$3</f>
        <v>0.476109628910987</v>
      </c>
      <c r="D21" s="7">
        <f>IFERROR(汇总表!C25/汇总表!$C$4,0)</f>
        <v>0.639622026718801</v>
      </c>
      <c r="E21" s="7">
        <f>IFERROR(汇总表!D25/汇总表!D$4,0)</f>
        <v>0.575659824046921</v>
      </c>
      <c r="F21" s="7">
        <f>IFERROR(汇总表!E25/汇总表!E$4,0)</f>
        <v>0.433716305788776</v>
      </c>
      <c r="G21" s="7">
        <f>IFERROR(汇总表!F25/汇总表!F$4,0)</f>
        <v>0.502560163850487</v>
      </c>
      <c r="H21" s="7">
        <f>IFERROR(汇总表!G25/汇总表!G$4,0)</f>
        <v>0.487096774193548</v>
      </c>
      <c r="I21" s="7">
        <f>IFERROR(汇总表!H25/汇总表!H$4,0)</f>
        <v>0.442815249266862</v>
      </c>
      <c r="J21" s="7">
        <f>IFERROR(汇总表!I25/汇总表!I$4,0)</f>
        <v>0.430765854728988</v>
      </c>
      <c r="K21" s="7">
        <f>IFERROR(汇总表!J25/汇总表!J$4,0)</f>
        <v>0.455558134137851</v>
      </c>
      <c r="L21" s="7">
        <f>IFERROR(汇总表!K25/汇总表!K$4,0)</f>
        <v>0.43670745272525</v>
      </c>
      <c r="M21" s="7">
        <f>IFERROR(汇总表!L25/汇总表!L$4,0)</f>
        <v>0.483378478207338</v>
      </c>
      <c r="N21" s="7">
        <f>IFERROR(汇总表!M25/汇总表!M$4,0)</f>
        <v>0.597382836275107</v>
      </c>
      <c r="O21" s="7">
        <f>IFERROR(汇总表!N25/汇总表!N$4,0)</f>
        <v>0.666553480475382</v>
      </c>
      <c r="P21" s="7">
        <f>IFERROR(汇总表!O25/汇总表!O$4,0)</f>
        <v>0.560376819868684</v>
      </c>
      <c r="Q21" s="7">
        <f>IFERROR(汇总表!P25/汇总表!P$4,0)</f>
        <v>0.510665972944849</v>
      </c>
      <c r="R21" s="7">
        <f>IFERROR(汇总表!Q25/汇总表!Q$4,0)</f>
        <v>0.555461233729485</v>
      </c>
      <c r="S21" s="7">
        <f>IFERROR(汇总表!R25/汇总表!R$4,0)</f>
        <v>0.462208617847893</v>
      </c>
      <c r="T21" s="7">
        <f>IFERROR(汇总表!S25/汇总表!S$4,0)</f>
        <v>0.536632039365774</v>
      </c>
      <c r="U21" s="7">
        <f>IFERROR(汇总表!T25/汇总表!T$4,0)</f>
        <v>0.633225806451613</v>
      </c>
      <c r="V21" s="7">
        <f>IFERROR(汇总表!U25/汇总表!U$4,0)</f>
        <v>0.580941106836342</v>
      </c>
      <c r="W21" s="7">
        <f>IFERROR(汇总表!V25/汇总表!V$4,0)</f>
        <v>0.51481772882245</v>
      </c>
      <c r="X21" s="7">
        <f>IFERROR(汇总表!W25/汇总表!W$4,0)</f>
        <v>0.652810109743931</v>
      </c>
      <c r="Y21" s="7">
        <f>IFERROR(汇总表!X25/汇总表!X$4,0)</f>
        <v>0.580941106836342</v>
      </c>
      <c r="Z21" s="7">
        <f>IFERROR(汇总表!Y25/汇总表!Y$4,0)</f>
        <v>0.603072196620584</v>
      </c>
      <c r="AA21" s="7">
        <f>IFERROR(汇总表!Z25/汇总表!Z$4,0)</f>
        <v>0.51481772882245</v>
      </c>
      <c r="AB21" s="7">
        <f>IFERROR(汇总表!AA25/汇总表!AA$4,0)</f>
        <v>0.633225806451613</v>
      </c>
      <c r="AC21" s="7">
        <f>IFERROR(汇总表!AB25/汇总表!AB$4,0)</f>
        <v>0.580941106836342</v>
      </c>
      <c r="AD21" s="7">
        <f>IFERROR(汇总表!AC25/汇总表!AC$4,0)</f>
        <v>0.50658064516129</v>
      </c>
      <c r="AE21" s="7">
        <f>IFERROR(汇总表!AD25/汇总表!AD$4,0)</f>
        <v>0.490872718179545</v>
      </c>
      <c r="AF21" s="7">
        <f>IFERROR(汇总表!AE25/汇总表!AE$4,0)</f>
        <v>0.479716520039101</v>
      </c>
      <c r="AG21" s="7">
        <f>IFERROR(汇总表!AF25/汇总表!AF$4,0)</f>
        <v>0.472556571978816</v>
      </c>
      <c r="AH21" s="12">
        <f t="shared" si="0"/>
        <v>0.563797159892236</v>
      </c>
      <c r="AI21" s="12">
        <f t="shared" si="1"/>
        <v>0.455602847813109</v>
      </c>
      <c r="AJ21" s="12">
        <f t="shared" si="2"/>
        <v>0.548003919906963</v>
      </c>
      <c r="AK21" s="12">
        <f t="shared" si="3"/>
        <v>0.586062870668148</v>
      </c>
      <c r="AL21" s="12">
        <f t="shared" si="4"/>
        <v>0.525530156781308</v>
      </c>
    </row>
    <row r="22" customHeight="1" spans="1:38">
      <c r="A22" s="7" t="s">
        <v>717</v>
      </c>
      <c r="B22" s="10">
        <f t="shared" si="5"/>
        <v>0.336175039141383</v>
      </c>
      <c r="C22" s="7">
        <f>汇总表!B26/汇总表!$B$3</f>
        <v>0.291050206160563</v>
      </c>
      <c r="D22" s="7">
        <f>IFERROR(汇总表!C26/汇总表!$C$4,0)</f>
        <v>0.391006842619745</v>
      </c>
      <c r="E22" s="7">
        <f>IFERROR(汇总表!D26/汇总表!D$4,0)</f>
        <v>0.351906158357771</v>
      </c>
      <c r="F22" s="7">
        <f>IFERROR(汇总表!E26/汇总表!E$4,0)</f>
        <v>0.265134776844896</v>
      </c>
      <c r="G22" s="7">
        <f>IFERROR(汇总表!F26/汇总表!F$4,0)</f>
        <v>0.307219662058371</v>
      </c>
      <c r="H22" s="7">
        <f>IFERROR(汇总表!G26/汇总表!G$4,0)</f>
        <v>0.297766749379652</v>
      </c>
      <c r="I22" s="7">
        <f>IFERROR(汇总表!H26/汇总表!H$4,0)</f>
        <v>0.270697044890593</v>
      </c>
      <c r="J22" s="7">
        <f>IFERROR(汇总表!I26/汇总表!I$4,0)</f>
        <v>0.263331138907175</v>
      </c>
      <c r="K22" s="7">
        <f>IFERROR(汇总表!J26/汇总表!J$4,0)</f>
        <v>0.278486887909027</v>
      </c>
      <c r="L22" s="7">
        <f>IFERROR(汇总表!K26/汇总表!K$4,0)</f>
        <v>0.266963292547274</v>
      </c>
      <c r="M22" s="7">
        <f>IFERROR(汇总表!L26/汇总表!L$4,0)</f>
        <v>0.295493720758434</v>
      </c>
      <c r="N22" s="7">
        <f>IFERROR(汇总表!M26/汇总表!M$4,0)</f>
        <v>0.365185636031649</v>
      </c>
      <c r="O22" s="7">
        <f>IFERROR(汇总表!N26/汇总表!N$4,0)</f>
        <v>0.407470288624787</v>
      </c>
      <c r="P22" s="7">
        <f>IFERROR(汇总表!O26/汇总表!O$4,0)</f>
        <v>0.342563516985441</v>
      </c>
      <c r="Q22" s="7">
        <f>IFERROR(汇总表!P26/汇总表!P$4,0)</f>
        <v>0.312174817898023</v>
      </c>
      <c r="R22" s="7">
        <f>IFERROR(汇总表!Q26/汇总表!Q$4,0)</f>
        <v>0.339558573853989</v>
      </c>
      <c r="S22" s="7">
        <f>IFERROR(汇总表!R26/汇总表!R$4,0)</f>
        <v>0.282552389922298</v>
      </c>
      <c r="T22" s="7">
        <f>IFERROR(汇总表!S26/汇总表!S$4,0)</f>
        <v>0.328048113723346</v>
      </c>
      <c r="U22" s="7">
        <f>IFERROR(汇总表!T26/汇总表!T$4,0)</f>
        <v>0.387096774193548</v>
      </c>
      <c r="V22" s="7">
        <f>IFERROR(汇总表!U26/汇总表!U$4,0)</f>
        <v>0.355134655223439</v>
      </c>
      <c r="W22" s="7">
        <f>IFERROR(汇总表!V26/汇总表!V$4,0)</f>
        <v>0.3147128245476</v>
      </c>
      <c r="X22" s="7">
        <f>IFERROR(汇总表!W26/汇总表!W$4,0)</f>
        <v>0.399068839374792</v>
      </c>
      <c r="Y22" s="7">
        <f>IFERROR(汇总表!X26/汇总表!X$4,0)</f>
        <v>0.355134655223439</v>
      </c>
      <c r="Z22" s="7">
        <f>IFERROR(汇总表!Y26/汇总表!Y$4,0)</f>
        <v>0.368663594470046</v>
      </c>
      <c r="AA22" s="7">
        <f>IFERROR(汇总表!Z26/汇总表!Z$4,0)</f>
        <v>0.3147128245476</v>
      </c>
      <c r="AB22" s="7">
        <f>IFERROR(汇总表!AA26/汇总表!AA$4,0)</f>
        <v>0.387096774193548</v>
      </c>
      <c r="AC22" s="7">
        <f>IFERROR(汇总表!AB26/汇总表!AB$4,0)</f>
        <v>0.355134655223439</v>
      </c>
      <c r="AD22" s="7">
        <f>IFERROR(汇总表!AC26/汇总表!AC$4,0)</f>
        <v>0.309677419354838</v>
      </c>
      <c r="AE22" s="7">
        <f>IFERROR(汇总表!AD26/汇总表!AD$4,0)</f>
        <v>0.300075018754688</v>
      </c>
      <c r="AF22" s="7">
        <f>IFERROR(汇总表!AE26/汇总表!AE$4,0)</f>
        <v>0.293255131964809</v>
      </c>
      <c r="AG22" s="7">
        <f>IFERROR(汇总表!AF26/汇总表!AF$4,0)</f>
        <v>0.288878189696678</v>
      </c>
      <c r="AH22" s="12">
        <f t="shared" si="0"/>
        <v>0.34465440237936</v>
      </c>
      <c r="AI22" s="12">
        <f t="shared" si="1"/>
        <v>0.278514221790999</v>
      </c>
      <c r="AJ22" s="12">
        <f t="shared" si="2"/>
        <v>0.334999849153517</v>
      </c>
      <c r="AK22" s="12">
        <f t="shared" si="3"/>
        <v>0.358265636679458</v>
      </c>
      <c r="AL22" s="12">
        <f t="shared" si="4"/>
        <v>0.321261430533657</v>
      </c>
    </row>
    <row r="23" customHeight="1" spans="1:38">
      <c r="A23" s="7" t="s">
        <v>718</v>
      </c>
      <c r="B23" s="10">
        <f t="shared" si="5"/>
        <v>2.74036814764276</v>
      </c>
      <c r="C23" s="7">
        <f>汇总表!B27/汇总表!$B$3</f>
        <v>1.87481578947368</v>
      </c>
      <c r="D23" s="7">
        <f>IFERROR(汇总表!C27/汇总表!$C$4,0)</f>
        <v>2.6973797979798</v>
      </c>
      <c r="E23" s="7">
        <f>IFERROR(汇总表!D27/汇总表!D$4,0)</f>
        <v>2.50058545454545</v>
      </c>
      <c r="F23" s="7">
        <f>IFERROR(汇总表!E27/汇总表!E$4,0)</f>
        <v>2.58486369863014</v>
      </c>
      <c r="G23" s="7">
        <f>IFERROR(汇总表!F27/汇总表!F$4,0)</f>
        <v>2.63620158730159</v>
      </c>
      <c r="H23" s="7">
        <f>IFERROR(汇总表!G27/汇总表!G$4,0)</f>
        <v>2.78657538461538</v>
      </c>
      <c r="I23" s="7">
        <f>IFERROR(汇总表!H27/汇总表!H$4,0)</f>
        <v>2.64033776223776</v>
      </c>
      <c r="J23" s="7">
        <f>IFERROR(汇总表!I27/汇总表!I$4,0)</f>
        <v>2.74097414965986</v>
      </c>
      <c r="K23" s="7">
        <f>IFERROR(汇总表!J27/汇总表!J$4,0)</f>
        <v>2.79490575539568</v>
      </c>
      <c r="L23" s="7">
        <f>IFERROR(汇总表!K27/汇总表!K$4,0)</f>
        <v>2.8404924137931</v>
      </c>
      <c r="M23" s="7">
        <f>IFERROR(汇总表!L27/汇总表!L$4,0)</f>
        <v>2.96091450381679</v>
      </c>
      <c r="N23" s="7">
        <f>IFERROR(汇总表!M27/汇总表!M$4,0)</f>
        <v>2.79952452830189</v>
      </c>
      <c r="O23" s="7">
        <f>IFERROR(汇总表!N27/汇总表!N$4,0)</f>
        <v>2.91525894736842</v>
      </c>
      <c r="P23" s="7">
        <f>IFERROR(汇总表!O27/汇总表!O$4,0)</f>
        <v>2.84015486725664</v>
      </c>
      <c r="Q23" s="7">
        <f>IFERROR(汇总表!P27/汇总表!P$4,0)</f>
        <v>2.98339112903226</v>
      </c>
      <c r="R23" s="7">
        <f>IFERROR(汇总表!Q27/汇总表!Q$4,0)</f>
        <v>2.89304736842105</v>
      </c>
      <c r="S23" s="7">
        <f>IFERROR(汇总表!R27/汇总表!R$4,0)</f>
        <v>2.81258759124088</v>
      </c>
      <c r="T23" s="7">
        <f>IFERROR(汇总表!S27/汇总表!S$4,0)</f>
        <v>3.03920847457627</v>
      </c>
      <c r="U23" s="7">
        <f>IFERROR(汇总表!T27/汇总表!T$4,0)</f>
        <v>2.888498</v>
      </c>
      <c r="V23" s="7">
        <f>IFERROR(汇总表!U27/汇总表!U$4,0)</f>
        <v>3.17882844036697</v>
      </c>
      <c r="W23" s="7">
        <f>IFERROR(汇总表!V27/汇总表!V$4,0)</f>
        <v>3.27234552845528</v>
      </c>
      <c r="X23" s="7">
        <f>IFERROR(汇总表!W27/汇总表!W$4,0)</f>
        <v>0.320535051546392</v>
      </c>
      <c r="Y23" s="7">
        <f>IFERROR(汇总表!X27/汇总表!X$4,0)</f>
        <v>3.07687431192661</v>
      </c>
      <c r="Z23" s="7">
        <f>IFERROR(汇总表!Y27/汇总表!Y$4,0)</f>
        <v>2.91367714285714</v>
      </c>
      <c r="AA23" s="7">
        <f>IFERROR(汇总表!Z27/汇总表!Z$4,0)</f>
        <v>2.89392357723577</v>
      </c>
      <c r="AB23" s="7">
        <f>IFERROR(汇总表!AA27/汇总表!AA$4,0)</f>
        <v>2.617171</v>
      </c>
      <c r="AC23" s="7">
        <f>IFERROR(汇总表!AB27/汇总表!AB$4,0)</f>
        <v>2.92065137614679</v>
      </c>
      <c r="AD23" s="7">
        <f>IFERROR(汇总表!AC27/汇总表!AC$4,0)</f>
        <v>2.9406136</v>
      </c>
      <c r="AE23" s="7">
        <f>IFERROR(汇总表!AD27/汇总表!AD$4,0)</f>
        <v>2.85125348837209</v>
      </c>
      <c r="AF23" s="7">
        <f>IFERROR(汇总表!AE27/汇总表!AE$4,0)</f>
        <v>2.97329848484848</v>
      </c>
      <c r="AG23" s="7">
        <f>IFERROR(汇总表!AF27/汇总表!AF$4,0)</f>
        <v>0.022155223880597</v>
      </c>
      <c r="AH23" s="12">
        <f t="shared" si="0"/>
        <v>2.35759368066631</v>
      </c>
      <c r="AI23" s="12">
        <f t="shared" si="1"/>
        <v>2.7177643930905</v>
      </c>
      <c r="AJ23" s="12">
        <f t="shared" si="2"/>
        <v>2.88641127649113</v>
      </c>
      <c r="AK23" s="12">
        <f t="shared" si="3"/>
        <v>2.66999527853267</v>
      </c>
      <c r="AL23" s="12">
        <f t="shared" si="4"/>
        <v>2.45986667864053</v>
      </c>
    </row>
    <row r="24" customHeight="1" spans="1:38">
      <c r="A24" s="7" t="s">
        <v>719</v>
      </c>
      <c r="B24" s="10">
        <f t="shared" si="5"/>
        <v>2.74036814764276</v>
      </c>
      <c r="C24" s="7">
        <f>汇总表!B28/汇总表!$B$3</f>
        <v>1.87481578947368</v>
      </c>
      <c r="D24" s="7">
        <f>IFERROR(汇总表!C28/汇总表!$C$4,0)</f>
        <v>2.6973797979798</v>
      </c>
      <c r="E24" s="7">
        <f>IFERROR(汇总表!D28/汇总表!D$4,0)</f>
        <v>2.50058545454545</v>
      </c>
      <c r="F24" s="7">
        <f>IFERROR(汇总表!E28/汇总表!E$4,0)</f>
        <v>2.58486369863014</v>
      </c>
      <c r="G24" s="7">
        <f>IFERROR(汇总表!F28/汇总表!F$4,0)</f>
        <v>2.63620158730159</v>
      </c>
      <c r="H24" s="7">
        <f>IFERROR(汇总表!G28/汇总表!G$4,0)</f>
        <v>2.78657538461538</v>
      </c>
      <c r="I24" s="7">
        <f>IFERROR(汇总表!H28/汇总表!H$4,0)</f>
        <v>2.64033776223776</v>
      </c>
      <c r="J24" s="7">
        <f>IFERROR(汇总表!I28/汇总表!I$4,0)</f>
        <v>2.74097414965986</v>
      </c>
      <c r="K24" s="7">
        <f>IFERROR(汇总表!J28/汇总表!J$4,0)</f>
        <v>2.79490575539568</v>
      </c>
      <c r="L24" s="7">
        <f>IFERROR(汇总表!K28/汇总表!K$4,0)</f>
        <v>2.8404924137931</v>
      </c>
      <c r="M24" s="7">
        <f>IFERROR(汇总表!L28/汇总表!L$4,0)</f>
        <v>2.96091450381679</v>
      </c>
      <c r="N24" s="7">
        <f>IFERROR(汇总表!M28/汇总表!M$4,0)</f>
        <v>2.79952452830189</v>
      </c>
      <c r="O24" s="7">
        <f>IFERROR(汇总表!N28/汇总表!N$4,0)</f>
        <v>2.91525894736842</v>
      </c>
      <c r="P24" s="7">
        <f>IFERROR(汇总表!O28/汇总表!O$4,0)</f>
        <v>2.84015486725664</v>
      </c>
      <c r="Q24" s="7">
        <f>IFERROR(汇总表!P28/汇总表!P$4,0)</f>
        <v>2.98339112903226</v>
      </c>
      <c r="R24" s="7">
        <f>IFERROR(汇总表!Q28/汇总表!Q$4,0)</f>
        <v>2.89304736842105</v>
      </c>
      <c r="S24" s="7">
        <f>IFERROR(汇总表!R28/汇总表!R$4,0)</f>
        <v>2.81258759124088</v>
      </c>
      <c r="T24" s="7">
        <f>IFERROR(汇总表!S28/汇总表!S$4,0)</f>
        <v>3.03920847457627</v>
      </c>
      <c r="U24" s="7">
        <f>IFERROR(汇总表!T28/汇总表!T$4,0)</f>
        <v>2.888498</v>
      </c>
      <c r="V24" s="7">
        <f>IFERROR(汇总表!U28/汇总表!U$4,0)</f>
        <v>3.17882844036697</v>
      </c>
      <c r="W24" s="7">
        <f>IFERROR(汇总表!V28/汇总表!V$4,0)</f>
        <v>3.27234552845528</v>
      </c>
      <c r="X24" s="7">
        <f>IFERROR(汇总表!W28/汇总表!W$4,0)</f>
        <v>0.320535051546392</v>
      </c>
      <c r="Y24" s="7">
        <f>IFERROR(汇总表!X28/汇总表!X$4,0)</f>
        <v>3.07687431192661</v>
      </c>
      <c r="Z24" s="7">
        <f>IFERROR(汇总表!Y28/汇总表!Y$4,0)</f>
        <v>2.91367714285714</v>
      </c>
      <c r="AA24" s="7">
        <f>IFERROR(汇总表!Z28/汇总表!Z$4,0)</f>
        <v>2.89392357723577</v>
      </c>
      <c r="AB24" s="7">
        <f>IFERROR(汇总表!AA28/汇总表!AA$4,0)</f>
        <v>2.617171</v>
      </c>
      <c r="AC24" s="7">
        <f>IFERROR(汇总表!AB28/汇总表!AB$4,0)</f>
        <v>2.92065137614679</v>
      </c>
      <c r="AD24" s="7">
        <f>IFERROR(汇总表!AC28/汇总表!AC$4,0)</f>
        <v>2.9406136</v>
      </c>
      <c r="AE24" s="7">
        <f>IFERROR(汇总表!AD28/汇总表!AD$4,0)</f>
        <v>2.85125348837209</v>
      </c>
      <c r="AF24" s="7">
        <f>IFERROR(汇总表!AE28/汇总表!AE$4,0)</f>
        <v>2.97329848484848</v>
      </c>
      <c r="AG24" s="7">
        <f>IFERROR(汇总表!AF28/汇总表!AF$4,0)</f>
        <v>0.022155223880597</v>
      </c>
      <c r="AH24" s="12">
        <f t="shared" si="0"/>
        <v>2.35759368066631</v>
      </c>
      <c r="AI24" s="12">
        <f t="shared" si="1"/>
        <v>2.7177643930905</v>
      </c>
      <c r="AJ24" s="12">
        <f t="shared" si="2"/>
        <v>2.88641127649113</v>
      </c>
      <c r="AK24" s="12">
        <f t="shared" si="3"/>
        <v>2.66999527853267</v>
      </c>
      <c r="AL24" s="12">
        <f t="shared" si="4"/>
        <v>2.45986667864053</v>
      </c>
    </row>
    <row r="25" customHeight="1" spans="1:38">
      <c r="A25" s="7" t="s">
        <v>699</v>
      </c>
      <c r="B25" s="10">
        <f t="shared" si="5"/>
        <v>0</v>
      </c>
      <c r="C25" s="7">
        <f>汇总表!B30/汇总表!$B$3</f>
        <v>0</v>
      </c>
      <c r="D25" s="7">
        <f>汇总表!C30/汇总表!$B$3</f>
        <v>0</v>
      </c>
      <c r="E25" s="7">
        <f>汇总表!D30/汇总表!$B$3</f>
        <v>0</v>
      </c>
      <c r="F25" s="7">
        <f>汇总表!E30/汇总表!$B$3</f>
        <v>0</v>
      </c>
      <c r="G25" s="7">
        <f>汇总表!F30/汇总表!$B$3</f>
        <v>0</v>
      </c>
      <c r="H25" s="7">
        <f>汇总表!G30/汇总表!$B$3</f>
        <v>0</v>
      </c>
      <c r="I25" s="7">
        <f>汇总表!H30/汇总表!$B$3</f>
        <v>0</v>
      </c>
      <c r="J25" s="7">
        <f>汇总表!I30/汇总表!$B$3</f>
        <v>0</v>
      </c>
      <c r="K25" s="7">
        <f>汇总表!J30/汇总表!$B$3</f>
        <v>0</v>
      </c>
      <c r="L25" s="7">
        <f>汇总表!K30/汇总表!$B$3</f>
        <v>0</v>
      </c>
      <c r="M25" s="7">
        <f>汇总表!L30/汇总表!$B$3</f>
        <v>0</v>
      </c>
      <c r="N25" s="7">
        <f>汇总表!M30/汇总表!$B$3</f>
        <v>0</v>
      </c>
      <c r="O25" s="7">
        <f>汇总表!N30/汇总表!$B$3</f>
        <v>0</v>
      </c>
      <c r="P25" s="7">
        <f>汇总表!O30/汇总表!$B$3</f>
        <v>0</v>
      </c>
      <c r="Q25" s="7">
        <f>汇总表!P30/汇总表!$B$3</f>
        <v>0</v>
      </c>
      <c r="R25" s="7">
        <f>汇总表!Q30/汇总表!$B$3</f>
        <v>0</v>
      </c>
      <c r="S25" s="7">
        <f>汇总表!R30/汇总表!$B$3</f>
        <v>0</v>
      </c>
      <c r="T25" s="7">
        <f>汇总表!S30/汇总表!$B$3</f>
        <v>0</v>
      </c>
      <c r="U25" s="7">
        <f>汇总表!T30/汇总表!$B$3</f>
        <v>0</v>
      </c>
      <c r="V25" s="7">
        <f>汇总表!U30/汇总表!$B$3</f>
        <v>0</v>
      </c>
      <c r="W25" s="7">
        <f>汇总表!V30/汇总表!$B$3</f>
        <v>0</v>
      </c>
      <c r="X25" s="7">
        <f>汇总表!W30/汇总表!$B$3</f>
        <v>0</v>
      </c>
      <c r="Y25" s="7">
        <f>汇总表!X30/汇总表!$B$3</f>
        <v>0</v>
      </c>
      <c r="Z25" s="7">
        <f>汇总表!Y30/汇总表!$B$3</f>
        <v>0</v>
      </c>
      <c r="AA25" s="7">
        <f>汇总表!Z30/汇总表!$B$3</f>
        <v>0</v>
      </c>
      <c r="AB25" s="7">
        <f>汇总表!AA30/汇总表!$B$3</f>
        <v>0</v>
      </c>
      <c r="AC25" s="7">
        <f>汇总表!AB30/汇总表!$B$3</f>
        <v>0</v>
      </c>
      <c r="AD25" s="7">
        <f>汇总表!AC30/汇总表!$B$3</f>
        <v>0</v>
      </c>
      <c r="AE25" s="7">
        <f>汇总表!AD30/汇总表!$B$3</f>
        <v>0</v>
      </c>
      <c r="AF25" s="7">
        <f>汇总表!AE30/汇总表!$B$3</f>
        <v>0</v>
      </c>
      <c r="AG25" s="7">
        <f>汇总表!AF30/汇总表!$B$3</f>
        <v>0</v>
      </c>
      <c r="AH25" s="12">
        <f t="shared" si="0"/>
        <v>0</v>
      </c>
      <c r="AI25" s="12">
        <f t="shared" si="1"/>
        <v>0</v>
      </c>
      <c r="AJ25" s="12">
        <f t="shared" si="2"/>
        <v>0</v>
      </c>
      <c r="AK25" s="12">
        <f t="shared" si="3"/>
        <v>0</v>
      </c>
      <c r="AL25" s="12">
        <f t="shared" si="4"/>
        <v>0</v>
      </c>
    </row>
    <row r="26" customHeight="1" spans="1:38">
      <c r="A26" s="7" t="s">
        <v>700</v>
      </c>
      <c r="B26" s="10">
        <f t="shared" si="5"/>
        <v>0</v>
      </c>
      <c r="C26" s="7">
        <f>汇总表!B31/汇总表!$B$3</f>
        <v>0</v>
      </c>
      <c r="D26" s="7">
        <f>汇总表!C31/汇总表!$B$3</f>
        <v>0</v>
      </c>
      <c r="E26" s="7">
        <f>汇总表!D31/汇总表!$B$3</f>
        <v>0</v>
      </c>
      <c r="F26" s="7">
        <f>汇总表!E31/汇总表!$B$3</f>
        <v>0</v>
      </c>
      <c r="G26" s="7">
        <f>汇总表!F31/汇总表!$B$3</f>
        <v>0</v>
      </c>
      <c r="H26" s="7">
        <f>汇总表!G31/汇总表!$B$3</f>
        <v>0</v>
      </c>
      <c r="I26" s="7">
        <f>汇总表!H31/汇总表!$B$3</f>
        <v>0</v>
      </c>
      <c r="J26" s="7">
        <f>汇总表!I31/汇总表!$B$3</f>
        <v>0</v>
      </c>
      <c r="K26" s="7">
        <f>汇总表!J31/汇总表!$B$3</f>
        <v>0</v>
      </c>
      <c r="L26" s="7">
        <f>汇总表!K31/汇总表!$B$3</f>
        <v>0</v>
      </c>
      <c r="M26" s="7">
        <f>汇总表!L31/汇总表!$B$3</f>
        <v>0</v>
      </c>
      <c r="N26" s="7">
        <f>汇总表!M31/汇总表!$B$3</f>
        <v>0</v>
      </c>
      <c r="O26" s="7">
        <f>汇总表!N31/汇总表!$B$3</f>
        <v>0</v>
      </c>
      <c r="P26" s="7">
        <f>汇总表!O31/汇总表!$B$3</f>
        <v>0</v>
      </c>
      <c r="Q26" s="7">
        <f>汇总表!P31/汇总表!$B$3</f>
        <v>0</v>
      </c>
      <c r="R26" s="7">
        <f>汇总表!Q31/汇总表!$B$3</f>
        <v>0</v>
      </c>
      <c r="S26" s="7">
        <f>汇总表!R31/汇总表!$B$3</f>
        <v>0</v>
      </c>
      <c r="T26" s="7">
        <f>汇总表!S31/汇总表!$B$3</f>
        <v>0</v>
      </c>
      <c r="U26" s="7">
        <f>汇总表!T31/汇总表!$B$3</f>
        <v>0</v>
      </c>
      <c r="V26" s="7">
        <f>汇总表!U31/汇总表!$B$3</f>
        <v>0</v>
      </c>
      <c r="W26" s="7">
        <f>汇总表!V31/汇总表!$B$3</f>
        <v>0</v>
      </c>
      <c r="X26" s="7">
        <f>汇总表!W31/汇总表!$B$3</f>
        <v>0</v>
      </c>
      <c r="Y26" s="7">
        <f>汇总表!X31/汇总表!$B$3</f>
        <v>0</v>
      </c>
      <c r="Z26" s="7">
        <f>汇总表!Y31/汇总表!$B$3</f>
        <v>0</v>
      </c>
      <c r="AA26" s="7">
        <f>汇总表!Z31/汇总表!$B$3</f>
        <v>0</v>
      </c>
      <c r="AB26" s="7">
        <f>汇总表!AA31/汇总表!$B$3</f>
        <v>0</v>
      </c>
      <c r="AC26" s="7">
        <f>汇总表!AB31/汇总表!$B$3</f>
        <v>0</v>
      </c>
      <c r="AD26" s="7">
        <f>汇总表!AC31/汇总表!$B$3</f>
        <v>0</v>
      </c>
      <c r="AE26" s="7">
        <f>汇总表!AD31/汇总表!$B$3</f>
        <v>0</v>
      </c>
      <c r="AF26" s="7">
        <f>汇总表!AE31/汇总表!$B$3</f>
        <v>0</v>
      </c>
      <c r="AG26" s="7">
        <f>汇总表!AF31/汇总表!$B$3</f>
        <v>0</v>
      </c>
      <c r="AH26" s="12">
        <f t="shared" si="0"/>
        <v>0</v>
      </c>
      <c r="AI26" s="12">
        <f t="shared" si="1"/>
        <v>0</v>
      </c>
      <c r="AJ26" s="12">
        <f t="shared" si="2"/>
        <v>0</v>
      </c>
      <c r="AK26" s="12">
        <f t="shared" si="3"/>
        <v>0</v>
      </c>
      <c r="AL26" s="12">
        <f t="shared" si="4"/>
        <v>0</v>
      </c>
    </row>
    <row r="27" customHeight="1" spans="1:38">
      <c r="A27" s="7" t="s">
        <v>701</v>
      </c>
      <c r="B27" s="10">
        <f t="shared" si="5"/>
        <v>0</v>
      </c>
      <c r="C27" s="7">
        <f>汇总表!B32/汇总表!$B$3</f>
        <v>0</v>
      </c>
      <c r="D27" s="7">
        <f>汇总表!C32/汇总表!$B$3</f>
        <v>0</v>
      </c>
      <c r="E27" s="7">
        <f>汇总表!D32/汇总表!$B$3</f>
        <v>0</v>
      </c>
      <c r="F27" s="7">
        <f>汇总表!E32/汇总表!$B$3</f>
        <v>0</v>
      </c>
      <c r="G27" s="7">
        <f>汇总表!F32/汇总表!$B$3</f>
        <v>0</v>
      </c>
      <c r="H27" s="7">
        <f>汇总表!G32/汇总表!$B$3</f>
        <v>0</v>
      </c>
      <c r="I27" s="7">
        <f>汇总表!H32/汇总表!$B$3</f>
        <v>0</v>
      </c>
      <c r="J27" s="7">
        <f>汇总表!I32/汇总表!$B$3</f>
        <v>0</v>
      </c>
      <c r="K27" s="7">
        <f>汇总表!J32/汇总表!$B$3</f>
        <v>0</v>
      </c>
      <c r="L27" s="7">
        <f>汇总表!K32/汇总表!$B$3</f>
        <v>0</v>
      </c>
      <c r="M27" s="7">
        <f>汇总表!L32/汇总表!$B$3</f>
        <v>0</v>
      </c>
      <c r="N27" s="7">
        <f>汇总表!M32/汇总表!$B$3</f>
        <v>0</v>
      </c>
      <c r="O27" s="7">
        <f>汇总表!N32/汇总表!$B$3</f>
        <v>0</v>
      </c>
      <c r="P27" s="7">
        <f>汇总表!O32/汇总表!$B$3</f>
        <v>0</v>
      </c>
      <c r="Q27" s="7">
        <f>汇总表!P32/汇总表!$B$3</f>
        <v>0</v>
      </c>
      <c r="R27" s="7">
        <f>汇总表!Q32/汇总表!$B$3</f>
        <v>0</v>
      </c>
      <c r="S27" s="7">
        <f>汇总表!R32/汇总表!$B$3</f>
        <v>0</v>
      </c>
      <c r="T27" s="7">
        <f>汇总表!S32/汇总表!$B$3</f>
        <v>0</v>
      </c>
      <c r="U27" s="7">
        <f>汇总表!T32/汇总表!$B$3</f>
        <v>0</v>
      </c>
      <c r="V27" s="7">
        <f>汇总表!U32/汇总表!$B$3</f>
        <v>0</v>
      </c>
      <c r="W27" s="7">
        <f>汇总表!V32/汇总表!$B$3</f>
        <v>0</v>
      </c>
      <c r="X27" s="7">
        <f>汇总表!W32/汇总表!$B$3</f>
        <v>0</v>
      </c>
      <c r="Y27" s="7">
        <f>汇总表!X32/汇总表!$B$3</f>
        <v>0</v>
      </c>
      <c r="Z27" s="7">
        <f>汇总表!Y32/汇总表!$B$3</f>
        <v>0</v>
      </c>
      <c r="AA27" s="7">
        <f>汇总表!Z32/汇总表!$B$3</f>
        <v>0</v>
      </c>
      <c r="AB27" s="7">
        <f>汇总表!AA32/汇总表!$B$3</f>
        <v>0</v>
      </c>
      <c r="AC27" s="7">
        <f>汇总表!AB32/汇总表!$B$3</f>
        <v>0</v>
      </c>
      <c r="AD27" s="7">
        <f>汇总表!AC32/汇总表!$B$3</f>
        <v>0</v>
      </c>
      <c r="AE27" s="7">
        <f>汇总表!AD32/汇总表!$B$3</f>
        <v>0</v>
      </c>
      <c r="AF27" s="7">
        <f>汇总表!AE32/汇总表!$B$3</f>
        <v>0</v>
      </c>
      <c r="AG27" s="7">
        <f>汇总表!AF32/汇总表!$B$3</f>
        <v>0</v>
      </c>
      <c r="AH27" s="12">
        <f t="shared" si="0"/>
        <v>0</v>
      </c>
      <c r="AI27" s="12">
        <f t="shared" si="1"/>
        <v>0</v>
      </c>
      <c r="AJ27" s="12">
        <f t="shared" si="2"/>
        <v>0</v>
      </c>
      <c r="AK27" s="12">
        <f t="shared" si="3"/>
        <v>0</v>
      </c>
      <c r="AL27" s="12">
        <f t="shared" si="4"/>
        <v>0</v>
      </c>
    </row>
    <row r="28" customHeight="1" spans="1:38">
      <c r="A28" s="7" t="s">
        <v>702</v>
      </c>
      <c r="B28" s="10">
        <f t="shared" si="5"/>
        <v>0.191518754385965</v>
      </c>
      <c r="C28" s="7">
        <f>汇总表!B33/汇总表!$B$3</f>
        <v>0.133691729323308</v>
      </c>
      <c r="D28" s="7">
        <f>汇总表!C33/汇总表!$B$3</f>
        <v>0.0757894736842105</v>
      </c>
      <c r="E28" s="7">
        <f>汇总表!D33/汇总表!$B$3</f>
        <v>0.0468421052631579</v>
      </c>
      <c r="F28" s="7">
        <f>汇总表!E33/汇总表!$B$3</f>
        <v>0.0511278195488722</v>
      </c>
      <c r="G28" s="7">
        <f>汇总表!F33/汇总表!$B$3</f>
        <v>0.12218045112782</v>
      </c>
      <c r="H28" s="7">
        <f>汇总表!G33/汇总表!$B$3</f>
        <v>0.241353383458647</v>
      </c>
      <c r="I28" s="7">
        <f>汇总表!H33/汇总表!$B$3</f>
        <v>0.165263157894737</v>
      </c>
      <c r="J28" s="7">
        <f>汇总表!I33/汇总表!$B$3</f>
        <v>0.118796992481203</v>
      </c>
      <c r="K28" s="7">
        <f>汇总表!J33/汇总表!$B$3</f>
        <v>0.0718796992481203</v>
      </c>
      <c r="L28" s="7">
        <f>汇总表!K33/汇总表!$B$3</f>
        <v>0.280300751879699</v>
      </c>
      <c r="M28" s="7">
        <f>汇总表!L33/汇总表!$B$3</f>
        <v>0.231729323308271</v>
      </c>
      <c r="N28" s="7">
        <f>汇总表!M33/汇总表!$B$3</f>
        <v>0.0496992481203008</v>
      </c>
      <c r="O28" s="7">
        <f>汇总表!N33/汇总表!$B$3</f>
        <v>0.138646616541353</v>
      </c>
      <c r="P28" s="7">
        <f>汇总表!O33/汇总表!$B$3</f>
        <v>0.173007518796992</v>
      </c>
      <c r="Q28" s="7">
        <f>汇总表!P33/汇总表!$B$3</f>
        <v>0.129022556390977</v>
      </c>
      <c r="R28" s="7">
        <f>汇总表!Q33/汇总表!$B$3</f>
        <v>0.104887218045113</v>
      </c>
      <c r="S28" s="7">
        <f>汇总表!R33/汇总表!$B$3</f>
        <v>0.191578947368421</v>
      </c>
      <c r="T28" s="7">
        <f>汇总表!S33/汇总表!$B$3</f>
        <v>0.0665413533834586</v>
      </c>
      <c r="U28" s="7">
        <f>汇总表!T33/汇总表!$B$3</f>
        <v>0.161729323308271</v>
      </c>
      <c r="V28" s="7">
        <f>汇总表!U33/汇总表!$B$3</f>
        <v>0.210375939849624</v>
      </c>
      <c r="W28" s="7">
        <f>汇总表!V33/汇总表!$B$3</f>
        <v>0.111278195488722</v>
      </c>
      <c r="X28" s="7">
        <f>汇总表!W33/汇总表!$B$3</f>
        <v>0.121278195488722</v>
      </c>
      <c r="Y28" s="7">
        <f>汇总表!X33/汇总表!$B$3</f>
        <v>0.252105263157895</v>
      </c>
      <c r="Z28" s="7">
        <f>汇总表!Y33/汇总表!$B$3</f>
        <v>0.324511278195489</v>
      </c>
      <c r="AA28" s="7">
        <f>汇总表!Z33/汇总表!$B$3</f>
        <v>0.134360902255639</v>
      </c>
      <c r="AB28" s="7">
        <f>汇总表!AA33/汇总表!$B$3</f>
        <v>0.235789473684211</v>
      </c>
      <c r="AC28" s="7">
        <f>汇总表!AB33/汇总表!$B$3</f>
        <v>1.32766917293233</v>
      </c>
      <c r="AD28" s="7">
        <f>汇总表!AC33/汇总表!$B$3</f>
        <v>0.0977097744360902</v>
      </c>
      <c r="AE28" s="7">
        <f>汇总表!AD33/汇总表!$B$3</f>
        <v>0.105067894736842</v>
      </c>
      <c r="AF28" s="7">
        <f>汇总表!AE33/汇总表!$B$3</f>
        <v>0.197458646616541</v>
      </c>
      <c r="AG28" s="7">
        <f>汇总表!AF33/汇总表!$B$3</f>
        <v>0.0738902255639098</v>
      </c>
      <c r="AH28" s="12">
        <f t="shared" si="0"/>
        <v>0.0854411027568922</v>
      </c>
      <c r="AI28" s="12">
        <f t="shared" si="1"/>
        <v>0.150128893662728</v>
      </c>
      <c r="AJ28" s="12">
        <f t="shared" si="2"/>
        <v>0.145510204081633</v>
      </c>
      <c r="AK28" s="12">
        <f t="shared" si="3"/>
        <v>0.178259935553169</v>
      </c>
      <c r="AL28" s="12">
        <f t="shared" si="4"/>
        <v>0.310278012889366</v>
      </c>
    </row>
    <row r="29" customHeight="1" spans="1:38">
      <c r="A29" s="7" t="s">
        <v>703</v>
      </c>
      <c r="B29" s="10">
        <f t="shared" si="5"/>
        <v>0</v>
      </c>
      <c r="C29" s="7">
        <f>汇总表!B34/汇总表!$B$3</f>
        <v>0</v>
      </c>
      <c r="D29" s="7">
        <f>汇总表!C34/汇总表!$B$3</f>
        <v>0</v>
      </c>
      <c r="E29" s="7">
        <f>汇总表!D34/汇总表!$B$3</f>
        <v>0</v>
      </c>
      <c r="F29" s="7">
        <f>汇总表!E34/汇总表!$B$3</f>
        <v>0</v>
      </c>
      <c r="G29" s="7">
        <f>汇总表!F34/汇总表!$B$3</f>
        <v>0</v>
      </c>
      <c r="H29" s="7">
        <f>汇总表!G34/汇总表!$B$3</f>
        <v>0</v>
      </c>
      <c r="I29" s="7">
        <f>汇总表!H34/汇总表!$B$3</f>
        <v>0</v>
      </c>
      <c r="J29" s="7">
        <f>汇总表!I34/汇总表!$B$3</f>
        <v>0</v>
      </c>
      <c r="K29" s="7">
        <f>汇总表!J34/汇总表!$B$3</f>
        <v>0</v>
      </c>
      <c r="L29" s="7">
        <f>汇总表!K34/汇总表!$B$3</f>
        <v>0</v>
      </c>
      <c r="M29" s="7">
        <f>汇总表!L34/汇总表!$B$3</f>
        <v>0</v>
      </c>
      <c r="N29" s="7">
        <f>汇总表!M34/汇总表!$B$3</f>
        <v>0</v>
      </c>
      <c r="O29" s="7">
        <f>汇总表!N34/汇总表!$B$3</f>
        <v>0</v>
      </c>
      <c r="P29" s="7">
        <f>汇总表!O34/汇总表!$B$3</f>
        <v>0</v>
      </c>
      <c r="Q29" s="7">
        <f>汇总表!P34/汇总表!$B$3</f>
        <v>0</v>
      </c>
      <c r="R29" s="7">
        <f>汇总表!Q34/汇总表!$B$3</f>
        <v>0</v>
      </c>
      <c r="S29" s="7">
        <f>汇总表!R34/汇总表!$B$3</f>
        <v>0</v>
      </c>
      <c r="T29" s="7">
        <f>汇总表!S34/汇总表!$B$3</f>
        <v>0</v>
      </c>
      <c r="U29" s="7">
        <f>汇总表!T34/汇总表!$B$3</f>
        <v>0</v>
      </c>
      <c r="V29" s="7">
        <f>汇总表!U34/汇总表!$B$3</f>
        <v>0</v>
      </c>
      <c r="W29" s="7">
        <f>汇总表!V34/汇总表!$B$3</f>
        <v>0</v>
      </c>
      <c r="X29" s="7">
        <f>汇总表!W34/汇总表!$B$3</f>
        <v>0</v>
      </c>
      <c r="Y29" s="7">
        <f>汇总表!X34/汇总表!$B$3</f>
        <v>0</v>
      </c>
      <c r="Z29" s="7">
        <f>汇总表!Y34/汇总表!$B$3</f>
        <v>0</v>
      </c>
      <c r="AA29" s="7">
        <f>汇总表!Z34/汇总表!$B$3</f>
        <v>0</v>
      </c>
      <c r="AB29" s="7">
        <f>汇总表!AA34/汇总表!$B$3</f>
        <v>0</v>
      </c>
      <c r="AC29" s="7">
        <f>汇总表!AB34/汇总表!$B$3</f>
        <v>0</v>
      </c>
      <c r="AD29" s="7">
        <f>汇总表!AC34/汇总表!$B$3</f>
        <v>0</v>
      </c>
      <c r="AE29" s="7">
        <f>汇总表!AD34/汇总表!$B$3</f>
        <v>0</v>
      </c>
      <c r="AF29" s="7">
        <f>汇总表!AE34/汇总表!$B$3</f>
        <v>0</v>
      </c>
      <c r="AG29" s="7">
        <f>汇总表!AF34/汇总表!$B$3</f>
        <v>0</v>
      </c>
      <c r="AH29" s="12">
        <f t="shared" si="0"/>
        <v>0</v>
      </c>
      <c r="AI29" s="12">
        <f t="shared" si="1"/>
        <v>0</v>
      </c>
      <c r="AJ29" s="12">
        <f t="shared" si="2"/>
        <v>0</v>
      </c>
      <c r="AK29" s="12">
        <f t="shared" si="3"/>
        <v>0</v>
      </c>
      <c r="AL29" s="12">
        <f t="shared" si="4"/>
        <v>0</v>
      </c>
    </row>
    <row r="30" customHeight="1" spans="1:38">
      <c r="A30" s="7" t="s">
        <v>704</v>
      </c>
      <c r="B30" s="10">
        <f t="shared" si="5"/>
        <v>0</v>
      </c>
      <c r="C30" s="7">
        <f>汇总表!B35/汇总表!$B$3</f>
        <v>0</v>
      </c>
      <c r="D30" s="7">
        <f>汇总表!C35/汇总表!$B$3</f>
        <v>0</v>
      </c>
      <c r="E30" s="7">
        <f>汇总表!D35/汇总表!$B$3</f>
        <v>0</v>
      </c>
      <c r="F30" s="7">
        <f>汇总表!E35/汇总表!$B$3</f>
        <v>0</v>
      </c>
      <c r="G30" s="7">
        <f>汇总表!F35/汇总表!$B$3</f>
        <v>0</v>
      </c>
      <c r="H30" s="7">
        <f>汇总表!G35/汇总表!$B$3</f>
        <v>0</v>
      </c>
      <c r="I30" s="7">
        <f>汇总表!H35/汇总表!$B$3</f>
        <v>0</v>
      </c>
      <c r="J30" s="7">
        <f>汇总表!I35/汇总表!$B$3</f>
        <v>0</v>
      </c>
      <c r="K30" s="7">
        <f>汇总表!J35/汇总表!$B$3</f>
        <v>0</v>
      </c>
      <c r="L30" s="7">
        <f>汇总表!K35/汇总表!$B$3</f>
        <v>0</v>
      </c>
      <c r="M30" s="7">
        <f>汇总表!L35/汇总表!$B$3</f>
        <v>0</v>
      </c>
      <c r="N30" s="7">
        <f>汇总表!M35/汇总表!$B$3</f>
        <v>0</v>
      </c>
      <c r="O30" s="7">
        <f>汇总表!N35/汇总表!$B$3</f>
        <v>0</v>
      </c>
      <c r="P30" s="7">
        <f>汇总表!O35/汇总表!$B$3</f>
        <v>0</v>
      </c>
      <c r="Q30" s="7">
        <f>汇总表!P35/汇总表!$B$3</f>
        <v>0</v>
      </c>
      <c r="R30" s="7">
        <f>汇总表!Q35/汇总表!$B$3</f>
        <v>0</v>
      </c>
      <c r="S30" s="7">
        <f>汇总表!R35/汇总表!$B$3</f>
        <v>0</v>
      </c>
      <c r="T30" s="7">
        <f>汇总表!S35/汇总表!$B$3</f>
        <v>0</v>
      </c>
      <c r="U30" s="7">
        <f>汇总表!T35/汇总表!$B$3</f>
        <v>0</v>
      </c>
      <c r="V30" s="7">
        <f>汇总表!U35/汇总表!$B$3</f>
        <v>0</v>
      </c>
      <c r="W30" s="7">
        <f>汇总表!V35/汇总表!$B$3</f>
        <v>0</v>
      </c>
      <c r="X30" s="7">
        <f>汇总表!W35/汇总表!$B$3</f>
        <v>0</v>
      </c>
      <c r="Y30" s="7">
        <f>汇总表!X35/汇总表!$B$3</f>
        <v>0</v>
      </c>
      <c r="Z30" s="7">
        <f>汇总表!Y35/汇总表!$B$3</f>
        <v>0</v>
      </c>
      <c r="AA30" s="7">
        <f>汇总表!Z35/汇总表!$B$3</f>
        <v>0</v>
      </c>
      <c r="AB30" s="7">
        <f>汇总表!AA35/汇总表!$B$3</f>
        <v>0</v>
      </c>
      <c r="AC30" s="7">
        <f>汇总表!AB35/汇总表!$B$3</f>
        <v>0</v>
      </c>
      <c r="AD30" s="7">
        <f>汇总表!AC35/汇总表!$B$3</f>
        <v>0</v>
      </c>
      <c r="AE30" s="7">
        <f>汇总表!AD35/汇总表!$B$3</f>
        <v>0</v>
      </c>
      <c r="AF30" s="7">
        <f>汇总表!AE35/汇总表!$B$3</f>
        <v>0</v>
      </c>
      <c r="AG30" s="7">
        <f>汇总表!AF35/汇总表!$B$3</f>
        <v>0</v>
      </c>
      <c r="AH30" s="12">
        <f t="shared" si="0"/>
        <v>0</v>
      </c>
      <c r="AI30" s="12">
        <f t="shared" si="1"/>
        <v>0</v>
      </c>
      <c r="AJ30" s="12">
        <f t="shared" si="2"/>
        <v>0</v>
      </c>
      <c r="AK30" s="12">
        <f t="shared" si="3"/>
        <v>0</v>
      </c>
      <c r="AL30" s="12">
        <f t="shared" si="4"/>
        <v>0</v>
      </c>
    </row>
    <row r="31" customHeight="1" spans="1:38">
      <c r="A31" s="7" t="s">
        <v>705</v>
      </c>
      <c r="B31" s="10">
        <f t="shared" si="5"/>
        <v>0.0884661654135338</v>
      </c>
      <c r="C31" s="7">
        <f>汇总表!B36/汇总表!$B$3</f>
        <v>0</v>
      </c>
      <c r="D31" s="7">
        <f>汇总表!C36/汇总表!$B$3</f>
        <v>0</v>
      </c>
      <c r="E31" s="7">
        <f>汇总表!D36/汇总表!$B$3</f>
        <v>0</v>
      </c>
      <c r="F31" s="7">
        <f>汇总表!E36/汇总表!$B$3</f>
        <v>0</v>
      </c>
      <c r="G31" s="7">
        <f>汇总表!F36/汇总表!$B$3</f>
        <v>0</v>
      </c>
      <c r="H31" s="7">
        <f>汇总表!G36/汇总表!$B$3</f>
        <v>0</v>
      </c>
      <c r="I31" s="7">
        <f>汇总表!H36/汇总表!$B$3</f>
        <v>0</v>
      </c>
      <c r="J31" s="7">
        <f>汇总表!I36/汇总表!$B$3</f>
        <v>0</v>
      </c>
      <c r="K31" s="7">
        <f>汇总表!J36/汇总表!$B$3</f>
        <v>0</v>
      </c>
      <c r="L31" s="7">
        <f>汇总表!K36/汇总表!$B$3</f>
        <v>0</v>
      </c>
      <c r="M31" s="7">
        <f>汇总表!L36/汇总表!$B$3</f>
        <v>0</v>
      </c>
      <c r="N31" s="7">
        <f>汇总表!M36/汇总表!$B$3</f>
        <v>0</v>
      </c>
      <c r="O31" s="7">
        <f>汇总表!N36/汇总表!$B$3</f>
        <v>0</v>
      </c>
      <c r="P31" s="7">
        <f>汇总表!O36/汇总表!$B$3</f>
        <v>0</v>
      </c>
      <c r="Q31" s="7">
        <f>汇总表!P36/汇总表!$B$3</f>
        <v>0</v>
      </c>
      <c r="R31" s="7">
        <f>汇总表!Q36/汇总表!$B$3</f>
        <v>0</v>
      </c>
      <c r="S31" s="7">
        <f>汇总表!R36/汇总表!$B$3</f>
        <v>0</v>
      </c>
      <c r="T31" s="7">
        <f>汇总表!S36/汇总表!$B$3</f>
        <v>0</v>
      </c>
      <c r="U31" s="7">
        <f>汇总表!T36/汇总表!$B$3</f>
        <v>0</v>
      </c>
      <c r="V31" s="7">
        <f>汇总表!U36/汇总表!$B$3</f>
        <v>0</v>
      </c>
      <c r="W31" s="7">
        <f>汇总表!V36/汇总表!$B$3</f>
        <v>0</v>
      </c>
      <c r="X31" s="7">
        <f>汇总表!W36/汇总表!$B$3</f>
        <v>0</v>
      </c>
      <c r="Y31" s="7">
        <f>汇总表!X36/汇总表!$B$3</f>
        <v>0</v>
      </c>
      <c r="Z31" s="7">
        <f>汇总表!Y36/汇总表!$B$3</f>
        <v>0</v>
      </c>
      <c r="AA31" s="7">
        <f>汇总表!Z36/汇总表!$B$3</f>
        <v>2.65398496240602</v>
      </c>
      <c r="AB31" s="7">
        <f>汇总表!AA36/汇总表!$B$3</f>
        <v>0</v>
      </c>
      <c r="AC31" s="7">
        <f>汇总表!AB36/汇总表!$B$3</f>
        <v>0</v>
      </c>
      <c r="AD31" s="7">
        <f>汇总表!AC36/汇总表!$B$3</f>
        <v>0</v>
      </c>
      <c r="AE31" s="7">
        <f>汇总表!AD36/汇总表!$B$3</f>
        <v>0</v>
      </c>
      <c r="AF31" s="7">
        <f>汇总表!AE36/汇总表!$B$3</f>
        <v>0</v>
      </c>
      <c r="AG31" s="7">
        <f>汇总表!AF36/汇总表!$B$3</f>
        <v>0</v>
      </c>
      <c r="AH31" s="12">
        <f t="shared" si="0"/>
        <v>0</v>
      </c>
      <c r="AI31" s="12">
        <f t="shared" si="1"/>
        <v>0</v>
      </c>
      <c r="AJ31" s="12">
        <f t="shared" si="2"/>
        <v>0</v>
      </c>
      <c r="AK31" s="12">
        <f t="shared" si="3"/>
        <v>0</v>
      </c>
      <c r="AL31" s="12">
        <f t="shared" si="4"/>
        <v>0.379140708915145</v>
      </c>
    </row>
    <row r="32" customHeight="1" spans="1:38">
      <c r="A32" s="7" t="s">
        <v>706</v>
      </c>
      <c r="B32" s="10">
        <f t="shared" si="5"/>
        <v>0</v>
      </c>
      <c r="C32" s="7">
        <f>汇总表!B37/汇总表!$B$3</f>
        <v>0</v>
      </c>
      <c r="D32" s="7">
        <f>汇总表!C37/汇总表!$B$3</f>
        <v>0</v>
      </c>
      <c r="E32" s="7">
        <f>汇总表!D37/汇总表!$B$3</f>
        <v>0</v>
      </c>
      <c r="F32" s="7">
        <f>汇总表!E37/汇总表!$B$3</f>
        <v>0</v>
      </c>
      <c r="G32" s="7">
        <f>汇总表!F37/汇总表!$B$3</f>
        <v>0</v>
      </c>
      <c r="H32" s="7">
        <f>汇总表!G37/汇总表!$B$3</f>
        <v>0</v>
      </c>
      <c r="I32" s="7">
        <f>汇总表!H37/汇总表!$B$3</f>
        <v>0</v>
      </c>
      <c r="J32" s="7">
        <f>汇总表!I37/汇总表!$B$3</f>
        <v>0</v>
      </c>
      <c r="K32" s="7">
        <f>汇总表!J37/汇总表!$B$3</f>
        <v>0</v>
      </c>
      <c r="L32" s="7">
        <f>汇总表!K37/汇总表!$B$3</f>
        <v>0</v>
      </c>
      <c r="M32" s="7">
        <f>汇总表!L37/汇总表!$B$3</f>
        <v>0</v>
      </c>
      <c r="N32" s="7">
        <f>汇总表!M37/汇总表!$B$3</f>
        <v>0</v>
      </c>
      <c r="O32" s="7">
        <f>汇总表!N37/汇总表!$B$3</f>
        <v>0</v>
      </c>
      <c r="P32" s="7">
        <f>汇总表!O37/汇总表!$B$3</f>
        <v>0</v>
      </c>
      <c r="Q32" s="7">
        <f>汇总表!P37/汇总表!$B$3</f>
        <v>0</v>
      </c>
      <c r="R32" s="7">
        <f>汇总表!Q37/汇总表!$B$3</f>
        <v>0</v>
      </c>
      <c r="S32" s="7">
        <f>汇总表!R37/汇总表!$B$3</f>
        <v>0</v>
      </c>
      <c r="T32" s="7">
        <f>汇总表!S37/汇总表!$B$3</f>
        <v>0</v>
      </c>
      <c r="U32" s="7">
        <f>汇总表!T37/汇总表!$B$3</f>
        <v>0</v>
      </c>
      <c r="V32" s="7">
        <f>汇总表!U37/汇总表!$B$3</f>
        <v>0</v>
      </c>
      <c r="W32" s="7">
        <f>汇总表!V37/汇总表!$B$3</f>
        <v>0</v>
      </c>
      <c r="X32" s="7">
        <f>汇总表!W37/汇总表!$B$3</f>
        <v>0</v>
      </c>
      <c r="Y32" s="7">
        <f>汇总表!X37/汇总表!$B$3</f>
        <v>0</v>
      </c>
      <c r="Z32" s="7">
        <f>汇总表!Y37/汇总表!$B$3</f>
        <v>0</v>
      </c>
      <c r="AA32" s="7">
        <f>汇总表!Z37/汇总表!$B$3</f>
        <v>0</v>
      </c>
      <c r="AB32" s="7">
        <f>汇总表!AA37/汇总表!$B$3</f>
        <v>0</v>
      </c>
      <c r="AC32" s="7">
        <f>汇总表!AB37/汇总表!$B$3</f>
        <v>0</v>
      </c>
      <c r="AD32" s="7">
        <f>汇总表!AC37/汇总表!$B$3</f>
        <v>0</v>
      </c>
      <c r="AE32" s="7">
        <f>汇总表!AD37/汇总表!$B$3</f>
        <v>0</v>
      </c>
      <c r="AF32" s="7">
        <f>汇总表!AE37/汇总表!$B$3</f>
        <v>0</v>
      </c>
      <c r="AG32" s="7">
        <f>汇总表!AF37/汇总表!$B$3</f>
        <v>0</v>
      </c>
      <c r="AH32" s="12">
        <f t="shared" si="0"/>
        <v>0</v>
      </c>
      <c r="AI32" s="12">
        <f t="shared" si="1"/>
        <v>0</v>
      </c>
      <c r="AJ32" s="12">
        <f t="shared" si="2"/>
        <v>0</v>
      </c>
      <c r="AK32" s="12">
        <f t="shared" si="3"/>
        <v>0</v>
      </c>
      <c r="AL32" s="12">
        <f t="shared" si="4"/>
        <v>0</v>
      </c>
    </row>
    <row r="33" customHeight="1" spans="1:38">
      <c r="A33" s="7" t="s">
        <v>707</v>
      </c>
      <c r="B33" s="10">
        <f t="shared" si="5"/>
        <v>0.0286917293233083</v>
      </c>
      <c r="C33" s="7">
        <f>汇总表!B38/汇总表!$B$3</f>
        <v>0</v>
      </c>
      <c r="D33" s="7">
        <f>汇总表!C38/汇总表!$B$3</f>
        <v>0.391729323308271</v>
      </c>
      <c r="E33" s="7">
        <f>汇总表!D38/汇总表!$B$3</f>
        <v>0</v>
      </c>
      <c r="F33" s="7">
        <f>汇总表!E38/汇总表!$B$3</f>
        <v>0</v>
      </c>
      <c r="G33" s="7">
        <f>汇总表!F38/汇总表!$B$3</f>
        <v>0</v>
      </c>
      <c r="H33" s="7">
        <f>汇总表!G38/汇总表!$B$3</f>
        <v>0.194812030075188</v>
      </c>
      <c r="I33" s="7">
        <f>汇总表!H38/汇总表!$B$3</f>
        <v>0</v>
      </c>
      <c r="J33" s="7">
        <f>汇总表!I38/汇总表!$B$3</f>
        <v>0</v>
      </c>
      <c r="K33" s="7">
        <f>汇总表!J38/汇总表!$B$3</f>
        <v>0</v>
      </c>
      <c r="L33" s="7">
        <f>汇总表!K38/汇总表!$B$3</f>
        <v>0</v>
      </c>
      <c r="M33" s="7">
        <f>汇总表!L38/汇总表!$B$3</f>
        <v>0</v>
      </c>
      <c r="N33" s="7">
        <f>汇总表!M38/汇总表!$B$3</f>
        <v>0</v>
      </c>
      <c r="O33" s="7">
        <f>汇总表!N38/汇总表!$B$3</f>
        <v>0</v>
      </c>
      <c r="P33" s="7">
        <f>汇总表!O38/汇总表!$B$3</f>
        <v>0</v>
      </c>
      <c r="Q33" s="7">
        <f>汇总表!P38/汇总表!$B$3</f>
        <v>0</v>
      </c>
      <c r="R33" s="7">
        <f>汇总表!Q38/汇总表!$B$3</f>
        <v>0</v>
      </c>
      <c r="S33" s="7">
        <f>汇总表!R38/汇总表!$B$3</f>
        <v>0</v>
      </c>
      <c r="T33" s="7">
        <f>汇总表!S38/汇总表!$B$3</f>
        <v>0</v>
      </c>
      <c r="U33" s="7">
        <f>汇总表!T38/汇总表!$B$3</f>
        <v>0</v>
      </c>
      <c r="V33" s="7">
        <f>汇总表!U38/汇总表!$B$3</f>
        <v>0</v>
      </c>
      <c r="W33" s="7">
        <f>汇总表!V38/汇总表!$B$3</f>
        <v>0</v>
      </c>
      <c r="X33" s="7">
        <f>汇总表!W38/汇总表!$B$3</f>
        <v>0</v>
      </c>
      <c r="Y33" s="7">
        <f>汇总表!X38/汇总表!$B$3</f>
        <v>0</v>
      </c>
      <c r="Z33" s="7">
        <f>汇总表!Y38/汇总表!$B$3</f>
        <v>0</v>
      </c>
      <c r="AA33" s="7">
        <f>汇总表!Z38/汇总表!$B$3</f>
        <v>0.0868421052631579</v>
      </c>
      <c r="AB33" s="7">
        <f>汇总表!AA38/汇总表!$B$3</f>
        <v>0.0434586466165414</v>
      </c>
      <c r="AC33" s="7">
        <f>汇总表!AB38/汇总表!$B$3</f>
        <v>0</v>
      </c>
      <c r="AD33" s="7">
        <f>汇总表!AC38/汇总表!$B$3</f>
        <v>0.0533458646616541</v>
      </c>
      <c r="AE33" s="7">
        <f>汇总表!AD38/汇总表!$B$3</f>
        <v>0.0533458646616541</v>
      </c>
      <c r="AF33" s="7">
        <f>汇总表!AE38/汇总表!$B$3</f>
        <v>0.018609022556391</v>
      </c>
      <c r="AG33" s="7">
        <f>汇总表!AF38/汇总表!$B$3</f>
        <v>0.018609022556391</v>
      </c>
      <c r="AH33" s="12">
        <f t="shared" si="0"/>
        <v>0.130576441102757</v>
      </c>
      <c r="AI33" s="12">
        <f t="shared" si="1"/>
        <v>0.0278302900107411</v>
      </c>
      <c r="AJ33" s="12">
        <f t="shared" si="2"/>
        <v>0</v>
      </c>
      <c r="AK33" s="12">
        <f t="shared" si="3"/>
        <v>0</v>
      </c>
      <c r="AL33" s="12">
        <f t="shared" si="4"/>
        <v>0.0391729323308271</v>
      </c>
    </row>
    <row r="34" customHeight="1" spans="1:38">
      <c r="A34" s="7" t="s">
        <v>658</v>
      </c>
      <c r="B34" s="10">
        <f t="shared" si="5"/>
        <v>4.41104705764411</v>
      </c>
      <c r="C34" s="7">
        <f>汇总表!B39/汇总表!$B$3</f>
        <v>3.95883283046325</v>
      </c>
      <c r="D34" s="7">
        <f>汇总表!C39/汇总表!$B$3</f>
        <v>3.95883283046325</v>
      </c>
      <c r="E34" s="7">
        <f>汇总表!D39/汇总表!$B$3</f>
        <v>3.95883283046325</v>
      </c>
      <c r="F34" s="7">
        <f>汇总表!E39/汇总表!$B$3</f>
        <v>3.95883283046325</v>
      </c>
      <c r="G34" s="7">
        <f>汇总表!F39/汇总表!$B$3</f>
        <v>3.95883283046325</v>
      </c>
      <c r="H34" s="7">
        <f>汇总表!G39/汇总表!$B$3</f>
        <v>3.95883283046325</v>
      </c>
      <c r="I34" s="7">
        <f>汇总表!H39/汇总表!$B$3</f>
        <v>3.95883283046325</v>
      </c>
      <c r="J34" s="7">
        <f>汇总表!I39/汇总表!$B$3</f>
        <v>3.95883283046325</v>
      </c>
      <c r="K34" s="7">
        <f>汇总表!J39/汇总表!$B$3</f>
        <v>3.95883283046325</v>
      </c>
      <c r="L34" s="7">
        <f>汇总表!K39/汇总表!$B$3</f>
        <v>3.95883283046325</v>
      </c>
      <c r="M34" s="7">
        <f>汇总表!L39/汇总表!$B$3</f>
        <v>3.95883283046325</v>
      </c>
      <c r="N34" s="7">
        <f>汇总表!M39/汇总表!$B$3</f>
        <v>3.95883283046325</v>
      </c>
      <c r="O34" s="7">
        <f>汇总表!N39/汇总表!$B$3</f>
        <v>4.33477268008731</v>
      </c>
      <c r="P34" s="7">
        <f>汇总表!O39/汇总表!$B$3</f>
        <v>4.33477268008731</v>
      </c>
      <c r="Q34" s="7">
        <f>汇总表!P39/汇总表!$B$3</f>
        <v>4.33477268008731</v>
      </c>
      <c r="R34" s="7">
        <f>汇总表!Q39/汇总表!$B$3</f>
        <v>4.33477268008731</v>
      </c>
      <c r="S34" s="7">
        <f>汇总表!R39/汇总表!$B$3</f>
        <v>4.33477268008731</v>
      </c>
      <c r="T34" s="7">
        <f>汇总表!S39/汇总表!$B$3</f>
        <v>4.33477268008731</v>
      </c>
      <c r="U34" s="7">
        <f>汇总表!T39/汇总表!$B$3</f>
        <v>4.33477268008731</v>
      </c>
      <c r="V34" s="7">
        <f>汇总表!U39/汇总表!$B$3</f>
        <v>3.69973508610235</v>
      </c>
      <c r="W34" s="7">
        <f>汇总表!V39/汇总表!$B$3</f>
        <v>4.33477268008731</v>
      </c>
      <c r="X34" s="7">
        <f>汇总表!W39/汇总表!$B$3</f>
        <v>3.95717869512491</v>
      </c>
      <c r="Y34" s="7">
        <f>汇总表!X39/汇总表!$B$3</f>
        <v>4.33477268008731</v>
      </c>
      <c r="Z34" s="7">
        <f>汇总表!Y39/汇总表!$B$3</f>
        <v>4.33477268008731</v>
      </c>
      <c r="AA34" s="7">
        <f>汇总表!Z39/汇总表!$B$3</f>
        <v>3.79702831918506</v>
      </c>
      <c r="AB34" s="7">
        <f>汇总表!AA39/汇总表!$B$3</f>
        <v>3.49266741692942</v>
      </c>
      <c r="AC34" s="7">
        <f>汇总表!AB39/汇总表!$B$3</f>
        <v>4.94905839437303</v>
      </c>
      <c r="AD34" s="7">
        <f>汇总表!AC39/汇总表!$B$3</f>
        <v>4.33477268008731</v>
      </c>
      <c r="AE34" s="7">
        <f>汇总表!AD39/汇总表!$B$3</f>
        <v>4.76116365753092</v>
      </c>
      <c r="AF34" s="7">
        <f>汇总表!AE39/汇总表!$B$3</f>
        <v>5.47499824399709</v>
      </c>
      <c r="AG34" s="7">
        <f>汇总表!AF39/汇总表!$B$3</f>
        <v>7.011088469561</v>
      </c>
      <c r="AH34" s="12">
        <f t="shared" si="0"/>
        <v>3.95883283046325</v>
      </c>
      <c r="AI34" s="12">
        <f t="shared" si="1"/>
        <v>3.95883283046325</v>
      </c>
      <c r="AJ34" s="12">
        <f t="shared" si="2"/>
        <v>4.22736129448044</v>
      </c>
      <c r="AK34" s="12">
        <f t="shared" si="3"/>
        <v>4.19011102595198</v>
      </c>
      <c r="AL34" s="12">
        <f t="shared" si="4"/>
        <v>4.83153959738055</v>
      </c>
    </row>
    <row r="35" customHeight="1" spans="1:38">
      <c r="A35" s="7"/>
      <c r="B35" s="10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12"/>
      <c r="AI35" s="12"/>
      <c r="AJ35" s="12"/>
      <c r="AK35" s="12"/>
      <c r="AL35" s="12"/>
    </row>
    <row r="36" customHeight="1" spans="1:38">
      <c r="A36" s="15"/>
      <c r="B36" s="10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12"/>
      <c r="AI36" s="12"/>
      <c r="AJ36" s="12"/>
      <c r="AK36" s="12"/>
      <c r="AL36" s="12"/>
    </row>
    <row r="37" customHeight="1" spans="1:38">
      <c r="A37" s="6" t="s">
        <v>335</v>
      </c>
      <c r="B37" s="10">
        <f t="shared" si="5"/>
        <v>156.554387252816</v>
      </c>
      <c r="C37" s="7">
        <f>SUM(C3:C36)</f>
        <v>194.57228162647</v>
      </c>
      <c r="D37" s="7">
        <f t="shared" ref="C37:AG37" si="6">SUM(D3:D36)</f>
        <v>144.645414926847</v>
      </c>
      <c r="E37" s="7">
        <f t="shared" si="6"/>
        <v>160.62493498604</v>
      </c>
      <c r="F37" s="7">
        <f t="shared" si="6"/>
        <v>126.394452337472</v>
      </c>
      <c r="G37" s="7">
        <f t="shared" si="6"/>
        <v>169.716506644198</v>
      </c>
      <c r="H37" s="7">
        <f t="shared" si="6"/>
        <v>137.543719341965</v>
      </c>
      <c r="I37" s="7">
        <f t="shared" si="6"/>
        <v>128.941050443061</v>
      </c>
      <c r="J37" s="7">
        <f t="shared" si="6"/>
        <v>142.071336282642</v>
      </c>
      <c r="K37" s="7">
        <f t="shared" si="6"/>
        <v>134.894546112334</v>
      </c>
      <c r="L37" s="7">
        <f t="shared" si="6"/>
        <v>134.352292404259</v>
      </c>
      <c r="M37" s="7">
        <f t="shared" si="6"/>
        <v>147.022940716035</v>
      </c>
      <c r="N37" s="7">
        <f t="shared" si="6"/>
        <v>159.369584568584</v>
      </c>
      <c r="O37" s="7">
        <f t="shared" si="6"/>
        <v>172.740759599503</v>
      </c>
      <c r="P37" s="7">
        <f t="shared" si="6"/>
        <v>151.600086871347</v>
      </c>
      <c r="Q37" s="7">
        <f t="shared" si="6"/>
        <v>135.40432003912</v>
      </c>
      <c r="R37" s="7">
        <f t="shared" si="6"/>
        <v>143.720498089377</v>
      </c>
      <c r="S37" s="7">
        <f t="shared" si="6"/>
        <v>149.587403695346</v>
      </c>
      <c r="T37" s="7">
        <f t="shared" si="6"/>
        <v>136.780996152446</v>
      </c>
      <c r="U37" s="7">
        <f t="shared" si="6"/>
        <v>182.279045649754</v>
      </c>
      <c r="V37" s="7">
        <f t="shared" si="6"/>
        <v>144.744040226147</v>
      </c>
      <c r="W37" s="7">
        <f t="shared" si="6"/>
        <v>148.930935343563</v>
      </c>
      <c r="X37" s="7">
        <f t="shared" si="6"/>
        <v>164.811706952796</v>
      </c>
      <c r="Y37" s="7">
        <f t="shared" si="6"/>
        <v>150.894619860427</v>
      </c>
      <c r="Z37" s="7">
        <f t="shared" si="6"/>
        <v>180.956465447307</v>
      </c>
      <c r="AA37" s="7">
        <f t="shared" si="6"/>
        <v>159.059397758953</v>
      </c>
      <c r="AB37" s="7">
        <f t="shared" si="6"/>
        <v>172.470837402322</v>
      </c>
      <c r="AC37" s="7">
        <f t="shared" si="6"/>
        <v>190.938862301967</v>
      </c>
      <c r="AD37" s="7">
        <f t="shared" si="6"/>
        <v>141.354657078305</v>
      </c>
      <c r="AE37" s="7">
        <f t="shared" si="6"/>
        <v>127.326395054915</v>
      </c>
      <c r="AF37" s="7">
        <f t="shared" si="6"/>
        <v>139.892217696209</v>
      </c>
      <c r="AG37" s="7">
        <f t="shared" si="6"/>
        <v>122.989311974761</v>
      </c>
      <c r="AH37" s="12">
        <f t="shared" si="0"/>
        <v>166.614210513119</v>
      </c>
      <c r="AI37" s="12">
        <f t="shared" si="1"/>
        <v>139.130557652276</v>
      </c>
      <c r="AJ37" s="12">
        <f t="shared" si="2"/>
        <v>151.34937051133</v>
      </c>
      <c r="AK37" s="12">
        <f t="shared" si="3"/>
        <v>158.485401376063</v>
      </c>
      <c r="AL37" s="12">
        <f t="shared" si="4"/>
        <v>150.575954181062</v>
      </c>
    </row>
    <row r="38" s="2" customFormat="1" ht="13.5" spans="1:38">
      <c r="A38" s="16" t="s">
        <v>851</v>
      </c>
      <c r="B38" s="17">
        <f>B37-B19</f>
        <v>107.985966200184</v>
      </c>
      <c r="C38" s="17">
        <f t="shared" ref="C38:AL38" si="7">C37-C19</f>
        <v>147.570583833601</v>
      </c>
      <c r="D38" s="17">
        <f t="shared" si="7"/>
        <v>97.6437171339775</v>
      </c>
      <c r="E38" s="17">
        <f t="shared" si="7"/>
        <v>113.623237193171</v>
      </c>
      <c r="F38" s="17">
        <f t="shared" si="7"/>
        <v>79.3927545446028</v>
      </c>
      <c r="G38" s="17">
        <f t="shared" si="7"/>
        <v>122.714808851329</v>
      </c>
      <c r="H38" s="17">
        <f t="shared" si="7"/>
        <v>90.5420215490961</v>
      </c>
      <c r="I38" s="17">
        <f t="shared" si="7"/>
        <v>81.9393526501915</v>
      </c>
      <c r="J38" s="17">
        <f t="shared" si="7"/>
        <v>95.0696384897728</v>
      </c>
      <c r="K38" s="17">
        <f t="shared" si="7"/>
        <v>87.8928483194642</v>
      </c>
      <c r="L38" s="17">
        <f t="shared" si="7"/>
        <v>87.3505946113894</v>
      </c>
      <c r="M38" s="17">
        <f t="shared" si="7"/>
        <v>100.021242923166</v>
      </c>
      <c r="N38" s="17">
        <f t="shared" si="7"/>
        <v>112.367886775715</v>
      </c>
      <c r="O38" s="17">
        <f t="shared" si="7"/>
        <v>125.739061806634</v>
      </c>
      <c r="P38" s="17">
        <f t="shared" si="7"/>
        <v>104.598389078478</v>
      </c>
      <c r="Q38" s="17">
        <f t="shared" si="7"/>
        <v>88.4026222462504</v>
      </c>
      <c r="R38" s="17">
        <f t="shared" si="7"/>
        <v>96.7188002965075</v>
      </c>
      <c r="S38" s="17">
        <f t="shared" si="7"/>
        <v>102.585705902477</v>
      </c>
      <c r="T38" s="17">
        <f t="shared" si="7"/>
        <v>89.779298359577</v>
      </c>
      <c r="U38" s="17">
        <f t="shared" si="7"/>
        <v>135.277347856885</v>
      </c>
      <c r="V38" s="17">
        <f t="shared" si="7"/>
        <v>97.742342433278</v>
      </c>
      <c r="W38" s="17">
        <f t="shared" si="7"/>
        <v>101.929237550694</v>
      </c>
      <c r="X38" s="17">
        <f t="shared" si="7"/>
        <v>117.810009159927</v>
      </c>
      <c r="Y38" s="17">
        <f t="shared" si="7"/>
        <v>103.892922067558</v>
      </c>
      <c r="Z38" s="17">
        <f t="shared" si="7"/>
        <v>133.954767654438</v>
      </c>
      <c r="AA38" s="17">
        <f t="shared" si="7"/>
        <v>112.057699966083</v>
      </c>
      <c r="AB38" s="17">
        <f t="shared" si="7"/>
        <v>125.469139609452</v>
      </c>
      <c r="AC38" s="17">
        <f t="shared" si="7"/>
        <v>143.937164509098</v>
      </c>
      <c r="AD38" s="17">
        <f t="shared" si="7"/>
        <v>94.3529592854354</v>
      </c>
      <c r="AE38" s="17">
        <f t="shared" si="7"/>
        <v>80.3246972620458</v>
      </c>
      <c r="AF38" s="17">
        <f t="shared" si="7"/>
        <v>92.8905199033393</v>
      </c>
      <c r="AG38" s="17">
        <f t="shared" si="7"/>
        <v>75.9876141818919</v>
      </c>
      <c r="AH38" s="17">
        <f t="shared" si="7"/>
        <v>119.61251272025</v>
      </c>
      <c r="AI38" s="17">
        <f t="shared" si="7"/>
        <v>92.1288598594065</v>
      </c>
      <c r="AJ38" s="17">
        <f t="shared" si="7"/>
        <v>104.347672718461</v>
      </c>
      <c r="AK38" s="17">
        <f t="shared" si="7"/>
        <v>111.483703583194</v>
      </c>
      <c r="AL38" s="17">
        <f t="shared" si="7"/>
        <v>103.574256388192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4">
    <commentChains s:ref="W28" rgbClr="FF0000">
      <unresolved>
        <commentChain chainId="ec365c0632b5b0b2bc3b0fb077d0f90f9cba7249">
          <item id="a58d03aba55540e11d8e107262f01f367544ef5e" isNormal="1">
            <s:text>
              <s:r>
                <s:t xml:space="preserve">nanna:
根据绿云系统开房数量填写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0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12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25" interlineOnOff="0" interlineColor="0" isDbSheet="0" isDashBoardSheet="0" isDbDashBoardSheet="0" isFlexPaperSheet="0">
      <cellprotection/>
      <appEtDbRelations/>
    </woSheetProps>
    <woSheetProps sheetStid="26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  <woSheetProps sheetStid="28" interlineOnOff="0" interlineColor="0" isDbSheet="0" isDashBoardSheet="0" isDbDashBoardSheet="0" isFlexPaperSheet="0">
      <cellprotection/>
      <appEtDbRelations/>
    </woSheetProps>
    <woSheetProps sheetStid="22" interlineOnOff="0" interlineColor="0" isDbSheet="0" isDashBoardSheet="0" isDbDashBoardSheet="0" isFlexPaperSheet="0">
      <cellprotection/>
      <appEtDbRelations/>
    </woSheetProps>
    <woSheetProps sheetStid="31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32" interlineOnOff="0" interlineColor="0" isDbSheet="0" isDashBoardSheet="0" isDbDashBoardSheet="0" isFlexPaperSheet="0">
      <cellprotection/>
      <appEtDbRelations/>
    </woSheetProps>
    <woSheetProps sheetStid="20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  <woSheetProps sheetStid="24" interlineOnOff="0" interlineColor="0" isDbSheet="0" isDashBoardSheet="0" isDbDashBoardSheet="0" isFlexPaperSheet="0">
      <cellprotection/>
      <appEtDbRelations/>
    </woSheetProps>
    <woSheetProps sheetStid="23" interlineOnOff="0" interlineColor="0" isDbSheet="0" isDashBoardSheet="0" isDbDashBoardSheet="0" isFlexPaperSheet="0">
      <cellprotection/>
      <appEtDbRelations/>
    </woSheetProps>
    <woSheetProps sheetStid="33" interlineOnOff="0" interlineColor="0" isDbSheet="0" isDashBoardSheet="0" isDbDashBoardSheet="0" isFlexPaperSheet="0">
      <cellprotection/>
      <appEtDbRelations/>
    </woSheetProps>
    <woSheetProps sheetStid="34" interlineOnOff="0" interlineColor="0" isDbSheet="0" isDashBoardSheet="0" isDbDashBoardSheet="0" isFlexPaperSheet="0">
      <cellprotection/>
      <appEtDbRelations/>
    </woSheetProps>
    <woSheetProps sheetStid="35" interlineOnOff="0" interlineColor="0" isDbSheet="0" isDashBoardSheet="0" isDbDashBoardSheet="0" isFlexPaperSheet="0">
      <cellprotection/>
      <appEtDbRelations/>
    </woSheetProps>
    <woSheetProps sheetStid="36" interlineOnOff="0" interlineColor="0" isDbSheet="0" isDashBoardSheet="0" isDbDashBoardSheet="0" isFlexPaperSheet="0">
      <cellprotection/>
      <appEtDbRelations/>
    </woSheetProps>
    <woSheetProps sheetStid="37" interlineOnOff="0" interlineColor="0" isDbSheet="0" isDashBoardSheet="0" isDbDashBoardSheet="0" isFlexPaperSheet="0">
      <cellprotection/>
      <appEtDbRelations/>
    </woSheetProps>
    <woSheetProps sheetStid="38" interlineOnOff="0" interlineColor="0" isDbSheet="0" isDashBoardSheet="0" isDbDashBoardSheet="0" isFlexPaperSheet="0">
      <cellprotection/>
      <appEtDbRelations/>
    </woSheetProps>
    <woSheetProps sheetStid="39" interlineOnOff="0" interlineColor="0" isDbSheet="0" isDashBoardSheet="0" isDbDashBoardSheet="0" isFlexPaperSheet="0">
      <cellprotection/>
      <appEtDbRelations/>
    </woSheetProps>
    <woSheetProps sheetStid="40" interlineOnOff="0" interlineColor="0" isDbSheet="0" isDashBoardSheet="0" isDbDashBoardSheet="0" isFlexPaperSheet="0">
      <cellprotection/>
      <appEtDbRelations/>
    </woSheetProps>
  </woSheetsProps>
  <woBookProps>
    <bookSettings fileId="521674085595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0"/>
  <pixelatorList sheetStid="9"/>
  <pixelatorList sheetStid="8"/>
  <pixelatorList sheetStid="16"/>
  <pixelatorList sheetStid="11"/>
  <pixelatorList sheetStid="12"/>
  <pixelatorList sheetStid="15"/>
  <pixelatorList sheetStid="14"/>
  <pixelatorList sheetStid="13"/>
  <pixelatorList sheetStid="17"/>
  <pixelatorList sheetStid="2"/>
  <pixelatorList sheetStid="5"/>
  <pixelatorList sheetStid="1"/>
  <pixelatorList sheetStid="4"/>
  <pixelatorList sheetStid="6"/>
  <pixelatorList sheetStid="7"/>
  <pixelatorList sheetStid="18"/>
  <pixelatorList sheetStid="25"/>
  <pixelatorList sheetStid="26"/>
  <pixelatorList sheetStid="27"/>
  <pixelatorList sheetStid="30"/>
  <pixelatorList sheetStid="28"/>
  <pixelatorList sheetStid="22"/>
  <pixelatorList sheetStid="31"/>
  <pixelatorList sheetStid="29"/>
  <pixelatorList sheetStid="21"/>
  <pixelatorList sheetStid="32"/>
  <pixelatorList sheetStid="20"/>
  <pixelatorList sheetStid="19"/>
  <pixelatorList sheetStid="24"/>
  <pixelatorList sheetStid="23"/>
  <pixelatorList sheetStid="33"/>
  <pixelatorList sheetStid="34"/>
  <pixelatorList sheetStid="35"/>
  <pixelatorList sheetStid="36"/>
  <pixelatorList sheetStid="37"/>
  <pixelatorList sheetStid="38"/>
  <pixelatorList sheetStid="39"/>
  <pixelatorList sheetStid="40"/>
  <pixelatorList sheetStid="41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WWO_wpscloud_20260805160907-ca3bb104b7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前台好评提成录入</vt:lpstr>
      <vt:lpstr>前台二维码提成录入</vt:lpstr>
      <vt:lpstr>前台工资录入</vt:lpstr>
      <vt:lpstr>前台增值物品出入库录入</vt:lpstr>
      <vt:lpstr>会员卡提成录入</vt:lpstr>
      <vt:lpstr>商品录入</vt:lpstr>
      <vt:lpstr>客房耗材出入库录入</vt:lpstr>
      <vt:lpstr>客房提成录入</vt:lpstr>
      <vt:lpstr>洗涤费录入</vt:lpstr>
      <vt:lpstr>客房工资录入</vt:lpstr>
      <vt:lpstr>餐厅成本录入</vt:lpstr>
      <vt:lpstr>用餐人数录入</vt:lpstr>
      <vt:lpstr>餐厅工资录入 </vt:lpstr>
      <vt:lpstr>平台推广费录入</vt:lpstr>
      <vt:lpstr>能耗录入</vt:lpstr>
      <vt:lpstr>固定费用录入</vt:lpstr>
      <vt:lpstr>管理层工资录入</vt:lpstr>
      <vt:lpstr>前台二维码提成呈现</vt:lpstr>
      <vt:lpstr>前台好评提成呈现</vt:lpstr>
      <vt:lpstr>会员卡提成呈现</vt:lpstr>
      <vt:lpstr>前台增值物品成本呈现</vt:lpstr>
      <vt:lpstr>商品成本呈现</vt:lpstr>
      <vt:lpstr>前台工资呈现</vt:lpstr>
      <vt:lpstr>客房耗材成本呈现</vt:lpstr>
      <vt:lpstr>洗涤费呈现</vt:lpstr>
      <vt:lpstr>客房提成呈现</vt:lpstr>
      <vt:lpstr>客房工资呈现</vt:lpstr>
      <vt:lpstr>餐厅成本呈现</vt:lpstr>
      <vt:lpstr>用餐金额呈现</vt:lpstr>
      <vt:lpstr>餐厅工资呈现</vt:lpstr>
      <vt:lpstr>耗能呈现</vt:lpstr>
      <vt:lpstr>管理层工资呈现</vt:lpstr>
      <vt:lpstr>收入及其他项目</vt:lpstr>
      <vt:lpstr>汇总表</vt:lpstr>
      <vt:lpstr>阿米巴核算表（月）</vt:lpstr>
      <vt:lpstr>阿米巴核算表（日）</vt:lpstr>
      <vt:lpstr>时长汇总</vt:lpstr>
      <vt:lpstr>用餐人数汇总</vt:lpstr>
      <vt:lpstr>单间成本表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李祯。</cp:lastModifiedBy>
  <dcterms:created xsi:type="dcterms:W3CDTF">2025-07-16T16:43:00Z</dcterms:created>
  <dcterms:modified xsi:type="dcterms:W3CDTF">2026-07-30T02:15:00Z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A1048DE6BB50C56741D3076AB8C99B34_43</vt:lpwstr>
  </property>
  <property fmtid="{D5CDD505-2E9C-101B-9397-08002B2CF9AE}" pid="3" name="KSOProductBuildVer">
    <vt:lpwstr>2052-12.9.0.28212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