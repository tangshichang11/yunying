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N\Desktop\2026年门店业绩预定\日核算表\8月\"/>
    </mc:Choice>
  </mc:AlternateContent>
  <bookViews>
    <workbookView windowWidth="20752" windowHeight="9555"/>
  </bookViews>
  <sheets>
    <sheet name="8月日核算表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<sst xmlns="http://schemas.openxmlformats.org/spreadsheetml/2006/main" count="208" uniqueCount="171">
  <si>
    <t>拆解</t>
  </si>
  <si>
    <t>星期五</t>
  </si>
  <si>
    <t>星期六</t>
  </si>
  <si>
    <t>星期日</t>
  </si>
  <si>
    <t>星期一</t>
  </si>
  <si>
    <t>星期二</t>
  </si>
  <si>
    <t>星期三</t>
  </si>
  <si>
    <t>星期四</t>
  </si>
  <si>
    <t>合计</t>
  </si>
  <si>
    <t>门店</t>
  </si>
  <si>
    <t>科目</t>
  </si>
  <si>
    <t>业绩预定</t>
  </si>
  <si>
    <t>费率</t>
  </si>
  <si>
    <t>管理费预定</t>
  </si>
  <si>
    <t>1日业绩预定</t>
  </si>
  <si>
    <t>1日达成</t>
  </si>
  <si>
    <t>1日管理费预定</t>
  </si>
  <si>
    <t>1日完成</t>
  </si>
  <si>
    <t>2日业绩预定</t>
  </si>
  <si>
    <t>2日达成</t>
  </si>
  <si>
    <t>2日管理费预定</t>
  </si>
  <si>
    <t>2日完成</t>
  </si>
  <si>
    <t>3日业绩预定</t>
  </si>
  <si>
    <t>3日达成</t>
  </si>
  <si>
    <t>3日管理费预定</t>
  </si>
  <si>
    <t>3日完成</t>
  </si>
  <si>
    <t>4日业绩预定</t>
  </si>
  <si>
    <t>4日达成</t>
  </si>
  <si>
    <t>4日管理费预定</t>
  </si>
  <si>
    <t>4日完成</t>
  </si>
  <si>
    <t>5日业绩预定</t>
  </si>
  <si>
    <t>5日达成</t>
  </si>
  <si>
    <t>5日管理费预定</t>
  </si>
  <si>
    <t>5日完成</t>
  </si>
  <si>
    <t>6日业绩预定</t>
  </si>
  <si>
    <t>6日达成</t>
  </si>
  <si>
    <t>6日管理费预定</t>
  </si>
  <si>
    <t>6日完成</t>
  </si>
  <si>
    <t>7日业绩预定</t>
  </si>
  <si>
    <t>7日达成</t>
  </si>
  <si>
    <t>7日管理费预定</t>
  </si>
  <si>
    <t>7日完成</t>
  </si>
  <si>
    <t>8日业绩预定</t>
  </si>
  <si>
    <t>8日达成</t>
  </si>
  <si>
    <t>8日管理费预定</t>
  </si>
  <si>
    <t>8日完成</t>
  </si>
  <si>
    <t>9日业绩预定</t>
  </si>
  <si>
    <t>9日达成</t>
  </si>
  <si>
    <t>9日管理费预定</t>
  </si>
  <si>
    <t>9日完成</t>
  </si>
  <si>
    <t>10日业绩预定</t>
  </si>
  <si>
    <t>10日达成</t>
  </si>
  <si>
    <t>10日管理费预定</t>
  </si>
  <si>
    <t>10日完成</t>
  </si>
  <si>
    <t>11日业绩预定</t>
  </si>
  <si>
    <t>11日达成</t>
  </si>
  <si>
    <t>11日管理费预定</t>
  </si>
  <si>
    <t>11日完成</t>
  </si>
  <si>
    <t>12日业绩预定</t>
  </si>
  <si>
    <t>12日达成</t>
  </si>
  <si>
    <t>12日管理费预定</t>
  </si>
  <si>
    <t>12日完成</t>
  </si>
  <si>
    <t>13日业绩预定</t>
  </si>
  <si>
    <t>13日达成</t>
  </si>
  <si>
    <t>13日管理费预定</t>
  </si>
  <si>
    <t>13日完成</t>
  </si>
  <si>
    <t>14日业绩预定</t>
  </si>
  <si>
    <t>14日达成</t>
  </si>
  <si>
    <t>14日管理费预定</t>
  </si>
  <si>
    <t>14日完成</t>
  </si>
  <si>
    <t>15日业绩预定</t>
  </si>
  <si>
    <t>15日达成</t>
  </si>
  <si>
    <t>15日管理费预定</t>
  </si>
  <si>
    <t>15日完成</t>
  </si>
  <si>
    <t>16日业绩预定</t>
  </si>
  <si>
    <t>16日达成</t>
  </si>
  <si>
    <t>16日管理费预定</t>
  </si>
  <si>
    <t>16日完成</t>
  </si>
  <si>
    <t>17日业绩预定</t>
  </si>
  <si>
    <t>17日达成</t>
  </si>
  <si>
    <t>17日管理费预定</t>
  </si>
  <si>
    <t>17日完成</t>
  </si>
  <si>
    <t>18日业绩预定</t>
  </si>
  <si>
    <t>18日达成</t>
  </si>
  <si>
    <t>18日管理费预定</t>
  </si>
  <si>
    <t>18日完成</t>
  </si>
  <si>
    <t>19日业绩预定</t>
  </si>
  <si>
    <t>19日达成</t>
  </si>
  <si>
    <t>19日管理费预定</t>
  </si>
  <si>
    <t>19日完成</t>
  </si>
  <si>
    <t>20日业绩预定</t>
  </si>
  <si>
    <t>20日达成</t>
  </si>
  <si>
    <t>20日管理费预定</t>
  </si>
  <si>
    <t>20日完成</t>
  </si>
  <si>
    <t>21日业绩预定</t>
  </si>
  <si>
    <t>21日达成</t>
  </si>
  <si>
    <t>21日管理费预定</t>
  </si>
  <si>
    <t>21日完成</t>
  </si>
  <si>
    <t>22日业绩预定</t>
  </si>
  <si>
    <t>22日达成</t>
  </si>
  <si>
    <t>22日管理费预定</t>
  </si>
  <si>
    <t>22日完成</t>
  </si>
  <si>
    <t>23日业绩预定</t>
  </si>
  <si>
    <t>23日达成</t>
  </si>
  <si>
    <t>23日管理费预定</t>
  </si>
  <si>
    <t>23日完成</t>
  </si>
  <si>
    <t>24日业绩预定</t>
  </si>
  <si>
    <t>24日达成</t>
  </si>
  <si>
    <t>24日管理费预定</t>
  </si>
  <si>
    <t>24日完成</t>
  </si>
  <si>
    <t>25日业绩预定</t>
  </si>
  <si>
    <t>25日达成</t>
  </si>
  <si>
    <t>25日管理费预定</t>
  </si>
  <si>
    <t>25日完成</t>
  </si>
  <si>
    <t>26日业绩预定</t>
  </si>
  <si>
    <t>26日达成</t>
  </si>
  <si>
    <t>26日管理费预定</t>
  </si>
  <si>
    <t>26日完成</t>
  </si>
  <si>
    <t>27日业绩预定</t>
  </si>
  <si>
    <t>27日达成</t>
  </si>
  <si>
    <t>27日管理费预定</t>
  </si>
  <si>
    <t>27日完成</t>
  </si>
  <si>
    <t>28日业绩预定</t>
  </si>
  <si>
    <t>28日达成</t>
  </si>
  <si>
    <t>28日管理费预定</t>
  </si>
  <si>
    <t>28日完成</t>
  </si>
  <si>
    <t>29日业绩预定</t>
  </si>
  <si>
    <t>29日达成</t>
  </si>
  <si>
    <t>29日管理费预定</t>
  </si>
  <si>
    <t>29日完成</t>
  </si>
  <si>
    <t>30日业绩预定</t>
  </si>
  <si>
    <t>30日达成</t>
  </si>
  <si>
    <t>30日管理费预定</t>
  </si>
  <si>
    <t>30日完成</t>
  </si>
  <si>
    <t>31日业绩预定</t>
  </si>
  <si>
    <t>31日达成</t>
  </si>
  <si>
    <t>31日管理费预定</t>
  </si>
  <si>
    <t>31日完成</t>
  </si>
  <si>
    <t>业绩预定合计</t>
  </si>
  <si>
    <t>达成合计</t>
  </si>
  <si>
    <t>管理费预定合计</t>
  </si>
  <si>
    <t>完成合计</t>
  </si>
  <si>
    <t>菲伦酒店（烟台大学万象汇店）</t>
  </si>
  <si>
    <t>业绩</t>
  </si>
  <si>
    <t>FunGee X 欢致酒店（青岛正阳中路万象汇店）</t>
  </si>
  <si>
    <t>欢洋酒店（青岛城阳青春足球场店）</t>
  </si>
  <si>
    <t>美宿欢洋酒店（青岛城阳高铁站店）</t>
  </si>
  <si>
    <t>菲伦酒店（烟台牟平养马岛新城大街店）</t>
  </si>
  <si>
    <t>悦致酒店（青岛正阳中路万象汇店）</t>
  </si>
  <si>
    <t>欢漫酒店（日照大学城万平口海滨风景区店）</t>
  </si>
  <si>
    <t>欢漫酒店（青岛城阳区政府水悦城店）</t>
  </si>
  <si>
    <t>欢漫酒店（青岛栈桥中山路地铁站店）</t>
  </si>
  <si>
    <t>悦致酒店（龙口龙湖天街店）</t>
  </si>
  <si>
    <t>希顾酒店（青岛正阳中路万象汇店）</t>
  </si>
  <si>
    <t>欢漫酒店（即墨古城店）</t>
  </si>
  <si>
    <t>欢致酒店（威海幸福门威高广场店）</t>
  </si>
  <si>
    <t>欢漫酒店（威海国际海水浴场火炬八街店）</t>
  </si>
  <si>
    <t>收入合计</t>
  </si>
  <si>
    <t>/</t>
  </si>
  <si>
    <t>差旅费</t>
  </si>
  <si>
    <t>招待费</t>
  </si>
  <si>
    <t>会议费</t>
  </si>
  <si>
    <t>保险公积金</t>
  </si>
  <si>
    <t>节日福利</t>
  </si>
  <si>
    <t>店长待岗费</t>
  </si>
  <si>
    <t>费用合计：</t>
  </si>
  <si>
    <t>附加价值</t>
  </si>
  <si>
    <t>GOP率</t>
  </si>
  <si>
    <t>总人员合计</t>
  </si>
  <si>
    <t>总时间合计</t>
  </si>
  <si>
    <t>单位时间附加价值（元/小时）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</si>
</sst>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b/>
      <sz val="11"/>
      <name val="微软雅黑"/>
      <charset val="134"/>
    </font>
    <font>
      <sz val="11"/>
      <color rgb="FF000000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7" fontId="1" fillId="2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6" fillId="2" borderId="5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0" fontId="6" fillId="0" borderId="1" xfId="0" applyNumberFormat="1" applyFont="1" applyFill="1" applyBorder="1" applyAlignment="1">
      <alignment horizontal="center" vertical="center"/>
    </xf>
    <xf numFmtId="9" fontId="6" fillId="0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F64"/>
  <sheetViews>
    <sheetView tabSelected="1" zoomScale="70" zoomScaleNormal="70" workbookViewId="0">
      <pane xSplit="5" topLeftCell="DT1" activePane="topRight" state="frozen"/>
      <selection/>
      <selection pane="topRight" activeCell="EE32" sqref="EE32"/>
    </sheetView>
  </sheetViews>
  <sheetFormatPr defaultColWidth="9" defaultRowHeight="15"/>
  <cols>
    <col min="1" max="1" width="45.7610619469027" style="5" customWidth="1"/>
    <col min="2" max="2" width="14.3893805309735" style="6" customWidth="1"/>
    <col min="3" max="3" width="11.2920353982301" style="6" customWidth="1"/>
    <col min="4" max="4" width="8.92035398230088" style="6" customWidth="1"/>
    <col min="5" max="5" width="11.212389380531" style="7" customWidth="1"/>
    <col min="6" max="7" width="11.2566371681416" style="8" customWidth="1"/>
    <col min="8" max="8" width="13.6548672566372" style="8" customWidth="1"/>
    <col min="9" max="9" width="10.5044247787611" style="9" customWidth="1"/>
    <col min="10" max="11" width="11.2566371681416" style="8" customWidth="1"/>
    <col min="12" max="12" width="13.6548672566372" style="8" customWidth="1"/>
    <col min="13" max="13" width="10.5044247787611" style="9" customWidth="1"/>
    <col min="14" max="15" width="11.2566371681416" style="8" customWidth="1"/>
    <col min="16" max="16" width="13.6548672566372" style="8" customWidth="1"/>
    <col min="17" max="17" width="10.5044247787611" style="9" customWidth="1"/>
    <col min="18" max="19" width="11.2566371681416" style="8" customWidth="1"/>
    <col min="20" max="20" width="13.6548672566372" style="8" customWidth="1"/>
    <col min="21" max="21" width="10.5044247787611" style="9" customWidth="1"/>
    <col min="22" max="23" width="11.2566371681416" style="8" customWidth="1"/>
    <col min="24" max="24" width="13.6548672566372" style="8" customWidth="1"/>
    <col min="25" max="25" width="10.5044247787611" style="9" customWidth="1"/>
    <col min="26" max="27" width="11.2566371681416" style="8" customWidth="1"/>
    <col min="28" max="28" width="13.6548672566372" style="8" customWidth="1"/>
    <col min="29" max="29" width="10.5044247787611" style="9" customWidth="1"/>
    <col min="30" max="31" width="11.2566371681416" style="8" customWidth="1"/>
    <col min="32" max="32" width="13.6548672566372" style="8" customWidth="1"/>
    <col min="33" max="33" width="10.5044247787611" style="9" customWidth="1"/>
    <col min="34" max="35" width="11.2566371681416" style="8" customWidth="1"/>
    <col min="36" max="36" width="13.6548672566372" style="8" customWidth="1"/>
    <col min="37" max="37" width="10.5044247787611" style="9" customWidth="1"/>
    <col min="38" max="39" width="11.2566371681416" style="8" customWidth="1"/>
    <col min="40" max="40" width="13.6548672566372" style="8" customWidth="1"/>
    <col min="41" max="41" width="10.5044247787611" style="9" customWidth="1"/>
    <col min="42" max="43" width="11.2566371681416" style="8" customWidth="1"/>
    <col min="44" max="44" width="13.6548672566372" style="8" customWidth="1"/>
    <col min="45" max="45" width="10.5044247787611" style="9" customWidth="1"/>
    <col min="46" max="47" width="11.2566371681416" style="8" customWidth="1"/>
    <col min="48" max="48" width="13.6548672566372" style="8" customWidth="1"/>
    <col min="49" max="49" width="10.5044247787611" style="9" customWidth="1"/>
    <col min="50" max="51" width="11.2566371681416" style="8" customWidth="1"/>
    <col min="52" max="52" width="13.6548672566372" style="8" customWidth="1"/>
    <col min="53" max="53" width="10.5044247787611" style="9" customWidth="1"/>
    <col min="54" max="55" width="11.2566371681416" style="8" customWidth="1"/>
    <col min="56" max="56" width="13.6548672566372" style="8" customWidth="1"/>
    <col min="57" max="57" width="10.5044247787611" style="9" customWidth="1"/>
    <col min="58" max="59" width="11.2566371681416" style="8" customWidth="1"/>
    <col min="60" max="60" width="13.6548672566372" style="8" customWidth="1"/>
    <col min="61" max="61" width="10.5044247787611" style="9" customWidth="1"/>
    <col min="62" max="63" width="11.2566371681416" style="8" customWidth="1"/>
    <col min="64" max="64" width="13.6548672566372" style="8" customWidth="1"/>
    <col min="65" max="65" width="10.5044247787611" style="9" customWidth="1"/>
    <col min="66" max="67" width="11.2566371681416" style="8" customWidth="1"/>
    <col min="68" max="68" width="13.6548672566372" style="8" customWidth="1"/>
    <col min="69" max="69" width="10.5044247787611" style="9" customWidth="1"/>
    <col min="70" max="71" width="11.2566371681416" style="8" customWidth="1"/>
    <col min="72" max="72" width="13.6548672566372" style="8" customWidth="1"/>
    <col min="73" max="73" width="10.5044247787611" style="9" customWidth="1"/>
    <col min="74" max="75" width="11.2566371681416" style="8" customWidth="1"/>
    <col min="76" max="76" width="13.6548672566372" style="8" customWidth="1"/>
    <col min="77" max="77" width="10.5044247787611" style="9" customWidth="1"/>
    <col min="78" max="79" width="11.2566371681416" style="8" customWidth="1"/>
    <col min="80" max="80" width="13.6548672566372" style="8" customWidth="1"/>
    <col min="81" max="81" width="10.5044247787611" style="9" customWidth="1"/>
    <col min="82" max="82" width="12.2566371681416" style="8" customWidth="1"/>
    <col min="83" max="83" width="11.2566371681416" style="8" customWidth="1"/>
    <col min="84" max="84" width="14.1592920353982" style="8" customWidth="1"/>
    <col min="85" max="85" width="10.5044247787611" style="9" customWidth="1"/>
    <col min="86" max="86" width="12.0353982300885" style="8" customWidth="1"/>
    <col min="87" max="87" width="11.2566371681416" style="8" customWidth="1"/>
    <col min="88" max="88" width="14.0884955752212" style="8" customWidth="1"/>
    <col min="89" max="89" width="10.5044247787611" style="9" customWidth="1"/>
    <col min="90" max="90" width="12.0353982300885" style="8" customWidth="1"/>
    <col min="91" max="91" width="11.2566371681416" style="8" customWidth="1"/>
    <col min="92" max="92" width="14.0884955752212" style="8" customWidth="1"/>
    <col min="93" max="93" width="10.5044247787611" style="9" customWidth="1"/>
    <col min="94" max="94" width="12.0353982300885" style="8" customWidth="1"/>
    <col min="95" max="95" width="11.2566371681416" style="8" customWidth="1"/>
    <col min="96" max="96" width="14.0884955752212" style="8" customWidth="1"/>
    <col min="97" max="97" width="10.5044247787611" style="9" customWidth="1"/>
    <col min="98" max="98" width="12.0353982300885" style="8" customWidth="1"/>
    <col min="99" max="99" width="11.2566371681416" style="8" customWidth="1"/>
    <col min="100" max="100" width="14.0884955752212" style="8" customWidth="1"/>
    <col min="101" max="101" width="10.5044247787611" style="9" customWidth="1"/>
    <col min="102" max="102" width="12.0353982300885" style="8" customWidth="1"/>
    <col min="103" max="103" width="11.2566371681416" style="8" customWidth="1"/>
    <col min="104" max="104" width="14.0884955752212" style="8" customWidth="1"/>
    <col min="105" max="105" width="10.5044247787611" style="9" customWidth="1"/>
    <col min="106" max="106" width="12.0353982300885" style="8" customWidth="1"/>
    <col min="107" max="107" width="11.2566371681416" style="8" customWidth="1"/>
    <col min="108" max="108" width="14.0884955752212" style="8" customWidth="1"/>
    <col min="109" max="109" width="10.5044247787611" style="9" customWidth="1"/>
    <col min="110" max="110" width="12.0353982300885" style="8" customWidth="1"/>
    <col min="111" max="111" width="11.2566371681416" style="8" customWidth="1"/>
    <col min="112" max="112" width="14.0884955752212" style="8" customWidth="1"/>
    <col min="113" max="113" width="10.5044247787611" style="9" customWidth="1"/>
    <col min="114" max="114" width="12.0353982300885" style="8" customWidth="1"/>
    <col min="115" max="115" width="11.2566371681416" style="8" customWidth="1"/>
    <col min="116" max="116" width="14.0884955752212" style="8" customWidth="1"/>
    <col min="117" max="117" width="10.5044247787611" style="9" customWidth="1"/>
    <col min="118" max="118" width="12.0353982300885" style="8" customWidth="1"/>
    <col min="119" max="119" width="11.2566371681416" style="8" customWidth="1"/>
    <col min="120" max="120" width="14.0884955752212" style="8" customWidth="1"/>
    <col min="121" max="121" width="10.5044247787611" style="9" customWidth="1"/>
    <col min="122" max="122" width="12.0353982300885" style="8" customWidth="1"/>
    <col min="123" max="123" width="11.2566371681416" style="8" customWidth="1"/>
    <col min="124" max="124" width="14.0884955752212" style="8" customWidth="1"/>
    <col min="125" max="125" width="10.5044247787611" style="9" customWidth="1"/>
    <col min="126" max="126" width="12.0353982300885" style="8" customWidth="1"/>
    <col min="127" max="127" width="11.2566371681416" style="8" customWidth="1"/>
    <col min="128" max="128" width="14.0884955752212" style="8" customWidth="1"/>
    <col min="129" max="129" width="10.5044247787611" style="9" customWidth="1"/>
    <col min="130" max="130" width="14.6017699115044" style="8" customWidth="1"/>
    <col min="131" max="131" width="13.6637168141593" style="8" customWidth="1"/>
    <col min="132" max="132" width="14.0884955752212" style="8" customWidth="1"/>
    <col min="133" max="133" width="13.0884955752212" style="9" customWidth="1"/>
    <col min="134" max="16384" width="9" style="2"/>
  </cols>
  <sheetData>
    <row r="1" s="1" customFormat="1" ht="15.75" spans="1:133">
      <c r="A1" s="10" t="s">
        <v>0</v>
      </c>
      <c r="B1" s="11"/>
      <c r="C1" s="11"/>
      <c r="D1" s="11"/>
      <c r="E1" s="12"/>
      <c r="F1" s="13" t="s">
        <v>1</v>
      </c>
      <c r="G1" s="14"/>
      <c r="H1" s="14"/>
      <c r="I1" s="15"/>
      <c r="J1" s="13" t="s">
        <v>2</v>
      </c>
      <c r="K1" s="14"/>
      <c r="L1" s="14"/>
      <c r="M1" s="15"/>
      <c r="N1" s="13" t="s">
        <v>3</v>
      </c>
      <c r="O1" s="14"/>
      <c r="P1" s="14"/>
      <c r="Q1" s="15"/>
      <c r="R1" s="13" t="s">
        <v>4</v>
      </c>
      <c r="S1" s="14"/>
      <c r="T1" s="14"/>
      <c r="U1" s="15"/>
      <c r="V1" s="13" t="s">
        <v>5</v>
      </c>
      <c r="W1" s="14"/>
      <c r="X1" s="14"/>
      <c r="Y1" s="15"/>
      <c r="Z1" s="13" t="s">
        <v>6</v>
      </c>
      <c r="AA1" s="14"/>
      <c r="AB1" s="14"/>
      <c r="AC1" s="15"/>
      <c r="AD1" s="13" t="s">
        <v>7</v>
      </c>
      <c r="AE1" s="14"/>
      <c r="AF1" s="14"/>
      <c r="AG1" s="15"/>
      <c r="AH1" s="13" t="s">
        <v>1</v>
      </c>
      <c r="AI1" s="14"/>
      <c r="AJ1" s="14"/>
      <c r="AK1" s="15"/>
      <c r="AL1" s="13" t="s">
        <v>2</v>
      </c>
      <c r="AM1" s="14"/>
      <c r="AN1" s="14"/>
      <c r="AO1" s="15"/>
      <c r="AP1" s="13" t="s">
        <v>3</v>
      </c>
      <c r="AQ1" s="14"/>
      <c r="AR1" s="14"/>
      <c r="AS1" s="15"/>
      <c r="AT1" s="13" t="s">
        <v>4</v>
      </c>
      <c r="AU1" s="14"/>
      <c r="AV1" s="14"/>
      <c r="AW1" s="15"/>
      <c r="AX1" s="13" t="s">
        <v>5</v>
      </c>
      <c r="AY1" s="14"/>
      <c r="AZ1" s="14"/>
      <c r="BA1" s="15"/>
      <c r="BB1" s="13" t="s">
        <v>6</v>
      </c>
      <c r="BC1" s="14"/>
      <c r="BD1" s="14"/>
      <c r="BE1" s="15"/>
      <c r="BF1" s="13" t="s">
        <v>7</v>
      </c>
      <c r="BG1" s="14"/>
      <c r="BH1" s="14"/>
      <c r="BI1" s="15"/>
      <c r="BJ1" s="13" t="s">
        <v>1</v>
      </c>
      <c r="BK1" s="14"/>
      <c r="BL1" s="14"/>
      <c r="BM1" s="15"/>
      <c r="BN1" s="13" t="s">
        <v>2</v>
      </c>
      <c r="BO1" s="14"/>
      <c r="BP1" s="14"/>
      <c r="BQ1" s="15"/>
      <c r="BR1" s="13" t="s">
        <v>3</v>
      </c>
      <c r="BS1" s="14"/>
      <c r="BT1" s="14"/>
      <c r="BU1" s="15"/>
      <c r="BV1" s="13" t="s">
        <v>4</v>
      </c>
      <c r="BW1" s="14"/>
      <c r="BX1" s="14"/>
      <c r="BY1" s="15"/>
      <c r="BZ1" s="13" t="s">
        <v>5</v>
      </c>
      <c r="CA1" s="14"/>
      <c r="CB1" s="14"/>
      <c r="CC1" s="15"/>
      <c r="CD1" s="13" t="s">
        <v>6</v>
      </c>
      <c r="CE1" s="14"/>
      <c r="CF1" s="14"/>
      <c r="CG1" s="15"/>
      <c r="CH1" s="13" t="s">
        <v>7</v>
      </c>
      <c r="CI1" s="14"/>
      <c r="CJ1" s="14"/>
      <c r="CK1" s="15"/>
      <c r="CL1" s="13" t="s">
        <v>1</v>
      </c>
      <c r="CM1" s="14"/>
      <c r="CN1" s="14"/>
      <c r="CO1" s="15"/>
      <c r="CP1" s="13" t="s">
        <v>2</v>
      </c>
      <c r="CQ1" s="14"/>
      <c r="CR1" s="14"/>
      <c r="CS1" s="15"/>
      <c r="CT1" s="13" t="s">
        <v>3</v>
      </c>
      <c r="CU1" s="14"/>
      <c r="CV1" s="14"/>
      <c r="CW1" s="15"/>
      <c r="CX1" s="13" t="s">
        <v>4</v>
      </c>
      <c r="CY1" s="14"/>
      <c r="CZ1" s="14"/>
      <c r="DA1" s="15"/>
      <c r="DB1" s="13" t="s">
        <v>5</v>
      </c>
      <c r="DC1" s="14"/>
      <c r="DD1" s="14"/>
      <c r="DE1" s="15"/>
      <c r="DF1" s="13" t="s">
        <v>6</v>
      </c>
      <c r="DG1" s="14"/>
      <c r="DH1" s="14"/>
      <c r="DI1" s="15"/>
      <c r="DJ1" s="13" t="s">
        <v>7</v>
      </c>
      <c r="DK1" s="14"/>
      <c r="DL1" s="14"/>
      <c r="DM1" s="15"/>
      <c r="DN1" s="13" t="s">
        <v>1</v>
      </c>
      <c r="DO1" s="14"/>
      <c r="DP1" s="14"/>
      <c r="DQ1" s="15"/>
      <c r="DR1" s="13" t="s">
        <v>2</v>
      </c>
      <c r="DS1" s="14"/>
      <c r="DT1" s="14"/>
      <c r="DU1" s="15"/>
      <c r="DV1" s="13" t="s">
        <v>3</v>
      </c>
      <c r="DW1" s="14"/>
      <c r="DX1" s="14"/>
      <c r="DY1" s="15"/>
      <c r="DZ1" s="13" t="s">
        <v>8</v>
      </c>
      <c r="EA1" s="14"/>
      <c r="EB1" s="14"/>
      <c r="EC1" s="15"/>
    </row>
    <row r="2" s="1" customFormat="1" ht="15.75" spans="1:133">
      <c r="A2" s="16" t="s">
        <v>9</v>
      </c>
      <c r="B2" s="17" t="s">
        <v>10</v>
      </c>
      <c r="C2" s="17" t="s">
        <v>11</v>
      </c>
      <c r="D2" s="17" t="s">
        <v>12</v>
      </c>
      <c r="E2" s="18" t="s">
        <v>13</v>
      </c>
      <c r="F2" s="19" t="s">
        <v>14</v>
      </c>
      <c r="G2" s="19" t="s">
        <v>15</v>
      </c>
      <c r="H2" s="19" t="s">
        <v>16</v>
      </c>
      <c r="I2" s="20" t="s">
        <v>17</v>
      </c>
      <c r="J2" s="19" t="s">
        <v>18</v>
      </c>
      <c r="K2" s="19" t="s">
        <v>19</v>
      </c>
      <c r="L2" s="19" t="s">
        <v>20</v>
      </c>
      <c r="M2" s="20" t="s">
        <v>21</v>
      </c>
      <c r="N2" s="19" t="s">
        <v>22</v>
      </c>
      <c r="O2" s="19" t="s">
        <v>23</v>
      </c>
      <c r="P2" s="19" t="s">
        <v>24</v>
      </c>
      <c r="Q2" s="20" t="s">
        <v>25</v>
      </c>
      <c r="R2" s="19" t="s">
        <v>26</v>
      </c>
      <c r="S2" s="19" t="s">
        <v>27</v>
      </c>
      <c r="T2" s="19" t="s">
        <v>28</v>
      </c>
      <c r="U2" s="20" t="s">
        <v>29</v>
      </c>
      <c r="V2" s="19" t="s">
        <v>30</v>
      </c>
      <c r="W2" s="19" t="s">
        <v>31</v>
      </c>
      <c r="X2" s="19" t="s">
        <v>32</v>
      </c>
      <c r="Y2" s="20" t="s">
        <v>33</v>
      </c>
      <c r="Z2" s="19" t="s">
        <v>34</v>
      </c>
      <c r="AA2" s="19" t="s">
        <v>35</v>
      </c>
      <c r="AB2" s="19" t="s">
        <v>36</v>
      </c>
      <c r="AC2" s="20" t="s">
        <v>37</v>
      </c>
      <c r="AD2" s="19" t="s">
        <v>38</v>
      </c>
      <c r="AE2" s="19" t="s">
        <v>39</v>
      </c>
      <c r="AF2" s="19" t="s">
        <v>40</v>
      </c>
      <c r="AG2" s="20" t="s">
        <v>41</v>
      </c>
      <c r="AH2" s="19" t="s">
        <v>42</v>
      </c>
      <c r="AI2" s="19" t="s">
        <v>43</v>
      </c>
      <c r="AJ2" s="19" t="s">
        <v>44</v>
      </c>
      <c r="AK2" s="20" t="s">
        <v>45</v>
      </c>
      <c r="AL2" s="19" t="s">
        <v>46</v>
      </c>
      <c r="AM2" s="19" t="s">
        <v>47</v>
      </c>
      <c r="AN2" s="19" t="s">
        <v>48</v>
      </c>
      <c r="AO2" s="20" t="s">
        <v>49</v>
      </c>
      <c r="AP2" s="19" t="s">
        <v>50</v>
      </c>
      <c r="AQ2" s="19" t="s">
        <v>51</v>
      </c>
      <c r="AR2" s="19" t="s">
        <v>52</v>
      </c>
      <c r="AS2" s="20" t="s">
        <v>53</v>
      </c>
      <c r="AT2" s="19" t="s">
        <v>54</v>
      </c>
      <c r="AU2" s="19" t="s">
        <v>55</v>
      </c>
      <c r="AV2" s="19" t="s">
        <v>56</v>
      </c>
      <c r="AW2" s="20" t="s">
        <v>57</v>
      </c>
      <c r="AX2" s="19" t="s">
        <v>58</v>
      </c>
      <c r="AY2" s="19" t="s">
        <v>59</v>
      </c>
      <c r="AZ2" s="19" t="s">
        <v>60</v>
      </c>
      <c r="BA2" s="20" t="s">
        <v>61</v>
      </c>
      <c r="BB2" s="19" t="s">
        <v>62</v>
      </c>
      <c r="BC2" s="19" t="s">
        <v>63</v>
      </c>
      <c r="BD2" s="19" t="s">
        <v>64</v>
      </c>
      <c r="BE2" s="20" t="s">
        <v>65</v>
      </c>
      <c r="BF2" s="19" t="s">
        <v>66</v>
      </c>
      <c r="BG2" s="19" t="s">
        <v>67</v>
      </c>
      <c r="BH2" s="19" t="s">
        <v>68</v>
      </c>
      <c r="BI2" s="20" t="s">
        <v>69</v>
      </c>
      <c r="BJ2" s="19" t="s">
        <v>70</v>
      </c>
      <c r="BK2" s="19" t="s">
        <v>71</v>
      </c>
      <c r="BL2" s="19" t="s">
        <v>72</v>
      </c>
      <c r="BM2" s="20" t="s">
        <v>73</v>
      </c>
      <c r="BN2" s="19" t="s">
        <v>74</v>
      </c>
      <c r="BO2" s="19" t="s">
        <v>75</v>
      </c>
      <c r="BP2" s="19" t="s">
        <v>76</v>
      </c>
      <c r="BQ2" s="20" t="s">
        <v>77</v>
      </c>
      <c r="BR2" s="19" t="s">
        <v>78</v>
      </c>
      <c r="BS2" s="19" t="s">
        <v>79</v>
      </c>
      <c r="BT2" s="19" t="s">
        <v>80</v>
      </c>
      <c r="BU2" s="20" t="s">
        <v>81</v>
      </c>
      <c r="BV2" s="19" t="s">
        <v>82</v>
      </c>
      <c r="BW2" s="19" t="s">
        <v>83</v>
      </c>
      <c r="BX2" s="19" t="s">
        <v>84</v>
      </c>
      <c r="BY2" s="20" t="s">
        <v>85</v>
      </c>
      <c r="BZ2" s="19" t="s">
        <v>86</v>
      </c>
      <c r="CA2" s="19" t="s">
        <v>87</v>
      </c>
      <c r="CB2" s="19" t="s">
        <v>88</v>
      </c>
      <c r="CC2" s="20" t="s">
        <v>89</v>
      </c>
      <c r="CD2" s="19" t="s">
        <v>90</v>
      </c>
      <c r="CE2" s="19" t="s">
        <v>91</v>
      </c>
      <c r="CF2" s="19" t="s">
        <v>92</v>
      </c>
      <c r="CG2" s="20" t="s">
        <v>93</v>
      </c>
      <c r="CH2" s="19" t="s">
        <v>94</v>
      </c>
      <c r="CI2" s="19" t="s">
        <v>95</v>
      </c>
      <c r="CJ2" s="19" t="s">
        <v>96</v>
      </c>
      <c r="CK2" s="20" t="s">
        <v>97</v>
      </c>
      <c r="CL2" s="19" t="s">
        <v>98</v>
      </c>
      <c r="CM2" s="19" t="s">
        <v>99</v>
      </c>
      <c r="CN2" s="19" t="s">
        <v>100</v>
      </c>
      <c r="CO2" s="20" t="s">
        <v>101</v>
      </c>
      <c r="CP2" s="19" t="s">
        <v>102</v>
      </c>
      <c r="CQ2" s="19" t="s">
        <v>103</v>
      </c>
      <c r="CR2" s="19" t="s">
        <v>104</v>
      </c>
      <c r="CS2" s="20" t="s">
        <v>105</v>
      </c>
      <c r="CT2" s="19" t="s">
        <v>106</v>
      </c>
      <c r="CU2" s="19" t="s">
        <v>107</v>
      </c>
      <c r="CV2" s="19" t="s">
        <v>108</v>
      </c>
      <c r="CW2" s="20" t="s">
        <v>109</v>
      </c>
      <c r="CX2" s="19" t="s">
        <v>110</v>
      </c>
      <c r="CY2" s="19" t="s">
        <v>111</v>
      </c>
      <c r="CZ2" s="19" t="s">
        <v>112</v>
      </c>
      <c r="DA2" s="20" t="s">
        <v>113</v>
      </c>
      <c r="DB2" s="19" t="s">
        <v>114</v>
      </c>
      <c r="DC2" s="19" t="s">
        <v>115</v>
      </c>
      <c r="DD2" s="19" t="s">
        <v>116</v>
      </c>
      <c r="DE2" s="20" t="s">
        <v>117</v>
      </c>
      <c r="DF2" s="19" t="s">
        <v>118</v>
      </c>
      <c r="DG2" s="19" t="s">
        <v>119</v>
      </c>
      <c r="DH2" s="19" t="s">
        <v>120</v>
      </c>
      <c r="DI2" s="20" t="s">
        <v>121</v>
      </c>
      <c r="DJ2" s="19" t="s">
        <v>122</v>
      </c>
      <c r="DK2" s="19" t="s">
        <v>123</v>
      </c>
      <c r="DL2" s="19" t="s">
        <v>124</v>
      </c>
      <c r="DM2" s="20" t="s">
        <v>125</v>
      </c>
      <c r="DN2" s="19" t="s">
        <v>126</v>
      </c>
      <c r="DO2" s="19" t="s">
        <v>127</v>
      </c>
      <c r="DP2" s="19" t="s">
        <v>128</v>
      </c>
      <c r="DQ2" s="20" t="s">
        <v>129</v>
      </c>
      <c r="DR2" s="19" t="s">
        <v>130</v>
      </c>
      <c r="DS2" s="19" t="s">
        <v>131</v>
      </c>
      <c r="DT2" s="19" t="s">
        <v>132</v>
      </c>
      <c r="DU2" s="20" t="s">
        <v>133</v>
      </c>
      <c r="DV2" s="19" t="s">
        <v>134</v>
      </c>
      <c r="DW2" s="19" t="s">
        <v>135</v>
      </c>
      <c r="DX2" s="19" t="s">
        <v>136</v>
      </c>
      <c r="DY2" s="20" t="s">
        <v>137</v>
      </c>
      <c r="DZ2" s="19" t="s">
        <v>138</v>
      </c>
      <c r="EA2" s="19" t="s">
        <v>139</v>
      </c>
      <c r="EB2" s="19" t="s">
        <v>140</v>
      </c>
      <c r="EC2" s="20" t="s">
        <v>141</v>
      </c>
    </row>
    <row r="3" s="2" customFormat="1" spans="1:133">
      <c r="A3" s="6" t="s">
        <v>142</v>
      </c>
      <c r="B3" s="21" t="s">
        <v>143</v>
      </c>
      <c r="C3" s="21">
        <v>1100000</v>
      </c>
      <c r="D3" s="22">
        <v>0.035</v>
      </c>
      <c r="E3" s="23">
        <f>C3*D3</f>
        <v>38500</v>
      </c>
      <c r="F3" s="24">
        <v>39202</v>
      </c>
      <c r="G3" s="9">
        <v>35073.76</v>
      </c>
      <c r="H3" s="9">
        <f>F3*D3</f>
        <v>1372.07</v>
      </c>
      <c r="I3" s="9">
        <f>G3*D3</f>
        <v>1227.5816</v>
      </c>
      <c r="J3" s="24">
        <v>38218</v>
      </c>
      <c r="K3" s="9">
        <v>32413.65</v>
      </c>
      <c r="L3" s="9">
        <f>J3*D3</f>
        <v>1337.63</v>
      </c>
      <c r="M3" s="9">
        <f>K3*D3</f>
        <v>1134.47775</v>
      </c>
      <c r="N3" s="24">
        <v>38218</v>
      </c>
      <c r="O3" s="9">
        <v>36315.05</v>
      </c>
      <c r="P3" s="9">
        <f>N3*D3</f>
        <v>1337.63</v>
      </c>
      <c r="Q3" s="9">
        <f>O3*D3</f>
        <v>1271.02675</v>
      </c>
      <c r="R3" s="24">
        <v>38218</v>
      </c>
      <c r="S3" s="9">
        <v>36786.65</v>
      </c>
      <c r="T3" s="9">
        <f>R3*D3</f>
        <v>1337.63</v>
      </c>
      <c r="U3" s="9">
        <f>S3*D3</f>
        <v>1287.53275</v>
      </c>
      <c r="V3" s="24">
        <v>38218</v>
      </c>
      <c r="W3" s="9">
        <v>38512.67</v>
      </c>
      <c r="X3" s="9">
        <f>V3*D3</f>
        <v>1337.63</v>
      </c>
      <c r="Y3" s="9">
        <f>W3*D3</f>
        <v>1347.94345</v>
      </c>
      <c r="Z3" s="24">
        <v>38218</v>
      </c>
      <c r="AA3" s="9">
        <v>39499.2</v>
      </c>
      <c r="AB3" s="9">
        <f>Z3*D3</f>
        <v>1337.63</v>
      </c>
      <c r="AC3" s="9">
        <f>AA3*D3</f>
        <v>1382.472</v>
      </c>
      <c r="AD3" s="24">
        <v>39202</v>
      </c>
      <c r="AE3" s="9">
        <v>37528.71</v>
      </c>
      <c r="AF3" s="9">
        <f>AD3*D3</f>
        <v>1372.07</v>
      </c>
      <c r="AG3" s="9">
        <f>AE3*D3</f>
        <v>1313.50485</v>
      </c>
      <c r="AH3" s="24">
        <v>40182</v>
      </c>
      <c r="AI3" s="9">
        <v>42461.01</v>
      </c>
      <c r="AJ3" s="9">
        <f>AH3*D3</f>
        <v>1406.37</v>
      </c>
      <c r="AK3" s="9">
        <f>AI3*D3</f>
        <v>1486.13535</v>
      </c>
      <c r="AL3" s="24">
        <v>38218</v>
      </c>
      <c r="AM3" s="9">
        <v>30899.36</v>
      </c>
      <c r="AN3" s="9">
        <f>AL3*D3</f>
        <v>1337.63</v>
      </c>
      <c r="AO3" s="9">
        <f>AM3*D3</f>
        <v>1081.4776</v>
      </c>
      <c r="AP3" s="24">
        <v>38218</v>
      </c>
      <c r="AQ3" s="9">
        <v>35064.81</v>
      </c>
      <c r="AR3" s="9">
        <f>AP3*D3</f>
        <v>1337.63</v>
      </c>
      <c r="AS3" s="9">
        <f>AQ3*D3</f>
        <v>1227.26835</v>
      </c>
      <c r="AT3" s="24">
        <v>38218</v>
      </c>
      <c r="AU3" s="9">
        <v>34283.65</v>
      </c>
      <c r="AV3" s="9">
        <f>AT3*D3</f>
        <v>1337.63</v>
      </c>
      <c r="AW3" s="9">
        <f>AU3*D3</f>
        <v>1199.92775</v>
      </c>
      <c r="AX3" s="24">
        <v>38218</v>
      </c>
      <c r="AY3" s="9">
        <v>33744.68</v>
      </c>
      <c r="AZ3" s="9">
        <f>AX3*D3</f>
        <v>1337.63</v>
      </c>
      <c r="BA3" s="9">
        <f>AY3*D3</f>
        <v>1181.0638</v>
      </c>
      <c r="BB3" s="24">
        <v>38218</v>
      </c>
      <c r="BC3" s="9">
        <v>33374.43</v>
      </c>
      <c r="BD3" s="9">
        <f>BB3*D3</f>
        <v>1337.63</v>
      </c>
      <c r="BE3" s="9">
        <f>BC3*D3</f>
        <v>1168.10505</v>
      </c>
      <c r="BF3" s="24">
        <v>39202</v>
      </c>
      <c r="BG3" s="9">
        <v>34695.08</v>
      </c>
      <c r="BH3" s="9">
        <f>BF3*D3</f>
        <v>1372.07</v>
      </c>
      <c r="BI3" s="9">
        <f>BG3*D3</f>
        <v>1214.3278</v>
      </c>
      <c r="BJ3" s="24">
        <v>39202</v>
      </c>
      <c r="BK3" s="9">
        <v>35718.08</v>
      </c>
      <c r="BL3" s="9">
        <f>BJ3*D3</f>
        <v>1372.07</v>
      </c>
      <c r="BM3" s="9">
        <f>BK3*D3</f>
        <v>1250.1328</v>
      </c>
      <c r="BN3" s="24">
        <v>38218</v>
      </c>
      <c r="BO3" s="9">
        <v>30976.3</v>
      </c>
      <c r="BP3" s="9">
        <f>BN3*D3</f>
        <v>1337.63</v>
      </c>
      <c r="BQ3" s="9">
        <f>BO3*D3</f>
        <v>1084.1705</v>
      </c>
      <c r="BR3" s="24">
        <v>38218</v>
      </c>
      <c r="BS3" s="9">
        <v>31632.34</v>
      </c>
      <c r="BT3" s="9">
        <f>BR3*D3</f>
        <v>1337.63</v>
      </c>
      <c r="BU3" s="9">
        <f>BS3*D3</f>
        <v>1107.1319</v>
      </c>
      <c r="BV3" s="24">
        <v>38218</v>
      </c>
      <c r="BW3" s="9">
        <v>33306.36</v>
      </c>
      <c r="BX3" s="9">
        <f>BV3*D3</f>
        <v>1337.63</v>
      </c>
      <c r="BY3" s="9">
        <f>BW3*D3</f>
        <v>1165.7226</v>
      </c>
      <c r="BZ3" s="24">
        <v>38218</v>
      </c>
      <c r="CA3" s="9">
        <v>34216.8</v>
      </c>
      <c r="CB3" s="9">
        <f>BZ3*D3</f>
        <v>1337.63</v>
      </c>
      <c r="CC3" s="9">
        <f>CA3*D3</f>
        <v>1197.588</v>
      </c>
      <c r="CD3" s="24">
        <v>37238</v>
      </c>
      <c r="CE3" s="9">
        <v>32563.49</v>
      </c>
      <c r="CF3" s="9">
        <f>CD3*D3</f>
        <v>1303.33</v>
      </c>
      <c r="CG3" s="9">
        <f>CE3*D3</f>
        <v>1139.72215</v>
      </c>
      <c r="CH3" s="24">
        <v>38222</v>
      </c>
      <c r="CI3" s="9">
        <v>33837.65</v>
      </c>
      <c r="CJ3" s="9">
        <f>CH3*D3</f>
        <v>1337.77</v>
      </c>
      <c r="CK3" s="9">
        <f>CI3*D3</f>
        <v>1184.31775</v>
      </c>
      <c r="CL3" s="24">
        <v>42910</v>
      </c>
      <c r="CM3" s="9">
        <v>34866.24</v>
      </c>
      <c r="CN3" s="9">
        <f>CL3*D3</f>
        <v>1501.85</v>
      </c>
      <c r="CO3" s="9">
        <f>CM3*D3</f>
        <v>1220.3184</v>
      </c>
      <c r="CP3" s="24">
        <v>28418</v>
      </c>
      <c r="CQ3" s="9">
        <v>26559.2</v>
      </c>
      <c r="CR3" s="9">
        <f>CP3*D3</f>
        <v>994.63</v>
      </c>
      <c r="CS3" s="9">
        <f>CQ3*D3</f>
        <v>929.572</v>
      </c>
      <c r="CT3" s="24">
        <v>28418</v>
      </c>
      <c r="CU3" s="9">
        <v>23616.39</v>
      </c>
      <c r="CV3" s="9">
        <f>CT3*D3</f>
        <v>994.63</v>
      </c>
      <c r="CW3" s="9">
        <f>CU3*D3</f>
        <v>826.57365</v>
      </c>
      <c r="CX3" s="24">
        <v>28418</v>
      </c>
      <c r="CY3" s="9">
        <v>21698.57</v>
      </c>
      <c r="CZ3" s="9">
        <f>CX3*D3</f>
        <v>994.63</v>
      </c>
      <c r="DA3" s="9">
        <f>CY3*D3</f>
        <v>759.44995</v>
      </c>
      <c r="DB3" s="24">
        <v>28320</v>
      </c>
      <c r="DC3" s="9">
        <v>21587.45</v>
      </c>
      <c r="DD3" s="9">
        <f>DB3*D3</f>
        <v>991.2</v>
      </c>
      <c r="DE3" s="9">
        <f>DC3*D3</f>
        <v>755.56075</v>
      </c>
      <c r="DF3" s="24">
        <v>21852</v>
      </c>
      <c r="DG3" s="9">
        <v>19099.13</v>
      </c>
      <c r="DH3" s="9">
        <f>DF3*D3</f>
        <v>764.82</v>
      </c>
      <c r="DI3" s="9">
        <f>DG3*D3</f>
        <v>668.46955</v>
      </c>
      <c r="DJ3" s="24">
        <v>28320</v>
      </c>
      <c r="DK3" s="9">
        <v>23810.27</v>
      </c>
      <c r="DL3" s="9">
        <f>DJ3*D3</f>
        <v>991.2</v>
      </c>
      <c r="DM3" s="9">
        <f>DK3*D3</f>
        <v>833.35945</v>
      </c>
      <c r="DN3" s="24">
        <v>29398</v>
      </c>
      <c r="DO3" s="9"/>
      <c r="DP3" s="9">
        <f>DN3*D3</f>
        <v>1028.93</v>
      </c>
      <c r="DQ3" s="9">
        <f>DO3*D3</f>
        <v>0</v>
      </c>
      <c r="DR3" s="24">
        <v>28222</v>
      </c>
      <c r="DS3" s="9"/>
      <c r="DT3" s="9">
        <f>DR3*D3</f>
        <v>987.77</v>
      </c>
      <c r="DU3" s="9">
        <f>DS3*D3</f>
        <v>0</v>
      </c>
      <c r="DV3" s="24">
        <v>28222</v>
      </c>
      <c r="DW3" s="9"/>
      <c r="DX3" s="9">
        <f>DV3*D3</f>
        <v>987.77</v>
      </c>
      <c r="DY3" s="9">
        <f>DW3*D3</f>
        <v>0</v>
      </c>
      <c r="DZ3" s="9">
        <f>F3+J3+N3+R3+V3+Z3+AD3+AH3+AL3+AP3+AT3+AX3+BB3+BF3+BJ3+BN3+BR3+BV3+BZ3+CD3+CH3+CL3+CP3+CT3+CX3+DB3+DF3+DJ3+DN3+DR3+DV3</f>
        <v>1100000</v>
      </c>
      <c r="EA3" s="9">
        <f>G3+K3+O3+S3+W3+AA3+AE3+AI3+AM3+AQ3+AU3+AY3+BC3+BG3+BK3+BO3+BS3+BW3+CA3+CE3+CI3+CM3+CQ3+CU3+CY3+DC3+DG3+DK3+DO3+DS3+DW3</f>
        <v>904140.98</v>
      </c>
      <c r="EB3" s="9">
        <f>H3+L3+P3+T3+X3+AB3+AF3+AJ3+AN3+AR3+AV3+AZ3+BD3+BH3+BL3+BP3+BT3+BX3+CB3+CF3+CJ3+CN3+CR3+CV3+CZ3+DD3+DH3+DL3+DP3+DT3+DX3</f>
        <v>38500</v>
      </c>
      <c r="EC3" s="9">
        <f>I3+M3+Q3+U3+Y3+AC3+AG3+AK3+AO3+AS3+AW3+BA3+BE3+BI3+BM3+BQ3+BU3+BY3+CC3+CG3+CK3+CO3+CS3+CW3+DA3+DE3+DI3+DM3+DQ3+DU3+DY3</f>
        <v>31644.9343</v>
      </c>
    </row>
    <row r="4" s="3" customFormat="1" spans="1:133">
      <c r="A4" s="25" t="s">
        <v>144</v>
      </c>
      <c r="B4" s="21" t="s">
        <v>143</v>
      </c>
      <c r="C4" s="21">
        <v>750000</v>
      </c>
      <c r="D4" s="22">
        <v>0.035</v>
      </c>
      <c r="E4" s="23">
        <f t="shared" ref="E4:E16" si="0">C4*D4</f>
        <v>26250</v>
      </c>
      <c r="F4" s="24">
        <v>26191.88</v>
      </c>
      <c r="G4" s="9">
        <v>24091.04</v>
      </c>
      <c r="H4" s="9">
        <f t="shared" ref="H4:H16" si="1">F4*D4</f>
        <v>916.7158</v>
      </c>
      <c r="I4" s="9">
        <f t="shared" ref="I4:I16" si="2">G4*D4</f>
        <v>843.1864</v>
      </c>
      <c r="J4" s="24">
        <v>22399.77</v>
      </c>
      <c r="K4" s="9">
        <v>17968.93</v>
      </c>
      <c r="L4" s="9">
        <f t="shared" ref="L4:L16" si="3">J4*D4</f>
        <v>783.99195</v>
      </c>
      <c r="M4" s="9">
        <f t="shared" ref="M4:M16" si="4">K4*D4</f>
        <v>628.91255</v>
      </c>
      <c r="N4" s="24">
        <v>22399.77</v>
      </c>
      <c r="O4" s="9">
        <v>21062.67</v>
      </c>
      <c r="P4" s="9">
        <f>N4*D4</f>
        <v>783.99195</v>
      </c>
      <c r="Q4" s="9">
        <f t="shared" ref="Q4:Q16" si="5">O4*D4</f>
        <v>737.19345</v>
      </c>
      <c r="R4" s="24">
        <v>24191.25</v>
      </c>
      <c r="S4" s="9">
        <v>22783.23</v>
      </c>
      <c r="T4" s="9">
        <f t="shared" ref="T4:T16" si="6">R4*D4</f>
        <v>846.69375</v>
      </c>
      <c r="U4" s="9">
        <f t="shared" ref="U4:U16" si="7">S4*D4</f>
        <v>797.41305</v>
      </c>
      <c r="V4" s="24">
        <v>24191.25</v>
      </c>
      <c r="W4" s="9">
        <v>22684.04</v>
      </c>
      <c r="X4" s="9">
        <f t="shared" ref="X4:X16" si="8">V4*D4</f>
        <v>846.69375</v>
      </c>
      <c r="Y4" s="9">
        <f t="shared" ref="Y4:Y16" si="9">W4*D4</f>
        <v>793.9414</v>
      </c>
      <c r="Z4" s="24">
        <v>24191.25</v>
      </c>
      <c r="AA4" s="9">
        <v>21976.96</v>
      </c>
      <c r="AB4" s="9">
        <f t="shared" ref="AB4:AB16" si="10">Z4*D4</f>
        <v>846.69375</v>
      </c>
      <c r="AC4" s="9">
        <f t="shared" ref="AC4:AC16" si="11">AA4*D4</f>
        <v>769.1936</v>
      </c>
      <c r="AD4" s="24">
        <v>26191.88</v>
      </c>
      <c r="AE4" s="9">
        <v>24057.97</v>
      </c>
      <c r="AF4" s="9">
        <f t="shared" ref="AF4:AF16" si="12">AD4*D4</f>
        <v>916.7158</v>
      </c>
      <c r="AG4" s="9">
        <f t="shared" ref="AG4:AG16" si="13">AE4*D4</f>
        <v>842.02895</v>
      </c>
      <c r="AH4" s="24">
        <v>26191.88</v>
      </c>
      <c r="AI4" s="9">
        <v>23426.53</v>
      </c>
      <c r="AJ4" s="9">
        <f t="shared" ref="AJ4:AJ16" si="14">AH4*D4</f>
        <v>916.7158</v>
      </c>
      <c r="AK4" s="9">
        <f t="shared" ref="AK4:AK16" si="15">AI4*D4</f>
        <v>819.92855</v>
      </c>
      <c r="AL4" s="24">
        <v>22399.77</v>
      </c>
      <c r="AM4" s="9">
        <v>16967.37</v>
      </c>
      <c r="AN4" s="9">
        <f t="shared" ref="AN4:AN16" si="16">AL4*D4</f>
        <v>783.99195</v>
      </c>
      <c r="AO4" s="9">
        <f t="shared" ref="AO4:AO16" si="17">AM4*D4</f>
        <v>593.85795</v>
      </c>
      <c r="AP4" s="24">
        <v>22399.77</v>
      </c>
      <c r="AQ4" s="9">
        <v>17707.97</v>
      </c>
      <c r="AR4" s="9">
        <f t="shared" ref="AR4:AR16" si="18">AP4*D4</f>
        <v>783.99195</v>
      </c>
      <c r="AS4" s="9">
        <f t="shared" ref="AS4:AS16" si="19">AQ4*D4</f>
        <v>619.77895</v>
      </c>
      <c r="AT4" s="24">
        <v>24191.25</v>
      </c>
      <c r="AU4" s="9">
        <v>21131.07</v>
      </c>
      <c r="AV4" s="9">
        <f t="shared" ref="AV4:AV16" si="20">AT4*D4</f>
        <v>846.69375</v>
      </c>
      <c r="AW4" s="9">
        <f t="shared" ref="AW4:AW16" si="21">AU4*D4</f>
        <v>739.58745</v>
      </c>
      <c r="AX4" s="24">
        <v>24191.25</v>
      </c>
      <c r="AY4" s="9">
        <v>25050.84</v>
      </c>
      <c r="AZ4" s="9">
        <f t="shared" ref="AZ4:AZ16" si="22">AX4*D4</f>
        <v>846.69375</v>
      </c>
      <c r="BA4" s="9">
        <f t="shared" ref="BA4:BA16" si="23">AY4*D4</f>
        <v>876.7794</v>
      </c>
      <c r="BB4" s="24">
        <v>24191.25</v>
      </c>
      <c r="BC4" s="9">
        <v>27135.2</v>
      </c>
      <c r="BD4" s="9">
        <f t="shared" ref="BD4:BD16" si="24">BB4*D4</f>
        <v>846.69375</v>
      </c>
      <c r="BE4" s="9">
        <f t="shared" ref="BE4:BE16" si="25">BC4*D4</f>
        <v>949.732</v>
      </c>
      <c r="BF4" s="24">
        <v>26191.88</v>
      </c>
      <c r="BG4" s="9">
        <v>27359.17</v>
      </c>
      <c r="BH4" s="9">
        <f t="shared" ref="BH4:BH16" si="26">BF4*D4</f>
        <v>916.7158</v>
      </c>
      <c r="BI4" s="9">
        <f t="shared" ref="BI4:BI16" si="27">BG4*D4</f>
        <v>957.57095</v>
      </c>
      <c r="BJ4" s="24">
        <v>26191.88</v>
      </c>
      <c r="BK4" s="9">
        <v>27633.21</v>
      </c>
      <c r="BL4" s="9">
        <f t="shared" ref="BL4:BL16" si="28">BJ4*D4</f>
        <v>916.7158</v>
      </c>
      <c r="BM4" s="9">
        <f t="shared" ref="BM4:BM16" si="29">BK4*D4</f>
        <v>967.16235</v>
      </c>
      <c r="BN4" s="24">
        <v>22399.77</v>
      </c>
      <c r="BO4" s="9">
        <v>25044.23</v>
      </c>
      <c r="BP4" s="9">
        <f t="shared" ref="BP4:BP16" si="30">BN4*D4</f>
        <v>783.99195</v>
      </c>
      <c r="BQ4" s="9">
        <f t="shared" ref="BQ4:BQ16" si="31">BO4*D4</f>
        <v>876.54805</v>
      </c>
      <c r="BR4" s="24">
        <v>22399.77</v>
      </c>
      <c r="BS4" s="9">
        <v>24748.8</v>
      </c>
      <c r="BT4" s="9">
        <f t="shared" ref="BT4:BT16" si="32">BR4*D4</f>
        <v>783.99195</v>
      </c>
      <c r="BU4" s="9">
        <f t="shared" ref="BU4:BU16" si="33">BS4*D4</f>
        <v>866.208</v>
      </c>
      <c r="BV4" s="24">
        <v>24191.25</v>
      </c>
      <c r="BW4" s="9">
        <v>19367.13</v>
      </c>
      <c r="BX4" s="9">
        <f t="shared" ref="BX4:BX16" si="34">BV4*D4</f>
        <v>846.69375</v>
      </c>
      <c r="BY4" s="9">
        <f t="shared" ref="BY4:BY16" si="35">BW4*D4</f>
        <v>677.84955</v>
      </c>
      <c r="BZ4" s="24">
        <v>24191.25</v>
      </c>
      <c r="CA4" s="9">
        <v>20588</v>
      </c>
      <c r="CB4" s="9">
        <f t="shared" ref="CB4:CB16" si="36">BZ4*D4</f>
        <v>846.69375</v>
      </c>
      <c r="CC4" s="9">
        <f t="shared" ref="CC4:CC16" si="37">CA4*D4</f>
        <v>720.58</v>
      </c>
      <c r="CD4" s="24">
        <v>24191.25</v>
      </c>
      <c r="CE4" s="9">
        <v>18355.75</v>
      </c>
      <c r="CF4" s="9">
        <f t="shared" ref="CF4:CF16" si="38">CD4*D4</f>
        <v>846.69375</v>
      </c>
      <c r="CG4" s="9">
        <f t="shared" ref="CG4:CG16" si="39">CE4*D4</f>
        <v>642.45125</v>
      </c>
      <c r="CH4" s="24">
        <v>26191.88</v>
      </c>
      <c r="CI4" s="9">
        <v>22981.03</v>
      </c>
      <c r="CJ4" s="9">
        <f t="shared" ref="CJ4:CJ16" si="40">CH4*D4</f>
        <v>916.7158</v>
      </c>
      <c r="CK4" s="9">
        <f t="shared" ref="CK4:CK16" si="41">CI4*D4</f>
        <v>804.33605</v>
      </c>
      <c r="CL4" s="24">
        <v>26191.88</v>
      </c>
      <c r="CM4" s="9">
        <v>20283.26</v>
      </c>
      <c r="CN4" s="9">
        <f t="shared" ref="CN4:CN16" si="42">CL4*D4</f>
        <v>916.7158</v>
      </c>
      <c r="CO4" s="9">
        <f t="shared" ref="CO4:CO16" si="43">CM4*D4</f>
        <v>709.9141</v>
      </c>
      <c r="CP4" s="24">
        <v>22399.77</v>
      </c>
      <c r="CQ4" s="9">
        <v>12825.05</v>
      </c>
      <c r="CR4" s="9">
        <f t="shared" ref="CR4:CR16" si="44">CP4*D4</f>
        <v>783.99195</v>
      </c>
      <c r="CS4" s="9">
        <f t="shared" ref="CS4:CS16" si="45">CQ4*D4</f>
        <v>448.87675</v>
      </c>
      <c r="CT4" s="24">
        <v>22399.77</v>
      </c>
      <c r="CU4" s="9">
        <v>15182.66</v>
      </c>
      <c r="CV4" s="9">
        <f t="shared" ref="CV4:CV16" si="46">CT4*D4</f>
        <v>783.99195</v>
      </c>
      <c r="CW4" s="9">
        <f t="shared" ref="CW4:CW16" si="47">CU4*D4</f>
        <v>531.3931</v>
      </c>
      <c r="CX4" s="24">
        <v>24191.25</v>
      </c>
      <c r="CY4" s="9">
        <v>16306.75</v>
      </c>
      <c r="CZ4" s="9">
        <f t="shared" ref="CZ4:CZ16" si="48">CX4*D4</f>
        <v>846.69375</v>
      </c>
      <c r="DA4" s="9">
        <f t="shared" ref="DA4:DA16" si="49">CY4*D4</f>
        <v>570.73625</v>
      </c>
      <c r="DB4" s="24">
        <v>24191.25</v>
      </c>
      <c r="DC4" s="9">
        <v>16129.93</v>
      </c>
      <c r="DD4" s="9">
        <f t="shared" ref="DD4:DD16" si="50">DB4*D4</f>
        <v>846.69375</v>
      </c>
      <c r="DE4" s="9">
        <f t="shared" ref="DE4:DE16" si="51">DC4*D4</f>
        <v>564.54755</v>
      </c>
      <c r="DF4" s="24">
        <v>24191.25</v>
      </c>
      <c r="DG4" s="9">
        <v>13339.48</v>
      </c>
      <c r="DH4" s="9">
        <f t="shared" ref="DH4:DH16" si="52">DF4*D4</f>
        <v>846.69375</v>
      </c>
      <c r="DI4" s="9">
        <f t="shared" ref="DI4:DI16" si="53">DG4*D4</f>
        <v>466.8818</v>
      </c>
      <c r="DJ4" s="24">
        <v>26191.88</v>
      </c>
      <c r="DK4" s="9">
        <v>16959.92</v>
      </c>
      <c r="DL4" s="9">
        <f t="shared" ref="DL4:DL16" si="54">DJ4*D4</f>
        <v>916.7158</v>
      </c>
      <c r="DM4" s="9">
        <f t="shared" ref="DM4:DM16" si="55">DK4*D4</f>
        <v>593.5972</v>
      </c>
      <c r="DN4" s="24">
        <v>26191.88</v>
      </c>
      <c r="DO4" s="9"/>
      <c r="DP4" s="9">
        <f t="shared" ref="DP4:DP16" si="56">DN4*D4</f>
        <v>916.7158</v>
      </c>
      <c r="DQ4" s="9">
        <f t="shared" ref="DQ4:DQ16" si="57">DO4*D4</f>
        <v>0</v>
      </c>
      <c r="DR4" s="24">
        <v>22399.77</v>
      </c>
      <c r="DS4" s="9"/>
      <c r="DT4" s="9">
        <f t="shared" ref="DT4:DT16" si="58">DR4*D4</f>
        <v>783.99195</v>
      </c>
      <c r="DU4" s="9">
        <f t="shared" ref="DU4:DU16" si="59">DS4*D4</f>
        <v>0</v>
      </c>
      <c r="DV4" s="24">
        <v>22399.77</v>
      </c>
      <c r="DW4" s="9"/>
      <c r="DX4" s="9">
        <f t="shared" ref="DX4:DX16" si="60">DV4*D4</f>
        <v>783.99195</v>
      </c>
      <c r="DY4" s="9">
        <f t="shared" ref="DY4:DY16" si="61">DW4*D4</f>
        <v>0</v>
      </c>
      <c r="DZ4" s="9">
        <f t="shared" ref="DZ4:DZ16" si="62">F4+J4+N4+R4+V4+Z4+AD4+AH4+AL4+AP4+AT4+AX4+BB4+BF4+BJ4+BN4+BR4+BV4+BZ4+CD4+CH4+CL4+CP4+CT4+CX4+DB4+DF4+DJ4+DN4+DR4+DV4</f>
        <v>750019.62</v>
      </c>
      <c r="EA4" s="9">
        <f t="shared" ref="EA4:EA16" si="63">G4+K4+O4+S4+W4+AA4+AE4+AI4+AM4+AQ4+AU4+AY4+BC4+BG4+BK4+BO4+BS4+BW4+CA4+CE4+CI4+CM4+CQ4+CU4+CY4+DC4+DG4+DK4+DO4+DS4+DW4</f>
        <v>583148.19</v>
      </c>
      <c r="EB4" s="9">
        <f t="shared" ref="EB4:EB16" si="64">H4+L4+P4+T4+X4+AB4+AF4+AJ4+AN4+AR4+AV4+AZ4+BD4+BH4+BL4+BP4+BT4+BX4+CB4+CF4+CJ4+CN4+CR4+CV4+CZ4+DD4+DH4+DL4+DP4+DT4+DX4</f>
        <v>26250.6867</v>
      </c>
      <c r="EC4" s="9">
        <f t="shared" ref="EC4:EC16" si="65">I4+M4+Q4+U4+Y4+AC4+AG4+AK4+AO4+AS4+AW4+BA4+BE4+BI4+BM4+BQ4+BU4+BY4+CC4+CG4+CK4+CO4+CS4+CW4+DA4+DE4+DI4+DM4+DQ4+DU4+DY4</f>
        <v>20410.18665</v>
      </c>
    </row>
    <row r="5" s="2" customFormat="1" spans="1:133">
      <c r="A5" s="6" t="s">
        <v>145</v>
      </c>
      <c r="B5" s="21" t="s">
        <v>143</v>
      </c>
      <c r="C5" s="21">
        <v>193000</v>
      </c>
      <c r="D5" s="22">
        <v>0.035</v>
      </c>
      <c r="E5" s="23">
        <f t="shared" si="0"/>
        <v>6755</v>
      </c>
      <c r="F5" s="24">
        <v>7000</v>
      </c>
      <c r="G5" s="9">
        <v>11734.17</v>
      </c>
      <c r="H5" s="9">
        <f t="shared" si="1"/>
        <v>245</v>
      </c>
      <c r="I5" s="9">
        <f t="shared" si="2"/>
        <v>410.69595</v>
      </c>
      <c r="J5" s="24">
        <v>6000</v>
      </c>
      <c r="K5" s="9">
        <v>7314.29</v>
      </c>
      <c r="L5" s="9">
        <f t="shared" si="3"/>
        <v>210</v>
      </c>
      <c r="M5" s="9">
        <f t="shared" si="4"/>
        <v>256.00015</v>
      </c>
      <c r="N5" s="24">
        <v>6000</v>
      </c>
      <c r="O5" s="9">
        <v>8759.12</v>
      </c>
      <c r="P5" s="9">
        <f t="shared" ref="P4:P16" si="66">N5*D5</f>
        <v>210</v>
      </c>
      <c r="Q5" s="9">
        <f t="shared" si="5"/>
        <v>306.5692</v>
      </c>
      <c r="R5" s="24">
        <v>6000</v>
      </c>
      <c r="S5" s="9">
        <v>8869.45</v>
      </c>
      <c r="T5" s="9">
        <f t="shared" si="6"/>
        <v>210</v>
      </c>
      <c r="U5" s="9">
        <f t="shared" si="7"/>
        <v>310.43075</v>
      </c>
      <c r="V5" s="24">
        <v>6000</v>
      </c>
      <c r="W5" s="9">
        <v>8830.48</v>
      </c>
      <c r="X5" s="9">
        <f t="shared" si="8"/>
        <v>210</v>
      </c>
      <c r="Y5" s="9">
        <f t="shared" si="9"/>
        <v>309.0668</v>
      </c>
      <c r="Z5" s="24">
        <v>6000</v>
      </c>
      <c r="AA5" s="9">
        <v>9430.92</v>
      </c>
      <c r="AB5" s="9">
        <f t="shared" si="10"/>
        <v>210</v>
      </c>
      <c r="AC5" s="9">
        <f t="shared" si="11"/>
        <v>330.0822</v>
      </c>
      <c r="AD5" s="24">
        <v>8000</v>
      </c>
      <c r="AE5" s="9">
        <v>11701.89</v>
      </c>
      <c r="AF5" s="9">
        <f t="shared" si="12"/>
        <v>280</v>
      </c>
      <c r="AG5" s="9">
        <f t="shared" si="13"/>
        <v>409.56615</v>
      </c>
      <c r="AH5" s="24">
        <v>8000</v>
      </c>
      <c r="AI5" s="9">
        <v>18055.83</v>
      </c>
      <c r="AJ5" s="9">
        <f t="shared" si="14"/>
        <v>280</v>
      </c>
      <c r="AK5" s="9">
        <f t="shared" si="15"/>
        <v>631.95405</v>
      </c>
      <c r="AL5" s="24">
        <v>6000</v>
      </c>
      <c r="AM5" s="9">
        <v>7738.77</v>
      </c>
      <c r="AN5" s="9">
        <f t="shared" si="16"/>
        <v>210</v>
      </c>
      <c r="AO5" s="9">
        <f t="shared" si="17"/>
        <v>270.85695</v>
      </c>
      <c r="AP5" s="24">
        <v>6000</v>
      </c>
      <c r="AQ5" s="9">
        <v>7805.63</v>
      </c>
      <c r="AR5" s="9">
        <f t="shared" si="18"/>
        <v>210</v>
      </c>
      <c r="AS5" s="9">
        <f t="shared" si="19"/>
        <v>273.19705</v>
      </c>
      <c r="AT5" s="24">
        <v>6000</v>
      </c>
      <c r="AU5" s="9">
        <v>7707.2</v>
      </c>
      <c r="AV5" s="9">
        <f t="shared" si="20"/>
        <v>210</v>
      </c>
      <c r="AW5" s="9">
        <f t="shared" si="21"/>
        <v>269.752</v>
      </c>
      <c r="AX5" s="24">
        <v>6000</v>
      </c>
      <c r="AY5" s="9">
        <v>10716.22</v>
      </c>
      <c r="AZ5" s="9">
        <f t="shared" si="22"/>
        <v>210</v>
      </c>
      <c r="BA5" s="9">
        <f t="shared" si="23"/>
        <v>375.0677</v>
      </c>
      <c r="BB5" s="24">
        <v>6000</v>
      </c>
      <c r="BC5" s="9">
        <v>13029.71</v>
      </c>
      <c r="BD5" s="9">
        <f t="shared" si="24"/>
        <v>210</v>
      </c>
      <c r="BE5" s="9">
        <f t="shared" si="25"/>
        <v>456.03985</v>
      </c>
      <c r="BF5" s="24">
        <v>8000</v>
      </c>
      <c r="BG5" s="9">
        <v>13788.87</v>
      </c>
      <c r="BH5" s="9">
        <f t="shared" si="26"/>
        <v>280</v>
      </c>
      <c r="BI5" s="9">
        <f t="shared" si="27"/>
        <v>482.61045</v>
      </c>
      <c r="BJ5" s="24">
        <v>8000</v>
      </c>
      <c r="BK5" s="9">
        <v>12563.68</v>
      </c>
      <c r="BL5" s="9">
        <f t="shared" si="28"/>
        <v>280</v>
      </c>
      <c r="BM5" s="9">
        <f t="shared" si="29"/>
        <v>439.7288</v>
      </c>
      <c r="BN5" s="24">
        <v>5500</v>
      </c>
      <c r="BO5" s="9">
        <v>12255.91</v>
      </c>
      <c r="BP5" s="9">
        <f t="shared" si="30"/>
        <v>192.5</v>
      </c>
      <c r="BQ5" s="9">
        <f t="shared" si="31"/>
        <v>428.95685</v>
      </c>
      <c r="BR5" s="24">
        <v>5500</v>
      </c>
      <c r="BS5" s="9">
        <v>9875.89</v>
      </c>
      <c r="BT5" s="9">
        <f t="shared" si="32"/>
        <v>192.5</v>
      </c>
      <c r="BU5" s="9">
        <f t="shared" si="33"/>
        <v>345.65615</v>
      </c>
      <c r="BV5" s="24">
        <v>5500</v>
      </c>
      <c r="BW5" s="9">
        <v>8313.07</v>
      </c>
      <c r="BX5" s="9">
        <f t="shared" si="34"/>
        <v>192.5</v>
      </c>
      <c r="BY5" s="9">
        <f t="shared" si="35"/>
        <v>290.95745</v>
      </c>
      <c r="BZ5" s="24">
        <v>5500</v>
      </c>
      <c r="CA5" s="9">
        <v>6911.25</v>
      </c>
      <c r="CB5" s="9">
        <f t="shared" si="36"/>
        <v>192.5</v>
      </c>
      <c r="CC5" s="9">
        <f t="shared" si="37"/>
        <v>241.89375</v>
      </c>
      <c r="CD5" s="24">
        <v>5500</v>
      </c>
      <c r="CE5" s="9">
        <v>8047.48</v>
      </c>
      <c r="CF5" s="9">
        <f t="shared" si="38"/>
        <v>192.5</v>
      </c>
      <c r="CG5" s="9">
        <f t="shared" si="39"/>
        <v>281.6618</v>
      </c>
      <c r="CH5" s="24">
        <v>7000</v>
      </c>
      <c r="CI5" s="9">
        <v>7682.27</v>
      </c>
      <c r="CJ5" s="9">
        <f t="shared" si="40"/>
        <v>245</v>
      </c>
      <c r="CK5" s="9">
        <f t="shared" si="41"/>
        <v>268.87945</v>
      </c>
      <c r="CL5" s="24">
        <v>7000</v>
      </c>
      <c r="CM5" s="9">
        <v>8442.41</v>
      </c>
      <c r="CN5" s="9">
        <f t="shared" si="42"/>
        <v>245</v>
      </c>
      <c r="CO5" s="9">
        <f t="shared" si="43"/>
        <v>295.48435</v>
      </c>
      <c r="CP5" s="24">
        <v>5500</v>
      </c>
      <c r="CQ5" s="9">
        <v>5830.56</v>
      </c>
      <c r="CR5" s="9">
        <f t="shared" si="44"/>
        <v>192.5</v>
      </c>
      <c r="CS5" s="9">
        <f t="shared" si="45"/>
        <v>204.0696</v>
      </c>
      <c r="CT5" s="24">
        <v>5500</v>
      </c>
      <c r="CU5" s="9">
        <v>5633.28</v>
      </c>
      <c r="CV5" s="9">
        <f t="shared" si="46"/>
        <v>192.5</v>
      </c>
      <c r="CW5" s="9">
        <f t="shared" si="47"/>
        <v>197.1648</v>
      </c>
      <c r="CX5" s="24">
        <v>5500</v>
      </c>
      <c r="CY5" s="9">
        <v>4805.89</v>
      </c>
      <c r="CZ5" s="9">
        <f t="shared" si="48"/>
        <v>192.5</v>
      </c>
      <c r="DA5" s="9">
        <f t="shared" si="49"/>
        <v>168.20615</v>
      </c>
      <c r="DB5" s="24">
        <v>5500</v>
      </c>
      <c r="DC5" s="9">
        <v>4686.37</v>
      </c>
      <c r="DD5" s="9">
        <f t="shared" si="50"/>
        <v>192.5</v>
      </c>
      <c r="DE5" s="9">
        <f t="shared" si="51"/>
        <v>164.02295</v>
      </c>
      <c r="DF5" s="24">
        <v>5500</v>
      </c>
      <c r="DG5" s="9">
        <v>4423.59</v>
      </c>
      <c r="DH5" s="9">
        <f t="shared" si="52"/>
        <v>192.5</v>
      </c>
      <c r="DI5" s="9">
        <f t="shared" si="53"/>
        <v>154.82565</v>
      </c>
      <c r="DJ5" s="24">
        <v>7000</v>
      </c>
      <c r="DK5" s="9">
        <v>6660.11</v>
      </c>
      <c r="DL5" s="9">
        <f t="shared" si="54"/>
        <v>245</v>
      </c>
      <c r="DM5" s="9">
        <f t="shared" si="55"/>
        <v>233.10385</v>
      </c>
      <c r="DN5" s="24">
        <v>7000</v>
      </c>
      <c r="DO5" s="9"/>
      <c r="DP5" s="9">
        <f t="shared" si="56"/>
        <v>245</v>
      </c>
      <c r="DQ5" s="9">
        <f t="shared" si="57"/>
        <v>0</v>
      </c>
      <c r="DR5" s="24">
        <v>5500</v>
      </c>
      <c r="DS5" s="9"/>
      <c r="DT5" s="9">
        <f t="shared" si="58"/>
        <v>192.5</v>
      </c>
      <c r="DU5" s="9">
        <f t="shared" si="59"/>
        <v>0</v>
      </c>
      <c r="DV5" s="24">
        <v>5500</v>
      </c>
      <c r="DW5" s="9"/>
      <c r="DX5" s="9">
        <f t="shared" si="60"/>
        <v>192.5</v>
      </c>
      <c r="DY5" s="9">
        <f t="shared" si="61"/>
        <v>0</v>
      </c>
      <c r="DZ5" s="9">
        <f t="shared" si="62"/>
        <v>193000</v>
      </c>
      <c r="EA5" s="9">
        <f t="shared" si="63"/>
        <v>251614.31</v>
      </c>
      <c r="EB5" s="9">
        <f t="shared" si="64"/>
        <v>6755</v>
      </c>
      <c r="EC5" s="9">
        <f t="shared" si="65"/>
        <v>8806.50085</v>
      </c>
    </row>
    <row r="6" s="2" customFormat="1" spans="1:133">
      <c r="A6" s="6" t="s">
        <v>146</v>
      </c>
      <c r="B6" s="21" t="s">
        <v>143</v>
      </c>
      <c r="C6" s="21">
        <v>294000</v>
      </c>
      <c r="D6" s="22">
        <v>0.035</v>
      </c>
      <c r="E6" s="23">
        <f t="shared" si="0"/>
        <v>10290</v>
      </c>
      <c r="F6" s="24">
        <v>12000</v>
      </c>
      <c r="G6" s="9">
        <v>13337.66</v>
      </c>
      <c r="H6" s="9">
        <f t="shared" si="1"/>
        <v>420</v>
      </c>
      <c r="I6" s="9">
        <f t="shared" si="2"/>
        <v>466.8181</v>
      </c>
      <c r="J6" s="24">
        <v>8500</v>
      </c>
      <c r="K6" s="9">
        <v>12266.14</v>
      </c>
      <c r="L6" s="9">
        <f t="shared" si="3"/>
        <v>297.5</v>
      </c>
      <c r="M6" s="9">
        <f t="shared" si="4"/>
        <v>429.3149</v>
      </c>
      <c r="N6" s="24">
        <v>8500</v>
      </c>
      <c r="O6" s="9">
        <v>12018.22</v>
      </c>
      <c r="P6" s="9">
        <f t="shared" si="66"/>
        <v>297.5</v>
      </c>
      <c r="Q6" s="9">
        <f t="shared" si="5"/>
        <v>420.6377</v>
      </c>
      <c r="R6" s="24">
        <v>8500</v>
      </c>
      <c r="S6" s="9">
        <v>11778.16</v>
      </c>
      <c r="T6" s="9">
        <f t="shared" si="6"/>
        <v>297.5</v>
      </c>
      <c r="U6" s="9">
        <f t="shared" si="7"/>
        <v>412.2356</v>
      </c>
      <c r="V6" s="24">
        <v>8500</v>
      </c>
      <c r="W6" s="9">
        <v>12776.83</v>
      </c>
      <c r="X6" s="9">
        <f t="shared" si="8"/>
        <v>297.5</v>
      </c>
      <c r="Y6" s="9">
        <f t="shared" si="9"/>
        <v>447.18905</v>
      </c>
      <c r="Z6" s="24">
        <v>8500</v>
      </c>
      <c r="AA6" s="9">
        <v>13755.25</v>
      </c>
      <c r="AB6" s="9">
        <f t="shared" si="10"/>
        <v>297.5</v>
      </c>
      <c r="AC6" s="9">
        <f t="shared" si="11"/>
        <v>481.43375</v>
      </c>
      <c r="AD6" s="24">
        <v>12000</v>
      </c>
      <c r="AE6" s="9">
        <v>15198.11</v>
      </c>
      <c r="AF6" s="9">
        <f t="shared" si="12"/>
        <v>420</v>
      </c>
      <c r="AG6" s="9">
        <f t="shared" si="13"/>
        <v>531.93385</v>
      </c>
      <c r="AH6" s="24">
        <v>12000</v>
      </c>
      <c r="AI6" s="9">
        <v>16415.7</v>
      </c>
      <c r="AJ6" s="9">
        <f t="shared" si="14"/>
        <v>420</v>
      </c>
      <c r="AK6" s="9">
        <f t="shared" si="15"/>
        <v>574.5495</v>
      </c>
      <c r="AL6" s="24">
        <v>8500</v>
      </c>
      <c r="AM6" s="9">
        <v>10949.21</v>
      </c>
      <c r="AN6" s="9">
        <f t="shared" si="16"/>
        <v>297.5</v>
      </c>
      <c r="AO6" s="9">
        <f t="shared" si="17"/>
        <v>383.22235</v>
      </c>
      <c r="AP6" s="24">
        <v>8500</v>
      </c>
      <c r="AQ6" s="9">
        <v>10959.78</v>
      </c>
      <c r="AR6" s="9">
        <f t="shared" si="18"/>
        <v>297.5</v>
      </c>
      <c r="AS6" s="9">
        <f t="shared" si="19"/>
        <v>383.5923</v>
      </c>
      <c r="AT6" s="24">
        <v>8500</v>
      </c>
      <c r="AU6" s="9">
        <v>11137.06</v>
      </c>
      <c r="AV6" s="9">
        <f t="shared" si="20"/>
        <v>297.5</v>
      </c>
      <c r="AW6" s="9">
        <f t="shared" si="21"/>
        <v>389.7971</v>
      </c>
      <c r="AX6" s="24">
        <v>8500</v>
      </c>
      <c r="AY6" s="9">
        <v>16117.2</v>
      </c>
      <c r="AZ6" s="9">
        <f t="shared" si="22"/>
        <v>297.5</v>
      </c>
      <c r="BA6" s="9">
        <f t="shared" si="23"/>
        <v>564.102</v>
      </c>
      <c r="BB6" s="24">
        <v>8500</v>
      </c>
      <c r="BC6" s="9">
        <v>18898.6</v>
      </c>
      <c r="BD6" s="9">
        <f t="shared" si="24"/>
        <v>297.5</v>
      </c>
      <c r="BE6" s="9">
        <f t="shared" si="25"/>
        <v>661.451</v>
      </c>
      <c r="BF6" s="24">
        <v>12000</v>
      </c>
      <c r="BG6" s="9">
        <v>17961.34</v>
      </c>
      <c r="BH6" s="9">
        <f t="shared" si="26"/>
        <v>420</v>
      </c>
      <c r="BI6" s="9">
        <f t="shared" si="27"/>
        <v>628.6469</v>
      </c>
      <c r="BJ6" s="24">
        <v>12000</v>
      </c>
      <c r="BK6" s="9">
        <v>18418.38</v>
      </c>
      <c r="BL6" s="9">
        <f t="shared" si="28"/>
        <v>420</v>
      </c>
      <c r="BM6" s="9">
        <f t="shared" si="29"/>
        <v>644.6433</v>
      </c>
      <c r="BN6" s="24">
        <v>8500</v>
      </c>
      <c r="BO6" s="9">
        <v>18110.54</v>
      </c>
      <c r="BP6" s="9">
        <f t="shared" si="30"/>
        <v>297.5</v>
      </c>
      <c r="BQ6" s="9">
        <f t="shared" si="31"/>
        <v>633.8689</v>
      </c>
      <c r="BR6" s="24">
        <v>8500</v>
      </c>
      <c r="BS6" s="9">
        <v>16988.4</v>
      </c>
      <c r="BT6" s="9">
        <f t="shared" si="32"/>
        <v>297.5</v>
      </c>
      <c r="BU6" s="9">
        <f t="shared" si="33"/>
        <v>594.594</v>
      </c>
      <c r="BV6" s="24">
        <v>8500</v>
      </c>
      <c r="BW6" s="9">
        <v>11376.46</v>
      </c>
      <c r="BX6" s="9">
        <f t="shared" si="34"/>
        <v>297.5</v>
      </c>
      <c r="BY6" s="9">
        <f t="shared" si="35"/>
        <v>398.1761</v>
      </c>
      <c r="BZ6" s="24">
        <v>8500</v>
      </c>
      <c r="CA6" s="9">
        <v>11006.77</v>
      </c>
      <c r="CB6" s="9">
        <f t="shared" si="36"/>
        <v>297.5</v>
      </c>
      <c r="CC6" s="9">
        <f t="shared" si="37"/>
        <v>385.23695</v>
      </c>
      <c r="CD6" s="24">
        <v>8500</v>
      </c>
      <c r="CE6" s="9">
        <v>10761.37</v>
      </c>
      <c r="CF6" s="9">
        <f t="shared" si="38"/>
        <v>297.5</v>
      </c>
      <c r="CG6" s="9">
        <f t="shared" si="39"/>
        <v>376.64795</v>
      </c>
      <c r="CH6" s="24">
        <v>12000</v>
      </c>
      <c r="CI6" s="9">
        <v>9134.41</v>
      </c>
      <c r="CJ6" s="9">
        <f t="shared" si="40"/>
        <v>420</v>
      </c>
      <c r="CK6" s="9">
        <f t="shared" si="41"/>
        <v>319.70435</v>
      </c>
      <c r="CL6" s="24">
        <v>12000</v>
      </c>
      <c r="CM6" s="9">
        <v>11668.84</v>
      </c>
      <c r="CN6" s="9">
        <f t="shared" si="42"/>
        <v>420</v>
      </c>
      <c r="CO6" s="9">
        <f t="shared" si="43"/>
        <v>408.4094</v>
      </c>
      <c r="CP6" s="24">
        <v>8500</v>
      </c>
      <c r="CQ6" s="9">
        <v>6869.35</v>
      </c>
      <c r="CR6" s="9">
        <f t="shared" si="44"/>
        <v>297.5</v>
      </c>
      <c r="CS6" s="9">
        <f t="shared" si="45"/>
        <v>240.42725</v>
      </c>
      <c r="CT6" s="24">
        <v>8500</v>
      </c>
      <c r="CU6" s="9">
        <v>8200.97</v>
      </c>
      <c r="CV6" s="9">
        <f t="shared" si="46"/>
        <v>297.5</v>
      </c>
      <c r="CW6" s="9">
        <f t="shared" si="47"/>
        <v>287.03395</v>
      </c>
      <c r="CX6" s="24">
        <v>8500</v>
      </c>
      <c r="CY6" s="9">
        <v>6332.14</v>
      </c>
      <c r="CZ6" s="9">
        <f t="shared" si="48"/>
        <v>297.5</v>
      </c>
      <c r="DA6" s="9">
        <f t="shared" si="49"/>
        <v>221.6249</v>
      </c>
      <c r="DB6" s="24">
        <v>8500</v>
      </c>
      <c r="DC6" s="9">
        <v>6988.04</v>
      </c>
      <c r="DD6" s="9">
        <f t="shared" si="50"/>
        <v>297.5</v>
      </c>
      <c r="DE6" s="9">
        <f t="shared" si="51"/>
        <v>244.5814</v>
      </c>
      <c r="DF6" s="24">
        <v>8500</v>
      </c>
      <c r="DG6" s="9">
        <v>6171.94</v>
      </c>
      <c r="DH6" s="9">
        <f t="shared" si="52"/>
        <v>297.5</v>
      </c>
      <c r="DI6" s="9">
        <f t="shared" si="53"/>
        <v>216.0179</v>
      </c>
      <c r="DJ6" s="24">
        <v>12000</v>
      </c>
      <c r="DK6" s="9">
        <v>8789.26</v>
      </c>
      <c r="DL6" s="9">
        <f t="shared" si="54"/>
        <v>420</v>
      </c>
      <c r="DM6" s="9">
        <f t="shared" si="55"/>
        <v>307.6241</v>
      </c>
      <c r="DN6" s="24">
        <v>12000</v>
      </c>
      <c r="DO6" s="9"/>
      <c r="DP6" s="9">
        <f t="shared" si="56"/>
        <v>420</v>
      </c>
      <c r="DQ6" s="9">
        <f t="shared" si="57"/>
        <v>0</v>
      </c>
      <c r="DR6" s="24">
        <v>8000</v>
      </c>
      <c r="DS6" s="9"/>
      <c r="DT6" s="9">
        <f t="shared" si="58"/>
        <v>280</v>
      </c>
      <c r="DU6" s="9">
        <f t="shared" si="59"/>
        <v>0</v>
      </c>
      <c r="DV6" s="24">
        <v>8000</v>
      </c>
      <c r="DW6" s="9"/>
      <c r="DX6" s="9">
        <f t="shared" si="60"/>
        <v>280</v>
      </c>
      <c r="DY6" s="9">
        <f t="shared" si="61"/>
        <v>0</v>
      </c>
      <c r="DZ6" s="9">
        <f t="shared" si="62"/>
        <v>294000</v>
      </c>
      <c r="EA6" s="9">
        <f t="shared" si="63"/>
        <v>344386.13</v>
      </c>
      <c r="EB6" s="9">
        <f t="shared" si="64"/>
        <v>10290</v>
      </c>
      <c r="EC6" s="9">
        <f t="shared" si="65"/>
        <v>12053.51455</v>
      </c>
    </row>
    <row r="7" s="2" customFormat="1" spans="1:133">
      <c r="A7" s="26" t="s">
        <v>147</v>
      </c>
      <c r="B7" s="27" t="s">
        <v>143</v>
      </c>
      <c r="C7" s="27">
        <v>1496000</v>
      </c>
      <c r="D7" s="28">
        <v>0.003343</v>
      </c>
      <c r="E7" s="23">
        <f t="shared" si="0"/>
        <v>5001.128</v>
      </c>
      <c r="F7" s="24">
        <v>48258</v>
      </c>
      <c r="G7" s="9">
        <v>44816.9</v>
      </c>
      <c r="H7" s="9">
        <f t="shared" si="1"/>
        <v>161.326494</v>
      </c>
      <c r="I7" s="9">
        <f t="shared" si="2"/>
        <v>149.8228967</v>
      </c>
      <c r="J7" s="24">
        <v>48258</v>
      </c>
      <c r="K7" s="9">
        <v>37709.11</v>
      </c>
      <c r="L7" s="9">
        <f t="shared" si="3"/>
        <v>161.326494</v>
      </c>
      <c r="M7" s="9">
        <f t="shared" si="4"/>
        <v>126.06155473</v>
      </c>
      <c r="N7" s="24">
        <v>48258</v>
      </c>
      <c r="O7" s="9">
        <v>43808.38</v>
      </c>
      <c r="P7" s="9">
        <f t="shared" si="66"/>
        <v>161.326494</v>
      </c>
      <c r="Q7" s="9">
        <f t="shared" si="5"/>
        <v>146.45141434</v>
      </c>
      <c r="R7" s="24">
        <v>48258</v>
      </c>
      <c r="S7" s="9">
        <v>44843.31</v>
      </c>
      <c r="T7" s="9">
        <f t="shared" si="6"/>
        <v>161.326494</v>
      </c>
      <c r="U7" s="9">
        <f t="shared" si="7"/>
        <v>149.91118533</v>
      </c>
      <c r="V7" s="24">
        <v>48258</v>
      </c>
      <c r="W7" s="9">
        <v>46358.07</v>
      </c>
      <c r="X7" s="9">
        <f t="shared" si="8"/>
        <v>161.326494</v>
      </c>
      <c r="Y7" s="9">
        <f t="shared" si="9"/>
        <v>154.97502801</v>
      </c>
      <c r="Z7" s="24">
        <v>48258</v>
      </c>
      <c r="AA7" s="9">
        <v>47910.1</v>
      </c>
      <c r="AB7" s="9">
        <f t="shared" si="10"/>
        <v>161.326494</v>
      </c>
      <c r="AC7" s="9">
        <f t="shared" si="11"/>
        <v>160.1634643</v>
      </c>
      <c r="AD7" s="24">
        <v>48258</v>
      </c>
      <c r="AE7" s="9">
        <v>49314.26</v>
      </c>
      <c r="AF7" s="9">
        <f t="shared" si="12"/>
        <v>161.326494</v>
      </c>
      <c r="AG7" s="9">
        <f t="shared" si="13"/>
        <v>164.85757118</v>
      </c>
      <c r="AH7" s="24">
        <v>48258</v>
      </c>
      <c r="AI7" s="9">
        <v>49493.38</v>
      </c>
      <c r="AJ7" s="9">
        <f t="shared" si="14"/>
        <v>161.326494</v>
      </c>
      <c r="AK7" s="9">
        <f t="shared" si="15"/>
        <v>165.45636934</v>
      </c>
      <c r="AL7" s="24">
        <v>48258</v>
      </c>
      <c r="AM7" s="9">
        <v>37356.02</v>
      </c>
      <c r="AN7" s="9">
        <f t="shared" si="16"/>
        <v>161.326494</v>
      </c>
      <c r="AO7" s="9">
        <f t="shared" si="17"/>
        <v>124.88117486</v>
      </c>
      <c r="AP7" s="24">
        <v>48258</v>
      </c>
      <c r="AQ7" s="9">
        <v>42656.57</v>
      </c>
      <c r="AR7" s="9">
        <f t="shared" si="18"/>
        <v>161.326494</v>
      </c>
      <c r="AS7" s="9">
        <f t="shared" si="19"/>
        <v>142.60091351</v>
      </c>
      <c r="AT7" s="24">
        <v>48258</v>
      </c>
      <c r="AU7" s="9">
        <v>43184.32</v>
      </c>
      <c r="AV7" s="9">
        <f t="shared" si="20"/>
        <v>161.326494</v>
      </c>
      <c r="AW7" s="9">
        <f t="shared" si="21"/>
        <v>144.36518176</v>
      </c>
      <c r="AX7" s="24">
        <v>48258</v>
      </c>
      <c r="AY7" s="9">
        <v>43127.01</v>
      </c>
      <c r="AZ7" s="9">
        <f t="shared" si="22"/>
        <v>161.326494</v>
      </c>
      <c r="BA7" s="9">
        <f t="shared" si="23"/>
        <v>144.17359443</v>
      </c>
      <c r="BB7" s="24">
        <v>48258</v>
      </c>
      <c r="BC7" s="9">
        <v>42314.26</v>
      </c>
      <c r="BD7" s="9">
        <f t="shared" si="24"/>
        <v>161.326494</v>
      </c>
      <c r="BE7" s="9">
        <f t="shared" si="25"/>
        <v>141.45657118</v>
      </c>
      <c r="BF7" s="24">
        <v>48258</v>
      </c>
      <c r="BG7" s="9">
        <v>41357.45</v>
      </c>
      <c r="BH7" s="9">
        <f t="shared" si="26"/>
        <v>161.326494</v>
      </c>
      <c r="BI7" s="9">
        <f t="shared" si="27"/>
        <v>138.25795535</v>
      </c>
      <c r="BJ7" s="24">
        <v>48258</v>
      </c>
      <c r="BK7" s="9">
        <v>39067.83</v>
      </c>
      <c r="BL7" s="9">
        <f t="shared" si="28"/>
        <v>161.326494</v>
      </c>
      <c r="BM7" s="9">
        <f t="shared" si="29"/>
        <v>130.60375569</v>
      </c>
      <c r="BN7" s="24">
        <v>48258</v>
      </c>
      <c r="BO7" s="9">
        <v>38527.21</v>
      </c>
      <c r="BP7" s="9">
        <f t="shared" si="30"/>
        <v>161.326494</v>
      </c>
      <c r="BQ7" s="9">
        <f t="shared" si="31"/>
        <v>128.79646303</v>
      </c>
      <c r="BR7" s="24">
        <v>48258</v>
      </c>
      <c r="BS7" s="9">
        <v>38773.54</v>
      </c>
      <c r="BT7" s="9">
        <f t="shared" si="32"/>
        <v>161.326494</v>
      </c>
      <c r="BU7" s="9">
        <f t="shared" si="33"/>
        <v>129.61994422</v>
      </c>
      <c r="BV7" s="24">
        <v>48258</v>
      </c>
      <c r="BW7" s="9">
        <v>39545.61</v>
      </c>
      <c r="BX7" s="9">
        <f t="shared" si="34"/>
        <v>161.326494</v>
      </c>
      <c r="BY7" s="9">
        <f t="shared" si="35"/>
        <v>132.20097423</v>
      </c>
      <c r="BZ7" s="24">
        <v>48258</v>
      </c>
      <c r="CA7" s="9">
        <v>38893.58</v>
      </c>
      <c r="CB7" s="9">
        <f t="shared" si="36"/>
        <v>161.326494</v>
      </c>
      <c r="CC7" s="9">
        <f t="shared" si="37"/>
        <v>130.02123794</v>
      </c>
      <c r="CD7" s="24">
        <v>48258</v>
      </c>
      <c r="CE7" s="9">
        <v>40750.45</v>
      </c>
      <c r="CF7" s="9">
        <f t="shared" si="38"/>
        <v>161.326494</v>
      </c>
      <c r="CG7" s="9">
        <f t="shared" si="39"/>
        <v>136.22875435</v>
      </c>
      <c r="CH7" s="24">
        <v>48258</v>
      </c>
      <c r="CI7" s="9">
        <v>45486.18</v>
      </c>
      <c r="CJ7" s="9">
        <f t="shared" si="40"/>
        <v>161.326494</v>
      </c>
      <c r="CK7" s="9">
        <f t="shared" si="41"/>
        <v>152.06029974</v>
      </c>
      <c r="CL7" s="24">
        <v>48258</v>
      </c>
      <c r="CM7" s="9">
        <v>56220.37</v>
      </c>
      <c r="CN7" s="9">
        <f t="shared" si="42"/>
        <v>161.326494</v>
      </c>
      <c r="CO7" s="9">
        <f t="shared" si="43"/>
        <v>187.94469691</v>
      </c>
      <c r="CP7" s="24">
        <v>48258</v>
      </c>
      <c r="CQ7" s="9">
        <v>27101.2</v>
      </c>
      <c r="CR7" s="9">
        <f t="shared" si="44"/>
        <v>161.326494</v>
      </c>
      <c r="CS7" s="9">
        <f t="shared" si="45"/>
        <v>90.5993116</v>
      </c>
      <c r="CT7" s="24">
        <v>48258</v>
      </c>
      <c r="CU7" s="9">
        <v>30383.41</v>
      </c>
      <c r="CV7" s="9">
        <f t="shared" si="46"/>
        <v>161.326494</v>
      </c>
      <c r="CW7" s="9">
        <f t="shared" si="47"/>
        <v>101.57173963</v>
      </c>
      <c r="CX7" s="24">
        <v>48258</v>
      </c>
      <c r="CY7" s="9">
        <v>29284.48</v>
      </c>
      <c r="CZ7" s="9">
        <f t="shared" si="48"/>
        <v>161.326494</v>
      </c>
      <c r="DA7" s="9">
        <f t="shared" si="49"/>
        <v>97.89801664</v>
      </c>
      <c r="DB7" s="24">
        <v>48258</v>
      </c>
      <c r="DC7" s="9">
        <v>27722.07</v>
      </c>
      <c r="DD7" s="9">
        <f t="shared" si="50"/>
        <v>161.326494</v>
      </c>
      <c r="DE7" s="9">
        <f t="shared" si="51"/>
        <v>92.67488001</v>
      </c>
      <c r="DF7" s="24">
        <v>48258</v>
      </c>
      <c r="DG7" s="9">
        <v>27894.15</v>
      </c>
      <c r="DH7" s="9">
        <f t="shared" si="52"/>
        <v>161.326494</v>
      </c>
      <c r="DI7" s="9">
        <f t="shared" si="53"/>
        <v>93.25014345</v>
      </c>
      <c r="DJ7" s="24">
        <v>48258</v>
      </c>
      <c r="DK7" s="9">
        <v>25372.06</v>
      </c>
      <c r="DL7" s="9">
        <f t="shared" si="54"/>
        <v>161.326494</v>
      </c>
      <c r="DM7" s="9">
        <f t="shared" si="55"/>
        <v>84.81879658</v>
      </c>
      <c r="DN7" s="24">
        <v>48258</v>
      </c>
      <c r="DO7" s="9"/>
      <c r="DP7" s="9">
        <f t="shared" si="56"/>
        <v>161.326494</v>
      </c>
      <c r="DQ7" s="9">
        <f t="shared" si="57"/>
        <v>0</v>
      </c>
      <c r="DR7" s="24">
        <v>48258</v>
      </c>
      <c r="DS7" s="9"/>
      <c r="DT7" s="9">
        <f t="shared" si="58"/>
        <v>161.326494</v>
      </c>
      <c r="DU7" s="9">
        <f t="shared" si="59"/>
        <v>0</v>
      </c>
      <c r="DV7" s="24">
        <v>48260</v>
      </c>
      <c r="DW7" s="9"/>
      <c r="DX7" s="9">
        <f t="shared" si="60"/>
        <v>161.33318</v>
      </c>
      <c r="DY7" s="9">
        <f t="shared" si="61"/>
        <v>0</v>
      </c>
      <c r="DZ7" s="9">
        <f t="shared" si="62"/>
        <v>1496000</v>
      </c>
      <c r="EA7" s="9">
        <f t="shared" si="63"/>
        <v>1119271.28</v>
      </c>
      <c r="EB7" s="9">
        <f t="shared" si="64"/>
        <v>5001.128</v>
      </c>
      <c r="EC7" s="9">
        <f t="shared" si="65"/>
        <v>3741.72388904</v>
      </c>
    </row>
    <row r="8" s="4" customFormat="1" spans="1:133">
      <c r="A8" s="26" t="s">
        <v>148</v>
      </c>
      <c r="B8" s="27" t="s">
        <v>143</v>
      </c>
      <c r="C8" s="27">
        <v>960000</v>
      </c>
      <c r="D8" s="29">
        <v>0.04</v>
      </c>
      <c r="E8" s="23">
        <f t="shared" si="0"/>
        <v>38400</v>
      </c>
      <c r="F8" s="24">
        <v>35000</v>
      </c>
      <c r="G8" s="9">
        <v>36979.52</v>
      </c>
      <c r="H8" s="9">
        <f t="shared" si="1"/>
        <v>1400</v>
      </c>
      <c r="I8" s="9">
        <f t="shared" si="2"/>
        <v>1479.1808</v>
      </c>
      <c r="J8" s="24">
        <v>30000</v>
      </c>
      <c r="K8" s="9">
        <v>33561.44</v>
      </c>
      <c r="L8" s="9">
        <f t="shared" si="3"/>
        <v>1200</v>
      </c>
      <c r="M8" s="9">
        <f t="shared" si="4"/>
        <v>1342.4576</v>
      </c>
      <c r="N8" s="24">
        <v>30000</v>
      </c>
      <c r="O8" s="9">
        <v>31217.49</v>
      </c>
      <c r="P8" s="9">
        <f t="shared" si="66"/>
        <v>1200</v>
      </c>
      <c r="Q8" s="9">
        <f t="shared" si="5"/>
        <v>1248.6996</v>
      </c>
      <c r="R8" s="24">
        <v>33000</v>
      </c>
      <c r="S8" s="9">
        <v>34829.79</v>
      </c>
      <c r="T8" s="9">
        <f t="shared" si="6"/>
        <v>1320</v>
      </c>
      <c r="U8" s="9">
        <f t="shared" si="7"/>
        <v>1393.1916</v>
      </c>
      <c r="V8" s="24">
        <v>33000</v>
      </c>
      <c r="W8" s="9">
        <v>34889.26</v>
      </c>
      <c r="X8" s="9">
        <f t="shared" si="8"/>
        <v>1320</v>
      </c>
      <c r="Y8" s="9">
        <f t="shared" si="9"/>
        <v>1395.5704</v>
      </c>
      <c r="Z8" s="24">
        <v>34000</v>
      </c>
      <c r="AA8" s="9">
        <v>34431.36</v>
      </c>
      <c r="AB8" s="9">
        <f t="shared" si="10"/>
        <v>1360</v>
      </c>
      <c r="AC8" s="9">
        <f t="shared" si="11"/>
        <v>1377.2544</v>
      </c>
      <c r="AD8" s="24">
        <v>36500</v>
      </c>
      <c r="AE8" s="9">
        <v>35982.09</v>
      </c>
      <c r="AF8" s="9">
        <f t="shared" si="12"/>
        <v>1460</v>
      </c>
      <c r="AG8" s="9">
        <f t="shared" si="13"/>
        <v>1439.2836</v>
      </c>
      <c r="AH8" s="24">
        <v>36500</v>
      </c>
      <c r="AI8" s="9">
        <v>39427.97</v>
      </c>
      <c r="AJ8" s="9">
        <f t="shared" si="14"/>
        <v>1460</v>
      </c>
      <c r="AK8" s="9">
        <f t="shared" si="15"/>
        <v>1577.1188</v>
      </c>
      <c r="AL8" s="24">
        <v>32000</v>
      </c>
      <c r="AM8" s="9">
        <v>31184.02</v>
      </c>
      <c r="AN8" s="9">
        <f t="shared" si="16"/>
        <v>1280</v>
      </c>
      <c r="AO8" s="9">
        <f t="shared" si="17"/>
        <v>1247.3608</v>
      </c>
      <c r="AP8" s="24">
        <v>30000</v>
      </c>
      <c r="AQ8" s="9">
        <v>31051.5</v>
      </c>
      <c r="AR8" s="9">
        <f t="shared" si="18"/>
        <v>1200</v>
      </c>
      <c r="AS8" s="9">
        <f t="shared" si="19"/>
        <v>1242.06</v>
      </c>
      <c r="AT8" s="24">
        <v>35000</v>
      </c>
      <c r="AU8" s="9">
        <v>34361.05</v>
      </c>
      <c r="AV8" s="9">
        <f t="shared" si="20"/>
        <v>1400</v>
      </c>
      <c r="AW8" s="9">
        <f t="shared" si="21"/>
        <v>1374.442</v>
      </c>
      <c r="AX8" s="24">
        <v>35000</v>
      </c>
      <c r="AY8" s="9">
        <v>36120.51</v>
      </c>
      <c r="AZ8" s="9">
        <f t="shared" si="22"/>
        <v>1400</v>
      </c>
      <c r="BA8" s="9">
        <f t="shared" si="23"/>
        <v>1444.8204</v>
      </c>
      <c r="BB8" s="24">
        <v>35000</v>
      </c>
      <c r="BC8" s="9">
        <v>42278.07</v>
      </c>
      <c r="BD8" s="9">
        <f t="shared" si="24"/>
        <v>1400</v>
      </c>
      <c r="BE8" s="9">
        <f t="shared" si="25"/>
        <v>1691.1228</v>
      </c>
      <c r="BF8" s="24">
        <v>37000</v>
      </c>
      <c r="BG8" s="9">
        <v>38869.63</v>
      </c>
      <c r="BH8" s="9">
        <f t="shared" si="26"/>
        <v>1480</v>
      </c>
      <c r="BI8" s="9">
        <f t="shared" si="27"/>
        <v>1554.7852</v>
      </c>
      <c r="BJ8" s="24">
        <v>36000</v>
      </c>
      <c r="BK8" s="9">
        <v>41927.65</v>
      </c>
      <c r="BL8" s="9">
        <f t="shared" si="28"/>
        <v>1440</v>
      </c>
      <c r="BM8" s="9">
        <f t="shared" si="29"/>
        <v>1677.106</v>
      </c>
      <c r="BN8" s="24">
        <v>30000</v>
      </c>
      <c r="BO8" s="9">
        <v>38627.72</v>
      </c>
      <c r="BP8" s="9">
        <f t="shared" si="30"/>
        <v>1200</v>
      </c>
      <c r="BQ8" s="9">
        <f t="shared" si="31"/>
        <v>1545.1088</v>
      </c>
      <c r="BR8" s="24">
        <v>30000</v>
      </c>
      <c r="BS8" s="9">
        <v>33665.02</v>
      </c>
      <c r="BT8" s="9">
        <f t="shared" si="32"/>
        <v>1200</v>
      </c>
      <c r="BU8" s="9">
        <f t="shared" si="33"/>
        <v>1346.6008</v>
      </c>
      <c r="BV8" s="24">
        <v>32000</v>
      </c>
      <c r="BW8" s="9">
        <v>31032.34</v>
      </c>
      <c r="BX8" s="9">
        <f t="shared" si="34"/>
        <v>1280</v>
      </c>
      <c r="BY8" s="9">
        <f t="shared" si="35"/>
        <v>1241.2936</v>
      </c>
      <c r="BZ8" s="24">
        <v>32000</v>
      </c>
      <c r="CA8" s="9">
        <v>30701</v>
      </c>
      <c r="CB8" s="9">
        <f t="shared" si="36"/>
        <v>1280</v>
      </c>
      <c r="CC8" s="9">
        <f t="shared" si="37"/>
        <v>1228.04</v>
      </c>
      <c r="CD8" s="24">
        <v>33000</v>
      </c>
      <c r="CE8" s="9">
        <v>30673.52</v>
      </c>
      <c r="CF8" s="9">
        <f t="shared" si="38"/>
        <v>1320</v>
      </c>
      <c r="CG8" s="9">
        <f t="shared" si="39"/>
        <v>1226.9408</v>
      </c>
      <c r="CH8" s="24">
        <v>35000</v>
      </c>
      <c r="CI8" s="9">
        <v>30239.11</v>
      </c>
      <c r="CJ8" s="9">
        <f t="shared" si="40"/>
        <v>1400</v>
      </c>
      <c r="CK8" s="9">
        <f t="shared" si="41"/>
        <v>1209.5644</v>
      </c>
      <c r="CL8" s="24">
        <v>35000</v>
      </c>
      <c r="CM8" s="9">
        <v>32163.29</v>
      </c>
      <c r="CN8" s="9">
        <f t="shared" si="42"/>
        <v>1400</v>
      </c>
      <c r="CO8" s="9">
        <f t="shared" si="43"/>
        <v>1286.5316</v>
      </c>
      <c r="CP8" s="24">
        <v>26000</v>
      </c>
      <c r="CQ8" s="9">
        <v>24676.9</v>
      </c>
      <c r="CR8" s="9">
        <f t="shared" si="44"/>
        <v>1040</v>
      </c>
      <c r="CS8" s="9">
        <f t="shared" si="45"/>
        <v>987.076</v>
      </c>
      <c r="CT8" s="24">
        <v>26000</v>
      </c>
      <c r="CU8" s="9">
        <v>26394.79</v>
      </c>
      <c r="CV8" s="9">
        <f t="shared" si="46"/>
        <v>1040</v>
      </c>
      <c r="CW8" s="9">
        <f t="shared" si="47"/>
        <v>1055.7916</v>
      </c>
      <c r="CX8" s="24">
        <v>28000</v>
      </c>
      <c r="CY8" s="9">
        <v>26859.01</v>
      </c>
      <c r="CZ8" s="9">
        <f t="shared" si="48"/>
        <v>1120</v>
      </c>
      <c r="DA8" s="9">
        <f t="shared" si="49"/>
        <v>1074.3604</v>
      </c>
      <c r="DB8" s="24">
        <v>25000</v>
      </c>
      <c r="DC8" s="9">
        <v>25453.59</v>
      </c>
      <c r="DD8" s="9">
        <f t="shared" si="50"/>
        <v>1000</v>
      </c>
      <c r="DE8" s="9">
        <f t="shared" si="51"/>
        <v>1018.1436</v>
      </c>
      <c r="DF8" s="24">
        <v>26000</v>
      </c>
      <c r="DG8" s="9">
        <v>23631.46</v>
      </c>
      <c r="DH8" s="9">
        <f t="shared" si="52"/>
        <v>1040</v>
      </c>
      <c r="DI8" s="9">
        <f t="shared" si="53"/>
        <v>945.2584</v>
      </c>
      <c r="DJ8" s="24">
        <v>28000</v>
      </c>
      <c r="DK8" s="9">
        <v>26990.24</v>
      </c>
      <c r="DL8" s="9">
        <f t="shared" si="54"/>
        <v>1120</v>
      </c>
      <c r="DM8" s="9">
        <f t="shared" si="55"/>
        <v>1079.6096</v>
      </c>
      <c r="DN8" s="24">
        <v>28000</v>
      </c>
      <c r="DO8" s="9"/>
      <c r="DP8" s="9">
        <f t="shared" si="56"/>
        <v>1120</v>
      </c>
      <c r="DQ8" s="9">
        <f t="shared" si="57"/>
        <v>0</v>
      </c>
      <c r="DR8" s="24">
        <v>25000</v>
      </c>
      <c r="DS8" s="9"/>
      <c r="DT8" s="9">
        <f t="shared" si="58"/>
        <v>1000</v>
      </c>
      <c r="DU8" s="9">
        <f t="shared" si="59"/>
        <v>0</v>
      </c>
      <c r="DV8" s="24">
        <v>23000</v>
      </c>
      <c r="DW8" s="9"/>
      <c r="DX8" s="9">
        <f t="shared" si="60"/>
        <v>920</v>
      </c>
      <c r="DY8" s="9">
        <f t="shared" si="61"/>
        <v>0</v>
      </c>
      <c r="DZ8" s="9">
        <f t="shared" si="62"/>
        <v>970000</v>
      </c>
      <c r="EA8" s="9">
        <f t="shared" si="63"/>
        <v>918219.34</v>
      </c>
      <c r="EB8" s="9">
        <f t="shared" si="64"/>
        <v>38800</v>
      </c>
      <c r="EC8" s="9">
        <f t="shared" si="65"/>
        <v>36728.7736</v>
      </c>
    </row>
    <row r="9" s="4" customFormat="1" spans="1:133">
      <c r="A9" s="26" t="s">
        <v>149</v>
      </c>
      <c r="B9" s="27" t="s">
        <v>143</v>
      </c>
      <c r="C9" s="27">
        <v>1045000</v>
      </c>
      <c r="D9" s="29">
        <v>0.04</v>
      </c>
      <c r="E9" s="23">
        <f t="shared" si="0"/>
        <v>41800</v>
      </c>
      <c r="F9" s="24">
        <v>38000</v>
      </c>
      <c r="G9" s="9">
        <v>44331.36</v>
      </c>
      <c r="H9" s="9">
        <f t="shared" si="1"/>
        <v>1520</v>
      </c>
      <c r="I9" s="9">
        <f t="shared" si="2"/>
        <v>1773.2544</v>
      </c>
      <c r="J9" s="24">
        <v>35000</v>
      </c>
      <c r="K9" s="9">
        <v>33080.47</v>
      </c>
      <c r="L9" s="9">
        <f t="shared" si="3"/>
        <v>1400</v>
      </c>
      <c r="M9" s="9">
        <f t="shared" si="4"/>
        <v>1323.2188</v>
      </c>
      <c r="N9" s="24">
        <v>35000</v>
      </c>
      <c r="O9" s="9">
        <v>36514.67</v>
      </c>
      <c r="P9" s="9">
        <f t="shared" si="66"/>
        <v>1400</v>
      </c>
      <c r="Q9" s="9">
        <f t="shared" si="5"/>
        <v>1460.5868</v>
      </c>
      <c r="R9" s="24">
        <v>35000</v>
      </c>
      <c r="S9" s="9">
        <v>36833.31</v>
      </c>
      <c r="T9" s="9">
        <f t="shared" si="6"/>
        <v>1400</v>
      </c>
      <c r="U9" s="9">
        <f t="shared" si="7"/>
        <v>1473.3324</v>
      </c>
      <c r="V9" s="24">
        <v>35000</v>
      </c>
      <c r="W9" s="9">
        <v>37767.75</v>
      </c>
      <c r="X9" s="9">
        <f t="shared" si="8"/>
        <v>1400</v>
      </c>
      <c r="Y9" s="9">
        <f t="shared" si="9"/>
        <v>1510.71</v>
      </c>
      <c r="Z9" s="24">
        <v>35000</v>
      </c>
      <c r="AA9" s="9">
        <v>37656.14</v>
      </c>
      <c r="AB9" s="9">
        <f t="shared" si="10"/>
        <v>1400</v>
      </c>
      <c r="AC9" s="9">
        <f t="shared" si="11"/>
        <v>1506.2456</v>
      </c>
      <c r="AD9" s="24">
        <v>42000</v>
      </c>
      <c r="AE9" s="9">
        <v>37606.31</v>
      </c>
      <c r="AF9" s="9">
        <f t="shared" si="12"/>
        <v>1680</v>
      </c>
      <c r="AG9" s="9">
        <f t="shared" si="13"/>
        <v>1504.2524</v>
      </c>
      <c r="AH9" s="24">
        <v>42000</v>
      </c>
      <c r="AI9" s="9">
        <v>42167.7</v>
      </c>
      <c r="AJ9" s="9">
        <f t="shared" si="14"/>
        <v>1680</v>
      </c>
      <c r="AK9" s="9">
        <f t="shared" si="15"/>
        <v>1686.708</v>
      </c>
      <c r="AL9" s="24">
        <v>38000</v>
      </c>
      <c r="AM9" s="9">
        <v>30791.99</v>
      </c>
      <c r="AN9" s="9">
        <f t="shared" si="16"/>
        <v>1520</v>
      </c>
      <c r="AO9" s="9">
        <f t="shared" si="17"/>
        <v>1231.6796</v>
      </c>
      <c r="AP9" s="24">
        <v>36000</v>
      </c>
      <c r="AQ9" s="9">
        <v>26943.52</v>
      </c>
      <c r="AR9" s="9">
        <f t="shared" si="18"/>
        <v>1440</v>
      </c>
      <c r="AS9" s="9">
        <f t="shared" si="19"/>
        <v>1077.7408</v>
      </c>
      <c r="AT9" s="24">
        <v>35000</v>
      </c>
      <c r="AU9" s="9">
        <v>25187.45</v>
      </c>
      <c r="AV9" s="9">
        <f t="shared" si="20"/>
        <v>1400</v>
      </c>
      <c r="AW9" s="9">
        <f t="shared" si="21"/>
        <v>1007.498</v>
      </c>
      <c r="AX9" s="24">
        <v>37000</v>
      </c>
      <c r="AY9" s="9">
        <v>24358.5</v>
      </c>
      <c r="AZ9" s="9">
        <f t="shared" si="22"/>
        <v>1480</v>
      </c>
      <c r="BA9" s="9">
        <f t="shared" si="23"/>
        <v>974.34</v>
      </c>
      <c r="BB9" s="24">
        <v>38000</v>
      </c>
      <c r="BC9" s="9">
        <v>25378.57</v>
      </c>
      <c r="BD9" s="9">
        <f t="shared" si="24"/>
        <v>1520</v>
      </c>
      <c r="BE9" s="9">
        <f t="shared" si="25"/>
        <v>1015.1428</v>
      </c>
      <c r="BF9" s="24">
        <v>42500</v>
      </c>
      <c r="BG9" s="9">
        <v>32250.64</v>
      </c>
      <c r="BH9" s="9">
        <f t="shared" si="26"/>
        <v>1700</v>
      </c>
      <c r="BI9" s="9">
        <f t="shared" si="27"/>
        <v>1290.0256</v>
      </c>
      <c r="BJ9" s="24">
        <v>44500</v>
      </c>
      <c r="BK9" s="9">
        <v>39981.89</v>
      </c>
      <c r="BL9" s="9">
        <f t="shared" si="28"/>
        <v>1780</v>
      </c>
      <c r="BM9" s="9">
        <f t="shared" si="29"/>
        <v>1599.2756</v>
      </c>
      <c r="BN9" s="24">
        <v>33000</v>
      </c>
      <c r="BO9" s="9">
        <v>32763.84</v>
      </c>
      <c r="BP9" s="9">
        <f t="shared" si="30"/>
        <v>1320</v>
      </c>
      <c r="BQ9" s="9">
        <f t="shared" si="31"/>
        <v>1310.5536</v>
      </c>
      <c r="BR9" s="24">
        <v>33000</v>
      </c>
      <c r="BS9" s="9">
        <v>36296.39</v>
      </c>
      <c r="BT9" s="9">
        <f t="shared" si="32"/>
        <v>1320</v>
      </c>
      <c r="BU9" s="9">
        <f t="shared" si="33"/>
        <v>1451.8556</v>
      </c>
      <c r="BV9" s="24">
        <v>35000</v>
      </c>
      <c r="BW9" s="9">
        <v>35372.41</v>
      </c>
      <c r="BX9" s="9">
        <f t="shared" si="34"/>
        <v>1400</v>
      </c>
      <c r="BY9" s="9">
        <f t="shared" si="35"/>
        <v>1414.8964</v>
      </c>
      <c r="BZ9" s="24">
        <v>32000</v>
      </c>
      <c r="CA9" s="9">
        <v>31583.28</v>
      </c>
      <c r="CB9" s="9">
        <f t="shared" si="36"/>
        <v>1280</v>
      </c>
      <c r="CC9" s="9">
        <f t="shared" si="37"/>
        <v>1263.3312</v>
      </c>
      <c r="CD9" s="24">
        <v>34000</v>
      </c>
      <c r="CE9" s="9">
        <v>32101.8</v>
      </c>
      <c r="CF9" s="9">
        <f t="shared" si="38"/>
        <v>1360</v>
      </c>
      <c r="CG9" s="9">
        <f t="shared" si="39"/>
        <v>1284.072</v>
      </c>
      <c r="CH9" s="24">
        <v>36000</v>
      </c>
      <c r="CI9" s="9">
        <v>35153.69</v>
      </c>
      <c r="CJ9" s="9">
        <f t="shared" si="40"/>
        <v>1440</v>
      </c>
      <c r="CK9" s="9">
        <f t="shared" si="41"/>
        <v>1406.1476</v>
      </c>
      <c r="CL9" s="24">
        <v>38000</v>
      </c>
      <c r="CM9" s="9">
        <v>44717.81</v>
      </c>
      <c r="CN9" s="9">
        <f t="shared" si="42"/>
        <v>1520</v>
      </c>
      <c r="CO9" s="9">
        <f t="shared" si="43"/>
        <v>1788.7124</v>
      </c>
      <c r="CP9" s="24">
        <v>29000</v>
      </c>
      <c r="CQ9" s="9">
        <v>31568.31</v>
      </c>
      <c r="CR9" s="9">
        <f t="shared" si="44"/>
        <v>1160</v>
      </c>
      <c r="CS9" s="9">
        <f t="shared" si="45"/>
        <v>1262.7324</v>
      </c>
      <c r="CT9" s="24">
        <v>28000</v>
      </c>
      <c r="CU9" s="9">
        <v>30712.78</v>
      </c>
      <c r="CV9" s="9">
        <f t="shared" si="46"/>
        <v>1120</v>
      </c>
      <c r="CW9" s="9">
        <f t="shared" si="47"/>
        <v>1228.5112</v>
      </c>
      <c r="CX9" s="24">
        <v>30000</v>
      </c>
      <c r="CY9" s="9">
        <v>29784.74</v>
      </c>
      <c r="CZ9" s="9">
        <f t="shared" si="48"/>
        <v>1200</v>
      </c>
      <c r="DA9" s="9">
        <f t="shared" si="49"/>
        <v>1191.3896</v>
      </c>
      <c r="DB9" s="24">
        <v>25000</v>
      </c>
      <c r="DC9" s="9">
        <v>25931.83</v>
      </c>
      <c r="DD9" s="9">
        <f t="shared" si="50"/>
        <v>1000</v>
      </c>
      <c r="DE9" s="9">
        <f t="shared" si="51"/>
        <v>1037.2732</v>
      </c>
      <c r="DF9" s="24">
        <v>25000</v>
      </c>
      <c r="DG9" s="9">
        <v>26619.8</v>
      </c>
      <c r="DH9" s="9">
        <f t="shared" si="52"/>
        <v>1000</v>
      </c>
      <c r="DI9" s="9">
        <f t="shared" si="53"/>
        <v>1064.792</v>
      </c>
      <c r="DJ9" s="24">
        <v>22000</v>
      </c>
      <c r="DK9" s="9">
        <v>28314.56</v>
      </c>
      <c r="DL9" s="9">
        <f t="shared" si="54"/>
        <v>880</v>
      </c>
      <c r="DM9" s="9">
        <f t="shared" si="55"/>
        <v>1132.5824</v>
      </c>
      <c r="DN9" s="24">
        <v>19000</v>
      </c>
      <c r="DO9" s="9"/>
      <c r="DP9" s="9">
        <f t="shared" si="56"/>
        <v>760</v>
      </c>
      <c r="DQ9" s="9">
        <f t="shared" si="57"/>
        <v>0</v>
      </c>
      <c r="DR9" s="24">
        <v>18000</v>
      </c>
      <c r="DS9" s="9"/>
      <c r="DT9" s="9">
        <f t="shared" si="58"/>
        <v>720</v>
      </c>
      <c r="DU9" s="9">
        <f t="shared" si="59"/>
        <v>0</v>
      </c>
      <c r="DV9" s="24">
        <v>18000</v>
      </c>
      <c r="DW9" s="9"/>
      <c r="DX9" s="9">
        <f t="shared" si="60"/>
        <v>720</v>
      </c>
      <c r="DY9" s="9">
        <f t="shared" si="61"/>
        <v>0</v>
      </c>
      <c r="DZ9" s="9">
        <f t="shared" si="62"/>
        <v>1023000</v>
      </c>
      <c r="EA9" s="9">
        <f t="shared" si="63"/>
        <v>931771.51</v>
      </c>
      <c r="EB9" s="9">
        <f t="shared" si="64"/>
        <v>40920</v>
      </c>
      <c r="EC9" s="9">
        <f t="shared" si="65"/>
        <v>37270.8604</v>
      </c>
    </row>
    <row r="10" s="4" customFormat="1" spans="1:133">
      <c r="A10" s="26" t="s">
        <v>150</v>
      </c>
      <c r="B10" s="27" t="s">
        <v>143</v>
      </c>
      <c r="C10" s="27">
        <v>698000</v>
      </c>
      <c r="D10" s="29">
        <v>0.04</v>
      </c>
      <c r="E10" s="23">
        <f t="shared" si="0"/>
        <v>27920</v>
      </c>
      <c r="F10" s="24">
        <v>25713</v>
      </c>
      <c r="G10" s="9">
        <v>27355</v>
      </c>
      <c r="H10" s="9">
        <f t="shared" si="1"/>
        <v>1028.52</v>
      </c>
      <c r="I10" s="9">
        <f t="shared" si="2"/>
        <v>1094.2</v>
      </c>
      <c r="J10" s="24">
        <v>21076</v>
      </c>
      <c r="K10" s="9">
        <v>21086.1</v>
      </c>
      <c r="L10" s="9">
        <f t="shared" si="3"/>
        <v>843.04</v>
      </c>
      <c r="M10" s="9">
        <f t="shared" si="4"/>
        <v>843.444</v>
      </c>
      <c r="N10" s="24">
        <v>22020</v>
      </c>
      <c r="O10" s="9">
        <v>22917.5</v>
      </c>
      <c r="P10" s="9">
        <f t="shared" si="66"/>
        <v>880.8</v>
      </c>
      <c r="Q10" s="9">
        <f t="shared" si="5"/>
        <v>916.7</v>
      </c>
      <c r="R10" s="24">
        <v>22020</v>
      </c>
      <c r="S10" s="9">
        <v>23499.6</v>
      </c>
      <c r="T10" s="9">
        <f t="shared" si="6"/>
        <v>880.8</v>
      </c>
      <c r="U10" s="9">
        <f t="shared" si="7"/>
        <v>939.984</v>
      </c>
      <c r="V10" s="24">
        <v>22020</v>
      </c>
      <c r="W10" s="9">
        <v>24750.89</v>
      </c>
      <c r="X10" s="9">
        <f t="shared" si="8"/>
        <v>880.8</v>
      </c>
      <c r="Y10" s="9">
        <f t="shared" si="9"/>
        <v>990.0356</v>
      </c>
      <c r="Z10" s="24">
        <v>22020</v>
      </c>
      <c r="AA10" s="9">
        <v>25911.49</v>
      </c>
      <c r="AB10" s="9">
        <f t="shared" si="10"/>
        <v>880.8</v>
      </c>
      <c r="AC10" s="9">
        <f t="shared" si="11"/>
        <v>1036.4596</v>
      </c>
      <c r="AD10" s="24">
        <v>24756</v>
      </c>
      <c r="AE10" s="9">
        <v>27545.4</v>
      </c>
      <c r="AF10" s="9">
        <f t="shared" si="12"/>
        <v>990.24</v>
      </c>
      <c r="AG10" s="9">
        <f t="shared" si="13"/>
        <v>1101.816</v>
      </c>
      <c r="AH10" s="24">
        <v>27532</v>
      </c>
      <c r="AI10" s="9">
        <v>29546.55</v>
      </c>
      <c r="AJ10" s="9">
        <f t="shared" si="14"/>
        <v>1101.28</v>
      </c>
      <c r="AK10" s="9">
        <f t="shared" si="15"/>
        <v>1181.862</v>
      </c>
      <c r="AL10" s="24">
        <v>23323</v>
      </c>
      <c r="AM10" s="9">
        <v>21768.12</v>
      </c>
      <c r="AN10" s="9">
        <f t="shared" si="16"/>
        <v>932.92</v>
      </c>
      <c r="AO10" s="9">
        <f t="shared" si="17"/>
        <v>870.7248</v>
      </c>
      <c r="AP10" s="24">
        <v>22020</v>
      </c>
      <c r="AQ10" s="9">
        <v>19481.58</v>
      </c>
      <c r="AR10" s="9">
        <f t="shared" si="18"/>
        <v>880.8</v>
      </c>
      <c r="AS10" s="9">
        <f t="shared" si="19"/>
        <v>779.2632</v>
      </c>
      <c r="AT10" s="24">
        <v>23020</v>
      </c>
      <c r="AU10" s="9">
        <v>25165.96</v>
      </c>
      <c r="AV10" s="9">
        <f t="shared" si="20"/>
        <v>920.8</v>
      </c>
      <c r="AW10" s="9">
        <f t="shared" si="21"/>
        <v>1006.6384</v>
      </c>
      <c r="AX10" s="24">
        <v>24566</v>
      </c>
      <c r="AY10" s="9">
        <v>29237.66</v>
      </c>
      <c r="AZ10" s="9">
        <f t="shared" si="22"/>
        <v>982.64</v>
      </c>
      <c r="BA10" s="9">
        <f t="shared" si="23"/>
        <v>1169.5064</v>
      </c>
      <c r="BB10" s="24">
        <v>24985</v>
      </c>
      <c r="BC10" s="9">
        <v>32556.61</v>
      </c>
      <c r="BD10" s="9">
        <f t="shared" si="24"/>
        <v>999.4</v>
      </c>
      <c r="BE10" s="9">
        <f t="shared" si="25"/>
        <v>1302.2644</v>
      </c>
      <c r="BF10" s="24">
        <v>25627</v>
      </c>
      <c r="BG10" s="9">
        <v>32903.51</v>
      </c>
      <c r="BH10" s="9">
        <f t="shared" si="26"/>
        <v>1025.08</v>
      </c>
      <c r="BI10" s="9">
        <f t="shared" si="27"/>
        <v>1316.1404</v>
      </c>
      <c r="BJ10" s="24">
        <v>24785</v>
      </c>
      <c r="BK10" s="9">
        <v>33867.25</v>
      </c>
      <c r="BL10" s="9">
        <f t="shared" si="28"/>
        <v>991.4</v>
      </c>
      <c r="BM10" s="9">
        <f t="shared" si="29"/>
        <v>1354.69</v>
      </c>
      <c r="BN10" s="24">
        <v>20020</v>
      </c>
      <c r="BO10" s="9">
        <v>30882.56</v>
      </c>
      <c r="BP10" s="9">
        <f t="shared" si="30"/>
        <v>800.8</v>
      </c>
      <c r="BQ10" s="9">
        <f t="shared" si="31"/>
        <v>1235.3024</v>
      </c>
      <c r="BR10" s="24">
        <v>21020</v>
      </c>
      <c r="BS10" s="9">
        <v>28303.15</v>
      </c>
      <c r="BT10" s="9">
        <f t="shared" si="32"/>
        <v>840.8</v>
      </c>
      <c r="BU10" s="9">
        <f t="shared" si="33"/>
        <v>1132.126</v>
      </c>
      <c r="BV10" s="24">
        <v>21020</v>
      </c>
      <c r="BW10" s="9">
        <v>22761.05</v>
      </c>
      <c r="BX10" s="9">
        <f t="shared" si="34"/>
        <v>840.8</v>
      </c>
      <c r="BY10" s="9">
        <f t="shared" si="35"/>
        <v>910.442</v>
      </c>
      <c r="BZ10" s="24">
        <v>22747</v>
      </c>
      <c r="CA10" s="9">
        <v>22737.68</v>
      </c>
      <c r="CB10" s="9">
        <f t="shared" si="36"/>
        <v>909.88</v>
      </c>
      <c r="CC10" s="9">
        <f t="shared" si="37"/>
        <v>909.5072</v>
      </c>
      <c r="CD10" s="24">
        <v>21020</v>
      </c>
      <c r="CE10" s="9">
        <v>22288.6</v>
      </c>
      <c r="CF10" s="9">
        <f t="shared" si="38"/>
        <v>840.8</v>
      </c>
      <c r="CG10" s="9">
        <f t="shared" si="39"/>
        <v>891.544</v>
      </c>
      <c r="CH10" s="24">
        <v>23521</v>
      </c>
      <c r="CI10" s="9">
        <v>23591.99</v>
      </c>
      <c r="CJ10" s="9">
        <f t="shared" si="40"/>
        <v>940.84</v>
      </c>
      <c r="CK10" s="9">
        <f t="shared" si="41"/>
        <v>943.6796</v>
      </c>
      <c r="CL10" s="24">
        <v>24683</v>
      </c>
      <c r="CM10" s="9">
        <v>25169.62</v>
      </c>
      <c r="CN10" s="9">
        <f t="shared" si="42"/>
        <v>987.32</v>
      </c>
      <c r="CO10" s="9">
        <f t="shared" si="43"/>
        <v>1006.7848</v>
      </c>
      <c r="CP10" s="24">
        <v>19877</v>
      </c>
      <c r="CQ10" s="9">
        <v>15074.48</v>
      </c>
      <c r="CR10" s="9">
        <f t="shared" si="44"/>
        <v>795.08</v>
      </c>
      <c r="CS10" s="9">
        <f t="shared" si="45"/>
        <v>602.9792</v>
      </c>
      <c r="CT10" s="24">
        <v>21020</v>
      </c>
      <c r="CU10" s="9">
        <v>19114.27</v>
      </c>
      <c r="CV10" s="9">
        <f t="shared" si="46"/>
        <v>840.8</v>
      </c>
      <c r="CW10" s="9">
        <f t="shared" si="47"/>
        <v>764.5708</v>
      </c>
      <c r="CX10" s="24">
        <v>21020</v>
      </c>
      <c r="CY10" s="9">
        <v>17096.05</v>
      </c>
      <c r="CZ10" s="9">
        <f t="shared" si="48"/>
        <v>840.8</v>
      </c>
      <c r="DA10" s="9">
        <f t="shared" si="49"/>
        <v>683.842</v>
      </c>
      <c r="DB10" s="24">
        <v>21020</v>
      </c>
      <c r="DC10" s="9">
        <v>20153.96</v>
      </c>
      <c r="DD10" s="9">
        <f t="shared" si="50"/>
        <v>840.8</v>
      </c>
      <c r="DE10" s="9">
        <f t="shared" si="51"/>
        <v>806.1584</v>
      </c>
      <c r="DF10" s="24">
        <v>21020</v>
      </c>
      <c r="DG10" s="9">
        <v>16955.21</v>
      </c>
      <c r="DH10" s="9">
        <f t="shared" si="52"/>
        <v>840.8</v>
      </c>
      <c r="DI10" s="9">
        <f t="shared" si="53"/>
        <v>678.2084</v>
      </c>
      <c r="DJ10" s="24">
        <v>22582</v>
      </c>
      <c r="DK10" s="9">
        <v>18809.58</v>
      </c>
      <c r="DL10" s="9">
        <f t="shared" si="54"/>
        <v>903.28</v>
      </c>
      <c r="DM10" s="9">
        <f t="shared" si="55"/>
        <v>752.3832</v>
      </c>
      <c r="DN10" s="24">
        <v>24538</v>
      </c>
      <c r="DO10" s="9"/>
      <c r="DP10" s="9">
        <f t="shared" si="56"/>
        <v>981.52</v>
      </c>
      <c r="DQ10" s="9">
        <f t="shared" si="57"/>
        <v>0</v>
      </c>
      <c r="DR10" s="24">
        <v>18326</v>
      </c>
      <c r="DS10" s="9"/>
      <c r="DT10" s="9">
        <f t="shared" si="58"/>
        <v>733.04</v>
      </c>
      <c r="DU10" s="9">
        <f t="shared" si="59"/>
        <v>0</v>
      </c>
      <c r="DV10" s="24">
        <v>19083</v>
      </c>
      <c r="DW10" s="9"/>
      <c r="DX10" s="9">
        <f t="shared" si="60"/>
        <v>763.32</v>
      </c>
      <c r="DY10" s="9">
        <f t="shared" si="61"/>
        <v>0</v>
      </c>
      <c r="DZ10" s="9">
        <f t="shared" si="62"/>
        <v>698000</v>
      </c>
      <c r="EA10" s="9">
        <f t="shared" si="63"/>
        <v>680531.42</v>
      </c>
      <c r="EB10" s="9">
        <f t="shared" si="64"/>
        <v>27920</v>
      </c>
      <c r="EC10" s="9">
        <f t="shared" si="65"/>
        <v>27221.2568</v>
      </c>
    </row>
    <row r="11" s="4" customFormat="1" spans="1:133">
      <c r="A11" s="26" t="s">
        <v>151</v>
      </c>
      <c r="B11" s="27" t="s">
        <v>143</v>
      </c>
      <c r="C11" s="27">
        <v>1600000</v>
      </c>
      <c r="D11" s="29">
        <v>0.03</v>
      </c>
      <c r="E11" s="23">
        <f t="shared" si="0"/>
        <v>48000</v>
      </c>
      <c r="F11" s="24">
        <v>55000</v>
      </c>
      <c r="G11" s="9">
        <v>58135.12</v>
      </c>
      <c r="H11" s="9">
        <f t="shared" si="1"/>
        <v>1650</v>
      </c>
      <c r="I11" s="9">
        <f t="shared" si="2"/>
        <v>1744.0536</v>
      </c>
      <c r="J11" s="24">
        <v>55000</v>
      </c>
      <c r="K11" s="9">
        <v>52256.06</v>
      </c>
      <c r="L11" s="9">
        <f t="shared" si="3"/>
        <v>1650</v>
      </c>
      <c r="M11" s="9">
        <f t="shared" si="4"/>
        <v>1567.6818</v>
      </c>
      <c r="N11" s="24">
        <v>55000</v>
      </c>
      <c r="O11" s="9">
        <v>53835.89</v>
      </c>
      <c r="P11" s="9">
        <f t="shared" si="66"/>
        <v>1650</v>
      </c>
      <c r="Q11" s="9">
        <f t="shared" si="5"/>
        <v>1615.0767</v>
      </c>
      <c r="R11" s="24">
        <v>55000</v>
      </c>
      <c r="S11" s="9">
        <v>50626.77</v>
      </c>
      <c r="T11" s="9">
        <f t="shared" si="6"/>
        <v>1650</v>
      </c>
      <c r="U11" s="9">
        <f t="shared" si="7"/>
        <v>1518.8031</v>
      </c>
      <c r="V11" s="24">
        <v>55000</v>
      </c>
      <c r="W11" s="9">
        <v>52879.11</v>
      </c>
      <c r="X11" s="9">
        <f t="shared" si="8"/>
        <v>1650</v>
      </c>
      <c r="Y11" s="9">
        <f t="shared" si="9"/>
        <v>1586.3733</v>
      </c>
      <c r="Z11" s="24">
        <v>55000</v>
      </c>
      <c r="AA11" s="9">
        <v>54377.53</v>
      </c>
      <c r="AB11" s="9">
        <f t="shared" si="10"/>
        <v>1650</v>
      </c>
      <c r="AC11" s="9">
        <f t="shared" si="11"/>
        <v>1631.3259</v>
      </c>
      <c r="AD11" s="24">
        <v>60000</v>
      </c>
      <c r="AE11" s="9">
        <v>57077.85</v>
      </c>
      <c r="AF11" s="9">
        <f t="shared" si="12"/>
        <v>1800</v>
      </c>
      <c r="AG11" s="9">
        <f t="shared" si="13"/>
        <v>1712.3355</v>
      </c>
      <c r="AH11" s="24">
        <v>60000</v>
      </c>
      <c r="AI11" s="9">
        <v>60162.21</v>
      </c>
      <c r="AJ11" s="9">
        <f t="shared" si="14"/>
        <v>1800</v>
      </c>
      <c r="AK11" s="9">
        <f t="shared" si="15"/>
        <v>1804.8663</v>
      </c>
      <c r="AL11" s="24">
        <v>50000</v>
      </c>
      <c r="AM11" s="9">
        <v>53396.85</v>
      </c>
      <c r="AN11" s="9">
        <f t="shared" si="16"/>
        <v>1500</v>
      </c>
      <c r="AO11" s="9">
        <f t="shared" si="17"/>
        <v>1601.9055</v>
      </c>
      <c r="AP11" s="24">
        <v>55000</v>
      </c>
      <c r="AQ11" s="9">
        <v>49659.43</v>
      </c>
      <c r="AR11" s="9">
        <f t="shared" si="18"/>
        <v>1650</v>
      </c>
      <c r="AS11" s="9">
        <f t="shared" si="19"/>
        <v>1489.7829</v>
      </c>
      <c r="AT11" s="24">
        <v>55000</v>
      </c>
      <c r="AU11" s="9">
        <v>52629.03</v>
      </c>
      <c r="AV11" s="9">
        <f t="shared" si="20"/>
        <v>1650</v>
      </c>
      <c r="AW11" s="9">
        <f t="shared" si="21"/>
        <v>1578.8709</v>
      </c>
      <c r="AX11" s="24">
        <v>55000</v>
      </c>
      <c r="AY11" s="9">
        <v>50295.17</v>
      </c>
      <c r="AZ11" s="9">
        <f t="shared" si="22"/>
        <v>1650</v>
      </c>
      <c r="BA11" s="9">
        <f t="shared" si="23"/>
        <v>1508.8551</v>
      </c>
      <c r="BB11" s="24">
        <v>60000</v>
      </c>
      <c r="BC11" s="9">
        <v>52703.83</v>
      </c>
      <c r="BD11" s="9">
        <f t="shared" si="24"/>
        <v>1800</v>
      </c>
      <c r="BE11" s="9">
        <f t="shared" si="25"/>
        <v>1581.1149</v>
      </c>
      <c r="BF11" s="24">
        <v>60000</v>
      </c>
      <c r="BG11" s="9">
        <v>58429.75</v>
      </c>
      <c r="BH11" s="9">
        <f t="shared" si="26"/>
        <v>1800</v>
      </c>
      <c r="BI11" s="9">
        <f t="shared" si="27"/>
        <v>1752.8925</v>
      </c>
      <c r="BJ11" s="24">
        <v>60000</v>
      </c>
      <c r="BK11" s="9">
        <v>58550.94</v>
      </c>
      <c r="BL11" s="9">
        <f t="shared" si="28"/>
        <v>1800</v>
      </c>
      <c r="BM11" s="9">
        <f t="shared" si="29"/>
        <v>1756.5282</v>
      </c>
      <c r="BN11" s="24">
        <v>50000</v>
      </c>
      <c r="BO11" s="9">
        <v>50391.27</v>
      </c>
      <c r="BP11" s="9">
        <f t="shared" si="30"/>
        <v>1500</v>
      </c>
      <c r="BQ11" s="9">
        <f t="shared" si="31"/>
        <v>1511.7381</v>
      </c>
      <c r="BR11" s="24">
        <v>50000</v>
      </c>
      <c r="BS11" s="9">
        <v>51647.99</v>
      </c>
      <c r="BT11" s="9">
        <f t="shared" si="32"/>
        <v>1500</v>
      </c>
      <c r="BU11" s="9">
        <f t="shared" si="33"/>
        <v>1549.4397</v>
      </c>
      <c r="BV11" s="24">
        <v>50000</v>
      </c>
      <c r="BW11" s="9">
        <v>50799.4</v>
      </c>
      <c r="BX11" s="9">
        <f t="shared" si="34"/>
        <v>1500</v>
      </c>
      <c r="BY11" s="9">
        <f t="shared" si="35"/>
        <v>1523.982</v>
      </c>
      <c r="BZ11" s="24">
        <v>50000</v>
      </c>
      <c r="CA11" s="9">
        <v>47138.1</v>
      </c>
      <c r="CB11" s="9">
        <f t="shared" si="36"/>
        <v>1500</v>
      </c>
      <c r="CC11" s="9">
        <f t="shared" si="37"/>
        <v>1414.143</v>
      </c>
      <c r="CD11" s="24">
        <v>50000</v>
      </c>
      <c r="CE11" s="9">
        <v>49960.21</v>
      </c>
      <c r="CF11" s="9">
        <f t="shared" si="38"/>
        <v>1500</v>
      </c>
      <c r="CG11" s="9">
        <f t="shared" si="39"/>
        <v>1498.8063</v>
      </c>
      <c r="CH11" s="24">
        <v>55000</v>
      </c>
      <c r="CI11" s="9">
        <v>53059.63</v>
      </c>
      <c r="CJ11" s="9">
        <f t="shared" si="40"/>
        <v>1650</v>
      </c>
      <c r="CK11" s="9">
        <f t="shared" si="41"/>
        <v>1591.7889</v>
      </c>
      <c r="CL11" s="24">
        <v>55000</v>
      </c>
      <c r="CM11" s="9">
        <v>52284.22</v>
      </c>
      <c r="CN11" s="9">
        <f t="shared" si="42"/>
        <v>1650</v>
      </c>
      <c r="CO11" s="9">
        <f t="shared" si="43"/>
        <v>1568.5266</v>
      </c>
      <c r="CP11" s="24">
        <v>50000</v>
      </c>
      <c r="CQ11" s="9">
        <v>44774.81</v>
      </c>
      <c r="CR11" s="9">
        <f t="shared" si="44"/>
        <v>1500</v>
      </c>
      <c r="CS11" s="9">
        <f t="shared" si="45"/>
        <v>1343.2443</v>
      </c>
      <c r="CT11" s="24">
        <v>45000</v>
      </c>
      <c r="CU11" s="9">
        <v>39891.24</v>
      </c>
      <c r="CV11" s="9">
        <f t="shared" si="46"/>
        <v>1350</v>
      </c>
      <c r="CW11" s="9">
        <f t="shared" si="47"/>
        <v>1196.7372</v>
      </c>
      <c r="CX11" s="24">
        <v>45000</v>
      </c>
      <c r="CY11" s="9">
        <v>40033.08</v>
      </c>
      <c r="CZ11" s="9">
        <f t="shared" si="48"/>
        <v>1350</v>
      </c>
      <c r="DA11" s="9">
        <f t="shared" si="49"/>
        <v>1200.9924</v>
      </c>
      <c r="DB11" s="24">
        <v>40000</v>
      </c>
      <c r="DC11" s="9">
        <v>38943.81</v>
      </c>
      <c r="DD11" s="9">
        <f t="shared" si="50"/>
        <v>1200</v>
      </c>
      <c r="DE11" s="9">
        <f t="shared" si="51"/>
        <v>1168.3143</v>
      </c>
      <c r="DF11" s="24">
        <v>40000</v>
      </c>
      <c r="DG11" s="9">
        <v>35903.3</v>
      </c>
      <c r="DH11" s="9">
        <f t="shared" si="52"/>
        <v>1200</v>
      </c>
      <c r="DI11" s="9">
        <f t="shared" si="53"/>
        <v>1077.099</v>
      </c>
      <c r="DJ11" s="24">
        <v>45000</v>
      </c>
      <c r="DK11" s="9">
        <v>36897.85</v>
      </c>
      <c r="DL11" s="9">
        <f t="shared" si="54"/>
        <v>1350</v>
      </c>
      <c r="DM11" s="9">
        <f t="shared" si="55"/>
        <v>1106.9355</v>
      </c>
      <c r="DN11" s="24">
        <v>45000</v>
      </c>
      <c r="DO11" s="9"/>
      <c r="DP11" s="9">
        <f t="shared" si="56"/>
        <v>1350</v>
      </c>
      <c r="DQ11" s="9">
        <f t="shared" si="57"/>
        <v>0</v>
      </c>
      <c r="DR11" s="24">
        <v>40000</v>
      </c>
      <c r="DS11" s="9"/>
      <c r="DT11" s="9">
        <f t="shared" si="58"/>
        <v>1200</v>
      </c>
      <c r="DU11" s="9">
        <f t="shared" si="59"/>
        <v>0</v>
      </c>
      <c r="DV11" s="24">
        <v>40000</v>
      </c>
      <c r="DW11" s="9"/>
      <c r="DX11" s="9">
        <f t="shared" si="60"/>
        <v>1200</v>
      </c>
      <c r="DY11" s="9">
        <f t="shared" si="61"/>
        <v>0</v>
      </c>
      <c r="DZ11" s="9">
        <f t="shared" si="62"/>
        <v>1595000</v>
      </c>
      <c r="EA11" s="9">
        <f t="shared" si="63"/>
        <v>1406740.45</v>
      </c>
      <c r="EB11" s="9">
        <f t="shared" si="64"/>
        <v>47850</v>
      </c>
      <c r="EC11" s="9">
        <f t="shared" si="65"/>
        <v>42202.2135</v>
      </c>
    </row>
    <row r="12" s="4" customFormat="1" spans="1:133">
      <c r="A12" s="26" t="s">
        <v>152</v>
      </c>
      <c r="B12" s="27" t="s">
        <v>143</v>
      </c>
      <c r="C12" s="27">
        <v>1544000</v>
      </c>
      <c r="D12" s="29">
        <v>0.03</v>
      </c>
      <c r="E12" s="23">
        <f t="shared" si="0"/>
        <v>46320</v>
      </c>
      <c r="F12" s="24">
        <v>49742</v>
      </c>
      <c r="G12" s="9">
        <v>45569.77</v>
      </c>
      <c r="H12" s="9">
        <f t="shared" si="1"/>
        <v>1492.26</v>
      </c>
      <c r="I12" s="9">
        <f t="shared" si="2"/>
        <v>1367.0931</v>
      </c>
      <c r="J12" s="24">
        <v>49742</v>
      </c>
      <c r="K12" s="9">
        <v>35775.91</v>
      </c>
      <c r="L12" s="9">
        <f t="shared" si="3"/>
        <v>1492.26</v>
      </c>
      <c r="M12" s="9">
        <f t="shared" si="4"/>
        <v>1073.2773</v>
      </c>
      <c r="N12" s="24">
        <v>49742</v>
      </c>
      <c r="O12" s="9">
        <v>35540.61</v>
      </c>
      <c r="P12" s="9">
        <f t="shared" si="66"/>
        <v>1492.26</v>
      </c>
      <c r="Q12" s="9">
        <f t="shared" si="5"/>
        <v>1066.2183</v>
      </c>
      <c r="R12" s="24">
        <v>49742</v>
      </c>
      <c r="S12" s="9">
        <v>42932.84</v>
      </c>
      <c r="T12" s="9">
        <f t="shared" si="6"/>
        <v>1492.26</v>
      </c>
      <c r="U12" s="9">
        <f t="shared" si="7"/>
        <v>1287.9852</v>
      </c>
      <c r="V12" s="24">
        <v>49742</v>
      </c>
      <c r="W12" s="9">
        <v>43441.06</v>
      </c>
      <c r="X12" s="9">
        <f t="shared" si="8"/>
        <v>1492.26</v>
      </c>
      <c r="Y12" s="9">
        <f t="shared" si="9"/>
        <v>1303.2318</v>
      </c>
      <c r="Z12" s="24">
        <v>49742</v>
      </c>
      <c r="AA12" s="9">
        <v>41467.88</v>
      </c>
      <c r="AB12" s="9">
        <f t="shared" si="10"/>
        <v>1492.26</v>
      </c>
      <c r="AC12" s="9">
        <f t="shared" si="11"/>
        <v>1244.0364</v>
      </c>
      <c r="AD12" s="24">
        <v>49742</v>
      </c>
      <c r="AE12" s="9">
        <v>45039.67</v>
      </c>
      <c r="AF12" s="9">
        <f t="shared" si="12"/>
        <v>1492.26</v>
      </c>
      <c r="AG12" s="9">
        <f t="shared" si="13"/>
        <v>1351.1901</v>
      </c>
      <c r="AH12" s="24">
        <v>49742</v>
      </c>
      <c r="AI12" s="9">
        <v>47296.02</v>
      </c>
      <c r="AJ12" s="9">
        <f t="shared" si="14"/>
        <v>1492.26</v>
      </c>
      <c r="AK12" s="9">
        <f t="shared" si="15"/>
        <v>1418.8806</v>
      </c>
      <c r="AL12" s="24">
        <v>49742</v>
      </c>
      <c r="AM12" s="9">
        <v>39286.79</v>
      </c>
      <c r="AN12" s="9">
        <f t="shared" si="16"/>
        <v>1492.26</v>
      </c>
      <c r="AO12" s="9">
        <f t="shared" si="17"/>
        <v>1178.6037</v>
      </c>
      <c r="AP12" s="24">
        <v>49742</v>
      </c>
      <c r="AQ12" s="9">
        <v>38871.57</v>
      </c>
      <c r="AR12" s="9">
        <f t="shared" si="18"/>
        <v>1492.26</v>
      </c>
      <c r="AS12" s="9">
        <f t="shared" si="19"/>
        <v>1166.1471</v>
      </c>
      <c r="AT12" s="24">
        <v>49742</v>
      </c>
      <c r="AU12" s="9">
        <v>43599.47</v>
      </c>
      <c r="AV12" s="9">
        <f t="shared" si="20"/>
        <v>1492.26</v>
      </c>
      <c r="AW12" s="9">
        <f t="shared" si="21"/>
        <v>1307.9841</v>
      </c>
      <c r="AX12" s="24">
        <v>49742</v>
      </c>
      <c r="AY12" s="9">
        <v>38827.2</v>
      </c>
      <c r="AZ12" s="9">
        <f t="shared" si="22"/>
        <v>1492.26</v>
      </c>
      <c r="BA12" s="9">
        <f t="shared" si="23"/>
        <v>1164.816</v>
      </c>
      <c r="BB12" s="24">
        <v>49742</v>
      </c>
      <c r="BC12" s="9">
        <v>39883.92</v>
      </c>
      <c r="BD12" s="9">
        <f t="shared" si="24"/>
        <v>1492.26</v>
      </c>
      <c r="BE12" s="9">
        <f t="shared" si="25"/>
        <v>1196.5176</v>
      </c>
      <c r="BF12" s="24">
        <v>49742</v>
      </c>
      <c r="BG12" s="9">
        <v>43503.29</v>
      </c>
      <c r="BH12" s="9">
        <f t="shared" si="26"/>
        <v>1492.26</v>
      </c>
      <c r="BI12" s="9">
        <f t="shared" si="27"/>
        <v>1305.0987</v>
      </c>
      <c r="BJ12" s="24">
        <v>49742</v>
      </c>
      <c r="BK12" s="9">
        <v>45308.72</v>
      </c>
      <c r="BL12" s="9">
        <f t="shared" si="28"/>
        <v>1492.26</v>
      </c>
      <c r="BM12" s="9">
        <f t="shared" si="29"/>
        <v>1359.2616</v>
      </c>
      <c r="BN12" s="24">
        <v>49742</v>
      </c>
      <c r="BO12" s="9">
        <v>33418.52</v>
      </c>
      <c r="BP12" s="9">
        <f t="shared" si="30"/>
        <v>1492.26</v>
      </c>
      <c r="BQ12" s="9">
        <f t="shared" si="31"/>
        <v>1002.5556</v>
      </c>
      <c r="BR12" s="24">
        <v>49742</v>
      </c>
      <c r="BS12" s="9">
        <v>39939.78</v>
      </c>
      <c r="BT12" s="9">
        <f t="shared" si="32"/>
        <v>1492.26</v>
      </c>
      <c r="BU12" s="9">
        <f t="shared" si="33"/>
        <v>1198.1934</v>
      </c>
      <c r="BV12" s="24">
        <v>49742</v>
      </c>
      <c r="BW12" s="9">
        <v>42156.68</v>
      </c>
      <c r="BX12" s="9">
        <f t="shared" si="34"/>
        <v>1492.26</v>
      </c>
      <c r="BY12" s="9">
        <f t="shared" si="35"/>
        <v>1264.7004</v>
      </c>
      <c r="BZ12" s="24">
        <v>49742</v>
      </c>
      <c r="CA12" s="9">
        <v>43638.26</v>
      </c>
      <c r="CB12" s="9">
        <f t="shared" si="36"/>
        <v>1492.26</v>
      </c>
      <c r="CC12" s="9">
        <f t="shared" si="37"/>
        <v>1309.1478</v>
      </c>
      <c r="CD12" s="24">
        <v>49742</v>
      </c>
      <c r="CE12" s="9">
        <v>43922.62</v>
      </c>
      <c r="CF12" s="9">
        <f t="shared" si="38"/>
        <v>1492.26</v>
      </c>
      <c r="CG12" s="9">
        <f t="shared" si="39"/>
        <v>1317.6786</v>
      </c>
      <c r="CH12" s="24">
        <v>49742</v>
      </c>
      <c r="CI12" s="9">
        <v>39994.35</v>
      </c>
      <c r="CJ12" s="9">
        <f t="shared" si="40"/>
        <v>1492.26</v>
      </c>
      <c r="CK12" s="9">
        <f t="shared" si="41"/>
        <v>1199.8305</v>
      </c>
      <c r="CL12" s="24">
        <v>49742</v>
      </c>
      <c r="CM12" s="9">
        <v>41395.41</v>
      </c>
      <c r="CN12" s="9">
        <f t="shared" si="42"/>
        <v>1492.26</v>
      </c>
      <c r="CO12" s="9">
        <f t="shared" si="43"/>
        <v>1241.8623</v>
      </c>
      <c r="CP12" s="24">
        <v>49742</v>
      </c>
      <c r="CQ12" s="9">
        <v>29097.08</v>
      </c>
      <c r="CR12" s="9">
        <f t="shared" si="44"/>
        <v>1492.26</v>
      </c>
      <c r="CS12" s="9">
        <f t="shared" si="45"/>
        <v>872.9124</v>
      </c>
      <c r="CT12" s="24">
        <v>49742</v>
      </c>
      <c r="CU12" s="9">
        <v>31071.68</v>
      </c>
      <c r="CV12" s="9">
        <f t="shared" si="46"/>
        <v>1492.26</v>
      </c>
      <c r="CW12" s="9">
        <f t="shared" si="47"/>
        <v>932.1504</v>
      </c>
      <c r="CX12" s="24">
        <v>49742</v>
      </c>
      <c r="CY12" s="9">
        <v>36354.36</v>
      </c>
      <c r="CZ12" s="9">
        <f t="shared" si="48"/>
        <v>1492.26</v>
      </c>
      <c r="DA12" s="9">
        <f t="shared" si="49"/>
        <v>1090.6308</v>
      </c>
      <c r="DB12" s="24">
        <v>49742</v>
      </c>
      <c r="DC12" s="9">
        <v>29039.36</v>
      </c>
      <c r="DD12" s="9">
        <f t="shared" si="50"/>
        <v>1492.26</v>
      </c>
      <c r="DE12" s="9">
        <f t="shared" si="51"/>
        <v>871.1808</v>
      </c>
      <c r="DF12" s="24">
        <v>49742</v>
      </c>
      <c r="DG12" s="9">
        <v>30482.01</v>
      </c>
      <c r="DH12" s="9">
        <f t="shared" si="52"/>
        <v>1492.26</v>
      </c>
      <c r="DI12" s="9">
        <f t="shared" si="53"/>
        <v>914.4603</v>
      </c>
      <c r="DJ12" s="24">
        <v>49742</v>
      </c>
      <c r="DK12" s="9">
        <v>34216.54</v>
      </c>
      <c r="DL12" s="9">
        <f t="shared" si="54"/>
        <v>1492.26</v>
      </c>
      <c r="DM12" s="9">
        <f t="shared" si="55"/>
        <v>1026.4962</v>
      </c>
      <c r="DN12" s="24">
        <v>49742</v>
      </c>
      <c r="DO12" s="9"/>
      <c r="DP12" s="9">
        <f t="shared" si="56"/>
        <v>1492.26</v>
      </c>
      <c r="DQ12" s="9">
        <f t="shared" si="57"/>
        <v>0</v>
      </c>
      <c r="DR12" s="24">
        <v>49742</v>
      </c>
      <c r="DS12" s="9"/>
      <c r="DT12" s="9">
        <f t="shared" si="58"/>
        <v>1492.26</v>
      </c>
      <c r="DU12" s="9">
        <f t="shared" si="59"/>
        <v>0</v>
      </c>
      <c r="DV12" s="24">
        <v>49742</v>
      </c>
      <c r="DW12" s="9"/>
      <c r="DX12" s="9">
        <f t="shared" si="60"/>
        <v>1492.26</v>
      </c>
      <c r="DY12" s="9">
        <f t="shared" si="61"/>
        <v>0</v>
      </c>
      <c r="DZ12" s="9">
        <f t="shared" si="62"/>
        <v>1542002</v>
      </c>
      <c r="EA12" s="9">
        <f t="shared" si="63"/>
        <v>1101071.37</v>
      </c>
      <c r="EB12" s="9">
        <f t="shared" si="64"/>
        <v>46260.06</v>
      </c>
      <c r="EC12" s="9">
        <f t="shared" si="65"/>
        <v>33032.1411</v>
      </c>
    </row>
    <row r="13" s="4" customFormat="1" spans="1:133">
      <c r="A13" s="26" t="s">
        <v>153</v>
      </c>
      <c r="B13" s="27" t="s">
        <v>143</v>
      </c>
      <c r="C13" s="27">
        <v>503000</v>
      </c>
      <c r="D13" s="28">
        <v>0.025</v>
      </c>
      <c r="E13" s="23">
        <f t="shared" si="0"/>
        <v>12575</v>
      </c>
      <c r="F13" s="24">
        <v>18294.64</v>
      </c>
      <c r="G13" s="9">
        <v>16129.8</v>
      </c>
      <c r="H13" s="9">
        <f t="shared" si="1"/>
        <v>457.366</v>
      </c>
      <c r="I13" s="9">
        <f t="shared" si="2"/>
        <v>403.245</v>
      </c>
      <c r="J13" s="24">
        <v>14596.45</v>
      </c>
      <c r="K13" s="9">
        <v>16034.35</v>
      </c>
      <c r="L13" s="9">
        <f t="shared" si="3"/>
        <v>364.91125</v>
      </c>
      <c r="M13" s="9">
        <f t="shared" si="4"/>
        <v>400.85875</v>
      </c>
      <c r="N13" s="24">
        <v>14596.45</v>
      </c>
      <c r="O13" s="9">
        <v>15204.76</v>
      </c>
      <c r="P13" s="9">
        <f t="shared" si="66"/>
        <v>364.91125</v>
      </c>
      <c r="Q13" s="9">
        <f t="shared" si="5"/>
        <v>380.119</v>
      </c>
      <c r="R13" s="24">
        <v>16698.84</v>
      </c>
      <c r="S13" s="9">
        <v>16849.11</v>
      </c>
      <c r="T13" s="9">
        <f t="shared" si="6"/>
        <v>417.471</v>
      </c>
      <c r="U13" s="9">
        <f t="shared" si="7"/>
        <v>421.22775</v>
      </c>
      <c r="V13" s="24">
        <v>16698.84</v>
      </c>
      <c r="W13" s="9">
        <v>16841.98</v>
      </c>
      <c r="X13" s="9">
        <f t="shared" si="8"/>
        <v>417.471</v>
      </c>
      <c r="Y13" s="9">
        <f t="shared" si="9"/>
        <v>421.0495</v>
      </c>
      <c r="Z13" s="24">
        <v>16698.84</v>
      </c>
      <c r="AA13" s="9">
        <v>17404.26</v>
      </c>
      <c r="AB13" s="9">
        <f t="shared" si="10"/>
        <v>417.471</v>
      </c>
      <c r="AC13" s="9">
        <f t="shared" si="11"/>
        <v>435.1065</v>
      </c>
      <c r="AD13" s="24">
        <v>17294.64</v>
      </c>
      <c r="AE13" s="9">
        <v>17732</v>
      </c>
      <c r="AF13" s="9">
        <f t="shared" si="12"/>
        <v>432.366</v>
      </c>
      <c r="AG13" s="9">
        <f t="shared" si="13"/>
        <v>443.3</v>
      </c>
      <c r="AH13" s="24">
        <v>17294.64</v>
      </c>
      <c r="AI13" s="9">
        <v>21290.85</v>
      </c>
      <c r="AJ13" s="9">
        <f t="shared" si="14"/>
        <v>432.366</v>
      </c>
      <c r="AK13" s="9">
        <f t="shared" si="15"/>
        <v>532.27125</v>
      </c>
      <c r="AL13" s="24">
        <v>14596.45</v>
      </c>
      <c r="AM13" s="9">
        <v>15329.42</v>
      </c>
      <c r="AN13" s="9">
        <f t="shared" si="16"/>
        <v>364.91125</v>
      </c>
      <c r="AO13" s="9">
        <f t="shared" si="17"/>
        <v>383.2355</v>
      </c>
      <c r="AP13" s="24">
        <v>14596.45</v>
      </c>
      <c r="AQ13" s="9">
        <v>14601.89</v>
      </c>
      <c r="AR13" s="9">
        <f t="shared" si="18"/>
        <v>364.91125</v>
      </c>
      <c r="AS13" s="9">
        <f t="shared" si="19"/>
        <v>365.04725</v>
      </c>
      <c r="AT13" s="24">
        <v>16698.84</v>
      </c>
      <c r="AU13" s="9">
        <v>17365.33</v>
      </c>
      <c r="AV13" s="9">
        <f t="shared" si="20"/>
        <v>417.471</v>
      </c>
      <c r="AW13" s="9">
        <f t="shared" si="21"/>
        <v>434.13325</v>
      </c>
      <c r="AX13" s="24">
        <v>16698.84</v>
      </c>
      <c r="AY13" s="9">
        <v>19439.08</v>
      </c>
      <c r="AZ13" s="9">
        <f t="shared" si="22"/>
        <v>417.471</v>
      </c>
      <c r="BA13" s="9">
        <f t="shared" si="23"/>
        <v>485.977</v>
      </c>
      <c r="BB13" s="24">
        <v>16698.84</v>
      </c>
      <c r="BC13" s="9">
        <v>21486.31</v>
      </c>
      <c r="BD13" s="9">
        <f t="shared" si="24"/>
        <v>417.471</v>
      </c>
      <c r="BE13" s="9">
        <f t="shared" si="25"/>
        <v>537.15775</v>
      </c>
      <c r="BF13" s="24">
        <v>17294.64</v>
      </c>
      <c r="BG13" s="9">
        <v>22136.4</v>
      </c>
      <c r="BH13" s="9">
        <f t="shared" si="26"/>
        <v>432.366</v>
      </c>
      <c r="BI13" s="9">
        <f t="shared" si="27"/>
        <v>553.41</v>
      </c>
      <c r="BJ13" s="24">
        <v>17294.64</v>
      </c>
      <c r="BK13" s="9">
        <v>23920.47</v>
      </c>
      <c r="BL13" s="9">
        <f t="shared" si="28"/>
        <v>432.366</v>
      </c>
      <c r="BM13" s="9">
        <f t="shared" si="29"/>
        <v>598.01175</v>
      </c>
      <c r="BN13" s="24">
        <v>14596.45</v>
      </c>
      <c r="BO13" s="9">
        <v>18129</v>
      </c>
      <c r="BP13" s="9">
        <f t="shared" si="30"/>
        <v>364.91125</v>
      </c>
      <c r="BQ13" s="9">
        <f t="shared" si="31"/>
        <v>453.225</v>
      </c>
      <c r="BR13" s="24">
        <v>14596.45</v>
      </c>
      <c r="BS13" s="9">
        <v>18958.53</v>
      </c>
      <c r="BT13" s="9">
        <f t="shared" si="32"/>
        <v>364.91125</v>
      </c>
      <c r="BU13" s="9">
        <f t="shared" si="33"/>
        <v>473.96325</v>
      </c>
      <c r="BV13" s="24">
        <v>16698.84</v>
      </c>
      <c r="BW13" s="9">
        <v>15608.07</v>
      </c>
      <c r="BX13" s="9">
        <f t="shared" si="34"/>
        <v>417.471</v>
      </c>
      <c r="BY13" s="9">
        <f t="shared" si="35"/>
        <v>390.20175</v>
      </c>
      <c r="BZ13" s="24">
        <v>16698.84</v>
      </c>
      <c r="CA13" s="9">
        <v>14355.55</v>
      </c>
      <c r="CB13" s="9">
        <f t="shared" si="36"/>
        <v>417.471</v>
      </c>
      <c r="CC13" s="9">
        <f t="shared" si="37"/>
        <v>358.88875</v>
      </c>
      <c r="CD13" s="24">
        <v>16698.84</v>
      </c>
      <c r="CE13" s="9">
        <v>15287.68</v>
      </c>
      <c r="CF13" s="9">
        <f t="shared" si="38"/>
        <v>417.471</v>
      </c>
      <c r="CG13" s="9">
        <f t="shared" si="39"/>
        <v>382.192</v>
      </c>
      <c r="CH13" s="24">
        <v>17294.64</v>
      </c>
      <c r="CI13" s="9">
        <v>15325.35</v>
      </c>
      <c r="CJ13" s="9">
        <f t="shared" si="40"/>
        <v>432.366</v>
      </c>
      <c r="CK13" s="9">
        <f t="shared" si="41"/>
        <v>383.13375</v>
      </c>
      <c r="CL13" s="24">
        <v>17294.64</v>
      </c>
      <c r="CM13" s="9">
        <v>17030.06</v>
      </c>
      <c r="CN13" s="9">
        <f t="shared" si="42"/>
        <v>432.366</v>
      </c>
      <c r="CO13" s="9">
        <f t="shared" si="43"/>
        <v>425.7515</v>
      </c>
      <c r="CP13" s="24">
        <v>14596.45</v>
      </c>
      <c r="CQ13" s="9">
        <v>12360.63</v>
      </c>
      <c r="CR13" s="9">
        <f t="shared" si="44"/>
        <v>364.91125</v>
      </c>
      <c r="CS13" s="9">
        <f t="shared" si="45"/>
        <v>309.01575</v>
      </c>
      <c r="CT13" s="24">
        <v>14596.45</v>
      </c>
      <c r="CU13" s="9">
        <v>12924</v>
      </c>
      <c r="CV13" s="9">
        <f t="shared" si="46"/>
        <v>364.91125</v>
      </c>
      <c r="CW13" s="9">
        <f t="shared" si="47"/>
        <v>323.1</v>
      </c>
      <c r="CX13" s="24">
        <v>16698.84</v>
      </c>
      <c r="CY13" s="9">
        <v>13352.7</v>
      </c>
      <c r="CZ13" s="9">
        <f t="shared" si="48"/>
        <v>417.471</v>
      </c>
      <c r="DA13" s="9">
        <f t="shared" si="49"/>
        <v>333.8175</v>
      </c>
      <c r="DB13" s="24">
        <v>16698.84</v>
      </c>
      <c r="DC13" s="9">
        <v>12956.75</v>
      </c>
      <c r="DD13" s="9">
        <f t="shared" si="50"/>
        <v>417.471</v>
      </c>
      <c r="DE13" s="9">
        <f t="shared" si="51"/>
        <v>323.91875</v>
      </c>
      <c r="DF13" s="24">
        <v>16698.84</v>
      </c>
      <c r="DG13" s="9">
        <v>12572.85</v>
      </c>
      <c r="DH13" s="9">
        <f t="shared" si="52"/>
        <v>417.471</v>
      </c>
      <c r="DI13" s="9">
        <f t="shared" si="53"/>
        <v>314.32125</v>
      </c>
      <c r="DJ13" s="24">
        <v>17294.64</v>
      </c>
      <c r="DK13" s="9">
        <v>13165.3</v>
      </c>
      <c r="DL13" s="9">
        <f t="shared" si="54"/>
        <v>432.366</v>
      </c>
      <c r="DM13" s="9">
        <f t="shared" si="55"/>
        <v>329.1325</v>
      </c>
      <c r="DN13" s="24">
        <v>17294.64</v>
      </c>
      <c r="DO13" s="9"/>
      <c r="DP13" s="9">
        <f t="shared" si="56"/>
        <v>432.366</v>
      </c>
      <c r="DQ13" s="9">
        <f t="shared" si="57"/>
        <v>0</v>
      </c>
      <c r="DR13" s="24">
        <v>14596.45</v>
      </c>
      <c r="DS13" s="9"/>
      <c r="DT13" s="9">
        <f t="shared" si="58"/>
        <v>364.91125</v>
      </c>
      <c r="DU13" s="9">
        <f t="shared" si="59"/>
        <v>0</v>
      </c>
      <c r="DV13" s="24">
        <v>14596.45</v>
      </c>
      <c r="DW13" s="9"/>
      <c r="DX13" s="9">
        <f t="shared" si="60"/>
        <v>364.91125</v>
      </c>
      <c r="DY13" s="9">
        <f t="shared" si="61"/>
        <v>0</v>
      </c>
      <c r="DZ13" s="9">
        <f t="shared" si="62"/>
        <v>503002.34</v>
      </c>
      <c r="EA13" s="9">
        <f t="shared" si="63"/>
        <v>463792.48</v>
      </c>
      <c r="EB13" s="9">
        <f t="shared" si="64"/>
        <v>12575.0585</v>
      </c>
      <c r="EC13" s="9">
        <f t="shared" si="65"/>
        <v>11594.812</v>
      </c>
    </row>
    <row r="14" s="4" customFormat="1" spans="1:133">
      <c r="A14" s="26" t="s">
        <v>154</v>
      </c>
      <c r="B14" s="27" t="s">
        <v>143</v>
      </c>
      <c r="C14" s="27">
        <v>430000</v>
      </c>
      <c r="D14" s="29">
        <v>0.03</v>
      </c>
      <c r="E14" s="23">
        <f t="shared" si="0"/>
        <v>12900</v>
      </c>
      <c r="F14" s="24">
        <v>13870</v>
      </c>
      <c r="G14" s="9">
        <v>20888.11</v>
      </c>
      <c r="H14" s="9">
        <f t="shared" si="1"/>
        <v>416.1</v>
      </c>
      <c r="I14" s="9">
        <f t="shared" si="2"/>
        <v>626.6433</v>
      </c>
      <c r="J14" s="24">
        <v>13880</v>
      </c>
      <c r="K14" s="9">
        <v>21463.28</v>
      </c>
      <c r="L14" s="9">
        <f t="shared" si="3"/>
        <v>416.4</v>
      </c>
      <c r="M14" s="9">
        <f t="shared" si="4"/>
        <v>643.8984</v>
      </c>
      <c r="N14" s="24">
        <v>13870</v>
      </c>
      <c r="O14" s="9">
        <v>19096.85</v>
      </c>
      <c r="P14" s="9">
        <f t="shared" si="66"/>
        <v>416.1</v>
      </c>
      <c r="Q14" s="9">
        <f t="shared" si="5"/>
        <v>572.9055</v>
      </c>
      <c r="R14" s="24">
        <v>13870</v>
      </c>
      <c r="S14" s="9">
        <v>20018.43</v>
      </c>
      <c r="T14" s="9">
        <f t="shared" si="6"/>
        <v>416.1</v>
      </c>
      <c r="U14" s="9">
        <f t="shared" si="7"/>
        <v>600.5529</v>
      </c>
      <c r="V14" s="24">
        <v>13870</v>
      </c>
      <c r="W14" s="9">
        <v>20419.23</v>
      </c>
      <c r="X14" s="9">
        <f t="shared" si="8"/>
        <v>416.1</v>
      </c>
      <c r="Y14" s="9">
        <f t="shared" si="9"/>
        <v>612.5769</v>
      </c>
      <c r="Z14" s="24">
        <v>13870</v>
      </c>
      <c r="AA14" s="9">
        <v>20924.59</v>
      </c>
      <c r="AB14" s="9">
        <f t="shared" si="10"/>
        <v>416.1</v>
      </c>
      <c r="AC14" s="9">
        <f t="shared" si="11"/>
        <v>627.7377</v>
      </c>
      <c r="AD14" s="24">
        <v>13870</v>
      </c>
      <c r="AE14" s="9">
        <v>21412.65</v>
      </c>
      <c r="AF14" s="9">
        <f t="shared" si="12"/>
        <v>416.1</v>
      </c>
      <c r="AG14" s="9">
        <f t="shared" si="13"/>
        <v>642.3795</v>
      </c>
      <c r="AH14" s="24">
        <v>13870</v>
      </c>
      <c r="AI14" s="9">
        <v>22110.21</v>
      </c>
      <c r="AJ14" s="9">
        <f t="shared" si="14"/>
        <v>416.1</v>
      </c>
      <c r="AK14" s="9">
        <f t="shared" si="15"/>
        <v>663.3063</v>
      </c>
      <c r="AL14" s="24">
        <v>13870</v>
      </c>
      <c r="AM14" s="9">
        <v>21295.29</v>
      </c>
      <c r="AN14" s="9">
        <f t="shared" si="16"/>
        <v>416.1</v>
      </c>
      <c r="AO14" s="9">
        <f t="shared" si="17"/>
        <v>638.8587</v>
      </c>
      <c r="AP14" s="24">
        <v>13870</v>
      </c>
      <c r="AQ14" s="9">
        <v>17837.28</v>
      </c>
      <c r="AR14" s="9">
        <f t="shared" si="18"/>
        <v>416.1</v>
      </c>
      <c r="AS14" s="9">
        <f t="shared" si="19"/>
        <v>535.1184</v>
      </c>
      <c r="AT14" s="24">
        <v>13870</v>
      </c>
      <c r="AU14" s="9">
        <v>18283.31</v>
      </c>
      <c r="AV14" s="9">
        <f t="shared" si="20"/>
        <v>416.1</v>
      </c>
      <c r="AW14" s="9">
        <f t="shared" si="21"/>
        <v>548.4993</v>
      </c>
      <c r="AX14" s="24">
        <v>13880</v>
      </c>
      <c r="AY14" s="9">
        <v>19378.19</v>
      </c>
      <c r="AZ14" s="9">
        <f t="shared" si="22"/>
        <v>416.4</v>
      </c>
      <c r="BA14" s="9">
        <f t="shared" si="23"/>
        <v>581.3457</v>
      </c>
      <c r="BB14" s="24">
        <v>13870</v>
      </c>
      <c r="BC14" s="9">
        <v>22291</v>
      </c>
      <c r="BD14" s="9">
        <f t="shared" si="24"/>
        <v>416.1</v>
      </c>
      <c r="BE14" s="9">
        <f t="shared" si="25"/>
        <v>668.73</v>
      </c>
      <c r="BF14" s="24">
        <v>13870</v>
      </c>
      <c r="BG14" s="9">
        <v>23299.03</v>
      </c>
      <c r="BH14" s="9">
        <f t="shared" si="26"/>
        <v>416.1</v>
      </c>
      <c r="BI14" s="9">
        <f t="shared" si="27"/>
        <v>698.9709</v>
      </c>
      <c r="BJ14" s="24">
        <v>13870</v>
      </c>
      <c r="BK14" s="9">
        <v>23501.34</v>
      </c>
      <c r="BL14" s="9">
        <f t="shared" si="28"/>
        <v>416.1</v>
      </c>
      <c r="BM14" s="9">
        <f t="shared" si="29"/>
        <v>705.0402</v>
      </c>
      <c r="BN14" s="24">
        <v>13870</v>
      </c>
      <c r="BO14" s="9">
        <v>21124.47</v>
      </c>
      <c r="BP14" s="9">
        <f t="shared" si="30"/>
        <v>416.1</v>
      </c>
      <c r="BQ14" s="9">
        <f t="shared" si="31"/>
        <v>633.7341</v>
      </c>
      <c r="BR14" s="24">
        <v>13870</v>
      </c>
      <c r="BS14" s="9">
        <v>23047.04</v>
      </c>
      <c r="BT14" s="9">
        <f t="shared" si="32"/>
        <v>416.1</v>
      </c>
      <c r="BU14" s="9">
        <f t="shared" si="33"/>
        <v>691.4112</v>
      </c>
      <c r="BV14" s="24">
        <v>13870</v>
      </c>
      <c r="BW14" s="9">
        <v>20394.72</v>
      </c>
      <c r="BX14" s="9">
        <f t="shared" si="34"/>
        <v>416.1</v>
      </c>
      <c r="BY14" s="9">
        <f t="shared" si="35"/>
        <v>611.8416</v>
      </c>
      <c r="BZ14" s="24">
        <v>13870</v>
      </c>
      <c r="CA14" s="9">
        <v>20681.35</v>
      </c>
      <c r="CB14" s="9">
        <f t="shared" si="36"/>
        <v>416.1</v>
      </c>
      <c r="CC14" s="9">
        <f t="shared" si="37"/>
        <v>620.4405</v>
      </c>
      <c r="CD14" s="24">
        <v>13870</v>
      </c>
      <c r="CE14" s="9">
        <v>20430.12</v>
      </c>
      <c r="CF14" s="9">
        <f t="shared" si="38"/>
        <v>416.1</v>
      </c>
      <c r="CG14" s="9">
        <f t="shared" si="39"/>
        <v>612.9036</v>
      </c>
      <c r="CH14" s="24">
        <v>13870</v>
      </c>
      <c r="CI14" s="9">
        <v>20497.93</v>
      </c>
      <c r="CJ14" s="9">
        <f t="shared" si="40"/>
        <v>416.1</v>
      </c>
      <c r="CK14" s="9">
        <f t="shared" si="41"/>
        <v>614.9379</v>
      </c>
      <c r="CL14" s="24">
        <v>13870</v>
      </c>
      <c r="CM14" s="9">
        <v>20455.1</v>
      </c>
      <c r="CN14" s="9">
        <f t="shared" si="42"/>
        <v>416.1</v>
      </c>
      <c r="CO14" s="9">
        <f t="shared" si="43"/>
        <v>613.653</v>
      </c>
      <c r="CP14" s="24">
        <v>13870</v>
      </c>
      <c r="CQ14" s="9">
        <v>12570.94</v>
      </c>
      <c r="CR14" s="9">
        <f t="shared" si="44"/>
        <v>416.1</v>
      </c>
      <c r="CS14" s="9">
        <f t="shared" si="45"/>
        <v>377.1282</v>
      </c>
      <c r="CT14" s="24">
        <v>13870</v>
      </c>
      <c r="CU14" s="9">
        <v>12497.73</v>
      </c>
      <c r="CV14" s="9">
        <f t="shared" si="46"/>
        <v>416.1</v>
      </c>
      <c r="CW14" s="9">
        <f t="shared" si="47"/>
        <v>374.9319</v>
      </c>
      <c r="CX14" s="24">
        <v>13870</v>
      </c>
      <c r="CY14" s="9">
        <v>10460.37</v>
      </c>
      <c r="CZ14" s="9">
        <f t="shared" si="48"/>
        <v>416.1</v>
      </c>
      <c r="DA14" s="9">
        <f t="shared" si="49"/>
        <v>313.8111</v>
      </c>
      <c r="DB14" s="24">
        <v>13870</v>
      </c>
      <c r="DC14" s="9">
        <v>10957.62</v>
      </c>
      <c r="DD14" s="9">
        <f t="shared" si="50"/>
        <v>416.1</v>
      </c>
      <c r="DE14" s="9">
        <f t="shared" si="51"/>
        <v>328.7286</v>
      </c>
      <c r="DF14" s="24">
        <v>13870</v>
      </c>
      <c r="DG14" s="9">
        <v>14057.49</v>
      </c>
      <c r="DH14" s="9">
        <f t="shared" si="52"/>
        <v>416.1</v>
      </c>
      <c r="DI14" s="9">
        <f t="shared" si="53"/>
        <v>421.7247</v>
      </c>
      <c r="DJ14" s="24">
        <v>13870</v>
      </c>
      <c r="DK14" s="9">
        <v>12878.3</v>
      </c>
      <c r="DL14" s="9">
        <f t="shared" si="54"/>
        <v>416.1</v>
      </c>
      <c r="DM14" s="9">
        <f t="shared" si="55"/>
        <v>386.349</v>
      </c>
      <c r="DN14" s="24">
        <v>13870</v>
      </c>
      <c r="DO14" s="9"/>
      <c r="DP14" s="9">
        <f t="shared" si="56"/>
        <v>416.1</v>
      </c>
      <c r="DQ14" s="9">
        <f t="shared" si="57"/>
        <v>0</v>
      </c>
      <c r="DR14" s="24">
        <v>13870</v>
      </c>
      <c r="DS14" s="9"/>
      <c r="DT14" s="9">
        <f t="shared" si="58"/>
        <v>416.1</v>
      </c>
      <c r="DU14" s="9">
        <f t="shared" si="59"/>
        <v>0</v>
      </c>
      <c r="DV14" s="24">
        <v>13880</v>
      </c>
      <c r="DW14" s="9"/>
      <c r="DX14" s="9">
        <f t="shared" si="60"/>
        <v>416.4</v>
      </c>
      <c r="DY14" s="9">
        <f t="shared" si="61"/>
        <v>0</v>
      </c>
      <c r="DZ14" s="9">
        <f t="shared" si="62"/>
        <v>430000</v>
      </c>
      <c r="EA14" s="9">
        <f t="shared" si="63"/>
        <v>532271.97</v>
      </c>
      <c r="EB14" s="9">
        <f t="shared" si="64"/>
        <v>12900</v>
      </c>
      <c r="EC14" s="9">
        <f t="shared" si="65"/>
        <v>15968.1591</v>
      </c>
    </row>
    <row r="15" s="4" customFormat="1" spans="1:133">
      <c r="A15" s="26" t="s">
        <v>155</v>
      </c>
      <c r="B15" s="27" t="s">
        <v>143</v>
      </c>
      <c r="C15" s="27">
        <v>202000</v>
      </c>
      <c r="D15" s="28">
        <v>0.025</v>
      </c>
      <c r="E15" s="23">
        <f t="shared" si="0"/>
        <v>5050</v>
      </c>
      <c r="F15" s="24">
        <v>25000</v>
      </c>
      <c r="G15" s="9">
        <v>24467</v>
      </c>
      <c r="H15" s="9">
        <f t="shared" si="1"/>
        <v>625</v>
      </c>
      <c r="I15" s="9">
        <f t="shared" si="2"/>
        <v>611.675</v>
      </c>
      <c r="J15" s="24">
        <v>25000</v>
      </c>
      <c r="K15" s="9">
        <v>23601.6</v>
      </c>
      <c r="L15" s="9">
        <f t="shared" si="3"/>
        <v>625</v>
      </c>
      <c r="M15" s="9">
        <f t="shared" si="4"/>
        <v>590.04</v>
      </c>
      <c r="N15" s="24">
        <v>28000</v>
      </c>
      <c r="O15" s="9">
        <v>24994.72</v>
      </c>
      <c r="P15" s="9">
        <f t="shared" si="66"/>
        <v>700</v>
      </c>
      <c r="Q15" s="9">
        <f t="shared" si="5"/>
        <v>624.868</v>
      </c>
      <c r="R15" s="24">
        <v>28000</v>
      </c>
      <c r="S15" s="9">
        <v>27563.79</v>
      </c>
      <c r="T15" s="9">
        <f t="shared" si="6"/>
        <v>700</v>
      </c>
      <c r="U15" s="9">
        <f t="shared" si="7"/>
        <v>689.09475</v>
      </c>
      <c r="V15" s="24">
        <v>28000</v>
      </c>
      <c r="W15" s="9">
        <v>30328.65</v>
      </c>
      <c r="X15" s="9">
        <f t="shared" si="8"/>
        <v>700</v>
      </c>
      <c r="Y15" s="9">
        <f t="shared" si="9"/>
        <v>758.21625</v>
      </c>
      <c r="Z15" s="24">
        <v>28000</v>
      </c>
      <c r="AA15" s="9">
        <v>28896</v>
      </c>
      <c r="AB15" s="9">
        <f t="shared" si="10"/>
        <v>700</v>
      </c>
      <c r="AC15" s="9">
        <f t="shared" si="11"/>
        <v>722.4</v>
      </c>
      <c r="AD15" s="24">
        <v>28000</v>
      </c>
      <c r="AE15" s="9">
        <v>27657</v>
      </c>
      <c r="AF15" s="9">
        <f t="shared" si="12"/>
        <v>700</v>
      </c>
      <c r="AG15" s="9">
        <f t="shared" si="13"/>
        <v>691.425</v>
      </c>
      <c r="AH15" s="24">
        <v>28000</v>
      </c>
      <c r="AI15" s="9">
        <v>30201</v>
      </c>
      <c r="AJ15" s="9">
        <f t="shared" si="14"/>
        <v>700</v>
      </c>
      <c r="AK15" s="9">
        <f t="shared" si="15"/>
        <v>755.025</v>
      </c>
      <c r="AL15" s="24">
        <v>28000</v>
      </c>
      <c r="AM15" s="9">
        <v>25986.92</v>
      </c>
      <c r="AN15" s="9">
        <f t="shared" si="16"/>
        <v>700</v>
      </c>
      <c r="AO15" s="9">
        <f t="shared" si="17"/>
        <v>649.673</v>
      </c>
      <c r="AP15" s="24">
        <v>26000</v>
      </c>
      <c r="AQ15" s="9">
        <v>26654</v>
      </c>
      <c r="AR15" s="9">
        <f t="shared" si="18"/>
        <v>650</v>
      </c>
      <c r="AS15" s="9">
        <f t="shared" si="19"/>
        <v>666.35</v>
      </c>
      <c r="AT15" s="24">
        <v>26000</v>
      </c>
      <c r="AU15" s="9">
        <v>28109</v>
      </c>
      <c r="AV15" s="9">
        <f t="shared" si="20"/>
        <v>650</v>
      </c>
      <c r="AW15" s="9">
        <f t="shared" si="21"/>
        <v>702.725</v>
      </c>
      <c r="AX15" s="24">
        <v>26000</v>
      </c>
      <c r="AY15" s="9">
        <v>28058</v>
      </c>
      <c r="AZ15" s="9">
        <f t="shared" si="22"/>
        <v>650</v>
      </c>
      <c r="BA15" s="9">
        <f t="shared" si="23"/>
        <v>701.45</v>
      </c>
      <c r="BB15" s="24">
        <v>25000</v>
      </c>
      <c r="BC15" s="9">
        <v>24491</v>
      </c>
      <c r="BD15" s="9">
        <f t="shared" si="24"/>
        <v>625</v>
      </c>
      <c r="BE15" s="9">
        <f t="shared" si="25"/>
        <v>612.275</v>
      </c>
      <c r="BF15" s="24">
        <v>25000</v>
      </c>
      <c r="BG15" s="9">
        <v>24768.04</v>
      </c>
      <c r="BH15" s="9">
        <f t="shared" si="26"/>
        <v>625</v>
      </c>
      <c r="BI15" s="9">
        <f t="shared" si="27"/>
        <v>619.201</v>
      </c>
      <c r="BJ15" s="24">
        <v>24000</v>
      </c>
      <c r="BK15" s="9">
        <v>24644.19</v>
      </c>
      <c r="BL15" s="9">
        <f t="shared" si="28"/>
        <v>600</v>
      </c>
      <c r="BM15" s="9">
        <f t="shared" si="29"/>
        <v>616.10475</v>
      </c>
      <c r="BN15" s="24">
        <v>24000</v>
      </c>
      <c r="BO15" s="9">
        <v>24901.59</v>
      </c>
      <c r="BP15" s="9">
        <f t="shared" si="30"/>
        <v>600</v>
      </c>
      <c r="BQ15" s="9">
        <f t="shared" si="31"/>
        <v>622.53975</v>
      </c>
      <c r="BR15" s="24">
        <v>24000</v>
      </c>
      <c r="BS15" s="9">
        <v>25275.85</v>
      </c>
      <c r="BT15" s="9">
        <f t="shared" si="32"/>
        <v>600</v>
      </c>
      <c r="BU15" s="9">
        <f t="shared" si="33"/>
        <v>631.89625</v>
      </c>
      <c r="BV15" s="24">
        <v>24000</v>
      </c>
      <c r="BW15" s="9">
        <v>24401.99</v>
      </c>
      <c r="BX15" s="9">
        <f t="shared" si="34"/>
        <v>600</v>
      </c>
      <c r="BY15" s="9">
        <f t="shared" si="35"/>
        <v>610.04975</v>
      </c>
      <c r="BZ15" s="24">
        <v>24000</v>
      </c>
      <c r="CA15" s="9">
        <v>25276.99</v>
      </c>
      <c r="CB15" s="9">
        <f t="shared" si="36"/>
        <v>600</v>
      </c>
      <c r="CC15" s="9">
        <f t="shared" si="37"/>
        <v>631.92475</v>
      </c>
      <c r="CD15" s="24">
        <v>24000</v>
      </c>
      <c r="CE15" s="9">
        <v>25810</v>
      </c>
      <c r="CF15" s="9">
        <f t="shared" si="38"/>
        <v>600</v>
      </c>
      <c r="CG15" s="9">
        <f t="shared" si="39"/>
        <v>645.25</v>
      </c>
      <c r="CH15" s="24">
        <v>22000</v>
      </c>
      <c r="CI15" s="9">
        <v>24561</v>
      </c>
      <c r="CJ15" s="9">
        <f t="shared" si="40"/>
        <v>550</v>
      </c>
      <c r="CK15" s="9">
        <f t="shared" si="41"/>
        <v>614.025</v>
      </c>
      <c r="CL15" s="24">
        <v>22000</v>
      </c>
      <c r="CM15" s="9">
        <v>22313.15</v>
      </c>
      <c r="CN15" s="9">
        <f t="shared" si="42"/>
        <v>550</v>
      </c>
      <c r="CO15" s="9">
        <f t="shared" si="43"/>
        <v>557.82875</v>
      </c>
      <c r="CP15" s="24">
        <v>22000</v>
      </c>
      <c r="CQ15" s="9">
        <v>21108</v>
      </c>
      <c r="CR15" s="9">
        <f t="shared" si="44"/>
        <v>550</v>
      </c>
      <c r="CS15" s="9">
        <f t="shared" si="45"/>
        <v>527.7</v>
      </c>
      <c r="CT15" s="24">
        <v>18000</v>
      </c>
      <c r="CU15" s="9">
        <v>18530.14</v>
      </c>
      <c r="CV15" s="9">
        <f t="shared" si="46"/>
        <v>450</v>
      </c>
      <c r="CW15" s="9">
        <f t="shared" si="47"/>
        <v>463.2535</v>
      </c>
      <c r="CX15" s="24">
        <v>18000</v>
      </c>
      <c r="CY15" s="9">
        <v>17075.08</v>
      </c>
      <c r="CZ15" s="9">
        <f t="shared" si="48"/>
        <v>450</v>
      </c>
      <c r="DA15" s="9">
        <f t="shared" si="49"/>
        <v>426.877</v>
      </c>
      <c r="DB15" s="24">
        <v>18000</v>
      </c>
      <c r="DC15" s="9">
        <v>16969.3</v>
      </c>
      <c r="DD15" s="9">
        <f t="shared" si="50"/>
        <v>450</v>
      </c>
      <c r="DE15" s="9">
        <f t="shared" si="51"/>
        <v>424.2325</v>
      </c>
      <c r="DF15" s="24">
        <v>18000</v>
      </c>
      <c r="DG15" s="9">
        <v>15771</v>
      </c>
      <c r="DH15" s="9">
        <f t="shared" si="52"/>
        <v>450</v>
      </c>
      <c r="DI15" s="9">
        <f t="shared" si="53"/>
        <v>394.275</v>
      </c>
      <c r="DJ15" s="24">
        <v>10000</v>
      </c>
      <c r="DK15" s="9">
        <v>14704</v>
      </c>
      <c r="DL15" s="9">
        <f t="shared" si="54"/>
        <v>250</v>
      </c>
      <c r="DM15" s="9">
        <f t="shared" si="55"/>
        <v>367.6</v>
      </c>
      <c r="DN15" s="24">
        <v>10000</v>
      </c>
      <c r="DO15" s="9"/>
      <c r="DP15" s="9">
        <f t="shared" si="56"/>
        <v>250</v>
      </c>
      <c r="DQ15" s="9">
        <f t="shared" si="57"/>
        <v>0</v>
      </c>
      <c r="DR15" s="24">
        <v>10000</v>
      </c>
      <c r="DS15" s="9"/>
      <c r="DT15" s="9">
        <f t="shared" si="58"/>
        <v>250</v>
      </c>
      <c r="DU15" s="9">
        <f t="shared" si="59"/>
        <v>0</v>
      </c>
      <c r="DV15" s="24">
        <v>10000</v>
      </c>
      <c r="DW15" s="9"/>
      <c r="DX15" s="9">
        <f t="shared" si="60"/>
        <v>250</v>
      </c>
      <c r="DY15" s="9">
        <f t="shared" si="61"/>
        <v>0</v>
      </c>
      <c r="DZ15" s="9">
        <f t="shared" si="62"/>
        <v>696000</v>
      </c>
      <c r="EA15" s="9">
        <f t="shared" si="63"/>
        <v>677119</v>
      </c>
      <c r="EB15" s="9">
        <f t="shared" si="64"/>
        <v>17400</v>
      </c>
      <c r="EC15" s="9">
        <f t="shared" si="65"/>
        <v>16927.975</v>
      </c>
    </row>
    <row r="16" s="4" customFormat="1" spans="1:133">
      <c r="A16" s="26" t="s">
        <v>156</v>
      </c>
      <c r="B16" s="27" t="s">
        <v>143</v>
      </c>
      <c r="C16" s="27">
        <v>253000</v>
      </c>
      <c r="D16" s="29">
        <v>0.02</v>
      </c>
      <c r="E16" s="23">
        <f t="shared" si="0"/>
        <v>5060</v>
      </c>
      <c r="F16" s="24">
        <v>30967</v>
      </c>
      <c r="G16" s="9">
        <v>42195.34</v>
      </c>
      <c r="H16" s="9">
        <f t="shared" si="1"/>
        <v>619.34</v>
      </c>
      <c r="I16" s="9">
        <f t="shared" si="2"/>
        <v>843.9068</v>
      </c>
      <c r="J16" s="24">
        <v>30967</v>
      </c>
      <c r="K16" s="9">
        <v>42217.04</v>
      </c>
      <c r="L16" s="9">
        <f t="shared" si="3"/>
        <v>619.34</v>
      </c>
      <c r="M16" s="9">
        <f t="shared" si="4"/>
        <v>844.3408</v>
      </c>
      <c r="N16" s="24">
        <v>30967</v>
      </c>
      <c r="O16" s="9">
        <v>42808.56</v>
      </c>
      <c r="P16" s="9">
        <f t="shared" si="66"/>
        <v>619.34</v>
      </c>
      <c r="Q16" s="9">
        <f t="shared" si="5"/>
        <v>856.1712</v>
      </c>
      <c r="R16" s="24">
        <v>30967</v>
      </c>
      <c r="S16" s="9">
        <v>49357</v>
      </c>
      <c r="T16" s="9">
        <f t="shared" si="6"/>
        <v>619.34</v>
      </c>
      <c r="U16" s="9">
        <f t="shared" si="7"/>
        <v>987.14</v>
      </c>
      <c r="V16" s="24">
        <v>30967</v>
      </c>
      <c r="W16" s="9">
        <v>47726.6</v>
      </c>
      <c r="X16" s="9">
        <f t="shared" si="8"/>
        <v>619.34</v>
      </c>
      <c r="Y16" s="9">
        <f t="shared" si="9"/>
        <v>954.532</v>
      </c>
      <c r="Z16" s="24">
        <v>30967</v>
      </c>
      <c r="AA16" s="9">
        <v>47815.84</v>
      </c>
      <c r="AB16" s="9">
        <f t="shared" si="10"/>
        <v>619.34</v>
      </c>
      <c r="AC16" s="9">
        <f t="shared" si="11"/>
        <v>956.3168</v>
      </c>
      <c r="AD16" s="24">
        <v>30967</v>
      </c>
      <c r="AE16" s="9">
        <v>51308</v>
      </c>
      <c r="AF16" s="9">
        <f t="shared" si="12"/>
        <v>619.34</v>
      </c>
      <c r="AG16" s="9">
        <f t="shared" si="13"/>
        <v>1026.16</v>
      </c>
      <c r="AH16" s="24">
        <v>30967</v>
      </c>
      <c r="AI16" s="9">
        <v>45055</v>
      </c>
      <c r="AJ16" s="9">
        <f t="shared" si="14"/>
        <v>619.34</v>
      </c>
      <c r="AK16" s="9">
        <f t="shared" si="15"/>
        <v>901.1</v>
      </c>
      <c r="AL16" s="24">
        <v>30967</v>
      </c>
      <c r="AM16" s="9">
        <v>42949.72</v>
      </c>
      <c r="AN16" s="9">
        <f t="shared" si="16"/>
        <v>619.34</v>
      </c>
      <c r="AO16" s="9">
        <f t="shared" si="17"/>
        <v>858.9944</v>
      </c>
      <c r="AP16" s="24">
        <v>30967</v>
      </c>
      <c r="AQ16" s="9">
        <v>44332.88</v>
      </c>
      <c r="AR16" s="9">
        <f t="shared" si="18"/>
        <v>619.34</v>
      </c>
      <c r="AS16" s="9">
        <f t="shared" si="19"/>
        <v>886.6576</v>
      </c>
      <c r="AT16" s="24">
        <v>30967</v>
      </c>
      <c r="AU16" s="9">
        <v>46741.72</v>
      </c>
      <c r="AV16" s="9">
        <f t="shared" si="20"/>
        <v>619.34</v>
      </c>
      <c r="AW16" s="9">
        <f t="shared" si="21"/>
        <v>934.8344</v>
      </c>
      <c r="AX16" s="24">
        <v>30967</v>
      </c>
      <c r="AY16" s="9">
        <v>47203.36</v>
      </c>
      <c r="AZ16" s="9">
        <f t="shared" si="22"/>
        <v>619.34</v>
      </c>
      <c r="BA16" s="9">
        <f t="shared" si="23"/>
        <v>944.0672</v>
      </c>
      <c r="BB16" s="24">
        <v>30967</v>
      </c>
      <c r="BC16" s="9">
        <v>46992.72</v>
      </c>
      <c r="BD16" s="9">
        <f t="shared" si="24"/>
        <v>619.34</v>
      </c>
      <c r="BE16" s="9">
        <f t="shared" si="25"/>
        <v>939.8544</v>
      </c>
      <c r="BF16" s="24">
        <v>30967</v>
      </c>
      <c r="BG16" s="9">
        <v>43341.36</v>
      </c>
      <c r="BH16" s="9">
        <f t="shared" si="26"/>
        <v>619.34</v>
      </c>
      <c r="BI16" s="9">
        <f t="shared" si="27"/>
        <v>866.8272</v>
      </c>
      <c r="BJ16" s="24">
        <v>30967</v>
      </c>
      <c r="BK16" s="9">
        <v>45010</v>
      </c>
      <c r="BL16" s="9">
        <f t="shared" si="28"/>
        <v>619.34</v>
      </c>
      <c r="BM16" s="9">
        <f t="shared" si="29"/>
        <v>900.2</v>
      </c>
      <c r="BN16" s="24">
        <v>30967</v>
      </c>
      <c r="BO16" s="9">
        <v>37251</v>
      </c>
      <c r="BP16" s="9">
        <f t="shared" si="30"/>
        <v>619.34</v>
      </c>
      <c r="BQ16" s="9">
        <f t="shared" si="31"/>
        <v>745.02</v>
      </c>
      <c r="BR16" s="24">
        <v>30967</v>
      </c>
      <c r="BS16" s="9">
        <v>41476</v>
      </c>
      <c r="BT16" s="9">
        <f t="shared" si="32"/>
        <v>619.34</v>
      </c>
      <c r="BU16" s="9">
        <f t="shared" si="33"/>
        <v>829.52</v>
      </c>
      <c r="BV16" s="24">
        <v>30967</v>
      </c>
      <c r="BW16" s="9">
        <v>42235.22</v>
      </c>
      <c r="BX16" s="9">
        <f t="shared" si="34"/>
        <v>619.34</v>
      </c>
      <c r="BY16" s="9">
        <f t="shared" si="35"/>
        <v>844.7044</v>
      </c>
      <c r="BZ16" s="24">
        <v>30967</v>
      </c>
      <c r="CA16" s="9">
        <v>41052.09</v>
      </c>
      <c r="CB16" s="9">
        <f t="shared" si="36"/>
        <v>619.34</v>
      </c>
      <c r="CC16" s="9">
        <f t="shared" si="37"/>
        <v>821.0418</v>
      </c>
      <c r="CD16" s="24">
        <v>30967</v>
      </c>
      <c r="CE16" s="9">
        <v>40815.86</v>
      </c>
      <c r="CF16" s="9">
        <f t="shared" si="38"/>
        <v>619.34</v>
      </c>
      <c r="CG16" s="9">
        <f t="shared" si="39"/>
        <v>816.3172</v>
      </c>
      <c r="CH16" s="24">
        <v>30967</v>
      </c>
      <c r="CI16" s="9">
        <v>38278.48</v>
      </c>
      <c r="CJ16" s="9">
        <f t="shared" si="40"/>
        <v>619.34</v>
      </c>
      <c r="CK16" s="9">
        <f t="shared" si="41"/>
        <v>765.5696</v>
      </c>
      <c r="CL16" s="24">
        <v>30967</v>
      </c>
      <c r="CM16" s="9">
        <v>34636.8</v>
      </c>
      <c r="CN16" s="9">
        <f t="shared" si="42"/>
        <v>619.34</v>
      </c>
      <c r="CO16" s="9">
        <f t="shared" si="43"/>
        <v>692.736</v>
      </c>
      <c r="CP16" s="24">
        <v>30967</v>
      </c>
      <c r="CQ16" s="9">
        <v>33937</v>
      </c>
      <c r="CR16" s="9">
        <f t="shared" si="44"/>
        <v>619.34</v>
      </c>
      <c r="CS16" s="9">
        <f t="shared" si="45"/>
        <v>678.74</v>
      </c>
      <c r="CT16" s="24">
        <v>30967</v>
      </c>
      <c r="CU16" s="9">
        <v>29376.19</v>
      </c>
      <c r="CV16" s="9">
        <f t="shared" si="46"/>
        <v>619.34</v>
      </c>
      <c r="CW16" s="9">
        <f t="shared" si="47"/>
        <v>587.5238</v>
      </c>
      <c r="CX16" s="24">
        <v>30967</v>
      </c>
      <c r="CY16" s="9">
        <v>28186.56</v>
      </c>
      <c r="CZ16" s="9">
        <f t="shared" si="48"/>
        <v>619.34</v>
      </c>
      <c r="DA16" s="9">
        <f t="shared" si="49"/>
        <v>563.7312</v>
      </c>
      <c r="DB16" s="24">
        <v>30967</v>
      </c>
      <c r="DC16" s="9">
        <v>30304</v>
      </c>
      <c r="DD16" s="9">
        <f t="shared" si="50"/>
        <v>619.34</v>
      </c>
      <c r="DE16" s="9">
        <f t="shared" si="51"/>
        <v>606.08</v>
      </c>
      <c r="DF16" s="24">
        <v>30967</v>
      </c>
      <c r="DG16" s="9">
        <v>29435.05</v>
      </c>
      <c r="DH16" s="9">
        <f t="shared" si="52"/>
        <v>619.34</v>
      </c>
      <c r="DI16" s="9">
        <f t="shared" si="53"/>
        <v>588.701</v>
      </c>
      <c r="DJ16" s="24">
        <v>30967</v>
      </c>
      <c r="DK16" s="9">
        <v>26344.62</v>
      </c>
      <c r="DL16" s="9">
        <f t="shared" si="54"/>
        <v>619.34</v>
      </c>
      <c r="DM16" s="9">
        <f t="shared" si="55"/>
        <v>526.8924</v>
      </c>
      <c r="DN16" s="24">
        <v>30967</v>
      </c>
      <c r="DO16" s="9"/>
      <c r="DP16" s="9">
        <f t="shared" si="56"/>
        <v>619.34</v>
      </c>
      <c r="DQ16" s="9">
        <f t="shared" si="57"/>
        <v>0</v>
      </c>
      <c r="DR16" s="24">
        <v>30967</v>
      </c>
      <c r="DS16" s="9"/>
      <c r="DT16" s="9">
        <f t="shared" si="58"/>
        <v>619.34</v>
      </c>
      <c r="DU16" s="9">
        <f t="shared" si="59"/>
        <v>0</v>
      </c>
      <c r="DV16" s="24">
        <v>30967</v>
      </c>
      <c r="DW16" s="9"/>
      <c r="DX16" s="9">
        <f t="shared" si="60"/>
        <v>619.34</v>
      </c>
      <c r="DY16" s="9">
        <f t="shared" si="61"/>
        <v>0</v>
      </c>
      <c r="DZ16" s="9">
        <f t="shared" si="62"/>
        <v>959977</v>
      </c>
      <c r="EA16" s="9">
        <f t="shared" si="63"/>
        <v>1138384.01</v>
      </c>
      <c r="EB16" s="9">
        <f t="shared" si="64"/>
        <v>19199.54</v>
      </c>
      <c r="EC16" s="9">
        <f t="shared" si="65"/>
        <v>22767.6802</v>
      </c>
    </row>
    <row r="17" s="4" customFormat="1" spans="1:136">
      <c r="A17" s="30"/>
      <c r="B17" s="31" t="s">
        <v>157</v>
      </c>
      <c r="C17" s="31">
        <f>C3+C4+C5+C6+C7+C8+C9+C10+C11+C12+C13+C14+C15+C16</f>
        <v>11068000</v>
      </c>
      <c r="D17" s="31" t="s">
        <v>158</v>
      </c>
      <c r="E17" s="32">
        <f>E3+E4+E5+E6+E7+E8+E9+E10+E11+E12+E13+E16</f>
        <v>306871.128</v>
      </c>
      <c r="F17" s="32">
        <f>F3+F4+F5+F6+F7+F8+F9+F10+F11+F12+F13+F14+F15+F16</f>
        <v>424238.52</v>
      </c>
      <c r="G17" s="32">
        <f t="shared" ref="G17:AL17" si="67">G3+G4+G5+G6+G7+G8+G9+G10+G11+G12+G13+G14+G15+G16</f>
        <v>445104.55</v>
      </c>
      <c r="H17" s="32">
        <f t="shared" si="67"/>
        <v>12323.698294</v>
      </c>
      <c r="I17" s="32">
        <f t="shared" si="67"/>
        <v>13041.3569467</v>
      </c>
      <c r="J17" s="32">
        <f t="shared" si="67"/>
        <v>398637.22</v>
      </c>
      <c r="K17" s="32">
        <f t="shared" si="67"/>
        <v>386748.37</v>
      </c>
      <c r="L17" s="32">
        <f t="shared" si="67"/>
        <v>11401.399694</v>
      </c>
      <c r="M17" s="32">
        <f t="shared" si="67"/>
        <v>11203.98435473</v>
      </c>
      <c r="N17" s="32">
        <f t="shared" si="67"/>
        <v>402571.22</v>
      </c>
      <c r="O17" s="32">
        <f t="shared" si="67"/>
        <v>404094.49</v>
      </c>
      <c r="P17" s="32">
        <f t="shared" si="67"/>
        <v>11513.859694</v>
      </c>
      <c r="Q17" s="32">
        <f t="shared" si="67"/>
        <v>11623.22361434</v>
      </c>
      <c r="R17" s="32">
        <f t="shared" si="67"/>
        <v>409465.09</v>
      </c>
      <c r="S17" s="32">
        <f t="shared" si="67"/>
        <v>427571.44</v>
      </c>
      <c r="T17" s="32">
        <f t="shared" si="67"/>
        <v>11749.121244</v>
      </c>
      <c r="U17" s="32">
        <f t="shared" si="67"/>
        <v>12268.83503533</v>
      </c>
      <c r="V17" s="32">
        <f t="shared" si="67"/>
        <v>409465.09</v>
      </c>
      <c r="W17" s="32">
        <f t="shared" si="67"/>
        <v>438206.62</v>
      </c>
      <c r="X17" s="32">
        <f t="shared" si="67"/>
        <v>11749.121244</v>
      </c>
      <c r="Y17" s="32">
        <f t="shared" si="67"/>
        <v>12585.41147801</v>
      </c>
      <c r="Z17" s="32">
        <f t="shared" si="67"/>
        <v>410465.09</v>
      </c>
      <c r="AA17" s="32">
        <f t="shared" si="67"/>
        <v>441457.52</v>
      </c>
      <c r="AB17" s="32">
        <f t="shared" si="67"/>
        <v>11789.121244</v>
      </c>
      <c r="AC17" s="32">
        <f t="shared" si="67"/>
        <v>12660.2279143</v>
      </c>
      <c r="AD17" s="32">
        <f t="shared" si="67"/>
        <v>436781.52</v>
      </c>
      <c r="AE17" s="32">
        <f t="shared" si="67"/>
        <v>459161.91</v>
      </c>
      <c r="AF17" s="32">
        <f t="shared" si="67"/>
        <v>12740.418294</v>
      </c>
      <c r="AG17" s="32">
        <f t="shared" si="67"/>
        <v>13174.03347118</v>
      </c>
      <c r="AH17" s="32">
        <f t="shared" si="67"/>
        <v>440537.52</v>
      </c>
      <c r="AI17" s="32">
        <f t="shared" si="67"/>
        <v>487109.96</v>
      </c>
      <c r="AJ17" s="32">
        <f t="shared" si="67"/>
        <v>12885.758294</v>
      </c>
      <c r="AK17" s="32">
        <f t="shared" si="67"/>
        <v>14199.16206934</v>
      </c>
      <c r="AL17" s="32">
        <f t="shared" si="67"/>
        <v>403874.22</v>
      </c>
      <c r="AM17" s="32">
        <f t="shared" ref="AM17:BR17" si="68">AM3+AM4+AM5+AM6+AM7+AM8+AM9+AM10+AM11+AM12+AM13+AM14+AM15+AM16</f>
        <v>385899.85</v>
      </c>
      <c r="AN17" s="32">
        <f t="shared" si="68"/>
        <v>11615.979694</v>
      </c>
      <c r="AO17" s="32">
        <f t="shared" si="68"/>
        <v>11115.33202486</v>
      </c>
      <c r="AP17" s="32">
        <f t="shared" si="68"/>
        <v>401571.22</v>
      </c>
      <c r="AQ17" s="32">
        <f t="shared" si="68"/>
        <v>383628.41</v>
      </c>
      <c r="AR17" s="32">
        <f t="shared" si="68"/>
        <v>11503.859694</v>
      </c>
      <c r="AS17" s="32">
        <f t="shared" si="68"/>
        <v>10854.60481351</v>
      </c>
      <c r="AT17" s="32">
        <f t="shared" si="68"/>
        <v>410465.09</v>
      </c>
      <c r="AU17" s="32">
        <f t="shared" si="68"/>
        <v>408885.62</v>
      </c>
      <c r="AV17" s="32">
        <f t="shared" si="68"/>
        <v>11819.121244</v>
      </c>
      <c r="AW17" s="32">
        <f t="shared" si="68"/>
        <v>11639.05483176</v>
      </c>
      <c r="AX17" s="32">
        <f t="shared" si="68"/>
        <v>414021.09</v>
      </c>
      <c r="AY17" s="32">
        <f t="shared" si="68"/>
        <v>421673.62</v>
      </c>
      <c r="AZ17" s="32">
        <f t="shared" si="68"/>
        <v>11961.261244</v>
      </c>
      <c r="BA17" s="32">
        <f t="shared" si="68"/>
        <v>12116.36429443</v>
      </c>
      <c r="BB17" s="32">
        <f t="shared" si="68"/>
        <v>419430.09</v>
      </c>
      <c r="BC17" s="32">
        <f t="shared" si="68"/>
        <v>442814.23</v>
      </c>
      <c r="BD17" s="32">
        <f t="shared" si="68"/>
        <v>12142.721244</v>
      </c>
      <c r="BE17" s="32">
        <f t="shared" si="68"/>
        <v>12920.96412118</v>
      </c>
      <c r="BF17" s="32">
        <f t="shared" si="68"/>
        <v>435652.52</v>
      </c>
      <c r="BG17" s="32">
        <f t="shared" si="68"/>
        <v>454663.56</v>
      </c>
      <c r="BH17" s="32">
        <f t="shared" si="68"/>
        <v>12740.258294</v>
      </c>
      <c r="BI17" s="32">
        <f t="shared" si="68"/>
        <v>13378.76555535</v>
      </c>
      <c r="BJ17" s="32">
        <f t="shared" si="68"/>
        <v>434810.52</v>
      </c>
      <c r="BK17" s="32">
        <f t="shared" si="68"/>
        <v>470113.63</v>
      </c>
      <c r="BL17" s="32">
        <f t="shared" si="68"/>
        <v>12721.578294</v>
      </c>
      <c r="BM17" s="32">
        <f t="shared" si="68"/>
        <v>13998.48910569</v>
      </c>
      <c r="BN17" s="32">
        <f t="shared" si="68"/>
        <v>389071.22</v>
      </c>
      <c r="BO17" s="32">
        <f t="shared" si="68"/>
        <v>412404.16</v>
      </c>
      <c r="BP17" s="32">
        <f t="shared" si="68"/>
        <v>11086.359694</v>
      </c>
      <c r="BQ17" s="32">
        <f t="shared" si="68"/>
        <v>12212.11811303</v>
      </c>
      <c r="BR17" s="32">
        <f t="shared" si="68"/>
        <v>390071.22</v>
      </c>
      <c r="BS17" s="32">
        <f t="shared" ref="BS17:CX17" si="69">BS3+BS4+BS5+BS6+BS7+BS8+BS9+BS10+BS11+BS12+BS13+BS14+BS15+BS16</f>
        <v>420628.72</v>
      </c>
      <c r="BT17" s="32">
        <f t="shared" si="69"/>
        <v>11126.359694</v>
      </c>
      <c r="BU17" s="32">
        <f t="shared" si="69"/>
        <v>12348.21619422</v>
      </c>
      <c r="BV17" s="32">
        <f t="shared" si="69"/>
        <v>397965.09</v>
      </c>
      <c r="BW17" s="32">
        <f t="shared" si="69"/>
        <v>396670.51</v>
      </c>
      <c r="BX17" s="32">
        <f t="shared" si="69"/>
        <v>11401.621244</v>
      </c>
      <c r="BY17" s="32">
        <f t="shared" si="69"/>
        <v>11477.01857423</v>
      </c>
      <c r="BZ17" s="32">
        <f t="shared" si="69"/>
        <v>396692.09</v>
      </c>
      <c r="CA17" s="32">
        <f t="shared" si="69"/>
        <v>388780.7</v>
      </c>
      <c r="CB17" s="32">
        <f t="shared" si="69"/>
        <v>11350.701244</v>
      </c>
      <c r="CC17" s="32">
        <f t="shared" si="69"/>
        <v>11231.78493794</v>
      </c>
      <c r="CD17" s="32">
        <f t="shared" si="69"/>
        <v>396985.09</v>
      </c>
      <c r="CE17" s="32">
        <f t="shared" si="69"/>
        <v>391768.95</v>
      </c>
      <c r="CF17" s="32">
        <f t="shared" si="69"/>
        <v>11367.321244</v>
      </c>
      <c r="CG17" s="32">
        <f t="shared" si="69"/>
        <v>11252.41640435</v>
      </c>
      <c r="CH17" s="32">
        <f t="shared" si="69"/>
        <v>415066.52</v>
      </c>
      <c r="CI17" s="32">
        <f t="shared" si="69"/>
        <v>399823.07</v>
      </c>
      <c r="CJ17" s="32">
        <f t="shared" si="69"/>
        <v>12021.718294</v>
      </c>
      <c r="CK17" s="32">
        <f t="shared" si="69"/>
        <v>11457.97514974</v>
      </c>
      <c r="CL17" s="32">
        <f t="shared" si="69"/>
        <v>422916.52</v>
      </c>
      <c r="CM17" s="32">
        <f t="shared" si="69"/>
        <v>421646.58</v>
      </c>
      <c r="CN17" s="32">
        <f t="shared" si="69"/>
        <v>12312.278294</v>
      </c>
      <c r="CO17" s="32">
        <f t="shared" si="69"/>
        <v>12004.45789691</v>
      </c>
      <c r="CP17" s="32">
        <f t="shared" si="69"/>
        <v>369128.22</v>
      </c>
      <c r="CQ17" s="32">
        <f t="shared" si="69"/>
        <v>304353.51</v>
      </c>
      <c r="CR17" s="32">
        <f t="shared" si="69"/>
        <v>10367.639694</v>
      </c>
      <c r="CS17" s="32">
        <f t="shared" si="69"/>
        <v>8875.0731616</v>
      </c>
      <c r="CT17" s="32">
        <f t="shared" si="69"/>
        <v>360271.22</v>
      </c>
      <c r="CU17" s="32">
        <f t="shared" si="69"/>
        <v>303529.53</v>
      </c>
      <c r="CV17" s="32">
        <f t="shared" si="69"/>
        <v>10123.359694</v>
      </c>
      <c r="CW17" s="32">
        <f t="shared" si="69"/>
        <v>8870.30763963</v>
      </c>
      <c r="CX17" s="32">
        <f t="shared" si="69"/>
        <v>368165.09</v>
      </c>
      <c r="CY17" s="32">
        <f t="shared" ref="CY17:EC17" si="70">CY3+CY4+CY5+CY6+CY7+CY8+CY9+CY10+CY11+CY12+CY13+CY14+CY15+CY16</f>
        <v>297629.78</v>
      </c>
      <c r="CZ17" s="32">
        <f t="shared" si="70"/>
        <v>10398.621244</v>
      </c>
      <c r="DA17" s="32">
        <f t="shared" si="70"/>
        <v>8697.36726664</v>
      </c>
      <c r="DB17" s="32">
        <f t="shared" si="70"/>
        <v>355067.09</v>
      </c>
      <c r="DC17" s="32">
        <f t="shared" si="70"/>
        <v>287824.08</v>
      </c>
      <c r="DD17" s="32">
        <f t="shared" si="70"/>
        <v>9925.191244</v>
      </c>
      <c r="DE17" s="32">
        <f t="shared" si="70"/>
        <v>8405.41768001</v>
      </c>
      <c r="DF17" s="32">
        <f t="shared" si="70"/>
        <v>349599.09</v>
      </c>
      <c r="DG17" s="32">
        <f t="shared" si="70"/>
        <v>276356.46</v>
      </c>
      <c r="DH17" s="32">
        <f t="shared" si="70"/>
        <v>9738.811244</v>
      </c>
      <c r="DI17" s="32">
        <f t="shared" si="70"/>
        <v>7998.28509345</v>
      </c>
      <c r="DJ17" s="32">
        <f t="shared" si="70"/>
        <v>361225.52</v>
      </c>
      <c r="DK17" s="32">
        <f t="shared" si="70"/>
        <v>293912.61</v>
      </c>
      <c r="DL17" s="32">
        <f t="shared" si="70"/>
        <v>10197.588294</v>
      </c>
      <c r="DM17" s="32">
        <f t="shared" si="70"/>
        <v>8760.48419658</v>
      </c>
      <c r="DN17" s="32">
        <f t="shared" si="70"/>
        <v>361259.52</v>
      </c>
      <c r="DO17" s="32">
        <f t="shared" si="70"/>
        <v>0</v>
      </c>
      <c r="DP17" s="32">
        <f t="shared" si="70"/>
        <v>10193.558294</v>
      </c>
      <c r="DQ17" s="32">
        <f t="shared" si="70"/>
        <v>0</v>
      </c>
      <c r="DR17" s="32">
        <f t="shared" si="70"/>
        <v>332881.22</v>
      </c>
      <c r="DS17" s="32">
        <f t="shared" si="70"/>
        <v>0</v>
      </c>
      <c r="DT17" s="32">
        <f t="shared" si="70"/>
        <v>9201.239694</v>
      </c>
      <c r="DU17" s="32">
        <f t="shared" si="70"/>
        <v>0</v>
      </c>
      <c r="DV17" s="32">
        <f t="shared" si="70"/>
        <v>331650.22</v>
      </c>
      <c r="DW17" s="32">
        <f t="shared" si="70"/>
        <v>0</v>
      </c>
      <c r="DX17" s="32">
        <f t="shared" si="70"/>
        <v>9151.82638</v>
      </c>
      <c r="DY17" s="32">
        <f t="shared" si="70"/>
        <v>0</v>
      </c>
      <c r="DZ17" s="32">
        <f t="shared" si="70"/>
        <v>12250000.96</v>
      </c>
      <c r="EA17" s="32">
        <f t="shared" si="70"/>
        <v>11052462.44</v>
      </c>
      <c r="EB17" s="32">
        <f t="shared" si="70"/>
        <v>350621.4732</v>
      </c>
      <c r="EC17" s="32">
        <f t="shared" si="70"/>
        <v>320370.73193904</v>
      </c>
    </row>
    <row r="18" s="2" customFormat="1" spans="1:136">
      <c r="A18" s="5"/>
      <c r="B18" s="21" t="s">
        <v>159</v>
      </c>
      <c r="C18" s="21"/>
      <c r="D18" s="21"/>
      <c r="E18" s="21">
        <v>1500</v>
      </c>
      <c r="F18" s="9"/>
      <c r="G18" s="9"/>
      <c r="H18" s="9">
        <v>48</v>
      </c>
      <c r="I18" s="9">
        <v>0</v>
      </c>
      <c r="J18" s="9"/>
      <c r="K18" s="9"/>
      <c r="L18" s="9">
        <v>48</v>
      </c>
      <c r="M18" s="9">
        <v>0</v>
      </c>
      <c r="N18" s="9"/>
      <c r="O18" s="9"/>
      <c r="P18" s="9">
        <v>48</v>
      </c>
      <c r="Q18" s="9">
        <v>0</v>
      </c>
      <c r="R18" s="9"/>
      <c r="S18" s="9"/>
      <c r="T18" s="9">
        <v>48</v>
      </c>
      <c r="U18" s="9">
        <v>0</v>
      </c>
      <c r="V18" s="9"/>
      <c r="W18" s="9"/>
      <c r="X18" s="9">
        <v>48</v>
      </c>
      <c r="Y18" s="9">
        <v>0</v>
      </c>
      <c r="Z18" s="9"/>
      <c r="AA18" s="9"/>
      <c r="AB18" s="9">
        <v>48</v>
      </c>
      <c r="AC18" s="9">
        <v>0</v>
      </c>
      <c r="AD18" s="9"/>
      <c r="AE18" s="9"/>
      <c r="AF18" s="9">
        <v>48</v>
      </c>
      <c r="AG18" s="9">
        <v>0</v>
      </c>
      <c r="AH18" s="9"/>
      <c r="AI18" s="9"/>
      <c r="AJ18" s="9">
        <v>48</v>
      </c>
      <c r="AK18" s="9">
        <v>0</v>
      </c>
      <c r="AL18" s="9"/>
      <c r="AM18" s="9"/>
      <c r="AN18" s="9">
        <v>48</v>
      </c>
      <c r="AO18" s="9">
        <v>0</v>
      </c>
      <c r="AP18" s="9"/>
      <c r="AQ18" s="9"/>
      <c r="AR18" s="9">
        <v>48</v>
      </c>
      <c r="AS18" s="9">
        <v>0</v>
      </c>
      <c r="AT18" s="9"/>
      <c r="AU18" s="9"/>
      <c r="AV18" s="9">
        <v>48</v>
      </c>
      <c r="AW18" s="9">
        <v>0</v>
      </c>
      <c r="AX18" s="9"/>
      <c r="AY18" s="9"/>
      <c r="AZ18" s="9">
        <v>48</v>
      </c>
      <c r="BA18" s="9">
        <v>0</v>
      </c>
      <c r="BB18" s="9"/>
      <c r="BC18" s="9"/>
      <c r="BD18" s="9">
        <v>48</v>
      </c>
      <c r="BE18" s="9">
        <v>0</v>
      </c>
      <c r="BF18" s="9"/>
      <c r="BG18" s="9"/>
      <c r="BH18" s="9">
        <v>48</v>
      </c>
      <c r="BI18" s="9">
        <v>0</v>
      </c>
      <c r="BJ18" s="9"/>
      <c r="BK18" s="9"/>
      <c r="BL18" s="9">
        <v>48</v>
      </c>
      <c r="BM18" s="9">
        <v>0</v>
      </c>
      <c r="BN18" s="9"/>
      <c r="BO18" s="9"/>
      <c r="BP18" s="9">
        <v>48</v>
      </c>
      <c r="BQ18" s="9">
        <v>0</v>
      </c>
      <c r="BR18" s="9"/>
      <c r="BS18" s="9"/>
      <c r="BT18" s="9">
        <v>48</v>
      </c>
      <c r="BU18" s="9">
        <v>0</v>
      </c>
      <c r="BV18" s="9"/>
      <c r="BW18" s="9"/>
      <c r="BX18" s="9">
        <v>48</v>
      </c>
      <c r="BY18" s="9">
        <v>0</v>
      </c>
      <c r="BZ18" s="9"/>
      <c r="CA18" s="9"/>
      <c r="CB18" s="9">
        <v>48</v>
      </c>
      <c r="CC18" s="9">
        <v>50</v>
      </c>
      <c r="CD18" s="9"/>
      <c r="CE18" s="9"/>
      <c r="CF18" s="9">
        <v>48</v>
      </c>
      <c r="CG18" s="9">
        <v>0</v>
      </c>
      <c r="CH18" s="9"/>
      <c r="CI18" s="9"/>
      <c r="CJ18" s="9">
        <v>48</v>
      </c>
      <c r="CK18" s="9">
        <v>0</v>
      </c>
      <c r="CL18" s="9"/>
      <c r="CM18" s="9"/>
      <c r="CN18" s="9">
        <v>48</v>
      </c>
      <c r="CO18" s="9">
        <v>0</v>
      </c>
      <c r="CP18" s="9"/>
      <c r="CQ18" s="9"/>
      <c r="CR18" s="9">
        <v>48</v>
      </c>
      <c r="CS18" s="9">
        <v>0</v>
      </c>
      <c r="CT18" s="9"/>
      <c r="CU18" s="9"/>
      <c r="CV18" s="9">
        <v>48</v>
      </c>
      <c r="CW18" s="9">
        <v>0</v>
      </c>
      <c r="CX18" s="9"/>
      <c r="CY18" s="9"/>
      <c r="CZ18" s="9">
        <v>48</v>
      </c>
      <c r="DA18" s="9">
        <v>0</v>
      </c>
      <c r="DB18" s="9"/>
      <c r="DC18" s="9"/>
      <c r="DD18" s="9">
        <v>48</v>
      </c>
      <c r="DE18" s="9">
        <v>0</v>
      </c>
      <c r="DF18" s="9"/>
      <c r="DG18" s="9"/>
      <c r="DH18" s="9">
        <v>48</v>
      </c>
      <c r="DI18" s="9">
        <v>0</v>
      </c>
      <c r="DJ18" s="9"/>
      <c r="DK18" s="9"/>
      <c r="DL18" s="9">
        <v>48</v>
      </c>
      <c r="DM18" s="9">
        <v>0</v>
      </c>
      <c r="DN18" s="9"/>
      <c r="DO18" s="9"/>
      <c r="DP18" s="9">
        <v>48</v>
      </c>
      <c r="DQ18" s="9"/>
      <c r="DR18" s="9"/>
      <c r="DS18" s="9"/>
      <c r="DT18" s="9">
        <v>48</v>
      </c>
      <c r="DU18" s="9"/>
      <c r="DV18" s="9"/>
      <c r="DW18" s="9"/>
      <c r="DX18" s="9">
        <v>60</v>
      </c>
      <c r="DY18" s="9"/>
      <c r="DZ18" s="9"/>
      <c r="EA18" s="9"/>
      <c r="EB18" s="9">
        <f>H18+L18+P18+T18+X18+AB18+AF18+AJ18+AN18+AR18+AV18+AZ18+BD18+BH18+BL18+BP18+BT18+BX18+CB18+CF18+CJ18+CN18+CR18+CV18+CZ18+DD18+DH18+DL18+DP18+DT18+DX18</f>
        <v>1500</v>
      </c>
      <c r="EC18" s="9">
        <f t="shared" ref="EC18:EC24" si="71">I18+M18+Q18+U18+Y18+AC18+AG18+AK18+AO18+AS18+AW18+BA18+BE18+BI18+BM18+BQ18+BU18+BY18+CC18+CG18+CK18+CO18+CS18+CW18+DA18+DE18+DI18+DM18+DQ18+DU18+DY18</f>
        <v>50</v>
      </c>
      <c r="ED18" s="4"/>
      <c r="EE18" s="4"/>
      <c r="EF18" s="4"/>
    </row>
    <row r="19" s="2" customFormat="1" spans="1:136">
      <c r="A19" s="5"/>
      <c r="B19" s="27" t="s">
        <v>160</v>
      </c>
      <c r="C19" s="27"/>
      <c r="D19" s="27"/>
      <c r="E19" s="27">
        <v>0</v>
      </c>
      <c r="F19" s="9"/>
      <c r="G19" s="9"/>
      <c r="H19" s="9">
        <v>0</v>
      </c>
      <c r="I19" s="9">
        <v>0</v>
      </c>
      <c r="J19" s="9"/>
      <c r="K19" s="9"/>
      <c r="L19" s="9">
        <v>0</v>
      </c>
      <c r="M19" s="9">
        <v>0</v>
      </c>
      <c r="N19" s="9"/>
      <c r="O19" s="9"/>
      <c r="P19" s="9">
        <v>0</v>
      </c>
      <c r="Q19" s="9">
        <v>0</v>
      </c>
      <c r="R19" s="9"/>
      <c r="S19" s="9"/>
      <c r="T19" s="9">
        <v>0</v>
      </c>
      <c r="U19" s="9">
        <v>0</v>
      </c>
      <c r="V19" s="9"/>
      <c r="W19" s="9"/>
      <c r="X19" s="9">
        <v>0</v>
      </c>
      <c r="Y19" s="9">
        <v>0</v>
      </c>
      <c r="Z19" s="9"/>
      <c r="AA19" s="9"/>
      <c r="AB19" s="9">
        <v>0</v>
      </c>
      <c r="AC19" s="9">
        <v>0</v>
      </c>
      <c r="AD19" s="9"/>
      <c r="AE19" s="9"/>
      <c r="AF19" s="9">
        <v>0</v>
      </c>
      <c r="AG19" s="9">
        <v>0</v>
      </c>
      <c r="AH19" s="9"/>
      <c r="AI19" s="9"/>
      <c r="AJ19" s="9">
        <v>0</v>
      </c>
      <c r="AK19" s="9">
        <v>0</v>
      </c>
      <c r="AL19" s="9"/>
      <c r="AM19" s="9"/>
      <c r="AN19" s="9">
        <v>0</v>
      </c>
      <c r="AO19" s="9">
        <v>0</v>
      </c>
      <c r="AP19" s="9"/>
      <c r="AQ19" s="9"/>
      <c r="AR19" s="9">
        <v>0</v>
      </c>
      <c r="AS19" s="9">
        <v>0</v>
      </c>
      <c r="AT19" s="9"/>
      <c r="AU19" s="9"/>
      <c r="AV19" s="9">
        <v>0</v>
      </c>
      <c r="AW19" s="9">
        <v>0</v>
      </c>
      <c r="AX19" s="9"/>
      <c r="AY19" s="9"/>
      <c r="AZ19" s="9">
        <v>0</v>
      </c>
      <c r="BA19" s="9">
        <v>0</v>
      </c>
      <c r="BB19" s="9"/>
      <c r="BC19" s="9"/>
      <c r="BD19" s="9">
        <v>0</v>
      </c>
      <c r="BE19" s="9">
        <v>0</v>
      </c>
      <c r="BF19" s="9"/>
      <c r="BG19" s="9"/>
      <c r="BH19" s="9">
        <v>0</v>
      </c>
      <c r="BI19" s="9">
        <v>0</v>
      </c>
      <c r="BJ19" s="9"/>
      <c r="BK19" s="9"/>
      <c r="BL19" s="9">
        <v>0</v>
      </c>
      <c r="BM19" s="9">
        <v>0</v>
      </c>
      <c r="BN19" s="9"/>
      <c r="BO19" s="9"/>
      <c r="BP19" s="9">
        <v>0</v>
      </c>
      <c r="BQ19" s="9">
        <v>0</v>
      </c>
      <c r="BR19" s="9"/>
      <c r="BS19" s="9"/>
      <c r="BT19" s="9">
        <v>0</v>
      </c>
      <c r="BU19" s="9">
        <v>0</v>
      </c>
      <c r="BV19" s="9"/>
      <c r="BW19" s="9"/>
      <c r="BX19" s="9">
        <v>0</v>
      </c>
      <c r="BY19" s="9">
        <v>0</v>
      </c>
      <c r="BZ19" s="9"/>
      <c r="CA19" s="9"/>
      <c r="CB19" s="9">
        <v>0</v>
      </c>
      <c r="CC19" s="9">
        <v>0</v>
      </c>
      <c r="CD19" s="9"/>
      <c r="CE19" s="9"/>
      <c r="CF19" s="9">
        <v>0</v>
      </c>
      <c r="CG19" s="9">
        <v>0</v>
      </c>
      <c r="CH19" s="9"/>
      <c r="CI19" s="9"/>
      <c r="CJ19" s="9">
        <v>0</v>
      </c>
      <c r="CK19" s="9">
        <v>0</v>
      </c>
      <c r="CL19" s="9"/>
      <c r="CM19" s="9"/>
      <c r="CN19" s="9">
        <v>0</v>
      </c>
      <c r="CO19" s="9">
        <v>0</v>
      </c>
      <c r="CP19" s="9"/>
      <c r="CQ19" s="9"/>
      <c r="CR19" s="9">
        <v>0</v>
      </c>
      <c r="CS19" s="9">
        <v>0</v>
      </c>
      <c r="CT19" s="9"/>
      <c r="CU19" s="9"/>
      <c r="CV19" s="9">
        <v>0</v>
      </c>
      <c r="CW19" s="9">
        <v>203</v>
      </c>
      <c r="CX19" s="9"/>
      <c r="CY19" s="9"/>
      <c r="CZ19" s="9">
        <v>0</v>
      </c>
      <c r="DA19" s="9">
        <v>764</v>
      </c>
      <c r="DB19" s="9"/>
      <c r="DC19" s="9"/>
      <c r="DD19" s="9">
        <v>0</v>
      </c>
      <c r="DE19" s="9">
        <v>0</v>
      </c>
      <c r="DF19" s="9"/>
      <c r="DG19" s="9"/>
      <c r="DH19" s="9">
        <v>0</v>
      </c>
      <c r="DI19" s="9">
        <v>0</v>
      </c>
      <c r="DJ19" s="9"/>
      <c r="DK19" s="9"/>
      <c r="DL19" s="9">
        <v>0</v>
      </c>
      <c r="DM19" s="9">
        <v>0</v>
      </c>
      <c r="DN19" s="9"/>
      <c r="DO19" s="9"/>
      <c r="DP19" s="9">
        <v>0</v>
      </c>
      <c r="DQ19" s="9"/>
      <c r="DR19" s="9"/>
      <c r="DS19" s="9"/>
      <c r="DT19" s="9">
        <v>0</v>
      </c>
      <c r="DU19" s="9"/>
      <c r="DV19" s="9"/>
      <c r="DW19" s="9"/>
      <c r="DX19" s="9">
        <v>0</v>
      </c>
      <c r="DY19" s="9"/>
      <c r="DZ19" s="9"/>
      <c r="EA19" s="9"/>
      <c r="EB19" s="9">
        <f t="shared" ref="EB18:EB24" si="72">H19+L19+P19+T19+X19+AB19+AF19+AJ19+AN19+AR19+AV19+AZ19+BD19+BH19+BL19+BP19+BT19+BX19+CB19+CF19+CJ19+CN19+CR19+CV19+CZ19+DD19+DH19+DL19+DP19+DT19+DX19</f>
        <v>0</v>
      </c>
      <c r="EC19" s="9">
        <f t="shared" si="71"/>
        <v>967</v>
      </c>
      <c r="ED19" s="4"/>
      <c r="EE19" s="4"/>
      <c r="EF19" s="4"/>
    </row>
    <row r="20" s="2" customFormat="1" spans="1:136">
      <c r="A20" s="5"/>
      <c r="B20" s="27" t="s">
        <v>161</v>
      </c>
      <c r="C20" s="27"/>
      <c r="D20" s="27"/>
      <c r="E20" s="27">
        <v>1500</v>
      </c>
      <c r="F20" s="9"/>
      <c r="G20" s="9"/>
      <c r="H20" s="9">
        <v>48</v>
      </c>
      <c r="I20" s="9">
        <v>0</v>
      </c>
      <c r="J20" s="9"/>
      <c r="K20" s="9"/>
      <c r="L20" s="9">
        <v>48</v>
      </c>
      <c r="M20" s="9">
        <v>0</v>
      </c>
      <c r="N20" s="9"/>
      <c r="O20" s="9"/>
      <c r="P20" s="9">
        <v>48</v>
      </c>
      <c r="Q20" s="9">
        <v>0</v>
      </c>
      <c r="R20" s="9"/>
      <c r="S20" s="9"/>
      <c r="T20" s="9">
        <v>48</v>
      </c>
      <c r="U20" s="9">
        <v>0</v>
      </c>
      <c r="V20" s="9"/>
      <c r="W20" s="9"/>
      <c r="X20" s="9">
        <v>48</v>
      </c>
      <c r="Y20" s="9">
        <v>0</v>
      </c>
      <c r="Z20" s="9"/>
      <c r="AA20" s="9"/>
      <c r="AB20" s="9">
        <v>48</v>
      </c>
      <c r="AC20" s="9">
        <v>0</v>
      </c>
      <c r="AD20" s="9"/>
      <c r="AE20" s="9"/>
      <c r="AF20" s="9">
        <v>48</v>
      </c>
      <c r="AG20" s="9">
        <v>0</v>
      </c>
      <c r="AH20" s="9"/>
      <c r="AI20" s="9"/>
      <c r="AJ20" s="9">
        <v>48</v>
      </c>
      <c r="AK20" s="9">
        <v>0</v>
      </c>
      <c r="AL20" s="9"/>
      <c r="AM20" s="9"/>
      <c r="AN20" s="9">
        <v>48</v>
      </c>
      <c r="AO20" s="9">
        <v>0</v>
      </c>
      <c r="AP20" s="9"/>
      <c r="AQ20" s="9"/>
      <c r="AR20" s="9">
        <v>48</v>
      </c>
      <c r="AS20" s="9">
        <v>0</v>
      </c>
      <c r="AT20" s="9"/>
      <c r="AU20" s="9"/>
      <c r="AV20" s="9">
        <v>48</v>
      </c>
      <c r="AW20" s="9">
        <v>0</v>
      </c>
      <c r="AX20" s="9"/>
      <c r="AY20" s="9"/>
      <c r="AZ20" s="9">
        <v>48</v>
      </c>
      <c r="BA20" s="9">
        <v>0</v>
      </c>
      <c r="BB20" s="9"/>
      <c r="BC20" s="9"/>
      <c r="BD20" s="9">
        <v>48</v>
      </c>
      <c r="BE20" s="9">
        <v>0</v>
      </c>
      <c r="BF20" s="9"/>
      <c r="BG20" s="9"/>
      <c r="BH20" s="9">
        <v>48</v>
      </c>
      <c r="BI20" s="9">
        <v>0</v>
      </c>
      <c r="BJ20" s="9"/>
      <c r="BK20" s="9"/>
      <c r="BL20" s="9">
        <v>48</v>
      </c>
      <c r="BM20" s="9">
        <v>0</v>
      </c>
      <c r="BN20" s="9"/>
      <c r="BO20" s="9"/>
      <c r="BP20" s="9">
        <v>48</v>
      </c>
      <c r="BQ20" s="9">
        <v>0</v>
      </c>
      <c r="BR20" s="9"/>
      <c r="BS20" s="9"/>
      <c r="BT20" s="9">
        <v>48</v>
      </c>
      <c r="BU20" s="9">
        <v>0</v>
      </c>
      <c r="BV20" s="9"/>
      <c r="BW20" s="9"/>
      <c r="BX20" s="9">
        <v>48</v>
      </c>
      <c r="BY20" s="9">
        <v>0</v>
      </c>
      <c r="BZ20" s="9"/>
      <c r="CA20" s="9"/>
      <c r="CB20" s="9">
        <v>48</v>
      </c>
      <c r="CC20" s="9">
        <v>0</v>
      </c>
      <c r="CD20" s="9"/>
      <c r="CE20" s="9"/>
      <c r="CF20" s="9">
        <v>48</v>
      </c>
      <c r="CG20" s="9">
        <v>0</v>
      </c>
      <c r="CH20" s="9"/>
      <c r="CI20" s="9"/>
      <c r="CJ20" s="9">
        <v>48</v>
      </c>
      <c r="CK20" s="9">
        <v>0</v>
      </c>
      <c r="CL20" s="9"/>
      <c r="CM20" s="9"/>
      <c r="CN20" s="9">
        <v>48</v>
      </c>
      <c r="CO20" s="9">
        <v>0</v>
      </c>
      <c r="CP20" s="9"/>
      <c r="CQ20" s="9"/>
      <c r="CR20" s="9">
        <v>48</v>
      </c>
      <c r="CS20" s="9">
        <v>0</v>
      </c>
      <c r="CT20" s="9"/>
      <c r="CU20" s="9"/>
      <c r="CV20" s="9">
        <v>48</v>
      </c>
      <c r="CW20" s="9">
        <v>430</v>
      </c>
      <c r="CX20" s="9"/>
      <c r="CY20" s="9"/>
      <c r="CZ20" s="9">
        <v>48</v>
      </c>
      <c r="DA20" s="9">
        <v>308.9</v>
      </c>
      <c r="DB20" s="9"/>
      <c r="DC20" s="9"/>
      <c r="DD20" s="9">
        <v>48</v>
      </c>
      <c r="DE20" s="9">
        <v>0</v>
      </c>
      <c r="DF20" s="9"/>
      <c r="DG20" s="9"/>
      <c r="DH20" s="9">
        <v>48</v>
      </c>
      <c r="DI20" s="9">
        <v>0</v>
      </c>
      <c r="DJ20" s="9"/>
      <c r="DK20" s="9"/>
      <c r="DL20" s="9">
        <v>48</v>
      </c>
      <c r="DM20" s="9">
        <v>0</v>
      </c>
      <c r="DN20" s="9"/>
      <c r="DO20" s="9"/>
      <c r="DP20" s="9">
        <v>48</v>
      </c>
      <c r="DQ20" s="9"/>
      <c r="DR20" s="9"/>
      <c r="DS20" s="9"/>
      <c r="DT20" s="9">
        <v>48</v>
      </c>
      <c r="DU20" s="9"/>
      <c r="DV20" s="9"/>
      <c r="DW20" s="9"/>
      <c r="DX20" s="9">
        <v>60</v>
      </c>
      <c r="DY20" s="9"/>
      <c r="DZ20" s="9"/>
      <c r="EA20" s="9"/>
      <c r="EB20" s="9">
        <f t="shared" si="72"/>
        <v>1500</v>
      </c>
      <c r="EC20" s="9">
        <f t="shared" si="71"/>
        <v>738.9</v>
      </c>
      <c r="ED20" s="4"/>
      <c r="EE20" s="4"/>
      <c r="EF20" s="4"/>
    </row>
    <row r="21" s="2" customFormat="1" spans="1:136">
      <c r="A21" s="5"/>
      <c r="B21" s="27" t="s">
        <v>162</v>
      </c>
      <c r="C21" s="27"/>
      <c r="D21" s="27"/>
      <c r="E21" s="27">
        <v>2473.8</v>
      </c>
      <c r="F21" s="9"/>
      <c r="G21" s="9"/>
      <c r="H21" s="9">
        <v>79.8</v>
      </c>
      <c r="I21" s="9">
        <v>79.8</v>
      </c>
      <c r="J21" s="9"/>
      <c r="K21" s="9"/>
      <c r="L21" s="9">
        <v>79.8</v>
      </c>
      <c r="M21" s="9">
        <v>79.8</v>
      </c>
      <c r="N21" s="9"/>
      <c r="O21" s="9"/>
      <c r="P21" s="9">
        <v>79.8</v>
      </c>
      <c r="Q21" s="9">
        <v>79.8</v>
      </c>
      <c r="R21" s="9"/>
      <c r="S21" s="9"/>
      <c r="T21" s="9">
        <v>79.8</v>
      </c>
      <c r="U21" s="9">
        <v>79.8</v>
      </c>
      <c r="V21" s="9"/>
      <c r="W21" s="9"/>
      <c r="X21" s="9">
        <v>79.8</v>
      </c>
      <c r="Y21" s="9">
        <v>79.8</v>
      </c>
      <c r="Z21" s="9"/>
      <c r="AA21" s="9"/>
      <c r="AB21" s="9">
        <v>79.8</v>
      </c>
      <c r="AC21" s="9">
        <v>79.8</v>
      </c>
      <c r="AD21" s="9"/>
      <c r="AE21" s="9"/>
      <c r="AF21" s="9">
        <v>79.8</v>
      </c>
      <c r="AG21" s="9">
        <v>79.8</v>
      </c>
      <c r="AH21" s="9"/>
      <c r="AI21" s="9"/>
      <c r="AJ21" s="9">
        <v>79.8</v>
      </c>
      <c r="AK21" s="9">
        <v>79.8</v>
      </c>
      <c r="AL21" s="9"/>
      <c r="AM21" s="9"/>
      <c r="AN21" s="9">
        <v>79.8</v>
      </c>
      <c r="AO21" s="9">
        <v>79.8</v>
      </c>
      <c r="AP21" s="9"/>
      <c r="AQ21" s="9"/>
      <c r="AR21" s="9">
        <v>79.8</v>
      </c>
      <c r="AS21" s="9">
        <v>79.8</v>
      </c>
      <c r="AT21" s="9"/>
      <c r="AU21" s="9"/>
      <c r="AV21" s="9">
        <v>79.8</v>
      </c>
      <c r="AW21" s="9">
        <v>79.8</v>
      </c>
      <c r="AX21" s="9"/>
      <c r="AY21" s="9"/>
      <c r="AZ21" s="9">
        <v>79.8</v>
      </c>
      <c r="BA21" s="9">
        <v>79.8</v>
      </c>
      <c r="BB21" s="9"/>
      <c r="BC21" s="9"/>
      <c r="BD21" s="9">
        <v>79.8</v>
      </c>
      <c r="BE21" s="9">
        <v>79.8</v>
      </c>
      <c r="BF21" s="9"/>
      <c r="BG21" s="9"/>
      <c r="BH21" s="9">
        <v>79.8</v>
      </c>
      <c r="BI21" s="9">
        <v>79.8</v>
      </c>
      <c r="BJ21" s="9"/>
      <c r="BK21" s="9"/>
      <c r="BL21" s="9">
        <v>79.8</v>
      </c>
      <c r="BM21" s="9">
        <v>79.8</v>
      </c>
      <c r="BN21" s="9"/>
      <c r="BO21" s="9"/>
      <c r="BP21" s="9">
        <v>79.8</v>
      </c>
      <c r="BQ21" s="9">
        <v>79.8</v>
      </c>
      <c r="BR21" s="9"/>
      <c r="BS21" s="9"/>
      <c r="BT21" s="9">
        <v>79.8</v>
      </c>
      <c r="BU21" s="9">
        <v>79.8</v>
      </c>
      <c r="BV21" s="9"/>
      <c r="BW21" s="9"/>
      <c r="BX21" s="9">
        <v>79.8</v>
      </c>
      <c r="BY21" s="9">
        <v>79.8</v>
      </c>
      <c r="BZ21" s="9"/>
      <c r="CA21" s="9"/>
      <c r="CB21" s="9">
        <v>79.8</v>
      </c>
      <c r="CC21" s="9">
        <v>79.8</v>
      </c>
      <c r="CD21" s="9"/>
      <c r="CE21" s="9"/>
      <c r="CF21" s="9">
        <v>79.8</v>
      </c>
      <c r="CG21" s="9">
        <v>79.8</v>
      </c>
      <c r="CH21" s="9"/>
      <c r="CI21" s="9"/>
      <c r="CJ21" s="9">
        <v>79.8</v>
      </c>
      <c r="CK21" s="9">
        <v>79.8</v>
      </c>
      <c r="CL21" s="9"/>
      <c r="CM21" s="9"/>
      <c r="CN21" s="9">
        <v>79.8</v>
      </c>
      <c r="CO21" s="9">
        <v>79.8</v>
      </c>
      <c r="CP21" s="9"/>
      <c r="CQ21" s="9"/>
      <c r="CR21" s="9">
        <v>79.8</v>
      </c>
      <c r="CS21" s="9">
        <v>79.8</v>
      </c>
      <c r="CT21" s="9"/>
      <c r="CU21" s="9"/>
      <c r="CV21" s="9">
        <v>79.8</v>
      </c>
      <c r="CW21" s="9">
        <v>79.8</v>
      </c>
      <c r="CX21" s="9"/>
      <c r="CY21" s="9"/>
      <c r="CZ21" s="9">
        <v>79.8</v>
      </c>
      <c r="DA21" s="9">
        <v>79.8</v>
      </c>
      <c r="DB21" s="9"/>
      <c r="DC21" s="9"/>
      <c r="DD21" s="9">
        <v>79.8</v>
      </c>
      <c r="DE21" s="9">
        <v>79.8</v>
      </c>
      <c r="DF21" s="9"/>
      <c r="DG21" s="9"/>
      <c r="DH21" s="9">
        <v>79.8</v>
      </c>
      <c r="DI21" s="9">
        <v>79.8</v>
      </c>
      <c r="DJ21" s="9"/>
      <c r="DK21" s="9"/>
      <c r="DL21" s="9">
        <v>79.8</v>
      </c>
      <c r="DM21" s="9">
        <v>79.8</v>
      </c>
      <c r="DN21" s="9"/>
      <c r="DO21" s="9"/>
      <c r="DP21" s="9">
        <v>79.8</v>
      </c>
      <c r="DQ21" s="9"/>
      <c r="DR21" s="9"/>
      <c r="DS21" s="9"/>
      <c r="DT21" s="9">
        <v>79.8</v>
      </c>
      <c r="DU21" s="9"/>
      <c r="DV21" s="9"/>
      <c r="DW21" s="9"/>
      <c r="DX21" s="9">
        <v>79.8</v>
      </c>
      <c r="DY21" s="9"/>
      <c r="DZ21" s="9"/>
      <c r="EA21" s="9"/>
      <c r="EB21" s="9">
        <f t="shared" si="72"/>
        <v>2473.8</v>
      </c>
      <c r="EC21" s="9">
        <f t="shared" si="71"/>
        <v>2234.4</v>
      </c>
      <c r="ED21" s="4"/>
      <c r="EE21" s="4"/>
      <c r="EF21" s="4"/>
    </row>
    <row r="22" s="2" customFormat="1" spans="1:136">
      <c r="A22" s="5"/>
      <c r="B22" s="27" t="s">
        <v>163</v>
      </c>
      <c r="C22" s="27"/>
      <c r="D22" s="27"/>
      <c r="E22" s="27">
        <v>0</v>
      </c>
      <c r="F22" s="9"/>
      <c r="G22" s="9"/>
      <c r="H22" s="9">
        <v>0</v>
      </c>
      <c r="I22" s="9">
        <v>0</v>
      </c>
      <c r="J22" s="9"/>
      <c r="K22" s="9"/>
      <c r="L22" s="9">
        <v>0</v>
      </c>
      <c r="M22" s="9">
        <v>0</v>
      </c>
      <c r="N22" s="9"/>
      <c r="O22" s="9"/>
      <c r="P22" s="9">
        <v>0</v>
      </c>
      <c r="Q22" s="9">
        <v>0</v>
      </c>
      <c r="R22" s="9"/>
      <c r="S22" s="9"/>
      <c r="T22" s="9">
        <v>0</v>
      </c>
      <c r="U22" s="9">
        <v>0</v>
      </c>
      <c r="V22" s="9"/>
      <c r="W22" s="9"/>
      <c r="X22" s="9">
        <v>0</v>
      </c>
      <c r="Y22" s="9">
        <v>0</v>
      </c>
      <c r="Z22" s="9"/>
      <c r="AA22" s="9"/>
      <c r="AB22" s="9">
        <v>0</v>
      </c>
      <c r="AC22" s="9">
        <v>0</v>
      </c>
      <c r="AD22" s="9"/>
      <c r="AE22" s="9"/>
      <c r="AF22" s="9">
        <v>0</v>
      </c>
      <c r="AG22" s="9">
        <v>0</v>
      </c>
      <c r="AH22" s="9"/>
      <c r="AI22" s="9"/>
      <c r="AJ22" s="9">
        <v>0</v>
      </c>
      <c r="AK22" s="9">
        <v>0</v>
      </c>
      <c r="AL22" s="9"/>
      <c r="AM22" s="9"/>
      <c r="AN22" s="9">
        <v>0</v>
      </c>
      <c r="AO22" s="9">
        <v>0</v>
      </c>
      <c r="AP22" s="9"/>
      <c r="AQ22" s="9"/>
      <c r="AR22" s="9">
        <v>0</v>
      </c>
      <c r="AS22" s="9">
        <v>0</v>
      </c>
      <c r="AT22" s="9"/>
      <c r="AU22" s="9"/>
      <c r="AV22" s="9">
        <v>0</v>
      </c>
      <c r="AW22" s="9">
        <v>0</v>
      </c>
      <c r="AX22" s="9"/>
      <c r="AY22" s="9"/>
      <c r="AZ22" s="9">
        <v>0</v>
      </c>
      <c r="BA22" s="9">
        <v>0</v>
      </c>
      <c r="BB22" s="9"/>
      <c r="BC22" s="9"/>
      <c r="BD22" s="9">
        <v>0</v>
      </c>
      <c r="BE22" s="9">
        <v>0</v>
      </c>
      <c r="BF22" s="9"/>
      <c r="BG22" s="9"/>
      <c r="BH22" s="9">
        <v>0</v>
      </c>
      <c r="BI22" s="9">
        <v>0</v>
      </c>
      <c r="BJ22" s="9"/>
      <c r="BK22" s="9"/>
      <c r="BL22" s="9">
        <v>0</v>
      </c>
      <c r="BM22" s="9">
        <v>0</v>
      </c>
      <c r="BN22" s="9"/>
      <c r="BO22" s="9"/>
      <c r="BP22" s="9">
        <v>0</v>
      </c>
      <c r="BQ22" s="9">
        <v>0</v>
      </c>
      <c r="BR22" s="9"/>
      <c r="BS22" s="9"/>
      <c r="BT22" s="9">
        <v>0</v>
      </c>
      <c r="BU22" s="9">
        <v>0</v>
      </c>
      <c r="BV22" s="9"/>
      <c r="BW22" s="9"/>
      <c r="BX22" s="9">
        <v>0</v>
      </c>
      <c r="BY22" s="9">
        <v>0</v>
      </c>
      <c r="BZ22" s="9"/>
      <c r="CA22" s="9"/>
      <c r="CB22" s="9">
        <v>0</v>
      </c>
      <c r="CC22" s="9">
        <v>0</v>
      </c>
      <c r="CD22" s="9"/>
      <c r="CE22" s="9"/>
      <c r="CF22" s="9">
        <v>0</v>
      </c>
      <c r="CG22" s="9">
        <v>0</v>
      </c>
      <c r="CH22" s="9"/>
      <c r="CI22" s="9"/>
      <c r="CJ22" s="9">
        <v>0</v>
      </c>
      <c r="CK22" s="9">
        <v>0</v>
      </c>
      <c r="CL22" s="9"/>
      <c r="CM22" s="9"/>
      <c r="CN22" s="9">
        <v>0</v>
      </c>
      <c r="CO22" s="9">
        <v>0</v>
      </c>
      <c r="CP22" s="9"/>
      <c r="CQ22" s="9"/>
      <c r="CR22" s="9">
        <v>0</v>
      </c>
      <c r="CS22" s="9">
        <v>0</v>
      </c>
      <c r="CT22" s="9"/>
      <c r="CU22" s="9"/>
      <c r="CV22" s="9">
        <v>0</v>
      </c>
      <c r="CW22" s="9">
        <v>0</v>
      </c>
      <c r="CX22" s="9"/>
      <c r="CY22" s="9"/>
      <c r="CZ22" s="9">
        <v>0</v>
      </c>
      <c r="DA22" s="9">
        <v>0</v>
      </c>
      <c r="DB22" s="9"/>
      <c r="DC22" s="9"/>
      <c r="DD22" s="9">
        <v>0</v>
      </c>
      <c r="DE22" s="9">
        <v>0</v>
      </c>
      <c r="DF22" s="9"/>
      <c r="DG22" s="9"/>
      <c r="DH22" s="9">
        <v>0</v>
      </c>
      <c r="DI22" s="9">
        <v>0</v>
      </c>
      <c r="DJ22" s="9"/>
      <c r="DK22" s="9"/>
      <c r="DL22" s="9">
        <v>0</v>
      </c>
      <c r="DM22" s="9">
        <v>0</v>
      </c>
      <c r="DN22" s="9"/>
      <c r="DO22" s="9"/>
      <c r="DP22" s="9">
        <v>0</v>
      </c>
      <c r="DQ22" s="9"/>
      <c r="DR22" s="9"/>
      <c r="DS22" s="9"/>
      <c r="DT22" s="9">
        <v>0</v>
      </c>
      <c r="DU22" s="9"/>
      <c r="DV22" s="9"/>
      <c r="DW22" s="9"/>
      <c r="DX22" s="9">
        <v>0</v>
      </c>
      <c r="DY22" s="9"/>
      <c r="DZ22" s="9"/>
      <c r="EA22" s="9"/>
      <c r="EB22" s="9">
        <f t="shared" si="72"/>
        <v>0</v>
      </c>
      <c r="EC22" s="9">
        <f t="shared" si="71"/>
        <v>0</v>
      </c>
      <c r="ED22" s="4"/>
      <c r="EE22" s="4"/>
      <c r="EF22" s="4"/>
    </row>
    <row r="23" s="2" customFormat="1" spans="1:136">
      <c r="A23" s="5"/>
      <c r="B23" s="21" t="s">
        <v>164</v>
      </c>
      <c r="C23" s="21"/>
      <c r="D23" s="21"/>
      <c r="E23" s="21">
        <v>0</v>
      </c>
      <c r="F23" s="9"/>
      <c r="G23" s="9"/>
      <c r="H23" s="9">
        <v>0</v>
      </c>
      <c r="I23" s="9">
        <v>0</v>
      </c>
      <c r="J23" s="9"/>
      <c r="K23" s="9"/>
      <c r="L23" s="9">
        <v>0</v>
      </c>
      <c r="M23" s="9">
        <v>0</v>
      </c>
      <c r="N23" s="9"/>
      <c r="O23" s="9"/>
      <c r="P23" s="9">
        <v>0</v>
      </c>
      <c r="Q23" s="9">
        <v>0</v>
      </c>
      <c r="R23" s="9"/>
      <c r="S23" s="9"/>
      <c r="T23" s="9">
        <v>0</v>
      </c>
      <c r="U23" s="9">
        <v>0</v>
      </c>
      <c r="V23" s="9"/>
      <c r="W23" s="9"/>
      <c r="X23" s="9">
        <v>0</v>
      </c>
      <c r="Y23" s="9">
        <v>0</v>
      </c>
      <c r="Z23" s="9"/>
      <c r="AA23" s="9"/>
      <c r="AB23" s="9">
        <v>0</v>
      </c>
      <c r="AC23" s="9">
        <v>0</v>
      </c>
      <c r="AD23" s="9"/>
      <c r="AE23" s="9"/>
      <c r="AF23" s="9">
        <v>0</v>
      </c>
      <c r="AG23" s="9">
        <v>0</v>
      </c>
      <c r="AH23" s="9"/>
      <c r="AI23" s="9"/>
      <c r="AJ23" s="9">
        <v>0</v>
      </c>
      <c r="AK23" s="9">
        <v>0</v>
      </c>
      <c r="AL23" s="9"/>
      <c r="AM23" s="9"/>
      <c r="AN23" s="9">
        <v>0</v>
      </c>
      <c r="AO23" s="9">
        <v>0</v>
      </c>
      <c r="AP23" s="9"/>
      <c r="AQ23" s="9"/>
      <c r="AR23" s="9">
        <v>0</v>
      </c>
      <c r="AS23" s="9">
        <v>0</v>
      </c>
      <c r="AT23" s="9"/>
      <c r="AU23" s="9"/>
      <c r="AV23" s="9">
        <v>0</v>
      </c>
      <c r="AW23" s="9">
        <v>0</v>
      </c>
      <c r="AX23" s="9"/>
      <c r="AY23" s="9"/>
      <c r="AZ23" s="9">
        <v>0</v>
      </c>
      <c r="BA23" s="9">
        <v>0</v>
      </c>
      <c r="BB23" s="9"/>
      <c r="BC23" s="9"/>
      <c r="BD23" s="9">
        <v>0</v>
      </c>
      <c r="BE23" s="9">
        <v>0</v>
      </c>
      <c r="BF23" s="9"/>
      <c r="BG23" s="9"/>
      <c r="BH23" s="9">
        <v>0</v>
      </c>
      <c r="BI23" s="9">
        <v>0</v>
      </c>
      <c r="BJ23" s="9"/>
      <c r="BK23" s="9"/>
      <c r="BL23" s="9">
        <v>0</v>
      </c>
      <c r="BM23" s="9">
        <v>0</v>
      </c>
      <c r="BN23" s="9"/>
      <c r="BO23" s="9"/>
      <c r="BP23" s="9">
        <v>0</v>
      </c>
      <c r="BQ23" s="9">
        <v>0</v>
      </c>
      <c r="BR23" s="9"/>
      <c r="BS23" s="9"/>
      <c r="BT23" s="9">
        <v>0</v>
      </c>
      <c r="BU23" s="9">
        <v>0</v>
      </c>
      <c r="BV23" s="9"/>
      <c r="BW23" s="9"/>
      <c r="BX23" s="9">
        <v>0</v>
      </c>
      <c r="BY23" s="9">
        <v>0</v>
      </c>
      <c r="BZ23" s="9"/>
      <c r="CA23" s="9"/>
      <c r="CB23" s="9">
        <v>0</v>
      </c>
      <c r="CC23" s="9">
        <v>0</v>
      </c>
      <c r="CD23" s="9"/>
      <c r="CE23" s="9"/>
      <c r="CF23" s="9">
        <v>0</v>
      </c>
      <c r="CG23" s="9">
        <v>0</v>
      </c>
      <c r="CH23" s="9"/>
      <c r="CI23" s="9"/>
      <c r="CJ23" s="9">
        <v>0</v>
      </c>
      <c r="CK23" s="9">
        <v>0</v>
      </c>
      <c r="CL23" s="9"/>
      <c r="CM23" s="9"/>
      <c r="CN23" s="9">
        <v>0</v>
      </c>
      <c r="CO23" s="9">
        <v>0</v>
      </c>
      <c r="CP23" s="9"/>
      <c r="CQ23" s="9"/>
      <c r="CR23" s="9">
        <v>0</v>
      </c>
      <c r="CS23" s="9">
        <v>0</v>
      </c>
      <c r="CT23" s="9"/>
      <c r="CU23" s="9"/>
      <c r="CV23" s="9">
        <v>0</v>
      </c>
      <c r="CW23" s="9">
        <v>0</v>
      </c>
      <c r="CX23" s="9"/>
      <c r="CY23" s="9"/>
      <c r="CZ23" s="9">
        <v>0</v>
      </c>
      <c r="DA23" s="9">
        <v>0</v>
      </c>
      <c r="DB23" s="9"/>
      <c r="DC23" s="9"/>
      <c r="DD23" s="9">
        <v>0</v>
      </c>
      <c r="DE23" s="9">
        <v>0</v>
      </c>
      <c r="DF23" s="9"/>
      <c r="DG23" s="9"/>
      <c r="DH23" s="9">
        <v>0</v>
      </c>
      <c r="DI23" s="9">
        <v>0</v>
      </c>
      <c r="DJ23" s="9"/>
      <c r="DK23" s="9"/>
      <c r="DL23" s="9">
        <v>0</v>
      </c>
      <c r="DM23" s="9">
        <v>0</v>
      </c>
      <c r="DN23" s="9"/>
      <c r="DO23" s="9"/>
      <c r="DP23" s="9">
        <v>0</v>
      </c>
      <c r="DQ23" s="9"/>
      <c r="DR23" s="9"/>
      <c r="DS23" s="9"/>
      <c r="DT23" s="9">
        <v>0</v>
      </c>
      <c r="DU23" s="9"/>
      <c r="DV23" s="9"/>
      <c r="DW23" s="9"/>
      <c r="DX23" s="9">
        <v>0</v>
      </c>
      <c r="DY23" s="9"/>
      <c r="DZ23" s="9"/>
      <c r="EA23" s="9"/>
      <c r="EB23" s="9">
        <f t="shared" si="72"/>
        <v>0</v>
      </c>
      <c r="EC23" s="9">
        <f t="shared" si="71"/>
        <v>0</v>
      </c>
      <c r="ED23" s="4"/>
      <c r="EE23" s="4"/>
      <c r="EF23" s="4"/>
    </row>
    <row r="24" s="4" customFormat="1" spans="1:136">
      <c r="A24" s="30"/>
      <c r="B24" s="31" t="s">
        <v>165</v>
      </c>
      <c r="C24" s="31"/>
      <c r="D24" s="31"/>
      <c r="E24" s="32">
        <f>SUM(E18:E23)</f>
        <v>5473.8</v>
      </c>
      <c r="F24" s="32">
        <f t="shared" ref="F24:AK24" si="73">SUM(F18:F23)</f>
        <v>0</v>
      </c>
      <c r="G24" s="32">
        <f t="shared" si="73"/>
        <v>0</v>
      </c>
      <c r="H24" s="32">
        <f t="shared" si="73"/>
        <v>175.8</v>
      </c>
      <c r="I24" s="32">
        <f t="shared" si="73"/>
        <v>79.8</v>
      </c>
      <c r="J24" s="32">
        <f t="shared" si="73"/>
        <v>0</v>
      </c>
      <c r="K24" s="32">
        <f t="shared" si="73"/>
        <v>0</v>
      </c>
      <c r="L24" s="32">
        <f t="shared" si="73"/>
        <v>175.8</v>
      </c>
      <c r="M24" s="32">
        <f t="shared" si="73"/>
        <v>79.8</v>
      </c>
      <c r="N24" s="32">
        <f t="shared" si="73"/>
        <v>0</v>
      </c>
      <c r="O24" s="32">
        <f t="shared" si="73"/>
        <v>0</v>
      </c>
      <c r="P24" s="32">
        <f t="shared" si="73"/>
        <v>175.8</v>
      </c>
      <c r="Q24" s="32">
        <f t="shared" si="73"/>
        <v>79.8</v>
      </c>
      <c r="R24" s="32">
        <f t="shared" si="73"/>
        <v>0</v>
      </c>
      <c r="S24" s="32">
        <f t="shared" si="73"/>
        <v>0</v>
      </c>
      <c r="T24" s="32">
        <f t="shared" si="73"/>
        <v>175.8</v>
      </c>
      <c r="U24" s="32">
        <f t="shared" si="73"/>
        <v>79.8</v>
      </c>
      <c r="V24" s="32">
        <f t="shared" si="73"/>
        <v>0</v>
      </c>
      <c r="W24" s="32">
        <f t="shared" si="73"/>
        <v>0</v>
      </c>
      <c r="X24" s="32">
        <f t="shared" si="73"/>
        <v>175.8</v>
      </c>
      <c r="Y24" s="32">
        <f t="shared" si="73"/>
        <v>79.8</v>
      </c>
      <c r="Z24" s="32">
        <f t="shared" si="73"/>
        <v>0</v>
      </c>
      <c r="AA24" s="32">
        <f t="shared" si="73"/>
        <v>0</v>
      </c>
      <c r="AB24" s="32">
        <f t="shared" si="73"/>
        <v>175.8</v>
      </c>
      <c r="AC24" s="32">
        <f t="shared" si="73"/>
        <v>79.8</v>
      </c>
      <c r="AD24" s="32">
        <f t="shared" si="73"/>
        <v>0</v>
      </c>
      <c r="AE24" s="32">
        <f t="shared" si="73"/>
        <v>0</v>
      </c>
      <c r="AF24" s="32">
        <f t="shared" si="73"/>
        <v>175.8</v>
      </c>
      <c r="AG24" s="32">
        <f t="shared" si="73"/>
        <v>79.8</v>
      </c>
      <c r="AH24" s="32">
        <f t="shared" si="73"/>
        <v>0</v>
      </c>
      <c r="AI24" s="32">
        <f t="shared" si="73"/>
        <v>0</v>
      </c>
      <c r="AJ24" s="32">
        <f t="shared" si="73"/>
        <v>175.8</v>
      </c>
      <c r="AK24" s="32">
        <f t="shared" si="73"/>
        <v>79.8</v>
      </c>
      <c r="AL24" s="32">
        <f t="shared" ref="AL24:BQ24" si="74">SUM(AL18:AL23)</f>
        <v>0</v>
      </c>
      <c r="AM24" s="32">
        <f t="shared" si="74"/>
        <v>0</v>
      </c>
      <c r="AN24" s="32">
        <f t="shared" si="74"/>
        <v>175.8</v>
      </c>
      <c r="AO24" s="32">
        <f t="shared" si="74"/>
        <v>79.8</v>
      </c>
      <c r="AP24" s="32">
        <f t="shared" si="74"/>
        <v>0</v>
      </c>
      <c r="AQ24" s="32">
        <f t="shared" si="74"/>
        <v>0</v>
      </c>
      <c r="AR24" s="32">
        <f t="shared" si="74"/>
        <v>175.8</v>
      </c>
      <c r="AS24" s="32">
        <f t="shared" si="74"/>
        <v>79.8</v>
      </c>
      <c r="AT24" s="32">
        <f t="shared" si="74"/>
        <v>0</v>
      </c>
      <c r="AU24" s="32">
        <f t="shared" si="74"/>
        <v>0</v>
      </c>
      <c r="AV24" s="32">
        <f t="shared" si="74"/>
        <v>175.8</v>
      </c>
      <c r="AW24" s="32">
        <f t="shared" si="74"/>
        <v>79.8</v>
      </c>
      <c r="AX24" s="32">
        <f t="shared" si="74"/>
        <v>0</v>
      </c>
      <c r="AY24" s="32">
        <f t="shared" si="74"/>
        <v>0</v>
      </c>
      <c r="AZ24" s="32">
        <f t="shared" si="74"/>
        <v>175.8</v>
      </c>
      <c r="BA24" s="32">
        <f t="shared" si="74"/>
        <v>79.8</v>
      </c>
      <c r="BB24" s="32">
        <f t="shared" si="74"/>
        <v>0</v>
      </c>
      <c r="BC24" s="32">
        <f t="shared" si="74"/>
        <v>0</v>
      </c>
      <c r="BD24" s="32">
        <f t="shared" si="74"/>
        <v>175.8</v>
      </c>
      <c r="BE24" s="32">
        <f t="shared" si="74"/>
        <v>79.8</v>
      </c>
      <c r="BF24" s="32">
        <f t="shared" si="74"/>
        <v>0</v>
      </c>
      <c r="BG24" s="32">
        <f t="shared" si="74"/>
        <v>0</v>
      </c>
      <c r="BH24" s="32">
        <f t="shared" si="74"/>
        <v>175.8</v>
      </c>
      <c r="BI24" s="32">
        <f t="shared" si="74"/>
        <v>79.8</v>
      </c>
      <c r="BJ24" s="32">
        <f t="shared" si="74"/>
        <v>0</v>
      </c>
      <c r="BK24" s="32">
        <f t="shared" si="74"/>
        <v>0</v>
      </c>
      <c r="BL24" s="32">
        <f t="shared" si="74"/>
        <v>175.8</v>
      </c>
      <c r="BM24" s="32">
        <f t="shared" si="74"/>
        <v>79.8</v>
      </c>
      <c r="BN24" s="32">
        <f t="shared" si="74"/>
        <v>0</v>
      </c>
      <c r="BO24" s="32">
        <f t="shared" si="74"/>
        <v>0</v>
      </c>
      <c r="BP24" s="32">
        <f t="shared" si="74"/>
        <v>175.8</v>
      </c>
      <c r="BQ24" s="32">
        <f t="shared" si="74"/>
        <v>79.8</v>
      </c>
      <c r="BR24" s="32">
        <f t="shared" ref="BR24:CW24" si="75">SUM(BR18:BR23)</f>
        <v>0</v>
      </c>
      <c r="BS24" s="32">
        <f t="shared" si="75"/>
        <v>0</v>
      </c>
      <c r="BT24" s="32">
        <f t="shared" si="75"/>
        <v>175.8</v>
      </c>
      <c r="BU24" s="32">
        <f t="shared" si="75"/>
        <v>79.8</v>
      </c>
      <c r="BV24" s="32">
        <f t="shared" si="75"/>
        <v>0</v>
      </c>
      <c r="BW24" s="32">
        <f t="shared" si="75"/>
        <v>0</v>
      </c>
      <c r="BX24" s="32">
        <f t="shared" si="75"/>
        <v>175.8</v>
      </c>
      <c r="BY24" s="32">
        <f t="shared" si="75"/>
        <v>79.8</v>
      </c>
      <c r="BZ24" s="32">
        <f t="shared" si="75"/>
        <v>0</v>
      </c>
      <c r="CA24" s="32">
        <f t="shared" si="75"/>
        <v>0</v>
      </c>
      <c r="CB24" s="32">
        <f t="shared" si="75"/>
        <v>175.8</v>
      </c>
      <c r="CC24" s="32">
        <f t="shared" si="75"/>
        <v>129.8</v>
      </c>
      <c r="CD24" s="32">
        <f t="shared" si="75"/>
        <v>0</v>
      </c>
      <c r="CE24" s="32">
        <f t="shared" si="75"/>
        <v>0</v>
      </c>
      <c r="CF24" s="32">
        <f t="shared" si="75"/>
        <v>175.8</v>
      </c>
      <c r="CG24" s="32">
        <f t="shared" si="75"/>
        <v>79.8</v>
      </c>
      <c r="CH24" s="32">
        <f t="shared" si="75"/>
        <v>0</v>
      </c>
      <c r="CI24" s="32">
        <f t="shared" si="75"/>
        <v>0</v>
      </c>
      <c r="CJ24" s="32">
        <f t="shared" si="75"/>
        <v>175.8</v>
      </c>
      <c r="CK24" s="32">
        <f t="shared" si="75"/>
        <v>79.8</v>
      </c>
      <c r="CL24" s="32">
        <f t="shared" si="75"/>
        <v>0</v>
      </c>
      <c r="CM24" s="32">
        <f t="shared" si="75"/>
        <v>0</v>
      </c>
      <c r="CN24" s="32">
        <f t="shared" si="75"/>
        <v>175.8</v>
      </c>
      <c r="CO24" s="32">
        <f t="shared" si="75"/>
        <v>79.8</v>
      </c>
      <c r="CP24" s="32">
        <f t="shared" si="75"/>
        <v>0</v>
      </c>
      <c r="CQ24" s="32">
        <f t="shared" si="75"/>
        <v>0</v>
      </c>
      <c r="CR24" s="32">
        <f t="shared" si="75"/>
        <v>175.8</v>
      </c>
      <c r="CS24" s="32">
        <f t="shared" si="75"/>
        <v>79.8</v>
      </c>
      <c r="CT24" s="32">
        <f t="shared" si="75"/>
        <v>0</v>
      </c>
      <c r="CU24" s="32">
        <f t="shared" si="75"/>
        <v>0</v>
      </c>
      <c r="CV24" s="32">
        <f t="shared" si="75"/>
        <v>175.8</v>
      </c>
      <c r="CW24" s="32">
        <f t="shared" si="75"/>
        <v>712.8</v>
      </c>
      <c r="CX24" s="32">
        <f t="shared" ref="CX24:DY24" si="76">SUM(CX18:CX23)</f>
        <v>0</v>
      </c>
      <c r="CY24" s="32">
        <f t="shared" si="76"/>
        <v>0</v>
      </c>
      <c r="CZ24" s="32">
        <f t="shared" si="76"/>
        <v>175.8</v>
      </c>
      <c r="DA24" s="32">
        <f t="shared" si="76"/>
        <v>1152.7</v>
      </c>
      <c r="DB24" s="32">
        <f t="shared" si="76"/>
        <v>0</v>
      </c>
      <c r="DC24" s="32">
        <f t="shared" si="76"/>
        <v>0</v>
      </c>
      <c r="DD24" s="32">
        <f t="shared" si="76"/>
        <v>175.8</v>
      </c>
      <c r="DE24" s="32">
        <f t="shared" si="76"/>
        <v>79.8</v>
      </c>
      <c r="DF24" s="32">
        <f t="shared" si="76"/>
        <v>0</v>
      </c>
      <c r="DG24" s="32">
        <f t="shared" si="76"/>
        <v>0</v>
      </c>
      <c r="DH24" s="32">
        <f t="shared" si="76"/>
        <v>175.8</v>
      </c>
      <c r="DI24" s="32">
        <f t="shared" si="76"/>
        <v>79.8</v>
      </c>
      <c r="DJ24" s="32">
        <f t="shared" si="76"/>
        <v>0</v>
      </c>
      <c r="DK24" s="32">
        <f t="shared" si="76"/>
        <v>0</v>
      </c>
      <c r="DL24" s="32">
        <f t="shared" si="76"/>
        <v>175.8</v>
      </c>
      <c r="DM24" s="32">
        <f t="shared" si="76"/>
        <v>79.8</v>
      </c>
      <c r="DN24" s="32">
        <f t="shared" si="76"/>
        <v>0</v>
      </c>
      <c r="DO24" s="32">
        <f t="shared" si="76"/>
        <v>0</v>
      </c>
      <c r="DP24" s="32">
        <f t="shared" si="76"/>
        <v>175.8</v>
      </c>
      <c r="DQ24" s="32">
        <f t="shared" si="76"/>
        <v>0</v>
      </c>
      <c r="DR24" s="32">
        <f t="shared" si="76"/>
        <v>0</v>
      </c>
      <c r="DS24" s="32">
        <f t="shared" si="76"/>
        <v>0</v>
      </c>
      <c r="DT24" s="32">
        <f t="shared" si="76"/>
        <v>175.8</v>
      </c>
      <c r="DU24" s="32">
        <f t="shared" si="76"/>
        <v>0</v>
      </c>
      <c r="DV24" s="32">
        <f t="shared" si="76"/>
        <v>0</v>
      </c>
      <c r="DW24" s="32">
        <f t="shared" si="76"/>
        <v>0</v>
      </c>
      <c r="DX24" s="32">
        <f t="shared" si="76"/>
        <v>199.8</v>
      </c>
      <c r="DY24" s="32">
        <f t="shared" si="76"/>
        <v>0</v>
      </c>
      <c r="DZ24" s="33">
        <f>F24+J24+N24+R24+V24+Z24+AD24+AH24+AL24+AP24+AT24+AX24+BB24+BF24+BJ24+BN24+BR24+BV24+BZ24+CD24+CH24+CL24+CP24+CT24+CX24+DB24+DF24+DJ24+DN24+DR24+DV24</f>
        <v>0</v>
      </c>
      <c r="EA24" s="33">
        <f>G24+K24+O24+S24+W24+AA24+AE24+AI24+AM24+AQ24+AU24+AY24+BC24+BG24+BK24+BO24+BS24+BW24+CA24+CE24+CI24+CM24+CQ24+CU24+CY24+DC24+DG24+DK24+DO24+DS24+DW24</f>
        <v>0</v>
      </c>
      <c r="EB24" s="33">
        <f t="shared" si="72"/>
        <v>5473.8</v>
      </c>
      <c r="EC24" s="33">
        <f t="shared" si="71"/>
        <v>3990.3</v>
      </c>
    </row>
    <row r="25" s="2" customFormat="1" spans="1:136">
      <c r="A25" s="5"/>
      <c r="B25" s="34" t="s">
        <v>166</v>
      </c>
      <c r="C25" s="34"/>
      <c r="D25" s="34"/>
      <c r="E25" s="23">
        <f>E17-E24</f>
        <v>301397.328</v>
      </c>
      <c r="F25" s="35"/>
      <c r="G25" s="35"/>
      <c r="H25" s="35"/>
      <c r="I25" s="9"/>
      <c r="J25" s="35"/>
      <c r="K25" s="35"/>
      <c r="L25" s="35"/>
      <c r="M25" s="9"/>
      <c r="N25" s="35"/>
      <c r="O25" s="35"/>
      <c r="P25" s="35"/>
      <c r="Q25" s="9"/>
      <c r="R25" s="35"/>
      <c r="S25" s="35"/>
      <c r="T25" s="35"/>
      <c r="U25" s="9"/>
      <c r="V25" s="35"/>
      <c r="W25" s="35"/>
      <c r="X25" s="35"/>
      <c r="Y25" s="9"/>
      <c r="Z25" s="35"/>
      <c r="AA25" s="35"/>
      <c r="AB25" s="35"/>
      <c r="AC25" s="9"/>
      <c r="AD25" s="35"/>
      <c r="AE25" s="35"/>
      <c r="AF25" s="35"/>
      <c r="AG25" s="9"/>
      <c r="AH25" s="35"/>
      <c r="AI25" s="35"/>
      <c r="AJ25" s="35"/>
      <c r="AK25" s="9"/>
      <c r="AL25" s="35"/>
      <c r="AM25" s="35"/>
      <c r="AN25" s="35"/>
      <c r="AO25" s="9"/>
      <c r="AP25" s="35"/>
      <c r="AQ25" s="35"/>
      <c r="AR25" s="35"/>
      <c r="AS25" s="9"/>
      <c r="AT25" s="35"/>
      <c r="AU25" s="35"/>
      <c r="AV25" s="35"/>
      <c r="AW25" s="9"/>
      <c r="AX25" s="35"/>
      <c r="AY25" s="35"/>
      <c r="AZ25" s="35"/>
      <c r="BA25" s="9"/>
      <c r="BB25" s="35"/>
      <c r="BC25" s="35"/>
      <c r="BD25" s="35"/>
      <c r="BE25" s="9"/>
      <c r="BF25" s="35"/>
      <c r="BG25" s="35"/>
      <c r="BH25" s="35"/>
      <c r="BI25" s="9"/>
      <c r="BJ25" s="35"/>
      <c r="BK25" s="35"/>
      <c r="BL25" s="35"/>
      <c r="BM25" s="9"/>
      <c r="BN25" s="35"/>
      <c r="BO25" s="35"/>
      <c r="BP25" s="35"/>
      <c r="BQ25" s="9"/>
      <c r="BR25" s="35"/>
      <c r="BS25" s="35"/>
      <c r="BT25" s="35"/>
      <c r="BU25" s="9"/>
      <c r="BV25" s="35"/>
      <c r="BW25" s="35"/>
      <c r="BX25" s="35"/>
      <c r="BY25" s="9"/>
      <c r="BZ25" s="35"/>
      <c r="CA25" s="35"/>
      <c r="CB25" s="35"/>
      <c r="CC25" s="9"/>
      <c r="CD25" s="35"/>
      <c r="CE25" s="35"/>
      <c r="CF25" s="35"/>
      <c r="CG25" s="9"/>
      <c r="CH25" s="35"/>
      <c r="CI25" s="35"/>
      <c r="CJ25" s="35"/>
      <c r="CK25" s="9"/>
      <c r="CL25" s="35"/>
      <c r="CM25" s="35"/>
      <c r="CN25" s="35"/>
      <c r="CO25" s="9"/>
      <c r="CP25" s="35"/>
      <c r="CQ25" s="35"/>
      <c r="CR25" s="35"/>
      <c r="CS25" s="9"/>
      <c r="CT25" s="35"/>
      <c r="CU25" s="35"/>
      <c r="CV25" s="35"/>
      <c r="CW25" s="9"/>
      <c r="CX25" s="35"/>
      <c r="CY25" s="35"/>
      <c r="CZ25" s="35"/>
      <c r="DA25" s="9"/>
      <c r="DB25" s="35"/>
      <c r="DC25" s="35"/>
      <c r="DD25" s="35"/>
      <c r="DE25" s="9"/>
      <c r="DF25" s="35"/>
      <c r="DG25" s="35"/>
      <c r="DH25" s="35"/>
      <c r="DI25" s="9"/>
      <c r="DJ25" s="35"/>
      <c r="DK25" s="35"/>
      <c r="DL25" s="35"/>
      <c r="DM25" s="9"/>
      <c r="DN25" s="35"/>
      <c r="DO25" s="35"/>
      <c r="DP25" s="35"/>
      <c r="DQ25" s="9"/>
      <c r="DR25" s="35"/>
      <c r="DS25" s="35"/>
      <c r="DT25" s="35"/>
      <c r="DU25" s="9"/>
      <c r="DV25" s="35"/>
      <c r="DW25" s="35"/>
      <c r="DX25" s="35"/>
      <c r="DY25" s="9"/>
      <c r="DZ25" s="35"/>
      <c r="EA25" s="35"/>
      <c r="EB25" s="35"/>
      <c r="EC25" s="9">
        <f>EC17-EC24</f>
        <v>316380.43193904</v>
      </c>
    </row>
    <row r="26" s="2" customFormat="1" spans="1:136">
      <c r="A26" s="5"/>
      <c r="B26" s="34" t="s">
        <v>167</v>
      </c>
      <c r="C26" s="34"/>
      <c r="D26" s="34"/>
      <c r="E26" s="36">
        <f>E25/E17</f>
        <v>0.98216254479307</v>
      </c>
      <c r="F26" s="35"/>
      <c r="G26" s="35"/>
      <c r="H26" s="35"/>
      <c r="I26" s="9"/>
      <c r="J26" s="35"/>
      <c r="K26" s="35"/>
      <c r="L26" s="35"/>
      <c r="M26" s="9"/>
      <c r="N26" s="35"/>
      <c r="O26" s="35"/>
      <c r="P26" s="35"/>
      <c r="Q26" s="9"/>
      <c r="R26" s="35"/>
      <c r="S26" s="35"/>
      <c r="T26" s="35"/>
      <c r="U26" s="9"/>
      <c r="V26" s="35"/>
      <c r="W26" s="35"/>
      <c r="X26" s="35"/>
      <c r="Y26" s="9"/>
      <c r="Z26" s="35"/>
      <c r="AA26" s="35"/>
      <c r="AB26" s="35"/>
      <c r="AC26" s="9"/>
      <c r="AD26" s="35"/>
      <c r="AE26" s="35"/>
      <c r="AF26" s="35"/>
      <c r="AG26" s="9"/>
      <c r="AH26" s="35"/>
      <c r="AI26" s="35"/>
      <c r="AJ26" s="35"/>
      <c r="AK26" s="9"/>
      <c r="AL26" s="35"/>
      <c r="AM26" s="35"/>
      <c r="AN26" s="35"/>
      <c r="AO26" s="9"/>
      <c r="AP26" s="35"/>
      <c r="AQ26" s="35"/>
      <c r="AR26" s="35"/>
      <c r="AS26" s="9"/>
      <c r="AT26" s="35"/>
      <c r="AU26" s="35"/>
      <c r="AV26" s="35"/>
      <c r="AW26" s="9"/>
      <c r="AX26" s="35"/>
      <c r="AY26" s="35"/>
      <c r="AZ26" s="35"/>
      <c r="BA26" s="9"/>
      <c r="BB26" s="35"/>
      <c r="BC26" s="35"/>
      <c r="BD26" s="35"/>
      <c r="BE26" s="9"/>
      <c r="BF26" s="35"/>
      <c r="BG26" s="35"/>
      <c r="BH26" s="35"/>
      <c r="BI26" s="9"/>
      <c r="BJ26" s="35"/>
      <c r="BK26" s="35"/>
      <c r="BL26" s="35"/>
      <c r="BM26" s="9"/>
      <c r="BN26" s="35"/>
      <c r="BO26" s="35"/>
      <c r="BP26" s="35"/>
      <c r="BQ26" s="9"/>
      <c r="BR26" s="35"/>
      <c r="BS26" s="35"/>
      <c r="BT26" s="35"/>
      <c r="BU26" s="9"/>
      <c r="BV26" s="35"/>
      <c r="BW26" s="35"/>
      <c r="BX26" s="35"/>
      <c r="BY26" s="9"/>
      <c r="BZ26" s="35"/>
      <c r="CA26" s="35"/>
      <c r="CB26" s="35"/>
      <c r="CC26" s="9"/>
      <c r="CD26" s="35"/>
      <c r="CE26" s="35"/>
      <c r="CF26" s="35"/>
      <c r="CG26" s="9"/>
      <c r="CH26" s="35"/>
      <c r="CI26" s="35"/>
      <c r="CJ26" s="35"/>
      <c r="CK26" s="9"/>
      <c r="CL26" s="35"/>
      <c r="CM26" s="35"/>
      <c r="CN26" s="35"/>
      <c r="CO26" s="9"/>
      <c r="CP26" s="35"/>
      <c r="CQ26" s="35"/>
      <c r="CR26" s="35"/>
      <c r="CS26" s="9"/>
      <c r="CT26" s="35"/>
      <c r="CU26" s="35"/>
      <c r="CV26" s="35"/>
      <c r="CW26" s="9"/>
      <c r="CX26" s="35"/>
      <c r="CY26" s="35"/>
      <c r="CZ26" s="35"/>
      <c r="DA26" s="9"/>
      <c r="DB26" s="35"/>
      <c r="DC26" s="35"/>
      <c r="DD26" s="35"/>
      <c r="DE26" s="9"/>
      <c r="DF26" s="35"/>
      <c r="DG26" s="35"/>
      <c r="DH26" s="35"/>
      <c r="DI26" s="9"/>
      <c r="DJ26" s="35"/>
      <c r="DK26" s="35"/>
      <c r="DL26" s="35"/>
      <c r="DM26" s="9"/>
      <c r="DN26" s="35"/>
      <c r="DO26" s="35"/>
      <c r="DP26" s="35"/>
      <c r="DQ26" s="9"/>
      <c r="DR26" s="35"/>
      <c r="DS26" s="35"/>
      <c r="DT26" s="35"/>
      <c r="DU26" s="9"/>
      <c r="DV26" s="35"/>
      <c r="DW26" s="35"/>
      <c r="DX26" s="35"/>
      <c r="DY26" s="9"/>
      <c r="DZ26" s="35"/>
      <c r="EA26" s="35"/>
      <c r="EB26" s="35"/>
      <c r="EC26" s="37">
        <f>EC25/EC17</f>
        <v>0.987544742380651</v>
      </c>
    </row>
    <row r="27" s="2" customFormat="1" spans="1:136">
      <c r="A27" s="5"/>
      <c r="B27" s="21" t="s">
        <v>168</v>
      </c>
      <c r="C27" s="21"/>
      <c r="D27" s="21"/>
      <c r="E27" s="23">
        <v>2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>
        <f>E27</f>
        <v>2</v>
      </c>
    </row>
    <row r="28" s="2" customFormat="1" spans="1:136">
      <c r="A28" s="5"/>
      <c r="B28" s="21" t="s">
        <v>169</v>
      </c>
      <c r="C28" s="21"/>
      <c r="D28" s="21"/>
      <c r="E28" s="23">
        <v>384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>
        <v>384</v>
      </c>
    </row>
    <row r="29" s="2" customFormat="1" spans="1:136">
      <c r="A29" s="5"/>
      <c r="B29" s="34" t="s">
        <v>170</v>
      </c>
      <c r="C29" s="34"/>
      <c r="D29" s="34"/>
      <c r="E29" s="23">
        <f>E25/E28</f>
        <v>784.888875</v>
      </c>
      <c r="F29" s="35"/>
      <c r="G29" s="35"/>
      <c r="H29" s="35"/>
      <c r="I29" s="9"/>
      <c r="J29" s="35"/>
      <c r="K29" s="35"/>
      <c r="L29" s="35"/>
      <c r="M29" s="9"/>
      <c r="N29" s="35"/>
      <c r="O29" s="35"/>
      <c r="P29" s="35"/>
      <c r="Q29" s="9"/>
      <c r="R29" s="35"/>
      <c r="S29" s="35"/>
      <c r="T29" s="35"/>
      <c r="U29" s="9"/>
      <c r="V29" s="35"/>
      <c r="W29" s="35"/>
      <c r="X29" s="35"/>
      <c r="Y29" s="9"/>
      <c r="Z29" s="35"/>
      <c r="AA29" s="35"/>
      <c r="AB29" s="35"/>
      <c r="AC29" s="9"/>
      <c r="AD29" s="35"/>
      <c r="AE29" s="35"/>
      <c r="AF29" s="35"/>
      <c r="AG29" s="9"/>
      <c r="AH29" s="35"/>
      <c r="AI29" s="35"/>
      <c r="AJ29" s="35"/>
      <c r="AK29" s="9"/>
      <c r="AL29" s="35"/>
      <c r="AM29" s="35"/>
      <c r="AN29" s="35"/>
      <c r="AO29" s="9"/>
      <c r="AP29" s="35"/>
      <c r="AQ29" s="35"/>
      <c r="AR29" s="35"/>
      <c r="AS29" s="9"/>
      <c r="AT29" s="35"/>
      <c r="AU29" s="35"/>
      <c r="AV29" s="35"/>
      <c r="AW29" s="9"/>
      <c r="AX29" s="35"/>
      <c r="AY29" s="35"/>
      <c r="AZ29" s="35"/>
      <c r="BA29" s="9"/>
      <c r="BB29" s="35"/>
      <c r="BC29" s="35"/>
      <c r="BD29" s="35"/>
      <c r="BE29" s="9"/>
      <c r="BF29" s="35"/>
      <c r="BG29" s="35"/>
      <c r="BH29" s="35"/>
      <c r="BI29" s="9"/>
      <c r="BJ29" s="35"/>
      <c r="BK29" s="35"/>
      <c r="BL29" s="35"/>
      <c r="BM29" s="9"/>
      <c r="BN29" s="35"/>
      <c r="BO29" s="35"/>
      <c r="BP29" s="35"/>
      <c r="BQ29" s="9"/>
      <c r="BR29" s="35"/>
      <c r="BS29" s="35"/>
      <c r="BT29" s="35"/>
      <c r="BU29" s="9"/>
      <c r="BV29" s="35"/>
      <c r="BW29" s="35"/>
      <c r="BX29" s="35"/>
      <c r="BY29" s="9"/>
      <c r="BZ29" s="35"/>
      <c r="CA29" s="35"/>
      <c r="CB29" s="35"/>
      <c r="CC29" s="9"/>
      <c r="CD29" s="35"/>
      <c r="CE29" s="35"/>
      <c r="CF29" s="35"/>
      <c r="CG29" s="9"/>
      <c r="CH29" s="35"/>
      <c r="CI29" s="35"/>
      <c r="CJ29" s="35"/>
      <c r="CK29" s="9"/>
      <c r="CL29" s="35"/>
      <c r="CM29" s="35"/>
      <c r="CN29" s="35"/>
      <c r="CO29" s="9"/>
      <c r="CP29" s="35"/>
      <c r="CQ29" s="35"/>
      <c r="CR29" s="35"/>
      <c r="CS29" s="9"/>
      <c r="CT29" s="35"/>
      <c r="CU29" s="35"/>
      <c r="CV29" s="35"/>
      <c r="CW29" s="9"/>
      <c r="CX29" s="35"/>
      <c r="CY29" s="35"/>
      <c r="CZ29" s="35"/>
      <c r="DA29" s="9"/>
      <c r="DB29" s="35"/>
      <c r="DC29" s="35"/>
      <c r="DD29" s="35"/>
      <c r="DE29" s="9"/>
      <c r="DF29" s="35"/>
      <c r="DG29" s="35"/>
      <c r="DH29" s="35"/>
      <c r="DI29" s="9"/>
      <c r="DJ29" s="35"/>
      <c r="DK29" s="35"/>
      <c r="DL29" s="35"/>
      <c r="DM29" s="9"/>
      <c r="DN29" s="35"/>
      <c r="DO29" s="35"/>
      <c r="DP29" s="35"/>
      <c r="DQ29" s="9"/>
      <c r="DR29" s="35"/>
      <c r="DS29" s="35"/>
      <c r="DT29" s="35"/>
      <c r="DU29" s="9"/>
      <c r="DV29" s="35"/>
      <c r="DW29" s="35"/>
      <c r="DX29" s="35"/>
      <c r="DY29" s="9"/>
      <c r="DZ29" s="35"/>
      <c r="EA29" s="35"/>
      <c r="EB29" s="35"/>
      <c r="EC29" s="9">
        <f>EC25/EC28</f>
        <v>823.90737484125</v>
      </c>
    </row>
    <row r="30" s="2" customFormat="1" spans="1:136">
      <c r="A30" s="5"/>
      <c r="B30" s="6"/>
      <c r="C30" s="6"/>
      <c r="D30" s="6"/>
      <c r="E30" s="7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</row>
    <row r="31" s="2" customFormat="1" spans="1:136">
      <c r="A31" s="5"/>
      <c r="B31" s="6"/>
      <c r="C31" s="6"/>
      <c r="D31" s="6"/>
      <c r="E31" s="7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</row>
    <row r="32" s="2" customFormat="1" spans="1:136">
      <c r="A32" s="5"/>
      <c r="B32" s="6"/>
      <c r="C32" s="6"/>
      <c r="D32" s="6"/>
      <c r="E32" s="7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</row>
    <row r="33" s="2" customFormat="1" spans="1:133">
      <c r="A33" s="5"/>
      <c r="B33" s="6"/>
      <c r="C33" s="6"/>
      <c r="D33" s="6"/>
      <c r="E33" s="7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</row>
    <row r="34" s="2" customFormat="1" spans="1:133">
      <c r="A34" s="5"/>
      <c r="B34" s="6"/>
      <c r="C34" s="6"/>
      <c r="D34" s="6"/>
      <c r="E34" s="7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</row>
    <row r="35" s="2" customFormat="1" spans="1:133">
      <c r="A35" s="5"/>
      <c r="B35" s="6"/>
      <c r="C35" s="6"/>
      <c r="D35" s="6"/>
      <c r="E35" s="7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</row>
    <row r="36" s="2" customFormat="1" spans="1:133">
      <c r="A36" s="5"/>
      <c r="B36" s="6"/>
      <c r="C36" s="6"/>
      <c r="D36" s="6"/>
      <c r="E36" s="7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</row>
    <row r="37" s="2" customFormat="1" spans="1:133">
      <c r="A37" s="5"/>
      <c r="B37" s="6"/>
      <c r="C37" s="6"/>
      <c r="D37" s="6"/>
      <c r="E37" s="7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</row>
    <row r="38" s="2" customFormat="1" spans="1:133">
      <c r="A38" s="5"/>
      <c r="B38" s="6"/>
      <c r="C38" s="6"/>
      <c r="D38" s="6"/>
      <c r="E38" s="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</row>
    <row r="39" s="2" customFormat="1" spans="1:133">
      <c r="A39" s="5"/>
      <c r="B39" s="6"/>
      <c r="C39" s="6"/>
      <c r="D39" s="6"/>
      <c r="E39" s="7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</row>
    <row r="40" s="2" customFormat="1" spans="1:133">
      <c r="A40" s="5"/>
      <c r="B40" s="6"/>
      <c r="C40" s="6"/>
      <c r="D40" s="6"/>
      <c r="E40" s="7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</row>
    <row r="41" s="2" customFormat="1" spans="1:133">
      <c r="A41" s="5"/>
      <c r="B41" s="6"/>
      <c r="C41" s="6"/>
      <c r="D41" s="6"/>
      <c r="E41" s="7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</row>
    <row r="42" s="2" customFormat="1" spans="1:133">
      <c r="A42" s="5"/>
      <c r="B42" s="6"/>
      <c r="C42" s="6"/>
      <c r="D42" s="6"/>
      <c r="E42" s="7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</row>
    <row r="43" s="2" customFormat="1" spans="1:133">
      <c r="A43" s="5"/>
      <c r="B43" s="6"/>
      <c r="C43" s="6"/>
      <c r="D43" s="6"/>
      <c r="E43" s="7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</row>
    <row r="44" s="2" customFormat="1" spans="1:133">
      <c r="A44" s="5"/>
      <c r="B44" s="6"/>
      <c r="C44" s="6"/>
      <c r="D44" s="6"/>
      <c r="E44" s="7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</row>
    <row r="45" s="2" customFormat="1" spans="1:133">
      <c r="A45" s="5"/>
      <c r="B45" s="6"/>
      <c r="C45" s="6"/>
      <c r="D45" s="6"/>
      <c r="E45" s="7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</row>
    <row r="46" s="2" customFormat="1" spans="1:133">
      <c r="A46" s="5"/>
      <c r="B46" s="6"/>
      <c r="C46" s="6"/>
      <c r="D46" s="6"/>
      <c r="E46" s="7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</row>
    <row r="47" s="2" customFormat="1" spans="1:133">
      <c r="A47" s="5"/>
      <c r="B47" s="6"/>
      <c r="C47" s="6"/>
      <c r="D47" s="6"/>
      <c r="E47" s="7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</row>
    <row r="48" s="2" customFormat="1" spans="1:133">
      <c r="A48" s="5"/>
      <c r="B48" s="6"/>
      <c r="C48" s="6"/>
      <c r="D48" s="6"/>
      <c r="E48" s="7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</row>
    <row r="49" s="2" customFormat="1" spans="1:133">
      <c r="A49" s="5"/>
      <c r="B49" s="6"/>
      <c r="C49" s="6"/>
      <c r="D49" s="6"/>
      <c r="E49" s="7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</row>
    <row r="50" s="2" customFormat="1" spans="1:133">
      <c r="A50" s="5"/>
      <c r="B50" s="6"/>
      <c r="C50" s="6"/>
      <c r="D50" s="6"/>
      <c r="E50" s="7"/>
      <c r="F50" s="8"/>
      <c r="G50" s="8"/>
      <c r="H50" s="8"/>
      <c r="I50" s="9"/>
      <c r="J50" s="8"/>
      <c r="K50" s="8"/>
      <c r="L50" s="8"/>
      <c r="M50" s="9"/>
      <c r="N50" s="8"/>
      <c r="O50" s="8"/>
      <c r="P50" s="8"/>
      <c r="Q50" s="9"/>
      <c r="R50" s="8"/>
      <c r="S50" s="8"/>
      <c r="T50" s="8"/>
      <c r="U50" s="9"/>
      <c r="V50" s="8"/>
      <c r="W50" s="8"/>
      <c r="X50" s="8"/>
      <c r="Y50" s="9"/>
      <c r="Z50" s="8"/>
      <c r="AA50" s="8"/>
      <c r="AB50" s="8"/>
      <c r="AC50" s="9"/>
      <c r="AD50" s="8"/>
      <c r="AE50" s="8"/>
      <c r="AF50" s="8"/>
      <c r="AG50" s="9"/>
      <c r="AH50" s="8"/>
      <c r="AI50" s="8"/>
      <c r="AJ50" s="8"/>
      <c r="AK50" s="9"/>
      <c r="AL50" s="8"/>
      <c r="AM50" s="8"/>
      <c r="AN50" s="8"/>
      <c r="AO50" s="9"/>
      <c r="AP50" s="8"/>
      <c r="AQ50" s="8"/>
      <c r="AR50" s="8"/>
      <c r="AS50" s="9"/>
      <c r="AT50" s="8"/>
      <c r="AU50" s="8"/>
      <c r="AV50" s="8"/>
      <c r="AW50" s="9"/>
      <c r="AX50" s="8"/>
      <c r="AY50" s="8"/>
      <c r="AZ50" s="8"/>
      <c r="BA50" s="9"/>
      <c r="BB50" s="8"/>
      <c r="BC50" s="8"/>
      <c r="BD50" s="8"/>
      <c r="BE50" s="9"/>
      <c r="BF50" s="8"/>
      <c r="BG50" s="8"/>
      <c r="BH50" s="8"/>
      <c r="BI50" s="9"/>
      <c r="BJ50" s="8"/>
      <c r="BK50" s="8"/>
      <c r="BL50" s="8"/>
      <c r="BM50" s="9"/>
      <c r="BN50" s="8"/>
      <c r="BO50" s="8"/>
      <c r="BP50" s="8"/>
      <c r="BQ50" s="9"/>
      <c r="BR50" s="8"/>
      <c r="BS50" s="8"/>
      <c r="BT50" s="8"/>
      <c r="BU50" s="9"/>
      <c r="BV50" s="8"/>
      <c r="BW50" s="8"/>
      <c r="BX50" s="8"/>
      <c r="BY50" s="9"/>
      <c r="BZ50" s="8"/>
      <c r="CA50" s="8"/>
      <c r="CB50" s="8"/>
      <c r="CC50" s="9"/>
      <c r="CD50" s="8"/>
      <c r="CE50" s="8"/>
      <c r="CF50" s="8"/>
      <c r="CG50" s="9"/>
      <c r="CH50" s="8"/>
      <c r="CI50" s="8"/>
      <c r="CJ50" s="8"/>
      <c r="CK50" s="9"/>
      <c r="CL50" s="8"/>
      <c r="CM50" s="8"/>
      <c r="CN50" s="8"/>
      <c r="CO50" s="9"/>
      <c r="CP50" s="8"/>
      <c r="CQ50" s="8"/>
      <c r="CR50" s="8"/>
      <c r="CS50" s="9"/>
      <c r="CT50" s="8"/>
      <c r="CU50" s="8"/>
      <c r="CV50" s="8"/>
      <c r="CW50" s="9"/>
      <c r="CX50" s="8"/>
      <c r="CY50" s="8"/>
      <c r="CZ50" s="8"/>
      <c r="DA50" s="9"/>
      <c r="DB50" s="8"/>
      <c r="DC50" s="8"/>
      <c r="DD50" s="8"/>
      <c r="DE50" s="9"/>
      <c r="DF50" s="8"/>
      <c r="DG50" s="8"/>
      <c r="DH50" s="8"/>
      <c r="DI50" s="9"/>
      <c r="DJ50" s="8"/>
      <c r="DK50" s="8"/>
      <c r="DL50" s="8"/>
      <c r="DM50" s="9"/>
      <c r="DN50" s="8"/>
      <c r="DO50" s="8"/>
      <c r="DP50" s="8"/>
      <c r="DQ50" s="9"/>
      <c r="DR50" s="8"/>
      <c r="DS50" s="8"/>
      <c r="DT50" s="8"/>
      <c r="DU50" s="9"/>
      <c r="DV50" s="8"/>
      <c r="DW50" s="8"/>
      <c r="DX50" s="8"/>
      <c r="DY50" s="9"/>
      <c r="DZ50" s="8"/>
      <c r="EA50" s="8"/>
      <c r="EB50" s="8"/>
      <c r="EC50" s="9"/>
    </row>
    <row r="51" s="2" customFormat="1" spans="1:133">
      <c r="A51" s="5"/>
      <c r="B51" s="6"/>
      <c r="C51" s="6"/>
      <c r="D51" s="6"/>
      <c r="E51" s="7"/>
      <c r="F51" s="8"/>
      <c r="G51" s="8"/>
      <c r="H51" s="8"/>
      <c r="I51" s="9"/>
      <c r="J51" s="8"/>
      <c r="K51" s="8"/>
      <c r="L51" s="8"/>
      <c r="M51" s="9"/>
      <c r="N51" s="8"/>
      <c r="O51" s="8"/>
      <c r="P51" s="8"/>
      <c r="Q51" s="9"/>
      <c r="R51" s="8"/>
      <c r="S51" s="8"/>
      <c r="T51" s="8"/>
      <c r="U51" s="9"/>
      <c r="V51" s="8"/>
      <c r="W51" s="8"/>
      <c r="X51" s="8"/>
      <c r="Y51" s="9"/>
      <c r="Z51" s="8"/>
      <c r="AA51" s="8"/>
      <c r="AB51" s="8"/>
      <c r="AC51" s="9"/>
      <c r="AD51" s="8"/>
      <c r="AE51" s="8"/>
      <c r="AF51" s="8"/>
      <c r="AG51" s="9"/>
      <c r="AH51" s="8"/>
      <c r="AI51" s="8"/>
      <c r="AJ51" s="8"/>
      <c r="AK51" s="9"/>
      <c r="AL51" s="8"/>
      <c r="AM51" s="8"/>
      <c r="AN51" s="8"/>
      <c r="AO51" s="9"/>
      <c r="AP51" s="8"/>
      <c r="AQ51" s="8"/>
      <c r="AR51" s="8"/>
      <c r="AS51" s="9"/>
      <c r="AT51" s="8"/>
      <c r="AU51" s="8"/>
      <c r="AV51" s="8"/>
      <c r="AW51" s="9"/>
      <c r="AX51" s="8"/>
      <c r="AY51" s="8"/>
      <c r="AZ51" s="8"/>
      <c r="BA51" s="9"/>
      <c r="BB51" s="8"/>
      <c r="BC51" s="8"/>
      <c r="BD51" s="8"/>
      <c r="BE51" s="9"/>
      <c r="BF51" s="8"/>
      <c r="BG51" s="8"/>
      <c r="BH51" s="8"/>
      <c r="BI51" s="9"/>
      <c r="BJ51" s="8"/>
      <c r="BK51" s="8"/>
      <c r="BL51" s="8"/>
      <c r="BM51" s="9"/>
      <c r="BN51" s="8"/>
      <c r="BO51" s="8"/>
      <c r="BP51" s="8"/>
      <c r="BQ51" s="9"/>
      <c r="BR51" s="8"/>
      <c r="BS51" s="8"/>
      <c r="BT51" s="8"/>
      <c r="BU51" s="9"/>
      <c r="BV51" s="8"/>
      <c r="BW51" s="8"/>
      <c r="BX51" s="8"/>
      <c r="BY51" s="9"/>
      <c r="BZ51" s="8"/>
      <c r="CA51" s="8"/>
      <c r="CB51" s="8"/>
      <c r="CC51" s="9"/>
      <c r="CD51" s="8"/>
      <c r="CE51" s="8"/>
      <c r="CF51" s="8"/>
      <c r="CG51" s="9"/>
      <c r="CH51" s="8"/>
      <c r="CI51" s="8"/>
      <c r="CJ51" s="8"/>
      <c r="CK51" s="9"/>
      <c r="CL51" s="8"/>
      <c r="CM51" s="8"/>
      <c r="CN51" s="8"/>
      <c r="CO51" s="9"/>
      <c r="CP51" s="8"/>
      <c r="CQ51" s="8"/>
      <c r="CR51" s="8"/>
      <c r="CS51" s="9"/>
      <c r="CT51" s="8"/>
      <c r="CU51" s="8"/>
      <c r="CV51" s="8"/>
      <c r="CW51" s="9"/>
      <c r="CX51" s="8"/>
      <c r="CY51" s="8"/>
      <c r="CZ51" s="8"/>
      <c r="DA51" s="9"/>
      <c r="DB51" s="8"/>
      <c r="DC51" s="8"/>
      <c r="DD51" s="8"/>
      <c r="DE51" s="9"/>
      <c r="DF51" s="8"/>
      <c r="DG51" s="8"/>
      <c r="DH51" s="8"/>
      <c r="DI51" s="9"/>
      <c r="DJ51" s="8"/>
      <c r="DK51" s="8"/>
      <c r="DL51" s="8"/>
      <c r="DM51" s="9"/>
      <c r="DN51" s="8"/>
      <c r="DO51" s="8"/>
      <c r="DP51" s="8"/>
      <c r="DQ51" s="9"/>
      <c r="DR51" s="8"/>
      <c r="DS51" s="8"/>
      <c r="DT51" s="8"/>
      <c r="DU51" s="9"/>
      <c r="DV51" s="8"/>
      <c r="DW51" s="8"/>
      <c r="DX51" s="8"/>
      <c r="DY51" s="9"/>
      <c r="DZ51" s="8"/>
      <c r="EA51" s="8"/>
      <c r="EB51" s="8"/>
      <c r="EC51" s="9"/>
    </row>
    <row r="52" s="2" customFormat="1" spans="1:133">
      <c r="A52" s="5"/>
      <c r="B52" s="6"/>
      <c r="C52" s="6"/>
      <c r="D52" s="6"/>
      <c r="E52" s="7"/>
      <c r="F52" s="8"/>
      <c r="G52" s="8"/>
      <c r="H52" s="8"/>
      <c r="I52" s="9"/>
      <c r="J52" s="8"/>
      <c r="K52" s="8"/>
      <c r="L52" s="8"/>
      <c r="M52" s="9"/>
      <c r="N52" s="8"/>
      <c r="O52" s="8"/>
      <c r="P52" s="8"/>
      <c r="Q52" s="9"/>
      <c r="R52" s="8"/>
      <c r="S52" s="8"/>
      <c r="T52" s="8"/>
      <c r="U52" s="9"/>
      <c r="V52" s="8"/>
      <c r="W52" s="8"/>
      <c r="X52" s="8"/>
      <c r="Y52" s="9"/>
      <c r="Z52" s="8"/>
      <c r="AA52" s="8"/>
      <c r="AB52" s="8"/>
      <c r="AC52" s="9"/>
      <c r="AD52" s="8"/>
      <c r="AE52" s="8"/>
      <c r="AF52" s="8"/>
      <c r="AG52" s="9"/>
      <c r="AH52" s="8"/>
      <c r="AI52" s="8"/>
      <c r="AJ52" s="8"/>
      <c r="AK52" s="9"/>
      <c r="AL52" s="8"/>
      <c r="AM52" s="8"/>
      <c r="AN52" s="8"/>
      <c r="AO52" s="9"/>
      <c r="AP52" s="8"/>
      <c r="AQ52" s="8"/>
      <c r="AR52" s="8"/>
      <c r="AS52" s="9"/>
      <c r="AT52" s="8"/>
      <c r="AU52" s="8"/>
      <c r="AV52" s="8"/>
      <c r="AW52" s="9"/>
      <c r="AX52" s="8"/>
      <c r="AY52" s="8"/>
      <c r="AZ52" s="8"/>
      <c r="BA52" s="9"/>
      <c r="BB52" s="8"/>
      <c r="BC52" s="8"/>
      <c r="BD52" s="8"/>
      <c r="BE52" s="9"/>
      <c r="BF52" s="8"/>
      <c r="BG52" s="8"/>
      <c r="BH52" s="8"/>
      <c r="BI52" s="9"/>
      <c r="BJ52" s="8"/>
      <c r="BK52" s="8"/>
      <c r="BL52" s="8"/>
      <c r="BM52" s="9"/>
      <c r="BN52" s="8"/>
      <c r="BO52" s="8"/>
      <c r="BP52" s="8"/>
      <c r="BQ52" s="9"/>
      <c r="BR52" s="8"/>
      <c r="BS52" s="8"/>
      <c r="BT52" s="8"/>
      <c r="BU52" s="9"/>
      <c r="BV52" s="8"/>
      <c r="BW52" s="8"/>
      <c r="BX52" s="8"/>
      <c r="BY52" s="9"/>
      <c r="BZ52" s="8"/>
      <c r="CA52" s="8"/>
      <c r="CB52" s="8"/>
      <c r="CC52" s="9"/>
      <c r="CD52" s="8"/>
      <c r="CE52" s="8"/>
      <c r="CF52" s="8"/>
      <c r="CG52" s="9"/>
      <c r="CH52" s="8"/>
      <c r="CI52" s="8"/>
      <c r="CJ52" s="8"/>
      <c r="CK52" s="9"/>
      <c r="CL52" s="8"/>
      <c r="CM52" s="8"/>
      <c r="CN52" s="8"/>
      <c r="CO52" s="9"/>
      <c r="CP52" s="8"/>
      <c r="CQ52" s="8"/>
      <c r="CR52" s="8"/>
      <c r="CS52" s="9"/>
      <c r="CT52" s="8"/>
      <c r="CU52" s="8"/>
      <c r="CV52" s="8"/>
      <c r="CW52" s="9"/>
      <c r="CX52" s="8"/>
      <c r="CY52" s="8"/>
      <c r="CZ52" s="8"/>
      <c r="DA52" s="9"/>
      <c r="DB52" s="8"/>
      <c r="DC52" s="8"/>
      <c r="DD52" s="8"/>
      <c r="DE52" s="9"/>
      <c r="DF52" s="8"/>
      <c r="DG52" s="8"/>
      <c r="DH52" s="8"/>
      <c r="DI52" s="9"/>
      <c r="DJ52" s="8"/>
      <c r="DK52" s="8"/>
      <c r="DL52" s="8"/>
      <c r="DM52" s="9"/>
      <c r="DN52" s="8"/>
      <c r="DO52" s="8"/>
      <c r="DP52" s="8"/>
      <c r="DQ52" s="9"/>
      <c r="DR52" s="8"/>
      <c r="DS52" s="8"/>
      <c r="DT52" s="8"/>
      <c r="DU52" s="9"/>
      <c r="DV52" s="8"/>
      <c r="DW52" s="8"/>
      <c r="DX52" s="8"/>
      <c r="DY52" s="9"/>
      <c r="DZ52" s="8"/>
      <c r="EA52" s="8"/>
      <c r="EB52" s="8"/>
      <c r="EC52" s="9"/>
    </row>
    <row r="53" s="2" customFormat="1" spans="1:133">
      <c r="A53" s="5"/>
      <c r="B53" s="6"/>
      <c r="C53" s="6"/>
      <c r="D53" s="6"/>
      <c r="E53" s="7"/>
      <c r="F53" s="8"/>
      <c r="G53" s="8"/>
      <c r="H53" s="8"/>
      <c r="I53" s="9"/>
      <c r="J53" s="8"/>
      <c r="K53" s="8"/>
      <c r="L53" s="8"/>
      <c r="M53" s="9"/>
      <c r="N53" s="8"/>
      <c r="O53" s="8"/>
      <c r="P53" s="8"/>
      <c r="Q53" s="9"/>
      <c r="R53" s="8"/>
      <c r="S53" s="8"/>
      <c r="T53" s="8"/>
      <c r="U53" s="9"/>
      <c r="V53" s="8"/>
      <c r="W53" s="8"/>
      <c r="X53" s="8"/>
      <c r="Y53" s="9"/>
      <c r="Z53" s="8"/>
      <c r="AA53" s="8"/>
      <c r="AB53" s="8"/>
      <c r="AC53" s="9"/>
      <c r="AD53" s="8"/>
      <c r="AE53" s="8"/>
      <c r="AF53" s="8"/>
      <c r="AG53" s="9"/>
      <c r="AH53" s="8"/>
      <c r="AI53" s="8"/>
      <c r="AJ53" s="8"/>
      <c r="AK53" s="9"/>
      <c r="AL53" s="8"/>
      <c r="AM53" s="8"/>
      <c r="AN53" s="8"/>
      <c r="AO53" s="9"/>
      <c r="AP53" s="8"/>
      <c r="AQ53" s="8"/>
      <c r="AR53" s="8"/>
      <c r="AS53" s="9"/>
      <c r="AT53" s="8"/>
      <c r="AU53" s="8"/>
      <c r="AV53" s="8"/>
      <c r="AW53" s="9"/>
      <c r="AX53" s="8"/>
      <c r="AY53" s="8"/>
      <c r="AZ53" s="8"/>
      <c r="BA53" s="9"/>
      <c r="BB53" s="8"/>
      <c r="BC53" s="8"/>
      <c r="BD53" s="8"/>
      <c r="BE53" s="9"/>
      <c r="BF53" s="8"/>
      <c r="BG53" s="8"/>
      <c r="BH53" s="8"/>
      <c r="BI53" s="9"/>
      <c r="BJ53" s="8"/>
      <c r="BK53" s="8"/>
      <c r="BL53" s="8"/>
      <c r="BM53" s="9"/>
      <c r="BN53" s="8"/>
      <c r="BO53" s="8"/>
      <c r="BP53" s="8"/>
      <c r="BQ53" s="9"/>
      <c r="BR53" s="8"/>
      <c r="BS53" s="8"/>
      <c r="BT53" s="8"/>
      <c r="BU53" s="9"/>
      <c r="BV53" s="8"/>
      <c r="BW53" s="8"/>
      <c r="BX53" s="8"/>
      <c r="BY53" s="9"/>
      <c r="BZ53" s="8"/>
      <c r="CA53" s="8"/>
      <c r="CB53" s="8"/>
      <c r="CC53" s="9"/>
      <c r="CD53" s="8"/>
      <c r="CE53" s="8"/>
      <c r="CF53" s="8"/>
      <c r="CG53" s="9"/>
      <c r="CH53" s="8"/>
      <c r="CI53" s="8"/>
      <c r="CJ53" s="8"/>
      <c r="CK53" s="9"/>
      <c r="CL53" s="8"/>
      <c r="CM53" s="8"/>
      <c r="CN53" s="8"/>
      <c r="CO53" s="9"/>
      <c r="CP53" s="8"/>
      <c r="CQ53" s="8"/>
      <c r="CR53" s="8"/>
      <c r="CS53" s="9"/>
      <c r="CT53" s="8"/>
      <c r="CU53" s="8"/>
      <c r="CV53" s="8"/>
      <c r="CW53" s="9"/>
      <c r="CX53" s="8"/>
      <c r="CY53" s="8"/>
      <c r="CZ53" s="8"/>
      <c r="DA53" s="9"/>
      <c r="DB53" s="8"/>
      <c r="DC53" s="8"/>
      <c r="DD53" s="8"/>
      <c r="DE53" s="9"/>
      <c r="DF53" s="8"/>
      <c r="DG53" s="8"/>
      <c r="DH53" s="8"/>
      <c r="DI53" s="9"/>
      <c r="DJ53" s="8"/>
      <c r="DK53" s="8"/>
      <c r="DL53" s="8"/>
      <c r="DM53" s="9"/>
      <c r="DN53" s="8"/>
      <c r="DO53" s="8"/>
      <c r="DP53" s="8"/>
      <c r="DQ53" s="9"/>
      <c r="DR53" s="8"/>
      <c r="DS53" s="8"/>
      <c r="DT53" s="8"/>
      <c r="DU53" s="9"/>
      <c r="DV53" s="8"/>
      <c r="DW53" s="8"/>
      <c r="DX53" s="8"/>
      <c r="DY53" s="9"/>
      <c r="DZ53" s="8"/>
      <c r="EA53" s="8"/>
      <c r="EB53" s="8"/>
      <c r="EC53" s="9"/>
    </row>
    <row r="54" s="2" customFormat="1" spans="1:133">
      <c r="A54" s="5"/>
      <c r="B54" s="6"/>
      <c r="C54" s="6"/>
      <c r="D54" s="6"/>
      <c r="E54" s="7"/>
      <c r="F54" s="8"/>
      <c r="G54" s="8"/>
      <c r="H54" s="8"/>
      <c r="I54" s="9"/>
      <c r="J54" s="8"/>
      <c r="K54" s="8"/>
      <c r="L54" s="8"/>
      <c r="M54" s="9"/>
      <c r="N54" s="8"/>
      <c r="O54" s="8"/>
      <c r="P54" s="8"/>
      <c r="Q54" s="9"/>
      <c r="R54" s="8"/>
      <c r="S54" s="8"/>
      <c r="T54" s="8"/>
      <c r="U54" s="9"/>
      <c r="V54" s="8"/>
      <c r="W54" s="8"/>
      <c r="X54" s="8"/>
      <c r="Y54" s="9"/>
      <c r="Z54" s="8"/>
      <c r="AA54" s="8"/>
      <c r="AB54" s="8"/>
      <c r="AC54" s="9"/>
      <c r="AD54" s="8"/>
      <c r="AE54" s="8"/>
      <c r="AF54" s="8"/>
      <c r="AG54" s="9"/>
      <c r="AH54" s="8"/>
      <c r="AI54" s="8"/>
      <c r="AJ54" s="8"/>
      <c r="AK54" s="9"/>
      <c r="AL54" s="8"/>
      <c r="AM54" s="8"/>
      <c r="AN54" s="8"/>
      <c r="AO54" s="9"/>
      <c r="AP54" s="8"/>
      <c r="AQ54" s="8"/>
      <c r="AR54" s="8"/>
      <c r="AS54" s="9"/>
      <c r="AT54" s="8"/>
      <c r="AU54" s="8"/>
      <c r="AV54" s="8"/>
      <c r="AW54" s="9"/>
      <c r="AX54" s="8"/>
      <c r="AY54" s="8"/>
      <c r="AZ54" s="8"/>
      <c r="BA54" s="9"/>
      <c r="BB54" s="8"/>
      <c r="BC54" s="8"/>
      <c r="BD54" s="8"/>
      <c r="BE54" s="9"/>
      <c r="BF54" s="8"/>
      <c r="BG54" s="8"/>
      <c r="BH54" s="8"/>
      <c r="BI54" s="9"/>
      <c r="BJ54" s="8"/>
      <c r="BK54" s="8"/>
      <c r="BL54" s="8"/>
      <c r="BM54" s="9"/>
      <c r="BN54" s="8"/>
      <c r="BO54" s="8"/>
      <c r="BP54" s="8"/>
      <c r="BQ54" s="9"/>
      <c r="BR54" s="8"/>
      <c r="BS54" s="8"/>
      <c r="BT54" s="8"/>
      <c r="BU54" s="9"/>
      <c r="BV54" s="8"/>
      <c r="BW54" s="8"/>
      <c r="BX54" s="8"/>
      <c r="BY54" s="9"/>
      <c r="BZ54" s="8"/>
      <c r="CA54" s="8"/>
      <c r="CB54" s="8"/>
      <c r="CC54" s="9"/>
      <c r="CD54" s="8"/>
      <c r="CE54" s="8"/>
      <c r="CF54" s="8"/>
      <c r="CG54" s="9"/>
      <c r="CH54" s="8"/>
      <c r="CI54" s="8"/>
      <c r="CJ54" s="8"/>
      <c r="CK54" s="9"/>
      <c r="CL54" s="8"/>
      <c r="CM54" s="8"/>
      <c r="CN54" s="8"/>
      <c r="CO54" s="9"/>
      <c r="CP54" s="8"/>
      <c r="CQ54" s="8"/>
      <c r="CR54" s="8"/>
      <c r="CS54" s="9"/>
      <c r="CT54" s="8"/>
      <c r="CU54" s="8"/>
      <c r="CV54" s="8"/>
      <c r="CW54" s="9"/>
      <c r="CX54" s="8"/>
      <c r="CY54" s="8"/>
      <c r="CZ54" s="8"/>
      <c r="DA54" s="9"/>
      <c r="DB54" s="8"/>
      <c r="DC54" s="8"/>
      <c r="DD54" s="8"/>
      <c r="DE54" s="9"/>
      <c r="DF54" s="8"/>
      <c r="DG54" s="8"/>
      <c r="DH54" s="8"/>
      <c r="DI54" s="9"/>
      <c r="DJ54" s="8"/>
      <c r="DK54" s="8"/>
      <c r="DL54" s="8"/>
      <c r="DM54" s="9"/>
      <c r="DN54" s="8"/>
      <c r="DO54" s="8"/>
      <c r="DP54" s="8"/>
      <c r="DQ54" s="9"/>
      <c r="DR54" s="8"/>
      <c r="DS54" s="8"/>
      <c r="DT54" s="8"/>
      <c r="DU54" s="9"/>
      <c r="DV54" s="8"/>
      <c r="DW54" s="8"/>
      <c r="DX54" s="8"/>
      <c r="DY54" s="9"/>
      <c r="DZ54" s="8"/>
      <c r="EA54" s="8"/>
      <c r="EB54" s="8"/>
      <c r="EC54" s="9"/>
    </row>
    <row r="55" s="2" customFormat="1" spans="1:133">
      <c r="A55" s="5"/>
      <c r="B55" s="6"/>
      <c r="C55" s="6"/>
      <c r="D55" s="6"/>
      <c r="E55" s="7"/>
      <c r="F55" s="8"/>
      <c r="G55" s="8"/>
      <c r="H55" s="8"/>
      <c r="I55" s="9"/>
      <c r="J55" s="8"/>
      <c r="K55" s="8"/>
      <c r="L55" s="8"/>
      <c r="M55" s="9"/>
      <c r="N55" s="8"/>
      <c r="O55" s="8"/>
      <c r="P55" s="8"/>
      <c r="Q55" s="9"/>
      <c r="R55" s="8"/>
      <c r="S55" s="8"/>
      <c r="T55" s="8"/>
      <c r="U55" s="9"/>
      <c r="V55" s="8"/>
      <c r="W55" s="8"/>
      <c r="X55" s="8"/>
      <c r="Y55" s="9"/>
      <c r="Z55" s="8"/>
      <c r="AA55" s="8"/>
      <c r="AB55" s="8"/>
      <c r="AC55" s="9"/>
      <c r="AD55" s="8"/>
      <c r="AE55" s="8"/>
      <c r="AF55" s="8"/>
      <c r="AG55" s="9"/>
      <c r="AH55" s="8"/>
      <c r="AI55" s="8"/>
      <c r="AJ55" s="8"/>
      <c r="AK55" s="9"/>
      <c r="AL55" s="8"/>
      <c r="AM55" s="8"/>
      <c r="AN55" s="8"/>
      <c r="AO55" s="9"/>
      <c r="AP55" s="8"/>
      <c r="AQ55" s="8"/>
      <c r="AR55" s="8"/>
      <c r="AS55" s="9"/>
      <c r="AT55" s="8"/>
      <c r="AU55" s="8"/>
      <c r="AV55" s="8"/>
      <c r="AW55" s="9"/>
      <c r="AX55" s="8"/>
      <c r="AY55" s="8"/>
      <c r="AZ55" s="8"/>
      <c r="BA55" s="9"/>
      <c r="BB55" s="8"/>
      <c r="BC55" s="8"/>
      <c r="BD55" s="8"/>
      <c r="BE55" s="9"/>
      <c r="BF55" s="8"/>
      <c r="BG55" s="8"/>
      <c r="BH55" s="8"/>
      <c r="BI55" s="9"/>
      <c r="BJ55" s="8"/>
      <c r="BK55" s="8"/>
      <c r="BL55" s="8"/>
      <c r="BM55" s="9"/>
      <c r="BN55" s="8"/>
      <c r="BO55" s="8"/>
      <c r="BP55" s="8"/>
      <c r="BQ55" s="9"/>
      <c r="BR55" s="8"/>
      <c r="BS55" s="8"/>
      <c r="BT55" s="8"/>
      <c r="BU55" s="9"/>
      <c r="BV55" s="8"/>
      <c r="BW55" s="8"/>
      <c r="BX55" s="8"/>
      <c r="BY55" s="9"/>
      <c r="BZ55" s="8"/>
      <c r="CA55" s="8"/>
      <c r="CB55" s="8"/>
      <c r="CC55" s="9"/>
      <c r="CD55" s="8"/>
      <c r="CE55" s="8"/>
      <c r="CF55" s="8"/>
      <c r="CG55" s="9"/>
      <c r="CH55" s="8"/>
      <c r="CI55" s="8"/>
      <c r="CJ55" s="8"/>
      <c r="CK55" s="9"/>
      <c r="CL55" s="8"/>
      <c r="CM55" s="8"/>
      <c r="CN55" s="8"/>
      <c r="CO55" s="9"/>
      <c r="CP55" s="8"/>
      <c r="CQ55" s="8"/>
      <c r="CR55" s="8"/>
      <c r="CS55" s="9"/>
      <c r="CT55" s="8"/>
      <c r="CU55" s="8"/>
      <c r="CV55" s="8"/>
      <c r="CW55" s="9"/>
      <c r="CX55" s="8"/>
      <c r="CY55" s="8"/>
      <c r="CZ55" s="8"/>
      <c r="DA55" s="9"/>
      <c r="DB55" s="8"/>
      <c r="DC55" s="8"/>
      <c r="DD55" s="8"/>
      <c r="DE55" s="9"/>
      <c r="DF55" s="8"/>
      <c r="DG55" s="8"/>
      <c r="DH55" s="8"/>
      <c r="DI55" s="9"/>
      <c r="DJ55" s="8"/>
      <c r="DK55" s="8"/>
      <c r="DL55" s="8"/>
      <c r="DM55" s="9"/>
      <c r="DN55" s="8"/>
      <c r="DO55" s="8"/>
      <c r="DP55" s="8"/>
      <c r="DQ55" s="9"/>
      <c r="DR55" s="8"/>
      <c r="DS55" s="8"/>
      <c r="DT55" s="8"/>
      <c r="DU55" s="9"/>
      <c r="DV55" s="8"/>
      <c r="DW55" s="8"/>
      <c r="DX55" s="8"/>
      <c r="DY55" s="9"/>
      <c r="DZ55" s="8"/>
      <c r="EA55" s="8"/>
      <c r="EB55" s="8"/>
      <c r="EC55" s="9"/>
    </row>
    <row r="56" s="2" customFormat="1" spans="1:133">
      <c r="A56" s="5"/>
      <c r="B56" s="6"/>
      <c r="C56" s="6"/>
      <c r="D56" s="6"/>
      <c r="E56" s="7"/>
      <c r="F56" s="8"/>
      <c r="G56" s="8"/>
      <c r="H56" s="8"/>
      <c r="I56" s="9"/>
      <c r="J56" s="8"/>
      <c r="K56" s="8"/>
      <c r="L56" s="8"/>
      <c r="M56" s="9"/>
      <c r="N56" s="8"/>
      <c r="O56" s="8"/>
      <c r="P56" s="8"/>
      <c r="Q56" s="9"/>
      <c r="R56" s="8"/>
      <c r="S56" s="8"/>
      <c r="T56" s="8"/>
      <c r="U56" s="9"/>
      <c r="V56" s="8"/>
      <c r="W56" s="8"/>
      <c r="X56" s="8"/>
      <c r="Y56" s="9"/>
      <c r="Z56" s="8"/>
      <c r="AA56" s="8"/>
      <c r="AB56" s="8"/>
      <c r="AC56" s="9"/>
      <c r="AD56" s="8"/>
      <c r="AE56" s="8"/>
      <c r="AF56" s="8"/>
      <c r="AG56" s="9"/>
      <c r="AH56" s="8"/>
      <c r="AI56" s="8"/>
      <c r="AJ56" s="8"/>
      <c r="AK56" s="9"/>
      <c r="AL56" s="8"/>
      <c r="AM56" s="8"/>
      <c r="AN56" s="8"/>
      <c r="AO56" s="9"/>
      <c r="AP56" s="8"/>
      <c r="AQ56" s="8"/>
      <c r="AR56" s="8"/>
      <c r="AS56" s="9"/>
      <c r="AT56" s="8"/>
      <c r="AU56" s="8"/>
      <c r="AV56" s="8"/>
      <c r="AW56" s="9"/>
      <c r="AX56" s="8"/>
      <c r="AY56" s="8"/>
      <c r="AZ56" s="8"/>
      <c r="BA56" s="9"/>
      <c r="BB56" s="8"/>
      <c r="BC56" s="8"/>
      <c r="BD56" s="8"/>
      <c r="BE56" s="9"/>
      <c r="BF56" s="8"/>
      <c r="BG56" s="8"/>
      <c r="BH56" s="8"/>
      <c r="BI56" s="9"/>
      <c r="BJ56" s="8"/>
      <c r="BK56" s="8"/>
      <c r="BL56" s="8"/>
      <c r="BM56" s="9"/>
      <c r="BN56" s="8"/>
      <c r="BO56" s="8"/>
      <c r="BP56" s="8"/>
      <c r="BQ56" s="9"/>
      <c r="BR56" s="8"/>
      <c r="BS56" s="8"/>
      <c r="BT56" s="8"/>
      <c r="BU56" s="9"/>
      <c r="BV56" s="8"/>
      <c r="BW56" s="8"/>
      <c r="BX56" s="8"/>
      <c r="BY56" s="9"/>
      <c r="BZ56" s="8"/>
      <c r="CA56" s="8"/>
      <c r="CB56" s="8"/>
      <c r="CC56" s="9"/>
      <c r="CD56" s="8"/>
      <c r="CE56" s="8"/>
      <c r="CF56" s="8"/>
      <c r="CG56" s="9"/>
      <c r="CH56" s="8"/>
      <c r="CI56" s="8"/>
      <c r="CJ56" s="8"/>
      <c r="CK56" s="9"/>
      <c r="CL56" s="8"/>
      <c r="CM56" s="8"/>
      <c r="CN56" s="8"/>
      <c r="CO56" s="9"/>
      <c r="CP56" s="8"/>
      <c r="CQ56" s="8"/>
      <c r="CR56" s="8"/>
      <c r="CS56" s="9"/>
      <c r="CT56" s="8"/>
      <c r="CU56" s="8"/>
      <c r="CV56" s="8"/>
      <c r="CW56" s="9"/>
      <c r="CX56" s="8"/>
      <c r="CY56" s="8"/>
      <c r="CZ56" s="8"/>
      <c r="DA56" s="9"/>
      <c r="DB56" s="8"/>
      <c r="DC56" s="8"/>
      <c r="DD56" s="8"/>
      <c r="DE56" s="9"/>
      <c r="DF56" s="8"/>
      <c r="DG56" s="8"/>
      <c r="DH56" s="8"/>
      <c r="DI56" s="9"/>
      <c r="DJ56" s="8"/>
      <c r="DK56" s="8"/>
      <c r="DL56" s="8"/>
      <c r="DM56" s="9"/>
      <c r="DN56" s="8"/>
      <c r="DO56" s="8"/>
      <c r="DP56" s="8"/>
      <c r="DQ56" s="9"/>
      <c r="DR56" s="8"/>
      <c r="DS56" s="8"/>
      <c r="DT56" s="8"/>
      <c r="DU56" s="9"/>
      <c r="DV56" s="8"/>
      <c r="DW56" s="8"/>
      <c r="DX56" s="8"/>
      <c r="DY56" s="9"/>
      <c r="DZ56" s="8"/>
      <c r="EA56" s="8"/>
      <c r="EB56" s="8"/>
      <c r="EC56" s="9"/>
    </row>
    <row r="57" s="2" customFormat="1" spans="1:133">
      <c r="A57" s="5"/>
      <c r="B57" s="6"/>
      <c r="C57" s="6"/>
      <c r="D57" s="6"/>
      <c r="E57" s="7"/>
      <c r="F57" s="8"/>
      <c r="G57" s="8"/>
      <c r="H57" s="8"/>
      <c r="I57" s="9"/>
      <c r="J57" s="8"/>
      <c r="K57" s="8"/>
      <c r="L57" s="8"/>
      <c r="M57" s="9"/>
      <c r="N57" s="8"/>
      <c r="O57" s="8"/>
      <c r="P57" s="8"/>
      <c r="Q57" s="9"/>
      <c r="R57" s="8"/>
      <c r="S57" s="8"/>
      <c r="T57" s="8"/>
      <c r="U57" s="9"/>
      <c r="V57" s="8"/>
      <c r="W57" s="8"/>
      <c r="X57" s="8"/>
      <c r="Y57" s="9"/>
      <c r="Z57" s="8"/>
      <c r="AA57" s="8"/>
      <c r="AB57" s="8"/>
      <c r="AC57" s="9"/>
      <c r="AD57" s="8"/>
      <c r="AE57" s="8"/>
      <c r="AF57" s="8"/>
      <c r="AG57" s="9"/>
      <c r="AH57" s="8"/>
      <c r="AI57" s="8"/>
      <c r="AJ57" s="8"/>
      <c r="AK57" s="9"/>
      <c r="AL57" s="8"/>
      <c r="AM57" s="8"/>
      <c r="AN57" s="8"/>
      <c r="AO57" s="9"/>
      <c r="AP57" s="8"/>
      <c r="AQ57" s="8"/>
      <c r="AR57" s="8"/>
      <c r="AS57" s="9"/>
      <c r="AT57" s="8"/>
      <c r="AU57" s="8"/>
      <c r="AV57" s="8"/>
      <c r="AW57" s="9"/>
      <c r="AX57" s="8"/>
      <c r="AY57" s="8"/>
      <c r="AZ57" s="8"/>
      <c r="BA57" s="9"/>
      <c r="BB57" s="8"/>
      <c r="BC57" s="8"/>
      <c r="BD57" s="8"/>
      <c r="BE57" s="9"/>
      <c r="BF57" s="8"/>
      <c r="BG57" s="8"/>
      <c r="BH57" s="8"/>
      <c r="BI57" s="9"/>
      <c r="BJ57" s="8"/>
      <c r="BK57" s="8"/>
      <c r="BL57" s="8"/>
      <c r="BM57" s="9"/>
      <c r="BN57" s="8"/>
      <c r="BO57" s="8"/>
      <c r="BP57" s="8"/>
      <c r="BQ57" s="9"/>
      <c r="BR57" s="8"/>
      <c r="BS57" s="8"/>
      <c r="BT57" s="8"/>
      <c r="BU57" s="9"/>
      <c r="BV57" s="8"/>
      <c r="BW57" s="8"/>
      <c r="BX57" s="8"/>
      <c r="BY57" s="9"/>
      <c r="BZ57" s="8"/>
      <c r="CA57" s="8"/>
      <c r="CB57" s="8"/>
      <c r="CC57" s="9"/>
      <c r="CD57" s="8"/>
      <c r="CE57" s="8"/>
      <c r="CF57" s="8"/>
      <c r="CG57" s="9"/>
      <c r="CH57" s="8"/>
      <c r="CI57" s="8"/>
      <c r="CJ57" s="8"/>
      <c r="CK57" s="9"/>
      <c r="CL57" s="8"/>
      <c r="CM57" s="8"/>
      <c r="CN57" s="8"/>
      <c r="CO57" s="9"/>
      <c r="CP57" s="8"/>
      <c r="CQ57" s="8"/>
      <c r="CR57" s="8"/>
      <c r="CS57" s="9"/>
      <c r="CT57" s="8"/>
      <c r="CU57" s="8"/>
      <c r="CV57" s="8"/>
      <c r="CW57" s="9"/>
      <c r="CX57" s="8"/>
      <c r="CY57" s="8"/>
      <c r="CZ57" s="8"/>
      <c r="DA57" s="9"/>
      <c r="DB57" s="8"/>
      <c r="DC57" s="8"/>
      <c r="DD57" s="8"/>
      <c r="DE57" s="9"/>
      <c r="DF57" s="8"/>
      <c r="DG57" s="8"/>
      <c r="DH57" s="8"/>
      <c r="DI57" s="9"/>
      <c r="DJ57" s="8"/>
      <c r="DK57" s="8"/>
      <c r="DL57" s="8"/>
      <c r="DM57" s="9"/>
      <c r="DN57" s="8"/>
      <c r="DO57" s="8"/>
      <c r="DP57" s="8"/>
      <c r="DQ57" s="9"/>
      <c r="DR57" s="8"/>
      <c r="DS57" s="8"/>
      <c r="DT57" s="8"/>
      <c r="DU57" s="9"/>
      <c r="DV57" s="8"/>
      <c r="DW57" s="8"/>
      <c r="DX57" s="8"/>
      <c r="DY57" s="9"/>
      <c r="DZ57" s="8"/>
      <c r="EA57" s="8"/>
      <c r="EB57" s="8"/>
      <c r="EC57" s="9"/>
    </row>
    <row r="58" s="2" customFormat="1" spans="1:133">
      <c r="A58" s="5"/>
      <c r="B58" s="6"/>
      <c r="C58" s="6"/>
      <c r="D58" s="6"/>
      <c r="E58" s="7"/>
      <c r="F58" s="8"/>
      <c r="G58" s="8"/>
      <c r="H58" s="8"/>
      <c r="I58" s="9"/>
      <c r="J58" s="8"/>
      <c r="K58" s="8"/>
      <c r="L58" s="8"/>
      <c r="M58" s="9"/>
      <c r="N58" s="8"/>
      <c r="O58" s="8"/>
      <c r="P58" s="8"/>
      <c r="Q58" s="9"/>
      <c r="R58" s="8"/>
      <c r="S58" s="8"/>
      <c r="T58" s="8"/>
      <c r="U58" s="9"/>
      <c r="V58" s="8"/>
      <c r="W58" s="8"/>
      <c r="X58" s="8"/>
      <c r="Y58" s="9"/>
      <c r="Z58" s="8"/>
      <c r="AA58" s="8"/>
      <c r="AB58" s="8"/>
      <c r="AC58" s="9"/>
      <c r="AD58" s="8"/>
      <c r="AE58" s="8"/>
      <c r="AF58" s="8"/>
      <c r="AG58" s="9"/>
      <c r="AH58" s="8"/>
      <c r="AI58" s="8"/>
      <c r="AJ58" s="8"/>
      <c r="AK58" s="9"/>
      <c r="AL58" s="8"/>
      <c r="AM58" s="8"/>
      <c r="AN58" s="8"/>
      <c r="AO58" s="9"/>
      <c r="AP58" s="8"/>
      <c r="AQ58" s="8"/>
      <c r="AR58" s="8"/>
      <c r="AS58" s="9"/>
      <c r="AT58" s="8"/>
      <c r="AU58" s="8"/>
      <c r="AV58" s="8"/>
      <c r="AW58" s="9"/>
      <c r="AX58" s="8"/>
      <c r="AY58" s="8"/>
      <c r="AZ58" s="8"/>
      <c r="BA58" s="9"/>
      <c r="BB58" s="8"/>
      <c r="BC58" s="8"/>
      <c r="BD58" s="8"/>
      <c r="BE58" s="9"/>
      <c r="BF58" s="8"/>
      <c r="BG58" s="8"/>
      <c r="BH58" s="8"/>
      <c r="BI58" s="9"/>
      <c r="BJ58" s="8"/>
      <c r="BK58" s="8"/>
      <c r="BL58" s="8"/>
      <c r="BM58" s="9"/>
      <c r="BN58" s="8"/>
      <c r="BO58" s="8"/>
      <c r="BP58" s="8"/>
      <c r="BQ58" s="9"/>
      <c r="BR58" s="8"/>
      <c r="BS58" s="8"/>
      <c r="BT58" s="8"/>
      <c r="BU58" s="9"/>
      <c r="BV58" s="8"/>
      <c r="BW58" s="8"/>
      <c r="BX58" s="8"/>
      <c r="BY58" s="9"/>
      <c r="BZ58" s="8"/>
      <c r="CA58" s="8"/>
      <c r="CB58" s="8"/>
      <c r="CC58" s="9"/>
      <c r="CD58" s="8"/>
      <c r="CE58" s="8"/>
      <c r="CF58" s="8"/>
      <c r="CG58" s="9"/>
      <c r="CH58" s="8"/>
      <c r="CI58" s="8"/>
      <c r="CJ58" s="8"/>
      <c r="CK58" s="9"/>
      <c r="CL58" s="8"/>
      <c r="CM58" s="8"/>
      <c r="CN58" s="8"/>
      <c r="CO58" s="9"/>
      <c r="CP58" s="8"/>
      <c r="CQ58" s="8"/>
      <c r="CR58" s="8"/>
      <c r="CS58" s="9"/>
      <c r="CT58" s="8"/>
      <c r="CU58" s="8"/>
      <c r="CV58" s="8"/>
      <c r="CW58" s="9"/>
      <c r="CX58" s="8"/>
      <c r="CY58" s="8"/>
      <c r="CZ58" s="8"/>
      <c r="DA58" s="9"/>
      <c r="DB58" s="8"/>
      <c r="DC58" s="8"/>
      <c r="DD58" s="8"/>
      <c r="DE58" s="9"/>
      <c r="DF58" s="8"/>
      <c r="DG58" s="8"/>
      <c r="DH58" s="8"/>
      <c r="DI58" s="9"/>
      <c r="DJ58" s="8"/>
      <c r="DK58" s="8"/>
      <c r="DL58" s="8"/>
      <c r="DM58" s="9"/>
      <c r="DN58" s="8"/>
      <c r="DO58" s="8"/>
      <c r="DP58" s="8"/>
      <c r="DQ58" s="9"/>
      <c r="DR58" s="8"/>
      <c r="DS58" s="8"/>
      <c r="DT58" s="8"/>
      <c r="DU58" s="9"/>
      <c r="DV58" s="8"/>
      <c r="DW58" s="8"/>
      <c r="DX58" s="8"/>
      <c r="DY58" s="9"/>
      <c r="DZ58" s="8"/>
      <c r="EA58" s="8"/>
      <c r="EB58" s="8"/>
      <c r="EC58" s="9"/>
    </row>
    <row r="59" s="2" customFormat="1" spans="1:133">
      <c r="A59" s="5"/>
      <c r="B59" s="6"/>
      <c r="C59" s="6"/>
      <c r="D59" s="6"/>
      <c r="E59" s="7"/>
      <c r="F59" s="8"/>
      <c r="G59" s="8"/>
      <c r="H59" s="8"/>
      <c r="I59" s="9"/>
      <c r="J59" s="8"/>
      <c r="K59" s="8"/>
      <c r="L59" s="8"/>
      <c r="M59" s="9"/>
      <c r="N59" s="8"/>
      <c r="O59" s="8"/>
      <c r="P59" s="8"/>
      <c r="Q59" s="9"/>
      <c r="R59" s="8"/>
      <c r="S59" s="8"/>
      <c r="T59" s="8"/>
      <c r="U59" s="9"/>
      <c r="V59" s="8"/>
      <c r="W59" s="8"/>
      <c r="X59" s="8"/>
      <c r="Y59" s="9"/>
      <c r="Z59" s="8"/>
      <c r="AA59" s="8"/>
      <c r="AB59" s="8"/>
      <c r="AC59" s="9"/>
      <c r="AD59" s="8"/>
      <c r="AE59" s="8"/>
      <c r="AF59" s="8"/>
      <c r="AG59" s="9"/>
      <c r="AH59" s="8"/>
      <c r="AI59" s="8"/>
      <c r="AJ59" s="8"/>
      <c r="AK59" s="9"/>
      <c r="AL59" s="8"/>
      <c r="AM59" s="8"/>
      <c r="AN59" s="8"/>
      <c r="AO59" s="9"/>
      <c r="AP59" s="8"/>
      <c r="AQ59" s="8"/>
      <c r="AR59" s="8"/>
      <c r="AS59" s="9"/>
      <c r="AT59" s="8"/>
      <c r="AU59" s="8"/>
      <c r="AV59" s="8"/>
      <c r="AW59" s="9"/>
      <c r="AX59" s="8"/>
      <c r="AY59" s="8"/>
      <c r="AZ59" s="8"/>
      <c r="BA59" s="9"/>
      <c r="BB59" s="8"/>
      <c r="BC59" s="8"/>
      <c r="BD59" s="8"/>
      <c r="BE59" s="9"/>
      <c r="BF59" s="8"/>
      <c r="BG59" s="8"/>
      <c r="BH59" s="8"/>
      <c r="BI59" s="9"/>
      <c r="BJ59" s="8"/>
      <c r="BK59" s="8"/>
      <c r="BL59" s="8"/>
      <c r="BM59" s="9"/>
      <c r="BN59" s="8"/>
      <c r="BO59" s="8"/>
      <c r="BP59" s="8"/>
      <c r="BQ59" s="9"/>
      <c r="BR59" s="8"/>
      <c r="BS59" s="8"/>
      <c r="BT59" s="8"/>
      <c r="BU59" s="9"/>
      <c r="BV59" s="8"/>
      <c r="BW59" s="8"/>
      <c r="BX59" s="8"/>
      <c r="BY59" s="9"/>
      <c r="BZ59" s="8"/>
      <c r="CA59" s="8"/>
      <c r="CB59" s="8"/>
      <c r="CC59" s="9"/>
      <c r="CD59" s="8"/>
      <c r="CE59" s="8"/>
      <c r="CF59" s="8"/>
      <c r="CG59" s="9"/>
      <c r="CH59" s="8"/>
      <c r="CI59" s="8"/>
      <c r="CJ59" s="8"/>
      <c r="CK59" s="9"/>
      <c r="CL59" s="8"/>
      <c r="CM59" s="8"/>
      <c r="CN59" s="8"/>
      <c r="CO59" s="9"/>
      <c r="CP59" s="8"/>
      <c r="CQ59" s="8"/>
      <c r="CR59" s="8"/>
      <c r="CS59" s="9"/>
      <c r="CT59" s="8"/>
      <c r="CU59" s="8"/>
      <c r="CV59" s="8"/>
      <c r="CW59" s="9"/>
      <c r="CX59" s="8"/>
      <c r="CY59" s="8"/>
      <c r="CZ59" s="8"/>
      <c r="DA59" s="9"/>
      <c r="DB59" s="8"/>
      <c r="DC59" s="8"/>
      <c r="DD59" s="8"/>
      <c r="DE59" s="9"/>
      <c r="DF59" s="8"/>
      <c r="DG59" s="8"/>
      <c r="DH59" s="8"/>
      <c r="DI59" s="9"/>
      <c r="DJ59" s="8"/>
      <c r="DK59" s="8"/>
      <c r="DL59" s="8"/>
      <c r="DM59" s="9"/>
      <c r="DN59" s="8"/>
      <c r="DO59" s="8"/>
      <c r="DP59" s="8"/>
      <c r="DQ59" s="9"/>
      <c r="DR59" s="8"/>
      <c r="DS59" s="8"/>
      <c r="DT59" s="8"/>
      <c r="DU59" s="9"/>
      <c r="DV59" s="8"/>
      <c r="DW59" s="8"/>
      <c r="DX59" s="8"/>
      <c r="DY59" s="9"/>
      <c r="DZ59" s="8"/>
      <c r="EA59" s="8"/>
      <c r="EB59" s="8"/>
      <c r="EC59" s="9"/>
    </row>
    <row r="60" s="2" customFormat="1" spans="1:133">
      <c r="A60" s="5"/>
      <c r="B60" s="6"/>
      <c r="C60" s="6"/>
      <c r="D60" s="6"/>
      <c r="E60" s="7"/>
      <c r="F60" s="8"/>
      <c r="G60" s="8"/>
      <c r="H60" s="8"/>
      <c r="I60" s="9"/>
      <c r="J60" s="8"/>
      <c r="K60" s="8"/>
      <c r="L60" s="8"/>
      <c r="M60" s="9"/>
      <c r="N60" s="8"/>
      <c r="O60" s="8"/>
      <c r="P60" s="8"/>
      <c r="Q60" s="9"/>
      <c r="R60" s="8"/>
      <c r="S60" s="8"/>
      <c r="T60" s="8"/>
      <c r="U60" s="9"/>
      <c r="V60" s="8"/>
      <c r="W60" s="8"/>
      <c r="X60" s="8"/>
      <c r="Y60" s="9"/>
      <c r="Z60" s="8"/>
      <c r="AA60" s="8"/>
      <c r="AB60" s="8"/>
      <c r="AC60" s="9"/>
      <c r="AD60" s="8"/>
      <c r="AE60" s="8"/>
      <c r="AF60" s="8"/>
      <c r="AG60" s="9"/>
      <c r="AH60" s="8"/>
      <c r="AI60" s="8"/>
      <c r="AJ60" s="8"/>
      <c r="AK60" s="9"/>
      <c r="AL60" s="8"/>
      <c r="AM60" s="8"/>
      <c r="AN60" s="8"/>
      <c r="AO60" s="9"/>
      <c r="AP60" s="8"/>
      <c r="AQ60" s="8"/>
      <c r="AR60" s="8"/>
      <c r="AS60" s="9"/>
      <c r="AT60" s="8"/>
      <c r="AU60" s="8"/>
      <c r="AV60" s="8"/>
      <c r="AW60" s="9"/>
      <c r="AX60" s="8"/>
      <c r="AY60" s="8"/>
      <c r="AZ60" s="8"/>
      <c r="BA60" s="9"/>
      <c r="BB60" s="8"/>
      <c r="BC60" s="8"/>
      <c r="BD60" s="8"/>
      <c r="BE60" s="9"/>
      <c r="BF60" s="8"/>
      <c r="BG60" s="8"/>
      <c r="BH60" s="8"/>
      <c r="BI60" s="9"/>
      <c r="BJ60" s="8"/>
      <c r="BK60" s="8"/>
      <c r="BL60" s="8"/>
      <c r="BM60" s="9"/>
      <c r="BN60" s="8"/>
      <c r="BO60" s="8"/>
      <c r="BP60" s="8"/>
      <c r="BQ60" s="9"/>
      <c r="BR60" s="8"/>
      <c r="BS60" s="8"/>
      <c r="BT60" s="8"/>
      <c r="BU60" s="9"/>
      <c r="BV60" s="8"/>
      <c r="BW60" s="8"/>
      <c r="BX60" s="8"/>
      <c r="BY60" s="9"/>
      <c r="BZ60" s="8"/>
      <c r="CA60" s="8"/>
      <c r="CB60" s="8"/>
      <c r="CC60" s="9"/>
      <c r="CD60" s="8"/>
      <c r="CE60" s="8"/>
      <c r="CF60" s="8"/>
      <c r="CG60" s="9"/>
      <c r="CH60" s="8"/>
      <c r="CI60" s="8"/>
      <c r="CJ60" s="8"/>
      <c r="CK60" s="9"/>
      <c r="CL60" s="8"/>
      <c r="CM60" s="8"/>
      <c r="CN60" s="8"/>
      <c r="CO60" s="9"/>
      <c r="CP60" s="8"/>
      <c r="CQ60" s="8"/>
      <c r="CR60" s="8"/>
      <c r="CS60" s="9"/>
      <c r="CT60" s="8"/>
      <c r="CU60" s="8"/>
      <c r="CV60" s="8"/>
      <c r="CW60" s="9"/>
      <c r="CX60" s="8"/>
      <c r="CY60" s="8"/>
      <c r="CZ60" s="8"/>
      <c r="DA60" s="9"/>
      <c r="DB60" s="8"/>
      <c r="DC60" s="8"/>
      <c r="DD60" s="8"/>
      <c r="DE60" s="9"/>
      <c r="DF60" s="8"/>
      <c r="DG60" s="8"/>
      <c r="DH60" s="8"/>
      <c r="DI60" s="9"/>
      <c r="DJ60" s="8"/>
      <c r="DK60" s="8"/>
      <c r="DL60" s="8"/>
      <c r="DM60" s="9"/>
      <c r="DN60" s="8"/>
      <c r="DO60" s="8"/>
      <c r="DP60" s="8"/>
      <c r="DQ60" s="9"/>
      <c r="DR60" s="8"/>
      <c r="DS60" s="8"/>
      <c r="DT60" s="8"/>
      <c r="DU60" s="9"/>
      <c r="DV60" s="8"/>
      <c r="DW60" s="8"/>
      <c r="DX60" s="8"/>
      <c r="DY60" s="9"/>
      <c r="DZ60" s="8"/>
      <c r="EA60" s="8"/>
      <c r="EB60" s="8"/>
      <c r="EC60" s="9"/>
    </row>
    <row r="61" s="2" customFormat="1" spans="1:133">
      <c r="A61" s="5"/>
      <c r="B61" s="6"/>
      <c r="C61" s="6"/>
      <c r="D61" s="6"/>
      <c r="E61" s="7"/>
      <c r="F61" s="8"/>
      <c r="G61" s="8"/>
      <c r="H61" s="8"/>
      <c r="I61" s="9"/>
      <c r="J61" s="8"/>
      <c r="K61" s="8"/>
      <c r="L61" s="8"/>
      <c r="M61" s="9"/>
      <c r="N61" s="8"/>
      <c r="O61" s="8"/>
      <c r="P61" s="8"/>
      <c r="Q61" s="9"/>
      <c r="R61" s="8"/>
      <c r="S61" s="8"/>
      <c r="T61" s="8"/>
      <c r="U61" s="9"/>
      <c r="V61" s="8"/>
      <c r="W61" s="8"/>
      <c r="X61" s="8"/>
      <c r="Y61" s="9"/>
      <c r="Z61" s="8"/>
      <c r="AA61" s="8"/>
      <c r="AB61" s="8"/>
      <c r="AC61" s="9"/>
      <c r="AD61" s="8"/>
      <c r="AE61" s="8"/>
      <c r="AF61" s="8"/>
      <c r="AG61" s="9"/>
      <c r="AH61" s="8"/>
      <c r="AI61" s="8"/>
      <c r="AJ61" s="8"/>
      <c r="AK61" s="9"/>
      <c r="AL61" s="8"/>
      <c r="AM61" s="8"/>
      <c r="AN61" s="8"/>
      <c r="AO61" s="9"/>
      <c r="AP61" s="8"/>
      <c r="AQ61" s="8"/>
      <c r="AR61" s="8"/>
      <c r="AS61" s="9"/>
      <c r="AT61" s="8"/>
      <c r="AU61" s="8"/>
      <c r="AV61" s="8"/>
      <c r="AW61" s="9"/>
      <c r="AX61" s="8"/>
      <c r="AY61" s="8"/>
      <c r="AZ61" s="8"/>
      <c r="BA61" s="9"/>
      <c r="BB61" s="8"/>
      <c r="BC61" s="8"/>
      <c r="BD61" s="8"/>
      <c r="BE61" s="9"/>
      <c r="BF61" s="8"/>
      <c r="BG61" s="8"/>
      <c r="BH61" s="8"/>
      <c r="BI61" s="9"/>
      <c r="BJ61" s="8"/>
      <c r="BK61" s="8"/>
      <c r="BL61" s="8"/>
      <c r="BM61" s="9"/>
      <c r="BN61" s="8"/>
      <c r="BO61" s="8"/>
      <c r="BP61" s="8"/>
      <c r="BQ61" s="9"/>
      <c r="BR61" s="8"/>
      <c r="BS61" s="8"/>
      <c r="BT61" s="8"/>
      <c r="BU61" s="9"/>
      <c r="BV61" s="8"/>
      <c r="BW61" s="8"/>
      <c r="BX61" s="8"/>
      <c r="BY61" s="9"/>
      <c r="BZ61" s="8"/>
      <c r="CA61" s="8"/>
      <c r="CB61" s="8"/>
      <c r="CC61" s="9"/>
      <c r="CD61" s="8"/>
      <c r="CE61" s="8"/>
      <c r="CF61" s="8"/>
      <c r="CG61" s="9"/>
      <c r="CH61" s="8"/>
      <c r="CI61" s="8"/>
      <c r="CJ61" s="8"/>
      <c r="CK61" s="9"/>
      <c r="CL61" s="8"/>
      <c r="CM61" s="8"/>
      <c r="CN61" s="8"/>
      <c r="CO61" s="9"/>
      <c r="CP61" s="8"/>
      <c r="CQ61" s="8"/>
      <c r="CR61" s="8"/>
      <c r="CS61" s="9"/>
      <c r="CT61" s="8"/>
      <c r="CU61" s="8"/>
      <c r="CV61" s="8"/>
      <c r="CW61" s="9"/>
      <c r="CX61" s="8"/>
      <c r="CY61" s="8"/>
      <c r="CZ61" s="8"/>
      <c r="DA61" s="9"/>
      <c r="DB61" s="8"/>
      <c r="DC61" s="8"/>
      <c r="DD61" s="8"/>
      <c r="DE61" s="9"/>
      <c r="DF61" s="8"/>
      <c r="DG61" s="8"/>
      <c r="DH61" s="8"/>
      <c r="DI61" s="9"/>
      <c r="DJ61" s="8"/>
      <c r="DK61" s="8"/>
      <c r="DL61" s="8"/>
      <c r="DM61" s="9"/>
      <c r="DN61" s="8"/>
      <c r="DO61" s="8"/>
      <c r="DP61" s="8"/>
      <c r="DQ61" s="9"/>
      <c r="DR61" s="8"/>
      <c r="DS61" s="8"/>
      <c r="DT61" s="8"/>
      <c r="DU61" s="9"/>
      <c r="DV61" s="8"/>
      <c r="DW61" s="8"/>
      <c r="DX61" s="8"/>
      <c r="DY61" s="9"/>
      <c r="DZ61" s="8"/>
      <c r="EA61" s="8"/>
      <c r="EB61" s="8"/>
      <c r="EC61" s="9"/>
    </row>
    <row r="62" s="2" customFormat="1" spans="1:133">
      <c r="A62" s="5"/>
      <c r="B62" s="6"/>
      <c r="C62" s="6"/>
      <c r="D62" s="6"/>
      <c r="E62" s="7"/>
      <c r="F62" s="8"/>
      <c r="G62" s="8"/>
      <c r="H62" s="8"/>
      <c r="I62" s="9"/>
      <c r="J62" s="8"/>
      <c r="K62" s="8"/>
      <c r="L62" s="8"/>
      <c r="M62" s="9"/>
      <c r="N62" s="8"/>
      <c r="O62" s="8"/>
      <c r="P62" s="8"/>
      <c r="Q62" s="9"/>
      <c r="R62" s="8"/>
      <c r="S62" s="8"/>
      <c r="T62" s="8"/>
      <c r="U62" s="9"/>
      <c r="V62" s="8"/>
      <c r="W62" s="8"/>
      <c r="X62" s="8"/>
      <c r="Y62" s="9"/>
      <c r="Z62" s="8"/>
      <c r="AA62" s="8"/>
      <c r="AB62" s="8"/>
      <c r="AC62" s="9"/>
      <c r="AD62" s="8"/>
      <c r="AE62" s="8"/>
      <c r="AF62" s="8"/>
      <c r="AG62" s="9"/>
      <c r="AH62" s="8"/>
      <c r="AI62" s="8"/>
      <c r="AJ62" s="8"/>
      <c r="AK62" s="9"/>
      <c r="AL62" s="8"/>
      <c r="AM62" s="8"/>
      <c r="AN62" s="8"/>
      <c r="AO62" s="9"/>
      <c r="AP62" s="8"/>
      <c r="AQ62" s="8"/>
      <c r="AR62" s="8"/>
      <c r="AS62" s="9"/>
      <c r="AT62" s="8"/>
      <c r="AU62" s="8"/>
      <c r="AV62" s="8"/>
      <c r="AW62" s="9"/>
      <c r="AX62" s="8"/>
      <c r="AY62" s="8"/>
      <c r="AZ62" s="8"/>
      <c r="BA62" s="9"/>
      <c r="BB62" s="8"/>
      <c r="BC62" s="8"/>
      <c r="BD62" s="8"/>
      <c r="BE62" s="9"/>
      <c r="BF62" s="8"/>
      <c r="BG62" s="8"/>
      <c r="BH62" s="8"/>
      <c r="BI62" s="9"/>
      <c r="BJ62" s="8"/>
      <c r="BK62" s="8"/>
      <c r="BL62" s="8"/>
      <c r="BM62" s="9"/>
      <c r="BN62" s="8"/>
      <c r="BO62" s="8"/>
      <c r="BP62" s="8"/>
      <c r="BQ62" s="9"/>
      <c r="BR62" s="8"/>
      <c r="BS62" s="8"/>
      <c r="BT62" s="8"/>
      <c r="BU62" s="9"/>
      <c r="BV62" s="8"/>
      <c r="BW62" s="8"/>
      <c r="BX62" s="8"/>
      <c r="BY62" s="9"/>
      <c r="BZ62" s="8"/>
      <c r="CA62" s="8"/>
      <c r="CB62" s="8"/>
      <c r="CC62" s="9"/>
      <c r="CD62" s="8"/>
      <c r="CE62" s="8"/>
      <c r="CF62" s="8"/>
      <c r="CG62" s="9"/>
      <c r="CH62" s="8"/>
      <c r="CI62" s="8"/>
      <c r="CJ62" s="8"/>
      <c r="CK62" s="9"/>
      <c r="CL62" s="8"/>
      <c r="CM62" s="8"/>
      <c r="CN62" s="8"/>
      <c r="CO62" s="9"/>
      <c r="CP62" s="8"/>
      <c r="CQ62" s="8"/>
      <c r="CR62" s="8"/>
      <c r="CS62" s="9"/>
      <c r="CT62" s="8"/>
      <c r="CU62" s="8"/>
      <c r="CV62" s="8"/>
      <c r="CW62" s="9"/>
      <c r="CX62" s="8"/>
      <c r="CY62" s="8"/>
      <c r="CZ62" s="8"/>
      <c r="DA62" s="9"/>
      <c r="DB62" s="8"/>
      <c r="DC62" s="8"/>
      <c r="DD62" s="8"/>
      <c r="DE62" s="9"/>
      <c r="DF62" s="8"/>
      <c r="DG62" s="8"/>
      <c r="DH62" s="8"/>
      <c r="DI62" s="9"/>
      <c r="DJ62" s="8"/>
      <c r="DK62" s="8"/>
      <c r="DL62" s="8"/>
      <c r="DM62" s="9"/>
      <c r="DN62" s="8"/>
      <c r="DO62" s="8"/>
      <c r="DP62" s="8"/>
      <c r="DQ62" s="9"/>
      <c r="DR62" s="8"/>
      <c r="DS62" s="8"/>
      <c r="DT62" s="8"/>
      <c r="DU62" s="9"/>
      <c r="DV62" s="8"/>
      <c r="DW62" s="8"/>
      <c r="DX62" s="8"/>
      <c r="DY62" s="9"/>
      <c r="DZ62" s="8"/>
      <c r="EA62" s="8"/>
      <c r="EB62" s="8"/>
      <c r="EC62" s="9"/>
    </row>
    <row r="63" s="2" customFormat="1" spans="1:133">
      <c r="A63" s="5"/>
      <c r="B63" s="6"/>
      <c r="C63" s="6"/>
      <c r="D63" s="6"/>
      <c r="E63" s="7"/>
      <c r="F63" s="8"/>
      <c r="G63" s="8"/>
      <c r="H63" s="8"/>
      <c r="I63" s="9"/>
      <c r="J63" s="8"/>
      <c r="K63" s="8"/>
      <c r="L63" s="8"/>
      <c r="M63" s="9"/>
      <c r="N63" s="8"/>
      <c r="O63" s="8"/>
      <c r="P63" s="8"/>
      <c r="Q63" s="9"/>
      <c r="R63" s="8"/>
      <c r="S63" s="8"/>
      <c r="T63" s="8"/>
      <c r="U63" s="9"/>
      <c r="V63" s="8"/>
      <c r="W63" s="8"/>
      <c r="X63" s="8"/>
      <c r="Y63" s="9"/>
      <c r="Z63" s="8"/>
      <c r="AA63" s="8"/>
      <c r="AB63" s="8"/>
      <c r="AC63" s="9"/>
      <c r="AD63" s="8"/>
      <c r="AE63" s="8"/>
      <c r="AF63" s="8"/>
      <c r="AG63" s="9"/>
      <c r="AH63" s="8"/>
      <c r="AI63" s="8"/>
      <c r="AJ63" s="8"/>
      <c r="AK63" s="9"/>
      <c r="AL63" s="8"/>
      <c r="AM63" s="8"/>
      <c r="AN63" s="8"/>
      <c r="AO63" s="9"/>
      <c r="AP63" s="8"/>
      <c r="AQ63" s="8"/>
      <c r="AR63" s="8"/>
      <c r="AS63" s="9"/>
      <c r="AT63" s="8"/>
      <c r="AU63" s="8"/>
      <c r="AV63" s="8"/>
      <c r="AW63" s="9"/>
      <c r="AX63" s="8"/>
      <c r="AY63" s="8"/>
      <c r="AZ63" s="8"/>
      <c r="BA63" s="9"/>
      <c r="BB63" s="8"/>
      <c r="BC63" s="8"/>
      <c r="BD63" s="8"/>
      <c r="BE63" s="9"/>
      <c r="BF63" s="8"/>
      <c r="BG63" s="8"/>
      <c r="BH63" s="8"/>
      <c r="BI63" s="9"/>
      <c r="BJ63" s="8"/>
      <c r="BK63" s="8"/>
      <c r="BL63" s="8"/>
      <c r="BM63" s="9"/>
      <c r="BN63" s="8"/>
      <c r="BO63" s="8"/>
      <c r="BP63" s="8"/>
      <c r="BQ63" s="9"/>
      <c r="BR63" s="8"/>
      <c r="BS63" s="8"/>
      <c r="BT63" s="8"/>
      <c r="BU63" s="9"/>
      <c r="BV63" s="8"/>
      <c r="BW63" s="8"/>
      <c r="BX63" s="8"/>
      <c r="BY63" s="9"/>
      <c r="BZ63" s="8"/>
      <c r="CA63" s="8"/>
      <c r="CB63" s="8"/>
      <c r="CC63" s="9"/>
      <c r="CD63" s="8"/>
      <c r="CE63" s="8"/>
      <c r="CF63" s="8"/>
      <c r="CG63" s="9"/>
      <c r="CH63" s="8"/>
      <c r="CI63" s="8"/>
      <c r="CJ63" s="8"/>
      <c r="CK63" s="9"/>
      <c r="CL63" s="8"/>
      <c r="CM63" s="8"/>
      <c r="CN63" s="8"/>
      <c r="CO63" s="9"/>
      <c r="CP63" s="8"/>
      <c r="CQ63" s="8"/>
      <c r="CR63" s="8"/>
      <c r="CS63" s="9"/>
      <c r="CT63" s="8"/>
      <c r="CU63" s="8"/>
      <c r="CV63" s="8"/>
      <c r="CW63" s="9"/>
      <c r="CX63" s="8"/>
      <c r="CY63" s="8"/>
      <c r="CZ63" s="8"/>
      <c r="DA63" s="9"/>
      <c r="DB63" s="8"/>
      <c r="DC63" s="8"/>
      <c r="DD63" s="8"/>
      <c r="DE63" s="9"/>
      <c r="DF63" s="8"/>
      <c r="DG63" s="8"/>
      <c r="DH63" s="8"/>
      <c r="DI63" s="9"/>
      <c r="DJ63" s="8"/>
      <c r="DK63" s="8"/>
      <c r="DL63" s="8"/>
      <c r="DM63" s="9"/>
      <c r="DN63" s="8"/>
      <c r="DO63" s="8"/>
      <c r="DP63" s="8"/>
      <c r="DQ63" s="9"/>
      <c r="DR63" s="8"/>
      <c r="DS63" s="8"/>
      <c r="DT63" s="8"/>
      <c r="DU63" s="9"/>
      <c r="DV63" s="8"/>
      <c r="DW63" s="8"/>
      <c r="DX63" s="8"/>
      <c r="DY63" s="9"/>
      <c r="DZ63" s="8"/>
      <c r="EA63" s="8"/>
      <c r="EB63" s="8"/>
      <c r="EC63" s="9"/>
    </row>
    <row r="64" s="2" customFormat="1" spans="1:133">
      <c r="A64" s="5"/>
      <c r="B64" s="6"/>
      <c r="C64" s="6"/>
      <c r="D64" s="6"/>
      <c r="E64" s="7"/>
      <c r="F64" s="8"/>
      <c r="G64" s="8"/>
      <c r="H64" s="8"/>
      <c r="I64" s="9"/>
      <c r="J64" s="8"/>
      <c r="K64" s="8"/>
      <c r="L64" s="8"/>
      <c r="M64" s="9"/>
      <c r="N64" s="8"/>
      <c r="O64" s="8"/>
      <c r="P64" s="8"/>
      <c r="Q64" s="9"/>
      <c r="R64" s="8"/>
      <c r="S64" s="8"/>
      <c r="T64" s="8"/>
      <c r="U64" s="9"/>
      <c r="V64" s="8"/>
      <c r="W64" s="8"/>
      <c r="X64" s="8"/>
      <c r="Y64" s="9"/>
      <c r="Z64" s="8"/>
      <c r="AA64" s="8"/>
      <c r="AB64" s="8"/>
      <c r="AC64" s="9"/>
      <c r="AD64" s="8"/>
      <c r="AE64" s="8"/>
      <c r="AF64" s="8"/>
      <c r="AG64" s="9"/>
      <c r="AH64" s="8"/>
      <c r="AI64" s="8"/>
      <c r="AJ64" s="8"/>
      <c r="AK64" s="9"/>
      <c r="AL64" s="8"/>
      <c r="AM64" s="8"/>
      <c r="AN64" s="8"/>
      <c r="AO64" s="9"/>
      <c r="AP64" s="8"/>
      <c r="AQ64" s="8"/>
      <c r="AR64" s="8"/>
      <c r="AS64" s="9"/>
      <c r="AT64" s="8"/>
      <c r="AU64" s="8"/>
      <c r="AV64" s="8"/>
      <c r="AW64" s="9"/>
      <c r="AX64" s="8"/>
      <c r="AY64" s="8"/>
      <c r="AZ64" s="8"/>
      <c r="BA64" s="9"/>
      <c r="BB64" s="8"/>
      <c r="BC64" s="8"/>
      <c r="BD64" s="8"/>
      <c r="BE64" s="9"/>
      <c r="BF64" s="8"/>
      <c r="BG64" s="8"/>
      <c r="BH64" s="8"/>
      <c r="BI64" s="9"/>
      <c r="BJ64" s="8"/>
      <c r="BK64" s="8"/>
      <c r="BL64" s="8"/>
      <c r="BM64" s="9"/>
      <c r="BN64" s="8"/>
      <c r="BO64" s="8"/>
      <c r="BP64" s="8"/>
      <c r="BQ64" s="9"/>
      <c r="BR64" s="8"/>
      <c r="BS64" s="8"/>
      <c r="BT64" s="8"/>
      <c r="BU64" s="9"/>
      <c r="BV64" s="8"/>
      <c r="BW64" s="8"/>
      <c r="BX64" s="8"/>
      <c r="BY64" s="9"/>
      <c r="BZ64" s="8"/>
      <c r="CA64" s="8"/>
      <c r="CB64" s="8"/>
      <c r="CC64" s="9"/>
      <c r="CD64" s="8"/>
      <c r="CE64" s="8"/>
      <c r="CF64" s="8"/>
      <c r="CG64" s="9"/>
      <c r="CH64" s="8"/>
      <c r="CI64" s="8"/>
      <c r="CJ64" s="8"/>
      <c r="CK64" s="9"/>
      <c r="CL64" s="8"/>
      <c r="CM64" s="8"/>
      <c r="CN64" s="8"/>
      <c r="CO64" s="9"/>
      <c r="CP64" s="8"/>
      <c r="CQ64" s="8"/>
      <c r="CR64" s="8"/>
      <c r="CS64" s="9"/>
      <c r="CT64" s="8"/>
      <c r="CU64" s="8"/>
      <c r="CV64" s="8"/>
      <c r="CW64" s="9"/>
      <c r="CX64" s="8"/>
      <c r="CY64" s="8"/>
      <c r="CZ64" s="8"/>
      <c r="DA64" s="9"/>
      <c r="DB64" s="8"/>
      <c r="DC64" s="8"/>
      <c r="DD64" s="8"/>
      <c r="DE64" s="9"/>
      <c r="DF64" s="8"/>
      <c r="DG64" s="8"/>
      <c r="DH64" s="8"/>
      <c r="DI64" s="9"/>
      <c r="DJ64" s="8"/>
      <c r="DK64" s="8"/>
      <c r="DL64" s="8"/>
      <c r="DM64" s="9"/>
      <c r="DN64" s="8"/>
      <c r="DO64" s="8"/>
      <c r="DP64" s="8"/>
      <c r="DQ64" s="9"/>
      <c r="DR64" s="8"/>
      <c r="DS64" s="8"/>
      <c r="DT64" s="8"/>
      <c r="DU64" s="9"/>
      <c r="DV64" s="8"/>
      <c r="DW64" s="8"/>
      <c r="DX64" s="8"/>
      <c r="DY64" s="9"/>
      <c r="DZ64" s="8"/>
      <c r="EA64" s="8"/>
      <c r="EB64" s="8"/>
      <c r="EC64" s="9"/>
    </row>
  </sheetData>
  <mergeCells count="33">
    <mergeCell ref="A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BR1:BU1"/>
    <mergeCell ref="BV1:BY1"/>
    <mergeCell ref="BZ1:CC1"/>
    <mergeCell ref="CD1:CG1"/>
    <mergeCell ref="CH1:CK1"/>
    <mergeCell ref="CL1:CO1"/>
    <mergeCell ref="CP1:CS1"/>
    <mergeCell ref="CT1:CW1"/>
    <mergeCell ref="CX1:DA1"/>
    <mergeCell ref="DB1:DE1"/>
    <mergeCell ref="DF1:DI1"/>
    <mergeCell ref="DJ1:DM1"/>
    <mergeCell ref="DN1:DQ1"/>
    <mergeCell ref="DR1:DU1"/>
    <mergeCell ref="DV1:DY1"/>
    <mergeCell ref="DZ1:EC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8月日核算表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</dc:creator>
  <cp:lastModifiedBy>短发夏天</cp:lastModifiedBy>
  <dcterms:created xsi:type="dcterms:W3CDTF">2023-05-12T11:15:00Z</dcterms:created>
  <dcterms:modified xsi:type="dcterms:W3CDTF">2026-08-29T01:31:18Z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74BB16D3E4C343E8947665B73FA4718E_13</vt:lpwstr>
  </property>
  <property fmtid="{D5CDD505-2E9C-101B-9397-08002B2CF9AE}" pid="4" name="CalculationRule">
    <vt:i4>0</vt:i4>
  </property>
</Properties>
</file>